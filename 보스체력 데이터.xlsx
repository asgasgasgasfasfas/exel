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jg19\Desktop\"/>
    </mc:Choice>
  </mc:AlternateContent>
  <xr:revisionPtr revIDLastSave="0" documentId="13_ncr:1_{EDC16FD6-1F5B-4DF6-8859-EC5B6FB2D57F}" xr6:coauthVersionLast="47" xr6:coauthVersionMax="47" xr10:uidLastSave="{00000000-0000-0000-0000-000000000000}"/>
  <bookViews>
    <workbookView xWindow="1170" yWindow="1170" windowWidth="21810" windowHeight="11295" tabRatio="598" activeTab="1" xr2:uid="{05A08298-BAF7-4927-BEAF-1044D1D4039C}"/>
  </bookViews>
  <sheets>
    <sheet name="보스체력" sheetId="1" r:id="rId1"/>
    <sheet name="스테이지 계산" sheetId="14" r:id="rId2"/>
    <sheet name="무릉전보스체력" sheetId="13" r:id="rId3"/>
    <sheet name="보스데미지" sheetId="2" r:id="rId4"/>
    <sheet name="능력치" sheetId="6" r:id="rId5"/>
    <sheet name="계산" sheetId="3" r:id="rId6"/>
    <sheet name="Sheet2" sheetId="12" r:id="rId7"/>
    <sheet name="스킬" sheetId="10" r:id="rId8"/>
    <sheet name="연구" sheetId="9" r:id="rId9"/>
    <sheet name="Sheet1" sheetId="11" r:id="rId10"/>
  </sheets>
  <definedNames>
    <definedName name="_xlnm._FilterDatabase" localSheetId="4" hidden="1">능력치!$V$93:$BL$151</definedName>
    <definedName name="ExternalData_1" localSheetId="8" hidden="1">연구!$A$1:$F$39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4" l="1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770" i="14"/>
  <c r="G771" i="14"/>
  <c r="G772" i="14"/>
  <c r="G773" i="14"/>
  <c r="G774" i="14"/>
  <c r="G775" i="14"/>
  <c r="G776" i="14"/>
  <c r="G777" i="14"/>
  <c r="G778" i="14"/>
  <c r="G779" i="14"/>
  <c r="G780" i="14"/>
  <c r="G781" i="14"/>
  <c r="G782" i="14"/>
  <c r="G783" i="14"/>
  <c r="G784" i="14"/>
  <c r="G785" i="14"/>
  <c r="G786" i="14"/>
  <c r="G787" i="14"/>
  <c r="G788" i="14"/>
  <c r="G789" i="14"/>
  <c r="G790" i="14"/>
  <c r="G791" i="14"/>
  <c r="G792" i="14"/>
  <c r="G793" i="14"/>
  <c r="G794" i="14"/>
  <c r="G795" i="14"/>
  <c r="G796" i="14"/>
  <c r="G797" i="14"/>
  <c r="G798" i="14"/>
  <c r="G799" i="14"/>
  <c r="G800" i="14"/>
  <c r="G801" i="14"/>
  <c r="G802" i="14"/>
  <c r="G803" i="14"/>
  <c r="G804" i="14"/>
  <c r="G805" i="14"/>
  <c r="G806" i="14"/>
  <c r="G807" i="14"/>
  <c r="G808" i="14"/>
  <c r="G809" i="14"/>
  <c r="G810" i="14"/>
  <c r="G811" i="14"/>
  <c r="G812" i="14"/>
  <c r="G813" i="14"/>
  <c r="G814" i="14"/>
  <c r="G815" i="14"/>
  <c r="G816" i="14"/>
  <c r="G817" i="14"/>
  <c r="G818" i="14"/>
  <c r="G819" i="14"/>
  <c r="G820" i="14"/>
  <c r="G821" i="14"/>
  <c r="G822" i="14"/>
  <c r="G823" i="14"/>
  <c r="G824" i="14"/>
  <c r="G825" i="14"/>
  <c r="G826" i="14"/>
  <c r="G827" i="14"/>
  <c r="G828" i="14"/>
  <c r="G829" i="14"/>
  <c r="G830" i="14"/>
  <c r="G831" i="14"/>
  <c r="G832" i="14"/>
  <c r="G833" i="14"/>
  <c r="G834" i="14"/>
  <c r="G835" i="14"/>
  <c r="G836" i="14"/>
  <c r="G837" i="14"/>
  <c r="G838" i="14"/>
  <c r="G839" i="14"/>
  <c r="G840" i="14"/>
  <c r="G841" i="14"/>
  <c r="G842" i="14"/>
  <c r="G843" i="14"/>
  <c r="G844" i="14"/>
  <c r="G845" i="14"/>
  <c r="G846" i="14"/>
  <c r="G847" i="14"/>
  <c r="G848" i="14"/>
  <c r="G849" i="14"/>
  <c r="G850" i="14"/>
  <c r="G851" i="14"/>
  <c r="G852" i="14"/>
  <c r="G853" i="14"/>
  <c r="G854" i="14"/>
  <c r="G855" i="14"/>
  <c r="G856" i="14"/>
  <c r="G857" i="14"/>
  <c r="G858" i="14"/>
  <c r="G859" i="14"/>
  <c r="G860" i="14"/>
  <c r="G861" i="14"/>
  <c r="G862" i="14"/>
  <c r="G863" i="14"/>
  <c r="G864" i="14"/>
  <c r="G865" i="14"/>
  <c r="G866" i="14"/>
  <c r="G867" i="14"/>
  <c r="G868" i="14"/>
  <c r="G869" i="14"/>
  <c r="G870" i="14"/>
  <c r="G871" i="14"/>
  <c r="G872" i="14"/>
  <c r="G873" i="14"/>
  <c r="G874" i="14"/>
  <c r="G875" i="14"/>
  <c r="G876" i="14"/>
  <c r="G877" i="14"/>
  <c r="G878" i="14"/>
  <c r="G879" i="14"/>
  <c r="G880" i="14"/>
  <c r="G881" i="14"/>
  <c r="G882" i="14"/>
  <c r="G883" i="14"/>
  <c r="G884" i="14"/>
  <c r="G885" i="14"/>
  <c r="G886" i="14"/>
  <c r="G887" i="14"/>
  <c r="G888" i="14"/>
  <c r="G889" i="14"/>
  <c r="G890" i="14"/>
  <c r="G891" i="14"/>
  <c r="G892" i="14"/>
  <c r="G893" i="14"/>
  <c r="G894" i="14"/>
  <c r="G895" i="14"/>
  <c r="G896" i="14"/>
  <c r="G897" i="14"/>
  <c r="G898" i="14"/>
  <c r="G899" i="14"/>
  <c r="G900" i="14"/>
  <c r="G901" i="14"/>
  <c r="G902" i="14"/>
  <c r="G903" i="14"/>
  <c r="G904" i="14"/>
  <c r="G905" i="14"/>
  <c r="G906" i="14"/>
  <c r="G907" i="14"/>
  <c r="G908" i="14"/>
  <c r="G909" i="14"/>
  <c r="G910" i="14"/>
  <c r="G911" i="14"/>
  <c r="G912" i="14"/>
  <c r="G913" i="14"/>
  <c r="G914" i="14"/>
  <c r="G915" i="14"/>
  <c r="G916" i="14"/>
  <c r="G917" i="14"/>
  <c r="G918" i="14"/>
  <c r="G919" i="14"/>
  <c r="G920" i="14"/>
  <c r="G921" i="14"/>
  <c r="G922" i="14"/>
  <c r="G923" i="14"/>
  <c r="G924" i="14"/>
  <c r="G925" i="14"/>
  <c r="G926" i="14"/>
  <c r="G927" i="14"/>
  <c r="G928" i="14"/>
  <c r="G929" i="14"/>
  <c r="G930" i="14"/>
  <c r="G931" i="14"/>
  <c r="G932" i="14"/>
  <c r="G933" i="14"/>
  <c r="G934" i="14"/>
  <c r="G935" i="14"/>
  <c r="G936" i="14"/>
  <c r="G937" i="14"/>
  <c r="G938" i="14"/>
  <c r="G939" i="14"/>
  <c r="G940" i="14"/>
  <c r="G941" i="14"/>
  <c r="G942" i="14"/>
  <c r="G943" i="14"/>
  <c r="G944" i="14"/>
  <c r="G945" i="14"/>
  <c r="G946" i="14"/>
  <c r="G947" i="14"/>
  <c r="G948" i="14"/>
  <c r="G949" i="14"/>
  <c r="G950" i="14"/>
  <c r="G951" i="14"/>
  <c r="G952" i="14"/>
  <c r="G953" i="14"/>
  <c r="G954" i="14"/>
  <c r="G955" i="14"/>
  <c r="G956" i="14"/>
  <c r="G957" i="14"/>
  <c r="G958" i="14"/>
  <c r="G959" i="14"/>
  <c r="G960" i="14"/>
  <c r="G961" i="14"/>
  <c r="G962" i="14"/>
  <c r="G963" i="14"/>
  <c r="G964" i="14"/>
  <c r="G965" i="14"/>
  <c r="G966" i="14"/>
  <c r="G967" i="14"/>
  <c r="G968" i="14"/>
  <c r="G969" i="14"/>
  <c r="G970" i="14"/>
  <c r="G971" i="14"/>
  <c r="G972" i="14"/>
  <c r="G973" i="14"/>
  <c r="G974" i="14"/>
  <c r="G975" i="14"/>
  <c r="G976" i="14"/>
  <c r="G977" i="14"/>
  <c r="G978" i="14"/>
  <c r="G979" i="14"/>
  <c r="G980" i="14"/>
  <c r="G981" i="14"/>
  <c r="G982" i="14"/>
  <c r="G983" i="14"/>
  <c r="G984" i="14"/>
  <c r="G985" i="14"/>
  <c r="G986" i="14"/>
  <c r="G987" i="14"/>
  <c r="G988" i="14"/>
  <c r="G989" i="14"/>
  <c r="G990" i="14"/>
  <c r="G991" i="14"/>
  <c r="G992" i="14"/>
  <c r="G993" i="14"/>
  <c r="G994" i="14"/>
  <c r="G995" i="14"/>
  <c r="G996" i="14"/>
  <c r="G997" i="14"/>
  <c r="G998" i="14"/>
  <c r="G999" i="14"/>
  <c r="G1000" i="14"/>
  <c r="G1001" i="14"/>
  <c r="G1002" i="14"/>
  <c r="G1003" i="14"/>
  <c r="G1004" i="14"/>
  <c r="G1005" i="14"/>
  <c r="G1006" i="14"/>
  <c r="G1007" i="14"/>
  <c r="G1008" i="14"/>
  <c r="G1009" i="14"/>
  <c r="G1010" i="14"/>
  <c r="G1011" i="14"/>
  <c r="G1012" i="14"/>
  <c r="G1013" i="14"/>
  <c r="G1014" i="14"/>
  <c r="G1015" i="14"/>
  <c r="G1016" i="14"/>
  <c r="G1017" i="14"/>
  <c r="G1018" i="14"/>
  <c r="G1019" i="14"/>
  <c r="G1020" i="14"/>
  <c r="G1021" i="14"/>
  <c r="G1022" i="14"/>
  <c r="G1023" i="14"/>
  <c r="G1024" i="14"/>
  <c r="G1025" i="14"/>
  <c r="G1026" i="14"/>
  <c r="G1027" i="14"/>
  <c r="G1028" i="14"/>
  <c r="G1029" i="14"/>
  <c r="G1030" i="14"/>
  <c r="G1031" i="14"/>
  <c r="G1032" i="14"/>
  <c r="G1033" i="14"/>
  <c r="G1034" i="14"/>
  <c r="G1035" i="14"/>
  <c r="G1036" i="14"/>
  <c r="G1037" i="14"/>
  <c r="G1038" i="14"/>
  <c r="G1039" i="14"/>
  <c r="G1040" i="14"/>
  <c r="G1041" i="14"/>
  <c r="G1042" i="14"/>
  <c r="G1043" i="14"/>
  <c r="G1044" i="14"/>
  <c r="G1045" i="14"/>
  <c r="G1046" i="14"/>
  <c r="G1047" i="14"/>
  <c r="G1048" i="14"/>
  <c r="G1049" i="14"/>
  <c r="G1050" i="14"/>
  <c r="G1051" i="14"/>
  <c r="G1052" i="14"/>
  <c r="G1053" i="14"/>
  <c r="G1054" i="14"/>
  <c r="G1055" i="14"/>
  <c r="G1056" i="14"/>
  <c r="G1057" i="14"/>
  <c r="G1058" i="14"/>
  <c r="G1059" i="14"/>
  <c r="G1060" i="14"/>
  <c r="G1061" i="14"/>
  <c r="G1062" i="14"/>
  <c r="G1063" i="14"/>
  <c r="G1064" i="14"/>
  <c r="G1065" i="14"/>
  <c r="G1066" i="14"/>
  <c r="G1067" i="14"/>
  <c r="G1068" i="14"/>
  <c r="G1069" i="14"/>
  <c r="G1070" i="14"/>
  <c r="G1071" i="14"/>
  <c r="G1072" i="14"/>
  <c r="G1073" i="14"/>
  <c r="G1074" i="14"/>
  <c r="G1075" i="14"/>
  <c r="G1076" i="14"/>
  <c r="G1077" i="14"/>
  <c r="G1078" i="14"/>
  <c r="G1079" i="14"/>
  <c r="G1080" i="14"/>
  <c r="G1081" i="14"/>
  <c r="G1082" i="14"/>
  <c r="G1083" i="14"/>
  <c r="G1084" i="14"/>
  <c r="G1085" i="14"/>
  <c r="G1086" i="14"/>
  <c r="G1087" i="14"/>
  <c r="G1088" i="14"/>
  <c r="G1089" i="14"/>
  <c r="G1090" i="14"/>
  <c r="G1091" i="14"/>
  <c r="G1092" i="14"/>
  <c r="G1093" i="14"/>
  <c r="G1094" i="14"/>
  <c r="G1095" i="14"/>
  <c r="G1096" i="14"/>
  <c r="G1097" i="14"/>
  <c r="G1098" i="14"/>
  <c r="G1099" i="14"/>
  <c r="G1100" i="14"/>
  <c r="G1101" i="14"/>
  <c r="G1102" i="14"/>
  <c r="G1103" i="14"/>
  <c r="G1104" i="14"/>
  <c r="G1105" i="14"/>
  <c r="G1106" i="14"/>
  <c r="G1107" i="14"/>
  <c r="G1108" i="14"/>
  <c r="G1109" i="14"/>
  <c r="G1110" i="14"/>
  <c r="G1111" i="14"/>
  <c r="G1112" i="14"/>
  <c r="G1113" i="14"/>
  <c r="G1114" i="14"/>
  <c r="G1115" i="14"/>
  <c r="G1116" i="14"/>
  <c r="G1117" i="14"/>
  <c r="G1118" i="14"/>
  <c r="G1119" i="14"/>
  <c r="G1120" i="14"/>
  <c r="G1121" i="14"/>
  <c r="G1122" i="14"/>
  <c r="G1123" i="14"/>
  <c r="G1124" i="14"/>
  <c r="G1125" i="14"/>
  <c r="G1126" i="14"/>
  <c r="G1127" i="14"/>
  <c r="G1128" i="14"/>
  <c r="G1129" i="14"/>
  <c r="G1130" i="14"/>
  <c r="G1131" i="14"/>
  <c r="G1132" i="14"/>
  <c r="G1133" i="14"/>
  <c r="G1134" i="14"/>
  <c r="G1135" i="14"/>
  <c r="G1136" i="14"/>
  <c r="G1137" i="14"/>
  <c r="G1138" i="14"/>
  <c r="G1139" i="14"/>
  <c r="G1140" i="14"/>
  <c r="G1141" i="14"/>
  <c r="G1142" i="14"/>
  <c r="G1143" i="14"/>
  <c r="G1144" i="14"/>
  <c r="G1145" i="14"/>
  <c r="G1146" i="14"/>
  <c r="G1147" i="14"/>
  <c r="G1148" i="14"/>
  <c r="G1149" i="14"/>
  <c r="G1150" i="14"/>
  <c r="G1151" i="14"/>
  <c r="G1152" i="14"/>
  <c r="G1153" i="14"/>
  <c r="G1154" i="14"/>
  <c r="G1155" i="14"/>
  <c r="G1156" i="14"/>
  <c r="G1157" i="14"/>
  <c r="G1158" i="14"/>
  <c r="G1159" i="14"/>
  <c r="G1160" i="14"/>
  <c r="G1161" i="14"/>
  <c r="G1162" i="14"/>
  <c r="G1163" i="14"/>
  <c r="G1164" i="14"/>
  <c r="G1165" i="14"/>
  <c r="G1166" i="14"/>
  <c r="G1167" i="14"/>
  <c r="G1168" i="14"/>
  <c r="G1169" i="14"/>
  <c r="G1170" i="14"/>
  <c r="G1171" i="14"/>
  <c r="G1172" i="14"/>
  <c r="G1173" i="14"/>
  <c r="G1174" i="14"/>
  <c r="G1175" i="14"/>
  <c r="G1176" i="14"/>
  <c r="G1177" i="14"/>
  <c r="G1178" i="14"/>
  <c r="G1179" i="14"/>
  <c r="G1180" i="14"/>
  <c r="G1181" i="14"/>
  <c r="G1182" i="14"/>
  <c r="G1183" i="14"/>
  <c r="G1184" i="14"/>
  <c r="G1185" i="14"/>
  <c r="G1186" i="14"/>
  <c r="G1187" i="14"/>
  <c r="G1188" i="14"/>
  <c r="G1189" i="14"/>
  <c r="G1190" i="14"/>
  <c r="G1191" i="14"/>
  <c r="G1192" i="14"/>
  <c r="G1193" i="14"/>
  <c r="G1194" i="14"/>
  <c r="G1195" i="14"/>
  <c r="G1196" i="14"/>
  <c r="G1197" i="14"/>
  <c r="G1198" i="14"/>
  <c r="G1199" i="14"/>
  <c r="G1200" i="14"/>
  <c r="G1201" i="14"/>
  <c r="G1202" i="14"/>
  <c r="G1203" i="14"/>
  <c r="G1204" i="14"/>
  <c r="G1205" i="14"/>
  <c r="G1206" i="14"/>
  <c r="G1207" i="14"/>
  <c r="G1208" i="14"/>
  <c r="G1209" i="14"/>
  <c r="G1210" i="14"/>
  <c r="G1211" i="14"/>
  <c r="G1212" i="14"/>
  <c r="G1213" i="14"/>
  <c r="G1214" i="14"/>
  <c r="G1215" i="14"/>
  <c r="G1216" i="14"/>
  <c r="G1217" i="14"/>
  <c r="G1218" i="14"/>
  <c r="G1219" i="14"/>
  <c r="G1220" i="14"/>
  <c r="G1221" i="14"/>
  <c r="G1222" i="14"/>
  <c r="G1223" i="14"/>
  <c r="G1224" i="14"/>
  <c r="G1225" i="14"/>
  <c r="G1226" i="14"/>
  <c r="G1227" i="14"/>
  <c r="G1228" i="14"/>
  <c r="G1229" i="14"/>
  <c r="G1230" i="14"/>
  <c r="G1231" i="14"/>
  <c r="G1232" i="14"/>
  <c r="G1233" i="14"/>
  <c r="G1234" i="14"/>
  <c r="G1235" i="14"/>
  <c r="G1236" i="14"/>
  <c r="G1237" i="14"/>
  <c r="G1238" i="14"/>
  <c r="G1239" i="14"/>
  <c r="G1240" i="14"/>
  <c r="G1241" i="14"/>
  <c r="G1242" i="14"/>
  <c r="G1243" i="14"/>
  <c r="G1244" i="14"/>
  <c r="G1245" i="14"/>
  <c r="G1246" i="14"/>
  <c r="G1247" i="14"/>
  <c r="G1248" i="14"/>
  <c r="G1249" i="14"/>
  <c r="G1250" i="14"/>
  <c r="G1251" i="14"/>
  <c r="G1252" i="14"/>
  <c r="G1253" i="14"/>
  <c r="G1254" i="14"/>
  <c r="G1255" i="14"/>
  <c r="G1256" i="14"/>
  <c r="G1257" i="14"/>
  <c r="G1258" i="14"/>
  <c r="G1259" i="14"/>
  <c r="G1260" i="14"/>
  <c r="G1261" i="14"/>
  <c r="G1262" i="14"/>
  <c r="G1263" i="14"/>
  <c r="G1264" i="14"/>
  <c r="G1265" i="14"/>
  <c r="G1266" i="14"/>
  <c r="G1267" i="14"/>
  <c r="G1268" i="14"/>
  <c r="G1269" i="14"/>
  <c r="G1270" i="14"/>
  <c r="G1271" i="14"/>
  <c r="G1272" i="14"/>
  <c r="G1273" i="14"/>
  <c r="G1274" i="14"/>
  <c r="G1275" i="14"/>
  <c r="G1276" i="14"/>
  <c r="G1277" i="14"/>
  <c r="G1278" i="14"/>
  <c r="G1279" i="14"/>
  <c r="G1280" i="14"/>
  <c r="G1281" i="14"/>
  <c r="G1282" i="14"/>
  <c r="G1283" i="14"/>
  <c r="G1284" i="14"/>
  <c r="G1285" i="14"/>
  <c r="G1286" i="14"/>
  <c r="G1287" i="14"/>
  <c r="G1288" i="14"/>
  <c r="G1289" i="14"/>
  <c r="G1290" i="14"/>
  <c r="G1291" i="14"/>
  <c r="G1292" i="14"/>
  <c r="G1293" i="14"/>
  <c r="G1294" i="14"/>
  <c r="G1295" i="14"/>
  <c r="G1296" i="14"/>
  <c r="G1297" i="14"/>
  <c r="G1298" i="14"/>
  <c r="G1299" i="14"/>
  <c r="G1300" i="14"/>
  <c r="G1301" i="14"/>
  <c r="G1302" i="14"/>
  <c r="G1303" i="14"/>
  <c r="G1304" i="14"/>
  <c r="G1305" i="14"/>
  <c r="G1306" i="14"/>
  <c r="G1307" i="14"/>
  <c r="G1308" i="14"/>
  <c r="G1309" i="14"/>
  <c r="G1310" i="14"/>
  <c r="G1311" i="14"/>
  <c r="G1312" i="14"/>
  <c r="G1313" i="14"/>
  <c r="G1314" i="14"/>
  <c r="G1315" i="14"/>
  <c r="G1316" i="14"/>
  <c r="G1317" i="14"/>
  <c r="G1318" i="14"/>
  <c r="G1319" i="14"/>
  <c r="G1320" i="14"/>
  <c r="G1321" i="14"/>
  <c r="G1322" i="14"/>
  <c r="G1323" i="14"/>
  <c r="G1324" i="14"/>
  <c r="G1325" i="14"/>
  <c r="G1326" i="14"/>
  <c r="G1327" i="14"/>
  <c r="G1328" i="14"/>
  <c r="G1329" i="14"/>
  <c r="G1330" i="14"/>
  <c r="G1331" i="14"/>
  <c r="G1332" i="14"/>
  <c r="G1333" i="14"/>
  <c r="G1334" i="14"/>
  <c r="G1335" i="14"/>
  <c r="G1336" i="14"/>
  <c r="G1337" i="14"/>
  <c r="G1338" i="14"/>
  <c r="G1339" i="14"/>
  <c r="G1340" i="14"/>
  <c r="G1341" i="14"/>
  <c r="G1342" i="14"/>
  <c r="G1343" i="14"/>
  <c r="G1344" i="14"/>
  <c r="G1345" i="14"/>
  <c r="G1346" i="14"/>
  <c r="G1347" i="14"/>
  <c r="G1348" i="14"/>
  <c r="G1349" i="14"/>
  <c r="G1350" i="14"/>
  <c r="G1351" i="14"/>
  <c r="G1352" i="14"/>
  <c r="G1353" i="14"/>
  <c r="G1354" i="14"/>
  <c r="G1355" i="14"/>
  <c r="G1356" i="14"/>
  <c r="G1357" i="14"/>
  <c r="G1358" i="14"/>
  <c r="G1359" i="14"/>
  <c r="G1360" i="14"/>
  <c r="G1361" i="14"/>
  <c r="G1362" i="14"/>
  <c r="G1363" i="14"/>
  <c r="G1364" i="14"/>
  <c r="G1365" i="14"/>
  <c r="G1366" i="14"/>
  <c r="G1367" i="14"/>
  <c r="G1368" i="14"/>
  <c r="G1369" i="14"/>
  <c r="G1370" i="14"/>
  <c r="G1371" i="14"/>
  <c r="G1372" i="14"/>
  <c r="G1373" i="14"/>
  <c r="G1374" i="14"/>
  <c r="G1375" i="14"/>
  <c r="G1376" i="14"/>
  <c r="G1377" i="14"/>
  <c r="G1378" i="14"/>
  <c r="G1379" i="14"/>
  <c r="G1380" i="14"/>
  <c r="G1381" i="14"/>
  <c r="G1382" i="14"/>
  <c r="G1383" i="14"/>
  <c r="G1384" i="14"/>
  <c r="G1385" i="14"/>
  <c r="G1386" i="14"/>
  <c r="G1387" i="14"/>
  <c r="G1388" i="14"/>
  <c r="G1389" i="14"/>
  <c r="G1390" i="14"/>
  <c r="G1391" i="14"/>
  <c r="G1392" i="14"/>
  <c r="G1393" i="14"/>
  <c r="G1394" i="14"/>
  <c r="G1395" i="14"/>
  <c r="G1396" i="14"/>
  <c r="G1397" i="14"/>
  <c r="G1398" i="14"/>
  <c r="G1399" i="14"/>
  <c r="G1400" i="14"/>
  <c r="G1401" i="14"/>
  <c r="G1402" i="14"/>
  <c r="G1403" i="14"/>
  <c r="G1404" i="14"/>
  <c r="G1405" i="14"/>
  <c r="G1406" i="14"/>
  <c r="G1407" i="14"/>
  <c r="G1408" i="14"/>
  <c r="G1409" i="14"/>
  <c r="G1410" i="14"/>
  <c r="G1411" i="14"/>
  <c r="G1412" i="14"/>
  <c r="G1413" i="14"/>
  <c r="G1414" i="14"/>
  <c r="G1415" i="14"/>
  <c r="G1416" i="14"/>
  <c r="G1417" i="14"/>
  <c r="G1418" i="14"/>
  <c r="G1419" i="14"/>
  <c r="G1420" i="14"/>
  <c r="G1421" i="14"/>
  <c r="G1422" i="14"/>
  <c r="G1423" i="14"/>
  <c r="G1424" i="14"/>
  <c r="G1425" i="14"/>
  <c r="G1426" i="14"/>
  <c r="G1427" i="14"/>
  <c r="G1428" i="14"/>
  <c r="G1429" i="14"/>
  <c r="G1430" i="14"/>
  <c r="G1431" i="14"/>
  <c r="G1432" i="14"/>
  <c r="G1433" i="14"/>
  <c r="G1434" i="14"/>
  <c r="G1435" i="14"/>
  <c r="G1436" i="14"/>
  <c r="G1437" i="14"/>
  <c r="G1438" i="14"/>
  <c r="G1439" i="14"/>
  <c r="G1440" i="14"/>
  <c r="G1441" i="14"/>
  <c r="G1442" i="14"/>
  <c r="G1443" i="14"/>
  <c r="G1444" i="14"/>
  <c r="G1445" i="14"/>
  <c r="G1446" i="14"/>
  <c r="G1447" i="14"/>
  <c r="G1448" i="14"/>
  <c r="G1449" i="14"/>
  <c r="G1450" i="14"/>
  <c r="G1451" i="14"/>
  <c r="G1452" i="14"/>
  <c r="G1453" i="14"/>
  <c r="G1454" i="14"/>
  <c r="G1455" i="14"/>
  <c r="G1456" i="14"/>
  <c r="G1457" i="14"/>
  <c r="G1458" i="14"/>
  <c r="G1459" i="14"/>
  <c r="G1460" i="14"/>
  <c r="G1461" i="14"/>
  <c r="G1462" i="14"/>
  <c r="G1463" i="14"/>
  <c r="G1464" i="14"/>
  <c r="G1465" i="14"/>
  <c r="G1466" i="14"/>
  <c r="G1467" i="14"/>
  <c r="G1468" i="14"/>
  <c r="G1469" i="14"/>
  <c r="G1470" i="14"/>
  <c r="G1471" i="14"/>
  <c r="G1472" i="14"/>
  <c r="G1473" i="14"/>
  <c r="G1474" i="14"/>
  <c r="G1475" i="14"/>
  <c r="G1476" i="14"/>
  <c r="G1477" i="14"/>
  <c r="G1478" i="14"/>
  <c r="G1479" i="14"/>
  <c r="G1480" i="14"/>
  <c r="G1481" i="14"/>
  <c r="G1482" i="14"/>
  <c r="G1483" i="14"/>
  <c r="G1484" i="14"/>
  <c r="G1485" i="14"/>
  <c r="G1486" i="14"/>
  <c r="G1487" i="14"/>
  <c r="G1488" i="14"/>
  <c r="G1489" i="14"/>
  <c r="G1490" i="14"/>
  <c r="G1491" i="14"/>
  <c r="G1492" i="14"/>
  <c r="G1493" i="14"/>
  <c r="G1494" i="14"/>
  <c r="G1495" i="14"/>
  <c r="G1496" i="14"/>
  <c r="G1497" i="14"/>
  <c r="G1498" i="14"/>
  <c r="G1499" i="14"/>
  <c r="G1500" i="14"/>
  <c r="G1501" i="14"/>
  <c r="G1502" i="14"/>
  <c r="G1503" i="14"/>
  <c r="G1504" i="14"/>
  <c r="G1505" i="14"/>
  <c r="G1506" i="14"/>
  <c r="G1507" i="14"/>
  <c r="G1508" i="14"/>
  <c r="G1509" i="14"/>
  <c r="G1510" i="14"/>
  <c r="G1511" i="14"/>
  <c r="G1512" i="14"/>
  <c r="G1513" i="14"/>
  <c r="G1514" i="14"/>
  <c r="G1515" i="14"/>
  <c r="G1516" i="14"/>
  <c r="G1517" i="14"/>
  <c r="G1518" i="14"/>
  <c r="G1519" i="14"/>
  <c r="G1520" i="14"/>
  <c r="G1521" i="14"/>
  <c r="G1522" i="14"/>
  <c r="G1523" i="14"/>
  <c r="G1524" i="14"/>
  <c r="G1525" i="14"/>
  <c r="G1526" i="14"/>
  <c r="G1527" i="14"/>
  <c r="G1528" i="14"/>
  <c r="G1529" i="14"/>
  <c r="G1530" i="14"/>
  <c r="G1531" i="14"/>
  <c r="G1532" i="14"/>
  <c r="G1533" i="14"/>
  <c r="G1534" i="14"/>
  <c r="G1535" i="14"/>
  <c r="G1536" i="14"/>
  <c r="G1537" i="14"/>
  <c r="G1538" i="14"/>
  <c r="G1539" i="14"/>
  <c r="G1540" i="14"/>
  <c r="G1541" i="14"/>
  <c r="G1542" i="14"/>
  <c r="G1543" i="14"/>
  <c r="G1544" i="14"/>
  <c r="G1545" i="14"/>
  <c r="G1546" i="14"/>
  <c r="G1547" i="14"/>
  <c r="G1548" i="14"/>
  <c r="G1549" i="14"/>
  <c r="G1550" i="14"/>
  <c r="G1551" i="14"/>
  <c r="G1552" i="14"/>
  <c r="G1553" i="14"/>
  <c r="G1554" i="14"/>
  <c r="G1555" i="14"/>
  <c r="G1556" i="14"/>
  <c r="G1557" i="14"/>
  <c r="G1558" i="14"/>
  <c r="G1559" i="14"/>
  <c r="G1560" i="14"/>
  <c r="G1561" i="14"/>
  <c r="G1562" i="14"/>
  <c r="G1563" i="14"/>
  <c r="G1564" i="14"/>
  <c r="G1565" i="14"/>
  <c r="G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1" i="14"/>
  <c r="C812" i="14"/>
  <c r="C813" i="14"/>
  <c r="C814" i="14"/>
  <c r="C815" i="14"/>
  <c r="C816" i="14"/>
  <c r="C817" i="14"/>
  <c r="C818" i="14"/>
  <c r="C819" i="14"/>
  <c r="C820" i="14"/>
  <c r="C821" i="14"/>
  <c r="C822" i="14"/>
  <c r="C823" i="14"/>
  <c r="C824" i="14"/>
  <c r="C825" i="14"/>
  <c r="C826" i="14"/>
  <c r="C827" i="14"/>
  <c r="C828" i="14"/>
  <c r="C829" i="14"/>
  <c r="C830" i="14"/>
  <c r="C831" i="14"/>
  <c r="C832" i="14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C857" i="14"/>
  <c r="C858" i="14"/>
  <c r="C859" i="14"/>
  <c r="C860" i="14"/>
  <c r="C861" i="14"/>
  <c r="C862" i="14"/>
  <c r="C863" i="14"/>
  <c r="C864" i="14"/>
  <c r="C865" i="14"/>
  <c r="C866" i="14"/>
  <c r="C867" i="14"/>
  <c r="C868" i="14"/>
  <c r="C869" i="14"/>
  <c r="C870" i="14"/>
  <c r="C871" i="14"/>
  <c r="C872" i="14"/>
  <c r="C873" i="14"/>
  <c r="C874" i="14"/>
  <c r="C875" i="14"/>
  <c r="C876" i="14"/>
  <c r="C877" i="14"/>
  <c r="C878" i="14"/>
  <c r="C879" i="14"/>
  <c r="C880" i="14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C905" i="14"/>
  <c r="C906" i="14"/>
  <c r="C907" i="14"/>
  <c r="C908" i="14"/>
  <c r="C909" i="14"/>
  <c r="C910" i="14"/>
  <c r="C911" i="14"/>
  <c r="C912" i="14"/>
  <c r="C913" i="14"/>
  <c r="C914" i="14"/>
  <c r="C915" i="14"/>
  <c r="C916" i="14"/>
  <c r="C917" i="14"/>
  <c r="C918" i="14"/>
  <c r="C919" i="14"/>
  <c r="C920" i="14"/>
  <c r="C921" i="14"/>
  <c r="C922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6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991" i="14"/>
  <c r="C992" i="14"/>
  <c r="C993" i="14"/>
  <c r="C994" i="14"/>
  <c r="C995" i="14"/>
  <c r="C996" i="14"/>
  <c r="C997" i="14"/>
  <c r="C998" i="14"/>
  <c r="C999" i="14"/>
  <c r="C1000" i="14"/>
  <c r="C1001" i="14"/>
  <c r="C1002" i="14"/>
  <c r="C1003" i="14"/>
  <c r="C1004" i="14"/>
  <c r="C1005" i="14"/>
  <c r="C1006" i="14"/>
  <c r="C1007" i="14"/>
  <c r="C1008" i="14"/>
  <c r="C1009" i="14"/>
  <c r="C1010" i="14"/>
  <c r="C1011" i="14"/>
  <c r="C1012" i="14"/>
  <c r="C1013" i="14"/>
  <c r="C1014" i="14"/>
  <c r="C1015" i="14"/>
  <c r="C1016" i="14"/>
  <c r="C1017" i="14"/>
  <c r="C1018" i="14"/>
  <c r="C1019" i="14"/>
  <c r="C1020" i="14"/>
  <c r="C1021" i="14"/>
  <c r="C1022" i="14"/>
  <c r="C1023" i="14"/>
  <c r="C1024" i="14"/>
  <c r="C1025" i="14"/>
  <c r="C1026" i="14"/>
  <c r="C1027" i="14"/>
  <c r="C1028" i="14"/>
  <c r="C1029" i="14"/>
  <c r="C1030" i="14"/>
  <c r="C1031" i="14"/>
  <c r="C1032" i="14"/>
  <c r="C1033" i="14"/>
  <c r="C1034" i="14"/>
  <c r="C1035" i="14"/>
  <c r="C1036" i="14"/>
  <c r="C1037" i="14"/>
  <c r="C1038" i="14"/>
  <c r="C1039" i="14"/>
  <c r="C1040" i="14"/>
  <c r="C1041" i="14"/>
  <c r="C1042" i="14"/>
  <c r="C1043" i="14"/>
  <c r="C1044" i="14"/>
  <c r="C1045" i="14"/>
  <c r="C1046" i="14"/>
  <c r="C1047" i="14"/>
  <c r="C1048" i="14"/>
  <c r="C1049" i="14"/>
  <c r="C1050" i="14"/>
  <c r="C1051" i="14"/>
  <c r="C1052" i="14"/>
  <c r="C1053" i="14"/>
  <c r="C1054" i="14"/>
  <c r="C1055" i="14"/>
  <c r="C1056" i="14"/>
  <c r="C1057" i="14"/>
  <c r="C1058" i="14"/>
  <c r="C1059" i="14"/>
  <c r="C1060" i="14"/>
  <c r="C1061" i="14"/>
  <c r="C1062" i="14"/>
  <c r="C1063" i="14"/>
  <c r="C1064" i="14"/>
  <c r="C1065" i="14"/>
  <c r="C1066" i="14"/>
  <c r="C1067" i="14"/>
  <c r="C1068" i="14"/>
  <c r="C1069" i="14"/>
  <c r="C1070" i="14"/>
  <c r="C1071" i="14"/>
  <c r="C1072" i="14"/>
  <c r="C1073" i="14"/>
  <c r="C1074" i="14"/>
  <c r="C1075" i="14"/>
  <c r="C1076" i="14"/>
  <c r="C1077" i="14"/>
  <c r="C1078" i="14"/>
  <c r="C1079" i="14"/>
  <c r="C1080" i="14"/>
  <c r="C1081" i="14"/>
  <c r="C1082" i="14"/>
  <c r="C1083" i="14"/>
  <c r="C1084" i="14"/>
  <c r="C1085" i="14"/>
  <c r="C1086" i="14"/>
  <c r="C1087" i="14"/>
  <c r="C1088" i="14"/>
  <c r="C1089" i="14"/>
  <c r="C1090" i="14"/>
  <c r="C1091" i="14"/>
  <c r="C1092" i="14"/>
  <c r="C1093" i="14"/>
  <c r="C1094" i="14"/>
  <c r="C1095" i="14"/>
  <c r="C1096" i="14"/>
  <c r="C1097" i="14"/>
  <c r="C1098" i="14"/>
  <c r="C1099" i="14"/>
  <c r="C1100" i="14"/>
  <c r="C1101" i="14"/>
  <c r="C1102" i="14"/>
  <c r="C1103" i="14"/>
  <c r="C1104" i="14"/>
  <c r="C1105" i="14"/>
  <c r="C1106" i="14"/>
  <c r="C1107" i="14"/>
  <c r="C1108" i="14"/>
  <c r="C1109" i="14"/>
  <c r="C1110" i="14"/>
  <c r="C1111" i="14"/>
  <c r="C1112" i="14"/>
  <c r="C1113" i="14"/>
  <c r="C1114" i="14"/>
  <c r="C1115" i="14"/>
  <c r="C1116" i="14"/>
  <c r="C1117" i="14"/>
  <c r="C1118" i="14"/>
  <c r="C1119" i="14"/>
  <c r="C1120" i="14"/>
  <c r="C1121" i="14"/>
  <c r="C1122" i="14"/>
  <c r="C1123" i="14"/>
  <c r="C1124" i="14"/>
  <c r="C1125" i="14"/>
  <c r="C1126" i="14"/>
  <c r="C1127" i="14"/>
  <c r="C1128" i="14"/>
  <c r="C1129" i="14"/>
  <c r="C1130" i="14"/>
  <c r="C1131" i="14"/>
  <c r="C1132" i="14"/>
  <c r="C1133" i="14"/>
  <c r="C1134" i="14"/>
  <c r="C1135" i="14"/>
  <c r="C1136" i="14"/>
  <c r="C1137" i="14"/>
  <c r="C1138" i="14"/>
  <c r="C1139" i="14"/>
  <c r="C1140" i="14"/>
  <c r="C1141" i="14"/>
  <c r="C1142" i="14"/>
  <c r="C1143" i="14"/>
  <c r="C1144" i="14"/>
  <c r="C1145" i="14"/>
  <c r="C1146" i="14"/>
  <c r="C1147" i="14"/>
  <c r="C1148" i="14"/>
  <c r="C1149" i="14"/>
  <c r="C1150" i="14"/>
  <c r="C1151" i="14"/>
  <c r="C1152" i="14"/>
  <c r="C1153" i="14"/>
  <c r="C1154" i="14"/>
  <c r="C1155" i="14"/>
  <c r="C1156" i="14"/>
  <c r="C1157" i="14"/>
  <c r="C1158" i="14"/>
  <c r="C1159" i="14"/>
  <c r="C1160" i="14"/>
  <c r="C1161" i="14"/>
  <c r="C1162" i="14"/>
  <c r="C1163" i="14"/>
  <c r="C1164" i="14"/>
  <c r="C1165" i="14"/>
  <c r="C1166" i="14"/>
  <c r="C1167" i="14"/>
  <c r="C1168" i="14"/>
  <c r="C1169" i="14"/>
  <c r="C1170" i="14"/>
  <c r="C1171" i="14"/>
  <c r="C1172" i="14"/>
  <c r="C1173" i="14"/>
  <c r="C1174" i="14"/>
  <c r="C1175" i="14"/>
  <c r="C1176" i="14"/>
  <c r="C1177" i="14"/>
  <c r="C1178" i="14"/>
  <c r="C1179" i="14"/>
  <c r="C1180" i="14"/>
  <c r="C1181" i="14"/>
  <c r="C1182" i="14"/>
  <c r="C1183" i="14"/>
  <c r="C1184" i="14"/>
  <c r="C1185" i="14"/>
  <c r="C1186" i="14"/>
  <c r="C1187" i="14"/>
  <c r="C1188" i="14"/>
  <c r="C1189" i="14"/>
  <c r="C1190" i="14"/>
  <c r="C1191" i="14"/>
  <c r="C1192" i="14"/>
  <c r="C1193" i="14"/>
  <c r="C1194" i="14"/>
  <c r="C1195" i="14"/>
  <c r="C1196" i="14"/>
  <c r="C1197" i="14"/>
  <c r="C1198" i="14"/>
  <c r="C1199" i="14"/>
  <c r="C1200" i="14"/>
  <c r="C1201" i="14"/>
  <c r="C1202" i="14"/>
  <c r="C1203" i="14"/>
  <c r="C1204" i="14"/>
  <c r="C1205" i="14"/>
  <c r="C1206" i="14"/>
  <c r="C1207" i="14"/>
  <c r="C1208" i="14"/>
  <c r="C1209" i="14"/>
  <c r="C1210" i="14"/>
  <c r="C1211" i="14"/>
  <c r="C1212" i="14"/>
  <c r="C1213" i="14"/>
  <c r="C1214" i="14"/>
  <c r="C1215" i="14"/>
  <c r="C1216" i="14"/>
  <c r="C1217" i="14"/>
  <c r="C1218" i="14"/>
  <c r="C1219" i="14"/>
  <c r="C1220" i="14"/>
  <c r="C1221" i="14"/>
  <c r="C1222" i="14"/>
  <c r="C1223" i="14"/>
  <c r="C1224" i="14"/>
  <c r="C1225" i="14"/>
  <c r="C1226" i="14"/>
  <c r="C1227" i="14"/>
  <c r="C1228" i="14"/>
  <c r="C1229" i="14"/>
  <c r="C1230" i="14"/>
  <c r="C1231" i="14"/>
  <c r="C1232" i="14"/>
  <c r="C1233" i="14"/>
  <c r="C1234" i="14"/>
  <c r="C1235" i="14"/>
  <c r="C1236" i="14"/>
  <c r="C1237" i="14"/>
  <c r="C1238" i="14"/>
  <c r="C1239" i="14"/>
  <c r="C1240" i="14"/>
  <c r="C1241" i="14"/>
  <c r="C1242" i="14"/>
  <c r="C1243" i="14"/>
  <c r="C1244" i="14"/>
  <c r="C1245" i="14"/>
  <c r="C1246" i="14"/>
  <c r="C1247" i="14"/>
  <c r="C1248" i="14"/>
  <c r="C1249" i="14"/>
  <c r="C1250" i="14"/>
  <c r="C1251" i="14"/>
  <c r="C1252" i="14"/>
  <c r="C1253" i="14"/>
  <c r="C1254" i="14"/>
  <c r="C1255" i="14"/>
  <c r="C1256" i="14"/>
  <c r="C1257" i="14"/>
  <c r="C1258" i="14"/>
  <c r="C1259" i="14"/>
  <c r="C1260" i="14"/>
  <c r="C1261" i="14"/>
  <c r="C1262" i="14"/>
  <c r="C1263" i="14"/>
  <c r="C1264" i="14"/>
  <c r="C1265" i="14"/>
  <c r="C1266" i="14"/>
  <c r="C1267" i="14"/>
  <c r="C1268" i="14"/>
  <c r="C1269" i="14"/>
  <c r="C1270" i="14"/>
  <c r="C1271" i="14"/>
  <c r="C1272" i="14"/>
  <c r="C1273" i="14"/>
  <c r="C1274" i="14"/>
  <c r="C1275" i="14"/>
  <c r="C1276" i="14"/>
  <c r="C1277" i="14"/>
  <c r="C1278" i="14"/>
  <c r="C1279" i="14"/>
  <c r="C1280" i="14"/>
  <c r="C1281" i="14"/>
  <c r="C1282" i="14"/>
  <c r="C1283" i="14"/>
  <c r="C1284" i="14"/>
  <c r="C1285" i="14"/>
  <c r="C1286" i="14"/>
  <c r="C1287" i="14"/>
  <c r="C1288" i="14"/>
  <c r="C1289" i="14"/>
  <c r="C1290" i="14"/>
  <c r="C1291" i="14"/>
  <c r="C1292" i="14"/>
  <c r="C1293" i="14"/>
  <c r="C1294" i="14"/>
  <c r="C1295" i="14"/>
  <c r="C1296" i="14"/>
  <c r="C1297" i="14"/>
  <c r="C1298" i="14"/>
  <c r="C1299" i="14"/>
  <c r="C1300" i="14"/>
  <c r="C1301" i="14"/>
  <c r="C1302" i="14"/>
  <c r="C1303" i="14"/>
  <c r="C1304" i="14"/>
  <c r="C1305" i="14"/>
  <c r="C1306" i="14"/>
  <c r="C1307" i="14"/>
  <c r="C1308" i="14"/>
  <c r="C1309" i="14"/>
  <c r="C1310" i="14"/>
  <c r="C1311" i="14"/>
  <c r="C1312" i="14"/>
  <c r="C1313" i="14"/>
  <c r="C1314" i="14"/>
  <c r="C1315" i="14"/>
  <c r="C1316" i="14"/>
  <c r="C1317" i="14"/>
  <c r="C1318" i="14"/>
  <c r="C1319" i="14"/>
  <c r="C1320" i="14"/>
  <c r="C1321" i="14"/>
  <c r="C1322" i="14"/>
  <c r="C1323" i="14"/>
  <c r="C1324" i="14"/>
  <c r="C1325" i="14"/>
  <c r="C1326" i="14"/>
  <c r="C1327" i="14"/>
  <c r="C1328" i="14"/>
  <c r="C1329" i="14"/>
  <c r="C1330" i="14"/>
  <c r="C1331" i="14"/>
  <c r="C1332" i="14"/>
  <c r="C1333" i="14"/>
  <c r="C1334" i="14"/>
  <c r="C1335" i="14"/>
  <c r="C1336" i="14"/>
  <c r="C1337" i="14"/>
  <c r="C1338" i="14"/>
  <c r="C1339" i="14"/>
  <c r="C1340" i="14"/>
  <c r="C1341" i="14"/>
  <c r="C1342" i="14"/>
  <c r="C1343" i="14"/>
  <c r="C1344" i="14"/>
  <c r="C1345" i="14"/>
  <c r="C1346" i="14"/>
  <c r="C1347" i="14"/>
  <c r="C1348" i="14"/>
  <c r="C1349" i="14"/>
  <c r="C1350" i="14"/>
  <c r="C1351" i="14"/>
  <c r="C1352" i="14"/>
  <c r="C1353" i="14"/>
  <c r="C1354" i="14"/>
  <c r="C1355" i="14"/>
  <c r="C1356" i="14"/>
  <c r="C1357" i="14"/>
  <c r="C1358" i="14"/>
  <c r="C1359" i="14"/>
  <c r="C1360" i="14"/>
  <c r="C1361" i="14"/>
  <c r="C1362" i="14"/>
  <c r="C1363" i="14"/>
  <c r="C1364" i="14"/>
  <c r="C1365" i="14"/>
  <c r="C1366" i="14"/>
  <c r="C1367" i="14"/>
  <c r="C1368" i="14"/>
  <c r="C1369" i="14"/>
  <c r="C1370" i="14"/>
  <c r="C1371" i="14"/>
  <c r="C1372" i="14"/>
  <c r="C1373" i="14"/>
  <c r="C1374" i="14"/>
  <c r="C1375" i="14"/>
  <c r="C1376" i="14"/>
  <c r="C1377" i="14"/>
  <c r="C1378" i="14"/>
  <c r="C1379" i="14"/>
  <c r="C1380" i="14"/>
  <c r="C1381" i="14"/>
  <c r="C1382" i="14"/>
  <c r="C1383" i="14"/>
  <c r="C1384" i="14"/>
  <c r="C1385" i="14"/>
  <c r="C1386" i="14"/>
  <c r="C1387" i="14"/>
  <c r="C1388" i="14"/>
  <c r="C1389" i="14"/>
  <c r="C1390" i="14"/>
  <c r="C1391" i="14"/>
  <c r="C1392" i="14"/>
  <c r="C1393" i="14"/>
  <c r="C1394" i="14"/>
  <c r="C1395" i="14"/>
  <c r="C1396" i="14"/>
  <c r="C1397" i="14"/>
  <c r="C1398" i="14"/>
  <c r="C1399" i="14"/>
  <c r="C1400" i="14"/>
  <c r="C1401" i="14"/>
  <c r="C1402" i="14"/>
  <c r="C1403" i="14"/>
  <c r="C1404" i="14"/>
  <c r="C1405" i="14"/>
  <c r="C1406" i="14"/>
  <c r="C1407" i="14"/>
  <c r="C1408" i="14"/>
  <c r="C1409" i="14"/>
  <c r="C1410" i="14"/>
  <c r="C1411" i="14"/>
  <c r="C1412" i="14"/>
  <c r="C1413" i="14"/>
  <c r="C1414" i="14"/>
  <c r="C1415" i="14"/>
  <c r="C1416" i="14"/>
  <c r="C1417" i="14"/>
  <c r="C1418" i="14"/>
  <c r="C1419" i="14"/>
  <c r="C1420" i="14"/>
  <c r="C1421" i="14"/>
  <c r="C1422" i="14"/>
  <c r="C1423" i="14"/>
  <c r="C1424" i="14"/>
  <c r="C1425" i="14"/>
  <c r="C1426" i="14"/>
  <c r="C1427" i="14"/>
  <c r="C1428" i="14"/>
  <c r="C1429" i="14"/>
  <c r="C1430" i="14"/>
  <c r="C1431" i="14"/>
  <c r="C1432" i="14"/>
  <c r="C1433" i="14"/>
  <c r="C1434" i="14"/>
  <c r="C1435" i="14"/>
  <c r="C1436" i="14"/>
  <c r="C1437" i="14"/>
  <c r="C1438" i="14"/>
  <c r="C1439" i="14"/>
  <c r="C1440" i="14"/>
  <c r="C1441" i="14"/>
  <c r="C1442" i="14"/>
  <c r="C1443" i="14"/>
  <c r="C1444" i="14"/>
  <c r="C1445" i="14"/>
  <c r="C1446" i="14"/>
  <c r="C1447" i="14"/>
  <c r="C1448" i="14"/>
  <c r="C1449" i="14"/>
  <c r="C1450" i="14"/>
  <c r="C1451" i="14"/>
  <c r="C1452" i="14"/>
  <c r="C1453" i="14"/>
  <c r="C1454" i="14"/>
  <c r="C1455" i="14"/>
  <c r="C1456" i="14"/>
  <c r="C1457" i="14"/>
  <c r="C1458" i="14"/>
  <c r="C1459" i="14"/>
  <c r="C1460" i="14"/>
  <c r="C1461" i="14"/>
  <c r="C1462" i="14"/>
  <c r="C1463" i="14"/>
  <c r="C1464" i="14"/>
  <c r="C1465" i="14"/>
  <c r="C1466" i="14"/>
  <c r="C1467" i="14"/>
  <c r="C1468" i="14"/>
  <c r="C1469" i="14"/>
  <c r="C1470" i="14"/>
  <c r="C1471" i="14"/>
  <c r="C1472" i="14"/>
  <c r="C1473" i="14"/>
  <c r="C1474" i="14"/>
  <c r="C1475" i="14"/>
  <c r="C1476" i="14"/>
  <c r="C1477" i="14"/>
  <c r="C1478" i="14"/>
  <c r="C1479" i="14"/>
  <c r="C1480" i="14"/>
  <c r="C1481" i="14"/>
  <c r="C1482" i="14"/>
  <c r="C1483" i="14"/>
  <c r="C1484" i="14"/>
  <c r="C1485" i="14"/>
  <c r="C1486" i="14"/>
  <c r="C1487" i="14"/>
  <c r="C1488" i="14"/>
  <c r="C1489" i="14"/>
  <c r="C1490" i="14"/>
  <c r="C1491" i="14"/>
  <c r="C1492" i="14"/>
  <c r="C1493" i="14"/>
  <c r="C1494" i="14"/>
  <c r="C1495" i="14"/>
  <c r="C1496" i="14"/>
  <c r="C1497" i="14"/>
  <c r="C1498" i="14"/>
  <c r="C1499" i="14"/>
  <c r="C1500" i="14"/>
  <c r="C1501" i="14"/>
  <c r="C1502" i="14"/>
  <c r="C1503" i="14"/>
  <c r="C1504" i="14"/>
  <c r="C1505" i="14"/>
  <c r="C1506" i="14"/>
  <c r="C1507" i="14"/>
  <c r="C1508" i="14"/>
  <c r="C1509" i="14"/>
  <c r="C1510" i="14"/>
  <c r="C1511" i="14"/>
  <c r="C1512" i="14"/>
  <c r="C1513" i="14"/>
  <c r="C1514" i="14"/>
  <c r="C1515" i="14"/>
  <c r="C1516" i="14"/>
  <c r="C1517" i="14"/>
  <c r="C1518" i="14"/>
  <c r="C1519" i="14"/>
  <c r="C1520" i="14"/>
  <c r="C1521" i="14"/>
  <c r="C1522" i="14"/>
  <c r="C1523" i="14"/>
  <c r="C1524" i="14"/>
  <c r="C1525" i="14"/>
  <c r="C1526" i="14"/>
  <c r="C1527" i="14"/>
  <c r="C1528" i="14"/>
  <c r="C1529" i="14"/>
  <c r="C1530" i="14"/>
  <c r="C1531" i="14"/>
  <c r="C1532" i="14"/>
  <c r="C1533" i="14"/>
  <c r="C1534" i="14"/>
  <c r="C1535" i="14"/>
  <c r="C1536" i="14"/>
  <c r="C1537" i="14"/>
  <c r="C1538" i="14"/>
  <c r="C1539" i="14"/>
  <c r="C1540" i="14"/>
  <c r="C1541" i="14"/>
  <c r="C1542" i="14"/>
  <c r="C1543" i="14"/>
  <c r="C1544" i="14"/>
  <c r="C1545" i="14"/>
  <c r="C1546" i="14"/>
  <c r="C1547" i="14"/>
  <c r="C1548" i="14"/>
  <c r="C1549" i="14"/>
  <c r="C1550" i="14"/>
  <c r="C1551" i="14"/>
  <c r="C1552" i="14"/>
  <c r="C1553" i="14"/>
  <c r="C1554" i="14"/>
  <c r="C1555" i="14"/>
  <c r="C1556" i="14"/>
  <c r="C1557" i="14"/>
  <c r="C1558" i="14"/>
  <c r="C1559" i="14"/>
  <c r="C1560" i="14"/>
  <c r="C1561" i="14"/>
  <c r="C1562" i="14"/>
  <c r="C1563" i="14"/>
  <c r="C1564" i="14"/>
  <c r="C1565" i="14"/>
  <c r="C123" i="14"/>
  <c r="C122" i="14"/>
  <c r="C736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38" i="1"/>
  <c r="C73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3" i="1"/>
  <c r="H739" i="1"/>
  <c r="H732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R7" i="13" l="1"/>
  <c r="Q7" i="13"/>
  <c r="R3" i="13" a="1"/>
  <c r="R3" i="13" s="1"/>
  <c r="AE3" i="13" a="1"/>
  <c r="AE3" i="13" s="1"/>
  <c r="AE4" i="13" a="1"/>
  <c r="AE4" i="13" s="1"/>
  <c r="AE5" i="13" a="1"/>
  <c r="AE5" i="13" s="1"/>
  <c r="AE6" i="13" a="1"/>
  <c r="AE6" i="13" s="1"/>
  <c r="AE7" i="13" a="1"/>
  <c r="AE7" i="13"/>
  <c r="AE8" i="13" a="1"/>
  <c r="AE8" i="13"/>
  <c r="AE9" i="13" a="1"/>
  <c r="AE9" i="13" s="1"/>
  <c r="AE10" i="13" a="1"/>
  <c r="AE10" i="13" s="1"/>
  <c r="AE11" i="13" a="1"/>
  <c r="AE11" i="13" s="1"/>
  <c r="AE12" i="13" a="1"/>
  <c r="AE12" i="13" s="1"/>
  <c r="AE13" i="13" a="1"/>
  <c r="AE13" i="13"/>
  <c r="AE14" i="13" a="1"/>
  <c r="AE14" i="13"/>
  <c r="AE15" i="13" a="1"/>
  <c r="AE15" i="13" s="1"/>
  <c r="AE16" i="13" a="1"/>
  <c r="AE16" i="13" s="1"/>
  <c r="AE17" i="13" a="1"/>
  <c r="AE17" i="13" s="1"/>
  <c r="AE18" i="13" a="1"/>
  <c r="AE18" i="13" s="1"/>
  <c r="AE19" i="13" a="1"/>
  <c r="AE19" i="13"/>
  <c r="AE20" i="13" a="1"/>
  <c r="AE20" i="13"/>
  <c r="AE21" i="13" a="1"/>
  <c r="AE21" i="13" s="1"/>
  <c r="AE22" i="13" a="1"/>
  <c r="AE22" i="13" s="1"/>
  <c r="AE23" i="13" a="1"/>
  <c r="AE23" i="13" s="1"/>
  <c r="AE24" i="13" a="1"/>
  <c r="AE24" i="13" s="1"/>
  <c r="AE25" i="13" a="1"/>
  <c r="AE25" i="13"/>
  <c r="AE26" i="13" a="1"/>
  <c r="AE26" i="13"/>
  <c r="AE27" i="13" a="1"/>
  <c r="AE27" i="13" s="1"/>
  <c r="AE28" i="13" a="1"/>
  <c r="AE28" i="13" s="1"/>
  <c r="AE29" i="13" a="1"/>
  <c r="AE29" i="13" s="1"/>
  <c r="AE30" i="13" a="1"/>
  <c r="AE30" i="13" s="1"/>
  <c r="AE31" i="13" a="1"/>
  <c r="AE31" i="13"/>
  <c r="AE32" i="13" a="1"/>
  <c r="AE32" i="13"/>
  <c r="AE33" i="13" a="1"/>
  <c r="AE33" i="13" s="1"/>
  <c r="AE34" i="13" a="1"/>
  <c r="AE34" i="13" s="1"/>
  <c r="AE35" i="13" a="1"/>
  <c r="AE35" i="13" s="1"/>
  <c r="AE36" i="13" a="1"/>
  <c r="AE36" i="13" s="1"/>
  <c r="AE37" i="13" a="1"/>
  <c r="AE37" i="13"/>
  <c r="AE38" i="13" a="1"/>
  <c r="AE38" i="13"/>
  <c r="AE39" i="13" a="1"/>
  <c r="AE39" i="13" s="1"/>
  <c r="AE40" i="13" a="1"/>
  <c r="AE40" i="13" s="1"/>
  <c r="AE41" i="13" a="1"/>
  <c r="AE41" i="13" s="1"/>
  <c r="AE42" i="13" a="1"/>
  <c r="AE42" i="13" s="1"/>
  <c r="AE43" i="13" a="1"/>
  <c r="AE43" i="13"/>
  <c r="AE44" i="13" a="1"/>
  <c r="AE44" i="13"/>
  <c r="AE45" i="13" a="1"/>
  <c r="AE45" i="13" s="1"/>
  <c r="AE46" i="13" a="1"/>
  <c r="AE46" i="13" s="1"/>
  <c r="AE47" i="13" a="1"/>
  <c r="AE47" i="13" s="1"/>
  <c r="AE48" i="13" a="1"/>
  <c r="AE48" i="13" s="1"/>
  <c r="AE49" i="13" a="1"/>
  <c r="AE49" i="13"/>
  <c r="AE50" i="13" a="1"/>
  <c r="AE50" i="13"/>
  <c r="AE51" i="13" a="1"/>
  <c r="AE51" i="13" s="1"/>
  <c r="AE52" i="13" a="1"/>
  <c r="AE52" i="13" s="1"/>
  <c r="AE53" i="13" a="1"/>
  <c r="AE53" i="13" s="1"/>
  <c r="AE54" i="13" a="1"/>
  <c r="AE54" i="13" s="1"/>
  <c r="AE55" i="13" a="1"/>
  <c r="AE55" i="13"/>
  <c r="AE56" i="13" a="1"/>
  <c r="AE56" i="13"/>
  <c r="AE57" i="13" a="1"/>
  <c r="AE57" i="13" s="1"/>
  <c r="AE58" i="13" a="1"/>
  <c r="AE58" i="13" s="1"/>
  <c r="AE59" i="13" a="1"/>
  <c r="AE59" i="13" s="1"/>
  <c r="AE60" i="13" a="1"/>
  <c r="AE60" i="13" s="1"/>
  <c r="AE61" i="13" a="1"/>
  <c r="AE61" i="13"/>
  <c r="AE62" i="13" a="1"/>
  <c r="AE62" i="13"/>
  <c r="AE63" i="13" a="1"/>
  <c r="AE63" i="13" s="1"/>
  <c r="AE64" i="13" a="1"/>
  <c r="AE64" i="13" s="1"/>
  <c r="AE65" i="13" a="1"/>
  <c r="AE65" i="13" s="1"/>
  <c r="AE66" i="13" a="1"/>
  <c r="AE66" i="13" s="1"/>
  <c r="AE67" i="13" a="1"/>
  <c r="AE67" i="13"/>
  <c r="AE68" i="13" a="1"/>
  <c r="AE68" i="13"/>
  <c r="AE69" i="13" a="1"/>
  <c r="AE69" i="13" s="1"/>
  <c r="AE70" i="13" a="1"/>
  <c r="AE70" i="13" s="1"/>
  <c r="AE71" i="13" a="1"/>
  <c r="AE71" i="13" s="1"/>
  <c r="AE72" i="13" a="1"/>
  <c r="AE72" i="13" s="1"/>
  <c r="AE73" i="13" a="1"/>
  <c r="AE73" i="13"/>
  <c r="AE74" i="13" a="1"/>
  <c r="AE74" i="13"/>
  <c r="AE75" i="13" a="1"/>
  <c r="AE75" i="13" s="1"/>
  <c r="AE76" i="13" a="1"/>
  <c r="AE76" i="13" s="1"/>
  <c r="AE77" i="13" a="1"/>
  <c r="AE77" i="13" s="1"/>
  <c r="AE78" i="13" a="1"/>
  <c r="AE78" i="13" s="1"/>
  <c r="AE79" i="13" a="1"/>
  <c r="AE79" i="13"/>
  <c r="AE80" i="13" a="1"/>
  <c r="AE80" i="13"/>
  <c r="AE81" i="13" a="1"/>
  <c r="AE81" i="13" s="1"/>
  <c r="AE82" i="13" a="1"/>
  <c r="AE82" i="13" s="1"/>
  <c r="AE83" i="13" a="1"/>
  <c r="AE83" i="13" s="1"/>
  <c r="AE84" i="13" a="1"/>
  <c r="AE84" i="13" s="1"/>
  <c r="AE85" i="13" a="1"/>
  <c r="AE85" i="13"/>
  <c r="AE86" i="13" a="1"/>
  <c r="AE86" i="13"/>
  <c r="AE87" i="13" a="1"/>
  <c r="AE87" i="13" s="1"/>
  <c r="AE88" i="13" a="1"/>
  <c r="AE88" i="13" s="1"/>
  <c r="AE89" i="13" a="1"/>
  <c r="AE89" i="13" s="1"/>
  <c r="AE90" i="13" a="1"/>
  <c r="AE90" i="13" s="1"/>
  <c r="AE91" i="13" a="1"/>
  <c r="AE91" i="13"/>
  <c r="AE92" i="13" a="1"/>
  <c r="AE92" i="13"/>
  <c r="AE93" i="13" a="1"/>
  <c r="AE93" i="13" s="1"/>
  <c r="AE94" i="13" a="1"/>
  <c r="AE94" i="13" s="1"/>
  <c r="AE95" i="13" a="1"/>
  <c r="AE95" i="13" s="1"/>
  <c r="AE96" i="13" a="1"/>
  <c r="AE96" i="13" s="1"/>
  <c r="AE97" i="13" a="1"/>
  <c r="AE97" i="13"/>
  <c r="AE98" i="13" a="1"/>
  <c r="AE98" i="13"/>
  <c r="AE99" i="13" a="1"/>
  <c r="AE99" i="13" s="1"/>
  <c r="AE100" i="13" a="1"/>
  <c r="AE100" i="13" s="1"/>
  <c r="AE101" i="13" a="1"/>
  <c r="AE101" i="13" s="1"/>
  <c r="AE102" i="13" a="1"/>
  <c r="AE102" i="13" s="1"/>
  <c r="AE103" i="13" a="1"/>
  <c r="AE103" i="13"/>
  <c r="AE104" i="13" a="1"/>
  <c r="AE104" i="13"/>
  <c r="AE105" i="13" a="1"/>
  <c r="AE105" i="13" s="1"/>
  <c r="AE106" i="13" a="1"/>
  <c r="AE106" i="13" s="1"/>
  <c r="AE107" i="13" a="1"/>
  <c r="AE107" i="13" s="1"/>
  <c r="AE108" i="13" a="1"/>
  <c r="AE108" i="13"/>
  <c r="AE109" i="13" a="1"/>
  <c r="AE109" i="13"/>
  <c r="AE110" i="13" a="1"/>
  <c r="AE110" i="13"/>
  <c r="AE111" i="13" a="1"/>
  <c r="AE111" i="13" s="1"/>
  <c r="AE112" i="13" a="1"/>
  <c r="AE112" i="13" s="1"/>
  <c r="AE113" i="13" a="1"/>
  <c r="AE113" i="13" s="1"/>
  <c r="AE114" i="13" a="1"/>
  <c r="AE114" i="13"/>
  <c r="AE115" i="13" a="1"/>
  <c r="AE115" i="13"/>
  <c r="AE116" i="13" a="1"/>
  <c r="AE116" i="13"/>
  <c r="AE117" i="13" a="1"/>
  <c r="AE117" i="13" s="1"/>
  <c r="AE118" i="13" a="1"/>
  <c r="AE118" i="13" s="1"/>
  <c r="AE119" i="13" a="1"/>
  <c r="AE119" i="13" s="1"/>
  <c r="AE120" i="13" a="1"/>
  <c r="AE120" i="13"/>
  <c r="AE121" i="13" a="1"/>
  <c r="AE121" i="13"/>
  <c r="AE122" i="13" a="1"/>
  <c r="AE122" i="13"/>
  <c r="AE123" i="13" a="1"/>
  <c r="AE123" i="13" s="1"/>
  <c r="AE124" i="13" a="1"/>
  <c r="AE124" i="13" s="1"/>
  <c r="AE125" i="13" a="1"/>
  <c r="AE125" i="13" s="1"/>
  <c r="AE126" i="13" a="1"/>
  <c r="AE126" i="13"/>
  <c r="AE127" i="13" a="1"/>
  <c r="AE127" i="13"/>
  <c r="AE128" i="13" a="1"/>
  <c r="AE128" i="13"/>
  <c r="AE129" i="13" a="1"/>
  <c r="AE129" i="13" s="1"/>
  <c r="AE130" i="13" a="1"/>
  <c r="AE130" i="13" s="1"/>
  <c r="AE131" i="13" a="1"/>
  <c r="AE131" i="13" s="1"/>
  <c r="AE132" i="13" a="1"/>
  <c r="AE132" i="13"/>
  <c r="AE133" i="13" a="1"/>
  <c r="AE133" i="13" s="1"/>
  <c r="AE134" i="13" a="1"/>
  <c r="AE134" i="13"/>
  <c r="AE135" i="13" a="1"/>
  <c r="AE135" i="13" s="1"/>
  <c r="AE136" i="13" a="1"/>
  <c r="AE136" i="13" s="1"/>
  <c r="AE137" i="13" a="1"/>
  <c r="AE137" i="13" s="1"/>
  <c r="AE138" i="13" a="1"/>
  <c r="AE138" i="13" s="1"/>
  <c r="AE139" i="13" a="1"/>
  <c r="AE139" i="13" s="1"/>
  <c r="AE140" i="13" a="1"/>
  <c r="AE140" i="13"/>
  <c r="AE141" i="13" a="1"/>
  <c r="AE141" i="13" s="1"/>
  <c r="AE142" i="13" a="1"/>
  <c r="AE142" i="13" s="1"/>
  <c r="AE143" i="13" a="1"/>
  <c r="AE143" i="13" s="1"/>
  <c r="AE144" i="13" a="1"/>
  <c r="AE144" i="13" s="1"/>
  <c r="AE145" i="13" a="1"/>
  <c r="AE145" i="13" s="1"/>
  <c r="AE146" i="13" a="1"/>
  <c r="AE146" i="13" s="1"/>
  <c r="AE147" i="13" a="1"/>
  <c r="AE147" i="13" s="1"/>
  <c r="AE148" i="13" a="1"/>
  <c r="AE148" i="13" s="1"/>
  <c r="AE149" i="13" a="1"/>
  <c r="AE149" i="13" s="1"/>
  <c r="AE150" i="13" a="1"/>
  <c r="AE150" i="13"/>
  <c r="AE151" i="13" a="1"/>
  <c r="AE151" i="13" s="1"/>
  <c r="AE152" i="13" a="1"/>
  <c r="AE152" i="13"/>
  <c r="AE153" i="13" a="1"/>
  <c r="AE153" i="13" s="1"/>
  <c r="AE154" i="13" a="1"/>
  <c r="AE154" i="13" s="1"/>
  <c r="AE155" i="13" a="1"/>
  <c r="AE155" i="13" s="1"/>
  <c r="AE156" i="13" a="1"/>
  <c r="AE156" i="13"/>
  <c r="AE157" i="13" a="1"/>
  <c r="AE157" i="13" s="1"/>
  <c r="AE158" i="13" a="1"/>
  <c r="AE158" i="13" s="1"/>
  <c r="AE159" i="13" a="1"/>
  <c r="AE159" i="13" s="1"/>
  <c r="AE160" i="13" a="1"/>
  <c r="AE160" i="13" s="1"/>
  <c r="AE161" i="13" a="1"/>
  <c r="AE161" i="13" s="1"/>
  <c r="AE162" i="13" a="1"/>
  <c r="AE162" i="13"/>
  <c r="AE163" i="13" a="1"/>
  <c r="AE163" i="13" s="1"/>
  <c r="AE164" i="13" a="1"/>
  <c r="AE164" i="13"/>
  <c r="AE165" i="13" a="1"/>
  <c r="AE165" i="13" s="1"/>
  <c r="AE166" i="13" a="1"/>
  <c r="AE166" i="13" s="1"/>
  <c r="AE167" i="13" a="1"/>
  <c r="AE167" i="13" s="1"/>
  <c r="AE168" i="13" a="1"/>
  <c r="AE168" i="13" s="1"/>
  <c r="AE169" i="13" a="1"/>
  <c r="AE169" i="13" s="1"/>
  <c r="AE170" i="13" a="1"/>
  <c r="AE170" i="13" s="1"/>
  <c r="AE171" i="13" a="1"/>
  <c r="AE171" i="13" s="1"/>
  <c r="AE172" i="13" a="1"/>
  <c r="AE172" i="13" s="1"/>
  <c r="AE173" i="13" a="1"/>
  <c r="AE173" i="13" s="1"/>
  <c r="AE174" i="13" a="1"/>
  <c r="AE174" i="13"/>
  <c r="AE175" i="13" a="1"/>
  <c r="AE175" i="13" s="1"/>
  <c r="AE176" i="13" a="1"/>
  <c r="AE176" i="13"/>
  <c r="AE177" i="13" a="1"/>
  <c r="AE177" i="13" s="1"/>
  <c r="AE178" i="13" a="1"/>
  <c r="AE178" i="13" s="1"/>
  <c r="AE179" i="13" a="1"/>
  <c r="AE179" i="13" s="1"/>
  <c r="AE180" i="13" a="1"/>
  <c r="AE180" i="13"/>
  <c r="AE181" i="13" a="1"/>
  <c r="AE181" i="13" s="1"/>
  <c r="AE182" i="13" a="1"/>
  <c r="AE182" i="13" s="1"/>
  <c r="AE183" i="13" a="1"/>
  <c r="AE183" i="13" s="1"/>
  <c r="AE184" i="13" a="1"/>
  <c r="AE184" i="13" s="1"/>
  <c r="AE185" i="13" a="1"/>
  <c r="AE185" i="13" s="1"/>
  <c r="AE186" i="13" a="1"/>
  <c r="AE186" i="13" s="1"/>
  <c r="AE187" i="13" a="1"/>
  <c r="AE187" i="13" s="1"/>
  <c r="AE188" i="13" a="1"/>
  <c r="AE188" i="13"/>
  <c r="AE189" i="13" a="1"/>
  <c r="AE189" i="13" s="1"/>
  <c r="AE190" i="13" a="1"/>
  <c r="AE190" i="13" s="1"/>
  <c r="AE191" i="13" a="1"/>
  <c r="AE191" i="13" s="1"/>
  <c r="AE192" i="13" a="1"/>
  <c r="AE192" i="13"/>
  <c r="AE193" i="13" a="1"/>
  <c r="AE193" i="13"/>
  <c r="AE194" i="13" a="1"/>
  <c r="AE194" i="13" s="1"/>
  <c r="AE195" i="13" a="1"/>
  <c r="AE195" i="13" s="1"/>
  <c r="AE196" i="13" a="1"/>
  <c r="AE196" i="13" s="1"/>
  <c r="AE197" i="13" a="1"/>
  <c r="AE197" i="13" s="1"/>
  <c r="AE198" i="13" a="1"/>
  <c r="AE198" i="13"/>
  <c r="AE199" i="13" a="1"/>
  <c r="AE199" i="13" s="1"/>
  <c r="AE200" i="13" a="1"/>
  <c r="AE200" i="13" s="1"/>
  <c r="AE201" i="13" a="1"/>
  <c r="AE201" i="13" s="1"/>
  <c r="AE202" i="13" a="1"/>
  <c r="AE202" i="13" s="1"/>
  <c r="AE203" i="13" a="1"/>
  <c r="AE203" i="13" s="1"/>
  <c r="AE204" i="13" a="1"/>
  <c r="AE204" i="13"/>
  <c r="AE205" i="13" a="1"/>
  <c r="AE205" i="13" s="1"/>
  <c r="AE206" i="13" a="1"/>
  <c r="AE206" i="13" s="1"/>
  <c r="AE207" i="13" a="1"/>
  <c r="AE207" i="13" s="1"/>
  <c r="AE208" i="13" a="1"/>
  <c r="AE208" i="13" s="1"/>
  <c r="AE209" i="13" a="1"/>
  <c r="AE209" i="13" s="1"/>
  <c r="AE210" i="13" a="1"/>
  <c r="AE210" i="13" s="1"/>
  <c r="AE211" i="13" a="1"/>
  <c r="AE211" i="13" s="1"/>
  <c r="AE212" i="13" a="1"/>
  <c r="AE212" i="13"/>
  <c r="AE213" i="13" a="1"/>
  <c r="AE213" i="13" s="1"/>
  <c r="AE214" i="13" a="1"/>
  <c r="AE214" i="13" s="1"/>
  <c r="AE215" i="13" a="1"/>
  <c r="AE215" i="13" s="1"/>
  <c r="AE216" i="13" a="1"/>
  <c r="AE216" i="13"/>
  <c r="AE217" i="13" a="1"/>
  <c r="AE217" i="13"/>
  <c r="AE218" i="13" a="1"/>
  <c r="AE218" i="13" s="1"/>
  <c r="AE219" i="13" a="1"/>
  <c r="AE219" i="13" s="1"/>
  <c r="AE220" i="13" a="1"/>
  <c r="AE220" i="13" s="1"/>
  <c r="AE221" i="13" a="1"/>
  <c r="AE221" i="13" s="1"/>
  <c r="AE222" i="13" a="1"/>
  <c r="AE222" i="13"/>
  <c r="AE223" i="13" a="1"/>
  <c r="AE223" i="13" s="1"/>
  <c r="AE224" i="13" a="1"/>
  <c r="AE224" i="13" s="1"/>
  <c r="AE225" i="13" a="1"/>
  <c r="AE225" i="13" s="1"/>
  <c r="AE226" i="13" a="1"/>
  <c r="AE226" i="13" s="1"/>
  <c r="AE227" i="13" a="1"/>
  <c r="AE227" i="13" s="1"/>
  <c r="AE228" i="13" a="1"/>
  <c r="AE228" i="13"/>
  <c r="AE229" i="13" a="1"/>
  <c r="AE229" i="13" s="1"/>
  <c r="AE230" i="13" a="1"/>
  <c r="AE230" i="13" s="1"/>
  <c r="AE231" i="13" a="1"/>
  <c r="AE231" i="13" s="1"/>
  <c r="AE232" i="13" a="1"/>
  <c r="AE232" i="13" s="1"/>
  <c r="AE233" i="13" a="1"/>
  <c r="AE233" i="13" s="1"/>
  <c r="AE234" i="13" a="1"/>
  <c r="AE234" i="13" s="1"/>
  <c r="AE235" i="13" a="1"/>
  <c r="AE235" i="13" s="1"/>
  <c r="AE236" i="13" a="1"/>
  <c r="AE236" i="13"/>
  <c r="AE237" i="13" a="1"/>
  <c r="AE237" i="13" s="1"/>
  <c r="AE238" i="13" a="1"/>
  <c r="AE238" i="13" s="1"/>
  <c r="AE239" i="13" a="1"/>
  <c r="AE239" i="13" s="1"/>
  <c r="AE240" i="13" a="1"/>
  <c r="AE240" i="13"/>
  <c r="AE241" i="13" a="1"/>
  <c r="AE241" i="13"/>
  <c r="AE242" i="13" a="1"/>
  <c r="AE242" i="13" s="1"/>
  <c r="AE243" i="13" a="1"/>
  <c r="AE243" i="13" s="1"/>
  <c r="AE244" i="13" a="1"/>
  <c r="AE244" i="13" s="1"/>
  <c r="AE245" i="13" a="1"/>
  <c r="AE245" i="13" s="1"/>
  <c r="AE246" i="13" a="1"/>
  <c r="AE246" i="13"/>
  <c r="AE247" i="13" a="1"/>
  <c r="AE247" i="13" s="1"/>
  <c r="AE248" i="13" a="1"/>
  <c r="AE248" i="13" s="1"/>
  <c r="AE249" i="13" a="1"/>
  <c r="AE249" i="13" s="1"/>
  <c r="AE250" i="13" a="1"/>
  <c r="AE250" i="13" s="1"/>
  <c r="AE251" i="13" a="1"/>
  <c r="AE251" i="13" s="1"/>
  <c r="AE252" i="13" a="1"/>
  <c r="AE252" i="13"/>
  <c r="AE253" i="13" a="1"/>
  <c r="AE253" i="13" s="1"/>
  <c r="AE254" i="13" a="1"/>
  <c r="AE254" i="13" s="1"/>
  <c r="AE255" i="13" a="1"/>
  <c r="AE255" i="13" s="1"/>
  <c r="AE256" i="13" a="1"/>
  <c r="AE256" i="13" s="1"/>
  <c r="AE257" i="13" a="1"/>
  <c r="AE257" i="13" s="1"/>
  <c r="AE258" i="13" a="1"/>
  <c r="AE258" i="13" s="1"/>
  <c r="AE259" i="13" a="1"/>
  <c r="AE259" i="13" s="1"/>
  <c r="AE260" i="13" a="1"/>
  <c r="AE260" i="13"/>
  <c r="AE261" i="13" a="1"/>
  <c r="AE261" i="13" s="1"/>
  <c r="AE262" i="13" a="1"/>
  <c r="AE262" i="13" s="1"/>
  <c r="AE263" i="13" a="1"/>
  <c r="AE263" i="13" s="1"/>
  <c r="AE264" i="13" a="1"/>
  <c r="AE264" i="13"/>
  <c r="AE265" i="13" a="1"/>
  <c r="AE265" i="13"/>
  <c r="AE266" i="13" a="1"/>
  <c r="AE266" i="13" s="1"/>
  <c r="AE267" i="13" a="1"/>
  <c r="AE267" i="13" s="1"/>
  <c r="AE268" i="13" a="1"/>
  <c r="AE268" i="13" s="1"/>
  <c r="AE269" i="13" a="1"/>
  <c r="AE269" i="13" s="1"/>
  <c r="AE270" i="13" a="1"/>
  <c r="AE270" i="13"/>
  <c r="AE271" i="13" a="1"/>
  <c r="AE271" i="13" s="1"/>
  <c r="AE272" i="13" a="1"/>
  <c r="AE272" i="13"/>
  <c r="AE273" i="13" a="1"/>
  <c r="AE273" i="13" s="1"/>
  <c r="AE274" i="13" a="1"/>
  <c r="AE274" i="13" s="1"/>
  <c r="AE275" i="13" a="1"/>
  <c r="AE275" i="13" s="1"/>
  <c r="AE276" i="13" a="1"/>
  <c r="AE276" i="13"/>
  <c r="AE277" i="13" a="1"/>
  <c r="AE277" i="13" s="1"/>
  <c r="AE278" i="13" a="1"/>
  <c r="AE278" i="13" s="1"/>
  <c r="AE279" i="13" a="1"/>
  <c r="AE279" i="13" s="1"/>
  <c r="AE280" i="13" a="1"/>
  <c r="AE280" i="13" s="1"/>
  <c r="AE281" i="13" a="1"/>
  <c r="AE281" i="13" s="1"/>
  <c r="AE282" i="13" a="1"/>
  <c r="AE282" i="13"/>
  <c r="AE283" i="13" a="1"/>
  <c r="AE283" i="13" s="1"/>
  <c r="AE284" i="13" a="1"/>
  <c r="AE284" i="13"/>
  <c r="AE285" i="13" a="1"/>
  <c r="AE285" i="13" s="1"/>
  <c r="AE286" i="13" a="1"/>
  <c r="AE286" i="13" s="1"/>
  <c r="AE287" i="13" a="1"/>
  <c r="AE287" i="13" s="1"/>
  <c r="AE288" i="13" a="1"/>
  <c r="AE288" i="13"/>
  <c r="AE289" i="13" a="1"/>
  <c r="AE289" i="13"/>
  <c r="AE290" i="13" a="1"/>
  <c r="AE290" i="13" s="1"/>
  <c r="AE291" i="13" a="1"/>
  <c r="AE291" i="13" s="1"/>
  <c r="AE292" i="13" a="1"/>
  <c r="AE292" i="13" s="1"/>
  <c r="AE293" i="13" a="1"/>
  <c r="AE293" i="13" s="1"/>
  <c r="AE294" i="13" a="1"/>
  <c r="AE294" i="13"/>
  <c r="AE295" i="13" a="1"/>
  <c r="AE295" i="13" s="1"/>
  <c r="AE296" i="13" a="1"/>
  <c r="AE296" i="13" s="1"/>
  <c r="AE297" i="13" a="1"/>
  <c r="AE297" i="13" s="1"/>
  <c r="AE298" i="13" a="1"/>
  <c r="AE298" i="13" s="1"/>
  <c r="AE299" i="13" a="1"/>
  <c r="AE299" i="13" s="1"/>
  <c r="AE300" i="13" a="1"/>
  <c r="AE300" i="13"/>
  <c r="AE301" i="13" a="1"/>
  <c r="AE301" i="13" s="1"/>
  <c r="AE302" i="13" a="1"/>
  <c r="AE302" i="13" s="1"/>
  <c r="AE303" i="13" a="1"/>
  <c r="AE303" i="13" s="1"/>
  <c r="AE304" i="13" a="1"/>
  <c r="AE304" i="13" s="1"/>
  <c r="AE305" i="13" a="1"/>
  <c r="AE305" i="13" s="1"/>
  <c r="AE306" i="13" a="1"/>
  <c r="AE306" i="13" s="1"/>
  <c r="AE307" i="13" a="1"/>
  <c r="AE307" i="13" s="1"/>
  <c r="AE308" i="13" a="1"/>
  <c r="AE308" i="13"/>
  <c r="AE309" i="13" a="1"/>
  <c r="AE309" i="13" s="1"/>
  <c r="AE310" i="13" a="1"/>
  <c r="AE310" i="13" s="1"/>
  <c r="AE311" i="13" a="1"/>
  <c r="AE311" i="13" s="1"/>
  <c r="AE312" i="13" a="1"/>
  <c r="AE312" i="13"/>
  <c r="AE313" i="13" a="1"/>
  <c r="AE313" i="13"/>
  <c r="AE314" i="13" a="1"/>
  <c r="AE314" i="13" s="1"/>
  <c r="AE315" i="13" a="1"/>
  <c r="AE315" i="13" s="1"/>
  <c r="AE316" i="13" a="1"/>
  <c r="AE316" i="13" s="1"/>
  <c r="AE317" i="13" a="1"/>
  <c r="AE317" i="13" s="1"/>
  <c r="AE318" i="13" a="1"/>
  <c r="AE318" i="13"/>
  <c r="AE319" i="13" a="1"/>
  <c r="AE319" i="13" s="1"/>
  <c r="AE320" i="13" a="1"/>
  <c r="AE320" i="13" s="1"/>
  <c r="AE321" i="13" a="1"/>
  <c r="AE321" i="13" s="1"/>
  <c r="AE322" i="13" a="1"/>
  <c r="AE322" i="13" s="1"/>
  <c r="AE323" i="13" a="1"/>
  <c r="AE323" i="13" s="1"/>
  <c r="AE324" i="13" a="1"/>
  <c r="AE324" i="13"/>
  <c r="AE325" i="13" a="1"/>
  <c r="AE325" i="13" s="1"/>
  <c r="AE326" i="13" a="1"/>
  <c r="AE326" i="13" s="1"/>
  <c r="AE327" i="13" a="1"/>
  <c r="AE327" i="13" s="1"/>
  <c r="AE328" i="13" a="1"/>
  <c r="AE328" i="13" s="1"/>
  <c r="AE329" i="13" a="1"/>
  <c r="AE329" i="13" s="1"/>
  <c r="AE330" i="13" a="1"/>
  <c r="AE330" i="13" s="1"/>
  <c r="AE331" i="13" a="1"/>
  <c r="AE331" i="13" s="1"/>
  <c r="AE332" i="13" a="1"/>
  <c r="AE332" i="13"/>
  <c r="AE333" i="13" a="1"/>
  <c r="AE333" i="13" s="1"/>
  <c r="AE334" i="13" a="1"/>
  <c r="AE334" i="13" s="1"/>
  <c r="AE335" i="13" a="1"/>
  <c r="AE335" i="13" s="1"/>
  <c r="AE336" i="13" a="1"/>
  <c r="AE336" i="13"/>
  <c r="AE337" i="13" a="1"/>
  <c r="AE337" i="13"/>
  <c r="AE338" i="13" a="1"/>
  <c r="AE338" i="13" s="1"/>
  <c r="AE339" i="13" a="1"/>
  <c r="AE339" i="13" s="1"/>
  <c r="AE340" i="13" a="1"/>
  <c r="AE340" i="13" s="1"/>
  <c r="AE341" i="13" a="1"/>
  <c r="AE341" i="13" s="1"/>
  <c r="AE342" i="13" a="1"/>
  <c r="AE342" i="13"/>
  <c r="AE343" i="13" a="1"/>
  <c r="AE343" i="13" s="1"/>
  <c r="AE344" i="13" a="1"/>
  <c r="AE344" i="13" s="1"/>
  <c r="AE345" i="13" a="1"/>
  <c r="AE345" i="13" s="1"/>
  <c r="AE346" i="13" a="1"/>
  <c r="AE346" i="13" s="1"/>
  <c r="AE347" i="13" a="1"/>
  <c r="AE347" i="13" s="1"/>
  <c r="AE348" i="13" a="1"/>
  <c r="AE348" i="13"/>
  <c r="AE349" i="13" a="1"/>
  <c r="AE349" i="13" s="1"/>
  <c r="AE350" i="13" a="1"/>
  <c r="AE350" i="13" s="1"/>
  <c r="AE351" i="13" a="1"/>
  <c r="AE351" i="13" s="1"/>
  <c r="AE352" i="13" a="1"/>
  <c r="AE352" i="13" s="1"/>
  <c r="AE353" i="13" a="1"/>
  <c r="AE353" i="13" s="1"/>
  <c r="AE354" i="13" a="1"/>
  <c r="AE354" i="13" s="1"/>
  <c r="AE355" i="13" a="1"/>
  <c r="AE355" i="13" s="1"/>
  <c r="AE356" i="13" a="1"/>
  <c r="AE356" i="13"/>
  <c r="AE357" i="13" a="1"/>
  <c r="AE357" i="13" s="1"/>
  <c r="AE358" i="13" a="1"/>
  <c r="AE358" i="13" s="1"/>
  <c r="AE359" i="13" a="1"/>
  <c r="AE359" i="13" s="1"/>
  <c r="AE360" i="13" a="1"/>
  <c r="AE360" i="13"/>
  <c r="AE361" i="13" a="1"/>
  <c r="AE361" i="13"/>
  <c r="AE362" i="13" a="1"/>
  <c r="AE362" i="13" s="1"/>
  <c r="AE363" i="13" a="1"/>
  <c r="AE363" i="13" s="1"/>
  <c r="AE364" i="13" a="1"/>
  <c r="AE364" i="13" s="1"/>
  <c r="AE365" i="13" a="1"/>
  <c r="AE365" i="13" s="1"/>
  <c r="AE366" i="13" a="1"/>
  <c r="AE366" i="13"/>
  <c r="AE367" i="13" a="1"/>
  <c r="AE367" i="13" s="1"/>
  <c r="AE368" i="13" a="1"/>
  <c r="AE368" i="13" s="1"/>
  <c r="AE369" i="13" a="1"/>
  <c r="AE369" i="13" s="1"/>
  <c r="AE370" i="13" a="1"/>
  <c r="AE370" i="13" s="1"/>
  <c r="AE371" i="13" a="1"/>
  <c r="AE371" i="13" s="1"/>
  <c r="AE372" i="13" a="1"/>
  <c r="AE372" i="13"/>
  <c r="AE373" i="13" a="1"/>
  <c r="AE373" i="13" s="1"/>
  <c r="AE374" i="13" a="1"/>
  <c r="AE374" i="13" s="1"/>
  <c r="AE375" i="13" a="1"/>
  <c r="AE375" i="13" s="1"/>
  <c r="AE376" i="13" a="1"/>
  <c r="AE376" i="13" s="1"/>
  <c r="AE377" i="13" a="1"/>
  <c r="AE377" i="13" s="1"/>
  <c r="AE378" i="13" a="1"/>
  <c r="AE378" i="13"/>
  <c r="AE379" i="13" a="1"/>
  <c r="AE379" i="13" s="1"/>
  <c r="AE380" i="13" a="1"/>
  <c r="AE380" i="13"/>
  <c r="AE381" i="13" a="1"/>
  <c r="AE381" i="13" s="1"/>
  <c r="AE382" i="13" a="1"/>
  <c r="AE382" i="13" s="1"/>
  <c r="AE383" i="13" a="1"/>
  <c r="AE383" i="13" s="1"/>
  <c r="AE384" i="13" a="1"/>
  <c r="AE384" i="13"/>
  <c r="AE385" i="13" a="1"/>
  <c r="AE385" i="13"/>
  <c r="AE386" i="13" a="1"/>
  <c r="AE386" i="13" s="1"/>
  <c r="AE387" i="13" a="1"/>
  <c r="AE387" i="13" s="1"/>
  <c r="AE388" i="13" a="1"/>
  <c r="AE388" i="13" s="1"/>
  <c r="AE389" i="13" a="1"/>
  <c r="AE389" i="13" s="1"/>
  <c r="AE390" i="13" a="1"/>
  <c r="AE390" i="13"/>
  <c r="AE391" i="13" a="1"/>
  <c r="AE391" i="13" s="1"/>
  <c r="AE392" i="13" a="1"/>
  <c r="AE392" i="13"/>
  <c r="AE393" i="13" a="1"/>
  <c r="AE393" i="13" s="1"/>
  <c r="AE394" i="13" a="1"/>
  <c r="AE394" i="13" s="1"/>
  <c r="AE395" i="13" a="1"/>
  <c r="AE395" i="13" s="1"/>
  <c r="AE396" i="13" a="1"/>
  <c r="AE396" i="13"/>
  <c r="AE397" i="13" a="1"/>
  <c r="AE397" i="13" s="1"/>
  <c r="AE398" i="13" a="1"/>
  <c r="AE398" i="13" s="1"/>
  <c r="AE399" i="13" a="1"/>
  <c r="AE399" i="13" s="1"/>
  <c r="AE400" i="13" a="1"/>
  <c r="AE400" i="13" s="1"/>
  <c r="AE401" i="13" a="1"/>
  <c r="AE401" i="13" s="1"/>
  <c r="AE402" i="13" a="1"/>
  <c r="AE402" i="13" s="1"/>
  <c r="AE403" i="13" a="1"/>
  <c r="AE403" i="13" s="1"/>
  <c r="AE404" i="13" a="1"/>
  <c r="AE404" i="13"/>
  <c r="AE405" i="13" a="1"/>
  <c r="AE405" i="13" s="1"/>
  <c r="AE406" i="13" a="1"/>
  <c r="AE406" i="13" s="1"/>
  <c r="AE407" i="13" a="1"/>
  <c r="AE407" i="13" s="1"/>
  <c r="AE408" i="13" a="1"/>
  <c r="AE408" i="13"/>
  <c r="AE409" i="13" a="1"/>
  <c r="AE409" i="13"/>
  <c r="AE410" i="13" a="1"/>
  <c r="AE410" i="13" s="1"/>
  <c r="AE411" i="13" a="1"/>
  <c r="AE411" i="13" s="1"/>
  <c r="AE412" i="13" a="1"/>
  <c r="AE412" i="13" s="1"/>
  <c r="AE413" i="13" a="1"/>
  <c r="AE413" i="13" s="1"/>
  <c r="AE414" i="13" a="1"/>
  <c r="AE414" i="13"/>
  <c r="AE415" i="13" a="1"/>
  <c r="AE415" i="13" s="1"/>
  <c r="AE416" i="13" a="1"/>
  <c r="AE416" i="13" s="1"/>
  <c r="AE417" i="13" a="1"/>
  <c r="AE417" i="13" s="1"/>
  <c r="AE418" i="13" a="1"/>
  <c r="AE418" i="13" s="1"/>
  <c r="AE419" i="13" a="1"/>
  <c r="AE419" i="13" s="1"/>
  <c r="AE420" i="13" a="1"/>
  <c r="AE420" i="13"/>
  <c r="AE421" i="13" a="1"/>
  <c r="AE421" i="13" s="1"/>
  <c r="AE422" i="13" a="1"/>
  <c r="AE422" i="13" s="1"/>
  <c r="AE423" i="13" a="1"/>
  <c r="AE423" i="13" s="1"/>
  <c r="AE424" i="13" a="1"/>
  <c r="AE424" i="13" s="1"/>
  <c r="AE425" i="13" a="1"/>
  <c r="AE425" i="13" s="1"/>
  <c r="AE426" i="13" a="1"/>
  <c r="AE426" i="13"/>
  <c r="AE427" i="13" a="1"/>
  <c r="AE427" i="13" s="1"/>
  <c r="AE428" i="13" a="1"/>
  <c r="AE428" i="13"/>
  <c r="AE429" i="13" a="1"/>
  <c r="AE429" i="13" s="1"/>
  <c r="AE430" i="13" a="1"/>
  <c r="AE430" i="13" s="1"/>
  <c r="AE431" i="13" a="1"/>
  <c r="AE431" i="13" s="1"/>
  <c r="AE432" i="13" a="1"/>
  <c r="AE432" i="13"/>
  <c r="AE433" i="13" a="1"/>
  <c r="AE433" i="13"/>
  <c r="AE434" i="13" a="1"/>
  <c r="AE434" i="13" s="1"/>
  <c r="AE435" i="13" a="1"/>
  <c r="AE435" i="13" s="1"/>
  <c r="AE436" i="13" a="1"/>
  <c r="AE436" i="13" s="1"/>
  <c r="AE437" i="13" a="1"/>
  <c r="AE437" i="13" s="1"/>
  <c r="AE438" i="13" a="1"/>
  <c r="AE438" i="13"/>
  <c r="AE439" i="13" a="1"/>
  <c r="AE439" i="13" s="1"/>
  <c r="AE440" i="13" a="1"/>
  <c r="AE440" i="13"/>
  <c r="AE441" i="13" a="1"/>
  <c r="AE441" i="13" s="1"/>
  <c r="AE442" i="13" a="1"/>
  <c r="AE442" i="13" s="1"/>
  <c r="AE443" i="13" a="1"/>
  <c r="AE443" i="13" s="1"/>
  <c r="AE444" i="13" a="1"/>
  <c r="AE444" i="13"/>
  <c r="AE445" i="13" a="1"/>
  <c r="AE445" i="13" s="1"/>
  <c r="AE446" i="13" a="1"/>
  <c r="AE446" i="13" s="1"/>
  <c r="AE447" i="13" a="1"/>
  <c r="AE447" i="13" s="1"/>
  <c r="AE448" i="13" a="1"/>
  <c r="AE448" i="13" s="1"/>
  <c r="AE449" i="13" a="1"/>
  <c r="AE449" i="13" s="1"/>
  <c r="AE450" i="13" a="1"/>
  <c r="AE450" i="13"/>
  <c r="AE451" i="13" a="1"/>
  <c r="AE451" i="13" s="1"/>
  <c r="AE452" i="13" a="1"/>
  <c r="AE452" i="13"/>
  <c r="AE453" i="13" a="1"/>
  <c r="AE453" i="13" s="1"/>
  <c r="AE454" i="13" a="1"/>
  <c r="AE454" i="13" s="1"/>
  <c r="AE455" i="13" a="1"/>
  <c r="AE455" i="13" s="1"/>
  <c r="AE456" i="13" a="1"/>
  <c r="AE456" i="13"/>
  <c r="AE457" i="13" a="1"/>
  <c r="AE457" i="13"/>
  <c r="AE458" i="13" a="1"/>
  <c r="AE458" i="13" s="1"/>
  <c r="AE459" i="13" a="1"/>
  <c r="AE459" i="13" s="1"/>
  <c r="AE460" i="13" a="1"/>
  <c r="AE460" i="13" s="1"/>
  <c r="AE461" i="13" a="1"/>
  <c r="AE461" i="13" s="1"/>
  <c r="AE462" i="13" a="1"/>
  <c r="AE462" i="13"/>
  <c r="AE463" i="13" a="1"/>
  <c r="AE463" i="13" s="1"/>
  <c r="AE464" i="13" a="1"/>
  <c r="AE464" i="13" s="1"/>
  <c r="AE465" i="13" a="1"/>
  <c r="AE465" i="13" s="1"/>
  <c r="AE466" i="13" a="1"/>
  <c r="AE466" i="13" s="1"/>
  <c r="AE467" i="13" a="1"/>
  <c r="AE467" i="13" s="1"/>
  <c r="AE468" i="13" a="1"/>
  <c r="AE468" i="13"/>
  <c r="AE469" i="13" a="1"/>
  <c r="AE469" i="13" s="1"/>
  <c r="AE470" i="13" a="1"/>
  <c r="AE470" i="13" s="1"/>
  <c r="AE471" i="13" a="1"/>
  <c r="AE471" i="13" s="1"/>
  <c r="AE472" i="13" a="1"/>
  <c r="AE472" i="13" s="1"/>
  <c r="AE473" i="13" a="1"/>
  <c r="AE473" i="13" s="1"/>
  <c r="AE474" i="13" a="1"/>
  <c r="AE474" i="13"/>
  <c r="AE475" i="13" a="1"/>
  <c r="AE475" i="13" s="1"/>
  <c r="AE476" i="13" a="1"/>
  <c r="AE476" i="13"/>
  <c r="AE477" i="13" a="1"/>
  <c r="AE477" i="13" s="1"/>
  <c r="AE478" i="13" a="1"/>
  <c r="AE478" i="13" s="1"/>
  <c r="AE479" i="13" a="1"/>
  <c r="AE479" i="13" s="1"/>
  <c r="AE480" i="13" a="1"/>
  <c r="AE480" i="13"/>
  <c r="AE481" i="13" a="1"/>
  <c r="AE481" i="13"/>
  <c r="AE482" i="13" a="1"/>
  <c r="AE482" i="13" s="1"/>
  <c r="AE483" i="13" a="1"/>
  <c r="AE483" i="13" s="1"/>
  <c r="AE484" i="13" a="1"/>
  <c r="AE484" i="13" s="1"/>
  <c r="AE485" i="13" a="1"/>
  <c r="AE485" i="13" s="1"/>
  <c r="AE486" i="13" a="1"/>
  <c r="AE486" i="13"/>
  <c r="AE487" i="13" a="1"/>
  <c r="AE487" i="13" s="1"/>
  <c r="AE488" i="13" a="1"/>
  <c r="AE488" i="13" s="1"/>
  <c r="AE489" i="13" a="1"/>
  <c r="AE489" i="13" s="1"/>
  <c r="AE490" i="13" a="1"/>
  <c r="AE490" i="13" s="1"/>
  <c r="AE491" i="13" a="1"/>
  <c r="AE491" i="13" s="1"/>
  <c r="AE492" i="13" a="1"/>
  <c r="AE492" i="13"/>
  <c r="AE493" i="13" a="1"/>
  <c r="AE493" i="13" s="1"/>
  <c r="AE494" i="13" a="1"/>
  <c r="AE494" i="13" s="1"/>
  <c r="AE495" i="13" a="1"/>
  <c r="AE495" i="13" s="1"/>
  <c r="AE496" i="13" a="1"/>
  <c r="AE496" i="13" s="1"/>
  <c r="AE497" i="13" a="1"/>
  <c r="AE497" i="13" s="1"/>
  <c r="AE498" i="13" a="1"/>
  <c r="AE498" i="13"/>
  <c r="AE499" i="13" a="1"/>
  <c r="AE499" i="13" s="1"/>
  <c r="AE500" i="13" a="1"/>
  <c r="AE500" i="13"/>
  <c r="AE501" i="13" a="1"/>
  <c r="AE501" i="13" s="1"/>
  <c r="AE502" i="13" a="1"/>
  <c r="AE502" i="13" s="1"/>
  <c r="AE503" i="13" a="1"/>
  <c r="AE503" i="13" s="1"/>
  <c r="AE504" i="13" a="1"/>
  <c r="AE504" i="13"/>
  <c r="AE505" i="13" a="1"/>
  <c r="AE505" i="13"/>
  <c r="AE506" i="13" a="1"/>
  <c r="AE506" i="13" s="1"/>
  <c r="AE507" i="13" a="1"/>
  <c r="AE507" i="13"/>
  <c r="AE508" i="13" a="1"/>
  <c r="AE508" i="13" s="1"/>
  <c r="AE509" i="13" a="1"/>
  <c r="AE509" i="13"/>
  <c r="AE510" i="13" a="1"/>
  <c r="AE510" i="13" s="1"/>
  <c r="AE511" i="13" a="1"/>
  <c r="AE511" i="13" s="1"/>
  <c r="AE512" i="13" a="1"/>
  <c r="AE512" i="13"/>
  <c r="AE513" i="13" a="1"/>
  <c r="AE513" i="13" s="1"/>
  <c r="AE514" i="13" a="1"/>
  <c r="AE514" i="13"/>
  <c r="AE515" i="13" a="1"/>
  <c r="AE515" i="13"/>
  <c r="AE516" i="13" a="1"/>
  <c r="AE516" i="13" s="1"/>
  <c r="AE517" i="13" a="1"/>
  <c r="AE517" i="13" s="1"/>
  <c r="AE518" i="13" a="1"/>
  <c r="AE518" i="13"/>
  <c r="AE519" i="13" a="1"/>
  <c r="AE519" i="13" s="1"/>
  <c r="AE520" i="13" a="1"/>
  <c r="AE520" i="13"/>
  <c r="AE521" i="13" a="1"/>
  <c r="AE521" i="13"/>
  <c r="AE522" i="13" a="1"/>
  <c r="AE522" i="13" s="1"/>
  <c r="AE523" i="13" a="1"/>
  <c r="AE523" i="13" s="1"/>
  <c r="AE524" i="13" a="1"/>
  <c r="AE524" i="13" s="1"/>
  <c r="AE525" i="13" a="1"/>
  <c r="AE525" i="13" s="1"/>
  <c r="AE526" i="13" a="1"/>
  <c r="AE526" i="13"/>
  <c r="AE527" i="13" a="1"/>
  <c r="AE527" i="13"/>
  <c r="AE528" i="13" a="1"/>
  <c r="AE528" i="13" s="1"/>
  <c r="AE529" i="13" a="1"/>
  <c r="AE529" i="13" s="1"/>
  <c r="AE530" i="13" a="1"/>
  <c r="AE530" i="13" s="1"/>
  <c r="AE531" i="13" a="1"/>
  <c r="AE531" i="13" s="1"/>
  <c r="AE532" i="13" a="1"/>
  <c r="AE532" i="13"/>
  <c r="AE533" i="13" a="1"/>
  <c r="AE533" i="13"/>
  <c r="AE534" i="13" a="1"/>
  <c r="AE534" i="13" s="1"/>
  <c r="AE535" i="13" a="1"/>
  <c r="AE535" i="13" s="1"/>
  <c r="AE536" i="13" a="1"/>
  <c r="AE536" i="13" s="1"/>
  <c r="AE537" i="13" a="1"/>
  <c r="AE537" i="13" s="1"/>
  <c r="AE538" i="13" a="1"/>
  <c r="AE538" i="13"/>
  <c r="AE539" i="13" a="1"/>
  <c r="AE539" i="13"/>
  <c r="AE540" i="13" a="1"/>
  <c r="AE540" i="13" s="1"/>
  <c r="AE541" i="13" a="1"/>
  <c r="AE541" i="13" s="1"/>
  <c r="AE542" i="13" a="1"/>
  <c r="AE542" i="13" s="1"/>
  <c r="AE543" i="13" a="1"/>
  <c r="AE543" i="13" s="1"/>
  <c r="AE544" i="13" a="1"/>
  <c r="AE544" i="13"/>
  <c r="AE545" i="13" a="1"/>
  <c r="AE545" i="13"/>
  <c r="AE546" i="13" a="1"/>
  <c r="AE546" i="13" s="1"/>
  <c r="AE547" i="13" a="1"/>
  <c r="AE547" i="13" s="1"/>
  <c r="AE548" i="13" a="1"/>
  <c r="AE548" i="13" s="1"/>
  <c r="AE549" i="13" a="1"/>
  <c r="AE549" i="13" s="1"/>
  <c r="AE550" i="13" a="1"/>
  <c r="AE550" i="13"/>
  <c r="AE551" i="13" a="1"/>
  <c r="AE551" i="13"/>
  <c r="AE552" i="13" a="1"/>
  <c r="AE552" i="13" s="1"/>
  <c r="AE553" i="13" a="1"/>
  <c r="AE553" i="13" s="1"/>
  <c r="AE554" i="13" a="1"/>
  <c r="AE554" i="13" s="1"/>
  <c r="AE555" i="13" a="1"/>
  <c r="AE555" i="13" s="1"/>
  <c r="AE556" i="13" a="1"/>
  <c r="AE556" i="13"/>
  <c r="AE557" i="13" a="1"/>
  <c r="AE557" i="13"/>
  <c r="AE558" i="13" a="1"/>
  <c r="AE558" i="13" s="1"/>
  <c r="AE559" i="13" a="1"/>
  <c r="AE559" i="13" s="1"/>
  <c r="AE560" i="13" a="1"/>
  <c r="AE560" i="13" s="1"/>
  <c r="AE561" i="13" a="1"/>
  <c r="AE561" i="13" s="1"/>
  <c r="AE562" i="13" a="1"/>
  <c r="AE562" i="13"/>
  <c r="AE563" i="13" a="1"/>
  <c r="AE563" i="13"/>
  <c r="AE564" i="13" a="1"/>
  <c r="AE564" i="13" s="1"/>
  <c r="AE565" i="13" a="1"/>
  <c r="AE565" i="13" s="1"/>
  <c r="AE566" i="13" a="1"/>
  <c r="AE566" i="13" s="1"/>
  <c r="AE567" i="13" a="1"/>
  <c r="AE567" i="13" s="1"/>
  <c r="AE568" i="13" a="1"/>
  <c r="AE568" i="13"/>
  <c r="AE569" i="13" a="1"/>
  <c r="AE569" i="13"/>
  <c r="AE570" i="13" a="1"/>
  <c r="AE570" i="13" s="1"/>
  <c r="AE571" i="13" a="1"/>
  <c r="AE571" i="13" s="1"/>
  <c r="AE572" i="13" a="1"/>
  <c r="AE572" i="13" s="1"/>
  <c r="AE573" i="13" a="1"/>
  <c r="AE573" i="13" s="1"/>
  <c r="AE574" i="13" a="1"/>
  <c r="AE574" i="13"/>
  <c r="AE575" i="13" a="1"/>
  <c r="AE575" i="13"/>
  <c r="AE576" i="13" a="1"/>
  <c r="AE576" i="13" s="1"/>
  <c r="AE577" i="13" a="1"/>
  <c r="AE577" i="13" s="1"/>
  <c r="AE578" i="13" a="1"/>
  <c r="AE578" i="13" s="1"/>
  <c r="AE579" i="13" a="1"/>
  <c r="AE579" i="13" s="1"/>
  <c r="AE580" i="13" a="1"/>
  <c r="AE580" i="13"/>
  <c r="AE581" i="13" a="1"/>
  <c r="AE581" i="13"/>
  <c r="AE582" i="13" a="1"/>
  <c r="AE582" i="13" s="1"/>
  <c r="AE583" i="13" a="1"/>
  <c r="AE583" i="13" s="1"/>
  <c r="AE584" i="13" a="1"/>
  <c r="AE584" i="13" s="1"/>
  <c r="AE585" i="13" a="1"/>
  <c r="AE585" i="13" s="1"/>
  <c r="AE586" i="13" a="1"/>
  <c r="AE586" i="13"/>
  <c r="AE587" i="13" a="1"/>
  <c r="AE587" i="13"/>
  <c r="AE588" i="13" a="1"/>
  <c r="AE588" i="13" s="1"/>
  <c r="AE589" i="13" a="1"/>
  <c r="AE589" i="13" s="1"/>
  <c r="AE590" i="13" a="1"/>
  <c r="AE590" i="13" s="1"/>
  <c r="AE591" i="13" a="1"/>
  <c r="AE591" i="13" s="1"/>
  <c r="AE592" i="13" a="1"/>
  <c r="AE592" i="13"/>
  <c r="AE593" i="13" a="1"/>
  <c r="AE593" i="13"/>
  <c r="AE594" i="13" a="1"/>
  <c r="AE594" i="13" s="1"/>
  <c r="AE595" i="13" a="1"/>
  <c r="AE595" i="13" s="1"/>
  <c r="AE596" i="13" a="1"/>
  <c r="AE596" i="13" s="1"/>
  <c r="AE597" i="13" a="1"/>
  <c r="AE597" i="13" s="1"/>
  <c r="AE598" i="13" a="1"/>
  <c r="AE598" i="13"/>
  <c r="AE599" i="13" a="1"/>
  <c r="AE599" i="13"/>
  <c r="AE600" i="13" a="1"/>
  <c r="AE600" i="13" s="1"/>
  <c r="AE601" i="13" a="1"/>
  <c r="AE601" i="13" s="1"/>
  <c r="AE602" i="13" a="1"/>
  <c r="AE602" i="13" s="1"/>
  <c r="AE603" i="13" a="1"/>
  <c r="AE603" i="13" s="1"/>
  <c r="AE604" i="13" a="1"/>
  <c r="AE604" i="13"/>
  <c r="AE605" i="13" a="1"/>
  <c r="AE605" i="13"/>
  <c r="AE606" i="13" a="1"/>
  <c r="AE606" i="13" s="1"/>
  <c r="AE607" i="13" a="1"/>
  <c r="AE607" i="13" s="1"/>
  <c r="AE608" i="13" a="1"/>
  <c r="AE608" i="13" s="1"/>
  <c r="AE609" i="13" a="1"/>
  <c r="AE609" i="13" s="1"/>
  <c r="AE610" i="13" a="1"/>
  <c r="AE610" i="13"/>
  <c r="AE611" i="13" a="1"/>
  <c r="AE611" i="13" s="1"/>
  <c r="AE612" i="13" a="1"/>
  <c r="AE612" i="13" s="1"/>
  <c r="AE613" i="13" a="1"/>
  <c r="AE613" i="13" s="1"/>
  <c r="AE614" i="13" a="1"/>
  <c r="AE614" i="13" s="1"/>
  <c r="AE615" i="13" a="1"/>
  <c r="AE615" i="13" s="1"/>
  <c r="AE616" i="13" a="1"/>
  <c r="AE616" i="13"/>
  <c r="AE617" i="13" a="1"/>
  <c r="AE617" i="13"/>
  <c r="AE618" i="13" a="1"/>
  <c r="AE618" i="13" s="1"/>
  <c r="AE619" i="13" a="1"/>
  <c r="AE619" i="13" s="1"/>
  <c r="AE620" i="13" a="1"/>
  <c r="AE620" i="13" s="1"/>
  <c r="AE621" i="13" a="1"/>
  <c r="AE621" i="13" s="1"/>
  <c r="AE622" i="13" a="1"/>
  <c r="AE622" i="13"/>
  <c r="AE623" i="13" a="1"/>
  <c r="AE623" i="13" s="1"/>
  <c r="AE624" i="13" a="1"/>
  <c r="AE624" i="13" s="1"/>
  <c r="AE625" i="13" a="1"/>
  <c r="AE625" i="13" s="1"/>
  <c r="AE626" i="13" a="1"/>
  <c r="AE626" i="13" s="1"/>
  <c r="AE627" i="13" a="1"/>
  <c r="AE627" i="13" s="1"/>
  <c r="AE628" i="13" a="1"/>
  <c r="AE628" i="13"/>
  <c r="AE629" i="13" a="1"/>
  <c r="AE629" i="13" s="1"/>
  <c r="AE630" i="13" a="1"/>
  <c r="AE630" i="13" s="1"/>
  <c r="AE631" i="13" a="1"/>
  <c r="AE631" i="13" s="1"/>
  <c r="AE632" i="13" a="1"/>
  <c r="AE632" i="13" s="1"/>
  <c r="AE633" i="13" a="1"/>
  <c r="AE633" i="13" s="1"/>
  <c r="AE634" i="13" a="1"/>
  <c r="AE634" i="13" s="1"/>
  <c r="AE635" i="13" a="1"/>
  <c r="AE635" i="13"/>
  <c r="AE636" i="13" a="1"/>
  <c r="AE636" i="13" s="1"/>
  <c r="AE637" i="13" a="1"/>
  <c r="AE637" i="13" s="1"/>
  <c r="AE638" i="13" a="1"/>
  <c r="AE638" i="13" s="1"/>
  <c r="AE639" i="13" a="1"/>
  <c r="AE639" i="13" s="1"/>
  <c r="AE640" i="13" a="1"/>
  <c r="AE640" i="13" s="1"/>
  <c r="AE641" i="13" a="1"/>
  <c r="AE641" i="13" s="1"/>
  <c r="AE642" i="13" a="1"/>
  <c r="AE642" i="13" s="1"/>
  <c r="AE643" i="13" a="1"/>
  <c r="AE643" i="13" s="1"/>
  <c r="AE644" i="13" a="1"/>
  <c r="AE644" i="13" s="1"/>
  <c r="AE645" i="13" a="1"/>
  <c r="AE645" i="13" s="1"/>
  <c r="AE646" i="13" a="1"/>
  <c r="AE646" i="13" s="1"/>
  <c r="AE647" i="13" a="1"/>
  <c r="AE647" i="13" s="1"/>
  <c r="AE648" i="13" a="1"/>
  <c r="AE648" i="13" s="1"/>
  <c r="AE649" i="13" a="1"/>
  <c r="AE649" i="13" s="1"/>
  <c r="AE650" i="13" a="1"/>
  <c r="AE650" i="13" s="1"/>
  <c r="AE651" i="13" a="1"/>
  <c r="AE651" i="13" s="1"/>
  <c r="AE652" i="13" a="1"/>
  <c r="AE652" i="13" s="1"/>
  <c r="AE653" i="13" a="1"/>
  <c r="AE653" i="13"/>
  <c r="AE654" i="13" a="1"/>
  <c r="AE654" i="13" s="1"/>
  <c r="AE655" i="13" a="1"/>
  <c r="AE655" i="13" s="1"/>
  <c r="AE656" i="13" a="1"/>
  <c r="AE656" i="13" s="1"/>
  <c r="AE657" i="13" a="1"/>
  <c r="AE657" i="13" s="1"/>
  <c r="AE658" i="13" a="1"/>
  <c r="AE658" i="13" s="1"/>
  <c r="AE659" i="13" a="1"/>
  <c r="AE659" i="13" s="1"/>
  <c r="AE660" i="13" a="1"/>
  <c r="AE660" i="13" s="1"/>
  <c r="AE661" i="13" a="1"/>
  <c r="AE661" i="13" s="1"/>
  <c r="AE662" i="13" a="1"/>
  <c r="AE662" i="13" s="1"/>
  <c r="AE663" i="13" a="1"/>
  <c r="AE663" i="13" s="1"/>
  <c r="AE664" i="13" a="1"/>
  <c r="AE664" i="13" s="1"/>
  <c r="AE665" i="13" a="1"/>
  <c r="AE665" i="13" s="1"/>
  <c r="AE666" i="13" a="1"/>
  <c r="AE666" i="13" s="1"/>
  <c r="AE667" i="13" a="1"/>
  <c r="AE667" i="13" s="1"/>
  <c r="AE668" i="13" a="1"/>
  <c r="AE668" i="13" s="1"/>
  <c r="AE669" i="13" a="1"/>
  <c r="AE669" i="13" s="1"/>
  <c r="AE670" i="13" a="1"/>
  <c r="AE670" i="13" s="1"/>
  <c r="AE671" i="13" a="1"/>
  <c r="AE671" i="13"/>
  <c r="AE672" i="13" a="1"/>
  <c r="AE672" i="13" s="1"/>
  <c r="AE673" i="13" a="1"/>
  <c r="AE673" i="13" s="1"/>
  <c r="AE674" i="13" a="1"/>
  <c r="AE674" i="13" s="1"/>
  <c r="AE675" i="13" a="1"/>
  <c r="AE675" i="13" s="1"/>
  <c r="AE676" i="13" a="1"/>
  <c r="AE676" i="13" s="1"/>
  <c r="AE677" i="13" a="1"/>
  <c r="AE677" i="13" s="1"/>
  <c r="AE678" i="13" a="1"/>
  <c r="AE678" i="13" s="1"/>
  <c r="AE679" i="13" a="1"/>
  <c r="AE679" i="13" s="1"/>
  <c r="AE680" i="13" a="1"/>
  <c r="AE680" i="13" s="1"/>
  <c r="AE681" i="13" a="1"/>
  <c r="AE681" i="13" s="1"/>
  <c r="AE682" i="13" a="1"/>
  <c r="AE682" i="13" s="1"/>
  <c r="AE683" i="13" a="1"/>
  <c r="AE683" i="13" s="1"/>
  <c r="AE684" i="13" a="1"/>
  <c r="AE684" i="13" s="1"/>
  <c r="AE685" i="13" a="1"/>
  <c r="AE685" i="13" s="1"/>
  <c r="AE686" i="13" a="1"/>
  <c r="AE686" i="13" s="1"/>
  <c r="AE687" i="13" a="1"/>
  <c r="AE687" i="13" s="1"/>
  <c r="AE688" i="13" a="1"/>
  <c r="AE688" i="13" s="1"/>
  <c r="AE689" i="13" a="1"/>
  <c r="AE689" i="13"/>
  <c r="AE690" i="13" a="1"/>
  <c r="AE690" i="13" s="1"/>
  <c r="AE691" i="13" a="1"/>
  <c r="AE691" i="13" s="1"/>
  <c r="AE692" i="13" a="1"/>
  <c r="AE692" i="13" s="1"/>
  <c r="AE693" i="13" a="1"/>
  <c r="AE693" i="13" s="1"/>
  <c r="AE694" i="13" a="1"/>
  <c r="AE694" i="13" s="1"/>
  <c r="AE695" i="13" a="1"/>
  <c r="AE695" i="13" s="1"/>
  <c r="AE696" i="13" a="1"/>
  <c r="AE696" i="13" s="1"/>
  <c r="AE697" i="13" a="1"/>
  <c r="AE697" i="13" s="1"/>
  <c r="AE698" i="13" a="1"/>
  <c r="AE698" i="13" s="1"/>
  <c r="AE699" i="13" a="1"/>
  <c r="AE699" i="13" s="1"/>
  <c r="AE700" i="13" a="1"/>
  <c r="AE700" i="13" s="1"/>
  <c r="AE701" i="13" a="1"/>
  <c r="AE701" i="13" s="1"/>
  <c r="AE702" i="13" a="1"/>
  <c r="AE702" i="13" s="1"/>
  <c r="AE703" i="13" a="1"/>
  <c r="AE703" i="13" s="1"/>
  <c r="AE704" i="13" a="1"/>
  <c r="AE704" i="13" s="1"/>
  <c r="AE705" i="13" a="1"/>
  <c r="AE705" i="13" s="1"/>
  <c r="AE706" i="13" a="1"/>
  <c r="AE706" i="13" s="1"/>
  <c r="AE707" i="13" a="1"/>
  <c r="AE707" i="13"/>
  <c r="AE708" i="13" a="1"/>
  <c r="AE708" i="13" s="1"/>
  <c r="AE709" i="13" a="1"/>
  <c r="AE709" i="13" s="1"/>
  <c r="AE710" i="13" a="1"/>
  <c r="AE710" i="13" s="1"/>
  <c r="AE711" i="13" a="1"/>
  <c r="AE711" i="13" s="1"/>
  <c r="AE712" i="13" a="1"/>
  <c r="AE712" i="13" s="1"/>
  <c r="AE713" i="13" a="1"/>
  <c r="AE713" i="13" s="1"/>
  <c r="AE714" i="13" a="1"/>
  <c r="AE714" i="13" s="1"/>
  <c r="AE715" i="13" a="1"/>
  <c r="AE715" i="13" s="1"/>
  <c r="AE716" i="13" a="1"/>
  <c r="AE716" i="13" s="1"/>
  <c r="AE717" i="13" a="1"/>
  <c r="AE717" i="13" s="1"/>
  <c r="AE718" i="13" a="1"/>
  <c r="AE718" i="13" s="1"/>
  <c r="AE719" i="13" a="1"/>
  <c r="AE719" i="13" s="1"/>
  <c r="AE720" i="13" a="1"/>
  <c r="AE720" i="13" s="1"/>
  <c r="AE721" i="13" a="1"/>
  <c r="AE721" i="13" s="1"/>
  <c r="AE722" i="13" a="1"/>
  <c r="AE722" i="13" s="1"/>
  <c r="AE723" i="13" a="1"/>
  <c r="AE723" i="13" s="1"/>
  <c r="AE724" i="13" a="1"/>
  <c r="AE724" i="13" s="1"/>
  <c r="AE725" i="13" a="1"/>
  <c r="AE725" i="13"/>
  <c r="AE726" i="13" a="1"/>
  <c r="AE726" i="13" s="1"/>
  <c r="AE727" i="13" a="1"/>
  <c r="AE727" i="13" s="1"/>
  <c r="AE728" i="13" a="1"/>
  <c r="AE728" i="13" s="1"/>
  <c r="AE729" i="13" a="1"/>
  <c r="AE729" i="13" s="1"/>
  <c r="AE730" i="13" a="1"/>
  <c r="AE730" i="13" s="1"/>
  <c r="AE731" i="13" a="1"/>
  <c r="AE731" i="13" s="1"/>
  <c r="AE732" i="13" a="1"/>
  <c r="AE732" i="13" s="1"/>
  <c r="AE733" i="13" a="1"/>
  <c r="AE733" i="13" s="1"/>
  <c r="AE734" i="13" a="1"/>
  <c r="AE734" i="13" s="1"/>
  <c r="AE735" i="13" a="1"/>
  <c r="AE735" i="13" s="1"/>
  <c r="AE736" i="13" a="1"/>
  <c r="AE736" i="13" s="1"/>
  <c r="AE737" i="13" a="1"/>
  <c r="AE737" i="13" s="1"/>
  <c r="AE738" i="13" a="1"/>
  <c r="AE738" i="13" s="1"/>
  <c r="AE739" i="13" a="1"/>
  <c r="AE739" i="13" s="1"/>
  <c r="AE740" i="13" a="1"/>
  <c r="AE740" i="13" s="1"/>
  <c r="AE741" i="13" a="1"/>
  <c r="AE741" i="13" s="1"/>
  <c r="AE742" i="13" a="1"/>
  <c r="AE742" i="13" s="1"/>
  <c r="AE743" i="13" a="1"/>
  <c r="AE743" i="13"/>
  <c r="AE744" i="13" a="1"/>
  <c r="AE744" i="13" s="1"/>
  <c r="AE745" i="13" a="1"/>
  <c r="AE745" i="13" s="1"/>
  <c r="AE746" i="13" a="1"/>
  <c r="AE746" i="13" s="1"/>
  <c r="AE747" i="13" a="1"/>
  <c r="AE747" i="13" s="1"/>
  <c r="AE748" i="13" a="1"/>
  <c r="AE748" i="13" s="1"/>
  <c r="AE749" i="13" a="1"/>
  <c r="AE749" i="13" s="1"/>
  <c r="AE750" i="13" a="1"/>
  <c r="AE750" i="13" s="1"/>
  <c r="AE751" i="13" a="1"/>
  <c r="AE751" i="13" s="1"/>
  <c r="AE752" i="13" a="1"/>
  <c r="AE752" i="13" s="1"/>
  <c r="AE753" i="13" a="1"/>
  <c r="AE753" i="13" s="1"/>
  <c r="AE754" i="13" a="1"/>
  <c r="AE754" i="13" s="1"/>
  <c r="AE755" i="13" a="1"/>
  <c r="AE755" i="13" s="1"/>
  <c r="AE756" i="13" a="1"/>
  <c r="AE756" i="13" s="1"/>
  <c r="AE757" i="13" a="1"/>
  <c r="AE757" i="13" s="1"/>
  <c r="AE758" i="13" a="1"/>
  <c r="AE758" i="13" s="1"/>
  <c r="AE759" i="13" a="1"/>
  <c r="AE759" i="13" s="1"/>
  <c r="AE760" i="13" a="1"/>
  <c r="AE760" i="13" s="1"/>
  <c r="AE761" i="13" a="1"/>
  <c r="AE761" i="13"/>
  <c r="AE762" i="13" a="1"/>
  <c r="AE762" i="13" s="1"/>
  <c r="AE763" i="13" a="1"/>
  <c r="AE763" i="13" s="1"/>
  <c r="AE764" i="13" a="1"/>
  <c r="AE764" i="13" s="1"/>
  <c r="AE765" i="13" a="1"/>
  <c r="AE765" i="13" s="1"/>
  <c r="AE766" i="13" a="1"/>
  <c r="AE766" i="13" s="1"/>
  <c r="AE767" i="13" a="1"/>
  <c r="AE767" i="13" s="1"/>
  <c r="AE768" i="13" a="1"/>
  <c r="AE768" i="13" s="1"/>
  <c r="AE769" i="13" a="1"/>
  <c r="AE769" i="13" s="1"/>
  <c r="AE770" i="13" a="1"/>
  <c r="AE770" i="13" s="1"/>
  <c r="AE771" i="13" a="1"/>
  <c r="AE771" i="13" s="1"/>
  <c r="AE772" i="13" a="1"/>
  <c r="AE772" i="13" s="1"/>
  <c r="AE773" i="13" a="1"/>
  <c r="AE773" i="13" s="1"/>
  <c r="AE774" i="13" a="1"/>
  <c r="AE774" i="13" s="1"/>
  <c r="AE775" i="13" a="1"/>
  <c r="AE775" i="13" s="1"/>
  <c r="AE776" i="13" a="1"/>
  <c r="AE776" i="13" s="1"/>
  <c r="AE777" i="13" a="1"/>
  <c r="AE777" i="13" s="1"/>
  <c r="AE778" i="13" a="1"/>
  <c r="AE778" i="13"/>
  <c r="AE779" i="13" a="1"/>
  <c r="AE779" i="13"/>
  <c r="AE780" i="13" a="1"/>
  <c r="AE780" i="13" s="1"/>
  <c r="AE781" i="13" a="1"/>
  <c r="AE781" i="13" s="1"/>
  <c r="AE782" i="13" a="1"/>
  <c r="AE782" i="13"/>
  <c r="AE783" i="13" a="1"/>
  <c r="AE783" i="13" s="1"/>
  <c r="AE784" i="13" a="1"/>
  <c r="AE784" i="13" s="1"/>
  <c r="AE785" i="13" a="1"/>
  <c r="AE785" i="13" s="1"/>
  <c r="AE786" i="13" a="1"/>
  <c r="AE786" i="13" s="1"/>
  <c r="AE787" i="13" a="1"/>
  <c r="AE787" i="13" s="1"/>
  <c r="AE788" i="13" a="1"/>
  <c r="AE788" i="13" s="1"/>
  <c r="AE789" i="13" a="1"/>
  <c r="AE789" i="13" s="1"/>
  <c r="AE790" i="13" a="1"/>
  <c r="AE790" i="13"/>
  <c r="AE791" i="13" a="1"/>
  <c r="AE791" i="13" s="1"/>
  <c r="AE792" i="13" a="1"/>
  <c r="AE792" i="13" s="1"/>
  <c r="AE793" i="13" a="1"/>
  <c r="AE793" i="13" s="1"/>
  <c r="AE794" i="13" a="1"/>
  <c r="AE794" i="13"/>
  <c r="AE795" i="13" a="1"/>
  <c r="AE795" i="13" s="1"/>
  <c r="AE796" i="13" a="1"/>
  <c r="AE796" i="13" s="1"/>
  <c r="AE797" i="13" a="1"/>
  <c r="AE797" i="13" s="1"/>
  <c r="AE798" i="13" a="1"/>
  <c r="AE798" i="13" s="1"/>
  <c r="AE799" i="13" a="1"/>
  <c r="AE799" i="13" s="1"/>
  <c r="AE800" i="13" a="1"/>
  <c r="AE800" i="13" s="1"/>
  <c r="AE801" i="13" a="1"/>
  <c r="AE801" i="13" s="1"/>
  <c r="AE802" i="13" a="1"/>
  <c r="AE802" i="13"/>
  <c r="AE803" i="13" a="1"/>
  <c r="AE803" i="13"/>
  <c r="AE804" i="13" a="1"/>
  <c r="AE804" i="13" s="1"/>
  <c r="AE805" i="13" a="1"/>
  <c r="AE805" i="13" s="1"/>
  <c r="AE806" i="13" a="1"/>
  <c r="AE806" i="13"/>
  <c r="AE807" i="13" a="1"/>
  <c r="AE807" i="13" s="1"/>
  <c r="AE808" i="13" a="1"/>
  <c r="AE808" i="13" s="1"/>
  <c r="AE809" i="13" a="1"/>
  <c r="AE809" i="13" s="1"/>
  <c r="AE810" i="13" a="1"/>
  <c r="AE810" i="13" s="1"/>
  <c r="AE811" i="13" a="1"/>
  <c r="AE811" i="13" s="1"/>
  <c r="AE812" i="13" a="1"/>
  <c r="AE812" i="13" s="1"/>
  <c r="AE813" i="13" a="1"/>
  <c r="AE813" i="13" s="1"/>
  <c r="AE814" i="13" a="1"/>
  <c r="AE814" i="13"/>
  <c r="AE815" i="13" a="1"/>
  <c r="AE815" i="13" s="1"/>
  <c r="AE816" i="13" a="1"/>
  <c r="AE816" i="13" s="1"/>
  <c r="AE817" i="13" a="1"/>
  <c r="AE817" i="13" s="1"/>
  <c r="AE818" i="13" a="1"/>
  <c r="AE818" i="13"/>
  <c r="AE819" i="13" a="1"/>
  <c r="AE819" i="13" s="1"/>
  <c r="AE820" i="13" a="1"/>
  <c r="AE820" i="13"/>
  <c r="AE821" i="13" a="1"/>
  <c r="AE821" i="13"/>
  <c r="AE822" i="13" a="1"/>
  <c r="AE822" i="13" s="1"/>
  <c r="AE823" i="13" a="1"/>
  <c r="AE823" i="13" s="1"/>
  <c r="AE824" i="13" a="1"/>
  <c r="AE824" i="13" s="1"/>
  <c r="AE825" i="13" a="1"/>
  <c r="AE825" i="13" s="1"/>
  <c r="AE826" i="13" a="1"/>
  <c r="AE826" i="13"/>
  <c r="AE827" i="13" a="1"/>
  <c r="AE827" i="13"/>
  <c r="AE828" i="13" a="1"/>
  <c r="AE828" i="13" s="1"/>
  <c r="AE829" i="13" a="1"/>
  <c r="AE829" i="13" s="1"/>
  <c r="AE830" i="13" a="1"/>
  <c r="AE830" i="13" s="1"/>
  <c r="AE831" i="13" a="1"/>
  <c r="AE831" i="13" s="1"/>
  <c r="AE832" i="13" a="1"/>
  <c r="AE832" i="13"/>
  <c r="AE833" i="13" a="1"/>
  <c r="AE833" i="13"/>
  <c r="AE834" i="13" a="1"/>
  <c r="AE834" i="13" s="1"/>
  <c r="AE835" i="13" a="1"/>
  <c r="AE835" i="13" s="1"/>
  <c r="AE836" i="13" a="1"/>
  <c r="AE836" i="13" s="1"/>
  <c r="AE837" i="13" a="1"/>
  <c r="AE837" i="13" s="1"/>
  <c r="AE838" i="13" a="1"/>
  <c r="AE838" i="13"/>
  <c r="AE839" i="13" a="1"/>
  <c r="AE839" i="13"/>
  <c r="AE840" i="13" a="1"/>
  <c r="AE840" i="13" s="1"/>
  <c r="AE841" i="13" a="1"/>
  <c r="AE841" i="13" s="1"/>
  <c r="AE842" i="13" a="1"/>
  <c r="AE842" i="13" s="1"/>
  <c r="AE843" i="13" a="1"/>
  <c r="AE843" i="13" s="1"/>
  <c r="AE844" i="13" a="1"/>
  <c r="AE844" i="13" s="1"/>
  <c r="AE845" i="13" a="1"/>
  <c r="AE845" i="13"/>
  <c r="AE846" i="13" a="1"/>
  <c r="AE846" i="13" s="1"/>
  <c r="AE847" i="13" a="1"/>
  <c r="AE847" i="13"/>
  <c r="AE848" i="13" a="1"/>
  <c r="AE848" i="13" s="1"/>
  <c r="AE849" i="13" a="1"/>
  <c r="AE849" i="13" s="1"/>
  <c r="AE850" i="13" a="1"/>
  <c r="AE850" i="13"/>
  <c r="AE851" i="13" a="1"/>
  <c r="AE851" i="13" s="1"/>
  <c r="AE852" i="13" a="1"/>
  <c r="AE852" i="13" s="1"/>
  <c r="AE853" i="13" a="1"/>
  <c r="AE853" i="13" s="1"/>
  <c r="AE854" i="13" a="1"/>
  <c r="AE854" i="13"/>
  <c r="AE855" i="13" a="1"/>
  <c r="AE855" i="13" s="1"/>
  <c r="AE856" i="13" a="1"/>
  <c r="AE856" i="13"/>
  <c r="AE857" i="13" a="1"/>
  <c r="AE857" i="13"/>
  <c r="AE858" i="13" a="1"/>
  <c r="AE858" i="13" s="1"/>
  <c r="AE859" i="13" a="1"/>
  <c r="AE859" i="13" s="1"/>
  <c r="AE860" i="13" a="1"/>
  <c r="AE860" i="13" s="1"/>
  <c r="AE861" i="13" a="1"/>
  <c r="AE861" i="13" s="1"/>
  <c r="AE862" i="13" a="1"/>
  <c r="AE862" i="13"/>
  <c r="AE863" i="13" a="1"/>
  <c r="AE863" i="13"/>
  <c r="AE864" i="13" a="1"/>
  <c r="AE864" i="13" s="1"/>
  <c r="AE865" i="13" a="1"/>
  <c r="AE865" i="13" s="1"/>
  <c r="AE866" i="13" a="1"/>
  <c r="AE866" i="13" s="1"/>
  <c r="AE867" i="13" a="1"/>
  <c r="AE867" i="13" s="1"/>
  <c r="AE868" i="13" a="1"/>
  <c r="AE868" i="13"/>
  <c r="AE869" i="13" a="1"/>
  <c r="AE869" i="13"/>
  <c r="AE870" i="13" a="1"/>
  <c r="AE870" i="13" s="1"/>
  <c r="AE871" i="13" a="1"/>
  <c r="AE871" i="13" s="1"/>
  <c r="AE872" i="13" a="1"/>
  <c r="AE872" i="13" s="1"/>
  <c r="AE873" i="13" a="1"/>
  <c r="AE873" i="13" s="1"/>
  <c r="AE874" i="13" a="1"/>
  <c r="AE874" i="13"/>
  <c r="AE875" i="13" a="1"/>
  <c r="AE875" i="13" s="1"/>
  <c r="AE876" i="13" a="1"/>
  <c r="AE876" i="13" s="1"/>
  <c r="AE877" i="13" a="1"/>
  <c r="AE877" i="13" s="1"/>
  <c r="AE878" i="13" a="1"/>
  <c r="AE878" i="13" s="1"/>
  <c r="AE879" i="13" a="1"/>
  <c r="AE879" i="13" s="1"/>
  <c r="AE880" i="13" a="1"/>
  <c r="AE880" i="13" s="1"/>
  <c r="AE881" i="13" a="1"/>
  <c r="AE881" i="13"/>
  <c r="AE882" i="13" a="1"/>
  <c r="AE882" i="13" s="1"/>
  <c r="AE883" i="13" a="1"/>
  <c r="AE883" i="13"/>
  <c r="AE884" i="13" a="1"/>
  <c r="AE884" i="13" s="1"/>
  <c r="AE885" i="13" a="1"/>
  <c r="AE885" i="13" s="1"/>
  <c r="AE886" i="13" a="1"/>
  <c r="AE886" i="13"/>
  <c r="AE887" i="13" a="1"/>
  <c r="AE887" i="13" s="1"/>
  <c r="AE888" i="13" a="1"/>
  <c r="AE888" i="13" s="1"/>
  <c r="AE889" i="13" a="1"/>
  <c r="AE889" i="13" s="1"/>
  <c r="AE890" i="13" a="1"/>
  <c r="AE890" i="13"/>
  <c r="AE891" i="13" a="1"/>
  <c r="AE891" i="13" s="1"/>
  <c r="AE892" i="13" a="1"/>
  <c r="AE892" i="13"/>
  <c r="AE893" i="13" a="1"/>
  <c r="AE893" i="13"/>
  <c r="AE894" i="13" a="1"/>
  <c r="AE894" i="13" s="1"/>
  <c r="AE895" i="13" a="1"/>
  <c r="AE895" i="13" s="1"/>
  <c r="AE896" i="13" a="1"/>
  <c r="AE896" i="13" s="1"/>
  <c r="AE897" i="13" a="1"/>
  <c r="AE897" i="13" s="1"/>
  <c r="AE898" i="13" a="1"/>
  <c r="AE898" i="13"/>
  <c r="AE899" i="13" a="1"/>
  <c r="AE899" i="13"/>
  <c r="AE900" i="13" a="1"/>
  <c r="AE900" i="13" s="1"/>
  <c r="AE901" i="13" a="1"/>
  <c r="AE901" i="13" s="1"/>
  <c r="AE902" i="13" a="1"/>
  <c r="AE902" i="13" s="1"/>
  <c r="AE903" i="13" a="1"/>
  <c r="AE903" i="13" s="1"/>
  <c r="AE904" i="13" a="1"/>
  <c r="AE904" i="13"/>
  <c r="AE905" i="13" a="1"/>
  <c r="AE905" i="13"/>
  <c r="AE906" i="13" a="1"/>
  <c r="AE906" i="13" s="1"/>
  <c r="AE907" i="13" a="1"/>
  <c r="AE907" i="13" s="1"/>
  <c r="AE908" i="13" a="1"/>
  <c r="AE908" i="13" s="1"/>
  <c r="AE909" i="13" a="1"/>
  <c r="AE909" i="13" s="1"/>
  <c r="AE910" i="13" a="1"/>
  <c r="AE910" i="13"/>
  <c r="AE911" i="13" a="1"/>
  <c r="AE911" i="13" s="1"/>
  <c r="AE912" i="13" a="1"/>
  <c r="AE912" i="13" s="1"/>
  <c r="AE913" i="13" a="1"/>
  <c r="AE913" i="13" s="1"/>
  <c r="AE914" i="13" a="1"/>
  <c r="AE914" i="13" s="1"/>
  <c r="AE915" i="13" a="1"/>
  <c r="AE915" i="13" s="1"/>
  <c r="AE916" i="13" a="1"/>
  <c r="AE916" i="13" s="1"/>
  <c r="AE917" i="13" a="1"/>
  <c r="AE917" i="13"/>
  <c r="AE918" i="13" a="1"/>
  <c r="AE918" i="13" s="1"/>
  <c r="AE919" i="13" a="1"/>
  <c r="AE919" i="13"/>
  <c r="AE920" i="13" a="1"/>
  <c r="AE920" i="13" s="1"/>
  <c r="AE921" i="13" a="1"/>
  <c r="AE921" i="13" s="1"/>
  <c r="AE922" i="13" a="1"/>
  <c r="AE922" i="13"/>
  <c r="AE923" i="13" a="1"/>
  <c r="AE923" i="13" s="1"/>
  <c r="AE924" i="13" a="1"/>
  <c r="AE924" i="13" s="1"/>
  <c r="AE925" i="13" a="1"/>
  <c r="AE925" i="13" s="1"/>
  <c r="AE926" i="13" a="1"/>
  <c r="AE926" i="13"/>
  <c r="AE927" i="13" a="1"/>
  <c r="AE927" i="13" s="1"/>
  <c r="AE928" i="13" a="1"/>
  <c r="AE928" i="13" s="1"/>
  <c r="AE929" i="13" a="1"/>
  <c r="AE929" i="13" s="1"/>
  <c r="AE930" i="13" a="1"/>
  <c r="AE930" i="13" s="1"/>
  <c r="AE931" i="13" a="1"/>
  <c r="AE931" i="13" s="1"/>
  <c r="AE932" i="13" a="1"/>
  <c r="AE932" i="13"/>
  <c r="AE933" i="13" a="1"/>
  <c r="AE933" i="13" s="1"/>
  <c r="AE934" i="13" a="1"/>
  <c r="AE934" i="13" s="1"/>
  <c r="AE935" i="13" a="1"/>
  <c r="AE935" i="13" s="1"/>
  <c r="AE936" i="13" a="1"/>
  <c r="AE936" i="13" s="1"/>
  <c r="AE937" i="13" a="1"/>
  <c r="AE937" i="13" s="1"/>
  <c r="AE938" i="13" a="1"/>
  <c r="AE938" i="13"/>
  <c r="AE939" i="13" a="1"/>
  <c r="AE939" i="13" s="1"/>
  <c r="AE940" i="13" a="1"/>
  <c r="AE940" i="13" s="1"/>
  <c r="AE941" i="13" a="1"/>
  <c r="AE941" i="13" s="1"/>
  <c r="AE942" i="13" a="1"/>
  <c r="AE942" i="13" s="1"/>
  <c r="AE943" i="13" a="1"/>
  <c r="AE943" i="13" s="1"/>
  <c r="AE944" i="13" a="1"/>
  <c r="AE944" i="13"/>
  <c r="AE945" i="13" a="1"/>
  <c r="AE945" i="13" s="1"/>
  <c r="AE946" i="13" a="1"/>
  <c r="AE946" i="13" s="1"/>
  <c r="AE947" i="13" a="1"/>
  <c r="AE947" i="13" s="1"/>
  <c r="AE948" i="13" a="1"/>
  <c r="AE948" i="13" s="1"/>
  <c r="AE949" i="13" a="1"/>
  <c r="AE949" i="13" s="1"/>
  <c r="AE950" i="13" a="1"/>
  <c r="AE950" i="13"/>
  <c r="AE951" i="13" a="1"/>
  <c r="AE951" i="13" s="1"/>
  <c r="AE952" i="13" a="1"/>
  <c r="AE952" i="13" s="1"/>
  <c r="AE953" i="13" a="1"/>
  <c r="AE953" i="13" s="1"/>
  <c r="AE954" i="13" a="1"/>
  <c r="AE954" i="13" s="1"/>
  <c r="AE955" i="13" a="1"/>
  <c r="AE955" i="13" s="1"/>
  <c r="AE956" i="13" a="1"/>
  <c r="AE956" i="13" s="1"/>
  <c r="AE957" i="13" a="1"/>
  <c r="AE957" i="13" s="1"/>
  <c r="AE958" i="13" a="1"/>
  <c r="AE958" i="13" s="1"/>
  <c r="AE959" i="13" a="1"/>
  <c r="AE959" i="13" s="1"/>
  <c r="AE960" i="13" a="1"/>
  <c r="AE960" i="13" s="1"/>
  <c r="AE961" i="13" a="1"/>
  <c r="AE961" i="13" s="1"/>
  <c r="AE962" i="13" a="1"/>
  <c r="AE962" i="13"/>
  <c r="AE963" i="13" a="1"/>
  <c r="AE963" i="13" s="1"/>
  <c r="AE964" i="13" a="1"/>
  <c r="AE964" i="13" s="1"/>
  <c r="AE965" i="13" a="1"/>
  <c r="AE965" i="13" s="1"/>
  <c r="AE966" i="13" a="1"/>
  <c r="AE966" i="13" s="1"/>
  <c r="AE967" i="13" a="1"/>
  <c r="AE967" i="13" s="1"/>
  <c r="AE968" i="13" a="1"/>
  <c r="AE968" i="13"/>
  <c r="AE969" i="13" a="1"/>
  <c r="AE969" i="13" s="1"/>
  <c r="AE970" i="13" a="1"/>
  <c r="AE970" i="13" s="1"/>
  <c r="AE971" i="13" a="1"/>
  <c r="AE971" i="13" s="1"/>
  <c r="AE972" i="13" a="1"/>
  <c r="AE972" i="13" s="1"/>
  <c r="AE973" i="13" a="1"/>
  <c r="AE973" i="13" s="1"/>
  <c r="AE974" i="13" a="1"/>
  <c r="AE974" i="13"/>
  <c r="AE975" i="13" a="1"/>
  <c r="AE975" i="13" s="1"/>
  <c r="AE976" i="13" a="1"/>
  <c r="AE976" i="13" s="1"/>
  <c r="AE977" i="13" a="1"/>
  <c r="AE977" i="13" s="1"/>
  <c r="AE978" i="13" a="1"/>
  <c r="AE978" i="13" s="1"/>
  <c r="AE979" i="13" a="1"/>
  <c r="AE979" i="13" s="1"/>
  <c r="AE980" i="13" a="1"/>
  <c r="AE980" i="13"/>
  <c r="AE981" i="13" a="1"/>
  <c r="AE981" i="13" s="1"/>
  <c r="AE982" i="13" a="1"/>
  <c r="AE982" i="13" s="1"/>
  <c r="AE983" i="13" a="1"/>
  <c r="AE983" i="13" s="1"/>
  <c r="AE984" i="13" a="1"/>
  <c r="AE984" i="13" s="1"/>
  <c r="AE985" i="13" a="1"/>
  <c r="AE985" i="13" s="1"/>
  <c r="AE986" i="13" a="1"/>
  <c r="AE986" i="13"/>
  <c r="AE987" i="13" a="1"/>
  <c r="AE987" i="13" s="1"/>
  <c r="AE988" i="13" a="1"/>
  <c r="AE988" i="13" s="1"/>
  <c r="AE989" i="13" a="1"/>
  <c r="AE989" i="13" s="1"/>
  <c r="AE990" i="13" a="1"/>
  <c r="AE990" i="13" s="1"/>
  <c r="AE991" i="13" a="1"/>
  <c r="AE991" i="13" s="1"/>
  <c r="AE992" i="13" a="1"/>
  <c r="AE992" i="13"/>
  <c r="AE993" i="13" a="1"/>
  <c r="AE993" i="13" s="1"/>
  <c r="AE994" i="13" a="1"/>
  <c r="AE994" i="13" s="1"/>
  <c r="AE995" i="13" a="1"/>
  <c r="AE995" i="13" s="1"/>
  <c r="AE996" i="13" a="1"/>
  <c r="AE996" i="13" s="1"/>
  <c r="AE997" i="13" a="1"/>
  <c r="AE997" i="13" s="1"/>
  <c r="AE998" i="13" a="1"/>
  <c r="AE998" i="13"/>
  <c r="AE999" i="13" a="1"/>
  <c r="AE999" i="13" s="1"/>
  <c r="AE1000" i="13" a="1"/>
  <c r="AE1000" i="13" s="1"/>
  <c r="AE1001" i="13" a="1"/>
  <c r="AE1001" i="13" s="1"/>
  <c r="AE1002" i="13" a="1"/>
  <c r="AE1002" i="13" s="1"/>
  <c r="AE1003" i="13" a="1"/>
  <c r="AE1003" i="13" s="1"/>
  <c r="AE1004" i="13" a="1"/>
  <c r="AE1004" i="13"/>
  <c r="AE1005" i="13" a="1"/>
  <c r="AE1005" i="13" s="1"/>
  <c r="AE1006" i="13" a="1"/>
  <c r="AE1006" i="13" s="1"/>
  <c r="AE1007" i="13" a="1"/>
  <c r="AE1007" i="13" s="1"/>
  <c r="AE1008" i="13" a="1"/>
  <c r="AE1008" i="13" s="1"/>
  <c r="AE1009" i="13" a="1"/>
  <c r="AE1009" i="13" s="1"/>
  <c r="AE1010" i="13" a="1"/>
  <c r="AE1010" i="13"/>
  <c r="AE1011" i="13" a="1"/>
  <c r="AE1011" i="13" s="1"/>
  <c r="AE1012" i="13" a="1"/>
  <c r="AE1012" i="13" s="1"/>
  <c r="AE1013" i="13" a="1"/>
  <c r="AE1013" i="13" s="1"/>
  <c r="AE1014" i="13" a="1"/>
  <c r="AE1014" i="13" s="1"/>
  <c r="AE1015" i="13" a="1"/>
  <c r="AE1015" i="13" s="1"/>
  <c r="AE1016" i="13" a="1"/>
  <c r="AE1016" i="13" s="1"/>
  <c r="AE1017" i="13" a="1"/>
  <c r="AE1017" i="13" s="1"/>
  <c r="AE1018" i="13" a="1"/>
  <c r="AE1018" i="13" s="1"/>
  <c r="AE1019" i="13" a="1"/>
  <c r="AE1019" i="13" s="1"/>
  <c r="AE1020" i="13" a="1"/>
  <c r="AE1020" i="13" s="1"/>
  <c r="AE1021" i="13" a="1"/>
  <c r="AE1021" i="13" s="1"/>
  <c r="AE1022" i="13" a="1"/>
  <c r="AE1022" i="13" s="1"/>
  <c r="AE1023" i="13" a="1"/>
  <c r="AE1023" i="13" s="1"/>
  <c r="AE1024" i="13" a="1"/>
  <c r="AE1024" i="13" s="1"/>
  <c r="AE1025" i="13" a="1"/>
  <c r="AE1025" i="13" s="1"/>
  <c r="AE1026" i="13" a="1"/>
  <c r="AE1026" i="13" s="1"/>
  <c r="AE1027" i="13" a="1"/>
  <c r="AE1027" i="13" s="1"/>
  <c r="AE1028" i="13" a="1"/>
  <c r="AE1028" i="13" s="1"/>
  <c r="AE1029" i="13" a="1"/>
  <c r="AE1029" i="13" s="1"/>
  <c r="AE1030" i="13" a="1"/>
  <c r="AE1030" i="13" s="1"/>
  <c r="AE1031" i="13" a="1"/>
  <c r="AE1031" i="13" s="1"/>
  <c r="AE1032" i="13" a="1"/>
  <c r="AE1032" i="13" s="1"/>
  <c r="AE1033" i="13" a="1"/>
  <c r="AE1033" i="13" s="1"/>
  <c r="AE1034" i="13" a="1"/>
  <c r="AE1034" i="13" s="1"/>
  <c r="AE1035" i="13" a="1"/>
  <c r="AE1035" i="13" s="1"/>
  <c r="AE1036" i="13" a="1"/>
  <c r="AE1036" i="13" s="1"/>
  <c r="AE1037" i="13" a="1"/>
  <c r="AE1037" i="13" s="1"/>
  <c r="AE1038" i="13" a="1"/>
  <c r="AE1038" i="13" s="1"/>
  <c r="AE1039" i="13" a="1"/>
  <c r="AE1039" i="13" s="1"/>
  <c r="AE1040" i="13" a="1"/>
  <c r="AE1040" i="13" s="1"/>
  <c r="AE1041" i="13" a="1"/>
  <c r="AE1041" i="13" s="1"/>
  <c r="AE1042" i="13" a="1"/>
  <c r="AE1042" i="13" s="1"/>
  <c r="AE1043" i="13" a="1"/>
  <c r="AE1043" i="13" s="1"/>
  <c r="AE1044" i="13" a="1"/>
  <c r="AE1044" i="13" s="1"/>
  <c r="AE1045" i="13" a="1"/>
  <c r="AE1045" i="13" s="1"/>
  <c r="AE1046" i="13" a="1"/>
  <c r="AE1046" i="13" s="1"/>
  <c r="AE1047" i="13" a="1"/>
  <c r="AE1047" i="13" s="1"/>
  <c r="AE1048" i="13" a="1"/>
  <c r="AE1048" i="13" s="1"/>
  <c r="AE1049" i="13" a="1"/>
  <c r="AE1049" i="13" s="1"/>
  <c r="AE1050" i="13" a="1"/>
  <c r="AE1050" i="13" s="1"/>
  <c r="AE1051" i="13" a="1"/>
  <c r="AE1051" i="13" s="1"/>
  <c r="AE1052" i="13" a="1"/>
  <c r="AE1052" i="13" s="1"/>
  <c r="AE1053" i="13" a="1"/>
  <c r="AE1053" i="13" s="1"/>
  <c r="AE1054" i="13" a="1"/>
  <c r="AE1054" i="13" s="1"/>
  <c r="AE1055" i="13" a="1"/>
  <c r="AE1055" i="13" s="1"/>
  <c r="AE1056" i="13" a="1"/>
  <c r="AE1056" i="13" s="1"/>
  <c r="AE1057" i="13" a="1"/>
  <c r="AE1057" i="13" s="1"/>
  <c r="AE1058" i="13" a="1"/>
  <c r="AE1058" i="13"/>
  <c r="AE1059" i="13" a="1"/>
  <c r="AE1059" i="13" s="1"/>
  <c r="AE1060" i="13" a="1"/>
  <c r="AE1060" i="13" s="1"/>
  <c r="AE1061" i="13" a="1"/>
  <c r="AE1061" i="13" s="1"/>
  <c r="AE1062" i="13" a="1"/>
  <c r="AE1062" i="13" s="1"/>
  <c r="AE1063" i="13" a="1"/>
  <c r="AE1063" i="13" s="1"/>
  <c r="AE1064" i="13" a="1"/>
  <c r="AE1064" i="13"/>
  <c r="AE1065" i="13" a="1"/>
  <c r="AE1065" i="13" s="1"/>
  <c r="AE1066" i="13" a="1"/>
  <c r="AE1066" i="13" s="1"/>
  <c r="AE1067" i="13" a="1"/>
  <c r="AE1067" i="13" s="1"/>
  <c r="AE1068" i="13" a="1"/>
  <c r="AE1068" i="13" s="1"/>
  <c r="AE1069" i="13" a="1"/>
  <c r="AE1069" i="13" s="1"/>
  <c r="AE1070" i="13" a="1"/>
  <c r="AE1070" i="13"/>
  <c r="AE1071" i="13" a="1"/>
  <c r="AE1071" i="13" s="1"/>
  <c r="AE1072" i="13" a="1"/>
  <c r="AE1072" i="13" s="1"/>
  <c r="AE1073" i="13" a="1"/>
  <c r="AE1073" i="13" s="1"/>
  <c r="AE1074" i="13" a="1"/>
  <c r="AE1074" i="13" s="1"/>
  <c r="AE1075" i="13" a="1"/>
  <c r="AE1075" i="13" s="1"/>
  <c r="AE1076" i="13" a="1"/>
  <c r="AE1076" i="13"/>
  <c r="AE1077" i="13" a="1"/>
  <c r="AE1077" i="13" s="1"/>
  <c r="AE1078" i="13" a="1"/>
  <c r="AE1078" i="13" s="1"/>
  <c r="AE1079" i="13" a="1"/>
  <c r="AE1079" i="13" s="1"/>
  <c r="AE1080" i="13" a="1"/>
  <c r="AE1080" i="13" s="1"/>
  <c r="AE1081" i="13" a="1"/>
  <c r="AE1081" i="13" s="1"/>
  <c r="AE1082" i="13" a="1"/>
  <c r="AE1082" i="13"/>
  <c r="AE1083" i="13" a="1"/>
  <c r="AE1083" i="13" s="1"/>
  <c r="AE1084" i="13" a="1"/>
  <c r="AE1084" i="13" s="1"/>
  <c r="AE1085" i="13" a="1"/>
  <c r="AE1085" i="13" s="1"/>
  <c r="AE1086" i="13" a="1"/>
  <c r="AE1086" i="13" s="1"/>
  <c r="AE1087" i="13" a="1"/>
  <c r="AE1087" i="13" s="1"/>
  <c r="AE1088" i="13" a="1"/>
  <c r="AE1088" i="13" s="1"/>
  <c r="AE1089" i="13" a="1"/>
  <c r="AE1089" i="13" s="1"/>
  <c r="AE1090" i="13" a="1"/>
  <c r="AE1090" i="13" s="1"/>
  <c r="AE1091" i="13" a="1"/>
  <c r="AE1091" i="13" s="1"/>
  <c r="AE1092" i="13" a="1"/>
  <c r="AE1092" i="13" s="1"/>
  <c r="AE1093" i="13" a="1"/>
  <c r="AE1093" i="13" s="1"/>
  <c r="AE1094" i="13" a="1"/>
  <c r="AE1094" i="13" s="1"/>
  <c r="AE1095" i="13" a="1"/>
  <c r="AE1095" i="13" s="1"/>
  <c r="AE1096" i="13" a="1"/>
  <c r="AE1096" i="13" s="1"/>
  <c r="AE1097" i="13" a="1"/>
  <c r="AE1097" i="13" s="1"/>
  <c r="AE1098" i="13" a="1"/>
  <c r="AE1098" i="13" s="1"/>
  <c r="AE1099" i="13" a="1"/>
  <c r="AE1099" i="13" s="1"/>
  <c r="AE1100" i="13" a="1"/>
  <c r="AE1100" i="13" s="1"/>
  <c r="AE1101" i="13" a="1"/>
  <c r="AE1101" i="13" s="1"/>
  <c r="AE1102" i="13" a="1"/>
  <c r="AE1102" i="13" s="1"/>
  <c r="AE1103" i="13" a="1"/>
  <c r="AE1103" i="13" s="1"/>
  <c r="AE1104" i="13" a="1"/>
  <c r="AE1104" i="13" s="1"/>
  <c r="AE1105" i="13" a="1"/>
  <c r="AE1105" i="13" s="1"/>
  <c r="AE1106" i="13" a="1"/>
  <c r="AE1106" i="13" s="1"/>
  <c r="AE1107" i="13" a="1"/>
  <c r="AE1107" i="13" s="1"/>
  <c r="AE1108" i="13" a="1"/>
  <c r="AE1108" i="13" s="1"/>
  <c r="AE1109" i="13" a="1"/>
  <c r="AE1109" i="13" s="1"/>
  <c r="AE1110" i="13" a="1"/>
  <c r="AE1110" i="13" s="1"/>
  <c r="AE1111" i="13" a="1"/>
  <c r="AE1111" i="13" s="1"/>
  <c r="AE1112" i="13" a="1"/>
  <c r="AE1112" i="13" s="1"/>
  <c r="AE1113" i="13" a="1"/>
  <c r="AE1113" i="13" s="1"/>
  <c r="AE1114" i="13" a="1"/>
  <c r="AE1114" i="13" s="1"/>
  <c r="AE1115" i="13" a="1"/>
  <c r="AE1115" i="13" s="1"/>
  <c r="AE1116" i="13" a="1"/>
  <c r="AE1116" i="13" s="1"/>
  <c r="AE1117" i="13" a="1"/>
  <c r="AE1117" i="13" s="1"/>
  <c r="AE1118" i="13" a="1"/>
  <c r="AE1118" i="13" s="1"/>
  <c r="AE1119" i="13" a="1"/>
  <c r="AE1119" i="13" s="1"/>
  <c r="AE1120" i="13" a="1"/>
  <c r="AE1120" i="13" s="1"/>
  <c r="AE1121" i="13" a="1"/>
  <c r="AE1121" i="13" s="1"/>
  <c r="AE1122" i="13" a="1"/>
  <c r="AE1122" i="13" s="1"/>
  <c r="AE1123" i="13" a="1"/>
  <c r="AE1123" i="13" s="1"/>
  <c r="AE1124" i="13" a="1"/>
  <c r="AE1124" i="13" s="1"/>
  <c r="AE1125" i="13" a="1"/>
  <c r="AE1125" i="13" s="1"/>
  <c r="AE1126" i="13" a="1"/>
  <c r="AE1126" i="13" s="1"/>
  <c r="AE1127" i="13" a="1"/>
  <c r="AE1127" i="13" s="1"/>
  <c r="AE1128" i="13" a="1"/>
  <c r="AE1128" i="13" s="1"/>
  <c r="AE1129" i="13" a="1"/>
  <c r="AE1129" i="13" s="1"/>
  <c r="AE1130" i="13" a="1"/>
  <c r="AE1130" i="13"/>
  <c r="AE1131" i="13" a="1"/>
  <c r="AE1131" i="13" s="1"/>
  <c r="AE1132" i="13" a="1"/>
  <c r="AE1132" i="13" s="1"/>
  <c r="AE1133" i="13" a="1"/>
  <c r="AE1133" i="13" s="1"/>
  <c r="AE1134" i="13" a="1"/>
  <c r="AE1134" i="13" s="1"/>
  <c r="AE1135" i="13" a="1"/>
  <c r="AE1135" i="13" s="1"/>
  <c r="AE1136" i="13" a="1"/>
  <c r="AE1136" i="13"/>
  <c r="AE1137" i="13" a="1"/>
  <c r="AE1137" i="13" s="1"/>
  <c r="AE1138" i="13" a="1"/>
  <c r="AE1138" i="13" s="1"/>
  <c r="AE1139" i="13" a="1"/>
  <c r="AE1139" i="13" s="1"/>
  <c r="AE1140" i="13" a="1"/>
  <c r="AE1140" i="13" s="1"/>
  <c r="AE1141" i="13" a="1"/>
  <c r="AE1141" i="13" s="1"/>
  <c r="AE1142" i="13" a="1"/>
  <c r="AE1142" i="13" s="1"/>
  <c r="AE1143" i="13" a="1"/>
  <c r="AE1143" i="13" s="1"/>
  <c r="AE1144" i="13" a="1"/>
  <c r="AE1144" i="13" s="1"/>
  <c r="AE1145" i="13" a="1"/>
  <c r="AE1145" i="13" s="1"/>
  <c r="AE1146" i="13" a="1"/>
  <c r="AE1146" i="13" s="1"/>
  <c r="AE1147" i="13" a="1"/>
  <c r="AE1147" i="13" s="1"/>
  <c r="AE1148" i="13" a="1"/>
  <c r="AE1148" i="13"/>
  <c r="AE1149" i="13" a="1"/>
  <c r="AE1149" i="13" s="1"/>
  <c r="AE1150" i="13" a="1"/>
  <c r="AE1150" i="13" s="1"/>
  <c r="AE1151" i="13" a="1"/>
  <c r="AE1151" i="13" s="1"/>
  <c r="AE1152" i="13" a="1"/>
  <c r="AE1152" i="13" s="1"/>
  <c r="AE1153" i="13" a="1"/>
  <c r="AE1153" i="13" s="1"/>
  <c r="AE1154" i="13" a="1"/>
  <c r="AE1154" i="13"/>
  <c r="AE1155" i="13" a="1"/>
  <c r="AE1155" i="13" s="1"/>
  <c r="AE1156" i="13" a="1"/>
  <c r="AE1156" i="13" s="1"/>
  <c r="AE1157" i="13" a="1"/>
  <c r="AE1157" i="13" s="1"/>
  <c r="AE1158" i="13" a="1"/>
  <c r="AE1158" i="13" s="1"/>
  <c r="AE1159" i="13" a="1"/>
  <c r="AE1159" i="13" s="1"/>
  <c r="AE1160" i="13" a="1"/>
  <c r="AE1160" i="13" s="1"/>
  <c r="AE1161" i="13" a="1"/>
  <c r="AE1161" i="13" s="1"/>
  <c r="AE1162" i="13" a="1"/>
  <c r="AE1162" i="13" s="1"/>
  <c r="AE1163" i="13" a="1"/>
  <c r="AE1163" i="13" s="1"/>
  <c r="AE1164" i="13" a="1"/>
  <c r="AE1164" i="13" s="1"/>
  <c r="AE1165" i="13" a="1"/>
  <c r="AE1165" i="13" s="1"/>
  <c r="AE1166" i="13" a="1"/>
  <c r="AE1166" i="13" s="1"/>
  <c r="AE1167" i="13" a="1"/>
  <c r="AE1167" i="13" s="1"/>
  <c r="AE1168" i="13" a="1"/>
  <c r="AE1168" i="13" s="1"/>
  <c r="AE1169" i="13" a="1"/>
  <c r="AE1169" i="13" s="1"/>
  <c r="AE1170" i="13" a="1"/>
  <c r="AE1170" i="13" s="1"/>
  <c r="AE1171" i="13" a="1"/>
  <c r="AE1171" i="13" s="1"/>
  <c r="AE1172" i="13" a="1"/>
  <c r="AE1172" i="13" s="1"/>
  <c r="AE1173" i="13" a="1"/>
  <c r="AE1173" i="13" s="1"/>
  <c r="AE1174" i="13" a="1"/>
  <c r="AE1174" i="13" s="1"/>
  <c r="AE1175" i="13" a="1"/>
  <c r="AE1175" i="13" s="1"/>
  <c r="AE1176" i="13" a="1"/>
  <c r="AE1176" i="13" s="1"/>
  <c r="AE1177" i="13" a="1"/>
  <c r="AE1177" i="13" s="1"/>
  <c r="AE1178" i="13" a="1"/>
  <c r="AE1178" i="13" s="1"/>
  <c r="AE1179" i="13" a="1"/>
  <c r="AE1179" i="13" s="1"/>
  <c r="AE1180" i="13" a="1"/>
  <c r="AE1180" i="13" s="1"/>
  <c r="AE1181" i="13" a="1"/>
  <c r="AE1181" i="13" s="1"/>
  <c r="AE1182" i="13" a="1"/>
  <c r="AE1182" i="13" s="1"/>
  <c r="AE1183" i="13" a="1"/>
  <c r="AE1183" i="13" s="1"/>
  <c r="AE1184" i="13" a="1"/>
  <c r="AE1184" i="13" s="1"/>
  <c r="AE1185" i="13" a="1"/>
  <c r="AE1185" i="13" s="1"/>
  <c r="AE1186" i="13" a="1"/>
  <c r="AE1186" i="13" s="1"/>
  <c r="AE1187" i="13" a="1"/>
  <c r="AE1187" i="13"/>
  <c r="AE1188" i="13" a="1"/>
  <c r="AE1188" i="13" s="1"/>
  <c r="AE1189" i="13" a="1"/>
  <c r="AE1189" i="13" s="1"/>
  <c r="AE1190" i="13" a="1"/>
  <c r="AE1190" i="13"/>
  <c r="AE1191" i="13" a="1"/>
  <c r="AE1191" i="13" s="1"/>
  <c r="AE1192" i="13" a="1"/>
  <c r="AE1192" i="13" s="1"/>
  <c r="AE1193" i="13" a="1"/>
  <c r="AE1193" i="13"/>
  <c r="AE1194" i="13" a="1"/>
  <c r="AE1194" i="13" s="1"/>
  <c r="AE1195" i="13" a="1"/>
  <c r="AE1195" i="13"/>
  <c r="AE1196" i="13" a="1"/>
  <c r="AE1196" i="13"/>
  <c r="AE1197" i="13" a="1"/>
  <c r="AE1197" i="13" s="1"/>
  <c r="AE1198" i="13" a="1"/>
  <c r="AE1198" i="13" s="1"/>
  <c r="AE1199" i="13" a="1"/>
  <c r="AE1199" i="13" s="1"/>
  <c r="AE1200" i="13" a="1"/>
  <c r="AE1200" i="13" s="1"/>
  <c r="AE1201" i="13" a="1"/>
  <c r="AE1201" i="13"/>
  <c r="AE1202" i="13" a="1"/>
  <c r="AE1202" i="13" s="1"/>
  <c r="AE1203" i="13" a="1"/>
  <c r="AE1203" i="13" s="1"/>
  <c r="AE1204" i="13" a="1"/>
  <c r="AE1204" i="13" s="1"/>
  <c r="AE1205" i="13" a="1"/>
  <c r="AE1205" i="13" s="1"/>
  <c r="AE1206" i="13" a="1"/>
  <c r="AE1206" i="13" s="1"/>
  <c r="AE1207" i="13" a="1"/>
  <c r="AE1207" i="13" s="1"/>
  <c r="AE1208" i="13" a="1"/>
  <c r="AE1208" i="13" s="1"/>
  <c r="AE1209" i="13" a="1"/>
  <c r="AE1209" i="13" s="1"/>
  <c r="AE1210" i="13" a="1"/>
  <c r="AE1210" i="13" s="1"/>
  <c r="AE1211" i="13" a="1"/>
  <c r="AE1211" i="13"/>
  <c r="AE1212" i="13" a="1"/>
  <c r="AE1212" i="13" s="1"/>
  <c r="AE1213" i="13" a="1"/>
  <c r="AE1213" i="13" s="1"/>
  <c r="AE1214" i="13" a="1"/>
  <c r="AE1214" i="13"/>
  <c r="AE1215" i="13" a="1"/>
  <c r="AE1215" i="13" s="1"/>
  <c r="AE1216" i="13" a="1"/>
  <c r="AE1216" i="13" s="1"/>
  <c r="AE1217" i="13" a="1"/>
  <c r="AE1217" i="13"/>
  <c r="AE1218" i="13" a="1"/>
  <c r="AE1218" i="13" s="1"/>
  <c r="AE1219" i="13" a="1"/>
  <c r="AE1219" i="13"/>
  <c r="AE1220" i="13" a="1"/>
  <c r="AE1220" i="13"/>
  <c r="AE1221" i="13" a="1"/>
  <c r="AE1221" i="13" s="1"/>
  <c r="AE1222" i="13" a="1"/>
  <c r="AE1222" i="13" s="1"/>
  <c r="AE1223" i="13" a="1"/>
  <c r="AE1223" i="13" s="1"/>
  <c r="AE1224" i="13" a="1"/>
  <c r="AE1224" i="13" s="1"/>
  <c r="AE1225" i="13" a="1"/>
  <c r="AE1225" i="13"/>
  <c r="AE1226" i="13" a="1"/>
  <c r="AE1226" i="13" s="1"/>
  <c r="AE1227" i="13" a="1"/>
  <c r="AE1227" i="13" s="1"/>
  <c r="AE1228" i="13" a="1"/>
  <c r="AE1228" i="13" s="1"/>
  <c r="AE1229" i="13" a="1"/>
  <c r="AE1229" i="13" s="1"/>
  <c r="AE1230" i="13" a="1"/>
  <c r="AE1230" i="13" s="1"/>
  <c r="AE1231" i="13" a="1"/>
  <c r="AE1231" i="13" s="1"/>
  <c r="AE1232" i="13" a="1"/>
  <c r="AE1232" i="13" s="1"/>
  <c r="AE1233" i="13" a="1"/>
  <c r="AE1233" i="13" s="1"/>
  <c r="AE1234" i="13" a="1"/>
  <c r="AE1234" i="13" s="1"/>
  <c r="AE1235" i="13" a="1"/>
  <c r="AE1235" i="13"/>
  <c r="AE1236" i="13" a="1"/>
  <c r="AE1236" i="13" s="1"/>
  <c r="AE1237" i="13" a="1"/>
  <c r="AE1237" i="13" s="1"/>
  <c r="AE1238" i="13" a="1"/>
  <c r="AE1238" i="13"/>
  <c r="AE1239" i="13" a="1"/>
  <c r="AE1239" i="13" s="1"/>
  <c r="AE1240" i="13" a="1"/>
  <c r="AE1240" i="13" s="1"/>
  <c r="AE1241" i="13" a="1"/>
  <c r="AE1241" i="13"/>
  <c r="AE1242" i="13" a="1"/>
  <c r="AE1242" i="13" s="1"/>
  <c r="AE1243" i="13" a="1"/>
  <c r="AE1243" i="13"/>
  <c r="AE1244" i="13" a="1"/>
  <c r="AE1244" i="13"/>
  <c r="AE1245" i="13" a="1"/>
  <c r="AE1245" i="13" s="1"/>
  <c r="AE1246" i="13" a="1"/>
  <c r="AE1246" i="13" s="1"/>
  <c r="AE1247" i="13" a="1"/>
  <c r="AE1247" i="13" s="1"/>
  <c r="AE1248" i="13" a="1"/>
  <c r="AE1248" i="13" s="1"/>
  <c r="AE1249" i="13" a="1"/>
  <c r="AE1249" i="13"/>
  <c r="AE1250" i="13" a="1"/>
  <c r="AE1250" i="13" s="1"/>
  <c r="AE1251" i="13" a="1"/>
  <c r="AE1251" i="13" s="1"/>
  <c r="AE1252" i="13" a="1"/>
  <c r="AE1252" i="13" s="1"/>
  <c r="AE1253" i="13" a="1"/>
  <c r="AE1253" i="13" s="1"/>
  <c r="AE1254" i="13" a="1"/>
  <c r="AE1254" i="13" s="1"/>
  <c r="AE1255" i="13" a="1"/>
  <c r="AE1255" i="13" s="1"/>
  <c r="AE1256" i="13" a="1"/>
  <c r="AE1256" i="13" s="1"/>
  <c r="AE1257" i="13" a="1"/>
  <c r="AE1257" i="13" s="1"/>
  <c r="AE1258" i="13" a="1"/>
  <c r="AE1258" i="13" s="1"/>
  <c r="AE1259" i="13" a="1"/>
  <c r="AE1259" i="13"/>
  <c r="AE1260" i="13" a="1"/>
  <c r="AE1260" i="13" s="1"/>
  <c r="AE1261" i="13" a="1"/>
  <c r="AE1261" i="13" s="1"/>
  <c r="AE1262" i="13" a="1"/>
  <c r="AE1262" i="13"/>
  <c r="AE1263" i="13" a="1"/>
  <c r="AE1263" i="13" s="1"/>
  <c r="AE1264" i="13" a="1"/>
  <c r="AE1264" i="13" s="1"/>
  <c r="AE1265" i="13" a="1"/>
  <c r="AE1265" i="13"/>
  <c r="AE1266" i="13" a="1"/>
  <c r="AE1266" i="13" s="1"/>
  <c r="AE1267" i="13" a="1"/>
  <c r="AE1267" i="13"/>
  <c r="AE1268" i="13" a="1"/>
  <c r="AE1268" i="13"/>
  <c r="AE1269" i="13" a="1"/>
  <c r="AE1269" i="13" s="1"/>
  <c r="AE1270" i="13" a="1"/>
  <c r="AE1270" i="13" s="1"/>
  <c r="AE1271" i="13" a="1"/>
  <c r="AE1271" i="13" s="1"/>
  <c r="AE1272" i="13" a="1"/>
  <c r="AE1272" i="13" s="1"/>
  <c r="AE1273" i="13" a="1"/>
  <c r="AE1273" i="13"/>
  <c r="AE1274" i="13" a="1"/>
  <c r="AE1274" i="13" s="1"/>
  <c r="AE1275" i="13" a="1"/>
  <c r="AE1275" i="13" s="1"/>
  <c r="AE1276" i="13" a="1"/>
  <c r="AE1276" i="13" s="1"/>
  <c r="AE1277" i="13" a="1"/>
  <c r="AE1277" i="13" s="1"/>
  <c r="AE1278" i="13" a="1"/>
  <c r="AE1278" i="13" s="1"/>
  <c r="AE1279" i="13" a="1"/>
  <c r="AE1279" i="13" s="1"/>
  <c r="AE1280" i="13" a="1"/>
  <c r="AE1280" i="13" s="1"/>
  <c r="AE1281" i="13" a="1"/>
  <c r="AE1281" i="13" s="1"/>
  <c r="AE1282" i="13" a="1"/>
  <c r="AE1282" i="13" s="1"/>
  <c r="AE1283" i="13" a="1"/>
  <c r="AE1283" i="13"/>
  <c r="AE1284" i="13" a="1"/>
  <c r="AE1284" i="13" s="1"/>
  <c r="AE1285" i="13" a="1"/>
  <c r="AE1285" i="13" s="1"/>
  <c r="AE1286" i="13" a="1"/>
  <c r="AE1286" i="13"/>
  <c r="AE1287" i="13" a="1"/>
  <c r="AE1287" i="13" s="1"/>
  <c r="AE1288" i="13" a="1"/>
  <c r="AE1288" i="13" s="1"/>
  <c r="AE1289" i="13" a="1"/>
  <c r="AE1289" i="13"/>
  <c r="AE1290" i="13" a="1"/>
  <c r="AE1290" i="13" s="1"/>
  <c r="AE1291" i="13" a="1"/>
  <c r="AE1291" i="13"/>
  <c r="AE1292" i="13" a="1"/>
  <c r="AE1292" i="13"/>
  <c r="AE1293" i="13" a="1"/>
  <c r="AE1293" i="13" s="1"/>
  <c r="AE1294" i="13" a="1"/>
  <c r="AE1294" i="13" s="1"/>
  <c r="AE1295" i="13" a="1"/>
  <c r="AE1295" i="13" s="1"/>
  <c r="AE1296" i="13" a="1"/>
  <c r="AE1296" i="13" s="1"/>
  <c r="AE1297" i="13" a="1"/>
  <c r="AE1297" i="13"/>
  <c r="AE1298" i="13" a="1"/>
  <c r="AE1298" i="13" s="1"/>
  <c r="AE1299" i="13" a="1"/>
  <c r="AE1299" i="13" s="1"/>
  <c r="AE1300" i="13" a="1"/>
  <c r="AE1300" i="13" s="1"/>
  <c r="AE1301" i="13" a="1"/>
  <c r="AE1301" i="13" s="1"/>
  <c r="AE1302" i="13" a="1"/>
  <c r="AE1302" i="13" s="1"/>
  <c r="AE1303" i="13" a="1"/>
  <c r="AE1303" i="13" s="1"/>
  <c r="AE1304" i="13" a="1"/>
  <c r="AE1304" i="13" s="1"/>
  <c r="AE1305" i="13" a="1"/>
  <c r="AE1305" i="13" s="1"/>
  <c r="AE1306" i="13" a="1"/>
  <c r="AE1306" i="13" s="1"/>
  <c r="AE1307" i="13" a="1"/>
  <c r="AE1307" i="13"/>
  <c r="AE1308" i="13" a="1"/>
  <c r="AE1308" i="13" s="1"/>
  <c r="AE1309" i="13" a="1"/>
  <c r="AE1309" i="13" s="1"/>
  <c r="AE1310" i="13" a="1"/>
  <c r="AE1310" i="13"/>
  <c r="AE1311" i="13" a="1"/>
  <c r="AE1311" i="13" s="1"/>
  <c r="AE1312" i="13" a="1"/>
  <c r="AE1312" i="13" s="1"/>
  <c r="AE1313" i="13" a="1"/>
  <c r="AE1313" i="13"/>
  <c r="AE1314" i="13" a="1"/>
  <c r="AE1314" i="13" s="1"/>
  <c r="AE1315" i="13" a="1"/>
  <c r="AE1315" i="13"/>
  <c r="AE1316" i="13" a="1"/>
  <c r="AE1316" i="13"/>
  <c r="AE1317" i="13" a="1"/>
  <c r="AE1317" i="13" s="1"/>
  <c r="AE1318" i="13" a="1"/>
  <c r="AE1318" i="13" s="1"/>
  <c r="AE1319" i="13" a="1"/>
  <c r="AE1319" i="13" s="1"/>
  <c r="AE1320" i="13" a="1"/>
  <c r="AE1320" i="13" s="1"/>
  <c r="AE1321" i="13" a="1"/>
  <c r="AE1321" i="13"/>
  <c r="AE1322" i="13" a="1"/>
  <c r="AE1322" i="13" s="1"/>
  <c r="AE1323" i="13" a="1"/>
  <c r="AE1323" i="13" s="1"/>
  <c r="AE1324" i="13" a="1"/>
  <c r="AE1324" i="13" s="1"/>
  <c r="AE1325" i="13" a="1"/>
  <c r="AE1325" i="13" s="1"/>
  <c r="AE1326" i="13" a="1"/>
  <c r="AE1326" i="13"/>
  <c r="AE1327" i="13" a="1"/>
  <c r="AE1327" i="13"/>
  <c r="AE1328" i="13" a="1"/>
  <c r="AE1328" i="13"/>
  <c r="AE1329" i="13" a="1"/>
  <c r="AE1329" i="13" s="1"/>
  <c r="AE1330" i="13" a="1"/>
  <c r="AE1330" i="13"/>
  <c r="AE1331" i="13" a="1"/>
  <c r="AE1331" i="13" s="1"/>
  <c r="AE1332" i="13" a="1"/>
  <c r="AE1332" i="13"/>
  <c r="AE1333" i="13" a="1"/>
  <c r="AE1333" i="13"/>
  <c r="AE1334" i="13" a="1"/>
  <c r="AE1334" i="13"/>
  <c r="AE1335" i="13" a="1"/>
  <c r="AE1335" i="13" s="1"/>
  <c r="AE1336" i="13" a="1"/>
  <c r="AE1336" i="13"/>
  <c r="AE1337" i="13" a="1"/>
  <c r="AE1337" i="13" s="1"/>
  <c r="AE1338" i="13" a="1"/>
  <c r="AE1338" i="13"/>
  <c r="AE1339" i="13" a="1"/>
  <c r="AE1339" i="13"/>
  <c r="AE1340" i="13" a="1"/>
  <c r="AE1340" i="13"/>
  <c r="AE1341" i="13" a="1"/>
  <c r="AE1341" i="13" s="1"/>
  <c r="AE1342" i="13" a="1"/>
  <c r="AE1342" i="13"/>
  <c r="AE1343" i="13" a="1"/>
  <c r="AE1343" i="13" s="1"/>
  <c r="AE1344" i="13" a="1"/>
  <c r="AE1344" i="13"/>
  <c r="AE1345" i="13" a="1"/>
  <c r="AE1345" i="13" s="1"/>
  <c r="AE1346" i="13" a="1"/>
  <c r="AE1346" i="13"/>
  <c r="AE1347" i="13" a="1"/>
  <c r="AE1347" i="13" s="1"/>
  <c r="AE1348" i="13" a="1"/>
  <c r="AE1348" i="13"/>
  <c r="AE1349" i="13" a="1"/>
  <c r="AE1349" i="13" s="1"/>
  <c r="AE1350" i="13" a="1"/>
  <c r="AE1350" i="13"/>
  <c r="AE1351" i="13" a="1"/>
  <c r="AE1351" i="13" s="1"/>
  <c r="AE1352" i="13" a="1"/>
  <c r="AE1352" i="13"/>
  <c r="AE1353" i="13" a="1"/>
  <c r="AE1353" i="13" s="1"/>
  <c r="AE1354" i="13" a="1"/>
  <c r="AE1354" i="13"/>
  <c r="AE1355" i="13" a="1"/>
  <c r="AE1355" i="13" s="1"/>
  <c r="AE1356" i="13" a="1"/>
  <c r="AE1356" i="13"/>
  <c r="AE1357" i="13" a="1"/>
  <c r="AE1357" i="13" s="1"/>
  <c r="AE1358" i="13" a="1"/>
  <c r="AE1358" i="13"/>
  <c r="AE1359" i="13" a="1"/>
  <c r="AE1359" i="13" s="1"/>
  <c r="AE1360" i="13" a="1"/>
  <c r="AE1360" i="13" s="1"/>
  <c r="AE1361" i="13" a="1"/>
  <c r="AE1361" i="13" s="1"/>
  <c r="AE1362" i="13" a="1"/>
  <c r="AE1362" i="13"/>
  <c r="AE1363" i="13" a="1"/>
  <c r="AE1363" i="13" s="1"/>
  <c r="AE1364" i="13" a="1"/>
  <c r="AE1364" i="13"/>
  <c r="AE1365" i="13" a="1"/>
  <c r="AE1365" i="13" s="1"/>
  <c r="AE1366" i="13" a="1"/>
  <c r="AE1366" i="13" s="1"/>
  <c r="AE1367" i="13" a="1"/>
  <c r="AE1367" i="13" s="1"/>
  <c r="AE1368" i="13" a="1"/>
  <c r="AE1368" i="13"/>
  <c r="AE1369" i="13" a="1"/>
  <c r="AE1369" i="13" s="1"/>
  <c r="AE1370" i="13" a="1"/>
  <c r="AE1370" i="13"/>
  <c r="AE1371" i="13" a="1"/>
  <c r="AE1371" i="13" s="1"/>
  <c r="AE1372" i="13" a="1"/>
  <c r="AE1372" i="13" s="1"/>
  <c r="AE1373" i="13" a="1"/>
  <c r="AE1373" i="13" s="1"/>
  <c r="AE1374" i="13" a="1"/>
  <c r="AE1374" i="13"/>
  <c r="AE1375" i="13" a="1"/>
  <c r="AE1375" i="13" s="1"/>
  <c r="AE1376" i="13" a="1"/>
  <c r="AE1376" i="13"/>
  <c r="AE1377" i="13" a="1"/>
  <c r="AE1377" i="13" s="1"/>
  <c r="AE1378" i="13" a="1"/>
  <c r="AE1378" i="13" s="1"/>
  <c r="AE1379" i="13" a="1"/>
  <c r="AE1379" i="13" s="1"/>
  <c r="AE1380" i="13" a="1"/>
  <c r="AE1380" i="13"/>
  <c r="AE1381" i="13" a="1"/>
  <c r="AE1381" i="13" s="1"/>
  <c r="AE1382" i="13" a="1"/>
  <c r="AE1382" i="13"/>
  <c r="AE1383" i="13" a="1"/>
  <c r="AE1383" i="13" s="1"/>
  <c r="AE1384" i="13" a="1"/>
  <c r="AE1384" i="13" s="1"/>
  <c r="AE1385" i="13" a="1"/>
  <c r="AE1385" i="13" s="1"/>
  <c r="AE1386" i="13" a="1"/>
  <c r="AE1386" i="13"/>
  <c r="AE1387" i="13" a="1"/>
  <c r="AE1387" i="13" s="1"/>
  <c r="AE1388" i="13" a="1"/>
  <c r="AE1388" i="13"/>
  <c r="AE1389" i="13" a="1"/>
  <c r="AE1389" i="13" s="1"/>
  <c r="AE1390" i="13" a="1"/>
  <c r="AE1390" i="13" s="1"/>
  <c r="AE1391" i="13" a="1"/>
  <c r="AE1391" i="13" s="1"/>
  <c r="AE1392" i="13" a="1"/>
  <c r="AE1392" i="13"/>
  <c r="AE1393" i="13" a="1"/>
  <c r="AE1393" i="13" s="1"/>
  <c r="AE1394" i="13" a="1"/>
  <c r="AE1394" i="13"/>
  <c r="AE1395" i="13" a="1"/>
  <c r="AE1395" i="13" s="1"/>
  <c r="AE1396" i="13" a="1"/>
  <c r="AE1396" i="13" s="1"/>
  <c r="AE1397" i="13" a="1"/>
  <c r="AE1397" i="13" s="1"/>
  <c r="AE1398" i="13" a="1"/>
  <c r="AE1398" i="13"/>
  <c r="AE1399" i="13" a="1"/>
  <c r="AE1399" i="13" s="1"/>
  <c r="AE1400" i="13" a="1"/>
  <c r="AE1400" i="13"/>
  <c r="AE1401" i="13" a="1"/>
  <c r="AE1401" i="13" s="1"/>
  <c r="AE1402" i="13" a="1"/>
  <c r="AE1402" i="13" s="1"/>
  <c r="AE1403" i="13" a="1"/>
  <c r="AE1403" i="13" s="1"/>
  <c r="AE1404" i="13" a="1"/>
  <c r="AE1404" i="13"/>
  <c r="AE1405" i="13" a="1"/>
  <c r="AE1405" i="13" s="1"/>
  <c r="AE1406" i="13" a="1"/>
  <c r="AE1406" i="13"/>
  <c r="AE1407" i="13" a="1"/>
  <c r="AE1407" i="13" s="1"/>
  <c r="AE1408" i="13" a="1"/>
  <c r="AE1408" i="13" s="1"/>
  <c r="AE1409" i="13" a="1"/>
  <c r="AE1409" i="13" s="1"/>
  <c r="AE1410" i="13" a="1"/>
  <c r="AE1410" i="13"/>
  <c r="AE1411" i="13" a="1"/>
  <c r="AE1411" i="13" s="1"/>
  <c r="AE1412" i="13" a="1"/>
  <c r="AE1412" i="13"/>
  <c r="AE1413" i="13" a="1"/>
  <c r="AE1413" i="13" s="1"/>
  <c r="AE1414" i="13" a="1"/>
  <c r="AE1414" i="13" s="1"/>
  <c r="AE1415" i="13" a="1"/>
  <c r="AE1415" i="13" s="1"/>
  <c r="AE1416" i="13" a="1"/>
  <c r="AE1416" i="13"/>
  <c r="AE1417" i="13" a="1"/>
  <c r="AE1417" i="13" s="1"/>
  <c r="AE1418" i="13" a="1"/>
  <c r="AE1418" i="13"/>
  <c r="AE1419" i="13" a="1"/>
  <c r="AE1419" i="13" s="1"/>
  <c r="AE1420" i="13" a="1"/>
  <c r="AE1420" i="13" s="1"/>
  <c r="AE1421" i="13" a="1"/>
  <c r="AE1421" i="13" s="1"/>
  <c r="AE1422" i="13" a="1"/>
  <c r="AE1422" i="13"/>
  <c r="AE1423" i="13" a="1"/>
  <c r="AE1423" i="13" s="1"/>
  <c r="AE1424" i="13" a="1"/>
  <c r="AE1424" i="13"/>
  <c r="AE1425" i="13" a="1"/>
  <c r="AE1425" i="13" s="1"/>
  <c r="AE1426" i="13" a="1"/>
  <c r="AE1426" i="13" s="1"/>
  <c r="AE1427" i="13" a="1"/>
  <c r="AE1427" i="13" s="1"/>
  <c r="AE1428" i="13" a="1"/>
  <c r="AE1428" i="13"/>
  <c r="AE1429" i="13" a="1"/>
  <c r="AE1429" i="13" s="1"/>
  <c r="AE1430" i="13" a="1"/>
  <c r="AE1430" i="13"/>
  <c r="AE1431" i="13" a="1"/>
  <c r="AE1431" i="13" s="1"/>
  <c r="AE1432" i="13" a="1"/>
  <c r="AE1432" i="13" s="1"/>
  <c r="AE1433" i="13" a="1"/>
  <c r="AE1433" i="13" s="1"/>
  <c r="AE1434" i="13" a="1"/>
  <c r="AE1434" i="13"/>
  <c r="AE1435" i="13" a="1"/>
  <c r="AE1435" i="13" s="1"/>
  <c r="AE1436" i="13" a="1"/>
  <c r="AE1436" i="13"/>
  <c r="AE1437" i="13" a="1"/>
  <c r="AE1437" i="13" s="1"/>
  <c r="AE1438" i="13" a="1"/>
  <c r="AE1438" i="13" s="1"/>
  <c r="AE1439" i="13" a="1"/>
  <c r="AE1439" i="13" s="1"/>
  <c r="AE1440" i="13" a="1"/>
  <c r="AE1440" i="13"/>
  <c r="AE1441" i="13" a="1"/>
  <c r="AE1441" i="13" s="1"/>
  <c r="AE1442" i="13" a="1"/>
  <c r="AE1442" i="13"/>
  <c r="AE1443" i="13" a="1"/>
  <c r="AE1443" i="13" s="1"/>
  <c r="AE1444" i="13" a="1"/>
  <c r="AE1444" i="13" s="1"/>
  <c r="AE1445" i="13" a="1"/>
  <c r="AE1445" i="13" s="1"/>
  <c r="AE1446" i="13" a="1"/>
  <c r="AE1446" i="13"/>
  <c r="AE1447" i="13" a="1"/>
  <c r="AE1447" i="13" s="1"/>
  <c r="AE1448" i="13" a="1"/>
  <c r="AE1448" i="13"/>
  <c r="AE1449" i="13" a="1"/>
  <c r="AE1449" i="13" s="1"/>
  <c r="AE1450" i="13" a="1"/>
  <c r="AE1450" i="13" s="1"/>
  <c r="AE1451" i="13" a="1"/>
  <c r="AE1451" i="13" s="1"/>
  <c r="AE1452" i="13" a="1"/>
  <c r="AE1452" i="13"/>
  <c r="AE1453" i="13" a="1"/>
  <c r="AE1453" i="13" s="1"/>
  <c r="AE1454" i="13" a="1"/>
  <c r="AE1454" i="13"/>
  <c r="AE1455" i="13" a="1"/>
  <c r="AE1455" i="13" s="1"/>
  <c r="AE1456" i="13" a="1"/>
  <c r="AE1456" i="13" s="1"/>
  <c r="AE1457" i="13" a="1"/>
  <c r="AE1457" i="13" s="1"/>
  <c r="AE1458" i="13" a="1"/>
  <c r="AE1458" i="13"/>
  <c r="AE1459" i="13" a="1"/>
  <c r="AE1459" i="13" s="1"/>
  <c r="AE1460" i="13" a="1"/>
  <c r="AE1460" i="13"/>
  <c r="AE1461" i="13" a="1"/>
  <c r="AE1461" i="13" s="1"/>
  <c r="AE1462" i="13" a="1"/>
  <c r="AE1462" i="13" s="1"/>
  <c r="AE1463" i="13" a="1"/>
  <c r="AE1463" i="13" s="1"/>
  <c r="AE1464" i="13" a="1"/>
  <c r="AE1464" i="13"/>
  <c r="AE1465" i="13" a="1"/>
  <c r="AE1465" i="13" s="1"/>
  <c r="AE1466" i="13" a="1"/>
  <c r="AE1466" i="13"/>
  <c r="AE1467" i="13" a="1"/>
  <c r="AE1467" i="13" s="1"/>
  <c r="AE1468" i="13" a="1"/>
  <c r="AE1468" i="13" s="1"/>
  <c r="AE1469" i="13" a="1"/>
  <c r="AE1469" i="13" s="1"/>
  <c r="AE1470" i="13" a="1"/>
  <c r="AE1470" i="13"/>
  <c r="AE1471" i="13" a="1"/>
  <c r="AE1471" i="13" s="1"/>
  <c r="AE1472" i="13" a="1"/>
  <c r="AE1472" i="13"/>
  <c r="AE1473" i="13" a="1"/>
  <c r="AE1473" i="13" s="1"/>
  <c r="AE1474" i="13" a="1"/>
  <c r="AE1474" i="13" s="1"/>
  <c r="AE1475" i="13" a="1"/>
  <c r="AE1475" i="13" s="1"/>
  <c r="AE1476" i="13" a="1"/>
  <c r="AE1476" i="13"/>
  <c r="AE1477" i="13" a="1"/>
  <c r="AE1477" i="13" s="1"/>
  <c r="AE1478" i="13" a="1"/>
  <c r="AE1478" i="13"/>
  <c r="AE1479" i="13" a="1"/>
  <c r="AE1479" i="13" s="1"/>
  <c r="AE1480" i="13" a="1"/>
  <c r="AE1480" i="13" s="1"/>
  <c r="AE1481" i="13" a="1"/>
  <c r="AE1481" i="13" s="1"/>
  <c r="AE1482" i="13" a="1"/>
  <c r="AE1482" i="13"/>
  <c r="AE1483" i="13" a="1"/>
  <c r="AE1483" i="13" s="1"/>
  <c r="AE1484" i="13" a="1"/>
  <c r="AE1484" i="13"/>
  <c r="AE1485" i="13" a="1"/>
  <c r="AE1485" i="13" s="1"/>
  <c r="AE1486" i="13" a="1"/>
  <c r="AE1486" i="13" s="1"/>
  <c r="AE1487" i="13" a="1"/>
  <c r="AE1487" i="13" s="1"/>
  <c r="AE1488" i="13" a="1"/>
  <c r="AE1488" i="13"/>
  <c r="AE1489" i="13" a="1"/>
  <c r="AE1489" i="13" s="1"/>
  <c r="AE1490" i="13" a="1"/>
  <c r="AE1490" i="13"/>
  <c r="AE1491" i="13" a="1"/>
  <c r="AE1491" i="13" s="1"/>
  <c r="AE1492" i="13" a="1"/>
  <c r="AE1492" i="13" s="1"/>
  <c r="AE1493" i="13" a="1"/>
  <c r="AE1493" i="13" s="1"/>
  <c r="AE1494" i="13" a="1"/>
  <c r="AE1494" i="13"/>
  <c r="AE1495" i="13" a="1"/>
  <c r="AE1495" i="13" s="1"/>
  <c r="AE1496" i="13" a="1"/>
  <c r="AE1496" i="13"/>
  <c r="AE1497" i="13" a="1"/>
  <c r="AE1497" i="13" s="1"/>
  <c r="AE1498" i="13" a="1"/>
  <c r="AE1498" i="13" s="1"/>
  <c r="AE1499" i="13" a="1"/>
  <c r="AE1499" i="13" s="1"/>
  <c r="AE1500" i="13" a="1"/>
  <c r="AE1500" i="13"/>
  <c r="AE1501" i="13" a="1"/>
  <c r="AE1501" i="13" s="1"/>
  <c r="AE1502" i="13" a="1"/>
  <c r="AE1502" i="13"/>
  <c r="AE1503" i="13" a="1"/>
  <c r="AE1503" i="13" s="1"/>
  <c r="AE1504" i="13" a="1"/>
  <c r="AE1504" i="13" s="1"/>
  <c r="AE1505" i="13" a="1"/>
  <c r="AE1505" i="13" s="1"/>
  <c r="AE1506" i="13" a="1"/>
  <c r="AE1506" i="13"/>
  <c r="AE1507" i="13" a="1"/>
  <c r="AE1507" i="13" s="1"/>
  <c r="AE1508" i="13" a="1"/>
  <c r="AE1508" i="13"/>
  <c r="AE1509" i="13" a="1"/>
  <c r="AE1509" i="13" s="1"/>
  <c r="AE1510" i="13" a="1"/>
  <c r="AE1510" i="13" s="1"/>
  <c r="AE1511" i="13" a="1"/>
  <c r="AE1511" i="13" s="1"/>
  <c r="AE1512" i="13" a="1"/>
  <c r="AE1512" i="13"/>
  <c r="AE1513" i="13" a="1"/>
  <c r="AE1513" i="13" s="1"/>
  <c r="AE1514" i="13" a="1"/>
  <c r="AE1514" i="13"/>
  <c r="AE1515" i="13" a="1"/>
  <c r="AE1515" i="13" s="1"/>
  <c r="AE1516" i="13" a="1"/>
  <c r="AE1516" i="13" s="1"/>
  <c r="AE1517" i="13" a="1"/>
  <c r="AE1517" i="13" s="1"/>
  <c r="AE1518" i="13" a="1"/>
  <c r="AE1518" i="13"/>
  <c r="AE1519" i="13" a="1"/>
  <c r="AE1519" i="13" s="1"/>
  <c r="AE1520" i="13" a="1"/>
  <c r="AE1520" i="13"/>
  <c r="AE1521" i="13" a="1"/>
  <c r="AE1521" i="13" s="1"/>
  <c r="AE1522" i="13" a="1"/>
  <c r="AE1522" i="13" s="1"/>
  <c r="AE1523" i="13" a="1"/>
  <c r="AE1523" i="13" s="1"/>
  <c r="AE1524" i="13" a="1"/>
  <c r="AE1524" i="13"/>
  <c r="AE1525" i="13" a="1"/>
  <c r="AE1525" i="13" s="1"/>
  <c r="AE1526" i="13" a="1"/>
  <c r="AE1526" i="13"/>
  <c r="AE1527" i="13" a="1"/>
  <c r="AE1527" i="13" s="1"/>
  <c r="AE1528" i="13" a="1"/>
  <c r="AE1528" i="13" s="1"/>
  <c r="AE1529" i="13" a="1"/>
  <c r="AE1529" i="13" s="1"/>
  <c r="AE1530" i="13" a="1"/>
  <c r="AE1530" i="13"/>
  <c r="AE1531" i="13" a="1"/>
  <c r="AE1531" i="13" s="1"/>
  <c r="AE1532" i="13" a="1"/>
  <c r="AE1532" i="13"/>
  <c r="AE1533" i="13" a="1"/>
  <c r="AE1533" i="13" s="1"/>
  <c r="AE1534" i="13" a="1"/>
  <c r="AE1534" i="13" s="1"/>
  <c r="AE1535" i="13" a="1"/>
  <c r="AE1535" i="13" s="1"/>
  <c r="AE1536" i="13" a="1"/>
  <c r="AE1536" i="13"/>
  <c r="AE1537" i="13" a="1"/>
  <c r="AE1537" i="13" s="1"/>
  <c r="AE1538" i="13" a="1"/>
  <c r="AE1538" i="13"/>
  <c r="AE1539" i="13" a="1"/>
  <c r="AE1539" i="13" s="1"/>
  <c r="AE1540" i="13" a="1"/>
  <c r="AE1540" i="13" s="1"/>
  <c r="AE1541" i="13" a="1"/>
  <c r="AE1541" i="13" s="1"/>
  <c r="AE1542" i="13" a="1"/>
  <c r="AE1542" i="13"/>
  <c r="AE1543" i="13" a="1"/>
  <c r="AE1543" i="13" s="1"/>
  <c r="AE1544" i="13" a="1"/>
  <c r="AE1544" i="13"/>
  <c r="AE1545" i="13" a="1"/>
  <c r="AE1545" i="13" s="1"/>
  <c r="AE1546" i="13" a="1"/>
  <c r="AE1546" i="13" s="1"/>
  <c r="AE1547" i="13" a="1"/>
  <c r="AE1547" i="13" s="1"/>
  <c r="AE1548" i="13" a="1"/>
  <c r="AE1548" i="13"/>
  <c r="AE1549" i="13" a="1"/>
  <c r="AE1549" i="13" s="1"/>
  <c r="AE1550" i="13" a="1"/>
  <c r="AE1550" i="13"/>
  <c r="AE1551" i="13" a="1"/>
  <c r="AE1551" i="13" s="1"/>
  <c r="AE1552" i="13" a="1"/>
  <c r="AE1552" i="13" s="1"/>
  <c r="AE1553" i="13" a="1"/>
  <c r="AE1553" i="13" s="1"/>
  <c r="AE1554" i="13" a="1"/>
  <c r="AE1554" i="13"/>
  <c r="AE1555" i="13" a="1"/>
  <c r="AE1555" i="13" s="1"/>
  <c r="AE1556" i="13" a="1"/>
  <c r="AE1556" i="13"/>
  <c r="AE1557" i="13" a="1"/>
  <c r="AE1557" i="13" s="1"/>
  <c r="AE1558" i="13" a="1"/>
  <c r="AE1558" i="13" s="1"/>
  <c r="AE1559" i="13" a="1"/>
  <c r="AE1559" i="13" s="1"/>
  <c r="AE1560" i="13" a="1"/>
  <c r="AE1560" i="13"/>
  <c r="AE1561" i="13" a="1"/>
  <c r="AE1561" i="13" s="1"/>
  <c r="AE1562" i="13" a="1"/>
  <c r="AE1562" i="13"/>
  <c r="AE1563" i="13" a="1"/>
  <c r="AE1563" i="13" s="1"/>
  <c r="AE1564" i="13" a="1"/>
  <c r="AE1564" i="13" s="1"/>
  <c r="AE1565" i="13" a="1"/>
  <c r="AE1565" i="13" s="1"/>
  <c r="AE1566" i="13" a="1"/>
  <c r="AE1566" i="13"/>
  <c r="AE1567" i="13" a="1"/>
  <c r="AE1567" i="13" s="1"/>
  <c r="AE1568" i="13" a="1"/>
  <c r="AE1568" i="13"/>
  <c r="AE1569" i="13" a="1"/>
  <c r="AE1569" i="13" s="1"/>
  <c r="AE1570" i="13" a="1"/>
  <c r="AE1570" i="13" s="1"/>
  <c r="AE1571" i="13" a="1"/>
  <c r="AE1571" i="13" s="1"/>
  <c r="AE1572" i="13" a="1"/>
  <c r="AE1572" i="13"/>
  <c r="AE1573" i="13" a="1"/>
  <c r="AE1573" i="13" s="1"/>
  <c r="AE1574" i="13" a="1"/>
  <c r="AE1574" i="13"/>
  <c r="AE1575" i="13" a="1"/>
  <c r="AE1575" i="13" s="1"/>
  <c r="AE1576" i="13" a="1"/>
  <c r="AE1576" i="13" s="1"/>
  <c r="AE1577" i="13" a="1"/>
  <c r="AE1577" i="13" s="1"/>
  <c r="AE1578" i="13" a="1"/>
  <c r="AE1578" i="13"/>
  <c r="AE1579" i="13" a="1"/>
  <c r="AE1579" i="13" s="1"/>
  <c r="AE1580" i="13" a="1"/>
  <c r="AE1580" i="13"/>
  <c r="AE1581" i="13" a="1"/>
  <c r="AE1581" i="13" s="1"/>
  <c r="AE1582" i="13" a="1"/>
  <c r="AE1582" i="13" s="1"/>
  <c r="AE1583" i="13" a="1"/>
  <c r="AE1583" i="13" s="1"/>
  <c r="AE1584" i="13" a="1"/>
  <c r="AE1584" i="13"/>
  <c r="AE1585" i="13" a="1"/>
  <c r="AE1585" i="13" s="1"/>
  <c r="AE1586" i="13" a="1"/>
  <c r="AE1586" i="13"/>
  <c r="AE1587" i="13" a="1"/>
  <c r="AE1587" i="13" s="1"/>
  <c r="AE1588" i="13" a="1"/>
  <c r="AE1588" i="13" s="1"/>
  <c r="AE1589" i="13" a="1"/>
  <c r="AE1589" i="13" s="1"/>
  <c r="AE1590" i="13" a="1"/>
  <c r="AE1590" i="13"/>
  <c r="AE1591" i="13" a="1"/>
  <c r="AE1591" i="13" s="1"/>
  <c r="AE1592" i="13" a="1"/>
  <c r="AE1592" i="13"/>
  <c r="AE1593" i="13" a="1"/>
  <c r="AE1593" i="13" s="1"/>
  <c r="AE1594" i="13" a="1"/>
  <c r="AE1594" i="13" s="1"/>
  <c r="AE1595" i="13" a="1"/>
  <c r="AE1595" i="13" s="1"/>
  <c r="AE1596" i="13" a="1"/>
  <c r="AE1596" i="13"/>
  <c r="AE1597" i="13" a="1"/>
  <c r="AE1597" i="13" s="1"/>
  <c r="AE1598" i="13" a="1"/>
  <c r="AE1598" i="13"/>
  <c r="AE1599" i="13" a="1"/>
  <c r="AE1599" i="13" s="1"/>
  <c r="AE1600" i="13" a="1"/>
  <c r="AE1600" i="13" s="1"/>
  <c r="AE1601" i="13" a="1"/>
  <c r="AE1601" i="13" s="1"/>
  <c r="AE1602" i="13" a="1"/>
  <c r="AE1602" i="13"/>
  <c r="AE1603" i="13" a="1"/>
  <c r="AE1603" i="13" s="1"/>
  <c r="AE1604" i="13" a="1"/>
  <c r="AE1604" i="13"/>
  <c r="AE1605" i="13" a="1"/>
  <c r="AE1605" i="13" s="1"/>
  <c r="AE1606" i="13" a="1"/>
  <c r="AE1606" i="13" s="1"/>
  <c r="AE1607" i="13" a="1"/>
  <c r="AE1607" i="13" s="1"/>
  <c r="AE1608" i="13" a="1"/>
  <c r="AE1608" i="13"/>
  <c r="AE1609" i="13" a="1"/>
  <c r="AE1609" i="13" s="1"/>
  <c r="AE1610" i="13" a="1"/>
  <c r="AE1610" i="13"/>
  <c r="AE1611" i="13" a="1"/>
  <c r="AE1611" i="13" s="1"/>
  <c r="AE1612" i="13" a="1"/>
  <c r="AE1612" i="13" s="1"/>
  <c r="AE1613" i="13" a="1"/>
  <c r="AE1613" i="13" s="1"/>
  <c r="AE1614" i="13" a="1"/>
  <c r="AE1614" i="13"/>
  <c r="AE1615" i="13" a="1"/>
  <c r="AE1615" i="13" s="1"/>
  <c r="AE1616" i="13" a="1"/>
  <c r="AE1616" i="13"/>
  <c r="AE1617" i="13" a="1"/>
  <c r="AE1617" i="13" s="1"/>
  <c r="AE1618" i="13" a="1"/>
  <c r="AE1618" i="13" s="1"/>
  <c r="AE1619" i="13" a="1"/>
  <c r="AE1619" i="13" s="1"/>
  <c r="AE1620" i="13" a="1"/>
  <c r="AE1620" i="13"/>
  <c r="AE1621" i="13" a="1"/>
  <c r="AE1621" i="13" s="1"/>
  <c r="AE1622" i="13" a="1"/>
  <c r="AE1622" i="13"/>
  <c r="AE1623" i="13" a="1"/>
  <c r="AE1623" i="13" s="1"/>
  <c r="AE1624" i="13" a="1"/>
  <c r="AE1624" i="13" s="1"/>
  <c r="AE1625" i="13" a="1"/>
  <c r="AE1625" i="13" s="1"/>
  <c r="AE1626" i="13" a="1"/>
  <c r="AE1626" i="13"/>
  <c r="AE1627" i="13" a="1"/>
  <c r="AE1627" i="13" s="1"/>
  <c r="AE1628" i="13" a="1"/>
  <c r="AE1628" i="13"/>
  <c r="AE1629" i="13" a="1"/>
  <c r="AE1629" i="13" s="1"/>
  <c r="AE1630" i="13" a="1"/>
  <c r="AE1630" i="13" s="1"/>
  <c r="AE1631" i="13" a="1"/>
  <c r="AE1631" i="13" s="1"/>
  <c r="AE1632" i="13" a="1"/>
  <c r="AE1632" i="13"/>
  <c r="AE1633" i="13" a="1"/>
  <c r="AE1633" i="13" s="1"/>
  <c r="AE1634" i="13" a="1"/>
  <c r="AE1634" i="13"/>
  <c r="AE1635" i="13" a="1"/>
  <c r="AE1635" i="13" s="1"/>
  <c r="AE1636" i="13" a="1"/>
  <c r="AE1636" i="13" s="1"/>
  <c r="AE1637" i="13" a="1"/>
  <c r="AE1637" i="13" s="1"/>
  <c r="AE1638" i="13" a="1"/>
  <c r="AE1638" i="13"/>
  <c r="AE1639" i="13" a="1"/>
  <c r="AE1639" i="13" s="1"/>
  <c r="AE1640" i="13" a="1"/>
  <c r="AE1640" i="13"/>
  <c r="AE1641" i="13" a="1"/>
  <c r="AE1641" i="13" s="1"/>
  <c r="AE1642" i="13" a="1"/>
  <c r="AE1642" i="13" s="1"/>
  <c r="AE1643" i="13" a="1"/>
  <c r="AE1643" i="13" s="1"/>
  <c r="AE1644" i="13" a="1"/>
  <c r="AE1644" i="13"/>
  <c r="AE1645" i="13" a="1"/>
  <c r="AE1645" i="13" s="1"/>
  <c r="AE1646" i="13" a="1"/>
  <c r="AE1646" i="13"/>
  <c r="AE1647" i="13" a="1"/>
  <c r="AE1647" i="13" s="1"/>
  <c r="AE1648" i="13" a="1"/>
  <c r="AE1648" i="13" s="1"/>
  <c r="AE1649" i="13" a="1"/>
  <c r="AE1649" i="13" s="1"/>
  <c r="AE1650" i="13" a="1"/>
  <c r="AE1650" i="13"/>
  <c r="AE1651" i="13" a="1"/>
  <c r="AE1651" i="13" s="1"/>
  <c r="AE1652" i="13" a="1"/>
  <c r="AE1652" i="13"/>
  <c r="AE1653" i="13" a="1"/>
  <c r="AE1653" i="13" s="1"/>
  <c r="AE1654" i="13" a="1"/>
  <c r="AE1654" i="13" s="1"/>
  <c r="AE1655" i="13" a="1"/>
  <c r="AE1655" i="13" s="1"/>
  <c r="AE1656" i="13" a="1"/>
  <c r="AE1656" i="13"/>
  <c r="AE1657" i="13" a="1"/>
  <c r="AE1657" i="13" s="1"/>
  <c r="AE1658" i="13" a="1"/>
  <c r="AE1658" i="13"/>
  <c r="AE1659" i="13" a="1"/>
  <c r="AE1659" i="13" s="1"/>
  <c r="AE1660" i="13" a="1"/>
  <c r="AE1660" i="13" s="1"/>
  <c r="AE1661" i="13" a="1"/>
  <c r="AE1661" i="13" s="1"/>
  <c r="AE1662" i="13" a="1"/>
  <c r="AE1662" i="13"/>
  <c r="AE1663" i="13" a="1"/>
  <c r="AE1663" i="13" s="1"/>
  <c r="AE1664" i="13" a="1"/>
  <c r="AE1664" i="13"/>
  <c r="AE2" i="13" a="1"/>
  <c r="AE2" i="13" s="1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D282" i="13"/>
  <c r="AD283" i="13"/>
  <c r="AD284" i="13"/>
  <c r="AD285" i="13"/>
  <c r="AD286" i="13"/>
  <c r="AD287" i="13"/>
  <c r="AD288" i="13"/>
  <c r="AD289" i="13"/>
  <c r="AD290" i="13"/>
  <c r="AD291" i="13"/>
  <c r="AD292" i="13"/>
  <c r="AD293" i="13"/>
  <c r="AD294" i="13"/>
  <c r="AD295" i="13"/>
  <c r="AD296" i="13"/>
  <c r="AD297" i="13"/>
  <c r="AD298" i="13"/>
  <c r="AD299" i="13"/>
  <c r="AD300" i="13"/>
  <c r="AD301" i="13"/>
  <c r="AD302" i="13"/>
  <c r="AD303" i="13"/>
  <c r="AD304" i="13"/>
  <c r="AD305" i="13"/>
  <c r="AD306" i="13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D319" i="13"/>
  <c r="AD320" i="13"/>
  <c r="AD321" i="13"/>
  <c r="AD322" i="13"/>
  <c r="AD323" i="13"/>
  <c r="AD324" i="13"/>
  <c r="AD325" i="13"/>
  <c r="AD326" i="13"/>
  <c r="AD327" i="13"/>
  <c r="AD328" i="13"/>
  <c r="AD329" i="13"/>
  <c r="AD330" i="13"/>
  <c r="AD331" i="13"/>
  <c r="AD332" i="13"/>
  <c r="AD333" i="13"/>
  <c r="AD334" i="13"/>
  <c r="AD335" i="13"/>
  <c r="AD336" i="13"/>
  <c r="AD337" i="13"/>
  <c r="AD338" i="13"/>
  <c r="AD339" i="13"/>
  <c r="AD340" i="13"/>
  <c r="AD341" i="13"/>
  <c r="AD342" i="13"/>
  <c r="AD343" i="13"/>
  <c r="AD344" i="13"/>
  <c r="AD345" i="13"/>
  <c r="AD346" i="13"/>
  <c r="AD347" i="13"/>
  <c r="AD348" i="13"/>
  <c r="AD349" i="13"/>
  <c r="AD350" i="13"/>
  <c r="AD351" i="13"/>
  <c r="AD352" i="13"/>
  <c r="AD353" i="13"/>
  <c r="AD354" i="13"/>
  <c r="AD355" i="13"/>
  <c r="AD356" i="13"/>
  <c r="AD357" i="13"/>
  <c r="AD358" i="13"/>
  <c r="AD359" i="13"/>
  <c r="AD360" i="13"/>
  <c r="AD361" i="13"/>
  <c r="AD362" i="13"/>
  <c r="AD363" i="13"/>
  <c r="AD364" i="13"/>
  <c r="AD365" i="13"/>
  <c r="AD366" i="13"/>
  <c r="AD367" i="13"/>
  <c r="AD368" i="13"/>
  <c r="AD369" i="13"/>
  <c r="AD370" i="13"/>
  <c r="AD371" i="13"/>
  <c r="AD372" i="13"/>
  <c r="AD373" i="13"/>
  <c r="AD374" i="13"/>
  <c r="AD375" i="13"/>
  <c r="AD376" i="13"/>
  <c r="AD377" i="13"/>
  <c r="AD378" i="13"/>
  <c r="AD379" i="13"/>
  <c r="AD380" i="13"/>
  <c r="AD381" i="13"/>
  <c r="AD382" i="13"/>
  <c r="AD383" i="13"/>
  <c r="AD384" i="13"/>
  <c r="AD385" i="13"/>
  <c r="AD386" i="13"/>
  <c r="AD387" i="13"/>
  <c r="AD388" i="13"/>
  <c r="AD389" i="13"/>
  <c r="AD390" i="13"/>
  <c r="AD391" i="13"/>
  <c r="AD392" i="13"/>
  <c r="AD393" i="13"/>
  <c r="AD394" i="13"/>
  <c r="AD395" i="13"/>
  <c r="AD396" i="13"/>
  <c r="AD397" i="13"/>
  <c r="AD398" i="13"/>
  <c r="AD399" i="13"/>
  <c r="AD400" i="13"/>
  <c r="AD401" i="13"/>
  <c r="AD402" i="13"/>
  <c r="AD403" i="13"/>
  <c r="AD404" i="13"/>
  <c r="AD405" i="13"/>
  <c r="AD406" i="13"/>
  <c r="AD407" i="13"/>
  <c r="AD408" i="13"/>
  <c r="AD409" i="13"/>
  <c r="AD410" i="13"/>
  <c r="AD411" i="13"/>
  <c r="AD412" i="13"/>
  <c r="AD413" i="13"/>
  <c r="AD414" i="13"/>
  <c r="AD415" i="13"/>
  <c r="AD416" i="13"/>
  <c r="AD417" i="13"/>
  <c r="AD418" i="13"/>
  <c r="AD419" i="13"/>
  <c r="AD420" i="13"/>
  <c r="AD421" i="13"/>
  <c r="AD422" i="13"/>
  <c r="AD423" i="13"/>
  <c r="AD424" i="13"/>
  <c r="AD425" i="13"/>
  <c r="AD426" i="13"/>
  <c r="AD427" i="13"/>
  <c r="AD428" i="13"/>
  <c r="AD429" i="13"/>
  <c r="AD430" i="13"/>
  <c r="AD431" i="13"/>
  <c r="AD432" i="13"/>
  <c r="AD433" i="13"/>
  <c r="AD434" i="13"/>
  <c r="AD435" i="13"/>
  <c r="AD436" i="13"/>
  <c r="AD437" i="13"/>
  <c r="AD438" i="13"/>
  <c r="AD439" i="13"/>
  <c r="AD440" i="13"/>
  <c r="AD441" i="13"/>
  <c r="AD442" i="13"/>
  <c r="AD443" i="13"/>
  <c r="AD444" i="13"/>
  <c r="AD445" i="13"/>
  <c r="AD446" i="13"/>
  <c r="AD447" i="13"/>
  <c r="AD448" i="13"/>
  <c r="AD449" i="13"/>
  <c r="AD450" i="13"/>
  <c r="AD451" i="13"/>
  <c r="AD452" i="13"/>
  <c r="AD453" i="13"/>
  <c r="AD454" i="13"/>
  <c r="AD455" i="13"/>
  <c r="AD456" i="13"/>
  <c r="AD457" i="13"/>
  <c r="AD458" i="13"/>
  <c r="AD459" i="13"/>
  <c r="AD460" i="13"/>
  <c r="AD461" i="13"/>
  <c r="AD462" i="13"/>
  <c r="AD463" i="13"/>
  <c r="AD464" i="13"/>
  <c r="AD465" i="13"/>
  <c r="AD466" i="13"/>
  <c r="AD467" i="13"/>
  <c r="AD468" i="13"/>
  <c r="AD469" i="13"/>
  <c r="AD470" i="13"/>
  <c r="AD471" i="13"/>
  <c r="AD472" i="13"/>
  <c r="AD473" i="13"/>
  <c r="AD474" i="13"/>
  <c r="AD475" i="13"/>
  <c r="AD476" i="13"/>
  <c r="AD477" i="13"/>
  <c r="AD478" i="13"/>
  <c r="AD479" i="13"/>
  <c r="AD480" i="13"/>
  <c r="AD481" i="13"/>
  <c r="AD482" i="13"/>
  <c r="AD483" i="13"/>
  <c r="AD484" i="13"/>
  <c r="AD485" i="13"/>
  <c r="AD486" i="13"/>
  <c r="AD487" i="13"/>
  <c r="AD488" i="13"/>
  <c r="AD489" i="13"/>
  <c r="AD490" i="13"/>
  <c r="AD491" i="13"/>
  <c r="AD492" i="13"/>
  <c r="AD493" i="13"/>
  <c r="AD494" i="13"/>
  <c r="AD495" i="13"/>
  <c r="AD496" i="13"/>
  <c r="AD497" i="13"/>
  <c r="AD498" i="13"/>
  <c r="AD499" i="13"/>
  <c r="AD500" i="13"/>
  <c r="AD501" i="13"/>
  <c r="AD502" i="13"/>
  <c r="AD503" i="13"/>
  <c r="AD504" i="13"/>
  <c r="AD505" i="13"/>
  <c r="AD506" i="13"/>
  <c r="AD507" i="13"/>
  <c r="AD508" i="13"/>
  <c r="AD509" i="13"/>
  <c r="AD510" i="13"/>
  <c r="AD511" i="13"/>
  <c r="AD512" i="13"/>
  <c r="AD513" i="13"/>
  <c r="AD514" i="13"/>
  <c r="AD515" i="13"/>
  <c r="AD516" i="13"/>
  <c r="AD517" i="13"/>
  <c r="AD518" i="13"/>
  <c r="AD519" i="13"/>
  <c r="AD520" i="13"/>
  <c r="AD521" i="13"/>
  <c r="AD522" i="13"/>
  <c r="AD523" i="13"/>
  <c r="AD524" i="13"/>
  <c r="AD525" i="13"/>
  <c r="AD526" i="13"/>
  <c r="AD527" i="13"/>
  <c r="AD528" i="13"/>
  <c r="AD529" i="13"/>
  <c r="AD530" i="13"/>
  <c r="AD531" i="13"/>
  <c r="AD532" i="13"/>
  <c r="AD533" i="13"/>
  <c r="AD534" i="13"/>
  <c r="AD535" i="13"/>
  <c r="AD536" i="13"/>
  <c r="AD537" i="13"/>
  <c r="AD538" i="13"/>
  <c r="AD539" i="13"/>
  <c r="AD540" i="13"/>
  <c r="AD541" i="13"/>
  <c r="AD542" i="13"/>
  <c r="AD543" i="13"/>
  <c r="AD544" i="13"/>
  <c r="AD545" i="13"/>
  <c r="AD546" i="13"/>
  <c r="AD547" i="13"/>
  <c r="AD548" i="13"/>
  <c r="AD549" i="13"/>
  <c r="AD550" i="13"/>
  <c r="AD551" i="13"/>
  <c r="AD552" i="13"/>
  <c r="AD553" i="13"/>
  <c r="AD554" i="13"/>
  <c r="AD555" i="13"/>
  <c r="AD556" i="13"/>
  <c r="AD557" i="13"/>
  <c r="AD558" i="13"/>
  <c r="AD559" i="13"/>
  <c r="AD560" i="13"/>
  <c r="AD561" i="13"/>
  <c r="AD562" i="13"/>
  <c r="AD563" i="13"/>
  <c r="AD564" i="13"/>
  <c r="AD565" i="13"/>
  <c r="AD566" i="13"/>
  <c r="AD567" i="13"/>
  <c r="AD568" i="13"/>
  <c r="AD569" i="13"/>
  <c r="AD570" i="13"/>
  <c r="AD571" i="13"/>
  <c r="AD572" i="13"/>
  <c r="AD573" i="13"/>
  <c r="AD574" i="13"/>
  <c r="AD575" i="13"/>
  <c r="AD576" i="13"/>
  <c r="AD577" i="13"/>
  <c r="AD578" i="13"/>
  <c r="AD579" i="13"/>
  <c r="AD580" i="13"/>
  <c r="AD581" i="13"/>
  <c r="AD582" i="13"/>
  <c r="AD583" i="13"/>
  <c r="AD584" i="13"/>
  <c r="AD585" i="13"/>
  <c r="AD586" i="13"/>
  <c r="AD587" i="13"/>
  <c r="AD588" i="13"/>
  <c r="AD589" i="13"/>
  <c r="AD590" i="13"/>
  <c r="AD591" i="13"/>
  <c r="AD592" i="13"/>
  <c r="AD593" i="13"/>
  <c r="AD594" i="13"/>
  <c r="AD595" i="13"/>
  <c r="AD596" i="13"/>
  <c r="AD597" i="13"/>
  <c r="AD598" i="13"/>
  <c r="AD599" i="13"/>
  <c r="AD600" i="13"/>
  <c r="AD601" i="13"/>
  <c r="AD602" i="13"/>
  <c r="AD603" i="13"/>
  <c r="AD604" i="13"/>
  <c r="AD605" i="13"/>
  <c r="AD606" i="13"/>
  <c r="AD607" i="13"/>
  <c r="AD608" i="13"/>
  <c r="AD609" i="13"/>
  <c r="AD610" i="13"/>
  <c r="AD611" i="13"/>
  <c r="AD612" i="13"/>
  <c r="AD613" i="13"/>
  <c r="AD614" i="13"/>
  <c r="AD615" i="13"/>
  <c r="AD616" i="13"/>
  <c r="AD617" i="13"/>
  <c r="AD618" i="13"/>
  <c r="AD619" i="13"/>
  <c r="AD620" i="13"/>
  <c r="AD621" i="13"/>
  <c r="AD622" i="13"/>
  <c r="AD623" i="13"/>
  <c r="AD624" i="13"/>
  <c r="AD625" i="13"/>
  <c r="AD626" i="13"/>
  <c r="AD627" i="13"/>
  <c r="AD628" i="13"/>
  <c r="AD629" i="13"/>
  <c r="AD630" i="13"/>
  <c r="AD631" i="13"/>
  <c r="AD632" i="13"/>
  <c r="AD633" i="13"/>
  <c r="AD634" i="13"/>
  <c r="AD635" i="13"/>
  <c r="AD636" i="13"/>
  <c r="AD637" i="13"/>
  <c r="AD638" i="13"/>
  <c r="AD639" i="13"/>
  <c r="AD640" i="13"/>
  <c r="AD641" i="13"/>
  <c r="AD642" i="13"/>
  <c r="AD643" i="13"/>
  <c r="AD644" i="13"/>
  <c r="AD645" i="13"/>
  <c r="AD646" i="13"/>
  <c r="AD647" i="13"/>
  <c r="AD648" i="13"/>
  <c r="AD649" i="13"/>
  <c r="AD650" i="13"/>
  <c r="AD651" i="13"/>
  <c r="AD652" i="13"/>
  <c r="AD653" i="13"/>
  <c r="AD654" i="13"/>
  <c r="AD655" i="13"/>
  <c r="AD656" i="13"/>
  <c r="AD657" i="13"/>
  <c r="AD658" i="13"/>
  <c r="AD659" i="13"/>
  <c r="AD660" i="13"/>
  <c r="AD661" i="13"/>
  <c r="AD662" i="13"/>
  <c r="AD663" i="13"/>
  <c r="AD664" i="13"/>
  <c r="AD665" i="13"/>
  <c r="AD666" i="13"/>
  <c r="AD667" i="13"/>
  <c r="AD668" i="13"/>
  <c r="AD669" i="13"/>
  <c r="AD670" i="13"/>
  <c r="AD671" i="13"/>
  <c r="AD672" i="13"/>
  <c r="AD673" i="13"/>
  <c r="AD674" i="13"/>
  <c r="AD675" i="13"/>
  <c r="AD676" i="13"/>
  <c r="AD677" i="13"/>
  <c r="AD678" i="13"/>
  <c r="AD679" i="13"/>
  <c r="AD680" i="13"/>
  <c r="AD681" i="13"/>
  <c r="AD682" i="13"/>
  <c r="AD683" i="13"/>
  <c r="AD684" i="13"/>
  <c r="AD685" i="13"/>
  <c r="AD686" i="13"/>
  <c r="AD687" i="13"/>
  <c r="AD688" i="13"/>
  <c r="AD689" i="13"/>
  <c r="AD690" i="13"/>
  <c r="AD691" i="13"/>
  <c r="AD692" i="13"/>
  <c r="AD693" i="13"/>
  <c r="AD694" i="13"/>
  <c r="AD695" i="13"/>
  <c r="AD696" i="13"/>
  <c r="AD697" i="13"/>
  <c r="AD698" i="13"/>
  <c r="AD699" i="13"/>
  <c r="AD700" i="13"/>
  <c r="AD701" i="13"/>
  <c r="AD702" i="13"/>
  <c r="AD703" i="13"/>
  <c r="AD704" i="13"/>
  <c r="AD705" i="13"/>
  <c r="AD706" i="13"/>
  <c r="AD707" i="13"/>
  <c r="AD708" i="13"/>
  <c r="AD709" i="13"/>
  <c r="AD710" i="13"/>
  <c r="AD711" i="13"/>
  <c r="AD712" i="13"/>
  <c r="AD713" i="13"/>
  <c r="AD714" i="13"/>
  <c r="AD715" i="13"/>
  <c r="AD716" i="13"/>
  <c r="AD717" i="13"/>
  <c r="AD718" i="13"/>
  <c r="AD719" i="13"/>
  <c r="AD720" i="13"/>
  <c r="AD721" i="13"/>
  <c r="AD722" i="13"/>
  <c r="AD723" i="13"/>
  <c r="AD724" i="13"/>
  <c r="AD725" i="13"/>
  <c r="AD726" i="13"/>
  <c r="AD727" i="13"/>
  <c r="AD728" i="13"/>
  <c r="AD729" i="13"/>
  <c r="AD730" i="13"/>
  <c r="AD731" i="13"/>
  <c r="AD732" i="13"/>
  <c r="AD733" i="13"/>
  <c r="AD734" i="13"/>
  <c r="AD735" i="13"/>
  <c r="AD736" i="13"/>
  <c r="AD737" i="13"/>
  <c r="AD738" i="13"/>
  <c r="AD739" i="13"/>
  <c r="AD740" i="13"/>
  <c r="AD741" i="13"/>
  <c r="AD742" i="13"/>
  <c r="AD743" i="13"/>
  <c r="AD744" i="13"/>
  <c r="AD745" i="13"/>
  <c r="AD746" i="13"/>
  <c r="AD747" i="13"/>
  <c r="AD748" i="13"/>
  <c r="AD749" i="13"/>
  <c r="AD750" i="13"/>
  <c r="AD751" i="13"/>
  <c r="AD752" i="13"/>
  <c r="AD753" i="13"/>
  <c r="AD754" i="13"/>
  <c r="AD755" i="13"/>
  <c r="AD756" i="13"/>
  <c r="AD757" i="13"/>
  <c r="AD758" i="13"/>
  <c r="AD759" i="13"/>
  <c r="AD760" i="13"/>
  <c r="AD761" i="13"/>
  <c r="AD762" i="13"/>
  <c r="AD763" i="13"/>
  <c r="AD764" i="13"/>
  <c r="AD765" i="13"/>
  <c r="AD766" i="13"/>
  <c r="AD767" i="13"/>
  <c r="AD768" i="13"/>
  <c r="AD769" i="13"/>
  <c r="AD770" i="13"/>
  <c r="AD771" i="13"/>
  <c r="AD772" i="13"/>
  <c r="AD773" i="13"/>
  <c r="AD774" i="13"/>
  <c r="AD775" i="13"/>
  <c r="AD776" i="13"/>
  <c r="AD777" i="13"/>
  <c r="AD778" i="13"/>
  <c r="AD779" i="13"/>
  <c r="AD780" i="13"/>
  <c r="AD781" i="13"/>
  <c r="AD782" i="13"/>
  <c r="AD783" i="13"/>
  <c r="AD784" i="13"/>
  <c r="AD785" i="13"/>
  <c r="AD786" i="13"/>
  <c r="AD787" i="13"/>
  <c r="AD788" i="13"/>
  <c r="AD789" i="13"/>
  <c r="AD790" i="13"/>
  <c r="AD791" i="13"/>
  <c r="AD792" i="13"/>
  <c r="AD793" i="13"/>
  <c r="AD794" i="13"/>
  <c r="AD795" i="13"/>
  <c r="AD796" i="13"/>
  <c r="AD797" i="13"/>
  <c r="AD798" i="13"/>
  <c r="AD799" i="13"/>
  <c r="AD800" i="13"/>
  <c r="AD801" i="13"/>
  <c r="AD802" i="13"/>
  <c r="AD803" i="13"/>
  <c r="AD804" i="13"/>
  <c r="AD805" i="13"/>
  <c r="AD806" i="13"/>
  <c r="AD807" i="13"/>
  <c r="AD808" i="13"/>
  <c r="AD809" i="13"/>
  <c r="AD810" i="13"/>
  <c r="AD811" i="13"/>
  <c r="AD812" i="13"/>
  <c r="AD813" i="13"/>
  <c r="AD814" i="13"/>
  <c r="AD815" i="13"/>
  <c r="AD816" i="13"/>
  <c r="AD817" i="13"/>
  <c r="AD818" i="13"/>
  <c r="AD819" i="13"/>
  <c r="AD820" i="13"/>
  <c r="AD821" i="13"/>
  <c r="AD822" i="13"/>
  <c r="AD823" i="13"/>
  <c r="AD824" i="13"/>
  <c r="AD825" i="13"/>
  <c r="AD826" i="13"/>
  <c r="AD827" i="13"/>
  <c r="AD828" i="13"/>
  <c r="AD829" i="13"/>
  <c r="AD830" i="13"/>
  <c r="AD831" i="13"/>
  <c r="AD832" i="13"/>
  <c r="AD833" i="13"/>
  <c r="AD834" i="13"/>
  <c r="AD835" i="13"/>
  <c r="AD836" i="13"/>
  <c r="AD837" i="13"/>
  <c r="AD838" i="13"/>
  <c r="AD839" i="13"/>
  <c r="AD840" i="13"/>
  <c r="AD841" i="13"/>
  <c r="AD842" i="13"/>
  <c r="AD843" i="13"/>
  <c r="AD844" i="13"/>
  <c r="AD845" i="13"/>
  <c r="AD846" i="13"/>
  <c r="AD847" i="13"/>
  <c r="AD848" i="13"/>
  <c r="AD849" i="13"/>
  <c r="AD850" i="13"/>
  <c r="AD851" i="13"/>
  <c r="AD852" i="13"/>
  <c r="AD853" i="13"/>
  <c r="AD854" i="13"/>
  <c r="AD855" i="13"/>
  <c r="AD856" i="13"/>
  <c r="AD857" i="13"/>
  <c r="AD858" i="13"/>
  <c r="AD859" i="13"/>
  <c r="AD860" i="13"/>
  <c r="AD861" i="13"/>
  <c r="AD862" i="13"/>
  <c r="AD863" i="13"/>
  <c r="AD864" i="13"/>
  <c r="AD865" i="13"/>
  <c r="AD866" i="13"/>
  <c r="AD867" i="13"/>
  <c r="AD868" i="13"/>
  <c r="AD869" i="13"/>
  <c r="AD870" i="13"/>
  <c r="AD871" i="13"/>
  <c r="AD872" i="13"/>
  <c r="AD873" i="13"/>
  <c r="AD874" i="13"/>
  <c r="AD875" i="13"/>
  <c r="AD876" i="13"/>
  <c r="AD877" i="13"/>
  <c r="AD878" i="13"/>
  <c r="AD879" i="13"/>
  <c r="AD880" i="13"/>
  <c r="AD881" i="13"/>
  <c r="AD882" i="13"/>
  <c r="AD883" i="13"/>
  <c r="AD884" i="13"/>
  <c r="AD885" i="13"/>
  <c r="AD886" i="13"/>
  <c r="AD887" i="13"/>
  <c r="AD888" i="13"/>
  <c r="AD889" i="13"/>
  <c r="AD890" i="13"/>
  <c r="AD891" i="13"/>
  <c r="AD892" i="13"/>
  <c r="AD893" i="13"/>
  <c r="AD894" i="13"/>
  <c r="AD895" i="13"/>
  <c r="AD896" i="13"/>
  <c r="AD897" i="13"/>
  <c r="AD898" i="13"/>
  <c r="AD899" i="13"/>
  <c r="AD900" i="13"/>
  <c r="AD901" i="13"/>
  <c r="AD902" i="13"/>
  <c r="AD903" i="13"/>
  <c r="AD904" i="13"/>
  <c r="AD905" i="13"/>
  <c r="AD906" i="13"/>
  <c r="AD907" i="13"/>
  <c r="AD908" i="13"/>
  <c r="AD909" i="13"/>
  <c r="AD910" i="13"/>
  <c r="AD911" i="13"/>
  <c r="AD912" i="13"/>
  <c r="AD913" i="13"/>
  <c r="AD914" i="13"/>
  <c r="AD915" i="13"/>
  <c r="AD916" i="13"/>
  <c r="AD917" i="13"/>
  <c r="AD918" i="13"/>
  <c r="AD919" i="13"/>
  <c r="AD920" i="13"/>
  <c r="AD921" i="13"/>
  <c r="AD922" i="13"/>
  <c r="AD923" i="13"/>
  <c r="AD924" i="13"/>
  <c r="AD925" i="13"/>
  <c r="AD926" i="13"/>
  <c r="AD927" i="13"/>
  <c r="AD928" i="13"/>
  <c r="AD929" i="13"/>
  <c r="AD930" i="13"/>
  <c r="AD931" i="13"/>
  <c r="AD932" i="13"/>
  <c r="AD933" i="13"/>
  <c r="AD934" i="13"/>
  <c r="AD935" i="13"/>
  <c r="AD936" i="13"/>
  <c r="AD937" i="13"/>
  <c r="AD938" i="13"/>
  <c r="AD939" i="13"/>
  <c r="AD940" i="13"/>
  <c r="AD941" i="13"/>
  <c r="AD942" i="13"/>
  <c r="AD943" i="13"/>
  <c r="AD944" i="13"/>
  <c r="AD945" i="13"/>
  <c r="AD946" i="13"/>
  <c r="AD947" i="13"/>
  <c r="AD948" i="13"/>
  <c r="AD949" i="13"/>
  <c r="AD950" i="13"/>
  <c r="AD951" i="13"/>
  <c r="AD952" i="13"/>
  <c r="AD953" i="13"/>
  <c r="AD954" i="13"/>
  <c r="AD955" i="13"/>
  <c r="AD956" i="13"/>
  <c r="AD957" i="13"/>
  <c r="AD958" i="13"/>
  <c r="AD959" i="13"/>
  <c r="AD960" i="13"/>
  <c r="AD961" i="13"/>
  <c r="AD962" i="13"/>
  <c r="AD963" i="13"/>
  <c r="AD964" i="13"/>
  <c r="AD965" i="13"/>
  <c r="AD966" i="13"/>
  <c r="AD967" i="13"/>
  <c r="AD968" i="13"/>
  <c r="AD969" i="13"/>
  <c r="AD970" i="13"/>
  <c r="AD971" i="13"/>
  <c r="AD972" i="13"/>
  <c r="AD973" i="13"/>
  <c r="AD974" i="13"/>
  <c r="AD975" i="13"/>
  <c r="AD976" i="13"/>
  <c r="AD977" i="13"/>
  <c r="AD978" i="13"/>
  <c r="AD979" i="13"/>
  <c r="AD980" i="13"/>
  <c r="AD981" i="13"/>
  <c r="AD982" i="13"/>
  <c r="AD983" i="13"/>
  <c r="AD984" i="13"/>
  <c r="AD985" i="13"/>
  <c r="AD986" i="13"/>
  <c r="AD987" i="13"/>
  <c r="AD988" i="13"/>
  <c r="AD989" i="13"/>
  <c r="AD990" i="13"/>
  <c r="AD991" i="13"/>
  <c r="AD992" i="13"/>
  <c r="AD993" i="13"/>
  <c r="AD994" i="13"/>
  <c r="AD995" i="13"/>
  <c r="AD996" i="13"/>
  <c r="AD997" i="13"/>
  <c r="AD998" i="13"/>
  <c r="AD999" i="13"/>
  <c r="AD1000" i="13"/>
  <c r="AD1001" i="13"/>
  <c r="AD1002" i="13"/>
  <c r="AD1003" i="13"/>
  <c r="AD1004" i="13"/>
  <c r="AD1005" i="13"/>
  <c r="AD1006" i="13"/>
  <c r="AD1007" i="13"/>
  <c r="AD1008" i="13"/>
  <c r="AD1009" i="13"/>
  <c r="AD1010" i="13"/>
  <c r="AD1011" i="13"/>
  <c r="AD1012" i="13"/>
  <c r="AD1013" i="13"/>
  <c r="AD1014" i="13"/>
  <c r="AD1015" i="13"/>
  <c r="AD1016" i="13"/>
  <c r="AD1017" i="13"/>
  <c r="AD1018" i="13"/>
  <c r="AD1019" i="13"/>
  <c r="AD1020" i="13"/>
  <c r="AD1021" i="13"/>
  <c r="AD1022" i="13"/>
  <c r="AD1023" i="13"/>
  <c r="AD1024" i="13"/>
  <c r="AD1025" i="13"/>
  <c r="AD1026" i="13"/>
  <c r="AD1027" i="13"/>
  <c r="AD1028" i="13"/>
  <c r="AD1029" i="13"/>
  <c r="AD1030" i="13"/>
  <c r="AD1031" i="13"/>
  <c r="AD1032" i="13"/>
  <c r="AD1033" i="13"/>
  <c r="AD1034" i="13"/>
  <c r="AD1035" i="13"/>
  <c r="AD1036" i="13"/>
  <c r="AD1037" i="13"/>
  <c r="AD1038" i="13"/>
  <c r="AD1039" i="13"/>
  <c r="AD1040" i="13"/>
  <c r="AD1041" i="13"/>
  <c r="AD1042" i="13"/>
  <c r="AD1043" i="13"/>
  <c r="AD1044" i="13"/>
  <c r="AD1045" i="13"/>
  <c r="AD1046" i="13"/>
  <c r="AD1047" i="13"/>
  <c r="AD1048" i="13"/>
  <c r="AD1049" i="13"/>
  <c r="AD1050" i="13"/>
  <c r="AD1051" i="13"/>
  <c r="AD1052" i="13"/>
  <c r="AD1053" i="13"/>
  <c r="AD1054" i="13"/>
  <c r="AD1055" i="13"/>
  <c r="AD1056" i="13"/>
  <c r="AD1057" i="13"/>
  <c r="AD1058" i="13"/>
  <c r="AD1059" i="13"/>
  <c r="AD1060" i="13"/>
  <c r="AD1061" i="13"/>
  <c r="AD1062" i="13"/>
  <c r="AD1063" i="13"/>
  <c r="AD1064" i="13"/>
  <c r="AD1065" i="13"/>
  <c r="AD1066" i="13"/>
  <c r="AD1067" i="13"/>
  <c r="AD1068" i="13"/>
  <c r="AD1069" i="13"/>
  <c r="AD1070" i="13"/>
  <c r="AD1071" i="13"/>
  <c r="AD1072" i="13"/>
  <c r="AD1073" i="13"/>
  <c r="AD1074" i="13"/>
  <c r="AD1075" i="13"/>
  <c r="AD1076" i="13"/>
  <c r="AD1077" i="13"/>
  <c r="AD1078" i="13"/>
  <c r="AD1079" i="13"/>
  <c r="AD1080" i="13"/>
  <c r="AD1081" i="13"/>
  <c r="AD1082" i="13"/>
  <c r="AD1083" i="13"/>
  <c r="AD1084" i="13"/>
  <c r="AD1085" i="13"/>
  <c r="AD1086" i="13"/>
  <c r="AD1087" i="13"/>
  <c r="AD1088" i="13"/>
  <c r="AD1089" i="13"/>
  <c r="AD1090" i="13"/>
  <c r="AD1091" i="13"/>
  <c r="AD1092" i="13"/>
  <c r="AD1093" i="13"/>
  <c r="AD1094" i="13"/>
  <c r="AD1095" i="13"/>
  <c r="AD1096" i="13"/>
  <c r="AD1097" i="13"/>
  <c r="AD1098" i="13"/>
  <c r="AD1099" i="13"/>
  <c r="AD1100" i="13"/>
  <c r="AD1101" i="13"/>
  <c r="AD1102" i="13"/>
  <c r="AD1103" i="13"/>
  <c r="AD1104" i="13"/>
  <c r="AD1105" i="13"/>
  <c r="AD1106" i="13"/>
  <c r="AD1107" i="13"/>
  <c r="AD1108" i="13"/>
  <c r="AD1109" i="13"/>
  <c r="AD1110" i="13"/>
  <c r="AD1111" i="13"/>
  <c r="AD1112" i="13"/>
  <c r="AD1113" i="13"/>
  <c r="AD1114" i="13"/>
  <c r="AD1115" i="13"/>
  <c r="AD1116" i="13"/>
  <c r="AD1117" i="13"/>
  <c r="AD1118" i="13"/>
  <c r="AD1119" i="13"/>
  <c r="AD1120" i="13"/>
  <c r="AD1121" i="13"/>
  <c r="AD1122" i="13"/>
  <c r="AD1123" i="13"/>
  <c r="AD1124" i="13"/>
  <c r="AD1125" i="13"/>
  <c r="AD1126" i="13"/>
  <c r="AD1127" i="13"/>
  <c r="AD1128" i="13"/>
  <c r="AD1129" i="13"/>
  <c r="AD1130" i="13"/>
  <c r="AD1131" i="13"/>
  <c r="AD1132" i="13"/>
  <c r="AD1133" i="13"/>
  <c r="AD1134" i="13"/>
  <c r="AD1135" i="13"/>
  <c r="AD1136" i="13"/>
  <c r="AD1137" i="13"/>
  <c r="AD1138" i="13"/>
  <c r="AD1139" i="13"/>
  <c r="AD1140" i="13"/>
  <c r="AD1141" i="13"/>
  <c r="AD1142" i="13"/>
  <c r="AD1143" i="13"/>
  <c r="AD1144" i="13"/>
  <c r="AD1145" i="13"/>
  <c r="AD1146" i="13"/>
  <c r="AD1147" i="13"/>
  <c r="AD1148" i="13"/>
  <c r="AD1149" i="13"/>
  <c r="AD1150" i="13"/>
  <c r="AD1151" i="13"/>
  <c r="AD1152" i="13"/>
  <c r="AD1153" i="13"/>
  <c r="AD1154" i="13"/>
  <c r="AD1155" i="13"/>
  <c r="AD1156" i="13"/>
  <c r="AD1157" i="13"/>
  <c r="AD1158" i="13"/>
  <c r="AD1159" i="13"/>
  <c r="AD1160" i="13"/>
  <c r="AD1161" i="13"/>
  <c r="AD1162" i="13"/>
  <c r="AD1163" i="13"/>
  <c r="AD1164" i="13"/>
  <c r="AD1165" i="13"/>
  <c r="AD1166" i="13"/>
  <c r="AD1167" i="13"/>
  <c r="AD1168" i="13"/>
  <c r="AD1169" i="13"/>
  <c r="AD1170" i="13"/>
  <c r="AD1171" i="13"/>
  <c r="AD1172" i="13"/>
  <c r="AD1173" i="13"/>
  <c r="AD1174" i="13"/>
  <c r="AD1175" i="13"/>
  <c r="AD1176" i="13"/>
  <c r="AD1177" i="13"/>
  <c r="AD1178" i="13"/>
  <c r="AD1179" i="13"/>
  <c r="AD1180" i="13"/>
  <c r="AD1181" i="13"/>
  <c r="AD1182" i="13"/>
  <c r="AD1183" i="13"/>
  <c r="AD1184" i="13"/>
  <c r="AD1185" i="13"/>
  <c r="AD1186" i="13"/>
  <c r="AD1187" i="13"/>
  <c r="AD1188" i="13"/>
  <c r="AD1189" i="13"/>
  <c r="AD1190" i="13"/>
  <c r="AD1191" i="13"/>
  <c r="AD1192" i="13"/>
  <c r="AD1193" i="13"/>
  <c r="AD1194" i="13"/>
  <c r="AD1195" i="13"/>
  <c r="AD1196" i="13"/>
  <c r="AD1197" i="13"/>
  <c r="AD1198" i="13"/>
  <c r="AD1199" i="13"/>
  <c r="AD1200" i="13"/>
  <c r="AD1201" i="13"/>
  <c r="AD1202" i="13"/>
  <c r="AD1203" i="13"/>
  <c r="AD1204" i="13"/>
  <c r="AD1205" i="13"/>
  <c r="AD1206" i="13"/>
  <c r="AD1207" i="13"/>
  <c r="AD1208" i="13"/>
  <c r="AD1209" i="13"/>
  <c r="AD1210" i="13"/>
  <c r="AD1211" i="13"/>
  <c r="AD1212" i="13"/>
  <c r="AD1213" i="13"/>
  <c r="AD1214" i="13"/>
  <c r="AD1215" i="13"/>
  <c r="AD1216" i="13"/>
  <c r="AD1217" i="13"/>
  <c r="AD1218" i="13"/>
  <c r="AD1219" i="13"/>
  <c r="AD1220" i="13"/>
  <c r="AD1221" i="13"/>
  <c r="AD1222" i="13"/>
  <c r="AD1223" i="13"/>
  <c r="AD1224" i="13"/>
  <c r="AD1225" i="13"/>
  <c r="AD1226" i="13"/>
  <c r="AD1227" i="13"/>
  <c r="AD1228" i="13"/>
  <c r="AD1229" i="13"/>
  <c r="AD1230" i="13"/>
  <c r="AD1231" i="13"/>
  <c r="AD1232" i="13"/>
  <c r="AD1233" i="13"/>
  <c r="AD1234" i="13"/>
  <c r="AD1235" i="13"/>
  <c r="AD1236" i="13"/>
  <c r="AD1237" i="13"/>
  <c r="AD1238" i="13"/>
  <c r="AD1239" i="13"/>
  <c r="AD1240" i="13"/>
  <c r="AD1241" i="13"/>
  <c r="AD1242" i="13"/>
  <c r="AD1243" i="13"/>
  <c r="AD1244" i="13"/>
  <c r="AD1245" i="13"/>
  <c r="AD1246" i="13"/>
  <c r="AD1247" i="13"/>
  <c r="AD1248" i="13"/>
  <c r="AD1249" i="13"/>
  <c r="AD1250" i="13"/>
  <c r="AD1251" i="13"/>
  <c r="AD1252" i="13"/>
  <c r="AD1253" i="13"/>
  <c r="AD1254" i="13"/>
  <c r="AD1255" i="13"/>
  <c r="AD1256" i="13"/>
  <c r="AD1257" i="13"/>
  <c r="AD1258" i="13"/>
  <c r="AD1259" i="13"/>
  <c r="AD1260" i="13"/>
  <c r="AD1261" i="13"/>
  <c r="AD1262" i="13"/>
  <c r="AD1263" i="13"/>
  <c r="AD1264" i="13"/>
  <c r="AD1265" i="13"/>
  <c r="AD1266" i="13"/>
  <c r="AD1267" i="13"/>
  <c r="AD1268" i="13"/>
  <c r="AD1269" i="13"/>
  <c r="AD1270" i="13"/>
  <c r="AD1271" i="13"/>
  <c r="AD1272" i="13"/>
  <c r="AD1273" i="13"/>
  <c r="AD1274" i="13"/>
  <c r="AD1275" i="13"/>
  <c r="AD1276" i="13"/>
  <c r="AD1277" i="13"/>
  <c r="AD1278" i="13"/>
  <c r="AD1279" i="13"/>
  <c r="AD1280" i="13"/>
  <c r="AD1281" i="13"/>
  <c r="AD1282" i="13"/>
  <c r="AD1283" i="13"/>
  <c r="AD1284" i="13"/>
  <c r="AD1285" i="13"/>
  <c r="AD1286" i="13"/>
  <c r="AD1287" i="13"/>
  <c r="AD1288" i="13"/>
  <c r="AD1289" i="13"/>
  <c r="AD1290" i="13"/>
  <c r="AD1291" i="13"/>
  <c r="AD1292" i="13"/>
  <c r="AD1293" i="13"/>
  <c r="AD1294" i="13"/>
  <c r="AD1295" i="13"/>
  <c r="AD1296" i="13"/>
  <c r="AD1297" i="13"/>
  <c r="AD1298" i="13"/>
  <c r="AD1299" i="13"/>
  <c r="AD1300" i="13"/>
  <c r="AD1301" i="13"/>
  <c r="AD1302" i="13"/>
  <c r="AD1303" i="13"/>
  <c r="AD1304" i="13"/>
  <c r="AD1305" i="13"/>
  <c r="AD1306" i="13"/>
  <c r="AD1307" i="13"/>
  <c r="AD1308" i="13"/>
  <c r="AD1309" i="13"/>
  <c r="AD1310" i="13"/>
  <c r="AD1311" i="13"/>
  <c r="AD1312" i="13"/>
  <c r="AD1313" i="13"/>
  <c r="AD1314" i="13"/>
  <c r="AD1315" i="13"/>
  <c r="AD1316" i="13"/>
  <c r="AD1317" i="13"/>
  <c r="AD1318" i="13"/>
  <c r="AD1319" i="13"/>
  <c r="AD1320" i="13"/>
  <c r="AD1321" i="13"/>
  <c r="AD1322" i="13"/>
  <c r="AD1323" i="13"/>
  <c r="AD1324" i="13"/>
  <c r="AD1325" i="13"/>
  <c r="AD1326" i="13"/>
  <c r="AD1327" i="13"/>
  <c r="AD1328" i="13"/>
  <c r="AD1329" i="13"/>
  <c r="AD1330" i="13"/>
  <c r="AD1331" i="13"/>
  <c r="AD1332" i="13"/>
  <c r="AD1333" i="13"/>
  <c r="AD1334" i="13"/>
  <c r="AD1335" i="13"/>
  <c r="AD1336" i="13"/>
  <c r="AD1337" i="13"/>
  <c r="AD1338" i="13"/>
  <c r="AD1339" i="13"/>
  <c r="AD1340" i="13"/>
  <c r="AD1341" i="13"/>
  <c r="AD1342" i="13"/>
  <c r="AD1343" i="13"/>
  <c r="AD1344" i="13"/>
  <c r="AD1345" i="13"/>
  <c r="AD1346" i="13"/>
  <c r="AD1347" i="13"/>
  <c r="AD1348" i="13"/>
  <c r="AD1349" i="13"/>
  <c r="AD1350" i="13"/>
  <c r="AD1351" i="13"/>
  <c r="AD1352" i="13"/>
  <c r="AD1353" i="13"/>
  <c r="AD1354" i="13"/>
  <c r="AD1355" i="13"/>
  <c r="AD1356" i="13"/>
  <c r="AD1357" i="13"/>
  <c r="AD1358" i="13"/>
  <c r="AD1359" i="13"/>
  <c r="AD1360" i="13"/>
  <c r="AD1361" i="13"/>
  <c r="AD1362" i="13"/>
  <c r="AD1363" i="13"/>
  <c r="AD1364" i="13"/>
  <c r="AD1365" i="13"/>
  <c r="AD1366" i="13"/>
  <c r="AD1367" i="13"/>
  <c r="AD1368" i="13"/>
  <c r="AD1369" i="13"/>
  <c r="AD1370" i="13"/>
  <c r="AD1371" i="13"/>
  <c r="AD1372" i="13"/>
  <c r="AD1373" i="13"/>
  <c r="AD1374" i="13"/>
  <c r="AD1375" i="13"/>
  <c r="AD1376" i="13"/>
  <c r="AD1377" i="13"/>
  <c r="AD1378" i="13"/>
  <c r="AD1379" i="13"/>
  <c r="AD1380" i="13"/>
  <c r="AD1381" i="13"/>
  <c r="AD1382" i="13"/>
  <c r="AD1383" i="13"/>
  <c r="AD1384" i="13"/>
  <c r="AD1385" i="13"/>
  <c r="AD1386" i="13"/>
  <c r="AD1387" i="13"/>
  <c r="AD1388" i="13"/>
  <c r="AD1389" i="13"/>
  <c r="AD1390" i="13"/>
  <c r="AD1391" i="13"/>
  <c r="AD1392" i="13"/>
  <c r="AD1393" i="13"/>
  <c r="AD1394" i="13"/>
  <c r="AD1395" i="13"/>
  <c r="AD1396" i="13"/>
  <c r="AD1397" i="13"/>
  <c r="AD1398" i="13"/>
  <c r="AD1399" i="13"/>
  <c r="AD1400" i="13"/>
  <c r="AD1401" i="13"/>
  <c r="AD1402" i="13"/>
  <c r="AD1403" i="13"/>
  <c r="AD1404" i="13"/>
  <c r="AD1405" i="13"/>
  <c r="AD1406" i="13"/>
  <c r="AD1407" i="13"/>
  <c r="AD1408" i="13"/>
  <c r="AD1409" i="13"/>
  <c r="AD1410" i="13"/>
  <c r="AD1411" i="13"/>
  <c r="AD1412" i="13"/>
  <c r="AD1413" i="13"/>
  <c r="AD1414" i="13"/>
  <c r="AD1415" i="13"/>
  <c r="AD1416" i="13"/>
  <c r="AD1417" i="13"/>
  <c r="AD1418" i="13"/>
  <c r="AD1419" i="13"/>
  <c r="AD1420" i="13"/>
  <c r="AD1421" i="13"/>
  <c r="AD1422" i="13"/>
  <c r="AD1423" i="13"/>
  <c r="AD1424" i="13"/>
  <c r="AD1425" i="13"/>
  <c r="AD1426" i="13"/>
  <c r="AD1427" i="13"/>
  <c r="AD1428" i="13"/>
  <c r="AD1429" i="13"/>
  <c r="AD1430" i="13"/>
  <c r="AD1431" i="13"/>
  <c r="AD1432" i="13"/>
  <c r="AD1433" i="13"/>
  <c r="AD1434" i="13"/>
  <c r="AD1435" i="13"/>
  <c r="AD1436" i="13"/>
  <c r="AD1437" i="13"/>
  <c r="AD1438" i="13"/>
  <c r="AD1439" i="13"/>
  <c r="AD1440" i="13"/>
  <c r="AD1441" i="13"/>
  <c r="AD1442" i="13"/>
  <c r="AD1443" i="13"/>
  <c r="AD1444" i="13"/>
  <c r="AD1445" i="13"/>
  <c r="AD1446" i="13"/>
  <c r="AD1447" i="13"/>
  <c r="AD1448" i="13"/>
  <c r="AD1449" i="13"/>
  <c r="AD1450" i="13"/>
  <c r="AD1451" i="13"/>
  <c r="AD1452" i="13"/>
  <c r="AD1453" i="13"/>
  <c r="AD1454" i="13"/>
  <c r="AD1455" i="13"/>
  <c r="AD1456" i="13"/>
  <c r="AD1457" i="13"/>
  <c r="AD1458" i="13"/>
  <c r="AD1459" i="13"/>
  <c r="AD1460" i="13"/>
  <c r="AD1461" i="13"/>
  <c r="AD1462" i="13"/>
  <c r="AD1463" i="13"/>
  <c r="AD1464" i="13"/>
  <c r="AD1465" i="13"/>
  <c r="AD1466" i="13"/>
  <c r="AD1467" i="13"/>
  <c r="AD1468" i="13"/>
  <c r="AD1469" i="13"/>
  <c r="AD1470" i="13"/>
  <c r="AD1471" i="13"/>
  <c r="AD1472" i="13"/>
  <c r="AD1473" i="13"/>
  <c r="AD1474" i="13"/>
  <c r="AD1475" i="13"/>
  <c r="AD1476" i="13"/>
  <c r="AD1477" i="13"/>
  <c r="AD1478" i="13"/>
  <c r="AD1479" i="13"/>
  <c r="AD1480" i="13"/>
  <c r="AD1481" i="13"/>
  <c r="AD1482" i="13"/>
  <c r="AD1483" i="13"/>
  <c r="AD1484" i="13"/>
  <c r="AD1485" i="13"/>
  <c r="AD1486" i="13"/>
  <c r="AD1487" i="13"/>
  <c r="AD1488" i="13"/>
  <c r="AD1489" i="13"/>
  <c r="AD1490" i="13"/>
  <c r="AD1491" i="13"/>
  <c r="AD1492" i="13"/>
  <c r="AD1493" i="13"/>
  <c r="AD1494" i="13"/>
  <c r="AD1495" i="13"/>
  <c r="AD1496" i="13"/>
  <c r="AD1497" i="13"/>
  <c r="AD1498" i="13"/>
  <c r="AD1499" i="13"/>
  <c r="AD1500" i="13"/>
  <c r="AD1501" i="13"/>
  <c r="AD1502" i="13"/>
  <c r="AD1503" i="13"/>
  <c r="AD1504" i="13"/>
  <c r="AD1505" i="13"/>
  <c r="AD1506" i="13"/>
  <c r="AD1507" i="13"/>
  <c r="AD1508" i="13"/>
  <c r="AD1509" i="13"/>
  <c r="AD1510" i="13"/>
  <c r="AD1511" i="13"/>
  <c r="AD1512" i="13"/>
  <c r="AD1513" i="13"/>
  <c r="AD1514" i="13"/>
  <c r="AD1515" i="13"/>
  <c r="AD1516" i="13"/>
  <c r="AD1517" i="13"/>
  <c r="AD1518" i="13"/>
  <c r="AD1519" i="13"/>
  <c r="AD1520" i="13"/>
  <c r="AD1521" i="13"/>
  <c r="AD1522" i="13"/>
  <c r="AD1523" i="13"/>
  <c r="AD1524" i="13"/>
  <c r="AD1525" i="13"/>
  <c r="AD1526" i="13"/>
  <c r="AD1527" i="13"/>
  <c r="AD1528" i="13"/>
  <c r="AD1529" i="13"/>
  <c r="AD1530" i="13"/>
  <c r="AD1531" i="13"/>
  <c r="AD1532" i="13"/>
  <c r="AD1533" i="13"/>
  <c r="AD1534" i="13"/>
  <c r="AD1535" i="13"/>
  <c r="AD1536" i="13"/>
  <c r="AD1537" i="13"/>
  <c r="AD1538" i="13"/>
  <c r="AD1539" i="13"/>
  <c r="AD1540" i="13"/>
  <c r="AD1541" i="13"/>
  <c r="AD1542" i="13"/>
  <c r="AD1543" i="13"/>
  <c r="AD1544" i="13"/>
  <c r="AD1545" i="13"/>
  <c r="AD1546" i="13"/>
  <c r="AD1547" i="13"/>
  <c r="AD1548" i="13"/>
  <c r="AD1549" i="13"/>
  <c r="AD1550" i="13"/>
  <c r="AD1551" i="13"/>
  <c r="AD1552" i="13"/>
  <c r="AD1553" i="13"/>
  <c r="AD1554" i="13"/>
  <c r="AD1555" i="13"/>
  <c r="AD1556" i="13"/>
  <c r="AD1557" i="13"/>
  <c r="AD1558" i="13"/>
  <c r="AD1559" i="13"/>
  <c r="AD1560" i="13"/>
  <c r="AD1561" i="13"/>
  <c r="AD1562" i="13"/>
  <c r="AD1563" i="13"/>
  <c r="AD1564" i="13"/>
  <c r="AD1565" i="13"/>
  <c r="AD1566" i="13"/>
  <c r="AD1567" i="13"/>
  <c r="AD1568" i="13"/>
  <c r="AD1569" i="13"/>
  <c r="AD1570" i="13"/>
  <c r="AD1571" i="13"/>
  <c r="AD1572" i="13"/>
  <c r="AD1573" i="13"/>
  <c r="AD1574" i="13"/>
  <c r="AD1575" i="13"/>
  <c r="AD1576" i="13"/>
  <c r="AD1577" i="13"/>
  <c r="AD1578" i="13"/>
  <c r="AD1579" i="13"/>
  <c r="AD1580" i="13"/>
  <c r="AD1581" i="13"/>
  <c r="AD1582" i="13"/>
  <c r="AD1583" i="13"/>
  <c r="AD1584" i="13"/>
  <c r="AD1585" i="13"/>
  <c r="AD1586" i="13"/>
  <c r="AD1587" i="13"/>
  <c r="AD1588" i="13"/>
  <c r="AD1589" i="13"/>
  <c r="AD1590" i="13"/>
  <c r="AD1591" i="13"/>
  <c r="AD1592" i="13"/>
  <c r="AD1593" i="13"/>
  <c r="AD1594" i="13"/>
  <c r="AD1595" i="13"/>
  <c r="AD1596" i="13"/>
  <c r="AD1597" i="13"/>
  <c r="AD1598" i="13"/>
  <c r="AD1599" i="13"/>
  <c r="AD1600" i="13"/>
  <c r="AD1601" i="13"/>
  <c r="AD1602" i="13"/>
  <c r="AD1603" i="13"/>
  <c r="AD1604" i="13"/>
  <c r="AD1605" i="13"/>
  <c r="AD1606" i="13"/>
  <c r="AD1607" i="13"/>
  <c r="AD1608" i="13"/>
  <c r="AD1609" i="13"/>
  <c r="AD1610" i="13"/>
  <c r="AD1611" i="13"/>
  <c r="AD1612" i="13"/>
  <c r="AD1613" i="13"/>
  <c r="AD1614" i="13"/>
  <c r="AD1615" i="13"/>
  <c r="AD1616" i="13"/>
  <c r="AD1617" i="13"/>
  <c r="AD1618" i="13"/>
  <c r="AD1619" i="13"/>
  <c r="AD1620" i="13"/>
  <c r="AD1621" i="13"/>
  <c r="AD1622" i="13"/>
  <c r="AD1623" i="13"/>
  <c r="AD1624" i="13"/>
  <c r="AD1625" i="13"/>
  <c r="AD1626" i="13"/>
  <c r="AD1627" i="13"/>
  <c r="AD1628" i="13"/>
  <c r="AD1629" i="13"/>
  <c r="AD1630" i="13"/>
  <c r="AD1631" i="13"/>
  <c r="AD1632" i="13"/>
  <c r="AD1633" i="13"/>
  <c r="AD1634" i="13"/>
  <c r="AD1635" i="13"/>
  <c r="AD1636" i="13"/>
  <c r="AD1637" i="13"/>
  <c r="AD1638" i="13"/>
  <c r="AD1639" i="13"/>
  <c r="AD1640" i="13"/>
  <c r="AD1641" i="13"/>
  <c r="AD1642" i="13"/>
  <c r="AD1643" i="13"/>
  <c r="AD1644" i="13"/>
  <c r="AD1645" i="13"/>
  <c r="AD1646" i="13"/>
  <c r="AD1647" i="13"/>
  <c r="AD1648" i="13"/>
  <c r="AD1649" i="13"/>
  <c r="AD1650" i="13"/>
  <c r="AD1651" i="13"/>
  <c r="AD1652" i="13"/>
  <c r="AD1653" i="13"/>
  <c r="AD1654" i="13"/>
  <c r="AD1655" i="13"/>
  <c r="AD1656" i="13"/>
  <c r="AD1657" i="13"/>
  <c r="AD1658" i="13"/>
  <c r="AD1659" i="13"/>
  <c r="AD1660" i="13"/>
  <c r="AD1661" i="13"/>
  <c r="AD1662" i="13"/>
  <c r="AD1663" i="13"/>
  <c r="AD1664" i="13"/>
  <c r="AD3" i="13"/>
  <c r="AD4" i="13"/>
  <c r="AD5" i="13"/>
  <c r="AD6" i="13"/>
  <c r="AD7" i="13"/>
  <c r="AD8" i="13"/>
  <c r="AD9" i="13"/>
  <c r="AD10" i="13"/>
  <c r="AD11" i="13"/>
  <c r="AD2" i="13"/>
  <c r="O21" i="13"/>
  <c r="P21" i="13"/>
  <c r="Q21" i="13"/>
  <c r="R21" i="13"/>
  <c r="S21" i="13"/>
  <c r="T21" i="13"/>
  <c r="Q3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2" i="13"/>
  <c r="E42" i="12"/>
  <c r="L33" i="12"/>
  <c r="M33" i="12" s="1"/>
  <c r="E33" i="12"/>
  <c r="L32" i="12"/>
  <c r="M32" i="12" s="1"/>
  <c r="L31" i="12"/>
  <c r="M31" i="12" s="1"/>
  <c r="L30" i="12"/>
  <c r="M30" i="12" s="1"/>
  <c r="M29" i="12"/>
  <c r="L29" i="12"/>
  <c r="L28" i="12"/>
  <c r="L34" i="12" s="1"/>
  <c r="J9" i="12"/>
  <c r="L38" i="3"/>
  <c r="I5" i="3"/>
  <c r="S50" i="6"/>
  <c r="AA93" i="6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M109" i="6"/>
  <c r="T24" i="3"/>
  <c r="L4" i="3"/>
  <c r="M28" i="12" l="1"/>
  <c r="F37" i="3" l="1"/>
  <c r="G37" i="3" s="1"/>
  <c r="F38" i="3"/>
  <c r="G38" i="3" s="1"/>
  <c r="F103" i="10"/>
  <c r="F104" i="10"/>
  <c r="F105" i="10"/>
  <c r="F106" i="10"/>
  <c r="F107" i="10"/>
  <c r="F108" i="10"/>
  <c r="F109" i="10"/>
  <c r="F110" i="10"/>
  <c r="F111" i="10"/>
  <c r="F112" i="10"/>
  <c r="F113" i="10"/>
  <c r="J113" i="10" s="1"/>
  <c r="F114" i="10"/>
  <c r="J114" i="10" s="1"/>
  <c r="F115" i="10"/>
  <c r="F116" i="10"/>
  <c r="F117" i="10"/>
  <c r="F118" i="10"/>
  <c r="F119" i="10"/>
  <c r="F120" i="10"/>
  <c r="F121" i="10"/>
  <c r="F122" i="10"/>
  <c r="F123" i="10"/>
  <c r="F124" i="10"/>
  <c r="F125" i="10"/>
  <c r="J125" i="10" s="1"/>
  <c r="F126" i="10"/>
  <c r="F102" i="10"/>
  <c r="F78" i="10"/>
  <c r="F79" i="10"/>
  <c r="F80" i="10"/>
  <c r="F81" i="10"/>
  <c r="F82" i="10"/>
  <c r="F83" i="10"/>
  <c r="F84" i="10"/>
  <c r="F85" i="10"/>
  <c r="F86" i="10"/>
  <c r="F87" i="10"/>
  <c r="F88" i="10"/>
  <c r="J88" i="10" s="1"/>
  <c r="F89" i="10"/>
  <c r="J89" i="10" s="1"/>
  <c r="F90" i="10"/>
  <c r="F91" i="10"/>
  <c r="F92" i="10"/>
  <c r="F93" i="10"/>
  <c r="F94" i="10"/>
  <c r="F95" i="10"/>
  <c r="F96" i="10"/>
  <c r="F97" i="10"/>
  <c r="F98" i="10"/>
  <c r="F99" i="10"/>
  <c r="F100" i="10"/>
  <c r="J100" i="10" s="1"/>
  <c r="F101" i="10"/>
  <c r="J101" i="10" s="1"/>
  <c r="F77" i="10"/>
  <c r="F53" i="10"/>
  <c r="F54" i="10"/>
  <c r="F55" i="10"/>
  <c r="F56" i="10"/>
  <c r="F57" i="10"/>
  <c r="F58" i="10"/>
  <c r="F59" i="10"/>
  <c r="F60" i="10"/>
  <c r="F61" i="10"/>
  <c r="F62" i="10"/>
  <c r="F63" i="10"/>
  <c r="J63" i="10" s="1"/>
  <c r="F64" i="10"/>
  <c r="J64" i="10" s="1"/>
  <c r="F65" i="10"/>
  <c r="F66" i="10"/>
  <c r="F67" i="10"/>
  <c r="F68" i="10"/>
  <c r="F69" i="10"/>
  <c r="F70" i="10"/>
  <c r="F71" i="10"/>
  <c r="F72" i="10"/>
  <c r="F73" i="10"/>
  <c r="F74" i="10"/>
  <c r="F75" i="10"/>
  <c r="J75" i="10" s="1"/>
  <c r="F76" i="10"/>
  <c r="J76" i="10" s="1"/>
  <c r="J87" i="10"/>
  <c r="J99" i="10"/>
  <c r="F52" i="10"/>
  <c r="F28" i="10"/>
  <c r="F29" i="10"/>
  <c r="F30" i="10"/>
  <c r="F31" i="10"/>
  <c r="F32" i="10"/>
  <c r="F33" i="10"/>
  <c r="F34" i="10"/>
  <c r="F35" i="10"/>
  <c r="F36" i="10"/>
  <c r="J36" i="10" s="1"/>
  <c r="F37" i="10"/>
  <c r="F38" i="10"/>
  <c r="J38" i="10" s="1"/>
  <c r="F39" i="10"/>
  <c r="F40" i="10"/>
  <c r="F41" i="10"/>
  <c r="F42" i="10"/>
  <c r="F43" i="10"/>
  <c r="F44" i="10"/>
  <c r="F45" i="10"/>
  <c r="F46" i="10"/>
  <c r="F47" i="10"/>
  <c r="F48" i="10"/>
  <c r="J48" i="10" s="1"/>
  <c r="F49" i="10"/>
  <c r="F50" i="10"/>
  <c r="J50" i="10" s="1"/>
  <c r="F51" i="10"/>
  <c r="J60" i="10"/>
  <c r="J62" i="10"/>
  <c r="J72" i="10"/>
  <c r="J74" i="10"/>
  <c r="J39" i="10"/>
  <c r="J51" i="10"/>
  <c r="F27" i="10"/>
  <c r="F26" i="10"/>
  <c r="F3" i="10"/>
  <c r="F4" i="10"/>
  <c r="F5" i="10"/>
  <c r="F6" i="10"/>
  <c r="F7" i="10"/>
  <c r="F8" i="10"/>
  <c r="F9" i="10"/>
  <c r="F10" i="10"/>
  <c r="J10" i="10" s="1"/>
  <c r="F11" i="10"/>
  <c r="J11" i="10" s="1"/>
  <c r="F12" i="10"/>
  <c r="F13" i="10"/>
  <c r="F14" i="10"/>
  <c r="F15" i="10"/>
  <c r="F16" i="10"/>
  <c r="F17" i="10"/>
  <c r="F18" i="10"/>
  <c r="F19" i="10"/>
  <c r="F20" i="10"/>
  <c r="F21" i="10"/>
  <c r="F22" i="10"/>
  <c r="J22" i="10" s="1"/>
  <c r="F23" i="10"/>
  <c r="J23" i="10" s="1"/>
  <c r="F24" i="10"/>
  <c r="F25" i="10"/>
  <c r="F2" i="10"/>
  <c r="J103" i="10"/>
  <c r="J104" i="10"/>
  <c r="J105" i="10"/>
  <c r="J106" i="10"/>
  <c r="J112" i="10"/>
  <c r="J124" i="10"/>
  <c r="J59" i="10"/>
  <c r="J71" i="10"/>
  <c r="J95" i="10"/>
  <c r="J119" i="10"/>
  <c r="J86" i="10"/>
  <c r="J98" i="10"/>
  <c r="J110" i="10"/>
  <c r="J122" i="10"/>
  <c r="J123" i="10"/>
  <c r="J37" i="10"/>
  <c r="J49" i="10"/>
  <c r="J61" i="10"/>
  <c r="J73" i="10"/>
  <c r="J85" i="10"/>
  <c r="J97" i="10"/>
  <c r="J109" i="10"/>
  <c r="I136" i="10"/>
  <c r="I135" i="10"/>
  <c r="I134" i="10"/>
  <c r="I133" i="10"/>
  <c r="I132" i="10"/>
  <c r="J4" i="6" a="1"/>
  <c r="J4" i="6" s="1"/>
  <c r="O6" i="6" s="1"/>
  <c r="O26" i="10"/>
  <c r="L4" i="10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106" i="10" s="1"/>
  <c r="L107" i="10" s="1"/>
  <c r="L108" i="10" s="1"/>
  <c r="L109" i="10" s="1"/>
  <c r="L110" i="10" s="1"/>
  <c r="L111" i="10" s="1"/>
  <c r="L112" i="10" s="1"/>
  <c r="L113" i="10" s="1"/>
  <c r="L114" i="10" s="1"/>
  <c r="L115" i="10" s="1"/>
  <c r="L116" i="10" s="1"/>
  <c r="L117" i="10" s="1"/>
  <c r="L118" i="10" s="1"/>
  <c r="L119" i="10" s="1"/>
  <c r="L120" i="10" s="1"/>
  <c r="L121" i="10" s="1"/>
  <c r="L122" i="10" s="1"/>
  <c r="L123" i="10" s="1"/>
  <c r="L124" i="10" s="1"/>
  <c r="L125" i="10" s="1"/>
  <c r="L126" i="10" s="1"/>
  <c r="L3" i="10"/>
  <c r="J120" i="10"/>
  <c r="J3" i="10"/>
  <c r="J4" i="10"/>
  <c r="J5" i="10"/>
  <c r="J6" i="10"/>
  <c r="J7" i="10"/>
  <c r="J8" i="10"/>
  <c r="J9" i="10"/>
  <c r="J12" i="10"/>
  <c r="J13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40" i="10"/>
  <c r="J41" i="10"/>
  <c r="J42" i="10"/>
  <c r="J43" i="10"/>
  <c r="J44" i="10"/>
  <c r="J45" i="10"/>
  <c r="J46" i="10"/>
  <c r="J47" i="10"/>
  <c r="J52" i="10"/>
  <c r="J53" i="10"/>
  <c r="J54" i="10"/>
  <c r="J55" i="10"/>
  <c r="J56" i="10"/>
  <c r="J57" i="10"/>
  <c r="J58" i="10"/>
  <c r="J65" i="10"/>
  <c r="J66" i="10"/>
  <c r="J67" i="10"/>
  <c r="J68" i="10"/>
  <c r="J69" i="10"/>
  <c r="J70" i="10"/>
  <c r="J77" i="10"/>
  <c r="J78" i="10"/>
  <c r="J79" i="10"/>
  <c r="J80" i="10"/>
  <c r="J81" i="10"/>
  <c r="J82" i="10"/>
  <c r="J83" i="10"/>
  <c r="J84" i="10"/>
  <c r="J90" i="10"/>
  <c r="J91" i="10"/>
  <c r="J92" i="10"/>
  <c r="J93" i="10"/>
  <c r="J94" i="10"/>
  <c r="J96" i="10"/>
  <c r="J107" i="10"/>
  <c r="J108" i="10"/>
  <c r="J111" i="10"/>
  <c r="J115" i="10"/>
  <c r="J116" i="10"/>
  <c r="J117" i="10"/>
  <c r="J118" i="10"/>
  <c r="J2" i="10"/>
  <c r="H126" i="10"/>
  <c r="G126" i="10"/>
  <c r="I126" i="10" s="1"/>
  <c r="H125" i="10"/>
  <c r="G125" i="10"/>
  <c r="I125" i="10" s="1"/>
  <c r="H124" i="10"/>
  <c r="G124" i="10"/>
  <c r="I124" i="10" s="1"/>
  <c r="H123" i="10"/>
  <c r="I123" i="10" s="1"/>
  <c r="G123" i="10"/>
  <c r="H122" i="10"/>
  <c r="G122" i="10"/>
  <c r="I122" i="10" s="1"/>
  <c r="H121" i="10"/>
  <c r="G121" i="10"/>
  <c r="I121" i="10" s="1"/>
  <c r="I120" i="10"/>
  <c r="H120" i="10"/>
  <c r="G120" i="10"/>
  <c r="I119" i="10"/>
  <c r="H119" i="10"/>
  <c r="G119" i="10"/>
  <c r="H118" i="10"/>
  <c r="G118" i="10"/>
  <c r="I118" i="10" s="1"/>
  <c r="H117" i="10"/>
  <c r="G117" i="10"/>
  <c r="I117" i="10" s="1"/>
  <c r="I116" i="10"/>
  <c r="H116" i="10"/>
  <c r="G116" i="10"/>
  <c r="I115" i="10"/>
  <c r="H115" i="10"/>
  <c r="G115" i="10"/>
  <c r="H114" i="10"/>
  <c r="G114" i="10"/>
  <c r="I114" i="10" s="1"/>
  <c r="H113" i="10"/>
  <c r="G113" i="10"/>
  <c r="I113" i="10" s="1"/>
  <c r="H112" i="10"/>
  <c r="I112" i="10" s="1"/>
  <c r="G112" i="10"/>
  <c r="H111" i="10"/>
  <c r="I111" i="10" s="1"/>
  <c r="G111" i="10"/>
  <c r="I110" i="10"/>
  <c r="H110" i="10"/>
  <c r="G110" i="10"/>
  <c r="H109" i="10"/>
  <c r="G109" i="10"/>
  <c r="I109" i="10" s="1"/>
  <c r="I108" i="10"/>
  <c r="H108" i="10"/>
  <c r="G108" i="10"/>
  <c r="I107" i="10"/>
  <c r="H107" i="10"/>
  <c r="G107" i="10"/>
  <c r="H106" i="10"/>
  <c r="G106" i="10"/>
  <c r="I106" i="10" s="1"/>
  <c r="H105" i="10"/>
  <c r="G105" i="10"/>
  <c r="I105" i="10" s="1"/>
  <c r="I104" i="10"/>
  <c r="H104" i="10"/>
  <c r="G104" i="10"/>
  <c r="I103" i="10"/>
  <c r="H103" i="10"/>
  <c r="G103" i="10"/>
  <c r="H102" i="10"/>
  <c r="G102" i="10"/>
  <c r="I102" i="10" s="1"/>
  <c r="H101" i="10"/>
  <c r="G101" i="10"/>
  <c r="I101" i="10" s="1"/>
  <c r="H100" i="10"/>
  <c r="I100" i="10" s="1"/>
  <c r="G100" i="10"/>
  <c r="H99" i="10"/>
  <c r="I99" i="10" s="1"/>
  <c r="G99" i="10"/>
  <c r="I98" i="10"/>
  <c r="H98" i="10"/>
  <c r="G98" i="10"/>
  <c r="H97" i="10"/>
  <c r="G97" i="10"/>
  <c r="I97" i="10" s="1"/>
  <c r="I96" i="10"/>
  <c r="H96" i="10"/>
  <c r="G96" i="10"/>
  <c r="I95" i="10"/>
  <c r="H95" i="10"/>
  <c r="G95" i="10"/>
  <c r="H94" i="10"/>
  <c r="G94" i="10"/>
  <c r="I94" i="10" s="1"/>
  <c r="H93" i="10"/>
  <c r="G93" i="10"/>
  <c r="I93" i="10" s="1"/>
  <c r="I92" i="10"/>
  <c r="H92" i="10"/>
  <c r="G92" i="10"/>
  <c r="I91" i="10"/>
  <c r="H91" i="10"/>
  <c r="G91" i="10"/>
  <c r="H90" i="10"/>
  <c r="G90" i="10"/>
  <c r="I90" i="10" s="1"/>
  <c r="H89" i="10"/>
  <c r="G89" i="10"/>
  <c r="I89" i="10" s="1"/>
  <c r="H88" i="10"/>
  <c r="I88" i="10" s="1"/>
  <c r="G88" i="10"/>
  <c r="H87" i="10"/>
  <c r="I87" i="10" s="1"/>
  <c r="G87" i="10"/>
  <c r="I86" i="10"/>
  <c r="H86" i="10"/>
  <c r="G86" i="10"/>
  <c r="H85" i="10"/>
  <c r="G85" i="10"/>
  <c r="I85" i="10" s="1"/>
  <c r="I84" i="10"/>
  <c r="H84" i="10"/>
  <c r="G84" i="10"/>
  <c r="I83" i="10"/>
  <c r="H83" i="10"/>
  <c r="G83" i="10"/>
  <c r="H82" i="10"/>
  <c r="G82" i="10"/>
  <c r="I82" i="10" s="1"/>
  <c r="H81" i="10"/>
  <c r="G81" i="10"/>
  <c r="I81" i="10" s="1"/>
  <c r="I80" i="10"/>
  <c r="H80" i="10"/>
  <c r="G80" i="10"/>
  <c r="I79" i="10"/>
  <c r="H79" i="10"/>
  <c r="G79" i="10"/>
  <c r="H78" i="10"/>
  <c r="G78" i="10"/>
  <c r="I78" i="10" s="1"/>
  <c r="H77" i="10"/>
  <c r="G77" i="10"/>
  <c r="I77" i="10" s="1"/>
  <c r="H76" i="10"/>
  <c r="G76" i="10"/>
  <c r="I76" i="10" s="1"/>
  <c r="H75" i="10"/>
  <c r="I75" i="10" s="1"/>
  <c r="G75" i="10"/>
  <c r="I74" i="10"/>
  <c r="H74" i="10"/>
  <c r="G74" i="10"/>
  <c r="H73" i="10"/>
  <c r="G73" i="10"/>
  <c r="I73" i="10" s="1"/>
  <c r="H72" i="10"/>
  <c r="G72" i="10"/>
  <c r="I72" i="10" s="1"/>
  <c r="I71" i="10"/>
  <c r="H71" i="10"/>
  <c r="G71" i="10"/>
  <c r="H70" i="10"/>
  <c r="G70" i="10"/>
  <c r="I70" i="10" s="1"/>
  <c r="H69" i="10"/>
  <c r="G69" i="10"/>
  <c r="I69" i="10" s="1"/>
  <c r="I68" i="10"/>
  <c r="H68" i="10"/>
  <c r="G68" i="10"/>
  <c r="H67" i="10"/>
  <c r="I67" i="10" s="1"/>
  <c r="G67" i="10"/>
  <c r="H66" i="10"/>
  <c r="G66" i="10"/>
  <c r="I66" i="10" s="1"/>
  <c r="H65" i="10"/>
  <c r="G65" i="10"/>
  <c r="I65" i="10" s="1"/>
  <c r="H64" i="10"/>
  <c r="G64" i="10"/>
  <c r="I64" i="10" s="1"/>
  <c r="H63" i="10"/>
  <c r="I63" i="10" s="1"/>
  <c r="G63" i="10"/>
  <c r="I62" i="10"/>
  <c r="H62" i="10"/>
  <c r="G62" i="10"/>
  <c r="H61" i="10"/>
  <c r="G61" i="10"/>
  <c r="I61" i="10" s="1"/>
  <c r="H60" i="10"/>
  <c r="G60" i="10"/>
  <c r="I60" i="10" s="1"/>
  <c r="I59" i="10"/>
  <c r="H59" i="10"/>
  <c r="G59" i="10"/>
  <c r="H58" i="10"/>
  <c r="G58" i="10"/>
  <c r="I58" i="10" s="1"/>
  <c r="H57" i="10"/>
  <c r="G57" i="10"/>
  <c r="I57" i="10" s="1"/>
  <c r="I56" i="10"/>
  <c r="H56" i="10"/>
  <c r="G56" i="10"/>
  <c r="H55" i="10"/>
  <c r="I55" i="10" s="1"/>
  <c r="G55" i="10"/>
  <c r="H54" i="10"/>
  <c r="G54" i="10"/>
  <c r="I54" i="10" s="1"/>
  <c r="H53" i="10"/>
  <c r="G53" i="10"/>
  <c r="I53" i="10" s="1"/>
  <c r="H52" i="10"/>
  <c r="G52" i="10"/>
  <c r="I52" i="10" s="1"/>
  <c r="H51" i="10"/>
  <c r="I51" i="10" s="1"/>
  <c r="G51" i="10"/>
  <c r="I50" i="10"/>
  <c r="H50" i="10"/>
  <c r="G50" i="10"/>
  <c r="H49" i="10"/>
  <c r="G49" i="10"/>
  <c r="I49" i="10" s="1"/>
  <c r="H48" i="10"/>
  <c r="G48" i="10"/>
  <c r="I48" i="10" s="1"/>
  <c r="I47" i="10"/>
  <c r="H47" i="10"/>
  <c r="G47" i="10"/>
  <c r="H46" i="10"/>
  <c r="G46" i="10"/>
  <c r="I46" i="10" s="1"/>
  <c r="H45" i="10"/>
  <c r="G45" i="10"/>
  <c r="I45" i="10" s="1"/>
  <c r="I44" i="10"/>
  <c r="H44" i="10"/>
  <c r="G44" i="10"/>
  <c r="H43" i="10"/>
  <c r="I43" i="10" s="1"/>
  <c r="G43" i="10"/>
  <c r="H42" i="10"/>
  <c r="G42" i="10"/>
  <c r="I42" i="10" s="1"/>
  <c r="H41" i="10"/>
  <c r="G41" i="10"/>
  <c r="I41" i="10" s="1"/>
  <c r="H40" i="10"/>
  <c r="G40" i="10"/>
  <c r="I40" i="10" s="1"/>
  <c r="H39" i="10"/>
  <c r="I39" i="10" s="1"/>
  <c r="G39" i="10"/>
  <c r="I38" i="10"/>
  <c r="H38" i="10"/>
  <c r="G38" i="10"/>
  <c r="H37" i="10"/>
  <c r="G37" i="10"/>
  <c r="I37" i="10" s="1"/>
  <c r="H36" i="10"/>
  <c r="G36" i="10"/>
  <c r="I36" i="10" s="1"/>
  <c r="I35" i="10"/>
  <c r="H35" i="10"/>
  <c r="G35" i="10"/>
  <c r="H34" i="10"/>
  <c r="G34" i="10"/>
  <c r="I34" i="10" s="1"/>
  <c r="H33" i="10"/>
  <c r="G33" i="10"/>
  <c r="I33" i="10" s="1"/>
  <c r="I32" i="10"/>
  <c r="H32" i="10"/>
  <c r="G32" i="10"/>
  <c r="H31" i="10"/>
  <c r="I31" i="10" s="1"/>
  <c r="G31" i="10"/>
  <c r="H30" i="10"/>
  <c r="G30" i="10"/>
  <c r="I30" i="10" s="1"/>
  <c r="H29" i="10"/>
  <c r="G29" i="10"/>
  <c r="I29" i="10" s="1"/>
  <c r="H28" i="10"/>
  <c r="G28" i="10"/>
  <c r="I28" i="10" s="1"/>
  <c r="H27" i="10"/>
  <c r="I27" i="10" s="1"/>
  <c r="G27" i="10"/>
  <c r="I26" i="10"/>
  <c r="H26" i="10"/>
  <c r="G26" i="10"/>
  <c r="H25" i="10"/>
  <c r="G25" i="10"/>
  <c r="I25" i="10" s="1"/>
  <c r="H24" i="10"/>
  <c r="G24" i="10"/>
  <c r="I24" i="10" s="1"/>
  <c r="I23" i="10"/>
  <c r="H23" i="10"/>
  <c r="G23" i="10"/>
  <c r="H22" i="10"/>
  <c r="G22" i="10"/>
  <c r="I22" i="10" s="1"/>
  <c r="H21" i="10"/>
  <c r="G21" i="10"/>
  <c r="I21" i="10" s="1"/>
  <c r="I20" i="10"/>
  <c r="H20" i="10"/>
  <c r="G20" i="10"/>
  <c r="H19" i="10"/>
  <c r="I19" i="10" s="1"/>
  <c r="G19" i="10"/>
  <c r="H18" i="10"/>
  <c r="G18" i="10"/>
  <c r="I18" i="10" s="1"/>
  <c r="H17" i="10"/>
  <c r="G17" i="10"/>
  <c r="I17" i="10" s="1"/>
  <c r="H16" i="10"/>
  <c r="G16" i="10"/>
  <c r="I16" i="10" s="1"/>
  <c r="H15" i="10"/>
  <c r="I15" i="10" s="1"/>
  <c r="G15" i="10"/>
  <c r="I14" i="10"/>
  <c r="H14" i="10"/>
  <c r="G14" i="10"/>
  <c r="H13" i="10"/>
  <c r="G13" i="10"/>
  <c r="I13" i="10" s="1"/>
  <c r="H12" i="10"/>
  <c r="G12" i="10"/>
  <c r="I12" i="10" s="1"/>
  <c r="I11" i="10"/>
  <c r="H11" i="10"/>
  <c r="G11" i="10"/>
  <c r="H10" i="10"/>
  <c r="G10" i="10"/>
  <c r="I10" i="10" s="1"/>
  <c r="H9" i="10"/>
  <c r="G9" i="10"/>
  <c r="I9" i="10" s="1"/>
  <c r="I8" i="10"/>
  <c r="H8" i="10"/>
  <c r="G8" i="10"/>
  <c r="H7" i="10"/>
  <c r="I7" i="10" s="1"/>
  <c r="G7" i="10"/>
  <c r="H6" i="10"/>
  <c r="G6" i="10"/>
  <c r="I6" i="10" s="1"/>
  <c r="H5" i="10"/>
  <c r="G5" i="10"/>
  <c r="I5" i="10" s="1"/>
  <c r="H4" i="10"/>
  <c r="G4" i="10"/>
  <c r="I4" i="10" s="1"/>
  <c r="H3" i="10"/>
  <c r="I3" i="10" s="1"/>
  <c r="G3" i="10"/>
  <c r="I2" i="10"/>
  <c r="H2" i="10"/>
  <c r="G2" i="10"/>
  <c r="P37" i="6"/>
  <c r="O37" i="6"/>
  <c r="N37" i="6"/>
  <c r="M37" i="6"/>
  <c r="L37" i="6"/>
  <c r="K37" i="6"/>
  <c r="U31" i="6"/>
  <c r="U30" i="6"/>
  <c r="Q31" i="6"/>
  <c r="Q30" i="6"/>
  <c r="M31" i="6"/>
  <c r="M30" i="6"/>
  <c r="M29" i="6"/>
  <c r="Q35" i="6"/>
  <c r="P130" i="6" s="1"/>
  <c r="K34" i="6"/>
  <c r="K130" i="6" s="1"/>
  <c r="M92" i="6"/>
  <c r="K15" i="6"/>
  <c r="J22" i="6"/>
  <c r="Q59" i="6" s="1"/>
  <c r="S59" i="6" s="1"/>
  <c r="AE4" i="6"/>
  <c r="AE5" i="6" s="1"/>
  <c r="AE6" i="6" s="1"/>
  <c r="AE7" i="6" s="1"/>
  <c r="AE8" i="6" s="1"/>
  <c r="AE9" i="6" s="1"/>
  <c r="L18" i="6"/>
  <c r="M18" i="6"/>
  <c r="K18" i="6"/>
  <c r="K42" i="6"/>
  <c r="J5894" i="1" a="1"/>
  <c r="E5978" i="1" a="1"/>
  <c r="J5852" i="1" a="1"/>
  <c r="P81" i="1" a="1"/>
  <c r="J5864" i="1" a="1"/>
  <c r="J5566" i="1" a="1"/>
  <c r="E5963" i="1" a="1"/>
  <c r="Z304" i="1" a="1"/>
  <c r="E4918" i="1" a="1"/>
  <c r="P23" i="1" a="1"/>
  <c r="Z277" i="1" a="1"/>
  <c r="Z196" i="1" a="1"/>
  <c r="J5705" i="1" a="1"/>
  <c r="P145" i="1" a="1"/>
  <c r="Z152" i="1" a="1"/>
  <c r="Z39" i="1" a="1"/>
  <c r="Z193" i="1" a="1"/>
  <c r="P411" i="1" a="1"/>
  <c r="E4796" i="1" a="1"/>
  <c r="J4915" i="1" a="1"/>
  <c r="Z381" i="1" a="1"/>
  <c r="Z184" i="1" a="1"/>
  <c r="Z159" i="1" a="1"/>
  <c r="Z325" i="1" a="1"/>
  <c r="Z432" i="1" a="1"/>
  <c r="Z273" i="1" a="1"/>
  <c r="E5954" i="1" a="1"/>
  <c r="E5475" i="1" a="1"/>
  <c r="P286" i="1" a="1"/>
  <c r="J5982" i="1" a="1"/>
  <c r="J5779" i="1" a="1"/>
  <c r="E5970" i="1" a="1"/>
  <c r="P92" i="1" a="1"/>
  <c r="J4985" i="1" a="1"/>
  <c r="Z210" i="1" a="1"/>
  <c r="J5540" i="1" a="1"/>
  <c r="P39" i="1" a="1"/>
  <c r="E6014" i="1" a="1"/>
  <c r="E5261" i="1" a="1"/>
  <c r="E5257" i="1" a="1"/>
  <c r="J5224" i="1" a="1"/>
  <c r="E5172" i="1" a="1"/>
  <c r="Z411" i="1" a="1"/>
  <c r="E5607" i="1" a="1"/>
  <c r="P53" i="1" a="1"/>
  <c r="Z262" i="1" a="1"/>
  <c r="Z430" i="1" a="1"/>
  <c r="J5630" i="1" a="1"/>
  <c r="Z2" i="1" a="1"/>
  <c r="J5043" i="1" a="1"/>
  <c r="E5883" i="1" a="1"/>
  <c r="J5690" i="1" a="1"/>
  <c r="J5755" i="1" a="1"/>
  <c r="E5590" i="1" a="1"/>
  <c r="E5754" i="1" a="1"/>
  <c r="E5943" i="1" a="1"/>
  <c r="J5861" i="1" a="1"/>
  <c r="J5897" i="1" a="1"/>
  <c r="Z219" i="1" a="1"/>
  <c r="Z217" i="1" a="1"/>
  <c r="Z65" i="1" a="1"/>
  <c r="Z322" i="1" a="1"/>
  <c r="Z6" i="1" a="1"/>
  <c r="E6008" i="1" a="1"/>
  <c r="E5246" i="1" a="1"/>
  <c r="Z122" i="1" a="1"/>
  <c r="Z88" i="1" a="1"/>
  <c r="Z355" i="1" a="1"/>
  <c r="J5676" i="1" a="1"/>
  <c r="J5847" i="1" a="1"/>
  <c r="J5966" i="1" a="1"/>
  <c r="J5856" i="1" a="1"/>
  <c r="J5498" i="1" a="1"/>
  <c r="J6019" i="1" a="1"/>
  <c r="E5912" i="1" a="1"/>
  <c r="P372" i="1" a="1"/>
  <c r="P117" i="1" a="1"/>
  <c r="E5400" i="1" a="1"/>
  <c r="J5678" i="1" a="1"/>
  <c r="E4622" i="1" a="1"/>
  <c r="J5862" i="1" a="1"/>
  <c r="P263" i="1" a="1"/>
  <c r="Z41" i="1" a="1"/>
  <c r="P239" i="1" a="1"/>
  <c r="P386" i="1" a="1"/>
  <c r="E5971" i="1" a="1"/>
  <c r="J5488" i="1" a="1"/>
  <c r="E5143" i="1" a="1"/>
  <c r="P37" i="1" a="1"/>
  <c r="J5807" i="1" a="1"/>
  <c r="J5739" i="1" a="1"/>
  <c r="P215" i="1" a="1"/>
  <c r="E5469" i="1" a="1"/>
  <c r="Z86" i="1" a="1"/>
  <c r="E5974" i="1" a="1"/>
  <c r="E5606" i="1" a="1"/>
  <c r="J5996" i="1" a="1"/>
  <c r="J5230" i="1" a="1"/>
  <c r="J5801" i="1" a="1"/>
  <c r="Z340" i="1" a="1"/>
  <c r="E5549" i="1" a="1"/>
  <c r="J6017" i="1" a="1"/>
  <c r="J5689" i="1" a="1"/>
  <c r="Z140" i="1" a="1"/>
  <c r="Z83" i="1" a="1"/>
  <c r="E5364" i="1" a="1"/>
  <c r="Z424" i="1" a="1"/>
  <c r="J6023" i="1" a="1"/>
  <c r="E5482" i="1" a="1"/>
  <c r="Z144" i="1" a="1"/>
  <c r="Z3" i="1" a="1"/>
  <c r="E5127" i="1" a="1"/>
  <c r="Z205" i="1" a="1"/>
  <c r="Z285" i="1" a="1"/>
  <c r="Z313" i="1" a="1"/>
  <c r="E5698" i="1" a="1"/>
  <c r="Z369" i="1" a="1"/>
  <c r="Z26" i="1" a="1"/>
  <c r="E4940" i="1" a="1"/>
  <c r="E5240" i="1" a="1"/>
  <c r="E4889" i="1" a="1"/>
  <c r="J5976" i="1" a="1"/>
  <c r="E5707" i="1" a="1"/>
  <c r="E5470" i="1" a="1"/>
  <c r="J5957" i="1" a="1"/>
  <c r="E4654" i="1" a="1"/>
  <c r="E4965" i="1" a="1"/>
  <c r="P201" i="1" a="1"/>
  <c r="Z191" i="1" a="1"/>
  <c r="Z28" i="1" a="1"/>
  <c r="Z16" i="1" a="1"/>
  <c r="J5557" i="1" a="1"/>
  <c r="P289" i="1" a="1"/>
  <c r="J5228" i="1" a="1"/>
  <c r="Z229" i="1" a="1"/>
  <c r="Z154" i="1" a="1"/>
  <c r="E5139" i="1" a="1"/>
  <c r="P385" i="1" a="1"/>
  <c r="E5995" i="1" a="1"/>
  <c r="P168" i="1" a="1"/>
  <c r="E5645" i="1" a="1"/>
  <c r="P288" i="1" a="1"/>
  <c r="J5858" i="1" a="1"/>
  <c r="P17" i="1" a="1"/>
  <c r="P179" i="1" a="1"/>
  <c r="J5574" i="1" a="1"/>
  <c r="E5892" i="1" a="1"/>
  <c r="J5830" i="1" a="1"/>
  <c r="P353" i="1" a="1"/>
  <c r="P345" i="1" a="1"/>
  <c r="P213" i="1" a="1"/>
  <c r="J5710" i="1" a="1"/>
  <c r="P113" i="1" a="1"/>
  <c r="P150" i="1" a="1"/>
  <c r="P206" i="1" a="1"/>
  <c r="Z58" i="1" a="1"/>
  <c r="Z38" i="1" a="1"/>
  <c r="J5425" i="1" a="1"/>
  <c r="Z194" i="1" a="1"/>
  <c r="Z108" i="1" a="1"/>
  <c r="Z344" i="1" a="1"/>
  <c r="E5405" i="1" a="1"/>
  <c r="P410" i="1" a="1"/>
  <c r="P349" i="1" a="1"/>
  <c r="Z330" i="1" a="1"/>
  <c r="Z136" i="1" a="1"/>
  <c r="Z180" i="1" a="1"/>
  <c r="Z246" i="1" a="1"/>
  <c r="E5717" i="1" a="1"/>
  <c r="E5471" i="1" a="1"/>
  <c r="P240" i="1" a="1"/>
  <c r="J5680" i="1" a="1"/>
  <c r="P409" i="1" a="1"/>
  <c r="P80" i="1" a="1"/>
  <c r="P257" i="1" a="1"/>
  <c r="J5826" i="1" a="1"/>
  <c r="J5524" i="1" a="1"/>
  <c r="Z289" i="1" a="1"/>
  <c r="Z150" i="1" a="1"/>
  <c r="E5501" i="1" a="1"/>
  <c r="Z256" i="1" a="1"/>
  <c r="Z147" i="1" a="1"/>
  <c r="J5281" i="1" a="1"/>
  <c r="Z435" i="1" a="1"/>
  <c r="E5380" i="1" a="1"/>
  <c r="Z97" i="1" a="1"/>
  <c r="P371" i="1" a="1"/>
  <c r="P295" i="1" a="1"/>
  <c r="P40" i="1" a="1"/>
  <c r="J5850" i="1" a="1"/>
  <c r="P354" i="1" a="1"/>
  <c r="E5790" i="1" a="1"/>
  <c r="J5953" i="1" a="1"/>
  <c r="P197" i="1" a="1"/>
  <c r="P89" i="1" a="1"/>
  <c r="P251" i="1" a="1"/>
  <c r="E5146" i="1" a="1"/>
  <c r="E4890" i="1" a="1"/>
  <c r="E4733" i="1" a="1"/>
  <c r="E5169" i="1" a="1"/>
  <c r="E5719" i="1" a="1"/>
  <c r="Z295" i="1" a="1"/>
  <c r="E5925" i="1" a="1"/>
  <c r="J5759" i="1" a="1"/>
  <c r="E5626" i="1" a="1"/>
  <c r="E5843" i="1" a="1"/>
  <c r="E5360" i="1" a="1"/>
  <c r="J5744" i="1" a="1"/>
  <c r="Z268" i="1" a="1"/>
  <c r="E5684" i="1" a="1"/>
  <c r="P439" i="1" a="1"/>
  <c r="P164" i="1" a="1"/>
  <c r="E4817" i="1" a="1"/>
  <c r="J5725" i="1" a="1"/>
  <c r="E5292" i="1" a="1"/>
  <c r="J5772" i="1" a="1"/>
  <c r="E5818" i="1" a="1"/>
  <c r="E5755" i="1" a="1"/>
  <c r="E5540" i="1" a="1"/>
  <c r="Z348" i="1" a="1"/>
  <c r="Z224" i="1" a="1"/>
  <c r="Z177" i="1" a="1"/>
  <c r="P302" i="1" a="1"/>
  <c r="J5037" i="1" a="1"/>
  <c r="E5936" i="1" a="1"/>
  <c r="P88" i="1" a="1"/>
  <c r="E5371" i="1" a="1"/>
  <c r="P48" i="1" a="1"/>
  <c r="Z68" i="1" a="1"/>
  <c r="Z55" i="1" a="1"/>
  <c r="J5683" i="1" a="1"/>
  <c r="P73" i="1" a="1"/>
  <c r="P430" i="1" a="1"/>
  <c r="P68" i="1" a="1"/>
  <c r="P279" i="1" a="1"/>
  <c r="P171" i="1" a="1"/>
  <c r="E5463" i="1" a="1"/>
  <c r="P405" i="1" a="1"/>
  <c r="E5674" i="1" a="1"/>
  <c r="P377" i="1" a="1"/>
  <c r="Z105" i="1" a="1"/>
  <c r="E5999" i="1" a="1"/>
  <c r="J5986" i="1" a="1"/>
  <c r="J5695" i="1" a="1"/>
  <c r="E5681" i="1" a="1"/>
  <c r="P259" i="1" a="1"/>
  <c r="P151" i="1" a="1"/>
  <c r="E4960" i="1" a="1"/>
  <c r="Z12" i="1" a="1"/>
  <c r="E5514" i="1" a="1"/>
  <c r="E5454" i="1" a="1"/>
  <c r="Z404" i="1" a="1"/>
  <c r="Z207" i="1" a="1"/>
  <c r="E5725" i="1" a="1"/>
  <c r="J5686" i="1" a="1"/>
  <c r="E5700" i="1" a="1"/>
  <c r="J4944" i="1" a="1"/>
  <c r="E5554" i="1" a="1"/>
  <c r="E5175" i="1" a="1"/>
  <c r="P29" i="1" a="1"/>
  <c r="E5511" i="1" a="1"/>
  <c r="E5593" i="1" a="1"/>
  <c r="Z428" i="1" a="1"/>
  <c r="E5372" i="1" a="1"/>
  <c r="J5231" i="1" a="1"/>
  <c r="E5545" i="1" a="1"/>
  <c r="Z231" i="1" a="1"/>
  <c r="J5486" i="1" a="1"/>
  <c r="Z59" i="1" a="1"/>
  <c r="P440" i="1" a="1"/>
  <c r="P180" i="1" a="1"/>
  <c r="J5904" i="1" a="1"/>
  <c r="E5887" i="1" a="1"/>
  <c r="E5961" i="1" a="1"/>
  <c r="P258" i="1" a="1"/>
  <c r="Z4" i="1" a="1"/>
  <c r="P234" i="1" a="1"/>
  <c r="P391" i="1" a="1"/>
  <c r="E5580" i="1" a="1"/>
  <c r="Z300" i="1" a="1"/>
  <c r="J5742" i="1" a="1"/>
  <c r="Z220" i="1" a="1"/>
  <c r="Z126" i="1" a="1"/>
  <c r="Z132" i="1" a="1"/>
  <c r="E5746" i="1" a="1"/>
  <c r="E5298" i="1" a="1"/>
  <c r="E5623" i="1" a="1"/>
  <c r="E5174" i="1" a="1"/>
  <c r="J5402" i="1" a="1"/>
  <c r="P120" i="1" a="1"/>
  <c r="Z261" i="1" a="1"/>
  <c r="Z286" i="1" a="1"/>
  <c r="J5579" i="1" a="1"/>
  <c r="P93" i="1" a="1"/>
  <c r="P149" i="1" a="1"/>
  <c r="P266" i="1" a="1"/>
  <c r="P331" i="1" a="1"/>
  <c r="J5650" i="1" a="1"/>
  <c r="J5296" i="1" a="1"/>
  <c r="J5891" i="1" a="1"/>
  <c r="E5794" i="1" a="1"/>
  <c r="E5267" i="1" a="1"/>
  <c r="Z153" i="1" a="1"/>
  <c r="J5472" i="1" a="1"/>
  <c r="P116" i="1" a="1"/>
  <c r="J5617" i="1" a="1"/>
  <c r="E5910" i="1" a="1"/>
  <c r="E5296" i="1" a="1"/>
  <c r="E5768" i="1" a="1"/>
  <c r="J5543" i="1" a="1"/>
  <c r="E5398" i="1" a="1"/>
  <c r="P417" i="1" a="1"/>
  <c r="P275" i="1" a="1"/>
  <c r="P28" i="1" a="1"/>
  <c r="Z5" i="1" a="1"/>
  <c r="Z356" i="1" a="1"/>
  <c r="P374" i="1" a="1"/>
  <c r="Z236" i="1" a="1"/>
  <c r="E6019" i="1" a="1"/>
  <c r="Z222" i="1" a="1"/>
  <c r="Z250" i="1" a="1"/>
  <c r="J5814" i="1" a="1"/>
  <c r="Z343" i="1" a="1"/>
  <c r="Z405" i="1" a="1"/>
  <c r="J5350" i="1" a="1"/>
  <c r="Z274" i="1" a="1"/>
  <c r="Z131" i="1" a="1"/>
  <c r="Z72" i="1" a="1"/>
  <c r="J5471" i="1" a="1"/>
  <c r="P253" i="1" a="1"/>
  <c r="P141" i="1" a="1"/>
  <c r="P229" i="1" a="1"/>
  <c r="E6021" i="1" a="1"/>
  <c r="E5642" i="1" a="1"/>
  <c r="J5791" i="1" a="1"/>
  <c r="Z100" i="1" a="1"/>
  <c r="E6024" i="1" a="1"/>
  <c r="P137" i="1" a="1"/>
  <c r="P404" i="1" a="1"/>
  <c r="J5863" i="1" a="1"/>
  <c r="P252" i="1" a="1"/>
  <c r="J5564" i="1" a="1"/>
  <c r="E5065" i="1" a="1"/>
  <c r="J5347" i="1" a="1"/>
  <c r="P330" i="1" a="1"/>
  <c r="P198" i="1" a="1"/>
  <c r="E6020" i="1" a="1"/>
  <c r="E5985" i="1" a="1"/>
  <c r="E5601" i="1" a="1"/>
  <c r="E5816" i="1" a="1"/>
  <c r="E5307" i="1" a="1"/>
  <c r="J5859" i="1" a="1"/>
  <c r="E5750" i="1" a="1"/>
  <c r="P44" i="1" a="1"/>
  <c r="P152" i="1" a="1"/>
  <c r="E5810" i="1" a="1"/>
  <c r="E5877" i="1" a="1"/>
  <c r="E5520" i="1" a="1"/>
  <c r="P271" i="1" a="1"/>
  <c r="E4808" i="1" a="1"/>
  <c r="E4419" i="1" a="1"/>
  <c r="E5879" i="1" a="1"/>
  <c r="E5073" i="1" a="1"/>
  <c r="J5796" i="1" a="1"/>
  <c r="J5734" i="1" a="1"/>
  <c r="J5385" i="1" a="1"/>
  <c r="E5393" i="1" a="1"/>
  <c r="J5278" i="1" a="1"/>
  <c r="E5497" i="1" a="1"/>
  <c r="E5930" i="1" a="1"/>
  <c r="J5817" i="1" a="1"/>
  <c r="E5942" i="1" a="1"/>
  <c r="J5416" i="1" a="1"/>
  <c r="E5428" i="1" a="1"/>
  <c r="J5205" i="1" a="1"/>
  <c r="P140" i="1" a="1"/>
  <c r="E5265" i="1" a="1"/>
  <c r="J5968" i="1" a="1"/>
  <c r="P32" i="1" a="1"/>
  <c r="Z317" i="1" a="1"/>
  <c r="Z129" i="1" a="1"/>
  <c r="Z155" i="1" a="1"/>
  <c r="Z334" i="1" a="1"/>
  <c r="E5836" i="1" a="1"/>
  <c r="E4689" i="1" a="1"/>
  <c r="J5487" i="1" a="1"/>
  <c r="Z185" i="1" a="1"/>
  <c r="J5226" i="1" a="1"/>
  <c r="J5766" i="1" a="1"/>
  <c r="J5628" i="1" a="1"/>
  <c r="J5136" i="1" a="1"/>
  <c r="E4686" i="1" a="1"/>
  <c r="E5651" i="1" a="1"/>
  <c r="Z139" i="1" a="1"/>
  <c r="J5181" i="1" a="1"/>
  <c r="E5785" i="1" a="1"/>
  <c r="J5837" i="1" a="1"/>
  <c r="J5065" i="1" a="1"/>
  <c r="E5279" i="1" a="1"/>
  <c r="J5538" i="1" a="1"/>
  <c r="Z47" i="1" a="1"/>
  <c r="J5301" i="1" a="1"/>
  <c r="P434" i="1" a="1"/>
  <c r="E5730" i="1" a="1"/>
  <c r="E5170" i="1" a="1"/>
  <c r="E5145" i="1" a="1"/>
  <c r="P139" i="1" a="1"/>
  <c r="E5403" i="1" a="1"/>
  <c r="P274" i="1" a="1"/>
  <c r="P156" i="1" a="1"/>
  <c r="Z241" i="1" a="1"/>
  <c r="J5945" i="1" a="1"/>
  <c r="J5411" i="1" a="1"/>
  <c r="Z29" i="1" a="1"/>
  <c r="J5936" i="1" a="1"/>
  <c r="E6012" i="1" a="1"/>
  <c r="J5907" i="1" a="1"/>
  <c r="J5908" i="1" a="1"/>
  <c r="J5995" i="1" a="1"/>
  <c r="E5821" i="1" a="1"/>
  <c r="J5910" i="1" a="1"/>
  <c r="E5297" i="1" a="1"/>
  <c r="E5973" i="1" a="1"/>
  <c r="J5268" i="1" a="1"/>
  <c r="J4543" i="1" a="1"/>
  <c r="Z172" i="1" a="1"/>
  <c r="Z160" i="1" a="1"/>
  <c r="Z33" i="1" a="1"/>
  <c r="E5923" i="1" a="1"/>
  <c r="Z245" i="1" a="1"/>
  <c r="Z87" i="1" a="1"/>
  <c r="Z15" i="1" a="1"/>
  <c r="Z74" i="1" a="1"/>
  <c r="Z267" i="1" a="1"/>
  <c r="E4870" i="1" a="1"/>
  <c r="Z101" i="1" a="1"/>
  <c r="J5876" i="1" a="1"/>
  <c r="J5298" i="1" a="1"/>
  <c r="J5340" i="1" a="1"/>
  <c r="E5825" i="1" a="1"/>
  <c r="P390" i="1" a="1"/>
  <c r="J5735" i="1" a="1"/>
  <c r="P10" i="1" a="1"/>
  <c r="E5337" i="1" a="1"/>
  <c r="Z292" i="1" a="1"/>
  <c r="J6012" i="1" a="1"/>
  <c r="P424" i="1" a="1"/>
  <c r="P95" i="1" a="1"/>
  <c r="Z157" i="1" a="1"/>
  <c r="E5729" i="1" a="1"/>
  <c r="E5929" i="1" a="1"/>
  <c r="P165" i="1" a="1"/>
  <c r="Z305" i="1" a="1"/>
  <c r="Z233" i="1" a="1"/>
  <c r="P306" i="1" a="1"/>
  <c r="Z374" i="1" a="1"/>
  <c r="E5644" i="1" a="1"/>
  <c r="J5476" i="1" a="1"/>
  <c r="E5343" i="1" a="1"/>
  <c r="E5314" i="1" a="1"/>
  <c r="E5718" i="1" a="1"/>
  <c r="J5513" i="1" a="1"/>
  <c r="Z197" i="1" a="1"/>
  <c r="J5771" i="1" a="1"/>
  <c r="J5971" i="1" a="1"/>
  <c r="Z237" i="1" a="1"/>
  <c r="J5902" i="1" a="1"/>
  <c r="E5190" i="1" a="1"/>
  <c r="Z436" i="1" a="1"/>
  <c r="J5493" i="1" a="1"/>
  <c r="J5700" i="1" a="1"/>
  <c r="E5964" i="1" a="1"/>
  <c r="J5259" i="1" a="1"/>
  <c r="Z226" i="1" a="1"/>
  <c r="E5014" i="1" a="1"/>
  <c r="P33" i="1" a="1"/>
  <c r="Z379" i="1" a="1"/>
  <c r="J5454" i="1" a="1"/>
  <c r="P216" i="1" a="1"/>
  <c r="Z182" i="1" a="1"/>
  <c r="Z179" i="1" a="1"/>
  <c r="E5782" i="1" a="1"/>
  <c r="Z271" i="1" a="1"/>
  <c r="Z359" i="1" a="1"/>
  <c r="J5221" i="1" a="1"/>
  <c r="E5582" i="1" a="1"/>
  <c r="E5888" i="1" a="1"/>
  <c r="E5875" i="1" a="1"/>
  <c r="E5495" i="1" a="1"/>
  <c r="P290" i="1" a="1"/>
  <c r="P35" i="1" a="1"/>
  <c r="E5333" i="1" a="1"/>
  <c r="E6023" i="1" a="1"/>
  <c r="E5743" i="1" a="1"/>
  <c r="J4384" i="1" a="1"/>
  <c r="P181" i="1" a="1"/>
  <c r="P69" i="1" a="1"/>
  <c r="P177" i="1" a="1"/>
  <c r="P334" i="1" a="1"/>
  <c r="J5251" i="1" a="1"/>
  <c r="E5776" i="1" a="1"/>
  <c r="Z265" i="1" a="1"/>
  <c r="P412" i="1" a="1"/>
  <c r="P280" i="1" a="1"/>
  <c r="J5249" i="1" a="1"/>
  <c r="E5628" i="1" a="1"/>
  <c r="J5829" i="1" a="1"/>
  <c r="E5774" i="1" a="1"/>
  <c r="E4971" i="1" a="1"/>
  <c r="P276" i="1" a="1"/>
  <c r="P63" i="1" a="1"/>
  <c r="Z8" i="1" a="1"/>
  <c r="J5641" i="1" a="1"/>
  <c r="P71" i="1" a="1"/>
  <c r="E5445" i="1" a="1"/>
  <c r="J4139" i="1" a="1"/>
  <c r="E5598" i="1" a="1"/>
  <c r="P325" i="1" a="1"/>
  <c r="P193" i="1" a="1"/>
  <c r="E5889" i="1" a="1"/>
  <c r="E5955" i="1" a="1"/>
  <c r="J5369" i="1" a="1"/>
  <c r="E5610" i="1" a="1"/>
  <c r="E5842" i="1" a="1"/>
  <c r="Z324" i="1" a="1"/>
  <c r="Z293" i="1" a="1"/>
  <c r="Z117" i="1" a="1"/>
  <c r="J5687" i="1" a="1"/>
  <c r="E5521" i="1" a="1"/>
  <c r="E5968" i="1" a="1"/>
  <c r="E5491" i="1" a="1"/>
  <c r="J5587" i="1" a="1"/>
  <c r="J5775" i="1" a="1"/>
  <c r="Z84" i="1" a="1"/>
  <c r="J5834" i="1" a="1"/>
  <c r="J5277" i="1" a="1"/>
  <c r="P437" i="1" a="1"/>
  <c r="P56" i="1" a="1"/>
  <c r="E5695" i="1" a="1"/>
  <c r="E5976" i="1" a="1"/>
  <c r="P382" i="1" a="1"/>
  <c r="Z57" i="1" a="1"/>
  <c r="J5316" i="1" a="1"/>
  <c r="E5759" i="1" a="1"/>
  <c r="E5335" i="1" a="1"/>
  <c r="P19" i="1" a="1"/>
  <c r="Z135" i="1" a="1"/>
  <c r="J5898" i="1" a="1"/>
  <c r="J5871" i="1" a="1"/>
  <c r="Z332" i="1" a="1"/>
  <c r="Z165" i="1" a="1"/>
  <c r="J5918" i="1" a="1"/>
  <c r="E5524" i="1" a="1"/>
  <c r="J5580" i="1" a="1"/>
  <c r="E5667" i="1" a="1"/>
  <c r="J6009" i="1" a="1"/>
  <c r="J5883" i="1" a="1"/>
  <c r="P20" i="1" a="1"/>
  <c r="E5803" i="1" a="1"/>
  <c r="E5382" i="1" a="1"/>
  <c r="E5513" i="1" a="1"/>
  <c r="Z415" i="1" a="1"/>
  <c r="E5841" i="1" a="1"/>
  <c r="E5975" i="1" a="1"/>
  <c r="E5705" i="1" a="1"/>
  <c r="P58" i="1" a="1"/>
  <c r="Z42" i="1" a="1"/>
  <c r="J5900" i="1" a="1"/>
  <c r="P217" i="1" a="1"/>
  <c r="Z296" i="1" a="1"/>
  <c r="Z242" i="1" a="1"/>
  <c r="P183" i="1" a="1"/>
  <c r="Z327" i="1" a="1"/>
  <c r="Z21" i="1" a="1"/>
  <c r="J5328" i="1" a="1"/>
  <c r="Z375" i="1" a="1"/>
  <c r="J5658" i="1" a="1"/>
  <c r="E5462" i="1" a="1"/>
  <c r="P327" i="1" a="1"/>
  <c r="E5583" i="1" a="1"/>
  <c r="P135" i="1" a="1"/>
  <c r="Z243" i="1" a="1"/>
  <c r="Z407" i="1" a="1"/>
  <c r="E5587" i="1" a="1"/>
  <c r="J5516" i="1" a="1"/>
  <c r="P281" i="1" a="1"/>
  <c r="P307" i="1" a="1"/>
  <c r="E5827" i="1" a="1"/>
  <c r="E5902" i="1" a="1"/>
  <c r="P310" i="1" a="1"/>
  <c r="Z120" i="1" a="1"/>
  <c r="E5817" i="1" a="1"/>
  <c r="Z107" i="1" a="1"/>
  <c r="J5596" i="1" a="1"/>
  <c r="E4894" i="1" a="1"/>
  <c r="E5262" i="1" a="1"/>
  <c r="E5189" i="1" a="1"/>
  <c r="P245" i="1" a="1"/>
  <c r="E5086" i="1" a="1"/>
  <c r="E4723" i="1" a="1"/>
  <c r="E5220" i="1" a="1"/>
  <c r="E5046" i="1" a="1"/>
  <c r="P395" i="1" a="1"/>
  <c r="E5858" i="1" a="1"/>
  <c r="J5462" i="1" a="1"/>
  <c r="J5963" i="1" a="1"/>
  <c r="J5664" i="1" a="1"/>
  <c r="Z372" i="1" a="1"/>
  <c r="E5830" i="1" a="1"/>
  <c r="J5441" i="1" a="1"/>
  <c r="E6015" i="1" a="1"/>
  <c r="J5733" i="1" a="1"/>
  <c r="J5602" i="1" a="1"/>
  <c r="Z200" i="1" a="1"/>
  <c r="Z158" i="1" a="1"/>
  <c r="Z96" i="1" a="1"/>
  <c r="P301" i="1" a="1"/>
  <c r="P123" i="1" a="1"/>
  <c r="Z377" i="1" a="1"/>
  <c r="P309" i="1" a="1"/>
  <c r="J4889" i="1" a="1"/>
  <c r="P238" i="1" a="1"/>
  <c r="E5723" i="1" a="1"/>
  <c r="Z90" i="1" a="1"/>
  <c r="E5696" i="1" a="1"/>
  <c r="Z350" i="1" a="1"/>
  <c r="E5478" i="1" a="1"/>
  <c r="P76" i="1" a="1"/>
  <c r="P15" i="1" a="1"/>
  <c r="Z370" i="1" a="1"/>
  <c r="Z439" i="1" a="1"/>
  <c r="Z425" i="1" a="1"/>
  <c r="E4851" i="1" a="1"/>
  <c r="E5652" i="1" a="1"/>
  <c r="J5673" i="1" a="1"/>
  <c r="J5955" i="1" a="1"/>
  <c r="Z125" i="1" a="1"/>
  <c r="Z409" i="1" a="1"/>
  <c r="E5761" i="1" a="1"/>
  <c r="J6008" i="1" a="1"/>
  <c r="J5570" i="1" a="1"/>
  <c r="E5460" i="1" a="1"/>
  <c r="J5922" i="1" a="1"/>
  <c r="Z49" i="1" a="1"/>
  <c r="P130" i="1" a="1"/>
  <c r="Z365" i="1" a="1"/>
  <c r="Z403" i="1" a="1"/>
  <c r="E5870" i="1" a="1"/>
  <c r="Z11" i="1" a="1"/>
  <c r="Z290" i="1" a="1"/>
  <c r="P369" i="1" a="1"/>
  <c r="P341" i="1" a="1"/>
  <c r="J5711" i="1" a="1"/>
  <c r="E5435" i="1" a="1"/>
  <c r="J5526" i="1" a="1"/>
  <c r="J5549" i="1" a="1"/>
  <c r="E5989" i="1" a="1"/>
  <c r="Z386" i="1" a="1"/>
  <c r="J5501" i="1" a="1"/>
  <c r="P126" i="1" a="1"/>
  <c r="J5209" i="1" a="1"/>
  <c r="J5827" i="1" a="1"/>
  <c r="E5083" i="1" a="1"/>
  <c r="J5598" i="1" a="1"/>
  <c r="E4717" i="1" a="1"/>
  <c r="Z336" i="1" a="1"/>
  <c r="P285" i="1" a="1"/>
  <c r="Z253" i="1" a="1"/>
  <c r="Z383" i="1" a="1"/>
  <c r="J5323" i="1" a="1"/>
  <c r="P70" i="1" a="1"/>
  <c r="J5964" i="1" a="1"/>
  <c r="Z316" i="1" a="1"/>
  <c r="Z422" i="1" a="1"/>
  <c r="J5508" i="1" a="1"/>
  <c r="P12" i="1" a="1"/>
  <c r="P174" i="1" a="1"/>
  <c r="J5031" i="1" a="1"/>
  <c r="J5457" i="1" a="1"/>
  <c r="E5605" i="1" a="1"/>
  <c r="E5622" i="1" a="1"/>
  <c r="J5854" i="1" a="1"/>
  <c r="Z400" i="1" a="1"/>
  <c r="J4958" i="1" a="1"/>
  <c r="P108" i="1" a="1"/>
  <c r="P338" i="1" a="1"/>
  <c r="E6022" i="1" a="1"/>
  <c r="Z183" i="1" a="1"/>
  <c r="P186" i="1" a="1"/>
  <c r="Z216" i="1" a="1"/>
  <c r="Z315" i="1" a="1"/>
  <c r="P339" i="1" a="1"/>
  <c r="J5600" i="1" a="1"/>
  <c r="Z392" i="1" a="1"/>
  <c r="E5808" i="1" a="1"/>
  <c r="J5993" i="1" a="1"/>
  <c r="J5583" i="1" a="1"/>
  <c r="J5912" i="1" a="1"/>
  <c r="P205" i="1" a="1"/>
  <c r="J5694" i="1" a="1"/>
  <c r="J5929" i="1" a="1"/>
  <c r="E5798" i="1" a="1"/>
  <c r="E5078" i="1" a="1"/>
  <c r="E5173" i="1" a="1"/>
  <c r="E5317" i="1" a="1"/>
  <c r="J5648" i="1" a="1"/>
  <c r="Z228" i="1" a="1"/>
  <c r="E5957" i="1" a="1"/>
  <c r="E5553" i="1" a="1"/>
  <c r="J6002" i="1" a="1"/>
  <c r="E5251" i="1" a="1"/>
  <c r="Z94" i="1" a="1"/>
  <c r="J5067" i="1" a="1"/>
  <c r="P255" i="1" a="1"/>
  <c r="P299" i="1" a="1"/>
  <c r="E5149" i="1" a="1"/>
  <c r="P42" i="1" a="1"/>
  <c r="Z14" i="1" a="1"/>
  <c r="Z218" i="1" a="1"/>
  <c r="Z421" i="1" a="1"/>
  <c r="Z429" i="1" a="1"/>
  <c r="E5977" i="1" a="1"/>
  <c r="J5311" i="1" a="1"/>
  <c r="Z169" i="1" a="1"/>
  <c r="P182" i="1" a="1"/>
  <c r="P74" i="1" a="1"/>
  <c r="E5369" i="1" a="1"/>
  <c r="E5489" i="1" a="1"/>
  <c r="P158" i="1" a="1"/>
  <c r="E5399" i="1" a="1"/>
  <c r="J5761" i="1" a="1"/>
  <c r="E5852" i="1" a="1"/>
  <c r="J4894" i="1" a="1"/>
  <c r="P13" i="1" a="1"/>
  <c r="P190" i="1" a="1"/>
  <c r="P160" i="1" a="1"/>
  <c r="J5244" i="1" a="1"/>
  <c r="E5801" i="1" a="1"/>
  <c r="P268" i="1" a="1"/>
  <c r="Z174" i="1" a="1"/>
  <c r="P244" i="1" a="1"/>
  <c r="P401" i="1" a="1"/>
  <c r="E5869" i="1" a="1"/>
  <c r="J4809" i="1" a="1"/>
  <c r="Z209" i="1" a="1"/>
  <c r="P359" i="1" a="1"/>
  <c r="Z133" i="1" a="1"/>
  <c r="P166" i="1" a="1"/>
  <c r="Z341" i="1" a="1"/>
  <c r="P154" i="1" a="1"/>
  <c r="J5229" i="1" a="1"/>
  <c r="J5324" i="1" a="1"/>
  <c r="E5832" i="1" a="1"/>
  <c r="J5799" i="1" a="1"/>
  <c r="P49" i="1" a="1"/>
  <c r="P157" i="1" a="1"/>
  <c r="P314" i="1" a="1"/>
  <c r="J5241" i="1" a="1"/>
  <c r="E5881" i="1" a="1"/>
  <c r="P230" i="1" a="1"/>
  <c r="P392" i="1" a="1"/>
  <c r="P260" i="1" a="1"/>
  <c r="J5039" i="1" a="1"/>
  <c r="Z201" i="1" a="1"/>
  <c r="E5708" i="1" a="1"/>
  <c r="J5358" i="1" a="1"/>
  <c r="E5050" i="1" a="1"/>
  <c r="Z363" i="1" a="1"/>
  <c r="E5773" i="1" a="1"/>
  <c r="J5400" i="1" a="1"/>
  <c r="Z333" i="1" a="1"/>
  <c r="Z176" i="1" a="1"/>
  <c r="J5429" i="1" a="1"/>
  <c r="E6009" i="1" a="1"/>
  <c r="E6003" i="1" a="1"/>
  <c r="P254" i="1" a="1"/>
  <c r="E5532" i="1" a="1"/>
  <c r="P400" i="1" a="1"/>
  <c r="E5416" i="1" a="1"/>
  <c r="Z141" i="1" a="1"/>
  <c r="E5779" i="1" a="1"/>
  <c r="J5803" i="1" a="1"/>
  <c r="P394" i="1" a="1"/>
  <c r="Z291" i="1" a="1"/>
  <c r="J5123" i="1" a="1"/>
  <c r="J5356" i="1" a="1"/>
  <c r="Z192" i="1" a="1"/>
  <c r="E5425" i="1" a="1"/>
  <c r="E4833" i="1" a="1"/>
  <c r="J5701" i="1" a="1"/>
  <c r="Z413" i="1" a="1"/>
  <c r="Z394" i="1" a="1"/>
  <c r="E5111" i="1" a="1"/>
  <c r="J4994" i="1" a="1"/>
  <c r="J5235" i="1" a="1"/>
  <c r="E5468" i="1" a="1"/>
  <c r="E5665" i="1" a="1"/>
  <c r="Z95" i="1" a="1"/>
  <c r="J5193" i="1" a="1"/>
  <c r="P362" i="1" a="1"/>
  <c r="P107" i="1" a="1"/>
  <c r="E5327" i="1" a="1"/>
  <c r="E5490" i="1" a="1"/>
  <c r="Z30" i="1" a="1"/>
  <c r="P312" i="1" a="1"/>
  <c r="J5793" i="1" a="1"/>
  <c r="Z283" i="1" a="1"/>
  <c r="J5983" i="1" a="1"/>
  <c r="Z45" i="1" a="1"/>
  <c r="Z396" i="1" a="1"/>
  <c r="Z382" i="1" a="1"/>
  <c r="J5497" i="1" a="1"/>
  <c r="J5305" i="1" a="1"/>
  <c r="Z299" i="1" a="1"/>
  <c r="P3" i="1" a="1"/>
  <c r="P78" i="1" a="1"/>
  <c r="P326" i="1" a="1"/>
  <c r="Z371" i="1" a="1"/>
  <c r="Z225" i="1" a="1"/>
  <c r="P322" i="1" a="1"/>
  <c r="E5661" i="1" a="1"/>
  <c r="P222" i="1" a="1"/>
  <c r="J5327" i="1" a="1"/>
  <c r="J5393" i="1" a="1"/>
  <c r="J5342" i="1" a="1"/>
  <c r="E5763" i="1" a="1"/>
  <c r="E5793" i="1" a="1"/>
  <c r="Z19" i="1" a="1"/>
  <c r="E5673" i="1" a="1"/>
  <c r="J5699" i="1" a="1"/>
  <c r="J5662" i="1" a="1"/>
  <c r="J5378" i="1" a="1"/>
  <c r="E5550" i="1" a="1"/>
  <c r="P191" i="1" a="1"/>
  <c r="Z89" i="1" a="1"/>
  <c r="Z17" i="1" a="1"/>
  <c r="Z314" i="1" a="1"/>
  <c r="J5649" i="1" a="1"/>
  <c r="J5573" i="1" a="1"/>
  <c r="J5058" i="1" a="1"/>
  <c r="Z142" i="1" a="1"/>
  <c r="Z128" i="1" a="1"/>
  <c r="E5381" i="1" a="1"/>
  <c r="J5490" i="1" a="1"/>
  <c r="P144" i="1" a="1"/>
  <c r="E5991" i="1" a="1"/>
  <c r="E5315" i="1" a="1"/>
  <c r="Z110" i="1" a="1"/>
  <c r="Z93" i="1" a="1"/>
  <c r="E5820" i="1" a="1"/>
  <c r="J5679" i="1" a="1"/>
  <c r="Z145" i="1" a="1"/>
  <c r="J4917" i="1" a="1"/>
  <c r="E5625" i="1" a="1"/>
  <c r="J5778" i="1" a="1"/>
  <c r="J5961" i="1" a="1"/>
  <c r="E5783" i="1" a="1"/>
  <c r="E5931" i="1" a="1"/>
  <c r="Z331" i="1" a="1"/>
  <c r="J6015" i="1" a="1"/>
  <c r="E5672" i="1" a="1"/>
  <c r="J5979" i="1" a="1"/>
  <c r="Z376" i="1" a="1"/>
  <c r="J5896" i="1" a="1"/>
  <c r="P315" i="1" a="1"/>
  <c r="Z320" i="1" a="1"/>
  <c r="P61" i="1" a="1"/>
  <c r="Z352" i="1" a="1"/>
  <c r="E6011" i="1" a="1"/>
  <c r="E5609" i="1" a="1"/>
  <c r="Z138" i="1" a="1"/>
  <c r="Z69" i="1" a="1"/>
  <c r="Z361" i="1" a="1"/>
  <c r="J5992" i="1" a="1"/>
  <c r="J5697" i="1" a="1"/>
  <c r="J5267" i="1" a="1"/>
  <c r="J5719" i="1" a="1"/>
  <c r="Z103" i="1" a="1"/>
  <c r="J5886" i="1" a="1"/>
  <c r="J5445" i="1" a="1"/>
  <c r="P247" i="1" a="1"/>
  <c r="J5721" i="1" a="1"/>
  <c r="E5370" i="1" a="1"/>
  <c r="E5735" i="1" a="1"/>
  <c r="Z337" i="1" a="1"/>
  <c r="Z414" i="1" a="1"/>
  <c r="Z399" i="1" a="1"/>
  <c r="P406" i="1" a="1"/>
  <c r="Z77" i="1" a="1"/>
  <c r="P153" i="1" a="1"/>
  <c r="E5493" i="1" a="1"/>
  <c r="P57" i="1" a="1"/>
  <c r="E6013" i="1" a="1"/>
  <c r="E4970" i="1" a="1"/>
  <c r="E5872" i="1" a="1"/>
  <c r="P30" i="1" a="1"/>
  <c r="E5834" i="1" a="1"/>
  <c r="J6000" i="1" a="1"/>
  <c r="J5559" i="1" a="1"/>
  <c r="Z258" i="1" a="1"/>
  <c r="P187" i="1" a="1"/>
  <c r="P79" i="1" a="1"/>
  <c r="P241" i="1" a="1"/>
  <c r="E5565" i="1" a="1"/>
  <c r="P297" i="1" a="1"/>
  <c r="J5377" i="1" a="1"/>
  <c r="Z25" i="1" a="1"/>
  <c r="P407" i="1" a="1"/>
  <c r="P265" i="1" a="1"/>
  <c r="P18" i="1" a="1"/>
  <c r="P195" i="1" a="1"/>
  <c r="Z288" i="1" a="1"/>
  <c r="J5892" i="1" a="1"/>
  <c r="P436" i="1" a="1"/>
  <c r="E5084" i="1" a="1"/>
  <c r="E6006" i="1" a="1"/>
  <c r="J5937" i="1" a="1"/>
  <c r="Z301" i="1" a="1"/>
  <c r="E5891" i="1" a="1"/>
  <c r="J5951" i="1" a="1"/>
  <c r="P97" i="1" a="1"/>
  <c r="E5758" i="1" a="1"/>
  <c r="J5651" i="1" a="1"/>
  <c r="E5570" i="1" a="1"/>
  <c r="J5087" i="1" a="1"/>
  <c r="J5436" i="1" a="1"/>
  <c r="J5227" i="1" a="1"/>
  <c r="Z189" i="1" a="1"/>
  <c r="Z426" i="1" a="1"/>
  <c r="E5766" i="1" a="1"/>
  <c r="E5666" i="1" a="1"/>
  <c r="J5916" i="1" a="1"/>
  <c r="P408" i="1" a="1"/>
  <c r="Z335" i="1" a="1"/>
  <c r="Z368" i="1" a="1"/>
  <c r="Z390" i="1" a="1"/>
  <c r="Z127" i="1" a="1"/>
  <c r="P77" i="1" a="1"/>
  <c r="Z166" i="1" a="1"/>
  <c r="E5571" i="1" a="1"/>
  <c r="Z312" i="1" a="1"/>
  <c r="Z284" i="1" a="1"/>
  <c r="E4903" i="1" a="1"/>
  <c r="J4976" i="1" a="1"/>
  <c r="E5366" i="1" a="1"/>
  <c r="E4989" i="1" a="1"/>
  <c r="E5098" i="1" a="1"/>
  <c r="J5438" i="1" a="1"/>
  <c r="J4845" i="1" a="1"/>
  <c r="J5025" i="1" a="1"/>
  <c r="E4878" i="1" a="1"/>
  <c r="E5456" i="1" a="1"/>
  <c r="Z70" i="1" a="1"/>
  <c r="Z321" i="1" a="1"/>
  <c r="P311" i="1" a="1"/>
  <c r="Z53" i="1" a="1"/>
  <c r="E5021" i="1" a="1"/>
  <c r="Z351" i="1" a="1"/>
  <c r="E5186" i="1" a="1"/>
  <c r="J5940" i="1" a="1"/>
  <c r="J5812" i="1" a="1"/>
  <c r="P367" i="1" a="1"/>
  <c r="P112" i="1" a="1"/>
  <c r="E5840" i="1" a="1"/>
  <c r="J5740" i="1" a="1"/>
  <c r="J5623" i="1" a="1"/>
  <c r="J5770" i="1" a="1"/>
  <c r="J5909" i="1" a="1"/>
  <c r="J5784" i="1" a="1"/>
  <c r="E4687" i="1" a="1"/>
  <c r="J4993" i="1" a="1"/>
  <c r="J5322" i="1" a="1"/>
  <c r="J5510" i="1" a="1"/>
  <c r="Z408" i="1" a="1"/>
  <c r="J5616" i="1" a="1"/>
  <c r="P429" i="1" a="1"/>
  <c r="P100" i="1" a="1"/>
  <c r="Z346" i="1" a="1"/>
  <c r="P67" i="1" a="1"/>
  <c r="E5533" i="1" a="1"/>
  <c r="E4968" i="1" a="1"/>
  <c r="E5756" i="1" a="1"/>
  <c r="Z40" i="1" a="1"/>
  <c r="Z137" i="1" a="1"/>
  <c r="Z7" i="1" a="1"/>
  <c r="E5876" i="1" a="1"/>
  <c r="E4975" i="1" a="1"/>
  <c r="E5063" i="1" a="1"/>
  <c r="Z257" i="1" a="1"/>
  <c r="P351" i="1" a="1"/>
  <c r="E5020" i="1" a="1"/>
  <c r="E5908" i="1" a="1"/>
  <c r="P170" i="1" a="1"/>
  <c r="J5818" i="1" a="1"/>
  <c r="E5874" i="1" a="1"/>
  <c r="E6000" i="1" a="1"/>
  <c r="P248" i="1" a="1"/>
  <c r="P136" i="1" a="1"/>
  <c r="P224" i="1" a="1"/>
  <c r="E5564" i="1" a="1"/>
  <c r="E5516" i="1" a="1"/>
  <c r="P143" i="1" a="1"/>
  <c r="J5107" i="1" a="1"/>
  <c r="Z22" i="1" a="1"/>
  <c r="Z308" i="1" a="1"/>
  <c r="Z349" i="1" a="1"/>
  <c r="Z378" i="1" a="1"/>
  <c r="E5452" i="1" a="1"/>
  <c r="Z167" i="1" a="1"/>
  <c r="J4978" i="1" a="1"/>
  <c r="P403" i="1" a="1"/>
  <c r="P110" i="1" a="1"/>
  <c r="P22" i="1" a="1"/>
  <c r="P184" i="1" a="1"/>
  <c r="E5602" i="1" a="1"/>
  <c r="P427" i="1" a="1"/>
  <c r="E5488" i="1" a="1"/>
  <c r="E5227" i="1" a="1"/>
  <c r="J5613" i="1" a="1"/>
  <c r="E5197" i="1" a="1"/>
  <c r="J5258" i="1" a="1"/>
  <c r="E5935" i="1" a="1"/>
  <c r="Z360" i="1" a="1"/>
  <c r="E5510" i="1" a="1"/>
  <c r="E5029" i="1" a="1"/>
  <c r="P432" i="1" a="1"/>
  <c r="Z418" i="1" a="1"/>
  <c r="E5637" i="1" a="1"/>
  <c r="E5424" i="1" a="1"/>
  <c r="Z64" i="1" a="1"/>
  <c r="J5943" i="1" a="1"/>
  <c r="J5190" i="1" a="1"/>
  <c r="J5874" i="1" a="1"/>
  <c r="Z111" i="1" a="1"/>
  <c r="J5717" i="1" a="1"/>
  <c r="Z385" i="1" a="1"/>
  <c r="P380" i="1" a="1"/>
  <c r="E5446" i="1" a="1"/>
  <c r="P344" i="1" a="1"/>
  <c r="E5811" i="1" a="1"/>
  <c r="Z190" i="1" a="1"/>
  <c r="E5391" i="1" a="1"/>
  <c r="Z79" i="1" a="1"/>
  <c r="Z13" i="1" a="1"/>
  <c r="P336" i="1" a="1"/>
  <c r="Z114" i="1" a="1"/>
  <c r="Z384" i="1" a="1"/>
  <c r="Z10" i="1" a="1"/>
  <c r="E5054" i="1" a="1"/>
  <c r="Z178" i="1" a="1"/>
  <c r="E5000" i="1" a="1"/>
  <c r="J5470" i="1" a="1"/>
  <c r="Z239" i="1" a="1"/>
  <c r="Z148" i="1" a="1"/>
  <c r="P256" i="1" a="1"/>
  <c r="E5338" i="1" a="1"/>
  <c r="J5023" i="1" a="1"/>
  <c r="E5124" i="1" a="1"/>
  <c r="P422" i="1" a="1"/>
  <c r="Z259" i="1" a="1"/>
  <c r="P38" i="1" a="1"/>
  <c r="J5532" i="1" a="1"/>
  <c r="P192" i="1" a="1"/>
  <c r="P84" i="1" a="1"/>
  <c r="P236" i="1" a="1"/>
  <c r="E5649" i="1" a="1"/>
  <c r="P291" i="1" a="1"/>
  <c r="P317" i="1" a="1"/>
  <c r="E5578" i="1" a="1"/>
  <c r="E5676" i="1" a="1"/>
  <c r="Z389" i="1" a="1"/>
  <c r="E6007" i="1" a="1"/>
  <c r="E5530" i="1" a="1"/>
  <c r="E5097" i="1" a="1"/>
  <c r="Z162" i="1" a="1"/>
  <c r="Z71" i="1" a="1"/>
  <c r="E5559" i="1" a="1"/>
  <c r="E5655" i="1" a="1"/>
  <c r="E5099" i="1" a="1"/>
  <c r="J5216" i="1" a="1"/>
  <c r="J5186" i="1" a="1"/>
  <c r="J5988" i="1" a="1"/>
  <c r="E6002" i="1" a="1"/>
  <c r="E5273" i="1" a="1"/>
  <c r="J5286" i="1" a="1"/>
  <c r="J5956" i="1" a="1"/>
  <c r="P25" i="1" a="1"/>
  <c r="J5647" i="1" a="1"/>
  <c r="E5771" i="1" a="1"/>
  <c r="E5996" i="1" a="1"/>
  <c r="J4194" i="1" a="1"/>
  <c r="J5917" i="1" a="1"/>
  <c r="P59" i="1" a="1"/>
  <c r="P167" i="1" a="1"/>
  <c r="P324" i="1" a="1"/>
  <c r="J5539" i="1" a="1"/>
  <c r="J5882" i="1" a="1"/>
  <c r="P363" i="1" a="1"/>
  <c r="P402" i="1" a="1"/>
  <c r="P270" i="1" a="1"/>
  <c r="E4948" i="1" a="1"/>
  <c r="Z51" i="1" a="1"/>
  <c r="E5092" i="1" a="1"/>
  <c r="J5821" i="1" a="1"/>
  <c r="J5467" i="1" a="1"/>
  <c r="Z306" i="1" a="1"/>
  <c r="E5938" i="1" a="1"/>
  <c r="E5704" i="1" a="1"/>
  <c r="E5854" i="1" a="1"/>
  <c r="E5310" i="1" a="1"/>
  <c r="J5247" i="1" a="1"/>
  <c r="J5924" i="1" a="1"/>
  <c r="E5465" i="1" a="1"/>
  <c r="P264" i="1" a="1"/>
  <c r="P146" i="1" a="1"/>
  <c r="Z395" i="1" a="1"/>
  <c r="E5823" i="1" a="1"/>
  <c r="J5888" i="1" a="1"/>
  <c r="P66" i="1" a="1"/>
  <c r="E5459" i="1" a="1"/>
  <c r="Z91" i="1" a="1"/>
  <c r="E5813" i="1" a="1"/>
  <c r="E5687" i="1" a="1"/>
  <c r="E5515" i="1" a="1"/>
  <c r="E5443" i="1" a="1"/>
  <c r="J4905" i="1" a="1"/>
  <c r="E5561" i="1" a="1"/>
  <c r="E5523" i="1" a="1"/>
  <c r="E5588" i="1" a="1"/>
  <c r="Z24" i="1" a="1"/>
  <c r="J5215" i="1" a="1"/>
  <c r="P118" i="1" a="1"/>
  <c r="P4" i="1" a="1"/>
  <c r="P60" i="1" a="1"/>
  <c r="Z398" i="1" a="1"/>
  <c r="P196" i="1" a="1"/>
  <c r="Z272" i="1" a="1"/>
  <c r="Z116" i="1" a="1"/>
  <c r="Z163" i="1" a="1"/>
  <c r="P235" i="1" a="1"/>
  <c r="E4826" i="1" a="1"/>
  <c r="E5379" i="1" a="1"/>
  <c r="P173" i="1" a="1"/>
  <c r="Z188" i="1" a="1"/>
  <c r="Z67" i="1" a="1"/>
  <c r="Z255" i="1" a="1"/>
  <c r="P435" i="1" a="1"/>
  <c r="J5308" i="1" a="1"/>
  <c r="E4650" i="1" a="1"/>
  <c r="Z431" i="1" a="1"/>
  <c r="E5155" i="1" a="1"/>
  <c r="J5706" i="1" a="1"/>
  <c r="P189" i="1" a="1"/>
  <c r="Z121" i="1" a="1"/>
  <c r="J5947" i="1" a="1"/>
  <c r="J5668" i="1" a="1"/>
  <c r="E5780" i="1" a="1"/>
  <c r="P267" i="1" a="1"/>
  <c r="Z433" i="1" a="1"/>
  <c r="J5811" i="1" a="1"/>
  <c r="E5745" i="1" a="1"/>
  <c r="J5514" i="1" a="1"/>
  <c r="E5944" i="1" a="1"/>
  <c r="P249" i="1" a="1"/>
  <c r="J5453" i="1" a="1"/>
  <c r="E5948" i="1" a="1"/>
  <c r="E5418" i="1" a="1"/>
  <c r="P8" i="1" a="1"/>
  <c r="J5704" i="1" a="1"/>
  <c r="E5839" i="1" a="1"/>
  <c r="P82" i="1" a="1"/>
  <c r="J4819" i="1" a="1"/>
  <c r="P242" i="1" a="1"/>
  <c r="P321" i="1" a="1"/>
  <c r="E5826" i="1" a="1"/>
  <c r="E5670" i="1" a="1"/>
  <c r="J5586" i="1" a="1"/>
  <c r="J5177" i="1" a="1"/>
  <c r="E5688" i="1" a="1"/>
  <c r="J5287" i="1" a="1"/>
  <c r="Z387" i="1" a="1"/>
  <c r="Z281" i="1" a="1"/>
  <c r="Z391" i="1" a="1"/>
  <c r="E5153" i="1" a="1"/>
  <c r="J4489" i="1" a="1"/>
  <c r="J5204" i="1" a="1"/>
  <c r="J5120" i="1" a="1"/>
  <c r="P323" i="1" a="1"/>
  <c r="J5604" i="1" a="1"/>
  <c r="J5182" i="1" a="1"/>
  <c r="Z124" i="1" a="1"/>
  <c r="E5056" i="1" a="1"/>
  <c r="E5972" i="1" a="1"/>
  <c r="E4591" i="1" a="1"/>
  <c r="E5439" i="1" a="1"/>
  <c r="Z31" i="1" a="1"/>
  <c r="J5975" i="1" a="1"/>
  <c r="Z420" i="1" a="1"/>
  <c r="E5484" i="1" a="1"/>
  <c r="J5446" i="1" a="1"/>
  <c r="J4923" i="1" a="1"/>
  <c r="Z175" i="1" a="1"/>
  <c r="E5636" i="1" a="1"/>
  <c r="E4488" i="1" a="1"/>
  <c r="Z32" i="1" a="1"/>
  <c r="E4810" i="1" a="1"/>
  <c r="E5461" i="1" a="1"/>
  <c r="E4838" i="1" a="1"/>
  <c r="J5480" i="1" a="1"/>
  <c r="E4512" i="1" a="1"/>
  <c r="J5481" i="1" a="1"/>
  <c r="E4462" i="1" a="1"/>
  <c r="E4758" i="1" a="1"/>
  <c r="J5026" i="1" a="1"/>
  <c r="E4311" i="1" a="1"/>
  <c r="P283" i="1" a="1"/>
  <c r="J5406" i="1" a="1"/>
  <c r="P91" i="1" a="1"/>
  <c r="E5546" i="1" a="1"/>
  <c r="E4708" i="1" a="1"/>
  <c r="P214" i="1" a="1"/>
  <c r="J4635" i="1" a="1"/>
  <c r="J4796" i="1" a="1"/>
  <c r="E4934" i="1" a="1"/>
  <c r="E5994" i="1" a="1"/>
  <c r="J4006" i="1" a="1"/>
  <c r="J5299" i="1" a="1"/>
  <c r="P218" i="1" a="1"/>
  <c r="J5663" i="1" a="1"/>
  <c r="J5291" i="1" a="1"/>
  <c r="E5223" i="1" a="1"/>
  <c r="J5548" i="1" a="1"/>
  <c r="J5675" i="1" a="1"/>
  <c r="J4328" i="1" a="1"/>
  <c r="E4055" i="1" a="1"/>
  <c r="J5367" i="1" a="1"/>
  <c r="P220" i="1" a="1"/>
  <c r="E5440" i="1" a="1"/>
  <c r="Z18" i="1" a="1"/>
  <c r="E5016" i="1" a="1"/>
  <c r="J5622" i="1" a="1"/>
  <c r="J5020" i="1" a="1"/>
  <c r="E5283" i="1" a="1"/>
  <c r="E5464" i="1" a="1"/>
  <c r="J5292" i="1" a="1"/>
  <c r="E5894" i="1" a="1"/>
  <c r="P106" i="1" a="1"/>
  <c r="E5527" i="1" a="1"/>
  <c r="J5062" i="1" a="1"/>
  <c r="J5443" i="1" a="1"/>
  <c r="J4424" i="1" a="1"/>
  <c r="J4510" i="1" a="1"/>
  <c r="E5196" i="1" a="1"/>
  <c r="P318" i="1" a="1"/>
  <c r="J5552" i="1" a="1"/>
  <c r="E5341" i="1" a="1"/>
  <c r="P219" i="1" a="1"/>
  <c r="J4520" i="1" a="1"/>
  <c r="J4772" i="1" a="1"/>
  <c r="E5136" i="1" a="1"/>
  <c r="E5740" i="1" a="1"/>
  <c r="J5905" i="1" a="1"/>
  <c r="Z345" i="1" a="1"/>
  <c r="E5250" i="1" a="1"/>
  <c r="E4814" i="1" a="1"/>
  <c r="P347" i="1" a="1"/>
  <c r="J5200" i="1" a="1"/>
  <c r="J5582" i="1" a="1"/>
  <c r="P298" i="1" a="1"/>
  <c r="E4834" i="1" a="1"/>
  <c r="E5504" i="1" a="1"/>
  <c r="E5106" i="1" a="1"/>
  <c r="J4780" i="1" a="1"/>
  <c r="J4948" i="1" a="1"/>
  <c r="E4691" i="1" a="1"/>
  <c r="E3373" i="1" a="1"/>
  <c r="J5168" i="1" a="1"/>
  <c r="E3991" i="1" a="1"/>
  <c r="E5658" i="1" a="1"/>
  <c r="P178" i="1" a="1"/>
  <c r="P415" i="1" a="1"/>
  <c r="P75" i="1" a="1"/>
  <c r="J5691" i="1" a="1"/>
  <c r="J5128" i="1" a="1"/>
  <c r="E5444" i="1" a="1"/>
  <c r="E5044" i="1" a="1"/>
  <c r="E4996" i="1" a="1"/>
  <c r="Z187" i="1" a="1"/>
  <c r="E5967" i="1" a="1"/>
  <c r="E5591" i="1" a="1"/>
  <c r="P358" i="1" a="1"/>
  <c r="J5708" i="1" a="1"/>
  <c r="Z181" i="1" a="1"/>
  <c r="P85" i="1" a="1"/>
  <c r="P62" i="1" a="1"/>
  <c r="E5486" i="1" a="1"/>
  <c r="J5994" i="1" a="1"/>
  <c r="P319" i="1" a="1"/>
  <c r="E5368" i="1" a="1"/>
  <c r="E4972" i="1" a="1"/>
  <c r="P246" i="1" a="1"/>
  <c r="P125" i="1" a="1"/>
  <c r="Z211" i="1" a="1"/>
  <c r="J5337" i="1" a="1"/>
  <c r="E5367" i="1" a="1"/>
  <c r="J5029" i="1" a="1"/>
  <c r="E5856" i="1" a="1"/>
  <c r="J4922" i="1" a="1"/>
  <c r="Z82" i="1" a="1"/>
  <c r="P381" i="1" a="1"/>
  <c r="E5115" i="1" a="1"/>
  <c r="E5129" i="1" a="1"/>
  <c r="J4695" i="1" a="1"/>
  <c r="J5407" i="1" a="1"/>
  <c r="J5473" i="1" a="1"/>
  <c r="E5542" i="1" a="1"/>
  <c r="Z280" i="1" a="1"/>
  <c r="J5727" i="1" a="1"/>
  <c r="E5770" i="1" a="1"/>
  <c r="E5615" i="1" a="1"/>
  <c r="J4811" i="1" a="1"/>
  <c r="E5132" i="1" a="1"/>
  <c r="E5275" i="1" a="1"/>
  <c r="J5618" i="1" a="1"/>
  <c r="J5326" i="1" a="1"/>
  <c r="E5987" i="1" a="1"/>
  <c r="J5465" i="1" a="1"/>
  <c r="J4753" i="1" a="1"/>
  <c r="E5537" i="1" a="1"/>
  <c r="J4991" i="1" a="1"/>
  <c r="E5769" i="1" a="1"/>
  <c r="E5323" i="1" a="1"/>
  <c r="E4434" i="1" a="1"/>
  <c r="J5911" i="1" a="1"/>
  <c r="E5167" i="1" a="1"/>
  <c r="J5825" i="1" a="1"/>
  <c r="J5822" i="1" a="1"/>
  <c r="Z204" i="1" a="1"/>
  <c r="E6016" i="1" a="1"/>
  <c r="J5571" i="1" a="1"/>
  <c r="E5871" i="1" a="1"/>
  <c r="J4475" i="1" a="1"/>
  <c r="J5069" i="1" a="1"/>
  <c r="J5294" i="1" a="1"/>
  <c r="J5019" i="1" a="1"/>
  <c r="P308" i="1" a="1"/>
  <c r="J5948" i="1" a="1"/>
  <c r="J5844" i="1" a="1"/>
  <c r="J4707" i="1" a="1"/>
  <c r="E4614" i="1" a="1"/>
  <c r="E4864" i="1" a="1"/>
  <c r="E4336" i="1" a="1"/>
  <c r="E4784" i="1" a="1"/>
  <c r="P129" i="1" a="1"/>
  <c r="J5404" i="1" a="1"/>
  <c r="E5721" i="1" a="1"/>
  <c r="E5485" i="1" a="1"/>
  <c r="E5053" i="1" a="1"/>
  <c r="E5799" i="1" a="1"/>
  <c r="J5198" i="1" a="1"/>
  <c r="J4431" i="1" a="1"/>
  <c r="E5395" i="1" a="1"/>
  <c r="E5951" i="1" a="1"/>
  <c r="J6022" i="1" a="1"/>
  <c r="E4450" i="1" a="1"/>
  <c r="J4980" i="1" a="1"/>
  <c r="J5999" i="1" a="1"/>
  <c r="J4880" i="1" a="1"/>
  <c r="E5679" i="1" a="1"/>
  <c r="J4931" i="1" a="1"/>
  <c r="J5440" i="1" a="1"/>
  <c r="E4595" i="1" a="1"/>
  <c r="E5567" i="1" a="1"/>
  <c r="J5702" i="1" a="1"/>
  <c r="E5713" i="1" a="1"/>
  <c r="J5380" i="1" a="1"/>
  <c r="E5748" i="1" a="1"/>
  <c r="Z298" i="1" a="1"/>
  <c r="J5417" i="1" a="1"/>
  <c r="E5506" i="1" a="1"/>
  <c r="E5596" i="1" a="1"/>
  <c r="Z35" i="1" a="1"/>
  <c r="J5952" i="1" a="1"/>
  <c r="E5702" i="1" a="1"/>
  <c r="Z235" i="1" a="1"/>
  <c r="P305" i="1" a="1"/>
  <c r="P207" i="1" a="1"/>
  <c r="J5255" i="1" a="1"/>
  <c r="J5460" i="1" a="1"/>
  <c r="P396" i="1" a="1"/>
  <c r="E5401" i="1" a="1"/>
  <c r="Z260" i="1" a="1"/>
  <c r="E5280" i="1" a="1"/>
  <c r="P64" i="1" a="1"/>
  <c r="J5295" i="1" a="1"/>
  <c r="E5538" i="1" a="1"/>
  <c r="E5581" i="1" a="1"/>
  <c r="J5554" i="1" a="1"/>
  <c r="J5746" i="1" a="1"/>
  <c r="Z27" i="1" a="1"/>
  <c r="Z63" i="1" a="1"/>
  <c r="P416" i="1" a="1"/>
  <c r="P226" i="1" a="1"/>
  <c r="E5734" i="1" a="1"/>
  <c r="J4959" i="1" a="1"/>
  <c r="J4951" i="1" a="1"/>
  <c r="E5312" i="1" a="1"/>
  <c r="E5941" i="1" a="1"/>
  <c r="E5917" i="1" a="1"/>
  <c r="E4848" i="1" a="1"/>
  <c r="J3946" i="1" a="1"/>
  <c r="E4131" i="1" a="1"/>
  <c r="J5276" i="1" a="1"/>
  <c r="E5329" i="1" a="1"/>
  <c r="J5577" i="1" a="1"/>
  <c r="J5879" i="1" a="1"/>
  <c r="E5229" i="1" a="1"/>
  <c r="E5632" i="1" a="1"/>
  <c r="J4747" i="1" a="1"/>
  <c r="J5265" i="1" a="1"/>
  <c r="J4929" i="1" a="1"/>
  <c r="J5484" i="1" a="1"/>
  <c r="J4691" i="1" a="1"/>
  <c r="J4712" i="1" a="1"/>
  <c r="E4800" i="1" a="1"/>
  <c r="Z76" i="1" a="1"/>
  <c r="P383" i="1" a="1"/>
  <c r="E5659" i="1" a="1"/>
  <c r="Z410" i="1" a="1"/>
  <c r="E5848" i="1" a="1"/>
  <c r="J5545" i="1" a="1"/>
  <c r="J4716" i="1" a="1"/>
  <c r="J4906" i="1" a="1"/>
  <c r="E5981" i="1" a="1"/>
  <c r="E4847" i="1" a="1"/>
  <c r="Z109" i="1" a="1"/>
  <c r="J5410" i="1" a="1"/>
  <c r="J5522" i="1" a="1"/>
  <c r="J4193" i="1" a="1"/>
  <c r="J4062" i="1" a="1"/>
  <c r="E4145" i="1" a="1"/>
  <c r="J5946" i="1" a="1"/>
  <c r="E5500" i="1" a="1"/>
  <c r="J4734" i="1" a="1"/>
  <c r="Z60" i="1" a="1"/>
  <c r="J5927" i="1" a="1"/>
  <c r="J5166" i="1" a="1"/>
  <c r="J4180" i="1" a="1"/>
  <c r="J4805" i="1" a="1"/>
  <c r="P24" i="1" a="1"/>
  <c r="J3829" i="1" a="1"/>
  <c r="E5926" i="1" a="1"/>
  <c r="P87" i="1" a="1"/>
  <c r="E5235" i="1" a="1"/>
  <c r="J5782" i="1" a="1"/>
  <c r="E5221" i="1" a="1"/>
  <c r="E5671" i="1" a="1"/>
  <c r="E5481" i="1" a="1"/>
  <c r="J4267" i="1" a="1"/>
  <c r="J4865" i="1" a="1"/>
  <c r="J5024" i="1" a="1"/>
  <c r="J4676" i="1" a="1"/>
  <c r="E5064" i="1" a="1"/>
  <c r="P393" i="1" a="1"/>
  <c r="J5843" i="1" a="1"/>
  <c r="J5447" i="1" a="1"/>
  <c r="E4927" i="1" a="1"/>
  <c r="E5617" i="1" a="1"/>
  <c r="J4921" i="1" a="1"/>
  <c r="E5077" i="1" a="1"/>
  <c r="J5839" i="1" a="1"/>
  <c r="J5980" i="1" a="1"/>
  <c r="J5173" i="1" a="1"/>
  <c r="J4690" i="1" a="1"/>
  <c r="E5600" i="1" a="1"/>
  <c r="E4641" i="1" a="1"/>
  <c r="J4460" i="1" a="1"/>
  <c r="J5819" i="1" a="1"/>
  <c r="E5614" i="1" a="1"/>
  <c r="J5100" i="1" a="1"/>
  <c r="J4961" i="1" a="1"/>
  <c r="J4877" i="1" a="1"/>
  <c r="P104" i="1" a="1"/>
  <c r="J4977" i="1" a="1"/>
  <c r="J5363" i="1" a="1"/>
  <c r="Z173" i="1" a="1"/>
  <c r="J5306" i="1" a="1"/>
  <c r="E5039" i="1" a="1"/>
  <c r="J5466" i="1" a="1"/>
  <c r="J5558" i="1" a="1"/>
  <c r="E4527" i="1" a="1"/>
  <c r="J5264" i="1" a="1"/>
  <c r="J5033" i="1" a="1"/>
  <c r="E4947" i="1" a="1"/>
  <c r="J4837" i="1" a="1"/>
  <c r="E4877" i="1" a="1"/>
  <c r="E5562" i="1" a="1"/>
  <c r="E5476" i="1" a="1"/>
  <c r="E5483" i="1" a="1"/>
  <c r="E4892" i="1" a="1"/>
  <c r="E4202" i="1" a="1"/>
  <c r="P303" i="1" a="1"/>
  <c r="J4849" i="1" a="1"/>
  <c r="J4308" i="1" a="1"/>
  <c r="J5578" i="1" a="1"/>
  <c r="J5423" i="1" a="1"/>
  <c r="E5270" i="1" a="1"/>
  <c r="J5667" i="1" a="1"/>
  <c r="P7" i="1" a="1"/>
  <c r="P335" i="1" a="1"/>
  <c r="P250" i="1" a="1"/>
  <c r="P384" i="1" a="1"/>
  <c r="J5805" i="1" a="1"/>
  <c r="Z297" i="1" a="1"/>
  <c r="E5920" i="1" a="1"/>
  <c r="E5855" i="1" a="1"/>
  <c r="J5820" i="1" a="1"/>
  <c r="E5150" i="1" a="1"/>
  <c r="J5494" i="1" a="1"/>
  <c r="P72" i="1" a="1"/>
  <c r="P185" i="1" a="1"/>
  <c r="Z254" i="1" a="1"/>
  <c r="J5349" i="1" a="1"/>
  <c r="E5784" i="1" a="1"/>
  <c r="P387" i="1" a="1"/>
  <c r="J5776" i="1" a="1"/>
  <c r="J5903" i="1" a="1"/>
  <c r="E5706" i="1" a="1"/>
  <c r="P269" i="1" a="1"/>
  <c r="J5269" i="1" a="1"/>
  <c r="J5670" i="1" a="1"/>
  <c r="J5185" i="1" a="1"/>
  <c r="E5118" i="1" a="1"/>
  <c r="J5280" i="1" a="1"/>
  <c r="J5104" i="1" a="1"/>
  <c r="J5106" i="1" a="1"/>
  <c r="E3972" i="1" a="1"/>
  <c r="E5359" i="1" a="1"/>
  <c r="Z161" i="1" a="1"/>
  <c r="J5110" i="1" a="1"/>
  <c r="J5639" i="1" a="1"/>
  <c r="E5993" i="1" a="1"/>
  <c r="J5422" i="1" a="1"/>
  <c r="J4493" i="1" a="1"/>
  <c r="E5952" i="1" a="1"/>
  <c r="E4446" i="1" a="1"/>
  <c r="E5787" i="1" a="1"/>
  <c r="E4886" i="1" a="1"/>
  <c r="E4371" i="1" a="1"/>
  <c r="E4609" i="1" a="1"/>
  <c r="E5183" i="1" a="1"/>
  <c r="J5319" i="1" a="1"/>
  <c r="E5168" i="1" a="1"/>
  <c r="P9" i="1" a="1"/>
  <c r="P209" i="1" a="1"/>
  <c r="J5512" i="1" a="1"/>
  <c r="J5271" i="1" a="1"/>
  <c r="J5105" i="1" a="1"/>
  <c r="E5036" i="1" a="1"/>
  <c r="J5057" i="1" a="1"/>
  <c r="J4507" i="1" a="1"/>
  <c r="J4592" i="1" a="1"/>
  <c r="E5166" i="1" a="1"/>
  <c r="J5619" i="1" a="1"/>
  <c r="E4977" i="1" a="1"/>
  <c r="E4660" i="1" a="1"/>
  <c r="J5732" i="1" a="1"/>
  <c r="E5347" i="1" a="1"/>
  <c r="J4878" i="1" a="1"/>
  <c r="P304" i="1" a="1"/>
  <c r="J5542" i="1" a="1"/>
  <c r="J5112" i="1" a="1"/>
  <c r="J5006" i="1" a="1"/>
  <c r="J4935" i="1" a="1"/>
  <c r="J5997" i="1" a="1"/>
  <c r="J4421" i="1" a="1"/>
  <c r="E4967" i="1" a="1"/>
  <c r="J4198" i="1" a="1"/>
  <c r="J5645" i="1" a="1"/>
  <c r="E5619" i="1" a="1"/>
  <c r="J5021" i="1" a="1"/>
  <c r="E5331" i="1" a="1"/>
  <c r="Z227" i="1" a="1"/>
  <c r="E5903" i="1" a="1"/>
  <c r="E5764" i="1" a="1"/>
  <c r="J5625" i="1" a="1"/>
  <c r="Z115" i="1" a="1"/>
  <c r="J5597" i="1" a="1"/>
  <c r="J5456" i="1" a="1"/>
  <c r="Z240" i="1" a="1"/>
  <c r="P99" i="1" a="1"/>
  <c r="Z328" i="1" a="1"/>
  <c r="J5070" i="1" a="1"/>
  <c r="P431" i="1" a="1"/>
  <c r="Z232" i="1" a="1"/>
  <c r="J5585" i="1" a="1"/>
  <c r="P262" i="1" a="1"/>
  <c r="P340" i="1" a="1"/>
  <c r="E5348" i="1" a="1"/>
  <c r="J5611" i="1" a="1"/>
  <c r="J5941" i="1" a="1"/>
  <c r="E5809" i="1" a="1"/>
  <c r="Z366" i="1" a="1"/>
  <c r="J5178" i="1" a="1"/>
  <c r="E5531" i="1" a="1"/>
  <c r="P188" i="1" a="1"/>
  <c r="Z294" i="1" a="1"/>
  <c r="J5489" i="1" a="1"/>
  <c r="J5388" i="1" a="1"/>
  <c r="E5188" i="1" a="1"/>
  <c r="J5989" i="1" a="1"/>
  <c r="E5824" i="1" a="1"/>
  <c r="J5584" i="1" a="1"/>
  <c r="J4505" i="1" a="1"/>
  <c r="J4338" i="1" a="1"/>
  <c r="J4872" i="1" a="1"/>
  <c r="Z119" i="1" a="1"/>
  <c r="Z56" i="1" a="1"/>
  <c r="J5809" i="1" a="1"/>
  <c r="J5731" i="1" a="1"/>
  <c r="J4463" i="1" a="1"/>
  <c r="E5660" i="1" a="1"/>
  <c r="E4583" i="1" a="1"/>
  <c r="J5750" i="1" a="1"/>
  <c r="J4835" i="1" a="1"/>
  <c r="E4657" i="1" a="1"/>
  <c r="J4232" i="1" a="1"/>
  <c r="E5249" i="1" a="1"/>
  <c r="E4932" i="1" a="1"/>
  <c r="E4992" i="1" a="1"/>
  <c r="J5179" i="1" a="1"/>
  <c r="E5502" i="1" a="1"/>
  <c r="J5434" i="1" a="1"/>
  <c r="E5448" i="1" a="1"/>
  <c r="E4794" i="1" a="1"/>
  <c r="E3924" i="1" a="1"/>
  <c r="E5212" i="1" a="1"/>
  <c r="E4959" i="1" a="1"/>
  <c r="Z81" i="1" a="1"/>
  <c r="E5569" i="1" a="1"/>
  <c r="J5160" i="1" a="1"/>
  <c r="E4400" i="1" a="1"/>
  <c r="E4922" i="1" a="1"/>
  <c r="E4214" i="1" a="1"/>
  <c r="J4316" i="1" a="1"/>
  <c r="Z362" i="1" a="1"/>
  <c r="E4987" i="1" a="1"/>
  <c r="J5972" i="1" a="1"/>
  <c r="J5395" i="1" a="1"/>
  <c r="J5334" i="1" a="1"/>
  <c r="J4570" i="1" a="1"/>
  <c r="J5591" i="1" a="1"/>
  <c r="E4112" i="1" a="1"/>
  <c r="J4730" i="1" a="1"/>
  <c r="J3947" i="1" a="1"/>
  <c r="P147" i="1" a="1"/>
  <c r="E5584" i="1" a="1"/>
  <c r="J5401" i="1" a="1"/>
  <c r="J4848" i="1" a="1"/>
  <c r="J4576" i="1" a="1"/>
  <c r="J5831" i="1" a="1"/>
  <c r="J4862" i="1" a="1"/>
  <c r="E5299" i="1" a="1"/>
  <c r="J5693" i="1" a="1"/>
  <c r="Z357" i="1" a="1"/>
  <c r="E5979" i="1" a="1"/>
  <c r="J5626" i="1" a="1"/>
  <c r="J5881" i="1" a="1"/>
  <c r="E5345" i="1" a="1"/>
  <c r="J5515" i="1" a="1"/>
  <c r="J5165" i="1" a="1"/>
  <c r="J5785" i="1" a="1"/>
  <c r="E5060" i="1" a="1"/>
  <c r="E5643" i="1" a="1"/>
  <c r="J5206" i="1" a="1"/>
  <c r="J5655" i="1" a="1"/>
  <c r="E5013" i="1" a="1"/>
  <c r="J5180" i="1" a="1"/>
  <c r="J5581" i="1" a="1"/>
  <c r="J4467" i="1" a="1"/>
  <c r="P413" i="1" a="1"/>
  <c r="J4824" i="1" a="1"/>
  <c r="E5956" i="1" a="1"/>
  <c r="Z102" i="1" a="1"/>
  <c r="J5055" i="1" a="1"/>
  <c r="E5015" i="1" a="1"/>
  <c r="Z319" i="1" a="1"/>
  <c r="J4718" i="1" a="1"/>
  <c r="J5887" i="1" a="1"/>
  <c r="J5432" i="1" a="1"/>
  <c r="E5413" i="1" a="1"/>
  <c r="E4584" i="1" a="1"/>
  <c r="J5141" i="1" a="1"/>
  <c r="J4879" i="1" a="1"/>
  <c r="J5724" i="1" a="1"/>
  <c r="E5376" i="1" a="1"/>
  <c r="E4221" i="1" a="1"/>
  <c r="E4567" i="1" a="1"/>
  <c r="J5537" i="1" a="1"/>
  <c r="Z223" i="1" a="1"/>
  <c r="J4810" i="1" a="1"/>
  <c r="E4502" i="1" a="1"/>
  <c r="J4477" i="1" a="1"/>
  <c r="J4433" i="1" a="1"/>
  <c r="E4901" i="1" a="1"/>
  <c r="J4398" i="1" a="1"/>
  <c r="E4461" i="1" a="1"/>
  <c r="E5980" i="1" a="1"/>
  <c r="E5432" i="1" a="1"/>
  <c r="E4874" i="1" a="1"/>
  <c r="E4955" i="1" a="1"/>
  <c r="E5712" i="1" a="1"/>
  <c r="P169" i="1" a="1"/>
  <c r="P203" i="1" a="1"/>
  <c r="E6017" i="1" a="1"/>
  <c r="J5919" i="1" a="1"/>
  <c r="Z73" i="1" a="1"/>
  <c r="E5647" i="1" a="1"/>
  <c r="J5736" i="1" a="1"/>
  <c r="E5795" i="1" a="1"/>
  <c r="Z353" i="1" a="1"/>
  <c r="E5893" i="1" a="1"/>
  <c r="J5944" i="1" a="1"/>
  <c r="E5383" i="1" a="1"/>
  <c r="P172" i="1" a="1"/>
  <c r="E5121" i="1" a="1"/>
  <c r="J5915" i="1" a="1"/>
  <c r="E5675" i="1" a="1"/>
  <c r="J5397" i="1" a="1"/>
  <c r="P94" i="1" a="1"/>
  <c r="Z388" i="1" a="1"/>
  <c r="Z80" i="1" a="1"/>
  <c r="Z9" i="1" a="1"/>
  <c r="Z215" i="1" a="1"/>
  <c r="P398" i="1" a="1"/>
  <c r="J5145" i="1" a="1"/>
  <c r="J4439" i="1" a="1"/>
  <c r="E5231" i="1" a="1"/>
  <c r="E5822" i="1" a="1"/>
  <c r="J5314" i="1" a="1"/>
  <c r="E4003" i="1" a="1"/>
  <c r="J5520" i="1" a="1"/>
  <c r="E4368" i="1" a="1"/>
  <c r="J5949" i="1" a="1"/>
  <c r="E5953" i="1" a="1"/>
  <c r="E4783" i="1" a="1"/>
  <c r="J4999" i="1" a="1"/>
  <c r="P425" i="1" a="1"/>
  <c r="J4814" i="1" a="1"/>
  <c r="E4279" i="1" a="1"/>
  <c r="J3883" i="1" a="1"/>
  <c r="J4323" i="1" a="1"/>
  <c r="E5796" i="1" a="1"/>
  <c r="J4060" i="1" a="1"/>
  <c r="J5469" i="1" a="1"/>
  <c r="E5102" i="1" a="1"/>
  <c r="P46" i="1" a="1"/>
  <c r="E5873" i="1" a="1"/>
  <c r="J5041" i="1" a="1"/>
  <c r="J4600" i="1" a="1"/>
  <c r="J4766" i="1" a="1"/>
  <c r="J4430" i="1" a="1"/>
  <c r="E5319" i="1" a="1"/>
  <c r="P370" i="1" a="1"/>
  <c r="Z134" i="1" a="1"/>
  <c r="E5430" i="1" a="1"/>
  <c r="J4843" i="1" a="1"/>
  <c r="E5560" i="1" a="1"/>
  <c r="E4741" i="1" a="1"/>
  <c r="J4623" i="1" a="1"/>
  <c r="J4403" i="1" a="1"/>
  <c r="J4282" i="1" a="1"/>
  <c r="J5384" i="1" a="1"/>
  <c r="J6001" i="1" a="1"/>
  <c r="E5720" i="1" a="1"/>
  <c r="Z269" i="1" a="1"/>
  <c r="E5134" i="1" a="1"/>
  <c r="E5245" i="1" a="1"/>
  <c r="P376" i="1" a="1"/>
  <c r="J3726" i="1" a="1"/>
  <c r="J4397" i="1" a="1"/>
  <c r="J5203" i="1" a="1"/>
  <c r="J5726" i="1" a="1"/>
  <c r="J6011" i="1" a="1"/>
  <c r="E5629" i="1" a="1"/>
  <c r="E4957" i="1" a="1"/>
  <c r="J5381" i="1" a="1"/>
  <c r="E5358" i="1" a="1"/>
  <c r="E5691" i="1" a="1"/>
  <c r="J5609" i="1" a="1"/>
  <c r="J5095" i="1" a="1"/>
  <c r="J4903" i="1" a="1"/>
  <c r="J5421" i="1" a="1"/>
  <c r="P356" i="1" a="1"/>
  <c r="E4759" i="1" a="1"/>
  <c r="J5657" i="1" a="1"/>
  <c r="E5325" i="1" a="1"/>
  <c r="P134" i="1" a="1"/>
  <c r="J5455" i="1" a="1"/>
  <c r="J5156" i="1" a="1"/>
  <c r="J5656" i="1" a="1"/>
  <c r="E4900" i="1" a="1"/>
  <c r="J5022" i="1" a="1"/>
  <c r="E5079" i="1" a="1"/>
  <c r="E4830" i="1" a="1"/>
  <c r="J5572" i="1" a="1"/>
  <c r="Z92" i="1" a="1"/>
  <c r="E5128" i="1" a="1"/>
  <c r="J5926" i="1" a="1"/>
  <c r="P102" i="1" a="1"/>
  <c r="J5795" i="1" a="1"/>
  <c r="E5906" i="1" a="1"/>
  <c r="J4900" i="1" a="1"/>
  <c r="E5693" i="1" a="1"/>
  <c r="E5726" i="1" a="1"/>
  <c r="P261" i="1" a="1"/>
  <c r="J5760" i="1" a="1"/>
  <c r="E5187" i="1" a="1"/>
  <c r="P50" i="1" a="1"/>
  <c r="Z307" i="1" a="1"/>
  <c r="J5341" i="1" a="1"/>
  <c r="P397" i="1" a="1"/>
  <c r="P348" i="1" a="1"/>
  <c r="J5815" i="1" a="1"/>
  <c r="E5885" i="1" a="1"/>
  <c r="J5211" i="1" a="1"/>
  <c r="Z247" i="1" a="1"/>
  <c r="E5585" i="1" a="1"/>
  <c r="Z208" i="1" a="1"/>
  <c r="J5757" i="1" a="1"/>
  <c r="J5164" i="1" a="1"/>
  <c r="E5988" i="1" a="1"/>
  <c r="E5932" i="1" a="1"/>
  <c r="E4793" i="1" a="1"/>
  <c r="Z230" i="1" a="1"/>
  <c r="E4737" i="1" a="1"/>
  <c r="J4663" i="1" a="1"/>
  <c r="J4200" i="1" a="1"/>
  <c r="P34" i="1" a="1"/>
  <c r="E5864" i="1" a="1"/>
  <c r="P277" i="1" a="1"/>
  <c r="E5528" i="1" a="1"/>
  <c r="E5982" i="1" a="1"/>
  <c r="E4961" i="1" a="1"/>
  <c r="J5293" i="1" a="1"/>
  <c r="E5890" i="1" a="1"/>
  <c r="J5111" i="1" a="1"/>
  <c r="E5575" i="1" a="1"/>
  <c r="E4835" i="1" a="1"/>
  <c r="E4863" i="1" a="1"/>
  <c r="J4996" i="1" a="1"/>
  <c r="J4415" i="1" a="1"/>
  <c r="J4584" i="1" a="1"/>
  <c r="E5847" i="1" a="1"/>
  <c r="P2" i="1" a="1"/>
  <c r="E5119" i="1" a="1"/>
  <c r="E5442" i="1" a="1"/>
  <c r="J4791" i="1" a="1"/>
  <c r="E5519" i="1" a="1"/>
  <c r="J3709" i="1" a="1"/>
  <c r="J5942" i="1" a="1"/>
  <c r="J5769" i="1" a="1"/>
  <c r="E5701" i="1" a="1"/>
  <c r="E4619" i="1" a="1"/>
  <c r="J5865" i="1" a="1"/>
  <c r="J4666" i="1" a="1"/>
  <c r="J5906" i="1" a="1"/>
  <c r="E5202" i="1" a="1"/>
  <c r="E5517" i="1" a="1"/>
  <c r="J5642" i="1" a="1"/>
  <c r="E4954" i="1" a="1"/>
  <c r="J4933" i="1" a="1"/>
  <c r="P21" i="1" a="1"/>
  <c r="J5546" i="1" a="1"/>
  <c r="J5638" i="1" a="1"/>
  <c r="P423" i="1" a="1"/>
  <c r="J4525" i="1" a="1"/>
  <c r="E5286" i="1" a="1"/>
  <c r="Z380" i="1" a="1"/>
  <c r="P438" i="1" a="1"/>
  <c r="E5757" i="1" a="1"/>
  <c r="E4709" i="1" a="1"/>
  <c r="Z50" i="1" a="1"/>
  <c r="E5209" i="1" a="1"/>
  <c r="J5885" i="1" a="1"/>
  <c r="Z364" i="1" a="1"/>
  <c r="J5115" i="1" a="1"/>
  <c r="E4937" i="1" a="1"/>
  <c r="J4696" i="1" a="1"/>
  <c r="E4806" i="1" a="1"/>
  <c r="E5355" i="1" a="1"/>
  <c r="J5788" i="1" a="1"/>
  <c r="E5328" i="1" a="1"/>
  <c r="J5448" i="1" a="1"/>
  <c r="J4614" i="1" a="1"/>
  <c r="J5884" i="1" a="1"/>
  <c r="J5451" i="1" a="1"/>
  <c r="E5457" i="1" a="1"/>
  <c r="J5403" i="1" a="1"/>
  <c r="J5035" i="1" a="1"/>
  <c r="E5285" i="1" a="1"/>
  <c r="E5269" i="1" a="1"/>
  <c r="E5924" i="1" a="1"/>
  <c r="E5573" i="1" a="1"/>
  <c r="E5656" i="1" a="1"/>
  <c r="P300" i="1" a="1"/>
  <c r="Z43" i="1" a="1"/>
  <c r="J5698" i="1" a="1"/>
  <c r="E5703" i="1" a="1"/>
  <c r="E5535" i="1" a="1"/>
  <c r="J5991" i="1" a="1"/>
  <c r="Z416" i="1" a="1"/>
  <c r="P361" i="1" a="1"/>
  <c r="P159" i="1" a="1"/>
  <c r="P364" i="1" a="1"/>
  <c r="E5123" i="1" a="1"/>
  <c r="Z118" i="1" a="1"/>
  <c r="Z347" i="1" a="1"/>
  <c r="E5353" i="1" a="1"/>
  <c r="J5103" i="1" a="1"/>
  <c r="E5806" i="1" a="1"/>
  <c r="P208" i="1" a="1"/>
  <c r="J5468" i="1" a="1"/>
  <c r="P54" i="1" a="1"/>
  <c r="J4795" i="1" a="1"/>
  <c r="J5505" i="1" a="1"/>
  <c r="E5722" i="1" a="1"/>
  <c r="J5845" i="1" a="1"/>
  <c r="E5473" i="1" a="1"/>
  <c r="J5722" i="1" a="1"/>
  <c r="E5415" i="1" a="1"/>
  <c r="J5027" i="1" a="1"/>
  <c r="P293" i="1" a="1"/>
  <c r="J5781" i="1" a="1"/>
  <c r="P36" i="1" a="1"/>
  <c r="P26" i="1" a="1"/>
  <c r="Z44" i="1" a="1"/>
  <c r="J4998" i="1" a="1"/>
  <c r="J5093" i="1" a="1"/>
  <c r="E4862" i="1" a="1"/>
  <c r="J5028" i="1" a="1"/>
  <c r="E4881" i="1" a="1"/>
  <c r="E5385" i="1" a="1"/>
  <c r="J5666" i="1" a="1"/>
  <c r="J4617" i="1" a="1"/>
  <c r="P292" i="1" a="1"/>
  <c r="E4765" i="1" a="1"/>
  <c r="E5334" i="1" a="1"/>
  <c r="J4497" i="1" a="1"/>
  <c r="J4740" i="1" a="1"/>
  <c r="J5368" i="1" a="1"/>
  <c r="E5557" i="1" a="1"/>
  <c r="J5794" i="1" a="1"/>
  <c r="J5376" i="1" a="1"/>
  <c r="E4815" i="1" a="1"/>
  <c r="E5081" i="1" a="1"/>
  <c r="P11" i="1" a="1"/>
  <c r="J5045" i="1" a="1"/>
  <c r="E4324" i="1" a="1"/>
  <c r="J5491" i="1" a="1"/>
  <c r="E5786" i="1" a="1"/>
  <c r="J5553" i="1" a="1"/>
  <c r="P379" i="1" a="1"/>
  <c r="J5529" i="1" a="1"/>
  <c r="J5157" i="1" a="1"/>
  <c r="E5812" i="1" a="1"/>
  <c r="E4430" i="1" a="1"/>
  <c r="E4997" i="1" a="1"/>
  <c r="P210" i="1" a="1"/>
  <c r="J5161" i="1" a="1"/>
  <c r="E5058" i="1" a="1"/>
  <c r="J5753" i="1" a="1"/>
  <c r="J5338" i="1" a="1"/>
  <c r="E5199" i="1" a="1"/>
  <c r="E5025" i="1" a="1"/>
  <c r="E4376" i="1" a="1"/>
  <c r="E4805" i="1" a="1"/>
  <c r="E6004" i="1" a="1"/>
  <c r="E5386" i="1" a="1"/>
  <c r="J5939" i="1" a="1"/>
  <c r="J5000" i="1" a="1"/>
  <c r="E5829" i="1" a="1"/>
  <c r="E5087" i="1" a="1"/>
  <c r="E5378" i="1" a="1"/>
  <c r="E5474" i="1" a="1"/>
  <c r="J4943" i="1" a="1"/>
  <c r="E5683" i="1" a="1"/>
  <c r="E5028" i="1" a="1"/>
  <c r="E4458" i="1" a="1"/>
  <c r="J5496" i="1" a="1"/>
  <c r="E4722" i="1" a="1"/>
  <c r="J5841" i="1" a="1"/>
  <c r="E4931" i="1" a="1"/>
  <c r="E5130" i="1" a="1"/>
  <c r="J5085" i="1" a="1"/>
  <c r="E4986" i="1" a="1"/>
  <c r="E5033" i="1" a="1"/>
  <c r="E4895" i="1" a="1"/>
  <c r="P366" i="1" a="1"/>
  <c r="E5414" i="1" a="1"/>
  <c r="J5101" i="1" a="1"/>
  <c r="P282" i="1" a="1"/>
  <c r="J5214" i="1" a="1"/>
  <c r="J5346" i="1" a="1"/>
  <c r="P115" i="1" a="1"/>
  <c r="E5350" i="1" a="1"/>
  <c r="E5714" i="1" a="1"/>
  <c r="E5947" i="1" a="1"/>
  <c r="J4798" i="1" a="1"/>
  <c r="P419" i="1" a="1"/>
  <c r="Z417" i="1" a="1"/>
  <c r="J5372" i="1" a="1"/>
  <c r="Z278" i="1" a="1"/>
  <c r="E5392" i="1" a="1"/>
  <c r="J5749" i="1" a="1"/>
  <c r="P273" i="1" a="1"/>
  <c r="E5437" i="1" a="1"/>
  <c r="E5450" i="1" a="1"/>
  <c r="P227" i="1" a="1"/>
  <c r="P426" i="1" a="1"/>
  <c r="P329" i="1" a="1"/>
  <c r="E5899" i="1" a="1"/>
  <c r="P175" i="1" a="1"/>
  <c r="J5420" i="1" a="1"/>
  <c r="Z323" i="1" a="1"/>
  <c r="E5563" i="1" a="1"/>
  <c r="Z287" i="1" a="1"/>
  <c r="P320" i="1" a="1"/>
  <c r="E5255" i="1" a="1"/>
  <c r="E5326" i="1" a="1"/>
  <c r="E5288" i="1" a="1"/>
  <c r="J5813" i="1" a="1"/>
  <c r="J5370" i="1" a="1"/>
  <c r="J5240" i="1" a="1"/>
  <c r="E4993" i="1" a="1"/>
  <c r="P360" i="1" a="1"/>
  <c r="E4916" i="1" a="1"/>
  <c r="J4485" i="1" a="1"/>
  <c r="E5747" i="1" a="1"/>
  <c r="E5420" i="1" a="1"/>
  <c r="E4574" i="1" a="1"/>
  <c r="J4523" i="1" a="1"/>
  <c r="J5066" i="1" a="1"/>
  <c r="J5360" i="1" a="1"/>
  <c r="E5998" i="1" a="1"/>
  <c r="Z279" i="1" a="1"/>
  <c r="J4832" i="1" a="1"/>
  <c r="E4205" i="1" a="1"/>
  <c r="E4813" i="1" a="1"/>
  <c r="P132" i="1" a="1"/>
  <c r="Z234" i="1" a="1"/>
  <c r="J5659" i="1" a="1"/>
  <c r="E4772" i="1" a="1"/>
  <c r="J5938" i="1" a="1"/>
  <c r="E5162" i="1" a="1"/>
  <c r="E5499" i="1" a="1"/>
  <c r="E4379" i="1" a="1"/>
  <c r="E4981" i="1" a="1"/>
  <c r="J4952" i="1" a="1"/>
  <c r="J5669" i="1" a="1"/>
  <c r="E5455" i="1" a="1"/>
  <c r="E5589" i="1" a="1"/>
  <c r="E5214" i="1" a="1"/>
  <c r="Z146" i="1" a="1"/>
  <c r="J5246" i="1" a="1"/>
  <c r="E5242" i="1" a="1"/>
  <c r="J5444" i="1" a="1"/>
  <c r="J4743" i="1" a="1"/>
  <c r="J5318" i="1" a="1"/>
  <c r="J5396" i="1" a="1"/>
  <c r="E5477" i="1" a="1"/>
  <c r="E5236" i="1" a="1"/>
  <c r="J5895" i="1" a="1"/>
  <c r="J5248" i="1" a="1"/>
  <c r="J4611" i="1" a="1"/>
  <c r="J5925" i="1" a="1"/>
  <c r="J4610" i="1" a="1"/>
  <c r="E4906" i="1" a="1"/>
  <c r="E5208" i="1" a="1"/>
  <c r="J5017" i="1" a="1"/>
  <c r="E5919" i="1" a="1"/>
  <c r="P41" i="1" a="1"/>
  <c r="E5802" i="1" a="1"/>
  <c r="E5526" i="1" a="1"/>
  <c r="J4751" i="1" a="1"/>
  <c r="E4312" i="1" a="1"/>
  <c r="E5900" i="1" a="1"/>
  <c r="J4313" i="1" a="1"/>
  <c r="P328" i="1" a="1"/>
  <c r="J4926" i="1" a="1"/>
  <c r="E5901" i="1" a="1"/>
  <c r="E5252" i="1" a="1"/>
  <c r="P352" i="1" a="1"/>
  <c r="E5663" i="1" a="1"/>
  <c r="J5257" i="1" a="1"/>
  <c r="E5741" i="1" a="1"/>
  <c r="E5330" i="1" a="1"/>
  <c r="E5791" i="1" a="1"/>
  <c r="P16" i="1" a="1"/>
  <c r="Z264" i="1" a="1"/>
  <c r="J5921" i="1" a="1"/>
  <c r="E4695" i="1" a="1"/>
  <c r="P211" i="1" a="1"/>
  <c r="J4326" i="1" a="1"/>
  <c r="E4548" i="1" a="1"/>
  <c r="J4621" i="1" a="1"/>
  <c r="J5756" i="1" a="1"/>
  <c r="J5362" i="1" a="1"/>
  <c r="J5967" i="1" a="1"/>
  <c r="E5541" i="1" a="1"/>
  <c r="J4636" i="1" a="1"/>
  <c r="J5325" i="1" a="1"/>
  <c r="J4752" i="1" a="1"/>
  <c r="E5230" i="1" a="1"/>
  <c r="J4649" i="1" a="1"/>
  <c r="P388" i="1" a="1"/>
  <c r="E5055" i="1" a="1"/>
  <c r="P111" i="1" a="1"/>
  <c r="E5441" i="1" a="1"/>
  <c r="E5303" i="1" a="1"/>
  <c r="E4397" i="1" a="1"/>
  <c r="E4195" i="1" a="1"/>
  <c r="E5066" i="1" a="1"/>
  <c r="J4447" i="1" a="1"/>
  <c r="E4420" i="1" a="1"/>
  <c r="J5506" i="1" a="1"/>
  <c r="J4813" i="1" a="1"/>
  <c r="J4359" i="1" a="1"/>
  <c r="J3735" i="1" a="1"/>
  <c r="E3218" i="1" a="1"/>
  <c r="J3619" i="1" a="1"/>
  <c r="P45" i="1" a="1"/>
  <c r="E5410" i="1" a="1"/>
  <c r="J5387" i="1" a="1"/>
  <c r="Z338" i="1" a="1"/>
  <c r="J5568" i="1" a="1"/>
  <c r="P202" i="1" a="1"/>
  <c r="J5828" i="1" a="1"/>
  <c r="P14" i="1" a="1"/>
  <c r="J5633" i="1" a="1"/>
  <c r="J6004" i="1" a="1"/>
  <c r="E5018" i="1" a="1"/>
  <c r="J3859" i="1" a="1"/>
  <c r="J5479" i="1" a="1"/>
  <c r="J4370" i="1" a="1"/>
  <c r="E4966" i="1" a="1"/>
  <c r="J4389" i="1" a="1"/>
  <c r="Z130" i="1" a="1"/>
  <c r="P225" i="1" a="1"/>
  <c r="J5569" i="1" a="1"/>
  <c r="E4876" i="1" a="1"/>
  <c r="E5194" i="1" a="1"/>
  <c r="E4995" i="1" a="1"/>
  <c r="E5949" i="1" a="1"/>
  <c r="E5313" i="1" a="1"/>
  <c r="E5512" i="1" a="1"/>
  <c r="E5035" i="1" a="1"/>
  <c r="J5192" i="1" a="1"/>
  <c r="E4816" i="1" a="1"/>
  <c r="Z318" i="1" a="1"/>
  <c r="J5723" i="1" a="1"/>
  <c r="E5918" i="1" a="1"/>
  <c r="J5004" i="1" a="1"/>
  <c r="J5038" i="1" a="1"/>
  <c r="J5439" i="1" a="1"/>
  <c r="J5959" i="1" a="1"/>
  <c r="E4756" i="1" a="1"/>
  <c r="J5851" i="1" a="1"/>
  <c r="Z401" i="1" a="1"/>
  <c r="P418" i="1" a="1"/>
  <c r="E4071" i="1" a="1"/>
  <c r="J4627" i="1" a="1"/>
  <c r="J5932" i="1" a="1"/>
  <c r="E4496" i="1" a="1"/>
  <c r="E5458" i="1" a="1"/>
  <c r="E4582" i="1" a="1"/>
  <c r="E4239" i="1" a="1"/>
  <c r="J5114" i="1" a="1"/>
  <c r="Z202" i="1" a="1"/>
  <c r="J5872" i="1" a="1"/>
  <c r="J4495" i="1" a="1"/>
  <c r="J4626" i="1" a="1"/>
  <c r="E4637" i="1" a="1"/>
  <c r="J5032" i="1" a="1"/>
  <c r="J4833" i="1" a="1"/>
  <c r="E5394" i="1" a="1"/>
  <c r="E5377" i="1" a="1"/>
  <c r="E5711" i="1" a="1"/>
  <c r="J4664" i="1" a="1"/>
  <c r="J4512" i="1" a="1"/>
  <c r="Z397" i="1" a="1"/>
  <c r="J5304" i="1" a="1"/>
  <c r="J4003" i="1" a="1"/>
  <c r="E4492" i="1" a="1"/>
  <c r="J5072" i="1" a="1"/>
  <c r="J4830" i="1" a="1"/>
  <c r="J4799" i="1" a="1"/>
  <c r="E4913" i="1" a="1"/>
  <c r="E5195" i="1" a="1"/>
  <c r="J6024" i="1" a="1"/>
  <c r="E4795" i="1" a="1"/>
  <c r="J4440" i="1" a="1"/>
  <c r="J5541" i="1" a="1"/>
  <c r="E5421" i="1" a="1"/>
  <c r="E5268" i="1" a="1"/>
  <c r="Z238" i="1" a="1"/>
  <c r="E5634" i="1" a="1"/>
  <c r="J4367" i="1" a="1"/>
  <c r="E5945" i="1" a="1"/>
  <c r="E4557" i="1" a="1"/>
  <c r="E5710" i="1" a="1"/>
  <c r="E4742" i="1" a="1"/>
  <c r="J4151" i="1" a="1"/>
  <c r="J4682" i="1" a="1"/>
  <c r="J5130" i="1" a="1"/>
  <c r="J5077" i="1" a="1"/>
  <c r="J4122" i="1" a="1"/>
  <c r="J6021" i="1" a="1"/>
  <c r="J5459" i="1" a="1"/>
  <c r="E3933" i="1" a="1"/>
  <c r="E5290" i="1" a="1"/>
  <c r="E5147" i="1" a="1"/>
  <c r="J4859" i="1" a="1"/>
  <c r="P287" i="1" a="1"/>
  <c r="E3909" i="1" a="1"/>
  <c r="P86" i="1" a="1"/>
  <c r="J4593" i="1" a="1"/>
  <c r="J4726" i="1" a="1"/>
  <c r="J5923" i="1" a="1"/>
  <c r="J4937" i="1" a="1"/>
  <c r="E4575" i="1" a="1"/>
  <c r="E4715" i="1" a="1"/>
  <c r="Z393" i="1" a="1"/>
  <c r="E4094" i="1" a="1"/>
  <c r="E4610" i="1" a="1"/>
  <c r="J4452" i="1" a="1"/>
  <c r="J3939" i="1" a="1"/>
  <c r="E5928" i="1" a="1"/>
  <c r="J4564" i="1" a="1"/>
  <c r="J4031" i="1" a="1"/>
  <c r="J5412" i="1" a="1"/>
  <c r="J5899" i="1" a="1"/>
  <c r="E4526" i="1" a="1"/>
  <c r="J3718" i="1" a="1"/>
  <c r="E5505" i="1" a="1"/>
  <c r="J4708" i="1" a="1"/>
  <c r="E4340" i="1" a="1"/>
  <c r="E5576" i="1" a="1"/>
  <c r="E5467" i="1" a="1"/>
  <c r="J4581" i="1" a="1"/>
  <c r="E4667" i="1" a="1"/>
  <c r="E4347" i="1" a="1"/>
  <c r="J5435" i="1" a="1"/>
  <c r="J5754" i="1" a="1"/>
  <c r="E5507" i="1" a="1"/>
  <c r="E5274" i="1" a="1"/>
  <c r="E4617" i="1" a="1"/>
  <c r="J4105" i="1" a="1"/>
  <c r="E5620" i="1" a="1"/>
  <c r="P27" i="1" a="1"/>
  <c r="E5091" i="1" a="1"/>
  <c r="E5612" i="1" a="1"/>
  <c r="P47" i="1" a="1"/>
  <c r="P296" i="1" a="1"/>
  <c r="P121" i="1" a="1"/>
  <c r="E5284" i="1" a="1"/>
  <c r="J5576" i="1" a="1"/>
  <c r="J4417" i="1" a="1"/>
  <c r="Z302" i="1" a="1"/>
  <c r="J4528" i="1" a="1"/>
  <c r="J5279" i="1" a="1"/>
  <c r="J5575" i="1" a="1"/>
  <c r="P232" i="1" a="1"/>
  <c r="J4844" i="1" a="1"/>
  <c r="J4658" i="1" a="1"/>
  <c r="E5253" i="1" a="1"/>
  <c r="J4867" i="1" a="1"/>
  <c r="J5418" i="1" a="1"/>
  <c r="P119" i="1" a="1"/>
  <c r="J5414" i="1" a="1"/>
  <c r="J5737" i="1" a="1"/>
  <c r="J5003" i="1" a="1"/>
  <c r="E5677" i="1" a="1"/>
  <c r="J5474" i="1" a="1"/>
  <c r="J5629" i="1" a="1"/>
  <c r="E4425" i="1" a="1"/>
  <c r="J5383" i="1" a="1"/>
  <c r="E5788" i="1" a="1"/>
  <c r="E5387" i="1" a="1"/>
  <c r="J5102" i="1" a="1"/>
  <c r="E5765" i="1" a="1"/>
  <c r="J5345" i="1" a="1"/>
  <c r="J5074" i="1" a="1"/>
  <c r="E5289" i="1" a="1"/>
  <c r="Z263" i="1" a="1"/>
  <c r="E4469" i="1" a="1"/>
  <c r="E4309" i="1" a="1"/>
  <c r="E5088" i="1" a="1"/>
  <c r="E5772" i="1" a="1"/>
  <c r="J5424" i="1" a="1"/>
  <c r="P337" i="1" a="1"/>
  <c r="E4213" i="1" a="1"/>
  <c r="J4354" i="1" a="1"/>
  <c r="J4413" i="1" a="1"/>
  <c r="E3958" i="1" a="1"/>
  <c r="J4188" i="1" a="1"/>
  <c r="E5479" i="1" a="1"/>
  <c r="P272" i="1" a="1"/>
  <c r="E5682" i="1" a="1"/>
  <c r="J5195" i="1" a="1"/>
  <c r="E4592" i="1" a="1"/>
  <c r="E4589" i="1" a="1"/>
  <c r="J4408" i="1" a="1"/>
  <c r="J4166" i="1" a="1"/>
  <c r="J5094" i="1" a="1"/>
  <c r="J4056" i="1" a="1"/>
  <c r="Z104" i="1" a="1"/>
  <c r="E4238" i="1" a="1"/>
  <c r="J5741" i="1" a="1"/>
  <c r="E5107" i="1" a="1"/>
  <c r="J5152" i="1" a="1"/>
  <c r="J5531" i="1" a="1"/>
  <c r="J5321" i="1" a="1"/>
  <c r="J4456" i="1" a="1"/>
  <c r="E4621" i="1" a="1"/>
  <c r="J4612" i="1" a="1"/>
  <c r="J4932" i="1" a="1"/>
  <c r="Z329" i="1" a="1"/>
  <c r="J5969" i="1" a="1"/>
  <c r="E2964" i="1" a="1"/>
  <c r="J3081" i="1" a="1"/>
  <c r="E5215" i="1" a="1"/>
  <c r="J5437" i="1" a="1"/>
  <c r="E4477" i="1" a="1"/>
  <c r="E4879" i="1" a="1"/>
  <c r="J4560" i="1" a="1"/>
  <c r="J4222" i="1" a="1"/>
  <c r="J3826" i="1" a="1"/>
  <c r="E5344" i="1" a="1"/>
  <c r="J4394" i="1" a="1"/>
  <c r="E4675" i="1" a="1"/>
  <c r="E5069" i="1" a="1"/>
  <c r="J5371" i="1" a="1"/>
  <c r="E4483" i="1" a="1"/>
  <c r="J5665" i="1" a="1"/>
  <c r="J4888" i="1" a="1"/>
  <c r="E4973" i="1" a="1"/>
  <c r="J3901" i="1" a="1"/>
  <c r="E3687" i="1" a="1"/>
  <c r="J4426" i="1" a="1"/>
  <c r="J5688" i="1" a="1"/>
  <c r="P389" i="1" a="1"/>
  <c r="E5613" i="1" a="1"/>
  <c r="J4684" i="1" a="1"/>
  <c r="J4765" i="1" a="1"/>
  <c r="E4724" i="1" a="1"/>
  <c r="J4484" i="1" a="1"/>
  <c r="J4875" i="1" a="1"/>
  <c r="J3929" i="1" a="1"/>
  <c r="E4950" i="1" a="1"/>
  <c r="J5709" i="1" a="1"/>
  <c r="E4904" i="1" a="1"/>
  <c r="J4356" i="1" a="1"/>
  <c r="E4441" i="1" a="1"/>
  <c r="J3321" i="1" a="1"/>
  <c r="J5290" i="1" a="1"/>
  <c r="J4310" i="1" a="1"/>
  <c r="J5118" i="1" a="1"/>
  <c r="J5631" i="1" a="1"/>
  <c r="J5718" i="1" a="1"/>
  <c r="Z156" i="1" a="1"/>
  <c r="J5730" i="1" a="1"/>
  <c r="P228" i="1" a="1"/>
  <c r="P43" i="1" a="1"/>
  <c r="P316" i="1" a="1"/>
  <c r="J5893" i="1" a="1"/>
  <c r="Z206" i="1" a="1"/>
  <c r="P161" i="1" a="1"/>
  <c r="E4602" i="1" a="1"/>
  <c r="E4749" i="1" a="1"/>
  <c r="J5608" i="1" a="1"/>
  <c r="J4206" i="1" a="1"/>
  <c r="J4987" i="1" a="1"/>
  <c r="J5593" i="1" a="1"/>
  <c r="E5232" i="1" a="1"/>
  <c r="E5179" i="1" a="1"/>
  <c r="P128" i="1" a="1"/>
  <c r="E5859" i="1" a="1"/>
  <c r="E5258" i="1" a="1"/>
  <c r="J5353" i="1" a="1"/>
  <c r="P421" i="1" a="1"/>
  <c r="E4357" i="1" a="1"/>
  <c r="J4822" i="1" a="1"/>
  <c r="J4913" i="1" a="1"/>
  <c r="J5242" i="1" a="1"/>
  <c r="Z434" i="1" a="1"/>
  <c r="J5866" i="1" a="1"/>
  <c r="J4348" i="1" a="1"/>
  <c r="E5047" i="1" a="1"/>
  <c r="J5048" i="1" a="1"/>
  <c r="Z276" i="1" a="1"/>
  <c r="E4192" i="1" a="1"/>
  <c r="J6016" i="1" a="1"/>
  <c r="J5594" i="1" a="1"/>
  <c r="J4018" i="1" a="1"/>
  <c r="E5339" i="1" a="1"/>
  <c r="E5503" i="1" a="1"/>
  <c r="Z373" i="1" a="1"/>
  <c r="J5300" i="1" a="1"/>
  <c r="J5122" i="1" a="1"/>
  <c r="J5495" i="1" a="1"/>
  <c r="E4743" i="1" a="1"/>
  <c r="E4818" i="1" a="1"/>
  <c r="E4454" i="1" a="1"/>
  <c r="E4387" i="1" a="1"/>
  <c r="E4210" i="1" a="1"/>
  <c r="E4438" i="1" a="1"/>
  <c r="J5303" i="1" a="1"/>
  <c r="E5639" i="1" a="1"/>
  <c r="J3867" i="1" a="1"/>
  <c r="J5560" i="1" a="1"/>
  <c r="J5302" i="1" a="1"/>
  <c r="E4393" i="1" a="1"/>
  <c r="E5237" i="1" a="1"/>
  <c r="E4684" i="1" a="1"/>
  <c r="J3690" i="1" a="1"/>
  <c r="J4816" i="1" a="1"/>
  <c r="E4230" i="1" a="1"/>
  <c r="E4375" i="1" a="1"/>
  <c r="J5133" i="1" a="1"/>
  <c r="J4296" i="1" a="1"/>
  <c r="J4375" i="1" a="1"/>
  <c r="J4184" i="1" a="1"/>
  <c r="J4257" i="1" a="1"/>
  <c r="E5005" i="1" a="1"/>
  <c r="J5677" i="1" a="1"/>
  <c r="E3862" i="1" a="1"/>
  <c r="J5030" i="1" a="1"/>
  <c r="E4976" i="1" a="1"/>
  <c r="E5480" i="1" a="1"/>
  <c r="J3659" i="1" a="1"/>
  <c r="E4023" i="1" a="1"/>
  <c r="E3999" i="1" a="1"/>
  <c r="J4656" i="1" a="1"/>
  <c r="E5293" i="1" a="1"/>
  <c r="J5088" i="1" a="1"/>
  <c r="E5618" i="1" a="1"/>
  <c r="J3869" i="1" a="1"/>
  <c r="J3860" i="1" a="1"/>
  <c r="J4578" i="1" a="1"/>
  <c r="P96" i="1" a="1"/>
  <c r="J4812" i="1" a="1"/>
  <c r="J4496" i="1" a="1"/>
  <c r="J5351" i="1" a="1"/>
  <c r="E5896" i="1" a="1"/>
  <c r="E4472" i="1" a="1"/>
  <c r="J4972" i="1" a="1"/>
  <c r="J4327" i="1" a="1"/>
  <c r="J5640" i="1" a="1"/>
  <c r="J4509" i="1" a="1"/>
  <c r="E5094" i="1" a="1"/>
  <c r="J5857" i="1" a="1"/>
  <c r="J4531" i="1" a="1"/>
  <c r="E4843" i="1" a="1"/>
  <c r="J5078" i="1" a="1"/>
  <c r="J4683" i="1" a="1"/>
  <c r="E5699" i="1" a="1"/>
  <c r="J5097" i="1" a="1"/>
  <c r="E4788" i="1" a="1"/>
  <c r="E5012" i="1" a="1"/>
  <c r="E5131" i="1" a="1"/>
  <c r="E4158" i="1" a="1"/>
  <c r="E4944" i="1" a="1"/>
  <c r="E5256" i="1" a="1"/>
  <c r="E4506" i="1" a="1"/>
  <c r="J3423" i="1" a="1"/>
  <c r="E5577" i="1" a="1"/>
  <c r="E4188" i="1" a="1"/>
  <c r="J5365" i="1" a="1"/>
  <c r="E5568" i="1" a="1"/>
  <c r="J4571" i="1" a="1"/>
  <c r="E4452" i="1" a="1"/>
  <c r="P350" i="1" a="1"/>
  <c r="J5607" i="1" a="1"/>
  <c r="P103" i="1" a="1"/>
  <c r="E4570" i="1" a="1"/>
  <c r="E5946" i="1" a="1"/>
  <c r="P131" i="1" a="1"/>
  <c r="P212" i="1" a="1"/>
  <c r="J4790" i="1" a="1"/>
  <c r="J4827" i="1" a="1"/>
  <c r="E4647" i="1" a="1"/>
  <c r="P313" i="1" a="1"/>
  <c r="J5415" i="1" a="1"/>
  <c r="E5074" i="1" a="1"/>
  <c r="E5566" i="1" a="1"/>
  <c r="J5478" i="1" a="1"/>
  <c r="J5234" i="1" a="1"/>
  <c r="P142" i="1" a="1"/>
  <c r="J5729" i="1" a="1"/>
  <c r="E4535" i="1" a="1"/>
  <c r="J5270" i="1" a="1"/>
  <c r="J5728" i="1" a="1"/>
  <c r="J5390" i="1" a="1"/>
  <c r="J4741" i="1" a="1"/>
  <c r="Z75" i="1" a="1"/>
  <c r="J4595" i="1" a="1"/>
  <c r="J5707" i="1" a="1"/>
  <c r="J5289" i="1" a="1"/>
  <c r="J4369" i="1" a="1"/>
  <c r="E4270" i="1" a="1"/>
  <c r="E5122" i="1" a="1"/>
  <c r="E5849" i="1" a="1"/>
  <c r="E5558" i="1" a="1"/>
  <c r="J5061" i="1" a="1"/>
  <c r="J5127" i="1" a="1"/>
  <c r="E5927" i="1" a="1"/>
  <c r="J6014" i="1" a="1"/>
  <c r="E4682" i="1" a="1"/>
  <c r="E4951" i="1" a="1"/>
  <c r="E5895" i="1" a="1"/>
  <c r="E5662" i="1" a="1"/>
  <c r="E5604" i="1" a="1"/>
  <c r="J5518" i="1" a="1"/>
  <c r="J5109" i="1" a="1"/>
  <c r="E5032" i="1" a="1"/>
  <c r="J4049" i="1" a="1"/>
  <c r="J3468" i="1" a="1"/>
  <c r="J3757" i="1" a="1"/>
  <c r="E4728" i="1" a="1"/>
  <c r="J5162" i="1" a="1"/>
  <c r="J4116" i="1" a="1"/>
  <c r="E4577" i="1" a="1"/>
  <c r="E5075" i="1" a="1"/>
  <c r="E5388" i="1" a="1"/>
  <c r="Z164" i="1" a="1"/>
  <c r="E5685" i="1" a="1"/>
  <c r="E4701" i="1" a="1"/>
  <c r="E5142" i="1" a="1"/>
  <c r="E5838" i="1" a="1"/>
  <c r="J5962" i="1" a="1"/>
  <c r="E5498" i="1" a="1"/>
  <c r="Z244" i="1" a="1"/>
  <c r="E5165" i="1" a="1"/>
  <c r="E4242" i="1" a="1"/>
  <c r="J5674" i="1" a="1"/>
  <c r="J5671" i="1" a="1"/>
  <c r="E4504" i="1" a="1"/>
  <c r="E5200" i="1" a="1"/>
  <c r="J5089" i="1" a="1"/>
  <c r="E5453" i="1" a="1"/>
  <c r="J4742" i="1" a="1"/>
  <c r="E3952" i="1" a="1"/>
  <c r="J4007" i="1" a="1"/>
  <c r="E5263" i="1" a="1"/>
  <c r="E4925" i="1" a="1"/>
  <c r="E5742" i="1" a="1"/>
  <c r="E4639" i="1" a="1"/>
  <c r="J4567" i="1" a="1"/>
  <c r="J5800" i="1" a="1"/>
  <c r="E4407" i="1" a="1"/>
  <c r="J4869" i="1" a="1"/>
  <c r="J5243" i="1" a="1"/>
  <c r="J4680" i="1" a="1"/>
  <c r="J3989" i="1" a="1"/>
  <c r="E5433" i="1" a="1"/>
  <c r="E5536" i="1" a="1"/>
  <c r="J5330" i="1" a="1"/>
  <c r="E4320" i="1" a="1"/>
  <c r="J4736" i="1" a="1"/>
  <c r="J4927" i="1" a="1"/>
  <c r="J5196" i="1" a="1"/>
  <c r="P428" i="1" a="1"/>
  <c r="J4208" i="1" a="1"/>
  <c r="E5751" i="1" a="1"/>
  <c r="J4204" i="1" a="1"/>
  <c r="J5786" i="1" a="1"/>
  <c r="J4815" i="1" a="1"/>
  <c r="E4929" i="1" a="1"/>
  <c r="J4652" i="1" a="1"/>
  <c r="E4297" i="1" a="1"/>
  <c r="J5716" i="1" a="1"/>
  <c r="E4782" i="1" a="1"/>
  <c r="Z303" i="1" a="1"/>
  <c r="P90" i="1" a="1"/>
  <c r="J5660" i="1" a="1"/>
  <c r="E5007" i="1" a="1"/>
  <c r="J6013" i="1" a="1"/>
  <c r="P52" i="1" a="1"/>
  <c r="J5492" i="1" a="1"/>
  <c r="E5650" i="1" a="1"/>
  <c r="E4648" i="1" a="1"/>
  <c r="Z46" i="1" a="1"/>
  <c r="E5316" i="1" a="1"/>
  <c r="J5643" i="1" a="1"/>
  <c r="E4827" i="1" a="1"/>
  <c r="E5374" i="1" a="1"/>
  <c r="J5774" i="1" a="1"/>
  <c r="E5641" i="1" a="1"/>
  <c r="J4785" i="1" a="1"/>
  <c r="E4422" i="1" a="1"/>
  <c r="J4513" i="1" a="1"/>
  <c r="E5789" i="1" a="1"/>
  <c r="E4386" i="1" a="1"/>
  <c r="J5222" i="1" a="1"/>
  <c r="E5845" i="1" a="1"/>
  <c r="J5187" i="1" a="1"/>
  <c r="J5621" i="1" a="1"/>
  <c r="Z402" i="1" a="1"/>
  <c r="E5423" i="1" a="1"/>
  <c r="Z23" i="1" a="1"/>
  <c r="E5434" i="1" a="1"/>
  <c r="J5357" i="1" a="1"/>
  <c r="E5880" i="1" a="1"/>
  <c r="Z440" i="1" a="1"/>
  <c r="J4853" i="1" a="1"/>
  <c r="J5450" i="1" a="1"/>
  <c r="E5851" i="1" a="1"/>
  <c r="E5045" i="1" a="1"/>
  <c r="E5037" i="1" a="1"/>
  <c r="Z61" i="1" a="1"/>
  <c r="J5167" i="1" a="1"/>
  <c r="P278" i="1" a="1"/>
  <c r="J4899" i="1" a="1"/>
  <c r="E4247" i="1" a="1"/>
  <c r="E5716" i="1" a="1"/>
  <c r="J5517" i="1" a="1"/>
  <c r="E4985" i="1" a="1"/>
  <c r="E4254" i="1" a="1"/>
  <c r="E3866" i="1" a="1"/>
  <c r="J5433" i="1" a="1"/>
  <c r="J4320" i="1" a="1"/>
  <c r="E4437" i="1" a="1"/>
  <c r="E4486" i="1" a="1"/>
  <c r="J5747" i="1" a="1"/>
  <c r="E4635" i="1" a="1"/>
  <c r="E4411" i="1" a="1"/>
  <c r="E4019" i="1" a="1"/>
  <c r="Z123" i="1" a="1"/>
  <c r="E5211" i="1" a="1"/>
  <c r="J4521" i="1" a="1"/>
  <c r="E5009" i="1" a="1"/>
  <c r="E4649" i="1" a="1"/>
  <c r="E4435" i="1" a="1"/>
  <c r="E3401" i="1" a="1"/>
  <c r="J5534" i="1" a="1"/>
  <c r="J4461" i="1" a="1"/>
  <c r="J4661" i="1" a="1"/>
  <c r="J5386" i="1" a="1"/>
  <c r="J5823" i="1" a="1"/>
  <c r="E5627" i="1" a="1"/>
  <c r="E4134" i="1" a="1"/>
  <c r="E3324" i="1" a="1"/>
  <c r="J5452" i="1" a="1"/>
  <c r="E4278" i="1" a="1"/>
  <c r="J4876" i="1" a="1"/>
  <c r="J5413" i="1" a="1"/>
  <c r="E4292" i="1" a="1"/>
  <c r="E4300" i="1" a="1"/>
  <c r="J5624" i="1" a="1"/>
  <c r="E4366" i="1" a="1"/>
  <c r="J4341" i="1" a="1"/>
  <c r="J5449" i="1" a="1"/>
  <c r="E4872" i="1" a="1"/>
  <c r="E3281" i="1" a="1"/>
  <c r="E4888" i="1" a="1"/>
  <c r="E4508" i="1" a="1"/>
  <c r="J6010" i="1" a="1"/>
  <c r="E5233" i="1" a="1"/>
  <c r="E4539" i="1" a="1"/>
  <c r="J5485" i="1" a="1"/>
  <c r="J5612" i="1" a="1"/>
  <c r="J4597" i="1" a="1"/>
  <c r="E4228" i="1" a="1"/>
  <c r="Z437" i="1" a="1"/>
  <c r="E5472" i="1" a="1"/>
  <c r="J5138" i="1" a="1"/>
  <c r="J4706" i="1" a="1"/>
  <c r="J4861" i="1" a="1"/>
  <c r="E4150" i="1" a="1"/>
  <c r="E4703" i="1" a="1"/>
  <c r="E5594" i="1" a="1"/>
  <c r="J4368" i="1" a="1"/>
  <c r="E5304" i="1" a="1"/>
  <c r="E5375" i="1" a="1"/>
  <c r="J4688" i="1" a="1"/>
  <c r="E4424" i="1" a="1"/>
  <c r="E4501" i="1" a="1"/>
  <c r="E4811" i="1" a="1"/>
  <c r="J5273" i="1" a="1"/>
  <c r="E4116" i="1" a="1"/>
  <c r="E5595" i="1" a="1"/>
  <c r="J5252" i="1" a="1"/>
  <c r="E5608" i="1" a="1"/>
  <c r="E4321" i="1" a="1"/>
  <c r="E4861" i="1" a="1"/>
  <c r="E5678" i="1" a="1"/>
  <c r="J5237" i="1" a="1"/>
  <c r="E4244" i="1" a="1"/>
  <c r="J4529" i="1" a="1"/>
  <c r="E3923" i="1" a="1"/>
  <c r="J5720" i="1" a="1"/>
  <c r="J4169" i="1" a="1"/>
  <c r="J4117" i="1" a="1"/>
  <c r="E4142" i="1" a="1"/>
  <c r="J4701" i="1" a="1"/>
  <c r="J4125" i="1" a="1"/>
  <c r="J5073" i="1" a="1"/>
  <c r="J5163" i="1" a="1"/>
  <c r="E4659" i="1" a="1"/>
  <c r="J5931" i="1" a="1"/>
  <c r="E5727" i="1" a="1"/>
  <c r="J5394" i="1" a="1"/>
  <c r="P346" i="1" a="1"/>
  <c r="J5601" i="1" a="1"/>
  <c r="E5966" i="1" a="1"/>
  <c r="P333" i="1" a="1"/>
  <c r="E5646" i="1" a="1"/>
  <c r="E5680" i="1" a="1"/>
  <c r="J5013" i="1" a="1"/>
  <c r="J4962" i="1" a="1"/>
  <c r="E5426" i="1" a="1"/>
  <c r="E4240" i="1" a="1"/>
  <c r="E4085" i="1" a="1"/>
  <c r="J5409" i="1" a="1"/>
  <c r="J5076" i="1" a="1"/>
  <c r="J4871" i="1" a="1"/>
  <c r="J5973" i="1" a="1"/>
  <c r="E4771" i="1" a="1"/>
  <c r="J5928" i="1" a="1"/>
  <c r="J5212" i="1" a="1"/>
  <c r="E4352" i="1" a="1"/>
  <c r="J4825" i="1" a="1"/>
  <c r="J4970" i="1" a="1"/>
  <c r="E5833" i="1" a="1"/>
  <c r="J4789" i="1" a="1"/>
  <c r="E4725" i="1" a="1"/>
  <c r="E5024" i="1" a="1"/>
  <c r="J5297" i="1" a="1"/>
  <c r="J5309" i="1" a="1"/>
  <c r="E4882" i="1" a="1"/>
  <c r="J5288" i="1" a="1"/>
  <c r="J4745" i="1" a="1"/>
  <c r="J4605" i="1" a="1"/>
  <c r="E4111" i="1" a="1"/>
  <c r="J5752" i="1" a="1"/>
  <c r="J5550" i="1" a="1"/>
  <c r="E5365" i="1" a="1"/>
  <c r="J4304" i="1" a="1"/>
  <c r="J5427" i="1" a="1"/>
  <c r="J6020" i="1" a="1"/>
  <c r="E4953" i="1" a="1"/>
  <c r="J5275" i="1" a="1"/>
  <c r="E4941" i="1" a="1"/>
  <c r="J3607" i="1" a="1"/>
  <c r="J4154" i="1" a="1"/>
  <c r="J5509" i="1" a="1"/>
  <c r="J5116" i="1" a="1"/>
  <c r="J3779" i="1" a="1"/>
  <c r="E5264" i="1" a="1"/>
  <c r="E5161" i="1" a="1"/>
  <c r="J4526" i="1" a="1"/>
  <c r="J5547" i="1" a="1"/>
  <c r="J4603" i="1" a="1"/>
  <c r="J4771" i="1" a="1"/>
  <c r="J5172" i="1" a="1"/>
  <c r="E4875" i="1" a="1"/>
  <c r="E4007" i="1" a="1"/>
  <c r="E4581" i="1" a="1"/>
  <c r="E4642" i="1" a="1"/>
  <c r="J4172" i="1" a="1"/>
  <c r="J3693" i="1" a="1"/>
  <c r="E5960" i="1" a="1"/>
  <c r="J4817" i="1" a="1"/>
  <c r="J5431" i="1" a="1"/>
  <c r="E5529" i="1" a="1"/>
  <c r="E4704" i="1" a="1"/>
  <c r="J5765" i="1" a="1"/>
  <c r="E3981" i="1" a="1"/>
  <c r="E6005" i="1" a="1"/>
  <c r="E4831" i="1" a="1"/>
  <c r="E4896" i="1" a="1"/>
  <c r="E5552" i="1" a="1"/>
  <c r="E3774" i="1" a="1"/>
  <c r="J5810" i="1" a="1"/>
  <c r="J3809" i="1" a="1"/>
  <c r="J4582" i="1" a="1"/>
  <c r="E4235" i="1" a="1"/>
  <c r="J4121" i="1" a="1"/>
  <c r="E4767" i="1" a="1"/>
  <c r="J3971" i="1" a="1"/>
  <c r="E4181" i="1" a="1"/>
  <c r="P294" i="1" a="1"/>
  <c r="J5855" i="1" a="1"/>
  <c r="E4883" i="1" a="1"/>
  <c r="J4319" i="1" a="1"/>
  <c r="J5780" i="1" a="1"/>
  <c r="E3995" i="1" a="1"/>
  <c r="E5181" i="1" a="1"/>
  <c r="J4620" i="1" a="1"/>
  <c r="E4674" i="1" a="1"/>
  <c r="E5201" i="1" a="1"/>
  <c r="E4027" i="1" a="1"/>
  <c r="E4705" i="1" a="1"/>
  <c r="J4738" i="1" a="1"/>
  <c r="E4745" i="1" a="1"/>
  <c r="E4798" i="1" a="1"/>
  <c r="J4717" i="1" a="1"/>
  <c r="Z249" i="1" a="1"/>
  <c r="J4983" i="1" a="1"/>
  <c r="J5010" i="1" a="1"/>
  <c r="J5034" i="1" a="1"/>
  <c r="E4962" i="1" a="1"/>
  <c r="J4782" i="1" a="1"/>
  <c r="J4563" i="1" a="1"/>
  <c r="J4385" i="1" a="1"/>
  <c r="J4332" i="1" a="1"/>
  <c r="J4064" i="1" a="1"/>
  <c r="J4519" i="1" a="1"/>
  <c r="E5408" i="1" a="1"/>
  <c r="E4361" i="1" a="1"/>
  <c r="E5276" i="1" a="1"/>
  <c r="E4897" i="1" a="1"/>
  <c r="E5886" i="1" a="1"/>
  <c r="J5008" i="1" a="1"/>
  <c r="E4335" i="1" a="1"/>
  <c r="J5751" i="1" a="1"/>
  <c r="J4330" i="1" a="1"/>
  <c r="J3887" i="1" a="1"/>
  <c r="J4124" i="1" a="1"/>
  <c r="J4486" i="1" a="1"/>
  <c r="E4194" i="1" a="1"/>
  <c r="J3991" i="1" a="1"/>
  <c r="E4087" i="1" a="1"/>
  <c r="E4317" i="1" a="1"/>
  <c r="Z34" i="1" a="1"/>
  <c r="Z66" i="1" a="1"/>
  <c r="Z438" i="1" a="1"/>
  <c r="J5096" i="1" a="1"/>
  <c r="Z412" i="1" a="1"/>
  <c r="J5797" i="1" a="1"/>
  <c r="J5592" i="1" a="1"/>
  <c r="E5422" i="1" a="1"/>
  <c r="J5652" i="1" a="1"/>
  <c r="E4538" i="1" a="1"/>
  <c r="E4963" i="1" a="1"/>
  <c r="E4914" i="1" a="1"/>
  <c r="P122" i="1" a="1"/>
  <c r="P373" i="1" a="1"/>
  <c r="J4840" i="1" a="1"/>
  <c r="E5004" i="1" a="1"/>
  <c r="J5361" i="1" a="1"/>
  <c r="J5428" i="1" a="1"/>
  <c r="Z203" i="1" a="1"/>
  <c r="E5633" i="1" a="1"/>
  <c r="J4504" i="1" a="1"/>
  <c r="E5346" i="1" a="1"/>
  <c r="E5427" i="1" a="1"/>
  <c r="J4503" i="1" a="1"/>
  <c r="J5150" i="1" a="1"/>
  <c r="Z186" i="1" a="1"/>
  <c r="J5119" i="1" a="1"/>
  <c r="J4344" i="1" a="1"/>
  <c r="J5284" i="1" a="1"/>
  <c r="E4604" i="1" a="1"/>
  <c r="J5382" i="1" a="1"/>
  <c r="J5018" i="1" a="1"/>
  <c r="E5095" i="1" a="1"/>
  <c r="Z354" i="1" a="1"/>
  <c r="J5990" i="1" a="1"/>
  <c r="J5802" i="1" a="1"/>
  <c r="P357" i="1" a="1"/>
  <c r="J4911" i="1" a="1"/>
  <c r="J4351" i="1" a="1"/>
  <c r="J4392" i="1" a="1"/>
  <c r="J5171" i="1" a="1"/>
  <c r="E5295" i="1" a="1"/>
  <c r="E4880" i="1" a="1"/>
  <c r="J4574" i="1" a="1"/>
  <c r="J4514" i="1" a="1"/>
  <c r="J4518" i="1" a="1"/>
  <c r="J5333" i="1" a="1"/>
  <c r="E4562" i="1" a="1"/>
  <c r="P5" i="1" a="1"/>
  <c r="J5262" i="1" a="1"/>
  <c r="J4920" i="1" a="1"/>
  <c r="J5189" i="1" a="1"/>
  <c r="E4829" i="1" a="1"/>
  <c r="J4896" i="1" a="1"/>
  <c r="E4444" i="1" a="1"/>
  <c r="E5362" i="1" a="1"/>
  <c r="J5842" i="1" a="1"/>
  <c r="E4778" i="1" a="1"/>
  <c r="Z427" i="1" a="1"/>
  <c r="J5139" i="1" a="1"/>
  <c r="E4360" i="1" a="1"/>
  <c r="E5492" i="1" a="1"/>
  <c r="J3352" i="1" a="1"/>
  <c r="E5958" i="1" a="1"/>
  <c r="E4930" i="1" a="1"/>
  <c r="E3891" i="1" a="1"/>
  <c r="E5191" i="1" a="1"/>
  <c r="E4543" i="1" a="1"/>
  <c r="J4655" i="1" a="1"/>
  <c r="E3440" i="1" a="1"/>
  <c r="E5396" i="1" a="1"/>
  <c r="J5745" i="1" a="1"/>
  <c r="E5140" i="1" a="1"/>
  <c r="E5002" i="1" a="1"/>
  <c r="E5653" i="1" a="1"/>
  <c r="E4670" i="1" a="1"/>
  <c r="E5921" i="1" a="1"/>
  <c r="E4608" i="1" a="1"/>
  <c r="J3603" i="1" a="1"/>
  <c r="E5008" i="1" a="1"/>
  <c r="J3933" i="1" a="1"/>
  <c r="E4236" i="1" a="1"/>
  <c r="E3648" i="1" a="1"/>
  <c r="E5621" i="1" a="1"/>
  <c r="P420" i="1" a="1"/>
  <c r="E5715" i="1" a="1"/>
  <c r="J4807" i="1" a="1"/>
  <c r="E5205" i="1" a="1"/>
  <c r="E4343" i="1" a="1"/>
  <c r="E4011" i="1" a="1"/>
  <c r="E5544" i="1" a="1"/>
  <c r="E5185" i="1" a="1"/>
  <c r="J5335" i="1" a="1"/>
  <c r="J4855" i="1" a="1"/>
  <c r="E5125" i="1" a="1"/>
  <c r="J5500" i="1" a="1"/>
  <c r="J4281" i="1" a="1"/>
  <c r="J3972" i="1" a="1"/>
  <c r="E5411" i="1" a="1"/>
  <c r="J5081" i="1" a="1"/>
  <c r="E4839" i="1" a="1"/>
  <c r="E5431" i="1" a="1"/>
  <c r="E4395" i="1" a="1"/>
  <c r="J4677" i="1" a="1"/>
  <c r="E5206" i="1" a="1"/>
  <c r="E3832" i="1" a="1"/>
  <c r="E5860" i="1" a="1"/>
  <c r="J4230" i="1" a="1"/>
  <c r="J4984" i="1" a="1"/>
  <c r="E5089" i="1" a="1"/>
  <c r="J5261" i="1" a="1"/>
  <c r="E5154" i="1" a="1"/>
  <c r="Z339" i="1" a="1"/>
  <c r="J4263" i="1" a="1"/>
  <c r="E5363" i="1" a="1"/>
  <c r="E4103" i="1" a="1"/>
  <c r="J4275" i="1" a="1"/>
  <c r="J5589" i="1" a="1"/>
  <c r="E4249" i="1" a="1"/>
  <c r="J5124" i="1" a="1"/>
  <c r="E4327" i="1" a="1"/>
  <c r="E5522" i="1" a="1"/>
  <c r="J3588" i="1" a="1"/>
  <c r="E3277" i="1" a="1"/>
  <c r="P133" i="1" a="1"/>
  <c r="E4590" i="1" a="1"/>
  <c r="J4483" i="1" a="1"/>
  <c r="E5778" i="1" a="1"/>
  <c r="Z54" i="1" a="1"/>
  <c r="E5616" i="1" a="1"/>
  <c r="E5940" i="1" a="1"/>
  <c r="P414" i="1" a="1"/>
  <c r="P162" i="1" a="1"/>
  <c r="E5429" i="1" a="1"/>
  <c r="J5536" i="1" a="1"/>
  <c r="E5586" i="1" a="1"/>
  <c r="E4606" i="1" a="1"/>
  <c r="J5053" i="1" a="1"/>
  <c r="J3686" i="1" a="1"/>
  <c r="J4988" i="1" a="1"/>
  <c r="P343" i="1" a="1"/>
  <c r="J5144" i="1" a="1"/>
  <c r="E5556" i="1" a="1"/>
  <c r="E5496" i="1" a="1"/>
  <c r="E5254" i="1" a="1"/>
  <c r="E5225" i="1" a="1"/>
  <c r="E4781" i="1" a="1"/>
  <c r="J5853" i="1" a="1"/>
  <c r="J4314" i="1" a="1"/>
  <c r="P233" i="1" a="1"/>
  <c r="J5364" i="1" a="1"/>
  <c r="P342" i="1" a="1"/>
  <c r="Z275" i="1" a="1"/>
  <c r="J5832" i="1" a="1"/>
  <c r="E4417" i="1" a="1"/>
  <c r="Z309" i="1" a="1"/>
  <c r="E4529" i="1" a="1"/>
  <c r="E5630" i="1" a="1"/>
  <c r="J5239" i="1" a="1"/>
  <c r="E4748" i="1" a="1"/>
  <c r="E5760" i="1" a="1"/>
  <c r="J5263" i="1" a="1"/>
  <c r="J5848" i="1" a="1"/>
  <c r="E5962" i="1" a="1"/>
  <c r="J5050" i="1" a="1"/>
  <c r="J5764" i="1" a="1"/>
  <c r="E4530" i="1" a="1"/>
  <c r="P155" i="1" a="1"/>
  <c r="J3964" i="1" a="1"/>
  <c r="E5017" i="1" a="1"/>
  <c r="E4423" i="1" a="1"/>
  <c r="E3949" i="1" a="1"/>
  <c r="J4895" i="1" a="1"/>
  <c r="E5306" i="1" a="1"/>
  <c r="J5599" i="1" a="1"/>
  <c r="E5157" i="1" a="1"/>
  <c r="E5318" i="1" a="1"/>
  <c r="J4960" i="1" a="1"/>
  <c r="J5374" i="1" a="1"/>
  <c r="J5254" i="1" a="1"/>
  <c r="E4938" i="1" a="1"/>
  <c r="J3594" i="1" a="1"/>
  <c r="P148" i="1" a="1"/>
  <c r="J4352" i="1" a="1"/>
  <c r="J4011" i="1" a="1"/>
  <c r="E4921" i="1" a="1"/>
  <c r="J4883" i="1" a="1"/>
  <c r="Z221" i="1" a="1"/>
  <c r="E4358" i="1" a="1"/>
  <c r="J3410" i="1" a="1"/>
  <c r="E4799" i="1" a="1"/>
  <c r="E4860" i="1" a="1"/>
  <c r="Z282" i="1" a="1"/>
  <c r="E5356" i="1" a="1"/>
  <c r="J4555" i="1" a="1"/>
  <c r="E4218" i="1" a="1"/>
  <c r="E5101" i="1" a="1"/>
  <c r="J4552" i="1" a="1"/>
  <c r="J5236" i="1" a="1"/>
  <c r="J5442" i="1" a="1"/>
  <c r="E5555" i="1" a="1"/>
  <c r="J4910" i="1" a="1"/>
  <c r="E4580" i="1" a="1"/>
  <c r="E5572" i="1" a="1"/>
  <c r="J5603" i="1" a="1"/>
  <c r="E4427" i="1" a="1"/>
  <c r="E4836" i="1" a="1"/>
  <c r="J4097" i="1" a="1"/>
  <c r="J4714" i="1" a="1"/>
  <c r="E4710" i="1" a="1"/>
  <c r="J5274" i="1" a="1"/>
  <c r="E5226" i="1" a="1"/>
  <c r="E5031" i="1" a="1"/>
  <c r="E4544" i="1" a="1"/>
  <c r="E4373" i="1" a="1"/>
  <c r="E4519" i="1" a="1"/>
  <c r="P55" i="1" a="1"/>
  <c r="E5402" i="1" a="1"/>
  <c r="E4069" i="1" a="1"/>
  <c r="J5714" i="1" a="1"/>
  <c r="E4561" i="1" a="1"/>
  <c r="E5664" i="1" a="1"/>
  <c r="E5736" i="1" a="1"/>
  <c r="J4366" i="1" a="1"/>
  <c r="J3457" i="1" a="1"/>
  <c r="E5108" i="1" a="1"/>
  <c r="J5426" i="1" a="1"/>
  <c r="E4607" i="1" a="1"/>
  <c r="J4945" i="1" a="1"/>
  <c r="Z112" i="1" a="1"/>
  <c r="J4749" i="1" a="1"/>
  <c r="E4022" i="1" a="1"/>
  <c r="E5828" i="1" a="1"/>
  <c r="E5070" i="1" a="1"/>
  <c r="J5159" i="1" a="1"/>
  <c r="J4598" i="1" a="1"/>
  <c r="J5220" i="1" a="1"/>
  <c r="J4042" i="1" a="1"/>
  <c r="J4689" i="1" a="1"/>
  <c r="J4419" i="1" a="1"/>
  <c r="E3990" i="1" a="1"/>
  <c r="J4393" i="1" a="1"/>
  <c r="J5762" i="1" a="1"/>
  <c r="J4866" i="1" a="1"/>
  <c r="J4966" i="1" a="1"/>
  <c r="J4968" i="1" a="1"/>
  <c r="E4754" i="1" a="1"/>
  <c r="J3788" i="1" a="1"/>
  <c r="J4012" i="1" a="1"/>
  <c r="E3494" i="1" a="1"/>
  <c r="E3199" i="1" a="1"/>
  <c r="J5950" i="1" a="1"/>
  <c r="E4057" i="1" a="1"/>
  <c r="E4612" i="1" a="1"/>
  <c r="J5170" i="1" a="1"/>
  <c r="J4938" i="1" a="1"/>
  <c r="J5499" i="1" a="1"/>
  <c r="J5644" i="1" a="1"/>
  <c r="P98" i="1" a="1"/>
  <c r="E5686" i="1" a="1"/>
  <c r="E5603" i="1" a="1"/>
  <c r="E6001" i="1" a="1"/>
  <c r="J5099" i="1" a="1"/>
  <c r="J5634" i="1" a="1"/>
  <c r="J5313" i="1" a="1"/>
  <c r="E4101" i="1" a="1"/>
  <c r="J4990" i="1" a="1"/>
  <c r="E5177" i="1" a="1"/>
  <c r="Z62" i="1" a="1"/>
  <c r="P109" i="1" a="1"/>
  <c r="J5155" i="1" a="1"/>
  <c r="J5197" i="1" a="1"/>
  <c r="J5620" i="1" a="1"/>
  <c r="E5897" i="1" a="1"/>
  <c r="J4803" i="1" a="1"/>
  <c r="J5147" i="1" a="1"/>
  <c r="J5056" i="1" a="1"/>
  <c r="J5348" i="1" a="1"/>
  <c r="J4668" i="1" a="1"/>
  <c r="J5565" i="1" a="1"/>
  <c r="E5184" i="1" a="1"/>
  <c r="E5898" i="1" a="1"/>
  <c r="E5340" i="1" a="1"/>
  <c r="Z358" i="1" a="1"/>
  <c r="P114" i="1" a="1"/>
  <c r="E5133" i="1" a="1"/>
  <c r="E4392" i="1" a="1"/>
  <c r="E4355" i="1" a="1"/>
  <c r="J4897" i="1" a="1"/>
  <c r="J5867" i="1" a="1"/>
  <c r="J5355" i="1" a="1"/>
  <c r="J5984" i="1" a="1"/>
  <c r="Z199" i="1" a="1"/>
  <c r="J5661" i="1" a="1"/>
  <c r="J5519" i="1" a="1"/>
  <c r="E5831" i="1" a="1"/>
  <c r="J4470" i="1" a="1"/>
  <c r="J4562" i="1" a="1"/>
  <c r="E3586" i="1" a="1"/>
  <c r="J4524" i="1" a="1"/>
  <c r="E5862" i="1" a="1"/>
  <c r="J4697" i="1" a="1"/>
  <c r="J4893" i="1" a="1"/>
  <c r="J4758" i="1" a="1"/>
  <c r="J4135" i="1" a="1"/>
  <c r="J4979" i="1" a="1"/>
  <c r="E5611" i="1" a="1"/>
  <c r="E4556" i="1" a="1"/>
  <c r="E3250" i="1" a="1"/>
  <c r="J5555" i="1" a="1"/>
  <c r="J5068" i="1" a="1"/>
  <c r="E4042" i="1" a="1"/>
  <c r="J4131" i="1" a="1"/>
  <c r="J4391" i="1" a="1"/>
  <c r="E5320" i="1" a="1"/>
  <c r="E4398" i="1" a="1"/>
  <c r="J4276" i="1" a="1"/>
  <c r="E4697" i="1" a="1"/>
  <c r="J4066" i="1" a="1"/>
  <c r="E4797" i="1" a="1"/>
  <c r="J5615" i="1" a="1"/>
  <c r="P138" i="1" a="1"/>
  <c r="E4873" i="1" a="1"/>
  <c r="E4692" i="1" a="1"/>
  <c r="J4732" i="1" a="1"/>
  <c r="E5294" i="1" a="1"/>
  <c r="J4551" i="1" a="1"/>
  <c r="J5176" i="1" a="1"/>
  <c r="E4510" i="1" a="1"/>
  <c r="E4262" i="1" a="1"/>
  <c r="E4770" i="1" a="1"/>
  <c r="E5494" i="1" a="1"/>
  <c r="J4818" i="1" a="1"/>
  <c r="J4462" i="1" a="1"/>
  <c r="J4631" i="1" a="1"/>
  <c r="E5668" i="1" a="1"/>
  <c r="E4243" i="1" a="1"/>
  <c r="E5865" i="1" a="1"/>
  <c r="J4679" i="1" a="1"/>
  <c r="J4870" i="1" a="1"/>
  <c r="Z198" i="1" a="1"/>
  <c r="J4217" i="1" a="1"/>
  <c r="J4002" i="1" a="1"/>
  <c r="J5804" i="1" a="1"/>
  <c r="J4540" i="1" a="1"/>
  <c r="E3215" i="1" a="1"/>
  <c r="J4950" i="1" a="1"/>
  <c r="J6006" i="1" a="1"/>
  <c r="E4146" i="1" a="1"/>
  <c r="J4784" i="1" a="1"/>
  <c r="J5808" i="1" a="1"/>
  <c r="J4136" i="1" a="1"/>
  <c r="E4871" i="1" a="1"/>
  <c r="J4615" i="1" a="1"/>
  <c r="E4711" i="1" a="1"/>
  <c r="E4403" i="1" a="1"/>
  <c r="J4969" i="1" a="1"/>
  <c r="E4899" i="1" a="1"/>
  <c r="J5868" i="1" a="1"/>
  <c r="J5654" i="1" a="1"/>
  <c r="P194" i="1" a="1"/>
  <c r="J4919" i="1" a="1"/>
  <c r="E5061" i="1" a="1"/>
  <c r="Z266" i="1" a="1"/>
  <c r="J4192" i="1" a="1"/>
  <c r="E4755" i="1" a="1"/>
  <c r="J5806" i="1" a="1"/>
  <c r="E5905" i="1" a="1"/>
  <c r="P105" i="1" a="1"/>
  <c r="E5819" i="1" a="1"/>
  <c r="E5837" i="1" a="1"/>
  <c r="Z149" i="1" a="1"/>
  <c r="J5148" i="1" a="1"/>
  <c r="E4295" i="1" a="1"/>
  <c r="J5869" i="1" a="1"/>
  <c r="E5466" i="1" a="1"/>
  <c r="E4285" i="1" a="1"/>
  <c r="J5090" i="1" a="1"/>
  <c r="J5046" i="1" a="1"/>
  <c r="J5232" i="1" a="1"/>
  <c r="P163" i="1" a="1"/>
  <c r="E4837" i="1" a="1"/>
  <c r="E4775" i="1" a="1"/>
  <c r="E5853" i="1" a="1"/>
  <c r="E5278" i="1" a="1"/>
  <c r="E5116" i="1" a="1"/>
  <c r="E4436" i="1" a="1"/>
  <c r="J4898" i="1" a="1"/>
  <c r="Z406" i="1" a="1"/>
  <c r="P124" i="1" a="1"/>
  <c r="J4715" i="1" a="1"/>
  <c r="E5543" i="1" a="1"/>
  <c r="J4301" i="1" a="1"/>
  <c r="J5272" i="1" a="1"/>
  <c r="J5285" i="1" a="1"/>
  <c r="J4633" i="1" a="1"/>
  <c r="E4052" i="1" a="1"/>
  <c r="J4057" i="1" a="1"/>
  <c r="J4939" i="1" a="1"/>
  <c r="J4731" i="1" a="1"/>
  <c r="J5502" i="1" a="1"/>
  <c r="E5992" i="1" a="1"/>
  <c r="J5005" i="1" a="1"/>
  <c r="J4347" i="1" a="1"/>
  <c r="E5850" i="1" a="1"/>
  <c r="J5352" i="1" a="1"/>
  <c r="E4611" i="1" a="1"/>
  <c r="J4947" i="1" a="1"/>
  <c r="E5857" i="1" a="1"/>
  <c r="E4459" i="1" a="1"/>
  <c r="J5544" i="1" a="1"/>
  <c r="E4533" i="1" a="1"/>
  <c r="J5562" i="1" a="1"/>
  <c r="E4497" i="1" a="1"/>
  <c r="Z98" i="1" a="1"/>
  <c r="J5317" i="1" a="1"/>
  <c r="J5606" i="1" a="1"/>
  <c r="J4289" i="1" a="1"/>
  <c r="J5354" i="1" a="1"/>
  <c r="J4777" i="1" a="1"/>
  <c r="J4729" i="1" a="1"/>
  <c r="E4594" i="1" a="1"/>
  <c r="Z151" i="1" a="1"/>
  <c r="J4669" i="1" a="1"/>
  <c r="J4941" i="1" a="1"/>
  <c r="E4176" i="1" a="1"/>
  <c r="J5535" i="1" a="1"/>
  <c r="E5322" i="1" a="1"/>
  <c r="E3822" i="1" a="1"/>
  <c r="E4316" i="1" a="1"/>
  <c r="E2687" i="1" a="1"/>
  <c r="J4774" i="1" a="1"/>
  <c r="E4040" i="1" a="1"/>
  <c r="J3897" i="1" a="1"/>
  <c r="J4334" i="1" a="1"/>
  <c r="J3821" i="1" a="1"/>
  <c r="J3618" i="1" a="1"/>
  <c r="E3566" i="1" a="1"/>
  <c r="J3289" i="1" a="1"/>
  <c r="J4266" i="1" a="1"/>
  <c r="E3208" i="1" a="1"/>
  <c r="J3516" i="1" a="1"/>
  <c r="E4911" i="1" a="1"/>
  <c r="J3591" i="1" a="1"/>
  <c r="J5183" i="1" a="1"/>
  <c r="J4235" i="1" a="1"/>
  <c r="J3571" i="1" a="1"/>
  <c r="E4077" i="1" a="1"/>
  <c r="J2814" i="1" a="1"/>
  <c r="E4401" i="1" a="1"/>
  <c r="E4919" i="1" a="1"/>
  <c r="J3288" i="1" a="1"/>
  <c r="J4709" i="1" a="1"/>
  <c r="E5797" i="1" a="1"/>
  <c r="E4866" i="1" a="1"/>
  <c r="J3568" i="1" a="1"/>
  <c r="J2851" i="1" a="1"/>
  <c r="Z99" i="1" a="1"/>
  <c r="E4144" i="1" a="1"/>
  <c r="E4714" i="1" a="1"/>
  <c r="J4119" i="1" a="1"/>
  <c r="E5984" i="1" a="1"/>
  <c r="E3989" i="1" a="1"/>
  <c r="J3925" i="1" a="1"/>
  <c r="J4874" i="1" a="1"/>
  <c r="J4438" i="1" a="1"/>
  <c r="J5767" i="1" a="1"/>
  <c r="E5579" i="1" a="1"/>
  <c r="E4110" i="1" a="1"/>
  <c r="J4142" i="1" a="1"/>
  <c r="E4028" i="1" a="1"/>
  <c r="E4618" i="1" a="1"/>
  <c r="J4527" i="1" a="1"/>
  <c r="J4890" i="1" a="1"/>
  <c r="E5244" i="1" a="1"/>
  <c r="E3427" i="1" a="1"/>
  <c r="J4167" i="1" a="1"/>
  <c r="J4265" i="1" a="1"/>
  <c r="E3725" i="1" a="1"/>
  <c r="J4099" i="1" a="1"/>
  <c r="E4053" i="1" a="1"/>
  <c r="J4214" i="1" a="1"/>
  <c r="J2830" i="1" a="1"/>
  <c r="E3873" i="1" a="1"/>
  <c r="E4924" i="1" a="1"/>
  <c r="E3705" i="1" a="1"/>
  <c r="J3507" i="1" a="1"/>
  <c r="E4025" i="1" a="1"/>
  <c r="E5057" i="1" a="1"/>
  <c r="J5556" i="1" a="1"/>
  <c r="J4152" i="1" a="1"/>
  <c r="J4808" i="1" a="1"/>
  <c r="J3968" i="1" a="1"/>
  <c r="E3897" i="1" a="1"/>
  <c r="J3252" i="1" a="1"/>
  <c r="E4664" i="1" a="1"/>
  <c r="J5184" i="1" a="1"/>
  <c r="E4334" i="1" a="1"/>
  <c r="J3240" i="1" a="1"/>
  <c r="E3438" i="1" a="1"/>
  <c r="J3778" i="1" a="1"/>
  <c r="P378" i="1" a="1"/>
  <c r="E5193" i="1" a="1"/>
  <c r="E4726" i="1" a="1"/>
  <c r="J3769" i="1" a="1"/>
  <c r="E4421" i="1" a="1"/>
  <c r="E2998" i="1" a="1"/>
  <c r="J4414" i="1" a="1"/>
  <c r="J3143" i="1" a="1"/>
  <c r="J4171" i="1" a="1"/>
  <c r="J4569" i="1" a="1"/>
  <c r="J3919" i="1" a="1"/>
  <c r="E3457" i="1" a="1"/>
  <c r="E3951" i="1" a="1"/>
  <c r="J5009" i="1" a="1"/>
  <c r="J4654" i="1" a="1"/>
  <c r="E5807" i="1" a="1"/>
  <c r="E5332" i="1" a="1"/>
  <c r="J4995" i="1" a="1"/>
  <c r="E4776" i="1" a="1"/>
  <c r="Z310" i="1" a="1"/>
  <c r="J4934" i="1" a="1"/>
  <c r="J5375" i="1" a="1"/>
  <c r="J5143" i="1" a="1"/>
  <c r="E5100" i="1" a="1"/>
  <c r="E3575" i="1" a="1"/>
  <c r="E5728" i="1" a="1"/>
  <c r="P332" i="1" a="1"/>
  <c r="J4044" i="1" a="1"/>
  <c r="E4785" i="1" a="1"/>
  <c r="J3956" i="1" a="1"/>
  <c r="E3572" i="1" a="1"/>
  <c r="E5878" i="1" a="1"/>
  <c r="E5085" i="1" a="1"/>
  <c r="E5487" i="1" a="1"/>
  <c r="J5245" i="1" a="1"/>
  <c r="E4908" i="1" a="1"/>
  <c r="J4646" i="1" a="1"/>
  <c r="E4766" i="1" a="1"/>
  <c r="E5882" i="1" a="1"/>
  <c r="E4269" i="1" a="1"/>
  <c r="J4823" i="1" a="1"/>
  <c r="J5339" i="1" a="1"/>
  <c r="J4148" i="1" a="1"/>
  <c r="E5342" i="1" a="1"/>
  <c r="J5954" i="1" a="1"/>
  <c r="J4651" i="1" a="1"/>
  <c r="E5152" i="1" a="1"/>
  <c r="J4650" i="1" a="1"/>
  <c r="E4507" i="1" a="1"/>
  <c r="E5690" i="1" a="1"/>
  <c r="J4820" i="1" a="1"/>
  <c r="J5052" i="1" a="1"/>
  <c r="J5763" i="1" a="1"/>
  <c r="J5146" i="1" a="1"/>
  <c r="E3964" i="1" a="1"/>
  <c r="J3958" i="1" a="1"/>
  <c r="J3526" i="1" a="1"/>
  <c r="E3294" i="1" a="1"/>
  <c r="J5344" i="1" a="1"/>
  <c r="E4464" i="1" a="1"/>
  <c r="J5201" i="1" a="1"/>
  <c r="J4260" i="1" a="1"/>
  <c r="J3855" i="1" a="1"/>
  <c r="J3225" i="1" a="1"/>
  <c r="E3252" i="1" a="1"/>
  <c r="J2687" i="1" a="1"/>
  <c r="J5169" i="1" a="1"/>
  <c r="E3312" i="1" a="1"/>
  <c r="E3737" i="1" a="1"/>
  <c r="E3644" i="1" a="1"/>
  <c r="E3877" i="1" a="1"/>
  <c r="E4852" i="1" a="1"/>
  <c r="E5006" i="1" a="1"/>
  <c r="E5113" i="1" a="1"/>
  <c r="E3273" i="1" a="1"/>
  <c r="J5836" i="1" a="1"/>
  <c r="E5417" i="1" a="1"/>
  <c r="E4274" i="1" a="1"/>
  <c r="J5890" i="1" a="1"/>
  <c r="J3811" i="1" a="1"/>
  <c r="J3639" i="1" a="1"/>
  <c r="J4358" i="1" a="1"/>
  <c r="E3123" i="1" a="1"/>
  <c r="E4601" i="1" a="1"/>
  <c r="J4299" i="1" a="1"/>
  <c r="J4545" i="1" a="1"/>
  <c r="E4980" i="1" a="1"/>
  <c r="J4630" i="1" a="1"/>
  <c r="J4427" i="1" a="1"/>
  <c r="J3319" i="1" a="1"/>
  <c r="J4479" i="1" a="1"/>
  <c r="E3416" i="1" a="1"/>
  <c r="J3451" i="1" a="1"/>
  <c r="J3742" i="1" a="1"/>
  <c r="E4382" i="1" a="1"/>
  <c r="E3719" i="1" a="1"/>
  <c r="E4740" i="1" a="1"/>
  <c r="E4369" i="1" a="1"/>
  <c r="J5113" i="1" a="1"/>
  <c r="J3023" i="1" a="1"/>
  <c r="J4794" i="1" a="1"/>
  <c r="J3150" i="1" a="1"/>
  <c r="J3557" i="1" a="1"/>
  <c r="J3634" i="1" a="1"/>
  <c r="J3827" i="1" a="1"/>
  <c r="J5738" i="1" a="1"/>
  <c r="E3943" i="1" a="1"/>
  <c r="J4964" i="1" a="1"/>
  <c r="J4559" i="1" a="1"/>
  <c r="J3746" i="1" a="1"/>
  <c r="E3772" i="1" a="1"/>
  <c r="E3357" i="1" a="1"/>
  <c r="J4404" i="1" a="1"/>
  <c r="E3135" i="1" a="1"/>
  <c r="J4274" i="1" a="1"/>
  <c r="J5792" i="1" a="1"/>
  <c r="J4629" i="1" a="1"/>
  <c r="J3982" i="1" a="1"/>
  <c r="E3676" i="1" a="1"/>
  <c r="E3843" i="1" a="1"/>
  <c r="J4133" i="1" a="1"/>
  <c r="J3455" i="1" a="1"/>
  <c r="J3658" i="1" a="1"/>
  <c r="J4029" i="1" a="1"/>
  <c r="J5071" i="1" a="1"/>
  <c r="J3868" i="1" a="1"/>
  <c r="E4271" i="1" a="1"/>
  <c r="J4534" i="1" a="1"/>
  <c r="E6018" i="1" a="1"/>
  <c r="E3984" i="1" a="1"/>
  <c r="E4185" i="1" a="1"/>
  <c r="E4127" i="1" a="1"/>
  <c r="J5685" i="1" a="1"/>
  <c r="E2560" i="1" a="1"/>
  <c r="J3700" i="1" a="1"/>
  <c r="J4162" i="1" a="1"/>
  <c r="J5590" i="1" a="1"/>
  <c r="E5692" i="1" a="1"/>
  <c r="E5260" i="1" a="1"/>
  <c r="E4068" i="1" a="1"/>
  <c r="J3270" i="1" a="1"/>
  <c r="E4753" i="1" a="1"/>
  <c r="Z213" i="1" a="1"/>
  <c r="E4481" i="1" a="1"/>
  <c r="P221" i="1" a="1"/>
  <c r="J4918" i="1" a="1"/>
  <c r="E4787" i="1" a="1"/>
  <c r="E5357" i="1" a="1"/>
  <c r="P433" i="1" a="1"/>
  <c r="J5958" i="1" a="1"/>
  <c r="E5067" i="1" a="1"/>
  <c r="J3832" i="1" a="1"/>
  <c r="E5049" i="1" a="1"/>
  <c r="E5861" i="1" a="1"/>
  <c r="J4737" i="1" a="1"/>
  <c r="E4113" i="1" a="1"/>
  <c r="J4705" i="1" a="1"/>
  <c r="E3875" i="1" a="1"/>
  <c r="J5610" i="1" a="1"/>
  <c r="J4565" i="1" a="1"/>
  <c r="J4416" i="1" a="1"/>
  <c r="E4064" i="1" a="1"/>
  <c r="J4639" i="1" a="1"/>
  <c r="J5880" i="1" a="1"/>
  <c r="J3825" i="1" a="1"/>
  <c r="E5160" i="1" a="1"/>
  <c r="J4023" i="1" a="1"/>
  <c r="E4402" i="1" a="1"/>
  <c r="E4636" i="1" a="1"/>
  <c r="J3234" i="1" a="1"/>
  <c r="J5787" i="1" a="1"/>
  <c r="J5098" i="1" a="1"/>
  <c r="J5002" i="1" a="1"/>
  <c r="E4410" i="1" a="1"/>
  <c r="E3787" i="1" a="1"/>
  <c r="J4800" i="1" a="1"/>
  <c r="E5103" i="1" a="1"/>
  <c r="J5511" i="1" a="1"/>
  <c r="E5800" i="1" a="1"/>
  <c r="E4549" i="1" a="1"/>
  <c r="J5773" i="1" a="1"/>
  <c r="J4441" i="1" a="1"/>
  <c r="J4468" i="1" a="1"/>
  <c r="J4360" i="1" a="1"/>
  <c r="E4096" i="1" a="1"/>
  <c r="E4988" i="1" a="1"/>
  <c r="J4459" i="1" a="1"/>
  <c r="E5983" i="1" a="1"/>
  <c r="E4449" i="1" a="1"/>
  <c r="E3629" i="1" a="1"/>
  <c r="J3850" i="1" a="1"/>
  <c r="E3662" i="1" a="1"/>
  <c r="E4780" i="1" a="1"/>
  <c r="E4707" i="1" a="1"/>
  <c r="J3228" i="1" a="1"/>
  <c r="J3434" i="1" a="1"/>
  <c r="E5990" i="1" a="1"/>
  <c r="J3895" i="1" a="1"/>
  <c r="E4552" i="1" a="1"/>
  <c r="E4095" i="1" a="1"/>
  <c r="E2729" i="1" a="1"/>
  <c r="E3366" i="1" a="1"/>
  <c r="E3538" i="1" a="1"/>
  <c r="J4914" i="1" a="1"/>
  <c r="J4700" i="1" a="1"/>
  <c r="J4687" i="1" a="1"/>
  <c r="J5175" i="1" a="1"/>
  <c r="J5307" i="1" a="1"/>
  <c r="J3792" i="1" a="1"/>
  <c r="J3489" i="1" a="1"/>
  <c r="J4454" i="1" a="1"/>
  <c r="E4542" i="1" a="1"/>
  <c r="J4181" i="1" a="1"/>
  <c r="J4494" i="1" a="1"/>
  <c r="J5153" i="1" a="1"/>
  <c r="J4329" i="1" a="1"/>
  <c r="J5064" i="1" a="1"/>
  <c r="J4541" i="1" a="1"/>
  <c r="J4648" i="1" a="1"/>
  <c r="J3814" i="1" a="1"/>
  <c r="E4720" i="1" a="1"/>
  <c r="J4653" i="1" a="1"/>
  <c r="E4139" i="1" a="1"/>
  <c r="J4453" i="1" a="1"/>
  <c r="E4363" i="1" a="1"/>
  <c r="J4482" i="1" a="1"/>
  <c r="J3815" i="1" a="1"/>
  <c r="J3613" i="1" a="1"/>
  <c r="J4834" i="1" a="1"/>
  <c r="E4999" i="1" a="1"/>
  <c r="J3899" i="1" a="1"/>
  <c r="E3174" i="1" a="1"/>
  <c r="J3458" i="1" a="1"/>
  <c r="E3242" i="1" a="1"/>
  <c r="J4382" i="1" a="1"/>
  <c r="J3945" i="1" a="1"/>
  <c r="J4096" i="1" a="1"/>
  <c r="E3014" i="1" a="1"/>
  <c r="E4511" i="1" a="1"/>
  <c r="E3956" i="1" a="1"/>
  <c r="J3302" i="1" a="1"/>
  <c r="J5970" i="1" a="1"/>
  <c r="J4146" i="1" a="1"/>
  <c r="E4225" i="1" a="1"/>
  <c r="E4173" i="1" a="1"/>
  <c r="J4363" i="1" a="1"/>
  <c r="J3578" i="1" a="1"/>
  <c r="J4345" i="1" a="1"/>
  <c r="E4353" i="1" a="1"/>
  <c r="Z20" i="1" a="1"/>
  <c r="E5038" i="1" a="1"/>
  <c r="Z170" i="1" a="1"/>
  <c r="J5987" i="1" a="1"/>
  <c r="J5789" i="1" a="1"/>
  <c r="P31" i="1" a="1"/>
  <c r="E4485" i="1" a="1"/>
  <c r="E5657" i="1" a="1"/>
  <c r="E4406" i="1" a="1"/>
  <c r="J5860" i="1" a="1"/>
  <c r="E5090" i="1" a="1"/>
  <c r="J2695" i="1" a="1"/>
  <c r="E4478" i="1" a="1"/>
  <c r="E4305" i="1" a="1"/>
  <c r="J5283" i="1" a="1"/>
  <c r="E5508" i="1" a="1"/>
  <c r="E5631" i="1" a="1"/>
  <c r="E4652" i="1" a="1"/>
  <c r="J5758" i="1" a="1"/>
  <c r="J5978" i="1" a="1"/>
  <c r="J5521" i="1" a="1"/>
  <c r="J4954" i="1" a="1"/>
  <c r="J4088" i="1" a="1"/>
  <c r="J5082" i="1" a="1"/>
  <c r="E3950" i="1" a="1"/>
  <c r="J4473" i="1" a="1"/>
  <c r="J4176" i="1" a="1"/>
  <c r="E4129" i="1" a="1"/>
  <c r="E3904" i="1" a="1"/>
  <c r="E4099" i="1" a="1"/>
  <c r="J5266" i="1" a="1"/>
  <c r="J4227" i="1" a="1"/>
  <c r="J6018" i="1" a="1"/>
  <c r="J5614" i="1" a="1"/>
  <c r="J3544" i="1" a="1"/>
  <c r="J5627" i="1" a="1"/>
  <c r="J4860" i="1" a="1"/>
  <c r="J5191" i="1" a="1"/>
  <c r="J4435" i="1" a="1"/>
  <c r="E5076" i="1" a="1"/>
  <c r="E4291" i="1" a="1"/>
  <c r="J3730" i="1" a="1"/>
  <c r="E3372" i="1" a="1"/>
  <c r="J3297" i="1" a="1"/>
  <c r="E3479" i="1" a="1"/>
  <c r="J4724" i="1" a="1"/>
  <c r="J3906" i="1" a="1"/>
  <c r="J4686" i="1" a="1"/>
  <c r="J5250" i="1" a="1"/>
  <c r="J4465" i="1" a="1"/>
  <c r="E4786" i="1" a="1"/>
  <c r="J3164" i="1" a="1"/>
  <c r="J4361" i="1" a="1"/>
  <c r="J3563" i="1" a="1"/>
  <c r="E5648" i="1" a="1"/>
  <c r="E5144" i="1" a="1"/>
  <c r="E4374" i="1" a="1"/>
  <c r="J5253" i="1" a="1"/>
  <c r="J3912" i="1" a="1"/>
  <c r="E3997" i="1" a="1"/>
  <c r="E5042" i="1" a="1"/>
  <c r="E3657" i="1" a="1"/>
  <c r="J3861" i="1" a="1"/>
  <c r="E5638" i="1" a="1"/>
  <c r="J4678" i="1" a="1"/>
  <c r="J5134" i="1" a="1"/>
  <c r="E4288" i="1" a="1"/>
  <c r="E3466" i="1" a="1"/>
  <c r="E3589" i="1" a="1"/>
  <c r="J5682" i="1" a="1"/>
  <c r="J4293" i="1" a="1"/>
  <c r="E4345" i="1" a="1"/>
  <c r="J4946" i="1" a="1"/>
  <c r="E4076" i="1" a="1"/>
  <c r="J3511" i="1" a="1"/>
  <c r="E4597" i="1" a="1"/>
  <c r="E3396" i="1" a="1"/>
  <c r="J3057" i="1" a="1"/>
  <c r="E3961" i="1" a="1"/>
  <c r="E3154" i="1" a="1"/>
  <c r="J3177" i="1" a="1"/>
  <c r="J4238" i="1" a="1"/>
  <c r="E5373" i="1" a="1"/>
  <c r="E3959" i="1" a="1"/>
  <c r="J2490" i="1" a="1"/>
  <c r="J4094" i="1" a="1"/>
  <c r="E3936" i="1" a="1"/>
  <c r="E3204" i="1" a="1"/>
  <c r="E4126" i="1" a="1"/>
  <c r="E5846" i="1" a="1"/>
  <c r="E3639" i="1" a="1"/>
  <c r="E4014" i="1" a="1"/>
  <c r="J3993" i="1" a="1"/>
  <c r="E4193" i="1" a="1"/>
  <c r="J5158" i="1" a="1"/>
  <c r="E4942" i="1" a="1"/>
  <c r="J5135" i="1" a="1"/>
  <c r="E3219" i="1" a="1"/>
  <c r="Z252" i="1" a="1"/>
  <c r="E5023" i="1" a="1"/>
  <c r="E4820" i="1" a="1"/>
  <c r="J4333" i="1" a="1"/>
  <c r="J5126" i="1" a="1"/>
  <c r="J5463" i="1" a="1"/>
  <c r="E6010" i="1" a="1"/>
  <c r="E5217" i="1" a="1"/>
  <c r="J4474" i="1" a="1"/>
  <c r="E3919" i="1" a="1"/>
  <c r="J4671" i="1" a="1"/>
  <c r="J3732" i="1" a="1"/>
  <c r="J4362" i="1" a="1"/>
  <c r="J4491" i="1" a="1"/>
  <c r="J4469" i="1" a="1"/>
  <c r="E5419" i="1" a="1"/>
  <c r="E5904" i="1" a="1"/>
  <c r="E5867" i="1" a="1"/>
  <c r="E5281" i="1" a="1"/>
  <c r="J4247" i="1" a="1"/>
  <c r="J4129" i="1" a="1"/>
  <c r="E4453" i="1" a="1"/>
  <c r="J5054" i="1" a="1"/>
  <c r="J4579" i="1" a="1"/>
  <c r="E4763" i="1" a="1"/>
  <c r="J5935" i="1" a="1"/>
  <c r="J4317" i="1" a="1"/>
  <c r="E4579" i="1" a="1"/>
  <c r="E4671" i="1" a="1"/>
  <c r="E5624" i="1" a="1"/>
  <c r="J4010" i="1" a="1"/>
  <c r="J4284" i="1" a="1"/>
  <c r="E4115" i="1" a="1"/>
  <c r="E3885" i="1" a="1"/>
  <c r="Z342" i="1" a="1"/>
  <c r="E5271" i="1" a="1"/>
  <c r="E5597" i="1" a="1"/>
  <c r="J4643" i="1" a="1"/>
  <c r="J4902" i="1" a="1"/>
  <c r="E3510" i="1" a="1"/>
  <c r="J3415" i="1" a="1"/>
  <c r="E3759" i="1" a="1"/>
  <c r="J3637" i="1" a="1"/>
  <c r="Z106" i="1" a="1"/>
  <c r="E3359" i="1" a="1"/>
  <c r="E4865" i="1" a="1"/>
  <c r="J3400" i="1" a="1"/>
  <c r="J3804" i="1" a="1"/>
  <c r="J3226" i="1" a="1"/>
  <c r="E4576" i="1" a="1"/>
  <c r="E3767" i="1" a="1"/>
  <c r="J3856" i="1" a="1"/>
  <c r="J4339" i="1" a="1"/>
  <c r="E4696" i="1" a="1"/>
  <c r="J4407" i="1" a="1"/>
  <c r="J4506" i="1" a="1"/>
  <c r="Z37" i="1" a="1"/>
  <c r="J3420" i="1" a="1"/>
  <c r="E5243" i="1" a="1"/>
  <c r="E4267" i="1" a="1"/>
  <c r="J4536" i="1" a="1"/>
  <c r="E4964" i="1" a="1"/>
  <c r="E4757" i="1" a="1"/>
  <c r="E5911" i="1" a="1"/>
  <c r="E4455" i="1" a="1"/>
  <c r="E4666" i="1" a="1"/>
  <c r="J3679" i="1" a="1"/>
  <c r="E4302" i="1" a="1"/>
  <c r="J3801" i="1" a="1"/>
  <c r="E4625" i="1" a="1"/>
  <c r="E5548" i="1" a="1"/>
  <c r="E4377" i="1" a="1"/>
  <c r="E5080" i="1" a="1"/>
  <c r="E3895" i="1" a="1"/>
  <c r="E4105" i="1" a="1"/>
  <c r="E3711" i="1" a="1"/>
  <c r="J4309" i="1" a="1"/>
  <c r="E4030" i="1" a="1"/>
  <c r="J4241" i="1" a="1"/>
  <c r="E4634" i="1" a="1"/>
  <c r="E4845" i="1" a="1"/>
  <c r="J5359" i="1" a="1"/>
  <c r="J4851" i="1" a="1"/>
  <c r="J4090" i="1" a="1"/>
  <c r="E4066" i="1" a="1"/>
  <c r="J3657" i="1" a="1"/>
  <c r="E4917" i="1" a="1"/>
  <c r="E4084" i="1" a="1"/>
  <c r="E3476" i="1" a="1"/>
  <c r="E2924" i="1" a="1"/>
  <c r="E4752" i="1" a="1"/>
  <c r="J5461" i="1" a="1"/>
  <c r="E4593" i="1" a="1"/>
  <c r="E4273" i="1" a="1"/>
  <c r="J3664" i="1" a="1"/>
  <c r="J5194" i="1" a="1"/>
  <c r="E4039" i="1" a="1"/>
  <c r="E3974" i="1" a="1"/>
  <c r="E4750" i="1" a="1"/>
  <c r="J3640" i="1" a="1"/>
  <c r="E4909" i="1" a="1"/>
  <c r="E4560" i="1" a="1"/>
  <c r="E3698" i="1" a="1"/>
  <c r="E4130" i="1" a="1"/>
  <c r="E4029" i="1" a="1"/>
  <c r="J4159" i="1" a="1"/>
  <c r="J5507" i="1" a="1"/>
  <c r="J4182" i="1" a="1"/>
  <c r="Z195" i="1" a="1"/>
  <c r="E5010" i="1" a="1"/>
  <c r="E5266" i="1" a="1"/>
  <c r="J4699" i="1" a="1"/>
  <c r="J4975" i="1" a="1"/>
  <c r="Z113" i="1" a="1"/>
  <c r="E5104" i="1" a="1"/>
  <c r="J4638" i="1" a="1"/>
  <c r="J4792" i="1" a="1"/>
  <c r="J4538" i="1" a="1"/>
  <c r="J5960" i="1" a="1"/>
  <c r="E3585" i="1" a="1"/>
  <c r="J5998" i="1" a="1"/>
  <c r="E4638" i="1" a="1"/>
  <c r="E4227" i="1" a="1"/>
  <c r="E4180" i="1" a="1"/>
  <c r="J4325" i="1" a="1"/>
  <c r="J4220" i="1" a="1"/>
  <c r="E5732" i="1" a="1"/>
  <c r="E5551" i="1" a="1"/>
  <c r="J4160" i="1" a="1"/>
  <c r="E4172" i="1" a="1"/>
  <c r="J5646" i="1" a="1"/>
  <c r="E4482" i="1" a="1"/>
  <c r="E4569" i="1" a="1"/>
  <c r="P365" i="1" a="1"/>
  <c r="J4850" i="1" a="1"/>
  <c r="J4821" i="1" a="1"/>
  <c r="E5738" i="1" a="1"/>
  <c r="E4655" i="1" a="1"/>
  <c r="P355" i="1" a="1"/>
  <c r="E5592" i="1" a="1"/>
  <c r="J3775" i="1" a="1"/>
  <c r="E4013" i="1" a="1"/>
  <c r="J5389" i="1" a="1"/>
  <c r="E5407" i="1" a="1"/>
  <c r="J5783" i="1" a="1"/>
  <c r="E5321" i="1" a="1"/>
  <c r="J4443" i="1" a="1"/>
  <c r="E3908" i="1" a="1"/>
  <c r="E3783" i="1" a="1"/>
  <c r="E4009" i="1" a="1"/>
  <c r="E4694" i="1" a="1"/>
  <c r="E5863" i="1" a="1"/>
  <c r="J3820" i="1" a="1"/>
  <c r="J4881" i="1" a="1"/>
  <c r="E3313" i="1" a="1"/>
  <c r="J3787" i="1" a="1"/>
  <c r="J4355" i="1" a="1"/>
  <c r="E2942" i="1" a="1"/>
  <c r="E4241" i="1" a="1"/>
  <c r="E3809" i="1" a="1"/>
  <c r="J3936" i="1" a="1"/>
  <c r="E5835" i="1" a="1"/>
  <c r="J4055" i="1" a="1"/>
  <c r="J4693" i="1" a="1"/>
  <c r="J4863" i="1" a="1"/>
  <c r="J3347" i="1" a="1"/>
  <c r="J4077" i="1" a="1"/>
  <c r="E3083" i="1" a="1"/>
  <c r="E4451" i="1" a="1"/>
  <c r="E4891" i="1" a="1"/>
  <c r="J3840" i="1" a="1"/>
  <c r="E4276" i="1" a="1"/>
  <c r="J3170" i="1" a="1"/>
  <c r="E2576" i="1" a="1"/>
  <c r="J4364" i="1" a="1"/>
  <c r="E3840" i="1" a="1"/>
  <c r="J5475" i="1" a="1"/>
  <c r="J3812" i="1" a="1"/>
  <c r="J4268" i="1" a="1"/>
  <c r="E4380" i="1" a="1"/>
  <c r="E4351" i="1" a="1"/>
  <c r="E3699" i="1" a="1"/>
  <c r="J5379" i="1" a="1"/>
  <c r="E3609" i="1" a="1"/>
  <c r="E4388" i="1" a="1"/>
  <c r="J4197" i="1" a="1"/>
  <c r="E3387" i="1" a="1"/>
  <c r="E4832" i="1" a="1"/>
  <c r="E5805" i="1" a="1"/>
  <c r="E5198" i="1" a="1"/>
  <c r="J5092" i="1" a="1"/>
  <c r="J5199" i="1" a="1"/>
  <c r="E4898" i="1" a="1"/>
  <c r="J5477" i="1" a="1"/>
  <c r="E5509" i="1" a="1"/>
  <c r="E5449" i="1" a="1"/>
  <c r="E4893" i="1" a="1"/>
  <c r="E3392" i="1" a="1"/>
  <c r="E5694" i="1" a="1"/>
  <c r="J3854" i="1" a="1"/>
  <c r="E5438" i="1" a="1"/>
  <c r="J4302" i="1" a="1"/>
  <c r="E4114" i="1" a="1"/>
  <c r="E5324" i="1" a="1"/>
  <c r="E4658" i="1" a="1"/>
  <c r="J4591" i="1" a="1"/>
  <c r="E5724" i="1" a="1"/>
  <c r="E5669" i="1" a="1"/>
  <c r="E4337" i="1" a="1"/>
  <c r="J3678" i="1" a="1"/>
  <c r="J5920" i="1" a="1"/>
  <c r="P243" i="1" a="1"/>
  <c r="E4490" i="1" a="1"/>
  <c r="E4190" i="1" a="1"/>
  <c r="E5352" i="1" a="1"/>
  <c r="E4179" i="1" a="1"/>
  <c r="E4633" i="1" a="1"/>
  <c r="J5125" i="1" a="1"/>
  <c r="J5875" i="1" a="1"/>
  <c r="J4936" i="1" a="1"/>
  <c r="E4856" i="1" a="1"/>
  <c r="E4828" i="1" a="1"/>
  <c r="E5752" i="1" a="1"/>
  <c r="J3902" i="1" a="1"/>
  <c r="E5737" i="1" a="1"/>
  <c r="E4167" i="1" a="1"/>
  <c r="E4264" i="1" a="1"/>
  <c r="J4346" i="1" a="1"/>
  <c r="E3522" i="1" a="1"/>
  <c r="E5451" i="1" a="1"/>
  <c r="E5137" i="1" a="1"/>
  <c r="J4613" i="1" a="1"/>
  <c r="E4912" i="1" a="1"/>
  <c r="J4312" i="1" a="1"/>
  <c r="J3687" i="1" a="1"/>
  <c r="E4272" i="1" a="1"/>
  <c r="E5192" i="1" a="1"/>
  <c r="J3704" i="1" a="1"/>
  <c r="E3520" i="1" a="1"/>
  <c r="E4588" i="1" a="1"/>
  <c r="J4130" i="1" a="1"/>
  <c r="E5291" i="1" a="1"/>
  <c r="J3672" i="1" a="1"/>
  <c r="E4979" i="1" a="1"/>
  <c r="J3565" i="1" a="1"/>
  <c r="E5884" i="1" a="1"/>
  <c r="E3544" i="1" a="1"/>
  <c r="E4344" i="1" a="1"/>
  <c r="E3328" i="1" a="1"/>
  <c r="P65" i="1" a="1"/>
  <c r="E4945" i="1" a="1"/>
  <c r="E4677" i="1" a="1"/>
  <c r="E3761" i="1" a="1"/>
  <c r="J5014" i="1" a="1"/>
  <c r="E4106" i="1" a="1"/>
  <c r="E3899" i="1" a="1"/>
  <c r="J4640" i="1" a="1"/>
  <c r="E4736" i="1" a="1"/>
  <c r="J3851" i="1" a="1"/>
  <c r="E3912" i="1" a="1"/>
  <c r="E4356" i="1" a="1"/>
  <c r="J4273" i="1" a="1"/>
  <c r="E4801" i="1" a="1"/>
  <c r="J3549" i="1" a="1"/>
  <c r="J4537" i="1" a="1"/>
  <c r="E3038" i="1" a="1"/>
  <c r="J3786" i="1" a="1"/>
  <c r="E5939" i="1" a="1"/>
  <c r="E4135" i="1" a="1"/>
  <c r="J5636" i="1" a="1"/>
  <c r="J4285" i="1" a="1"/>
  <c r="E3671" i="1" a="1"/>
  <c r="E3967" i="1" a="1"/>
  <c r="J3843" i="1" a="1"/>
  <c r="J3988" i="1" a="1"/>
  <c r="E3734" i="1" a="1"/>
  <c r="E3826" i="1" a="1"/>
  <c r="J4953" i="1" a="1"/>
  <c r="J3941" i="1" a="1"/>
  <c r="E3814" i="1" a="1"/>
  <c r="E4840" i="1" a="1"/>
  <c r="J3488" i="1" a="1"/>
  <c r="J4383" i="1" a="1"/>
  <c r="J4047" i="1" a="1"/>
  <c r="J4721" i="1" a="1"/>
  <c r="J3419" i="1" a="1"/>
  <c r="J3816" i="1" a="1"/>
  <c r="E4994" i="1" a="1"/>
  <c r="J5233" i="1" a="1"/>
  <c r="E3914" i="1" a="1"/>
  <c r="J4885" i="1" a="1"/>
  <c r="J3509" i="1" a="1"/>
  <c r="E3960" i="1" a="1"/>
  <c r="E5412" i="1" a="1"/>
  <c r="J3984" i="1" a="1"/>
  <c r="E4949" i="1" a="1"/>
  <c r="J3350" i="1" a="1"/>
  <c r="E4428" i="1" a="1"/>
  <c r="E4484" i="1" a="1"/>
  <c r="E4047" i="1" a="1"/>
  <c r="J3819" i="1" a="1"/>
  <c r="J5007" i="1" a="1"/>
  <c r="E4342" i="1" a="1"/>
  <c r="E3638" i="1" a="1"/>
  <c r="J4245" i="1" a="1"/>
  <c r="E3318" i="1" a="1"/>
  <c r="E3155" i="1" a="1"/>
  <c r="E4480" i="1" a="1"/>
  <c r="J3871" i="1" a="1"/>
  <c r="J4089" i="1" a="1"/>
  <c r="E4079" i="1" a="1"/>
  <c r="J5838" i="1" a="1"/>
  <c r="J4052" i="1" a="1"/>
  <c r="J4219" i="1" a="1"/>
  <c r="J3494" i="1" a="1"/>
  <c r="P176" i="1" a="1"/>
  <c r="E5309" i="1" a="1"/>
  <c r="Z48" i="1" a="1"/>
  <c r="Z214" i="1" a="1"/>
  <c r="Z423" i="1" a="1"/>
  <c r="J5692" i="1" a="1"/>
  <c r="Z171" i="1" a="1"/>
  <c r="J5015" i="1" a="1"/>
  <c r="J5391" i="1" a="1"/>
  <c r="E3267" i="1" a="1"/>
  <c r="E4329" i="1" a="1"/>
  <c r="E2936" i="1" a="1"/>
  <c r="J5121" i="1" a="1"/>
  <c r="E4923" i="1" a="1"/>
  <c r="E5965" i="1" a="1"/>
  <c r="J4046" i="1" a="1"/>
  <c r="E4700" i="1" a="1"/>
  <c r="E4841" i="1" a="1"/>
  <c r="J4930" i="1" a="1"/>
  <c r="E4721" i="1" a="1"/>
  <c r="E4432" i="1" a="1"/>
  <c r="J5151" i="1" a="1"/>
  <c r="Z168" i="1" a="1"/>
  <c r="E5182" i="1" a="1"/>
  <c r="E4186" i="1" a="1"/>
  <c r="J4451" i="1" a="1"/>
  <c r="E3910" i="1" a="1"/>
  <c r="E3901" i="1" a="1"/>
  <c r="J5684" i="1" a="1"/>
  <c r="E4868" i="1" a="1"/>
  <c r="J4744" i="1" a="1"/>
  <c r="E3206" i="1" a="1"/>
  <c r="J4420" i="1" a="1"/>
  <c r="J4406" i="1" a="1"/>
  <c r="E3983" i="1" a="1"/>
  <c r="P204" i="1" a="1"/>
  <c r="J4965" i="1" a="1"/>
  <c r="J4554" i="1" a="1"/>
  <c r="E4125" i="1" a="1"/>
  <c r="J2973" i="1" a="1"/>
  <c r="E5308" i="1" a="1"/>
  <c r="J3738" i="1" a="1"/>
  <c r="J4086" i="1" a="1"/>
  <c r="E4585" i="1" a="1"/>
  <c r="J4390" i="1" a="1"/>
  <c r="E4760" i="1" a="1"/>
  <c r="E4109" i="1" a="1"/>
  <c r="J3940" i="1" a="1"/>
  <c r="J3612" i="1" a="1"/>
  <c r="E4034" i="1" a="1"/>
  <c r="E4915" i="1" a="1"/>
  <c r="J4912" i="1" a="1"/>
  <c r="J4692" i="1" a="1"/>
  <c r="J4989" i="1" a="1"/>
  <c r="E3511" i="1" a="1"/>
  <c r="J5213" i="1" a="1"/>
  <c r="E3816" i="1" a="1"/>
  <c r="J3479" i="1" a="1"/>
  <c r="J3957" i="1" a="1"/>
  <c r="J5405" i="1" a="1"/>
  <c r="J4963" i="1" a="1"/>
  <c r="E3308" i="1" a="1"/>
  <c r="J4269" i="1" a="1"/>
  <c r="E5105" i="1" a="1"/>
  <c r="J3950" i="1" a="1"/>
  <c r="J4660" i="1" a="1"/>
  <c r="J3762" i="1" a="1"/>
  <c r="J3464" i="1" a="1"/>
  <c r="J4158" i="1" a="1"/>
  <c r="E4252" i="1" a="1"/>
  <c r="J3656" i="1" a="1"/>
  <c r="J5282" i="1" a="1"/>
  <c r="J3785" i="1" a="1"/>
  <c r="E4080" i="1" a="1"/>
  <c r="J3436" i="1" a="1"/>
  <c r="E3580" i="1" a="1"/>
  <c r="J4852" i="1" a="1"/>
  <c r="J4128" i="1" a="1"/>
  <c r="J3642" i="1" a="1"/>
  <c r="E3935" i="1" a="1"/>
  <c r="J3937" i="1" a="1"/>
  <c r="J5154" i="1" a="1"/>
  <c r="E3693" i="1" a="1"/>
  <c r="E4668" i="1" a="1"/>
  <c r="E3350" i="1" a="1"/>
  <c r="P231" i="1" a="1"/>
  <c r="J4153" i="1" a="1"/>
  <c r="E4000" i="1" a="1"/>
  <c r="E3166" i="1" a="1"/>
  <c r="E4905" i="1" a="1"/>
  <c r="J4004" i="1" a="1"/>
  <c r="E4049" i="1" a="1"/>
  <c r="J3737" i="1" a="1"/>
  <c r="J4123" i="1" a="1"/>
  <c r="J3128" i="1" a="1"/>
  <c r="J4365" i="1" a="1"/>
  <c r="E4104" i="1" a="1"/>
  <c r="E3390" i="1" a="1"/>
  <c r="E5599" i="1" a="1"/>
  <c r="E4566" i="1" a="1"/>
  <c r="E5247" i="1" a="1"/>
  <c r="J4882" i="1" a="1"/>
  <c r="J3194" i="1" a="1"/>
  <c r="J3154" i="1" a="1"/>
  <c r="J3340" i="1" a="1"/>
  <c r="J3702" i="1" a="1"/>
  <c r="J5075" i="1" a="1"/>
  <c r="J3891" i="1" a="1"/>
  <c r="J4492" i="1" a="1"/>
  <c r="E4018" i="1" a="1"/>
  <c r="J3834" i="1" a="1"/>
  <c r="E3664" i="1" a="1"/>
  <c r="J4675" i="1" a="1"/>
  <c r="E4792" i="1" a="1"/>
  <c r="E4443" i="1" a="1"/>
  <c r="E3882" i="1" a="1"/>
  <c r="J4048" i="1" a="1"/>
  <c r="J4038" i="1" a="1"/>
  <c r="J3717" i="1" a="1"/>
  <c r="E4118" i="1" a="1"/>
  <c r="J2682" i="1" a="1"/>
  <c r="J4422" i="1" a="1"/>
  <c r="J3794" i="1" a="1"/>
  <c r="J4402" i="1" a="1"/>
  <c r="J4781" i="1" a="1"/>
  <c r="E3636" i="1" a="1"/>
  <c r="E4059" i="1" a="1"/>
  <c r="Z143" i="1" a="1"/>
  <c r="J4550" i="1" a="1"/>
  <c r="J5419" i="1" a="1"/>
  <c r="P237" i="1" a="1"/>
  <c r="J4556" i="1" a="1"/>
  <c r="J5703" i="1" a="1"/>
  <c r="J5930" i="1" a="1"/>
  <c r="E5003" i="1" a="1"/>
  <c r="J4464" i="1" a="1"/>
  <c r="P83" i="1" a="1"/>
  <c r="J5873" i="1" a="1"/>
  <c r="P6" i="1" a="1"/>
  <c r="J4760" i="1" a="1"/>
  <c r="J5315" i="1" a="1"/>
  <c r="E5336" i="1" a="1"/>
  <c r="J4739" i="1" a="1"/>
  <c r="E3745" i="1" a="1"/>
  <c r="J2586" i="1" a="1"/>
  <c r="P127" i="1" a="1"/>
  <c r="E4378" i="1" a="1"/>
  <c r="E4102" i="1" a="1"/>
  <c r="J4575" i="1" a="1"/>
  <c r="J4924" i="1" a="1"/>
  <c r="E4777" i="1" a="1"/>
  <c r="E3791" i="1" a="1"/>
  <c r="E4303" i="1" a="1"/>
  <c r="Z367" i="1" a="1"/>
  <c r="E4256" i="1" a="1"/>
  <c r="J4967" i="1" a="1"/>
  <c r="E4505" i="1" a="1"/>
  <c r="E5302" i="1" a="1"/>
  <c r="E4290" i="1" a="1"/>
  <c r="E5112" i="1" a="1"/>
  <c r="E4521" i="1" a="1"/>
  <c r="E3785" i="1" a="1"/>
  <c r="E4046" i="1" a="1"/>
  <c r="J4992" i="1" a="1"/>
  <c r="J4756" i="1" a="1"/>
  <c r="J3608" i="1" a="1"/>
  <c r="J5681" i="1" a="1"/>
  <c r="E4747" i="1" a="1"/>
  <c r="E4175" i="1" a="1"/>
  <c r="J4221" i="1" a="1"/>
  <c r="J4186" i="1" a="1"/>
  <c r="E4012" i="1" a="1"/>
  <c r="J4335" i="1" a="1"/>
  <c r="E5351" i="1" a="1"/>
  <c r="E4117" i="1" a="1"/>
  <c r="E3062" i="1" a="1"/>
  <c r="J3948" i="1" a="1"/>
  <c r="J3487" i="1" a="1"/>
  <c r="E3593" i="1" a="1"/>
  <c r="J4324" i="1" a="1"/>
  <c r="J4557" i="1" a="1"/>
  <c r="E5959" i="1" a="1"/>
  <c r="E5354" i="1" a="1"/>
  <c r="J3889" i="1" a="1"/>
  <c r="J4298" i="1" a="1"/>
  <c r="J4481" i="1" a="1"/>
  <c r="J3729" i="1" a="1"/>
  <c r="E3860" i="1" a="1"/>
  <c r="J4455" i="1" a="1"/>
  <c r="E4362" i="1" a="1"/>
  <c r="E5120" i="1" a="1"/>
  <c r="E5218" i="1" a="1"/>
  <c r="J3279" i="1" a="1"/>
  <c r="E3626" i="1" a="1"/>
  <c r="E3751" i="1" a="1"/>
  <c r="E4850" i="1" a="1"/>
  <c r="J3976" i="1" a="1"/>
  <c r="J5044" i="1" a="1"/>
  <c r="E4487" i="1" a="1"/>
  <c r="J4788" i="1" a="1"/>
  <c r="J4244" i="1" a="1"/>
  <c r="J3199" i="1" a="1"/>
  <c r="E4217" i="1" a="1"/>
  <c r="J3084" i="1" a="1"/>
  <c r="E3334" i="1" a="1"/>
  <c r="E3451" i="1" a="1"/>
  <c r="E4166" i="1" a="1"/>
  <c r="E4189" i="1" a="1"/>
  <c r="E5913" i="1" a="1"/>
  <c r="E5238" i="1" a="1"/>
  <c r="E4532" i="1" a="1"/>
  <c r="J3137" i="1" a="1"/>
  <c r="E3642" i="1" a="1"/>
  <c r="J4577" i="1" a="1"/>
  <c r="E2976" i="1" a="1"/>
  <c r="E3150" i="1" a="1"/>
  <c r="J5824" i="1" a="1"/>
  <c r="J3305" i="1" a="1"/>
  <c r="E4719" i="1" a="1"/>
  <c r="J4387" i="1" a="1"/>
  <c r="J4802" i="1" a="1"/>
  <c r="E2878" i="1" a="1"/>
  <c r="E4331" i="1" a="1"/>
  <c r="J5833" i="1" a="1"/>
  <c r="E4823" i="1" a="1"/>
  <c r="E4739" i="1" a="1"/>
  <c r="E5349" i="1" a="1"/>
  <c r="J5080" i="1" a="1"/>
  <c r="J4357" i="1" a="1"/>
  <c r="E3886" i="1" a="1"/>
  <c r="E3146" i="1" a="1"/>
  <c r="E5082" i="1" a="1"/>
  <c r="J5528" i="1" a="1"/>
  <c r="J4311" i="1" a="1"/>
  <c r="J4594" i="1" a="1"/>
  <c r="J5743" i="1" a="1"/>
  <c r="E4596" i="1" a="1"/>
  <c r="Z326" i="1" a="1"/>
  <c r="J5223" i="1" a="1"/>
  <c r="E4991" i="1" a="1"/>
  <c r="E5777" i="1" a="1"/>
  <c r="E5138" i="1" a="1"/>
  <c r="J5218" i="1" a="1"/>
  <c r="J4104" i="1" a="1"/>
  <c r="Z311" i="1" a="1"/>
  <c r="E4412" i="1" a="1"/>
  <c r="E5041" i="1" a="1"/>
  <c r="J5238" i="1" a="1"/>
  <c r="E5814" i="1" a="1"/>
  <c r="J4864" i="1" a="1"/>
  <c r="J3928" i="1" a="1"/>
  <c r="E5301" i="1" a="1"/>
  <c r="E3299" i="1" a="1"/>
  <c r="J5408" i="1" a="1"/>
  <c r="E5804" i="1" a="1"/>
  <c r="J3873" i="1" a="1"/>
  <c r="E5635" i="1" a="1"/>
  <c r="J5533" i="1" a="1"/>
  <c r="E4515" i="1" a="1"/>
  <c r="J4642" i="1" a="1"/>
  <c r="J4471" i="1" a="1"/>
  <c r="E5287" i="1" a="1"/>
  <c r="E5072" i="1" a="1"/>
  <c r="E5539" i="1" a="1"/>
  <c r="E4688" i="1" a="1"/>
  <c r="J4596" i="1" a="1"/>
  <c r="J4106" i="1" a="1"/>
  <c r="J3371" i="1" a="1"/>
  <c r="J4838" i="1" a="1"/>
  <c r="Z36" i="1" a="1"/>
  <c r="E4998" i="1" a="1"/>
  <c r="E4260" i="1" a="1"/>
  <c r="J3710" i="1" a="1"/>
  <c r="J4601" i="1" a="1"/>
  <c r="E5937" i="1" a="1"/>
  <c r="E4573" i="1" a="1"/>
  <c r="J4307" i="1" a="1"/>
  <c r="E4553" i="1" a="1"/>
  <c r="E4620" i="1" a="1"/>
  <c r="E4015" i="1" a="1"/>
  <c r="J4234" i="1" a="1"/>
  <c r="J3963" i="1" a="1"/>
  <c r="E3456" i="1" a="1"/>
  <c r="E3871" i="1" a="1"/>
  <c r="J3528" i="1" a="1"/>
  <c r="J5933" i="1" a="1"/>
  <c r="E4415" i="1" a="1"/>
  <c r="J4783" i="1" a="1"/>
  <c r="J5798" i="1" a="1"/>
  <c r="J4005" i="1" a="1"/>
  <c r="J4539" i="1" a="1"/>
  <c r="J3800" i="1" a="1"/>
  <c r="E5389" i="1" a="1"/>
  <c r="J4981" i="1" a="1"/>
  <c r="E3685" i="1" a="1"/>
  <c r="J4632" i="1" a="1"/>
  <c r="J4856" i="1" a="1"/>
  <c r="E4088" i="1" a="1"/>
  <c r="J3429" i="1" a="1"/>
  <c r="E5156" i="1" a="1"/>
  <c r="E4513" i="1" a="1"/>
  <c r="J3981" i="1" a="1"/>
  <c r="J3728" i="1" a="1"/>
  <c r="E4475" i="1" a="1"/>
  <c r="E4275" i="1" a="1"/>
  <c r="J3392" i="1" a="1"/>
  <c r="E4062" i="1" a="1"/>
  <c r="E4853" i="1" a="1"/>
  <c r="E4732" i="1" a="1"/>
  <c r="J2954" i="1" a="1"/>
  <c r="E5019" i="1" a="1"/>
  <c r="E3402" i="1" a="1"/>
  <c r="P375" i="1" a="1"/>
  <c r="E2819" i="1" a="1"/>
  <c r="J5430" i="1" a="1"/>
  <c r="J3842" i="1" a="1"/>
  <c r="E5866" i="1" a="1"/>
  <c r="J4118" i="1" a="1"/>
  <c r="E3567" i="1" a="1"/>
  <c r="E3316" i="1" a="1"/>
  <c r="J3684" i="1" a="1"/>
  <c r="J3836" i="1" a="1"/>
  <c r="J4259" i="1" a="1"/>
  <c r="J2624" i="1" a="1"/>
  <c r="E5148" i="1" a="1"/>
  <c r="E4170" i="1" a="1"/>
  <c r="J4546" i="1" a="1"/>
  <c r="J4585" i="1" a="1"/>
  <c r="J3913" i="1" a="1"/>
  <c r="J4854" i="1" a="1"/>
  <c r="E4149" i="1" a="1"/>
  <c r="J3167" i="1" a="1"/>
  <c r="E4842" i="1" a="1"/>
  <c r="E4493" i="1" a="1"/>
  <c r="E5305" i="1" a="1"/>
  <c r="E5697" i="1" a="1"/>
  <c r="J3438" i="1" a="1"/>
  <c r="E4304" i="1" a="1"/>
  <c r="E3665" i="1" a="1"/>
  <c r="E4849" i="1" a="1"/>
  <c r="E4599" i="1" a="1"/>
  <c r="J4522" i="1" a="1"/>
  <c r="E5239" i="1" a="1"/>
  <c r="E5815" i="1" a="1"/>
  <c r="P199" i="1" a="1"/>
  <c r="J4530" i="1" a="1"/>
  <c r="J5846" i="1" a="1"/>
  <c r="J4887" i="1" a="1"/>
  <c r="J5001" i="1" a="1"/>
  <c r="J5332" i="1" a="1"/>
  <c r="E4926" i="1" a="1"/>
  <c r="J4303" i="1" a="1"/>
  <c r="J5482" i="1" a="1"/>
  <c r="E3559" i="1" a="1"/>
  <c r="J3733" i="1" a="1"/>
  <c r="E3742" i="1" a="1"/>
  <c r="E4857" i="1" a="1"/>
  <c r="E4332" i="1" a="1"/>
  <c r="E3428" i="1" a="1"/>
  <c r="E3918" i="1" a="1"/>
  <c r="J4156" i="1" a="1"/>
  <c r="E3081" i="1" a="1"/>
  <c r="J5060" i="1" a="1"/>
  <c r="J3596" i="1" a="1"/>
  <c r="E5216" i="1" a="1"/>
  <c r="J4586" i="1" a="1"/>
  <c r="J3954" i="1" a="1"/>
  <c r="E3471" i="1" a="1"/>
  <c r="J4255" i="1" a="1"/>
  <c r="E4734" i="1" a="1"/>
  <c r="J3833" i="1" a="1"/>
  <c r="E4518" i="1" a="1"/>
  <c r="E5176" i="1" a="1"/>
  <c r="E4207" i="1" a="1"/>
  <c r="P200" i="1" a="1"/>
  <c r="J3818" i="1" a="1"/>
  <c r="E5213" i="1" a="1"/>
  <c r="J3673" i="1" a="1"/>
  <c r="E3838" i="1" a="1"/>
  <c r="E4624" i="1" a="1"/>
  <c r="J3838" i="1" a="1"/>
  <c r="E2773" i="1" a="1"/>
  <c r="J3295" i="1" a="1"/>
  <c r="E3973" i="1" a="1"/>
  <c r="E5163" i="1" a="1"/>
  <c r="E4645" i="1" a="1"/>
  <c r="J3567" i="1" a="1"/>
  <c r="J4279" i="1" a="1"/>
  <c r="J2762" i="1" a="1"/>
  <c r="J2967" i="1" a="1"/>
  <c r="J3476" i="1" a="1"/>
  <c r="J3467" i="1" a="1"/>
  <c r="E4184" i="1" a="1"/>
  <c r="J3115" i="1" a="1"/>
  <c r="J3898" i="1" a="1"/>
  <c r="J2612" i="1" a="1"/>
  <c r="J3920" i="1" a="1"/>
  <c r="J3477" i="1" a="1"/>
  <c r="J1978" i="1" a="1"/>
  <c r="E4907" i="1" a="1"/>
  <c r="E3278" i="1" a="1"/>
  <c r="J4212" i="1" a="1"/>
  <c r="E2696" i="1" a="1"/>
  <c r="J2532" i="1" a="1"/>
  <c r="J3892" i="1" a="1"/>
  <c r="J3393" i="1" a="1"/>
  <c r="E2515" i="1" a="1"/>
  <c r="J4775" i="1" a="1"/>
  <c r="E1415" i="1" a="1"/>
  <c r="J3625" i="1" a="1"/>
  <c r="J2487" i="1" a="1"/>
  <c r="E3209" i="1" a="1"/>
  <c r="E4004" i="1" a="1"/>
  <c r="J3663" i="1" a="1"/>
  <c r="J3480" i="1" a="1"/>
  <c r="J3493" i="1" a="1"/>
  <c r="J2435" i="1" a="1"/>
  <c r="J4336" i="1" a="1"/>
  <c r="E3497" i="1" a="1"/>
  <c r="E2912" i="1" a="1"/>
  <c r="E4083" i="1" a="1"/>
  <c r="E2928" i="1" a="1"/>
  <c r="J2796" i="1" a="1"/>
  <c r="E3464" i="1" a="1"/>
  <c r="E3368" i="1" a="1"/>
  <c r="J4061" i="1" a="1"/>
  <c r="J2949" i="1" a="1"/>
  <c r="E2093" i="1" a="1"/>
  <c r="J3605" i="1" a="1"/>
  <c r="E1960" i="1" a="1"/>
  <c r="E2779" i="1" a="1"/>
  <c r="E3830" i="1" a="1"/>
  <c r="J1547" i="1" a="1"/>
  <c r="J4067" i="1" a="1"/>
  <c r="E3739" i="1" a="1"/>
  <c r="J3749" i="1" a="1"/>
  <c r="E1953" i="1" a="1"/>
  <c r="E4246" i="1" a="1"/>
  <c r="E3679" i="1" a="1"/>
  <c r="J2074" i="1" a="1"/>
  <c r="E4751" i="1" a="1"/>
  <c r="J3185" i="1" a="1"/>
  <c r="J4144" i="1" a="1"/>
  <c r="J4058" i="1" a="1"/>
  <c r="E3066" i="1" a="1"/>
  <c r="J3934" i="1" a="1"/>
  <c r="J4727" i="1" a="1"/>
  <c r="J3584" i="1" a="1"/>
  <c r="E2117" i="1" a="1"/>
  <c r="J3216" i="1" a="1"/>
  <c r="E4416" i="1" a="1"/>
  <c r="J3261" i="1" a="1"/>
  <c r="E5409" i="1" a="1"/>
  <c r="E1995" i="1" a="1"/>
  <c r="J2909" i="1" a="1"/>
  <c r="J2872" i="1" a="1"/>
  <c r="E2833" i="1" a="1"/>
  <c r="E1698" i="1" a="1"/>
  <c r="J1709" i="1" a="1"/>
  <c r="J4703" i="1" a="1"/>
  <c r="J3932" i="1" a="1"/>
  <c r="J4277" i="1" a="1"/>
  <c r="E2355" i="1" a="1"/>
  <c r="E3855" i="1" a="1"/>
  <c r="J3174" i="1" a="1"/>
  <c r="E2559" i="1" a="1"/>
  <c r="E3953" i="1" a="1"/>
  <c r="J2391" i="1" a="1"/>
  <c r="J4748" i="1" a="1"/>
  <c r="J5079" i="1" a="1"/>
  <c r="J1508" i="1" a="1"/>
  <c r="J4380" i="1" a="1"/>
  <c r="E3746" i="1" a="1"/>
  <c r="J2986" i="1" a="1"/>
  <c r="J2805" i="1" a="1"/>
  <c r="E3356" i="1" a="1"/>
  <c r="J5889" i="1" a="1"/>
  <c r="E4678" i="1" a="1"/>
  <c r="J2911" i="1" a="1"/>
  <c r="E486" i="1" a="1"/>
  <c r="E3272" i="1" a="1"/>
  <c r="E2553" i="1" a="1"/>
  <c r="J5132" i="1" a="1"/>
  <c r="E5916" i="1" a="1"/>
  <c r="E4522" i="1" a="1"/>
  <c r="J5320" i="1" a="1"/>
  <c r="J5083" i="1" a="1"/>
  <c r="E4509" i="1" a="1"/>
  <c r="E4690" i="1" a="1"/>
  <c r="E4177" i="1" a="1"/>
  <c r="J4051" i="1" a="1"/>
  <c r="E5969" i="1" a="1"/>
  <c r="J3750" i="1" a="1"/>
  <c r="J4723" i="1" a="1"/>
  <c r="J3772" i="1" a="1"/>
  <c r="J4127" i="1" a="1"/>
  <c r="J3444" i="1" a="1"/>
  <c r="E4673" i="1" a="1"/>
  <c r="J4829" i="1" a="1"/>
  <c r="E3333" i="1" a="1"/>
  <c r="E3507" i="1" a="1"/>
  <c r="E4525" i="1" a="1"/>
  <c r="E2394" i="1" a="1"/>
  <c r="J5595" i="1" a="1"/>
  <c r="J4080" i="1" a="1"/>
  <c r="E3717" i="1" a="1"/>
  <c r="J5985" i="1" a="1"/>
  <c r="J5188" i="1" a="1"/>
  <c r="J4108" i="1" a="1"/>
  <c r="J4045" i="1" a="1"/>
  <c r="E3900" i="1" a="1"/>
  <c r="E3210" i="1" a="1"/>
  <c r="E3509" i="1" a="1"/>
  <c r="E3996" i="1" a="1"/>
  <c r="E4296" i="1" a="1"/>
  <c r="J4111" i="1" a="1"/>
  <c r="E4306" i="1" a="1"/>
  <c r="J3453" i="1" a="1"/>
  <c r="E4389" i="1" a="1"/>
  <c r="E3616" i="1" a="1"/>
  <c r="J2597" i="1" a="1"/>
  <c r="J5816" i="1" a="1"/>
  <c r="J4401" i="1" a="1"/>
  <c r="J4428" i="1" a="1"/>
  <c r="J4609" i="1" a="1"/>
  <c r="J2432" i="1" a="1"/>
  <c r="E3808" i="1" a="1"/>
  <c r="E3097" i="1" a="1"/>
  <c r="J3407" i="1" a="1"/>
  <c r="J3847" i="1" a="1"/>
  <c r="E3418" i="1" a="1"/>
  <c r="J3373" i="1" a="1"/>
  <c r="E4990" i="1" a="1"/>
  <c r="J1988" i="1" a="1"/>
  <c r="E4520" i="1" a="1"/>
  <c r="J4449" i="1" a="1"/>
  <c r="E3240" i="1" a="1"/>
  <c r="J2477" i="1" a="1"/>
  <c r="E3222" i="1" a="1"/>
  <c r="J4083" i="1" a="1"/>
  <c r="J2877" i="1" a="1"/>
  <c r="E3758" i="1" a="1"/>
  <c r="E5135" i="1" a="1"/>
  <c r="E3978" i="1" a="1"/>
  <c r="J3606" i="1" a="1"/>
  <c r="J3719" i="1" a="1"/>
  <c r="J2881" i="1" a="1"/>
  <c r="E1363" i="1" a="1"/>
  <c r="E4100" i="1" a="1"/>
  <c r="J2216" i="1" a="1"/>
  <c r="J2300" i="1" a="1"/>
  <c r="E4824" i="1" a="1"/>
  <c r="J3754" i="1" a="1"/>
  <c r="E4191" i="1" a="1"/>
  <c r="E4136" i="1" a="1"/>
  <c r="J2509" i="1" a="1"/>
  <c r="J4517" i="1" a="1"/>
  <c r="E3605" i="1" a="1"/>
  <c r="E2506" i="1" a="1"/>
  <c r="E1994" i="1" a="1"/>
  <c r="J3626" i="1" a="1"/>
  <c r="E2134" i="1" a="1"/>
  <c r="J3290" i="1" a="1"/>
  <c r="E3213" i="1" a="1"/>
  <c r="J4773" i="1" a="1"/>
  <c r="E3421" i="1" a="1"/>
  <c r="J2342" i="1" a="1"/>
  <c r="J3803" i="1" a="1"/>
  <c r="J3368" i="1" a="1"/>
  <c r="J3187" i="1" a="1"/>
  <c r="J4532" i="1" a="1"/>
  <c r="E2987" i="1" a="1"/>
  <c r="J3944" i="1" a="1"/>
  <c r="E3700" i="1" a="1"/>
  <c r="E3802" i="1" a="1"/>
  <c r="J1325" i="1" a="1"/>
  <c r="J3699" i="1" a="1"/>
  <c r="E2564" i="1" a="1"/>
  <c r="E4774" i="1" a="1"/>
  <c r="E3786" i="1" a="1"/>
  <c r="E1348" i="1" a="1"/>
  <c r="E3829" i="1" a="1"/>
  <c r="J2609" i="1" a="1"/>
  <c r="E3363" i="1" a="1"/>
  <c r="J3396" i="1" a="1"/>
  <c r="E2764" i="1" a="1"/>
  <c r="J348" i="1" a="1"/>
  <c r="E2013" i="1" a="1"/>
  <c r="E4258" i="1" a="1"/>
  <c r="E1189" i="1" a="1"/>
  <c r="J3247" i="1" a="1"/>
  <c r="E3606" i="1" a="1"/>
  <c r="E1216" i="1" a="1"/>
  <c r="J3695" i="1" a="1"/>
  <c r="E3229" i="1" a="1"/>
  <c r="J3375" i="1" a="1"/>
  <c r="E1195" i="1" a="1"/>
  <c r="J3389" i="1" a="1"/>
  <c r="E5534" i="1" a="1"/>
  <c r="E4182" i="1" a="1"/>
  <c r="J3405" i="1" a="1"/>
  <c r="E2645" i="1" a="1"/>
  <c r="E4196" i="1" a="1"/>
  <c r="E2868" i="1" a="1"/>
  <c r="E3314" i="1" a="1"/>
  <c r="J4041" i="1" a="1"/>
  <c r="E2427" i="1" a="1"/>
  <c r="E4002" i="1" a="1"/>
  <c r="E4058" i="1" a="1"/>
  <c r="J3031" i="1" a="1"/>
  <c r="J3116" i="1" a="1"/>
  <c r="J3938" i="1" a="1"/>
  <c r="J1245" i="1" a="1"/>
  <c r="J2383" i="1" a="1"/>
  <c r="J3537" i="1" a="1"/>
  <c r="E3892" i="1" a="1"/>
  <c r="E3621" i="1" a="1"/>
  <c r="J2650" i="1" a="1"/>
  <c r="J5084" i="1" a="1"/>
  <c r="J4294" i="1" a="1"/>
  <c r="E3107" i="1" a="1"/>
  <c r="J5877" i="1" a="1"/>
  <c r="E4630" i="1" a="1"/>
  <c r="J5174" i="1" a="1"/>
  <c r="J5567" i="1" a="1"/>
  <c r="E5219" i="1" a="1"/>
  <c r="E4037" i="1" a="1"/>
  <c r="J3914" i="1" a="1"/>
  <c r="J3144" i="1" a="1"/>
  <c r="J2693" i="1" a="1"/>
  <c r="J4079" i="1" a="1"/>
  <c r="J4113" i="1" a="1"/>
  <c r="E2743" i="1" a="1"/>
  <c r="E3258" i="1" a="1"/>
  <c r="J4566" i="1" a="1"/>
  <c r="J4039" i="1" a="1"/>
  <c r="J2754" i="1" a="1"/>
  <c r="E4385" i="1" a="1"/>
  <c r="J4211" i="1" a="1"/>
  <c r="E4858" i="1" a="1"/>
  <c r="J4072" i="1" a="1"/>
  <c r="J4619" i="1" a="1"/>
  <c r="J4168" i="1" a="1"/>
  <c r="J4297" i="1" a="1"/>
  <c r="E3442" i="1" a="1"/>
  <c r="E3582" i="1" a="1"/>
  <c r="E5277" i="1" a="1"/>
  <c r="E4439" i="1" a="1"/>
  <c r="E3977" i="1" a="1"/>
  <c r="E3631" i="1" a="1"/>
  <c r="E3613" i="1" a="1"/>
  <c r="J4209" i="1" a="1"/>
  <c r="J5260" i="1" a="1"/>
  <c r="E3807" i="1" a="1"/>
  <c r="E3563" i="1" a="1"/>
  <c r="E3968" i="1" a="1"/>
  <c r="E5203" i="1" a="1"/>
  <c r="J4516" i="1" a="1"/>
  <c r="J3660" i="1" a="1"/>
  <c r="J5131" i="1" a="1"/>
  <c r="J4374" i="1" a="1"/>
  <c r="E4802" i="1" a="1"/>
  <c r="J4228" i="1" a="1"/>
  <c r="E3470" i="1" a="1"/>
  <c r="J3703" i="1" a="1"/>
  <c r="J4203" i="1" a="1"/>
  <c r="J5256" i="1" a="1"/>
  <c r="E5406" i="1" a="1"/>
  <c r="E3718" i="1" a="1"/>
  <c r="E4266" i="1" a="1"/>
  <c r="J4755" i="1" a="1"/>
  <c r="E3376" i="1" a="1"/>
  <c r="J3345" i="1" a="1"/>
  <c r="E4632" i="1" a="1"/>
  <c r="J4399" i="1" a="1"/>
  <c r="E2321" i="1" a="1"/>
  <c r="E2293" i="1" a="1"/>
  <c r="E4160" i="1" a="1"/>
  <c r="J2124" i="1" a="1"/>
  <c r="J3421" i="1" a="1"/>
  <c r="J4498" i="1" a="1"/>
  <c r="E3716" i="1" a="1"/>
  <c r="J3395" i="1" a="1"/>
  <c r="J4886" i="1" a="1"/>
  <c r="E1684" i="1" a="1"/>
  <c r="J4272" i="1" a="1"/>
  <c r="E2176" i="1" a="1"/>
  <c r="E3292" i="1" a="1"/>
  <c r="J4836" i="1" a="1"/>
  <c r="E1388" i="1" a="1"/>
  <c r="E2849" i="1" a="1"/>
  <c r="E2892" i="1" a="1"/>
  <c r="J3773" i="1" a="1"/>
  <c r="E4224" i="1" a="1"/>
  <c r="E1436" i="1" a="1"/>
  <c r="J4826" i="1" a="1"/>
  <c r="J5108" i="1" a="1"/>
  <c r="J1570" i="1" a="1"/>
  <c r="J3888" i="1" a="1"/>
  <c r="E3940" i="1" a="1"/>
  <c r="E1823" i="1" a="1"/>
  <c r="J3846" i="1" a="1"/>
  <c r="E3493" i="1" a="1"/>
  <c r="J4466" i="1" a="1"/>
  <c r="E4626" i="1" a="1"/>
  <c r="E3342" i="1" a="1"/>
  <c r="E3748" i="1" a="1"/>
  <c r="E3545" i="1" a="1"/>
  <c r="E3110" i="1" a="1"/>
  <c r="E2908" i="1" a="1"/>
  <c r="J1934" i="1" a="1"/>
  <c r="J3380" i="1" a="1"/>
  <c r="E3019" i="1" a="1"/>
  <c r="E3420" i="1" a="1"/>
  <c r="E2348" i="1" a="1"/>
  <c r="E4001" i="1" a="1"/>
  <c r="E2282" i="1" a="1"/>
  <c r="J2473" i="1" a="1"/>
  <c r="J4078" i="1" a="1"/>
  <c r="J3192" i="1" a="1"/>
  <c r="J3987" i="1" a="1"/>
  <c r="J3242" i="1" a="1"/>
  <c r="E1396" i="1" a="1"/>
  <c r="J3632" i="1" a="1"/>
  <c r="E1448" i="1" a="1"/>
  <c r="E5110" i="1" a="1"/>
  <c r="J3514" i="1" a="1"/>
  <c r="J3173" i="1" a="1"/>
  <c r="J5981" i="1" a="1"/>
  <c r="E3412" i="1" a="1"/>
  <c r="J4400" i="1" a="1"/>
  <c r="E3128" i="1" a="1"/>
  <c r="E3323" i="1" a="1"/>
  <c r="E3374" i="1" a="1"/>
  <c r="E4528" i="1" a="1"/>
  <c r="J3879" i="1" a="1"/>
  <c r="J3712" i="1" a="1"/>
  <c r="E3132" i="1" a="1"/>
  <c r="J3604" i="1" a="1"/>
  <c r="J3473" i="1" a="1"/>
  <c r="J4667" i="1" a="1"/>
  <c r="E4323" i="1" a="1"/>
  <c r="E3391" i="1" a="1"/>
  <c r="J2694" i="1" a="1"/>
  <c r="E2706" i="1" a="1"/>
  <c r="J2155" i="1" a="1"/>
  <c r="J4786" i="1" a="1"/>
  <c r="J3545" i="1" a="1"/>
  <c r="J2828" i="1" a="1"/>
  <c r="E5059" i="1" a="1"/>
  <c r="P368" i="1" a="1"/>
  <c r="E4299" i="1" a="1"/>
  <c r="J3210" i="1" a="1"/>
  <c r="J5551" i="1" a="1"/>
  <c r="E4558" i="1" a="1"/>
  <c r="J3761" i="1" a="1"/>
  <c r="E3190" i="1" a="1"/>
  <c r="E3515" i="1" a="1"/>
  <c r="E3610" i="1" a="1"/>
  <c r="E4123" i="1" a="1"/>
  <c r="E4219" i="1" a="1"/>
  <c r="E3540" i="1" a="1"/>
  <c r="J4778" i="1" a="1"/>
  <c r="J3966" i="1" a="1"/>
  <c r="E5011" i="1" a="1"/>
  <c r="J4508" i="1" a="1"/>
  <c r="E3992" i="1" a="1"/>
  <c r="E4020" i="1" a="1"/>
  <c r="E4554" i="1" a="1"/>
  <c r="E3889" i="1" a="1"/>
  <c r="J5392" i="1" a="1"/>
  <c r="J4185" i="1" a="1"/>
  <c r="J3504" i="1" a="1"/>
  <c r="E3859" i="1" a="1"/>
  <c r="J3907" i="1" a="1"/>
  <c r="J4115" i="1" a="1"/>
  <c r="E3649" i="1" a="1"/>
  <c r="E4887" i="1" a="1"/>
  <c r="E3305" i="1" a="1"/>
  <c r="J5503" i="1" a="1"/>
  <c r="J4713" i="1" a="1"/>
  <c r="E3696" i="1" a="1"/>
  <c r="E4413" i="1" a="1"/>
  <c r="J4095" i="1" a="1"/>
  <c r="E4744" i="1" a="1"/>
  <c r="E4384" i="1" a="1"/>
  <c r="E5048" i="1" a="1"/>
  <c r="J4248" i="1" a="1"/>
  <c r="J3697" i="1" a="1"/>
  <c r="E5775" i="1" a="1"/>
  <c r="J4373" i="1" a="1"/>
  <c r="E3932" i="1" a="1"/>
  <c r="J5696" i="1" a="1"/>
  <c r="J3674" i="1" a="1"/>
  <c r="E4174" i="1" a="1"/>
  <c r="J2940" i="1" a="1"/>
  <c r="J4644" i="1" a="1"/>
  <c r="E4367" i="1" a="1"/>
  <c r="J3282" i="1" a="1"/>
  <c r="J3404" i="1" a="1"/>
  <c r="J1614" i="1" a="1"/>
  <c r="E3686" i="1" a="1"/>
  <c r="E4169" i="1" a="1"/>
  <c r="E2970" i="1" a="1"/>
  <c r="E3255" i="1" a="1"/>
  <c r="J3508" i="1" a="1"/>
  <c r="E2530" i="1" a="1"/>
  <c r="J4973" i="1" a="1"/>
  <c r="J2933" i="1" a="1"/>
  <c r="J4412" i="1" a="1"/>
  <c r="J3917" i="1" a="1"/>
  <c r="J3952" i="1" a="1"/>
  <c r="E2826" i="1" a="1"/>
  <c r="J3918" i="1" a="1"/>
  <c r="J1930" i="1" a="1"/>
  <c r="J3986" i="1" a="1"/>
  <c r="E4598" i="1" a="1"/>
  <c r="E2919" i="1" a="1"/>
  <c r="J2897" i="1" a="1"/>
  <c r="J2220" i="1" a="1"/>
  <c r="E2876" i="1" a="1"/>
  <c r="J4647" i="1" a="1"/>
  <c r="J3211" i="1" a="1"/>
  <c r="E3141" i="1" a="1"/>
  <c r="J2899" i="1" a="1"/>
  <c r="J3714" i="1" a="1"/>
  <c r="J2777" i="1" a="1"/>
  <c r="J3422" i="1" a="1"/>
  <c r="J4395" i="1" a="1"/>
  <c r="E3945" i="1" a="1"/>
  <c r="Z52" i="1" a="1"/>
  <c r="E5114" i="1" a="1"/>
  <c r="J3797" i="1" a="1"/>
  <c r="E3849" i="1" a="1"/>
  <c r="E3620" i="1" a="1"/>
  <c r="E2999" i="1" a="1"/>
  <c r="E3913" i="1" a="1"/>
  <c r="J4283" i="1" a="1"/>
  <c r="E1749" i="1" a="1"/>
  <c r="J4163" i="1" a="1"/>
  <c r="E4467" i="1" a="1"/>
  <c r="J1674" i="1" a="1"/>
  <c r="E3236" i="1" a="1"/>
  <c r="E3998" i="1" a="1"/>
  <c r="E2177" i="1" a="1"/>
  <c r="J3135" i="1" a="1"/>
  <c r="E5914" i="1" a="1"/>
  <c r="E3161" i="1" a="1"/>
  <c r="E3941" i="1" a="1"/>
  <c r="E3661" i="1" a="1"/>
  <c r="E2034" i="1" a="1"/>
  <c r="J4256" i="1" a="1"/>
  <c r="E2625" i="1" a="1"/>
  <c r="J3218" i="1" a="1"/>
  <c r="J2824" i="1" a="1"/>
  <c r="J3675" i="1" a="1"/>
  <c r="J6005" i="1" a="1"/>
  <c r="J4155" i="1" a="1"/>
  <c r="J3824" i="1" a="1"/>
  <c r="E3202" i="1" a="1"/>
  <c r="E4551" i="1" a="1"/>
  <c r="E3539" i="1" a="1"/>
  <c r="J2743" i="1" a="1"/>
  <c r="J882" i="1" a="1"/>
  <c r="E2069" i="1" a="1"/>
  <c r="E4460" i="1" a="1"/>
  <c r="J3915" i="1" a="1"/>
  <c r="J4054" i="1" a="1"/>
  <c r="J4607" i="1" a="1"/>
  <c r="J2666" i="1" a="1"/>
  <c r="J1223" i="1" a="1"/>
  <c r="J2506" i="1" a="1"/>
  <c r="E3121" i="1" a="1"/>
  <c r="J2201" i="1" a="1"/>
  <c r="J4857" i="1" a="1"/>
  <c r="E4768" i="1" a="1"/>
  <c r="E5384" i="1" a="1"/>
  <c r="E4769" i="1" a="1"/>
  <c r="J3666" i="1" a="1"/>
  <c r="J4767" i="1" a="1"/>
  <c r="E4448" i="1" a="1"/>
  <c r="J4013" i="1" a="1"/>
  <c r="E4431" i="1" a="1"/>
  <c r="J3752" i="1" a="1"/>
  <c r="E4215" i="1" a="1"/>
  <c r="J5373" i="1" a="1"/>
  <c r="J3636" i="1" a="1"/>
  <c r="P51" i="1" a="1"/>
  <c r="E2406" i="1" a="1"/>
  <c r="J4177" i="1" a="1"/>
  <c r="E3963" i="1" a="1"/>
  <c r="J3266" i="1" a="1"/>
  <c r="J4262" i="1" a="1"/>
  <c r="E3872" i="1" a="1"/>
  <c r="E4314" i="1" a="1"/>
  <c r="J4252" i="1" a="1"/>
  <c r="E5436" i="1" a="1"/>
  <c r="E5117" i="1" a="1"/>
  <c r="J3356" i="1" a="1"/>
  <c r="E5043" i="1" a="1"/>
  <c r="J3595" i="1" a="1"/>
  <c r="J4616" i="1" a="1"/>
  <c r="J4641" i="1" a="1"/>
  <c r="E4089" i="1" a="1"/>
  <c r="E3505" i="1" a="1"/>
  <c r="E3192" i="1" a="1"/>
  <c r="E4790" i="1" a="1"/>
  <c r="J4434" i="1" a="1"/>
  <c r="J3997" i="1" a="1"/>
  <c r="J4580" i="1" a="1"/>
  <c r="E4946" i="1" a="1"/>
  <c r="E4773" i="1" a="1"/>
  <c r="E3907" i="1" a="1"/>
  <c r="E3448" i="1" a="1"/>
  <c r="J4432" i="1" a="1"/>
  <c r="J2937" i="1" a="1"/>
  <c r="E4540" i="1" a="1"/>
  <c r="J3443" i="1" a="1"/>
  <c r="J4134" i="1" a="1"/>
  <c r="J4165" i="1" a="1"/>
  <c r="Z212" i="1" a="1"/>
  <c r="E4038" i="1" a="1"/>
  <c r="J5012" i="1" a="1"/>
  <c r="E4517" i="1" a="1"/>
  <c r="E4471" i="1" a="1"/>
  <c r="E4216" i="1" a="1"/>
  <c r="J4026" i="1" a="1"/>
  <c r="E3059" i="1" a="1"/>
  <c r="E3867" i="1" a="1"/>
  <c r="J2840" i="1" a="1"/>
  <c r="E1804" i="1" a="1"/>
  <c r="E2875" i="1" a="1"/>
  <c r="J3388" i="1" a="1"/>
  <c r="E1456" i="1" a="1"/>
  <c r="J3994" i="1" a="1"/>
  <c r="E3101" i="1" a="1"/>
  <c r="J3799" i="1" a="1"/>
  <c r="E4036" i="1" a="1"/>
  <c r="J3995" i="1" a="1"/>
  <c r="E1298" i="1" a="1"/>
  <c r="J2859" i="1" a="1"/>
  <c r="J3037" i="1" a="1"/>
  <c r="J1596" i="1" a="1"/>
  <c r="J3379" i="1" a="1"/>
  <c r="J3523" i="1" a="1"/>
  <c r="J1535" i="1" a="1"/>
  <c r="E3731" i="1" a="1"/>
  <c r="E3276" i="1" a="1"/>
  <c r="J3878" i="1" a="1"/>
  <c r="J3278" i="1" a="1"/>
  <c r="J4074" i="1" a="1"/>
  <c r="J2537" i="1" a="1"/>
  <c r="E3378" i="1" a="1"/>
  <c r="E1564" i="1" a="1"/>
  <c r="E1791" i="1" a="1"/>
  <c r="E3176" i="1" a="1"/>
  <c r="J2863" i="1" a="1"/>
  <c r="Z419" i="1" a="1"/>
  <c r="E4033" i="1" a="1"/>
  <c r="J3411" i="1" a="1"/>
  <c r="E2793" i="1" a="1"/>
  <c r="J3884" i="1" a="1"/>
  <c r="J3502" i="1" a="1"/>
  <c r="J3296" i="1" a="1"/>
  <c r="J4776" i="1" a="1"/>
  <c r="E5178" i="1" a="1"/>
  <c r="J4561" i="1" a="1"/>
  <c r="J4436" i="1" a="1"/>
  <c r="E1903" i="1" a="1"/>
  <c r="E3196" i="1" a="1"/>
  <c r="J3017" i="1" a="1"/>
  <c r="J1984" i="1" a="1"/>
  <c r="J2837" i="1" a="1"/>
  <c r="J3063" i="1" a="1"/>
  <c r="J3313" i="1" a="1"/>
  <c r="J3551" i="1" a="1"/>
  <c r="E3160" i="1" a="1"/>
  <c r="E2507" i="1" a="1"/>
  <c r="E3120" i="1" a="1"/>
  <c r="J2183" i="1" a="1"/>
  <c r="E3444" i="1" a="1"/>
  <c r="J2364" i="1" a="1"/>
  <c r="E2837" i="1" a="1"/>
  <c r="E4731" i="1" a="1"/>
  <c r="J4925" i="1" a="1"/>
  <c r="J3767" i="1" a="1"/>
  <c r="E3531" i="1" a="1"/>
  <c r="J4437" i="1" a="1"/>
  <c r="J2853" i="1" a="1"/>
  <c r="E1670" i="1" a="1"/>
  <c r="J4478" i="1" a="1"/>
  <c r="J3980" i="1" a="1"/>
  <c r="J3688" i="1" a="1"/>
  <c r="J4568" i="1" a="1"/>
  <c r="J2357" i="1" a="1"/>
  <c r="E3138" i="1" a="1"/>
  <c r="E4161" i="1" a="1"/>
  <c r="J3274" i="1" a="1"/>
  <c r="J4008" i="1" a="1"/>
  <c r="E4107" i="1" a="1"/>
  <c r="E3108" i="1" a="1"/>
  <c r="J4036" i="1" a="1"/>
  <c r="E3988" i="1" a="1"/>
  <c r="J3839" i="1" a="1"/>
  <c r="E4680" i="1" a="1"/>
  <c r="E3304" i="1" a="1"/>
  <c r="E5001" i="1" a="1"/>
  <c r="J5605" i="1" a="1"/>
  <c r="E4054" i="1" a="1"/>
  <c r="J3597" i="1" a="1"/>
  <c r="J4014" i="1" a="1"/>
  <c r="J4665" i="1" a="1"/>
  <c r="J3532" i="1" a="1"/>
  <c r="E4339" i="1" a="1"/>
  <c r="J3026" i="1" a="1"/>
  <c r="E4646" i="1" a="1"/>
  <c r="J3231" i="1" a="1"/>
  <c r="J6007" i="1" a="1"/>
  <c r="J3841" i="1" a="1"/>
  <c r="E3817" i="1" a="1"/>
  <c r="E4516" i="1" a="1"/>
  <c r="J3908" i="1" a="1"/>
  <c r="E3446" i="1" a="1"/>
  <c r="E4615" i="1" a="1"/>
  <c r="J5748" i="1" a="1"/>
  <c r="J4381" i="1" a="1"/>
  <c r="J3923" i="1" a="1"/>
  <c r="J4040" i="1" a="1"/>
  <c r="J3401" i="1" a="1"/>
  <c r="E5141" i="1" a="1"/>
  <c r="J4207" i="1" a="1"/>
  <c r="E3408" i="1" a="1"/>
  <c r="J2965" i="1" a="1"/>
  <c r="J4672" i="1" a="1"/>
  <c r="E3749" i="1" a="1"/>
  <c r="E3764" i="1" a="1"/>
  <c r="J4804" i="1" a="1"/>
  <c r="J4107" i="1" a="1"/>
  <c r="E3246" i="1" a="1"/>
  <c r="E3508" i="1" a="1"/>
  <c r="J3471" i="1" a="1"/>
  <c r="J4458" i="1" a="1"/>
  <c r="Z270" i="1" a="1"/>
  <c r="J4103" i="1" a="1"/>
  <c r="E5022" i="1" a="1"/>
  <c r="J3682" i="1" a="1"/>
  <c r="E3394" i="1" a="1"/>
  <c r="J4904" i="1" a="1"/>
  <c r="J3367" i="1" a="1"/>
  <c r="E4503" i="1" a="1"/>
  <c r="J4909" i="1" a="1"/>
  <c r="J3970" i="1" a="1"/>
  <c r="E2977" i="1" a="1"/>
  <c r="J4331" i="1" a="1"/>
  <c r="E4500" i="1" a="1"/>
  <c r="E3800" i="1" a="1"/>
  <c r="J4429" i="1" a="1"/>
  <c r="E3021" i="1" a="1"/>
  <c r="J4254" i="1" a="1"/>
  <c r="J1540" i="1" a="1"/>
  <c r="J1745" i="1" a="1"/>
  <c r="J4425" i="1" a="1"/>
  <c r="J4174" i="1" a="1"/>
  <c r="E4086" i="1" a="1"/>
  <c r="E4854" i="1" a="1"/>
  <c r="J3744" i="1" a="1"/>
  <c r="E1880" i="1" a="1"/>
  <c r="J3999" i="1" a="1"/>
  <c r="E2927" i="1" a="1"/>
  <c r="J3062" i="1" a="1"/>
  <c r="J4112" i="1" a="1"/>
  <c r="J2861" i="1" a="1"/>
  <c r="E3962" i="1" a="1"/>
  <c r="J4839" i="1" a="1"/>
  <c r="J4662" i="1" a="1"/>
  <c r="J3556" i="1" a="1"/>
  <c r="J4779" i="1" a="1"/>
  <c r="E3012" i="1" a="1"/>
  <c r="E3985" i="1" a="1"/>
  <c r="E1226" i="1" a="1"/>
  <c r="J2920" i="1" a="1"/>
  <c r="E3307" i="1" a="1"/>
  <c r="E2484" i="1" a="1"/>
  <c r="E3098" i="1" a="1"/>
  <c r="E3568" i="1" a="1"/>
  <c r="E5068" i="1" a="1"/>
  <c r="E3354" i="1" a="1"/>
  <c r="J2620" i="1" a="1"/>
  <c r="J2526" i="1" a="1"/>
  <c r="J4175" i="1" a="1"/>
  <c r="E1957" i="1" a="1"/>
  <c r="E2100" i="1" a="1"/>
  <c r="J4916" i="1" a="1"/>
  <c r="J3050" i="1" a="1"/>
  <c r="E3433" i="1" a="1"/>
  <c r="E4568" i="1" a="1"/>
  <c r="J4828" i="1" a="1"/>
  <c r="E3518" i="1" a="1"/>
  <c r="E3486" i="1" a="1"/>
  <c r="E2011" i="1" a="1"/>
  <c r="J2890" i="1" a="1"/>
  <c r="J3961" i="1" a="1"/>
  <c r="E1799" i="1" a="1"/>
  <c r="E3660" i="1" a="1"/>
  <c r="E3611" i="1" a="1"/>
  <c r="E2216" i="1" a="1"/>
  <c r="E4349" i="1" a="1"/>
  <c r="J3123" i="1" a="1"/>
  <c r="J4143" i="1" a="1"/>
  <c r="J1872" i="1" a="1"/>
  <c r="E3303" i="1" a="1"/>
  <c r="E3653" i="1" a="1"/>
  <c r="J4216" i="1" a="1"/>
  <c r="J4553" i="1" a="1"/>
  <c r="J2239" i="1" a="1"/>
  <c r="E4713" i="1" a="1"/>
  <c r="J2226" i="1" a="1"/>
  <c r="E4669" i="1" a="1"/>
  <c r="J3406" i="1" a="1"/>
  <c r="J1499" i="1" a="1"/>
  <c r="E5051" i="1" a="1"/>
  <c r="E3931" i="1" a="1"/>
  <c r="E4426" i="1" a="1"/>
  <c r="J3470" i="1" a="1"/>
  <c r="E3640" i="1" a="1"/>
  <c r="E1508" i="1" a="1"/>
  <c r="E1711" i="1" a="1"/>
  <c r="J3653" i="1" a="1"/>
  <c r="E969" i="1" a="1"/>
  <c r="E3896" i="1" a="1"/>
  <c r="E3612" i="1" a="1"/>
  <c r="J5225" i="1" a="1"/>
  <c r="P223" i="1" a="1"/>
  <c r="J4140" i="1" a="1"/>
  <c r="J5635" i="1" a="1"/>
  <c r="J5588" i="1" a="1"/>
  <c r="E5397" i="1" a="1"/>
  <c r="E5922" i="1" a="1"/>
  <c r="E4108" i="1" a="1"/>
  <c r="E3443" i="1" a="1"/>
  <c r="E3487" i="1" a="1"/>
  <c r="J4728" i="1" a="1"/>
  <c r="J3943" i="1" a="1"/>
  <c r="E4661" i="1" a="1"/>
  <c r="J4242" i="1" a="1"/>
  <c r="E3111" i="1" a="1"/>
  <c r="J3893" i="1" a="1"/>
  <c r="J3870" i="1" a="1"/>
  <c r="E4313" i="1" a="1"/>
  <c r="E3795" i="1" a="1"/>
  <c r="E3902" i="1" a="1"/>
  <c r="E4628" i="1" a="1"/>
  <c r="E3352" i="1" a="1"/>
  <c r="J5870" i="1" a="1"/>
  <c r="E4685" i="1" a="1"/>
  <c r="E4223" i="1" a="1"/>
  <c r="E4354" i="1" a="1"/>
  <c r="J4768" i="1" a="1"/>
  <c r="J4264" i="1" a="1"/>
  <c r="J3459" i="1" a="1"/>
  <c r="E3641" i="1" a="1"/>
  <c r="J3852" i="1" a="1"/>
  <c r="J4982" i="1" a="1"/>
  <c r="J3376" i="1" a="1"/>
  <c r="E4969" i="1" a="1"/>
  <c r="J3524" i="1" a="1"/>
  <c r="J4191" i="1" a="1"/>
  <c r="E3650" i="1" a="1"/>
  <c r="J4195" i="1" a="1"/>
  <c r="J5504" i="1" a="1"/>
  <c r="J5086" i="1" a="1"/>
  <c r="E4212" i="1" a="1"/>
  <c r="E3651" i="1" a="1"/>
  <c r="E4885" i="1" a="1"/>
  <c r="E4414" i="1" a="1"/>
  <c r="E4124" i="1" a="1"/>
  <c r="E3256" i="1" a="1"/>
  <c r="E4209" i="1" a="1"/>
  <c r="J4445" i="1" a="1"/>
  <c r="E4026" i="1" a="1"/>
  <c r="J3669" i="1" a="1"/>
  <c r="J3535" i="1" a="1"/>
  <c r="E2627" i="1" a="1"/>
  <c r="J3098" i="1" a="1"/>
  <c r="J2849" i="1" a="1"/>
  <c r="J5036" i="1" a="1"/>
  <c r="E2948" i="1" a="1"/>
  <c r="J2544" i="1" a="1"/>
  <c r="J5399" i="1" a="1"/>
  <c r="E5640" i="1" a="1"/>
  <c r="E4699" i="1" a="1"/>
  <c r="J4762" i="1" a="1"/>
  <c r="E4935" i="1" a="1"/>
  <c r="J2617" i="1" a="1"/>
  <c r="E3658" i="1" a="1"/>
  <c r="J3483" i="1" a="1"/>
  <c r="J2066" i="1" a="1"/>
  <c r="E2938" i="1" a="1"/>
  <c r="J4291" i="1" a="1"/>
  <c r="E1202" i="1" a="1"/>
  <c r="J2884" i="1" a="1"/>
  <c r="E2575" i="1" a="1"/>
  <c r="J4499" i="1" a="1"/>
  <c r="E2763" i="1" a="1"/>
  <c r="J1829" i="1" a="1"/>
  <c r="E4315" i="1" a="1"/>
  <c r="E3134" i="1" a="1"/>
  <c r="J2983" i="1" a="1"/>
  <c r="E3093" i="1" a="1"/>
  <c r="E4222" i="1" a="1"/>
  <c r="E2710" i="1" a="1"/>
  <c r="J4410" i="1" a="1"/>
  <c r="E3856" i="1" a="1"/>
  <c r="J2336" i="1" a="1"/>
  <c r="J2581" i="1" a="1"/>
  <c r="J1409" i="1" a="1"/>
  <c r="E3858" i="1" a="1"/>
  <c r="J2838" i="1" a="1"/>
  <c r="E1535" i="1" a="1"/>
  <c r="J5140" i="1" a="1"/>
  <c r="E2990" i="1" a="1"/>
  <c r="J4846" i="1" a="1"/>
  <c r="J3747" i="1" a="1"/>
  <c r="J2704" i="1" a="1"/>
  <c r="E4138" i="1" a="1"/>
  <c r="J3055" i="1" a="1"/>
  <c r="J3713" i="1" a="1"/>
  <c r="J3790" i="1" a="1"/>
  <c r="E1501" i="1" a="1"/>
  <c r="J4050" i="1" a="1"/>
  <c r="J3121" i="1" a="1"/>
  <c r="E3883" i="1" a="1"/>
  <c r="J3355" i="1" a="1"/>
  <c r="E4016" i="1" a="1"/>
  <c r="J4750" i="1" a="1"/>
  <c r="E3526" i="1" a="1"/>
  <c r="J5312" i="1" a="1"/>
  <c r="J1814" i="1" a="1"/>
  <c r="E3915" i="1" a="1"/>
  <c r="E4330" i="1" a="1"/>
  <c r="E3592" i="1" a="1"/>
  <c r="J4034" i="1" a="1"/>
  <c r="J2827" i="1" a="1"/>
  <c r="E2353" i="1" a="1"/>
  <c r="E5300" i="1" a="1"/>
  <c r="Z78" i="1" a="1"/>
  <c r="E4017" i="1" a="1"/>
  <c r="E4869" i="1" a="1"/>
  <c r="J4841" i="1" a="1"/>
  <c r="J5835" i="1" a="1"/>
  <c r="E4600" i="1" a="1"/>
  <c r="E5222" i="1" a="1"/>
  <c r="E3773" i="1" a="1"/>
  <c r="E4825" i="1" a="1"/>
  <c r="J4377" i="1" a="1"/>
  <c r="E4559" i="1" a="1"/>
  <c r="J4418" i="1" a="1"/>
  <c r="E4120" i="1" a="1"/>
  <c r="E4867" i="1" a="1"/>
  <c r="E5248" i="1" a="1"/>
  <c r="J3921" i="1" a="1"/>
  <c r="J3540" i="1" a="1"/>
  <c r="E3794" i="1" a="1"/>
  <c r="E3903" i="1" a="1"/>
  <c r="E4010" i="1" a="1"/>
  <c r="E4418" i="1" a="1"/>
  <c r="E3371" i="1" a="1"/>
  <c r="E4476" i="1" a="1"/>
  <c r="E4338" i="1" a="1"/>
  <c r="E3828" i="1" a="1"/>
  <c r="E3026" i="1" a="1"/>
  <c r="J3910" i="1" a="1"/>
  <c r="E5762" i="1" a="1"/>
  <c r="E5272" i="1" a="1"/>
  <c r="E5753" i="1" a="1"/>
  <c r="P284" i="1" a="1"/>
  <c r="E3697" i="1" a="1"/>
  <c r="E3709" i="1" a="1"/>
  <c r="J2312" i="1" a="1"/>
  <c r="E3894" i="1" a="1"/>
  <c r="J4073" i="1" a="1"/>
  <c r="E4809" i="1" a="1"/>
  <c r="J4480" i="1" a="1"/>
  <c r="J5777" i="1" a="1"/>
  <c r="E4807" i="1" a="1"/>
  <c r="E3656" i="1" a="1"/>
  <c r="E5030" i="1" a="1"/>
  <c r="J3505" i="1" a="1"/>
  <c r="J4907" i="1" a="1"/>
  <c r="J4476" i="1" a="1"/>
  <c r="J2671" i="1" a="1"/>
  <c r="E5052" i="1" a="1"/>
  <c r="J4196" i="1" a="1"/>
  <c r="J4189" i="1" a="1"/>
  <c r="J3428" i="1" a="1"/>
  <c r="E3002" i="1" a="1"/>
  <c r="E2405" i="1" a="1"/>
  <c r="J1727" i="1" a="1"/>
  <c r="E3857" i="1" a="1"/>
  <c r="J3460" i="1" a="1"/>
  <c r="J2848" i="1" a="1"/>
  <c r="J4673" i="1" a="1"/>
  <c r="J4349" i="1" a="1"/>
  <c r="E5207" i="1" a="1"/>
  <c r="E4545" i="1" a="1"/>
  <c r="J4637" i="1" a="1"/>
  <c r="E2899" i="1" a="1"/>
  <c r="E4474" i="1" a="1"/>
  <c r="E4706" i="1" a="1"/>
  <c r="J1851" i="1" a="1"/>
  <c r="J2232" i="1" a="1"/>
  <c r="E4122" i="1" a="1"/>
  <c r="E3156" i="1" a="1"/>
  <c r="J3600" i="1" a="1"/>
  <c r="J3032" i="1" a="1"/>
  <c r="J4233" i="1" a="1"/>
  <c r="E5151" i="1" a="1"/>
  <c r="E3870" i="1" a="1"/>
  <c r="J4754" i="1" a="1"/>
  <c r="E2222" i="1" a="1"/>
  <c r="J3142" i="1" a="1"/>
  <c r="J2375" i="1" a="1"/>
  <c r="E3090" i="1" a="1"/>
  <c r="J2720" i="1" a="1"/>
  <c r="E3071" i="1" a="1"/>
  <c r="E5749" i="1" a="1"/>
  <c r="J3236" i="1" a="1"/>
  <c r="E3776" i="1" a="1"/>
  <c r="E5259" i="1" a="1"/>
  <c r="E5096" i="1" a="1"/>
  <c r="J2959" i="1" a="1"/>
  <c r="J3822" i="1" a="1"/>
  <c r="J2711" i="1" a="1"/>
  <c r="E3630" i="1" a="1"/>
  <c r="E3765" i="1" a="1"/>
  <c r="E3927" i="1" a="1"/>
  <c r="E2273" i="1" a="1"/>
  <c r="E2951" i="1" a="1"/>
  <c r="E3557" i="1" a="1"/>
  <c r="J4602" i="1" a="1"/>
  <c r="E2434" i="1" a="1"/>
  <c r="J4842" i="1" a="1"/>
  <c r="E4718" i="1" a="1"/>
  <c r="J5713" i="1" a="1"/>
  <c r="J2947" i="1" a="1"/>
  <c r="E3519" i="1" a="1"/>
  <c r="E3191" i="1" a="1"/>
  <c r="J2402" i="1" a="1"/>
  <c r="J3649" i="1" a="1"/>
  <c r="J1511" i="1" a="1"/>
  <c r="E2317" i="1" a="1"/>
  <c r="J3587" i="1" a="1"/>
  <c r="J3486" i="1" a="1"/>
  <c r="E3187" i="1" a="1"/>
  <c r="J3802" i="1" a="1"/>
  <c r="E3288" i="1" a="1"/>
  <c r="J2233" i="1" a="1"/>
  <c r="E2810" i="1" a="1"/>
  <c r="E3646" i="1" a="1"/>
  <c r="J1452" i="1" a="1"/>
  <c r="E5654" i="1" a="1"/>
  <c r="J2993" i="1" a="1"/>
  <c r="E1647" i="1" a="1"/>
  <c r="E3667" i="1" a="1"/>
  <c r="E4268" i="1" a="1"/>
  <c r="E3847" i="1" a="1"/>
  <c r="J1917" i="1" a="1"/>
  <c r="J3369" i="1" a="1"/>
  <c r="E4762" i="1" a="1"/>
  <c r="E3537" i="1" a="1"/>
  <c r="J3190" i="1" a="1"/>
  <c r="J2998" i="1" a="1"/>
  <c r="J5063" i="1" a="1"/>
  <c r="J1252" i="1" a="1"/>
  <c r="J3643" i="1" a="1"/>
  <c r="E2400" i="1" a="1"/>
  <c r="E2140" i="1" a="1"/>
  <c r="E4220" i="1" a="1"/>
  <c r="J4761" i="1" a="1"/>
  <c r="E4056" i="1" a="1"/>
  <c r="J2633" i="1" a="1"/>
  <c r="J2437" i="1" a="1"/>
  <c r="E4859" i="1" a="1"/>
  <c r="J4457" i="1" a="1"/>
  <c r="E5311" i="1" a="1"/>
  <c r="J4955" i="1" a="1"/>
  <c r="E4514" i="1" a="1"/>
  <c r="J5464" i="1" a="1"/>
  <c r="E4251" i="1" a="1"/>
  <c r="J3974" i="1" a="1"/>
  <c r="E3666" i="1" a="1"/>
  <c r="J3042" i="1" a="1"/>
  <c r="E3450" i="1" a="1"/>
  <c r="E5204" i="1" a="1"/>
  <c r="J4572" i="1" a="1"/>
  <c r="J5637" i="1" a="1"/>
  <c r="J3462" i="1" a="1"/>
  <c r="E3966" i="1" a="1"/>
  <c r="J4213" i="1" a="1"/>
  <c r="J4735" i="1" a="1"/>
  <c r="J3777" i="1" a="1"/>
  <c r="J3951" i="1" a="1"/>
  <c r="E4282" i="1" a="1"/>
  <c r="E4200" i="1" a="1"/>
  <c r="J2605" i="1" a="1"/>
  <c r="J4446" i="1" a="1"/>
  <c r="J4873" i="1" a="1"/>
  <c r="E4764" i="1" a="1"/>
  <c r="J3622" i="1" a="1"/>
  <c r="E3214" i="1" a="1"/>
  <c r="J5059" i="1" a="1"/>
  <c r="J5672" i="1" a="1"/>
  <c r="J4342" i="1" a="1"/>
  <c r="J4409" i="1" a="1"/>
  <c r="E3600" i="1" a="1"/>
  <c r="J4098" i="1" a="1"/>
  <c r="E4310" i="1" a="1"/>
  <c r="E3743" i="1" a="1"/>
  <c r="J5525" i="1" a="1"/>
  <c r="J4448" i="1" a="1"/>
  <c r="E4063" i="1" a="1"/>
  <c r="E3879" i="1" a="1"/>
  <c r="E4199" i="1" a="1"/>
  <c r="J5849" i="1" a="1"/>
  <c r="J4515" i="1" a="1"/>
  <c r="E3733" i="1" a="1"/>
  <c r="J4178" i="1" a="1"/>
  <c r="E4729" i="1" a="1"/>
  <c r="J3391" i="1" a="1"/>
  <c r="J3973" i="1" a="1"/>
  <c r="E2481" i="1" a="1"/>
  <c r="E3198" i="1" a="1"/>
  <c r="J3617" i="1" a="1"/>
  <c r="E3548" i="1" a="1"/>
  <c r="E4958" i="1" a="1"/>
  <c r="E1326" i="1" a="1"/>
  <c r="J4249" i="1" a="1"/>
  <c r="E1841" i="1" a="1"/>
  <c r="J2803" i="1" a="1"/>
  <c r="E4045" i="1" a="1"/>
  <c r="J5965" i="1" a="1"/>
  <c r="J3465" i="1" a="1"/>
  <c r="J4542" i="1" a="1"/>
  <c r="E4523" i="1" a="1"/>
  <c r="E3006" i="1" a="1"/>
  <c r="E2921" i="1" a="1"/>
  <c r="E2790" i="1" a="1"/>
  <c r="J4997" i="1" a="1"/>
  <c r="J1522" i="1" a="1"/>
  <c r="J3449" i="1" a="1"/>
  <c r="E4399" i="1" a="1"/>
  <c r="Z251" i="1" a="1"/>
  <c r="E5518" i="1" a="1"/>
  <c r="E4391" i="1" a="1"/>
  <c r="J4378" i="1" a="1"/>
  <c r="J4024" i="1" a="1"/>
  <c r="E3010" i="1" a="1"/>
  <c r="E2190" i="1" a="1"/>
  <c r="J3998" i="1" a="1"/>
  <c r="E2248" i="1" a="1"/>
  <c r="J2887" i="1" a="1"/>
  <c r="J3766" i="1" a="1"/>
  <c r="J1755" i="1" a="1"/>
  <c r="E3911" i="1" a="1"/>
  <c r="E4537" i="1" a="1"/>
  <c r="E2885" i="1" a="1"/>
  <c r="E4550" i="1" a="1"/>
  <c r="J3102" i="1" a="1"/>
  <c r="E1679" i="1" a="1"/>
  <c r="E1871" i="1" a="1"/>
  <c r="J3485" i="1" a="1"/>
  <c r="E2189" i="1" a="1"/>
  <c r="J4224" i="1" a="1"/>
  <c r="E3320" i="1" a="1"/>
  <c r="E2262" i="1" a="1"/>
  <c r="J2641" i="1" a="1"/>
  <c r="J3425" i="1" a="1"/>
  <c r="E3905" i="1" a="1"/>
  <c r="E2788" i="1" a="1"/>
  <c r="J1824" i="1" a="1"/>
  <c r="E5844" i="1" a="1"/>
  <c r="E3201" i="1" a="1"/>
  <c r="E2805" i="1" a="1"/>
  <c r="E2623" i="1" a="1"/>
  <c r="E3833" i="1" a="1"/>
  <c r="E2955" i="1" a="1"/>
  <c r="E2646" i="1" a="1"/>
  <c r="E4640" i="1" a="1"/>
  <c r="J3574" i="1" a="1"/>
  <c r="E4491" i="1" a="1"/>
  <c r="E5986" i="1" a="1"/>
  <c r="E1350" i="1" a="1"/>
  <c r="J3264" i="1" a="1"/>
  <c r="J4231" i="1" a="1"/>
  <c r="E4341" i="1" a="1"/>
  <c r="J4831" i="1" a="1"/>
  <c r="J4588" i="1" a="1"/>
  <c r="E3957" i="1" a="1"/>
  <c r="J3724" i="1" a="1"/>
  <c r="J3962" i="1" a="1"/>
  <c r="E4082" i="1" a="1"/>
  <c r="E2715" i="1" a="1"/>
  <c r="J1991" i="1" a="1"/>
  <c r="E3140" i="1" a="1"/>
  <c r="E2383" i="1" a="1"/>
  <c r="E2263" i="1" a="1"/>
  <c r="E3260" i="1" a="1"/>
  <c r="E3490" i="1" a="1"/>
  <c r="E3400" i="1" a="1"/>
  <c r="E5404" i="1" a="1"/>
  <c r="E4791" i="1" a="1"/>
  <c r="J4608" i="1" a="1"/>
  <c r="E5709" i="1" a="1"/>
  <c r="J4793" i="1" a="1"/>
  <c r="E4983" i="1" a="1"/>
  <c r="E3845" i="1" a="1"/>
  <c r="E3431" i="1" a="1"/>
  <c r="E4187" i="1" a="1"/>
  <c r="E3782" i="1" a="1"/>
  <c r="E4547" i="1" a="1"/>
  <c r="E4325" i="1" a="1"/>
  <c r="E3076" i="1" a="1"/>
  <c r="J5091" i="1" a="1"/>
  <c r="E3282" i="1" a="1"/>
  <c r="J5149" i="1" a="1"/>
  <c r="J3789" i="1" a="1"/>
  <c r="E3701" i="1" a="1"/>
  <c r="J4589" i="1" a="1"/>
  <c r="E5933" i="1" a="1"/>
  <c r="J4940" i="1" a="1"/>
  <c r="E4463" i="1" a="1"/>
  <c r="E3145" i="1" a="1"/>
  <c r="E3980" i="1" a="1"/>
  <c r="E4466" i="1" a="1"/>
  <c r="E5739" i="1" a="1"/>
  <c r="J3967" i="1" a="1"/>
  <c r="E2879" i="1" a="1"/>
  <c r="J3469" i="1" a="1"/>
  <c r="J4770" i="1" a="1"/>
  <c r="E4564" i="1" a="1"/>
  <c r="E3722" i="1" a="1"/>
  <c r="E4322" i="1" a="1"/>
  <c r="E4148" i="1" a="1"/>
  <c r="E3668" i="1" a="1"/>
  <c r="E4073" i="1" a="1"/>
  <c r="E4286" i="1" a="1"/>
  <c r="E3781" i="1" a="1"/>
  <c r="E3769" i="1" a="1"/>
  <c r="J4702" i="1" a="1"/>
  <c r="E4716" i="1" a="1"/>
  <c r="E4982" i="1" a="1"/>
  <c r="J4015" i="1" a="1"/>
  <c r="J4001" i="1" a="1"/>
  <c r="E3340" i="1" a="1"/>
  <c r="E4822" i="1" a="1"/>
  <c r="J4237" i="1" a="1"/>
  <c r="E4041" i="1" a="1"/>
  <c r="E4163" i="1" a="1"/>
  <c r="E3181" i="1" a="1"/>
  <c r="E3890" i="1" a="1"/>
  <c r="E1916" i="1" a="1"/>
  <c r="J3916" i="1" a="1"/>
  <c r="J2891" i="1" a="1"/>
  <c r="J2854" i="1" a="1"/>
  <c r="J1893" i="1" a="1"/>
  <c r="J2346" i="1" a="1"/>
  <c r="E4672" i="1" a="1"/>
  <c r="J4315" i="1" a="1"/>
  <c r="E1374" i="1" a="1"/>
  <c r="J3745" i="1" a="1"/>
  <c r="J2974" i="1" a="1"/>
  <c r="J2319" i="1" a="1"/>
  <c r="E4546" i="1" a="1"/>
  <c r="E1937" i="1" a="1"/>
  <c r="J3398" i="1" a="1"/>
  <c r="E3993" i="1" a="1"/>
  <c r="E1867" i="1" a="1"/>
  <c r="E2691" i="1" a="1"/>
  <c r="E3969" i="1" a="1"/>
  <c r="J4109" i="1" a="1"/>
  <c r="J3440" i="1" a="1"/>
  <c r="J2994" i="1" a="1"/>
  <c r="E1975" i="1" a="1"/>
  <c r="E4804" i="1" a="1"/>
  <c r="J2823" i="1" a="1"/>
  <c r="J1779" i="1" a="1"/>
  <c r="J3698" i="1" a="1"/>
  <c r="J2173" i="1" a="1"/>
  <c r="J2139" i="1" a="1"/>
  <c r="E2288" i="1" a="1"/>
  <c r="J3817" i="1" a="1"/>
  <c r="E4154" i="1" a="1"/>
  <c r="J1549" i="1" a="1"/>
  <c r="E3799" i="1" a="1"/>
  <c r="E1755" i="1" a="1"/>
  <c r="E5071" i="1" a="1"/>
  <c r="J2459" i="1" a="1"/>
  <c r="J2608" i="1" a="1"/>
  <c r="E3922" i="1" a="1"/>
  <c r="E2890" i="1" a="1"/>
  <c r="J4956" i="1" a="1"/>
  <c r="J3267" i="1" a="1"/>
  <c r="J3909" i="1" a="1"/>
  <c r="J1542" i="1" a="1"/>
  <c r="J3203" i="1" a="1"/>
  <c r="E3784" i="1" a="1"/>
  <c r="E2682" i="1" a="1"/>
  <c r="J3533" i="1" a="1"/>
  <c r="J4670" i="1" a="1"/>
  <c r="E3736" i="1" a="1"/>
  <c r="E5159" i="1" a="1"/>
  <c r="E3244" i="1" a="1"/>
  <c r="J1415" i="1" a="1"/>
  <c r="E2785" i="1" a="1"/>
  <c r="E3810" i="1" a="1"/>
  <c r="J2152" i="1" a="1"/>
  <c r="J4488" i="1" a="1"/>
  <c r="J3758" i="1" a="1"/>
  <c r="E2555" i="1" a="1"/>
  <c r="E2911" i="1" a="1"/>
  <c r="E2079" i="1" a="1"/>
  <c r="E3274" i="1" a="1"/>
  <c r="E5915" i="1" a="1"/>
  <c r="E4394" i="1" a="1"/>
  <c r="J4733" i="1" a="1"/>
  <c r="J3977" i="1" a="1"/>
  <c r="J4229" i="1" a="1"/>
  <c r="J3736" i="1" a="1"/>
  <c r="E4534" i="1" a="1"/>
  <c r="E4730" i="1" a="1"/>
  <c r="J4974" i="1" a="1"/>
  <c r="E3588" i="1" a="1"/>
  <c r="E4404" i="1" a="1"/>
  <c r="E2978" i="1" a="1"/>
  <c r="E4265" i="1" a="1"/>
  <c r="J1889" i="1" a="1"/>
  <c r="E4153" i="1" a="1"/>
  <c r="E3768" i="1" a="1"/>
  <c r="E3275" i="1" a="1"/>
  <c r="E3632" i="1" a="1"/>
  <c r="E4727" i="1" a="1"/>
  <c r="E3172" i="1" a="1"/>
  <c r="J3060" i="1" a="1"/>
  <c r="J4258" i="1" a="1"/>
  <c r="J2784" i="1" a="1"/>
  <c r="E2828" i="1" a="1"/>
  <c r="J4092" i="1" a="1"/>
  <c r="J2569" i="1" a="1"/>
  <c r="E1643" i="1" a="1"/>
  <c r="J3108" i="1" a="1"/>
  <c r="E4253" i="1" a="1"/>
  <c r="E5361" i="1" a="1"/>
  <c r="J4065" i="1" a="1"/>
  <c r="J3924" i="1" a="1"/>
  <c r="J3610" i="1" a="1"/>
  <c r="E2036" i="1" a="1"/>
  <c r="E1719" i="1" a="1"/>
  <c r="E3285" i="1" a="1"/>
  <c r="J5530" i="1" a="1"/>
  <c r="E4318" i="1" a="1"/>
  <c r="E3732" i="1" a="1"/>
  <c r="E4613" i="1" a="1"/>
  <c r="J2087" i="1" a="1"/>
  <c r="Z85" i="1" a="1"/>
  <c r="J3844" i="1" a="1"/>
  <c r="E2856" i="1" a="1"/>
  <c r="J3402" i="1" a="1"/>
  <c r="E4735" i="1" a="1"/>
  <c r="J1890" i="1" a="1"/>
  <c r="E2086" i="1" a="1"/>
  <c r="J2580" i="1" a="1"/>
  <c r="J3593" i="1" a="1"/>
  <c r="E4141" i="1" a="1"/>
  <c r="E1259" i="1" a="1"/>
  <c r="E2614" i="1" a="1"/>
  <c r="J3708" i="1" a="1"/>
  <c r="E747" i="1" a="1"/>
  <c r="J3001" i="1" a="1"/>
  <c r="E4204" i="1" a="1"/>
  <c r="E4065" i="1" a="1"/>
  <c r="E2675" i="1" a="1"/>
  <c r="E2424" i="1" a="1"/>
  <c r="J2304" i="1" a="1"/>
  <c r="E2123" i="1" a="1"/>
  <c r="J1400" i="1" a="1"/>
  <c r="E1954" i="1" a="1"/>
  <c r="J2602" i="1" a="1"/>
  <c r="J1533" i="1" a="1"/>
  <c r="J3484" i="1" a="1"/>
  <c r="E2193" i="1" a="1"/>
  <c r="J3450" i="1" a="1"/>
  <c r="E2049" i="1" a="1"/>
  <c r="E972" i="1" a="1"/>
  <c r="J2110" i="1" a="1"/>
  <c r="E2148" i="1" a="1"/>
  <c r="J2153" i="1" a="1"/>
  <c r="E800" i="1" a="1"/>
  <c r="E1340" i="1" a="1"/>
  <c r="E3692" i="1" a="1"/>
  <c r="E2522" i="1" a="1"/>
  <c r="E3887" i="1" a="1"/>
  <c r="J3257" i="1" a="1"/>
  <c r="J4253" i="1" a="1"/>
  <c r="J3866" i="1" a="1"/>
  <c r="E1207" i="1" a="1"/>
  <c r="J3195" i="1" a="1"/>
  <c r="E3078" i="1" a="1"/>
  <c r="J709" i="1" a="1"/>
  <c r="E3036" i="1" a="1"/>
  <c r="J3806" i="1" a="1"/>
  <c r="J3627" i="1" a="1"/>
  <c r="J2686" i="1" a="1"/>
  <c r="E3462" i="1" a="1"/>
  <c r="J3022" i="1" a="1"/>
  <c r="J3644" i="1" a="1"/>
  <c r="J3492" i="1" a="1"/>
  <c r="J1199" i="1" a="1"/>
  <c r="J1582" i="1" a="1"/>
  <c r="J1957" i="1" a="1"/>
  <c r="E2730" i="1" a="1"/>
  <c r="E3955" i="1" a="1"/>
  <c r="J2680" i="1" a="1"/>
  <c r="J4261" i="1" a="1"/>
  <c r="J5977" i="1" a="1"/>
  <c r="E4978" i="1" a="1"/>
  <c r="E3804" i="1" a="1"/>
  <c r="E3878" i="1" a="1"/>
  <c r="E3975" i="1" a="1"/>
  <c r="J5137" i="1" a="1"/>
  <c r="E3270" i="1" a="1"/>
  <c r="J3575" i="1" a="1"/>
  <c r="J5117" i="1" a="1"/>
  <c r="J3248" i="1" a="1"/>
  <c r="J4021" i="1" a="1"/>
  <c r="J3072" i="1" a="1"/>
  <c r="E3740" i="1" a="1"/>
  <c r="E3929" i="1" a="1"/>
  <c r="E4151" i="1" a="1"/>
  <c r="J4386" i="1" a="1"/>
  <c r="J1871" i="1" a="1"/>
  <c r="J3326" i="1" a="1"/>
  <c r="J4225" i="1" a="1"/>
  <c r="E1849" i="1" a="1"/>
  <c r="E4277" i="1" a="1"/>
  <c r="J3180" i="1" a="1"/>
  <c r="J2399" i="1" a="1"/>
  <c r="J2456" i="1" a="1"/>
  <c r="E4346" i="1" a="1"/>
  <c r="J3157" i="1" a="1"/>
  <c r="E3622" i="1" a="1"/>
  <c r="J1926" i="1" a="1"/>
  <c r="E4261" i="1" a="1"/>
  <c r="J3670" i="1" a="1"/>
  <c r="E3335" i="1" a="1"/>
  <c r="J3808" i="1" a="1"/>
  <c r="J3623" i="1" a="1"/>
  <c r="J2203" i="1" a="1"/>
  <c r="J2766" i="1" a="1"/>
  <c r="J3318" i="1" a="1"/>
  <c r="E3796" i="1" a="1"/>
  <c r="E3338" i="1" a="1"/>
  <c r="J3813" i="1" a="1"/>
  <c r="J3645" i="1" a="1"/>
  <c r="J3853" i="1" a="1"/>
  <c r="J4300" i="1" a="1"/>
  <c r="E3766" i="1" a="1"/>
  <c r="J2054" i="1" a="1"/>
  <c r="E4250" i="1" a="1"/>
  <c r="J2564" i="1" a="1"/>
  <c r="E3106" i="1" a="1"/>
  <c r="E1925" i="1" a="1"/>
  <c r="J4137" i="1" a="1"/>
  <c r="J2444" i="1" a="1"/>
  <c r="J2675" i="1" a="1"/>
  <c r="J3283" i="1" a="1"/>
  <c r="J965" i="1" a="1"/>
  <c r="J2832" i="1" a="1"/>
  <c r="J1613" i="1" a="1"/>
  <c r="J3020" i="1" a="1"/>
  <c r="J2492" i="1" a="1"/>
  <c r="J3384" i="1" a="1"/>
  <c r="E1277" i="1" a="1"/>
  <c r="J2208" i="1" a="1"/>
  <c r="J3823" i="1" a="1"/>
  <c r="J3795" i="1" a="1"/>
  <c r="J2929" i="1" a="1"/>
  <c r="J1807" i="1" a="1"/>
  <c r="J3045" i="1" a="1"/>
  <c r="J1650" i="1" a="1"/>
  <c r="J4544" i="1" a="1"/>
  <c r="E3792" i="1" a="1"/>
  <c r="E3543" i="1" a="1"/>
  <c r="J2238" i="1" a="1"/>
  <c r="E3970" i="1" a="1"/>
  <c r="J2714" i="1" a="1"/>
  <c r="J792" i="1" a="1"/>
  <c r="J2639" i="1" a="1"/>
  <c r="J1982" i="1" a="1"/>
  <c r="E4178" i="1" a="1"/>
  <c r="J3793" i="1" a="1"/>
  <c r="E2855" i="1" a="1"/>
  <c r="E3535" i="1" a="1"/>
  <c r="E3682" i="1" a="1"/>
  <c r="E4902" i="1" a="1"/>
  <c r="E1185" i="1" a="1"/>
  <c r="J3573" i="1" a="1"/>
  <c r="E808" i="1" a="1"/>
  <c r="E1496" i="1" a="1"/>
  <c r="J2541" i="1" a="1"/>
  <c r="E1949" i="1" a="1"/>
  <c r="J3310" i="1" a="1"/>
  <c r="E4359" i="1" a="1"/>
  <c r="J485" i="1" a="1"/>
  <c r="E2418" i="1" a="1"/>
  <c r="J2584" i="1" a="1"/>
  <c r="J2247" i="1" a="1"/>
  <c r="J1794" i="1" a="1"/>
  <c r="J4076" i="1" a="1"/>
  <c r="J1625" i="1" a="1"/>
  <c r="E2624" i="1" a="1"/>
  <c r="J1102" i="1" a="1"/>
  <c r="E4284" i="1" a="1"/>
  <c r="E2169" i="1" a="1"/>
  <c r="J3439" i="1" a="1"/>
  <c r="J2870" i="1" a="1"/>
  <c r="E2147" i="1" a="1"/>
  <c r="J4028" i="1" a="1"/>
  <c r="J1116" i="1" a="1"/>
  <c r="J1664" i="1" a="1"/>
  <c r="E2983" i="1" a="1"/>
  <c r="E3410" i="1" a="1"/>
  <c r="J3979" i="1" a="1"/>
  <c r="J1898" i="1" a="1"/>
  <c r="J3047" i="1" a="1"/>
  <c r="E3780" i="1" a="1"/>
  <c r="E3738" i="1" a="1"/>
  <c r="E3753" i="1" a="1"/>
  <c r="J993" i="1" a="1"/>
  <c r="J2540" i="1" a="1"/>
  <c r="J2425" i="1" a="1"/>
  <c r="J4000" i="1" a="1"/>
  <c r="J4634" i="1" a="1"/>
  <c r="J3875" i="1" a="1"/>
  <c r="J4659" i="1" a="1"/>
  <c r="J818" i="1" a="1"/>
  <c r="E3361" i="1" a="1"/>
  <c r="E4165" i="1" a="1"/>
  <c r="J2024" i="1" a="1"/>
  <c r="E2701" i="1" a="1"/>
  <c r="E4679" i="1" a="1"/>
  <c r="E4293" i="1" a="1"/>
  <c r="J4350" i="1" a="1"/>
  <c r="J5051" i="1" a="1"/>
  <c r="E4233" i="1" a="1"/>
  <c r="J4164" i="1" a="1"/>
  <c r="E3280" i="1" a="1"/>
  <c r="J4250" i="1" a="1"/>
  <c r="E3238" i="1" a="1"/>
  <c r="E4662" i="1" a="1"/>
  <c r="E5909" i="1" a="1"/>
  <c r="E2800" i="1" a="1"/>
  <c r="J4132" i="1" a="1"/>
  <c r="J3039" i="1" a="1"/>
  <c r="J1918" i="1" a="1"/>
  <c r="E3247" i="1" a="1"/>
  <c r="E3730" i="1" a="1"/>
  <c r="E4133" i="1" a="1"/>
  <c r="E2672" i="1" a="1"/>
  <c r="E1582" i="1" a="1"/>
  <c r="E3529" i="1" a="1"/>
  <c r="J3358" i="1" a="1"/>
  <c r="J4725" i="1" a="1"/>
  <c r="J1322" i="1" a="1"/>
  <c r="E2571" i="1" a="1"/>
  <c r="J5653" i="1" a="1"/>
  <c r="J4035" i="1" a="1"/>
  <c r="J3336" i="1" a="1"/>
  <c r="J3905" i="1" a="1"/>
  <c r="E3750" i="1" a="1"/>
  <c r="E4779" i="1" a="1"/>
  <c r="E4348" i="1" a="1"/>
  <c r="J3807" i="1" a="1"/>
  <c r="J3166" i="1" a="1"/>
  <c r="E4081" i="1" a="1"/>
  <c r="J2494" i="1" a="1"/>
  <c r="E3197" i="1" a="1"/>
  <c r="E3707" i="1" a="1"/>
  <c r="E3162" i="1" a="1"/>
  <c r="J3538" i="1" a="1"/>
  <c r="J3845" i="1" a="1"/>
  <c r="E2872" i="1" a="1"/>
  <c r="E3788" i="1" a="1"/>
  <c r="E4498" i="1" a="1"/>
  <c r="J1820" i="1" a="1"/>
  <c r="J2197" i="1" a="1"/>
  <c r="E5744" i="1" a="1"/>
  <c r="J3378" i="1" a="1"/>
  <c r="E2568" i="1" a="1"/>
  <c r="J3046" i="1" a="1"/>
  <c r="E2572" i="1" a="1"/>
  <c r="E1525" i="1" a="1"/>
  <c r="J3499" i="1" a="1"/>
  <c r="J3665" i="1" a="1"/>
  <c r="E1353" i="1" a="1"/>
  <c r="E2787" i="1" a="1"/>
  <c r="E1042" i="1" a="1"/>
  <c r="J1591" i="1" a="1"/>
  <c r="E2287" i="1" a="1"/>
  <c r="E3339" i="1" a="1"/>
  <c r="E4627" i="1" a="1"/>
  <c r="E4006" i="1" a="1"/>
  <c r="J1894" i="1" a="1"/>
  <c r="E3533" i="1" a="1"/>
  <c r="E2841" i="1" a="1"/>
  <c r="E1862" i="1" a="1"/>
  <c r="J1575" i="1" a="1"/>
  <c r="E3578" i="1" a="1"/>
  <c r="J3520" i="1" a="1"/>
  <c r="J3351" i="1" a="1"/>
  <c r="J3040" i="1" a="1"/>
  <c r="E4319" i="1" a="1"/>
  <c r="E2755" i="1" a="1"/>
  <c r="E5164" i="1" a="1"/>
  <c r="J2344" i="1" a="1"/>
  <c r="E2201" i="1" a="1"/>
  <c r="E1965" i="1" a="1"/>
  <c r="J2958" i="1" a="1"/>
  <c r="J3555" i="1" a="1"/>
  <c r="J3129" i="1" a="1"/>
  <c r="J2634" i="1" a="1"/>
  <c r="E1425" i="1" a="1"/>
  <c r="J3188" i="1" a="1"/>
  <c r="J2562" i="1" a="1"/>
  <c r="J3572" i="1" a="1"/>
  <c r="E1926" i="1" a="1"/>
  <c r="E2161" i="1" a="1"/>
  <c r="E1241" i="1" a="1"/>
  <c r="J4063" i="1" a="1"/>
  <c r="J1907" i="1" a="1"/>
  <c r="J2663" i="1" a="1"/>
  <c r="J3463" i="1" a="1"/>
  <c r="J3100" i="1" a="1"/>
  <c r="E4578" i="1" a="1"/>
  <c r="E1883" i="1" a="1"/>
  <c r="E1892" i="1" a="1"/>
  <c r="J2290" i="1" a="1"/>
  <c r="J537" i="1" a="1"/>
  <c r="E2302" i="1" a="1"/>
  <c r="J2418" i="1" a="1"/>
  <c r="E3056" i="1" a="1"/>
  <c r="E1795" i="1" a="1"/>
  <c r="E3050" i="1" a="1"/>
  <c r="E5525" i="1" a="1"/>
  <c r="J5458" i="1" a="1"/>
  <c r="E3516" i="1" a="1"/>
  <c r="E4555" i="1" a="1"/>
  <c r="J4892" i="1" a="1"/>
  <c r="E3979" i="1" a="1"/>
  <c r="E4090" i="1" a="1"/>
  <c r="J4306" i="1" a="1"/>
  <c r="E3183" i="1" a="1"/>
  <c r="E4408" i="1" a="1"/>
  <c r="E3048" i="1" a="1"/>
  <c r="E4092" i="1" a="1"/>
  <c r="E660" i="1" a="1"/>
  <c r="E2483" i="1" a="1"/>
  <c r="E4473" i="1" a="1"/>
  <c r="E3819" i="1" a="1"/>
  <c r="J2718" i="1" a="1"/>
  <c r="E2296" i="1" a="1"/>
  <c r="E2563" i="1" a="1"/>
  <c r="E2725" i="1" a="1"/>
  <c r="E3633" i="1" a="1"/>
  <c r="E2387" i="1" a="1"/>
  <c r="J3424" i="1" a="1"/>
  <c r="J3299" i="1" a="1"/>
  <c r="J2210" i="1" a="1"/>
  <c r="E3818" i="1" a="1"/>
  <c r="J2179" i="1" a="1"/>
  <c r="E2798" i="1" a="1"/>
  <c r="J4628" i="1" a="1"/>
  <c r="E2916" i="1" a="1"/>
  <c r="E5034" i="1" a="1"/>
  <c r="E1821" i="1" a="1"/>
  <c r="J4549" i="1" a="1"/>
  <c r="J282" i="1" a="1"/>
  <c r="J3638" i="1" a="1"/>
  <c r="J3265" i="1" a="1"/>
  <c r="E1390" i="1" a="1"/>
  <c r="E3888" i="1" a="1"/>
  <c r="E4203" i="1" a="1"/>
  <c r="J3609" i="1" a="1"/>
  <c r="E3384" i="1" a="1"/>
  <c r="J3553" i="1" a="1"/>
  <c r="J1192" i="1" a="1"/>
  <c r="J3427" i="1" a="1"/>
  <c r="E3689" i="1" a="1"/>
  <c r="J2685" i="1" a="1"/>
  <c r="J4025" i="1" a="1"/>
  <c r="J3370" i="1" a="1"/>
  <c r="J3206" i="1" a="1"/>
  <c r="J2651" i="1" a="1"/>
  <c r="E4457" i="1" a="1"/>
  <c r="J3512" i="1" a="1"/>
  <c r="J1398" i="1" a="1"/>
  <c r="J3041" i="1" a="1"/>
  <c r="J3011" i="1" a="1"/>
  <c r="E3898" i="1" a="1"/>
  <c r="J2619" i="1" a="1"/>
  <c r="J3885" i="1" a="1"/>
  <c r="E4132" i="1" a="1"/>
  <c r="J1538" i="1" a="1"/>
  <c r="E1819" i="1" a="1"/>
  <c r="J720" i="1" a="1"/>
  <c r="E1879" i="1" a="1"/>
  <c r="E2963" i="1" a="1"/>
  <c r="E1939" i="1" a="1"/>
  <c r="J1239" i="1" a="1"/>
  <c r="J3716" i="1" a="1"/>
  <c r="E4078" i="1" a="1"/>
  <c r="E3603" i="1" a="1"/>
  <c r="E1008" i="1" a="1"/>
  <c r="J4059" i="1" a="1"/>
  <c r="E3579" i="1" a="1"/>
  <c r="E1120" i="1" a="1"/>
  <c r="E2322" i="1" a="1"/>
  <c r="E1645" i="1" a="1"/>
  <c r="E2708" i="1" a="1"/>
  <c r="E3920" i="1" a="1"/>
  <c r="J3911" i="1" a="1"/>
  <c r="E3029" i="1" a="1"/>
  <c r="J3092" i="1" a="1"/>
  <c r="J2673" i="1" a="1"/>
  <c r="J3286" i="1" a="1"/>
  <c r="E2356" i="1" a="1"/>
  <c r="E1036" i="1" a="1"/>
  <c r="E3286" i="1" a="1"/>
  <c r="E2122" i="1" a="1"/>
  <c r="E3262" i="1" a="1"/>
  <c r="E1814" i="1" a="1"/>
  <c r="J4704" i="1" a="1"/>
  <c r="J4102" i="1" a="1"/>
  <c r="J1742" i="1" a="1"/>
  <c r="J5042" i="1" a="1"/>
  <c r="E3395" i="1" a="1"/>
  <c r="J5712" i="1" a="1"/>
  <c r="E4307" i="1" a="1"/>
  <c r="J3694" i="1" a="1"/>
  <c r="E2960" i="1" a="1"/>
  <c r="J4674" i="1" a="1"/>
  <c r="E3472" i="1" a="1"/>
  <c r="J3430" i="1" a="1"/>
  <c r="E3001" i="1" a="1"/>
  <c r="E2929" i="1" a="1"/>
  <c r="J4694" i="1" a="1"/>
  <c r="J4114" i="1" a="1"/>
  <c r="J3204" i="1" a="1"/>
  <c r="E1695" i="1" a="1"/>
  <c r="J2433" i="1" a="1"/>
  <c r="E4211" i="1" a="1"/>
  <c r="E3876" i="1" a="1"/>
  <c r="J3475" i="1" a="1"/>
  <c r="J1943" i="1" a="1"/>
  <c r="J3409" i="1" a="1"/>
  <c r="J3298" i="1" a="1"/>
  <c r="E3576" i="1" a="1"/>
  <c r="J2706" i="1" a="1"/>
  <c r="E3365" i="1" a="1"/>
  <c r="J1986" i="1" a="1"/>
  <c r="J2707" i="1" a="1"/>
  <c r="J1689" i="1" a="1"/>
  <c r="E3389" i="1" a="1"/>
  <c r="E3683" i="1" a="1"/>
  <c r="J3271" i="1" a="1"/>
  <c r="E4623" i="1" a="1"/>
  <c r="J2688" i="1" a="1"/>
  <c r="J4243" i="1" a="1"/>
  <c r="J2952" i="1" a="1"/>
  <c r="J1966" i="1" a="1"/>
  <c r="J1719" i="1" a="1"/>
  <c r="E3147" i="1" a="1"/>
  <c r="E2859" i="1" a="1"/>
  <c r="E3105" i="1" a="1"/>
  <c r="J3696" i="1" a="1"/>
  <c r="E3195" i="1" a="1"/>
  <c r="J2094" i="1" a="1"/>
  <c r="E2404" i="1" a="1"/>
  <c r="J3426" i="1" a="1"/>
  <c r="J1741" i="1" a="1"/>
  <c r="J4288" i="1" a="1"/>
  <c r="J3191" i="1" a="1"/>
  <c r="E1724" i="1" a="1"/>
  <c r="E3003" i="1" a="1"/>
  <c r="E2861" i="1" a="1"/>
  <c r="E1743" i="1" a="1"/>
  <c r="E2635" i="1" a="1"/>
  <c r="E2801" i="1" a="1"/>
  <c r="E1279" i="1" a="1"/>
  <c r="E3067" i="1" a="1"/>
  <c r="J4087" i="1" a="1"/>
  <c r="E1633" i="1" a="1"/>
  <c r="J3285" i="1" a="1"/>
  <c r="J3156" i="1" a="1"/>
  <c r="E3179" i="1" a="1"/>
  <c r="E3102" i="1" a="1"/>
  <c r="E2397" i="1" a="1"/>
  <c r="E1589" i="1" a="1"/>
  <c r="J3243" i="1" a="1"/>
  <c r="E1188" i="1" a="1"/>
  <c r="J3256" i="1" a="1"/>
  <c r="J2498" i="1" a="1"/>
  <c r="J2722" i="1" a="1"/>
  <c r="E3232" i="1" a="1"/>
  <c r="J2324" i="1" a="1"/>
  <c r="E2615" i="1" a="1"/>
  <c r="E3569" i="1" a="1"/>
  <c r="E4656" i="1" a="1"/>
  <c r="E2689" i="1" a="1"/>
  <c r="J2463" i="1" a="1"/>
  <c r="E3797" i="1" a="1"/>
  <c r="E2972" i="1" a="1"/>
  <c r="E4383" i="1" a="1"/>
  <c r="E3942" i="1" a="1"/>
  <c r="E5907" i="1" a="1"/>
  <c r="J1999" i="1" a="1"/>
  <c r="E2694" i="1" a="1"/>
  <c r="J2539" i="1" a="1"/>
  <c r="J1716" i="1" a="1"/>
  <c r="J2689" i="1" a="1"/>
  <c r="J2033" i="1" a="1"/>
  <c r="J4037" i="1" a="1"/>
  <c r="J2349" i="1" a="1"/>
  <c r="J3307" i="1" a="1"/>
  <c r="E1328" i="1" a="1"/>
  <c r="E817" i="1" a="1"/>
  <c r="E1648" i="1" a="1"/>
  <c r="J3013" i="1" a="1"/>
  <c r="E718" i="1" a="1"/>
  <c r="E1359" i="1" a="1"/>
  <c r="J2116" i="1" a="1"/>
  <c r="E1534" i="1" a="1"/>
  <c r="E2693" i="1" a="1"/>
  <c r="J3138" i="1" a="1"/>
  <c r="J2636" i="1" a="1"/>
  <c r="J3552" i="1" a="1"/>
  <c r="E4712" i="1" a="1"/>
  <c r="J4033" i="1" a="1"/>
  <c r="E3747" i="1" a="1"/>
  <c r="J3482" i="1" a="1"/>
  <c r="E2909" i="1" a="1"/>
  <c r="E3426" i="1" a="1"/>
  <c r="J4030" i="1" a="1"/>
  <c r="J4442" i="1" a="1"/>
  <c r="E1770" i="1" a="1"/>
  <c r="J2792" i="1" a="1"/>
  <c r="J2415" i="1" a="1"/>
  <c r="J3566" i="1" a="1"/>
  <c r="J3147" i="1" a="1"/>
  <c r="E4665" i="1" a="1"/>
  <c r="E3728" i="1" a="1"/>
  <c r="J4806" i="1" a="1"/>
  <c r="E2920" i="1" a="1"/>
  <c r="J4801" i="1" a="1"/>
  <c r="E3463" i="1" a="1"/>
  <c r="E3623" i="1" a="1"/>
  <c r="E2076" i="1" a="1"/>
  <c r="E1319" i="1" a="1"/>
  <c r="J3614" i="1" a="1"/>
  <c r="J4444" i="1" a="1"/>
  <c r="E1492" i="1" a="1"/>
  <c r="E2680" i="1" a="1"/>
  <c r="E3467" i="1" a="1"/>
  <c r="E3573" i="1" a="1"/>
  <c r="J2352" i="1" a="1"/>
  <c r="E3948" i="1" a="1"/>
  <c r="E2083" i="1" a="1"/>
  <c r="E4298" i="1" a="1"/>
  <c r="J3691" i="1" a="1"/>
  <c r="E2786" i="1" a="1"/>
  <c r="E3367" i="1" a="1"/>
  <c r="J3550" i="1" a="1"/>
  <c r="E3756" i="1" a="1"/>
  <c r="E3591" i="1" a="1"/>
  <c r="E3715" i="1" a="1"/>
  <c r="J5974" i="1" a="1"/>
  <c r="J2386" i="1" a="1"/>
  <c r="J3478" i="1" a="1"/>
  <c r="J2424" i="1" a="1"/>
  <c r="J2348" i="1" a="1"/>
  <c r="J2676" i="1" a="1"/>
  <c r="E4333" i="1" a="1"/>
  <c r="J2765" i="1" a="1"/>
  <c r="E1723" i="1" a="1"/>
  <c r="J2999" i="1" a="1"/>
  <c r="J2223" i="1" a="1"/>
  <c r="E1756" i="1" a="1"/>
  <c r="J1925" i="1" a="1"/>
  <c r="J3202" i="1" a="1"/>
  <c r="E1432" i="1" a="1"/>
  <c r="E1865" i="1" a="1"/>
  <c r="E3986" i="1" a="1"/>
  <c r="E2298" i="1" a="1"/>
  <c r="J3734" i="1" a="1"/>
  <c r="E3574" i="1" a="1"/>
  <c r="J4017" i="1" a="1"/>
  <c r="E1510" i="1" a="1"/>
  <c r="J568" i="1" a="1"/>
  <c r="E2420" i="1" a="1"/>
  <c r="E2945" i="1" a="1"/>
  <c r="J1649" i="1" a="1"/>
  <c r="E2385" i="1" a="1"/>
  <c r="E1948" i="1" a="1"/>
  <c r="J3592" i="1" a="1"/>
  <c r="E3337" i="1" a="1"/>
  <c r="E1671" i="1" a="1"/>
  <c r="J1865" i="1" a="1"/>
  <c r="E2637" i="1" a="1"/>
  <c r="J2009" i="1" a="1"/>
  <c r="E2241" i="1" a="1"/>
  <c r="E2632" i="1" a="1"/>
  <c r="E3293" i="1" a="1"/>
  <c r="E3534" i="1" a="1"/>
  <c r="J1694" i="1" a="1"/>
  <c r="J1752" i="1" a="1"/>
  <c r="J3445" i="1" a="1"/>
  <c r="E2495" i="1" a="1"/>
  <c r="E2865" i="1" a="1"/>
  <c r="J3491" i="1" a="1"/>
  <c r="E3599" i="1" a="1"/>
  <c r="J2806" i="1" a="1"/>
  <c r="J2502" i="1" a="1"/>
  <c r="E3815" i="1" a="1"/>
  <c r="E1585" i="1" a="1"/>
  <c r="J3397" i="1" a="1"/>
  <c r="E1853" i="1" a="1"/>
  <c r="J1593" i="1" a="1"/>
  <c r="E4844" i="1" a="1"/>
  <c r="J1096" i="1" a="1"/>
  <c r="J2114" i="1" a="1"/>
  <c r="E3627" i="1" a="1"/>
  <c r="J4100" i="1" a="1"/>
  <c r="E2558" i="1" a="1"/>
  <c r="J2441" i="1" a="1"/>
  <c r="J2284" i="1" a="1"/>
  <c r="E3290" i="1" a="1"/>
  <c r="E2884" i="1" a="1"/>
  <c r="E2370" i="1" a="1"/>
  <c r="J3646" i="1" a="1"/>
  <c r="E516" i="1" a="1"/>
  <c r="J2099" i="1" a="1"/>
  <c r="J3291" i="1" a="1"/>
  <c r="J4246" i="1" a="1"/>
  <c r="E1914" i="1" a="1"/>
  <c r="E3527" i="1" a="1"/>
  <c r="J5632" i="1" a="1"/>
  <c r="E5934" i="1" a="1"/>
  <c r="J4236" i="1" a="1"/>
  <c r="E5792" i="1" a="1"/>
  <c r="E3760" i="1" a="1"/>
  <c r="E3445" i="1" a="1"/>
  <c r="E4681" i="1" a="1"/>
  <c r="J5840" i="1" a="1"/>
  <c r="J1923" i="1" a="1"/>
  <c r="J4239" i="1" a="1"/>
  <c r="E3501" i="1" a="1"/>
  <c r="J3335" i="1" a="1"/>
  <c r="E2869" i="1" a="1"/>
  <c r="E4470" i="1" a="1"/>
  <c r="J1758" i="1" a="1"/>
  <c r="E4206" i="1" a="1"/>
  <c r="E4943" i="1" a="1"/>
  <c r="J4322" i="1" a="1"/>
  <c r="J2575" i="1" a="1"/>
  <c r="E1156" i="1" a="1"/>
  <c r="J2310" i="1" a="1"/>
  <c r="E3863" i="1" a="1"/>
  <c r="J4173" i="1" a="1"/>
  <c r="E2024" i="1" a="1"/>
  <c r="E4910" i="1" a="1"/>
  <c r="J2076" i="1" a="1"/>
  <c r="J3080" i="1" a="1"/>
  <c r="J3685" i="1" a="1"/>
  <c r="J4719" i="1" a="1"/>
  <c r="J3926" i="1" a="1"/>
  <c r="E4489" i="1" a="1"/>
  <c r="E2249" i="1" a="1"/>
  <c r="J1743" i="1" a="1"/>
  <c r="E3234" i="1" a="1"/>
  <c r="J1787" i="1" a="1"/>
  <c r="J2026" i="1" a="1"/>
  <c r="E2589" i="1" a="1"/>
  <c r="J3309" i="1" a="1"/>
  <c r="E2671" i="1" a="1"/>
  <c r="E2053" i="1" a="1"/>
  <c r="E3710" i="1" a="1"/>
  <c r="E1683" i="1" a="1"/>
  <c r="E4390" i="1" a="1"/>
  <c r="E5767" i="1" a="1"/>
  <c r="E2461" i="1" a="1"/>
  <c r="E3133" i="1" a="1"/>
  <c r="E3811" i="1" a="1"/>
  <c r="J5343" i="1" a="1"/>
  <c r="J4223" i="1" a="1"/>
  <c r="J1715" i="1" a="1"/>
  <c r="J3876" i="1" a="1"/>
  <c r="J1329" i="1" a="1"/>
  <c r="E2746" i="1" a="1"/>
  <c r="E2590" i="1" a="1"/>
  <c r="E2871" i="1" a="1"/>
  <c r="J2716" i="1" a="1"/>
  <c r="E4447" i="1" a="1"/>
  <c r="J3106" i="1" a="1"/>
  <c r="J2554" i="1" a="1"/>
  <c r="E2464" i="1" a="1"/>
  <c r="J1611" i="1" a="1"/>
  <c r="E4155" i="1" a="1"/>
  <c r="J2674" i="1" a="1"/>
  <c r="J3771" i="1" a="1"/>
  <c r="J2234" i="1" a="1"/>
  <c r="J2570" i="1" a="1"/>
  <c r="E4198" i="1" a="1"/>
  <c r="J2626" i="1" a="1"/>
  <c r="E2150" i="1" a="1"/>
  <c r="J2779" i="1" a="1"/>
  <c r="J4071" i="1" a="1"/>
  <c r="J4210" i="1" a="1"/>
  <c r="J2558" i="1" a="1"/>
  <c r="E2574" i="1" a="1"/>
  <c r="J569" i="1" a="1"/>
  <c r="J2621" i="1" a="1"/>
  <c r="E1832" i="1" a="1"/>
  <c r="E2981" i="1" a="1"/>
  <c r="J5527" i="1" a="1"/>
  <c r="E2466" i="1" a="1"/>
  <c r="J1944" i="1" a="1"/>
  <c r="J2396" i="1" a="1"/>
  <c r="J2230" i="1" a="1"/>
  <c r="E1531" i="1" a="1"/>
  <c r="E1907" i="1" a="1"/>
  <c r="E2898" i="1" a="1"/>
  <c r="E2548" i="1" a="1"/>
  <c r="J3141" i="1" a="1"/>
  <c r="E2760" i="1" a="1"/>
  <c r="J4371" i="1" a="1"/>
  <c r="J3122" i="1" a="1"/>
  <c r="J1534" i="1" a="1"/>
  <c r="J4957" i="1" a="1"/>
  <c r="J1697" i="1" a="1"/>
  <c r="J2436" i="1" a="1"/>
  <c r="J1236" i="1" a="1"/>
  <c r="E2442" i="1" a="1"/>
  <c r="E3377" i="1" a="1"/>
  <c r="J1573" i="1" a="1"/>
  <c r="E2221" i="1" a="1"/>
  <c r="J2630" i="1" a="1"/>
  <c r="J2404" i="1" a="1"/>
  <c r="J1653" i="1" a="1"/>
  <c r="E3836" i="1" a="1"/>
  <c r="J2710" i="1" a="1"/>
  <c r="E3375" i="1" a="1"/>
  <c r="J976" i="1" a="1"/>
  <c r="J3346" i="1" a="1"/>
  <c r="E3517" i="1" a="1"/>
  <c r="E3805" i="1" a="1"/>
  <c r="E1183" i="1" a="1"/>
  <c r="J2073" i="1" a="1"/>
  <c r="E4301" i="1" a="1"/>
  <c r="E4091" i="1" a="1"/>
  <c r="E1300" i="1" a="1"/>
  <c r="E4231" i="1" a="1"/>
  <c r="J2723" i="1" a="1"/>
  <c r="E2486" i="1" a="1"/>
  <c r="E4024" i="1" a="1"/>
  <c r="J2484" i="1" a="1"/>
  <c r="E3607" i="1" a="1"/>
  <c r="J4318" i="1" a="1"/>
  <c r="J1671" i="1" a="1"/>
  <c r="E1682" i="1" a="1"/>
  <c r="E3436" i="1" a="1"/>
  <c r="J1696" i="1" a="1"/>
  <c r="E3254" i="1" a="1"/>
  <c r="E3481" i="1" a="1"/>
  <c r="J4022" i="1" a="1"/>
  <c r="E3353" i="1" a="1"/>
  <c r="J5523" i="1" a="1"/>
  <c r="J3877" i="1" a="1"/>
  <c r="J3127" i="1" a="1"/>
  <c r="E4974" i="1" a="1"/>
  <c r="E3439" i="1" a="1"/>
  <c r="J3066" i="1" a="1"/>
  <c r="E2906" i="1" a="1"/>
  <c r="E3310" i="1" a="1"/>
  <c r="E4536" i="1" a="1"/>
  <c r="E4563" i="1" a="1"/>
  <c r="J2683" i="1" a="1"/>
  <c r="E3562" i="1" a="1"/>
  <c r="E2425" i="1" a="1"/>
  <c r="J4085" i="1" a="1"/>
  <c r="J3900" i="1" a="1"/>
  <c r="E4168" i="1" a="1"/>
  <c r="E4939" i="1" a="1"/>
  <c r="E2720" i="1" a="1"/>
  <c r="J2382" i="1" a="1"/>
  <c r="E3403" i="1" a="1"/>
  <c r="E4698" i="1" a="1"/>
  <c r="J3155" i="1" a="1"/>
  <c r="E3311" i="1" a="1"/>
  <c r="J4278" i="1" a="1"/>
  <c r="J3441" i="1" a="1"/>
  <c r="E2261" i="1" a="1"/>
  <c r="J4215" i="1" a="1"/>
  <c r="E2309" i="1" a="1"/>
  <c r="J3598" i="1" a="1"/>
  <c r="E2749" i="1" a="1"/>
  <c r="J3005" i="1" a="1"/>
  <c r="J3510" i="1" a="1"/>
  <c r="E2324" i="1" a="1"/>
  <c r="E2714" i="1" a="1"/>
  <c r="J2600" i="1" a="1"/>
  <c r="J4901" i="1" a="1"/>
  <c r="J3739" i="1" a="1"/>
  <c r="J3435" i="1" a="1"/>
  <c r="E1906" i="1" a="1"/>
  <c r="E3393" i="1" a="1"/>
  <c r="E5731" i="1" a="1"/>
  <c r="E5997" i="1" a="1"/>
  <c r="J2359" i="1" a="1"/>
  <c r="J2799" i="1" a="1"/>
  <c r="E4021" i="1" a="1"/>
  <c r="J3760" i="1" a="1"/>
  <c r="J2470" i="1" a="1"/>
  <c r="J716" i="1" a="1"/>
  <c r="E1303" i="1" a="1"/>
  <c r="E2479" i="1" a="1"/>
  <c r="E3080" i="1" a="1"/>
  <c r="E2371" i="1" a="1"/>
  <c r="E1292" i="1" a="1"/>
  <c r="E2432" i="1" a="1"/>
  <c r="E3752" i="1" a="1"/>
  <c r="J3949" i="1" a="1"/>
  <c r="E3488" i="1" a="1"/>
  <c r="J2978" i="1" a="1"/>
  <c r="J2869" i="1" a="1"/>
  <c r="E3073" i="1" a="1"/>
  <c r="J1666" i="1" a="1"/>
  <c r="J2146" i="1" a="1"/>
  <c r="J3120" i="1" a="1"/>
  <c r="E1424" i="1" a="1"/>
  <c r="J5217" i="1" a="1"/>
  <c r="E1967" i="1" a="1"/>
  <c r="E2854" i="1" a="1"/>
  <c r="J1912" i="1" a="1"/>
  <c r="E3074" i="1" a="1"/>
  <c r="J3564" i="1" a="1"/>
  <c r="J536" i="1" a="1"/>
  <c r="E1690" i="1" a="1"/>
  <c r="J1772" i="1" a="1"/>
  <c r="J2466" i="1" a="1"/>
  <c r="E3473" i="1" a="1"/>
  <c r="E3119" i="1" a="1"/>
  <c r="E5282" i="1" a="1"/>
  <c r="E3465" i="1" a="1"/>
  <c r="J3862" i="1" a="1"/>
  <c r="E1825" i="1" a="1"/>
  <c r="E2021" i="1" a="1"/>
  <c r="E2853" i="1" a="1"/>
  <c r="J2559" i="1" a="1"/>
  <c r="J838" i="1" a="1"/>
  <c r="J1695" i="1" a="1"/>
  <c r="J3126" i="1" a="1"/>
  <c r="E2962" i="1" a="1"/>
  <c r="J3035" i="1" a="1"/>
  <c r="E1483" i="1" a="1"/>
  <c r="E3231" i="1" a="1"/>
  <c r="E1257" i="1" a="1"/>
  <c r="J2916" i="1" a="1"/>
  <c r="J5483" i="1" a="1"/>
  <c r="J2308" i="1" a="1"/>
  <c r="E1942" i="1" a="1"/>
  <c r="E2319" i="1" a="1"/>
  <c r="J4645" i="1" a="1"/>
  <c r="J2816" i="1" a="1"/>
  <c r="J2171" i="1" a="1"/>
  <c r="E3570" i="1" a="1"/>
  <c r="J2778" i="1" a="1"/>
  <c r="J3676" i="1" a="1"/>
  <c r="E830" i="1" a="1"/>
  <c r="J3109" i="1" a="1"/>
  <c r="J552" i="1" a="1"/>
  <c r="E4738" i="1" a="1"/>
  <c r="E2346" i="1" a="1"/>
  <c r="J3432" i="1" a="1"/>
  <c r="E1151" i="1" a="1"/>
  <c r="J2340" i="1" a="1"/>
  <c r="J3028" i="1" a="1"/>
  <c r="E1145" i="1" a="1"/>
  <c r="E2818" i="1" a="1"/>
  <c r="E1164" i="1" a="1"/>
  <c r="J4157" i="1" a="1"/>
  <c r="J2984" i="1" a="1"/>
  <c r="E4229" i="1" a="1"/>
  <c r="E3028" i="1" a="1"/>
  <c r="J2900" i="1" a="1"/>
  <c r="E1654" i="1" a="1"/>
  <c r="E2870" i="1" a="1"/>
  <c r="J1258" i="1" a="1"/>
  <c r="J1524" i="1" a="1"/>
  <c r="E2791" i="1" a="1"/>
  <c r="J3220" i="1" a="1"/>
  <c r="J4321" i="1" a="1"/>
  <c r="J5331" i="1" a="1"/>
  <c r="J5310" i="1" a="1"/>
  <c r="E3906" i="1" a="1"/>
  <c r="E4676" i="1" a="1"/>
  <c r="E5547" i="1" a="1"/>
  <c r="J3481" i="1" a="1"/>
  <c r="E5447" i="1" a="1"/>
  <c r="J5142" i="1" a="1"/>
  <c r="J2889" i="1" a="1"/>
  <c r="J4757" i="1" a="1"/>
  <c r="E4884" i="1" a="1"/>
  <c r="E4051" i="1" a="1"/>
  <c r="J4450" i="1" a="1"/>
  <c r="E2113" i="1" a="1"/>
  <c r="J3260" i="1" a="1"/>
  <c r="J4787" i="1" a="1"/>
  <c r="J2542" i="1" a="1"/>
  <c r="E3672" i="1" a="1"/>
  <c r="J2283" i="1" a="1"/>
  <c r="E3474" i="1" a="1"/>
  <c r="J2763" i="1" a="1"/>
  <c r="J2917" i="1" a="1"/>
  <c r="E3865" i="1" a="1"/>
  <c r="E2232" i="1" a="1"/>
  <c r="E2146" i="1" a="1"/>
  <c r="E3122" i="1" a="1"/>
  <c r="J4070" i="1" a="1"/>
  <c r="J3235" i="1" a="1"/>
  <c r="J3363" i="1" a="1"/>
  <c r="E1787" i="1" a="1"/>
  <c r="E3124" i="1" a="1"/>
  <c r="J3830" i="1" a="1"/>
  <c r="J2893" i="1" a="1"/>
  <c r="J1860" i="1" a="1"/>
  <c r="J4685" i="1" a="1"/>
  <c r="E2832" i="1" a="1"/>
  <c r="E4928" i="1" a="1"/>
  <c r="E4702" i="1" a="1"/>
  <c r="E3435" i="1" a="1"/>
  <c r="E2247" i="1" a="1"/>
  <c r="J5049" i="1" a="1"/>
  <c r="E2654" i="1" a="1"/>
  <c r="E4097" i="1" a="1"/>
  <c r="E1227" i="1" a="1"/>
  <c r="E2650" i="1" a="1"/>
  <c r="E4984" i="1" a="1"/>
  <c r="J3343" i="1" a="1"/>
  <c r="E3601" i="1" a="1"/>
  <c r="E2003" i="1" a="1"/>
  <c r="E3741" i="1" a="1"/>
  <c r="P399" i="1" a="1"/>
  <c r="J2800" i="1" a="1"/>
  <c r="J1129" i="1" a="1"/>
  <c r="J2036" i="1" a="1"/>
  <c r="E3844" i="1" a="1"/>
  <c r="E3994" i="1" a="1"/>
  <c r="E4631" i="1" a="1"/>
  <c r="J3159" i="1" a="1"/>
  <c r="J1584" i="1" a="1"/>
  <c r="J4292" i="1" a="1"/>
  <c r="J2166" i="1" a="1"/>
  <c r="J6003" i="1" a="1"/>
  <c r="J2512" i="1" a="1"/>
  <c r="E2386" i="1" a="1"/>
  <c r="E2005" i="1" a="1"/>
  <c r="J2921" i="1" a="1"/>
  <c r="E3264" i="1" a="1"/>
  <c r="J4624" i="1" a="1"/>
  <c r="J2741" i="1" a="1"/>
  <c r="E1526" i="1" a="1"/>
  <c r="E2943" i="1" a="1"/>
  <c r="E3016" i="1" a="1"/>
  <c r="J1195" i="1" a="1"/>
  <c r="J2049" i="1" a="1"/>
  <c r="E2151" i="1" a="1"/>
  <c r="J1384" i="1" a="1"/>
  <c r="E2873" i="1" a="1"/>
  <c r="E2242" i="1" a="1"/>
  <c r="E3926" i="1" a="1"/>
  <c r="J3796" i="1" a="1"/>
  <c r="J1680" i="1" a="1"/>
  <c r="E3007" i="1" a="1"/>
  <c r="J2543" i="1" a="1"/>
  <c r="E2545" i="1" a="1"/>
  <c r="J996" i="1" a="1"/>
  <c r="J2971" i="1" a="1"/>
  <c r="J4091" i="1" a="1"/>
  <c r="E3437" i="1" a="1"/>
  <c r="E1917" i="1" a="1"/>
  <c r="E2256" i="1" a="1"/>
  <c r="E3182" i="1" a="1"/>
  <c r="E3188" i="1" a="1"/>
  <c r="J3890" i="1" a="1"/>
  <c r="J3774" i="1" a="1"/>
  <c r="J2480" i="1" a="1"/>
  <c r="J919" i="1" a="1"/>
  <c r="J3073" i="1" a="1"/>
  <c r="J2989" i="1" a="1"/>
  <c r="E3484" i="1" a="1"/>
  <c r="E4495" i="1" a="1"/>
  <c r="E3063" i="1" a="1"/>
  <c r="E2501" i="1" a="1"/>
  <c r="J1589" i="1" a="1"/>
  <c r="E2133" i="1" a="1"/>
  <c r="E574" i="1" a="1"/>
  <c r="E2103" i="1" a="1"/>
  <c r="J2764" i="1" a="1"/>
  <c r="J1577" i="1" a="1"/>
  <c r="J3334" i="1" a="1"/>
  <c r="J3069" i="1" a="1"/>
  <c r="J4343" i="1" a="1"/>
  <c r="E2452" i="1" a="1"/>
  <c r="J3110" i="1" a="1"/>
  <c r="J1047" i="1" a="1"/>
  <c r="E2139" i="1" a="1"/>
  <c r="J1510" i="1" a="1"/>
  <c r="J3333" i="1" a="1"/>
  <c r="J5563" i="1" a="1"/>
  <c r="J1206" i="1" a="1"/>
  <c r="J3111" i="1" a="1"/>
  <c r="E3295" i="1" a="1"/>
  <c r="J1090" i="1" a="1"/>
  <c r="E3834" i="1" a="1"/>
  <c r="E1664" i="1" a="1"/>
  <c r="E2413" i="1" a="1"/>
  <c r="J504" i="1" a="1"/>
  <c r="E3452" i="1" a="1"/>
  <c r="J4681" i="1" a="1"/>
  <c r="J3671" i="1" a="1"/>
  <c r="J3251" i="1" a="1"/>
  <c r="E4035" i="1" a="1"/>
  <c r="E3060" i="1" a="1"/>
  <c r="E3266" i="1" a="1"/>
  <c r="E3491" i="1" a="1"/>
  <c r="E4643" i="1" a="1"/>
  <c r="J3222" i="1" a="1"/>
  <c r="J1655" i="1" a="1"/>
  <c r="E3348" i="1" a="1"/>
  <c r="J1546" i="1" a="1"/>
  <c r="E2809" i="1" a="1"/>
  <c r="J3536" i="1" a="1"/>
  <c r="E2579" i="1" a="1"/>
  <c r="J3810" i="1" a="1"/>
  <c r="J2137" i="1" a="1"/>
  <c r="E2389" i="1" a="1"/>
  <c r="E1673" i="1" a="1"/>
  <c r="J4016" i="1" a="1"/>
  <c r="J1539" i="1" a="1"/>
  <c r="J1163" i="1" a="1"/>
  <c r="E3475" i="1" a="1"/>
  <c r="E3729" i="1" a="1"/>
  <c r="E2598" i="1" a="1"/>
  <c r="J2503" i="1" a="1"/>
  <c r="J2252" i="1" a="1"/>
  <c r="E2991" i="1" a="1"/>
  <c r="J3881" i="1" a="1"/>
  <c r="E1656" i="1" a="1"/>
  <c r="J2194" i="1" a="1"/>
  <c r="J4858" i="1" a="1"/>
  <c r="E3058" i="1" a="1"/>
  <c r="J2405" i="1" a="1"/>
  <c r="J2962" i="1" a="1"/>
  <c r="E3663" i="1" a="1"/>
  <c r="J1640" i="1" a="1"/>
  <c r="E2851" i="1" a="1"/>
  <c r="J4746" i="1" a="1"/>
  <c r="J1931" i="1" a="1"/>
  <c r="J1793" i="1" a="1"/>
  <c r="E4819" i="1" a="1"/>
  <c r="J2159" i="1" a="1"/>
  <c r="J3582" i="1" a="1"/>
  <c r="E4653" i="1" a="1"/>
  <c r="E2449" i="1" a="1"/>
  <c r="E2286" i="1" a="1"/>
  <c r="E2510" i="1" a="1"/>
  <c r="E3775" i="1" a="1"/>
  <c r="E996" i="1" a="1"/>
  <c r="E2512" i="1" a="1"/>
  <c r="J2721" i="1" a="1"/>
  <c r="E2648" i="1" a="1"/>
  <c r="J2632" i="1" a="1"/>
  <c r="E1962" i="1" a="1"/>
  <c r="J2738" i="1" a="1"/>
  <c r="J2158" i="1" a="1"/>
  <c r="E3596" i="1" a="1"/>
  <c r="E2595" i="1" a="1"/>
  <c r="J1781" i="1" a="1"/>
  <c r="J3304" i="1" a="1"/>
  <c r="E1726" i="1" a="1"/>
  <c r="J1425" i="1" a="1"/>
  <c r="J2147" i="1" a="1"/>
  <c r="E3982" i="1" a="1"/>
  <c r="E1532" i="1" a="1"/>
  <c r="J2034" i="1" a="1"/>
  <c r="E2004" i="1" a="1"/>
  <c r="J1504" i="1" a="1"/>
  <c r="E2007" i="1" a="1"/>
  <c r="E2527" i="1" a="1"/>
  <c r="E2026" i="1" a="1"/>
  <c r="E2135" i="1" a="1"/>
  <c r="J2987" i="1" a="1"/>
  <c r="J4199" i="1" a="1"/>
  <c r="E3694" i="1" a="1"/>
  <c r="E1628" i="1" a="1"/>
  <c r="J3525" i="1" a="1"/>
  <c r="E3881" i="1" a="1"/>
  <c r="J1428" i="1" a="1"/>
  <c r="J1240" i="1" a="1"/>
  <c r="E2364" i="1" a="1"/>
  <c r="E1717" i="1" a="1"/>
  <c r="J1785" i="1" a="1"/>
  <c r="E2401" i="1" a="1"/>
  <c r="J2367" i="1" a="1"/>
  <c r="J2913" i="1" a="1"/>
  <c r="J3246" i="1" a="1"/>
  <c r="J1274" i="1" a="1"/>
  <c r="E572" i="1" a="1"/>
  <c r="J1948" i="1" a="1"/>
  <c r="J719" i="1" a="1"/>
  <c r="J1559" i="1" a="1"/>
  <c r="J1056" i="1" a="1"/>
  <c r="J1610" i="1" a="1"/>
  <c r="J4202" i="1" a="1"/>
  <c r="E1846" i="1" a="1"/>
  <c r="J1853" i="1" a="1"/>
  <c r="E2416" i="1" a="1"/>
  <c r="J2010" i="1" a="1"/>
  <c r="E1196" i="1" a="1"/>
  <c r="E1137" i="1" a="1"/>
  <c r="J2547" i="1" a="1"/>
  <c r="J1797" i="1" a="1"/>
  <c r="J2511" i="1" a="1"/>
  <c r="J1408" i="1" a="1"/>
  <c r="J1019" i="1" a="1"/>
  <c r="E2784" i="1" a="1"/>
  <c r="J3237" i="1" a="1"/>
  <c r="J3262" i="1" a="1"/>
  <c r="E1905" i="1" a="1"/>
  <c r="E1927" i="1" a="1"/>
  <c r="E1712" i="1" a="1"/>
  <c r="E2228" i="1" a="1"/>
  <c r="J3140" i="1" a="1"/>
  <c r="J2295" i="1" a="1"/>
  <c r="J1959" i="1" a="1"/>
  <c r="E1181" i="1" a="1"/>
  <c r="J2583" i="1" a="1"/>
  <c r="J2190" i="1" a="1"/>
  <c r="E1790" i="1" a="1"/>
  <c r="J1101" i="1" a="1"/>
  <c r="E1464" i="1" a="1"/>
  <c r="E3553" i="1" a="1"/>
  <c r="J3651" i="1" a="1"/>
  <c r="E2661" i="1" a="1"/>
  <c r="J2813" i="1" a="1"/>
  <c r="E2771" i="1" a="1"/>
  <c r="E2166" i="1" a="1"/>
  <c r="J2514" i="1" a="1"/>
  <c r="E813" i="1" a="1"/>
  <c r="J763" i="1" a="1"/>
  <c r="E3096" i="1" a="1"/>
  <c r="J3539" i="1" a="1"/>
  <c r="J2709" i="1" a="1"/>
  <c r="E2789" i="1" a="1"/>
  <c r="E2937" i="1" a="1"/>
  <c r="J817" i="1" a="1"/>
  <c r="E3015" i="1" a="1"/>
  <c r="E3052" i="1" a="1"/>
  <c r="E2015" i="1" a="1"/>
  <c r="E1725" i="1" a="1"/>
  <c r="E251" i="1" a="1"/>
  <c r="J1962" i="1" a="1"/>
  <c r="E141" i="1" a="1"/>
  <c r="E3634" i="1" a="1"/>
  <c r="E1646" i="1" a="1"/>
  <c r="E829" i="1" a="1"/>
  <c r="E2357" i="1" a="1"/>
  <c r="E3893" i="1" a="1"/>
  <c r="E2822" i="1" a="1"/>
  <c r="E1828" i="1" a="1"/>
  <c r="J1847" i="1" a="1"/>
  <c r="J2760" i="1" a="1"/>
  <c r="E2138" i="1" a="1"/>
  <c r="J1609" i="1" a="1"/>
  <c r="J252" i="1" a="1"/>
  <c r="J3000" i="1" a="1"/>
  <c r="J1074" i="1" a="1"/>
  <c r="Z248" i="1" a="1"/>
  <c r="J3570" i="1" a="1"/>
  <c r="J3259" i="1" a="1"/>
  <c r="J2471" i="1" a="1"/>
  <c r="E2775" i="1" a="1"/>
  <c r="J4126" i="1" a="1"/>
  <c r="E2705" i="1" a="1"/>
  <c r="E3624" i="1" a="1"/>
  <c r="E1397" i="1" a="1"/>
  <c r="J2138" i="1" a="1"/>
  <c r="J3580" i="1" a="1"/>
  <c r="E3513" i="1" a="1"/>
  <c r="E3269" i="1" a="1"/>
  <c r="E3144" i="1" a="1"/>
  <c r="E1354" i="1" a="1"/>
  <c r="J3205" i="1" a="1"/>
  <c r="J2372" i="1" a="1"/>
  <c r="J3722" i="1" a="1"/>
  <c r="E1217" i="1" a="1"/>
  <c r="J4502" i="1" a="1"/>
  <c r="J1833" i="1" a="1"/>
  <c r="E2765" i="1" a="1"/>
  <c r="J2365" i="1" a="1"/>
  <c r="J1049" i="1" a="1"/>
  <c r="J2160" i="1" a="1"/>
  <c r="J3134" i="1" a="1"/>
  <c r="J2343" i="1" a="1"/>
  <c r="E1797" i="1" a="1"/>
  <c r="J1878" i="1" a="1"/>
  <c r="E2603" i="1" a="1"/>
  <c r="E1400" i="1" a="1"/>
  <c r="J4068" i="1" a="1"/>
  <c r="E1775" i="1" a="1"/>
  <c r="J2530" i="1" a="1"/>
  <c r="E2769" i="1" a="1"/>
  <c r="E2080" i="1" a="1"/>
  <c r="E4445" i="1" a="1"/>
  <c r="J2445" i="1" a="1"/>
  <c r="E2862" i="1" a="1"/>
  <c r="J2270" i="1" a="1"/>
  <c r="J2696" i="1" a="1"/>
  <c r="E3874" i="1" a="1"/>
  <c r="E930" i="1" a="1"/>
  <c r="J2945" i="1" a="1"/>
  <c r="J4093" i="1" a="1"/>
  <c r="E3564" i="1" a="1"/>
  <c r="J2303" i="1" a="1"/>
  <c r="J1952" i="1" a="1"/>
  <c r="J2157" i="1" a="1"/>
  <c r="J2038" i="1" a="1"/>
  <c r="E577" i="1" a="1"/>
  <c r="E1669" i="1" a="1"/>
  <c r="J737" i="1" a="1"/>
  <c r="J3558" i="1" a="1"/>
  <c r="E3131" i="1" a="1"/>
  <c r="J2345" i="1" a="1"/>
  <c r="J4147" i="1" a="1"/>
  <c r="J3088" i="1" a="1"/>
  <c r="E2145" i="1" a="1"/>
  <c r="E2366" i="1" a="1"/>
  <c r="J4501" i="1" a="1"/>
  <c r="E3233" i="1" a="1"/>
  <c r="E3030" i="1" a="1"/>
  <c r="E3168" i="1" a="1"/>
  <c r="E2667" i="1" a="1"/>
  <c r="E4409" i="1" a="1"/>
  <c r="E2670" i="1" a="1"/>
  <c r="E2857" i="1" a="1"/>
  <c r="J2421" i="1" a="1"/>
  <c r="J3308" i="1" a="1"/>
  <c r="J2338" i="1" a="1"/>
  <c r="J3416" i="1" a="1"/>
  <c r="E1599" i="1" a="1"/>
  <c r="E5574" i="1" a="1"/>
  <c r="J2946" i="1" a="1"/>
  <c r="E3602" i="1" a="1"/>
  <c r="E2206" i="1" a="1"/>
  <c r="E4043" i="1" a="1"/>
  <c r="J3227" i="1" a="1"/>
  <c r="J1164" i="1" a="1"/>
  <c r="J1692" i="1" a="1"/>
  <c r="E4171" i="1" a="1"/>
  <c r="E2812" i="1" a="1"/>
  <c r="E3043" i="1" a="1"/>
  <c r="E3149" i="1" a="1"/>
  <c r="J4847" i="1" a="1"/>
  <c r="E3681" i="1" a="1"/>
  <c r="J1578" i="1" a="1"/>
  <c r="E751" i="1" a="1"/>
  <c r="J1200" i="1" a="1"/>
  <c r="J3254" i="1" a="1"/>
  <c r="E743" i="1" a="1"/>
  <c r="E3848" i="1" a="1"/>
  <c r="E3645" i="1" a="1"/>
  <c r="E93" i="1" a="1"/>
  <c r="E1438" i="1" a="1"/>
  <c r="J2021" i="1" a="1"/>
  <c r="E2171" i="1" a="1"/>
  <c r="E1284" i="1" a="1"/>
  <c r="J3495" i="1" a="1"/>
  <c r="J1553" i="1" a="1"/>
  <c r="J1929" i="1" a="1"/>
  <c r="J2553" i="1" a="1"/>
  <c r="E1876" i="1" a="1"/>
  <c r="J632" i="1" a="1"/>
  <c r="E1573" i="1" a="1"/>
  <c r="J343" i="1" a="1"/>
  <c r="J1369" i="1" a="1"/>
  <c r="E1442" i="1" a="1"/>
  <c r="E922" i="1" a="1"/>
  <c r="E3485" i="1" a="1"/>
  <c r="J2370" i="1" a="1"/>
  <c r="E2677" i="1" a="1"/>
  <c r="J1817" i="1" a="1"/>
  <c r="E1759" i="1" a="1"/>
  <c r="J3273" i="1" a="1"/>
  <c r="J3546" i="1" a="1"/>
  <c r="E887" i="1" a="1"/>
  <c r="E2126" i="1" a="1"/>
  <c r="J1916" i="1" a="1"/>
  <c r="E613" i="1" a="1"/>
  <c r="J287" i="1" a="1"/>
  <c r="J2894" i="1" a="1"/>
  <c r="E2312" i="1" a="1"/>
  <c r="E3987" i="1" a="1"/>
  <c r="E3674" i="1" a="1"/>
  <c r="E2835" i="1" a="1"/>
  <c r="J1881" i="1" a="1"/>
  <c r="J1272" i="1" a="1"/>
  <c r="E3581" i="1" a="1"/>
  <c r="E615" i="1" a="1"/>
  <c r="J3408" i="1" a="1"/>
  <c r="J1775" i="1" a="1"/>
  <c r="J3452" i="1" a="1"/>
  <c r="J1560" i="1" a="1"/>
  <c r="J1870" i="1" a="1"/>
  <c r="J2412" i="1" a="1"/>
  <c r="E1048" i="1" a="1"/>
  <c r="E2339" i="1" a="1"/>
  <c r="E2118" i="1" a="1"/>
  <c r="J3896" i="1" a="1"/>
  <c r="E1626" i="1" a="1"/>
  <c r="J2199" i="1" a="1"/>
  <c r="E2517" i="1" a="1"/>
  <c r="J71" i="1" a="1"/>
  <c r="E1840" i="1" a="1"/>
  <c r="E2573" i="1" a="1"/>
  <c r="E418" i="1" a="1"/>
  <c r="J2030" i="1" a="1"/>
  <c r="E1882" i="1" a="1"/>
  <c r="J1512" i="1" a="1"/>
  <c r="E1870" i="1" a="1"/>
  <c r="E1955" i="1" a="1"/>
  <c r="J1736" i="1" a="1"/>
  <c r="J1202" i="1" a="1"/>
  <c r="E2633" i="1" a="1"/>
  <c r="J202" i="1" a="1"/>
  <c r="J1401" i="1" a="1"/>
  <c r="J3500" i="1" a="1"/>
  <c r="P101" i="1" a="1"/>
  <c r="J4590" i="1" a="1"/>
  <c r="E2476" i="1" a="1"/>
  <c r="J3602" i="1" a="1"/>
  <c r="J5913" i="1" a="1"/>
  <c r="E3976" i="1" a="1"/>
  <c r="E3225" i="1" a="1"/>
  <c r="E3483" i="1" a="1"/>
  <c r="E3868" i="1" a="1"/>
  <c r="J5398" i="1" a="1"/>
  <c r="E4479" i="1" a="1"/>
  <c r="E2472" i="1" a="1"/>
  <c r="E1985" i="1" a="1"/>
  <c r="J3118" i="1" a="1"/>
  <c r="J3864" i="1" a="1"/>
  <c r="J2831" i="1" a="1"/>
  <c r="J3124" i="1" a="1"/>
  <c r="J1821" i="1" a="1"/>
  <c r="E2640" i="1" a="1"/>
  <c r="E2509" i="1" a="1"/>
  <c r="E4571" i="1" a="1"/>
  <c r="J2679" i="1" a="1"/>
  <c r="E2218" i="1" a="1"/>
  <c r="E3498" i="1" a="1"/>
  <c r="E1774" i="1" a="1"/>
  <c r="E3336" i="1" a="1"/>
  <c r="J3522" i="1" a="1"/>
  <c r="J774" i="1" a="1"/>
  <c r="E480" i="1" a="1"/>
  <c r="E2799" i="1" a="1"/>
  <c r="J3056" i="1" a="1"/>
  <c r="E1658" i="1" a="1"/>
  <c r="J1971" i="1" a="1"/>
  <c r="J2903" i="1" a="1"/>
  <c r="E1282" i="1" a="1"/>
  <c r="E838" i="1" a="1"/>
  <c r="E4098" i="1" a="1"/>
  <c r="E2758" i="1" a="1"/>
  <c r="E2016" i="1" a="1"/>
  <c r="J2374" i="1" a="1"/>
  <c r="J2476" i="1" a="1"/>
  <c r="J3764" i="1" a="1"/>
  <c r="J3238" i="1" a="1"/>
  <c r="J3090" i="1" a="1"/>
  <c r="E3289" i="1" a="1"/>
  <c r="J3701" i="1" a="1"/>
  <c r="J1075" i="1" a="1"/>
  <c r="E3489" i="1" a="1"/>
  <c r="E3688" i="1" a="1"/>
  <c r="J2165" i="1" a="1"/>
  <c r="J3433" i="1" a="1"/>
  <c r="J2647" i="1" a="1"/>
  <c r="E3880" i="1" a="1"/>
  <c r="E2056" i="1" a="1"/>
  <c r="E2923" i="1" a="1"/>
  <c r="J2504" i="1" a="1"/>
  <c r="E2601" i="1" a="1"/>
  <c r="E2639" i="1" a="1"/>
  <c r="E3861" i="1" a="1"/>
  <c r="J3394" i="1" a="1"/>
  <c r="E2345" i="1" a="1"/>
  <c r="J1268" i="1" a="1"/>
  <c r="E3432" i="1" a="1"/>
  <c r="J5329" i="1" a="1"/>
  <c r="E4405" i="1" a="1"/>
  <c r="E4429" i="1" a="1"/>
  <c r="J2411" i="1" a="1"/>
  <c r="J1371" i="1" a="1"/>
  <c r="E2721" i="1" a="1"/>
  <c r="J3085" i="1" a="1"/>
  <c r="J1624" i="1" a="1"/>
  <c r="E3447" i="1" a="1"/>
  <c r="E482" i="1" a="1"/>
  <c r="J2489" i="1" a="1"/>
  <c r="E1757" i="1" a="1"/>
  <c r="E3153" i="1" a="1"/>
  <c r="E4644" i="1" a="1"/>
  <c r="E3512" i="1" a="1"/>
  <c r="J2478" i="1" a="1"/>
  <c r="E2631" i="1" a="1"/>
  <c r="J3052" i="1" a="1"/>
  <c r="J1770" i="1" a="1"/>
  <c r="E3237" i="1" a="1"/>
  <c r="E2473" i="1" a="1"/>
  <c r="J3506" i="1" a="1"/>
  <c r="E2002" i="1" a="1"/>
  <c r="E2544" i="1" a="1"/>
  <c r="J1863" i="1" a="1"/>
  <c r="J1983" i="1" a="1"/>
  <c r="J2263" i="1" a="1"/>
  <c r="E3230" i="1" a="1"/>
  <c r="J2261" i="1" a="1"/>
  <c r="E2973" i="1" a="1"/>
  <c r="E2581" i="1" a="1"/>
  <c r="E216" i="1" a="1"/>
  <c r="E2513" i="1" a="1"/>
  <c r="J1941" i="1" a="1"/>
  <c r="E1675" i="1" a="1"/>
  <c r="E2597" i="1" a="1"/>
  <c r="E2824" i="1" a="1"/>
  <c r="J1783" i="1" a="1"/>
  <c r="E5171" i="1" a="1"/>
  <c r="E1194" i="1" a="1"/>
  <c r="E2409" i="1" a="1"/>
  <c r="E356" i="1" a="1"/>
  <c r="J2081" i="1" a="1"/>
  <c r="E3565" i="1" a="1"/>
  <c r="J1063" i="1" a="1"/>
  <c r="E608" i="1" a="1"/>
  <c r="E432" i="1" a="1"/>
  <c r="J2798" i="1" a="1"/>
  <c r="E2367" i="1" a="1"/>
  <c r="J2023" i="1" a="1"/>
  <c r="E2665" i="1" a="1"/>
  <c r="E3257" i="1" a="1"/>
  <c r="J4928" i="1" a="1"/>
  <c r="E3173" i="1" a="1"/>
  <c r="J1186" i="1" a="1"/>
  <c r="E2352" i="1" a="1"/>
  <c r="E12" i="1" a="1"/>
  <c r="E2291" i="1" a="1"/>
  <c r="E4494" i="1" a="1"/>
  <c r="E1334" i="1" a="1"/>
  <c r="E1530" i="1" a="1"/>
  <c r="E2804" i="1" a="1"/>
  <c r="E992" i="1" a="1"/>
  <c r="E2106" i="1" a="1"/>
  <c r="E2744" i="1" a="1"/>
  <c r="E4499" i="1" a="1"/>
  <c r="E5093" i="1" a="1"/>
  <c r="E5228" i="1" a="1"/>
  <c r="J3414" i="1" a="1"/>
  <c r="E2350" i="1" a="1"/>
  <c r="J4868" i="1" a="1"/>
  <c r="E4433" i="1" a="1"/>
  <c r="J3229" i="1" a="1"/>
  <c r="J3725" i="1" a="1"/>
  <c r="E3226" i="1" a="1"/>
  <c r="E2831" i="1" a="1"/>
  <c r="J4891" i="1" a="1"/>
  <c r="J3151" i="1" a="1"/>
  <c r="E1379" i="1" a="1"/>
  <c r="J2192" i="1" a="1"/>
  <c r="J2112" i="1" a="1"/>
  <c r="E3615" i="1" a="1"/>
  <c r="E2995" i="1" a="1"/>
  <c r="J2936" i="1" a="1"/>
  <c r="E2487" i="1" a="1"/>
  <c r="E2091" i="1" a="1"/>
  <c r="E3938" i="1" a="1"/>
  <c r="E2066" i="1" a="1"/>
  <c r="J1342" i="1" a="1"/>
  <c r="J1703" i="1" a="1"/>
  <c r="E3434" i="1" a="1"/>
  <c r="E901" i="1" a="1"/>
  <c r="E2739" i="1" a="1"/>
  <c r="E3171" i="1" a="1"/>
  <c r="E416" i="1" a="1"/>
  <c r="J3390" i="1" a="1"/>
  <c r="J3331" i="1" a="1"/>
  <c r="E3358" i="1" a="1"/>
  <c r="J3835" i="1" a="1"/>
  <c r="E664" i="1" a="1"/>
  <c r="J3431" i="1" a="1"/>
  <c r="E3064" i="1" a="1"/>
  <c r="J3097" i="1" a="1"/>
  <c r="J942" i="1" a="1"/>
  <c r="E2619" i="1" a="1"/>
  <c r="E2843" i="1" a="1"/>
  <c r="J1429" i="1" a="1"/>
  <c r="J2941" i="1" a="1"/>
  <c r="J1848" i="1" a="1"/>
  <c r="E4442" i="1" a="1"/>
  <c r="J3599" i="1" a="1"/>
  <c r="E2940" i="1" a="1"/>
  <c r="E3381" i="1" a="1"/>
  <c r="E2592" i="1" a="1"/>
  <c r="J1316" i="1" a="1"/>
  <c r="E1446" i="1" a="1"/>
  <c r="E3301" i="1" a="1"/>
  <c r="J4295" i="1" a="1"/>
  <c r="J2062" i="1" a="1"/>
  <c r="E3577" i="1" a="1"/>
  <c r="J2727" i="1" a="1"/>
  <c r="J2289" i="1" a="1"/>
  <c r="E2536" i="1" a="1"/>
  <c r="J3857" i="1" a="1"/>
  <c r="J1197" i="1" a="1"/>
  <c r="J2519" i="1" a="1"/>
  <c r="J2032" i="1" a="1"/>
  <c r="E3035" i="1" a="1"/>
  <c r="J4020" i="1" a="1"/>
  <c r="E1729" i="1" a="1"/>
  <c r="J3342" i="1" a="1"/>
  <c r="E3954" i="1" a="1"/>
  <c r="J2379" i="1" a="1"/>
  <c r="J3364" i="1" a="1"/>
  <c r="J3399" i="1" a="1"/>
  <c r="J1338" i="1" a="1"/>
  <c r="E1959" i="1" a="1"/>
  <c r="J1382" i="1" a="1"/>
  <c r="J2812" i="1" a="1"/>
  <c r="J2623" i="1" a="1"/>
  <c r="J2657" i="1" a="1"/>
  <c r="J4149" i="1" a="1"/>
  <c r="E2866" i="1" a="1"/>
  <c r="E3928" i="1" a="1"/>
  <c r="E1976" i="1" a="1"/>
  <c r="J2667" i="1" a="1"/>
  <c r="E3297" i="1" a="1"/>
  <c r="J2390" i="1" a="1"/>
  <c r="J4942" i="1" a="1"/>
  <c r="J3357" i="1" a="1"/>
  <c r="E1422" i="1" a="1"/>
  <c r="E3379" i="1" a="1"/>
  <c r="J444" i="1" a="1"/>
  <c r="J584" i="1" a="1"/>
  <c r="E3617" i="1" a="1"/>
  <c r="J1795" i="1" a="1"/>
  <c r="J894" i="1" a="1"/>
  <c r="E1392" i="1" a="1"/>
  <c r="E1407" i="1" a="1"/>
  <c r="J59" i="1" a="1"/>
  <c r="J1968" i="1" a="1"/>
  <c r="J1812" i="1" a="1"/>
  <c r="E2075" i="1" a="1"/>
  <c r="E2607" i="1" a="1"/>
  <c r="J2254" i="1" a="1"/>
  <c r="J2451" i="1" a="1"/>
  <c r="E1100" i="1" a="1"/>
  <c r="E2023" i="1" a="1"/>
  <c r="E3079" i="1" a="1"/>
  <c r="J168" i="1" a="1"/>
  <c r="J1081" i="1" a="1"/>
  <c r="J108" i="1" a="1"/>
  <c r="J9" i="1" a="1"/>
  <c r="J1682" i="1" a="1"/>
  <c r="E1394" i="1" a="1"/>
  <c r="E4119" i="1" a="1"/>
  <c r="J4547" i="1" a="1"/>
  <c r="E5689" i="1" a="1"/>
  <c r="E4364" i="1" a="1"/>
  <c r="E2174" i="1" a="1"/>
  <c r="E4232" i="1" a="1"/>
  <c r="E3757" i="1" a="1"/>
  <c r="J2385" i="1" a="1"/>
  <c r="J3783" i="1" a="1"/>
  <c r="J5768" i="1" a="1"/>
  <c r="J3021" i="1" a="1"/>
  <c r="J5934" i="1" a="1"/>
  <c r="J5219" i="1" a="1"/>
  <c r="E1978" i="1" a="1"/>
  <c r="E1214" i="1" a="1"/>
  <c r="J3996" i="1" a="1"/>
  <c r="E3349" i="1" a="1"/>
  <c r="E3017" i="1" a="1"/>
  <c r="E3040" i="1" a="1"/>
  <c r="E3177" i="1" a="1"/>
  <c r="E2428" i="1" a="1"/>
  <c r="E3157" i="1" a="1"/>
  <c r="J4908" i="1" a="1"/>
  <c r="J4622" i="1" a="1"/>
  <c r="J1238" i="1" a="1"/>
  <c r="E3241" i="1" a="1"/>
  <c r="E3798" i="1" a="1"/>
  <c r="J3759" i="1" a="1"/>
  <c r="J1834" i="1" a="1"/>
  <c r="E2109" i="1" a="1"/>
  <c r="E3793" i="1" a="1"/>
  <c r="E3151" i="1" a="1"/>
  <c r="E1458" i="1" a="1"/>
  <c r="E4137" i="1" a="1"/>
  <c r="J1472" i="1" a="1"/>
  <c r="E1084" i="1" a="1"/>
  <c r="J2985" i="1" a="1"/>
  <c r="E3175" i="1" a="1"/>
  <c r="E4152" i="1" a="1"/>
  <c r="E1616" i="1" a="1"/>
  <c r="J2622" i="1" a="1"/>
  <c r="E1881" i="1" a="1"/>
  <c r="E2588" i="1" a="1"/>
  <c r="J1788" i="1" a="1"/>
  <c r="E2882" i="1" a="1"/>
  <c r="J1875" i="1" a="1"/>
  <c r="J4587" i="1" a="1"/>
  <c r="E3789" i="1" a="1"/>
  <c r="J1215" i="1" a="1"/>
  <c r="J1261" i="1" a="1"/>
  <c r="E3008" i="1" a="1"/>
  <c r="E2889" i="1" a="1"/>
  <c r="J2739" i="1" a="1"/>
  <c r="E4846" i="1" a="1"/>
  <c r="J2461" i="1" a="1"/>
  <c r="E2989" i="1" a="1"/>
  <c r="E2070" i="1" a="1"/>
  <c r="E2549" i="1" a="1"/>
  <c r="J3496" i="1" a="1"/>
  <c r="J2044" i="1" a="1"/>
  <c r="E3934" i="1" a="1"/>
  <c r="J1443" i="1" a="1"/>
  <c r="E848" i="1" a="1"/>
  <c r="E4812" i="1" a="1"/>
  <c r="J3091" i="1" a="1"/>
  <c r="J2871" i="1" a="1"/>
  <c r="J2567" i="1" a="1"/>
  <c r="E2561" i="1" a="1"/>
  <c r="J3770" i="1" a="1"/>
  <c r="E1697" i="1" a="1"/>
  <c r="E2941" i="1" a="1"/>
  <c r="J1953" i="1" a="1"/>
  <c r="E4587" i="1" a="1"/>
  <c r="E2341" i="1" a="1"/>
  <c r="J2968" i="1" a="1"/>
  <c r="E1970" i="1" a="1"/>
  <c r="E3116" i="1" a="1"/>
  <c r="J2167" i="1" a="1"/>
  <c r="J3070" i="1" a="1"/>
  <c r="E2491" i="1" a="1"/>
  <c r="J2565" i="1" a="1"/>
  <c r="J496" i="1" a="1"/>
  <c r="J2164" i="1" a="1"/>
  <c r="J3176" i="1" a="1"/>
  <c r="J2658" i="1" a="1"/>
  <c r="J3284" i="1" a="1"/>
  <c r="J3904" i="1" a="1"/>
  <c r="J3117" i="1" a="1"/>
  <c r="J1465" i="1" a="1"/>
  <c r="J2119" i="1" a="1"/>
  <c r="E3212" i="1" a="1"/>
  <c r="E2557" i="1" a="1"/>
  <c r="E3351" i="1" a="1"/>
  <c r="E620" i="1" a="1"/>
  <c r="J831" i="1" a="1"/>
  <c r="J2591" i="1" a="1"/>
  <c r="E2836" i="1" a="1"/>
  <c r="E1430" i="1" a="1"/>
  <c r="E3084" i="1" a="1"/>
  <c r="E2838" i="1" a="1"/>
  <c r="E658" i="1" a="1"/>
  <c r="E2467" i="1" a="1"/>
  <c r="J636" i="1" a="1"/>
  <c r="E2609" i="1" a="1"/>
  <c r="E461" i="1" a="1"/>
  <c r="J2701" i="1" a="1"/>
  <c r="E3425" i="1" a="1"/>
  <c r="E303" i="1" a="1"/>
  <c r="J2163" i="1" a="1"/>
  <c r="E2316" i="1" a="1"/>
  <c r="J887" i="1" a="1"/>
  <c r="J2603" i="1" a="1"/>
  <c r="J3182" i="1" a="1"/>
  <c r="J2161" i="1" a="1"/>
  <c r="E3022" i="1" a="1"/>
  <c r="J1523" i="1" a="1"/>
  <c r="J1071" i="1" a="1"/>
  <c r="J208" i="1" a="1"/>
  <c r="J1700" i="1" a="1"/>
  <c r="J1065" i="1" a="1"/>
  <c r="J2517" i="1" a="1"/>
  <c r="E2975" i="1" a="1"/>
  <c r="J921" i="1" a="1"/>
  <c r="J1373" i="1" a="1"/>
  <c r="J1554" i="1" a="1"/>
  <c r="J2275" i="1" a="1"/>
  <c r="E2433" i="1" a="1"/>
  <c r="J2016" i="1" a="1"/>
  <c r="J5047" i="1" a="1"/>
  <c r="E4128" i="1" a="1"/>
  <c r="J3294" i="1" a="1"/>
  <c r="J3004" i="1" a="1"/>
  <c r="J4986" i="1" a="1"/>
  <c r="J2942" i="1" a="1"/>
  <c r="J3863" i="1" a="1"/>
  <c r="J1721" i="1" a="1"/>
  <c r="J3715" i="1" a="1"/>
  <c r="E3523" i="1" a="1"/>
  <c r="E1928" i="1" a="1"/>
  <c r="J3253" i="1" a="1"/>
  <c r="E3930" i="1" a="1"/>
  <c r="E3013" i="1" a="1"/>
  <c r="J2589" i="1" a="1"/>
  <c r="J4201" i="1" a="1"/>
  <c r="E1913" i="1" a="1"/>
  <c r="J2091" i="1" a="1"/>
  <c r="J3894" i="1" a="1"/>
  <c r="J3038" i="1" a="1"/>
  <c r="E2125" i="1" a="1"/>
  <c r="J1850" i="1" a="1"/>
  <c r="E2297" i="1" a="1"/>
  <c r="E3921" i="1" a="1"/>
  <c r="J4971" i="1" a="1"/>
  <c r="J2529" i="1" a="1"/>
  <c r="J4187" i="1" a="1"/>
  <c r="J2892" i="1" a="1"/>
  <c r="E2683" i="1" a="1"/>
  <c r="E2528" i="1" a="1"/>
  <c r="E3055" i="1" a="1"/>
  <c r="E2215" i="1" a="1"/>
  <c r="E4162" i="1" a="1"/>
  <c r="E2108" i="1" a="1"/>
  <c r="E3500" i="1" a="1"/>
  <c r="E1922" i="1" a="1"/>
  <c r="E5126" i="1" a="1"/>
  <c r="E4541" i="1" a="1"/>
  <c r="J3344" i="1" a="1"/>
  <c r="J5715" i="1" a="1"/>
  <c r="J2733" i="1" a="1"/>
  <c r="E2168" i="1" a="1"/>
  <c r="J808" i="1" a="1"/>
  <c r="J1828" i="1" a="1"/>
  <c r="E3852" i="1" a="1"/>
  <c r="J1162" i="1" a="1"/>
  <c r="E3854" i="1" a="1"/>
  <c r="E3477" i="1" a="1"/>
  <c r="E1938" i="1" a="1"/>
  <c r="E4855" i="1" a="1"/>
  <c r="E2738" i="1" a="1"/>
  <c r="J2363" i="1" a="1"/>
  <c r="E1655" i="1" a="1"/>
  <c r="J4372" i="1" a="1"/>
  <c r="E1624" i="1" a="1"/>
  <c r="J2904" i="1" a="1"/>
  <c r="J2330" i="1" a="1"/>
  <c r="J1601" i="1" a="1"/>
  <c r="E2795" i="1" a="1"/>
  <c r="E1281" i="1" a="1"/>
  <c r="E3946" i="1" a="1"/>
  <c r="E833" i="1" a="1"/>
  <c r="J1738" i="1" a="1"/>
  <c r="J3922" i="1" a="1"/>
  <c r="J1473" i="1" a="1"/>
  <c r="J3208" i="1" a="1"/>
  <c r="E2382" i="1" a="1"/>
  <c r="E3332" i="1" a="1"/>
  <c r="J3386" i="1" a="1"/>
  <c r="E1703" i="1" a="1"/>
  <c r="J1069" i="1" a="1"/>
  <c r="J2751" i="1" a="1"/>
  <c r="E4465" i="1" a="1"/>
  <c r="E1829" i="1" a="1"/>
  <c r="E2903" i="1" a="1"/>
  <c r="J3711" i="1" a="1"/>
  <c r="E3129" i="1" a="1"/>
  <c r="J2649" i="1" a="1"/>
  <c r="J4069" i="1" a="1"/>
  <c r="E3024" i="1" a="1"/>
  <c r="E3502" i="1" a="1"/>
  <c r="J3059" i="1" a="1"/>
  <c r="E2845" i="1" a="1"/>
  <c r="E1796" i="1" a="1"/>
  <c r="J2401" i="1" a="1"/>
  <c r="E2914" i="1" a="1"/>
  <c r="J2162" i="1" a="1"/>
  <c r="E2414" i="1" a="1"/>
  <c r="J2314" i="1" a="1"/>
  <c r="E1718" i="1" a="1"/>
  <c r="J1612" i="1" a="1"/>
  <c r="J1211" i="1" a="1"/>
  <c r="J760" i="1" a="1"/>
  <c r="J2002" i="1" a="1"/>
  <c r="J115" i="1" a="1"/>
  <c r="E1820" i="1" a="1"/>
  <c r="J1349" i="1" a="1"/>
  <c r="E3039" i="1" a="1"/>
  <c r="E843" i="1" a="1"/>
  <c r="E2095" i="1" a="1"/>
  <c r="E1802" i="1" a="1"/>
  <c r="E2032" i="1" a="1"/>
  <c r="E1325" i="1" a="1"/>
  <c r="J2429" i="1" a="1"/>
  <c r="J512" i="1" a="1"/>
  <c r="J978" i="1" a="1"/>
  <c r="J3418" i="1" a="1"/>
  <c r="E727" i="1" a="1"/>
  <c r="J1513" i="1" a="1"/>
  <c r="E2802" i="1" a="1"/>
  <c r="E2313" i="1" a="1"/>
  <c r="E2407" i="1" a="1"/>
  <c r="J2786" i="1" a="1"/>
  <c r="E2115" i="1" a="1"/>
  <c r="E1812" i="1" a="1"/>
  <c r="E1701" i="1" a="1"/>
  <c r="E1779" i="1" a="1"/>
  <c r="E320" i="1" a="1"/>
  <c r="J2287" i="1" a="1"/>
  <c r="J648" i="1" a="1"/>
  <c r="J479" i="1" a="1"/>
  <c r="E2144" i="1" a="1"/>
  <c r="J1844" i="1" a="1"/>
  <c r="J2793" i="1" a="1"/>
  <c r="J344" i="1" a="1"/>
  <c r="J1784" i="1" a="1"/>
  <c r="J4110" i="1" a="1"/>
  <c r="E1943" i="1" a="1"/>
  <c r="E933" i="1" a="1"/>
  <c r="J2646" i="1" a="1"/>
  <c r="E1268" i="1" a="1"/>
  <c r="E2702" i="1" a="1"/>
  <c r="E597" i="1" a="1"/>
  <c r="J3383" i="1" a="1"/>
  <c r="E3495" i="1" a="1"/>
  <c r="J861" i="1" a="1"/>
  <c r="J3215" i="1" a="1"/>
  <c r="E4067" i="1" a="1"/>
  <c r="E4061" i="1" a="1"/>
  <c r="J3241" i="1" a="1"/>
  <c r="J2282" i="1" a="1"/>
  <c r="J3412" i="1" a="1"/>
  <c r="E940" i="1" a="1"/>
  <c r="E3536" i="1" a="1"/>
  <c r="J3448" i="1" a="1"/>
  <c r="E3790" i="1" a="1"/>
  <c r="E2121" i="1" a="1"/>
  <c r="J4183" i="1" a="1"/>
  <c r="E3054" i="1" a="1"/>
  <c r="E2430" i="1" a="1"/>
  <c r="J1757" i="1" a="1"/>
  <c r="E512" i="1" a="1"/>
  <c r="J1652" i="1" a="1"/>
  <c r="J3323" i="1" a="1"/>
  <c r="J3461" i="1" a="1"/>
  <c r="J1561" i="1" a="1"/>
  <c r="E1547" i="1" a="1"/>
  <c r="J2669" i="1" a="1"/>
  <c r="J1435" i="1" a="1"/>
  <c r="J2845" i="1" a="1"/>
  <c r="E3827" i="1" a="1"/>
  <c r="E2223" i="1" a="1"/>
  <c r="E1842" i="1" a="1"/>
  <c r="E3461" i="1" a="1"/>
  <c r="J1686" i="1" a="1"/>
  <c r="E3406" i="1" a="1"/>
  <c r="J1505" i="1" a="1"/>
  <c r="E4524" i="1" a="1"/>
  <c r="E1376" i="1" a="1"/>
  <c r="E3224" i="1" a="1"/>
  <c r="E2659" i="1" a="1"/>
  <c r="E4572" i="1" a="1"/>
  <c r="J2924" i="1" a="1"/>
  <c r="J2439" i="1" a="1"/>
  <c r="J3503" i="1" a="1"/>
  <c r="E3499" i="1" a="1"/>
  <c r="E1228" i="1" a="1"/>
  <c r="J4500" i="1" a="1"/>
  <c r="E1706" i="1" a="1"/>
  <c r="J1750" i="1" a="1"/>
  <c r="E3468" i="1" a="1"/>
  <c r="J2204" i="1" a="1"/>
  <c r="J1557" i="1" a="1"/>
  <c r="J4075" i="1" a="1"/>
  <c r="E2344" i="1" a="1"/>
  <c r="J1438" i="1" a="1"/>
  <c r="E1889" i="1" a="1"/>
  <c r="E3691" i="1" a="1"/>
  <c r="E2863" i="1" a="1"/>
  <c r="J2531" i="1" a="1"/>
  <c r="E3619" i="1" a="1"/>
  <c r="E3625" i="1" a="1"/>
  <c r="E3259" i="1" a="1"/>
  <c r="J2902" i="1" a="1"/>
  <c r="E3419" i="1" a="1"/>
  <c r="E2695" i="1" a="1"/>
  <c r="J3541" i="1" a="1"/>
  <c r="E2740" i="1" a="1"/>
  <c r="J2556" i="1" a="1"/>
  <c r="J1347" i="1" a="1"/>
  <c r="E3455" i="1" a="1"/>
  <c r="J3353" i="1" a="1"/>
  <c r="E2239" i="1" a="1"/>
  <c r="E4370" i="1" a="1"/>
  <c r="J2538" i="1" a="1"/>
  <c r="E4008" i="1" a="1"/>
  <c r="E3298" i="1" a="1"/>
  <c r="J3780" i="1" a="1"/>
  <c r="J1527" i="1" a="1"/>
  <c r="J1972" i="1" a="1"/>
  <c r="J2462" i="1" a="1"/>
  <c r="E4259" i="1" a="1"/>
  <c r="E1958" i="1" a="1"/>
  <c r="E2718" i="1" a="1"/>
  <c r="E1638" i="1" a="1"/>
  <c r="E2952" i="1" a="1"/>
  <c r="E1343" i="1" a="1"/>
  <c r="E2724" i="1" a="1"/>
  <c r="J3330" i="1" a="1"/>
  <c r="J560" i="1" a="1"/>
  <c r="E890" i="1" a="1"/>
  <c r="J3381" i="1" a="1"/>
  <c r="E3755" i="1" a="1"/>
  <c r="E1934" i="1" a="1"/>
  <c r="J4340" i="1" a="1"/>
  <c r="J2041" i="1" a="1"/>
  <c r="E1493" i="1" a="1"/>
  <c r="J2662" i="1" a="1"/>
  <c r="E2200" i="1" a="1"/>
  <c r="J2403" i="1" a="1"/>
  <c r="J2047" i="1" a="1"/>
  <c r="E2961" i="1" a="1"/>
  <c r="J984" i="1" a="1"/>
  <c r="J1815" i="1" a="1"/>
  <c r="E2617" i="1" a="1"/>
  <c r="J5366" i="1" a="1"/>
  <c r="E1339" i="1" a="1"/>
  <c r="E1477" i="1" a="1"/>
  <c r="E1003" i="1" a="1"/>
  <c r="E1381" i="1" a="1"/>
  <c r="J2113" i="1" a="1"/>
  <c r="E3018" i="1" a="1"/>
  <c r="E2482" i="1" a="1"/>
  <c r="J3624" i="1" a="1"/>
  <c r="J2007" i="1" a="1"/>
  <c r="J1103" i="1" a="1"/>
  <c r="J2467" i="1" a="1"/>
  <c r="E1402" i="1" a="1"/>
  <c r="E1506" i="1" a="1"/>
  <c r="E3409" i="1" a="1"/>
  <c r="J3727" i="1" a="1"/>
  <c r="J1825" i="1" a="1"/>
  <c r="E1441" i="1" a="1"/>
  <c r="E570" i="1" a="1"/>
  <c r="J885" i="1" a="1"/>
  <c r="E827" i="1" a="1"/>
  <c r="J2926" i="1" a="1"/>
  <c r="E2681" i="1" a="1"/>
  <c r="E1095" i="1" a="1"/>
  <c r="E4381" i="1" a="1"/>
  <c r="J2272" i="1" a="1"/>
  <c r="E1375" i="1" a="1"/>
  <c r="E1130" i="1" a="1"/>
  <c r="J3113" i="1" a="1"/>
  <c r="J1517" i="1" a="1"/>
  <c r="E2243" i="1" a="1"/>
  <c r="J905" i="1" a="1"/>
  <c r="E706" i="1" a="1"/>
  <c r="J1792" i="1" a="1"/>
  <c r="J2004" i="1" a="1"/>
  <c r="E994" i="1" a="1"/>
  <c r="J1739" i="1" a="1"/>
  <c r="E5234" i="1" a="1"/>
  <c r="J2307" i="1" a="1"/>
  <c r="J757" i="1" a="1"/>
  <c r="E1864" i="1" a="1"/>
  <c r="J2154" i="1" a="1"/>
  <c r="J2995" i="1" a="1"/>
  <c r="E892" i="1" a="1"/>
  <c r="J924" i="1" a="1"/>
  <c r="J194" i="1" a="1"/>
  <c r="J1247" i="1" a="1"/>
  <c r="E2458" i="1" a="1"/>
  <c r="E2656" i="1" a="1"/>
  <c r="E2137" i="1" a="1"/>
  <c r="J2578" i="1" a="1"/>
  <c r="E1295" i="1" a="1"/>
  <c r="J1029" i="1" a="1"/>
  <c r="E1513" i="1" a="1"/>
  <c r="E1858" i="1" a="1"/>
  <c r="J1087" i="1" a="1"/>
  <c r="J1837" i="1" a="1"/>
  <c r="E1668" i="1" a="1"/>
  <c r="J621" i="1" a="1"/>
  <c r="J468" i="1" a="1"/>
  <c r="J585" i="1" a="1"/>
  <c r="E5781" i="1" a="1"/>
  <c r="E5180" i="1" a="1"/>
  <c r="E3158" i="1" a="1"/>
  <c r="J2479" i="1" a="1"/>
  <c r="J4490" i="1" a="1"/>
  <c r="J3740" i="1" a="1"/>
  <c r="J3781" i="1" a="1"/>
  <c r="J3681" i="1" a="1"/>
  <c r="J812" i="1" a="1"/>
  <c r="E3869" i="1" a="1"/>
  <c r="E4255" i="1" a="1"/>
  <c r="E1657" i="1" a="1"/>
  <c r="E1902" i="1" a="1"/>
  <c r="J3078" i="1" a="1"/>
  <c r="E3712" i="1" a="1"/>
  <c r="J1389" i="1" a="1"/>
  <c r="J4606" i="1" a="1"/>
  <c r="E3587" i="1" a="1"/>
  <c r="E3947" i="1" a="1"/>
  <c r="E3884" i="1" a="1"/>
  <c r="E1990" i="1" a="1"/>
  <c r="E1612" i="1" a="1"/>
  <c r="J3030" i="1" a="1"/>
  <c r="J1390" i="1" a="1"/>
  <c r="J2184" i="1" a="1"/>
  <c r="E1133" i="1" a="1"/>
  <c r="J3569" i="1" a="1"/>
  <c r="J3515" i="1" a="1"/>
  <c r="J2875" i="1" a="1"/>
  <c r="E2130" i="1" a="1"/>
  <c r="E2897" i="1" a="1"/>
  <c r="E2626" i="1" a="1"/>
  <c r="J1498" i="1" a="1"/>
  <c r="J3720" i="1" a="1"/>
  <c r="J2388" i="1" a="1"/>
  <c r="J1748" i="1" a="1"/>
  <c r="E3143" i="1" a="1"/>
  <c r="J2776" i="1" a="1"/>
  <c r="E2195" i="1" a="1"/>
  <c r="J3403" i="1" a="1"/>
  <c r="E2653" i="1" a="1"/>
  <c r="E3779" i="1" a="1"/>
  <c r="E3628" i="1" a="1"/>
  <c r="J3874" i="1" a="1"/>
  <c r="E1562" i="1" a="1"/>
  <c r="J2618" i="1" a="1"/>
  <c r="E4565" i="1" a="1"/>
  <c r="E3136" i="1" a="1"/>
  <c r="E4663" i="1" a="1"/>
  <c r="E3004" i="1" a="1"/>
  <c r="J2975" i="1" a="1"/>
  <c r="J2548" i="1" a="1"/>
  <c r="J2595" i="1" a="1"/>
  <c r="E3677" i="1" a="1"/>
  <c r="J3935" i="1" a="1"/>
  <c r="E2539" i="1" a="1"/>
  <c r="J3223" i="1" a="1"/>
  <c r="J2257" i="1" a="1"/>
  <c r="E3049" i="1" a="1"/>
  <c r="J1459" i="1" a="1"/>
  <c r="J4120" i="1" a="1"/>
  <c r="J1196" i="1" a="1"/>
  <c r="J2297" i="1" a="1"/>
  <c r="E1378" i="1" a="1"/>
  <c r="E2616" i="1" a="1"/>
  <c r="E3386" i="1" a="1"/>
  <c r="J4179" i="1" a="1"/>
  <c r="E3839" i="1" a="1"/>
  <c r="J2018" i="1" a="1"/>
  <c r="E3823" i="1" a="1"/>
  <c r="E3595" i="1" a="1"/>
  <c r="J1128" i="1" a="1"/>
  <c r="J3652" i="1" a="1"/>
  <c r="E4605" i="1" a="1"/>
  <c r="J2782" i="1" a="1"/>
  <c r="E2664" i="1" a="1"/>
  <c r="J2005" i="1" a="1"/>
  <c r="J1520" i="1" a="1"/>
  <c r="J3058" i="1" a="1"/>
  <c r="E518" i="1" a="1"/>
  <c r="J2141" i="1" a="1"/>
  <c r="J1458" i="1" a="1"/>
  <c r="J2561" i="1" a="1"/>
  <c r="J1954" i="1" a="1"/>
  <c r="E1636" i="1" a="1"/>
  <c r="J2291" i="1" a="1"/>
  <c r="E2096" i="1" a="1"/>
  <c r="J4353" i="1" a="1"/>
  <c r="J324" i="1" a="1"/>
  <c r="E3189" i="1" a="1"/>
  <c r="J1126" i="1" a="1"/>
  <c r="E2814" i="1" a="1"/>
  <c r="J285" i="1" a="1"/>
  <c r="E1035" i="1" a="1"/>
  <c r="J710" i="1" a="1"/>
  <c r="J3903" i="1" a="1"/>
  <c r="J2699" i="1" a="1"/>
  <c r="J3579" i="1" a="1"/>
  <c r="E1234" i="1" a="1"/>
  <c r="J2614" i="1" a="1"/>
  <c r="E1877" i="1" a="1"/>
  <c r="E1395" i="1" a="1"/>
  <c r="E1198" i="1" a="1"/>
  <c r="J1997" i="1" a="1"/>
  <c r="J3615" i="1" a="1"/>
  <c r="E1571" i="1" a="1"/>
  <c r="E2390" i="1" a="1"/>
  <c r="E277" i="1" a="1"/>
  <c r="J1765" i="1" a="1"/>
  <c r="E1834" i="1" a="1"/>
  <c r="E2895" i="1" a="1"/>
  <c r="E1220" i="1" a="1"/>
  <c r="J2843" i="1" a="1"/>
  <c r="J1747" i="1" a="1"/>
  <c r="J3561" i="1" a="1"/>
  <c r="J2072" i="1" a="1"/>
  <c r="J592" i="1" a="1"/>
  <c r="E732" i="1" a="1"/>
  <c r="E1746" i="1" a="1"/>
  <c r="J2775" i="1" a="1"/>
  <c r="E3521" i="1" a="1"/>
  <c r="E2860" i="1" a="1"/>
  <c r="J2294" i="1" a="1"/>
  <c r="J1731" i="1" a="1"/>
  <c r="E4761" i="1" a="1"/>
  <c r="E2098" i="1" a="1"/>
  <c r="E1255" i="1" a="1"/>
  <c r="E3322" i="1" a="1"/>
  <c r="J1536" i="1" a="1"/>
  <c r="E1481" i="1" a="1"/>
  <c r="J2334" i="1" a="1"/>
  <c r="E1148" i="1" a="1"/>
  <c r="E780" i="1" a="1"/>
  <c r="E904" i="1" a="1"/>
  <c r="E3347" i="1" a="1"/>
  <c r="J3959" i="1" a="1"/>
  <c r="E1857" i="1" a="1"/>
  <c r="J2822" i="1" a="1"/>
  <c r="J1519" i="1" a="1"/>
  <c r="E2384" i="1" a="1"/>
  <c r="E2065" i="1" a="1"/>
  <c r="E854" i="1" a="1"/>
  <c r="E3284" i="1" a="1"/>
  <c r="J2785" i="1" a="1"/>
  <c r="E2846" i="1" a="1"/>
  <c r="J2997" i="1" a="1"/>
  <c r="E1074" i="1" a="1"/>
  <c r="J3168" i="1" a="1"/>
  <c r="J2577" i="1" a="1"/>
  <c r="J3530" i="1" a="1"/>
  <c r="E2268" i="1" a="1"/>
  <c r="E4746" i="1" a="1"/>
  <c r="J3362" i="1" a="1"/>
  <c r="E1132" i="1" a="1"/>
  <c r="E3590" i="1" a="1"/>
  <c r="E1006" i="1" a="1"/>
  <c r="J2335" i="1" a="1"/>
  <c r="E2971" i="1" a="1"/>
  <c r="E3853" i="1" a="1"/>
  <c r="J5207" i="1" a="1"/>
  <c r="J2991" i="1" a="1"/>
  <c r="E5733" i="1" a="1"/>
  <c r="J2654" i="1" a="1"/>
  <c r="E3207" i="1" a="1"/>
  <c r="J4533" i="1" a="1"/>
  <c r="E3346" i="1" a="1"/>
  <c r="J3359" i="1" a="1"/>
  <c r="J2819" i="1" a="1"/>
  <c r="J3178" i="1" a="1"/>
  <c r="J2468" i="1" a="1"/>
  <c r="E3684" i="1" a="1"/>
  <c r="J2440" i="1" a="1"/>
  <c r="J3348" i="1" a="1"/>
  <c r="J1214" i="1" a="1"/>
  <c r="E3727" i="1" a="1"/>
  <c r="J1131" i="1" a="1"/>
  <c r="E1529" i="1" a="1"/>
  <c r="E3112" i="1" a="1"/>
  <c r="E3380" i="1" a="1"/>
  <c r="J2240" i="1" a="1"/>
  <c r="E2192" i="1" a="1"/>
  <c r="J1368" i="1" a="1"/>
  <c r="J2443" i="1" a="1"/>
  <c r="E3306" i="1" a="1"/>
  <c r="E1732" i="1" a="1"/>
  <c r="E3095" i="1" a="1"/>
  <c r="E2930" i="1" a="1"/>
  <c r="E819" i="1" a="1"/>
  <c r="J1567" i="1" a="1"/>
  <c r="J1684" i="1" a="1"/>
  <c r="E2593" i="1" a="1"/>
  <c r="J2174" i="1" a="1"/>
  <c r="J2061" i="1" a="1"/>
  <c r="J4032" i="1" a="1"/>
  <c r="E3528" i="1" a="1"/>
  <c r="E2230" i="1" a="1"/>
  <c r="J3103" i="1" a="1"/>
  <c r="J2347" i="1" a="1"/>
  <c r="E372" i="1" a="1"/>
  <c r="J3306" i="1" a="1"/>
  <c r="J2930" i="1" a="1"/>
  <c r="E3228" i="1" a="1"/>
  <c r="J2387" i="1" a="1"/>
  <c r="E3092" i="1" a="1"/>
  <c r="E1911" i="1" a="1"/>
  <c r="J3667" i="1" a="1"/>
  <c r="E2669" i="1" a="1"/>
  <c r="E2753" i="1" a="1"/>
  <c r="J2393" i="1" a="1"/>
  <c r="J2915" i="1" a="1"/>
  <c r="E3480" i="1" a="1"/>
  <c r="J2678" i="1" a="1"/>
  <c r="J3474" i="1" a="1"/>
  <c r="J2801" i="1" a="1"/>
  <c r="E2120" i="1" a="1"/>
  <c r="E4197" i="1" a="1"/>
  <c r="E1144" i="1" a="1"/>
  <c r="J2488" i="1" a="1"/>
  <c r="E1750" i="1" a="1"/>
  <c r="J1967" i="1" a="1"/>
  <c r="J2109" i="1" a="1"/>
  <c r="J2857" i="1" a="1"/>
  <c r="E1677" i="1" a="1"/>
  <c r="J2726" i="1" a="1"/>
  <c r="J3131" i="1" a="1"/>
  <c r="J3848" i="1" a="1"/>
  <c r="J1879" i="1" a="1"/>
  <c r="E2020" i="1" a="1"/>
  <c r="J3447" i="1" a="1"/>
  <c r="J3007" i="1" a="1"/>
  <c r="E5950" i="1" a="1"/>
  <c r="J4388" i="1" a="1"/>
  <c r="E4280" i="1" a="1"/>
  <c r="E1688" i="1" a="1"/>
  <c r="J1942" i="1" a="1"/>
  <c r="J997" i="1" a="1"/>
  <c r="J2332" i="1" a="1"/>
  <c r="E2349" i="1" a="1"/>
  <c r="E2806" i="1" a="1"/>
  <c r="J1646" i="1" a="1"/>
  <c r="J988" i="1" a="1"/>
  <c r="E5026" i="1" a="1"/>
  <c r="E3082" i="1" a="1"/>
  <c r="J2747" i="1" a="1"/>
  <c r="J3139" i="1" a="1"/>
  <c r="J3146" i="1" a="1"/>
  <c r="E3424" i="1" a="1"/>
  <c r="E2707" i="1" a="1"/>
  <c r="E1179" i="1" a="1"/>
  <c r="E2554" i="1" a="1"/>
  <c r="J2566" i="1" a="1"/>
  <c r="E2292" i="1" a="1"/>
  <c r="J775" i="1" a="1"/>
  <c r="J2276" i="1" a="1"/>
  <c r="E2033" i="1" a="1"/>
  <c r="E1243" i="1" a="1"/>
  <c r="J3018" i="1" a="1"/>
  <c r="E1238" i="1" a="1"/>
  <c r="J2224" i="1" a="1"/>
  <c r="J2148" i="1" a="1"/>
  <c r="J1295" i="1" a="1"/>
  <c r="E1894" i="1" a="1"/>
  <c r="E4350" i="1" a="1"/>
  <c r="J1569" i="1" a="1"/>
  <c r="E1258" i="1" a="1"/>
  <c r="E413" i="1" a="1"/>
  <c r="J1474" i="1" a="1"/>
  <c r="J4170" i="1" a="1"/>
  <c r="J5790" i="1" a="1"/>
  <c r="J2661" i="1" a="1"/>
  <c r="E1979" i="1" a="1"/>
  <c r="E1650" i="1" a="1"/>
  <c r="J4305" i="1" a="1"/>
  <c r="E2402" i="1" a="1"/>
  <c r="J2107" i="1" a="1"/>
  <c r="J662" i="1" a="1"/>
  <c r="J1152" i="1" a="1"/>
  <c r="J1734" i="1" a="1"/>
  <c r="J2156" i="1" a="1"/>
  <c r="J2449" i="1" a="1"/>
  <c r="E1824" i="1" a="1"/>
  <c r="E2408" i="1" a="1"/>
  <c r="J1685" i="1" a="1"/>
  <c r="E3046" i="1" a="1"/>
  <c r="J2366" i="1" a="1"/>
  <c r="J3589" i="1" a="1"/>
  <c r="J4797" i="1" a="1"/>
  <c r="J5208" i="1" a="1"/>
  <c r="J2729" i="1" a="1"/>
  <c r="J4138" i="1" a="1"/>
  <c r="E2684" i="1" a="1"/>
  <c r="E2038" i="1" a="1"/>
  <c r="E3369" i="1" a="1"/>
  <c r="E2676" i="1" a="1"/>
  <c r="E1366" i="1" a="1"/>
  <c r="E1005" i="1" a="1"/>
  <c r="J2131" i="1" a="1"/>
  <c r="E3321" i="1" a="1"/>
  <c r="E5158" i="1" a="1"/>
  <c r="E2445" i="1" a="1"/>
  <c r="E3235" i="1" a="1"/>
  <c r="E2759" i="1" a="1"/>
  <c r="J3003" i="1" a="1"/>
  <c r="J3577" i="1" a="1"/>
  <c r="E1678" i="1" a="1"/>
  <c r="J3024" i="1" a="1"/>
  <c r="J2465" i="1" a="1"/>
  <c r="J3074" i="1" a="1"/>
  <c r="E400" i="1" a="1"/>
  <c r="E3037" i="1" a="1"/>
  <c r="E1336" i="1" a="1"/>
  <c r="J2381" i="1" a="1"/>
  <c r="J3387" i="1" a="1"/>
  <c r="E2040" i="1" a="1"/>
  <c r="J1955" i="1" a="1"/>
  <c r="E2224" i="1" a="1"/>
  <c r="J911" i="1" a="1"/>
  <c r="E3708" i="1" a="1"/>
  <c r="J1973" i="1" a="1"/>
  <c r="E1570" i="1" a="1"/>
  <c r="J1901" i="1" a="1"/>
  <c r="J375" i="1" a="1"/>
  <c r="J1843" i="1" a="1"/>
  <c r="E2815" i="1" a="1"/>
  <c r="E4920" i="1" a="1"/>
  <c r="J3300" i="1" a="1"/>
  <c r="J1127" i="1" a="1"/>
  <c r="E654" i="1" a="1"/>
  <c r="E1929" i="1" a="1"/>
  <c r="J2250" i="1" a="1"/>
  <c r="J937" i="1" a="1"/>
  <c r="E1931" i="1" a="1"/>
  <c r="E2842" i="1" a="1"/>
  <c r="E3812" i="1" a="1"/>
  <c r="J3053" i="1" a="1"/>
  <c r="J1027" i="1" a="1"/>
  <c r="E1838" i="1" a="1"/>
  <c r="E3302" i="1" a="1"/>
  <c r="J1669" i="1" a="1"/>
  <c r="E2985" i="1" a="1"/>
  <c r="E3344" i="1" a="1"/>
  <c r="J1529" i="1" a="1"/>
  <c r="E2492" i="1" a="1"/>
  <c r="J2713" i="1" a="1"/>
  <c r="E2457" i="1" a="1"/>
  <c r="E1401" i="1" a="1"/>
  <c r="E2821" i="1" a="1"/>
  <c r="E3325" i="1" a="1"/>
  <c r="J195" i="1" a="1"/>
  <c r="J2333" i="1" a="1"/>
  <c r="E2014" i="1" a="1"/>
  <c r="E1290" i="1" a="1"/>
  <c r="J3221" i="1" a="1"/>
  <c r="E2043" i="1" a="1"/>
  <c r="E3051" i="1" a="1"/>
  <c r="J2550" i="1" a="1"/>
  <c r="E2254" i="1" a="1"/>
  <c r="E1498" i="1" a="1"/>
  <c r="J734" i="1" a="1"/>
  <c r="J2452" i="1" a="1"/>
  <c r="E17" i="1" a="1"/>
  <c r="E2068" i="1" a="1"/>
  <c r="J2774" i="1" a="1"/>
  <c r="E2620" i="1" a="1"/>
  <c r="E1872" i="1" a="1"/>
  <c r="E2107" i="1" a="1"/>
  <c r="E1199" i="1" a="1"/>
  <c r="J2416" i="1" a="1"/>
  <c r="J1284" i="1" a="1"/>
  <c r="J2323" i="1" a="1"/>
  <c r="J1041" i="1" a="1"/>
  <c r="J1118" i="1" a="1"/>
  <c r="E300" i="1" a="1"/>
  <c r="E826" i="1" a="1"/>
  <c r="E2762" i="1" a="1"/>
  <c r="J1172" i="1" a="1"/>
  <c r="E1672" i="1" a="1"/>
  <c r="J3705" i="1" a="1"/>
  <c r="J2731" i="1" a="1"/>
  <c r="E4531" i="1" a="1"/>
  <c r="J2249" i="1" a="1"/>
  <c r="J1658" i="1" a="1"/>
  <c r="J2088" i="1" a="1"/>
  <c r="E1171" i="1" a="1"/>
  <c r="E2152" i="1" a="1"/>
  <c r="E1528" i="1" a="1"/>
  <c r="J316" i="1" a="1"/>
  <c r="J1771" i="1" a="1"/>
  <c r="E227" i="1" a="1"/>
  <c r="J4711" i="1" a="1"/>
  <c r="J2960" i="1" a="1"/>
  <c r="J3521" i="1" a="1"/>
  <c r="J3882" i="1" a="1"/>
  <c r="E1007" i="1" a="1"/>
  <c r="E4048" i="1" a="1"/>
  <c r="E2071" i="1" a="1"/>
  <c r="E1478" i="1" a="1"/>
  <c r="E4159" i="1" a="1"/>
  <c r="J2006" i="1" a="1"/>
  <c r="E1269" i="1" a="1"/>
  <c r="E1891" i="1" a="1"/>
  <c r="E3170" i="1" a="1"/>
  <c r="E1973" i="1" a="1"/>
  <c r="E2700" i="1" a="1"/>
  <c r="E3541" i="1" a="1"/>
  <c r="J1518" i="1" a="1"/>
  <c r="E2104" i="1" a="1"/>
  <c r="J2781" i="1" a="1"/>
  <c r="E1180" i="1" a="1"/>
  <c r="J1224" i="1" a="1"/>
  <c r="J4190" i="1" a="1"/>
  <c r="J1000" i="1" a="1"/>
  <c r="E3704" i="1" a="1"/>
  <c r="J3583" i="1" a="1"/>
  <c r="E1312" i="1" a="1"/>
  <c r="J1332" i="1" a="1"/>
  <c r="E2982" i="1" a="1"/>
  <c r="E369" i="1" a="1"/>
  <c r="E1687" i="1" a="1"/>
  <c r="J600" i="1" a="1"/>
  <c r="J412" i="1" a="1"/>
  <c r="J46" i="1" a="1"/>
  <c r="J1089" i="1" a="1"/>
  <c r="J2815" i="1" a="1"/>
  <c r="E190" i="1" a="1"/>
  <c r="E2808" i="1" a="1"/>
  <c r="J3002" i="1" a="1"/>
  <c r="E585" i="1" a="1"/>
  <c r="E1232" i="1" a="1"/>
  <c r="J2977" i="1" a="1"/>
  <c r="E476" i="1" a="1"/>
  <c r="E1982" i="1" a="1"/>
  <c r="J1773" i="1" a="1"/>
  <c r="E2751" i="1" a="1"/>
  <c r="E978" i="1" a="1"/>
  <c r="J1933" i="1" a="1"/>
  <c r="J1362" i="1" a="1"/>
  <c r="E171" i="1" a="1"/>
  <c r="E83" i="1" a="1"/>
  <c r="J1256" i="1" a="1"/>
  <c r="J360" i="1" a="1"/>
  <c r="J729" i="1" a="1"/>
  <c r="J857" i="1" a="1"/>
  <c r="J276" i="1" a="1"/>
  <c r="J1033" i="1" a="1"/>
  <c r="E2060" i="1" a="1"/>
  <c r="E2578" i="1" a="1"/>
  <c r="E1273" i="1" a="1"/>
  <c r="E527" i="1" a="1"/>
  <c r="J160" i="1" a="1"/>
  <c r="E15" i="1" a="1"/>
  <c r="J37" i="1" a="1"/>
  <c r="E3045" i="1" a="1"/>
  <c r="E5210" i="1" a="1"/>
  <c r="J796" i="1" a="1"/>
  <c r="E2797" i="1" a="1"/>
  <c r="J2664" i="1" a="1"/>
  <c r="E696" i="1" a="1"/>
  <c r="J675" i="1" a="1"/>
  <c r="E1293" i="1" a="1"/>
  <c r="E85" i="1" a="1"/>
  <c r="J346" i="1" a="1"/>
  <c r="J1136" i="1" a="1"/>
  <c r="E269" i="1" a="1"/>
  <c r="E809" i="1" a="1"/>
  <c r="J2296" i="1" a="1"/>
  <c r="J3765" i="1" a="1"/>
  <c r="J944" i="1" a="1"/>
  <c r="E734" i="1" a="1"/>
  <c r="J2050" i="1" a="1"/>
  <c r="E137" i="1" a="1"/>
  <c r="J2151" i="1" a="1"/>
  <c r="E1385" i="1" a="1"/>
  <c r="J3025" i="1" a="1"/>
  <c r="E2628" i="1" a="1"/>
  <c r="E118" i="1" a="1"/>
  <c r="E760" i="1" a="1"/>
  <c r="E1457" i="1" a="1"/>
  <c r="E3614" i="1" a="1"/>
  <c r="J2852" i="1" a="1"/>
  <c r="E2170" i="1" a="1"/>
  <c r="E762" i="1" a="1"/>
  <c r="J1417" i="1" a="1"/>
  <c r="E910" i="1" a="1"/>
  <c r="J994" i="1" a="1"/>
  <c r="J940" i="1" a="1"/>
  <c r="E1270" i="1" a="1"/>
  <c r="J1014" i="1" a="1"/>
  <c r="J159" i="1" a="1"/>
  <c r="J1251" i="1" a="1"/>
  <c r="E443" i="1" a="1"/>
  <c r="J3324" i="1" a="1"/>
  <c r="J992" i="1" a="1"/>
  <c r="E612" i="1" a="1"/>
  <c r="E884" i="1" a="1"/>
  <c r="E2437" i="1" a="1"/>
  <c r="E2803" i="1" a="1"/>
  <c r="J790" i="1" a="1"/>
  <c r="E2933" i="1" a="1"/>
  <c r="J3531" i="1" a="1"/>
  <c r="J1977" i="1" a="1"/>
  <c r="J2746" i="1" a="1"/>
  <c r="E215" i="1" a="1"/>
  <c r="E390" i="1" a="1"/>
  <c r="J2017" i="1" a="1"/>
  <c r="E2816" i="1" a="1"/>
  <c r="E442" i="1" a="1"/>
  <c r="E874" i="1" a="1"/>
  <c r="E2124" i="1" a="1"/>
  <c r="E1149" i="1" a="1"/>
  <c r="E2534" i="1" a="1"/>
  <c r="J806" i="1" a="1"/>
  <c r="J3086" i="1" a="1"/>
  <c r="J810" i="1" a="1"/>
  <c r="E2678" i="1" a="1"/>
  <c r="E319" i="1" a="1"/>
  <c r="E84" i="1" a="1"/>
  <c r="J2520" i="1" a="1"/>
  <c r="E1952" i="1" a="1"/>
  <c r="E1010" i="1" a="1"/>
  <c r="J1067" i="1" a="1"/>
  <c r="J3312" i="1" a="1"/>
  <c r="E3027" i="1" a="1"/>
  <c r="J83" i="1" a="1"/>
  <c r="J181" i="1" a="1"/>
  <c r="J1360" i="1" a="1"/>
  <c r="J64" i="1" a="1"/>
  <c r="J837" i="1" a="1"/>
  <c r="J3543" i="1" a="1"/>
  <c r="E997" i="1" a="1"/>
  <c r="E3089" i="1" a="1"/>
  <c r="J2447" i="1" a="1"/>
  <c r="J2934" i="1" a="1"/>
  <c r="E1224" i="1" a="1"/>
  <c r="E823" i="1" a="1"/>
  <c r="E1433" i="1" a="1"/>
  <c r="E2673" i="1" a="1"/>
  <c r="E1693" i="1" a="1"/>
  <c r="E2158" i="1" a="1"/>
  <c r="J364" i="1" a="1"/>
  <c r="E4936" i="1" a="1"/>
  <c r="J3329" i="1" a="1"/>
  <c r="E3422" i="1" a="1"/>
  <c r="J2325" i="1" a="1"/>
  <c r="E979" i="1" a="1"/>
  <c r="J2100" i="1" a="1"/>
  <c r="E3706" i="1" a="1"/>
  <c r="E1536" i="1" a="1"/>
  <c r="E1500" i="1" a="1"/>
  <c r="E4651" i="1" a="1"/>
  <c r="E1161" i="1" a="1"/>
  <c r="E3458" i="1" a="1"/>
  <c r="E983" i="1" a="1"/>
  <c r="E3584" i="1" a="1"/>
  <c r="E2634" i="1" a="1"/>
  <c r="E1435" i="1" a="1"/>
  <c r="J2761" i="1" a="1"/>
  <c r="J3019" i="1" a="1"/>
  <c r="E3925" i="1" a="1"/>
  <c r="E2132" i="1" a="1"/>
  <c r="J947" i="1" a="1"/>
  <c r="J1841" i="1" a="1"/>
  <c r="E1742" i="1" a="1"/>
  <c r="E607" i="1" a="1"/>
  <c r="E1974" i="1" a="1"/>
  <c r="J2648" i="1" a="1"/>
  <c r="J2213" i="1" a="1"/>
  <c r="E1731" i="1" a="1"/>
  <c r="E4281" i="1" a="1"/>
  <c r="E2992" i="1" a="1"/>
  <c r="J2369" i="1" a="1"/>
  <c r="J95" i="1" a="1"/>
  <c r="J4205" i="1" a="1"/>
  <c r="J1592" i="1" a="1"/>
  <c r="J1708" i="1" a="1"/>
  <c r="J1052" i="1" a="1"/>
  <c r="J1422" i="1" a="1"/>
  <c r="J1768" i="1" a="1"/>
  <c r="E2374" i="1" a="1"/>
  <c r="E1372" i="1" a="1"/>
  <c r="E3227" i="1" a="1"/>
  <c r="J1262" i="1" a="1"/>
  <c r="E1318" i="1" a="1"/>
  <c r="E1908" i="1" a="1"/>
  <c r="E3514" i="1" a="1"/>
  <c r="J2957" i="1" a="1"/>
  <c r="J2438" i="1" a="1"/>
  <c r="E1602" i="1" a="1"/>
  <c r="E2531" i="1" a="1"/>
  <c r="E1211" i="1" a="1"/>
  <c r="J1946" i="1" a="1"/>
  <c r="E2969" i="1" a="1"/>
  <c r="E624" i="1" a="1"/>
  <c r="J222" i="1" a="1"/>
  <c r="J4604" i="1" a="1"/>
  <c r="J3413" i="1" a="1"/>
  <c r="E3061" i="1" a="1"/>
  <c r="E2285" i="1" a="1"/>
  <c r="J500" i="1" a="1"/>
  <c r="J871" i="1" a="1"/>
  <c r="J836" i="1" a="1"/>
  <c r="E1503" i="1" a="1"/>
  <c r="E2847" i="1" a="1"/>
  <c r="J725" i="1" a="1"/>
  <c r="E4287" i="1" a="1"/>
  <c r="J473" i="1" a="1"/>
  <c r="E3594" i="1" a="1"/>
  <c r="E1554" i="1" a="1"/>
  <c r="J3317" i="1" a="1"/>
  <c r="E998" i="1" a="1"/>
  <c r="J1119" i="1" a="1"/>
  <c r="E3556" i="1" a="1"/>
  <c r="J1660" i="1" a="1"/>
  <c r="J36" i="1" a="1"/>
  <c r="J1728" i="1" a="1"/>
  <c r="J974" i="1" a="1"/>
  <c r="J1109" i="1" a="1"/>
  <c r="E1360" i="1" a="1"/>
  <c r="E470" i="1" a="1"/>
  <c r="J5901" i="1" a="1"/>
  <c r="J2652" i="1" a="1"/>
  <c r="E1342" i="1" a="1"/>
  <c r="E2270" i="1" a="1"/>
  <c r="J4472" i="1" a="1"/>
  <c r="J3280" i="1" a="1"/>
  <c r="E1072" i="1" a="1"/>
  <c r="E154" i="1" a="1"/>
  <c r="E798" i="1" a="1"/>
  <c r="E2441" i="1" a="1"/>
  <c r="J2907" i="1" a="1"/>
  <c r="E2439" i="1" a="1"/>
  <c r="E846" i="1" a="1"/>
  <c r="E3253" i="1" a="1"/>
  <c r="E1859" i="1" a="1"/>
  <c r="E2305" i="1" a="1"/>
  <c r="E2825" i="1" a="1"/>
  <c r="J2101" i="1" a="1"/>
  <c r="J341" i="1" a="1"/>
  <c r="J2178" i="1" a="1"/>
  <c r="J1260" i="1" a="1"/>
  <c r="E1541" i="1" a="1"/>
  <c r="J220" i="1" a="1"/>
  <c r="J1507" i="1" a="1"/>
  <c r="E591" i="1" a="1"/>
  <c r="J1799" i="1" a="1"/>
  <c r="E704" i="1" a="1"/>
  <c r="E3033" i="1" a="1"/>
  <c r="E2417" i="1" a="1"/>
  <c r="J1712" i="1" a="1"/>
  <c r="J3207" i="1" a="1"/>
  <c r="J1340" i="1" a="1"/>
  <c r="J3172" i="1" a="1"/>
  <c r="E2471" i="1" a="1"/>
  <c r="E4143" i="1" a="1"/>
  <c r="E2880" i="1" a="1"/>
  <c r="E2756" i="1" a="1"/>
  <c r="J2491" i="1" a="1"/>
  <c r="E1451" i="1" a="1"/>
  <c r="E1784" i="1" a="1"/>
  <c r="E534" i="1" a="1"/>
  <c r="E1792" i="1" a="1"/>
  <c r="J1531" i="1" a="1"/>
  <c r="J1791" i="1" a="1"/>
  <c r="J2655" i="1" a="1"/>
  <c r="J432" i="1" a="1"/>
  <c r="E1122" i="1" a="1"/>
  <c r="E474" i="1" a="1"/>
  <c r="J2182" i="1" a="1"/>
  <c r="E2332" i="1" a="1"/>
  <c r="E2582" i="1" a="1"/>
  <c r="J1407" i="1" a="1"/>
  <c r="E1066" i="1" a="1"/>
  <c r="J1506" i="1" a="1"/>
  <c r="E2727" i="1" a="1"/>
  <c r="E1676" i="1" a="1"/>
  <c r="E415" i="1" a="1"/>
  <c r="E235" i="1" a="1"/>
  <c r="J2742" i="1" a="1"/>
  <c r="J663" i="1" a="1"/>
  <c r="E38" i="1" a="1"/>
  <c r="E3397" i="1" a="1"/>
  <c r="J2086" i="1" a="1"/>
  <c r="E552" i="1" a="1"/>
  <c r="E1773" i="1" a="1"/>
  <c r="E278" i="1" a="1"/>
  <c r="E2521" i="1" a="1"/>
  <c r="J2053" i="1" a="1"/>
  <c r="E1471" i="1" a="1"/>
  <c r="E1167" i="1" a="1"/>
  <c r="J508" i="1" a="1"/>
  <c r="E903" i="1" a="1"/>
  <c r="E1689" i="1" a="1"/>
  <c r="J76" i="1" a="1"/>
  <c r="E746" i="1" a="1"/>
  <c r="E2823" i="1" a="1"/>
  <c r="J1904" i="1" a="1"/>
  <c r="E3413" i="1" a="1"/>
  <c r="E2252" i="1" a="1"/>
  <c r="E384" i="1" a="1"/>
  <c r="J413" i="1" a="1"/>
  <c r="E2097" i="1" a="1"/>
  <c r="J391" i="1" a="1"/>
  <c r="J697" i="1" a="1"/>
  <c r="J1632" i="1" a="1"/>
  <c r="E1822" i="1" a="1"/>
  <c r="J2150" i="1" a="1"/>
  <c r="E2475" i="1" a="1"/>
  <c r="J1911" i="1" a="1"/>
  <c r="J2472" i="1" a="1"/>
  <c r="J814" i="1" a="1"/>
  <c r="E1173" i="1" a="1"/>
  <c r="J1571" i="1" a="1"/>
  <c r="E1449" i="1" a="1"/>
  <c r="J1668" i="1" a="1"/>
  <c r="E1996" i="1" a="1"/>
  <c r="E1611" i="1" a="1"/>
  <c r="J2948" i="1" a="1"/>
  <c r="E2334" i="1" a="1"/>
  <c r="J828" i="1" a="1"/>
  <c r="E1276" i="1" a="1"/>
  <c r="J962" i="1" a="1"/>
  <c r="J1756" i="1" a="1"/>
  <c r="E311" i="1" a="1"/>
  <c r="E44" i="1" a="1"/>
  <c r="J493" i="1" a="1"/>
  <c r="J3163" i="1" a="1"/>
  <c r="E2028" i="1" a="1"/>
  <c r="E507" i="1" a="1"/>
  <c r="J1811" i="1" a="1"/>
  <c r="J210" i="1" a="1"/>
  <c r="E759" i="1" a="1"/>
  <c r="E1465" i="1" a="1"/>
  <c r="J1963" i="1" a="1"/>
  <c r="E2658" i="1" a="1"/>
  <c r="J545" i="1" a="1"/>
  <c r="E2278" i="1" a="1"/>
  <c r="J1484" i="1" a="1"/>
  <c r="E2674" i="1" a="1"/>
  <c r="J672" i="1" a="1"/>
  <c r="E1999" i="1" a="1"/>
  <c r="J971" i="1" a="1"/>
  <c r="E3327" i="1" a="1"/>
  <c r="E1550" i="1" a="1"/>
  <c r="J218" i="1" a="1"/>
  <c r="J998" i="1" a="1"/>
  <c r="E745" i="1" a="1"/>
  <c r="E261" i="1" a="1"/>
  <c r="E1103" i="1" a="1"/>
  <c r="J178" i="1" a="1"/>
  <c r="E3411" i="1" a="1"/>
  <c r="J2950" i="1" a="1"/>
  <c r="E2301" i="1" a="1"/>
  <c r="E1073" i="1" a="1"/>
  <c r="J778" i="1" a="1"/>
  <c r="J975" i="1" a="1"/>
  <c r="J3437" i="1" a="1"/>
  <c r="E1487" i="1" a="1"/>
  <c r="E242" i="1" a="1"/>
  <c r="J54" i="1" a="1"/>
  <c r="J959" i="1" a="1"/>
  <c r="J462" i="1" a="1"/>
  <c r="J209" i="1" a="1"/>
  <c r="J567" i="1" a="1"/>
  <c r="J3385" i="1" a="1"/>
  <c r="J797" i="1" a="1"/>
  <c r="E2745" i="1" a="1"/>
  <c r="J88" i="1" a="1"/>
  <c r="J3689" i="1" a="1"/>
  <c r="E1972" i="1" a="1"/>
  <c r="J2545" i="1" a="1"/>
  <c r="J724" i="1" a="1"/>
  <c r="J2886" i="1" a="1"/>
  <c r="E1707" i="1" a="1"/>
  <c r="J586" i="1" a="1"/>
  <c r="J1832" i="1" a="1"/>
  <c r="E2761" i="1" a="1"/>
  <c r="J736" i="1" a="1"/>
  <c r="J750" i="1" a="1"/>
  <c r="E543" i="1" a="1"/>
  <c r="E438" i="1" a="1"/>
  <c r="E929" i="1" a="1"/>
  <c r="E2901" i="1" a="1"/>
  <c r="J1639" i="1" a="1"/>
  <c r="E1702" i="1" a="1"/>
  <c r="J2189" i="1" a="1"/>
  <c r="E1873" i="1" a="1"/>
  <c r="J923" i="1" a="1"/>
  <c r="J3189" i="1" a="1"/>
  <c r="J1629" i="1" a="1"/>
  <c r="E1104" i="1" a="1"/>
  <c r="J1723" i="1" a="1"/>
  <c r="J4769" i="1" a="1"/>
  <c r="J3975" i="1" a="1"/>
  <c r="E1434" i="1" a="1"/>
  <c r="E3618" i="1" a="1"/>
  <c r="E4365" i="1" a="1"/>
  <c r="J4053" i="1" a="1"/>
  <c r="E3044" i="1" a="1"/>
  <c r="E1429" i="1" a="1"/>
  <c r="E3398" i="1" a="1"/>
  <c r="E2284" i="1" a="1"/>
  <c r="E2699" i="1" a="1"/>
  <c r="J2035" i="1" a="1"/>
  <c r="E2006" i="1" a="1"/>
  <c r="E2577" i="1" a="1"/>
  <c r="J3349" i="1" a="1"/>
  <c r="J1501" i="1" a="1"/>
  <c r="E1512" i="1" a="1"/>
  <c r="E3695" i="1" a="1"/>
  <c r="J4396" i="1" a="1"/>
  <c r="J1392" i="1" a="1"/>
  <c r="E3117" i="1" a="1"/>
  <c r="E4044" i="1" a="1"/>
  <c r="J3731" i="1" a="1"/>
  <c r="E1930" i="1" a="1"/>
  <c r="E2089" i="1" a="1"/>
  <c r="E1484" i="1" a="1"/>
  <c r="E3551" i="1" a="1"/>
  <c r="J825" i="1" a="1"/>
  <c r="J3293" i="1" a="1"/>
  <c r="J891" i="1" a="1"/>
  <c r="J2187" i="1" a="1"/>
  <c r="J2637" i="1" a="1"/>
  <c r="E2039" i="1" a="1"/>
  <c r="E1727" i="1" a="1"/>
  <c r="E675" i="1" a="1"/>
  <c r="E3296" i="1" a="1"/>
  <c r="E3291" i="1" a="1"/>
  <c r="E1584" i="1" a="1"/>
  <c r="J2243" i="1" a="1"/>
  <c r="J641" i="1" a="1"/>
  <c r="E2426" i="1" a="1"/>
  <c r="J2725" i="1" a="1"/>
  <c r="J1776" i="1" a="1"/>
  <c r="J1956" i="1" a="1"/>
  <c r="J2882" i="1" a="1"/>
  <c r="E1280" i="1" a="1"/>
  <c r="J271" i="1" a="1"/>
  <c r="J1254" i="1" a="1"/>
  <c r="E2388" i="1" a="1"/>
  <c r="J1813" i="1" a="1"/>
  <c r="E2932" i="1" a="1"/>
  <c r="E1313" i="1" a="1"/>
  <c r="E1761" i="1" a="1"/>
  <c r="J2768" i="1" a="1"/>
  <c r="J3768" i="1" a="1"/>
  <c r="E2778" i="1" a="1"/>
  <c r="E1495" i="1" a="1"/>
  <c r="J1711" i="1" a="1"/>
  <c r="J1939" i="1" a="1"/>
  <c r="E1250" i="1" a="1"/>
  <c r="E428" i="1" a="1"/>
  <c r="E3330" i="1" a="1"/>
  <c r="J1558" i="1" a="1"/>
  <c r="E3405" i="1" a="1"/>
  <c r="J1515" i="1" a="1"/>
  <c r="J280" i="1" a="1"/>
  <c r="E1893" i="1" a="1"/>
  <c r="E3813" i="1" a="1"/>
  <c r="J4511" i="1" a="1"/>
  <c r="E621" i="1" a="1"/>
  <c r="J1579" i="1" a="1"/>
  <c r="J3196" i="1" a="1"/>
  <c r="J3782" i="1" a="1"/>
  <c r="E1941" i="1" a="1"/>
  <c r="E2594" i="1" a="1"/>
  <c r="E2737" i="1" a="1"/>
  <c r="J2771" i="1" a="1"/>
  <c r="J1011" i="1" a="1"/>
  <c r="J614" i="1" a="1"/>
  <c r="J304" i="1" a="1"/>
  <c r="E889" i="1" a="1"/>
  <c r="E1389" i="1" a="1"/>
  <c r="E1337" i="1" a="1"/>
  <c r="E2119" i="1" a="1"/>
  <c r="E1748" i="1" a="1"/>
  <c r="E927" i="1" a="1"/>
  <c r="J2362" i="1" a="1"/>
  <c r="E2010" i="1" a="1"/>
  <c r="J2955" i="1" a="1"/>
  <c r="J3328" i="1" a="1"/>
  <c r="E1768" i="1" a="1"/>
  <c r="E3164" i="1" a="1"/>
  <c r="E1054" i="1" a="1"/>
  <c r="J1905" i="1" a="1"/>
  <c r="E3200" i="1" a="1"/>
  <c r="J3263" i="1" a="1"/>
  <c r="E2259" i="1" a="1"/>
  <c r="J3518" i="1" a="1"/>
  <c r="E2957" i="1" a="1"/>
  <c r="J288" i="1" a="1"/>
  <c r="J216" i="1" a="1"/>
  <c r="J3183" i="1" a="1"/>
  <c r="J3560" i="1" a="1"/>
  <c r="E2310" i="1" a="1"/>
  <c r="E2454" i="1" a="1"/>
  <c r="J1275" i="1" a="1"/>
  <c r="J408" i="1" a="1"/>
  <c r="E126" i="1" a="1"/>
  <c r="E2540" i="1" a="1"/>
  <c r="J1015" i="1" a="1"/>
  <c r="J4043" i="1" a="1"/>
  <c r="J2557" i="1" a="1"/>
  <c r="J1153" i="1" a="1"/>
  <c r="E2380" i="1" a="1"/>
  <c r="J617" i="1" a="1"/>
  <c r="E1106" i="1" a="1"/>
  <c r="J2428" i="1" a="1"/>
  <c r="J3179" i="1" a="1"/>
  <c r="J2588" i="1" a="1"/>
  <c r="E2229" i="1" a="1"/>
  <c r="J3186" i="1" a="1"/>
  <c r="E1178" i="1" a="1"/>
  <c r="E1038" i="1" a="1"/>
  <c r="E1537" i="1" a="1"/>
  <c r="E1923" i="1" a="1"/>
  <c r="J2298" i="1" a="1"/>
  <c r="J1588" i="1" a="1"/>
  <c r="J851" i="1" a="1"/>
  <c r="E1263" i="1" a="1"/>
  <c r="J1874" i="1" a="1"/>
  <c r="J1777" i="1" a="1"/>
  <c r="J1805" i="1" a="1"/>
  <c r="E2063" i="1" a="1"/>
  <c r="J668" i="1" a="1"/>
  <c r="J2193" i="1" a="1"/>
  <c r="J1819" i="1" a="1"/>
  <c r="J2510" i="1" a="1"/>
  <c r="J2767" i="1" a="1"/>
  <c r="E2685" i="1" a="1"/>
  <c r="E1921" i="1" a="1"/>
  <c r="J2914" i="1" a="1"/>
  <c r="E1579" i="1" a="1"/>
  <c r="J1306" i="1" a="1"/>
  <c r="E351" i="1" a="1"/>
  <c r="J756" i="1" a="1"/>
  <c r="J2207" i="1" a="1"/>
  <c r="E3937" i="1" a="1"/>
  <c r="E2647" i="1" a="1"/>
  <c r="E2918" i="1" a="1"/>
  <c r="J1448" i="1" a="1"/>
  <c r="E2308" i="1" a="1"/>
  <c r="E1691" i="1" a="1"/>
  <c r="J4161" i="1" a="1"/>
  <c r="E2666" i="1" a="1"/>
  <c r="E1439" i="1" a="1"/>
  <c r="E2073" i="1" a="1"/>
  <c r="E2154" i="1" a="1"/>
  <c r="E2037" i="1" a="1"/>
  <c r="E2092" i="1" a="1"/>
  <c r="J2811" i="1" a="1"/>
  <c r="J3209" i="1" a="1"/>
  <c r="J3162" i="1" a="1"/>
  <c r="J2842" i="1" a="1"/>
  <c r="J3446" i="1" a="1"/>
  <c r="E4952" i="1" a="1"/>
  <c r="E1786" i="1" a="1"/>
  <c r="E2541" i="1" a="1"/>
  <c r="J2535" i="1" a="1"/>
  <c r="J5202" i="1" a="1"/>
  <c r="J1836" i="1" a="1"/>
  <c r="E3842" i="1" a="1"/>
  <c r="E2090" i="1" a="1"/>
  <c r="J1489" i="1" a="1"/>
  <c r="J1866" i="1" a="1"/>
  <c r="J2644" i="1" a="1"/>
  <c r="E1110" i="1" a="1"/>
  <c r="J1078" i="1" a="1"/>
  <c r="E2459" i="1" a="1"/>
  <c r="E2591" i="1" a="1"/>
  <c r="J3149" i="1" a="1"/>
  <c r="E2858" i="1" a="1"/>
  <c r="J2427" i="1" a="1"/>
  <c r="E1720" i="1" a="1"/>
  <c r="E2556" i="1" a="1"/>
  <c r="E1708" i="1" a="1"/>
  <c r="J2458" i="1" a="1"/>
  <c r="E2271" i="1" a="1"/>
  <c r="J3529" i="1" a="1"/>
  <c r="J827" i="1" a="1"/>
  <c r="E1310" i="1" a="1"/>
  <c r="E1924" i="1" a="1"/>
  <c r="J452" i="1" a="1"/>
  <c r="E875" i="1" a="1"/>
  <c r="J3865" i="1" a="1"/>
  <c r="J577" i="1" a="1"/>
  <c r="E3184" i="1" a="1"/>
  <c r="J2976" i="1" a="1"/>
  <c r="E674" i="1" a="1"/>
  <c r="J1605" i="1" a="1"/>
  <c r="J2896" i="1" a="1"/>
  <c r="E3735" i="1" a="1"/>
  <c r="J2611" i="1" a="1"/>
  <c r="E2641" i="1" a="1"/>
  <c r="J2149" i="1" a="1"/>
  <c r="J1480" i="1" a="1"/>
  <c r="J2274" i="1" a="1"/>
  <c r="J3051" i="1" a="1"/>
  <c r="E439" i="1" a="1"/>
  <c r="E2893" i="1" a="1"/>
  <c r="E2504" i="1" a="1"/>
  <c r="E1418" i="1" a="1"/>
  <c r="J1113" i="1" a="1"/>
  <c r="E1140" i="1" a="1"/>
  <c r="J2268" i="1" a="1"/>
  <c r="J3692" i="1" a="1"/>
  <c r="J1324" i="1" a="1"/>
  <c r="E2569" i="1" a="1"/>
  <c r="J2278" i="1" a="1"/>
  <c r="E999" i="1" a="1"/>
  <c r="J329" i="1" a="1"/>
  <c r="J1514" i="1" a="1"/>
  <c r="E3364" i="1" a="1"/>
  <c r="E1807" i="1" a="1"/>
  <c r="J3061" i="1" a="1"/>
  <c r="E1172" i="1" a="1"/>
  <c r="J2408" i="1" a="1"/>
  <c r="J2097" i="1" a="1"/>
  <c r="E1387" i="1" a="1"/>
  <c r="E1674" i="1" a="1"/>
  <c r="E2377" i="1" a="1"/>
  <c r="J1856" i="1" a="1"/>
  <c r="E3283" i="1" a="1"/>
  <c r="E258" i="1" a="1"/>
  <c r="E3099" i="1" a="1"/>
  <c r="E395" i="1" a="1"/>
  <c r="J1396" i="1" a="1"/>
  <c r="J982" i="1" a="1"/>
  <c r="E1574" i="1" a="1"/>
  <c r="E2365" i="1" a="1"/>
  <c r="E1544" i="1" a="1"/>
  <c r="E1542" i="1" a="1"/>
  <c r="E2030" i="1" a="1"/>
  <c r="E3771" i="1" a="1"/>
  <c r="E1813" i="1" a="1"/>
  <c r="E3221" i="1" a="1"/>
  <c r="J312" i="1" a="1"/>
  <c r="J747" i="1" a="1"/>
  <c r="E2986" i="1" a="1"/>
  <c r="E2211" i="1" a="1"/>
  <c r="J2549" i="1" a="1"/>
  <c r="E2690" i="1" a="1"/>
  <c r="E2813" i="1" a="1"/>
  <c r="J2878" i="1" a="1"/>
  <c r="J2551" i="1" a="1"/>
  <c r="E2235" i="1" a="1"/>
  <c r="J3668" i="1" a="1"/>
  <c r="J1381" i="1" a="1"/>
  <c r="J1372" i="1" a="1"/>
  <c r="E657" i="1" a="1"/>
  <c r="E2258" i="1" a="1"/>
  <c r="J3620" i="1" a="1"/>
  <c r="E4208" i="1" a="1"/>
  <c r="J3743" i="1" a="1"/>
  <c r="J2281" i="1" a="1"/>
  <c r="J2825" i="1" a="1"/>
  <c r="E3130" i="1" a="1"/>
  <c r="J3033" i="1" a="1"/>
  <c r="J1882" i="1" a="1"/>
  <c r="E3659" i="1" a="1"/>
  <c r="J1521" i="1" a="1"/>
  <c r="E1852" i="1" a="1"/>
  <c r="J2943" i="1" a="1"/>
  <c r="E1816" i="1" a="1"/>
  <c r="E2754" i="1" a="1"/>
  <c r="E2988" i="1" a="1"/>
  <c r="E2186" i="1" a="1"/>
  <c r="E3965" i="1" a="1"/>
  <c r="J3927" i="1" a="1"/>
  <c r="E3643" i="1" a="1"/>
  <c r="J1759" i="1" a="1"/>
  <c r="E2423" i="1" a="1"/>
  <c r="E3341" i="1" a="1"/>
  <c r="J805" i="1" a="1"/>
  <c r="J1706" i="1" a="1"/>
  <c r="J2410" i="1" a="1"/>
  <c r="E2330" i="1" a="1"/>
  <c r="E1489" i="1" a="1"/>
  <c r="E1793" i="1" a="1"/>
  <c r="E1592" i="1" a="1"/>
  <c r="J3012" i="1" a="1"/>
  <c r="E3020" i="1" a="1"/>
  <c r="E526" i="1" a="1"/>
  <c r="E1190" i="1" a="1"/>
  <c r="E264" i="1" a="1"/>
  <c r="J2246" i="1" a="1"/>
  <c r="E3524" i="1" a="1"/>
  <c r="E2488" i="1" a="1"/>
  <c r="J2596" i="1" a="1"/>
  <c r="E1229" i="1" a="1"/>
  <c r="E2204" i="1" a="1"/>
  <c r="E943" i="1" a="1"/>
  <c r="J1012" i="1" a="1"/>
  <c r="J1356" i="1" a="1"/>
  <c r="E2844" i="1" a="1"/>
  <c r="J27" i="1" a="1"/>
  <c r="J488" i="1" a="1"/>
  <c r="J2392" i="1" a="1"/>
  <c r="J1315" i="1" a="1"/>
  <c r="E1479" i="1" a="1"/>
  <c r="J5129" i="1" a="1"/>
  <c r="E1884" i="1" a="1"/>
  <c r="J2205" i="1" a="1"/>
  <c r="J925" i="1" a="1"/>
  <c r="E888" i="1" a="1"/>
  <c r="E1604" i="1" a="1"/>
  <c r="J669" i="1" a="1"/>
  <c r="J3978" i="1" a="1"/>
  <c r="E3414" i="1" a="1"/>
  <c r="E522" i="1" a="1"/>
  <c r="J3158" i="1" a="1"/>
  <c r="J2095" i="1" a="1"/>
  <c r="J1994" i="1" a="1"/>
  <c r="E2605" i="1" a="1"/>
  <c r="E1131" i="1" a="1"/>
  <c r="J2499" i="1" a="1"/>
  <c r="J967" i="1" a="1"/>
  <c r="E625" i="1" a="1"/>
  <c r="E4226" i="1" a="1"/>
  <c r="E1912" i="1" a="1"/>
  <c r="J897" i="1" a="1"/>
  <c r="J3214" i="1" a="1"/>
  <c r="E917" i="1" a="1"/>
  <c r="E2253" i="1" a="1"/>
  <c r="J2358" i="1" a="1"/>
  <c r="E1640" i="1" a="1"/>
  <c r="E346" i="1" a="1"/>
  <c r="J1008" i="1" a="1"/>
  <c r="J2698" i="1" a="1"/>
  <c r="J1908" i="1" a="1"/>
  <c r="J2755" i="1" a="1"/>
  <c r="E2547" i="1" a="1"/>
  <c r="J2826" i="1" a="1"/>
  <c r="J3125" i="1" a="1"/>
  <c r="E3319" i="1" a="1"/>
  <c r="J1659" i="1" a="1"/>
  <c r="E2734" i="1" a="1"/>
  <c r="J2856" i="1" a="1"/>
  <c r="E886" i="1" a="1"/>
  <c r="E500" i="1" a="1"/>
  <c r="J4722" i="1" a="1"/>
  <c r="J4625" i="1" a="1"/>
  <c r="J3683" i="1" a="1"/>
  <c r="E2102" i="1" a="1"/>
  <c r="E1685" i="1" a="1"/>
  <c r="E4326" i="1" a="1"/>
  <c r="J1630" i="1" a="1"/>
  <c r="E4201" i="1" a="1"/>
  <c r="E2499" i="1" a="1"/>
  <c r="E1576" i="1" a="1"/>
  <c r="J3217" i="1" a="1"/>
  <c r="E3383" i="1" a="1"/>
  <c r="E3094" i="1" a="1"/>
  <c r="J1673" i="1" a="1"/>
  <c r="E3944" i="1" a="1"/>
  <c r="E2629" i="1" a="1"/>
  <c r="J2177" i="1" a="1"/>
  <c r="E3268" i="1" a="1"/>
  <c r="E2606" i="1" a="1"/>
  <c r="E2537" i="1" a="1"/>
  <c r="J2807" i="1" a="1"/>
  <c r="J1142" i="1" a="1"/>
  <c r="E2290" i="1" a="1"/>
  <c r="J2200" i="1" a="1"/>
  <c r="E2191" i="1" a="1"/>
  <c r="E3404" i="1" a="1"/>
  <c r="E2533" i="1" a="1"/>
  <c r="J2414" i="1" a="1"/>
  <c r="E3127" i="1" a="1"/>
  <c r="E3385" i="1" a="1"/>
  <c r="J3648" i="1" a="1"/>
  <c r="E1789" i="1" a="1"/>
  <c r="E1944" i="1" a="1"/>
  <c r="E2864" i="1" a="1"/>
  <c r="E3086" i="1" a="1"/>
  <c r="J2745" i="1" a="1"/>
  <c r="E2360" i="1" a="1"/>
  <c r="E3459" i="1" a="1"/>
  <c r="E3271" i="1" a="1"/>
  <c r="E3837" i="1" a="1"/>
  <c r="E2502" i="1" a="1"/>
  <c r="E2074" i="1" a="1"/>
  <c r="E2660" i="1" a="1"/>
  <c r="J429" i="1" a="1"/>
  <c r="E199" i="1" a="1"/>
  <c r="J353" i="1" a="1"/>
  <c r="E1168" i="1" a="1"/>
  <c r="E1286" i="1" a="1"/>
  <c r="E2840" i="1" a="1"/>
  <c r="E1426" i="1" a="1"/>
  <c r="E5027" i="1" a="1"/>
  <c r="E327" i="1" a="1"/>
  <c r="E1105" i="1" a="1"/>
  <c r="J1899" i="1" a="1"/>
  <c r="J2212" i="1" a="1"/>
  <c r="J3287" i="1" a="1"/>
  <c r="J1681" i="1" a="1"/>
  <c r="E1240" i="1" a="1"/>
  <c r="E2807" i="1" a="1"/>
  <c r="J2067" i="1" a="1"/>
  <c r="J1207" i="1" a="1"/>
  <c r="J185" i="1" a="1"/>
  <c r="J852" i="1" a="1"/>
  <c r="J951" i="1" a="1"/>
  <c r="E1910" i="1" a="1"/>
  <c r="E3469" i="1" a="1"/>
  <c r="E3720" i="1" a="1"/>
  <c r="J832" i="1" a="1"/>
  <c r="J1683" i="1" a="1"/>
  <c r="E3216" i="1" a="1"/>
  <c r="J1704" i="1" a="1"/>
  <c r="E2276" i="1" a="1"/>
  <c r="J1454" i="1" a="1"/>
  <c r="E3042" i="1" a="1"/>
  <c r="J1201" i="1" a="1"/>
  <c r="J3497" i="1" a="1"/>
  <c r="E2226" i="1" a="1"/>
  <c r="E2887" i="1" a="1"/>
  <c r="J727" i="1" a="1"/>
  <c r="J2069" i="1" a="1"/>
  <c r="E2935" i="1" a="1"/>
  <c r="E4586" i="1" a="1"/>
  <c r="E3762" i="1" a="1"/>
  <c r="E1590" i="1" a="1"/>
  <c r="J1676" i="1" a="1"/>
  <c r="E2209" i="1" a="1"/>
  <c r="J1050" i="1" a="1"/>
  <c r="J929" i="1" a="1"/>
  <c r="J1857" i="1" a="1"/>
  <c r="E2361" i="1" a="1"/>
  <c r="E3917" i="1" a="1"/>
  <c r="E2194" i="1" a="1"/>
  <c r="J2266" i="1" a="1"/>
  <c r="J1951" i="1" a="1"/>
  <c r="J969" i="1" a="1"/>
  <c r="J3160" i="1" a="1"/>
  <c r="J1754" i="1" a="1"/>
  <c r="E2612" i="1" a="1"/>
  <c r="E3549" i="1" a="1"/>
  <c r="E1037" i="1" a="1"/>
  <c r="E2478" i="1" a="1"/>
  <c r="J1410" i="1" a="1"/>
  <c r="E1410" i="1" a="1"/>
  <c r="E2613" i="1" a="1"/>
  <c r="J1572" i="1" a="1"/>
  <c r="E1863" i="1" a="1"/>
  <c r="E3597" i="1" a="1"/>
  <c r="J3130" i="1" a="1"/>
  <c r="J1662" i="1" a="1"/>
  <c r="J1231" i="1" a="1"/>
  <c r="J1737" i="1" a="1"/>
  <c r="E2567" i="1" a="1"/>
  <c r="E1898" i="1" a="1"/>
  <c r="J1869" i="1" a="1"/>
  <c r="J2590" i="1" a="1"/>
  <c r="J1339" i="1" a="1"/>
  <c r="E2234" i="1" a="1"/>
  <c r="E2996" i="1" a="1"/>
  <c r="E2997" i="1" a="1"/>
  <c r="J1648" i="1" a="1"/>
  <c r="E1588" i="1" a="1"/>
  <c r="E3449" i="1" a="1"/>
  <c r="E2733" i="1" a="1"/>
  <c r="J629" i="1" a="1"/>
  <c r="J1485" i="1" a="1"/>
  <c r="E338" i="1" a="1"/>
  <c r="J1437" i="1" a="1"/>
  <c r="E765" i="1" a="1"/>
  <c r="J2111" i="1" a="1"/>
  <c r="J395" i="1" a="1"/>
  <c r="J2908" i="1" a="1"/>
  <c r="E783" i="1" a="1"/>
  <c r="J2592" i="1" a="1"/>
  <c r="E488" i="1" a="1"/>
  <c r="E1314" i="1" a="1"/>
  <c r="J2251" i="1" a="1"/>
  <c r="E3193" i="1" a="1"/>
  <c r="E119" i="1" a="1"/>
  <c r="E132" i="1" a="1"/>
  <c r="E1352" i="1" a="1"/>
  <c r="E1371" i="1" a="1"/>
  <c r="E3532" i="1" a="1"/>
  <c r="J2769" i="1" a="1"/>
  <c r="E2410" i="1" a="1"/>
  <c r="E2392" i="1" a="1"/>
  <c r="E2638" i="1" a="1"/>
  <c r="E878" i="1" a="1"/>
  <c r="J980" i="1" a="1"/>
  <c r="E2088" i="1" a="1"/>
  <c r="J260" i="1" a="1"/>
  <c r="J8" i="1" a="1"/>
  <c r="J794" i="1" a="1"/>
  <c r="J2235" i="1" a="1"/>
  <c r="J118" i="1" a="1"/>
  <c r="E1443" i="1" a="1"/>
  <c r="J1205" i="1" a="1"/>
  <c r="E1291" i="1" a="1"/>
  <c r="J1823" i="1" a="1"/>
  <c r="J1079" i="1" a="1"/>
  <c r="E1983" i="1" a="1"/>
  <c r="E2904" i="1" a="1"/>
  <c r="J2981" i="1" a="1"/>
  <c r="J2027" i="1" a="1"/>
  <c r="J1212" i="1" a="1"/>
  <c r="J386" i="1" a="1"/>
  <c r="E2508" i="1" a="1"/>
  <c r="J1386" i="1" a="1"/>
  <c r="E2054" i="1" a="1"/>
  <c r="E1235" i="1" a="1"/>
  <c r="E353" i="1" a="1"/>
  <c r="J3601" i="1" a="1"/>
  <c r="J307" i="1" a="1"/>
  <c r="J642" i="1" a="1"/>
  <c r="J1174" i="1" a="1"/>
  <c r="E596" i="1" a="1"/>
  <c r="J555" i="1" a="1"/>
  <c r="E1009" i="1" a="1"/>
  <c r="E2444" i="1" a="1"/>
  <c r="J906" i="1" a="1"/>
  <c r="J1072" i="1" a="1"/>
  <c r="J3576" i="1" a="1"/>
  <c r="E1686" i="1" a="1"/>
  <c r="E539" i="1" a="1"/>
  <c r="J2844" i="1" a="1"/>
  <c r="E863" i="1" a="1"/>
  <c r="J1123" i="1" a="1"/>
  <c r="J682" i="1" a="1"/>
  <c r="J981" i="1" a="1"/>
  <c r="J1441" i="1" a="1"/>
  <c r="J2486" i="1" a="1"/>
  <c r="J1430" i="1" a="1"/>
  <c r="E2570" i="1" a="1"/>
  <c r="J1337" i="1" a="1"/>
  <c r="J469" i="1" a="1"/>
  <c r="J773" i="1" a="1"/>
  <c r="E2369" i="1" a="1"/>
  <c r="E3654" i="1" a="1"/>
  <c r="J2912" i="1" a="1"/>
  <c r="J5561" i="1" a="1"/>
  <c r="J431" i="1" a="1"/>
  <c r="E1837" i="1" a="1"/>
  <c r="J2820" i="1" a="1"/>
  <c r="E3821" i="1" a="1"/>
  <c r="J1976" i="1" a="1"/>
  <c r="J3931" i="1" a="1"/>
  <c r="E366" i="1" a="1"/>
  <c r="E239" i="1" a="1"/>
  <c r="J373" i="1" a="1"/>
  <c r="J84" i="1" a="1"/>
  <c r="E563" i="1" a="1"/>
  <c r="J2643" i="1" a="1"/>
  <c r="J382" i="1" a="1"/>
  <c r="J2140" i="1" a="1"/>
  <c r="E209" i="1" a="1"/>
  <c r="J1179" i="1" a="1"/>
  <c r="E2275" i="1" a="1"/>
  <c r="E1208" i="1" a="1"/>
  <c r="E276" i="1" a="1"/>
  <c r="E793" i="1" a="1"/>
  <c r="J1218" i="1" a="1"/>
  <c r="J1457" i="1" a="1"/>
  <c r="E881" i="1" a="1"/>
  <c r="J3083" i="1" a="1"/>
  <c r="J2001" i="1" a="1"/>
  <c r="E3583" i="1" a="1"/>
  <c r="J3213" i="1" a="1"/>
  <c r="J2629" i="1" a="1"/>
  <c r="E2894" i="1" a="1"/>
  <c r="J264" i="1" a="1"/>
  <c r="J245" i="1" a="1"/>
  <c r="E5040" i="1" a="1"/>
  <c r="E4147" i="1" a="1"/>
  <c r="E2748" i="1" a="1"/>
  <c r="E4093" i="1" a="1"/>
  <c r="J1638" i="1" a="1"/>
  <c r="J2810" i="1" a="1"/>
  <c r="J2829" i="1" a="1"/>
  <c r="E1808" i="1" a="1"/>
  <c r="E2966" i="1" a="1"/>
  <c r="E2325" i="1" a="1"/>
  <c r="E3009" i="1" a="1"/>
  <c r="E2184" i="1" a="1"/>
  <c r="J625" i="1" a="1"/>
  <c r="J4599" i="1" a="1"/>
  <c r="J2598" i="1" a="1"/>
  <c r="E4328" i="1" a="1"/>
  <c r="E1444" i="1" a="1"/>
  <c r="J1830" i="1" a="1"/>
  <c r="E3300" i="1" a="1"/>
  <c r="E2450" i="1" a="1"/>
  <c r="J2237" i="1" a="1"/>
  <c r="J823" i="1" a="1"/>
  <c r="E3085" i="1" a="1"/>
  <c r="E329" i="1" a="1"/>
  <c r="E1609" i="1" a="1"/>
  <c r="E3778" i="1" a="1"/>
  <c r="E2503" i="1" a="1"/>
  <c r="J2209" i="1" a="1"/>
  <c r="J3029" i="1" a="1"/>
  <c r="J847" i="1" a="1"/>
  <c r="E681" i="1" a="1"/>
  <c r="E3100" i="1" a="1"/>
  <c r="E1516" i="1" a="1"/>
  <c r="J2431" i="1" a="1"/>
  <c r="E1622" i="1" a="1"/>
  <c r="J2770" i="1" a="1"/>
  <c r="E2299" i="1" a="1"/>
  <c r="E2811" i="1" a="1"/>
  <c r="E1187" i="1" a="1"/>
  <c r="E828" i="1" a="1"/>
  <c r="E1450" i="1" a="1"/>
  <c r="E622" i="1" a="1"/>
  <c r="J1365" i="1" a="1"/>
  <c r="E1900" i="1" a="1"/>
  <c r="E1869" i="1" a="1"/>
  <c r="E172" i="1" a="1"/>
  <c r="E3279" i="1" a="1"/>
  <c r="J2795" i="1" a="1"/>
  <c r="E2768" i="1" a="1"/>
  <c r="J3361" i="1" a="1"/>
  <c r="J1314" i="1" a="1"/>
  <c r="J483" i="1" a="1"/>
  <c r="J918" i="1" a="1"/>
  <c r="E1162" i="1" a="1"/>
  <c r="J934" i="1" a="1"/>
  <c r="J2096" i="1" a="1"/>
  <c r="J2524" i="1" a="1"/>
  <c r="E3530" i="1" a="1"/>
  <c r="J2186" i="1" a="1"/>
  <c r="E2403" i="1" a="1"/>
  <c r="E3415" i="1" a="1"/>
  <c r="J176" i="1" a="1"/>
  <c r="J1468" i="1" a="1"/>
  <c r="E641" i="1" a="1"/>
  <c r="E1117" i="1" a="1"/>
  <c r="J3513" i="1" a="1"/>
  <c r="E3673" i="1" a="1"/>
  <c r="E2852" i="1" a="1"/>
  <c r="E1785" i="1" a="1"/>
  <c r="E1045" i="1" a="1"/>
  <c r="J843" i="1" a="1"/>
  <c r="E1681" i="1" a="1"/>
  <c r="J2918" i="1" a="1"/>
  <c r="J2455" i="1" a="1"/>
  <c r="J113" i="1" a="1"/>
  <c r="E1945" i="1" a="1"/>
  <c r="J1059" i="1" a="1"/>
  <c r="E2214" i="1" a="1"/>
  <c r="E4234" i="1" a="1"/>
  <c r="E2585" i="1" a="1"/>
  <c r="E3637" i="1" a="1"/>
  <c r="J3320" i="1" a="1"/>
  <c r="E1601" i="1" a="1"/>
  <c r="J955" i="1" a="1"/>
  <c r="E1174" i="1" a="1"/>
  <c r="J1602" i="1" a="1"/>
  <c r="E322" i="1" a="1"/>
  <c r="J3630" i="1" a="1"/>
  <c r="J1031" i="1" a="1"/>
  <c r="J1001" i="1" a="1"/>
  <c r="J2474" i="1" a="1"/>
  <c r="J1461" i="1" a="1"/>
  <c r="E2220" i="1" a="1"/>
  <c r="E1901" i="1" a="1"/>
  <c r="E4933" i="1" a="1"/>
  <c r="E1843" i="1" a="1"/>
  <c r="J2083" i="1" a="1"/>
  <c r="J2527" i="1" a="1"/>
  <c r="E1548" i="1" a="1"/>
  <c r="J869" i="1" a="1"/>
  <c r="J1627" i="1" a="1"/>
  <c r="J4251" i="1" a="1"/>
  <c r="J497" i="1" a="1"/>
  <c r="J3197" i="1" a="1"/>
  <c r="E483" i="1" a="1"/>
  <c r="J1735" i="1" a="1"/>
  <c r="J3990" i="1" a="1"/>
  <c r="J3043" i="1" a="1"/>
  <c r="E3407" i="1" a="1"/>
  <c r="J3784" i="1" a="1"/>
  <c r="J3992" i="1" a="1"/>
  <c r="E891" i="1" a="1"/>
  <c r="J3417" i="1" a="1"/>
  <c r="E358" i="1" a="1"/>
  <c r="E1552" i="1" a="1"/>
  <c r="E1428" i="1" a="1"/>
  <c r="J2898" i="1" a="1"/>
  <c r="J4145" i="1" a="1"/>
  <c r="E2465" i="1" a="1"/>
  <c r="J1903" i="1" a="1"/>
  <c r="E2781" i="1" a="1"/>
  <c r="E1988" i="1" a="1"/>
  <c r="J4226" i="1" a="1"/>
  <c r="J1265" i="1" a="1"/>
  <c r="J2273" i="1" a="1"/>
  <c r="J3562" i="1" a="1"/>
  <c r="J445" i="1" a="1"/>
  <c r="J1995" i="1" a="1"/>
  <c r="E2583" i="1" a="1"/>
  <c r="J232" i="1" a="1"/>
  <c r="E2741" i="1" a="1"/>
  <c r="J2496" i="1" a="1"/>
  <c r="J914" i="1" a="1"/>
  <c r="E409" i="1" a="1"/>
  <c r="E524" i="1" a="1"/>
  <c r="J3014" i="1" a="1"/>
  <c r="J983" i="1" a="1"/>
  <c r="J1007" i="1" a="1"/>
  <c r="J2772" i="1" a="1"/>
  <c r="E2251" i="1" a="1"/>
  <c r="E2372" i="1" a="1"/>
  <c r="J2656" i="1" a="1"/>
  <c r="J1114" i="1" a="1"/>
  <c r="J1084" i="1" a="1"/>
  <c r="E3251" i="1" a="1"/>
  <c r="J2668" i="1" a="1"/>
  <c r="J349" i="1" a="1"/>
  <c r="E971" i="1" a="1"/>
  <c r="J22" i="1" a="1"/>
  <c r="E862" i="1" a="1"/>
  <c r="J196" i="1" a="1"/>
  <c r="J1300" i="1" a="1"/>
  <c r="E1405" i="1" a="1"/>
  <c r="J556" i="1" a="1"/>
  <c r="J1105" i="1" a="1"/>
  <c r="E89" i="1" a="1"/>
  <c r="E2497" i="1" a="1"/>
  <c r="J2615" i="1" a="1"/>
  <c r="E1094" i="1" a="1"/>
  <c r="J1808" i="1" a="1"/>
  <c r="J1467" i="1" a="1"/>
  <c r="E1886" i="1" a="1"/>
  <c r="J3611" i="1" a="1"/>
  <c r="E4821" i="1" a="1"/>
  <c r="E2295" i="1" a="1"/>
  <c r="E449" i="1" a="1"/>
  <c r="J301" i="1" a="1"/>
  <c r="J1232" i="1" a="1"/>
  <c r="J303" i="1" a="1"/>
  <c r="E3217" i="1" a="1"/>
  <c r="J2217" i="1" a="1"/>
  <c r="E797" i="1" a="1"/>
  <c r="E1733" i="1" a="1"/>
  <c r="J693" i="1" a="1"/>
  <c r="J631" i="1" a="1"/>
  <c r="J531" i="1" a="1"/>
  <c r="J440" i="1" a="1"/>
  <c r="E2052" i="1" a="1"/>
  <c r="E1332" i="1" a="1"/>
  <c r="E1566" i="1" a="1"/>
  <c r="J3374" i="1" a="1"/>
  <c r="J2703" i="1" a="1"/>
  <c r="E52" i="1" a="1"/>
  <c r="J3275" i="1" a="1"/>
  <c r="J639" i="1" a="1"/>
  <c r="E1722" i="1" a="1"/>
  <c r="E157" i="1" a="1"/>
  <c r="E2110" i="1" a="1"/>
  <c r="E1437" i="1" a="1"/>
  <c r="J1170" i="1" a="1"/>
  <c r="E99" i="1" a="1"/>
  <c r="J1168" i="1" a="1"/>
  <c r="J1191" i="1" a="1"/>
  <c r="E1997" i="1" a="1"/>
  <c r="E341" i="1" a="1"/>
  <c r="E2082" i="1" a="1"/>
  <c r="E3430" i="1" a="1"/>
  <c r="J2136" i="1" a="1"/>
  <c r="J3741" i="1" a="1"/>
  <c r="J2642" i="1" a="1"/>
  <c r="E318" i="1" a="1"/>
  <c r="J562" i="1" a="1"/>
  <c r="E1557" i="1" a="1"/>
  <c r="J2170" i="1" a="1"/>
  <c r="E2078" i="1" a="1"/>
  <c r="E445" i="1" a="1"/>
  <c r="E853" i="1" a="1"/>
  <c r="E521" i="1" a="1"/>
  <c r="E1018" i="1" a="1"/>
  <c r="J161" i="1" a="1"/>
  <c r="E2947" i="1" a="1"/>
  <c r="J272" i="1" a="1"/>
  <c r="J3181" i="1" a="1"/>
  <c r="J438" i="1" a="1"/>
  <c r="J2906" i="1" a="1"/>
  <c r="J786" i="1" a="1"/>
  <c r="J650" i="1" a="1"/>
  <c r="J68" i="1" a="1"/>
  <c r="J768" i="1" a="1"/>
  <c r="E392" i="1" a="1"/>
  <c r="E636" i="1" a="1"/>
  <c r="E2774" i="1" a="1"/>
  <c r="J3547" i="1" a="1"/>
  <c r="E2283" i="1" a="1"/>
  <c r="E1866" i="1" a="1"/>
  <c r="E1309" i="1" a="1"/>
  <c r="E3152" i="1" a="1"/>
  <c r="J2277" i="1" a="1"/>
  <c r="E67" i="1" a="1"/>
  <c r="E275" i="1" a="1"/>
  <c r="E1850" i="1" a="1"/>
  <c r="E583" i="1" a="1"/>
  <c r="J892" i="1" a="1"/>
  <c r="E1409" i="1" a="1"/>
  <c r="J1945" i="1" a="1"/>
  <c r="E1365" i="1" a="1"/>
  <c r="E2834" i="1" a="1"/>
  <c r="E2902" i="1" a="1"/>
  <c r="J1576" i="1" a="1"/>
  <c r="E1966" i="1" a="1"/>
  <c r="E1225" i="1" a="1"/>
  <c r="E2711" i="1" a="1"/>
  <c r="E1936" i="1" a="1"/>
  <c r="J3805" i="1" a="1"/>
  <c r="J1641" i="1" a="1"/>
  <c r="E1642" i="1" a="1"/>
  <c r="E652" i="1" a="1"/>
  <c r="J1885" i="1" a="1"/>
  <c r="E1012" i="1" a="1"/>
  <c r="E806" i="1" a="1"/>
  <c r="E481" i="1" a="1"/>
  <c r="E62" i="1" a="1"/>
  <c r="J583" i="1" a="1"/>
  <c r="E882" i="1" a="1"/>
  <c r="J1155" i="1" a="1"/>
  <c r="E4075" i="1" a="1"/>
  <c r="J4764" i="1" a="1"/>
  <c r="J1790" i="1" a="1"/>
  <c r="E4396" i="1" a="1"/>
  <c r="J1188" i="1" a="1"/>
  <c r="E2949" i="1" a="1"/>
  <c r="J3250" i="1" a="1"/>
  <c r="J2397" i="1" a="1"/>
  <c r="E1158" i="1" a="1"/>
  <c r="E4629" i="1" a="1"/>
  <c r="J2123" i="1" a="1"/>
  <c r="J1566" i="1" a="1"/>
  <c r="J1475" i="1" a="1"/>
  <c r="E3850" i="1" a="1"/>
  <c r="J2353" i="1" a="1"/>
  <c r="J3723" i="1" a="1"/>
  <c r="J4009" i="1" a="1"/>
  <c r="E2735" i="1" a="1"/>
  <c r="J2616" i="1" a="1"/>
  <c r="E3831" i="1" a="1"/>
  <c r="J3010" i="1" a="1"/>
  <c r="J2457" i="1" a="1"/>
  <c r="J2117" i="1" a="1"/>
  <c r="E2728" i="1" a="1"/>
  <c r="J999" i="1" a="1"/>
  <c r="E1737" i="1" a="1"/>
  <c r="J521" i="1" a="1"/>
  <c r="J3094" i="1" a="1"/>
  <c r="J2692" i="1" a="1"/>
  <c r="J691" i="1" a="1"/>
  <c r="J931" i="1" a="1"/>
  <c r="E1412" i="1" a="1"/>
  <c r="J1892" i="1" a="1"/>
  <c r="E1593" i="1" a="1"/>
  <c r="E1521" i="1" a="1"/>
  <c r="E2141" i="1" a="1"/>
  <c r="J3255" i="1" a="1"/>
  <c r="E3126" i="1" a="1"/>
  <c r="E720" i="1" a="1"/>
  <c r="J2835" i="1" a="1"/>
  <c r="E616" i="1" a="1"/>
  <c r="E1369" i="1" a="1"/>
  <c r="E2643" i="1" a="1"/>
  <c r="J1590" i="1" a="1"/>
  <c r="J451" i="1" a="1"/>
  <c r="E1142" i="1" a="1"/>
  <c r="E2820" i="1" a="1"/>
  <c r="E3115" i="1" a="1"/>
  <c r="J2980" i="1" a="1"/>
  <c r="J2773" i="1" a="1"/>
  <c r="E1591" i="1" a="1"/>
  <c r="J687" i="1" a="1"/>
  <c r="E446" i="1" a="1"/>
  <c r="J544" i="1" a="1"/>
  <c r="E1618" i="1" a="1"/>
  <c r="J2475" i="1" a="1"/>
  <c r="J2228" i="1" a="1"/>
  <c r="E1606" i="1" a="1"/>
  <c r="J3198" i="1" a="1"/>
  <c r="J3849" i="1" a="1"/>
  <c r="E1345" i="1" a="1"/>
  <c r="E517" i="1" a="1"/>
  <c r="E3091" i="1" a="1"/>
  <c r="J1248" i="1" a="1"/>
  <c r="E1491" i="1" a="1"/>
  <c r="J3136" i="1" a="1"/>
  <c r="E2333" i="1" a="1"/>
  <c r="J915" i="1" a="1"/>
  <c r="J2865" i="1" a="1"/>
  <c r="E3714" i="1" a="1"/>
  <c r="J2833" i="1" a="1"/>
  <c r="J2681" i="1" a="1"/>
  <c r="E1560" i="1" a="1"/>
  <c r="E2455" i="1" a="1"/>
  <c r="J283" i="1" a="1"/>
  <c r="E2608" i="1" a="1"/>
  <c r="E184" i="1" a="1"/>
  <c r="J1798" i="1" a="1"/>
  <c r="E3023" i="1" a="1"/>
  <c r="J3872" i="1" a="1"/>
  <c r="J1093" i="1" a="1"/>
  <c r="E1783" i="1" a="1"/>
  <c r="J2122" i="1" a="1"/>
  <c r="J2670" i="1" a="1"/>
  <c r="J2045" i="1" a="1"/>
  <c r="E1915" i="1" a="1"/>
  <c r="E4072" i="1" a="1"/>
  <c r="E221" i="1" a="1"/>
  <c r="J2469" i="1" a="1"/>
  <c r="E1236" i="1" a="1"/>
  <c r="J3292" i="1" a="1"/>
  <c r="J2354" i="1" a="1"/>
  <c r="E315" i="1" a="1"/>
  <c r="J2876" i="1" a="1"/>
  <c r="E3713" i="1" a="1"/>
  <c r="E3139" i="1" a="1"/>
  <c r="J910" i="1" a="1"/>
  <c r="J1710" i="1" a="1"/>
  <c r="E1242" i="1" a="1"/>
  <c r="J377" i="1" a="1"/>
  <c r="E1261" i="1" a="1"/>
  <c r="E3777" i="1" a="1"/>
  <c r="E913" i="1" a="1"/>
  <c r="E1715" i="1" a="1"/>
  <c r="E2435" i="1" a="1"/>
  <c r="E1205" i="1" a="1"/>
  <c r="E1170" i="1" a="1"/>
  <c r="E2363" i="1" a="1"/>
  <c r="J1375" i="1" a="1"/>
  <c r="J1565" i="1" a="1"/>
  <c r="J2341" i="1" a="1"/>
  <c r="E4289" i="1" a="1"/>
  <c r="J2259" i="1" a="1"/>
  <c r="E3343" i="1" a="1"/>
  <c r="E2917" i="1" a="1"/>
  <c r="J4411" i="1" a="1"/>
  <c r="E3820" i="1" a="1"/>
  <c r="J1835" i="1" a="1"/>
  <c r="E864" i="1" a="1"/>
  <c r="E1730" i="1" a="1"/>
  <c r="E550" i="1" a="1"/>
  <c r="E1817" i="1" a="1"/>
  <c r="J1070" i="1" a="1"/>
  <c r="E1203" i="1" a="1"/>
  <c r="E2489" i="1" a="1"/>
  <c r="J2144" i="1" a="1"/>
  <c r="J96" i="1" a="1"/>
  <c r="J1651" i="1" a="1"/>
  <c r="J1249" i="1" a="1"/>
  <c r="J1363" i="1" a="1"/>
  <c r="E2328" i="1" a="1"/>
  <c r="J2133" i="1" a="1"/>
  <c r="E699" i="1" a="1"/>
  <c r="J1020" i="1" a="1"/>
  <c r="E268" i="1" a="1"/>
  <c r="E2446" i="1" a="1"/>
  <c r="J1416" i="1" a="1"/>
  <c r="E859" i="1" a="1"/>
  <c r="J646" i="1" a="1"/>
  <c r="E2127" i="1" a="1"/>
  <c r="E1472" i="1" a="1"/>
  <c r="J1603" i="1" a="1"/>
  <c r="J263" i="1" a="1"/>
  <c r="J228" i="1" a="1"/>
  <c r="E2520" i="1" a="1"/>
  <c r="J1348" i="1" a="1"/>
  <c r="J372" i="1" a="1"/>
  <c r="J1886" i="1" a="1"/>
  <c r="J58" i="1" a="1"/>
  <c r="J948" i="1" a="1"/>
  <c r="J1562" i="1" a="1"/>
  <c r="E1039" i="1" a="1"/>
  <c r="J2356" i="1" a="1"/>
  <c r="J255" i="1" a="1"/>
  <c r="J945" i="1" a="1"/>
  <c r="E1815" i="1" a="1"/>
  <c r="E2008" i="1" a="1"/>
  <c r="E1474" i="1" a="1"/>
  <c r="J1924" i="1" a="1"/>
  <c r="E2498" i="1" a="1"/>
  <c r="J572" i="1" a="1"/>
  <c r="E3261" i="1" a="1"/>
  <c r="J30" i="1" a="1"/>
  <c r="E1517" i="1" a="1"/>
  <c r="J1702" i="1" a="1"/>
  <c r="J3064" i="1" a="1"/>
  <c r="E1641" i="1" a="1"/>
  <c r="J524" i="1" a="1"/>
  <c r="J2790" i="1" a="1"/>
  <c r="E1056" i="1" a="1"/>
  <c r="J3101" i="1" a="1"/>
  <c r="E1738" i="1" a="1"/>
  <c r="J733" i="1" a="1"/>
  <c r="E1367" i="1" a="1"/>
  <c r="J788" i="1" a="1"/>
  <c r="E122" i="1" a="1"/>
  <c r="J1822" i="1" a="1"/>
  <c r="J2384" i="1" a="1"/>
  <c r="E3125" i="1" a="1"/>
  <c r="J1145" i="1" a="1"/>
  <c r="E2470" i="1" a="1"/>
  <c r="J1424" i="1" a="1"/>
  <c r="E87" i="1" a="1"/>
  <c r="E3223" i="1" a="1"/>
  <c r="J459" i="1" a="1"/>
  <c r="E168" i="1" a="1"/>
  <c r="J995" i="1" a="1"/>
  <c r="E3109" i="1" a="1"/>
  <c r="J92" i="1" a="1"/>
  <c r="E2888" i="1" a="1"/>
  <c r="J203" i="1" a="1"/>
  <c r="J708" i="1" a="1"/>
  <c r="J197" i="1" a="1"/>
  <c r="E163" i="1" a="1"/>
  <c r="E103" i="1" a="1"/>
  <c r="E775" i="1" a="1"/>
  <c r="J535" i="1" a="1"/>
  <c r="J1353" i="1" a="1"/>
  <c r="E723" i="1" a="1"/>
  <c r="E2979" i="1" a="1"/>
  <c r="J1355" i="1" a="1"/>
  <c r="J766" i="1" a="1"/>
  <c r="E3034" i="1" a="1"/>
  <c r="E1029" i="1" a="1"/>
  <c r="J1634" i="1" a="1"/>
  <c r="J1998" i="1" a="1"/>
  <c r="J253" i="1" a="1"/>
  <c r="E148" i="1" a="1"/>
  <c r="J624" i="1" a="1"/>
  <c r="J270" i="1" a="1"/>
  <c r="E1800" i="1" a="1"/>
  <c r="J973" i="1" a="1"/>
  <c r="J674" i="1" a="1"/>
  <c r="E770" i="1" a="1"/>
  <c r="E1201" i="1" a="1"/>
  <c r="J1319" i="1" a="1"/>
  <c r="E679" i="1" a="1"/>
  <c r="J979" i="1" a="1"/>
  <c r="J912" i="1" a="1"/>
  <c r="J29" i="1" a="1"/>
  <c r="E1634" i="1" a="1"/>
  <c r="E1146" i="1" a="1"/>
  <c r="E2048" i="1" a="1"/>
  <c r="J1146" i="1" a="1"/>
  <c r="J2757" i="1" a="1"/>
  <c r="J2256" i="1" a="1"/>
  <c r="E673" i="1" a="1"/>
  <c r="E2652" i="1" a="1"/>
  <c r="E554" i="1" a="1"/>
  <c r="J670" i="1" a="1"/>
  <c r="E223" i="1" a="1"/>
  <c r="E189" i="1" a="1"/>
  <c r="J2516" i="1" a="1"/>
  <c r="J125" i="1" a="1"/>
  <c r="J1751" i="1" a="1"/>
  <c r="J227" i="1" a="1"/>
  <c r="E2162" i="1" a="1"/>
  <c r="E1382" i="1" a="1"/>
  <c r="J3880" i="1" a="1"/>
  <c r="J1637" i="1" a="1"/>
  <c r="E451" i="1" a="1"/>
  <c r="E147" i="1" a="1"/>
  <c r="J2015" i="1" a="1"/>
  <c r="E1762" i="1" a="1"/>
  <c r="J123" i="1" a="1"/>
  <c r="E2839" i="1" a="1"/>
  <c r="J2817" i="1" a="1"/>
  <c r="J1481" i="1" a="1"/>
  <c r="E90" i="1" a="1"/>
  <c r="E71" i="1" a="1"/>
  <c r="J417" i="1" a="1"/>
  <c r="E555" i="1" a="1"/>
  <c r="E20" i="1" a="1"/>
  <c r="E2421" i="1" a="1"/>
  <c r="J1488" i="1" a="1"/>
  <c r="J3983" i="1" a="1"/>
  <c r="J4270" i="1" a="1"/>
  <c r="J4101" i="1" a="1"/>
  <c r="J2264" i="1" a="1"/>
  <c r="E2022" i="1" a="1"/>
  <c r="E2542" i="1" a="1"/>
  <c r="J1761" i="1" a="1"/>
  <c r="J3559" i="1" a="1"/>
  <c r="J1767" i="1" a="1"/>
  <c r="J3798" i="1" a="1"/>
  <c r="E3608" i="1" a="1"/>
  <c r="E434" i="1" a="1"/>
  <c r="J2093" i="1" a="1"/>
  <c r="E4245" i="1" a="1"/>
  <c r="E1964" i="1" a="1"/>
  <c r="E2337" i="1" a="1"/>
  <c r="E2017" i="1" a="1"/>
  <c r="J3527" i="1" a="1"/>
  <c r="J3245" i="1" a="1"/>
  <c r="J2708" i="1" a="1"/>
  <c r="J3075" i="1" a="1"/>
  <c r="E2429" i="1" a="1"/>
  <c r="E231" i="1" a="1"/>
  <c r="J1909" i="1" a="1"/>
  <c r="E2886" i="1" a="1"/>
  <c r="J204" i="1" a="1"/>
  <c r="E578" i="1" a="1"/>
  <c r="E3075" i="1" a="1"/>
  <c r="J3054" i="1" a="1"/>
  <c r="J365" i="1" a="1"/>
  <c r="J1509" i="1" a="1"/>
  <c r="J2923" i="1" a="1"/>
  <c r="J3953" i="1" a="1"/>
  <c r="J2818" i="1" a="1"/>
  <c r="J1897" i="1" a="1"/>
  <c r="J1913" i="1" a="1"/>
  <c r="E1961" i="1" a="1"/>
  <c r="J3662" i="1" a="1"/>
  <c r="E2905" i="1" a="1"/>
  <c r="J656" i="1" a="1"/>
  <c r="E3265" i="1" a="1"/>
  <c r="E1896" i="1" a="1"/>
  <c r="J2070" i="1" a="1"/>
  <c r="E2381" i="1" a="1"/>
  <c r="E39" i="1" a="1"/>
  <c r="J770" i="1" a="1"/>
  <c r="E2453" i="1" a="1"/>
  <c r="E4468" i="1" a="1"/>
  <c r="J1643" i="1" a="1"/>
  <c r="J2750" i="1" a="1"/>
  <c r="J2037" i="1" a="1"/>
  <c r="J101" i="1" a="1"/>
  <c r="J1914" i="1" a="1"/>
  <c r="E970" i="1" a="1"/>
  <c r="E3669" i="1" a="1"/>
  <c r="J1267" i="1" a="1"/>
  <c r="J952" i="1" a="1"/>
  <c r="J2176" i="1" a="1"/>
  <c r="E1760" i="1" a="1"/>
  <c r="E2993" i="1" a="1"/>
  <c r="J1026" i="1" a="1"/>
  <c r="J1928" i="1" a="1"/>
  <c r="J481" i="1" a="1"/>
  <c r="E41" i="1" a="1"/>
  <c r="J3244" i="1" a="1"/>
  <c r="E2726" i="1" a="1"/>
  <c r="E3770" i="1" a="1"/>
  <c r="J1873" i="1" a="1"/>
  <c r="E1346" i="1" a="1"/>
  <c r="E1077" i="1" a="1"/>
  <c r="J2098" i="1" a="1"/>
  <c r="E1868" i="1" a="1"/>
  <c r="E2304" i="1" a="1"/>
  <c r="E1152" i="1" a="1"/>
  <c r="J2299" i="1" a="1"/>
  <c r="J2802" i="1" a="1"/>
  <c r="J677" i="1" a="1"/>
  <c r="J1764" i="1" a="1"/>
  <c r="E3315" i="1" a="1"/>
  <c r="E3721" i="1" a="1"/>
  <c r="J3148" i="1" a="1"/>
  <c r="E1445" i="1" a="1"/>
  <c r="E2018" i="1" a="1"/>
  <c r="J1654" i="1" a="1"/>
  <c r="J1551" i="1" a="1"/>
  <c r="E2636" i="1" a="1"/>
  <c r="J4084" i="1" a="1"/>
  <c r="E217" i="1" a="1"/>
  <c r="J1691" i="1" a="1"/>
  <c r="J2513" i="1" a="1"/>
  <c r="J2064" i="1" a="1"/>
  <c r="J4081" i="1" a="1"/>
  <c r="J2129" i="1" a="1"/>
  <c r="J2700" i="1" a="1"/>
  <c r="J1574" i="1" a="1"/>
  <c r="E3053" i="1" a="1"/>
  <c r="J877" i="1" a="1"/>
  <c r="J987" i="1" a="1"/>
  <c r="E1182" i="1" a="1"/>
  <c r="E509" i="1" a="1"/>
  <c r="J174" i="1" a="1"/>
  <c r="E3388" i="1" a="1"/>
  <c r="J863" i="1" a="1"/>
  <c r="J3107" i="1" a="1"/>
  <c r="E4121" i="1" a="1"/>
  <c r="E2663" i="1" a="1"/>
  <c r="E1861" i="1" a="1"/>
  <c r="E1818" i="1" a="1"/>
  <c r="J1420" i="1" a="1"/>
  <c r="E2586" i="1" a="1"/>
  <c r="E2045" i="1" a="1"/>
  <c r="J3360" i="1" a="1"/>
  <c r="E1351" i="1" a="1"/>
  <c r="E1462" i="1" a="1"/>
  <c r="E4050" i="1" a="1"/>
  <c r="J3960" i="1" a="1"/>
  <c r="J798" i="1" a="1"/>
  <c r="J1470" i="1" a="1"/>
  <c r="E1497" i="1" a="1"/>
  <c r="E768" i="1" a="1"/>
  <c r="J376" i="1" a="1"/>
  <c r="E1620" i="1" a="1"/>
  <c r="E3547" i="1" a="1"/>
  <c r="E957" i="1" a="1"/>
  <c r="E2057" i="1" a="1"/>
  <c r="E1699" i="1" a="1"/>
  <c r="E1099" i="1" a="1"/>
  <c r="E739" i="1" a="1"/>
  <c r="J2225" i="1" a="1"/>
  <c r="J73" i="1" a="1"/>
  <c r="J2105" i="1" a="1"/>
  <c r="E1411" i="1" a="1"/>
  <c r="E365" i="1" a="1"/>
  <c r="J1705" i="1" a="1"/>
  <c r="J758" i="1" a="1"/>
  <c r="J509" i="1" a="1"/>
  <c r="E752" i="1" a="1"/>
  <c r="E1987" i="1" a="1"/>
  <c r="E982" i="1" a="1"/>
  <c r="E336" i="1" a="1"/>
  <c r="E909" i="1" a="1"/>
  <c r="E2984" i="1" a="1"/>
  <c r="J2839" i="1" a="1"/>
  <c r="E1539" i="1" a="1"/>
  <c r="E1476" i="1" a="1"/>
  <c r="E1946" i="1" a="1"/>
  <c r="E2149" i="1" a="1"/>
  <c r="J2919" i="1" a="1"/>
  <c r="E3148" i="1" a="1"/>
  <c r="E2469" i="1" a="1"/>
  <c r="J3087" i="1" a="1"/>
  <c r="J1450" i="1" a="1"/>
  <c r="E1247" i="1" a="1"/>
  <c r="J1147" i="1" a="1"/>
  <c r="J4573" i="1" a="1"/>
  <c r="J3454" i="1" a="1"/>
  <c r="E967" i="1" a="1"/>
  <c r="E1473" i="1" a="1"/>
  <c r="J1366" i="1" a="1"/>
  <c r="J4583" i="1" a="1"/>
  <c r="J61" i="1" a="1"/>
  <c r="E1558" i="1" a="1"/>
  <c r="E1522" i="1" a="1"/>
  <c r="E250" i="1" a="1"/>
  <c r="E756" i="1" a="1"/>
  <c r="E866" i="1" a="1"/>
  <c r="J1729" i="1" a="1"/>
  <c r="J2804" i="1" a="1"/>
  <c r="J789" i="1" a="1"/>
  <c r="E4164" i="1" a="1"/>
  <c r="E2599" i="1" a="1"/>
  <c r="E1468" i="1" a="1"/>
  <c r="J1678" i="1" a="1"/>
  <c r="E2519" i="1" a="1"/>
  <c r="E2994" i="1" a="1"/>
  <c r="J257" i="1" a="1"/>
  <c r="J2329" i="1" a="1"/>
  <c r="J2594" i="1" a="1"/>
  <c r="J661" i="1" a="1"/>
  <c r="J139" i="1" a="1"/>
  <c r="J2963" i="1" a="1"/>
  <c r="E382" i="1" a="1"/>
  <c r="J1259" i="1" a="1"/>
  <c r="J3314" i="1" a="1"/>
  <c r="E2752" i="1" a="1"/>
  <c r="J1675" i="1" a="1"/>
  <c r="J1018" i="1" a="1"/>
  <c r="J236" i="1" a="1"/>
  <c r="E942" i="1" a="1"/>
  <c r="E604" i="1" a="1"/>
  <c r="J119" i="1" a="1"/>
  <c r="E2443" i="1" a="1"/>
  <c r="J1083" i="1" a="1"/>
  <c r="J1002" i="1" a="1"/>
  <c r="J1891" i="1" a="1"/>
  <c r="E1239" i="1" a="1"/>
  <c r="E2794" i="1" a="1"/>
  <c r="J1827" i="1" a="1"/>
  <c r="J1388" i="1" a="1"/>
  <c r="E398" i="1" a="1"/>
  <c r="E1231" i="1" a="1"/>
  <c r="E949" i="1" a="1"/>
  <c r="E1981" i="1" a="1"/>
  <c r="J620" i="1" a="1"/>
  <c r="J1657" i="1" a="1"/>
  <c r="J2313" i="1" a="1"/>
  <c r="E857" i="1" a="1"/>
  <c r="E1380" i="1" a="1"/>
  <c r="E1667" i="1" a="1"/>
  <c r="E2187" i="1" a="1"/>
  <c r="E2064" i="1" a="1"/>
  <c r="E422" i="1" a="1"/>
  <c r="E3763" i="1" a="1"/>
  <c r="E1696" i="1" a="1"/>
  <c r="E628" i="1" a="1"/>
  <c r="J1143" i="1" a="1"/>
  <c r="J442" i="1" a="1"/>
  <c r="E921" i="1" a="1"/>
  <c r="E511" i="1" a="1"/>
  <c r="J439" i="1" a="1"/>
  <c r="J635" i="1" a="1"/>
  <c r="J1883" i="1" a="1"/>
  <c r="J2377" i="1" a="1"/>
  <c r="J913" i="1" a="1"/>
  <c r="J3044" i="1" a="1"/>
  <c r="J1221" i="1" a="1"/>
  <c r="J2599" i="1" a="1"/>
  <c r="E504" i="1" a="1"/>
  <c r="J2910" i="1" a="1"/>
  <c r="E2474" i="1" a="1"/>
  <c r="J2188" i="1" a="1"/>
  <c r="E1278" i="1" a="1"/>
  <c r="J3628" i="1" a="1"/>
  <c r="E2602" i="1" a="1"/>
  <c r="J3382" i="1" a="1"/>
  <c r="E2926" i="1" a="1"/>
  <c r="E1391" i="1" a="1"/>
  <c r="J122" i="1" a="1"/>
  <c r="J2879" i="1" a="1"/>
  <c r="J3239" i="1" a="1"/>
  <c r="E2019" i="1" a="1"/>
  <c r="E1393" i="1" a="1"/>
  <c r="J2082" i="1" a="1"/>
  <c r="J1494" i="1" a="1"/>
  <c r="J1308" i="1" a="1"/>
  <c r="E1740" i="1" a="1"/>
  <c r="J4337" i="1" a="1"/>
  <c r="J433" i="1" a="1"/>
  <c r="E1016" i="1" a="1"/>
  <c r="E1052" i="1" a="1"/>
  <c r="E2257" i="1" a="1"/>
  <c r="J2409" i="1" a="1"/>
  <c r="E2160" i="1" a="1"/>
  <c r="J1753" i="1" a="1"/>
  <c r="E2776" i="1" a="1"/>
  <c r="J943" i="1" a="1"/>
  <c r="J213" i="1" a="1"/>
  <c r="J732" i="1" a="1"/>
  <c r="J1279" i="1" a="1"/>
  <c r="E1767" i="1" a="1"/>
  <c r="J2736" i="1" a="1"/>
  <c r="J1181" i="1" a="1"/>
  <c r="E532" i="1" a="1"/>
  <c r="E312" i="1" a="1"/>
  <c r="J2454" i="1" a="1"/>
  <c r="E1572" i="1" a="1"/>
  <c r="E824" i="1" a="1"/>
  <c r="J1036" i="1" a="1"/>
  <c r="J132" i="1" a="1"/>
  <c r="E753" i="1" a="1"/>
  <c r="E538" i="1" a="1"/>
  <c r="J107" i="1" a="1"/>
  <c r="E2703" i="1" a="1"/>
  <c r="E1305" i="1" a="1"/>
  <c r="J1622" i="1" a="1"/>
  <c r="E1212" i="1" a="1"/>
  <c r="E1011" i="1" a="1"/>
  <c r="E876" i="1" a="1"/>
  <c r="J420" i="1" a="1"/>
  <c r="E1244" i="1" a="1"/>
  <c r="J538" i="1" a="1"/>
  <c r="J237" i="1" a="1"/>
  <c r="E772" i="1" a="1"/>
  <c r="J41" i="1" a="1"/>
  <c r="E247" i="1" a="1"/>
  <c r="E582" i="1" a="1"/>
  <c r="E601" i="1" a="1"/>
  <c r="J776" i="1" a="1"/>
  <c r="J2121" i="1" a="1"/>
  <c r="E3635" i="1" a="1"/>
  <c r="J3152" i="1" a="1"/>
  <c r="E1034" i="1" a="1"/>
  <c r="J126" i="1" a="1"/>
  <c r="E27" i="1" a="1"/>
  <c r="J740" i="1" a="1"/>
  <c r="E3846" i="1" a="1"/>
  <c r="J1286" i="1" a="1"/>
  <c r="J1154" i="1" a="1"/>
  <c r="E987" i="1" a="1"/>
  <c r="J3316" i="1" a="1"/>
  <c r="J1122" i="1" a="1"/>
  <c r="E497" i="1" a="1"/>
  <c r="J2628" i="1" a="1"/>
  <c r="J1502" i="1" a="1"/>
  <c r="E1581" i="1" a="1"/>
  <c r="E2550" i="1" a="1"/>
  <c r="E737" i="1" a="1"/>
  <c r="J1826" i="1" a="1"/>
  <c r="E2105" i="1" a="1"/>
  <c r="J3272" i="1" a="1"/>
  <c r="E851" i="1" a="1"/>
  <c r="J1552" i="1" a="1"/>
  <c r="J1500" i="1" a="1"/>
  <c r="J480" i="1" a="1"/>
  <c r="E373" i="1" a="1"/>
  <c r="J273" i="1" a="1"/>
  <c r="J2481" i="1" a="1"/>
  <c r="J3365" i="1" a="1"/>
  <c r="J3079" i="1" a="1"/>
  <c r="E501" i="1" a="1"/>
  <c r="E627" i="1" a="1"/>
  <c r="E1218" i="1" a="1"/>
  <c r="J1177" i="1" a="1"/>
  <c r="E789" i="1" a="1"/>
  <c r="E2944" i="1" a="1"/>
  <c r="E1772" i="1" a="1"/>
  <c r="E980" i="1" a="1"/>
  <c r="E165" i="1" a="1"/>
  <c r="J1108" i="1" a="1"/>
  <c r="J286" i="1" a="1"/>
  <c r="E1619" i="1" a="1"/>
  <c r="E2953" i="1" a="1"/>
  <c r="E91" i="1" a="1"/>
  <c r="E744" i="1" a="1"/>
  <c r="E984" i="1" a="1"/>
  <c r="J640" i="1" a="1"/>
  <c r="J527" i="1" a="1"/>
  <c r="E49" i="1" a="1"/>
  <c r="J501" i="1" a="1"/>
  <c r="J676" i="1" a="1"/>
  <c r="E937" i="1" a="1"/>
  <c r="J2241" i="1" a="1"/>
  <c r="E2877" i="1" a="1"/>
  <c r="J3707" i="1" a="1"/>
  <c r="J519" i="1" a="1"/>
  <c r="E475" i="1" a="1"/>
  <c r="J2267" i="1" a="1"/>
  <c r="J313" i="1" a="1"/>
  <c r="J1608" i="1" a="1"/>
  <c r="E763" i="1" a="1"/>
  <c r="E692" i="1" a="1"/>
  <c r="E333" i="1" a="1"/>
  <c r="E1155" i="1" a="1"/>
  <c r="E506" i="1" a="1"/>
  <c r="J541" i="1" a="1"/>
  <c r="J69" i="1" a="1"/>
  <c r="J31" i="1" a="1"/>
  <c r="E82" i="1" a="1"/>
  <c r="J492" i="1" a="1"/>
  <c r="E766" i="1" a="1"/>
  <c r="J2219" i="1" a="1"/>
  <c r="J3105" i="1" a="1"/>
  <c r="J741" i="1" a="1"/>
  <c r="J498" i="1" a="1"/>
  <c r="J2719" i="1" a="1"/>
  <c r="J986" i="1" a="1"/>
  <c r="E152" i="1" a="1"/>
  <c r="E1023" i="1" a="1"/>
  <c r="E617" i="1" a="1"/>
  <c r="J102" i="1" a="1"/>
  <c r="J659" i="1" a="1"/>
  <c r="E29" i="1" a="1"/>
  <c r="J844" i="1" a="1"/>
  <c r="J3756" i="1" a="1"/>
  <c r="J238" i="1" a="1"/>
  <c r="E1233" i="1" a="1"/>
  <c r="E2025" i="1" a="1"/>
  <c r="J848" i="1" a="1"/>
  <c r="J2039" i="1" a="1"/>
  <c r="J2521" i="1" a="1"/>
  <c r="J2789" i="1" a="1"/>
  <c r="J1068" i="1" a="1"/>
  <c r="J1034" i="1" a="1"/>
  <c r="E698" i="1" a="1"/>
  <c r="E214" i="1" a="1"/>
  <c r="E1163" i="1" a="1"/>
  <c r="E191" i="1" a="1"/>
  <c r="J2582" i="1" a="1"/>
  <c r="E1030" i="1" a="1"/>
  <c r="J2361" i="1" a="1"/>
  <c r="E354" i="1" a="1"/>
  <c r="E1288" i="1" a="1"/>
  <c r="E473" i="1" a="1"/>
  <c r="E2644" i="1" a="1"/>
  <c r="E1230" i="1" a="1"/>
  <c r="J337" i="1" a="1"/>
  <c r="E1033" i="1" a="1"/>
  <c r="J1859" i="1" a="1"/>
  <c r="E2783" i="1" a="1"/>
  <c r="J2808" i="1" a="1"/>
  <c r="J1597" i="1" a="1"/>
  <c r="E2338" i="1" a="1"/>
  <c r="J1693" i="1" a="1"/>
  <c r="E2686" i="1" a="1"/>
  <c r="J2939" i="1" a="1"/>
  <c r="E3113" i="1" a="1"/>
  <c r="E2782" i="1" a="1"/>
  <c r="J2014" i="1" a="1"/>
  <c r="E1751" i="1" a="1"/>
  <c r="E2688" i="1" a="1"/>
  <c r="E1665" i="1" a="1"/>
  <c r="J4657" i="1" a="1"/>
  <c r="J1335" i="1" a="1"/>
  <c r="J3377" i="1" a="1"/>
  <c r="E2543" i="1" a="1"/>
  <c r="E477" i="1" a="1"/>
  <c r="J2231" i="1" a="1"/>
  <c r="J2022" i="1" a="1"/>
  <c r="J2846" i="1" a="1"/>
  <c r="J3193" i="1" a="1"/>
  <c r="J1616" i="1" a="1"/>
  <c r="E656" i="1" a="1"/>
  <c r="E2395" i="1" a="1"/>
  <c r="J1581" i="1" a="1"/>
  <c r="E2462" i="1" a="1"/>
  <c r="E3142" i="1" a="1"/>
  <c r="E4294" i="1" a="1"/>
  <c r="J1541" i="1" a="1"/>
  <c r="J2665" i="1" a="1"/>
  <c r="J610" i="1" a="1"/>
  <c r="J2423" i="1" a="1"/>
  <c r="J1180" i="1" a="1"/>
  <c r="J2092" i="1" a="1"/>
  <c r="J2056" i="1" a="1"/>
  <c r="J3755" i="1" a="1"/>
  <c r="E1482" i="1" a="1"/>
  <c r="J1193" i="1" a="1"/>
  <c r="E3744" i="1" a="1"/>
  <c r="J2573" i="1" a="1"/>
  <c r="J2864" i="1" a="1"/>
  <c r="E976" i="1" a="1"/>
  <c r="J1269" i="1" a="1"/>
  <c r="E665" i="1" a="1"/>
  <c r="E1358" i="1" a="1"/>
  <c r="J1003" i="1" a="1"/>
  <c r="J878" i="1" a="1"/>
  <c r="J534" i="1" a="1"/>
  <c r="J972" i="1" a="1"/>
  <c r="E779" i="1" a="1"/>
  <c r="E1022" i="1" a="1"/>
  <c r="J1030" i="1" a="1"/>
  <c r="E4031" i="1" a="1"/>
  <c r="E76" i="1" a="1"/>
  <c r="E2551" i="1" a="1"/>
  <c r="J378" i="1" a="1"/>
  <c r="J2339" i="1" a="1"/>
  <c r="J3165" i="1" a="1"/>
  <c r="E1327" i="1" a="1"/>
  <c r="J2286" i="1" a="1"/>
  <c r="E3417" i="1" a="1"/>
  <c r="J3517" i="1" a="1"/>
  <c r="E2279" i="1" a="1"/>
  <c r="J2172" i="1" a="1"/>
  <c r="E2175" i="1" a="1"/>
  <c r="E5109" i="1" a="1"/>
  <c r="E1878" i="1" a="1"/>
  <c r="E3504" i="1" a="1"/>
  <c r="E1933" i="1" a="1"/>
  <c r="E1989" i="1" a="1"/>
  <c r="E2716" i="1" a="1"/>
  <c r="E306" i="1" a="1"/>
  <c r="E1780" i="1" a="1"/>
  <c r="E2153" i="1" a="1"/>
  <c r="E342" i="1" a="1"/>
  <c r="J1184" i="1" a="1"/>
  <c r="J3341" i="1" a="1"/>
  <c r="J1161" i="1" a="1"/>
  <c r="E1015" i="1" a="1"/>
  <c r="J652" i="1" a="1"/>
  <c r="J3680" i="1" a="1"/>
  <c r="E2657" i="1" a="1"/>
  <c r="E92" i="1" a="1"/>
  <c r="J587" i="1" a="1"/>
  <c r="E2050" i="1" a="1"/>
  <c r="E1431" i="1" a="1"/>
  <c r="J1287" i="1" a="1"/>
  <c r="E623" i="1" a="1"/>
  <c r="E243" i="1" a="1"/>
  <c r="J807" i="1" a="1"/>
  <c r="J3791" i="1" a="1"/>
  <c r="E2717" i="1" a="1"/>
  <c r="E1032" i="1" a="1"/>
  <c r="J582" i="1" a="1"/>
  <c r="E1026" i="1" a="1"/>
  <c r="J1672" i="1" a="1"/>
  <c r="E3841" i="1" a="1"/>
  <c r="J1336" i="1" a="1"/>
  <c r="E66" i="1" a="1"/>
  <c r="J3169" i="1" a="1"/>
  <c r="E1734" i="1" a="1"/>
  <c r="J2500" i="1" a="1"/>
  <c r="J3456" i="1" a="1"/>
  <c r="J3276" i="1" a="1"/>
  <c r="J1479" i="1" a="1"/>
  <c r="J2071" i="1" a="1"/>
  <c r="J1404" i="1" a="1"/>
  <c r="E3069" i="1" a="1"/>
  <c r="E3005" i="1" a="1"/>
  <c r="J2606" i="1" a="1"/>
  <c r="J1237" i="1" a="1"/>
  <c r="E2526" i="1" a="1"/>
  <c r="J1803" i="1" a="1"/>
  <c r="E3754" i="1" a="1"/>
  <c r="J4027" i="1" a="1"/>
  <c r="J2142" i="1" a="1"/>
  <c r="E2830" i="1" a="1"/>
  <c r="E790" i="1" a="1"/>
  <c r="E2196" i="1" a="1"/>
  <c r="E2493" i="1" a="1"/>
  <c r="J2932" i="1" a="1"/>
  <c r="J2507" i="1" a="1"/>
  <c r="E4456" i="1" a="1"/>
  <c r="J2394" i="1" a="1"/>
  <c r="J2728" i="1" a="1"/>
  <c r="E166" i="1" a="1"/>
  <c r="J2085" i="1" a="1"/>
  <c r="E2342" i="1" a="1"/>
  <c r="E1111" i="1" a="1"/>
  <c r="J2090" i="1" a="1"/>
  <c r="J2961" i="1" a="1"/>
  <c r="E1289" i="1" a="1"/>
  <c r="J3586" i="1" a="1"/>
  <c r="E2062" i="1" a="1"/>
  <c r="J356" i="1" a="1"/>
  <c r="J229" i="1" a="1"/>
  <c r="J3332" i="1" a="1"/>
  <c r="E259" i="1" a="1"/>
  <c r="E297" i="1" a="1"/>
  <c r="J45" i="1" a="1"/>
  <c r="J860" i="1" a="1"/>
  <c r="E1253" i="1" a="1"/>
  <c r="E1486" i="1" a="1"/>
  <c r="J3542" i="1" a="1"/>
  <c r="J2368" i="1" a="1"/>
  <c r="E1324" i="1" a="1"/>
  <c r="E548" i="1" a="1"/>
  <c r="E466" i="1" a="1"/>
  <c r="E233" i="1" a="1"/>
  <c r="J2593" i="1" a="1"/>
  <c r="E1467" i="1" a="1"/>
  <c r="E635" i="1" a="1"/>
  <c r="E1661" i="1" a="1"/>
  <c r="E2662" i="1" a="1"/>
  <c r="J2279" i="1" a="1"/>
  <c r="E3678" i="1" a="1"/>
  <c r="E343" i="1" a="1"/>
  <c r="J1039" i="1" a="1"/>
  <c r="E2046" i="1" a="1"/>
  <c r="E158" i="1" a="1"/>
  <c r="J579" i="1" a="1"/>
  <c r="J2068" i="1" a="1"/>
  <c r="J1902" i="1" a="1"/>
  <c r="J1786" i="1" a="1"/>
  <c r="J2734" i="1" a="1"/>
  <c r="E2009" i="1" a="1"/>
  <c r="E1403" i="1" a="1"/>
  <c r="J130" i="1" a="1"/>
  <c r="E53" i="1" a="1"/>
  <c r="J605" i="1" a="1"/>
  <c r="J1563" i="1" a="1"/>
  <c r="J888" i="1" a="1"/>
  <c r="E5868" i="1" a="1"/>
  <c r="J2883" i="1" a="1"/>
  <c r="J44" i="1" a="1"/>
  <c r="E4603" i="1" a="1"/>
  <c r="J21" i="1" a="1"/>
  <c r="E68" i="1" a="1"/>
  <c r="E61" i="1" a="1"/>
  <c r="E812" i="1" a="1"/>
  <c r="E1470" i="1" a="1"/>
  <c r="E2867" i="1" a="1"/>
  <c r="J1436" i="1" a="1"/>
  <c r="J2931" i="1" a="1"/>
  <c r="J2895" i="1" a="1"/>
  <c r="E1586" i="1" a="1"/>
  <c r="E852" i="1" a="1"/>
  <c r="J1496" i="1" a="1"/>
  <c r="J1167" i="1" a="1"/>
  <c r="J388" i="1" a="1"/>
  <c r="E893" i="1" a="1"/>
  <c r="E1580" i="1" a="1"/>
  <c r="J873" i="1" a="1"/>
  <c r="J2373" i="1" a="1"/>
  <c r="J3581" i="1" a="1"/>
  <c r="E454" i="1" a="1"/>
  <c r="J2020" i="1" a="1"/>
  <c r="E3185" i="1" a="1"/>
  <c r="E3065" i="1" a="1"/>
  <c r="E1559" i="1" a="1"/>
  <c r="E1950" i="1" a="1"/>
  <c r="E1600" i="1" a="1"/>
  <c r="J3858" i="1" a="1"/>
  <c r="J3065" i="1" a="1"/>
  <c r="J2079" i="1" a="1"/>
  <c r="E3169" i="1" a="1"/>
  <c r="E3355" i="1" a="1"/>
  <c r="J1950" i="1" a="1"/>
  <c r="J2744" i="1" a="1"/>
  <c r="E925" i="1" a="1"/>
  <c r="E1583" i="1" a="1"/>
  <c r="E3057" i="1" a="1"/>
  <c r="J1626" i="1" a="1"/>
  <c r="J811" i="1" a="1"/>
  <c r="J2922" i="1" a="1"/>
  <c r="E1932" i="1" a="1"/>
  <c r="J2717" i="1" a="1"/>
  <c r="J4618" i="1" a="1"/>
  <c r="E1453" i="1" a="1"/>
  <c r="E1384" i="1" a="1"/>
  <c r="J3093" i="1" a="1"/>
  <c r="J2724" i="1" a="1"/>
  <c r="E2747" i="1" a="1"/>
  <c r="J1725" i="1" a="1"/>
  <c r="J3965" i="1" a="1"/>
  <c r="E1494" i="1" a="1"/>
  <c r="E1079" i="1" a="1"/>
  <c r="E3690" i="1" a="1"/>
  <c r="J1426" i="1" a="1"/>
  <c r="E3245" i="1" a="1"/>
  <c r="J5011" i="1" a="1"/>
  <c r="E1420" i="1" a="1"/>
  <c r="J4150" i="1" a="1"/>
  <c r="J2712" i="1" a="1"/>
  <c r="E900" i="1" a="1"/>
  <c r="E420" i="1" a="1"/>
  <c r="J242" i="1" a="1"/>
  <c r="E2925" i="1" a="1"/>
  <c r="J1378" i="1" a="1"/>
  <c r="J884" i="1" a="1"/>
  <c r="J623" i="1" a="1"/>
  <c r="J1132" i="1" a="1"/>
  <c r="E1831" i="1" a="1"/>
  <c r="E1251" i="1" a="1"/>
  <c r="E3454" i="1" a="1"/>
  <c r="E2766" i="1" a="1"/>
  <c r="J1919" i="1" a="1"/>
  <c r="J599" i="1" a="1"/>
  <c r="J461" i="1" a="1"/>
  <c r="E962" i="1" a="1"/>
  <c r="J2464" i="1" a="1"/>
  <c r="J3629" i="1" a="1"/>
  <c r="E2269" i="1" a="1"/>
  <c r="J1077" i="1" a="1"/>
  <c r="E1993" i="1" a="1"/>
  <c r="E832" i="1" a="1"/>
  <c r="J2638" i="1" a="1"/>
  <c r="J664" i="1" a="1"/>
  <c r="E379" i="1" a="1"/>
  <c r="J566" i="1" a="1"/>
  <c r="J752" i="1" a="1"/>
  <c r="J428" i="1" a="1"/>
  <c r="J3089" i="1" a="1"/>
  <c r="J830" i="1" a="1"/>
  <c r="J34" i="1" a="1"/>
  <c r="E683" i="1" a="1"/>
  <c r="J735" i="1" a="1"/>
  <c r="J1250" i="1" a="1"/>
  <c r="E709" i="1" a="1"/>
  <c r="E602" i="1" a="1"/>
  <c r="J3049" i="1" a="1"/>
  <c r="E2622" i="1" a="1"/>
  <c r="E108" i="1" a="1"/>
  <c r="E1502" i="1" a="1"/>
  <c r="E1128" i="1" a="1"/>
  <c r="J703" i="1" a="1"/>
  <c r="E2529" i="1" a="1"/>
  <c r="E1533" i="1" a="1"/>
  <c r="J1294" i="1" a="1"/>
  <c r="E529" i="1" a="1"/>
  <c r="J513" i="1" a="1"/>
  <c r="J1526" i="1" a="1"/>
  <c r="E1520" i="1" a="1"/>
  <c r="J1802" i="1" a="1"/>
  <c r="E246" i="1" a="1"/>
  <c r="J199" i="1" a="1"/>
  <c r="J2245" i="1" a="1"/>
  <c r="J2560" i="1" a="1"/>
  <c r="E3167" i="1" a="1"/>
  <c r="J1816" i="1" a="1"/>
  <c r="J254" i="1" a="1"/>
  <c r="E3604" i="1" a="1"/>
  <c r="E1069" i="1" a="1"/>
  <c r="E594" i="1" a="1"/>
  <c r="E514" i="1" a="1"/>
  <c r="J1100" i="1" a="1"/>
  <c r="J244" i="1" a="1"/>
  <c r="E3118" i="1" a="1"/>
  <c r="E2910" i="1" a="1"/>
  <c r="E494" i="1" a="1"/>
  <c r="E1461" i="1" a="1"/>
  <c r="J3985" i="1" a="1"/>
  <c r="E1984" i="1" a="1"/>
  <c r="J1713" i="1" a="1"/>
  <c r="J1418" i="1" a="1"/>
  <c r="J3269" i="1" a="1"/>
  <c r="E2300" i="1" a="1"/>
  <c r="E2203" i="1" a="1"/>
  <c r="J392" i="1" a="1"/>
  <c r="E3211" i="1" a="1"/>
  <c r="E653" i="1" a="1"/>
  <c r="J3466" i="1" a="1"/>
  <c r="E2896" i="1" a="1"/>
  <c r="J2011" i="1" a="1"/>
  <c r="J1915" i="1" a="1"/>
  <c r="J1497" i="1" a="1"/>
  <c r="J2350" i="1" a="1"/>
  <c r="E3011" i="1" a="1"/>
  <c r="E705" i="1" a="1"/>
  <c r="E1895" i="1" a="1"/>
  <c r="E3453" i="1" a="1"/>
  <c r="J19" i="1" a="1"/>
  <c r="E964" i="1" a="1"/>
  <c r="E1329" i="1" a="1"/>
  <c r="E2225" i="1" a="1"/>
  <c r="J2169" i="1" a="1"/>
  <c r="J1868" i="1" a="1"/>
  <c r="E897" i="1" a="1"/>
  <c r="E1108" i="1" a="1"/>
  <c r="J1134" i="1" a="1"/>
  <c r="J4286" i="1" a="1"/>
  <c r="J4141" i="1" a="1"/>
  <c r="J1987" i="1" a="1"/>
  <c r="E31" i="1" a="1"/>
  <c r="J1391" i="1" a="1"/>
  <c r="J1117" i="1" a="1"/>
  <c r="J1073" i="1" a="1"/>
  <c r="E2047" i="1" a="1"/>
  <c r="E72" i="1" a="1"/>
  <c r="J2847" i="1" a="1"/>
  <c r="E2245" i="1" a="1"/>
  <c r="J267" i="1" a="1"/>
  <c r="E478" i="1" a="1"/>
  <c r="J506" i="1" a="1"/>
  <c r="J2563" i="1" a="1"/>
  <c r="J186" i="1" a="1"/>
  <c r="J2740" i="1" a="1"/>
  <c r="J607" i="1" a="1"/>
  <c r="E1147" i="1" a="1"/>
  <c r="J2552" i="1" a="1"/>
  <c r="J564" i="1" a="1"/>
  <c r="E2059" i="1" a="1"/>
  <c r="E1587" i="1" a="1"/>
  <c r="J833" i="1" a="1"/>
  <c r="E411" i="1" a="1"/>
  <c r="J98" i="1" a="1"/>
  <c r="E680" i="1" a="1"/>
  <c r="E880" i="1" a="1"/>
  <c r="J1399" i="1" a="1"/>
  <c r="E676" i="1" a="1"/>
  <c r="J3009" i="1" a="1"/>
  <c r="J258" i="1" a="1"/>
  <c r="E672" i="1" a="1"/>
  <c r="E1744" i="1" a="1"/>
  <c r="J169" i="1" a="1"/>
  <c r="J2380" i="1" a="1"/>
  <c r="J1623" i="1" a="1"/>
  <c r="E3345" i="1" a="1"/>
  <c r="J1670" i="1" a="1"/>
  <c r="J2063" i="1" a="1"/>
  <c r="J79" i="1" a="1"/>
  <c r="J2398" i="1" a="1"/>
  <c r="J85" i="1" a="1"/>
  <c r="J2518" i="1" a="1"/>
  <c r="J1419" i="1" a="1"/>
  <c r="E4074" i="1" a="1"/>
  <c r="J3621" i="1" a="1"/>
  <c r="E260" i="1" a="1"/>
  <c r="J968" i="1" a="1"/>
  <c r="E2642" i="1" a="1"/>
  <c r="E305" i="1" a="1"/>
  <c r="J883" i="1" a="1"/>
  <c r="E2315" i="1" a="1"/>
  <c r="E3041" i="1" a="1"/>
  <c r="J1749" i="1" a="1"/>
  <c r="J3633" i="1" a="1"/>
  <c r="J1111" i="1" a="1"/>
  <c r="E106" i="1" a="1"/>
  <c r="E1119" i="1" a="1"/>
  <c r="J746" i="1" a="1"/>
  <c r="J319" i="1" a="1"/>
  <c r="J249" i="1" a="1"/>
  <c r="E3068" i="1" a="1"/>
  <c r="E2311" i="1" a="1"/>
  <c r="J458" i="1" a="1"/>
  <c r="E973" i="1" a="1"/>
  <c r="E1459" i="1" a="1"/>
  <c r="E21" i="1" a="1"/>
  <c r="E1614" i="1" a="1"/>
  <c r="J1208" i="1" a="1"/>
  <c r="E2422" i="1" a="1"/>
  <c r="E1963" i="1" a="1"/>
  <c r="J1394" i="1" a="1"/>
  <c r="E212" i="1" a="1"/>
  <c r="E771" i="1" a="1"/>
  <c r="J1421" i="1" a="1"/>
  <c r="J1064" i="1" a="1"/>
  <c r="J594" i="1" a="1"/>
  <c r="E1127" i="1" a="1"/>
  <c r="E2217" i="1" a="1"/>
  <c r="J649" i="1" a="1"/>
  <c r="J2128" i="1" a="1"/>
  <c r="J1964" i="1" a="1"/>
  <c r="J2677" i="1" a="1"/>
  <c r="E1621" i="1" a="1"/>
  <c r="E941" i="1" a="1"/>
  <c r="J277" i="1" a="1"/>
  <c r="J543" i="1" a="1"/>
  <c r="J2175" i="1" a="1"/>
  <c r="J43" i="1" a="1"/>
  <c r="E299" i="1" a="1"/>
  <c r="J62" i="1" a="1"/>
  <c r="J224" i="1" a="1"/>
  <c r="E1874" i="1" a="1"/>
  <c r="J695" i="1" a="1"/>
  <c r="E1102" i="1" a="1"/>
  <c r="J2645" i="1" a="1"/>
  <c r="E3598" i="1" a="1"/>
  <c r="E724" i="1" a="1"/>
  <c r="J1313" i="1" a="1"/>
  <c r="E598" i="1" a="1"/>
  <c r="J2407" i="1" a="1"/>
  <c r="E57" i="1" a="1"/>
  <c r="E3203" i="1" a="1"/>
  <c r="J1839" i="1" a="1"/>
  <c r="E1114" i="1" a="1"/>
  <c r="J3048" i="1" a="1"/>
  <c r="E24" i="1" a="1"/>
  <c r="J628" i="1" a="1"/>
  <c r="J1740" i="1" a="1"/>
  <c r="J239" i="1" a="1"/>
  <c r="E60" i="1" a="1"/>
  <c r="J2288" i="1" a="1"/>
  <c r="J124" i="1" a="1"/>
  <c r="E169" i="1" a="1"/>
  <c r="E1020" i="1" a="1"/>
  <c r="J1043" i="1" a="1"/>
  <c r="J389" i="1" a="1"/>
  <c r="J2702" i="1" a="1"/>
  <c r="J1013" i="1" a="1"/>
  <c r="J1545" i="1" a="1"/>
  <c r="E868" i="1" a="1"/>
  <c r="E2419" i="1" a="1"/>
  <c r="E1480" i="1" a="1"/>
  <c r="J295" i="1" a="1"/>
  <c r="E3851" i="1" a="1"/>
  <c r="J2928" i="1" a="1"/>
  <c r="J3132" i="1" a="1"/>
  <c r="J2292" i="1" a="1"/>
  <c r="J2316" i="1" a="1"/>
  <c r="E3159" i="1" a="1"/>
  <c r="E906" i="1" a="1"/>
  <c r="E1466" i="1" a="1"/>
  <c r="J1066" i="1" a="1"/>
  <c r="J3519" i="1" a="1"/>
  <c r="J2227" i="1" a="1"/>
  <c r="J960" i="1" a="1"/>
  <c r="J2528" i="1" a="1"/>
  <c r="J4287" i="1" a="1"/>
  <c r="J2640" i="1" a="1"/>
  <c r="J3008" i="1" a="1"/>
  <c r="J3322" i="1" a="1"/>
  <c r="J4558" i="1" a="1"/>
  <c r="E1577" i="1" a="1"/>
  <c r="E376" i="1" a="1"/>
  <c r="E3724" i="1" a="1"/>
  <c r="E2000" i="1" a="1"/>
  <c r="J1981" i="1" a="1"/>
  <c r="J1326" i="1" a="1"/>
  <c r="E1803" i="1" a="1"/>
  <c r="E2891" i="1" a="1"/>
  <c r="J398" i="1" a="1"/>
  <c r="E1798" i="1" a="1"/>
  <c r="J2888" i="1" a="1"/>
  <c r="J1006" i="1" a="1"/>
  <c r="J4720" i="1" a="1"/>
  <c r="J1544" i="1" a="1"/>
  <c r="J2834" i="1" a="1"/>
  <c r="J2501" i="1" a="1"/>
  <c r="E1663" i="1" a="1"/>
  <c r="J2271" i="1" a="1"/>
  <c r="J1516" i="1" a="1"/>
  <c r="E1368" i="1" a="1"/>
  <c r="J2420" i="1" a="1"/>
  <c r="J1663" i="1" a="1"/>
  <c r="E2939" i="1" a="1"/>
  <c r="E1527" i="1" a="1"/>
  <c r="J2460" i="1" a="1"/>
  <c r="J783" i="1" a="1"/>
  <c r="J2753" i="1" a="1"/>
  <c r="J932" i="1" a="1"/>
  <c r="J1183" i="1" a="1"/>
  <c r="J150" i="1" a="1"/>
  <c r="E2207" i="1" a="1"/>
  <c r="J1842" i="1" a="1"/>
  <c r="E2827" i="1" a="1"/>
  <c r="J2248" i="1" a="1"/>
  <c r="J3325" i="1" a="1"/>
  <c r="J1880" i="1" a="1"/>
  <c r="J193" i="1" a="1"/>
  <c r="E1639" i="1" a="1"/>
  <c r="E2494" i="1" a="1"/>
  <c r="E1357" i="1" a="1"/>
  <c r="E4683" i="1" a="1"/>
  <c r="J821" i="1" a="1"/>
  <c r="J1960" i="1" a="1"/>
  <c r="E1002" i="1" a="1"/>
  <c r="J1016" i="1" a="1"/>
  <c r="E361" i="1" a="1"/>
  <c r="J1169" i="1" a="1"/>
  <c r="E2178" i="1" a="1"/>
  <c r="J320" i="1" a="1"/>
  <c r="E63" i="1" a="1"/>
  <c r="J2821" i="1" a="1"/>
  <c r="E128" i="1" a="1"/>
  <c r="E79" i="1" a="1"/>
  <c r="E2303" i="1" a="1"/>
  <c r="J2293" i="1" a="1"/>
  <c r="J404" i="1" a="1"/>
  <c r="E1304" i="1" a="1"/>
  <c r="J1345" i="1" a="1"/>
  <c r="J2979" i="1" a="1"/>
  <c r="J909" i="1" a="1"/>
  <c r="J215" i="1" a="1"/>
  <c r="E1781" i="1" a="1"/>
  <c r="J90" i="1" a="1"/>
  <c r="J1838" i="1" a="1"/>
  <c r="J3184" i="1" a="1"/>
  <c r="J1141" i="1" a="1"/>
  <c r="J730" i="1" a="1"/>
  <c r="E1025" i="1" a="1"/>
  <c r="J23" i="1" a="1"/>
  <c r="E1956" i="1" a="1"/>
  <c r="J900" i="1" a="1"/>
  <c r="E1986" i="1" a="1"/>
  <c r="J1896" i="1" a="1"/>
  <c r="J248" i="1" a="1"/>
  <c r="J164" i="1" a="1"/>
  <c r="J3337" i="1" a="1"/>
  <c r="E381" i="1" a="1"/>
  <c r="J240" i="1" a="1"/>
  <c r="E4263" i="1" a="1"/>
  <c r="J1525" i="1" a="1"/>
  <c r="E1778" i="1" a="1"/>
  <c r="E946" i="1" a="1"/>
  <c r="J3631" i="1" a="1"/>
  <c r="J359" i="1" a="1"/>
  <c r="E684" i="1" a="1"/>
  <c r="J1940" i="1" a="1"/>
  <c r="J829" i="1" a="1"/>
  <c r="J2858" i="1" a="1"/>
  <c r="J1051" i="1" a="1"/>
  <c r="E1126" i="1" a="1"/>
  <c r="E4257" i="1" a="1"/>
  <c r="E1087" i="1" a="1"/>
  <c r="J13" i="1" a="1"/>
  <c r="E3835" i="1" a="1"/>
  <c r="E2099" i="1" a="1"/>
  <c r="J1178" i="1" a="1"/>
  <c r="J1350" i="1" a="1"/>
  <c r="E1710" i="1" a="1"/>
  <c r="J1159" i="1" a="1"/>
  <c r="E462" i="1" a="1"/>
  <c r="J1046" i="1" a="1"/>
  <c r="E894" i="1" a="1"/>
  <c r="E2742" i="1" a="1"/>
  <c r="J165" i="1" a="1"/>
  <c r="E1413" i="1" a="1"/>
  <c r="E387" i="1" a="1"/>
  <c r="E2514" i="1" a="1"/>
  <c r="E726" i="1" a="1"/>
  <c r="J803" i="1" a="1"/>
  <c r="E202" i="1" a="1"/>
  <c r="J4423" i="1" a="1"/>
  <c r="E630" i="1" a="1"/>
  <c r="E206" i="1" a="1"/>
  <c r="J3068" i="1" a="1"/>
  <c r="J580" i="1" a="1"/>
  <c r="J1503" i="1" a="1"/>
  <c r="E1605" i="1" a="1"/>
  <c r="J1115" i="1" a="1"/>
  <c r="J1636" i="1" a="1"/>
  <c r="E4157" i="1" a="1"/>
  <c r="E1092" i="1" a="1"/>
  <c r="E2959" i="1" a="1"/>
  <c r="J39" i="1" a="1"/>
  <c r="E2565" i="1" a="1"/>
  <c r="J499" i="1" a="1"/>
  <c r="J622" i="1" a="1"/>
  <c r="E19" i="1" a="1"/>
  <c r="J685" i="1" a="1"/>
  <c r="E1287" i="1" a="1"/>
  <c r="J872" i="1" a="1"/>
  <c r="E321" i="1" a="1"/>
  <c r="E716" i="1" a="1"/>
  <c r="E777" i="1" a="1"/>
  <c r="J3027" i="1" a="1"/>
  <c r="E112" i="1" a="1"/>
  <c r="E4156" i="1" a="1"/>
  <c r="J110" i="1" a="1"/>
  <c r="E396" i="1" a="1"/>
  <c r="E1051" i="1" a="1"/>
  <c r="J2031" i="1" a="1"/>
  <c r="J5210" i="1" a="1"/>
  <c r="E285" i="1" a="1"/>
  <c r="J1061" i="1" a="1"/>
  <c r="J1604" i="1" a="1"/>
  <c r="J259" i="1" a="1"/>
  <c r="J1476" i="1" a="1"/>
  <c r="E2516" i="1" a="1"/>
  <c r="E205" i="1" a="1"/>
  <c r="J1858" i="1" a="1"/>
  <c r="J1317" i="1" a="1"/>
  <c r="E28" i="1" a="1"/>
  <c r="J1432" i="1" a="1"/>
  <c r="E2318" i="1" a="1"/>
  <c r="J2635" i="1" a="1"/>
  <c r="J1112" i="1" a="1"/>
  <c r="E1165" i="1" a="1"/>
  <c r="E1097" i="1" a="1"/>
  <c r="E228" i="1" a="1"/>
  <c r="J681" i="1" a="1"/>
  <c r="E670" i="1" a="1"/>
  <c r="E2183" i="1" a="1"/>
  <c r="E787" i="1" a="1"/>
  <c r="E192" i="1" a="1"/>
  <c r="J117" i="1" a="1"/>
  <c r="J323" i="1" a="1"/>
  <c r="E386" i="1" a="1"/>
  <c r="J1354" i="1" a="1"/>
  <c r="E590" i="1" a="1"/>
  <c r="E2883" i="1" a="1"/>
  <c r="J801" i="1" a="1"/>
  <c r="E156" i="1" a="1"/>
  <c r="E923" i="1" a="1"/>
  <c r="E2722" i="1" a="1"/>
  <c r="J813" i="1" a="1"/>
  <c r="J540" i="1" a="1"/>
  <c r="J1017" i="1" a="1"/>
  <c r="J1993" i="1" a="1"/>
  <c r="J3490" i="1" a="1"/>
  <c r="J3315" i="1" a="1"/>
  <c r="E1518" i="1" a="1"/>
  <c r="E1064" i="1" a="1"/>
  <c r="J361" i="1" a="1"/>
  <c r="E795" i="1" a="1"/>
  <c r="J3661" i="1" a="1"/>
  <c r="J854" i="1" a="1"/>
  <c r="E814" i="1" a="1"/>
  <c r="E701" i="1" a="1"/>
  <c r="J895" i="1" a="1"/>
  <c r="E686" i="1" a="1"/>
  <c r="E847" i="1" a="1"/>
  <c r="J3763" i="1" a="1"/>
  <c r="E2490" i="1" a="1"/>
  <c r="E916" i="1" a="1"/>
  <c r="J707" i="1" a="1"/>
  <c r="J2115" i="1" a="1"/>
  <c r="J673" i="1" a="1"/>
  <c r="J449" i="1" a="1"/>
  <c r="E1112" i="1" a="1"/>
  <c r="E2197" i="1" a="1"/>
  <c r="E1666" i="1" a="1"/>
  <c r="E1567" i="1" a="1"/>
  <c r="J893" i="1" a="1"/>
  <c r="E792" i="1" a="1"/>
  <c r="J4218" i="1" a="1"/>
  <c r="J701" i="1" a="1"/>
  <c r="E2159" i="1" a="1"/>
  <c r="J131" i="1" a="1"/>
  <c r="E195" i="1" a="1"/>
  <c r="E334" i="1" a="1"/>
  <c r="J1021" i="1" a="1"/>
  <c r="E32" i="1" a="1"/>
  <c r="J1631" i="1" a="1"/>
  <c r="E427" i="1" a="1"/>
  <c r="J953" i="1" a="1"/>
  <c r="E919" i="1" a="1"/>
  <c r="J1434" i="1" a="1"/>
  <c r="J3721" i="1" a="1"/>
  <c r="E3670" i="1" a="1"/>
  <c r="E1752" i="1" a="1"/>
  <c r="J3442" i="1" a="1"/>
  <c r="E1509" i="1" a="1"/>
  <c r="J3112" i="1" a="1"/>
  <c r="E867" i="1" a="1"/>
  <c r="J3677" i="1" a="1"/>
  <c r="E2460" i="1" a="1"/>
  <c r="J1285" i="1" a="1"/>
  <c r="E2131" i="1" a="1"/>
  <c r="J2104" i="1" a="1"/>
  <c r="E4183" i="1" a="1"/>
  <c r="E2164" i="1" a="1"/>
  <c r="E2294" i="1" a="1"/>
  <c r="J1699" i="1" a="1"/>
  <c r="J2956" i="1" a="1"/>
  <c r="J2966" i="1" a="1"/>
  <c r="J1288" i="1" a="1"/>
  <c r="E1809" i="1" a="1"/>
  <c r="J1226" i="1" a="1"/>
  <c r="E1919" i="1" a="1"/>
  <c r="J1665" i="1" a="1"/>
  <c r="E3248" i="1" a="1"/>
  <c r="E2244" i="1" a="1"/>
  <c r="J4763" i="1" a="1"/>
  <c r="E2167" i="1" a="1"/>
  <c r="J2084" i="1" a="1"/>
  <c r="J3224" i="1" a="1"/>
  <c r="E1316" i="1" a="1"/>
  <c r="E3703" i="1" a="1"/>
  <c r="J1910" i="1" a="1"/>
  <c r="J846" i="1" a="1"/>
  <c r="J2691" i="1" a="1"/>
  <c r="E915" i="1" a="1"/>
  <c r="J2376" i="1" a="1"/>
  <c r="J2019" i="1" a="1"/>
  <c r="E3525" i="1" a="1"/>
  <c r="E95" i="1" a="1"/>
  <c r="J1235" i="1" a="1"/>
  <c r="J1762" i="1" a="1"/>
  <c r="J1263" i="1" a="1"/>
  <c r="J671" i="1" a="1"/>
  <c r="E905" i="1" a="1"/>
  <c r="J3585" i="1" a="1"/>
  <c r="E3702" i="1" a="1"/>
  <c r="J1149" i="1" a="1"/>
  <c r="J2191" i="1" a="1"/>
  <c r="E561" i="1" a="1"/>
  <c r="E35" i="1" a="1"/>
  <c r="J1397" i="1" a="1"/>
  <c r="E714" i="1" a="1"/>
  <c r="J3828" i="1" a="1"/>
  <c r="J1495" i="1" a="1"/>
  <c r="E871" i="1" a="1"/>
  <c r="J401" i="1" a="1"/>
  <c r="J2715" i="1" a="1"/>
  <c r="J3955" i="1" a="1"/>
  <c r="J2450" i="1" a="1"/>
  <c r="E1845" i="1" a="1"/>
  <c r="E2651" i="1" a="1"/>
  <c r="E1209" i="1" a="1"/>
  <c r="E452" i="1" a="1"/>
  <c r="E453" i="1" a="1"/>
  <c r="J755" i="1" a="1"/>
  <c r="E788" i="1" a="1"/>
  <c r="E2101" i="1" a="1"/>
  <c r="E515" i="1" a="1"/>
  <c r="J1895" i="1" a="1"/>
  <c r="E105" i="1" a="1"/>
  <c r="E639" i="1" a="1"/>
  <c r="J397" i="1" a="1"/>
  <c r="J1778" i="1" a="1"/>
  <c r="E932" i="1" a="1"/>
  <c r="J2737" i="1" a="1"/>
  <c r="J963" i="1" a="1"/>
  <c r="E5390" i="1" a="1"/>
  <c r="J1289" i="1" a="1"/>
  <c r="J385" i="1" a="1"/>
  <c r="E1159" i="1" a="1"/>
  <c r="J1849" i="1" a="1"/>
  <c r="E1062" i="1" a="1"/>
  <c r="J1862" i="1" a="1"/>
  <c r="E2611" i="1" a="1"/>
  <c r="J2534" i="1" a="1"/>
  <c r="J1677" i="1" a="1"/>
  <c r="J137" i="1" a="1"/>
  <c r="J754" i="1" a="1"/>
  <c r="E175" i="1" a="1"/>
  <c r="E1835" i="1" a="1"/>
  <c r="E2649" i="1" a="1"/>
  <c r="J855" i="1" a="1"/>
  <c r="J3498" i="1" a="1"/>
  <c r="E375" i="1" a="1"/>
  <c r="E2085" i="1" a="1"/>
  <c r="J3548" i="1" a="1"/>
  <c r="J2059" i="1" a="1"/>
  <c r="J842" i="1" a="1"/>
  <c r="E2950" i="1" a="1"/>
  <c r="J418" i="1" a="1"/>
  <c r="E1769" i="1" a="1"/>
  <c r="J657" i="1" a="1"/>
  <c r="E3317" i="1" a="1"/>
  <c r="J4376" i="1" a="1"/>
  <c r="J896" i="1" a="1"/>
  <c r="J1097" i="1" a="1"/>
  <c r="J15" i="1" a="1"/>
  <c r="E3370" i="1" a="1"/>
  <c r="E2736" i="1" a="1"/>
  <c r="J51" i="1" a="1"/>
  <c r="J809" i="1" a="1"/>
  <c r="E2335" i="1" a="1"/>
  <c r="E4789" i="1" a="1"/>
  <c r="J2732" i="1" a="1"/>
  <c r="E837" i="1" a="1"/>
  <c r="J2089" i="1" a="1"/>
  <c r="E802" i="1" a="1"/>
  <c r="E1296" i="1" a="1"/>
  <c r="E270" i="1" a="1"/>
  <c r="E687" i="1" a="1"/>
  <c r="J970" i="1" a="1"/>
  <c r="E1091" i="1" a="1"/>
  <c r="J268" i="1" a="1"/>
  <c r="E825" i="1" a="1"/>
  <c r="E1197" i="1" a="1"/>
  <c r="J291" i="1" a="1"/>
  <c r="E1184" i="1" a="1"/>
  <c r="E1485" i="1" a="1"/>
  <c r="J352" i="1" a="1"/>
  <c r="E237" i="1" a="1"/>
  <c r="E183" i="1" a="1"/>
  <c r="E2958" i="1" a="1"/>
  <c r="E1475" i="1" a="1"/>
  <c r="J1996" i="1" a="1"/>
  <c r="J211" i="1" a="1"/>
  <c r="J305" i="1" a="1"/>
  <c r="E1160" i="1" a="1"/>
  <c r="E48" i="1" a="1"/>
  <c r="J173" i="1" a="1"/>
  <c r="E985" i="1" a="1"/>
  <c r="E1341" i="1" a="1"/>
  <c r="J206" i="1" a="1"/>
  <c r="E2180" i="1" a="1"/>
  <c r="E1013" i="1" a="1"/>
  <c r="J1302" i="1" a="1"/>
  <c r="E659" i="1" a="1"/>
  <c r="J422" i="1" a="1"/>
  <c r="J799" i="1" a="1"/>
  <c r="E1245" i="1" a="1"/>
  <c r="E1615" i="1" a="1"/>
  <c r="E431" i="1" a="1"/>
  <c r="J2944" i="1" a="1"/>
  <c r="J3590" i="1" a="1"/>
  <c r="J366" i="1" a="1"/>
  <c r="E1644" i="1" a="1"/>
  <c r="E436" i="1" a="1"/>
  <c r="J722" i="1" a="1"/>
  <c r="J1257" i="1" a="1"/>
  <c r="E820" i="1" a="1"/>
  <c r="E721" i="1" a="1"/>
  <c r="J474" i="1" a="1"/>
  <c r="E1728" i="1" a="1"/>
  <c r="E218" i="1" a="1"/>
  <c r="J779" i="1" a="1"/>
  <c r="J1587" i="1" a="1"/>
  <c r="E73" i="1" a="1"/>
  <c r="J1176" i="1" a="1"/>
  <c r="E1630" i="1" a="1"/>
  <c r="E98" i="1" a="1"/>
  <c r="E2326" i="1" a="1"/>
  <c r="J72" i="1" a="1"/>
  <c r="E245" i="1" a="1"/>
  <c r="J1022" i="1" a="1"/>
  <c r="E64" i="1" a="1"/>
  <c r="J362" i="1" a="1"/>
  <c r="E1463" i="1" a="1"/>
  <c r="E326" i="1" a="1"/>
  <c r="E2354" i="1" a="1"/>
  <c r="E2610" i="1" a="1"/>
  <c r="E2336" i="1" a="1"/>
  <c r="J351" i="1" a="1"/>
  <c r="E2351" i="1" a="1"/>
  <c r="J1583" i="1" a="1"/>
  <c r="J251" i="1" a="1"/>
  <c r="E403" i="1" a="1"/>
  <c r="E417" i="1" a="1"/>
  <c r="E3478" i="1" a="1"/>
  <c r="E288" i="1" a="1"/>
  <c r="J1171" i="1" a="1"/>
  <c r="J172" i="1" a="1"/>
  <c r="E1617" i="1" a="1"/>
  <c r="J3641" i="1" a="1"/>
  <c r="E1347" i="1" a="1"/>
  <c r="J1227" i="1" a="1"/>
  <c r="E499" i="1" a="1"/>
  <c r="E2077" i="1" a="1"/>
  <c r="E359" i="1" a="1"/>
  <c r="J38" i="1" a="1"/>
  <c r="J157" i="1" a="1"/>
  <c r="E2272" i="1" a="1"/>
  <c r="J156" i="1" a="1"/>
  <c r="E368" i="1" a="1"/>
  <c r="J1864" i="1" a="1"/>
  <c r="E4372" i="1" a="1"/>
  <c r="E807" i="1" a="1"/>
  <c r="J315" i="1" a="1"/>
  <c r="J1367" i="1" a="1"/>
  <c r="J658" i="1" a="1"/>
  <c r="J627" i="1" a="1"/>
  <c r="J1309" i="1" a="1"/>
  <c r="J162" i="1" a="1"/>
  <c r="J2866" i="1" a="1"/>
  <c r="J596" i="1" a="1"/>
  <c r="E405" i="1" a="1"/>
  <c r="E2198" i="1" a="1"/>
  <c r="E655" i="1" a="1"/>
  <c r="J1888" i="1" a="1"/>
  <c r="J1568" i="1" a="1"/>
  <c r="E1662" i="1" a="1"/>
  <c r="E185" i="1" a="1"/>
  <c r="E3824" i="1" a="1"/>
  <c r="J3258" i="1" a="1"/>
  <c r="J520" i="1" a="1"/>
  <c r="E248" i="1" a="1"/>
  <c r="E818" i="1" a="1"/>
  <c r="J1724" i="1" a="1"/>
  <c r="J475" i="1" a="1"/>
  <c r="J191" i="1" a="1"/>
  <c r="J2787" i="1" a="1"/>
  <c r="E145" i="1" a="1"/>
  <c r="J1048" i="1" a="1"/>
  <c r="E2362" i="1" a="1"/>
  <c r="E121" i="1" a="1"/>
  <c r="E2732" i="1" a="1"/>
  <c r="J4949" i="1" a="1"/>
  <c r="J109" i="1" a="1"/>
  <c r="J874" i="1" a="1"/>
  <c r="E981" i="1" a="1"/>
  <c r="J1228" i="1" a="1"/>
  <c r="E717" i="1" a="1"/>
  <c r="E533" i="1" a="1"/>
  <c r="E750" i="1" a="1"/>
  <c r="E194" i="1" a="1"/>
  <c r="J89" i="1" a="1"/>
  <c r="J455" i="1" a="1"/>
  <c r="E43" i="1" a="1"/>
  <c r="J471" i="1" a="1"/>
  <c r="E249" i="1" a="1"/>
  <c r="E1561" i="1" a="1"/>
  <c r="J1135" i="1" a="1"/>
  <c r="E54" i="1" a="1"/>
  <c r="J1717" i="1" a="1"/>
  <c r="J262" i="1" a="1"/>
  <c r="J739" i="1" a="1"/>
  <c r="E877" i="1" a="1"/>
  <c r="E3326" i="1" a="1"/>
  <c r="J489" i="1" a="1"/>
  <c r="J1947" i="1" a="1"/>
  <c r="J665" i="1" a="1"/>
  <c r="J2964" i="1" a="1"/>
  <c r="J3171" i="1" a="1"/>
  <c r="J749" i="1" a="1"/>
  <c r="J565" i="1" a="1"/>
  <c r="J991" i="1" a="1"/>
  <c r="J2867" i="1" a="1"/>
  <c r="E2580" i="1" a="1"/>
  <c r="J1586" i="1" a="1"/>
  <c r="E1101" i="1" a="1"/>
  <c r="E2213" i="1" a="1"/>
  <c r="J2102" i="1" a="1"/>
  <c r="E423" i="1" a="1"/>
  <c r="J4240" i="1" a="1"/>
  <c r="E2850" i="1" a="1"/>
  <c r="E503" i="1" a="1"/>
  <c r="J2925" i="1" a="1"/>
  <c r="J1469" i="1" a="1"/>
  <c r="J1744" i="1" a="1"/>
  <c r="J890" i="1" a="1"/>
  <c r="E1629" i="1" a="1"/>
  <c r="E1078" i="1" a="1"/>
  <c r="E2796" i="1" a="1"/>
  <c r="E298" i="1" a="1"/>
  <c r="J3776" i="1" a="1"/>
  <c r="E3178" i="1" a="1"/>
  <c r="E1081" i="1" a="1"/>
  <c r="E3864" i="1" a="1"/>
  <c r="J1466" i="1" a="1"/>
  <c r="E2027" i="1" a="1"/>
  <c r="J1204" i="1" a="1"/>
  <c r="J1620" i="1" a="1"/>
  <c r="J1690" i="1" a="1"/>
  <c r="J3281" i="1" a="1"/>
  <c r="J1990" i="1" a="1"/>
  <c r="J3930" i="1" a="1"/>
  <c r="E912" i="1" a="1"/>
  <c r="E187" i="1" a="1"/>
  <c r="E65" i="1" a="1"/>
  <c r="E4237" i="1" a="1"/>
  <c r="J1333" i="1" a="1"/>
  <c r="E1660" i="1" a="1"/>
  <c r="E2431" i="1" a="1"/>
  <c r="J1058" i="1" a="1"/>
  <c r="E1404" i="1" a="1"/>
  <c r="J726" i="1" a="1"/>
  <c r="E1129" i="1" a="1"/>
  <c r="E1469" i="1" a="1"/>
  <c r="E430" i="1" a="1"/>
  <c r="J3837" i="1" a="1"/>
  <c r="J2482" i="1" a="1"/>
  <c r="J135" i="1" a="1"/>
  <c r="J1321" i="1" a="1"/>
  <c r="E4140" i="1" a="1"/>
  <c r="E3194" i="1" a="1"/>
  <c r="E4060" i="1" a="1"/>
  <c r="E2412" i="1" a="1"/>
  <c r="E2719" i="1" a="1"/>
  <c r="E1124" i="1" a="1"/>
  <c r="E3801" i="1" a="1"/>
  <c r="J1320" i="1" a="1"/>
  <c r="J2748" i="1" a="1"/>
  <c r="J3096" i="1" a="1"/>
  <c r="J2134" i="1" a="1"/>
  <c r="J1906" i="1" a="1"/>
  <c r="J1175" i="1" a="1"/>
  <c r="E207" i="1" a="1"/>
  <c r="J2306" i="1" a="1"/>
  <c r="E3137" i="1" a="1"/>
  <c r="J2055" i="1" a="1"/>
  <c r="J608" i="1" a="1"/>
  <c r="J853" i="1" a="1"/>
  <c r="E2081" i="1" a="1"/>
  <c r="E2668" i="1" a="1"/>
  <c r="J1818" i="1" a="1"/>
  <c r="E255" i="1" a="1"/>
  <c r="J3655" i="1" a="1"/>
  <c r="E2240" i="1" a="1"/>
  <c r="J2080" i="1" a="1"/>
  <c r="J3303" i="1" a="1"/>
  <c r="J2585" i="1" a="1"/>
  <c r="E2980" i="1" a="1"/>
  <c r="E3496" i="1" a="1"/>
  <c r="J1445" i="1" a="1"/>
  <c r="J1253" i="1" a="1"/>
  <c r="J1137" i="1" a="1"/>
  <c r="E1414" i="1" a="1"/>
  <c r="J17" i="1" a="1"/>
  <c r="J103" i="1" a="1"/>
  <c r="E1406" i="1" a="1"/>
  <c r="E1998" i="1" a="1"/>
  <c r="E3103" i="1" a="1"/>
  <c r="J1106" i="1" a="1"/>
  <c r="E2829" i="1" a="1"/>
  <c r="E1055" i="1" a="1"/>
  <c r="J1980" i="1" a="1"/>
  <c r="E1540" i="1" a="1"/>
  <c r="E2143" i="1" a="1"/>
  <c r="E1082" i="1" a="1"/>
  <c r="J1471" i="1" a="1"/>
  <c r="J3114" i="1" a="1"/>
  <c r="E289" i="1" a="1"/>
  <c r="E3072" i="1" a="1"/>
  <c r="E1061" i="1" a="1"/>
  <c r="E4616" i="1" a="1"/>
  <c r="E667" i="1" a="1"/>
  <c r="J1615" i="1" a="1"/>
  <c r="J702" i="1" a="1"/>
  <c r="E441" i="1" a="1"/>
  <c r="E707" i="1" a="1"/>
  <c r="J3071" i="1" a="1"/>
  <c r="E2566" i="1" a="1"/>
  <c r="J2905" i="1" a="1"/>
  <c r="J1266" i="1" a="1"/>
  <c r="E755" i="1" a="1"/>
  <c r="J1125" i="1" a="1"/>
  <c r="E293" i="1" a="1"/>
  <c r="J1831" i="1" a="1"/>
  <c r="E1275" i="1" a="1"/>
  <c r="J345" i="1" a="1"/>
  <c r="E600" i="1" a="1"/>
  <c r="E3220" i="1" a="1"/>
  <c r="J2214" i="1" a="1"/>
  <c r="E1771" i="1" a="1"/>
  <c r="J2320" i="1" a="1"/>
  <c r="J2568" i="1" a="1"/>
  <c r="J3" i="1" a="1"/>
  <c r="J317" i="1" a="1"/>
  <c r="J1032" i="1" a="1"/>
  <c r="E290" i="1" a="1"/>
  <c r="J2060" i="1" a="1"/>
  <c r="J292" i="1" a="1"/>
  <c r="E1248" i="1" a="1"/>
  <c r="E146" i="1" a="1"/>
  <c r="J1182" i="1" a="1"/>
  <c r="J1433" i="1" a="1"/>
  <c r="J2351" i="1" a="1"/>
  <c r="J2322" i="1" a="1"/>
  <c r="E3506" i="1" a="1"/>
  <c r="E69" i="1" a="1"/>
  <c r="J2337" i="1" a="1"/>
  <c r="E1136" i="1" a="1"/>
  <c r="E226" i="1" a="1"/>
  <c r="E855" i="1" a="1"/>
  <c r="J3015" i="1" a="1"/>
  <c r="J2555" i="1" a="1"/>
  <c r="E1951" i="1" a="1"/>
  <c r="J990" i="1" a="1"/>
  <c r="J1009" i="1" a="1"/>
  <c r="E3655" i="1" a="1"/>
  <c r="J678" i="1" a="1"/>
  <c r="E1904" i="1" a="1"/>
  <c r="J3969" i="1" a="1"/>
  <c r="J1840" i="1" a="1"/>
  <c r="J867" i="1" a="1"/>
  <c r="J5016" i="1" a="1"/>
  <c r="E2329" i="1" a="1"/>
  <c r="J328" i="1" a="1"/>
  <c r="E3088" i="1" a="1"/>
  <c r="E1301" i="1" a="1"/>
  <c r="J1537" i="1" a="1"/>
  <c r="J390" i="1" a="1"/>
  <c r="J106" i="1" a="1"/>
  <c r="J1166" i="1" a="1"/>
  <c r="E1297" i="1" a="1"/>
  <c r="J2610" i="1" a="1"/>
  <c r="J1965" i="1" a="1"/>
  <c r="E4248" i="1" a="1"/>
  <c r="J2360" i="1" a="1"/>
  <c r="E3726" i="1" a="1"/>
  <c r="E1860" i="1" a="1"/>
  <c r="E2084" i="1" a="1"/>
  <c r="J1357" i="1" a="1"/>
  <c r="J423" i="1" a="1"/>
  <c r="E3249" i="1" a="1"/>
  <c r="E1041" i="1" a="1"/>
  <c r="E3070" i="1" a="1"/>
  <c r="J2168" i="1" a="1"/>
  <c r="E1383" i="1" a="1"/>
  <c r="J1423" i="1" a="1"/>
  <c r="E2233" i="1" a="1"/>
  <c r="E1848" i="1" a="1"/>
  <c r="J3635" i="1" a="1"/>
  <c r="E2974" i="1" a="1"/>
  <c r="E749" i="1" a="1"/>
  <c r="E1200" i="1" a="1"/>
  <c r="J2229" i="1" a="1"/>
  <c r="J1969" i="1" a="1"/>
  <c r="E1193" i="1" a="1"/>
  <c r="J381" i="1" a="1"/>
  <c r="E769" i="1" a="1"/>
  <c r="J525" i="1" a="1"/>
  <c r="J87" i="1" a="1"/>
  <c r="E918" i="1" a="1"/>
  <c r="E1308" i="1" a="1"/>
  <c r="E1765" i="1" a="1"/>
  <c r="J24" i="1" a="1"/>
  <c r="E2029" i="1" a="1"/>
  <c r="J865" i="1" a="1"/>
  <c r="J1796" i="1" a="1"/>
  <c r="J1158" i="1" a="1"/>
  <c r="E40" i="1" a="1"/>
  <c r="E2172" i="1" a="1"/>
  <c r="E1267" i="1" a="1"/>
  <c r="E177" i="1" a="1"/>
  <c r="J231" i="1" a="1"/>
  <c r="J2008" i="1" a="1"/>
  <c r="J1714" i="1" a="1"/>
  <c r="E2231" i="1" a="1"/>
  <c r="J2043" i="1" a="1"/>
  <c r="E1086" i="1" a="1"/>
  <c r="J558" i="1" a="1"/>
  <c r="J880" i="1" a="1"/>
  <c r="J1414" i="1" a="1"/>
  <c r="E2709" i="1" a="1"/>
  <c r="J1160" i="1" a="1"/>
  <c r="J269" i="1" a="1"/>
  <c r="E811" i="1" a="1"/>
  <c r="J1440" i="1" a="1"/>
  <c r="E738" i="1" a="1"/>
  <c r="J354" i="1" a="1"/>
  <c r="J3006" i="1" a="1"/>
  <c r="J706" i="1" a="1"/>
  <c r="J1447" i="1" a="1"/>
  <c r="J1380" i="1" a="1"/>
  <c r="J111" i="1" a="1"/>
  <c r="E2524" i="1" a="1"/>
  <c r="E3180" i="1" a="1"/>
  <c r="E262" i="1" a="1"/>
  <c r="E640" i="1" a="1"/>
  <c r="J314" i="1" a="1"/>
  <c r="E292" i="1" a="1"/>
  <c r="E895" i="1" a="1"/>
  <c r="J1104" i="1" a="1"/>
  <c r="E490" i="1" a="1"/>
  <c r="J647" i="1" a="1"/>
  <c r="E694" i="1" a="1"/>
  <c r="J138" i="1" a="1"/>
  <c r="E1057" i="1" a="1"/>
  <c r="E410" i="1" a="1"/>
  <c r="E1361" i="1" a="1"/>
  <c r="E1000" i="1" a="1"/>
  <c r="J2222" i="1" a="1"/>
  <c r="E1302" i="1" a="1"/>
  <c r="E196" i="1" a="1"/>
  <c r="E1854" i="1" a="1"/>
  <c r="J1280" i="1" a="1"/>
  <c r="E2485" i="1" a="1"/>
  <c r="E850" i="1" a="1"/>
  <c r="J765" i="1" a="1"/>
  <c r="E8" i="1" a="1"/>
  <c r="J266" i="1" a="1"/>
  <c r="E2692" i="1" a="1"/>
  <c r="J380" i="1" a="1"/>
  <c r="E542" i="1" a="1"/>
  <c r="J53" i="1" a="1"/>
  <c r="J2051" i="1" a="1"/>
  <c r="E56" i="1" a="1"/>
  <c r="E1553" i="1" a="1"/>
  <c r="E448" i="1" a="1"/>
  <c r="E1499" i="1" a="1"/>
  <c r="E1519" i="1" a="1"/>
  <c r="E865" i="1" a="1"/>
  <c r="E371" i="1" a="1"/>
  <c r="E2757" i="1" a="1"/>
  <c r="J2705" i="1" a="1"/>
  <c r="E2314" i="1" a="1"/>
  <c r="J394" i="1" a="1"/>
  <c r="E610" i="1" a="1"/>
  <c r="E295" i="1" a="1"/>
  <c r="E540" i="1" a="1"/>
  <c r="J615" i="1" a="1"/>
  <c r="E308" i="1" a="1"/>
  <c r="E2552" i="1" a="1"/>
  <c r="E1206" i="1" a="1"/>
  <c r="E708" i="1" a="1"/>
  <c r="E1568" i="1" a="1"/>
  <c r="E81" i="1" a="1"/>
  <c r="J1133" i="1" a="1"/>
  <c r="J514" i="1" a="1"/>
  <c r="J3277" i="1" a="1"/>
  <c r="J644" i="1" a="1"/>
  <c r="E142" i="1" a="1"/>
  <c r="E1417" i="1" a="1"/>
  <c r="J516" i="1" a="1"/>
  <c r="E391" i="1" a="1"/>
  <c r="E2447" i="1" a="1"/>
  <c r="J603" i="1" a="1"/>
  <c r="J2442" i="1" a="1"/>
  <c r="E2185" i="1" a="1"/>
  <c r="E831" i="1" a="1"/>
  <c r="J1446" i="1" a="1"/>
  <c r="E1264" i="1" a="1"/>
  <c r="J1277" i="1" a="1"/>
  <c r="J849" i="1" a="1"/>
  <c r="E669" i="1" a="1"/>
  <c r="J443" i="1" a="1"/>
  <c r="E810" i="1" a="1"/>
  <c r="E856" i="1" a="1"/>
  <c r="E2255" i="1" a="1"/>
  <c r="E1651" i="1" a="1"/>
  <c r="E283" i="1" a="1"/>
  <c r="J3268" i="1" a="1"/>
  <c r="J3942" i="1" a="1"/>
  <c r="J94" i="1" a="1"/>
  <c r="E1741" i="1" a="1"/>
  <c r="J2990" i="1" a="1"/>
  <c r="J400" i="1" a="1"/>
  <c r="J573" i="1" a="1"/>
  <c r="E2012" i="1" a="1"/>
  <c r="E1307" i="1" a="1"/>
  <c r="J1937" i="1" a="1"/>
  <c r="J2505" i="1" a="1"/>
  <c r="E3243" i="1" a="1"/>
  <c r="E885" i="1" a="1"/>
  <c r="E2712" i="1" a="1"/>
  <c r="J845" i="1" a="1"/>
  <c r="E179" i="1" a="1"/>
  <c r="E2031" i="1" a="1"/>
  <c r="E193" i="1" a="1"/>
  <c r="J2434" i="1" a="1"/>
  <c r="J916" i="1" a="1"/>
  <c r="E1524" i="1" a="1"/>
  <c r="E733" i="1" a="1"/>
  <c r="J2198" i="1" a="1"/>
  <c r="J588" i="1" a="1"/>
  <c r="J166" i="1" a="1"/>
  <c r="J129" i="1" a="1"/>
  <c r="E197" i="1" a="1"/>
  <c r="J1230" i="1" a="1"/>
  <c r="E2001" i="1" a="1"/>
  <c r="E2723" i="1" a="1"/>
  <c r="E609" i="1" a="1"/>
  <c r="E2679" i="1" a="1"/>
  <c r="J4082" i="1" a="1"/>
  <c r="E1096" i="1" a="1"/>
  <c r="J2794" i="1" a="1"/>
  <c r="E974" i="1" a="1"/>
  <c r="J2625" i="1" a="1"/>
  <c r="E1659" i="1" a="1"/>
  <c r="J904" i="1" a="1"/>
  <c r="J859" i="1" a="1"/>
  <c r="J958" i="1" a="1"/>
  <c r="J638" i="1" a="1"/>
  <c r="J4710" i="1" a="1"/>
  <c r="J441" i="1" a="1"/>
  <c r="E1596" i="1" a="1"/>
  <c r="J2587" i="1" a="1"/>
  <c r="J1376" i="1" a="1"/>
  <c r="E605" i="1" a="1"/>
  <c r="J415" i="1" a="1"/>
  <c r="J2953" i="1" a="1"/>
  <c r="J1402" i="1" a="1"/>
  <c r="E3329" i="1" a="1"/>
  <c r="E450" i="1" a="1"/>
  <c r="J104" i="1" a="1"/>
  <c r="J2127" i="1" a="1"/>
  <c r="E2913" i="1" a="1"/>
  <c r="E1839" i="1" a="1"/>
  <c r="J409" i="1" a="1"/>
  <c r="J578" i="1" a="1"/>
  <c r="E1721" i="1" a="1"/>
  <c r="J369" i="1" a="1"/>
  <c r="J3534" i="1" a="1"/>
  <c r="J1393" i="1" a="1"/>
  <c r="E593" i="1" a="1"/>
  <c r="E695" i="1" a="1"/>
  <c r="J1281" i="1" a="1"/>
  <c r="J782" i="1" a="1"/>
  <c r="J1173" i="1" a="1"/>
  <c r="J465" i="1" a="1"/>
  <c r="E2274" i="1" a="1"/>
  <c r="E77" i="1" a="1"/>
  <c r="J1352" i="1" a="1"/>
  <c r="J105" i="1" a="1"/>
  <c r="E198" i="1" a="1"/>
  <c r="E2210" i="1" a="1"/>
  <c r="J3077" i="1" a="1"/>
  <c r="E1575" i="1" a="1"/>
  <c r="J533" i="1" a="1"/>
  <c r="E3723" i="1" a="1"/>
  <c r="J1270" i="1" a="1"/>
  <c r="J1449" i="1" a="1"/>
  <c r="J2058" i="1" a="1"/>
  <c r="J190" i="1" a="1"/>
  <c r="J414" i="1" a="1"/>
  <c r="J66" i="1" a="1"/>
  <c r="J278" i="1" a="1"/>
  <c r="E2436" i="1" a="1"/>
  <c r="E59" i="1" a="1"/>
  <c r="E781" i="1" a="1"/>
  <c r="J728" i="1" a="1"/>
  <c r="E1594" i="1" a="1"/>
  <c r="E693" i="1" a="1"/>
  <c r="J1846" i="1" a="1"/>
  <c r="J1482" i="1" a="1"/>
  <c r="J177" i="1" a="1"/>
  <c r="J1444" i="1" a="1"/>
  <c r="J2255" i="1" a="1"/>
  <c r="J436" i="1" a="1"/>
  <c r="E873" i="1" a="1"/>
  <c r="J357" i="1" a="1"/>
  <c r="E576" i="1" a="1"/>
  <c r="E502" i="1" a="1"/>
  <c r="E1538" i="1" a="1"/>
  <c r="E712" i="1" a="1"/>
  <c r="E2157" i="1" a="1"/>
  <c r="J2326" i="1" a="1"/>
  <c r="J2970" i="1" a="1"/>
  <c r="J325" i="1" a="1"/>
  <c r="J679" i="1" a="1"/>
  <c r="E3558" i="1" a="1"/>
  <c r="E1980" i="1" a="1"/>
  <c r="J358" i="1" a="1"/>
  <c r="E4956" i="1" a="1"/>
  <c r="J1220" i="1" a="1"/>
  <c r="E1991" i="1" a="1"/>
  <c r="J256" i="1" a="1"/>
  <c r="E267" i="1" a="1"/>
  <c r="E164" i="1" a="1"/>
  <c r="E799" i="1" a="1"/>
  <c r="E219" i="1" a="1"/>
  <c r="J1276" i="1" a="1"/>
  <c r="J745" i="1" a="1"/>
  <c r="J2078" i="1" a="1"/>
  <c r="J761" i="1" a="1"/>
  <c r="E1766" i="1" a="1"/>
  <c r="E778" i="1" a="1"/>
  <c r="E107" i="1" a="1"/>
  <c r="J2260" i="1" a="1"/>
  <c r="E1125" i="1" a="1"/>
  <c r="E730" i="1" a="1"/>
  <c r="E715" i="1" a="1"/>
  <c r="E2376" i="1" a="1"/>
  <c r="E1169" i="1" a="1"/>
  <c r="E711" i="1" a="1"/>
  <c r="E101" i="1" a="1"/>
  <c r="J189" i="1" a="1"/>
  <c r="J2536" i="1" a="1"/>
  <c r="E2946" i="1" a="1"/>
  <c r="E1254" i="1" a="1"/>
  <c r="E1551" i="1" a="1"/>
  <c r="E74" i="1" a="1"/>
  <c r="E1141" i="1" a="1"/>
  <c r="J2125" i="1" a="1"/>
  <c r="J2236" i="1" a="1"/>
  <c r="E3163" i="1" a="1"/>
  <c r="J2318" i="1" a="1"/>
  <c r="J771" i="1" a="1"/>
  <c r="J899" i="1" a="1"/>
  <c r="E2438" i="1" a="1"/>
  <c r="J1876" i="1" a="1"/>
  <c r="E2750" i="1" a="1"/>
  <c r="J1144" i="1" a="1"/>
  <c r="J192" i="1" a="1"/>
  <c r="J2749" i="1" a="1"/>
  <c r="E1237" i="1" a="1"/>
  <c r="E2396" i="1" a="1"/>
  <c r="J1774" i="1" a="1"/>
  <c r="J4698" i="1" a="1"/>
  <c r="J2868" i="1" a="1"/>
  <c r="J751" i="1" a="1"/>
  <c r="J1628" i="1" a="1"/>
  <c r="J686" i="1" a="1"/>
  <c r="J3212" i="1" a="1"/>
  <c r="J1618" i="1" a="1"/>
  <c r="J1877" i="1" a="1"/>
  <c r="J338" i="1" a="1"/>
  <c r="J1992" i="1" a="1"/>
  <c r="J1633" i="1" a="1"/>
  <c r="J2453" i="1" a="1"/>
  <c r="E1283" i="1" a="1"/>
  <c r="E697" i="1" a="1"/>
  <c r="J548" i="1" a="1"/>
  <c r="E1649" i="1" a="1"/>
  <c r="J3016" i="1" a="1"/>
  <c r="J3153" i="1" a="1"/>
  <c r="E1191" i="1" a="1"/>
  <c r="E860" i="1" a="1"/>
  <c r="E310" i="1" a="1"/>
  <c r="E1177" i="1" a="1"/>
  <c r="J403" i="1" a="1"/>
  <c r="E47" i="1" a="1"/>
  <c r="E836" i="1" a="1"/>
  <c r="J91" i="1" a="1"/>
  <c r="J363" i="1" a="1"/>
  <c r="E1899" i="1" a="1"/>
  <c r="J1233" i="1" a="1"/>
  <c r="J549" i="1" a="1"/>
  <c r="E3104" i="1" a="1"/>
  <c r="E508" i="1" a="1"/>
  <c r="E815" i="1" a="1"/>
  <c r="J561" i="1" a="1"/>
  <c r="E1851" i="1" a="1"/>
  <c r="E34" i="1" a="1"/>
  <c r="E662" i="1" a="1"/>
  <c r="E314" i="1" a="1"/>
  <c r="J1528" i="1" a="1"/>
  <c r="J1809" i="1" a="1"/>
  <c r="E287" i="1" a="1"/>
  <c r="J2180" i="1" a="1"/>
  <c r="E2655" i="1" a="1"/>
  <c r="J2302" i="1" a="1"/>
  <c r="E460" i="1" a="1"/>
  <c r="J2328" i="1" a="1"/>
  <c r="E1349" i="1" a="1"/>
  <c r="J1094" i="1" a="1"/>
  <c r="J75" i="1" a="1"/>
  <c r="J711" i="1" a="1"/>
  <c r="E419" i="1" a="1"/>
  <c r="E938" i="1" a="1"/>
  <c r="J26" i="1" a="1"/>
  <c r="J2196" i="1" a="1"/>
  <c r="J1594" i="1" a="1"/>
  <c r="E638" i="1" a="1"/>
  <c r="J2413" i="1" a="1"/>
  <c r="J136" i="1" a="1"/>
  <c r="E1001" i="1" a="1"/>
  <c r="E2280" i="1" a="1"/>
  <c r="J692" i="1" a="1"/>
  <c r="J1150" i="1" a="1"/>
  <c r="J2752" i="1" a="1"/>
  <c r="E1053" i="1" a="1"/>
  <c r="J785" i="1" a="1"/>
  <c r="E232" i="1" a="1"/>
  <c r="J1301" i="1" a="1"/>
  <c r="J2244" i="1" a="1"/>
  <c r="J60" i="1" a="1"/>
  <c r="E2264" i="1" a="1"/>
  <c r="J12" i="1" a="1"/>
  <c r="J2972" i="1" a="1"/>
  <c r="J1328" i="1" a="1"/>
  <c r="J1687" i="1" a="1"/>
  <c r="E4693" i="1" a="1"/>
  <c r="E1134" i="1" a="1"/>
  <c r="E1044" i="1" a="1"/>
  <c r="E1782" i="1" a="1"/>
  <c r="J2982" i="1" a="1"/>
  <c r="E1909" i="1" a="1"/>
  <c r="J1431" i="1" a="1"/>
  <c r="E549" i="1" a="1"/>
  <c r="J1564" i="1" a="1"/>
  <c r="E1116" i="1" a="1"/>
  <c r="E2881" i="1" a="1"/>
  <c r="E1631" i="1" a="1"/>
  <c r="J3233" i="1" a="1"/>
  <c r="E1215" i="1" a="1"/>
  <c r="J870" i="1" a="1"/>
  <c r="J1244" i="1" a="1"/>
  <c r="J1310" i="1" a="1"/>
  <c r="E536" i="1" a="1"/>
  <c r="E402" i="1" a="1"/>
  <c r="E1736" i="1" a="1"/>
  <c r="E849" i="1" a="1"/>
  <c r="J539" i="1" a="1"/>
  <c r="E3503" i="1" a="1"/>
  <c r="J1209" i="1" a="1"/>
  <c r="J2788" i="1" a="1"/>
  <c r="J2400" i="1" a="1"/>
  <c r="E1260" i="1" a="1"/>
  <c r="E951" i="1" a="1"/>
  <c r="J1299" i="1" a="1"/>
  <c r="J146" i="1" a="1"/>
  <c r="J630" i="1" a="1"/>
  <c r="J1679" i="1" a="1"/>
  <c r="J957" i="1" a="1"/>
  <c r="E2584" i="1" a="1"/>
  <c r="J551" i="1" a="1"/>
  <c r="E1610" i="1" a="1"/>
  <c r="E316" i="1" a="1"/>
  <c r="E1059" i="1" a="1"/>
  <c r="E764" i="1" a="1"/>
  <c r="J93" i="1" a="1"/>
  <c r="J1387" i="1" a="1"/>
  <c r="J2130" i="1" a="1"/>
  <c r="J1351" i="1" a="1"/>
  <c r="J3034" i="1" a="1"/>
  <c r="J654" i="1" a="1"/>
  <c r="J643" i="1" a="1"/>
  <c r="J3082" i="1" a="1"/>
  <c r="E463" i="1" a="1"/>
  <c r="J1055" i="1" a="1"/>
  <c r="J717" i="1" a="1"/>
  <c r="E236" i="1" a="1"/>
  <c r="J1377" i="1" a="1"/>
  <c r="J1304" i="1" a="1"/>
  <c r="E33" i="1" a="1"/>
  <c r="J898" i="1" a="1"/>
  <c r="J840" i="1" a="1"/>
  <c r="J634" i="1" a="1"/>
  <c r="E1192" i="1" a="1"/>
  <c r="E2523" i="1" a="1"/>
  <c r="J367" i="1" a="1"/>
  <c r="E2518" i="1" a="1"/>
  <c r="J1698" i="1" a="1"/>
  <c r="J2485" i="1" a="1"/>
  <c r="J602" i="1" a="1"/>
  <c r="J856" i="1" a="1"/>
  <c r="E162" i="1" a="1"/>
  <c r="E426" i="1" a="1"/>
  <c r="J759" i="1" a="1"/>
  <c r="E2129" i="1" a="1"/>
  <c r="J2211" i="1" a="1"/>
  <c r="J1138" i="1" a="1"/>
  <c r="E304" i="1" a="1"/>
  <c r="E2704" i="1" a="1"/>
  <c r="E2698" i="1" a="1"/>
  <c r="J333" i="1" a="1"/>
  <c r="E835" i="1" a="1"/>
  <c r="J2841" i="1" a="1"/>
  <c r="J866" i="1" a="1"/>
  <c r="E2922" i="1" a="1"/>
  <c r="J712" i="1" a="1"/>
  <c r="E345" i="1" a="1"/>
  <c r="E1844" i="1" a="1"/>
  <c r="J920" i="1" a="1"/>
  <c r="E545" i="1" a="1"/>
  <c r="E307" i="1" a="1"/>
  <c r="J2052" i="1" a="1"/>
  <c r="J297" i="1" a="1"/>
  <c r="E519" i="1" a="1"/>
  <c r="J421" i="1" a="1"/>
  <c r="E1024" i="1" a="1"/>
  <c r="E990" i="1" a="1"/>
  <c r="J637" i="1" a="1"/>
  <c r="E963" i="1" a="1"/>
  <c r="E143" i="1" a="1"/>
  <c r="J1092" i="1" a="1"/>
  <c r="E495" i="1" a="1"/>
  <c r="J1327" i="1" a="1"/>
  <c r="E144" i="1" a="1"/>
  <c r="E1969" i="1" a="1"/>
  <c r="E840" i="1" a="1"/>
  <c r="J933" i="1" a="1"/>
  <c r="E725" i="1" a="1"/>
  <c r="E9" i="1" a="1"/>
  <c r="J2327" i="1" a="1"/>
  <c r="J335" i="1" a="1"/>
  <c r="E401" i="1" a="1"/>
  <c r="E936" i="1" a="1"/>
  <c r="J1278" i="1" a="1"/>
  <c r="E2415" i="1" a="1"/>
  <c r="J1241" i="1" a="1"/>
  <c r="J935" i="1" a="1"/>
  <c r="J407" i="1" a="1"/>
  <c r="J688" i="1" a="1"/>
  <c r="J355" i="1" a="1"/>
  <c r="E378" i="1" a="1"/>
  <c r="J289" i="1" a="1"/>
  <c r="J1599" i="1" a="1"/>
  <c r="E1777" i="1" a="1"/>
  <c r="E3571" i="1" a="1"/>
  <c r="E414" i="1" a="1"/>
  <c r="J1635" i="1" a="1"/>
  <c r="J294" i="1" a="1"/>
  <c r="J1405" i="1" a="1"/>
  <c r="J225" i="1" a="1"/>
  <c r="E1075" i="1" a="1"/>
  <c r="J714" i="1" a="1"/>
  <c r="E722" i="1" a="1"/>
  <c r="J331" i="1" a="1"/>
  <c r="E2114" i="1" a="1"/>
  <c r="J705" i="1" a="1"/>
  <c r="E821" i="1" a="1"/>
  <c r="E782" i="1" a="1"/>
  <c r="E117" i="1" a="1"/>
  <c r="J2571" i="1" a="1"/>
  <c r="J3095" i="1" a="1"/>
  <c r="E773" i="1" a="1"/>
  <c r="E2731" i="1" a="1"/>
  <c r="J985" i="1" a="1"/>
  <c r="J700" i="1" a="1"/>
  <c r="J142" i="1" a="1"/>
  <c r="E2968" i="1" a="1"/>
  <c r="J2631" i="1" a="1"/>
  <c r="J1922" i="1" a="1"/>
  <c r="E568" i="1" a="1"/>
  <c r="E2772" i="1" a="1"/>
  <c r="J1085" i="1" a="1"/>
  <c r="E1713" i="1" a="1"/>
  <c r="E520" i="1" a="1"/>
  <c r="J5040" i="1" a="1"/>
  <c r="J2426" i="1" a="1"/>
  <c r="E1271" i="1" a="1"/>
  <c r="E1716" i="1" a="1"/>
  <c r="E1935" i="1" a="1"/>
  <c r="J526" i="1" a="1"/>
  <c r="J2126" i="1" a="1"/>
  <c r="J590" i="1" a="1"/>
  <c r="J3650" i="1" a="1"/>
  <c r="J1936" i="1" a="1"/>
  <c r="E510" i="1" a="1"/>
  <c r="J1216" i="1" a="1"/>
  <c r="J1427" i="1" a="1"/>
  <c r="E3550" i="1" a="1"/>
  <c r="J1379" i="1" a="1"/>
  <c r="J1607" i="1" a="1"/>
  <c r="J1412" i="1" a="1"/>
  <c r="J2873" i="1" a="1"/>
  <c r="J2143" i="1" a="1"/>
  <c r="E2112" i="1" a="1"/>
  <c r="E435" i="1" a="1"/>
  <c r="J226" i="1" a="1"/>
  <c r="J2012" i="1" a="1"/>
  <c r="E3482" i="1" a="1"/>
  <c r="E455" i="1" a="1"/>
  <c r="J4280" i="1" a="1"/>
  <c r="E731" i="1" a="1"/>
  <c r="J2046" i="1" a="1"/>
  <c r="E1377" i="1" a="1"/>
  <c r="J699" i="1" a="1"/>
  <c r="J1411" i="1" a="1"/>
  <c r="E801" i="1" a="1"/>
  <c r="E367" i="1" a="1"/>
  <c r="J510" i="1" a="1"/>
  <c r="E2128" i="1" a="1"/>
  <c r="J16" i="1" a="1"/>
  <c r="J279" i="1" a="1"/>
  <c r="E1794" i="1" a="1"/>
  <c r="E748" i="1" a="1"/>
  <c r="J1463" i="1" a="1"/>
  <c r="E1150" i="1" a="1"/>
  <c r="J2525" i="1" a="1"/>
  <c r="E3287" i="1" a="1"/>
  <c r="J2627" i="1" a="1"/>
  <c r="J214" i="1" a="1"/>
  <c r="E412" i="1" a="1"/>
  <c r="J460" i="1" a="1"/>
  <c r="J715" i="1" a="1"/>
  <c r="J1229" i="1" a="1"/>
  <c r="J1455" i="1" a="1"/>
  <c r="E649" i="1" a="1"/>
  <c r="J2215" i="1" a="1"/>
  <c r="E1416" i="1" a="1"/>
  <c r="J1148" i="1" a="1"/>
  <c r="E845" i="1" a="1"/>
  <c r="J879" i="1" a="1"/>
  <c r="E666" i="1" a="1"/>
  <c r="J689" i="1" a="1"/>
  <c r="J35" i="1" a="1"/>
  <c r="J2077" i="1" a="1"/>
  <c r="E991" i="1" a="1"/>
  <c r="E2219" i="1" a="1"/>
  <c r="E3825" i="1" a="1"/>
  <c r="E1632" i="1" a="1"/>
  <c r="E682" i="1" a="1"/>
  <c r="J1124" i="1" a="1"/>
  <c r="E1085" i="1" a="1"/>
  <c r="J1867" i="1" a="1"/>
  <c r="E668" i="1" a="1"/>
  <c r="J886" i="1" a="1"/>
  <c r="E1897" i="1" a="1"/>
  <c r="E1014" i="1" a="1"/>
  <c r="E2874" i="1" a="1"/>
  <c r="E914" i="1" a="1"/>
  <c r="J1595" i="1" a="1"/>
  <c r="J371" i="1" a="1"/>
  <c r="E774" i="1" a="1"/>
  <c r="J2028" i="1" a="1"/>
  <c r="J2202" i="1" a="1"/>
  <c r="J47" i="1" a="1"/>
  <c r="J28" i="1" a="1"/>
  <c r="E1017" i="1" a="1"/>
  <c r="J151" i="1" a="1"/>
  <c r="E399" i="1" a="1"/>
  <c r="E2042" i="1" a="1"/>
  <c r="J207" i="1" a="1"/>
  <c r="J1358" i="1" a="1"/>
  <c r="E741" i="1" a="1"/>
  <c r="E1246" i="1" a="1"/>
  <c r="E55" i="1" a="1"/>
  <c r="J1024" i="1" a="1"/>
  <c r="J826" i="1" a="1"/>
  <c r="J3175" i="1" a="1"/>
  <c r="J2446" i="1" a="1"/>
  <c r="J2885" i="1" a="1"/>
  <c r="E1490" i="1" a="1"/>
  <c r="J819" i="1" a="1"/>
  <c r="J571" i="1" a="1"/>
  <c r="E485" i="1" a="1"/>
  <c r="J419" i="1" a="1"/>
  <c r="E328" i="1" a="1"/>
  <c r="J134" i="1" a="1"/>
  <c r="J1810" i="1" a="1"/>
  <c r="E1694" i="1" a="1"/>
  <c r="E558" i="1" a="1"/>
  <c r="J1217" i="1" a="1"/>
  <c r="J2935" i="1" a="1"/>
  <c r="E3382" i="1" a="1"/>
  <c r="J1606" i="1" a="1"/>
  <c r="E537" i="1" a="1"/>
  <c r="J7" i="1" a="1"/>
  <c r="J296" i="1" a="1"/>
  <c r="J2862" i="1" a="1"/>
  <c r="E557" i="1" a="1"/>
  <c r="E719" i="1" a="1"/>
  <c r="E691" i="1" a="1"/>
  <c r="J494" i="1" a="1"/>
  <c r="E4308" i="1" a="1"/>
  <c r="E265" i="1" a="1"/>
  <c r="E1811" i="1" a="1"/>
  <c r="E1565" i="1" a="1"/>
  <c r="J1273" i="1" a="1"/>
  <c r="J1718" i="1" a="1"/>
  <c r="J4019" i="1" a="1"/>
  <c r="J1062" i="1" a="1"/>
  <c r="J2601" i="1" a="1"/>
  <c r="E3971" i="1" a="1"/>
  <c r="J3647" i="1" a="1"/>
  <c r="J2860" i="1" a="1"/>
  <c r="J3076" i="1" a="1"/>
  <c r="E648" i="1" a="1"/>
  <c r="E2477" i="1" a="1"/>
  <c r="E1608" i="1" a="1"/>
  <c r="E1555" i="1" a="1"/>
  <c r="J532" i="1" a="1"/>
  <c r="J3654" i="1" a="1"/>
  <c r="E961" i="1" a="1"/>
  <c r="J1642" i="1" a="1"/>
  <c r="E1373" i="1" a="1"/>
  <c r="E1321" i="1" a="1"/>
  <c r="E553" i="1" a="1"/>
  <c r="E16" i="1" a="1"/>
  <c r="J804" i="1" a="1"/>
  <c r="J793" i="1" a="1"/>
  <c r="J2951" i="1" a="1"/>
  <c r="E2532" i="1" a="1"/>
  <c r="J3372" i="1" a="1"/>
  <c r="J396" i="1" a="1"/>
  <c r="E822" i="1" a="1"/>
  <c r="J557" i="1" a="1"/>
  <c r="E1440" i="1" a="1"/>
  <c r="J3119" i="1" a="1"/>
  <c r="E469" i="1" a="1"/>
  <c r="J82" i="1" a="1"/>
  <c r="E1546" i="1" a="1"/>
  <c r="E2713" i="1" a="1"/>
  <c r="E1603" i="1" a="1"/>
  <c r="E472" i="1" a="1"/>
  <c r="E1423" i="1" a="1"/>
  <c r="E2511" i="1" a="1"/>
  <c r="J453" i="1" a="1"/>
  <c r="J1806" i="1" a="1"/>
  <c r="E393" i="1" a="1"/>
  <c r="J20" i="1" a="1"/>
  <c r="E644" i="1" a="1"/>
  <c r="E993" i="1" a="1"/>
  <c r="J334" i="1" a="1"/>
  <c r="J2242" i="1" a="1"/>
  <c r="E631" i="1" a="1"/>
  <c r="E1204" i="1" a="1"/>
  <c r="J2604" i="1" a="1"/>
  <c r="J3230" i="1" a="1"/>
  <c r="E42" i="1" a="1"/>
  <c r="E565" i="1" a="1"/>
  <c r="E1833" i="1" a="1"/>
  <c r="J530" i="1" a="1"/>
  <c r="E135" i="1" a="1"/>
  <c r="J147" i="1" a="1"/>
  <c r="E80" i="1" a="1"/>
  <c r="J81" i="1" a="1"/>
  <c r="E2306" i="1" a="1"/>
  <c r="J881" i="1" a="1"/>
  <c r="E1918" i="1" a="1"/>
  <c r="E352" i="1" a="1"/>
  <c r="J1979" i="1" a="1"/>
  <c r="J1076" i="1" a="1"/>
  <c r="E1625" i="1" a="1"/>
  <c r="J529" i="1" a="1"/>
  <c r="J941" i="1" a="1"/>
  <c r="E562" i="1" a="1"/>
  <c r="J310" i="1" a="1"/>
  <c r="J1293" i="1" a="1"/>
  <c r="E959" i="1" a="1"/>
  <c r="E1058" i="1" a="1"/>
  <c r="J1456" i="1" a="1"/>
  <c r="J718" i="1" a="1"/>
  <c r="J347" i="1" a="1"/>
  <c r="E571" i="1" a="1"/>
  <c r="E2399" i="1" a="1"/>
  <c r="J1530" i="1" a="1"/>
  <c r="E2379" i="1" a="1"/>
  <c r="J447" i="1" a="1"/>
  <c r="E678" i="1" a="1"/>
  <c r="J2880" i="1" a="1"/>
  <c r="J595" i="1" a="1"/>
  <c r="J3616" i="1" a="1"/>
  <c r="E546" i="1" a="1"/>
  <c r="E944" i="1" a="1"/>
  <c r="J517" i="1" a="1"/>
  <c r="J2265" i="1" a="1"/>
  <c r="E2368" i="1" a="1"/>
  <c r="E541" i="1" a="1"/>
  <c r="E1068" i="1" a="1"/>
  <c r="J876" i="1" a="1"/>
  <c r="E123" i="1" a="1"/>
  <c r="J446" i="1" a="1"/>
  <c r="E180" i="1" a="1"/>
  <c r="E467" i="1" a="1"/>
  <c r="J10" i="1" a="1"/>
  <c r="E3803" i="1" a="1"/>
  <c r="E580" i="1" a="1"/>
  <c r="E230" i="1" a="1"/>
  <c r="E1623" i="1" a="1"/>
  <c r="E1090" i="1" a="1"/>
  <c r="E281" i="1" a="1"/>
  <c r="J1091" i="1" a="1"/>
  <c r="J581" i="1" a="1"/>
  <c r="E1076" i="1" a="1"/>
  <c r="E484" i="1" a="1"/>
  <c r="E252" i="1" a="1"/>
  <c r="E2044" i="1" a="1"/>
  <c r="J604" i="1" a="1"/>
  <c r="J198" i="1" a="1"/>
  <c r="E1855" i="1" a="1"/>
  <c r="J1318" i="1" a="1"/>
  <c r="E1370" i="1" a="1"/>
  <c r="E464" i="1" a="1"/>
  <c r="J1439" i="1" a="1"/>
  <c r="J704" i="1" a="1"/>
  <c r="E1504" i="1" a="1"/>
  <c r="J2756" i="1" a="1"/>
  <c r="E794" i="1" a="1"/>
  <c r="E619" i="1" a="1"/>
  <c r="E210" i="1" a="1"/>
  <c r="E18" i="1" a="1"/>
  <c r="J2040" i="1" a="1"/>
  <c r="J56" i="1" a="1"/>
  <c r="E1266" i="1" a="1"/>
  <c r="E975" i="1" a="1"/>
  <c r="J802" i="1" a="1"/>
  <c r="E1578" i="1" a="1"/>
  <c r="E2041" i="1" a="1"/>
  <c r="E1362" i="1" a="1"/>
  <c r="J143" i="1" a="1"/>
  <c r="J2013" i="1" a="1"/>
  <c r="J274" i="1" a="1"/>
  <c r="E153" i="1" a="1"/>
  <c r="E1885" i="1" a="1"/>
  <c r="J1555" i="1" a="1"/>
  <c r="J487" i="1" a="1"/>
  <c r="E1322" i="1" a="1"/>
  <c r="J1644" i="1" a="1"/>
  <c r="E2967" i="1" a="1"/>
  <c r="J3201" i="1" a="1"/>
  <c r="J2660" i="1" a="1"/>
  <c r="E1123" i="1" a="1"/>
  <c r="J956" i="1" a="1"/>
  <c r="E286" i="1" a="1"/>
  <c r="J1023" i="1" a="1"/>
  <c r="E989" i="1" a="1"/>
  <c r="E7" i="1" a="1"/>
  <c r="J2315" i="1" a="1"/>
  <c r="E1330" i="1" a="1"/>
  <c r="E2051" i="1" a="1"/>
  <c r="J950" i="1" a="1"/>
  <c r="J339" i="1" a="1"/>
  <c r="J696" i="1" a="1"/>
  <c r="E948" i="1" a="1"/>
  <c r="J235" i="1" a="1"/>
  <c r="J326" i="1" a="1"/>
  <c r="J42" i="1" a="1"/>
  <c r="J1726" i="1" a="1"/>
  <c r="J2653" i="1" a="1"/>
  <c r="E2155" i="1" a="1"/>
  <c r="E3025" i="1" a="1"/>
  <c r="E3047" i="1" a="1"/>
  <c r="J250" i="1" a="1"/>
  <c r="E1460" i="1" a="1"/>
  <c r="J2927" i="1" a="1"/>
  <c r="E468" i="1" a="1"/>
  <c r="J2659" i="1" a="1"/>
  <c r="J787" i="1" a="1"/>
  <c r="J1406" i="1" a="1"/>
  <c r="E1704" i="1" a="1"/>
  <c r="J57" i="1" a="1"/>
  <c r="E88" i="1" a="1"/>
  <c r="J322" i="1" a="1"/>
  <c r="J850" i="1" a="1"/>
  <c r="J954" i="1" a="1"/>
  <c r="J1617" i="1" a="1"/>
  <c r="E344" i="1" a="1"/>
  <c r="E588" i="1" a="1"/>
  <c r="E256" i="1" a="1"/>
  <c r="E3032" i="1" a="1"/>
  <c r="E1272" i="1" a="1"/>
  <c r="E842" i="1" a="1"/>
  <c r="E1294" i="1" a="1"/>
  <c r="J3249" i="1" a="1"/>
  <c r="J772" i="1" a="1"/>
  <c r="J800" i="1" a="1"/>
  <c r="J554" i="1" a="1"/>
  <c r="J484" i="1" a="1"/>
  <c r="J1464" i="1" a="1"/>
  <c r="E244" i="1" a="1"/>
  <c r="E97" i="1" a="1"/>
  <c r="E1735" i="1" a="1"/>
  <c r="J2120" i="1" a="1"/>
  <c r="E491" i="1" a="1"/>
  <c r="E309" i="1" a="1"/>
  <c r="E2067" i="1" a="1"/>
  <c r="E945" i="1" a="1"/>
  <c r="E947" i="1" a="1"/>
  <c r="J2269" i="1" a="1"/>
  <c r="E331" i="1" a="1"/>
  <c r="E2440" i="1" a="1"/>
  <c r="J1054" i="1" a="1"/>
  <c r="E1992" i="1" a="1"/>
  <c r="E3000" i="1" a="1"/>
  <c r="J1099" i="1" a="1"/>
  <c r="J1330" i="1" a="1"/>
  <c r="E4005" i="1" a="1"/>
  <c r="E1836" i="1" a="1"/>
  <c r="E140" i="1" a="1"/>
  <c r="J767" i="1" a="1"/>
  <c r="J3751" i="1" a="1"/>
  <c r="E1143" i="1" a="1"/>
  <c r="J2419" i="1" a="1"/>
  <c r="J374" i="1" a="1"/>
  <c r="J2690" i="1" a="1"/>
  <c r="J1297" i="1" a="1"/>
  <c r="J1044" i="1" a="1"/>
  <c r="E104" i="1" a="1"/>
  <c r="E928" i="1" a="1"/>
  <c r="E785" i="1" a="1"/>
  <c r="E313" i="1" a="1"/>
  <c r="E2697" i="1" a="1"/>
  <c r="E2468" i="1" a="1"/>
  <c r="E407" i="1" a="1"/>
  <c r="J128" i="1" a="1"/>
  <c r="J1493" i="1" a="1"/>
  <c r="E1109" i="1" a="1"/>
  <c r="E2212" i="1" a="1"/>
  <c r="E899" i="1" a="1"/>
  <c r="E1607" i="1" a="1"/>
  <c r="J1746" i="1" a="1"/>
  <c r="J2118" i="1" a="1"/>
  <c r="E844" i="1" a="1"/>
  <c r="E4440" i="1" a="1"/>
  <c r="J1088" i="1" a="1"/>
  <c r="E2055" i="1" a="1"/>
  <c r="E1598" i="1" a="1"/>
  <c r="J2495" i="1" a="1"/>
  <c r="J1140" i="1" a="1"/>
  <c r="J2355" i="1" a="1"/>
  <c r="J1970" i="1" a="1"/>
  <c r="E525" i="1" a="1"/>
  <c r="E11" i="1" a="1"/>
  <c r="J653" i="1" a="1"/>
  <c r="J486" i="1" a="1"/>
  <c r="J1305" i="1" a="1"/>
  <c r="J379" i="1" a="1"/>
  <c r="J234" i="1" a="1"/>
  <c r="J1598" i="1" a="1"/>
  <c r="J2406" i="1" a="1"/>
  <c r="J2048" i="1" a="1"/>
  <c r="J1975" i="1" a="1"/>
  <c r="E3492" i="1" a="1"/>
  <c r="E950" i="1" a="1"/>
  <c r="E120" i="1" a="1"/>
  <c r="J4487" i="1" a="1"/>
  <c r="J2613" i="1" a="1"/>
  <c r="J184" i="1" a="1"/>
  <c r="J243" i="1" a="1"/>
  <c r="J1763" i="1" a="1"/>
  <c r="J1292" i="1" a="1"/>
  <c r="J563" i="1" a="1"/>
  <c r="E907" i="1" a="1"/>
  <c r="J11" i="1" a="1"/>
  <c r="J1110" i="1" a="1"/>
  <c r="J1548" i="1" a="1"/>
  <c r="J2522" i="1" a="1"/>
  <c r="J1282" i="1" a="1"/>
  <c r="E178" i="1" a="1"/>
  <c r="E956" i="1" a="1"/>
  <c r="E271" i="1" a="1"/>
  <c r="E374" i="1" a="1"/>
  <c r="J1004" i="1" a="1"/>
  <c r="E729" i="1" a="1"/>
  <c r="E2411" i="1" a="1"/>
  <c r="E1653" i="1" a="1"/>
  <c r="J48" i="1" a="1"/>
  <c r="J936" i="1" a="1"/>
  <c r="J1219" i="1" a="1"/>
  <c r="J430" i="1" a="1"/>
  <c r="E1427" i="1" a="1"/>
  <c r="J1194" i="1" a="1"/>
  <c r="J1121" i="1" a="1"/>
  <c r="J938" i="1" a="1"/>
  <c r="J1080" i="1" a="1"/>
  <c r="J1707" i="1" a="1"/>
  <c r="E1635" i="1" a="1"/>
  <c r="J448" i="1" a="1"/>
  <c r="J300" i="1" a="1"/>
  <c r="J1733" i="1" a="1"/>
  <c r="E201" i="1" a="1"/>
  <c r="J3161" i="1" a="1"/>
  <c r="J3036" i="1" a="1"/>
  <c r="E3552" i="1" a="1"/>
  <c r="E2496" i="1" a="1"/>
  <c r="E1700" i="1" a="1"/>
  <c r="E1739" i="1" a="1"/>
  <c r="E2451" i="1" a="1"/>
  <c r="E2900" i="1" a="1"/>
  <c r="E200" i="1" a="1"/>
  <c r="E1060" i="1" a="1"/>
  <c r="J2389" i="1" a="1"/>
  <c r="E457" i="1" a="1"/>
  <c r="E791" i="1" a="1"/>
  <c r="J1374" i="1" a="1"/>
  <c r="J1769" i="1" a="1"/>
  <c r="E5062" i="1" a="1"/>
  <c r="E50" i="1" a="1"/>
  <c r="J660" i="1" a="1"/>
  <c r="E2848" i="1" a="1"/>
  <c r="E581" i="1" a="1"/>
  <c r="E3423" i="1" a="1"/>
  <c r="E1408" i="1" a="1"/>
  <c r="J2791" i="1" a="1"/>
  <c r="E633" i="1" a="1"/>
  <c r="J864" i="1" a="1"/>
  <c r="E370" i="1" a="1"/>
  <c r="J518" i="1" a="1"/>
  <c r="E2956" i="1" a="1"/>
  <c r="J1453" i="1" a="1"/>
  <c r="E2208" i="1" a="1"/>
  <c r="J1543" i="1" a="1"/>
  <c r="J3886" i="1" a="1"/>
  <c r="E1344" i="1" a="1"/>
  <c r="J145" i="1" a="1"/>
  <c r="E1047" i="1" a="1"/>
  <c r="J574" i="1" a="1"/>
  <c r="J1460" i="1" a="1"/>
  <c r="J2574" i="1" a="1"/>
  <c r="E458" i="1" a="1"/>
  <c r="J1619" i="1" a="1"/>
  <c r="E26" i="1" a="1"/>
  <c r="J1323" i="1" a="1"/>
  <c r="J949" i="1" a="1"/>
  <c r="E2931" i="1" a="1"/>
  <c r="E234" i="1" a="1"/>
  <c r="J858" i="1" a="1"/>
  <c r="E1747" i="1" a="1"/>
  <c r="E1419" i="1" a="1"/>
  <c r="E425" i="1" a="1"/>
  <c r="J511" i="1" a="1"/>
  <c r="J450" i="1" a="1"/>
  <c r="J1198" i="1" a="1"/>
  <c r="J491" i="1" a="1"/>
  <c r="J100" i="1" a="1"/>
  <c r="J336" i="1" a="1"/>
  <c r="J781" i="1" a="1"/>
  <c r="E2596" i="1" a="1"/>
  <c r="J738" i="1" a="1"/>
  <c r="E4283" i="1" a="1"/>
  <c r="E2331" i="1" a="1"/>
  <c r="J223" i="1" a="1"/>
  <c r="E1714" i="1" a="1"/>
  <c r="E650" i="1" a="1"/>
  <c r="J570" i="1" a="1"/>
  <c r="E174" i="1" a="1"/>
  <c r="J868" i="1" a="1"/>
  <c r="J1780" i="1" a="1"/>
  <c r="E939" i="1" a="1"/>
  <c r="J977" i="1" a="1"/>
  <c r="J2057" i="1" a="1"/>
  <c r="J437" i="1" a="1"/>
  <c r="E406" i="1" a="1"/>
  <c r="E1788" i="1" a="1"/>
  <c r="E2094" i="1" a="1"/>
  <c r="J633" i="1" a="1"/>
  <c r="J332" i="1" a="1"/>
  <c r="E424" i="1" a="1"/>
  <c r="E869" i="1" a="1"/>
  <c r="E584" i="1" a="1"/>
  <c r="E25" i="1" a="1"/>
  <c r="J1359" i="1" a="1"/>
  <c r="J2280" i="1" a="1"/>
  <c r="E58" i="1" a="1"/>
  <c r="E2343" i="1" a="1"/>
  <c r="J505" i="1" a="1"/>
  <c r="J2855" i="1" a="1"/>
  <c r="E489" i="1" a="1"/>
  <c r="E960" i="1" a="1"/>
  <c r="E1067" i="1" a="1"/>
  <c r="E408" i="1" a="1"/>
  <c r="J306" i="1" a="1"/>
  <c r="E4070" i="1" a="1"/>
  <c r="J1442" i="1" a="1"/>
  <c r="E3806" i="1" a="1"/>
  <c r="E1597" i="1" a="1"/>
  <c r="J4759" i="1" a="1"/>
  <c r="J2684" i="1" a="1"/>
  <c r="J1801" i="1" a="1"/>
  <c r="E2116" i="1" a="1"/>
  <c r="E3916" i="1" a="1"/>
  <c r="E2546" i="1" a="1"/>
  <c r="E710" i="1" a="1"/>
  <c r="J721" i="1" a="1"/>
  <c r="E1364" i="1" a="1"/>
  <c r="E138" i="1" a="1"/>
  <c r="J2135" i="1" a="1"/>
  <c r="E2246" i="1" a="1"/>
  <c r="E1595" i="1" a="1"/>
  <c r="J342" i="1" a="1"/>
  <c r="E1847" i="1" a="1"/>
  <c r="E575" i="1" a="1"/>
  <c r="E2238" i="1" a="1"/>
  <c r="E1027" i="1" a="1"/>
  <c r="E954" i="1" a="1"/>
  <c r="E1213" i="1" a="1"/>
  <c r="J293" i="1" a="1"/>
  <c r="E1355" i="1" a="1"/>
  <c r="E254" i="1" a="1"/>
  <c r="E2227" i="1" a="1"/>
  <c r="E357" i="1" a="1"/>
  <c r="J1035" i="1" a="1"/>
  <c r="E2621" i="1" a="1"/>
  <c r="E2307" i="1" a="1"/>
  <c r="J902" i="1" a="1"/>
  <c r="E2199" i="1" a="1"/>
  <c r="E2087" i="1" a="1"/>
  <c r="J1854" i="1" a="1"/>
  <c r="E965" i="1" a="1"/>
  <c r="J723" i="1" a="1"/>
  <c r="E1887" i="1" a="1"/>
  <c r="J1961" i="1" a="1"/>
  <c r="E325" i="1" a="1"/>
  <c r="E952" i="1" a="1"/>
  <c r="J2836" i="1" a="1"/>
  <c r="J2185" i="1" a="1"/>
  <c r="E5" i="1" a="1"/>
  <c r="E688" i="1" a="1"/>
  <c r="J591" i="1" a="1"/>
  <c r="E805" i="1" a="1"/>
  <c r="J80" i="1" a="1"/>
  <c r="E1806" i="1" a="1"/>
  <c r="E646" i="1" a="1"/>
  <c r="E330" i="1" a="1"/>
  <c r="J49" i="1" a="1"/>
  <c r="J744" i="1" a="1"/>
  <c r="J3219" i="1" a="1"/>
  <c r="J476" i="1" a="1"/>
  <c r="J416" i="1" a="1"/>
  <c r="J2108" i="1" a="1"/>
  <c r="E599" i="1" a="1"/>
  <c r="J1005" i="1" a="1"/>
  <c r="E1421" i="1" a="1"/>
  <c r="E1089" i="1" a="1"/>
  <c r="E736" i="1" a="1"/>
  <c r="E1753" i="1" a="1"/>
  <c r="J188" i="1" a="1"/>
  <c r="E643" i="1" a="1"/>
  <c r="J1303" i="1" a="1"/>
  <c r="J815" i="1" a="1"/>
  <c r="J33" i="1" a="1"/>
  <c r="J140" i="1" a="1"/>
  <c r="J1291" i="1" a="1"/>
  <c r="J1331" i="1" a="1"/>
  <c r="E606" i="1" a="1"/>
  <c r="J99" i="1" a="1"/>
  <c r="E1977" i="1" a="1"/>
  <c r="J1580" i="1" a="1"/>
  <c r="J1040" i="1" a="1"/>
  <c r="J1730" i="1" a="1"/>
  <c r="J456" i="1" a="1"/>
  <c r="J908" i="1" a="1"/>
  <c r="E2188" i="1" a="1"/>
  <c r="J989" i="1" a="1"/>
  <c r="E1563" i="1" a="1"/>
  <c r="J290" i="1" a="1"/>
  <c r="E340" i="1" a="1"/>
  <c r="J3554" i="1" a="1"/>
  <c r="E456" i="1" a="1"/>
  <c r="J2809" i="1" a="1"/>
  <c r="J2378" i="1" a="1"/>
  <c r="J2301" i="1" a="1"/>
  <c r="J611" i="1" a="1"/>
  <c r="E796" i="1" a="1"/>
  <c r="E1028" i="1" a="1"/>
  <c r="J609" i="1" a="1"/>
  <c r="E1306" i="1" a="1"/>
  <c r="E595" i="1" a="1"/>
  <c r="E1680" i="1" a="1"/>
  <c r="J309" i="1" a="1"/>
  <c r="J769" i="1" a="1"/>
  <c r="E139" i="1" a="1"/>
  <c r="E677" i="1" a="1"/>
  <c r="J434" i="1" a="1"/>
  <c r="E3560" i="1" a="1"/>
  <c r="J183" i="1" a="1"/>
  <c r="E531" i="1" a="1"/>
  <c r="E337" i="1" a="1"/>
  <c r="J1887" i="1" a="1"/>
  <c r="J1491" i="1" a="1"/>
  <c r="E492" i="1" a="1"/>
  <c r="J601" i="1" a="1"/>
  <c r="J5914" i="1" a="1"/>
  <c r="J1290" i="1" a="1"/>
  <c r="J694" i="1" a="1"/>
  <c r="J1688" i="1" a="1"/>
  <c r="J2206" i="1" a="1"/>
  <c r="J1487" i="1" a="1"/>
  <c r="E113" i="1" a="1"/>
  <c r="E388" i="1" a="1"/>
  <c r="E2630" i="1" a="1"/>
  <c r="J1157" i="1" a="1"/>
  <c r="J121" i="1" a="1"/>
  <c r="E1335" i="1" a="1"/>
  <c r="J1383" i="1" a="1"/>
  <c r="J930" i="1" a="1"/>
  <c r="E841" i="1" a="1"/>
  <c r="J2797" i="1" a="1"/>
  <c r="J4405" i="1" a="1"/>
  <c r="E2111" i="1" a="1"/>
  <c r="J713" i="1" a="1"/>
  <c r="E1398" i="1" a="1"/>
  <c r="E1920" i="1" a="1"/>
  <c r="J597" i="1" a="1"/>
  <c r="J1492" i="1" a="1"/>
  <c r="E3429" i="1" a="1"/>
  <c r="E1805" i="1" a="1"/>
  <c r="E1454" i="1" a="1"/>
  <c r="J5878" i="1" a="1"/>
  <c r="J2311" i="1" a="1"/>
  <c r="J2317" i="1" a="1"/>
  <c r="J795" i="1" a="1"/>
  <c r="E858" i="1" a="1"/>
  <c r="E109" i="1" a="1"/>
  <c r="E1135" i="1" a="1"/>
  <c r="J477" i="1" a="1"/>
  <c r="J1045" i="1" a="1"/>
  <c r="J472" i="1" a="1"/>
  <c r="J149" i="1" a="1"/>
  <c r="J966" i="1" a="1"/>
  <c r="J2874" i="1" a="1"/>
  <c r="E566" i="1" a="1"/>
  <c r="E1888" i="1" a="1"/>
  <c r="E535" i="1" a="1"/>
  <c r="E663" i="1" a="1"/>
  <c r="E1545" i="1" a="1"/>
  <c r="J619" i="1" a="1"/>
  <c r="E626" i="1" a="1"/>
  <c r="E1071" i="1" a="1"/>
  <c r="J370" i="1" a="1"/>
  <c r="J383" i="1" a="1"/>
  <c r="E3554" i="1" a="1"/>
  <c r="E131" i="1" a="1"/>
  <c r="J1804" i="1" a="1"/>
  <c r="J321" i="1" a="1"/>
  <c r="E75" i="1" a="1"/>
  <c r="J547" i="1" a="1"/>
  <c r="J606" i="1" a="1"/>
  <c r="J546" i="1" a="1"/>
  <c r="J63" i="1" a="1"/>
  <c r="E429" i="1" a="1"/>
  <c r="E111" i="1" a="1"/>
  <c r="J3472" i="1" a="1"/>
  <c r="J762" i="1" a="1"/>
  <c r="J77" i="1" a="1"/>
  <c r="E1556" i="1" a="1"/>
  <c r="E150" i="1" a="1"/>
  <c r="E2202" i="1" a="1"/>
  <c r="E1543" i="1" a="1"/>
  <c r="J212" i="1" a="1"/>
  <c r="J616" i="1" a="1"/>
  <c r="J1086" i="1" a="1"/>
  <c r="E1505" i="1" a="1"/>
  <c r="J1190" i="1" a="1"/>
  <c r="E2165" i="1" a="1"/>
  <c r="E2463" i="1" a="1"/>
  <c r="E1705" i="1" a="1"/>
  <c r="E700" i="1" a="1"/>
  <c r="J2523" i="1" a="1"/>
  <c r="E547" i="1" a="1"/>
  <c r="J542" i="1" a="1"/>
  <c r="J593" i="1" a="1"/>
  <c r="E1549" i="1" a="1"/>
  <c r="E1021" i="1" a="1"/>
  <c r="J70" i="1" a="1"/>
  <c r="E1830" i="1" a="1"/>
  <c r="E1070" i="1" a="1"/>
  <c r="J2042" i="1" a="1"/>
  <c r="E397" i="1" a="1"/>
  <c r="J1189" i="1" a="1"/>
  <c r="U430" i="1" a="1"/>
  <c r="U417" i="1" a="1"/>
  <c r="E32" i="3"/>
  <c r="U21" i="1" a="1"/>
  <c r="U24" i="1" a="1"/>
  <c r="U216" i="1" a="1"/>
  <c r="E24" i="3"/>
  <c r="U11" i="1" a="1"/>
  <c r="U51" i="1" a="1"/>
  <c r="U108" i="1" a="1"/>
  <c r="U25" i="1" a="1"/>
  <c r="U345" i="1" a="1"/>
  <c r="U54" i="3"/>
  <c r="U34" i="1" a="1"/>
  <c r="U118" i="1" a="1"/>
  <c r="U30" i="1" a="1"/>
  <c r="U412" i="1" a="1"/>
  <c r="U115" i="1" a="1"/>
  <c r="U90" i="1" a="1"/>
  <c r="E48" i="3"/>
  <c r="U360" i="1" a="1"/>
  <c r="U363" i="1" a="1"/>
  <c r="U53" i="1" a="1"/>
  <c r="U125" i="1" a="1"/>
  <c r="U167" i="1" a="1"/>
  <c r="U120" i="1" a="1"/>
  <c r="U97" i="1" a="1"/>
  <c r="U106" i="1" a="1"/>
  <c r="U290" i="1" a="1"/>
  <c r="U61" i="3"/>
  <c r="U314" i="1" a="1"/>
  <c r="U337" i="1" a="1"/>
  <c r="U339" i="1" a="1"/>
  <c r="U422" i="1" a="1"/>
  <c r="U37" i="1" a="1"/>
  <c r="U267" i="1" a="1"/>
  <c r="U266" i="1" a="1"/>
  <c r="U87" i="1" a="1"/>
  <c r="E68" i="3"/>
  <c r="U272" i="1" a="1"/>
  <c r="U213" i="1" a="1"/>
  <c r="U387" i="1" a="1"/>
  <c r="E496" i="1" a="1"/>
  <c r="J2533" i="1" a="1"/>
  <c r="U326" i="1" a="1"/>
  <c r="U411" i="1" a="1"/>
  <c r="U242" i="1" a="1"/>
  <c r="E31" i="3"/>
  <c r="U150" i="1" a="1"/>
  <c r="U274" i="1" a="1"/>
  <c r="U123" i="1" a="1"/>
  <c r="U91" i="1" a="1"/>
  <c r="U435" i="1" a="1"/>
  <c r="U293" i="1" a="1"/>
  <c r="U246" i="1" a="1"/>
  <c r="U201" i="1" a="1"/>
  <c r="U156" i="1" a="1"/>
  <c r="U253" i="1" a="1"/>
  <c r="U291" i="1" a="1"/>
  <c r="U362" i="1" a="1"/>
  <c r="J2417" i="1" a="1"/>
  <c r="E67" i="3"/>
  <c r="U350" i="1" a="1"/>
  <c r="U371" i="1" a="1"/>
  <c r="U183" i="1" a="1"/>
  <c r="U432" i="1" a="1"/>
  <c r="E1801" i="1" a="1"/>
  <c r="J1095" i="1" a="1"/>
  <c r="E2142" i="1" a="1"/>
  <c r="E50" i="3"/>
  <c r="U17" i="1" a="1"/>
  <c r="E2181" i="1" a="1"/>
  <c r="E2391" i="1" a="1"/>
  <c r="J1722" i="1" a="1"/>
  <c r="E579" i="1" a="1"/>
  <c r="E1856" i="1" a="1"/>
  <c r="J927" i="1" a="1"/>
  <c r="E2359" i="1" a="1"/>
  <c r="J1028" i="1" a="1"/>
  <c r="E2817" i="1" a="1"/>
  <c r="E1252" i="1" a="1"/>
  <c r="E78" i="1" a="1"/>
  <c r="E742" i="1" a="1"/>
  <c r="J5336" i="1" a="1"/>
  <c r="E767" i="1" a="1"/>
  <c r="J1852" i="1" a="1"/>
  <c r="E102" i="1" a="1"/>
  <c r="E642" i="1" a="1"/>
  <c r="J241" i="1" a="1"/>
  <c r="J67" i="1" a="1"/>
  <c r="J2515" i="1" a="1"/>
  <c r="J523" i="1" a="1"/>
  <c r="J2395" i="1" a="1"/>
  <c r="J922" i="1" a="1"/>
  <c r="J1861" i="1" a="1"/>
  <c r="E556" i="1" a="1"/>
  <c r="E816" i="1" a="1"/>
  <c r="E1019" i="1" a="1"/>
  <c r="J824" i="1" a="1"/>
  <c r="J1341" i="1" a="1"/>
  <c r="J901" i="1" a="1"/>
  <c r="E803" i="1" a="1"/>
  <c r="E872" i="1" a="1"/>
  <c r="J816" i="1" a="1"/>
  <c r="E1186" i="1" a="1"/>
  <c r="J2285" i="1" a="1"/>
  <c r="E1758" i="1" a="1"/>
  <c r="J553" i="1" a="1"/>
  <c r="J515" i="1" a="1"/>
  <c r="J78" i="1" a="1"/>
  <c r="J822" i="1" a="1"/>
  <c r="J127" i="1" a="1"/>
  <c r="J1037" i="1" a="1"/>
  <c r="E1153" i="1" a="1"/>
  <c r="J384" i="1" a="1"/>
  <c r="E176" i="1" a="1"/>
  <c r="E632" i="1" a="1"/>
  <c r="E1320" i="1" a="1"/>
  <c r="J144" i="1" a="1"/>
  <c r="E1063" i="1" a="1"/>
  <c r="J1361" i="1" a="1"/>
  <c r="E2907" i="1" a="1"/>
  <c r="E761" i="1" a="1"/>
  <c r="E1139" i="1" a="1"/>
  <c r="J667" i="1" a="1"/>
  <c r="E394" i="1" a="1"/>
  <c r="E883" i="1" a="1"/>
  <c r="E569" i="1" a="1"/>
  <c r="E2347" i="1" a="1"/>
  <c r="E776" i="1" a="1"/>
  <c r="J120" i="1" a="1"/>
  <c r="J402" i="1" a="1"/>
  <c r="J928" i="1" a="1"/>
  <c r="E6" i="1" a="1"/>
  <c r="E364" i="1" a="1"/>
  <c r="U397" i="1" a="1"/>
  <c r="U389" i="1" a="1"/>
  <c r="U172" i="1" a="1"/>
  <c r="U332" i="1" a="1"/>
  <c r="U136" i="1" a="1"/>
  <c r="U8" i="1" a="1"/>
  <c r="E62" i="3"/>
  <c r="U438" i="1" a="1"/>
  <c r="U356" i="1" a="1"/>
  <c r="U328" i="1" a="1"/>
  <c r="U137" i="1" a="1"/>
  <c r="U56" i="1" a="1"/>
  <c r="E65" i="3"/>
  <c r="U98" i="1" a="1"/>
  <c r="U9" i="1" a="1"/>
  <c r="E53" i="3"/>
  <c r="U392" i="1" a="1"/>
  <c r="U260" i="1" a="1"/>
  <c r="U255" i="1" a="1"/>
  <c r="U344" i="1" a="1"/>
  <c r="E52" i="3"/>
  <c r="U415" i="1" a="1"/>
  <c r="U317" i="1" a="1"/>
  <c r="U182" i="1" a="1"/>
  <c r="E46" i="3"/>
  <c r="U46" i="1" a="1"/>
  <c r="U181" i="1" a="1"/>
  <c r="U258" i="1" a="1"/>
  <c r="U179" i="1" a="1"/>
  <c r="U287" i="1" a="1"/>
  <c r="U164" i="1" a="1"/>
  <c r="U147" i="1" a="1"/>
  <c r="U346" i="1" a="1"/>
  <c r="U243" i="1" a="1"/>
  <c r="U232" i="1" a="1"/>
  <c r="U77" i="1" a="1"/>
  <c r="U6" i="1" a="1"/>
  <c r="U173" i="1" a="1"/>
  <c r="U396" i="1" a="1"/>
  <c r="U361" i="1" a="1"/>
  <c r="U401" i="1" a="1"/>
  <c r="U385" i="1" a="1"/>
  <c r="U302" i="1" a="1"/>
  <c r="E46" i="1" a="1"/>
  <c r="E784" i="1" a="1"/>
  <c r="E1176" i="1" a="1"/>
  <c r="E911" i="1" a="1"/>
  <c r="J463" i="1" a="1"/>
  <c r="J246" i="1" a="1"/>
  <c r="J141" i="1" a="1"/>
  <c r="J4535" i="1" a="1"/>
  <c r="J1120" i="1" a="1"/>
  <c r="J114" i="1" a="1"/>
  <c r="E213" i="1" a="1"/>
  <c r="E350" i="1" a="1"/>
  <c r="J327" i="1" a="1"/>
  <c r="E1323" i="1" a="1"/>
  <c r="J684" i="1" a="1"/>
  <c r="J411" i="1" a="1"/>
  <c r="J3339" i="1" a="1"/>
  <c r="E611" i="1" a="1"/>
  <c r="E2780" i="1" a="1"/>
  <c r="E902" i="1" a="1"/>
  <c r="J1130" i="1" a="1"/>
  <c r="U338" i="1" a="1"/>
  <c r="U63" i="1" a="1"/>
  <c r="U399" i="1" a="1"/>
  <c r="U95" i="1" a="1"/>
  <c r="U214" i="1" a="1"/>
  <c r="U336" i="1" a="1"/>
  <c r="U261" i="1" a="1"/>
  <c r="U104" i="1" a="1"/>
  <c r="E12" i="3"/>
  <c r="U320" i="1" a="1"/>
  <c r="E1399" i="1" a="1"/>
  <c r="U69" i="1" a="1"/>
  <c r="U235" i="1" a="1"/>
  <c r="U395" i="1" a="1"/>
  <c r="U241" i="1" a="1"/>
  <c r="U135" i="1" a="1"/>
  <c r="U413" i="1" a="1"/>
  <c r="U146" i="1" a="1"/>
  <c r="J1413" i="1" a="1"/>
  <c r="J731" i="1" a="1"/>
  <c r="E728" i="1" a="1"/>
  <c r="J946" i="1" a="1"/>
  <c r="J230" i="1" a="1"/>
  <c r="J1556" i="1" a="1"/>
  <c r="J1585" i="1" a="1"/>
  <c r="U286" i="1" a="1"/>
  <c r="U4" i="1" a="1"/>
  <c r="U94" i="1" a="1"/>
  <c r="U383" i="1" a="1"/>
  <c r="U51" i="3"/>
  <c r="U36" i="1" a="1"/>
  <c r="E61" i="3"/>
  <c r="U100" i="1" a="1"/>
  <c r="E1968" i="1" a="1"/>
  <c r="E487" i="1" a="1"/>
  <c r="J4290" i="1" a="1"/>
  <c r="J961" i="1" a="1"/>
  <c r="J2579" i="1" a="1"/>
  <c r="J284" i="1" a="1"/>
  <c r="J112" i="1" a="1"/>
  <c r="J3748" i="1" a="1"/>
  <c r="J1213" i="1" a="1"/>
  <c r="J133" i="1" a="1"/>
  <c r="U316" i="1" a="1"/>
  <c r="U425" i="1" a="1"/>
  <c r="U249" i="1" a="1"/>
  <c r="U429" i="1" a="1"/>
  <c r="J4884" i="1" a="1"/>
  <c r="E3362" i="1" a="1"/>
  <c r="E2618" i="1" a="1"/>
  <c r="E935" i="1" a="1"/>
  <c r="J1800" i="1" a="1"/>
  <c r="J3753" i="1" a="1"/>
  <c r="E2267" i="1" a="1"/>
  <c r="E2562" i="1" a="1"/>
  <c r="J158" i="1" a="1"/>
  <c r="J1921" i="1" a="1"/>
  <c r="E5241" i="1" a="1"/>
  <c r="J743" i="1" a="1"/>
  <c r="J1156" i="1" a="1"/>
  <c r="E1311" i="1" a="1"/>
  <c r="E986" i="1" a="1"/>
  <c r="E1514" i="1" a="1"/>
  <c r="E2266" i="1" a="1"/>
  <c r="E1050" i="1" a="1"/>
  <c r="J2850" i="1" a="1"/>
  <c r="J1477" i="1" a="1"/>
  <c r="E182" i="1" a="1"/>
  <c r="J2607" i="1" a="1"/>
  <c r="E1166" i="1" a="1"/>
  <c r="E2375" i="1" a="1"/>
  <c r="E1488" i="1" a="1"/>
  <c r="E559" i="1" a="1"/>
  <c r="J1451" i="1" a="1"/>
  <c r="J1283" i="1" a="1"/>
  <c r="J1344" i="1" a="1"/>
  <c r="E2260" i="1" a="1"/>
  <c r="J2672" i="1" a="1"/>
  <c r="J1107" i="1" a="1"/>
  <c r="E13" i="1" a="1"/>
  <c r="E471" i="1" a="1"/>
  <c r="E151" i="1" a="1"/>
  <c r="E702" i="1" a="1"/>
  <c r="E3" i="1" a="1"/>
  <c r="E23" i="1" a="1"/>
  <c r="J753" i="1" a="1"/>
  <c r="J14" i="1" a="1"/>
  <c r="E1121" i="1" a="1"/>
  <c r="E130" i="1" a="1"/>
  <c r="E5224" i="1" a="1"/>
  <c r="J97" i="1" a="1"/>
  <c r="J2758" i="1" a="1"/>
  <c r="E685" i="1" a="1"/>
  <c r="J1165" i="1" a="1"/>
  <c r="E3561" i="1" a="1"/>
  <c r="E1315" i="1" a="1"/>
  <c r="J219" i="1" a="1"/>
  <c r="J655" i="1" a="1"/>
  <c r="J405" i="1" a="1"/>
  <c r="J1203" i="1" a="1"/>
  <c r="E1043" i="1" a="1"/>
  <c r="E3263" i="1" a="1"/>
  <c r="J1010" i="1" a="1"/>
  <c r="E188" i="1" a="1"/>
  <c r="J820" i="1" a="1"/>
  <c r="J424" i="1" a="1"/>
  <c r="E208" i="1" a="1"/>
  <c r="E459" i="1" a="1"/>
  <c r="J559" i="1" a="1"/>
  <c r="E1890" i="1" a="1"/>
  <c r="E377" i="1" a="1"/>
  <c r="E54" i="3"/>
  <c r="U327" i="1" a="1"/>
  <c r="U105" i="1" a="1"/>
  <c r="U265" i="1" a="1"/>
  <c r="U419" i="1" a="1"/>
  <c r="U92" i="1" a="1"/>
  <c r="U439" i="1" a="1"/>
  <c r="U204" i="1" a="1"/>
  <c r="U343" i="1" a="1"/>
  <c r="U195" i="1" a="1"/>
  <c r="E10" i="3"/>
  <c r="U169" i="1" a="1"/>
  <c r="U423" i="1" a="1"/>
  <c r="U437" i="1" a="1"/>
  <c r="E26" i="3"/>
  <c r="U29" i="1" a="1"/>
  <c r="U199" i="1" a="1"/>
  <c r="U259" i="1" a="1"/>
  <c r="U315" i="1" a="1"/>
  <c r="U103" i="1" a="1"/>
  <c r="U250" i="1" a="1"/>
  <c r="U334" i="1" a="1"/>
  <c r="U403" i="1" a="1"/>
  <c r="U177" i="1" a="1"/>
  <c r="U42" i="1" a="1"/>
  <c r="U26" i="1" a="1"/>
  <c r="U193" i="1" a="1"/>
  <c r="U175" i="1" a="1"/>
  <c r="E20" i="3"/>
  <c r="U368" i="1" a="1"/>
  <c r="U238" i="1" a="1"/>
  <c r="U357" i="1" a="1"/>
  <c r="U74" i="1" a="1"/>
  <c r="U384" i="1" a="1"/>
  <c r="U96" i="1" a="1"/>
  <c r="E19" i="3"/>
  <c r="U330" i="1" a="1"/>
  <c r="U2" i="1" a="1"/>
  <c r="U178" i="1" a="1"/>
  <c r="U200" i="1" a="1"/>
  <c r="U50" i="3"/>
  <c r="J6" i="1" a="1"/>
  <c r="J74" i="1" a="1"/>
  <c r="J3831" i="1" a="1"/>
  <c r="J217" i="1" a="1"/>
  <c r="J2218" i="1" a="1"/>
  <c r="J40" i="1" a="1"/>
  <c r="E1088" i="1" a="1"/>
  <c r="E1709" i="1" a="1"/>
  <c r="E30" i="1" a="1"/>
  <c r="J116" i="1" a="1"/>
  <c r="E279" i="1" a="1"/>
  <c r="E100" i="1" a="1"/>
  <c r="E133" i="1" a="1"/>
  <c r="J478" i="1" a="1"/>
  <c r="J171" i="1" a="1"/>
  <c r="J1139" i="1" a="1"/>
  <c r="J25" i="1" a="1"/>
  <c r="J182" i="1" a="1"/>
  <c r="J862" i="1" a="1"/>
  <c r="J645" i="1" a="1"/>
  <c r="J1647" i="1" a="1"/>
  <c r="J86" i="1" a="1"/>
  <c r="J406" i="1" a="1"/>
  <c r="J410" i="1" a="1"/>
  <c r="U280" i="1" a="1"/>
  <c r="U170" i="1" a="1"/>
  <c r="U390" i="1" a="1"/>
  <c r="U107" i="1" a="1"/>
  <c r="U45" i="1" a="1"/>
  <c r="U398" i="1" a="1"/>
  <c r="U32" i="1" a="1"/>
  <c r="U49" i="1" a="1"/>
  <c r="U55" i="1" a="1"/>
  <c r="E66" i="3"/>
  <c r="U352" i="1" a="1"/>
  <c r="U212" i="1" a="1"/>
  <c r="U154" i="1" a="1"/>
  <c r="U208" i="1" a="1"/>
  <c r="U145" i="1" a="1"/>
  <c r="E25" i="3"/>
  <c r="J528" i="1" a="1"/>
  <c r="U225" i="1" a="1"/>
  <c r="U233" i="1" a="1"/>
  <c r="U434" i="1" a="1"/>
  <c r="U5" i="1" a="1"/>
  <c r="U161" i="1" a="1"/>
  <c r="U270" i="1" a="1"/>
  <c r="U130" i="1" a="1"/>
  <c r="U88" i="1" a="1"/>
  <c r="U379" i="1" a="1"/>
  <c r="E8" i="3"/>
  <c r="E1763" i="1" a="1"/>
  <c r="E896" i="1" a="1"/>
  <c r="E3546" i="1" a="1"/>
  <c r="E355" i="1" a="1"/>
  <c r="E2058" i="1" a="1"/>
  <c r="E2163" i="1" a="1"/>
  <c r="E3647" i="1" a="1"/>
  <c r="E1223" i="1" a="1"/>
  <c r="J1985" i="1" a="1"/>
  <c r="J205" i="1" a="1"/>
  <c r="U114" i="1" a="1"/>
  <c r="U322" i="1" a="1"/>
  <c r="U43" i="1" a="1"/>
  <c r="U159" i="1" a="1"/>
  <c r="J2103" i="1" a="1"/>
  <c r="E1827" i="1" a="1"/>
  <c r="E204" i="1" a="1"/>
  <c r="E2792" i="1" a="1"/>
  <c r="E127" i="1" a="1"/>
  <c r="E2934" i="1" a="1"/>
  <c r="E347" i="1" a="1"/>
  <c r="J3706" i="1" a="1"/>
  <c r="E647" i="1" a="1"/>
  <c r="E272" i="1" a="1"/>
  <c r="E1040" i="1" a="1"/>
  <c r="J482" i="1" a="1"/>
  <c r="E173" i="1" a="1"/>
  <c r="U64" i="1" a="1"/>
  <c r="U66" i="1" a="1"/>
  <c r="U133" i="1" a="1"/>
  <c r="U391" i="1" a="1"/>
  <c r="U273" i="1" a="1"/>
  <c r="U237" i="1" a="1"/>
  <c r="U57" i="1" a="1"/>
  <c r="J2901" i="1" a="1"/>
  <c r="E3087" i="1" a="1"/>
  <c r="E253" i="1" a="1"/>
  <c r="E136" i="1" a="1"/>
  <c r="E1455" i="1" a="1"/>
  <c r="J690" i="1" a="1"/>
  <c r="J2988" i="1" a="1"/>
  <c r="J1760" i="1" a="1"/>
  <c r="J3301" i="1" a="1"/>
  <c r="E2373" i="1" a="1"/>
  <c r="J2780" i="1" a="1"/>
  <c r="E263" i="1" a="1"/>
  <c r="J2422" i="1" a="1"/>
  <c r="J2493" i="1" a="1"/>
  <c r="J1346" i="1" a="1"/>
  <c r="E2265" i="1" a="1"/>
  <c r="E301" i="1" a="1"/>
  <c r="J3133" i="1" a="1"/>
  <c r="E2538" i="1" a="1"/>
  <c r="J3067" i="1" a="1"/>
  <c r="E2182" i="1" a="1"/>
  <c r="J1222" i="1" a="1"/>
  <c r="E2237" i="1" a="1"/>
  <c r="E560" i="1" a="1"/>
  <c r="J502" i="1" a="1"/>
  <c r="J1621" i="1" a="1"/>
  <c r="E1004" i="1" a="1"/>
  <c r="J4379" i="1" a="1"/>
  <c r="E1386" i="1" a="1"/>
  <c r="J2221" i="1" a="1"/>
  <c r="J265" i="1" a="1"/>
  <c r="J2000" i="1" a="1"/>
  <c r="E167" i="1" a="1"/>
  <c r="E2156" i="1" a="1"/>
  <c r="E116" i="1" a="1"/>
  <c r="E758" i="1" a="1"/>
  <c r="J2969" i="1" a="1"/>
  <c r="J1855" i="1" a="1"/>
  <c r="J1935" i="1" a="1"/>
  <c r="E2236" i="1" a="1"/>
  <c r="E908" i="1" a="1"/>
  <c r="E1222" i="1" a="1"/>
  <c r="E2320" i="1" a="1"/>
  <c r="E1511" i="1" a="1"/>
  <c r="J1403" i="1" a="1"/>
  <c r="J1271" i="1" a="1"/>
  <c r="J1307" i="1" a="1"/>
  <c r="J2029" i="1" a="1"/>
  <c r="J1989" i="1" a="1"/>
  <c r="J1645" i="1" a="1"/>
  <c r="J261" i="1" a="1"/>
  <c r="J575" i="1" a="1"/>
  <c r="E2205" i="1" a="1"/>
  <c r="J170" i="1" a="1"/>
  <c r="J175" i="1" a="1"/>
  <c r="E995" i="1" a="1"/>
  <c r="E1154" i="1" a="1"/>
  <c r="J1732" i="1" a="1"/>
  <c r="J1789" i="1" a="1"/>
  <c r="J1395" i="1" a="1"/>
  <c r="E324" i="1" a="1"/>
  <c r="J153" i="1" a="1"/>
  <c r="E1098" i="1" a="1"/>
  <c r="J784" i="1" a="1"/>
  <c r="E1515" i="1" a="1"/>
  <c r="J1298" i="1" a="1"/>
  <c r="J2759" i="1" a="1"/>
  <c r="E2072" i="1" a="1"/>
  <c r="E567" i="1" a="1"/>
  <c r="E125" i="1" a="1"/>
  <c r="J777" i="1" a="1"/>
  <c r="J1053" i="1" a="1"/>
  <c r="J55" i="1" a="1"/>
  <c r="J308" i="1" a="1"/>
  <c r="E1569" i="1" a="1"/>
  <c r="E160" i="1" a="1"/>
  <c r="J2697" i="1" a="1"/>
  <c r="E51" i="1" a="1"/>
  <c r="J3501" i="1" a="1"/>
  <c r="J399" i="1" a="1"/>
  <c r="J2497" i="1" a="1"/>
  <c r="U40" i="1" a="1"/>
  <c r="U394" i="1" a="1"/>
  <c r="U22" i="1" a="1"/>
  <c r="U15" i="1" a="1"/>
  <c r="U373" i="1" a="1"/>
  <c r="E16" i="3"/>
  <c r="U132" i="1" a="1"/>
  <c r="U67" i="1" a="1"/>
  <c r="U408" i="1" a="1"/>
  <c r="U140" i="1" a="1"/>
  <c r="U263" i="1" a="1"/>
  <c r="U426" i="1" a="1"/>
  <c r="U388" i="1" a="1"/>
  <c r="U230" i="1" a="1"/>
  <c r="U205" i="1" a="1"/>
  <c r="U116" i="1" a="1"/>
  <c r="U239" i="1" a="1"/>
  <c r="E41" i="3"/>
  <c r="U226" i="1" a="1"/>
  <c r="E49" i="3"/>
  <c r="U14" i="1" a="1"/>
  <c r="U271" i="1" a="1"/>
  <c r="U41" i="1" a="1"/>
  <c r="E51" i="3"/>
  <c r="U3" i="1" a="1"/>
  <c r="U348" i="1" a="1"/>
  <c r="U134" i="1" a="1"/>
  <c r="U131" i="1" a="1"/>
  <c r="U400" i="1" a="1"/>
  <c r="E42" i="3"/>
  <c r="U79" i="1" a="1"/>
  <c r="U203" i="1" a="1"/>
  <c r="U224" i="1" a="1"/>
  <c r="U7" i="1" a="1"/>
  <c r="U158" i="1" a="1"/>
  <c r="U189" i="1" a="1"/>
  <c r="U12" i="1" a="1"/>
  <c r="E17" i="3"/>
  <c r="U351" i="1" a="1"/>
  <c r="U354" i="1" a="1"/>
  <c r="U101" i="1" a="1"/>
  <c r="U329" i="1" a="1"/>
  <c r="U245" i="1" a="1"/>
  <c r="J466" i="1" a="1"/>
  <c r="E362" i="1" a="1"/>
  <c r="E931" i="1" a="1"/>
  <c r="E3360" i="1" a="1"/>
  <c r="J1255" i="1" a="1"/>
  <c r="E1274" i="1" a="1"/>
  <c r="E618" i="1" a="1"/>
  <c r="E589" i="1" a="1"/>
  <c r="E229" i="1" a="1"/>
  <c r="E225" i="1" a="1"/>
  <c r="J425" i="1" a="1"/>
  <c r="E592" i="1" a="1"/>
  <c r="E2289" i="1" a="1"/>
  <c r="E161" i="1" a="1"/>
  <c r="E1299" i="1" a="1"/>
  <c r="E1265" i="1" a="1"/>
  <c r="E27" i="3"/>
  <c r="E55" i="3"/>
  <c r="U139" i="1" a="1"/>
  <c r="U297" i="1" a="1"/>
  <c r="U402" i="1" a="1"/>
  <c r="E587" i="1" a="1"/>
  <c r="E2500" i="1" a="1"/>
  <c r="J2996" i="1" a="1"/>
  <c r="E1065" i="1" a="1"/>
  <c r="E110" i="1" a="1"/>
  <c r="E1692" i="1" a="1"/>
  <c r="E3399" i="1" a="1"/>
  <c r="J1782" i="1" a="1"/>
  <c r="U165" i="1" a="1"/>
  <c r="J3104" i="1" a="1"/>
  <c r="J1038" i="1" a="1"/>
  <c r="J154" i="1" a="1"/>
  <c r="J318" i="1" a="1"/>
  <c r="E1249" i="1" a="1"/>
  <c r="E953" i="1" a="1"/>
  <c r="J698" i="1" a="1"/>
  <c r="U194" i="1" a="1"/>
  <c r="U431" i="1" a="1"/>
  <c r="U433" i="1" a="1"/>
  <c r="U277" i="1" a="1"/>
  <c r="U355" i="1" a="1"/>
  <c r="U78" i="1" a="1"/>
  <c r="U171" i="1" a="1"/>
  <c r="E2327" i="1" a="1"/>
  <c r="J2448" i="1" a="1"/>
  <c r="E603" i="1" a="1"/>
  <c r="J1920" i="1" a="1"/>
  <c r="E2393" i="1" a="1"/>
  <c r="J764" i="1" a="1"/>
  <c r="J680" i="1" a="1"/>
  <c r="E339" i="1" a="1"/>
  <c r="J1766" i="1" a="1"/>
  <c r="E2777" i="1" a="1"/>
  <c r="E834" i="1" a="1"/>
  <c r="E1613" i="1" a="1"/>
  <c r="E129" i="1" a="1"/>
  <c r="E437" i="1" a="1"/>
  <c r="E159" i="1" a="1"/>
  <c r="E273" i="1" a="1"/>
  <c r="E3460" i="1" a="1"/>
  <c r="J470" i="1" a="1"/>
  <c r="E1157" i="1" a="1"/>
  <c r="E573" i="1" a="1"/>
  <c r="E1333" i="1" a="1"/>
  <c r="E1637" i="1" a="1"/>
  <c r="E1031" i="1" a="1"/>
  <c r="E757" i="1" a="1"/>
  <c r="J393" i="1" a="1"/>
  <c r="J964" i="1" a="1"/>
  <c r="E1447" i="1" a="1"/>
  <c r="E1262" i="1" a="1"/>
  <c r="J387" i="1" a="1"/>
  <c r="E988" i="1" a="1"/>
  <c r="E2480" i="1" a="1"/>
  <c r="J457" i="1" a="1"/>
  <c r="E433" i="1" a="1"/>
  <c r="J167" i="1" a="1"/>
  <c r="E689" i="1" a="1"/>
  <c r="E149" i="1" a="1"/>
  <c r="E955" i="1" a="1"/>
  <c r="J1900" i="1" a="1"/>
  <c r="E505" i="1" a="1"/>
  <c r="E1754" i="1" a="1"/>
  <c r="E7" i="3"/>
  <c r="J2132" i="1" a="1"/>
  <c r="E926" i="1" a="1"/>
  <c r="J889" i="1" a="1"/>
  <c r="E45" i="1" a="1"/>
  <c r="E735" i="1" a="1"/>
  <c r="E2604" i="1" a="1"/>
  <c r="J598" i="1" a="1"/>
  <c r="E1221" i="1" a="1"/>
  <c r="J3338" i="1" a="1"/>
  <c r="J2321" i="1" a="1"/>
  <c r="J302" i="1" a="1"/>
  <c r="E1627" i="1" a="1"/>
  <c r="E958" i="1" a="1"/>
  <c r="J2938" i="1" a="1"/>
  <c r="J1185" i="1" a="1"/>
  <c r="J626" i="1" a="1"/>
  <c r="E124" i="1" a="1"/>
  <c r="E2277" i="1" a="1"/>
  <c r="E1210" i="1" a="1"/>
  <c r="J576" i="1" a="1"/>
  <c r="J435" i="1" a="1"/>
  <c r="E977" i="1" a="1"/>
  <c r="E360" i="1" a="1"/>
  <c r="U192" i="1" a="1"/>
  <c r="U393" i="1" a="1"/>
  <c r="U160" i="1" a="1"/>
  <c r="U60" i="1" a="1"/>
  <c r="U440" i="1" a="1"/>
  <c r="U285" i="1" a="1"/>
  <c r="U252" i="1" a="1"/>
  <c r="U365" i="1" a="1"/>
  <c r="U102" i="1" a="1"/>
  <c r="U142" i="1" a="1"/>
  <c r="U257" i="1" a="1"/>
  <c r="U240" i="1" a="1"/>
  <c r="E57" i="3"/>
  <c r="U229" i="1" a="1"/>
  <c r="U256" i="1" a="1"/>
  <c r="U219" i="1" a="1"/>
  <c r="U275" i="1" a="1"/>
  <c r="U157" i="1" a="1"/>
  <c r="U335" i="1" a="1"/>
  <c r="U162" i="1" a="1"/>
  <c r="U377" i="1" a="1"/>
  <c r="U112" i="1" a="1"/>
  <c r="U312" i="1" a="1"/>
  <c r="U372" i="1" a="1"/>
  <c r="E45" i="3"/>
  <c r="U111" i="1" a="1"/>
  <c r="U321" i="1" a="1"/>
  <c r="U174" i="1" a="1"/>
  <c r="U319" i="1" a="1"/>
  <c r="U251" i="1" a="1"/>
  <c r="U155" i="1" a="1"/>
  <c r="U71" i="1" a="1"/>
  <c r="U65" i="1" a="1"/>
  <c r="U122" i="1" a="1"/>
  <c r="U247" i="1" a="1"/>
  <c r="U406" i="1" a="1"/>
  <c r="U418" i="1" a="1"/>
  <c r="U50" i="1" a="1"/>
  <c r="E60" i="3"/>
  <c r="U113" i="1" a="1"/>
  <c r="U28" i="1" a="1"/>
  <c r="U223" i="1" a="1"/>
  <c r="U121" i="1" a="1"/>
  <c r="U349" i="1" a="1"/>
  <c r="E3652" i="1" a="1"/>
  <c r="E3441" i="1" a="1"/>
  <c r="J4548" i="1" a="1"/>
  <c r="E523" i="1" a="1"/>
  <c r="J2106" i="1" a="1"/>
  <c r="E651" i="1" a="1"/>
  <c r="J2075" i="1" a="1"/>
  <c r="J683" i="1" a="1"/>
  <c r="J2730" i="1" a="1"/>
  <c r="J1025" i="1" a="1"/>
  <c r="U127" i="1" a="1"/>
  <c r="U83" i="1" a="1"/>
  <c r="U196" i="1" a="1"/>
  <c r="E3239" i="1" a="1"/>
  <c r="J1364" i="1" a="1"/>
  <c r="J1311" i="1" a="1"/>
  <c r="E220" i="1" a="1"/>
  <c r="J2430" i="1" a="1"/>
  <c r="E294" i="1" a="1"/>
  <c r="U33" i="1" a="1"/>
  <c r="U44" i="1" a="1"/>
  <c r="U436" i="1" a="1"/>
  <c r="U187" i="1" a="1"/>
  <c r="U128" i="1" a="1"/>
  <c r="U99" i="1" a="1"/>
  <c r="U124" i="1" a="1"/>
  <c r="U153" i="1" a="1"/>
  <c r="J2305" i="1" a="1"/>
  <c r="E2281" i="1" a="1"/>
  <c r="E3675" i="1" a="1"/>
  <c r="J179" i="1" a="1"/>
  <c r="J247" i="1" a="1"/>
  <c r="J1312" i="1" a="1"/>
  <c r="E257" i="1" a="1"/>
  <c r="E2915" i="1" a="1"/>
  <c r="J1243" i="1" a="1"/>
  <c r="E9" i="3"/>
  <c r="U163" i="1" a="1"/>
  <c r="U168" i="1" a="1"/>
  <c r="U264" i="1" a="1"/>
  <c r="E2173" i="1" a="1"/>
  <c r="J3232" i="1" a="1"/>
  <c r="J4" i="1" a="1"/>
  <c r="E2358" i="1" a="1"/>
  <c r="E2398" i="1" a="1"/>
  <c r="E1118" i="1" a="1"/>
  <c r="E2323" i="1" a="1"/>
  <c r="J903" i="1" a="1"/>
  <c r="E3077" i="1" a="1"/>
  <c r="J427" i="1" a="1"/>
  <c r="E898" i="1" a="1"/>
  <c r="E134" i="1" a="1"/>
  <c r="E498" i="1" a="1"/>
  <c r="E284" i="1" a="1"/>
  <c r="E280" i="1" a="1"/>
  <c r="E1115" i="1" a="1"/>
  <c r="E2448" i="1" a="1"/>
  <c r="E404" i="1" a="1"/>
  <c r="E170" i="1" a="1"/>
  <c r="J180" i="1" a="1"/>
  <c r="J221" i="1" a="1"/>
  <c r="J32" i="1" a="1"/>
  <c r="J3327" i="1" a="1"/>
  <c r="E37" i="1" a="1"/>
  <c r="E1338" i="1" a="1"/>
  <c r="E3542" i="1" a="1"/>
  <c r="E421" i="1" a="1"/>
  <c r="J299" i="1" a="1"/>
  <c r="J613" i="1" a="1"/>
  <c r="E274" i="1" a="1"/>
  <c r="J1462" i="1" a="1"/>
  <c r="J2065" i="1" a="1"/>
  <c r="E1046" i="1" a="1"/>
  <c r="J350" i="1" a="1"/>
  <c r="E2340" i="1" a="1"/>
  <c r="J939" i="1" a="1"/>
  <c r="J1098" i="1" a="1"/>
  <c r="J2483" i="1" a="1"/>
  <c r="E363" i="1" a="1"/>
  <c r="J748" i="1" a="1"/>
  <c r="E968" i="1" a="1"/>
  <c r="J1938" i="1" a="1"/>
  <c r="J187" i="1" a="1"/>
  <c r="E4032" i="1" a="1"/>
  <c r="J298" i="1" a="1"/>
  <c r="E530" i="1" a="1"/>
  <c r="E291" i="1" a="1"/>
  <c r="E924" i="1" a="1"/>
  <c r="J791" i="1" a="1"/>
  <c r="E1452" i="1" a="1"/>
  <c r="J18" i="1" a="1"/>
  <c r="J65" i="1" a="1"/>
  <c r="E349" i="1" a="1"/>
  <c r="J1490" i="1" a="1"/>
  <c r="J2258" i="1" a="1"/>
  <c r="J490" i="1" a="1"/>
  <c r="E241" i="1" a="1"/>
  <c r="E1523" i="1" a="1"/>
  <c r="J917" i="1" a="1"/>
  <c r="J1225" i="1" a="1"/>
  <c r="J907" i="1" a="1"/>
  <c r="J2025" i="1" a="1"/>
  <c r="J311" i="1" a="1"/>
  <c r="U248" i="1" a="1"/>
  <c r="E21" i="3"/>
  <c r="U110" i="1" a="1"/>
  <c r="U358" i="1" a="1"/>
  <c r="U141" i="1" a="1"/>
  <c r="U382" i="1" a="1"/>
  <c r="U244" i="1" a="1"/>
  <c r="U198" i="1" a="1"/>
  <c r="E18" i="3"/>
  <c r="U369" i="1" a="1"/>
  <c r="U16" i="1" a="1"/>
  <c r="E11" i="3"/>
  <c r="U278" i="1" a="1"/>
  <c r="U209" i="1" a="1"/>
  <c r="U207" i="1" a="1"/>
  <c r="U149" i="1" a="1"/>
  <c r="U52" i="3"/>
  <c r="E28" i="3"/>
  <c r="U81" i="1" a="1"/>
  <c r="U211" i="1" a="1"/>
  <c r="U376" i="1" a="1"/>
  <c r="U54" i="1" a="1"/>
  <c r="U295" i="1" a="1"/>
  <c r="U185" i="1" a="1"/>
  <c r="U52" i="1" a="1"/>
  <c r="U283" i="1" a="1"/>
  <c r="U353" i="1" a="1"/>
  <c r="U309" i="1" a="1"/>
  <c r="U304" i="1" a="1"/>
  <c r="U215" i="1" a="1"/>
  <c r="U82" i="1" a="1"/>
  <c r="U117" i="1" a="1"/>
  <c r="U420" i="1" a="1"/>
  <c r="U176" i="1" a="1"/>
  <c r="U221" i="1" a="1"/>
  <c r="U284" i="1" a="1"/>
  <c r="U10" i="1" a="1"/>
  <c r="E786" i="1" a="1"/>
  <c r="E348" i="1" a="1"/>
  <c r="E661" i="1" a="1"/>
  <c r="J1483" i="1" a="1"/>
  <c r="J148" i="1" a="1"/>
  <c r="J281" i="1" a="1"/>
  <c r="E1745" i="1" a="1"/>
  <c r="E4" i="1" a="1"/>
  <c r="J1600" i="1" a="1"/>
  <c r="J550" i="1" a="1"/>
  <c r="J275" i="1" a="1"/>
  <c r="U364" i="1" a="1"/>
  <c r="U143" i="1" a="1"/>
  <c r="U18" i="1" a="1"/>
  <c r="E447" i="1" a="1"/>
  <c r="E671" i="1" a="1"/>
  <c r="E1810" i="1" a="1"/>
  <c r="E282" i="1" a="1"/>
  <c r="E94" i="1" a="1"/>
  <c r="E2600" i="1" a="1"/>
  <c r="J612" i="1" a="1"/>
  <c r="U72" i="1" a="1"/>
  <c r="U126" i="1" a="1"/>
  <c r="U53" i="3"/>
  <c r="U333" i="1" a="1"/>
  <c r="U234" i="1" a="1"/>
  <c r="E1049" i="1" a="1"/>
  <c r="J841" i="1" a="1"/>
  <c r="E96" i="1" a="1"/>
  <c r="J1264" i="1" a="1"/>
  <c r="E266" i="1" a="1"/>
  <c r="J1242" i="1" a="1"/>
  <c r="E14" i="1" a="1"/>
  <c r="U254" i="1" a="1"/>
  <c r="U236" i="1" a="1"/>
  <c r="U197" i="1" a="1"/>
  <c r="U138" i="1" a="1"/>
  <c r="U231" i="1" a="1"/>
  <c r="U184" i="1" a="1"/>
  <c r="J2371" i="1" a="1"/>
  <c r="E2505" i="1" a="1"/>
  <c r="J2145" i="1" a="1"/>
  <c r="J1234" i="1" a="1"/>
  <c r="E380" i="1" a="1"/>
  <c r="J3354" i="1" a="1"/>
  <c r="E2250" i="1" a="1"/>
  <c r="E934" i="1" a="1"/>
  <c r="J3099" i="1" a="1"/>
  <c r="J1845" i="1" a="1"/>
  <c r="E1826" i="1" a="1"/>
  <c r="E740" i="1" a="1"/>
  <c r="J1060" i="1" a="1"/>
  <c r="J507" i="1" a="1"/>
  <c r="J2195" i="1" a="1"/>
  <c r="E323" i="1" a="1"/>
  <c r="J2546" i="1" a="1"/>
  <c r="J1667" i="1" a="1"/>
  <c r="E2136" i="1" a="1"/>
  <c r="J426" i="1" a="1"/>
  <c r="J618" i="1" a="1"/>
  <c r="E155" i="1" a="1"/>
  <c r="J155" i="1" a="1"/>
  <c r="E1331" i="1" a="1"/>
  <c r="J1720" i="1" a="1"/>
  <c r="J1246" i="1" a="1"/>
  <c r="E2179" i="1" a="1"/>
  <c r="E181" i="1" a="1"/>
  <c r="E22" i="1" a="1"/>
  <c r="J1486" i="1" a="1"/>
  <c r="J495" i="1" a="1"/>
  <c r="J1958" i="1" a="1"/>
  <c r="E703" i="1" a="1"/>
  <c r="E332" i="1" a="1"/>
  <c r="E444" i="1" a="1"/>
  <c r="J163" i="1" a="1"/>
  <c r="J368" i="1" a="1"/>
  <c r="J2576" i="1" a="1"/>
  <c r="J1932" i="1" a="1"/>
  <c r="E1285" i="1" a="1"/>
  <c r="J1385" i="1" a="1"/>
  <c r="J454" i="1" a="1"/>
  <c r="E465" i="1" a="1"/>
  <c r="E1356" i="1" a="1"/>
  <c r="E2954" i="1" a="1"/>
  <c r="E1764" i="1" a="1"/>
  <c r="E586" i="1" a="1"/>
  <c r="E528" i="1" a="1"/>
  <c r="E493" i="1" a="1"/>
  <c r="E224" i="1" a="1"/>
  <c r="J742" i="1" a="1"/>
  <c r="J875" i="1" a="1"/>
  <c r="J522" i="1" a="1"/>
  <c r="E544" i="1" a="1"/>
  <c r="E1080" i="1" a="1"/>
  <c r="J233" i="1" a="1"/>
  <c r="E203" i="1" a="1"/>
  <c r="E70" i="1" a="1"/>
  <c r="J1082" i="1" a="1"/>
  <c r="E839" i="1" a="1"/>
  <c r="E1107" i="1" a="1"/>
  <c r="J780" i="1" a="1"/>
  <c r="J152" i="1" a="1"/>
  <c r="U119" i="1" a="1"/>
  <c r="U148" i="1" a="1"/>
  <c r="U84" i="1" a="1"/>
  <c r="U151" i="1" a="1"/>
  <c r="U80" i="1" a="1"/>
  <c r="U310" i="1" a="1"/>
  <c r="U279" i="1" a="1"/>
  <c r="U35" i="1" a="1"/>
  <c r="U19" i="1" a="1"/>
  <c r="U202" i="1" a="1"/>
  <c r="U20" i="1" a="1"/>
  <c r="E35" i="3"/>
  <c r="U404" i="1" a="1"/>
  <c r="U367" i="1" a="1"/>
  <c r="U318" i="1" a="1"/>
  <c r="U282" i="1" a="1"/>
  <c r="U75" i="1" a="1"/>
  <c r="U375" i="1" a="1"/>
  <c r="U73" i="1" a="1"/>
  <c r="U331" i="1" a="1"/>
  <c r="U23" i="1" a="1"/>
  <c r="U313" i="1" a="1"/>
  <c r="E29" i="3"/>
  <c r="E13" i="3"/>
  <c r="U86" i="1" a="1"/>
  <c r="U39" i="1" a="1"/>
  <c r="U85" i="1" a="1"/>
  <c r="U27" i="1" a="1"/>
  <c r="U47" i="1" a="1"/>
  <c r="U55" i="3"/>
  <c r="U70" i="1" a="1"/>
  <c r="U424" i="1" a="1"/>
  <c r="U59" i="1" a="1"/>
  <c r="U298" i="1" a="1"/>
  <c r="U188" i="1" a="1"/>
  <c r="U303" i="1" a="1"/>
  <c r="M39" i="3"/>
  <c r="U289" i="1" a="1"/>
  <c r="E40" i="3"/>
  <c r="U218" i="1" a="1"/>
  <c r="U300" i="1" a="1"/>
  <c r="U129" i="1" a="1"/>
  <c r="U190" i="1" a="1"/>
  <c r="U220" i="1" a="1"/>
  <c r="U380" i="1" a="1"/>
  <c r="E58" i="3"/>
  <c r="U416" i="1" a="1"/>
  <c r="U421" i="1" a="1"/>
  <c r="U428" i="1" a="1"/>
  <c r="U222" i="1" a="1"/>
  <c r="U31" i="1" a="1"/>
  <c r="U292" i="1" a="1"/>
  <c r="U269" i="1" a="1"/>
  <c r="U347" i="1" a="1"/>
  <c r="U294" i="1" a="1"/>
  <c r="U268" i="1" a="1"/>
  <c r="U386" i="1" a="1"/>
  <c r="U342" i="1" a="1"/>
  <c r="E2456" i="1" a="1"/>
  <c r="J1550" i="1" a="1"/>
  <c r="E4803" i="1" a="1"/>
  <c r="J1187" i="1" a="1"/>
  <c r="E2525" i="1" a="1"/>
  <c r="J1661" i="1" a="1"/>
  <c r="J1927" i="1" a="1"/>
  <c r="E479" i="1" a="1"/>
  <c r="J2992" i="1" a="1"/>
  <c r="E1083" i="1" a="1"/>
  <c r="J2253" i="1" a="1"/>
  <c r="J834" i="1" a="1"/>
  <c r="E966" i="1" a="1"/>
  <c r="J3366" i="1" a="1"/>
  <c r="E713" i="1" a="1"/>
  <c r="E634" i="1" a="1"/>
  <c r="E1776" i="1" a="1"/>
  <c r="U109" i="1" a="1"/>
  <c r="U311" i="1" a="1"/>
  <c r="U58" i="1" a="1"/>
  <c r="M38" i="3"/>
  <c r="U366" i="1" a="1"/>
  <c r="U210" i="1" a="1"/>
  <c r="J464" i="1" a="1"/>
  <c r="J340" i="1" a="1"/>
  <c r="E879" i="1" a="1"/>
  <c r="E804" i="1" a="1"/>
  <c r="J467" i="1" a="1"/>
  <c r="E1947" i="1" a="1"/>
  <c r="E551" i="1" a="1"/>
  <c r="E3031" i="1" a="1"/>
  <c r="J2309" i="1" a="1"/>
  <c r="J666" i="1" a="1"/>
  <c r="J503" i="1" a="1"/>
  <c r="E1507" i="1" a="1"/>
  <c r="U407" i="1" a="1"/>
  <c r="U13" i="1" a="1"/>
  <c r="E22" i="3"/>
  <c r="U48" i="1" a="1"/>
  <c r="U340" i="1" a="1"/>
  <c r="U76" i="1" a="1"/>
  <c r="U227" i="1" a="1"/>
  <c r="E47" i="3"/>
  <c r="U281" i="1" a="1"/>
  <c r="E2378" i="1" a="1"/>
  <c r="E754" i="1" a="1"/>
  <c r="E2061" i="1" a="1"/>
  <c r="J1370" i="1" a="1"/>
  <c r="E10" i="1" a="1"/>
  <c r="E1940" i="1" a="1"/>
  <c r="J1701" i="1" a="1"/>
  <c r="E564" i="1" a="1"/>
  <c r="J1343" i="1" a="1"/>
  <c r="E1113" i="1" a="1"/>
  <c r="J3200" i="1" a="1"/>
  <c r="E240" i="1" a="1"/>
  <c r="U409" i="1" a="1"/>
  <c r="U89" i="1" a="1"/>
  <c r="U405" i="1" a="1"/>
  <c r="U359" i="1" a="1"/>
  <c r="U307" i="1" a="1"/>
  <c r="E15" i="3"/>
  <c r="U306" i="1" a="1"/>
  <c r="J2508" i="1" a="1"/>
  <c r="J835" i="1" a="1"/>
  <c r="E2035" i="1" a="1"/>
  <c r="E114" i="1" a="1"/>
  <c r="E317" i="1" a="1"/>
  <c r="J2331" i="1" a="1"/>
  <c r="E3939" i="1" a="1"/>
  <c r="J1057" i="1" a="1"/>
  <c r="E3114" i="1" a="1"/>
  <c r="J1210" i="1" a="1"/>
  <c r="J1151" i="1" a="1"/>
  <c r="E645" i="1" a="1"/>
  <c r="E2965" i="1" a="1"/>
  <c r="E1138" i="1" a="1"/>
  <c r="E920" i="1" a="1"/>
  <c r="J1532" i="1" a="1"/>
  <c r="J1042" i="1" a="1"/>
  <c r="E389" i="1" a="1"/>
  <c r="E440" i="1" a="1"/>
  <c r="J926" i="1" a="1"/>
  <c r="J4271" i="1" a="1"/>
  <c r="J1974" i="1" a="1"/>
  <c r="E115" i="1" a="1"/>
  <c r="J2262" i="1" a="1"/>
  <c r="J651" i="1" a="1"/>
  <c r="J2735" i="1" a="1"/>
  <c r="E1317" i="1" a="1"/>
  <c r="J5" i="1" a="1"/>
  <c r="E3331" i="1" a="1"/>
  <c r="J1334" i="1" a="1"/>
  <c r="J52" i="1" a="1"/>
  <c r="J1884" i="1" a="1"/>
  <c r="E513" i="1" a="1"/>
  <c r="R5" i="13" a="1"/>
  <c r="E1875" i="1" a="1"/>
  <c r="E302" i="1" a="1"/>
  <c r="E2767" i="1" a="1"/>
  <c r="E3680" i="1" a="1"/>
  <c r="J201" i="1" a="1"/>
  <c r="J1296" i="1" a="1"/>
  <c r="J330" i="1" a="1"/>
  <c r="E690" i="1" a="1"/>
  <c r="J3145" i="1" a="1"/>
  <c r="E2770" i="1" a="1"/>
  <c r="J3311" i="1" a="1"/>
  <c r="E2587" i="1" a="1"/>
  <c r="J50" i="1" a="1"/>
  <c r="E614" i="1" a="1"/>
  <c r="E2535" i="1" a="1"/>
  <c r="E222" i="1" a="1"/>
  <c r="J1949" i="1" a="1"/>
  <c r="E3309" i="1" a="1"/>
  <c r="E1093" i="1" a="1"/>
  <c r="E86" i="1" a="1"/>
  <c r="E1175" i="1" a="1"/>
  <c r="E383" i="1" a="1"/>
  <c r="E186" i="1" a="1"/>
  <c r="E296" i="1" a="1"/>
  <c r="J1478" i="1" a="1"/>
  <c r="J589" i="1" a="1"/>
  <c r="E238" i="1" a="1"/>
  <c r="E211" i="1" a="1"/>
  <c r="E3205" i="1" a="1"/>
  <c r="U427" i="1" a="1"/>
  <c r="U378" i="1" a="1"/>
  <c r="U38" i="1" a="1"/>
  <c r="U410" i="1" a="1"/>
  <c r="E39" i="3"/>
  <c r="U325" i="1" a="1"/>
  <c r="E59" i="3"/>
  <c r="U370" i="1" a="1"/>
  <c r="U374" i="1" a="1"/>
  <c r="U93" i="1" a="1"/>
  <c r="U381" i="1" a="1"/>
  <c r="U296" i="1" a="1"/>
  <c r="U62" i="1" a="1"/>
  <c r="U299" i="1" a="1"/>
  <c r="U305" i="1" a="1"/>
  <c r="E56" i="3"/>
  <c r="U301" i="1" a="1"/>
  <c r="U288" i="1" a="1"/>
  <c r="U152" i="1" a="1"/>
  <c r="E64" i="3"/>
  <c r="U276" i="1" a="1"/>
  <c r="U144" i="1" a="1"/>
  <c r="U217" i="1" a="1"/>
  <c r="U341" i="1" a="1"/>
  <c r="U166" i="1" a="1"/>
  <c r="U206" i="1" a="1"/>
  <c r="E1652" i="1" a="1"/>
  <c r="J2181" i="1" a="1"/>
  <c r="J200" i="1" a="1"/>
  <c r="E335" i="1" a="1"/>
  <c r="E861" i="1" a="1"/>
  <c r="J2783" i="1" a="1"/>
  <c r="U228" i="1" a="1"/>
  <c r="U414" i="1" a="1"/>
  <c r="U308" i="1" a="1"/>
  <c r="E3165" i="1" a="1"/>
  <c r="J1656" i="1" a="1"/>
  <c r="E1256" i="1" a="1"/>
  <c r="E1219" i="1" a="1"/>
  <c r="E36" i="1" a="1"/>
  <c r="J2572" i="1" a="1"/>
  <c r="E3186" i="1" a="1"/>
  <c r="E385" i="1" a="1"/>
  <c r="E870" i="1" a="1"/>
  <c r="J839" i="1" a="1"/>
  <c r="U180" i="1" a="1"/>
  <c r="E14" i="3"/>
  <c r="E63" i="3"/>
  <c r="U68" i="1" a="1"/>
  <c r="U262" i="1" a="1"/>
  <c r="E36" i="3"/>
  <c r="U323" i="1" a="1"/>
  <c r="E637" i="1" a="1"/>
  <c r="E3555" i="1" a="1"/>
  <c r="E1971" i="1" a="1"/>
  <c r="E629" i="1" a="1"/>
  <c r="J2003" i="1" a="1"/>
  <c r="U191" i="1" a="1"/>
  <c r="U324" i="1" a="1"/>
  <c r="U186" i="1" a="1"/>
  <c r="U61" i="1" a="1"/>
  <c r="U48" i="3"/>
  <c r="O3" i="6" a="1"/>
  <c r="P12" i="6" a="1"/>
  <c r="J6" i="6"/>
  <c r="R12" i="6" a="1"/>
  <c r="O15" i="6" a="1"/>
  <c r="K12" i="6" a="1"/>
  <c r="M15" i="6" a="1"/>
  <c r="N3" i="6" a="1"/>
  <c r="L8" i="6" a="1"/>
  <c r="N15" i="6" a="1"/>
  <c r="K8" i="6" a="1"/>
  <c r="M3" i="6" a="1"/>
  <c r="O12" i="6" a="1"/>
  <c r="K3" i="6" a="1"/>
  <c r="N12" i="6" a="1"/>
  <c r="N6" i="6"/>
  <c r="R15" i="6" a="1"/>
  <c r="O8" i="6" a="1"/>
  <c r="M6" i="6"/>
  <c r="L6" i="6"/>
  <c r="L3" i="6" a="1"/>
  <c r="Q12" i="6" a="1"/>
  <c r="L15" i="6" a="1"/>
  <c r="M12" i="6" a="1"/>
  <c r="K6" i="6"/>
  <c r="L12" i="6" a="1"/>
  <c r="N46" i="3" l="1" a="1"/>
  <c r="U61" i="1"/>
  <c r="U186" i="1"/>
  <c r="U324" i="1"/>
  <c r="U191" i="1"/>
  <c r="J2003" i="1"/>
  <c r="E629" i="1"/>
  <c r="E1971" i="1"/>
  <c r="E3555" i="1"/>
  <c r="E637" i="1"/>
  <c r="U323" i="1"/>
  <c r="F36" i="3"/>
  <c r="G36" i="3" s="1"/>
  <c r="U262" i="1"/>
  <c r="U68" i="1"/>
  <c r="F63" i="3"/>
  <c r="G63" i="3" s="1"/>
  <c r="F14" i="3"/>
  <c r="G14" i="3" s="1"/>
  <c r="K11" i="3" s="1"/>
  <c r="U180" i="1"/>
  <c r="J839" i="1"/>
  <c r="E870" i="1"/>
  <c r="E385" i="1"/>
  <c r="E3186" i="1"/>
  <c r="J2572" i="1"/>
  <c r="E36" i="1"/>
  <c r="E1219" i="1"/>
  <c r="E1256" i="1"/>
  <c r="J1656" i="1"/>
  <c r="E3165" i="1"/>
  <c r="U308" i="1"/>
  <c r="U414" i="1"/>
  <c r="U228" i="1"/>
  <c r="J2783" i="1"/>
  <c r="E861" i="1"/>
  <c r="E335" i="1"/>
  <c r="J200" i="1"/>
  <c r="J2181" i="1"/>
  <c r="E1652" i="1"/>
  <c r="U206" i="1"/>
  <c r="U166" i="1"/>
  <c r="U341" i="1"/>
  <c r="U217" i="1"/>
  <c r="U144" i="1"/>
  <c r="U276" i="1"/>
  <c r="F64" i="3"/>
  <c r="G64" i="3" s="1"/>
  <c r="U152" i="1"/>
  <c r="U288" i="1"/>
  <c r="U301" i="1"/>
  <c r="F56" i="3"/>
  <c r="G56" i="3" s="1"/>
  <c r="U305" i="1"/>
  <c r="V305" i="1" s="1"/>
  <c r="U299" i="1"/>
  <c r="U62" i="1"/>
  <c r="U296" i="1"/>
  <c r="U381" i="1"/>
  <c r="U93" i="1"/>
  <c r="U374" i="1"/>
  <c r="U370" i="1"/>
  <c r="F59" i="3"/>
  <c r="G59" i="3" s="1"/>
  <c r="U325" i="1"/>
  <c r="F39" i="3"/>
  <c r="G39" i="3" s="1"/>
  <c r="U410" i="1"/>
  <c r="U38" i="1"/>
  <c r="U378" i="1"/>
  <c r="U427" i="1"/>
  <c r="E3205" i="1"/>
  <c r="E211" i="1"/>
  <c r="E238" i="1"/>
  <c r="J589" i="1"/>
  <c r="J1478" i="1"/>
  <c r="E296" i="1"/>
  <c r="E186" i="1"/>
  <c r="E383" i="1"/>
  <c r="E1175" i="1"/>
  <c r="E86" i="1"/>
  <c r="E1093" i="1"/>
  <c r="E3309" i="1"/>
  <c r="J1949" i="1"/>
  <c r="E222" i="1"/>
  <c r="E2535" i="1"/>
  <c r="E614" i="1"/>
  <c r="J50" i="1"/>
  <c r="E2587" i="1"/>
  <c r="J3311" i="1"/>
  <c r="E2770" i="1"/>
  <c r="J3145" i="1"/>
  <c r="E690" i="1"/>
  <c r="J330" i="1"/>
  <c r="J1296" i="1"/>
  <c r="J201" i="1"/>
  <c r="E3680" i="1"/>
  <c r="E2767" i="1"/>
  <c r="E302" i="1"/>
  <c r="E1875" i="1"/>
  <c r="R5" i="13"/>
  <c r="E513" i="1"/>
  <c r="J1884" i="1"/>
  <c r="J52" i="1"/>
  <c r="J1334" i="1"/>
  <c r="E3331" i="1"/>
  <c r="J5" i="1"/>
  <c r="E1317" i="1"/>
  <c r="J2735" i="1"/>
  <c r="J651" i="1"/>
  <c r="J2262" i="1"/>
  <c r="E115" i="1"/>
  <c r="J1974" i="1"/>
  <c r="J4271" i="1"/>
  <c r="J926" i="1"/>
  <c r="E440" i="1"/>
  <c r="E389" i="1"/>
  <c r="J1042" i="1"/>
  <c r="J1532" i="1"/>
  <c r="E920" i="1"/>
  <c r="E1138" i="1"/>
  <c r="E2965" i="1"/>
  <c r="E645" i="1"/>
  <c r="J1151" i="1"/>
  <c r="J1210" i="1"/>
  <c r="E3114" i="1"/>
  <c r="J1057" i="1"/>
  <c r="E3939" i="1"/>
  <c r="J2331" i="1"/>
  <c r="E317" i="1"/>
  <c r="E114" i="1"/>
  <c r="E2035" i="1"/>
  <c r="J835" i="1"/>
  <c r="J2508" i="1"/>
  <c r="U306" i="1"/>
  <c r="F15" i="3"/>
  <c r="G15" i="3" s="1"/>
  <c r="U307" i="1"/>
  <c r="U359" i="1"/>
  <c r="U405" i="1"/>
  <c r="U89" i="1"/>
  <c r="U409" i="1"/>
  <c r="V409" i="1" s="1"/>
  <c r="E240" i="1"/>
  <c r="J3200" i="1"/>
  <c r="E1113" i="1"/>
  <c r="J1343" i="1"/>
  <c r="E564" i="1"/>
  <c r="J1701" i="1"/>
  <c r="E1940" i="1"/>
  <c r="E10" i="1"/>
  <c r="J1370" i="1"/>
  <c r="E2061" i="1"/>
  <c r="E754" i="1"/>
  <c r="E2378" i="1"/>
  <c r="U281" i="1"/>
  <c r="F47" i="3"/>
  <c r="G47" i="3" s="1"/>
  <c r="U227" i="1"/>
  <c r="U76" i="1"/>
  <c r="U340" i="1"/>
  <c r="U48" i="1"/>
  <c r="F22" i="3"/>
  <c r="G22" i="3" s="1"/>
  <c r="U13" i="1"/>
  <c r="U407" i="1"/>
  <c r="E1507" i="1"/>
  <c r="J503" i="1"/>
  <c r="J666" i="1"/>
  <c r="J2309" i="1"/>
  <c r="E3031" i="1"/>
  <c r="E551" i="1"/>
  <c r="E1947" i="1"/>
  <c r="J467" i="1"/>
  <c r="E804" i="1"/>
  <c r="E879" i="1"/>
  <c r="J340" i="1"/>
  <c r="J464" i="1"/>
  <c r="U210" i="1"/>
  <c r="U366" i="1"/>
  <c r="U58" i="1"/>
  <c r="U311" i="1"/>
  <c r="U109" i="1"/>
  <c r="E1776" i="1"/>
  <c r="E634" i="1"/>
  <c r="E713" i="1"/>
  <c r="J3366" i="1"/>
  <c r="E966" i="1"/>
  <c r="J834" i="1"/>
  <c r="J2253" i="1"/>
  <c r="E1083" i="1"/>
  <c r="J2992" i="1"/>
  <c r="E479" i="1"/>
  <c r="J1927" i="1"/>
  <c r="J1661" i="1"/>
  <c r="E2525" i="1"/>
  <c r="J1187" i="1"/>
  <c r="E4803" i="1"/>
  <c r="J1550" i="1"/>
  <c r="E2456" i="1"/>
  <c r="U342" i="1"/>
  <c r="U386" i="1"/>
  <c r="U268" i="1"/>
  <c r="U294" i="1"/>
  <c r="U347" i="1"/>
  <c r="V347" i="1" s="1"/>
  <c r="U269" i="1"/>
  <c r="U292" i="1"/>
  <c r="U31" i="1"/>
  <c r="U222" i="1"/>
  <c r="U428" i="1"/>
  <c r="U421" i="1"/>
  <c r="U416" i="1"/>
  <c r="F58" i="3"/>
  <c r="G58" i="3" s="1"/>
  <c r="U380" i="1"/>
  <c r="U220" i="1"/>
  <c r="U190" i="1"/>
  <c r="U129" i="1"/>
  <c r="U300" i="1"/>
  <c r="U218" i="1"/>
  <c r="F40" i="3"/>
  <c r="G40" i="3" s="1"/>
  <c r="U289" i="1"/>
  <c r="U303" i="1"/>
  <c r="U188" i="1"/>
  <c r="U298" i="1"/>
  <c r="U59" i="1"/>
  <c r="U424" i="1"/>
  <c r="U70" i="1"/>
  <c r="U47" i="1"/>
  <c r="U27" i="1"/>
  <c r="U85" i="1"/>
  <c r="U39" i="1"/>
  <c r="U86" i="1"/>
  <c r="F13" i="3"/>
  <c r="G13" i="3" s="1"/>
  <c r="F29" i="3"/>
  <c r="G29" i="3" s="1"/>
  <c r="U313" i="1"/>
  <c r="U23" i="1"/>
  <c r="U331" i="1"/>
  <c r="U73" i="1"/>
  <c r="U375" i="1"/>
  <c r="U75" i="1"/>
  <c r="U282" i="1"/>
  <c r="U318" i="1"/>
  <c r="U367" i="1"/>
  <c r="U404" i="1"/>
  <c r="F35" i="3"/>
  <c r="G35" i="3" s="1"/>
  <c r="U20" i="1"/>
  <c r="U202" i="1"/>
  <c r="U19" i="1"/>
  <c r="U35" i="1"/>
  <c r="U279" i="1"/>
  <c r="U310" i="1"/>
  <c r="U80" i="1"/>
  <c r="U151" i="1"/>
  <c r="U84" i="1"/>
  <c r="U148" i="1"/>
  <c r="U119" i="1"/>
  <c r="J152" i="1"/>
  <c r="J780" i="1"/>
  <c r="E1107" i="1"/>
  <c r="E839" i="1"/>
  <c r="J1082" i="1"/>
  <c r="E70" i="1"/>
  <c r="E203" i="1"/>
  <c r="J233" i="1"/>
  <c r="E1080" i="1"/>
  <c r="E544" i="1"/>
  <c r="J522" i="1"/>
  <c r="J875" i="1"/>
  <c r="J742" i="1"/>
  <c r="E224" i="1"/>
  <c r="E493" i="1"/>
  <c r="E528" i="1"/>
  <c r="E586" i="1"/>
  <c r="E1764" i="1"/>
  <c r="E2954" i="1"/>
  <c r="E1356" i="1"/>
  <c r="E465" i="1"/>
  <c r="J454" i="1"/>
  <c r="J1385" i="1"/>
  <c r="E1285" i="1"/>
  <c r="J1932" i="1"/>
  <c r="J2576" i="1"/>
  <c r="J368" i="1"/>
  <c r="J163" i="1"/>
  <c r="E444" i="1"/>
  <c r="E332" i="1"/>
  <c r="E703" i="1"/>
  <c r="J1958" i="1"/>
  <c r="J495" i="1"/>
  <c r="J1486" i="1"/>
  <c r="E22" i="1"/>
  <c r="E181" i="1"/>
  <c r="E2179" i="1"/>
  <c r="J1246" i="1"/>
  <c r="J1720" i="1"/>
  <c r="E1331" i="1"/>
  <c r="J155" i="1"/>
  <c r="E155" i="1"/>
  <c r="J618" i="1"/>
  <c r="J426" i="1"/>
  <c r="E2136" i="1"/>
  <c r="J1667" i="1"/>
  <c r="J2546" i="1"/>
  <c r="E323" i="1"/>
  <c r="J2195" i="1"/>
  <c r="J507" i="1"/>
  <c r="J1060" i="1"/>
  <c r="E740" i="1"/>
  <c r="E1826" i="1"/>
  <c r="J1845" i="1"/>
  <c r="J3099" i="1"/>
  <c r="E934" i="1"/>
  <c r="E2250" i="1"/>
  <c r="G2250" i="1" s="1"/>
  <c r="J3354" i="1"/>
  <c r="E380" i="1"/>
  <c r="J1234" i="1"/>
  <c r="J2145" i="1"/>
  <c r="E2505" i="1"/>
  <c r="J2371" i="1"/>
  <c r="U184" i="1"/>
  <c r="U231" i="1"/>
  <c r="U138" i="1"/>
  <c r="U197" i="1"/>
  <c r="U236" i="1"/>
  <c r="U254" i="1"/>
  <c r="E14" i="1"/>
  <c r="J1242" i="1"/>
  <c r="E266" i="1"/>
  <c r="J1264" i="1"/>
  <c r="E96" i="1"/>
  <c r="J841" i="1"/>
  <c r="E1049" i="1"/>
  <c r="U234" i="1"/>
  <c r="U333" i="1"/>
  <c r="U126" i="1"/>
  <c r="U72" i="1"/>
  <c r="J612" i="1"/>
  <c r="E2600" i="1"/>
  <c r="E94" i="1"/>
  <c r="E282" i="1"/>
  <c r="E1810" i="1"/>
  <c r="E671" i="1"/>
  <c r="E447" i="1"/>
  <c r="U18" i="1"/>
  <c r="U143" i="1"/>
  <c r="U364" i="1"/>
  <c r="J275" i="1"/>
  <c r="J550" i="1"/>
  <c r="J1600" i="1"/>
  <c r="E4" i="1"/>
  <c r="E1745" i="1"/>
  <c r="J281" i="1"/>
  <c r="J148" i="1"/>
  <c r="J1483" i="1"/>
  <c r="E661" i="1"/>
  <c r="E348" i="1"/>
  <c r="E786" i="1"/>
  <c r="U10" i="1"/>
  <c r="U284" i="1"/>
  <c r="U221" i="1"/>
  <c r="U176" i="1"/>
  <c r="V176" i="1" s="1"/>
  <c r="U420" i="1"/>
  <c r="U117" i="1"/>
  <c r="U82" i="1"/>
  <c r="U215" i="1"/>
  <c r="U304" i="1"/>
  <c r="U309" i="1"/>
  <c r="U353" i="1"/>
  <c r="U283" i="1"/>
  <c r="U52" i="1"/>
  <c r="U185" i="1"/>
  <c r="U295" i="1"/>
  <c r="U54" i="1"/>
  <c r="V54" i="1" s="1"/>
  <c r="U376" i="1"/>
  <c r="U211" i="1"/>
  <c r="U81" i="1"/>
  <c r="F28" i="3"/>
  <c r="G28" i="3" s="1"/>
  <c r="N48" i="3"/>
  <c r="U149" i="1"/>
  <c r="U207" i="1"/>
  <c r="U209" i="1"/>
  <c r="U278" i="1"/>
  <c r="F11" i="3"/>
  <c r="U16" i="1"/>
  <c r="U369" i="1"/>
  <c r="V369" i="1" s="1"/>
  <c r="F18" i="3"/>
  <c r="G18" i="3" s="1"/>
  <c r="U198" i="1"/>
  <c r="U244" i="1"/>
  <c r="U382" i="1"/>
  <c r="U141" i="1"/>
  <c r="U358" i="1"/>
  <c r="U110" i="1"/>
  <c r="F21" i="3"/>
  <c r="U248" i="1"/>
  <c r="J311" i="1"/>
  <c r="J2025" i="1"/>
  <c r="J907" i="1"/>
  <c r="J1225" i="1"/>
  <c r="J917" i="1"/>
  <c r="E1523" i="1"/>
  <c r="E241" i="1"/>
  <c r="J490" i="1"/>
  <c r="J2258" i="1"/>
  <c r="J1490" i="1"/>
  <c r="E349" i="1"/>
  <c r="J65" i="1"/>
  <c r="J18" i="1"/>
  <c r="E1452" i="1"/>
  <c r="J791" i="1"/>
  <c r="E924" i="1"/>
  <c r="E291" i="1"/>
  <c r="E530" i="1"/>
  <c r="J298" i="1"/>
  <c r="E4032" i="1"/>
  <c r="J187" i="1"/>
  <c r="J1938" i="1"/>
  <c r="E968" i="1"/>
  <c r="J748" i="1"/>
  <c r="E363" i="1"/>
  <c r="J2483" i="1"/>
  <c r="J1098" i="1"/>
  <c r="J939" i="1"/>
  <c r="E2340" i="1"/>
  <c r="J350" i="1"/>
  <c r="E1046" i="1"/>
  <c r="J2065" i="1"/>
  <c r="J1462" i="1"/>
  <c r="E274" i="1"/>
  <c r="J613" i="1"/>
  <c r="J299" i="1"/>
  <c r="E421" i="1"/>
  <c r="E3542" i="1"/>
  <c r="E1338" i="1"/>
  <c r="E37" i="1"/>
  <c r="J3327" i="1"/>
  <c r="J32" i="1"/>
  <c r="J221" i="1"/>
  <c r="J180" i="1"/>
  <c r="E170" i="1"/>
  <c r="E404" i="1"/>
  <c r="E2448" i="1"/>
  <c r="E1115" i="1"/>
  <c r="E280" i="1"/>
  <c r="E284" i="1"/>
  <c r="E498" i="1"/>
  <c r="E134" i="1"/>
  <c r="E898" i="1"/>
  <c r="J427" i="1"/>
  <c r="E3077" i="1"/>
  <c r="J903" i="1"/>
  <c r="E2323" i="1"/>
  <c r="E1118" i="1"/>
  <c r="E2398" i="1"/>
  <c r="E2358" i="1"/>
  <c r="J4" i="1"/>
  <c r="J3232" i="1"/>
  <c r="E2173" i="1"/>
  <c r="G2178" i="1" s="1"/>
  <c r="U264" i="1"/>
  <c r="U168" i="1"/>
  <c r="U163" i="1"/>
  <c r="F9" i="3"/>
  <c r="G9" i="3" s="1"/>
  <c r="K19" i="3" s="1"/>
  <c r="J1243" i="1"/>
  <c r="E2915" i="1"/>
  <c r="E257" i="1"/>
  <c r="J1312" i="1"/>
  <c r="J247" i="1"/>
  <c r="J179" i="1"/>
  <c r="E3675" i="1"/>
  <c r="E2281" i="1"/>
  <c r="J2305" i="1"/>
  <c r="U153" i="1"/>
  <c r="U124" i="1"/>
  <c r="U99" i="1"/>
  <c r="U128" i="1"/>
  <c r="U187" i="1"/>
  <c r="U436" i="1"/>
  <c r="U44" i="1"/>
  <c r="U33" i="1"/>
  <c r="E294" i="1"/>
  <c r="J2430" i="1"/>
  <c r="E220" i="1"/>
  <c r="J1311" i="1"/>
  <c r="J1364" i="1"/>
  <c r="E3239" i="1"/>
  <c r="U196" i="1"/>
  <c r="U83" i="1"/>
  <c r="U127" i="1"/>
  <c r="J1025" i="1"/>
  <c r="J2730" i="1"/>
  <c r="J683" i="1"/>
  <c r="J2075" i="1"/>
  <c r="E651" i="1"/>
  <c r="J2106" i="1"/>
  <c r="E523" i="1"/>
  <c r="J4548" i="1"/>
  <c r="E3441" i="1"/>
  <c r="E3652" i="1"/>
  <c r="U349" i="1"/>
  <c r="U121" i="1"/>
  <c r="U223" i="1"/>
  <c r="U28" i="1"/>
  <c r="U113" i="1"/>
  <c r="F60" i="3"/>
  <c r="G60" i="3" s="1"/>
  <c r="U50" i="1"/>
  <c r="U418" i="1"/>
  <c r="V418" i="1" s="1"/>
  <c r="U406" i="1"/>
  <c r="U247" i="1"/>
  <c r="U122" i="1"/>
  <c r="U65" i="1"/>
  <c r="U71" i="1"/>
  <c r="U155" i="1"/>
  <c r="U251" i="1"/>
  <c r="U319" i="1"/>
  <c r="U174" i="1"/>
  <c r="U321" i="1"/>
  <c r="U111" i="1"/>
  <c r="F45" i="3"/>
  <c r="G45" i="3" s="1"/>
  <c r="U372" i="1"/>
  <c r="U312" i="1"/>
  <c r="U112" i="1"/>
  <c r="U377" i="1"/>
  <c r="U162" i="1"/>
  <c r="U335" i="1"/>
  <c r="U157" i="1"/>
  <c r="U275" i="1"/>
  <c r="U219" i="1"/>
  <c r="U256" i="1"/>
  <c r="U229" i="1"/>
  <c r="F57" i="3"/>
  <c r="G57" i="3" s="1"/>
  <c r="U240" i="1"/>
  <c r="U257" i="1"/>
  <c r="U142" i="1"/>
  <c r="U102" i="1"/>
  <c r="U365" i="1"/>
  <c r="U252" i="1"/>
  <c r="U285" i="1"/>
  <c r="U440" i="1"/>
  <c r="U60" i="1"/>
  <c r="U160" i="1"/>
  <c r="U393" i="1"/>
  <c r="U192" i="1"/>
  <c r="V192" i="1" s="1"/>
  <c r="E360" i="1"/>
  <c r="E977" i="1"/>
  <c r="J435" i="1"/>
  <c r="J576" i="1"/>
  <c r="E1210" i="1"/>
  <c r="E2277" i="1"/>
  <c r="E124" i="1"/>
  <c r="J626" i="1"/>
  <c r="J1185" i="1"/>
  <c r="J2938" i="1"/>
  <c r="E958" i="1"/>
  <c r="E1627" i="1"/>
  <c r="J302" i="1"/>
  <c r="J2321" i="1"/>
  <c r="J3338" i="1"/>
  <c r="E1221" i="1"/>
  <c r="J598" i="1"/>
  <c r="E2604" i="1"/>
  <c r="E735" i="1"/>
  <c r="E45" i="1"/>
  <c r="J889" i="1"/>
  <c r="E926" i="1"/>
  <c r="J2132" i="1"/>
  <c r="F7" i="3"/>
  <c r="G7" i="3" s="1"/>
  <c r="K7" i="3" s="1"/>
  <c r="E1754" i="1"/>
  <c r="E505" i="1"/>
  <c r="J1900" i="1"/>
  <c r="E955" i="1"/>
  <c r="E149" i="1"/>
  <c r="E689" i="1"/>
  <c r="J167" i="1"/>
  <c r="E433" i="1"/>
  <c r="J457" i="1"/>
  <c r="E2480" i="1"/>
  <c r="E988" i="1"/>
  <c r="J387" i="1"/>
  <c r="E1262" i="1"/>
  <c r="E1447" i="1"/>
  <c r="J964" i="1"/>
  <c r="J393" i="1"/>
  <c r="E757" i="1"/>
  <c r="E1031" i="1"/>
  <c r="E1637" i="1"/>
  <c r="E1333" i="1"/>
  <c r="E573" i="1"/>
  <c r="E1157" i="1"/>
  <c r="J470" i="1"/>
  <c r="E3460" i="1"/>
  <c r="E273" i="1"/>
  <c r="E159" i="1"/>
  <c r="E437" i="1"/>
  <c r="E129" i="1"/>
  <c r="E1613" i="1"/>
  <c r="E834" i="1"/>
  <c r="E2777" i="1"/>
  <c r="J1766" i="1"/>
  <c r="E339" i="1"/>
  <c r="J680" i="1"/>
  <c r="J764" i="1"/>
  <c r="E2393" i="1"/>
  <c r="J1920" i="1"/>
  <c r="E603" i="1"/>
  <c r="J2448" i="1"/>
  <c r="E2327" i="1"/>
  <c r="U171" i="1"/>
  <c r="U78" i="1"/>
  <c r="U355" i="1"/>
  <c r="U277" i="1"/>
  <c r="U433" i="1"/>
  <c r="U431" i="1"/>
  <c r="U194" i="1"/>
  <c r="J698" i="1"/>
  <c r="E953" i="1"/>
  <c r="E1249" i="1"/>
  <c r="J318" i="1"/>
  <c r="J154" i="1"/>
  <c r="J1038" i="1"/>
  <c r="J3104" i="1"/>
  <c r="U165" i="1"/>
  <c r="J1782" i="1"/>
  <c r="E3399" i="1"/>
  <c r="E1692" i="1"/>
  <c r="E110" i="1"/>
  <c r="E1065" i="1"/>
  <c r="J2996" i="1"/>
  <c r="E2500" i="1"/>
  <c r="E587" i="1"/>
  <c r="U402" i="1"/>
  <c r="U297" i="1"/>
  <c r="U139" i="1"/>
  <c r="F55" i="3"/>
  <c r="G55" i="3" s="1"/>
  <c r="F27" i="3"/>
  <c r="G27" i="3" s="1"/>
  <c r="E1265" i="1"/>
  <c r="E1299" i="1"/>
  <c r="E161" i="1"/>
  <c r="E2289" i="1"/>
  <c r="E592" i="1"/>
  <c r="J425" i="1"/>
  <c r="E225" i="1"/>
  <c r="E229" i="1"/>
  <c r="E589" i="1"/>
  <c r="E618" i="1"/>
  <c r="E1274" i="1"/>
  <c r="J1255" i="1"/>
  <c r="E3360" i="1"/>
  <c r="E931" i="1"/>
  <c r="E362" i="1"/>
  <c r="J466" i="1"/>
  <c r="U245" i="1"/>
  <c r="U329" i="1"/>
  <c r="U101" i="1"/>
  <c r="U354" i="1"/>
  <c r="U351" i="1"/>
  <c r="F17" i="3"/>
  <c r="G17" i="3" s="1"/>
  <c r="U12" i="1"/>
  <c r="U189" i="1"/>
  <c r="U158" i="1"/>
  <c r="U7" i="1"/>
  <c r="U224" i="1"/>
  <c r="U203" i="1"/>
  <c r="U79" i="1"/>
  <c r="F42" i="3"/>
  <c r="G42" i="3" s="1"/>
  <c r="U400" i="1"/>
  <c r="U131" i="1"/>
  <c r="U134" i="1"/>
  <c r="U348" i="1"/>
  <c r="U3" i="1"/>
  <c r="F51" i="3"/>
  <c r="G51" i="3" s="1"/>
  <c r="U41" i="1"/>
  <c r="U271" i="1"/>
  <c r="U14" i="1"/>
  <c r="F49" i="3"/>
  <c r="G49" i="3" s="1"/>
  <c r="U226" i="1"/>
  <c r="F41" i="3"/>
  <c r="G41" i="3" s="1"/>
  <c r="U239" i="1"/>
  <c r="U116" i="1"/>
  <c r="U205" i="1"/>
  <c r="U230" i="1"/>
  <c r="U388" i="1"/>
  <c r="U426" i="1"/>
  <c r="U263" i="1"/>
  <c r="U140" i="1"/>
  <c r="U408" i="1"/>
  <c r="U67" i="1"/>
  <c r="U132" i="1"/>
  <c r="F16" i="3"/>
  <c r="G16" i="3" s="1"/>
  <c r="U373" i="1"/>
  <c r="U15" i="1"/>
  <c r="U22" i="1"/>
  <c r="U394" i="1"/>
  <c r="U40" i="1"/>
  <c r="J2497" i="1"/>
  <c r="J399" i="1"/>
  <c r="J3501" i="1"/>
  <c r="E51" i="1"/>
  <c r="J2697" i="1"/>
  <c r="E160" i="1"/>
  <c r="E1569" i="1"/>
  <c r="J308" i="1"/>
  <c r="J55" i="1"/>
  <c r="J1053" i="1"/>
  <c r="J777" i="1"/>
  <c r="E125" i="1"/>
  <c r="E567" i="1"/>
  <c r="E2072" i="1"/>
  <c r="J2759" i="1"/>
  <c r="J1298" i="1"/>
  <c r="E1515" i="1"/>
  <c r="J784" i="1"/>
  <c r="E1098" i="1"/>
  <c r="J153" i="1"/>
  <c r="E324" i="1"/>
  <c r="J1395" i="1"/>
  <c r="J1789" i="1"/>
  <c r="J1732" i="1"/>
  <c r="E1154" i="1"/>
  <c r="E995" i="1"/>
  <c r="J175" i="1"/>
  <c r="J170" i="1"/>
  <c r="E2205" i="1"/>
  <c r="G2210" i="1" s="1"/>
  <c r="J575" i="1"/>
  <c r="J261" i="1"/>
  <c r="J1645" i="1"/>
  <c r="J1989" i="1"/>
  <c r="J2029" i="1"/>
  <c r="J1307" i="1"/>
  <c r="J1271" i="1"/>
  <c r="J1403" i="1"/>
  <c r="E1511" i="1"/>
  <c r="E2320" i="1"/>
  <c r="E1222" i="1"/>
  <c r="E908" i="1"/>
  <c r="E2236" i="1"/>
  <c r="J1935" i="1"/>
  <c r="J1855" i="1"/>
  <c r="J2969" i="1"/>
  <c r="E758" i="1"/>
  <c r="E116" i="1"/>
  <c r="E2156" i="1"/>
  <c r="E167" i="1"/>
  <c r="J2000" i="1"/>
  <c r="J265" i="1"/>
  <c r="J2221" i="1"/>
  <c r="E1386" i="1"/>
  <c r="J4379" i="1"/>
  <c r="E1004" i="1"/>
  <c r="J1621" i="1"/>
  <c r="J502" i="1"/>
  <c r="E560" i="1"/>
  <c r="E2237" i="1"/>
  <c r="J1222" i="1"/>
  <c r="E2182" i="1"/>
  <c r="J3067" i="1"/>
  <c r="E2538" i="1"/>
  <c r="J3133" i="1"/>
  <c r="E301" i="1"/>
  <c r="E2265" i="1"/>
  <c r="G2265" i="1" s="1"/>
  <c r="J1346" i="1"/>
  <c r="J2493" i="1"/>
  <c r="J2422" i="1"/>
  <c r="E263" i="1"/>
  <c r="J2780" i="1"/>
  <c r="E2373" i="1"/>
  <c r="J3301" i="1"/>
  <c r="J1760" i="1"/>
  <c r="J2988" i="1"/>
  <c r="J690" i="1"/>
  <c r="E1455" i="1"/>
  <c r="G1455" i="1" s="1"/>
  <c r="E136" i="1"/>
  <c r="E253" i="1"/>
  <c r="E3087" i="1"/>
  <c r="J2901" i="1"/>
  <c r="U57" i="1"/>
  <c r="U237" i="1"/>
  <c r="U273" i="1"/>
  <c r="U391" i="1"/>
  <c r="U133" i="1"/>
  <c r="U66" i="1"/>
  <c r="U64" i="1"/>
  <c r="E173" i="1"/>
  <c r="J482" i="1"/>
  <c r="E1040" i="1"/>
  <c r="E272" i="1"/>
  <c r="E647" i="1"/>
  <c r="J3706" i="1"/>
  <c r="E347" i="1"/>
  <c r="E2934" i="1"/>
  <c r="E127" i="1"/>
  <c r="E2792" i="1"/>
  <c r="E204" i="1"/>
  <c r="E1827" i="1"/>
  <c r="J2103" i="1"/>
  <c r="U159" i="1"/>
  <c r="U43" i="1"/>
  <c r="U322" i="1"/>
  <c r="U114" i="1"/>
  <c r="J205" i="1"/>
  <c r="J1985" i="1"/>
  <c r="E1223" i="1"/>
  <c r="E3647" i="1"/>
  <c r="E2163" i="1"/>
  <c r="E2058" i="1"/>
  <c r="E355" i="1"/>
  <c r="E3546" i="1"/>
  <c r="E896" i="1"/>
  <c r="E1763" i="1"/>
  <c r="F8" i="3"/>
  <c r="G8" i="3" s="1"/>
  <c r="U379" i="1"/>
  <c r="U88" i="1"/>
  <c r="U130" i="1"/>
  <c r="U270" i="1"/>
  <c r="U161" i="1"/>
  <c r="U5" i="1"/>
  <c r="U434" i="1"/>
  <c r="U233" i="1"/>
  <c r="U225" i="1"/>
  <c r="V225" i="1" s="1"/>
  <c r="J528" i="1"/>
  <c r="F25" i="3"/>
  <c r="G25" i="3" s="1"/>
  <c r="U145" i="1"/>
  <c r="U208" i="1"/>
  <c r="U154" i="1"/>
  <c r="U212" i="1"/>
  <c r="U352" i="1"/>
  <c r="F66" i="3"/>
  <c r="G66" i="3" s="1"/>
  <c r="U55" i="1"/>
  <c r="U49" i="1"/>
  <c r="U32" i="1"/>
  <c r="U398" i="1"/>
  <c r="U45" i="1"/>
  <c r="U107" i="1"/>
  <c r="U390" i="1"/>
  <c r="U170" i="1"/>
  <c r="U280" i="1"/>
  <c r="J410" i="1"/>
  <c r="J406" i="1"/>
  <c r="J86" i="1"/>
  <c r="J1647" i="1"/>
  <c r="J645" i="1"/>
  <c r="J862" i="1"/>
  <c r="J182" i="1"/>
  <c r="J25" i="1"/>
  <c r="J1139" i="1"/>
  <c r="J171" i="1"/>
  <c r="J478" i="1"/>
  <c r="E133" i="1"/>
  <c r="E100" i="1"/>
  <c r="E279" i="1"/>
  <c r="J116" i="1"/>
  <c r="E30" i="1"/>
  <c r="E1709" i="1"/>
  <c r="E1088" i="1"/>
  <c r="J40" i="1"/>
  <c r="J2218" i="1"/>
  <c r="J217" i="1"/>
  <c r="J3831" i="1"/>
  <c r="J74" i="1"/>
  <c r="J6" i="1"/>
  <c r="V50" i="3"/>
  <c r="M48" i="3"/>
  <c r="U200" i="1"/>
  <c r="U178" i="1"/>
  <c r="U2" i="1"/>
  <c r="V2" i="1" s="1"/>
  <c r="U330" i="1"/>
  <c r="F19" i="3"/>
  <c r="G19" i="3" s="1"/>
  <c r="U96" i="1"/>
  <c r="U384" i="1"/>
  <c r="U74" i="1"/>
  <c r="U357" i="1"/>
  <c r="U238" i="1"/>
  <c r="U368" i="1"/>
  <c r="F20" i="3"/>
  <c r="G20" i="3" s="1"/>
  <c r="U175" i="1"/>
  <c r="U193" i="1"/>
  <c r="U26" i="1"/>
  <c r="U42" i="1"/>
  <c r="U177" i="1"/>
  <c r="U403" i="1"/>
  <c r="U334" i="1"/>
  <c r="U250" i="1"/>
  <c r="U103" i="1"/>
  <c r="U315" i="1"/>
  <c r="U259" i="1"/>
  <c r="U199" i="1"/>
  <c r="U29" i="1"/>
  <c r="F26" i="3"/>
  <c r="G26" i="3" s="1"/>
  <c r="U437" i="1"/>
  <c r="U423" i="1"/>
  <c r="U169" i="1"/>
  <c r="F10" i="3"/>
  <c r="U195" i="1"/>
  <c r="U343" i="1"/>
  <c r="U204" i="1"/>
  <c r="U439" i="1"/>
  <c r="U92" i="1"/>
  <c r="V92" i="1" s="1"/>
  <c r="U419" i="1"/>
  <c r="U265" i="1"/>
  <c r="U105" i="1"/>
  <c r="U327" i="1"/>
  <c r="F54" i="3"/>
  <c r="G54" i="3" s="1"/>
  <c r="E377" i="1"/>
  <c r="E1890" i="1"/>
  <c r="J559" i="1"/>
  <c r="E459" i="1"/>
  <c r="E208" i="1"/>
  <c r="J424" i="1"/>
  <c r="J820" i="1"/>
  <c r="E188" i="1"/>
  <c r="J1010" i="1"/>
  <c r="E3263" i="1"/>
  <c r="E1043" i="1"/>
  <c r="J1203" i="1"/>
  <c r="J405" i="1"/>
  <c r="J655" i="1"/>
  <c r="J219" i="1"/>
  <c r="E1315" i="1"/>
  <c r="E3561" i="1"/>
  <c r="J1165" i="1"/>
  <c r="E685" i="1"/>
  <c r="J2758" i="1"/>
  <c r="J97" i="1"/>
  <c r="E5224" i="1"/>
  <c r="E130" i="1"/>
  <c r="E1121" i="1"/>
  <c r="J14" i="1"/>
  <c r="J753" i="1"/>
  <c r="E23" i="1"/>
  <c r="E3" i="1"/>
  <c r="E702" i="1"/>
  <c r="E151" i="1"/>
  <c r="E471" i="1"/>
  <c r="E13" i="1"/>
  <c r="J1107" i="1"/>
  <c r="J2672" i="1"/>
  <c r="E2260" i="1"/>
  <c r="J1344" i="1"/>
  <c r="J1283" i="1"/>
  <c r="J1451" i="1"/>
  <c r="E559" i="1"/>
  <c r="E1488" i="1"/>
  <c r="E2375" i="1"/>
  <c r="E1166" i="1"/>
  <c r="J2607" i="1"/>
  <c r="E182" i="1"/>
  <c r="J1477" i="1"/>
  <c r="J2850" i="1"/>
  <c r="E1050" i="1"/>
  <c r="E2266" i="1"/>
  <c r="E1514" i="1"/>
  <c r="E986" i="1"/>
  <c r="E1311" i="1"/>
  <c r="J1156" i="1"/>
  <c r="J743" i="1"/>
  <c r="E5241" i="1"/>
  <c r="J1921" i="1"/>
  <c r="J158" i="1"/>
  <c r="E2562" i="1"/>
  <c r="E2267" i="1"/>
  <c r="J3753" i="1"/>
  <c r="J1800" i="1"/>
  <c r="E935" i="1"/>
  <c r="E2618" i="1"/>
  <c r="E3362" i="1"/>
  <c r="J4884" i="1"/>
  <c r="U429" i="1"/>
  <c r="U249" i="1"/>
  <c r="U425" i="1"/>
  <c r="U316" i="1"/>
  <c r="J133" i="1"/>
  <c r="J1213" i="1"/>
  <c r="J3748" i="1"/>
  <c r="J112" i="1"/>
  <c r="J284" i="1"/>
  <c r="J2579" i="1"/>
  <c r="J961" i="1"/>
  <c r="J4290" i="1"/>
  <c r="E487" i="1"/>
  <c r="E1968" i="1"/>
  <c r="U100" i="1"/>
  <c r="F61" i="3"/>
  <c r="G61" i="3" s="1"/>
  <c r="U36" i="1"/>
  <c r="M47" i="3"/>
  <c r="U383" i="1"/>
  <c r="U94" i="1"/>
  <c r="U4" i="1"/>
  <c r="U286" i="1"/>
  <c r="J1585" i="1"/>
  <c r="J1556" i="1"/>
  <c r="J230" i="1"/>
  <c r="J946" i="1"/>
  <c r="E728" i="1"/>
  <c r="J731" i="1"/>
  <c r="J1413" i="1"/>
  <c r="U146" i="1"/>
  <c r="U413" i="1"/>
  <c r="U135" i="1"/>
  <c r="V135" i="1" s="1"/>
  <c r="U241" i="1"/>
  <c r="V241" i="1" s="1"/>
  <c r="U395" i="1"/>
  <c r="U235" i="1"/>
  <c r="U69" i="1"/>
  <c r="V69" i="1" s="1"/>
  <c r="E1399" i="1"/>
  <c r="U320" i="1"/>
  <c r="F12" i="3"/>
  <c r="G12" i="3" s="1"/>
  <c r="K8" i="3" s="1"/>
  <c r="U104" i="1"/>
  <c r="U261" i="1"/>
  <c r="U336" i="1"/>
  <c r="U214" i="1"/>
  <c r="U95" i="1"/>
  <c r="U399" i="1"/>
  <c r="V399" i="1" s="1"/>
  <c r="U63" i="1"/>
  <c r="U338" i="1"/>
  <c r="J1130" i="1"/>
  <c r="E902" i="1"/>
  <c r="E2780" i="1"/>
  <c r="E611" i="1"/>
  <c r="J3339" i="1"/>
  <c r="J411" i="1"/>
  <c r="J684" i="1"/>
  <c r="E1323" i="1"/>
  <c r="J327" i="1"/>
  <c r="E350" i="1"/>
  <c r="E213" i="1"/>
  <c r="J114" i="1"/>
  <c r="J1120" i="1"/>
  <c r="J4535" i="1"/>
  <c r="J141" i="1"/>
  <c r="J246" i="1"/>
  <c r="J463" i="1"/>
  <c r="E911" i="1"/>
  <c r="E1176" i="1"/>
  <c r="E784" i="1"/>
  <c r="E46" i="1"/>
  <c r="U302" i="1"/>
  <c r="U385" i="1"/>
  <c r="U401" i="1"/>
  <c r="U361" i="1"/>
  <c r="U396" i="1"/>
  <c r="U173" i="1"/>
  <c r="U6" i="1"/>
  <c r="U77" i="1"/>
  <c r="U232" i="1"/>
  <c r="U243" i="1"/>
  <c r="U346" i="1"/>
  <c r="U147" i="1"/>
  <c r="U164" i="1"/>
  <c r="V164" i="1" s="1"/>
  <c r="U287" i="1"/>
  <c r="U179" i="1"/>
  <c r="U258" i="1"/>
  <c r="U181" i="1"/>
  <c r="U46" i="1"/>
  <c r="F46" i="3"/>
  <c r="G46" i="3" s="1"/>
  <c r="U182" i="1"/>
  <c r="U317" i="1"/>
  <c r="U415" i="1"/>
  <c r="F52" i="3"/>
  <c r="G52" i="3" s="1"/>
  <c r="U344" i="1"/>
  <c r="U255" i="1"/>
  <c r="U260" i="1"/>
  <c r="U392" i="1"/>
  <c r="F53" i="3"/>
  <c r="G53" i="3" s="1"/>
  <c r="U9" i="1"/>
  <c r="U98" i="1"/>
  <c r="F65" i="3"/>
  <c r="G65" i="3" s="1"/>
  <c r="U56" i="1"/>
  <c r="U137" i="1"/>
  <c r="V137" i="1" s="1"/>
  <c r="U328" i="1"/>
  <c r="U356" i="1"/>
  <c r="U438" i="1"/>
  <c r="F62" i="3"/>
  <c r="G62" i="3" s="1"/>
  <c r="U8" i="1"/>
  <c r="V8" i="1" s="1"/>
  <c r="U136" i="1"/>
  <c r="U332" i="1"/>
  <c r="U172" i="1"/>
  <c r="U389" i="1"/>
  <c r="U397" i="1"/>
  <c r="E364" i="1"/>
  <c r="E6" i="1"/>
  <c r="J928" i="1"/>
  <c r="J402" i="1"/>
  <c r="J120" i="1"/>
  <c r="E776" i="1"/>
  <c r="E2347" i="1"/>
  <c r="E569" i="1"/>
  <c r="E883" i="1"/>
  <c r="E394" i="1"/>
  <c r="J667" i="1"/>
  <c r="E1139" i="1"/>
  <c r="E761" i="1"/>
  <c r="E2907" i="1"/>
  <c r="J1361" i="1"/>
  <c r="E1063" i="1"/>
  <c r="J144" i="1"/>
  <c r="E1320" i="1"/>
  <c r="G1320" i="1" s="1"/>
  <c r="E632" i="1"/>
  <c r="E176" i="1"/>
  <c r="J384" i="1"/>
  <c r="E1153" i="1"/>
  <c r="J1037" i="1"/>
  <c r="J127" i="1"/>
  <c r="J822" i="1"/>
  <c r="J78" i="1"/>
  <c r="J515" i="1"/>
  <c r="J553" i="1"/>
  <c r="E1758" i="1"/>
  <c r="J2285" i="1"/>
  <c r="E1186" i="1"/>
  <c r="J816" i="1"/>
  <c r="E872" i="1"/>
  <c r="E803" i="1"/>
  <c r="J901" i="1"/>
  <c r="J1341" i="1"/>
  <c r="J824" i="1"/>
  <c r="E1019" i="1"/>
  <c r="E816" i="1"/>
  <c r="E556" i="1"/>
  <c r="J1861" i="1"/>
  <c r="J922" i="1"/>
  <c r="J2395" i="1"/>
  <c r="J523" i="1"/>
  <c r="J2515" i="1"/>
  <c r="J67" i="1"/>
  <c r="J241" i="1"/>
  <c r="E642" i="1"/>
  <c r="E102" i="1"/>
  <c r="J1852" i="1"/>
  <c r="E767" i="1"/>
  <c r="J5336" i="1"/>
  <c r="E742" i="1"/>
  <c r="E78" i="1"/>
  <c r="E1252" i="1"/>
  <c r="E2817" i="1"/>
  <c r="J1028" i="1"/>
  <c r="E2359" i="1"/>
  <c r="J927" i="1"/>
  <c r="E1856" i="1"/>
  <c r="E579" i="1"/>
  <c r="J1722" i="1"/>
  <c r="E2391" i="1"/>
  <c r="E2181" i="1"/>
  <c r="U17" i="1"/>
  <c r="F50" i="3"/>
  <c r="G50" i="3" s="1"/>
  <c r="E2142" i="1"/>
  <c r="J1095" i="1"/>
  <c r="E1801" i="1"/>
  <c r="U432" i="1"/>
  <c r="U183" i="1"/>
  <c r="U371" i="1"/>
  <c r="U350" i="1"/>
  <c r="F67" i="3"/>
  <c r="G67" i="3" s="1"/>
  <c r="J2417" i="1"/>
  <c r="U362" i="1"/>
  <c r="U291" i="1"/>
  <c r="U253" i="1"/>
  <c r="V253" i="1" s="1"/>
  <c r="U156" i="1"/>
  <c r="U201" i="1"/>
  <c r="U246" i="1"/>
  <c r="U293" i="1"/>
  <c r="U435" i="1"/>
  <c r="U91" i="1"/>
  <c r="U123" i="1"/>
  <c r="U274" i="1"/>
  <c r="U150" i="1"/>
  <c r="F31" i="3"/>
  <c r="U242" i="1"/>
  <c r="U411" i="1"/>
  <c r="V411" i="1" s="1"/>
  <c r="U326" i="1"/>
  <c r="J2533" i="1"/>
  <c r="E496" i="1"/>
  <c r="U387" i="1"/>
  <c r="U213" i="1"/>
  <c r="U272" i="1"/>
  <c r="F68" i="3"/>
  <c r="G68" i="3" s="1"/>
  <c r="U87" i="1"/>
  <c r="U266" i="1"/>
  <c r="U267" i="1"/>
  <c r="U37" i="1"/>
  <c r="U422" i="1"/>
  <c r="V422" i="1" s="1"/>
  <c r="U339" i="1"/>
  <c r="U337" i="1"/>
  <c r="U314" i="1"/>
  <c r="U290" i="1"/>
  <c r="U106" i="1"/>
  <c r="U97" i="1"/>
  <c r="U120" i="1"/>
  <c r="U167" i="1"/>
  <c r="U125" i="1"/>
  <c r="U53" i="1"/>
  <c r="U363" i="1"/>
  <c r="U360" i="1"/>
  <c r="V360" i="1" s="1"/>
  <c r="F48" i="3"/>
  <c r="G48" i="3" s="1"/>
  <c r="U90" i="1"/>
  <c r="U115" i="1"/>
  <c r="U412" i="1"/>
  <c r="U30" i="1"/>
  <c r="U118" i="1"/>
  <c r="U34" i="1"/>
  <c r="U345" i="1"/>
  <c r="U25" i="1"/>
  <c r="U108" i="1"/>
  <c r="U51" i="1"/>
  <c r="U11" i="1"/>
  <c r="V11" i="1" s="1"/>
  <c r="F24" i="3"/>
  <c r="G24" i="3" s="1"/>
  <c r="U216" i="1"/>
  <c r="U24" i="1"/>
  <c r="U21" i="1"/>
  <c r="F32" i="3"/>
  <c r="G32" i="3" s="1"/>
  <c r="U417" i="1"/>
  <c r="U430" i="1"/>
  <c r="J1189" i="1"/>
  <c r="E397" i="1"/>
  <c r="J2042" i="1"/>
  <c r="E1070" i="1"/>
  <c r="E1830" i="1"/>
  <c r="J70" i="1"/>
  <c r="E1021" i="1"/>
  <c r="E1549" i="1"/>
  <c r="J593" i="1"/>
  <c r="J542" i="1"/>
  <c r="E547" i="1"/>
  <c r="J2523" i="1"/>
  <c r="E700" i="1"/>
  <c r="E1705" i="1"/>
  <c r="E2463" i="1"/>
  <c r="E2165" i="1"/>
  <c r="J1190" i="1"/>
  <c r="E1505" i="1"/>
  <c r="J1086" i="1"/>
  <c r="J616" i="1"/>
  <c r="J212" i="1"/>
  <c r="E1543" i="1"/>
  <c r="E2202" i="1"/>
  <c r="E150" i="1"/>
  <c r="E1556" i="1"/>
  <c r="J77" i="1"/>
  <c r="J762" i="1"/>
  <c r="J3472" i="1"/>
  <c r="E111" i="1"/>
  <c r="E429" i="1"/>
  <c r="J63" i="1"/>
  <c r="J546" i="1"/>
  <c r="J606" i="1"/>
  <c r="J547" i="1"/>
  <c r="E75" i="1"/>
  <c r="J321" i="1"/>
  <c r="J1804" i="1"/>
  <c r="E131" i="1"/>
  <c r="E3554" i="1"/>
  <c r="J383" i="1"/>
  <c r="J370" i="1"/>
  <c r="E1071" i="1"/>
  <c r="E626" i="1"/>
  <c r="J619" i="1"/>
  <c r="E1545" i="1"/>
  <c r="E663" i="1"/>
  <c r="E535" i="1"/>
  <c r="E1888" i="1"/>
  <c r="E566" i="1"/>
  <c r="J2874" i="1"/>
  <c r="J966" i="1"/>
  <c r="J149" i="1"/>
  <c r="J472" i="1"/>
  <c r="J1045" i="1"/>
  <c r="J477" i="1"/>
  <c r="E1135" i="1"/>
  <c r="E109" i="1"/>
  <c r="E858" i="1"/>
  <c r="J795" i="1"/>
  <c r="J2317" i="1"/>
  <c r="J2311" i="1"/>
  <c r="J5878" i="1"/>
  <c r="E1454" i="1"/>
  <c r="E1805" i="1"/>
  <c r="E3429" i="1"/>
  <c r="J1492" i="1"/>
  <c r="J597" i="1"/>
  <c r="E1920" i="1"/>
  <c r="E1398" i="1"/>
  <c r="J713" i="1"/>
  <c r="E2111" i="1"/>
  <c r="J4405" i="1"/>
  <c r="J2797" i="1"/>
  <c r="E841" i="1"/>
  <c r="J930" i="1"/>
  <c r="J1383" i="1"/>
  <c r="E1335" i="1"/>
  <c r="G1335" i="1" s="1"/>
  <c r="J121" i="1"/>
  <c r="J1157" i="1"/>
  <c r="E2630" i="1"/>
  <c r="E388" i="1"/>
  <c r="E113" i="1"/>
  <c r="J1487" i="1"/>
  <c r="J2206" i="1"/>
  <c r="J1688" i="1"/>
  <c r="J694" i="1"/>
  <c r="J1290" i="1"/>
  <c r="J5914" i="1"/>
  <c r="J601" i="1"/>
  <c r="E492" i="1"/>
  <c r="J1491" i="1"/>
  <c r="J1887" i="1"/>
  <c r="E337" i="1"/>
  <c r="E531" i="1"/>
  <c r="J183" i="1"/>
  <c r="E3560" i="1"/>
  <c r="J434" i="1"/>
  <c r="E677" i="1"/>
  <c r="E139" i="1"/>
  <c r="J769" i="1"/>
  <c r="J309" i="1"/>
  <c r="E1680" i="1"/>
  <c r="E595" i="1"/>
  <c r="E1306" i="1"/>
  <c r="J609" i="1"/>
  <c r="E1028" i="1"/>
  <c r="E796" i="1"/>
  <c r="J611" i="1"/>
  <c r="J2301" i="1"/>
  <c r="J2378" i="1"/>
  <c r="J2809" i="1"/>
  <c r="E456" i="1"/>
  <c r="J3554" i="1"/>
  <c r="E340" i="1"/>
  <c r="J290" i="1"/>
  <c r="E1563" i="1"/>
  <c r="J989" i="1"/>
  <c r="E2188" i="1"/>
  <c r="J908" i="1"/>
  <c r="J456" i="1"/>
  <c r="J1730" i="1"/>
  <c r="J1040" i="1"/>
  <c r="J1580" i="1"/>
  <c r="E1977" i="1"/>
  <c r="J99" i="1"/>
  <c r="E606" i="1"/>
  <c r="J1331" i="1"/>
  <c r="J1291" i="1"/>
  <c r="J140" i="1"/>
  <c r="J33" i="1"/>
  <c r="J815" i="1"/>
  <c r="J1303" i="1"/>
  <c r="E643" i="1"/>
  <c r="J188" i="1"/>
  <c r="E1753" i="1"/>
  <c r="E736" i="1"/>
  <c r="E1089" i="1"/>
  <c r="E1421" i="1"/>
  <c r="J1005" i="1"/>
  <c r="E599" i="1"/>
  <c r="J2108" i="1"/>
  <c r="J416" i="1"/>
  <c r="J476" i="1"/>
  <c r="J3219" i="1"/>
  <c r="J744" i="1"/>
  <c r="J49" i="1"/>
  <c r="E330" i="1"/>
  <c r="E646" i="1"/>
  <c r="E1806" i="1"/>
  <c r="J80" i="1"/>
  <c r="E805" i="1"/>
  <c r="J591" i="1"/>
  <c r="E688" i="1"/>
  <c r="E5" i="1"/>
  <c r="J2185" i="1"/>
  <c r="J2836" i="1"/>
  <c r="E952" i="1"/>
  <c r="E325" i="1"/>
  <c r="J1961" i="1"/>
  <c r="E1887" i="1"/>
  <c r="J723" i="1"/>
  <c r="E965" i="1"/>
  <c r="J1854" i="1"/>
  <c r="E2087" i="1"/>
  <c r="E2199" i="1"/>
  <c r="J902" i="1"/>
  <c r="E2307" i="1"/>
  <c r="E2621" i="1"/>
  <c r="J1035" i="1"/>
  <c r="E357" i="1"/>
  <c r="E2227" i="1"/>
  <c r="E254" i="1"/>
  <c r="E1355" i="1"/>
  <c r="J293" i="1"/>
  <c r="E1213" i="1"/>
  <c r="E954" i="1"/>
  <c r="E1027" i="1"/>
  <c r="E2238" i="1"/>
  <c r="E575" i="1"/>
  <c r="E1847" i="1"/>
  <c r="J342" i="1"/>
  <c r="E1595" i="1"/>
  <c r="E2246" i="1"/>
  <c r="J2135" i="1"/>
  <c r="E138" i="1"/>
  <c r="E1364" i="1"/>
  <c r="J721" i="1"/>
  <c r="E710" i="1"/>
  <c r="E2546" i="1"/>
  <c r="E3916" i="1"/>
  <c r="E2116" i="1"/>
  <c r="J1801" i="1"/>
  <c r="J2684" i="1"/>
  <c r="J4759" i="1"/>
  <c r="E1597" i="1"/>
  <c r="E3806" i="1"/>
  <c r="J1442" i="1"/>
  <c r="E4070" i="1"/>
  <c r="J306" i="1"/>
  <c r="E408" i="1"/>
  <c r="E1067" i="1"/>
  <c r="E960" i="1"/>
  <c r="E489" i="1"/>
  <c r="J2855" i="1"/>
  <c r="J505" i="1"/>
  <c r="E2343" i="1"/>
  <c r="E58" i="1"/>
  <c r="J2280" i="1"/>
  <c r="J1359" i="1"/>
  <c r="E25" i="1"/>
  <c r="E584" i="1"/>
  <c r="E869" i="1"/>
  <c r="E424" i="1"/>
  <c r="J332" i="1"/>
  <c r="J633" i="1"/>
  <c r="E2094" i="1"/>
  <c r="E1788" i="1"/>
  <c r="E406" i="1"/>
  <c r="J437" i="1"/>
  <c r="J2057" i="1"/>
  <c r="J977" i="1"/>
  <c r="E939" i="1"/>
  <c r="J1780" i="1"/>
  <c r="J868" i="1"/>
  <c r="E174" i="1"/>
  <c r="J570" i="1"/>
  <c r="E650" i="1"/>
  <c r="E1714" i="1"/>
  <c r="J223" i="1"/>
  <c r="E2331" i="1"/>
  <c r="E4283" i="1"/>
  <c r="J738" i="1"/>
  <c r="E2596" i="1"/>
  <c r="J781" i="1"/>
  <c r="J336" i="1"/>
  <c r="J100" i="1"/>
  <c r="J491" i="1"/>
  <c r="J1198" i="1"/>
  <c r="J450" i="1"/>
  <c r="J511" i="1"/>
  <c r="E425" i="1"/>
  <c r="E1419" i="1"/>
  <c r="E1747" i="1"/>
  <c r="J858" i="1"/>
  <c r="E234" i="1"/>
  <c r="E2931" i="1"/>
  <c r="J949" i="1"/>
  <c r="J1323" i="1"/>
  <c r="E26" i="1"/>
  <c r="J1619" i="1"/>
  <c r="E458" i="1"/>
  <c r="J2574" i="1"/>
  <c r="J1460" i="1"/>
  <c r="J574" i="1"/>
  <c r="E1047" i="1"/>
  <c r="J145" i="1"/>
  <c r="E1344" i="1"/>
  <c r="J3886" i="1"/>
  <c r="J1543" i="1"/>
  <c r="E2208" i="1"/>
  <c r="J1453" i="1"/>
  <c r="E2956" i="1"/>
  <c r="J518" i="1"/>
  <c r="E370" i="1"/>
  <c r="J864" i="1"/>
  <c r="E633" i="1"/>
  <c r="J2791" i="1"/>
  <c r="E1408" i="1"/>
  <c r="E3423" i="1"/>
  <c r="E581" i="1"/>
  <c r="E2848" i="1"/>
  <c r="J660" i="1"/>
  <c r="E50" i="1"/>
  <c r="E5062" i="1"/>
  <c r="J1769" i="1"/>
  <c r="J1374" i="1"/>
  <c r="E791" i="1"/>
  <c r="E457" i="1"/>
  <c r="J2389" i="1"/>
  <c r="E1060" i="1"/>
  <c r="E200" i="1"/>
  <c r="E2900" i="1"/>
  <c r="E2451" i="1"/>
  <c r="E1739" i="1"/>
  <c r="E1700" i="1"/>
  <c r="E2496" i="1"/>
  <c r="E3552" i="1"/>
  <c r="J3036" i="1"/>
  <c r="J3161" i="1"/>
  <c r="E201" i="1"/>
  <c r="J1733" i="1"/>
  <c r="J300" i="1"/>
  <c r="J448" i="1"/>
  <c r="E1635" i="1"/>
  <c r="J1707" i="1"/>
  <c r="J1080" i="1"/>
  <c r="J938" i="1"/>
  <c r="J1121" i="1"/>
  <c r="J1194" i="1"/>
  <c r="E1427" i="1"/>
  <c r="J430" i="1"/>
  <c r="J1219" i="1"/>
  <c r="J936" i="1"/>
  <c r="J48" i="1"/>
  <c r="E1653" i="1"/>
  <c r="E2411" i="1"/>
  <c r="E729" i="1"/>
  <c r="J1004" i="1"/>
  <c r="E374" i="1"/>
  <c r="E271" i="1"/>
  <c r="E956" i="1"/>
  <c r="G956" i="1" s="1"/>
  <c r="E178" i="1"/>
  <c r="J1282" i="1"/>
  <c r="J2522" i="1"/>
  <c r="J1548" i="1"/>
  <c r="J1110" i="1"/>
  <c r="J11" i="1"/>
  <c r="E907" i="1"/>
  <c r="J563" i="1"/>
  <c r="J1292" i="1"/>
  <c r="J1763" i="1"/>
  <c r="J243" i="1"/>
  <c r="J184" i="1"/>
  <c r="J2613" i="1"/>
  <c r="J4487" i="1"/>
  <c r="E120" i="1"/>
  <c r="E950" i="1"/>
  <c r="E3492" i="1"/>
  <c r="J1975" i="1"/>
  <c r="J2048" i="1"/>
  <c r="J2406" i="1"/>
  <c r="J1598" i="1"/>
  <c r="J234" i="1"/>
  <c r="J379" i="1"/>
  <c r="J1305" i="1"/>
  <c r="J486" i="1"/>
  <c r="J653" i="1"/>
  <c r="E11" i="1"/>
  <c r="E525" i="1"/>
  <c r="J1970" i="1"/>
  <c r="J2355" i="1"/>
  <c r="J1140" i="1"/>
  <c r="J2495" i="1"/>
  <c r="E1598" i="1"/>
  <c r="E2055" i="1"/>
  <c r="J1088" i="1"/>
  <c r="E4440" i="1"/>
  <c r="E844" i="1"/>
  <c r="J2118" i="1"/>
  <c r="J1746" i="1"/>
  <c r="E1607" i="1"/>
  <c r="E899" i="1"/>
  <c r="E2212" i="1"/>
  <c r="E1109" i="1"/>
  <c r="J1493" i="1"/>
  <c r="J128" i="1"/>
  <c r="E407" i="1"/>
  <c r="E2468" i="1"/>
  <c r="E2697" i="1"/>
  <c r="E313" i="1"/>
  <c r="E785" i="1"/>
  <c r="E928" i="1"/>
  <c r="E104" i="1"/>
  <c r="J1044" i="1"/>
  <c r="J1297" i="1"/>
  <c r="J2690" i="1"/>
  <c r="J374" i="1"/>
  <c r="J2419" i="1"/>
  <c r="E1143" i="1"/>
  <c r="J3751" i="1"/>
  <c r="J767" i="1"/>
  <c r="E140" i="1"/>
  <c r="E1836" i="1"/>
  <c r="E4005" i="1"/>
  <c r="J1330" i="1"/>
  <c r="J1099" i="1"/>
  <c r="E3000" i="1"/>
  <c r="E1992" i="1"/>
  <c r="J1054" i="1"/>
  <c r="E2440" i="1"/>
  <c r="E331" i="1"/>
  <c r="J2269" i="1"/>
  <c r="E947" i="1"/>
  <c r="E945" i="1"/>
  <c r="E2067" i="1"/>
  <c r="E309" i="1"/>
  <c r="E491" i="1"/>
  <c r="J2120" i="1"/>
  <c r="E1735" i="1"/>
  <c r="E97" i="1"/>
  <c r="E244" i="1"/>
  <c r="J1464" i="1"/>
  <c r="J484" i="1"/>
  <c r="J554" i="1"/>
  <c r="J800" i="1"/>
  <c r="J772" i="1"/>
  <c r="J3249" i="1"/>
  <c r="E1294" i="1"/>
  <c r="E842" i="1"/>
  <c r="E1272" i="1"/>
  <c r="E3032" i="1"/>
  <c r="E256" i="1"/>
  <c r="E588" i="1"/>
  <c r="E344" i="1"/>
  <c r="J1617" i="1"/>
  <c r="J954" i="1"/>
  <c r="J850" i="1"/>
  <c r="J322" i="1"/>
  <c r="E88" i="1"/>
  <c r="J57" i="1"/>
  <c r="E1704" i="1"/>
  <c r="J1406" i="1"/>
  <c r="J787" i="1"/>
  <c r="J2659" i="1"/>
  <c r="E468" i="1"/>
  <c r="J2927" i="1"/>
  <c r="E1460" i="1"/>
  <c r="J250" i="1"/>
  <c r="E3047" i="1"/>
  <c r="E3025" i="1"/>
  <c r="E2155" i="1"/>
  <c r="J2653" i="1"/>
  <c r="J1726" i="1"/>
  <c r="J42" i="1"/>
  <c r="J326" i="1"/>
  <c r="J235" i="1"/>
  <c r="E948" i="1"/>
  <c r="J696" i="1"/>
  <c r="J339" i="1"/>
  <c r="J950" i="1"/>
  <c r="E2051" i="1"/>
  <c r="E1330" i="1"/>
  <c r="J2315" i="1"/>
  <c r="E7" i="1"/>
  <c r="E989" i="1"/>
  <c r="J1023" i="1"/>
  <c r="E286" i="1"/>
  <c r="J956" i="1"/>
  <c r="E1123" i="1"/>
  <c r="J2660" i="1"/>
  <c r="J3201" i="1"/>
  <c r="E2967" i="1"/>
  <c r="J1644" i="1"/>
  <c r="E1322" i="1"/>
  <c r="J487" i="1"/>
  <c r="J1555" i="1"/>
  <c r="E1885" i="1"/>
  <c r="E153" i="1"/>
  <c r="J274" i="1"/>
  <c r="J2013" i="1"/>
  <c r="J143" i="1"/>
  <c r="E1362" i="1"/>
  <c r="E2041" i="1"/>
  <c r="E1578" i="1"/>
  <c r="J802" i="1"/>
  <c r="E975" i="1"/>
  <c r="E1266" i="1"/>
  <c r="J56" i="1"/>
  <c r="J2040" i="1"/>
  <c r="E18" i="1"/>
  <c r="E210" i="1"/>
  <c r="E619" i="1"/>
  <c r="E794" i="1"/>
  <c r="J2756" i="1"/>
  <c r="E1504" i="1"/>
  <c r="J704" i="1"/>
  <c r="J1439" i="1"/>
  <c r="E464" i="1"/>
  <c r="E1370" i="1"/>
  <c r="J1318" i="1"/>
  <c r="E1855" i="1"/>
  <c r="J198" i="1"/>
  <c r="J604" i="1"/>
  <c r="E2044" i="1"/>
  <c r="E252" i="1"/>
  <c r="E484" i="1"/>
  <c r="E1076" i="1"/>
  <c r="J581" i="1"/>
  <c r="J1091" i="1"/>
  <c r="E281" i="1"/>
  <c r="E1090" i="1"/>
  <c r="E1623" i="1"/>
  <c r="E230" i="1"/>
  <c r="E580" i="1"/>
  <c r="E3803" i="1"/>
  <c r="J10" i="1"/>
  <c r="E467" i="1"/>
  <c r="E180" i="1"/>
  <c r="J446" i="1"/>
  <c r="E123" i="1"/>
  <c r="J876" i="1"/>
  <c r="E1068" i="1"/>
  <c r="E541" i="1"/>
  <c r="E2368" i="1"/>
  <c r="J2265" i="1"/>
  <c r="J517" i="1"/>
  <c r="E944" i="1"/>
  <c r="E546" i="1"/>
  <c r="J3616" i="1"/>
  <c r="J595" i="1"/>
  <c r="J2880" i="1"/>
  <c r="E678" i="1"/>
  <c r="J447" i="1"/>
  <c r="E2379" i="1"/>
  <c r="J1530" i="1"/>
  <c r="E2399" i="1"/>
  <c r="E571" i="1"/>
  <c r="J347" i="1"/>
  <c r="J718" i="1"/>
  <c r="J1456" i="1"/>
  <c r="E1058" i="1"/>
  <c r="E959" i="1"/>
  <c r="J1293" i="1"/>
  <c r="J310" i="1"/>
  <c r="E562" i="1"/>
  <c r="J941" i="1"/>
  <c r="J529" i="1"/>
  <c r="E1625" i="1"/>
  <c r="J1076" i="1"/>
  <c r="J1979" i="1"/>
  <c r="E352" i="1"/>
  <c r="E1918" i="1"/>
  <c r="J881" i="1"/>
  <c r="E2306" i="1"/>
  <c r="J81" i="1"/>
  <c r="E80" i="1"/>
  <c r="J147" i="1"/>
  <c r="E135" i="1"/>
  <c r="J530" i="1"/>
  <c r="E1833" i="1"/>
  <c r="E565" i="1"/>
  <c r="E42" i="1"/>
  <c r="J3230" i="1"/>
  <c r="J2604" i="1"/>
  <c r="E1204" i="1"/>
  <c r="E631" i="1"/>
  <c r="J2242" i="1"/>
  <c r="J334" i="1"/>
  <c r="E993" i="1"/>
  <c r="E644" i="1"/>
  <c r="J20" i="1"/>
  <c r="E393" i="1"/>
  <c r="J1806" i="1"/>
  <c r="J453" i="1"/>
  <c r="E2511" i="1"/>
  <c r="E1423" i="1"/>
  <c r="E472" i="1"/>
  <c r="E1603" i="1"/>
  <c r="E2713" i="1"/>
  <c r="E1546" i="1"/>
  <c r="J82" i="1"/>
  <c r="E469" i="1"/>
  <c r="J3119" i="1"/>
  <c r="E1440" i="1"/>
  <c r="J557" i="1"/>
  <c r="E822" i="1"/>
  <c r="J396" i="1"/>
  <c r="J3372" i="1"/>
  <c r="E2532" i="1"/>
  <c r="J2951" i="1"/>
  <c r="J793" i="1"/>
  <c r="J804" i="1"/>
  <c r="E16" i="1"/>
  <c r="E553" i="1"/>
  <c r="E1321" i="1"/>
  <c r="E1373" i="1"/>
  <c r="J1642" i="1"/>
  <c r="E961" i="1"/>
  <c r="G966" i="1" s="1"/>
  <c r="J3654" i="1"/>
  <c r="J532" i="1"/>
  <c r="E1555" i="1"/>
  <c r="E1608" i="1"/>
  <c r="E2477" i="1"/>
  <c r="E648" i="1"/>
  <c r="J3076" i="1"/>
  <c r="J2860" i="1"/>
  <c r="J3647" i="1"/>
  <c r="E3971" i="1"/>
  <c r="J2601" i="1"/>
  <c r="J1062" i="1"/>
  <c r="J4019" i="1"/>
  <c r="J1718" i="1"/>
  <c r="J1273" i="1"/>
  <c r="E1565" i="1"/>
  <c r="E1811" i="1"/>
  <c r="E265" i="1"/>
  <c r="E4308" i="1"/>
  <c r="J494" i="1"/>
  <c r="E691" i="1"/>
  <c r="E719" i="1"/>
  <c r="E557" i="1"/>
  <c r="J2862" i="1"/>
  <c r="J296" i="1"/>
  <c r="J7" i="1"/>
  <c r="E537" i="1"/>
  <c r="J1606" i="1"/>
  <c r="E3382" i="1"/>
  <c r="J2935" i="1"/>
  <c r="J1217" i="1"/>
  <c r="E558" i="1"/>
  <c r="E1694" i="1"/>
  <c r="J1810" i="1"/>
  <c r="J134" i="1"/>
  <c r="E328" i="1"/>
  <c r="J419" i="1"/>
  <c r="E485" i="1"/>
  <c r="J571" i="1"/>
  <c r="J819" i="1"/>
  <c r="E1490" i="1"/>
  <c r="J2885" i="1"/>
  <c r="J2446" i="1"/>
  <c r="J3175" i="1"/>
  <c r="J826" i="1"/>
  <c r="J1024" i="1"/>
  <c r="E55" i="1"/>
  <c r="E1246" i="1"/>
  <c r="E741" i="1"/>
  <c r="J1358" i="1"/>
  <c r="J207" i="1"/>
  <c r="E2042" i="1"/>
  <c r="E399" i="1"/>
  <c r="J151" i="1"/>
  <c r="E1017" i="1"/>
  <c r="J28" i="1"/>
  <c r="J47" i="1"/>
  <c r="J2202" i="1"/>
  <c r="J2028" i="1"/>
  <c r="E774" i="1"/>
  <c r="J371" i="1"/>
  <c r="J1595" i="1"/>
  <c r="E914" i="1"/>
  <c r="E2874" i="1"/>
  <c r="E1014" i="1"/>
  <c r="E1897" i="1"/>
  <c r="J886" i="1"/>
  <c r="E668" i="1"/>
  <c r="J1867" i="1"/>
  <c r="E1085" i="1"/>
  <c r="J1124" i="1"/>
  <c r="E682" i="1"/>
  <c r="E1632" i="1"/>
  <c r="G1632" i="1" s="1"/>
  <c r="E3825" i="1"/>
  <c r="E2219" i="1"/>
  <c r="E991" i="1"/>
  <c r="J2077" i="1"/>
  <c r="J35" i="1"/>
  <c r="J689" i="1"/>
  <c r="E666" i="1"/>
  <c r="J879" i="1"/>
  <c r="E845" i="1"/>
  <c r="J1148" i="1"/>
  <c r="E1416" i="1"/>
  <c r="J2215" i="1"/>
  <c r="E649" i="1"/>
  <c r="J1455" i="1"/>
  <c r="J1229" i="1"/>
  <c r="J715" i="1"/>
  <c r="J460" i="1"/>
  <c r="E412" i="1"/>
  <c r="J214" i="1"/>
  <c r="J2627" i="1"/>
  <c r="E3287" i="1"/>
  <c r="J2525" i="1"/>
  <c r="E1150" i="1"/>
  <c r="J1463" i="1"/>
  <c r="E748" i="1"/>
  <c r="E1794" i="1"/>
  <c r="J279" i="1"/>
  <c r="J16" i="1"/>
  <c r="E2128" i="1"/>
  <c r="J510" i="1"/>
  <c r="E367" i="1"/>
  <c r="E801" i="1"/>
  <c r="J1411" i="1"/>
  <c r="J699" i="1"/>
  <c r="E1377" i="1"/>
  <c r="J2046" i="1"/>
  <c r="E731" i="1"/>
  <c r="J4280" i="1"/>
  <c r="E455" i="1"/>
  <c r="E3482" i="1"/>
  <c r="J2012" i="1"/>
  <c r="J226" i="1"/>
  <c r="E435" i="1"/>
  <c r="E2112" i="1"/>
  <c r="J2143" i="1"/>
  <c r="J2873" i="1"/>
  <c r="J1412" i="1"/>
  <c r="J1607" i="1"/>
  <c r="J1379" i="1"/>
  <c r="E3550" i="1"/>
  <c r="J1427" i="1"/>
  <c r="J1216" i="1"/>
  <c r="E510" i="1"/>
  <c r="J1936" i="1"/>
  <c r="J3650" i="1"/>
  <c r="J590" i="1"/>
  <c r="J2126" i="1"/>
  <c r="J526" i="1"/>
  <c r="E1935" i="1"/>
  <c r="E1716" i="1"/>
  <c r="E1271" i="1"/>
  <c r="J2426" i="1"/>
  <c r="J5040" i="1"/>
  <c r="E520" i="1"/>
  <c r="E1713" i="1"/>
  <c r="J1085" i="1"/>
  <c r="E2772" i="1"/>
  <c r="E568" i="1"/>
  <c r="J1922" i="1"/>
  <c r="J2631" i="1"/>
  <c r="E2968" i="1"/>
  <c r="J142" i="1"/>
  <c r="J700" i="1"/>
  <c r="J985" i="1"/>
  <c r="E2731" i="1"/>
  <c r="E773" i="1"/>
  <c r="J3095" i="1"/>
  <c r="J2571" i="1"/>
  <c r="E117" i="1"/>
  <c r="E782" i="1"/>
  <c r="E821" i="1"/>
  <c r="J705" i="1"/>
  <c r="E2114" i="1"/>
  <c r="J331" i="1"/>
  <c r="E722" i="1"/>
  <c r="J714" i="1"/>
  <c r="E1075" i="1"/>
  <c r="J225" i="1"/>
  <c r="J1405" i="1"/>
  <c r="J294" i="1"/>
  <c r="J1635" i="1"/>
  <c r="E414" i="1"/>
  <c r="E3571" i="1"/>
  <c r="E1777" i="1"/>
  <c r="J1599" i="1"/>
  <c r="J289" i="1"/>
  <c r="E378" i="1"/>
  <c r="J355" i="1"/>
  <c r="J688" i="1"/>
  <c r="J407" i="1"/>
  <c r="J935" i="1"/>
  <c r="J1241" i="1"/>
  <c r="E2415" i="1"/>
  <c r="J1278" i="1"/>
  <c r="E936" i="1"/>
  <c r="E401" i="1"/>
  <c r="J335" i="1"/>
  <c r="J2327" i="1"/>
  <c r="E9" i="1"/>
  <c r="E725" i="1"/>
  <c r="J933" i="1"/>
  <c r="E840" i="1"/>
  <c r="E1969" i="1"/>
  <c r="E144" i="1"/>
  <c r="J1327" i="1"/>
  <c r="E495" i="1"/>
  <c r="J1092" i="1"/>
  <c r="E143" i="1"/>
  <c r="E963" i="1"/>
  <c r="J637" i="1"/>
  <c r="E990" i="1"/>
  <c r="E1024" i="1"/>
  <c r="J421" i="1"/>
  <c r="E519" i="1"/>
  <c r="J297" i="1"/>
  <c r="J2052" i="1"/>
  <c r="E307" i="1"/>
  <c r="E545" i="1"/>
  <c r="J920" i="1"/>
  <c r="E1844" i="1"/>
  <c r="E345" i="1"/>
  <c r="J712" i="1"/>
  <c r="E2922" i="1"/>
  <c r="J866" i="1"/>
  <c r="J2841" i="1"/>
  <c r="E835" i="1"/>
  <c r="J333" i="1"/>
  <c r="E2698" i="1"/>
  <c r="E2704" i="1"/>
  <c r="E304" i="1"/>
  <c r="J1138" i="1"/>
  <c r="J2211" i="1"/>
  <c r="E2129" i="1"/>
  <c r="J759" i="1"/>
  <c r="E426" i="1"/>
  <c r="E162" i="1"/>
  <c r="J856" i="1"/>
  <c r="J602" i="1"/>
  <c r="J2485" i="1"/>
  <c r="J1698" i="1"/>
  <c r="E2518" i="1"/>
  <c r="J367" i="1"/>
  <c r="E2523" i="1"/>
  <c r="E1192" i="1"/>
  <c r="J634" i="1"/>
  <c r="J840" i="1"/>
  <c r="J898" i="1"/>
  <c r="E33" i="1"/>
  <c r="J1304" i="1"/>
  <c r="J1377" i="1"/>
  <c r="E236" i="1"/>
  <c r="J717" i="1"/>
  <c r="J1055" i="1"/>
  <c r="E463" i="1"/>
  <c r="J3082" i="1"/>
  <c r="J643" i="1"/>
  <c r="J654" i="1"/>
  <c r="J3034" i="1"/>
  <c r="J1351" i="1"/>
  <c r="J2130" i="1"/>
  <c r="J1387" i="1"/>
  <c r="J93" i="1"/>
  <c r="E764" i="1"/>
  <c r="E1059" i="1"/>
  <c r="E316" i="1"/>
  <c r="E1610" i="1"/>
  <c r="J551" i="1"/>
  <c r="E2584" i="1"/>
  <c r="J957" i="1"/>
  <c r="J1679" i="1"/>
  <c r="J630" i="1"/>
  <c r="J146" i="1"/>
  <c r="J1299" i="1"/>
  <c r="E951" i="1"/>
  <c r="E1260" i="1"/>
  <c r="J2400" i="1"/>
  <c r="J2788" i="1"/>
  <c r="J1209" i="1"/>
  <c r="E3503" i="1"/>
  <c r="J539" i="1"/>
  <c r="E849" i="1"/>
  <c r="E1736" i="1"/>
  <c r="E402" i="1"/>
  <c r="E536" i="1"/>
  <c r="J1310" i="1"/>
  <c r="J1244" i="1"/>
  <c r="J870" i="1"/>
  <c r="E1215" i="1"/>
  <c r="J3233" i="1"/>
  <c r="E1631" i="1"/>
  <c r="E2881" i="1"/>
  <c r="E1116" i="1"/>
  <c r="J1564" i="1"/>
  <c r="E549" i="1"/>
  <c r="J1431" i="1"/>
  <c r="E1909" i="1"/>
  <c r="J2982" i="1"/>
  <c r="E1782" i="1"/>
  <c r="E1044" i="1"/>
  <c r="E1134" i="1"/>
  <c r="E4693" i="1"/>
  <c r="J1687" i="1"/>
  <c r="J1328" i="1"/>
  <c r="J2972" i="1"/>
  <c r="J12" i="1"/>
  <c r="E2264" i="1"/>
  <c r="J60" i="1"/>
  <c r="J2244" i="1"/>
  <c r="J1301" i="1"/>
  <c r="E232" i="1"/>
  <c r="J785" i="1"/>
  <c r="E1053" i="1"/>
  <c r="J2752" i="1"/>
  <c r="J1150" i="1"/>
  <c r="J692" i="1"/>
  <c r="E2280" i="1"/>
  <c r="E1001" i="1"/>
  <c r="J136" i="1"/>
  <c r="J2413" i="1"/>
  <c r="E638" i="1"/>
  <c r="J1594" i="1"/>
  <c r="J2196" i="1"/>
  <c r="J26" i="1"/>
  <c r="E938" i="1"/>
  <c r="E419" i="1"/>
  <c r="J711" i="1"/>
  <c r="J75" i="1"/>
  <c r="J1094" i="1"/>
  <c r="E1349" i="1"/>
  <c r="J2328" i="1"/>
  <c r="E460" i="1"/>
  <c r="J2302" i="1"/>
  <c r="E2655" i="1"/>
  <c r="J2180" i="1"/>
  <c r="E287" i="1"/>
  <c r="J1809" i="1"/>
  <c r="J1528" i="1"/>
  <c r="E314" i="1"/>
  <c r="E662" i="1"/>
  <c r="E34" i="1"/>
  <c r="E1851" i="1"/>
  <c r="J561" i="1"/>
  <c r="E815" i="1"/>
  <c r="E508" i="1"/>
  <c r="E3104" i="1"/>
  <c r="J549" i="1"/>
  <c r="J1233" i="1"/>
  <c r="E1899" i="1"/>
  <c r="J363" i="1"/>
  <c r="J91" i="1"/>
  <c r="E836" i="1"/>
  <c r="E47" i="1"/>
  <c r="J403" i="1"/>
  <c r="E1177" i="1"/>
  <c r="E310" i="1"/>
  <c r="E860" i="1"/>
  <c r="E1191" i="1"/>
  <c r="J3153" i="1"/>
  <c r="J3016" i="1"/>
  <c r="E1649" i="1"/>
  <c r="J548" i="1"/>
  <c r="E697" i="1"/>
  <c r="E1283" i="1"/>
  <c r="J2453" i="1"/>
  <c r="J1633" i="1"/>
  <c r="J1992" i="1"/>
  <c r="J338" i="1"/>
  <c r="J1877" i="1"/>
  <c r="J1618" i="1"/>
  <c r="J3212" i="1"/>
  <c r="J686" i="1"/>
  <c r="J1628" i="1"/>
  <c r="J751" i="1"/>
  <c r="J2868" i="1"/>
  <c r="J4698" i="1"/>
  <c r="J1774" i="1"/>
  <c r="E2396" i="1"/>
  <c r="E1237" i="1"/>
  <c r="J2749" i="1"/>
  <c r="J192" i="1"/>
  <c r="J1144" i="1"/>
  <c r="E2750" i="1"/>
  <c r="J1876" i="1"/>
  <c r="E2438" i="1"/>
  <c r="J899" i="1"/>
  <c r="J771" i="1"/>
  <c r="J2318" i="1"/>
  <c r="E3163" i="1"/>
  <c r="J2236" i="1"/>
  <c r="J2125" i="1"/>
  <c r="E1141" i="1"/>
  <c r="E74" i="1"/>
  <c r="E1551" i="1"/>
  <c r="E1254" i="1"/>
  <c r="E2946" i="1"/>
  <c r="J2536" i="1"/>
  <c r="J189" i="1"/>
  <c r="E101" i="1"/>
  <c r="E711" i="1"/>
  <c r="E1169" i="1"/>
  <c r="E2376" i="1"/>
  <c r="E715" i="1"/>
  <c r="E730" i="1"/>
  <c r="E1125" i="1"/>
  <c r="J2260" i="1"/>
  <c r="E107" i="1"/>
  <c r="E778" i="1"/>
  <c r="E1766" i="1"/>
  <c r="J761" i="1"/>
  <c r="J2078" i="1"/>
  <c r="J745" i="1"/>
  <c r="J1276" i="1"/>
  <c r="E219" i="1"/>
  <c r="E799" i="1"/>
  <c r="G799" i="1" s="1"/>
  <c r="E164" i="1"/>
  <c r="E267" i="1"/>
  <c r="J256" i="1"/>
  <c r="E1991" i="1"/>
  <c r="J1220" i="1"/>
  <c r="E4956" i="1"/>
  <c r="J358" i="1"/>
  <c r="E1980" i="1"/>
  <c r="E3558" i="1"/>
  <c r="J679" i="1"/>
  <c r="J325" i="1"/>
  <c r="J2970" i="1"/>
  <c r="J2326" i="1"/>
  <c r="E2157" i="1"/>
  <c r="E712" i="1"/>
  <c r="E1538" i="1"/>
  <c r="E502" i="1"/>
  <c r="E576" i="1"/>
  <c r="J357" i="1"/>
  <c r="E873" i="1"/>
  <c r="J436" i="1"/>
  <c r="J2255" i="1"/>
  <c r="J1444" i="1"/>
  <c r="J177" i="1"/>
  <c r="J1482" i="1"/>
  <c r="J1846" i="1"/>
  <c r="E693" i="1"/>
  <c r="E1594" i="1"/>
  <c r="J728" i="1"/>
  <c r="E781" i="1"/>
  <c r="E59" i="1"/>
  <c r="E2436" i="1"/>
  <c r="J278" i="1"/>
  <c r="J66" i="1"/>
  <c r="J414" i="1"/>
  <c r="J190" i="1"/>
  <c r="J2058" i="1"/>
  <c r="J1449" i="1"/>
  <c r="J1270" i="1"/>
  <c r="E3723" i="1"/>
  <c r="J533" i="1"/>
  <c r="E1575" i="1"/>
  <c r="J3077" i="1"/>
  <c r="E2210" i="1"/>
  <c r="E198" i="1"/>
  <c r="J105" i="1"/>
  <c r="J1352" i="1"/>
  <c r="E77" i="1"/>
  <c r="E2274" i="1"/>
  <c r="J465" i="1"/>
  <c r="J1173" i="1"/>
  <c r="J782" i="1"/>
  <c r="J1281" i="1"/>
  <c r="E695" i="1"/>
  <c r="E593" i="1"/>
  <c r="J1393" i="1"/>
  <c r="J3534" i="1"/>
  <c r="J369" i="1"/>
  <c r="E1721" i="1"/>
  <c r="J578" i="1"/>
  <c r="J409" i="1"/>
  <c r="E1839" i="1"/>
  <c r="E2913" i="1"/>
  <c r="J2127" i="1"/>
  <c r="J104" i="1"/>
  <c r="E450" i="1"/>
  <c r="E3329" i="1"/>
  <c r="J1402" i="1"/>
  <c r="J2953" i="1"/>
  <c r="J415" i="1"/>
  <c r="E605" i="1"/>
  <c r="J1376" i="1"/>
  <c r="J2587" i="1"/>
  <c r="E1596" i="1"/>
  <c r="J441" i="1"/>
  <c r="J4710" i="1"/>
  <c r="J638" i="1"/>
  <c r="J958" i="1"/>
  <c r="J859" i="1"/>
  <c r="J904" i="1"/>
  <c r="E1659" i="1"/>
  <c r="J2625" i="1"/>
  <c r="E974" i="1"/>
  <c r="J2794" i="1"/>
  <c r="E1096" i="1"/>
  <c r="J4082" i="1"/>
  <c r="E2679" i="1"/>
  <c r="E609" i="1"/>
  <c r="E2723" i="1"/>
  <c r="E2001" i="1"/>
  <c r="J1230" i="1"/>
  <c r="E197" i="1"/>
  <c r="J129" i="1"/>
  <c r="J166" i="1"/>
  <c r="J588" i="1"/>
  <c r="J2198" i="1"/>
  <c r="E733" i="1"/>
  <c r="E1524" i="1"/>
  <c r="J916" i="1"/>
  <c r="J2434" i="1"/>
  <c r="E193" i="1"/>
  <c r="E2031" i="1"/>
  <c r="E179" i="1"/>
  <c r="J845" i="1"/>
  <c r="E2712" i="1"/>
  <c r="E885" i="1"/>
  <c r="E3243" i="1"/>
  <c r="J2505" i="1"/>
  <c r="J1937" i="1"/>
  <c r="E1307" i="1"/>
  <c r="E2012" i="1"/>
  <c r="J573" i="1"/>
  <c r="J400" i="1"/>
  <c r="J2990" i="1"/>
  <c r="E1741" i="1"/>
  <c r="J94" i="1"/>
  <c r="J3942" i="1"/>
  <c r="J3268" i="1"/>
  <c r="E283" i="1"/>
  <c r="E1651" i="1"/>
  <c r="E2255" i="1"/>
  <c r="E856" i="1"/>
  <c r="E810" i="1"/>
  <c r="J443" i="1"/>
  <c r="E669" i="1"/>
  <c r="J849" i="1"/>
  <c r="J1277" i="1"/>
  <c r="E1264" i="1"/>
  <c r="J1446" i="1"/>
  <c r="E831" i="1"/>
  <c r="E2185" i="1"/>
  <c r="J2442" i="1"/>
  <c r="J603" i="1"/>
  <c r="E2447" i="1"/>
  <c r="E391" i="1"/>
  <c r="J516" i="1"/>
  <c r="E1417" i="1"/>
  <c r="E142" i="1"/>
  <c r="J644" i="1"/>
  <c r="J3277" i="1"/>
  <c r="J514" i="1"/>
  <c r="J1133" i="1"/>
  <c r="E81" i="1"/>
  <c r="E1568" i="1"/>
  <c r="E708" i="1"/>
  <c r="E1206" i="1"/>
  <c r="E2552" i="1"/>
  <c r="E308" i="1"/>
  <c r="J615" i="1"/>
  <c r="E540" i="1"/>
  <c r="E295" i="1"/>
  <c r="E610" i="1"/>
  <c r="J394" i="1"/>
  <c r="E2314" i="1"/>
  <c r="J2705" i="1"/>
  <c r="E2757" i="1"/>
  <c r="E371" i="1"/>
  <c r="E865" i="1"/>
  <c r="E1519" i="1"/>
  <c r="E1499" i="1"/>
  <c r="E448" i="1"/>
  <c r="E1553" i="1"/>
  <c r="E56" i="1"/>
  <c r="J2051" i="1"/>
  <c r="J53" i="1"/>
  <c r="E542" i="1"/>
  <c r="J380" i="1"/>
  <c r="E2692" i="1"/>
  <c r="J266" i="1"/>
  <c r="E8" i="1"/>
  <c r="J765" i="1"/>
  <c r="E850" i="1"/>
  <c r="E2485" i="1"/>
  <c r="J1280" i="1"/>
  <c r="E1854" i="1"/>
  <c r="E196" i="1"/>
  <c r="E1302" i="1"/>
  <c r="J2222" i="1"/>
  <c r="E1000" i="1"/>
  <c r="E1361" i="1"/>
  <c r="E410" i="1"/>
  <c r="E1057" i="1"/>
  <c r="J138" i="1"/>
  <c r="E694" i="1"/>
  <c r="J647" i="1"/>
  <c r="E490" i="1"/>
  <c r="J1104" i="1"/>
  <c r="E895" i="1"/>
  <c r="E292" i="1"/>
  <c r="J314" i="1"/>
  <c r="E640" i="1"/>
  <c r="E262" i="1"/>
  <c r="E3180" i="1"/>
  <c r="E2524" i="1"/>
  <c r="J111" i="1"/>
  <c r="J1380" i="1"/>
  <c r="J1447" i="1"/>
  <c r="J706" i="1"/>
  <c r="J3006" i="1"/>
  <c r="J354" i="1"/>
  <c r="E738" i="1"/>
  <c r="J1440" i="1"/>
  <c r="E811" i="1"/>
  <c r="J269" i="1"/>
  <c r="J1160" i="1"/>
  <c r="E2709" i="1"/>
  <c r="J1414" i="1"/>
  <c r="J880" i="1"/>
  <c r="J558" i="1"/>
  <c r="E1086" i="1"/>
  <c r="J2043" i="1"/>
  <c r="E2231" i="1"/>
  <c r="J1714" i="1"/>
  <c r="J2008" i="1"/>
  <c r="J231" i="1"/>
  <c r="E177" i="1"/>
  <c r="E1267" i="1"/>
  <c r="E2172" i="1"/>
  <c r="E40" i="1"/>
  <c r="J1158" i="1"/>
  <c r="J1796" i="1"/>
  <c r="J865" i="1"/>
  <c r="E2029" i="1"/>
  <c r="J24" i="1"/>
  <c r="E1765" i="1"/>
  <c r="E1308" i="1"/>
  <c r="E918" i="1"/>
  <c r="J87" i="1"/>
  <c r="J525" i="1"/>
  <c r="E769" i="1"/>
  <c r="J381" i="1"/>
  <c r="E1193" i="1"/>
  <c r="J1969" i="1"/>
  <c r="J2229" i="1"/>
  <c r="E1200" i="1"/>
  <c r="E749" i="1"/>
  <c r="E2974" i="1"/>
  <c r="J3635" i="1"/>
  <c r="E1848" i="1"/>
  <c r="E2233" i="1"/>
  <c r="J1423" i="1"/>
  <c r="E1383" i="1"/>
  <c r="J2168" i="1"/>
  <c r="E3070" i="1"/>
  <c r="E1041" i="1"/>
  <c r="E3249" i="1"/>
  <c r="J423" i="1"/>
  <c r="J1357" i="1"/>
  <c r="E2084" i="1"/>
  <c r="E1860" i="1"/>
  <c r="E3726" i="1"/>
  <c r="J2360" i="1"/>
  <c r="E4248" i="1"/>
  <c r="J1965" i="1"/>
  <c r="J2610" i="1"/>
  <c r="E1297" i="1"/>
  <c r="J1166" i="1"/>
  <c r="J106" i="1"/>
  <c r="J390" i="1"/>
  <c r="J1537" i="1"/>
  <c r="E1301" i="1"/>
  <c r="E3088" i="1"/>
  <c r="J328" i="1"/>
  <c r="E2329" i="1"/>
  <c r="J5016" i="1"/>
  <c r="J867" i="1"/>
  <c r="J1840" i="1"/>
  <c r="J3969" i="1"/>
  <c r="E1904" i="1"/>
  <c r="J678" i="1"/>
  <c r="E3655" i="1"/>
  <c r="J1009" i="1"/>
  <c r="J990" i="1"/>
  <c r="E1951" i="1"/>
  <c r="J2555" i="1"/>
  <c r="J3015" i="1"/>
  <c r="E855" i="1"/>
  <c r="E226" i="1"/>
  <c r="E1136" i="1"/>
  <c r="J2337" i="1"/>
  <c r="E69" i="1"/>
  <c r="E3506" i="1"/>
  <c r="J2322" i="1"/>
  <c r="J2351" i="1"/>
  <c r="J1433" i="1"/>
  <c r="J1182" i="1"/>
  <c r="E146" i="1"/>
  <c r="E1248" i="1"/>
  <c r="G1253" i="1" s="1"/>
  <c r="J292" i="1"/>
  <c r="J2060" i="1"/>
  <c r="E290" i="1"/>
  <c r="J1032" i="1"/>
  <c r="J317" i="1"/>
  <c r="J3" i="1"/>
  <c r="J2568" i="1"/>
  <c r="J2320" i="1"/>
  <c r="E1771" i="1"/>
  <c r="J2214" i="1"/>
  <c r="E3220" i="1"/>
  <c r="E600" i="1"/>
  <c r="J345" i="1"/>
  <c r="E1275" i="1"/>
  <c r="J1831" i="1"/>
  <c r="E293" i="1"/>
  <c r="J1125" i="1"/>
  <c r="E755" i="1"/>
  <c r="J1266" i="1"/>
  <c r="J2905" i="1"/>
  <c r="E2566" i="1"/>
  <c r="J3071" i="1"/>
  <c r="E707" i="1"/>
  <c r="E441" i="1"/>
  <c r="J702" i="1"/>
  <c r="J1615" i="1"/>
  <c r="E667" i="1"/>
  <c r="E4616" i="1"/>
  <c r="E1061" i="1"/>
  <c r="E3072" i="1"/>
  <c r="E289" i="1"/>
  <c r="J3114" i="1"/>
  <c r="J1471" i="1"/>
  <c r="E1082" i="1"/>
  <c r="E2143" i="1"/>
  <c r="E1540" i="1"/>
  <c r="J1980" i="1"/>
  <c r="E1055" i="1"/>
  <c r="E2829" i="1"/>
  <c r="J1106" i="1"/>
  <c r="E3103" i="1"/>
  <c r="E1998" i="1"/>
  <c r="E1406" i="1"/>
  <c r="J103" i="1"/>
  <c r="J17" i="1"/>
  <c r="E1414" i="1"/>
  <c r="J1137" i="1"/>
  <c r="J1253" i="1"/>
  <c r="J1445" i="1"/>
  <c r="E3496" i="1"/>
  <c r="E2980" i="1"/>
  <c r="J2585" i="1"/>
  <c r="J3303" i="1"/>
  <c r="J2080" i="1"/>
  <c r="E2240" i="1"/>
  <c r="J3655" i="1"/>
  <c r="E255" i="1"/>
  <c r="J1818" i="1"/>
  <c r="E2668" i="1"/>
  <c r="E2081" i="1"/>
  <c r="J853" i="1"/>
  <c r="J608" i="1"/>
  <c r="J2055" i="1"/>
  <c r="E3137" i="1"/>
  <c r="J2306" i="1"/>
  <c r="E207" i="1"/>
  <c r="J1175" i="1"/>
  <c r="J1906" i="1"/>
  <c r="J2134" i="1"/>
  <c r="J3096" i="1"/>
  <c r="J2748" i="1"/>
  <c r="J1320" i="1"/>
  <c r="E3801" i="1"/>
  <c r="E1124" i="1"/>
  <c r="E2719" i="1"/>
  <c r="E2412" i="1"/>
  <c r="E4060" i="1"/>
  <c r="E3194" i="1"/>
  <c r="E4140" i="1"/>
  <c r="J1321" i="1"/>
  <c r="J135" i="1"/>
  <c r="J2482" i="1"/>
  <c r="J3837" i="1"/>
  <c r="E430" i="1"/>
  <c r="E1469" i="1"/>
  <c r="E1129" i="1"/>
  <c r="J726" i="1"/>
  <c r="E1404" i="1"/>
  <c r="J1058" i="1"/>
  <c r="E2431" i="1"/>
  <c r="E1660" i="1"/>
  <c r="J1333" i="1"/>
  <c r="E4237" i="1"/>
  <c r="E65" i="1"/>
  <c r="E187" i="1"/>
  <c r="E912" i="1"/>
  <c r="J3930" i="1"/>
  <c r="J1990" i="1"/>
  <c r="J3281" i="1"/>
  <c r="J1690" i="1"/>
  <c r="J1620" i="1"/>
  <c r="J1204" i="1"/>
  <c r="E2027" i="1"/>
  <c r="J1466" i="1"/>
  <c r="E3864" i="1"/>
  <c r="E1081" i="1"/>
  <c r="E3178" i="1"/>
  <c r="J3776" i="1"/>
  <c r="E298" i="1"/>
  <c r="E2796" i="1"/>
  <c r="E1078" i="1"/>
  <c r="E1629" i="1"/>
  <c r="J890" i="1"/>
  <c r="J1744" i="1"/>
  <c r="J1469" i="1"/>
  <c r="J2925" i="1"/>
  <c r="E503" i="1"/>
  <c r="E2850" i="1"/>
  <c r="J4240" i="1"/>
  <c r="E423" i="1"/>
  <c r="J2102" i="1"/>
  <c r="E2213" i="1"/>
  <c r="E1101" i="1"/>
  <c r="J1586" i="1"/>
  <c r="E2580" i="1"/>
  <c r="J2867" i="1"/>
  <c r="J991" i="1"/>
  <c r="J565" i="1"/>
  <c r="J749" i="1"/>
  <c r="J3171" i="1"/>
  <c r="J2964" i="1"/>
  <c r="J665" i="1"/>
  <c r="J1947" i="1"/>
  <c r="J489" i="1"/>
  <c r="E3326" i="1"/>
  <c r="E877" i="1"/>
  <c r="J739" i="1"/>
  <c r="J262" i="1"/>
  <c r="J1717" i="1"/>
  <c r="E54" i="1"/>
  <c r="J1135" i="1"/>
  <c r="E1561" i="1"/>
  <c r="E249" i="1"/>
  <c r="J471" i="1"/>
  <c r="E43" i="1"/>
  <c r="J455" i="1"/>
  <c r="J89" i="1"/>
  <c r="E194" i="1"/>
  <c r="E750" i="1"/>
  <c r="E533" i="1"/>
  <c r="E717" i="1"/>
  <c r="J1228" i="1"/>
  <c r="E981" i="1"/>
  <c r="J874" i="1"/>
  <c r="J109" i="1"/>
  <c r="J4949" i="1"/>
  <c r="E2732" i="1"/>
  <c r="E121" i="1"/>
  <c r="E2362" i="1"/>
  <c r="J1048" i="1"/>
  <c r="E145" i="1"/>
  <c r="J2787" i="1"/>
  <c r="J191" i="1"/>
  <c r="J475" i="1"/>
  <c r="J1724" i="1"/>
  <c r="E818" i="1"/>
  <c r="E248" i="1"/>
  <c r="J520" i="1"/>
  <c r="J3258" i="1"/>
  <c r="E3824" i="1"/>
  <c r="E185" i="1"/>
  <c r="E1662" i="1"/>
  <c r="J1568" i="1"/>
  <c r="J1888" i="1"/>
  <c r="E655" i="1"/>
  <c r="E2198" i="1"/>
  <c r="E405" i="1"/>
  <c r="J596" i="1"/>
  <c r="J2866" i="1"/>
  <c r="J162" i="1"/>
  <c r="J1309" i="1"/>
  <c r="J627" i="1"/>
  <c r="J658" i="1"/>
  <c r="J1367" i="1"/>
  <c r="J315" i="1"/>
  <c r="E807" i="1"/>
  <c r="E4372" i="1"/>
  <c r="J1864" i="1"/>
  <c r="E368" i="1"/>
  <c r="J156" i="1"/>
  <c r="E2272" i="1"/>
  <c r="J157" i="1"/>
  <c r="J38" i="1"/>
  <c r="E359" i="1"/>
  <c r="E2077" i="1"/>
  <c r="E499" i="1"/>
  <c r="J1227" i="1"/>
  <c r="E1347" i="1"/>
  <c r="J3641" i="1"/>
  <c r="E1617" i="1"/>
  <c r="J172" i="1"/>
  <c r="J1171" i="1"/>
  <c r="E288" i="1"/>
  <c r="E3478" i="1"/>
  <c r="E417" i="1"/>
  <c r="E403" i="1"/>
  <c r="J251" i="1"/>
  <c r="J1583" i="1"/>
  <c r="E2351" i="1"/>
  <c r="J351" i="1"/>
  <c r="E2336" i="1"/>
  <c r="E2610" i="1"/>
  <c r="E2354" i="1"/>
  <c r="E326" i="1"/>
  <c r="E1463" i="1"/>
  <c r="J362" i="1"/>
  <c r="E64" i="1"/>
  <c r="J1022" i="1"/>
  <c r="E245" i="1"/>
  <c r="J72" i="1"/>
  <c r="E2326" i="1"/>
  <c r="E98" i="1"/>
  <c r="E1630" i="1"/>
  <c r="J1176" i="1"/>
  <c r="E73" i="1"/>
  <c r="J1587" i="1"/>
  <c r="J779" i="1"/>
  <c r="E218" i="1"/>
  <c r="E1728" i="1"/>
  <c r="J474" i="1"/>
  <c r="E721" i="1"/>
  <c r="E820" i="1"/>
  <c r="J1257" i="1"/>
  <c r="J722" i="1"/>
  <c r="E436" i="1"/>
  <c r="E1644" i="1"/>
  <c r="J366" i="1"/>
  <c r="J3590" i="1"/>
  <c r="J2944" i="1"/>
  <c r="E431" i="1"/>
  <c r="E1615" i="1"/>
  <c r="E1245" i="1"/>
  <c r="J799" i="1"/>
  <c r="J422" i="1"/>
  <c r="E659" i="1"/>
  <c r="J1302" i="1"/>
  <c r="E1013" i="1"/>
  <c r="E2180" i="1"/>
  <c r="J206" i="1"/>
  <c r="E1341" i="1"/>
  <c r="E985" i="1"/>
  <c r="J173" i="1"/>
  <c r="E48" i="1"/>
  <c r="E1160" i="1"/>
  <c r="J305" i="1"/>
  <c r="J211" i="1"/>
  <c r="J1996" i="1"/>
  <c r="E1475" i="1"/>
  <c r="E2958" i="1"/>
  <c r="E183" i="1"/>
  <c r="E237" i="1"/>
  <c r="J352" i="1"/>
  <c r="E1485" i="1"/>
  <c r="E1184" i="1"/>
  <c r="J291" i="1"/>
  <c r="E1197" i="1"/>
  <c r="E825" i="1"/>
  <c r="J268" i="1"/>
  <c r="E1091" i="1"/>
  <c r="J970" i="1"/>
  <c r="E687" i="1"/>
  <c r="E270" i="1"/>
  <c r="E1296" i="1"/>
  <c r="E802" i="1"/>
  <c r="J2089" i="1"/>
  <c r="E837" i="1"/>
  <c r="J2732" i="1"/>
  <c r="E4789" i="1"/>
  <c r="E2335" i="1"/>
  <c r="J809" i="1"/>
  <c r="J51" i="1"/>
  <c r="E2736" i="1"/>
  <c r="E3370" i="1"/>
  <c r="J15" i="1"/>
  <c r="J1097" i="1"/>
  <c r="J896" i="1"/>
  <c r="J4376" i="1"/>
  <c r="E3317" i="1"/>
  <c r="G3317" i="1" s="1"/>
  <c r="J657" i="1"/>
  <c r="E1769" i="1"/>
  <c r="G1769" i="1" s="1"/>
  <c r="J418" i="1"/>
  <c r="E2950" i="1"/>
  <c r="J842" i="1"/>
  <c r="J2059" i="1"/>
  <c r="J3548" i="1"/>
  <c r="E2085" i="1"/>
  <c r="E375" i="1"/>
  <c r="J3498" i="1"/>
  <c r="J855" i="1"/>
  <c r="E2649" i="1"/>
  <c r="E1835" i="1"/>
  <c r="E175" i="1"/>
  <c r="J754" i="1"/>
  <c r="J137" i="1"/>
  <c r="J1677" i="1"/>
  <c r="J2534" i="1"/>
  <c r="E2611" i="1"/>
  <c r="J1862" i="1"/>
  <c r="E1062" i="1"/>
  <c r="J1849" i="1"/>
  <c r="E1159" i="1"/>
  <c r="J385" i="1"/>
  <c r="J1289" i="1"/>
  <c r="E5390" i="1"/>
  <c r="J963" i="1"/>
  <c r="J2737" i="1"/>
  <c r="E932" i="1"/>
  <c r="J1778" i="1"/>
  <c r="J397" i="1"/>
  <c r="E639" i="1"/>
  <c r="E105" i="1"/>
  <c r="J1895" i="1"/>
  <c r="E515" i="1"/>
  <c r="E2101" i="1"/>
  <c r="E788" i="1"/>
  <c r="J755" i="1"/>
  <c r="E453" i="1"/>
  <c r="E452" i="1"/>
  <c r="E1209" i="1"/>
  <c r="E2651" i="1"/>
  <c r="E1845" i="1"/>
  <c r="J2450" i="1"/>
  <c r="J3955" i="1"/>
  <c r="J2715" i="1"/>
  <c r="J401" i="1"/>
  <c r="E871" i="1"/>
  <c r="J1495" i="1"/>
  <c r="J3828" i="1"/>
  <c r="E714" i="1"/>
  <c r="J1397" i="1"/>
  <c r="E35" i="1"/>
  <c r="E561" i="1"/>
  <c r="J2191" i="1"/>
  <c r="J1149" i="1"/>
  <c r="E3702" i="1"/>
  <c r="J3585" i="1"/>
  <c r="E905" i="1"/>
  <c r="J671" i="1"/>
  <c r="J1263" i="1"/>
  <c r="J1762" i="1"/>
  <c r="J1235" i="1"/>
  <c r="E95" i="1"/>
  <c r="E3525" i="1"/>
  <c r="J2019" i="1"/>
  <c r="J2376" i="1"/>
  <c r="E915" i="1"/>
  <c r="J2691" i="1"/>
  <c r="J846" i="1"/>
  <c r="J1910" i="1"/>
  <c r="E3703" i="1"/>
  <c r="E1316" i="1"/>
  <c r="J3224" i="1"/>
  <c r="J2084" i="1"/>
  <c r="E2167" i="1"/>
  <c r="J4763" i="1"/>
  <c r="E2244" i="1"/>
  <c r="E3248" i="1"/>
  <c r="J1665" i="1"/>
  <c r="E1919" i="1"/>
  <c r="J1226" i="1"/>
  <c r="E1809" i="1"/>
  <c r="J1288" i="1"/>
  <c r="J2966" i="1"/>
  <c r="J2956" i="1"/>
  <c r="J1699" i="1"/>
  <c r="E2294" i="1"/>
  <c r="E2164" i="1"/>
  <c r="E4183" i="1"/>
  <c r="J2104" i="1"/>
  <c r="E2131" i="1"/>
  <c r="J1285" i="1"/>
  <c r="E2460" i="1"/>
  <c r="J3677" i="1"/>
  <c r="E867" i="1"/>
  <c r="J3112" i="1"/>
  <c r="E1509" i="1"/>
  <c r="J3442" i="1"/>
  <c r="E1752" i="1"/>
  <c r="E3670" i="1"/>
  <c r="J3721" i="1"/>
  <c r="J1434" i="1"/>
  <c r="E919" i="1"/>
  <c r="J953" i="1"/>
  <c r="E427" i="1"/>
  <c r="J1631" i="1"/>
  <c r="E32" i="1"/>
  <c r="J1021" i="1"/>
  <c r="E334" i="1"/>
  <c r="E195" i="1"/>
  <c r="J131" i="1"/>
  <c r="E2159" i="1"/>
  <c r="J701" i="1"/>
  <c r="J4218" i="1"/>
  <c r="E792" i="1"/>
  <c r="J893" i="1"/>
  <c r="E1567" i="1"/>
  <c r="E1666" i="1"/>
  <c r="E2197" i="1"/>
  <c r="E1112" i="1"/>
  <c r="J449" i="1"/>
  <c r="J673" i="1"/>
  <c r="J2115" i="1"/>
  <c r="J707" i="1"/>
  <c r="E916" i="1"/>
  <c r="E2490" i="1"/>
  <c r="J3763" i="1"/>
  <c r="E847" i="1"/>
  <c r="E686" i="1"/>
  <c r="J895" i="1"/>
  <c r="E701" i="1"/>
  <c r="E814" i="1"/>
  <c r="G814" i="1" s="1"/>
  <c r="J854" i="1"/>
  <c r="J3661" i="1"/>
  <c r="E795" i="1"/>
  <c r="J361" i="1"/>
  <c r="E1064" i="1"/>
  <c r="E1518" i="1"/>
  <c r="J3315" i="1"/>
  <c r="J3490" i="1"/>
  <c r="J1993" i="1"/>
  <c r="J1017" i="1"/>
  <c r="J540" i="1"/>
  <c r="J813" i="1"/>
  <c r="E2722" i="1"/>
  <c r="E923" i="1"/>
  <c r="E156" i="1"/>
  <c r="J801" i="1"/>
  <c r="E2883" i="1"/>
  <c r="E590" i="1"/>
  <c r="J1354" i="1"/>
  <c r="E386" i="1"/>
  <c r="J323" i="1"/>
  <c r="J117" i="1"/>
  <c r="E192" i="1"/>
  <c r="E787" i="1"/>
  <c r="E2183" i="1"/>
  <c r="E670" i="1"/>
  <c r="J681" i="1"/>
  <c r="E228" i="1"/>
  <c r="E1097" i="1"/>
  <c r="E1165" i="1"/>
  <c r="J1112" i="1"/>
  <c r="J2635" i="1"/>
  <c r="E2318" i="1"/>
  <c r="J1432" i="1"/>
  <c r="E28" i="1"/>
  <c r="J1317" i="1"/>
  <c r="J1858" i="1"/>
  <c r="E205" i="1"/>
  <c r="E2516" i="1"/>
  <c r="J1476" i="1"/>
  <c r="J259" i="1"/>
  <c r="J1604" i="1"/>
  <c r="J1061" i="1"/>
  <c r="E285" i="1"/>
  <c r="J5210" i="1"/>
  <c r="J2031" i="1"/>
  <c r="E1051" i="1"/>
  <c r="G1056" i="1" s="1"/>
  <c r="E396" i="1"/>
  <c r="J110" i="1"/>
  <c r="E4156" i="1"/>
  <c r="E112" i="1"/>
  <c r="J3027" i="1"/>
  <c r="E777" i="1"/>
  <c r="E716" i="1"/>
  <c r="E321" i="1"/>
  <c r="J872" i="1"/>
  <c r="E1287" i="1"/>
  <c r="J685" i="1"/>
  <c r="E19" i="1"/>
  <c r="J622" i="1"/>
  <c r="J499" i="1"/>
  <c r="E2565" i="1"/>
  <c r="J39" i="1"/>
  <c r="E2959" i="1"/>
  <c r="E1092" i="1"/>
  <c r="E4157" i="1"/>
  <c r="J1636" i="1"/>
  <c r="J1115" i="1"/>
  <c r="E1605" i="1"/>
  <c r="J1503" i="1"/>
  <c r="J580" i="1"/>
  <c r="J3068" i="1"/>
  <c r="E206" i="1"/>
  <c r="E630" i="1"/>
  <c r="J4423" i="1"/>
  <c r="E202" i="1"/>
  <c r="J803" i="1"/>
  <c r="E726" i="1"/>
  <c r="E2514" i="1"/>
  <c r="E387" i="1"/>
  <c r="E1413" i="1"/>
  <c r="J165" i="1"/>
  <c r="E2742" i="1"/>
  <c r="E894" i="1"/>
  <c r="J1046" i="1"/>
  <c r="E462" i="1"/>
  <c r="J1159" i="1"/>
  <c r="E1710" i="1"/>
  <c r="J1350" i="1"/>
  <c r="J1178" i="1"/>
  <c r="E2099" i="1"/>
  <c r="E3835" i="1"/>
  <c r="J13" i="1"/>
  <c r="E1087" i="1"/>
  <c r="E4257" i="1"/>
  <c r="G4262" i="1" s="1"/>
  <c r="E1126" i="1"/>
  <c r="J1051" i="1"/>
  <c r="J2858" i="1"/>
  <c r="J829" i="1"/>
  <c r="J1940" i="1"/>
  <c r="E684" i="1"/>
  <c r="J359" i="1"/>
  <c r="J3631" i="1"/>
  <c r="E946" i="1"/>
  <c r="E1778" i="1"/>
  <c r="J1525" i="1"/>
  <c r="E4263" i="1"/>
  <c r="J240" i="1"/>
  <c r="E381" i="1"/>
  <c r="J3337" i="1"/>
  <c r="J164" i="1"/>
  <c r="J248" i="1"/>
  <c r="J1896" i="1"/>
  <c r="E1986" i="1"/>
  <c r="J900" i="1"/>
  <c r="E1956" i="1"/>
  <c r="J23" i="1"/>
  <c r="E1025" i="1"/>
  <c r="J730" i="1"/>
  <c r="J1141" i="1"/>
  <c r="J3184" i="1"/>
  <c r="J1838" i="1"/>
  <c r="J90" i="1"/>
  <c r="E1781" i="1"/>
  <c r="J215" i="1"/>
  <c r="J909" i="1"/>
  <c r="J2979" i="1"/>
  <c r="J1345" i="1"/>
  <c r="E1304" i="1"/>
  <c r="J404" i="1"/>
  <c r="J2293" i="1"/>
  <c r="E2303" i="1"/>
  <c r="E79" i="1"/>
  <c r="E128" i="1"/>
  <c r="J2821" i="1"/>
  <c r="E63" i="1"/>
  <c r="J320" i="1"/>
  <c r="E2178" i="1"/>
  <c r="J1169" i="1"/>
  <c r="E361" i="1"/>
  <c r="J1016" i="1"/>
  <c r="E1002" i="1"/>
  <c r="J1960" i="1"/>
  <c r="J821" i="1"/>
  <c r="E4683" i="1"/>
  <c r="E1357" i="1"/>
  <c r="E2494" i="1"/>
  <c r="E1639" i="1"/>
  <c r="J193" i="1"/>
  <c r="J1880" i="1"/>
  <c r="J3325" i="1"/>
  <c r="J2248" i="1"/>
  <c r="E2827" i="1"/>
  <c r="J1842" i="1"/>
  <c r="E2207" i="1"/>
  <c r="J150" i="1"/>
  <c r="J1183" i="1"/>
  <c r="J932" i="1"/>
  <c r="J2753" i="1"/>
  <c r="J783" i="1"/>
  <c r="J2460" i="1"/>
  <c r="E1527" i="1"/>
  <c r="E2939" i="1"/>
  <c r="J1663" i="1"/>
  <c r="J2420" i="1"/>
  <c r="E1368" i="1"/>
  <c r="J1516" i="1"/>
  <c r="J2271" i="1"/>
  <c r="E1663" i="1"/>
  <c r="J2501" i="1"/>
  <c r="J2834" i="1"/>
  <c r="J1544" i="1"/>
  <c r="J4720" i="1"/>
  <c r="J1006" i="1"/>
  <c r="J2888" i="1"/>
  <c r="E1798" i="1"/>
  <c r="J398" i="1"/>
  <c r="E2891" i="1"/>
  <c r="E1803" i="1"/>
  <c r="J1326" i="1"/>
  <c r="J1981" i="1"/>
  <c r="E2000" i="1"/>
  <c r="E3724" i="1"/>
  <c r="E376" i="1"/>
  <c r="E1577" i="1"/>
  <c r="J4558" i="1"/>
  <c r="J3322" i="1"/>
  <c r="J3008" i="1"/>
  <c r="J2640" i="1"/>
  <c r="J4287" i="1"/>
  <c r="J2528" i="1"/>
  <c r="J960" i="1"/>
  <c r="J2227" i="1"/>
  <c r="J3519" i="1"/>
  <c r="J1066" i="1"/>
  <c r="E1466" i="1"/>
  <c r="E906" i="1"/>
  <c r="E3159" i="1"/>
  <c r="J2316" i="1"/>
  <c r="J2292" i="1"/>
  <c r="J3132" i="1"/>
  <c r="J2928" i="1"/>
  <c r="E3851" i="1"/>
  <c r="J295" i="1"/>
  <c r="E1480" i="1"/>
  <c r="E2419" i="1"/>
  <c r="E868" i="1"/>
  <c r="J1545" i="1"/>
  <c r="J1013" i="1"/>
  <c r="J2702" i="1"/>
  <c r="J389" i="1"/>
  <c r="J1043" i="1"/>
  <c r="E1020" i="1"/>
  <c r="E169" i="1"/>
  <c r="J124" i="1"/>
  <c r="J2288" i="1"/>
  <c r="E60" i="1"/>
  <c r="J239" i="1"/>
  <c r="J1740" i="1"/>
  <c r="J628" i="1"/>
  <c r="E24" i="1"/>
  <c r="J3048" i="1"/>
  <c r="E1114" i="1"/>
  <c r="J1839" i="1"/>
  <c r="E3203" i="1"/>
  <c r="E57" i="1"/>
  <c r="J2407" i="1"/>
  <c r="E598" i="1"/>
  <c r="J1313" i="1"/>
  <c r="E724" i="1"/>
  <c r="E3598" i="1"/>
  <c r="J2645" i="1"/>
  <c r="E1102" i="1"/>
  <c r="J695" i="1"/>
  <c r="E1874" i="1"/>
  <c r="J224" i="1"/>
  <c r="J62" i="1"/>
  <c r="E299" i="1"/>
  <c r="J43" i="1"/>
  <c r="J2175" i="1"/>
  <c r="J543" i="1"/>
  <c r="J277" i="1"/>
  <c r="E941" i="1"/>
  <c r="E1621" i="1"/>
  <c r="J2677" i="1"/>
  <c r="J1964" i="1"/>
  <c r="J2128" i="1"/>
  <c r="J649" i="1"/>
  <c r="E2217" i="1"/>
  <c r="E1127" i="1"/>
  <c r="J594" i="1"/>
  <c r="J1064" i="1"/>
  <c r="J1421" i="1"/>
  <c r="E771" i="1"/>
  <c r="E212" i="1"/>
  <c r="J1394" i="1"/>
  <c r="E1963" i="1"/>
  <c r="E2422" i="1"/>
  <c r="J1208" i="1"/>
  <c r="E1614" i="1"/>
  <c r="E21" i="1"/>
  <c r="E1459" i="1"/>
  <c r="E973" i="1"/>
  <c r="J458" i="1"/>
  <c r="E2311" i="1"/>
  <c r="E3068" i="1"/>
  <c r="J249" i="1"/>
  <c r="J319" i="1"/>
  <c r="J746" i="1"/>
  <c r="E1119" i="1"/>
  <c r="E106" i="1"/>
  <c r="J1111" i="1"/>
  <c r="J3633" i="1"/>
  <c r="J1749" i="1"/>
  <c r="E3041" i="1"/>
  <c r="E2315" i="1"/>
  <c r="J883" i="1"/>
  <c r="E305" i="1"/>
  <c r="E2642" i="1"/>
  <c r="J968" i="1"/>
  <c r="E260" i="1"/>
  <c r="J3621" i="1"/>
  <c r="E4074" i="1"/>
  <c r="J1419" i="1"/>
  <c r="J2518" i="1"/>
  <c r="J85" i="1"/>
  <c r="J2398" i="1"/>
  <c r="J79" i="1"/>
  <c r="J2063" i="1"/>
  <c r="J1670" i="1"/>
  <c r="E3345" i="1"/>
  <c r="J1623" i="1"/>
  <c r="J2380" i="1"/>
  <c r="J169" i="1"/>
  <c r="E1744" i="1"/>
  <c r="E672" i="1"/>
  <c r="J258" i="1"/>
  <c r="J3009" i="1"/>
  <c r="E676" i="1"/>
  <c r="J1399" i="1"/>
  <c r="E880" i="1"/>
  <c r="E680" i="1"/>
  <c r="J98" i="1"/>
  <c r="E411" i="1"/>
  <c r="J833" i="1"/>
  <c r="E1587" i="1"/>
  <c r="E2059" i="1"/>
  <c r="J564" i="1"/>
  <c r="J2552" i="1"/>
  <c r="E1147" i="1"/>
  <c r="J607" i="1"/>
  <c r="J2740" i="1"/>
  <c r="J186" i="1"/>
  <c r="J2563" i="1"/>
  <c r="J506" i="1"/>
  <c r="E478" i="1"/>
  <c r="J267" i="1"/>
  <c r="E2245" i="1"/>
  <c r="J2847" i="1"/>
  <c r="E72" i="1"/>
  <c r="E2047" i="1"/>
  <c r="J1073" i="1"/>
  <c r="J1117" i="1"/>
  <c r="J1391" i="1"/>
  <c r="E31" i="1"/>
  <c r="J1987" i="1"/>
  <c r="J4141" i="1"/>
  <c r="J4286" i="1"/>
  <c r="J1134" i="1"/>
  <c r="E1108" i="1"/>
  <c r="E897" i="1"/>
  <c r="J1868" i="1"/>
  <c r="J2169" i="1"/>
  <c r="E2225" i="1"/>
  <c r="E1329" i="1"/>
  <c r="E964" i="1"/>
  <c r="J19" i="1"/>
  <c r="E3453" i="1"/>
  <c r="E1895" i="1"/>
  <c r="E705" i="1"/>
  <c r="E3011" i="1"/>
  <c r="J2350" i="1"/>
  <c r="J1497" i="1"/>
  <c r="J1915" i="1"/>
  <c r="J2011" i="1"/>
  <c r="E2896" i="1"/>
  <c r="G2896" i="1" s="1"/>
  <c r="J3466" i="1"/>
  <c r="E653" i="1"/>
  <c r="E3211" i="1"/>
  <c r="J392" i="1"/>
  <c r="E2203" i="1"/>
  <c r="E2300" i="1"/>
  <c r="J3269" i="1"/>
  <c r="J1418" i="1"/>
  <c r="J1713" i="1"/>
  <c r="E1984" i="1"/>
  <c r="J3985" i="1"/>
  <c r="E1461" i="1"/>
  <c r="E494" i="1"/>
  <c r="E2910" i="1"/>
  <c r="E3118" i="1"/>
  <c r="J244" i="1"/>
  <c r="J1100" i="1"/>
  <c r="E514" i="1"/>
  <c r="E594" i="1"/>
  <c r="E1069" i="1"/>
  <c r="E3604" i="1"/>
  <c r="J254" i="1"/>
  <c r="J1816" i="1"/>
  <c r="E3167" i="1"/>
  <c r="J2560" i="1"/>
  <c r="J2245" i="1"/>
  <c r="J199" i="1"/>
  <c r="E246" i="1"/>
  <c r="J1802" i="1"/>
  <c r="E1520" i="1"/>
  <c r="J1526" i="1"/>
  <c r="J513" i="1"/>
  <c r="E529" i="1"/>
  <c r="J1294" i="1"/>
  <c r="E1533" i="1"/>
  <c r="E2529" i="1"/>
  <c r="J703" i="1"/>
  <c r="E1128" i="1"/>
  <c r="E1502" i="1"/>
  <c r="E108" i="1"/>
  <c r="E2622" i="1"/>
  <c r="J3049" i="1"/>
  <c r="E602" i="1"/>
  <c r="E709" i="1"/>
  <c r="J1250" i="1"/>
  <c r="J735" i="1"/>
  <c r="E683" i="1"/>
  <c r="J34" i="1"/>
  <c r="J830" i="1"/>
  <c r="J3089" i="1"/>
  <c r="J428" i="1"/>
  <c r="J752" i="1"/>
  <c r="J566" i="1"/>
  <c r="E379" i="1"/>
  <c r="J664" i="1"/>
  <c r="J2638" i="1"/>
  <c r="E832" i="1"/>
  <c r="E1993" i="1"/>
  <c r="J1077" i="1"/>
  <c r="E2269" i="1"/>
  <c r="J3629" i="1"/>
  <c r="J2464" i="1"/>
  <c r="E962" i="1"/>
  <c r="J461" i="1"/>
  <c r="J599" i="1"/>
  <c r="J1919" i="1"/>
  <c r="E2766" i="1"/>
  <c r="E3454" i="1"/>
  <c r="E1251" i="1"/>
  <c r="E1831" i="1"/>
  <c r="J1132" i="1"/>
  <c r="J623" i="1"/>
  <c r="J884" i="1"/>
  <c r="J1378" i="1"/>
  <c r="E2925" i="1"/>
  <c r="J242" i="1"/>
  <c r="E420" i="1"/>
  <c r="E900" i="1"/>
  <c r="J2712" i="1"/>
  <c r="J4150" i="1"/>
  <c r="E1420" i="1"/>
  <c r="J5011" i="1"/>
  <c r="E3245" i="1"/>
  <c r="J1426" i="1"/>
  <c r="E3690" i="1"/>
  <c r="E1079" i="1"/>
  <c r="E1494" i="1"/>
  <c r="J3965" i="1"/>
  <c r="J1725" i="1"/>
  <c r="E2747" i="1"/>
  <c r="J2724" i="1"/>
  <c r="J3093" i="1"/>
  <c r="E1384" i="1"/>
  <c r="E1453" i="1"/>
  <c r="J4618" i="1"/>
  <c r="J2717" i="1"/>
  <c r="E1932" i="1"/>
  <c r="J2922" i="1"/>
  <c r="J811" i="1"/>
  <c r="J1626" i="1"/>
  <c r="E3057" i="1"/>
  <c r="E1583" i="1"/>
  <c r="E925" i="1"/>
  <c r="J2744" i="1"/>
  <c r="J1950" i="1"/>
  <c r="E3355" i="1"/>
  <c r="E3169" i="1"/>
  <c r="J2079" i="1"/>
  <c r="J3065" i="1"/>
  <c r="J3858" i="1"/>
  <c r="E1600" i="1"/>
  <c r="E1950" i="1"/>
  <c r="E1559" i="1"/>
  <c r="E3065" i="1"/>
  <c r="E3185" i="1"/>
  <c r="J2020" i="1"/>
  <c r="E454" i="1"/>
  <c r="J3581" i="1"/>
  <c r="J2373" i="1"/>
  <c r="J873" i="1"/>
  <c r="E1580" i="1"/>
  <c r="E893" i="1"/>
  <c r="J388" i="1"/>
  <c r="J1167" i="1"/>
  <c r="J1496" i="1"/>
  <c r="E852" i="1"/>
  <c r="E1586" i="1"/>
  <c r="J2895" i="1"/>
  <c r="J2931" i="1"/>
  <c r="J1436" i="1"/>
  <c r="E2867" i="1"/>
  <c r="E1470" i="1"/>
  <c r="E812" i="1"/>
  <c r="E61" i="1"/>
  <c r="E68" i="1"/>
  <c r="J21" i="1"/>
  <c r="E4603" i="1"/>
  <c r="J44" i="1"/>
  <c r="J2883" i="1"/>
  <c r="E5868" i="1"/>
  <c r="J888" i="1"/>
  <c r="J1563" i="1"/>
  <c r="J605" i="1"/>
  <c r="E53" i="1"/>
  <c r="J130" i="1"/>
  <c r="E1403" i="1"/>
  <c r="E2009" i="1"/>
  <c r="J2734" i="1"/>
  <c r="J1786" i="1"/>
  <c r="J1902" i="1"/>
  <c r="J2068" i="1"/>
  <c r="J579" i="1"/>
  <c r="E158" i="1"/>
  <c r="E2046" i="1"/>
  <c r="J1039" i="1"/>
  <c r="E343" i="1"/>
  <c r="E3678" i="1"/>
  <c r="J2279" i="1"/>
  <c r="E2662" i="1"/>
  <c r="E1661" i="1"/>
  <c r="E635" i="1"/>
  <c r="E1467" i="1"/>
  <c r="J2593" i="1"/>
  <c r="E233" i="1"/>
  <c r="E466" i="1"/>
  <c r="E548" i="1"/>
  <c r="E1324" i="1"/>
  <c r="J2368" i="1"/>
  <c r="J3542" i="1"/>
  <c r="E1486" i="1"/>
  <c r="E1253" i="1"/>
  <c r="J860" i="1"/>
  <c r="J45" i="1"/>
  <c r="E297" i="1"/>
  <c r="E259" i="1"/>
  <c r="J3332" i="1"/>
  <c r="J229" i="1"/>
  <c r="J356" i="1"/>
  <c r="E2062" i="1"/>
  <c r="J3586" i="1"/>
  <c r="E1289" i="1"/>
  <c r="J2961" i="1"/>
  <c r="J2090" i="1"/>
  <c r="E1111" i="1"/>
  <c r="E2342" i="1"/>
  <c r="J2085" i="1"/>
  <c r="E166" i="1"/>
  <c r="J2728" i="1"/>
  <c r="J2394" i="1"/>
  <c r="E4456" i="1"/>
  <c r="J2507" i="1"/>
  <c r="J2932" i="1"/>
  <c r="E2493" i="1"/>
  <c r="E2196" i="1"/>
  <c r="E790" i="1"/>
  <c r="E2830" i="1"/>
  <c r="J2142" i="1"/>
  <c r="J4027" i="1"/>
  <c r="E3754" i="1"/>
  <c r="J1803" i="1"/>
  <c r="E2526" i="1"/>
  <c r="J1237" i="1"/>
  <c r="J2606" i="1"/>
  <c r="E3005" i="1"/>
  <c r="E3069" i="1"/>
  <c r="J1404" i="1"/>
  <c r="J2071" i="1"/>
  <c r="J1479" i="1"/>
  <c r="J3276" i="1"/>
  <c r="J3456" i="1"/>
  <c r="J2500" i="1"/>
  <c r="E1734" i="1"/>
  <c r="J3169" i="1"/>
  <c r="E66" i="1"/>
  <c r="J1336" i="1"/>
  <c r="E3841" i="1"/>
  <c r="J1672" i="1"/>
  <c r="E1026" i="1"/>
  <c r="G1026" i="1" s="1"/>
  <c r="J582" i="1"/>
  <c r="E1032" i="1"/>
  <c r="E2717" i="1"/>
  <c r="J3791" i="1"/>
  <c r="J807" i="1"/>
  <c r="E243" i="1"/>
  <c r="E623" i="1"/>
  <c r="J1287" i="1"/>
  <c r="E1431" i="1"/>
  <c r="E2050" i="1"/>
  <c r="J587" i="1"/>
  <c r="E92" i="1"/>
  <c r="E2657" i="1"/>
  <c r="J3680" i="1"/>
  <c r="J652" i="1"/>
  <c r="E1015" i="1"/>
  <c r="J1161" i="1"/>
  <c r="J3341" i="1"/>
  <c r="J1184" i="1"/>
  <c r="E342" i="1"/>
  <c r="E2153" i="1"/>
  <c r="E1780" i="1"/>
  <c r="E306" i="1"/>
  <c r="E2716" i="1"/>
  <c r="E1989" i="1"/>
  <c r="E1933" i="1"/>
  <c r="E3504" i="1"/>
  <c r="E1878" i="1"/>
  <c r="E5109" i="1"/>
  <c r="E2175" i="1"/>
  <c r="J2172" i="1"/>
  <c r="E2279" i="1"/>
  <c r="J3517" i="1"/>
  <c r="E3417" i="1"/>
  <c r="J2286" i="1"/>
  <c r="E1327" i="1"/>
  <c r="J3165" i="1"/>
  <c r="J2339" i="1"/>
  <c r="J378" i="1"/>
  <c r="E2551" i="1"/>
  <c r="E76" i="1"/>
  <c r="E4031" i="1"/>
  <c r="J1030" i="1"/>
  <c r="E1022" i="1"/>
  <c r="E779" i="1"/>
  <c r="J972" i="1"/>
  <c r="J534" i="1"/>
  <c r="J878" i="1"/>
  <c r="J1003" i="1"/>
  <c r="E1358" i="1"/>
  <c r="E665" i="1"/>
  <c r="J1269" i="1"/>
  <c r="E976" i="1"/>
  <c r="J2864" i="1"/>
  <c r="J2573" i="1"/>
  <c r="E3744" i="1"/>
  <c r="J1193" i="1"/>
  <c r="E1482" i="1"/>
  <c r="J3755" i="1"/>
  <c r="J2056" i="1"/>
  <c r="J2092" i="1"/>
  <c r="J1180" i="1"/>
  <c r="J2423" i="1"/>
  <c r="J610" i="1"/>
  <c r="J2665" i="1"/>
  <c r="J1541" i="1"/>
  <c r="E4294" i="1"/>
  <c r="E3142" i="1"/>
  <c r="E2462" i="1"/>
  <c r="J1581" i="1"/>
  <c r="E2395" i="1"/>
  <c r="E656" i="1"/>
  <c r="J1616" i="1"/>
  <c r="J3193" i="1"/>
  <c r="J2846" i="1"/>
  <c r="J2022" i="1"/>
  <c r="J2231" i="1"/>
  <c r="E477" i="1"/>
  <c r="E2543" i="1"/>
  <c r="J3377" i="1"/>
  <c r="J1335" i="1"/>
  <c r="J4657" i="1"/>
  <c r="E1665" i="1"/>
  <c r="E2688" i="1"/>
  <c r="E1751" i="1"/>
  <c r="J2014" i="1"/>
  <c r="E2782" i="1"/>
  <c r="E3113" i="1"/>
  <c r="J2939" i="1"/>
  <c r="E2686" i="1"/>
  <c r="J1693" i="1"/>
  <c r="E2338" i="1"/>
  <c r="J1597" i="1"/>
  <c r="J2808" i="1"/>
  <c r="E2783" i="1"/>
  <c r="J1859" i="1"/>
  <c r="E1033" i="1"/>
  <c r="J337" i="1"/>
  <c r="E1230" i="1"/>
  <c r="E2644" i="1"/>
  <c r="E473" i="1"/>
  <c r="E1288" i="1"/>
  <c r="E354" i="1"/>
  <c r="J2361" i="1"/>
  <c r="E1030" i="1"/>
  <c r="J2582" i="1"/>
  <c r="E191" i="1"/>
  <c r="E1163" i="1"/>
  <c r="E214" i="1"/>
  <c r="E698" i="1"/>
  <c r="J1034" i="1"/>
  <c r="J1068" i="1"/>
  <c r="J2789" i="1"/>
  <c r="J2521" i="1"/>
  <c r="J2039" i="1"/>
  <c r="J848" i="1"/>
  <c r="E2025" i="1"/>
  <c r="E1233" i="1"/>
  <c r="J238" i="1"/>
  <c r="J3756" i="1"/>
  <c r="J844" i="1"/>
  <c r="E29" i="1"/>
  <c r="J659" i="1"/>
  <c r="J102" i="1"/>
  <c r="E617" i="1"/>
  <c r="E1023" i="1"/>
  <c r="E152" i="1"/>
  <c r="J986" i="1"/>
  <c r="J2719" i="1"/>
  <c r="J498" i="1"/>
  <c r="J741" i="1"/>
  <c r="J3105" i="1"/>
  <c r="J2219" i="1"/>
  <c r="E766" i="1"/>
  <c r="J492" i="1"/>
  <c r="E82" i="1"/>
  <c r="J31" i="1"/>
  <c r="J69" i="1"/>
  <c r="J541" i="1"/>
  <c r="E506" i="1"/>
  <c r="E1155" i="1"/>
  <c r="E333" i="1"/>
  <c r="E692" i="1"/>
  <c r="E763" i="1"/>
  <c r="J1608" i="1"/>
  <c r="J313" i="1"/>
  <c r="J2267" i="1"/>
  <c r="E475" i="1"/>
  <c r="J519" i="1"/>
  <c r="J3707" i="1"/>
  <c r="E2877" i="1"/>
  <c r="J2241" i="1"/>
  <c r="E937" i="1"/>
  <c r="J676" i="1"/>
  <c r="J501" i="1"/>
  <c r="E49" i="1"/>
  <c r="J527" i="1"/>
  <c r="J640" i="1"/>
  <c r="E984" i="1"/>
  <c r="E744" i="1"/>
  <c r="E91" i="1"/>
  <c r="E2953" i="1"/>
  <c r="E1619" i="1"/>
  <c r="J286" i="1"/>
  <c r="J1108" i="1"/>
  <c r="E165" i="1"/>
  <c r="E980" i="1"/>
  <c r="E1772" i="1"/>
  <c r="E2944" i="1"/>
  <c r="E789" i="1"/>
  <c r="J1177" i="1"/>
  <c r="E1218" i="1"/>
  <c r="E627" i="1"/>
  <c r="E501" i="1"/>
  <c r="J3079" i="1"/>
  <c r="J3365" i="1"/>
  <c r="J2481" i="1"/>
  <c r="J273" i="1"/>
  <c r="E373" i="1"/>
  <c r="J480" i="1"/>
  <c r="J1500" i="1"/>
  <c r="J1552" i="1"/>
  <c r="E851" i="1"/>
  <c r="J3272" i="1"/>
  <c r="E2105" i="1"/>
  <c r="J1826" i="1"/>
  <c r="E737" i="1"/>
  <c r="E2550" i="1"/>
  <c r="E1581" i="1"/>
  <c r="J1502" i="1"/>
  <c r="J2628" i="1"/>
  <c r="E497" i="1"/>
  <c r="J1122" i="1"/>
  <c r="J3316" i="1"/>
  <c r="E987" i="1"/>
  <c r="J1154" i="1"/>
  <c r="J1286" i="1"/>
  <c r="E3846" i="1"/>
  <c r="J740" i="1"/>
  <c r="E27" i="1"/>
  <c r="J126" i="1"/>
  <c r="E1034" i="1"/>
  <c r="J3152" i="1"/>
  <c r="E3635" i="1"/>
  <c r="J2121" i="1"/>
  <c r="J776" i="1"/>
  <c r="E601" i="1"/>
  <c r="E582" i="1"/>
  <c r="E247" i="1"/>
  <c r="J41" i="1"/>
  <c r="E772" i="1"/>
  <c r="J237" i="1"/>
  <c r="J538" i="1"/>
  <c r="E1244" i="1"/>
  <c r="J420" i="1"/>
  <c r="E876" i="1"/>
  <c r="E1011" i="1"/>
  <c r="E1212" i="1"/>
  <c r="J1622" i="1"/>
  <c r="E1305" i="1"/>
  <c r="E2703" i="1"/>
  <c r="J107" i="1"/>
  <c r="E538" i="1"/>
  <c r="E753" i="1"/>
  <c r="J132" i="1"/>
  <c r="J1036" i="1"/>
  <c r="E824" i="1"/>
  <c r="G824" i="1" s="1"/>
  <c r="E1572" i="1"/>
  <c r="J2454" i="1"/>
  <c r="E312" i="1"/>
  <c r="E532" i="1"/>
  <c r="J1181" i="1"/>
  <c r="J2736" i="1"/>
  <c r="E1767" i="1"/>
  <c r="J1279" i="1"/>
  <c r="J732" i="1"/>
  <c r="J213" i="1"/>
  <c r="J943" i="1"/>
  <c r="E2776" i="1"/>
  <c r="G2781" i="1" s="1"/>
  <c r="J1753" i="1"/>
  <c r="E2160" i="1"/>
  <c r="J2409" i="1"/>
  <c r="E2257" i="1"/>
  <c r="E1052" i="1"/>
  <c r="E1016" i="1"/>
  <c r="J433" i="1"/>
  <c r="J4337" i="1"/>
  <c r="E1740" i="1"/>
  <c r="J1308" i="1"/>
  <c r="J1494" i="1"/>
  <c r="J2082" i="1"/>
  <c r="E1393" i="1"/>
  <c r="E2019" i="1"/>
  <c r="J3239" i="1"/>
  <c r="J2879" i="1"/>
  <c r="J122" i="1"/>
  <c r="E1391" i="1"/>
  <c r="E2926" i="1"/>
  <c r="J3382" i="1"/>
  <c r="E2602" i="1"/>
  <c r="J3628" i="1"/>
  <c r="E1278" i="1"/>
  <c r="J2188" i="1"/>
  <c r="E2474" i="1"/>
  <c r="J2910" i="1"/>
  <c r="E504" i="1"/>
  <c r="J2599" i="1"/>
  <c r="J1221" i="1"/>
  <c r="J3044" i="1"/>
  <c r="J913" i="1"/>
  <c r="J2377" i="1"/>
  <c r="J1883" i="1"/>
  <c r="J635" i="1"/>
  <c r="J439" i="1"/>
  <c r="E511" i="1"/>
  <c r="E921" i="1"/>
  <c r="J442" i="1"/>
  <c r="J1143" i="1"/>
  <c r="E628" i="1"/>
  <c r="E1696" i="1"/>
  <c r="E3763" i="1"/>
  <c r="E422" i="1"/>
  <c r="E2064" i="1"/>
  <c r="E2187" i="1"/>
  <c r="E1667" i="1"/>
  <c r="E1380" i="1"/>
  <c r="E857" i="1"/>
  <c r="J2313" i="1"/>
  <c r="J1657" i="1"/>
  <c r="J620" i="1"/>
  <c r="E1981" i="1"/>
  <c r="E949" i="1"/>
  <c r="E1231" i="1"/>
  <c r="E398" i="1"/>
  <c r="J1388" i="1"/>
  <c r="J1827" i="1"/>
  <c r="E2794" i="1"/>
  <c r="E1239" i="1"/>
  <c r="J1891" i="1"/>
  <c r="J1002" i="1"/>
  <c r="J1083" i="1"/>
  <c r="E2443" i="1"/>
  <c r="J119" i="1"/>
  <c r="E604" i="1"/>
  <c r="E942" i="1"/>
  <c r="J236" i="1"/>
  <c r="J1018" i="1"/>
  <c r="J1675" i="1"/>
  <c r="E2752" i="1"/>
  <c r="J3314" i="1"/>
  <c r="J1259" i="1"/>
  <c r="E382" i="1"/>
  <c r="J2963" i="1"/>
  <c r="J139" i="1"/>
  <c r="J661" i="1"/>
  <c r="J2594" i="1"/>
  <c r="J2329" i="1"/>
  <c r="J257" i="1"/>
  <c r="E2994" i="1"/>
  <c r="E2519" i="1"/>
  <c r="J1678" i="1"/>
  <c r="E1468" i="1"/>
  <c r="E2599" i="1"/>
  <c r="E4164" i="1"/>
  <c r="J789" i="1"/>
  <c r="J2804" i="1"/>
  <c r="J1729" i="1"/>
  <c r="E866" i="1"/>
  <c r="E756" i="1"/>
  <c r="E250" i="1"/>
  <c r="E1522" i="1"/>
  <c r="E1558" i="1"/>
  <c r="J61" i="1"/>
  <c r="J4583" i="1"/>
  <c r="J1366" i="1"/>
  <c r="E1473" i="1"/>
  <c r="E967" i="1"/>
  <c r="J3454" i="1"/>
  <c r="J4573" i="1"/>
  <c r="J1147" i="1"/>
  <c r="E1247" i="1"/>
  <c r="J1450" i="1"/>
  <c r="J3087" i="1"/>
  <c r="E2469" i="1"/>
  <c r="E3148" i="1"/>
  <c r="J2919" i="1"/>
  <c r="E2149" i="1"/>
  <c r="E1946" i="1"/>
  <c r="E1476" i="1"/>
  <c r="E1539" i="1"/>
  <c r="J2839" i="1"/>
  <c r="E2984" i="1"/>
  <c r="E909" i="1"/>
  <c r="E336" i="1"/>
  <c r="E982" i="1"/>
  <c r="E1987" i="1"/>
  <c r="E752" i="1"/>
  <c r="J509" i="1"/>
  <c r="J758" i="1"/>
  <c r="J1705" i="1"/>
  <c r="E365" i="1"/>
  <c r="E1411" i="1"/>
  <c r="J2105" i="1"/>
  <c r="J73" i="1"/>
  <c r="J2225" i="1"/>
  <c r="E739" i="1"/>
  <c r="E1099" i="1"/>
  <c r="E1699" i="1"/>
  <c r="E2057" i="1"/>
  <c r="E957" i="1"/>
  <c r="E3547" i="1"/>
  <c r="E1620" i="1"/>
  <c r="J376" i="1"/>
  <c r="E768" i="1"/>
  <c r="E1497" i="1"/>
  <c r="J1470" i="1"/>
  <c r="J798" i="1"/>
  <c r="J3960" i="1"/>
  <c r="E4050" i="1"/>
  <c r="E1462" i="1"/>
  <c r="E1351" i="1"/>
  <c r="J3360" i="1"/>
  <c r="E2045" i="1"/>
  <c r="E2586" i="1"/>
  <c r="J1420" i="1"/>
  <c r="E1818" i="1"/>
  <c r="E1861" i="1"/>
  <c r="E2663" i="1"/>
  <c r="E4121" i="1"/>
  <c r="J3107" i="1"/>
  <c r="J863" i="1"/>
  <c r="E3388" i="1"/>
  <c r="J174" i="1"/>
  <c r="E509" i="1"/>
  <c r="E1182" i="1"/>
  <c r="J987" i="1"/>
  <c r="J877" i="1"/>
  <c r="E3053" i="1"/>
  <c r="G3053" i="1" s="1"/>
  <c r="J1574" i="1"/>
  <c r="J2700" i="1"/>
  <c r="J2129" i="1"/>
  <c r="J4081" i="1"/>
  <c r="J2064" i="1"/>
  <c r="J2513" i="1"/>
  <c r="J1691" i="1"/>
  <c r="E217" i="1"/>
  <c r="J4084" i="1"/>
  <c r="E2636" i="1"/>
  <c r="J1551" i="1"/>
  <c r="J1654" i="1"/>
  <c r="E2018" i="1"/>
  <c r="E1445" i="1"/>
  <c r="J3148" i="1"/>
  <c r="E3721" i="1"/>
  <c r="E3315" i="1"/>
  <c r="J1764" i="1"/>
  <c r="J677" i="1"/>
  <c r="J2802" i="1"/>
  <c r="J2299" i="1"/>
  <c r="E1152" i="1"/>
  <c r="E2304" i="1"/>
  <c r="E1868" i="1"/>
  <c r="J2098" i="1"/>
  <c r="E1077" i="1"/>
  <c r="E1346" i="1"/>
  <c r="J1873" i="1"/>
  <c r="E3770" i="1"/>
  <c r="E2726" i="1"/>
  <c r="J3244" i="1"/>
  <c r="E41" i="1"/>
  <c r="J481" i="1"/>
  <c r="J1928" i="1"/>
  <c r="J1026" i="1"/>
  <c r="E2993" i="1"/>
  <c r="E1760" i="1"/>
  <c r="J2176" i="1"/>
  <c r="J952" i="1"/>
  <c r="J1267" i="1"/>
  <c r="E3669" i="1"/>
  <c r="E970" i="1"/>
  <c r="J1914" i="1"/>
  <c r="J101" i="1"/>
  <c r="J2037" i="1"/>
  <c r="J2750" i="1"/>
  <c r="J1643" i="1"/>
  <c r="E4468" i="1"/>
  <c r="E2453" i="1"/>
  <c r="J770" i="1"/>
  <c r="E39" i="1"/>
  <c r="E2381" i="1"/>
  <c r="J2070" i="1"/>
  <c r="E1896" i="1"/>
  <c r="E3265" i="1"/>
  <c r="J656" i="1"/>
  <c r="E2905" i="1"/>
  <c r="J3662" i="1"/>
  <c r="E1961" i="1"/>
  <c r="J1913" i="1"/>
  <c r="J1897" i="1"/>
  <c r="J2818" i="1"/>
  <c r="J3953" i="1"/>
  <c r="J2923" i="1"/>
  <c r="J1509" i="1"/>
  <c r="J365" i="1"/>
  <c r="J3054" i="1"/>
  <c r="E3075" i="1"/>
  <c r="E578" i="1"/>
  <c r="J204" i="1"/>
  <c r="E2886" i="1"/>
  <c r="J1909" i="1"/>
  <c r="E231" i="1"/>
  <c r="E2429" i="1"/>
  <c r="J3075" i="1"/>
  <c r="J2708" i="1"/>
  <c r="J3245" i="1"/>
  <c r="J3527" i="1"/>
  <c r="E2017" i="1"/>
  <c r="E2337" i="1"/>
  <c r="E1964" i="1"/>
  <c r="E4245" i="1"/>
  <c r="J2093" i="1"/>
  <c r="E434" i="1"/>
  <c r="E3608" i="1"/>
  <c r="J3798" i="1"/>
  <c r="J1767" i="1"/>
  <c r="J3559" i="1"/>
  <c r="J1761" i="1"/>
  <c r="E2542" i="1"/>
  <c r="E2022" i="1"/>
  <c r="J2264" i="1"/>
  <c r="J4101" i="1"/>
  <c r="J4270" i="1"/>
  <c r="J3983" i="1"/>
  <c r="J1488" i="1"/>
  <c r="E2421" i="1"/>
  <c r="E20" i="1"/>
  <c r="E555" i="1"/>
  <c r="J417" i="1"/>
  <c r="E71" i="1"/>
  <c r="E90" i="1"/>
  <c r="J1481" i="1"/>
  <c r="J2817" i="1"/>
  <c r="E2839" i="1"/>
  <c r="J123" i="1"/>
  <c r="E1762" i="1"/>
  <c r="J2015" i="1"/>
  <c r="E147" i="1"/>
  <c r="E451" i="1"/>
  <c r="J1637" i="1"/>
  <c r="J3880" i="1"/>
  <c r="E1382" i="1"/>
  <c r="E2162" i="1"/>
  <c r="J227" i="1"/>
  <c r="J1751" i="1"/>
  <c r="J125" i="1"/>
  <c r="J2516" i="1"/>
  <c r="E189" i="1"/>
  <c r="E223" i="1"/>
  <c r="J670" i="1"/>
  <c r="E554" i="1"/>
  <c r="E2652" i="1"/>
  <c r="E673" i="1"/>
  <c r="J2256" i="1"/>
  <c r="J2757" i="1"/>
  <c r="J1146" i="1"/>
  <c r="E2048" i="1"/>
  <c r="E1146" i="1"/>
  <c r="E1634" i="1"/>
  <c r="J29" i="1"/>
  <c r="J912" i="1"/>
  <c r="J979" i="1"/>
  <c r="E679" i="1"/>
  <c r="J1319" i="1"/>
  <c r="E1201" i="1"/>
  <c r="E770" i="1"/>
  <c r="J674" i="1"/>
  <c r="J973" i="1"/>
  <c r="E1800" i="1"/>
  <c r="J270" i="1"/>
  <c r="J624" i="1"/>
  <c r="E148" i="1"/>
  <c r="J253" i="1"/>
  <c r="J1998" i="1"/>
  <c r="J1634" i="1"/>
  <c r="E1029" i="1"/>
  <c r="E3034" i="1"/>
  <c r="J766" i="1"/>
  <c r="J1355" i="1"/>
  <c r="E2979" i="1"/>
  <c r="E723" i="1"/>
  <c r="J1353" i="1"/>
  <c r="J535" i="1"/>
  <c r="E775" i="1"/>
  <c r="E103" i="1"/>
  <c r="E163" i="1"/>
  <c r="J197" i="1"/>
  <c r="J708" i="1"/>
  <c r="J203" i="1"/>
  <c r="E2888" i="1"/>
  <c r="J92" i="1"/>
  <c r="E3109" i="1"/>
  <c r="J995" i="1"/>
  <c r="E168" i="1"/>
  <c r="J459" i="1"/>
  <c r="E3223" i="1"/>
  <c r="E87" i="1"/>
  <c r="J1424" i="1"/>
  <c r="E2470" i="1"/>
  <c r="J1145" i="1"/>
  <c r="E3125" i="1"/>
  <c r="J2384" i="1"/>
  <c r="J1822" i="1"/>
  <c r="E122" i="1"/>
  <c r="J788" i="1"/>
  <c r="E1367" i="1"/>
  <c r="J733" i="1"/>
  <c r="E1738" i="1"/>
  <c r="J3101" i="1"/>
  <c r="E1056" i="1"/>
  <c r="J2790" i="1"/>
  <c r="J524" i="1"/>
  <c r="E1641" i="1"/>
  <c r="J3064" i="1"/>
  <c r="J1702" i="1"/>
  <c r="E1517" i="1"/>
  <c r="J30" i="1"/>
  <c r="E3261" i="1"/>
  <c r="J572" i="1"/>
  <c r="E2498" i="1"/>
  <c r="J1924" i="1"/>
  <c r="E1474" i="1"/>
  <c r="E2008" i="1"/>
  <c r="E1815" i="1"/>
  <c r="J945" i="1"/>
  <c r="J255" i="1"/>
  <c r="J2356" i="1"/>
  <c r="E1039" i="1"/>
  <c r="J1562" i="1"/>
  <c r="J948" i="1"/>
  <c r="J58" i="1"/>
  <c r="J1886" i="1"/>
  <c r="J372" i="1"/>
  <c r="J1348" i="1"/>
  <c r="E2520" i="1"/>
  <c r="J228" i="1"/>
  <c r="J263" i="1"/>
  <c r="J1603" i="1"/>
  <c r="E1472" i="1"/>
  <c r="E2127" i="1"/>
  <c r="J646" i="1"/>
  <c r="E859" i="1"/>
  <c r="G859" i="1" s="1"/>
  <c r="J1416" i="1"/>
  <c r="E2446" i="1"/>
  <c r="E268" i="1"/>
  <c r="J1020" i="1"/>
  <c r="E699" i="1"/>
  <c r="J2133" i="1"/>
  <c r="E2328" i="1"/>
  <c r="J1363" i="1"/>
  <c r="J1249" i="1"/>
  <c r="J1651" i="1"/>
  <c r="J96" i="1"/>
  <c r="J2144" i="1"/>
  <c r="E2489" i="1"/>
  <c r="E1203" i="1"/>
  <c r="J1070" i="1"/>
  <c r="E1817" i="1"/>
  <c r="E550" i="1"/>
  <c r="E1730" i="1"/>
  <c r="E864" i="1"/>
  <c r="J1835" i="1"/>
  <c r="E3820" i="1"/>
  <c r="J4411" i="1"/>
  <c r="E2917" i="1"/>
  <c r="E3343" i="1"/>
  <c r="J2259" i="1"/>
  <c r="E4289" i="1"/>
  <c r="J2341" i="1"/>
  <c r="J1565" i="1"/>
  <c r="J1375" i="1"/>
  <c r="E2363" i="1"/>
  <c r="E1170" i="1"/>
  <c r="E1205" i="1"/>
  <c r="E2435" i="1"/>
  <c r="E1715" i="1"/>
  <c r="E913" i="1"/>
  <c r="E3777" i="1"/>
  <c r="E1261" i="1"/>
  <c r="J377" i="1"/>
  <c r="E1242" i="1"/>
  <c r="J1710" i="1"/>
  <c r="J910" i="1"/>
  <c r="E3139" i="1"/>
  <c r="E3713" i="1"/>
  <c r="J2876" i="1"/>
  <c r="E315" i="1"/>
  <c r="J2354" i="1"/>
  <c r="J3292" i="1"/>
  <c r="E1236" i="1"/>
  <c r="J2469" i="1"/>
  <c r="E221" i="1"/>
  <c r="E4072" i="1"/>
  <c r="E1915" i="1"/>
  <c r="J2045" i="1"/>
  <c r="J2670" i="1"/>
  <c r="J2122" i="1"/>
  <c r="E1783" i="1"/>
  <c r="J1093" i="1"/>
  <c r="J3872" i="1"/>
  <c r="E3023" i="1"/>
  <c r="J1798" i="1"/>
  <c r="E184" i="1"/>
  <c r="E2608" i="1"/>
  <c r="J283" i="1"/>
  <c r="E2455" i="1"/>
  <c r="E1560" i="1"/>
  <c r="J2681" i="1"/>
  <c r="J2833" i="1"/>
  <c r="E3714" i="1"/>
  <c r="J2865" i="1"/>
  <c r="J915" i="1"/>
  <c r="E2333" i="1"/>
  <c r="J3136" i="1"/>
  <c r="E1491" i="1"/>
  <c r="J1248" i="1"/>
  <c r="E3091" i="1"/>
  <c r="E517" i="1"/>
  <c r="E1345" i="1"/>
  <c r="G1345" i="1" s="1"/>
  <c r="J3849" i="1"/>
  <c r="J3198" i="1"/>
  <c r="E1606" i="1"/>
  <c r="J2228" i="1"/>
  <c r="J2475" i="1"/>
  <c r="E1618" i="1"/>
  <c r="J544" i="1"/>
  <c r="E446" i="1"/>
  <c r="J687" i="1"/>
  <c r="E1591" i="1"/>
  <c r="J2773" i="1"/>
  <c r="J2980" i="1"/>
  <c r="E3115" i="1"/>
  <c r="E2820" i="1"/>
  <c r="E1142" i="1"/>
  <c r="J451" i="1"/>
  <c r="J1590" i="1"/>
  <c r="E2643" i="1"/>
  <c r="E1369" i="1"/>
  <c r="E616" i="1"/>
  <c r="J2835" i="1"/>
  <c r="E720" i="1"/>
  <c r="E3126" i="1"/>
  <c r="J3255" i="1"/>
  <c r="E2141" i="1"/>
  <c r="E1521" i="1"/>
  <c r="E1593" i="1"/>
  <c r="J1892" i="1"/>
  <c r="E1412" i="1"/>
  <c r="J931" i="1"/>
  <c r="J691" i="1"/>
  <c r="J2692" i="1"/>
  <c r="J3094" i="1"/>
  <c r="J521" i="1"/>
  <c r="E1737" i="1"/>
  <c r="J999" i="1"/>
  <c r="E2728" i="1"/>
  <c r="J2117" i="1"/>
  <c r="J2457" i="1"/>
  <c r="J3010" i="1"/>
  <c r="E3831" i="1"/>
  <c r="J2616" i="1"/>
  <c r="E2735" i="1"/>
  <c r="J4009" i="1"/>
  <c r="J3723" i="1"/>
  <c r="J2353" i="1"/>
  <c r="E3850" i="1"/>
  <c r="J1475" i="1"/>
  <c r="J1566" i="1"/>
  <c r="J2123" i="1"/>
  <c r="E4629" i="1"/>
  <c r="E1158" i="1"/>
  <c r="J2397" i="1"/>
  <c r="J3250" i="1"/>
  <c r="E2949" i="1"/>
  <c r="J1188" i="1"/>
  <c r="E4396" i="1"/>
  <c r="J1790" i="1"/>
  <c r="J4764" i="1"/>
  <c r="E4075" i="1"/>
  <c r="J1155" i="1"/>
  <c r="E882" i="1"/>
  <c r="J583" i="1"/>
  <c r="E62" i="1"/>
  <c r="E481" i="1"/>
  <c r="E806" i="1"/>
  <c r="E1012" i="1"/>
  <c r="J1885" i="1"/>
  <c r="E652" i="1"/>
  <c r="E1642" i="1"/>
  <c r="J1641" i="1"/>
  <c r="J3805" i="1"/>
  <c r="E1936" i="1"/>
  <c r="E2711" i="1"/>
  <c r="E1225" i="1"/>
  <c r="E1966" i="1"/>
  <c r="J1576" i="1"/>
  <c r="E2902" i="1"/>
  <c r="E2834" i="1"/>
  <c r="E1365" i="1"/>
  <c r="G1370" i="1" s="1"/>
  <c r="J1945" i="1"/>
  <c r="E1409" i="1"/>
  <c r="J892" i="1"/>
  <c r="E583" i="1"/>
  <c r="E1850" i="1"/>
  <c r="E275" i="1"/>
  <c r="E67" i="1"/>
  <c r="J2277" i="1"/>
  <c r="E3152" i="1"/>
  <c r="E1309" i="1"/>
  <c r="E1866" i="1"/>
  <c r="G1871" i="1" s="1"/>
  <c r="E2283" i="1"/>
  <c r="J3547" i="1"/>
  <c r="E2774" i="1"/>
  <c r="E636" i="1"/>
  <c r="E392" i="1"/>
  <c r="J768" i="1"/>
  <c r="J68" i="1"/>
  <c r="J650" i="1"/>
  <c r="J786" i="1"/>
  <c r="J2906" i="1"/>
  <c r="J438" i="1"/>
  <c r="J3181" i="1"/>
  <c r="J272" i="1"/>
  <c r="E2947" i="1"/>
  <c r="J161" i="1"/>
  <c r="E1018" i="1"/>
  <c r="E521" i="1"/>
  <c r="E853" i="1"/>
  <c r="E445" i="1"/>
  <c r="E2078" i="1"/>
  <c r="J2170" i="1"/>
  <c r="E1557" i="1"/>
  <c r="J562" i="1"/>
  <c r="E318" i="1"/>
  <c r="J2642" i="1"/>
  <c r="J3741" i="1"/>
  <c r="J2136" i="1"/>
  <c r="E3430" i="1"/>
  <c r="E2082" i="1"/>
  <c r="E341" i="1"/>
  <c r="E1997" i="1"/>
  <c r="J1191" i="1"/>
  <c r="J1168" i="1"/>
  <c r="E99" i="1"/>
  <c r="J1170" i="1"/>
  <c r="E1437" i="1"/>
  <c r="E2110" i="1"/>
  <c r="E157" i="1"/>
  <c r="E1722" i="1"/>
  <c r="J639" i="1"/>
  <c r="J3275" i="1"/>
  <c r="E52" i="1"/>
  <c r="J2703" i="1"/>
  <c r="J3374" i="1"/>
  <c r="E1566" i="1"/>
  <c r="E1332" i="1"/>
  <c r="E2052" i="1"/>
  <c r="J440" i="1"/>
  <c r="J531" i="1"/>
  <c r="J631" i="1"/>
  <c r="J693" i="1"/>
  <c r="E1733" i="1"/>
  <c r="E797" i="1"/>
  <c r="J2217" i="1"/>
  <c r="E3217" i="1"/>
  <c r="J303" i="1"/>
  <c r="J1232" i="1"/>
  <c r="J301" i="1"/>
  <c r="E449" i="1"/>
  <c r="E2295" i="1"/>
  <c r="G2300" i="1" s="1"/>
  <c r="E4821" i="1"/>
  <c r="J3611" i="1"/>
  <c r="E1886" i="1"/>
  <c r="J1467" i="1"/>
  <c r="J1808" i="1"/>
  <c r="E1094" i="1"/>
  <c r="J2615" i="1"/>
  <c r="E2497" i="1"/>
  <c r="E89" i="1"/>
  <c r="J1105" i="1"/>
  <c r="J556" i="1"/>
  <c r="E1405" i="1"/>
  <c r="G1405" i="1" s="1"/>
  <c r="J1300" i="1"/>
  <c r="J196" i="1"/>
  <c r="E862" i="1"/>
  <c r="J22" i="1"/>
  <c r="E971" i="1"/>
  <c r="J349" i="1"/>
  <c r="J2668" i="1"/>
  <c r="E3251" i="1"/>
  <c r="J1084" i="1"/>
  <c r="J1114" i="1"/>
  <c r="J2656" i="1"/>
  <c r="E2372" i="1"/>
  <c r="E2251" i="1"/>
  <c r="J2772" i="1"/>
  <c r="J1007" i="1"/>
  <c r="J983" i="1"/>
  <c r="J3014" i="1"/>
  <c r="E524" i="1"/>
  <c r="E409" i="1"/>
  <c r="J914" i="1"/>
  <c r="J2496" i="1"/>
  <c r="E2741" i="1"/>
  <c r="J232" i="1"/>
  <c r="E2583" i="1"/>
  <c r="J1995" i="1"/>
  <c r="J445" i="1"/>
  <c r="J3562" i="1"/>
  <c r="J2273" i="1"/>
  <c r="J1265" i="1"/>
  <c r="J4226" i="1"/>
  <c r="E1988" i="1"/>
  <c r="E2781" i="1"/>
  <c r="J1903" i="1"/>
  <c r="E2465" i="1"/>
  <c r="J4145" i="1"/>
  <c r="J2898" i="1"/>
  <c r="E1428" i="1"/>
  <c r="E1552" i="1"/>
  <c r="E358" i="1"/>
  <c r="J3417" i="1"/>
  <c r="E891" i="1"/>
  <c r="J3992" i="1"/>
  <c r="J3784" i="1"/>
  <c r="E3407" i="1"/>
  <c r="J3043" i="1"/>
  <c r="J3990" i="1"/>
  <c r="J1735" i="1"/>
  <c r="E483" i="1"/>
  <c r="J3197" i="1"/>
  <c r="J497" i="1"/>
  <c r="J4251" i="1"/>
  <c r="J1627" i="1"/>
  <c r="J869" i="1"/>
  <c r="E1548" i="1"/>
  <c r="J2527" i="1"/>
  <c r="J2083" i="1"/>
  <c r="E1843" i="1"/>
  <c r="E4933" i="1"/>
  <c r="E1901" i="1"/>
  <c r="E2220" i="1"/>
  <c r="G2220" i="1" s="1"/>
  <c r="J1461" i="1"/>
  <c r="J2474" i="1"/>
  <c r="J1001" i="1"/>
  <c r="J1031" i="1"/>
  <c r="J3630" i="1"/>
  <c r="E322" i="1"/>
  <c r="J1602" i="1"/>
  <c r="E1174" i="1"/>
  <c r="J955" i="1"/>
  <c r="E1601" i="1"/>
  <c r="J3320" i="1"/>
  <c r="E3637" i="1"/>
  <c r="E2585" i="1"/>
  <c r="E4234" i="1"/>
  <c r="E2214" i="1"/>
  <c r="J1059" i="1"/>
  <c r="E1945" i="1"/>
  <c r="J113" i="1"/>
  <c r="J2455" i="1"/>
  <c r="J2918" i="1"/>
  <c r="E1681" i="1"/>
  <c r="J843" i="1"/>
  <c r="E1045" i="1"/>
  <c r="E1785" i="1"/>
  <c r="E2852" i="1"/>
  <c r="E3673" i="1"/>
  <c r="J3513" i="1"/>
  <c r="E1117" i="1"/>
  <c r="E641" i="1"/>
  <c r="J1468" i="1"/>
  <c r="J176" i="1"/>
  <c r="E3415" i="1"/>
  <c r="E2403" i="1"/>
  <c r="J2186" i="1"/>
  <c r="E3530" i="1"/>
  <c r="J2524" i="1"/>
  <c r="J2096" i="1"/>
  <c r="J934" i="1"/>
  <c r="E1162" i="1"/>
  <c r="J918" i="1"/>
  <c r="J483" i="1"/>
  <c r="J1314" i="1"/>
  <c r="J3361" i="1"/>
  <c r="E2768" i="1"/>
  <c r="J2795" i="1"/>
  <c r="E3279" i="1"/>
  <c r="E172" i="1"/>
  <c r="E1869" i="1"/>
  <c r="E1900" i="1"/>
  <c r="J1365" i="1"/>
  <c r="E622" i="1"/>
  <c r="E1450" i="1"/>
  <c r="E828" i="1"/>
  <c r="E1187" i="1"/>
  <c r="E2811" i="1"/>
  <c r="E2299" i="1"/>
  <c r="J2770" i="1"/>
  <c r="E1622" i="1"/>
  <c r="J2431" i="1"/>
  <c r="E1516" i="1"/>
  <c r="E3100" i="1"/>
  <c r="E681" i="1"/>
  <c r="J847" i="1"/>
  <c r="J3029" i="1"/>
  <c r="J2209" i="1"/>
  <c r="E2503" i="1"/>
  <c r="E3778" i="1"/>
  <c r="E1609" i="1"/>
  <c r="E329" i="1"/>
  <c r="E3085" i="1"/>
  <c r="J823" i="1"/>
  <c r="J2237" i="1"/>
  <c r="E2450" i="1"/>
  <c r="E3300" i="1"/>
  <c r="J1830" i="1"/>
  <c r="E1444" i="1"/>
  <c r="E4328" i="1"/>
  <c r="J2598" i="1"/>
  <c r="J4599" i="1"/>
  <c r="J625" i="1"/>
  <c r="E2184" i="1"/>
  <c r="E3009" i="1"/>
  <c r="E2325" i="1"/>
  <c r="E2966" i="1"/>
  <c r="E1808" i="1"/>
  <c r="J2829" i="1"/>
  <c r="J2810" i="1"/>
  <c r="J1638" i="1"/>
  <c r="E4093" i="1"/>
  <c r="E2748" i="1"/>
  <c r="E4147" i="1"/>
  <c r="E5040" i="1"/>
  <c r="J245" i="1"/>
  <c r="J264" i="1"/>
  <c r="E2894" i="1"/>
  <c r="J2629" i="1"/>
  <c r="J3213" i="1"/>
  <c r="E3583" i="1"/>
  <c r="J2001" i="1"/>
  <c r="J3083" i="1"/>
  <c r="E881" i="1"/>
  <c r="J1457" i="1"/>
  <c r="J1218" i="1"/>
  <c r="E793" i="1"/>
  <c r="E276" i="1"/>
  <c r="E1208" i="1"/>
  <c r="E2275" i="1"/>
  <c r="G2280" i="1" s="1"/>
  <c r="J1179" i="1"/>
  <c r="E209" i="1"/>
  <c r="J2140" i="1"/>
  <c r="J382" i="1"/>
  <c r="J2643" i="1"/>
  <c r="E563" i="1"/>
  <c r="J84" i="1"/>
  <c r="J373" i="1"/>
  <c r="E239" i="1"/>
  <c r="E366" i="1"/>
  <c r="J3931" i="1"/>
  <c r="J1976" i="1"/>
  <c r="E3821" i="1"/>
  <c r="G3826" i="1" s="1"/>
  <c r="J2820" i="1"/>
  <c r="E1837" i="1"/>
  <c r="J431" i="1"/>
  <c r="J5561" i="1"/>
  <c r="J2912" i="1"/>
  <c r="E3654" i="1"/>
  <c r="E2369" i="1"/>
  <c r="J773" i="1"/>
  <c r="J469" i="1"/>
  <c r="J1337" i="1"/>
  <c r="E2570" i="1"/>
  <c r="J1430" i="1"/>
  <c r="J2486" i="1"/>
  <c r="J1441" i="1"/>
  <c r="J981" i="1"/>
  <c r="J682" i="1"/>
  <c r="J1123" i="1"/>
  <c r="E863" i="1"/>
  <c r="J2844" i="1"/>
  <c r="E539" i="1"/>
  <c r="E1686" i="1"/>
  <c r="J3576" i="1"/>
  <c r="J1072" i="1"/>
  <c r="J906" i="1"/>
  <c r="E2444" i="1"/>
  <c r="E1009" i="1"/>
  <c r="J555" i="1"/>
  <c r="E596" i="1"/>
  <c r="J1174" i="1"/>
  <c r="J642" i="1"/>
  <c r="J307" i="1"/>
  <c r="J3601" i="1"/>
  <c r="E353" i="1"/>
  <c r="E1235" i="1"/>
  <c r="E2054" i="1"/>
  <c r="J1386" i="1"/>
  <c r="E2508" i="1"/>
  <c r="J386" i="1"/>
  <c r="J1212" i="1"/>
  <c r="J2027" i="1"/>
  <c r="J2981" i="1"/>
  <c r="E2904" i="1"/>
  <c r="E1983" i="1"/>
  <c r="J1079" i="1"/>
  <c r="J1823" i="1"/>
  <c r="E1291" i="1"/>
  <c r="J1205" i="1"/>
  <c r="E1443" i="1"/>
  <c r="J118" i="1"/>
  <c r="J2235" i="1"/>
  <c r="J794" i="1"/>
  <c r="J8" i="1"/>
  <c r="J260" i="1"/>
  <c r="E2088" i="1"/>
  <c r="G2088" i="1" s="1"/>
  <c r="J980" i="1"/>
  <c r="E878" i="1"/>
  <c r="E2638" i="1"/>
  <c r="E2392" i="1"/>
  <c r="E2410" i="1"/>
  <c r="J2769" i="1"/>
  <c r="E3532" i="1"/>
  <c r="E1371" i="1"/>
  <c r="E1352" i="1"/>
  <c r="E132" i="1"/>
  <c r="E119" i="1"/>
  <c r="E3193" i="1"/>
  <c r="J2251" i="1"/>
  <c r="E1314" i="1"/>
  <c r="E488" i="1"/>
  <c r="J2592" i="1"/>
  <c r="E783" i="1"/>
  <c r="J2908" i="1"/>
  <c r="J395" i="1"/>
  <c r="J2111" i="1"/>
  <c r="E765" i="1"/>
  <c r="J1437" i="1"/>
  <c r="E338" i="1"/>
  <c r="J1485" i="1"/>
  <c r="J629" i="1"/>
  <c r="E2733" i="1"/>
  <c r="E3449" i="1"/>
  <c r="E1588" i="1"/>
  <c r="J1648" i="1"/>
  <c r="E2997" i="1"/>
  <c r="E2996" i="1"/>
  <c r="E2234" i="1"/>
  <c r="J1339" i="1"/>
  <c r="J2590" i="1"/>
  <c r="J1869" i="1"/>
  <c r="E1898" i="1"/>
  <c r="E2567" i="1"/>
  <c r="J1737" i="1"/>
  <c r="J1231" i="1"/>
  <c r="J1662" i="1"/>
  <c r="J3130" i="1"/>
  <c r="E3597" i="1"/>
  <c r="E1863" i="1"/>
  <c r="J1572" i="1"/>
  <c r="E2613" i="1"/>
  <c r="E1410" i="1"/>
  <c r="J1410" i="1"/>
  <c r="E2478" i="1"/>
  <c r="E1037" i="1"/>
  <c r="E3549" i="1"/>
  <c r="E2612" i="1"/>
  <c r="J1754" i="1"/>
  <c r="J3160" i="1"/>
  <c r="J969" i="1"/>
  <c r="J1951" i="1"/>
  <c r="J2266" i="1"/>
  <c r="E2194" i="1"/>
  <c r="E3917" i="1"/>
  <c r="E2361" i="1"/>
  <c r="J1857" i="1"/>
  <c r="J929" i="1"/>
  <c r="J1050" i="1"/>
  <c r="E2209" i="1"/>
  <c r="J1676" i="1"/>
  <c r="E1590" i="1"/>
  <c r="E3762" i="1"/>
  <c r="E4586" i="1"/>
  <c r="E2935" i="1"/>
  <c r="J2069" i="1"/>
  <c r="J727" i="1"/>
  <c r="E2887" i="1"/>
  <c r="E2226" i="1"/>
  <c r="J3497" i="1"/>
  <c r="J1201" i="1"/>
  <c r="E3042" i="1"/>
  <c r="J1454" i="1"/>
  <c r="E2276" i="1"/>
  <c r="J1704" i="1"/>
  <c r="E3216" i="1"/>
  <c r="J1683" i="1"/>
  <c r="J832" i="1"/>
  <c r="E3720" i="1"/>
  <c r="E3469" i="1"/>
  <c r="E1910" i="1"/>
  <c r="J951" i="1"/>
  <c r="J852" i="1"/>
  <c r="J185" i="1"/>
  <c r="J1207" i="1"/>
  <c r="J2067" i="1"/>
  <c r="E2807" i="1"/>
  <c r="E1240" i="1"/>
  <c r="J1681" i="1"/>
  <c r="J3287" i="1"/>
  <c r="J2212" i="1"/>
  <c r="J1899" i="1"/>
  <c r="E1105" i="1"/>
  <c r="E327" i="1"/>
  <c r="E5027" i="1"/>
  <c r="E1426" i="1"/>
  <c r="E2840" i="1"/>
  <c r="E1286" i="1"/>
  <c r="E1168" i="1"/>
  <c r="G1173" i="1" s="1"/>
  <c r="J353" i="1"/>
  <c r="E199" i="1"/>
  <c r="J429" i="1"/>
  <c r="E2660" i="1"/>
  <c r="E2074" i="1"/>
  <c r="E2502" i="1"/>
  <c r="G2502" i="1" s="1"/>
  <c r="E3837" i="1"/>
  <c r="E3271" i="1"/>
  <c r="E3459" i="1"/>
  <c r="E2360" i="1"/>
  <c r="J2745" i="1"/>
  <c r="E3086" i="1"/>
  <c r="E2864" i="1"/>
  <c r="E1944" i="1"/>
  <c r="E1789" i="1"/>
  <c r="G1789" i="1" s="1"/>
  <c r="J3648" i="1"/>
  <c r="E3385" i="1"/>
  <c r="E3127" i="1"/>
  <c r="J2414" i="1"/>
  <c r="E2533" i="1"/>
  <c r="E3404" i="1"/>
  <c r="E2191" i="1"/>
  <c r="J2200" i="1"/>
  <c r="E2290" i="1"/>
  <c r="G2290" i="1" s="1"/>
  <c r="J1142" i="1"/>
  <c r="J2807" i="1"/>
  <c r="E2537" i="1"/>
  <c r="E2606" i="1"/>
  <c r="E3268" i="1"/>
  <c r="J2177" i="1"/>
  <c r="E2629" i="1"/>
  <c r="E3944" i="1"/>
  <c r="J1673" i="1"/>
  <c r="E3094" i="1"/>
  <c r="E3383" i="1"/>
  <c r="J3217" i="1"/>
  <c r="E1576" i="1"/>
  <c r="E2499" i="1"/>
  <c r="E4201" i="1"/>
  <c r="J1630" i="1"/>
  <c r="E4326" i="1"/>
  <c r="E1685" i="1"/>
  <c r="E2102" i="1"/>
  <c r="J3683" i="1"/>
  <c r="J4625" i="1"/>
  <c r="J4722" i="1"/>
  <c r="E500" i="1"/>
  <c r="E886" i="1"/>
  <c r="J2856" i="1"/>
  <c r="E2734" i="1"/>
  <c r="J1659" i="1"/>
  <c r="E3319" i="1"/>
  <c r="J3125" i="1"/>
  <c r="J2826" i="1"/>
  <c r="E2547" i="1"/>
  <c r="J2755" i="1"/>
  <c r="J1908" i="1"/>
  <c r="J2698" i="1"/>
  <c r="J1008" i="1"/>
  <c r="E346" i="1"/>
  <c r="E1640" i="1"/>
  <c r="J2358" i="1"/>
  <c r="E2253" i="1"/>
  <c r="E917" i="1"/>
  <c r="J3214" i="1"/>
  <c r="J897" i="1"/>
  <c r="E1912" i="1"/>
  <c r="E4226" i="1"/>
  <c r="E625" i="1"/>
  <c r="J967" i="1"/>
  <c r="J2499" i="1"/>
  <c r="E1131" i="1"/>
  <c r="E2605" i="1"/>
  <c r="J1994" i="1"/>
  <c r="J2095" i="1"/>
  <c r="J3158" i="1"/>
  <c r="E522" i="1"/>
  <c r="E3414" i="1"/>
  <c r="J3978" i="1"/>
  <c r="J669" i="1"/>
  <c r="E1604" i="1"/>
  <c r="E888" i="1"/>
  <c r="J925" i="1"/>
  <c r="J2205" i="1"/>
  <c r="E1884" i="1"/>
  <c r="J5129" i="1"/>
  <c r="E1479" i="1"/>
  <c r="J1315" i="1"/>
  <c r="J2392" i="1"/>
  <c r="J488" i="1"/>
  <c r="J27" i="1"/>
  <c r="E2844" i="1"/>
  <c r="J1356" i="1"/>
  <c r="J1012" i="1"/>
  <c r="E943" i="1"/>
  <c r="E2204" i="1"/>
  <c r="E1229" i="1"/>
  <c r="J2596" i="1"/>
  <c r="E2488" i="1"/>
  <c r="E3524" i="1"/>
  <c r="J2246" i="1"/>
  <c r="E264" i="1"/>
  <c r="E1190" i="1"/>
  <c r="E526" i="1"/>
  <c r="E3020" i="1"/>
  <c r="J3012" i="1"/>
  <c r="E1592" i="1"/>
  <c r="E1793" i="1"/>
  <c r="E1489" i="1"/>
  <c r="E2330" i="1"/>
  <c r="J2410" i="1"/>
  <c r="J1706" i="1"/>
  <c r="J805" i="1"/>
  <c r="E3341" i="1"/>
  <c r="E2423" i="1"/>
  <c r="J1759" i="1"/>
  <c r="E3643" i="1"/>
  <c r="J3927" i="1"/>
  <c r="E3965" i="1"/>
  <c r="E2186" i="1"/>
  <c r="E2988" i="1"/>
  <c r="G2988" i="1" s="1"/>
  <c r="E2754" i="1"/>
  <c r="E1816" i="1"/>
  <c r="J2943" i="1"/>
  <c r="E1852" i="1"/>
  <c r="J1521" i="1"/>
  <c r="E3659" i="1"/>
  <c r="J1882" i="1"/>
  <c r="J3033" i="1"/>
  <c r="E3130" i="1"/>
  <c r="J2825" i="1"/>
  <c r="J2281" i="1"/>
  <c r="J3743" i="1"/>
  <c r="E4208" i="1"/>
  <c r="J3620" i="1"/>
  <c r="E2258" i="1"/>
  <c r="E657" i="1"/>
  <c r="J1372" i="1"/>
  <c r="J1381" i="1"/>
  <c r="J3668" i="1"/>
  <c r="E2235" i="1"/>
  <c r="J2551" i="1"/>
  <c r="J2878" i="1"/>
  <c r="E2813" i="1"/>
  <c r="E2690" i="1"/>
  <c r="J2549" i="1"/>
  <c r="E2211" i="1"/>
  <c r="E2986" i="1"/>
  <c r="J747" i="1"/>
  <c r="J312" i="1"/>
  <c r="E3221" i="1"/>
  <c r="E1813" i="1"/>
  <c r="E3771" i="1"/>
  <c r="E2030" i="1"/>
  <c r="E1542" i="1"/>
  <c r="E1544" i="1"/>
  <c r="E2365" i="1"/>
  <c r="E1574" i="1"/>
  <c r="J982" i="1"/>
  <c r="J1396" i="1"/>
  <c r="E395" i="1"/>
  <c r="E3099" i="1"/>
  <c r="E258" i="1"/>
  <c r="E3283" i="1"/>
  <c r="J1856" i="1"/>
  <c r="E2377" i="1"/>
  <c r="E1674" i="1"/>
  <c r="E1387" i="1"/>
  <c r="J2097" i="1"/>
  <c r="J2408" i="1"/>
  <c r="E1172" i="1"/>
  <c r="J3061" i="1"/>
  <c r="E1807" i="1"/>
  <c r="E3364" i="1"/>
  <c r="J1514" i="1"/>
  <c r="J329" i="1"/>
  <c r="E999" i="1"/>
  <c r="J2278" i="1"/>
  <c r="E2569" i="1"/>
  <c r="J1324" i="1"/>
  <c r="J3692" i="1"/>
  <c r="J2268" i="1"/>
  <c r="E1140" i="1"/>
  <c r="J1113" i="1"/>
  <c r="E1418" i="1"/>
  <c r="E2504" i="1"/>
  <c r="E2893" i="1"/>
  <c r="E439" i="1"/>
  <c r="J3051" i="1"/>
  <c r="J2274" i="1"/>
  <c r="J1480" i="1"/>
  <c r="J2149" i="1"/>
  <c r="E2641" i="1"/>
  <c r="J2611" i="1"/>
  <c r="E3735" i="1"/>
  <c r="J2896" i="1"/>
  <c r="J1605" i="1"/>
  <c r="E674" i="1"/>
  <c r="J2976" i="1"/>
  <c r="E3184" i="1"/>
  <c r="J577" i="1"/>
  <c r="J3865" i="1"/>
  <c r="E875" i="1"/>
  <c r="J452" i="1"/>
  <c r="E1924" i="1"/>
  <c r="E1310" i="1"/>
  <c r="J827" i="1"/>
  <c r="J3529" i="1"/>
  <c r="E2271" i="1"/>
  <c r="J2458" i="1"/>
  <c r="E1708" i="1"/>
  <c r="E2556" i="1"/>
  <c r="E1720" i="1"/>
  <c r="J2427" i="1"/>
  <c r="E2858" i="1"/>
  <c r="J3149" i="1"/>
  <c r="E2591" i="1"/>
  <c r="E2459" i="1"/>
  <c r="J1078" i="1"/>
  <c r="E1110" i="1"/>
  <c r="J2644" i="1"/>
  <c r="J1866" i="1"/>
  <c r="J1489" i="1"/>
  <c r="E2090" i="1"/>
  <c r="E3842" i="1"/>
  <c r="J1836" i="1"/>
  <c r="J5202" i="1"/>
  <c r="J2535" i="1"/>
  <c r="E2541" i="1"/>
  <c r="E1786" i="1"/>
  <c r="E4952" i="1"/>
  <c r="J3446" i="1"/>
  <c r="J2842" i="1"/>
  <c r="J3162" i="1"/>
  <c r="J3209" i="1"/>
  <c r="J2811" i="1"/>
  <c r="E2092" i="1"/>
  <c r="E2037" i="1"/>
  <c r="E2154" i="1"/>
  <c r="E2073" i="1"/>
  <c r="G2078" i="1" s="1"/>
  <c r="E1439" i="1"/>
  <c r="E2666" i="1"/>
  <c r="J4161" i="1"/>
  <c r="E1691" i="1"/>
  <c r="E2308" i="1"/>
  <c r="J1448" i="1"/>
  <c r="E2918" i="1"/>
  <c r="E2647" i="1"/>
  <c r="E3937" i="1"/>
  <c r="J2207" i="1"/>
  <c r="J756" i="1"/>
  <c r="E351" i="1"/>
  <c r="J1306" i="1"/>
  <c r="E1579" i="1"/>
  <c r="J2914" i="1"/>
  <c r="E1921" i="1"/>
  <c r="E2685" i="1"/>
  <c r="J2767" i="1"/>
  <c r="J2510" i="1"/>
  <c r="J1819" i="1"/>
  <c r="J2193" i="1"/>
  <c r="J668" i="1"/>
  <c r="E2063" i="1"/>
  <c r="J1805" i="1"/>
  <c r="J1777" i="1"/>
  <c r="J1874" i="1"/>
  <c r="E1263" i="1"/>
  <c r="G1263" i="1" s="1"/>
  <c r="J851" i="1"/>
  <c r="J1588" i="1"/>
  <c r="J2298" i="1"/>
  <c r="E1923" i="1"/>
  <c r="E1537" i="1"/>
  <c r="G1537" i="1" s="1"/>
  <c r="E1038" i="1"/>
  <c r="E1178" i="1"/>
  <c r="J3186" i="1"/>
  <c r="E2229" i="1"/>
  <c r="J2588" i="1"/>
  <c r="J3179" i="1"/>
  <c r="J2428" i="1"/>
  <c r="E1106" i="1"/>
  <c r="J617" i="1"/>
  <c r="E2380" i="1"/>
  <c r="J1153" i="1"/>
  <c r="J2557" i="1"/>
  <c r="J4043" i="1"/>
  <c r="J1015" i="1"/>
  <c r="E2540" i="1"/>
  <c r="E126" i="1"/>
  <c r="J408" i="1"/>
  <c r="J1275" i="1"/>
  <c r="E2454" i="1"/>
  <c r="E2310" i="1"/>
  <c r="J3560" i="1"/>
  <c r="J3183" i="1"/>
  <c r="J216" i="1"/>
  <c r="J288" i="1"/>
  <c r="E2957" i="1"/>
  <c r="J3518" i="1"/>
  <c r="E2259" i="1"/>
  <c r="J3263" i="1"/>
  <c r="E3200" i="1"/>
  <c r="G3200" i="1" s="1"/>
  <c r="J1905" i="1"/>
  <c r="E1054" i="1"/>
  <c r="E3164" i="1"/>
  <c r="E1768" i="1"/>
  <c r="J3328" i="1"/>
  <c r="J2955" i="1"/>
  <c r="E2010" i="1"/>
  <c r="J2362" i="1"/>
  <c r="E927" i="1"/>
  <c r="E1748" i="1"/>
  <c r="E2119" i="1"/>
  <c r="E1337" i="1"/>
  <c r="E1389" i="1"/>
  <c r="E889" i="1"/>
  <c r="J304" i="1"/>
  <c r="J614" i="1"/>
  <c r="J1011" i="1"/>
  <c r="J2771" i="1"/>
  <c r="E2737" i="1"/>
  <c r="E2594" i="1"/>
  <c r="E1941" i="1"/>
  <c r="J3782" i="1"/>
  <c r="J3196" i="1"/>
  <c r="J1579" i="1"/>
  <c r="E621" i="1"/>
  <c r="J4511" i="1"/>
  <c r="E3813" i="1"/>
  <c r="E1893" i="1"/>
  <c r="J280" i="1"/>
  <c r="J1515" i="1"/>
  <c r="E3405" i="1"/>
  <c r="J1558" i="1"/>
  <c r="E3330" i="1"/>
  <c r="E428" i="1"/>
  <c r="E1250" i="1"/>
  <c r="J1939" i="1"/>
  <c r="J1711" i="1"/>
  <c r="E1495" i="1"/>
  <c r="E2778" i="1"/>
  <c r="J3768" i="1"/>
  <c r="J2768" i="1"/>
  <c r="E1761" i="1"/>
  <c r="E1313" i="1"/>
  <c r="E2932" i="1"/>
  <c r="J1813" i="1"/>
  <c r="E2388" i="1"/>
  <c r="J1254" i="1"/>
  <c r="J271" i="1"/>
  <c r="E1280" i="1"/>
  <c r="J2882" i="1"/>
  <c r="J1956" i="1"/>
  <c r="J1776" i="1"/>
  <c r="J2725" i="1"/>
  <c r="E2426" i="1"/>
  <c r="J641" i="1"/>
  <c r="J2243" i="1"/>
  <c r="E1584" i="1"/>
  <c r="E3291" i="1"/>
  <c r="E3296" i="1"/>
  <c r="E675" i="1"/>
  <c r="E1727" i="1"/>
  <c r="E2039" i="1"/>
  <c r="J2637" i="1"/>
  <c r="J2187" i="1"/>
  <c r="J891" i="1"/>
  <c r="J3293" i="1"/>
  <c r="J825" i="1"/>
  <c r="E3551" i="1"/>
  <c r="E1484" i="1"/>
  <c r="E2089" i="1"/>
  <c r="E1930" i="1"/>
  <c r="J3731" i="1"/>
  <c r="E4044" i="1"/>
  <c r="E3117" i="1"/>
  <c r="J1392" i="1"/>
  <c r="J4396" i="1"/>
  <c r="E3695" i="1"/>
  <c r="E1512" i="1"/>
  <c r="J1501" i="1"/>
  <c r="J3349" i="1"/>
  <c r="E2577" i="1"/>
  <c r="E2006" i="1"/>
  <c r="J2035" i="1"/>
  <c r="E2699" i="1"/>
  <c r="G2699" i="1" s="1"/>
  <c r="E2284" i="1"/>
  <c r="E3398" i="1"/>
  <c r="E1429" i="1"/>
  <c r="E3044" i="1"/>
  <c r="J4053" i="1"/>
  <c r="E4365" i="1"/>
  <c r="E3618" i="1"/>
  <c r="E1434" i="1"/>
  <c r="J3975" i="1"/>
  <c r="J4769" i="1"/>
  <c r="J1723" i="1"/>
  <c r="E1104" i="1"/>
  <c r="J1629" i="1"/>
  <c r="J3189" i="1"/>
  <c r="J923" i="1"/>
  <c r="E1873" i="1"/>
  <c r="J2189" i="1"/>
  <c r="E1702" i="1"/>
  <c r="J1639" i="1"/>
  <c r="E2901" i="1"/>
  <c r="G2901" i="1" s="1"/>
  <c r="E929" i="1"/>
  <c r="E438" i="1"/>
  <c r="E543" i="1"/>
  <c r="J750" i="1"/>
  <c r="J736" i="1"/>
  <c r="E2761" i="1"/>
  <c r="G2761" i="1" s="1"/>
  <c r="J1832" i="1"/>
  <c r="J586" i="1"/>
  <c r="E1707" i="1"/>
  <c r="J2886" i="1"/>
  <c r="J724" i="1"/>
  <c r="J2545" i="1"/>
  <c r="E1972" i="1"/>
  <c r="J3689" i="1"/>
  <c r="J88" i="1"/>
  <c r="E2745" i="1"/>
  <c r="J797" i="1"/>
  <c r="J3385" i="1"/>
  <c r="J567" i="1"/>
  <c r="J209" i="1"/>
  <c r="J462" i="1"/>
  <c r="J959" i="1"/>
  <c r="J54" i="1"/>
  <c r="E242" i="1"/>
  <c r="E1487" i="1"/>
  <c r="J3437" i="1"/>
  <c r="J975" i="1"/>
  <c r="J778" i="1"/>
  <c r="E1073" i="1"/>
  <c r="E2301" i="1"/>
  <c r="J2950" i="1"/>
  <c r="E3411" i="1"/>
  <c r="J178" i="1"/>
  <c r="E1103" i="1"/>
  <c r="E261" i="1"/>
  <c r="E745" i="1"/>
  <c r="J998" i="1"/>
  <c r="J218" i="1"/>
  <c r="E1550" i="1"/>
  <c r="E3327" i="1"/>
  <c r="G3327" i="1" s="1"/>
  <c r="J971" i="1"/>
  <c r="E1999" i="1"/>
  <c r="J672" i="1"/>
  <c r="E2674" i="1"/>
  <c r="G2674" i="1" s="1"/>
  <c r="J1484" i="1"/>
  <c r="E2278" i="1"/>
  <c r="J545" i="1"/>
  <c r="E2658" i="1"/>
  <c r="J1963" i="1"/>
  <c r="E1465" i="1"/>
  <c r="E759" i="1"/>
  <c r="J210" i="1"/>
  <c r="J1811" i="1"/>
  <c r="E507" i="1"/>
  <c r="E2028" i="1"/>
  <c r="J3163" i="1"/>
  <c r="J493" i="1"/>
  <c r="E44" i="1"/>
  <c r="E311" i="1"/>
  <c r="J1756" i="1"/>
  <c r="J962" i="1"/>
  <c r="E1276" i="1"/>
  <c r="J828" i="1"/>
  <c r="E2334" i="1"/>
  <c r="J2948" i="1"/>
  <c r="E1611" i="1"/>
  <c r="E1996" i="1"/>
  <c r="J1668" i="1"/>
  <c r="E1449" i="1"/>
  <c r="J1571" i="1"/>
  <c r="E1173" i="1"/>
  <c r="J814" i="1"/>
  <c r="J2472" i="1"/>
  <c r="J1911" i="1"/>
  <c r="E2475" i="1"/>
  <c r="J2150" i="1"/>
  <c r="E1822" i="1"/>
  <c r="J1632" i="1"/>
  <c r="J697" i="1"/>
  <c r="J391" i="1"/>
  <c r="E2097" i="1"/>
  <c r="J413" i="1"/>
  <c r="E384" i="1"/>
  <c r="E2252" i="1"/>
  <c r="E3413" i="1"/>
  <c r="J1904" i="1"/>
  <c r="E2823" i="1"/>
  <c r="E746" i="1"/>
  <c r="J76" i="1"/>
  <c r="E1689" i="1"/>
  <c r="G1689" i="1" s="1"/>
  <c r="E903" i="1"/>
  <c r="J508" i="1"/>
  <c r="E1167" i="1"/>
  <c r="E1471" i="1"/>
  <c r="J2053" i="1"/>
  <c r="E2521" i="1"/>
  <c r="E278" i="1"/>
  <c r="E1773" i="1"/>
  <c r="E552" i="1"/>
  <c r="J2086" i="1"/>
  <c r="E3397" i="1"/>
  <c r="E38" i="1"/>
  <c r="J663" i="1"/>
  <c r="J2742" i="1"/>
  <c r="E235" i="1"/>
  <c r="E415" i="1"/>
  <c r="E1676" i="1"/>
  <c r="E2727" i="1"/>
  <c r="J1506" i="1"/>
  <c r="E1066" i="1"/>
  <c r="J1407" i="1"/>
  <c r="E2582" i="1"/>
  <c r="E2332" i="1"/>
  <c r="J2182" i="1"/>
  <c r="E474" i="1"/>
  <c r="E1122" i="1"/>
  <c r="J432" i="1"/>
  <c r="J2655" i="1"/>
  <c r="J1791" i="1"/>
  <c r="J1531" i="1"/>
  <c r="E1792" i="1"/>
  <c r="E534" i="1"/>
  <c r="E1784" i="1"/>
  <c r="G1784" i="1" s="1"/>
  <c r="E1451" i="1"/>
  <c r="J2491" i="1"/>
  <c r="E2756" i="1"/>
  <c r="G2756" i="1" s="1"/>
  <c r="E2880" i="1"/>
  <c r="E4143" i="1"/>
  <c r="E2471" i="1"/>
  <c r="J3172" i="1"/>
  <c r="J1340" i="1"/>
  <c r="J3207" i="1"/>
  <c r="J1712" i="1"/>
  <c r="E2417" i="1"/>
  <c r="E3033" i="1"/>
  <c r="E704" i="1"/>
  <c r="J1799" i="1"/>
  <c r="E591" i="1"/>
  <c r="J1507" i="1"/>
  <c r="J220" i="1"/>
  <c r="E1541" i="1"/>
  <c r="J1260" i="1"/>
  <c r="J2178" i="1"/>
  <c r="J341" i="1"/>
  <c r="J2101" i="1"/>
  <c r="E2825" i="1"/>
  <c r="E2305" i="1"/>
  <c r="G2305" i="1" s="1"/>
  <c r="E1859" i="1"/>
  <c r="E3253" i="1"/>
  <c r="E846" i="1"/>
  <c r="E2439" i="1"/>
  <c r="J2907" i="1"/>
  <c r="E2441" i="1"/>
  <c r="E798" i="1"/>
  <c r="E154" i="1"/>
  <c r="E1072" i="1"/>
  <c r="J3280" i="1"/>
  <c r="J4472" i="1"/>
  <c r="E2270" i="1"/>
  <c r="G2270" i="1" s="1"/>
  <c r="E1342" i="1"/>
  <c r="J2652" i="1"/>
  <c r="J5901" i="1"/>
  <c r="E470" i="1"/>
  <c r="E1360" i="1"/>
  <c r="J1109" i="1"/>
  <c r="J974" i="1"/>
  <c r="J1728" i="1"/>
  <c r="J36" i="1"/>
  <c r="J1660" i="1"/>
  <c r="E3556" i="1"/>
  <c r="J1119" i="1"/>
  <c r="E998" i="1"/>
  <c r="J3317" i="1"/>
  <c r="E1554" i="1"/>
  <c r="E3594" i="1"/>
  <c r="J473" i="1"/>
  <c r="E4287" i="1"/>
  <c r="G4287" i="1" s="1"/>
  <c r="J725" i="1"/>
  <c r="E2847" i="1"/>
  <c r="E1503" i="1"/>
  <c r="J836" i="1"/>
  <c r="J871" i="1"/>
  <c r="J500" i="1"/>
  <c r="E2285" i="1"/>
  <c r="E3061" i="1"/>
  <c r="J3413" i="1"/>
  <c r="J4604" i="1"/>
  <c r="J222" i="1"/>
  <c r="E624" i="1"/>
  <c r="E2969" i="1"/>
  <c r="J1946" i="1"/>
  <c r="E1211" i="1"/>
  <c r="E2531" i="1"/>
  <c r="E1602" i="1"/>
  <c r="J2438" i="1"/>
  <c r="J2957" i="1"/>
  <c r="E3514" i="1"/>
  <c r="E1908" i="1"/>
  <c r="E1318" i="1"/>
  <c r="J1262" i="1"/>
  <c r="E3227" i="1"/>
  <c r="E1372" i="1"/>
  <c r="E2374" i="1"/>
  <c r="J1768" i="1"/>
  <c r="J1422" i="1"/>
  <c r="J1052" i="1"/>
  <c r="J1708" i="1"/>
  <c r="J1592" i="1"/>
  <c r="J4205" i="1"/>
  <c r="J95" i="1"/>
  <c r="J2369" i="1"/>
  <c r="E2992" i="1"/>
  <c r="E4281" i="1"/>
  <c r="E1731" i="1"/>
  <c r="J2213" i="1"/>
  <c r="J2648" i="1"/>
  <c r="E1974" i="1"/>
  <c r="E607" i="1"/>
  <c r="E1742" i="1"/>
  <c r="J1841" i="1"/>
  <c r="J947" i="1"/>
  <c r="E2132" i="1"/>
  <c r="E3925" i="1"/>
  <c r="J3019" i="1"/>
  <c r="J2761" i="1"/>
  <c r="E1435" i="1"/>
  <c r="E2634" i="1"/>
  <c r="G2634" i="1" s="1"/>
  <c r="E3584" i="1"/>
  <c r="E983" i="1"/>
  <c r="E3458" i="1"/>
  <c r="E1161" i="1"/>
  <c r="E4651" i="1"/>
  <c r="G4656" i="1" s="1"/>
  <c r="E1500" i="1"/>
  <c r="E1536" i="1"/>
  <c r="E3706" i="1"/>
  <c r="J2100" i="1"/>
  <c r="E979" i="1"/>
  <c r="J2325" i="1"/>
  <c r="E3422" i="1"/>
  <c r="G3427" i="1" s="1"/>
  <c r="J3329" i="1"/>
  <c r="E4936" i="1"/>
  <c r="J364" i="1"/>
  <c r="E2158" i="1"/>
  <c r="G2158" i="1" s="1"/>
  <c r="E1693" i="1"/>
  <c r="E2673" i="1"/>
  <c r="E1433" i="1"/>
  <c r="E823" i="1"/>
  <c r="E1224" i="1"/>
  <c r="J2934" i="1"/>
  <c r="J2447" i="1"/>
  <c r="E3089" i="1"/>
  <c r="E997" i="1"/>
  <c r="J3543" i="1"/>
  <c r="J837" i="1"/>
  <c r="J64" i="1"/>
  <c r="J1360" i="1"/>
  <c r="J181" i="1"/>
  <c r="J83" i="1"/>
  <c r="E3027" i="1"/>
  <c r="J3312" i="1"/>
  <c r="J1067" i="1"/>
  <c r="E1010" i="1"/>
  <c r="E1952" i="1"/>
  <c r="J2520" i="1"/>
  <c r="E84" i="1"/>
  <c r="E319" i="1"/>
  <c r="E2678" i="1"/>
  <c r="J810" i="1"/>
  <c r="J3086" i="1"/>
  <c r="J806" i="1"/>
  <c r="E2534" i="1"/>
  <c r="E1149" i="1"/>
  <c r="E2124" i="1"/>
  <c r="E874" i="1"/>
  <c r="G874" i="1" s="1"/>
  <c r="E442" i="1"/>
  <c r="E2816" i="1"/>
  <c r="J2017" i="1"/>
  <c r="E390" i="1"/>
  <c r="E215" i="1"/>
  <c r="J2746" i="1"/>
  <c r="J1977" i="1"/>
  <c r="J3531" i="1"/>
  <c r="E2933" i="1"/>
  <c r="J790" i="1"/>
  <c r="E2803" i="1"/>
  <c r="E2437" i="1"/>
  <c r="E884" i="1"/>
  <c r="G884" i="1" s="1"/>
  <c r="E612" i="1"/>
  <c r="J992" i="1"/>
  <c r="J3324" i="1"/>
  <c r="E443" i="1"/>
  <c r="J1251" i="1"/>
  <c r="J159" i="1"/>
  <c r="J1014" i="1"/>
  <c r="E1270" i="1"/>
  <c r="J940" i="1"/>
  <c r="J994" i="1"/>
  <c r="E910" i="1"/>
  <c r="J1417" i="1"/>
  <c r="E762" i="1"/>
  <c r="E2170" i="1"/>
  <c r="J2852" i="1"/>
  <c r="E3614" i="1"/>
  <c r="G3614" i="1" s="1"/>
  <c r="E1457" i="1"/>
  <c r="E760" i="1"/>
  <c r="E118" i="1"/>
  <c r="E2628" i="1"/>
  <c r="J3025" i="1"/>
  <c r="E1385" i="1"/>
  <c r="J2151" i="1"/>
  <c r="E137" i="1"/>
  <c r="J2050" i="1"/>
  <c r="E734" i="1"/>
  <c r="J944" i="1"/>
  <c r="J3765" i="1"/>
  <c r="J2296" i="1"/>
  <c r="E809" i="1"/>
  <c r="E269" i="1"/>
  <c r="J1136" i="1"/>
  <c r="J346" i="1"/>
  <c r="E85" i="1"/>
  <c r="E1293" i="1"/>
  <c r="J675" i="1"/>
  <c r="E696" i="1"/>
  <c r="J2664" i="1"/>
  <c r="E2797" i="1"/>
  <c r="J796" i="1"/>
  <c r="E5210" i="1"/>
  <c r="E3045" i="1"/>
  <c r="J37" i="1"/>
  <c r="E15" i="1"/>
  <c r="J160" i="1"/>
  <c r="E527" i="1"/>
  <c r="E1273" i="1"/>
  <c r="E2578" i="1"/>
  <c r="E2060" i="1"/>
  <c r="J1033" i="1"/>
  <c r="J276" i="1"/>
  <c r="J857" i="1"/>
  <c r="J729" i="1"/>
  <c r="J360" i="1"/>
  <c r="J1256" i="1"/>
  <c r="E83" i="1"/>
  <c r="E171" i="1"/>
  <c r="J1362" i="1"/>
  <c r="J1933" i="1"/>
  <c r="E978" i="1"/>
  <c r="E2751" i="1"/>
  <c r="J1773" i="1"/>
  <c r="E1982" i="1"/>
  <c r="E476" i="1"/>
  <c r="J2977" i="1"/>
  <c r="E1232" i="1"/>
  <c r="E585" i="1"/>
  <c r="J3002" i="1"/>
  <c r="E2808" i="1"/>
  <c r="E190" i="1"/>
  <c r="J2815" i="1"/>
  <c r="J1089" i="1"/>
  <c r="J46" i="1"/>
  <c r="J412" i="1"/>
  <c r="J600" i="1"/>
  <c r="E1687" i="1"/>
  <c r="E369" i="1"/>
  <c r="E2982" i="1"/>
  <c r="J1332" i="1"/>
  <c r="E1312" i="1"/>
  <c r="J3583" i="1"/>
  <c r="E3704" i="1"/>
  <c r="J1000" i="1"/>
  <c r="J4190" i="1"/>
  <c r="J1224" i="1"/>
  <c r="E1180" i="1"/>
  <c r="J2781" i="1"/>
  <c r="E2104" i="1"/>
  <c r="J1518" i="1"/>
  <c r="E3541" i="1"/>
  <c r="E2700" i="1"/>
  <c r="E1973" i="1"/>
  <c r="E3170" i="1"/>
  <c r="E1891" i="1"/>
  <c r="G1891" i="1" s="1"/>
  <c r="E1269" i="1"/>
  <c r="J2006" i="1"/>
  <c r="E4159" i="1"/>
  <c r="E1478" i="1"/>
  <c r="E2071" i="1"/>
  <c r="E4048" i="1"/>
  <c r="E1007" i="1"/>
  <c r="J3882" i="1"/>
  <c r="J3521" i="1"/>
  <c r="J2960" i="1"/>
  <c r="J4711" i="1"/>
  <c r="E227" i="1"/>
  <c r="J1771" i="1"/>
  <c r="J316" i="1"/>
  <c r="E1528" i="1"/>
  <c r="E2152" i="1"/>
  <c r="E1171" i="1"/>
  <c r="J2088" i="1"/>
  <c r="J1658" i="1"/>
  <c r="J2249" i="1"/>
  <c r="E4531" i="1"/>
  <c r="J2731" i="1"/>
  <c r="J3705" i="1"/>
  <c r="E1672" i="1"/>
  <c r="J1172" i="1"/>
  <c r="E2762" i="1"/>
  <c r="E826" i="1"/>
  <c r="E300" i="1"/>
  <c r="J1118" i="1"/>
  <c r="J1041" i="1"/>
  <c r="J2323" i="1"/>
  <c r="J1284" i="1"/>
  <c r="J2416" i="1"/>
  <c r="E1199" i="1"/>
  <c r="E2107" i="1"/>
  <c r="E1872" i="1"/>
  <c r="E2620" i="1"/>
  <c r="J2774" i="1"/>
  <c r="E2068" i="1"/>
  <c r="E17" i="1"/>
  <c r="J2452" i="1"/>
  <c r="J734" i="1"/>
  <c r="E1498" i="1"/>
  <c r="E2254" i="1"/>
  <c r="J2550" i="1"/>
  <c r="E3051" i="1"/>
  <c r="E2043" i="1"/>
  <c r="G2048" i="1" s="1"/>
  <c r="J3221" i="1"/>
  <c r="E1290" i="1"/>
  <c r="E2014" i="1"/>
  <c r="J2333" i="1"/>
  <c r="J195" i="1"/>
  <c r="E3325" i="1"/>
  <c r="E2821" i="1"/>
  <c r="G2821" i="1" s="1"/>
  <c r="E1401" i="1"/>
  <c r="E2457" i="1"/>
  <c r="J2713" i="1"/>
  <c r="E2492" i="1"/>
  <c r="J1529" i="1"/>
  <c r="E3344" i="1"/>
  <c r="E2985" i="1"/>
  <c r="J1669" i="1"/>
  <c r="E3302" i="1"/>
  <c r="E1838" i="1"/>
  <c r="J1027" i="1"/>
  <c r="J3053" i="1"/>
  <c r="E3812" i="1"/>
  <c r="E2842" i="1"/>
  <c r="E1931" i="1"/>
  <c r="G1936" i="1" s="1"/>
  <c r="J937" i="1"/>
  <c r="J2250" i="1"/>
  <c r="E1929" i="1"/>
  <c r="E654" i="1"/>
  <c r="J1127" i="1"/>
  <c r="J3300" i="1"/>
  <c r="E4920" i="1"/>
  <c r="E2815" i="1"/>
  <c r="J1843" i="1"/>
  <c r="J375" i="1"/>
  <c r="J1901" i="1"/>
  <c r="E1570" i="1"/>
  <c r="J1973" i="1"/>
  <c r="E3708" i="1"/>
  <c r="J911" i="1"/>
  <c r="E2224" i="1"/>
  <c r="J1955" i="1"/>
  <c r="E2040" i="1"/>
  <c r="J3387" i="1"/>
  <c r="J2381" i="1"/>
  <c r="E1336" i="1"/>
  <c r="E3037" i="1"/>
  <c r="E400" i="1"/>
  <c r="J3074" i="1"/>
  <c r="J2465" i="1"/>
  <c r="J3024" i="1"/>
  <c r="E1678" i="1"/>
  <c r="J3577" i="1"/>
  <c r="J3003" i="1"/>
  <c r="E2759" i="1"/>
  <c r="E3235" i="1"/>
  <c r="E2445" i="1"/>
  <c r="E5158" i="1"/>
  <c r="E3321" i="1"/>
  <c r="J2131" i="1"/>
  <c r="E1005" i="1"/>
  <c r="E1366" i="1"/>
  <c r="E2676" i="1"/>
  <c r="E3369" i="1"/>
  <c r="E2038" i="1"/>
  <c r="E2684" i="1"/>
  <c r="G2684" i="1" s="1"/>
  <c r="J4138" i="1"/>
  <c r="J2729" i="1"/>
  <c r="J5208" i="1"/>
  <c r="J4797" i="1"/>
  <c r="J3589" i="1"/>
  <c r="J2366" i="1"/>
  <c r="E3046" i="1"/>
  <c r="J1685" i="1"/>
  <c r="E2408" i="1"/>
  <c r="E1824" i="1"/>
  <c r="J2449" i="1"/>
  <c r="J2156" i="1"/>
  <c r="J1734" i="1"/>
  <c r="J1152" i="1"/>
  <c r="J662" i="1"/>
  <c r="J2107" i="1"/>
  <c r="E2402" i="1"/>
  <c r="J4305" i="1"/>
  <c r="E1650" i="1"/>
  <c r="E1979" i="1"/>
  <c r="J2661" i="1"/>
  <c r="J5790" i="1"/>
  <c r="J4170" i="1"/>
  <c r="J1474" i="1"/>
  <c r="E413" i="1"/>
  <c r="E1258" i="1"/>
  <c r="J1569" i="1"/>
  <c r="E4350" i="1"/>
  <c r="E1894" i="1"/>
  <c r="J1295" i="1"/>
  <c r="J2148" i="1"/>
  <c r="J2224" i="1"/>
  <c r="E1238" i="1"/>
  <c r="G1238" i="1" s="1"/>
  <c r="J3018" i="1"/>
  <c r="E1243" i="1"/>
  <c r="E2033" i="1"/>
  <c r="J2276" i="1"/>
  <c r="J775" i="1"/>
  <c r="E2292" i="1"/>
  <c r="J2566" i="1"/>
  <c r="E2554" i="1"/>
  <c r="E1179" i="1"/>
  <c r="E2707" i="1"/>
  <c r="E3424" i="1"/>
  <c r="J3146" i="1"/>
  <c r="J3139" i="1"/>
  <c r="J2747" i="1"/>
  <c r="E3082" i="1"/>
  <c r="E5026" i="1"/>
  <c r="J988" i="1"/>
  <c r="J1646" i="1"/>
  <c r="E2806" i="1"/>
  <c r="G2811" i="1" s="1"/>
  <c r="E2349" i="1"/>
  <c r="J2332" i="1"/>
  <c r="J997" i="1"/>
  <c r="J1942" i="1"/>
  <c r="E1688" i="1"/>
  <c r="E4280" i="1"/>
  <c r="J4388" i="1"/>
  <c r="E5950" i="1"/>
  <c r="J3007" i="1"/>
  <c r="J3447" i="1"/>
  <c r="E2020" i="1"/>
  <c r="J1879" i="1"/>
  <c r="J3848" i="1"/>
  <c r="J3131" i="1"/>
  <c r="J2726" i="1"/>
  <c r="E1677" i="1"/>
  <c r="J2857" i="1"/>
  <c r="J2109" i="1"/>
  <c r="J1967" i="1"/>
  <c r="E1750" i="1"/>
  <c r="J2488" i="1"/>
  <c r="E1144" i="1"/>
  <c r="E4197" i="1"/>
  <c r="E2120" i="1"/>
  <c r="J2801" i="1"/>
  <c r="J3474" i="1"/>
  <c r="J2678" i="1"/>
  <c r="E3480" i="1"/>
  <c r="J2915" i="1"/>
  <c r="J2393" i="1"/>
  <c r="E2753" i="1"/>
  <c r="E2669" i="1"/>
  <c r="J3667" i="1"/>
  <c r="E1911" i="1"/>
  <c r="E3092" i="1"/>
  <c r="J2387" i="1"/>
  <c r="E3228" i="1"/>
  <c r="J2930" i="1"/>
  <c r="J3306" i="1"/>
  <c r="E372" i="1"/>
  <c r="J2347" i="1"/>
  <c r="J3103" i="1"/>
  <c r="E2230" i="1"/>
  <c r="E3528" i="1"/>
  <c r="J4032" i="1"/>
  <c r="J2061" i="1"/>
  <c r="J2174" i="1"/>
  <c r="E2593" i="1"/>
  <c r="J1684" i="1"/>
  <c r="J1567" i="1"/>
  <c r="E819" i="1"/>
  <c r="E2930" i="1"/>
  <c r="E3095" i="1"/>
  <c r="E1732" i="1"/>
  <c r="E3306" i="1"/>
  <c r="J2443" i="1"/>
  <c r="J1368" i="1"/>
  <c r="E2192" i="1"/>
  <c r="J2240" i="1"/>
  <c r="E3380" i="1"/>
  <c r="E3112" i="1"/>
  <c r="E1529" i="1"/>
  <c r="J1131" i="1"/>
  <c r="E3727" i="1"/>
  <c r="J1214" i="1"/>
  <c r="J3348" i="1"/>
  <c r="J2440" i="1"/>
  <c r="E3684" i="1"/>
  <c r="J2468" i="1"/>
  <c r="J3178" i="1"/>
  <c r="J2819" i="1"/>
  <c r="J3359" i="1"/>
  <c r="E3346" i="1"/>
  <c r="J4533" i="1"/>
  <c r="E3207" i="1"/>
  <c r="J2654" i="1"/>
  <c r="E5733" i="1"/>
  <c r="G5733" i="1" s="1"/>
  <c r="J2991" i="1"/>
  <c r="J5207" i="1"/>
  <c r="E3853" i="1"/>
  <c r="G3858" i="1" s="1"/>
  <c r="E2971" i="1"/>
  <c r="J2335" i="1"/>
  <c r="E1006" i="1"/>
  <c r="E3590" i="1"/>
  <c r="E1132" i="1"/>
  <c r="J3362" i="1"/>
  <c r="E4746" i="1"/>
  <c r="G4746" i="1" s="1"/>
  <c r="E2268" i="1"/>
  <c r="J3530" i="1"/>
  <c r="J2577" i="1"/>
  <c r="J3168" i="1"/>
  <c r="E1074" i="1"/>
  <c r="J2997" i="1"/>
  <c r="E2846" i="1"/>
  <c r="J2785" i="1"/>
  <c r="E3284" i="1"/>
  <c r="E854" i="1"/>
  <c r="E2065" i="1"/>
  <c r="E2384" i="1"/>
  <c r="J1519" i="1"/>
  <c r="J2822" i="1"/>
  <c r="E1857" i="1"/>
  <c r="J3959" i="1"/>
  <c r="E3347" i="1"/>
  <c r="G3347" i="1" s="1"/>
  <c r="E904" i="1"/>
  <c r="E780" i="1"/>
  <c r="E1148" i="1"/>
  <c r="J2334" i="1"/>
  <c r="E1481" i="1"/>
  <c r="J1536" i="1"/>
  <c r="E3322" i="1"/>
  <c r="G3322" i="1" s="1"/>
  <c r="E1255" i="1"/>
  <c r="E2098" i="1"/>
  <c r="G2098" i="1" s="1"/>
  <c r="E4761" i="1"/>
  <c r="J1731" i="1"/>
  <c r="J2294" i="1"/>
  <c r="E2860" i="1"/>
  <c r="E3521" i="1"/>
  <c r="J2775" i="1"/>
  <c r="E1746" i="1"/>
  <c r="E732" i="1"/>
  <c r="J592" i="1"/>
  <c r="J2072" i="1"/>
  <c r="J3561" i="1"/>
  <c r="J1747" i="1"/>
  <c r="J2843" i="1"/>
  <c r="E1220" i="1"/>
  <c r="E2895" i="1"/>
  <c r="E1834" i="1"/>
  <c r="J1765" i="1"/>
  <c r="E277" i="1"/>
  <c r="E2390" i="1"/>
  <c r="G2390" i="1" s="1"/>
  <c r="E1571" i="1"/>
  <c r="J3615" i="1"/>
  <c r="J1997" i="1"/>
  <c r="E1198" i="1"/>
  <c r="E1395" i="1"/>
  <c r="G1400" i="1" s="1"/>
  <c r="E1877" i="1"/>
  <c r="J2614" i="1"/>
  <c r="E1234" i="1"/>
  <c r="J3579" i="1"/>
  <c r="J2699" i="1"/>
  <c r="J3903" i="1"/>
  <c r="J710" i="1"/>
  <c r="E1035" i="1"/>
  <c r="J285" i="1"/>
  <c r="E2814" i="1"/>
  <c r="J1126" i="1"/>
  <c r="E3189" i="1"/>
  <c r="J324" i="1"/>
  <c r="J4353" i="1"/>
  <c r="E2096" i="1"/>
  <c r="J2291" i="1"/>
  <c r="E1636" i="1"/>
  <c r="J1954" i="1"/>
  <c r="J2561" i="1"/>
  <c r="J1458" i="1"/>
  <c r="J2141" i="1"/>
  <c r="E518" i="1"/>
  <c r="J3058" i="1"/>
  <c r="J1520" i="1"/>
  <c r="J2005" i="1"/>
  <c r="E2664" i="1"/>
  <c r="J2782" i="1"/>
  <c r="E4605" i="1"/>
  <c r="J3652" i="1"/>
  <c r="J1128" i="1"/>
  <c r="E3595" i="1"/>
  <c r="E3823" i="1"/>
  <c r="J2018" i="1"/>
  <c r="E3839" i="1"/>
  <c r="J4179" i="1"/>
  <c r="E3386" i="1"/>
  <c r="E2616" i="1"/>
  <c r="E1378" i="1"/>
  <c r="J2297" i="1"/>
  <c r="J1196" i="1"/>
  <c r="J4120" i="1"/>
  <c r="J1459" i="1"/>
  <c r="E3049" i="1"/>
  <c r="J2257" i="1"/>
  <c r="J3223" i="1"/>
  <c r="E2539" i="1"/>
  <c r="J3935" i="1"/>
  <c r="E3677" i="1"/>
  <c r="J2595" i="1"/>
  <c r="J2548" i="1"/>
  <c r="J2975" i="1"/>
  <c r="E3004" i="1"/>
  <c r="E4663" i="1"/>
  <c r="E3136" i="1"/>
  <c r="E4565" i="1"/>
  <c r="J2618" i="1"/>
  <c r="E1562" i="1"/>
  <c r="G1567" i="1" s="1"/>
  <c r="J3874" i="1"/>
  <c r="E3628" i="1"/>
  <c r="E3779" i="1"/>
  <c r="E2653" i="1"/>
  <c r="J3403" i="1"/>
  <c r="E2195" i="1"/>
  <c r="J2776" i="1"/>
  <c r="E3143" i="1"/>
  <c r="J1748" i="1"/>
  <c r="J2388" i="1"/>
  <c r="J3720" i="1"/>
  <c r="J1498" i="1"/>
  <c r="E2626" i="1"/>
  <c r="E2897" i="1"/>
  <c r="E2130" i="1"/>
  <c r="J2875" i="1"/>
  <c r="J3515" i="1"/>
  <c r="J3569" i="1"/>
  <c r="E1133" i="1"/>
  <c r="J2184" i="1"/>
  <c r="J1390" i="1"/>
  <c r="J3030" i="1"/>
  <c r="E1612" i="1"/>
  <c r="G1612" i="1" s="1"/>
  <c r="E1990" i="1"/>
  <c r="E3884" i="1"/>
  <c r="E3947" i="1"/>
  <c r="E3587" i="1"/>
  <c r="J4606" i="1"/>
  <c r="J1389" i="1"/>
  <c r="E3712" i="1"/>
  <c r="J3078" i="1"/>
  <c r="E1902" i="1"/>
  <c r="E1657" i="1"/>
  <c r="E4255" i="1"/>
  <c r="E3869" i="1"/>
  <c r="J812" i="1"/>
  <c r="J3681" i="1"/>
  <c r="J3781" i="1"/>
  <c r="J3740" i="1"/>
  <c r="J4490" i="1"/>
  <c r="J2479" i="1"/>
  <c r="E3158" i="1"/>
  <c r="E5180" i="1"/>
  <c r="E5781" i="1"/>
  <c r="J585" i="1"/>
  <c r="J468" i="1"/>
  <c r="J621" i="1"/>
  <c r="E1668" i="1"/>
  <c r="J1837" i="1"/>
  <c r="J1087" i="1"/>
  <c r="E1858" i="1"/>
  <c r="E1513" i="1"/>
  <c r="J1029" i="1"/>
  <c r="E1295" i="1"/>
  <c r="J2578" i="1"/>
  <c r="E2137" i="1"/>
  <c r="E2656" i="1"/>
  <c r="E2458" i="1"/>
  <c r="J1247" i="1"/>
  <c r="J194" i="1"/>
  <c r="J924" i="1"/>
  <c r="E892" i="1"/>
  <c r="J2995" i="1"/>
  <c r="J2154" i="1"/>
  <c r="E1864" i="1"/>
  <c r="J757" i="1"/>
  <c r="J2307" i="1"/>
  <c r="E5234" i="1"/>
  <c r="J1739" i="1"/>
  <c r="E994" i="1"/>
  <c r="J2004" i="1"/>
  <c r="J1792" i="1"/>
  <c r="E706" i="1"/>
  <c r="J905" i="1"/>
  <c r="E2243" i="1"/>
  <c r="J1517" i="1"/>
  <c r="J3113" i="1"/>
  <c r="E1130" i="1"/>
  <c r="E1375" i="1"/>
  <c r="J2272" i="1"/>
  <c r="E4381" i="1"/>
  <c r="E1095" i="1"/>
  <c r="E2681" i="1"/>
  <c r="J2926" i="1"/>
  <c r="E827" i="1"/>
  <c r="J885" i="1"/>
  <c r="E570" i="1"/>
  <c r="E1441" i="1"/>
  <c r="J1825" i="1"/>
  <c r="J3727" i="1"/>
  <c r="E3409" i="1"/>
  <c r="E1506" i="1"/>
  <c r="E1402" i="1"/>
  <c r="J2467" i="1"/>
  <c r="J1103" i="1"/>
  <c r="J2007" i="1"/>
  <c r="J3624" i="1"/>
  <c r="E2482" i="1"/>
  <c r="E3018" i="1"/>
  <c r="G3023" i="1" s="1"/>
  <c r="J2113" i="1"/>
  <c r="E1381" i="1"/>
  <c r="E1003" i="1"/>
  <c r="E1477" i="1"/>
  <c r="E1339" i="1"/>
  <c r="J5366" i="1"/>
  <c r="E2617" i="1"/>
  <c r="J1815" i="1"/>
  <c r="J984" i="1"/>
  <c r="E2961" i="1"/>
  <c r="J2047" i="1"/>
  <c r="J2403" i="1"/>
  <c r="E2200" i="1"/>
  <c r="J2662" i="1"/>
  <c r="E1493" i="1"/>
  <c r="J2041" i="1"/>
  <c r="J4340" i="1"/>
  <c r="E1934" i="1"/>
  <c r="E3755" i="1"/>
  <c r="J3381" i="1"/>
  <c r="E890" i="1"/>
  <c r="J560" i="1"/>
  <c r="J3330" i="1"/>
  <c r="E2724" i="1"/>
  <c r="E1343" i="1"/>
  <c r="E2952" i="1"/>
  <c r="E1638" i="1"/>
  <c r="E2718" i="1"/>
  <c r="E1958" i="1"/>
  <c r="E4259" i="1"/>
  <c r="J2462" i="1"/>
  <c r="J1972" i="1"/>
  <c r="J1527" i="1"/>
  <c r="J3780" i="1"/>
  <c r="E3298" i="1"/>
  <c r="E4008" i="1"/>
  <c r="G4013" i="1" s="1"/>
  <c r="J2538" i="1"/>
  <c r="E4370" i="1"/>
  <c r="E2239" i="1"/>
  <c r="J3353" i="1"/>
  <c r="E3455" i="1"/>
  <c r="J1347" i="1"/>
  <c r="J2556" i="1"/>
  <c r="E2740" i="1"/>
  <c r="J3541" i="1"/>
  <c r="E2695" i="1"/>
  <c r="E3419" i="1"/>
  <c r="J2902" i="1"/>
  <c r="E3259" i="1"/>
  <c r="E3625" i="1"/>
  <c r="E3619" i="1"/>
  <c r="J2531" i="1"/>
  <c r="E2863" i="1"/>
  <c r="E3691" i="1"/>
  <c r="E1889" i="1"/>
  <c r="J1438" i="1"/>
  <c r="E2344" i="1"/>
  <c r="J4075" i="1"/>
  <c r="J1557" i="1"/>
  <c r="J2204" i="1"/>
  <c r="E3468" i="1"/>
  <c r="J1750" i="1"/>
  <c r="E1706" i="1"/>
  <c r="J4500" i="1"/>
  <c r="E1228" i="1"/>
  <c r="E3499" i="1"/>
  <c r="J3503" i="1"/>
  <c r="J2439" i="1"/>
  <c r="J2924" i="1"/>
  <c r="E4572" i="1"/>
  <c r="E2659" i="1"/>
  <c r="E3224" i="1"/>
  <c r="E1376" i="1"/>
  <c r="E4524" i="1"/>
  <c r="J1505" i="1"/>
  <c r="E3406" i="1"/>
  <c r="J1686" i="1"/>
  <c r="E3461" i="1"/>
  <c r="E1842" i="1"/>
  <c r="E2223" i="1"/>
  <c r="E3827" i="1"/>
  <c r="J2845" i="1"/>
  <c r="J1435" i="1"/>
  <c r="J2669" i="1"/>
  <c r="E1547" i="1"/>
  <c r="G1547" i="1" s="1"/>
  <c r="J1561" i="1"/>
  <c r="J3461" i="1"/>
  <c r="J3323" i="1"/>
  <c r="J1652" i="1"/>
  <c r="E512" i="1"/>
  <c r="J1757" i="1"/>
  <c r="E2430" i="1"/>
  <c r="E3054" i="1"/>
  <c r="J4183" i="1"/>
  <c r="E2121" i="1"/>
  <c r="E3790" i="1"/>
  <c r="J3448" i="1"/>
  <c r="E3536" i="1"/>
  <c r="E940" i="1"/>
  <c r="J3412" i="1"/>
  <c r="J2282" i="1"/>
  <c r="J3241" i="1"/>
  <c r="E4061" i="1"/>
  <c r="E4067" i="1"/>
  <c r="J3215" i="1"/>
  <c r="J861" i="1"/>
  <c r="E3495" i="1"/>
  <c r="J3383" i="1"/>
  <c r="E597" i="1"/>
  <c r="E2702" i="1"/>
  <c r="E1268" i="1"/>
  <c r="G1273" i="1" s="1"/>
  <c r="J2646" i="1"/>
  <c r="E933" i="1"/>
  <c r="E1943" i="1"/>
  <c r="J4110" i="1"/>
  <c r="J1784" i="1"/>
  <c r="J344" i="1"/>
  <c r="J2793" i="1"/>
  <c r="J1844" i="1"/>
  <c r="E2144" i="1"/>
  <c r="J479" i="1"/>
  <c r="J648" i="1"/>
  <c r="J2287" i="1"/>
  <c r="E320" i="1"/>
  <c r="E1779" i="1"/>
  <c r="E1701" i="1"/>
  <c r="E1812" i="1"/>
  <c r="E2115" i="1"/>
  <c r="J2786" i="1"/>
  <c r="E2407" i="1"/>
  <c r="E2313" i="1"/>
  <c r="E2802" i="1"/>
  <c r="J1513" i="1"/>
  <c r="E727" i="1"/>
  <c r="J3418" i="1"/>
  <c r="J978" i="1"/>
  <c r="J512" i="1"/>
  <c r="J2429" i="1"/>
  <c r="E1325" i="1"/>
  <c r="G1325" i="1" s="1"/>
  <c r="E2032" i="1"/>
  <c r="E1802" i="1"/>
  <c r="E2095" i="1"/>
  <c r="E843" i="1"/>
  <c r="E3039" i="1"/>
  <c r="J1349" i="1"/>
  <c r="E1820" i="1"/>
  <c r="J115" i="1"/>
  <c r="J2002" i="1"/>
  <c r="J760" i="1"/>
  <c r="J1211" i="1"/>
  <c r="J1612" i="1"/>
  <c r="E1718" i="1"/>
  <c r="J2314" i="1"/>
  <c r="E2414" i="1"/>
  <c r="J2162" i="1"/>
  <c r="E2914" i="1"/>
  <c r="J2401" i="1"/>
  <c r="E1796" i="1"/>
  <c r="E2845" i="1"/>
  <c r="J3059" i="1"/>
  <c r="E3502" i="1"/>
  <c r="E3024" i="1"/>
  <c r="J4069" i="1"/>
  <c r="J2649" i="1"/>
  <c r="E3129" i="1"/>
  <c r="J3711" i="1"/>
  <c r="E2903" i="1"/>
  <c r="E1829" i="1"/>
  <c r="G1829" i="1" s="1"/>
  <c r="E4465" i="1"/>
  <c r="J2751" i="1"/>
  <c r="J1069" i="1"/>
  <c r="E1703" i="1"/>
  <c r="J3386" i="1"/>
  <c r="E3332" i="1"/>
  <c r="E2382" i="1"/>
  <c r="J3208" i="1"/>
  <c r="J1473" i="1"/>
  <c r="J3922" i="1"/>
  <c r="J1738" i="1"/>
  <c r="E833" i="1"/>
  <c r="E3946" i="1"/>
  <c r="E1281" i="1"/>
  <c r="E2795" i="1"/>
  <c r="J1601" i="1"/>
  <c r="J2330" i="1"/>
  <c r="J2904" i="1"/>
  <c r="E1624" i="1"/>
  <c r="J4372" i="1"/>
  <c r="E1655" i="1"/>
  <c r="J2363" i="1"/>
  <c r="E2738" i="1"/>
  <c r="E4855" i="1"/>
  <c r="E1938" i="1"/>
  <c r="E3477" i="1"/>
  <c r="E3854" i="1"/>
  <c r="J1162" i="1"/>
  <c r="E3852" i="1"/>
  <c r="J1828" i="1"/>
  <c r="J808" i="1"/>
  <c r="E2168" i="1"/>
  <c r="G2168" i="1" s="1"/>
  <c r="J2733" i="1"/>
  <c r="J5715" i="1"/>
  <c r="J3344" i="1"/>
  <c r="E4541" i="1"/>
  <c r="E5126" i="1"/>
  <c r="E1922" i="1"/>
  <c r="E3500" i="1"/>
  <c r="E2108" i="1"/>
  <c r="E4162" i="1"/>
  <c r="E2215" i="1"/>
  <c r="E3055" i="1"/>
  <c r="E2528" i="1"/>
  <c r="E2683" i="1"/>
  <c r="J2892" i="1"/>
  <c r="J4187" i="1"/>
  <c r="J2529" i="1"/>
  <c r="J4971" i="1"/>
  <c r="E3921" i="1"/>
  <c r="E2297" i="1"/>
  <c r="J1850" i="1"/>
  <c r="E2125" i="1"/>
  <c r="J3038" i="1"/>
  <c r="J3894" i="1"/>
  <c r="J2091" i="1"/>
  <c r="E1913" i="1"/>
  <c r="J4201" i="1"/>
  <c r="J2589" i="1"/>
  <c r="E3013" i="1"/>
  <c r="E3930" i="1"/>
  <c r="J3253" i="1"/>
  <c r="E1928" i="1"/>
  <c r="E3523" i="1"/>
  <c r="J3715" i="1"/>
  <c r="J1721" i="1"/>
  <c r="J3863" i="1"/>
  <c r="J2942" i="1"/>
  <c r="J4986" i="1"/>
  <c r="J3004" i="1"/>
  <c r="J3294" i="1"/>
  <c r="E4128" i="1"/>
  <c r="J5047" i="1"/>
  <c r="J2016" i="1"/>
  <c r="E2433" i="1"/>
  <c r="J2275" i="1"/>
  <c r="J1554" i="1"/>
  <c r="J1373" i="1"/>
  <c r="J921" i="1"/>
  <c r="E2975" i="1"/>
  <c r="J2517" i="1"/>
  <c r="J1065" i="1"/>
  <c r="J1700" i="1"/>
  <c r="J208" i="1"/>
  <c r="J1071" i="1"/>
  <c r="J1523" i="1"/>
  <c r="E3022" i="1"/>
  <c r="J2161" i="1"/>
  <c r="J3182" i="1"/>
  <c r="J2603" i="1"/>
  <c r="J887" i="1"/>
  <c r="E2316" i="1"/>
  <c r="J2163" i="1"/>
  <c r="E303" i="1"/>
  <c r="E3425" i="1"/>
  <c r="J2701" i="1"/>
  <c r="E461" i="1"/>
  <c r="E2609" i="1"/>
  <c r="J636" i="1"/>
  <c r="E2467" i="1"/>
  <c r="E658" i="1"/>
  <c r="E2838" i="1"/>
  <c r="E3084" i="1"/>
  <c r="E1430" i="1"/>
  <c r="E2836" i="1"/>
  <c r="J2591" i="1"/>
  <c r="J831" i="1"/>
  <c r="E620" i="1"/>
  <c r="E3351" i="1"/>
  <c r="E2557" i="1"/>
  <c r="E3212" i="1"/>
  <c r="J2119" i="1"/>
  <c r="J1465" i="1"/>
  <c r="J3117" i="1"/>
  <c r="J3904" i="1"/>
  <c r="J3284" i="1"/>
  <c r="J2658" i="1"/>
  <c r="J3176" i="1"/>
  <c r="J2164" i="1"/>
  <c r="J496" i="1"/>
  <c r="J2565" i="1"/>
  <c r="E2491" i="1"/>
  <c r="J3070" i="1"/>
  <c r="J2167" i="1"/>
  <c r="E3116" i="1"/>
  <c r="E1970" i="1"/>
  <c r="J2968" i="1"/>
  <c r="E2341" i="1"/>
  <c r="E4587" i="1"/>
  <c r="J1953" i="1"/>
  <c r="E2941" i="1"/>
  <c r="E1697" i="1"/>
  <c r="J3770" i="1"/>
  <c r="E2561" i="1"/>
  <c r="J2567" i="1"/>
  <c r="J2871" i="1"/>
  <c r="J3091" i="1"/>
  <c r="E4812" i="1"/>
  <c r="E848" i="1"/>
  <c r="J1443" i="1"/>
  <c r="E3934" i="1"/>
  <c r="J2044" i="1"/>
  <c r="J3496" i="1"/>
  <c r="E2549" i="1"/>
  <c r="E2070" i="1"/>
  <c r="E2989" i="1"/>
  <c r="J2461" i="1"/>
  <c r="E4846" i="1"/>
  <c r="J2739" i="1"/>
  <c r="E2889" i="1"/>
  <c r="E3008" i="1"/>
  <c r="J1261" i="1"/>
  <c r="J1215" i="1"/>
  <c r="E3789" i="1"/>
  <c r="J4587" i="1"/>
  <c r="J1875" i="1"/>
  <c r="E2882" i="1"/>
  <c r="J1788" i="1"/>
  <c r="E2588" i="1"/>
  <c r="E1881" i="1"/>
  <c r="J2622" i="1"/>
  <c r="E1616" i="1"/>
  <c r="E4152" i="1"/>
  <c r="E3175" i="1"/>
  <c r="G3175" i="1" s="1"/>
  <c r="J2985" i="1"/>
  <c r="E1084" i="1"/>
  <c r="J1472" i="1"/>
  <c r="E4137" i="1"/>
  <c r="E1458" i="1"/>
  <c r="E3151" i="1"/>
  <c r="E3793" i="1"/>
  <c r="E2109" i="1"/>
  <c r="J1834" i="1"/>
  <c r="J3759" i="1"/>
  <c r="E3798" i="1"/>
  <c r="E3241" i="1"/>
  <c r="J1238" i="1"/>
  <c r="J4622" i="1"/>
  <c r="J4908" i="1"/>
  <c r="E3157" i="1"/>
  <c r="E2428" i="1"/>
  <c r="E3177" i="1"/>
  <c r="E3040" i="1"/>
  <c r="E3017" i="1"/>
  <c r="E3349" i="1"/>
  <c r="J3996" i="1"/>
  <c r="E1214" i="1"/>
  <c r="E1978" i="1"/>
  <c r="J5219" i="1"/>
  <c r="J5934" i="1"/>
  <c r="J3021" i="1"/>
  <c r="J5768" i="1"/>
  <c r="J3783" i="1"/>
  <c r="J2385" i="1"/>
  <c r="E3757" i="1"/>
  <c r="E4232" i="1"/>
  <c r="E2174" i="1"/>
  <c r="E4364" i="1"/>
  <c r="E5689" i="1"/>
  <c r="J4547" i="1"/>
  <c r="E4119" i="1"/>
  <c r="E1394" i="1"/>
  <c r="J1682" i="1"/>
  <c r="J9" i="1"/>
  <c r="J108" i="1"/>
  <c r="J1081" i="1"/>
  <c r="J168" i="1"/>
  <c r="E3079" i="1"/>
  <c r="E2023" i="1"/>
  <c r="E1100" i="1"/>
  <c r="J2451" i="1"/>
  <c r="J2254" i="1"/>
  <c r="E2607" i="1"/>
  <c r="E2075" i="1"/>
  <c r="J1812" i="1"/>
  <c r="J1968" i="1"/>
  <c r="J59" i="1"/>
  <c r="E1407" i="1"/>
  <c r="E1392" i="1"/>
  <c r="J894" i="1"/>
  <c r="J1795" i="1"/>
  <c r="E3617" i="1"/>
  <c r="J584" i="1"/>
  <c r="J444" i="1"/>
  <c r="E3379" i="1"/>
  <c r="E1422" i="1"/>
  <c r="J3357" i="1"/>
  <c r="J4942" i="1"/>
  <c r="J2390" i="1"/>
  <c r="E3297" i="1"/>
  <c r="J2667" i="1"/>
  <c r="E1976" i="1"/>
  <c r="E3928" i="1"/>
  <c r="E2866" i="1"/>
  <c r="J4149" i="1"/>
  <c r="J2657" i="1"/>
  <c r="J2623" i="1"/>
  <c r="J2812" i="1"/>
  <c r="J1382" i="1"/>
  <c r="E1959" i="1"/>
  <c r="J1338" i="1"/>
  <c r="J3399" i="1"/>
  <c r="J3364" i="1"/>
  <c r="J2379" i="1"/>
  <c r="E3954" i="1"/>
  <c r="J3342" i="1"/>
  <c r="E1729" i="1"/>
  <c r="J4020" i="1"/>
  <c r="E3035" i="1"/>
  <c r="J2032" i="1"/>
  <c r="J2519" i="1"/>
  <c r="J1197" i="1"/>
  <c r="J3857" i="1"/>
  <c r="E2536" i="1"/>
  <c r="J2289" i="1"/>
  <c r="J2727" i="1"/>
  <c r="E3577" i="1"/>
  <c r="J2062" i="1"/>
  <c r="J4295" i="1"/>
  <c r="E3301" i="1"/>
  <c r="E1446" i="1"/>
  <c r="J1316" i="1"/>
  <c r="E2592" i="1"/>
  <c r="E3381" i="1"/>
  <c r="E2940" i="1"/>
  <c r="J3599" i="1"/>
  <c r="E4442" i="1"/>
  <c r="J1848" i="1"/>
  <c r="J2941" i="1"/>
  <c r="J1429" i="1"/>
  <c r="E2843" i="1"/>
  <c r="E2619" i="1"/>
  <c r="G2619" i="1" s="1"/>
  <c r="J942" i="1"/>
  <c r="J3097" i="1"/>
  <c r="E3064" i="1"/>
  <c r="J3431" i="1"/>
  <c r="E664" i="1"/>
  <c r="J3835" i="1"/>
  <c r="E3358" i="1"/>
  <c r="J3331" i="1"/>
  <c r="J3390" i="1"/>
  <c r="E416" i="1"/>
  <c r="E3171" i="1"/>
  <c r="E2739" i="1"/>
  <c r="G2739" i="1" s="1"/>
  <c r="E901" i="1"/>
  <c r="E3434" i="1"/>
  <c r="J1703" i="1"/>
  <c r="J1342" i="1"/>
  <c r="E2066" i="1"/>
  <c r="E3938" i="1"/>
  <c r="E2091" i="1"/>
  <c r="E2487" i="1"/>
  <c r="J2936" i="1"/>
  <c r="E2995" i="1"/>
  <c r="E3615" i="1"/>
  <c r="J2112" i="1"/>
  <c r="J2192" i="1"/>
  <c r="E1379" i="1"/>
  <c r="J3151" i="1"/>
  <c r="J4891" i="1"/>
  <c r="E2831" i="1"/>
  <c r="E3226" i="1"/>
  <c r="J3725" i="1"/>
  <c r="J3229" i="1"/>
  <c r="E4433" i="1"/>
  <c r="J4868" i="1"/>
  <c r="E2350" i="1"/>
  <c r="G2350" i="1" s="1"/>
  <c r="J3414" i="1"/>
  <c r="E5228" i="1"/>
  <c r="E5093" i="1"/>
  <c r="E4499" i="1"/>
  <c r="E2744" i="1"/>
  <c r="G2749" i="1" s="1"/>
  <c r="E2106" i="1"/>
  <c r="E992" i="1"/>
  <c r="E2804" i="1"/>
  <c r="E1530" i="1"/>
  <c r="E1334" i="1"/>
  <c r="E4494" i="1"/>
  <c r="E2291" i="1"/>
  <c r="E12" i="1"/>
  <c r="E2352" i="1"/>
  <c r="J1186" i="1"/>
  <c r="E3173" i="1"/>
  <c r="J4928" i="1"/>
  <c r="E3257" i="1"/>
  <c r="E2665" i="1"/>
  <c r="J2023" i="1"/>
  <c r="E2367" i="1"/>
  <c r="J2798" i="1"/>
  <c r="E432" i="1"/>
  <c r="E608" i="1"/>
  <c r="J1063" i="1"/>
  <c r="E3565" i="1"/>
  <c r="J2081" i="1"/>
  <c r="E356" i="1"/>
  <c r="E2409" i="1"/>
  <c r="E1194" i="1"/>
  <c r="E5171" i="1"/>
  <c r="J1783" i="1"/>
  <c r="E2824" i="1"/>
  <c r="E2597" i="1"/>
  <c r="E1675" i="1"/>
  <c r="J1941" i="1"/>
  <c r="E2513" i="1"/>
  <c r="E216" i="1"/>
  <c r="E2581" i="1"/>
  <c r="E2973" i="1"/>
  <c r="J2261" i="1"/>
  <c r="E3230" i="1"/>
  <c r="G3235" i="1" s="1"/>
  <c r="J2263" i="1"/>
  <c r="J1983" i="1"/>
  <c r="J1863" i="1"/>
  <c r="E2544" i="1"/>
  <c r="E2002" i="1"/>
  <c r="J3506" i="1"/>
  <c r="E2473" i="1"/>
  <c r="E3237" i="1"/>
  <c r="J1770" i="1"/>
  <c r="J3052" i="1"/>
  <c r="E2631" i="1"/>
  <c r="J2478" i="1"/>
  <c r="E3512" i="1"/>
  <c r="E4644" i="1"/>
  <c r="E3153" i="1"/>
  <c r="E1757" i="1"/>
  <c r="J2489" i="1"/>
  <c r="E482" i="1"/>
  <c r="E3447" i="1"/>
  <c r="G3452" i="1" s="1"/>
  <c r="J1624" i="1"/>
  <c r="J3085" i="1"/>
  <c r="E2721" i="1"/>
  <c r="J1371" i="1"/>
  <c r="J2411" i="1"/>
  <c r="E4429" i="1"/>
  <c r="E4405" i="1"/>
  <c r="J5329" i="1"/>
  <c r="E3432" i="1"/>
  <c r="J1268" i="1"/>
  <c r="E2345" i="1"/>
  <c r="J3394" i="1"/>
  <c r="E3861" i="1"/>
  <c r="E2639" i="1"/>
  <c r="G2644" i="1" s="1"/>
  <c r="E2601" i="1"/>
  <c r="J2504" i="1"/>
  <c r="E2923" i="1"/>
  <c r="E2056" i="1"/>
  <c r="E3880" i="1"/>
  <c r="J2647" i="1"/>
  <c r="J3433" i="1"/>
  <c r="J2165" i="1"/>
  <c r="E3688" i="1"/>
  <c r="E3489" i="1"/>
  <c r="G3489" i="1" s="1"/>
  <c r="J1075" i="1"/>
  <c r="J3701" i="1"/>
  <c r="E3289" i="1"/>
  <c r="J3090" i="1"/>
  <c r="J3238" i="1"/>
  <c r="J3764" i="1"/>
  <c r="J2476" i="1"/>
  <c r="J2374" i="1"/>
  <c r="E2016" i="1"/>
  <c r="E2758" i="1"/>
  <c r="E4098" i="1"/>
  <c r="E838" i="1"/>
  <c r="E1282" i="1"/>
  <c r="J2903" i="1"/>
  <c r="J1971" i="1"/>
  <c r="E1658" i="1"/>
  <c r="J3056" i="1"/>
  <c r="E2799" i="1"/>
  <c r="E480" i="1"/>
  <c r="J774" i="1"/>
  <c r="J3522" i="1"/>
  <c r="E3336" i="1"/>
  <c r="E1774" i="1"/>
  <c r="G1779" i="1" s="1"/>
  <c r="E3498" i="1"/>
  <c r="E2218" i="1"/>
  <c r="J2679" i="1"/>
  <c r="E4571" i="1"/>
  <c r="E2509" i="1"/>
  <c r="E2640" i="1"/>
  <c r="J1821" i="1"/>
  <c r="J3124" i="1"/>
  <c r="J2831" i="1"/>
  <c r="J3864" i="1"/>
  <c r="J3118" i="1"/>
  <c r="E1985" i="1"/>
  <c r="E2472" i="1"/>
  <c r="G2472" i="1" s="1"/>
  <c r="E4479" i="1"/>
  <c r="J5398" i="1"/>
  <c r="E3868" i="1"/>
  <c r="E3483" i="1"/>
  <c r="E3225" i="1"/>
  <c r="E3976" i="1"/>
  <c r="J5913" i="1"/>
  <c r="J3602" i="1"/>
  <c r="E2476" i="1"/>
  <c r="J4590" i="1"/>
  <c r="P101" i="1"/>
  <c r="Q101" i="1" s="1"/>
  <c r="J3500" i="1"/>
  <c r="J1401" i="1"/>
  <c r="J202" i="1"/>
  <c r="E2633" i="1"/>
  <c r="J1202" i="1"/>
  <c r="J1736" i="1"/>
  <c r="E1955" i="1"/>
  <c r="E1870" i="1"/>
  <c r="J1512" i="1"/>
  <c r="E1882" i="1"/>
  <c r="J2030" i="1"/>
  <c r="E418" i="1"/>
  <c r="E2573" i="1"/>
  <c r="E1840" i="1"/>
  <c r="J71" i="1"/>
  <c r="E2517" i="1"/>
  <c r="J2199" i="1"/>
  <c r="E1626" i="1"/>
  <c r="J3896" i="1"/>
  <c r="E2118" i="1"/>
  <c r="E2339" i="1"/>
  <c r="E1048" i="1"/>
  <c r="J2412" i="1"/>
  <c r="J1870" i="1"/>
  <c r="J1560" i="1"/>
  <c r="J3452" i="1"/>
  <c r="J1775" i="1"/>
  <c r="J3408" i="1"/>
  <c r="E615" i="1"/>
  <c r="E3581" i="1"/>
  <c r="J1272" i="1"/>
  <c r="J1881" i="1"/>
  <c r="E2835" i="1"/>
  <c r="E3674" i="1"/>
  <c r="E3987" i="1"/>
  <c r="E2312" i="1"/>
  <c r="J2894" i="1"/>
  <c r="J287" i="1"/>
  <c r="E613" i="1"/>
  <c r="J1916" i="1"/>
  <c r="E2126" i="1"/>
  <c r="E887" i="1"/>
  <c r="J3546" i="1"/>
  <c r="J3273" i="1"/>
  <c r="E1759" i="1"/>
  <c r="J1817" i="1"/>
  <c r="E2677" i="1"/>
  <c r="J2370" i="1"/>
  <c r="E3485" i="1"/>
  <c r="E922" i="1"/>
  <c r="E1442" i="1"/>
  <c r="J1369" i="1"/>
  <c r="J343" i="1"/>
  <c r="E1573" i="1"/>
  <c r="J632" i="1"/>
  <c r="E1876" i="1"/>
  <c r="J2553" i="1"/>
  <c r="J1929" i="1"/>
  <c r="J1553" i="1"/>
  <c r="J3495" i="1"/>
  <c r="E1284" i="1"/>
  <c r="E2171" i="1"/>
  <c r="J2021" i="1"/>
  <c r="E1438" i="1"/>
  <c r="E93" i="1"/>
  <c r="E3645" i="1"/>
  <c r="E3848" i="1"/>
  <c r="E743" i="1"/>
  <c r="J3254" i="1"/>
  <c r="J1200" i="1"/>
  <c r="E751" i="1"/>
  <c r="J1578" i="1"/>
  <c r="E3681" i="1"/>
  <c r="J4847" i="1"/>
  <c r="E3149" i="1"/>
  <c r="E3043" i="1"/>
  <c r="E2812" i="1"/>
  <c r="E4171" i="1"/>
  <c r="J1692" i="1"/>
  <c r="J1164" i="1"/>
  <c r="J3227" i="1"/>
  <c r="E4043" i="1"/>
  <c r="E2206" i="1"/>
  <c r="E3602" i="1"/>
  <c r="J2946" i="1"/>
  <c r="E5574" i="1"/>
  <c r="E1599" i="1"/>
  <c r="J3416" i="1"/>
  <c r="J2338" i="1"/>
  <c r="J3308" i="1"/>
  <c r="J2421" i="1"/>
  <c r="E2857" i="1"/>
  <c r="E2670" i="1"/>
  <c r="E4409" i="1"/>
  <c r="E2667" i="1"/>
  <c r="E3168" i="1"/>
  <c r="E3030" i="1"/>
  <c r="E3233" i="1"/>
  <c r="J4501" i="1"/>
  <c r="E2366" i="1"/>
  <c r="E2145" i="1"/>
  <c r="J3088" i="1"/>
  <c r="J4147" i="1"/>
  <c r="J2345" i="1"/>
  <c r="E3131" i="1"/>
  <c r="J3558" i="1"/>
  <c r="J737" i="1"/>
  <c r="E1669" i="1"/>
  <c r="G1669" i="1" s="1"/>
  <c r="E577" i="1"/>
  <c r="J2038" i="1"/>
  <c r="J2157" i="1"/>
  <c r="J1952" i="1"/>
  <c r="J2303" i="1"/>
  <c r="E3564" i="1"/>
  <c r="G3564" i="1" s="1"/>
  <c r="J4093" i="1"/>
  <c r="J2945" i="1"/>
  <c r="E930" i="1"/>
  <c r="E3874" i="1"/>
  <c r="J2696" i="1"/>
  <c r="J2270" i="1"/>
  <c r="E2862" i="1"/>
  <c r="J2445" i="1"/>
  <c r="E4445" i="1"/>
  <c r="E2080" i="1"/>
  <c r="E2769" i="1"/>
  <c r="J2530" i="1"/>
  <c r="E1775" i="1"/>
  <c r="J4068" i="1"/>
  <c r="E1400" i="1"/>
  <c r="E2603" i="1"/>
  <c r="J1878" i="1"/>
  <c r="E1797" i="1"/>
  <c r="J2343" i="1"/>
  <c r="J3134" i="1"/>
  <c r="J2160" i="1"/>
  <c r="J1049" i="1"/>
  <c r="J2365" i="1"/>
  <c r="E2765" i="1"/>
  <c r="J1833" i="1"/>
  <c r="J4502" i="1"/>
  <c r="E1217" i="1"/>
  <c r="J3722" i="1"/>
  <c r="J2372" i="1"/>
  <c r="J3205" i="1"/>
  <c r="E1354" i="1"/>
  <c r="E3144" i="1"/>
  <c r="E3269" i="1"/>
  <c r="E3513" i="1"/>
  <c r="J3580" i="1"/>
  <c r="J2138" i="1"/>
  <c r="E1397" i="1"/>
  <c r="E3624" i="1"/>
  <c r="G3624" i="1" s="1"/>
  <c r="E2705" i="1"/>
  <c r="J4126" i="1"/>
  <c r="E2775" i="1"/>
  <c r="J2471" i="1"/>
  <c r="J3259" i="1"/>
  <c r="J3570" i="1"/>
  <c r="Z248" i="1"/>
  <c r="AA248" i="1" s="1"/>
  <c r="J1074" i="1"/>
  <c r="J3000" i="1"/>
  <c r="J252" i="1"/>
  <c r="J1609" i="1"/>
  <c r="E2138" i="1"/>
  <c r="G2143" i="1" s="1"/>
  <c r="J2760" i="1"/>
  <c r="J1847" i="1"/>
  <c r="E1828" i="1"/>
  <c r="E2822" i="1"/>
  <c r="E3893" i="1"/>
  <c r="G3893" i="1" s="1"/>
  <c r="E2357" i="1"/>
  <c r="E829" i="1"/>
  <c r="G829" i="1" s="1"/>
  <c r="E1646" i="1"/>
  <c r="E3634" i="1"/>
  <c r="G3634" i="1" s="1"/>
  <c r="E141" i="1"/>
  <c r="J1962" i="1"/>
  <c r="E251" i="1"/>
  <c r="E1725" i="1"/>
  <c r="E2015" i="1"/>
  <c r="E3052" i="1"/>
  <c r="E3015" i="1"/>
  <c r="J817" i="1"/>
  <c r="E2937" i="1"/>
  <c r="E2789" i="1"/>
  <c r="J2709" i="1"/>
  <c r="J3539" i="1"/>
  <c r="E3096" i="1"/>
  <c r="J763" i="1"/>
  <c r="E813" i="1"/>
  <c r="J2514" i="1"/>
  <c r="E2166" i="1"/>
  <c r="E2771" i="1"/>
  <c r="J2813" i="1"/>
  <c r="E2661" i="1"/>
  <c r="J3651" i="1"/>
  <c r="E3553" i="1"/>
  <c r="E1464" i="1"/>
  <c r="J1101" i="1"/>
  <c r="E1790" i="1"/>
  <c r="J2190" i="1"/>
  <c r="J2583" i="1"/>
  <c r="E1181" i="1"/>
  <c r="J1959" i="1"/>
  <c r="J2295" i="1"/>
  <c r="J3140" i="1"/>
  <c r="E2228" i="1"/>
  <c r="E1712" i="1"/>
  <c r="E1927" i="1"/>
  <c r="E1905" i="1"/>
  <c r="J3262" i="1"/>
  <c r="J3237" i="1"/>
  <c r="E2784" i="1"/>
  <c r="J1019" i="1"/>
  <c r="J1408" i="1"/>
  <c r="J2511" i="1"/>
  <c r="J1797" i="1"/>
  <c r="J2547" i="1"/>
  <c r="E1137" i="1"/>
  <c r="E1196" i="1"/>
  <c r="J2010" i="1"/>
  <c r="E2416" i="1"/>
  <c r="J1853" i="1"/>
  <c r="E1846" i="1"/>
  <c r="J4202" i="1"/>
  <c r="J1610" i="1"/>
  <c r="J1056" i="1"/>
  <c r="J1559" i="1"/>
  <c r="J719" i="1"/>
  <c r="J1948" i="1"/>
  <c r="E572" i="1"/>
  <c r="J1274" i="1"/>
  <c r="J3246" i="1"/>
  <c r="J2913" i="1"/>
  <c r="J2367" i="1"/>
  <c r="E2401" i="1"/>
  <c r="J1785" i="1"/>
  <c r="E1717" i="1"/>
  <c r="E2364" i="1"/>
  <c r="J1240" i="1"/>
  <c r="J1428" i="1"/>
  <c r="E3881" i="1"/>
  <c r="J3525" i="1"/>
  <c r="E1628" i="1"/>
  <c r="E3694" i="1"/>
  <c r="J4199" i="1"/>
  <c r="J2987" i="1"/>
  <c r="E2135" i="1"/>
  <c r="E2026" i="1"/>
  <c r="E2527" i="1"/>
  <c r="E2007" i="1"/>
  <c r="J1504" i="1"/>
  <c r="E2004" i="1"/>
  <c r="J2034" i="1"/>
  <c r="E1532" i="1"/>
  <c r="G1532" i="1" s="1"/>
  <c r="E3982" i="1"/>
  <c r="J2147" i="1"/>
  <c r="J1425" i="1"/>
  <c r="E1726" i="1"/>
  <c r="J3304" i="1"/>
  <c r="J1781" i="1"/>
  <c r="E2595" i="1"/>
  <c r="E3596" i="1"/>
  <c r="J2158" i="1"/>
  <c r="J2738" i="1"/>
  <c r="E1962" i="1"/>
  <c r="J2632" i="1"/>
  <c r="E2648" i="1"/>
  <c r="J2721" i="1"/>
  <c r="E2512" i="1"/>
  <c r="E996" i="1"/>
  <c r="E3775" i="1"/>
  <c r="E2510" i="1"/>
  <c r="E2286" i="1"/>
  <c r="E2449" i="1"/>
  <c r="E4653" i="1"/>
  <c r="J3582" i="1"/>
  <c r="J2159" i="1"/>
  <c r="E4819" i="1"/>
  <c r="J1793" i="1"/>
  <c r="J1931" i="1"/>
  <c r="J4746" i="1"/>
  <c r="E2851" i="1"/>
  <c r="J1640" i="1"/>
  <c r="E3663" i="1"/>
  <c r="J2962" i="1"/>
  <c r="J2405" i="1"/>
  <c r="E3058" i="1"/>
  <c r="J4858" i="1"/>
  <c r="J2194" i="1"/>
  <c r="E1656" i="1"/>
  <c r="J3881" i="1"/>
  <c r="E2991" i="1"/>
  <c r="J2252" i="1"/>
  <c r="J2503" i="1"/>
  <c r="E2598" i="1"/>
  <c r="E3729" i="1"/>
  <c r="E3475" i="1"/>
  <c r="J1163" i="1"/>
  <c r="J1539" i="1"/>
  <c r="J4016" i="1"/>
  <c r="E1673" i="1"/>
  <c r="E2389" i="1"/>
  <c r="J2137" i="1"/>
  <c r="J3810" i="1"/>
  <c r="E2579" i="1"/>
  <c r="J3536" i="1"/>
  <c r="E2809" i="1"/>
  <c r="J1546" i="1"/>
  <c r="E3348" i="1"/>
  <c r="J1655" i="1"/>
  <c r="J3222" i="1"/>
  <c r="E4643" i="1"/>
  <c r="E3491" i="1"/>
  <c r="E3266" i="1"/>
  <c r="E3060" i="1"/>
  <c r="E4035" i="1"/>
  <c r="G4035" i="1" s="1"/>
  <c r="J3251" i="1"/>
  <c r="J3671" i="1"/>
  <c r="J4681" i="1"/>
  <c r="E3452" i="1"/>
  <c r="J504" i="1"/>
  <c r="E2413" i="1"/>
  <c r="E1664" i="1"/>
  <c r="E3834" i="1"/>
  <c r="J1090" i="1"/>
  <c r="E3295" i="1"/>
  <c r="G3295" i="1" s="1"/>
  <c r="J3111" i="1"/>
  <c r="J1206" i="1"/>
  <c r="J5563" i="1"/>
  <c r="J3333" i="1"/>
  <c r="J1510" i="1"/>
  <c r="E2139" i="1"/>
  <c r="J1047" i="1"/>
  <c r="J3110" i="1"/>
  <c r="E2452" i="1"/>
  <c r="J4343" i="1"/>
  <c r="J3069" i="1"/>
  <c r="J3334" i="1"/>
  <c r="J1577" i="1"/>
  <c r="J2764" i="1"/>
  <c r="E2103" i="1"/>
  <c r="E574" i="1"/>
  <c r="E2133" i="1"/>
  <c r="J1589" i="1"/>
  <c r="E2501" i="1"/>
  <c r="E3063" i="1"/>
  <c r="E4495" i="1"/>
  <c r="E3484" i="1"/>
  <c r="J2989" i="1"/>
  <c r="J3073" i="1"/>
  <c r="J919" i="1"/>
  <c r="J2480" i="1"/>
  <c r="J3774" i="1"/>
  <c r="J3890" i="1"/>
  <c r="E3188" i="1"/>
  <c r="E3182" i="1"/>
  <c r="E2256" i="1"/>
  <c r="E1917" i="1"/>
  <c r="E3437" i="1"/>
  <c r="J4091" i="1"/>
  <c r="J2971" i="1"/>
  <c r="J996" i="1"/>
  <c r="E2545" i="1"/>
  <c r="J2543" i="1"/>
  <c r="E3007" i="1"/>
  <c r="J1680" i="1"/>
  <c r="J3796" i="1"/>
  <c r="E3926" i="1"/>
  <c r="E2242" i="1"/>
  <c r="E2873" i="1"/>
  <c r="J1384" i="1"/>
  <c r="E2151" i="1"/>
  <c r="J2049" i="1"/>
  <c r="J1195" i="1"/>
  <c r="E3016" i="1"/>
  <c r="E2943" i="1"/>
  <c r="E1526" i="1"/>
  <c r="J2741" i="1"/>
  <c r="J4624" i="1"/>
  <c r="E3264" i="1"/>
  <c r="J2921" i="1"/>
  <c r="E2005" i="1"/>
  <c r="E2386" i="1"/>
  <c r="J2512" i="1"/>
  <c r="J6003" i="1"/>
  <c r="J2166" i="1"/>
  <c r="J4292" i="1"/>
  <c r="J1584" i="1"/>
  <c r="J3159" i="1"/>
  <c r="E4631" i="1"/>
  <c r="G4631" i="1" s="1"/>
  <c r="E3994" i="1"/>
  <c r="E3844" i="1"/>
  <c r="J2036" i="1"/>
  <c r="J1129" i="1"/>
  <c r="J2800" i="1"/>
  <c r="P399" i="1"/>
  <c r="E3741" i="1"/>
  <c r="G3741" i="1" s="1"/>
  <c r="E2003" i="1"/>
  <c r="E3601" i="1"/>
  <c r="J3343" i="1"/>
  <c r="E4984" i="1"/>
  <c r="E2650" i="1"/>
  <c r="E1227" i="1"/>
  <c r="E4097" i="1"/>
  <c r="E2654" i="1"/>
  <c r="J5049" i="1"/>
  <c r="E2247" i="1"/>
  <c r="E3435" i="1"/>
  <c r="E4702" i="1"/>
  <c r="E4928" i="1"/>
  <c r="E2832" i="1"/>
  <c r="J4685" i="1"/>
  <c r="J1860" i="1"/>
  <c r="J2893" i="1"/>
  <c r="J3830" i="1"/>
  <c r="E3124" i="1"/>
  <c r="E1787" i="1"/>
  <c r="J3363" i="1"/>
  <c r="J3235" i="1"/>
  <c r="J4070" i="1"/>
  <c r="E3122" i="1"/>
  <c r="E2146" i="1"/>
  <c r="E2232" i="1"/>
  <c r="E3865" i="1"/>
  <c r="J2917" i="1"/>
  <c r="J2763" i="1"/>
  <c r="E3474" i="1"/>
  <c r="J2283" i="1"/>
  <c r="E3672" i="1"/>
  <c r="J2542" i="1"/>
  <c r="J4787" i="1"/>
  <c r="J3260" i="1"/>
  <c r="E2113" i="1"/>
  <c r="G2113" i="1" s="1"/>
  <c r="J4450" i="1"/>
  <c r="E4051" i="1"/>
  <c r="E4884" i="1"/>
  <c r="J4757" i="1"/>
  <c r="J2889" i="1"/>
  <c r="J5142" i="1"/>
  <c r="E5447" i="1"/>
  <c r="J3481" i="1"/>
  <c r="E5547" i="1"/>
  <c r="E4676" i="1"/>
  <c r="E3906" i="1"/>
  <c r="J5310" i="1"/>
  <c r="J5331" i="1"/>
  <c r="J4321" i="1"/>
  <c r="J3220" i="1"/>
  <c r="E2791" i="1"/>
  <c r="J1524" i="1"/>
  <c r="J1258" i="1"/>
  <c r="E2870" i="1"/>
  <c r="E1654" i="1"/>
  <c r="J2900" i="1"/>
  <c r="E3028" i="1"/>
  <c r="G3028" i="1" s="1"/>
  <c r="E4229" i="1"/>
  <c r="J2984" i="1"/>
  <c r="J4157" i="1"/>
  <c r="E1164" i="1"/>
  <c r="E2818" i="1"/>
  <c r="E1145" i="1"/>
  <c r="J3028" i="1"/>
  <c r="J2340" i="1"/>
  <c r="E1151" i="1"/>
  <c r="J3432" i="1"/>
  <c r="E2346" i="1"/>
  <c r="E4738" i="1"/>
  <c r="J552" i="1"/>
  <c r="J3109" i="1"/>
  <c r="E830" i="1"/>
  <c r="J3676" i="1"/>
  <c r="J2778" i="1"/>
  <c r="E3570" i="1"/>
  <c r="J2171" i="1"/>
  <c r="J2816" i="1"/>
  <c r="J4645" i="1"/>
  <c r="E2319" i="1"/>
  <c r="E1942" i="1"/>
  <c r="J2308" i="1"/>
  <c r="J5483" i="1"/>
  <c r="J2916" i="1"/>
  <c r="E1257" i="1"/>
  <c r="E3231" i="1"/>
  <c r="E1483" i="1"/>
  <c r="J3035" i="1"/>
  <c r="E2962" i="1"/>
  <c r="J3126" i="1"/>
  <c r="J1695" i="1"/>
  <c r="J838" i="1"/>
  <c r="J2559" i="1"/>
  <c r="E2853" i="1"/>
  <c r="E2021" i="1"/>
  <c r="E1825" i="1"/>
  <c r="J3862" i="1"/>
  <c r="E3465" i="1"/>
  <c r="E5282" i="1"/>
  <c r="E3119" i="1"/>
  <c r="E3473" i="1"/>
  <c r="J2466" i="1"/>
  <c r="J1772" i="1"/>
  <c r="E1690" i="1"/>
  <c r="J536" i="1"/>
  <c r="J3564" i="1"/>
  <c r="E3074" i="1"/>
  <c r="J1912" i="1"/>
  <c r="E2854" i="1"/>
  <c r="E1967" i="1"/>
  <c r="J5217" i="1"/>
  <c r="E1424" i="1"/>
  <c r="J3120" i="1"/>
  <c r="J2146" i="1"/>
  <c r="J1666" i="1"/>
  <c r="E3073" i="1"/>
  <c r="G3073" i="1" s="1"/>
  <c r="J2869" i="1"/>
  <c r="J2978" i="1"/>
  <c r="E3488" i="1"/>
  <c r="J3949" i="1"/>
  <c r="E3752" i="1"/>
  <c r="E2432" i="1"/>
  <c r="E1292" i="1"/>
  <c r="E2371" i="1"/>
  <c r="E3080" i="1"/>
  <c r="E2479" i="1"/>
  <c r="E1303" i="1"/>
  <c r="J716" i="1"/>
  <c r="J2470" i="1"/>
  <c r="J3760" i="1"/>
  <c r="E4021" i="1"/>
  <c r="J2799" i="1"/>
  <c r="J2359" i="1"/>
  <c r="E5997" i="1"/>
  <c r="E5731" i="1"/>
  <c r="E3393" i="1"/>
  <c r="E1906" i="1"/>
  <c r="G1906" i="1" s="1"/>
  <c r="J3435" i="1"/>
  <c r="J3739" i="1"/>
  <c r="J4901" i="1"/>
  <c r="J2600" i="1"/>
  <c r="E2714" i="1"/>
  <c r="E2324" i="1"/>
  <c r="J3510" i="1"/>
  <c r="J3005" i="1"/>
  <c r="E2749" i="1"/>
  <c r="J3598" i="1"/>
  <c r="E2309" i="1"/>
  <c r="J4215" i="1"/>
  <c r="E2261" i="1"/>
  <c r="J3441" i="1"/>
  <c r="J4278" i="1"/>
  <c r="E3311" i="1"/>
  <c r="J3155" i="1"/>
  <c r="E4698" i="1"/>
  <c r="E3403" i="1"/>
  <c r="J2382" i="1"/>
  <c r="E2720" i="1"/>
  <c r="E4939" i="1"/>
  <c r="E4168" i="1"/>
  <c r="J3900" i="1"/>
  <c r="J4085" i="1"/>
  <c r="E2425" i="1"/>
  <c r="E3562" i="1"/>
  <c r="J2683" i="1"/>
  <c r="E4563" i="1"/>
  <c r="E4536" i="1"/>
  <c r="E3310" i="1"/>
  <c r="E2906" i="1"/>
  <c r="G2911" i="1" s="1"/>
  <c r="J3066" i="1"/>
  <c r="E3439" i="1"/>
  <c r="E4974" i="1"/>
  <c r="J3127" i="1"/>
  <c r="J3877" i="1"/>
  <c r="J5523" i="1"/>
  <c r="E3353" i="1"/>
  <c r="J4022" i="1"/>
  <c r="E3481" i="1"/>
  <c r="E3254" i="1"/>
  <c r="J1696" i="1"/>
  <c r="E3436" i="1"/>
  <c r="E1682" i="1"/>
  <c r="J1671" i="1"/>
  <c r="J4318" i="1"/>
  <c r="E3607" i="1"/>
  <c r="J2484" i="1"/>
  <c r="E4024" i="1"/>
  <c r="E2486" i="1"/>
  <c r="J2723" i="1"/>
  <c r="E4231" i="1"/>
  <c r="E1300" i="1"/>
  <c r="E4091" i="1"/>
  <c r="E4301" i="1"/>
  <c r="J2073" i="1"/>
  <c r="E1183" i="1"/>
  <c r="E3805" i="1"/>
  <c r="E3517" i="1"/>
  <c r="J3346" i="1"/>
  <c r="J976" i="1"/>
  <c r="E3375" i="1"/>
  <c r="J2710" i="1"/>
  <c r="E3836" i="1"/>
  <c r="J1653" i="1"/>
  <c r="J2404" i="1"/>
  <c r="J2630" i="1"/>
  <c r="E2221" i="1"/>
  <c r="J1573" i="1"/>
  <c r="E3377" i="1"/>
  <c r="E2442" i="1"/>
  <c r="G2442" i="1" s="1"/>
  <c r="J1236" i="1"/>
  <c r="J2436" i="1"/>
  <c r="J1697" i="1"/>
  <c r="J4957" i="1"/>
  <c r="J1534" i="1"/>
  <c r="J3122" i="1"/>
  <c r="J4371" i="1"/>
  <c r="E2760" i="1"/>
  <c r="J3141" i="1"/>
  <c r="E2548" i="1"/>
  <c r="E2898" i="1"/>
  <c r="E1907" i="1"/>
  <c r="E1531" i="1"/>
  <c r="J2230" i="1"/>
  <c r="J2396" i="1"/>
  <c r="J1944" i="1"/>
  <c r="E2466" i="1"/>
  <c r="J5527" i="1"/>
  <c r="E2981" i="1"/>
  <c r="E1832" i="1"/>
  <c r="J2621" i="1"/>
  <c r="J569" i="1"/>
  <c r="E2574" i="1"/>
  <c r="J2558" i="1"/>
  <c r="J4210" i="1"/>
  <c r="J4071" i="1"/>
  <c r="J2779" i="1"/>
  <c r="E2150" i="1"/>
  <c r="J2626" i="1"/>
  <c r="E4198" i="1"/>
  <c r="J2570" i="1"/>
  <c r="J2234" i="1"/>
  <c r="J3771" i="1"/>
  <c r="J2674" i="1"/>
  <c r="E4155" i="1"/>
  <c r="J1611" i="1"/>
  <c r="E2464" i="1"/>
  <c r="J2554" i="1"/>
  <c r="J3106" i="1"/>
  <c r="E4447" i="1"/>
  <c r="J2716" i="1"/>
  <c r="E2871" i="1"/>
  <c r="E2590" i="1"/>
  <c r="E2746" i="1"/>
  <c r="J1329" i="1"/>
  <c r="J3876" i="1"/>
  <c r="J1715" i="1"/>
  <c r="J4223" i="1"/>
  <c r="J5343" i="1"/>
  <c r="E3811" i="1"/>
  <c r="E3133" i="1"/>
  <c r="E2461" i="1"/>
  <c r="E5767" i="1"/>
  <c r="E4390" i="1"/>
  <c r="E1683" i="1"/>
  <c r="E3710" i="1"/>
  <c r="E2053" i="1"/>
  <c r="E2671" i="1"/>
  <c r="J3309" i="1"/>
  <c r="E2589" i="1"/>
  <c r="G2589" i="1" s="1"/>
  <c r="J2026" i="1"/>
  <c r="J1787" i="1"/>
  <c r="E3234" i="1"/>
  <c r="J1743" i="1"/>
  <c r="E2249" i="1"/>
  <c r="E4489" i="1"/>
  <c r="J3926" i="1"/>
  <c r="J4719" i="1"/>
  <c r="J3685" i="1"/>
  <c r="J3080" i="1"/>
  <c r="J2076" i="1"/>
  <c r="E4910" i="1"/>
  <c r="E2024" i="1"/>
  <c r="J4173" i="1"/>
  <c r="E3863" i="1"/>
  <c r="G3863" i="1" s="1"/>
  <c r="J2310" i="1"/>
  <c r="E1156" i="1"/>
  <c r="J2575" i="1"/>
  <c r="J4322" i="1"/>
  <c r="E4943" i="1"/>
  <c r="E4206" i="1"/>
  <c r="J1758" i="1"/>
  <c r="E4470" i="1"/>
  <c r="E2869" i="1"/>
  <c r="J3335" i="1"/>
  <c r="E3501" i="1"/>
  <c r="J4239" i="1"/>
  <c r="J1923" i="1"/>
  <c r="J5840" i="1"/>
  <c r="E4681" i="1"/>
  <c r="E3445" i="1"/>
  <c r="E3760" i="1"/>
  <c r="E5792" i="1"/>
  <c r="J4236" i="1"/>
  <c r="E5934" i="1"/>
  <c r="J5632" i="1"/>
  <c r="E3527" i="1"/>
  <c r="E1914" i="1"/>
  <c r="J4246" i="1"/>
  <c r="J3291" i="1"/>
  <c r="J2099" i="1"/>
  <c r="E516" i="1"/>
  <c r="J3646" i="1"/>
  <c r="E2370" i="1"/>
  <c r="G2370" i="1" s="1"/>
  <c r="E2884" i="1"/>
  <c r="E3290" i="1"/>
  <c r="G3290" i="1" s="1"/>
  <c r="J2284" i="1"/>
  <c r="J2441" i="1"/>
  <c r="E2558" i="1"/>
  <c r="J4100" i="1"/>
  <c r="E3627" i="1"/>
  <c r="J2114" i="1"/>
  <c r="J1096" i="1"/>
  <c r="E4844" i="1"/>
  <c r="J1593" i="1"/>
  <c r="E1853" i="1"/>
  <c r="J3397" i="1"/>
  <c r="E1585" i="1"/>
  <c r="E3815" i="1"/>
  <c r="J2502" i="1"/>
  <c r="J2806" i="1"/>
  <c r="E3599" i="1"/>
  <c r="J3491" i="1"/>
  <c r="E2865" i="1"/>
  <c r="E2495" i="1"/>
  <c r="J3445" i="1"/>
  <c r="J1752" i="1"/>
  <c r="J1694" i="1"/>
  <c r="E3534" i="1"/>
  <c r="E3293" i="1"/>
  <c r="E2632" i="1"/>
  <c r="E2241" i="1"/>
  <c r="J2009" i="1"/>
  <c r="E2637" i="1"/>
  <c r="J1865" i="1"/>
  <c r="E1671" i="1"/>
  <c r="E3337" i="1"/>
  <c r="J3592" i="1"/>
  <c r="E1948" i="1"/>
  <c r="E2385" i="1"/>
  <c r="J1649" i="1"/>
  <c r="E2945" i="1"/>
  <c r="E2420" i="1"/>
  <c r="J568" i="1"/>
  <c r="E1510" i="1"/>
  <c r="J4017" i="1"/>
  <c r="E3574" i="1"/>
  <c r="J3734" i="1"/>
  <c r="E2298" i="1"/>
  <c r="E3986" i="1"/>
  <c r="E1865" i="1"/>
  <c r="E1432" i="1"/>
  <c r="J3202" i="1"/>
  <c r="J1925" i="1"/>
  <c r="E1756" i="1"/>
  <c r="J2223" i="1"/>
  <c r="J2999" i="1"/>
  <c r="E1723" i="1"/>
  <c r="J2765" i="1"/>
  <c r="E4333" i="1"/>
  <c r="J2676" i="1"/>
  <c r="J2348" i="1"/>
  <c r="J2424" i="1"/>
  <c r="J3478" i="1"/>
  <c r="J2386" i="1"/>
  <c r="J5974" i="1"/>
  <c r="E3715" i="1"/>
  <c r="E3591" i="1"/>
  <c r="E3756" i="1"/>
  <c r="J3550" i="1"/>
  <c r="E3367" i="1"/>
  <c r="G3367" i="1" s="1"/>
  <c r="E2786" i="1"/>
  <c r="J3691" i="1"/>
  <c r="E4298" i="1"/>
  <c r="E2083" i="1"/>
  <c r="G2083" i="1" s="1"/>
  <c r="E3948" i="1"/>
  <c r="G3948" i="1" s="1"/>
  <c r="J2352" i="1"/>
  <c r="E3573" i="1"/>
  <c r="E3467" i="1"/>
  <c r="E2680" i="1"/>
  <c r="E1492" i="1"/>
  <c r="J4444" i="1"/>
  <c r="J3614" i="1"/>
  <c r="E1319" i="1"/>
  <c r="E2076" i="1"/>
  <c r="E3623" i="1"/>
  <c r="E3463" i="1"/>
  <c r="J4801" i="1"/>
  <c r="E2920" i="1"/>
  <c r="J4806" i="1"/>
  <c r="E3728" i="1"/>
  <c r="E4665" i="1"/>
  <c r="J3147" i="1"/>
  <c r="J3566" i="1"/>
  <c r="J2415" i="1"/>
  <c r="J2792" i="1"/>
  <c r="E1770" i="1"/>
  <c r="J4442" i="1"/>
  <c r="J4030" i="1"/>
  <c r="E3426" i="1"/>
  <c r="E2909" i="1"/>
  <c r="J3482" i="1"/>
  <c r="E3747" i="1"/>
  <c r="J4033" i="1"/>
  <c r="E4712" i="1"/>
  <c r="J3552" i="1"/>
  <c r="J2636" i="1"/>
  <c r="J3138" i="1"/>
  <c r="E2693" i="1"/>
  <c r="E1534" i="1"/>
  <c r="J2116" i="1"/>
  <c r="E1359" i="1"/>
  <c r="E718" i="1"/>
  <c r="J3013" i="1"/>
  <c r="E1648" i="1"/>
  <c r="E817" i="1"/>
  <c r="E1328" i="1"/>
  <c r="J3307" i="1"/>
  <c r="J2349" i="1"/>
  <c r="J4037" i="1"/>
  <c r="J2033" i="1"/>
  <c r="J2689" i="1"/>
  <c r="J1716" i="1"/>
  <c r="J2539" i="1"/>
  <c r="E2694" i="1"/>
  <c r="J1999" i="1"/>
  <c r="E5907" i="1"/>
  <c r="E3942" i="1"/>
  <c r="E4383" i="1"/>
  <c r="E2972" i="1"/>
  <c r="E3797" i="1"/>
  <c r="J2463" i="1"/>
  <c r="E2689" i="1"/>
  <c r="G2694" i="1" s="1"/>
  <c r="E4656" i="1"/>
  <c r="E3569" i="1"/>
  <c r="E2615" i="1"/>
  <c r="J2324" i="1"/>
  <c r="E3232" i="1"/>
  <c r="J2722" i="1"/>
  <c r="J2498" i="1"/>
  <c r="J3256" i="1"/>
  <c r="E1188" i="1"/>
  <c r="J3243" i="1"/>
  <c r="E1589" i="1"/>
  <c r="E2397" i="1"/>
  <c r="E3102" i="1"/>
  <c r="E3179" i="1"/>
  <c r="J3156" i="1"/>
  <c r="J3285" i="1"/>
  <c r="E1633" i="1"/>
  <c r="J4087" i="1"/>
  <c r="E3067" i="1"/>
  <c r="E1279" i="1"/>
  <c r="E2801" i="1"/>
  <c r="E2635" i="1"/>
  <c r="E1743" i="1"/>
  <c r="E2861" i="1"/>
  <c r="E3003" i="1"/>
  <c r="E1724" i="1"/>
  <c r="G1724" i="1" s="1"/>
  <c r="J3191" i="1"/>
  <c r="J4288" i="1"/>
  <c r="J1741" i="1"/>
  <c r="J3426" i="1"/>
  <c r="E2404" i="1"/>
  <c r="J2094" i="1"/>
  <c r="E3195" i="1"/>
  <c r="J3696" i="1"/>
  <c r="E3105" i="1"/>
  <c r="E2859" i="1"/>
  <c r="E3147" i="1"/>
  <c r="J1719" i="1"/>
  <c r="J1966" i="1"/>
  <c r="J2952" i="1"/>
  <c r="J4243" i="1"/>
  <c r="J2688" i="1"/>
  <c r="E4623" i="1"/>
  <c r="J3271" i="1"/>
  <c r="E3683" i="1"/>
  <c r="E3389" i="1"/>
  <c r="J1689" i="1"/>
  <c r="J2707" i="1"/>
  <c r="J1986" i="1"/>
  <c r="E3365" i="1"/>
  <c r="J2706" i="1"/>
  <c r="E3576" i="1"/>
  <c r="J3298" i="1"/>
  <c r="J3409" i="1"/>
  <c r="J1943" i="1"/>
  <c r="J3475" i="1"/>
  <c r="E3876" i="1"/>
  <c r="E4211" i="1"/>
  <c r="J2433" i="1"/>
  <c r="E1695" i="1"/>
  <c r="J3204" i="1"/>
  <c r="J4114" i="1"/>
  <c r="J4694" i="1"/>
  <c r="E2929" i="1"/>
  <c r="E3001" i="1"/>
  <c r="J3430" i="1"/>
  <c r="E3472" i="1"/>
  <c r="J4674" i="1"/>
  <c r="E2960" i="1"/>
  <c r="J3694" i="1"/>
  <c r="E4307" i="1"/>
  <c r="J5712" i="1"/>
  <c r="E3395" i="1"/>
  <c r="J5042" i="1"/>
  <c r="J1742" i="1"/>
  <c r="J4102" i="1"/>
  <c r="J4704" i="1"/>
  <c r="E1814" i="1"/>
  <c r="E3262" i="1"/>
  <c r="E2122" i="1"/>
  <c r="E3286" i="1"/>
  <c r="E1036" i="1"/>
  <c r="G1041" i="1" s="1"/>
  <c r="E2356" i="1"/>
  <c r="J3286" i="1"/>
  <c r="J2673" i="1"/>
  <c r="J3092" i="1"/>
  <c r="E3029" i="1"/>
  <c r="J3911" i="1"/>
  <c r="E3920" i="1"/>
  <c r="E2708" i="1"/>
  <c r="E1645" i="1"/>
  <c r="E2322" i="1"/>
  <c r="E1120" i="1"/>
  <c r="E3579" i="1"/>
  <c r="G3579" i="1" s="1"/>
  <c r="J4059" i="1"/>
  <c r="E1008" i="1"/>
  <c r="E3603" i="1"/>
  <c r="E4078" i="1"/>
  <c r="J3716" i="1"/>
  <c r="J1239" i="1"/>
  <c r="E1939" i="1"/>
  <c r="E2963" i="1"/>
  <c r="G2963" i="1" s="1"/>
  <c r="E1879" i="1"/>
  <c r="J720" i="1"/>
  <c r="E1819" i="1"/>
  <c r="J1538" i="1"/>
  <c r="E4132" i="1"/>
  <c r="J3885" i="1"/>
  <c r="J2619" i="1"/>
  <c r="E3898" i="1"/>
  <c r="G3898" i="1" s="1"/>
  <c r="J3011" i="1"/>
  <c r="J3041" i="1"/>
  <c r="J1398" i="1"/>
  <c r="J3512" i="1"/>
  <c r="E4457" i="1"/>
  <c r="J2651" i="1"/>
  <c r="J3206" i="1"/>
  <c r="J3370" i="1"/>
  <c r="J4025" i="1"/>
  <c r="J2685" i="1"/>
  <c r="E3689" i="1"/>
  <c r="J3427" i="1"/>
  <c r="J1192" i="1"/>
  <c r="J3553" i="1"/>
  <c r="E3384" i="1"/>
  <c r="J3609" i="1"/>
  <c r="E4203" i="1"/>
  <c r="E3888" i="1"/>
  <c r="G3888" i="1" s="1"/>
  <c r="E1390" i="1"/>
  <c r="J3265" i="1"/>
  <c r="J3638" i="1"/>
  <c r="J282" i="1"/>
  <c r="J4549" i="1"/>
  <c r="E1821" i="1"/>
  <c r="E5034" i="1"/>
  <c r="E2916" i="1"/>
  <c r="J4628" i="1"/>
  <c r="E2798" i="1"/>
  <c r="J2179" i="1"/>
  <c r="E3818" i="1"/>
  <c r="J2210" i="1"/>
  <c r="J3299" i="1"/>
  <c r="J3424" i="1"/>
  <c r="E2387" i="1"/>
  <c r="E3633" i="1"/>
  <c r="E2725" i="1"/>
  <c r="E2563" i="1"/>
  <c r="E2296" i="1"/>
  <c r="J2718" i="1"/>
  <c r="E3819" i="1"/>
  <c r="E4473" i="1"/>
  <c r="E2483" i="1"/>
  <c r="E660" i="1"/>
  <c r="E4092" i="1"/>
  <c r="E3048" i="1"/>
  <c r="E4408" i="1"/>
  <c r="E3183" i="1"/>
  <c r="J4306" i="1"/>
  <c r="E4090" i="1"/>
  <c r="E3979" i="1"/>
  <c r="J4892" i="1"/>
  <c r="E4555" i="1"/>
  <c r="E3516" i="1"/>
  <c r="J5458" i="1"/>
  <c r="E5525" i="1"/>
  <c r="E3050" i="1"/>
  <c r="E1795" i="1"/>
  <c r="E3056" i="1"/>
  <c r="J2418" i="1"/>
  <c r="E2302" i="1"/>
  <c r="J537" i="1"/>
  <c r="J2290" i="1"/>
  <c r="E1892" i="1"/>
  <c r="E1883" i="1"/>
  <c r="E4578" i="1"/>
  <c r="J3100" i="1"/>
  <c r="J3463" i="1"/>
  <c r="J2663" i="1"/>
  <c r="J1907" i="1"/>
  <c r="J4063" i="1"/>
  <c r="E1241" i="1"/>
  <c r="E2161" i="1"/>
  <c r="E1926" i="1"/>
  <c r="G1926" i="1" s="1"/>
  <c r="J3572" i="1"/>
  <c r="J2562" i="1"/>
  <c r="J3188" i="1"/>
  <c r="E1425" i="1"/>
  <c r="J2634" i="1"/>
  <c r="J3129" i="1"/>
  <c r="J3555" i="1"/>
  <c r="J2958" i="1"/>
  <c r="E1965" i="1"/>
  <c r="E2201" i="1"/>
  <c r="J2344" i="1"/>
  <c r="E5164" i="1"/>
  <c r="E2755" i="1"/>
  <c r="E4319" i="1"/>
  <c r="J3040" i="1"/>
  <c r="J3351" i="1"/>
  <c r="J3520" i="1"/>
  <c r="E3578" i="1"/>
  <c r="J1575" i="1"/>
  <c r="E1862" i="1"/>
  <c r="E2841" i="1"/>
  <c r="E3533" i="1"/>
  <c r="J1894" i="1"/>
  <c r="E4006" i="1"/>
  <c r="E4627" i="1"/>
  <c r="E3339" i="1"/>
  <c r="E2287" i="1"/>
  <c r="J1591" i="1"/>
  <c r="E1042" i="1"/>
  <c r="E2787" i="1"/>
  <c r="E1353" i="1"/>
  <c r="J3665" i="1"/>
  <c r="J3499" i="1"/>
  <c r="E1525" i="1"/>
  <c r="E2572" i="1"/>
  <c r="G2572" i="1" s="1"/>
  <c r="J3046" i="1"/>
  <c r="E2568" i="1"/>
  <c r="J3378" i="1"/>
  <c r="E5744" i="1"/>
  <c r="J2197" i="1"/>
  <c r="J1820" i="1"/>
  <c r="E4498" i="1"/>
  <c r="E3788" i="1"/>
  <c r="E2872" i="1"/>
  <c r="J3845" i="1"/>
  <c r="J3538" i="1"/>
  <c r="E3162" i="1"/>
  <c r="E3707" i="1"/>
  <c r="E3197" i="1"/>
  <c r="J2494" i="1"/>
  <c r="E4081" i="1"/>
  <c r="J3166" i="1"/>
  <c r="J3807" i="1"/>
  <c r="E4348" i="1"/>
  <c r="E4779" i="1"/>
  <c r="E3750" i="1"/>
  <c r="J3905" i="1"/>
  <c r="J3336" i="1"/>
  <c r="J4035" i="1"/>
  <c r="J5653" i="1"/>
  <c r="E2571" i="1"/>
  <c r="J1322" i="1"/>
  <c r="J4725" i="1"/>
  <c r="J3358" i="1"/>
  <c r="E3529" i="1"/>
  <c r="G3534" i="1" s="1"/>
  <c r="E1582" i="1"/>
  <c r="E2672" i="1"/>
  <c r="E4133" i="1"/>
  <c r="E3730" i="1"/>
  <c r="E3247" i="1"/>
  <c r="J1918" i="1"/>
  <c r="J3039" i="1"/>
  <c r="J4132" i="1"/>
  <c r="E2800" i="1"/>
  <c r="E5909" i="1"/>
  <c r="E4662" i="1"/>
  <c r="E3238" i="1"/>
  <c r="J4250" i="1"/>
  <c r="E3280" i="1"/>
  <c r="G3285" i="1" s="1"/>
  <c r="J4164" i="1"/>
  <c r="E4233" i="1"/>
  <c r="J5051" i="1"/>
  <c r="J4350" i="1"/>
  <c r="E4293" i="1"/>
  <c r="E4679" i="1"/>
  <c r="E2701" i="1"/>
  <c r="J2024" i="1"/>
  <c r="E4165" i="1"/>
  <c r="E3361" i="1"/>
  <c r="J818" i="1"/>
  <c r="J4659" i="1"/>
  <c r="J3875" i="1"/>
  <c r="J4634" i="1"/>
  <c r="J4000" i="1"/>
  <c r="J2425" i="1"/>
  <c r="J2540" i="1"/>
  <c r="J993" i="1"/>
  <c r="E3753" i="1"/>
  <c r="E3738" i="1"/>
  <c r="E3780" i="1"/>
  <c r="J3047" i="1"/>
  <c r="J1898" i="1"/>
  <c r="J3979" i="1"/>
  <c r="E3410" i="1"/>
  <c r="E2983" i="1"/>
  <c r="J1664" i="1"/>
  <c r="J1116" i="1"/>
  <c r="J4028" i="1"/>
  <c r="E2147" i="1"/>
  <c r="J2870" i="1"/>
  <c r="J3439" i="1"/>
  <c r="E2169" i="1"/>
  <c r="E4284" i="1"/>
  <c r="J1102" i="1"/>
  <c r="E2624" i="1"/>
  <c r="G2629" i="1" s="1"/>
  <c r="J1625" i="1"/>
  <c r="J4076" i="1"/>
  <c r="J1794" i="1"/>
  <c r="J2247" i="1"/>
  <c r="J2584" i="1"/>
  <c r="E2418" i="1"/>
  <c r="J485" i="1"/>
  <c r="E4359" i="1"/>
  <c r="J3310" i="1"/>
  <c r="E1949" i="1"/>
  <c r="J2541" i="1"/>
  <c r="E1496" i="1"/>
  <c r="E808" i="1"/>
  <c r="J3573" i="1"/>
  <c r="E1185" i="1"/>
  <c r="E4902" i="1"/>
  <c r="E3682" i="1"/>
  <c r="E3535" i="1"/>
  <c r="E2855" i="1"/>
  <c r="J3793" i="1"/>
  <c r="E4178" i="1"/>
  <c r="J1982" i="1"/>
  <c r="J2639" i="1"/>
  <c r="J792" i="1"/>
  <c r="J2714" i="1"/>
  <c r="E3970" i="1"/>
  <c r="J2238" i="1"/>
  <c r="E3543" i="1"/>
  <c r="E3792" i="1"/>
  <c r="J4544" i="1"/>
  <c r="J1650" i="1"/>
  <c r="J3045" i="1"/>
  <c r="J1807" i="1"/>
  <c r="J2929" i="1"/>
  <c r="J3795" i="1"/>
  <c r="J3823" i="1"/>
  <c r="J2208" i="1"/>
  <c r="E1277" i="1"/>
  <c r="J3384" i="1"/>
  <c r="J2492" i="1"/>
  <c r="J3020" i="1"/>
  <c r="J1613" i="1"/>
  <c r="J2832" i="1"/>
  <c r="J965" i="1"/>
  <c r="J3283" i="1"/>
  <c r="J2675" i="1"/>
  <c r="J2444" i="1"/>
  <c r="J4137" i="1"/>
  <c r="E1925" i="1"/>
  <c r="E3106" i="1"/>
  <c r="J2564" i="1"/>
  <c r="E4250" i="1"/>
  <c r="J2054" i="1"/>
  <c r="E3766" i="1"/>
  <c r="J4300" i="1"/>
  <c r="J3853" i="1"/>
  <c r="J3645" i="1"/>
  <c r="J3813" i="1"/>
  <c r="E3338" i="1"/>
  <c r="E3796" i="1"/>
  <c r="J3318" i="1"/>
  <c r="J2766" i="1"/>
  <c r="J2203" i="1"/>
  <c r="J3623" i="1"/>
  <c r="J3808" i="1"/>
  <c r="E3335" i="1"/>
  <c r="J3670" i="1"/>
  <c r="E4261" i="1"/>
  <c r="J1926" i="1"/>
  <c r="E3622" i="1"/>
  <c r="J3157" i="1"/>
  <c r="E4346" i="1"/>
  <c r="J2456" i="1"/>
  <c r="J2399" i="1"/>
  <c r="J3180" i="1"/>
  <c r="E4277" i="1"/>
  <c r="G4277" i="1" s="1"/>
  <c r="E1849" i="1"/>
  <c r="J4225" i="1"/>
  <c r="J3326" i="1"/>
  <c r="J1871" i="1"/>
  <c r="J4386" i="1"/>
  <c r="E4151" i="1"/>
  <c r="E3929" i="1"/>
  <c r="E3740" i="1"/>
  <c r="J3072" i="1"/>
  <c r="J4021" i="1"/>
  <c r="J3248" i="1"/>
  <c r="J5117" i="1"/>
  <c r="J3575" i="1"/>
  <c r="E3270" i="1"/>
  <c r="J5137" i="1"/>
  <c r="E3975" i="1"/>
  <c r="E3878" i="1"/>
  <c r="E3804" i="1"/>
  <c r="E4978" i="1"/>
  <c r="J5977" i="1"/>
  <c r="J4261" i="1"/>
  <c r="J2680" i="1"/>
  <c r="E3955" i="1"/>
  <c r="E2730" i="1"/>
  <c r="J1957" i="1"/>
  <c r="J1582" i="1"/>
  <c r="J1199" i="1"/>
  <c r="J3492" i="1"/>
  <c r="J3644" i="1"/>
  <c r="J3022" i="1"/>
  <c r="E3462" i="1"/>
  <c r="J2686" i="1"/>
  <c r="J3627" i="1"/>
  <c r="J3806" i="1"/>
  <c r="E3036" i="1"/>
  <c r="J709" i="1"/>
  <c r="E3078" i="1"/>
  <c r="G3078" i="1" s="1"/>
  <c r="J3195" i="1"/>
  <c r="E1207" i="1"/>
  <c r="J3866" i="1"/>
  <c r="J4253" i="1"/>
  <c r="J3257" i="1"/>
  <c r="E3887" i="1"/>
  <c r="E2522" i="1"/>
  <c r="G2522" i="1" s="1"/>
  <c r="E3692" i="1"/>
  <c r="E1340" i="1"/>
  <c r="E800" i="1"/>
  <c r="J2153" i="1"/>
  <c r="E2148" i="1"/>
  <c r="G2148" i="1" s="1"/>
  <c r="J2110" i="1"/>
  <c r="E972" i="1"/>
  <c r="E2049" i="1"/>
  <c r="J3450" i="1"/>
  <c r="E2193" i="1"/>
  <c r="G2198" i="1" s="1"/>
  <c r="J3484" i="1"/>
  <c r="J1533" i="1"/>
  <c r="J2602" i="1"/>
  <c r="E1954" i="1"/>
  <c r="J1400" i="1"/>
  <c r="E2123" i="1"/>
  <c r="G2128" i="1" s="1"/>
  <c r="J2304" i="1"/>
  <c r="E2424" i="1"/>
  <c r="E2675" i="1"/>
  <c r="E4065" i="1"/>
  <c r="E4204" i="1"/>
  <c r="J3001" i="1"/>
  <c r="E747" i="1"/>
  <c r="J3708" i="1"/>
  <c r="E2614" i="1"/>
  <c r="E1259" i="1"/>
  <c r="E4141" i="1"/>
  <c r="J3593" i="1"/>
  <c r="J2580" i="1"/>
  <c r="E2086" i="1"/>
  <c r="J1890" i="1"/>
  <c r="E4735" i="1"/>
  <c r="J3402" i="1"/>
  <c r="E2856" i="1"/>
  <c r="G2861" i="1" s="1"/>
  <c r="J3844" i="1"/>
  <c r="Z85" i="1"/>
  <c r="J2087" i="1"/>
  <c r="E4613" i="1"/>
  <c r="E3732" i="1"/>
  <c r="E4318" i="1"/>
  <c r="J5530" i="1"/>
  <c r="E3285" i="1"/>
  <c r="E1719" i="1"/>
  <c r="E2036" i="1"/>
  <c r="J3610" i="1"/>
  <c r="J3924" i="1"/>
  <c r="J4065" i="1"/>
  <c r="E5361" i="1"/>
  <c r="E4253" i="1"/>
  <c r="J3108" i="1"/>
  <c r="E1643" i="1"/>
  <c r="J2569" i="1"/>
  <c r="J4092" i="1"/>
  <c r="E2828" i="1"/>
  <c r="J2784" i="1"/>
  <c r="J4258" i="1"/>
  <c r="J3060" i="1"/>
  <c r="E3172" i="1"/>
  <c r="E4727" i="1"/>
  <c r="E3632" i="1"/>
  <c r="E3275" i="1"/>
  <c r="E3768" i="1"/>
  <c r="E4153" i="1"/>
  <c r="J1889" i="1"/>
  <c r="E4265" i="1"/>
  <c r="E2978" i="1"/>
  <c r="E4404" i="1"/>
  <c r="E3588" i="1"/>
  <c r="J4974" i="1"/>
  <c r="E4730" i="1"/>
  <c r="E4534" i="1"/>
  <c r="J3736" i="1"/>
  <c r="J4229" i="1"/>
  <c r="J3977" i="1"/>
  <c r="J4733" i="1"/>
  <c r="E4394" i="1"/>
  <c r="G4394" i="1" s="1"/>
  <c r="E5915" i="1"/>
  <c r="E3274" i="1"/>
  <c r="E2079" i="1"/>
  <c r="E2911" i="1"/>
  <c r="E2555" i="1"/>
  <c r="J3758" i="1"/>
  <c r="J4488" i="1"/>
  <c r="J2152" i="1"/>
  <c r="E3810" i="1"/>
  <c r="E2785" i="1"/>
  <c r="J1415" i="1"/>
  <c r="E3244" i="1"/>
  <c r="E5159" i="1"/>
  <c r="E3736" i="1"/>
  <c r="J4670" i="1"/>
  <c r="J3533" i="1"/>
  <c r="E2682" i="1"/>
  <c r="E3784" i="1"/>
  <c r="J3203" i="1"/>
  <c r="J1542" i="1"/>
  <c r="J3909" i="1"/>
  <c r="J3267" i="1"/>
  <c r="J4956" i="1"/>
  <c r="E2890" i="1"/>
  <c r="E3922" i="1"/>
  <c r="J2608" i="1"/>
  <c r="J2459" i="1"/>
  <c r="E5071" i="1"/>
  <c r="E1755" i="1"/>
  <c r="E3799" i="1"/>
  <c r="J1549" i="1"/>
  <c r="E4154" i="1"/>
  <c r="J3817" i="1"/>
  <c r="E2288" i="1"/>
  <c r="J2139" i="1"/>
  <c r="J2173" i="1"/>
  <c r="J3698" i="1"/>
  <c r="J1779" i="1"/>
  <c r="J2823" i="1"/>
  <c r="E4804" i="1"/>
  <c r="E1975" i="1"/>
  <c r="J2994" i="1"/>
  <c r="J3440" i="1"/>
  <c r="J4109" i="1"/>
  <c r="E3969" i="1"/>
  <c r="E2691" i="1"/>
  <c r="E1867" i="1"/>
  <c r="E3993" i="1"/>
  <c r="J3398" i="1"/>
  <c r="E1937" i="1"/>
  <c r="E4546" i="1"/>
  <c r="J2319" i="1"/>
  <c r="J2974" i="1"/>
  <c r="J3745" i="1"/>
  <c r="E1374" i="1"/>
  <c r="J4315" i="1"/>
  <c r="E4672" i="1"/>
  <c r="J2346" i="1"/>
  <c r="J1893" i="1"/>
  <c r="J2854" i="1"/>
  <c r="J2891" i="1"/>
  <c r="J3916" i="1"/>
  <c r="E1916" i="1"/>
  <c r="G1916" i="1" s="1"/>
  <c r="E3890" i="1"/>
  <c r="E3181" i="1"/>
  <c r="E4163" i="1"/>
  <c r="E4041" i="1"/>
  <c r="J4237" i="1"/>
  <c r="E4822" i="1"/>
  <c r="E3340" i="1"/>
  <c r="J4001" i="1"/>
  <c r="J4015" i="1"/>
  <c r="E4982" i="1"/>
  <c r="E4716" i="1"/>
  <c r="J4702" i="1"/>
  <c r="E3769" i="1"/>
  <c r="E3781" i="1"/>
  <c r="E4286" i="1"/>
  <c r="E4073" i="1"/>
  <c r="E3668" i="1"/>
  <c r="E4148" i="1"/>
  <c r="E4322" i="1"/>
  <c r="E3722" i="1"/>
  <c r="E4564" i="1"/>
  <c r="G4564" i="1" s="1"/>
  <c r="J4770" i="1"/>
  <c r="J3469" i="1"/>
  <c r="E2879" i="1"/>
  <c r="J3967" i="1"/>
  <c r="E5739" i="1"/>
  <c r="E4466" i="1"/>
  <c r="E3980" i="1"/>
  <c r="E3145" i="1"/>
  <c r="E4463" i="1"/>
  <c r="J4940" i="1"/>
  <c r="E5933" i="1"/>
  <c r="J4589" i="1"/>
  <c r="E3701" i="1"/>
  <c r="G3706" i="1" s="1"/>
  <c r="J3789" i="1"/>
  <c r="J5149" i="1"/>
  <c r="E3282" i="1"/>
  <c r="J5091" i="1"/>
  <c r="E3076" i="1"/>
  <c r="E4325" i="1"/>
  <c r="E4547" i="1"/>
  <c r="E3782" i="1"/>
  <c r="E4187" i="1"/>
  <c r="E3431" i="1"/>
  <c r="E3845" i="1"/>
  <c r="E4983" i="1"/>
  <c r="J4793" i="1"/>
  <c r="E5709" i="1"/>
  <c r="J4608" i="1"/>
  <c r="E4791" i="1"/>
  <c r="E5404" i="1"/>
  <c r="G5409" i="1" s="1"/>
  <c r="E3400" i="1"/>
  <c r="E3490" i="1"/>
  <c r="E3260" i="1"/>
  <c r="E2263" i="1"/>
  <c r="E2383" i="1"/>
  <c r="E3140" i="1"/>
  <c r="G3145" i="1" s="1"/>
  <c r="J1991" i="1"/>
  <c r="E2715" i="1"/>
  <c r="E4082" i="1"/>
  <c r="J3962" i="1"/>
  <c r="J3724" i="1"/>
  <c r="E3957" i="1"/>
  <c r="J4588" i="1"/>
  <c r="J4831" i="1"/>
  <c r="E4341" i="1"/>
  <c r="J4231" i="1"/>
  <c r="J3264" i="1"/>
  <c r="E1350" i="1"/>
  <c r="G1355" i="1" s="1"/>
  <c r="E5986" i="1"/>
  <c r="E4491" i="1"/>
  <c r="J3574" i="1"/>
  <c r="E4640" i="1"/>
  <c r="E2646" i="1"/>
  <c r="E2955" i="1"/>
  <c r="E3833" i="1"/>
  <c r="E2623" i="1"/>
  <c r="E2805" i="1"/>
  <c r="E3201" i="1"/>
  <c r="E5844" i="1"/>
  <c r="J1824" i="1"/>
  <c r="E2788" i="1"/>
  <c r="E3905" i="1"/>
  <c r="J3425" i="1"/>
  <c r="J2641" i="1"/>
  <c r="E2262" i="1"/>
  <c r="E3320" i="1"/>
  <c r="J4224" i="1"/>
  <c r="E2189" i="1"/>
  <c r="J3485" i="1"/>
  <c r="E1871" i="1"/>
  <c r="E1679" i="1"/>
  <c r="J3102" i="1"/>
  <c r="E4550" i="1"/>
  <c r="E2885" i="1"/>
  <c r="E4537" i="1"/>
  <c r="E3911" i="1"/>
  <c r="J1755" i="1"/>
  <c r="J3766" i="1"/>
  <c r="J2887" i="1"/>
  <c r="E2248" i="1"/>
  <c r="J3998" i="1"/>
  <c r="E2190" i="1"/>
  <c r="E3010" i="1"/>
  <c r="J4024" i="1"/>
  <c r="J4378" i="1"/>
  <c r="E4391" i="1"/>
  <c r="E5518" i="1"/>
  <c r="Z251" i="1"/>
  <c r="E4399" i="1"/>
  <c r="J3449" i="1"/>
  <c r="J1522" i="1"/>
  <c r="J4997" i="1"/>
  <c r="E2790" i="1"/>
  <c r="E2921" i="1"/>
  <c r="E3006" i="1"/>
  <c r="E4523" i="1"/>
  <c r="J4542" i="1"/>
  <c r="J3465" i="1"/>
  <c r="J5965" i="1"/>
  <c r="E4045" i="1"/>
  <c r="J2803" i="1"/>
  <c r="E1841" i="1"/>
  <c r="G1846" i="1" s="1"/>
  <c r="J4249" i="1"/>
  <c r="E1326" i="1"/>
  <c r="E4958" i="1"/>
  <c r="E3548" i="1"/>
  <c r="J3617" i="1"/>
  <c r="E3198" i="1"/>
  <c r="E2481" i="1"/>
  <c r="J3973" i="1"/>
  <c r="J3391" i="1"/>
  <c r="E4729" i="1"/>
  <c r="J4178" i="1"/>
  <c r="E3733" i="1"/>
  <c r="J4515" i="1"/>
  <c r="J5849" i="1"/>
  <c r="E4199" i="1"/>
  <c r="E3879" i="1"/>
  <c r="E4063" i="1"/>
  <c r="J4448" i="1"/>
  <c r="J5525" i="1"/>
  <c r="E3743" i="1"/>
  <c r="E4310" i="1"/>
  <c r="J4098" i="1"/>
  <c r="E3600" i="1"/>
  <c r="J4409" i="1"/>
  <c r="J4342" i="1"/>
  <c r="J5672" i="1"/>
  <c r="J5059" i="1"/>
  <c r="E3214" i="1"/>
  <c r="J3622" i="1"/>
  <c r="E4764" i="1"/>
  <c r="J4873" i="1"/>
  <c r="J4446" i="1"/>
  <c r="J2605" i="1"/>
  <c r="E4200" i="1"/>
  <c r="E4282" i="1"/>
  <c r="J3951" i="1"/>
  <c r="J3777" i="1"/>
  <c r="J4735" i="1"/>
  <c r="J4213" i="1"/>
  <c r="E3966" i="1"/>
  <c r="J3462" i="1"/>
  <c r="J5637" i="1"/>
  <c r="J4572" i="1"/>
  <c r="E5204" i="1"/>
  <c r="E3450" i="1"/>
  <c r="J3042" i="1"/>
  <c r="E3666" i="1"/>
  <c r="G3666" i="1" s="1"/>
  <c r="J3974" i="1"/>
  <c r="E4251" i="1"/>
  <c r="J5464" i="1"/>
  <c r="E4514" i="1"/>
  <c r="J4955" i="1"/>
  <c r="E5311" i="1"/>
  <c r="J4457" i="1"/>
  <c r="E4859" i="1"/>
  <c r="J2437" i="1"/>
  <c r="J2633" i="1"/>
  <c r="E4056" i="1"/>
  <c r="J4761" i="1"/>
  <c r="E4220" i="1"/>
  <c r="E2140" i="1"/>
  <c r="E2400" i="1"/>
  <c r="J3643" i="1"/>
  <c r="J1252" i="1"/>
  <c r="J5063" i="1"/>
  <c r="J2998" i="1"/>
  <c r="J3190" i="1"/>
  <c r="E3537" i="1"/>
  <c r="E4762" i="1"/>
  <c r="J3369" i="1"/>
  <c r="J1917" i="1"/>
  <c r="E3847" i="1"/>
  <c r="E4268" i="1"/>
  <c r="E3667" i="1"/>
  <c r="E1647" i="1"/>
  <c r="J2993" i="1"/>
  <c r="E5654" i="1"/>
  <c r="J1452" i="1"/>
  <c r="E3646" i="1"/>
  <c r="E2810" i="1"/>
  <c r="J2233" i="1"/>
  <c r="E3288" i="1"/>
  <c r="J3802" i="1"/>
  <c r="E3187" i="1"/>
  <c r="J3486" i="1"/>
  <c r="J3587" i="1"/>
  <c r="E2317" i="1"/>
  <c r="J1511" i="1"/>
  <c r="J3649" i="1"/>
  <c r="J2402" i="1"/>
  <c r="E3191" i="1"/>
  <c r="E3519" i="1"/>
  <c r="J2947" i="1"/>
  <c r="J5713" i="1"/>
  <c r="E4718" i="1"/>
  <c r="J4842" i="1"/>
  <c r="E2434" i="1"/>
  <c r="J4602" i="1"/>
  <c r="E3557" i="1"/>
  <c r="E2951" i="1"/>
  <c r="E2273" i="1"/>
  <c r="E3927" i="1"/>
  <c r="E3765" i="1"/>
  <c r="E3630" i="1"/>
  <c r="J2711" i="1"/>
  <c r="J3822" i="1"/>
  <c r="J2959" i="1"/>
  <c r="E5096" i="1"/>
  <c r="E5259" i="1"/>
  <c r="E3776" i="1"/>
  <c r="G3776" i="1" s="1"/>
  <c r="J3236" i="1"/>
  <c r="E5749" i="1"/>
  <c r="E3071" i="1"/>
  <c r="J2720" i="1"/>
  <c r="E3090" i="1"/>
  <c r="J2375" i="1"/>
  <c r="J3142" i="1"/>
  <c r="E2222" i="1"/>
  <c r="J4754" i="1"/>
  <c r="E3870" i="1"/>
  <c r="E5151" i="1"/>
  <c r="J4233" i="1"/>
  <c r="J3032" i="1"/>
  <c r="J3600" i="1"/>
  <c r="E3156" i="1"/>
  <c r="E4122" i="1"/>
  <c r="J2232" i="1"/>
  <c r="J1851" i="1"/>
  <c r="E4706" i="1"/>
  <c r="E4474" i="1"/>
  <c r="E2899" i="1"/>
  <c r="J4637" i="1"/>
  <c r="E4545" i="1"/>
  <c r="E5207" i="1"/>
  <c r="J4349" i="1"/>
  <c r="J4673" i="1"/>
  <c r="J2848" i="1"/>
  <c r="J3460" i="1"/>
  <c r="E3857" i="1"/>
  <c r="J1727" i="1"/>
  <c r="E2405" i="1"/>
  <c r="E3002" i="1"/>
  <c r="J3428" i="1"/>
  <c r="J4189" i="1"/>
  <c r="J4196" i="1"/>
  <c r="E5052" i="1"/>
  <c r="J2671" i="1"/>
  <c r="J4476" i="1"/>
  <c r="J4907" i="1"/>
  <c r="J3505" i="1"/>
  <c r="E5030" i="1"/>
  <c r="G5030" i="1" s="1"/>
  <c r="E3656" i="1"/>
  <c r="E4807" i="1"/>
  <c r="J5777" i="1"/>
  <c r="J4480" i="1"/>
  <c r="E4809" i="1"/>
  <c r="J4073" i="1"/>
  <c r="E3894" i="1"/>
  <c r="J2312" i="1"/>
  <c r="E3709" i="1"/>
  <c r="E3697" i="1"/>
  <c r="P284" i="1"/>
  <c r="Q284" i="1" s="1"/>
  <c r="E5753" i="1"/>
  <c r="G5753" i="1" s="1"/>
  <c r="E5272" i="1"/>
  <c r="E5762" i="1"/>
  <c r="J3910" i="1"/>
  <c r="E3026" i="1"/>
  <c r="E3828" i="1"/>
  <c r="E4338" i="1"/>
  <c r="E4476" i="1"/>
  <c r="E3371" i="1"/>
  <c r="E4418" i="1"/>
  <c r="E4010" i="1"/>
  <c r="E3903" i="1"/>
  <c r="G3903" i="1" s="1"/>
  <c r="E3794" i="1"/>
  <c r="J3540" i="1"/>
  <c r="J3921" i="1"/>
  <c r="E5248" i="1"/>
  <c r="E4867" i="1"/>
  <c r="E4120" i="1"/>
  <c r="J4418" i="1"/>
  <c r="E4559" i="1"/>
  <c r="J4377" i="1"/>
  <c r="E4825" i="1"/>
  <c r="E3773" i="1"/>
  <c r="E5222" i="1"/>
  <c r="E4600" i="1"/>
  <c r="J5835" i="1"/>
  <c r="J4841" i="1"/>
  <c r="E4869" i="1"/>
  <c r="E4017" i="1"/>
  <c r="Z78" i="1"/>
  <c r="AA78" i="1" s="1"/>
  <c r="E5300" i="1"/>
  <c r="E2353" i="1"/>
  <c r="J2827" i="1"/>
  <c r="J4034" i="1"/>
  <c r="E3592" i="1"/>
  <c r="E4330" i="1"/>
  <c r="E3915" i="1"/>
  <c r="J1814" i="1"/>
  <c r="J5312" i="1"/>
  <c r="E3526" i="1"/>
  <c r="J4750" i="1"/>
  <c r="E4016" i="1"/>
  <c r="J3355" i="1"/>
  <c r="E3883" i="1"/>
  <c r="G3883" i="1" s="1"/>
  <c r="J3121" i="1"/>
  <c r="J4050" i="1"/>
  <c r="E1501" i="1"/>
  <c r="J3790" i="1"/>
  <c r="J3713" i="1"/>
  <c r="J3055" i="1"/>
  <c r="E4138" i="1"/>
  <c r="J2704" i="1"/>
  <c r="J3747" i="1"/>
  <c r="J4846" i="1"/>
  <c r="E2990" i="1"/>
  <c r="J5140" i="1"/>
  <c r="E1535" i="1"/>
  <c r="J2838" i="1"/>
  <c r="E3858" i="1"/>
  <c r="J1409" i="1"/>
  <c r="J2581" i="1"/>
  <c r="J2336" i="1"/>
  <c r="E3856" i="1"/>
  <c r="J4410" i="1"/>
  <c r="E2710" i="1"/>
  <c r="E4222" i="1"/>
  <c r="E3093" i="1"/>
  <c r="J2983" i="1"/>
  <c r="E3134" i="1"/>
  <c r="E4315" i="1"/>
  <c r="J1829" i="1"/>
  <c r="E2763" i="1"/>
  <c r="J4499" i="1"/>
  <c r="E2575" i="1"/>
  <c r="J2884" i="1"/>
  <c r="E1202" i="1"/>
  <c r="J4291" i="1"/>
  <c r="E2938" i="1"/>
  <c r="J2066" i="1"/>
  <c r="J3483" i="1"/>
  <c r="E3658" i="1"/>
  <c r="J2617" i="1"/>
  <c r="E4935" i="1"/>
  <c r="J4762" i="1"/>
  <c r="E4699" i="1"/>
  <c r="E5640" i="1"/>
  <c r="J5399" i="1"/>
  <c r="J2544" i="1"/>
  <c r="E2948" i="1"/>
  <c r="G2953" i="1" s="1"/>
  <c r="J5036" i="1"/>
  <c r="J2849" i="1"/>
  <c r="J3098" i="1"/>
  <c r="E2627" i="1"/>
  <c r="J3535" i="1"/>
  <c r="J3669" i="1"/>
  <c r="E4026" i="1"/>
  <c r="J4445" i="1"/>
  <c r="E4209" i="1"/>
  <c r="E3256" i="1"/>
  <c r="E4124" i="1"/>
  <c r="E4414" i="1"/>
  <c r="G4414" i="1" s="1"/>
  <c r="E4885" i="1"/>
  <c r="E3651" i="1"/>
  <c r="E4212" i="1"/>
  <c r="G4212" i="1" s="1"/>
  <c r="J5086" i="1"/>
  <c r="J5504" i="1"/>
  <c r="J4195" i="1"/>
  <c r="E3650" i="1"/>
  <c r="J4191" i="1"/>
  <c r="J3524" i="1"/>
  <c r="E4969" i="1"/>
  <c r="J3376" i="1"/>
  <c r="J4982" i="1"/>
  <c r="J3852" i="1"/>
  <c r="E3641" i="1"/>
  <c r="J3459" i="1"/>
  <c r="J4264" i="1"/>
  <c r="J4768" i="1"/>
  <c r="E4354" i="1"/>
  <c r="E4223" i="1"/>
  <c r="E4685" i="1"/>
  <c r="J5870" i="1"/>
  <c r="E3352" i="1"/>
  <c r="G3352" i="1" s="1"/>
  <c r="E4628" i="1"/>
  <c r="E3902" i="1"/>
  <c r="E3795" i="1"/>
  <c r="E4313" i="1"/>
  <c r="J3870" i="1"/>
  <c r="J3893" i="1"/>
  <c r="E3111" i="1"/>
  <c r="J4242" i="1"/>
  <c r="E4661" i="1"/>
  <c r="G4661" i="1" s="1"/>
  <c r="J3943" i="1"/>
  <c r="J4728" i="1"/>
  <c r="E3487" i="1"/>
  <c r="E3443" i="1"/>
  <c r="E4108" i="1"/>
  <c r="E5922" i="1"/>
  <c r="E5397" i="1"/>
  <c r="J5588" i="1"/>
  <c r="J5635" i="1"/>
  <c r="J4140" i="1"/>
  <c r="P223" i="1"/>
  <c r="J5225" i="1"/>
  <c r="E3612" i="1"/>
  <c r="E3896" i="1"/>
  <c r="E969" i="1"/>
  <c r="J3653" i="1"/>
  <c r="E1711" i="1"/>
  <c r="E1508" i="1"/>
  <c r="E3640" i="1"/>
  <c r="J3470" i="1"/>
  <c r="E4426" i="1"/>
  <c r="E3931" i="1"/>
  <c r="E5051" i="1"/>
  <c r="J1499" i="1"/>
  <c r="J3406" i="1"/>
  <c r="E4669" i="1"/>
  <c r="J2226" i="1"/>
  <c r="E4713" i="1"/>
  <c r="J2239" i="1"/>
  <c r="J4553" i="1"/>
  <c r="J4216" i="1"/>
  <c r="E3653" i="1"/>
  <c r="E3303" i="1"/>
  <c r="J1872" i="1"/>
  <c r="J4143" i="1"/>
  <c r="J3123" i="1"/>
  <c r="E4349" i="1"/>
  <c r="E2216" i="1"/>
  <c r="E3611" i="1"/>
  <c r="E3660" i="1"/>
  <c r="E1799" i="1"/>
  <c r="G1799" i="1" s="1"/>
  <c r="J3961" i="1"/>
  <c r="J2890" i="1"/>
  <c r="E2011" i="1"/>
  <c r="G2016" i="1" s="1"/>
  <c r="E3486" i="1"/>
  <c r="E3518" i="1"/>
  <c r="J4828" i="1"/>
  <c r="E4568" i="1"/>
  <c r="E3433" i="1"/>
  <c r="J3050" i="1"/>
  <c r="J4916" i="1"/>
  <c r="E2100" i="1"/>
  <c r="E1957" i="1"/>
  <c r="J4175" i="1"/>
  <c r="J2526" i="1"/>
  <c r="J2620" i="1"/>
  <c r="E3354" i="1"/>
  <c r="E5068" i="1"/>
  <c r="E3568" i="1"/>
  <c r="E3098" i="1"/>
  <c r="G3103" i="1" s="1"/>
  <c r="E2484" i="1"/>
  <c r="E3307" i="1"/>
  <c r="J2920" i="1"/>
  <c r="E1226" i="1"/>
  <c r="E3985" i="1"/>
  <c r="E3012" i="1"/>
  <c r="J4779" i="1"/>
  <c r="J3556" i="1"/>
  <c r="J4662" i="1"/>
  <c r="J4839" i="1"/>
  <c r="E3962" i="1"/>
  <c r="J2861" i="1"/>
  <c r="J4112" i="1"/>
  <c r="J3062" i="1"/>
  <c r="E2927" i="1"/>
  <c r="J3999" i="1"/>
  <c r="E1880" i="1"/>
  <c r="J3744" i="1"/>
  <c r="E4854" i="1"/>
  <c r="E4086" i="1"/>
  <c r="J4174" i="1"/>
  <c r="J4425" i="1"/>
  <c r="J1745" i="1"/>
  <c r="J1540" i="1"/>
  <c r="J4254" i="1"/>
  <c r="E3021" i="1"/>
  <c r="J4429" i="1"/>
  <c r="E3800" i="1"/>
  <c r="E4500" i="1"/>
  <c r="J4331" i="1"/>
  <c r="E2977" i="1"/>
  <c r="J3970" i="1"/>
  <c r="J4909" i="1"/>
  <c r="E4503" i="1"/>
  <c r="J3367" i="1"/>
  <c r="J4904" i="1"/>
  <c r="E3394" i="1"/>
  <c r="J3682" i="1"/>
  <c r="E5022" i="1"/>
  <c r="J4103" i="1"/>
  <c r="Z270" i="1"/>
  <c r="J4458" i="1"/>
  <c r="J3471" i="1"/>
  <c r="E3508" i="1"/>
  <c r="E3246" i="1"/>
  <c r="J4107" i="1"/>
  <c r="J4804" i="1"/>
  <c r="E3764" i="1"/>
  <c r="E3749" i="1"/>
  <c r="J4672" i="1"/>
  <c r="J2965" i="1"/>
  <c r="E3408" i="1"/>
  <c r="J4207" i="1"/>
  <c r="E5141" i="1"/>
  <c r="J3401" i="1"/>
  <c r="J4040" i="1"/>
  <c r="J3923" i="1"/>
  <c r="J4381" i="1"/>
  <c r="J5748" i="1"/>
  <c r="E4615" i="1"/>
  <c r="E3446" i="1"/>
  <c r="J3908" i="1"/>
  <c r="E4516" i="1"/>
  <c r="E3817" i="1"/>
  <c r="J3841" i="1"/>
  <c r="J6007" i="1"/>
  <c r="J3231" i="1"/>
  <c r="E4646" i="1"/>
  <c r="G4646" i="1" s="1"/>
  <c r="J3026" i="1"/>
  <c r="E4339" i="1"/>
  <c r="J3532" i="1"/>
  <c r="J4665" i="1"/>
  <c r="J4014" i="1"/>
  <c r="J3597" i="1"/>
  <c r="E4054" i="1"/>
  <c r="J5605" i="1"/>
  <c r="E5001" i="1"/>
  <c r="E3304" i="1"/>
  <c r="E4680" i="1"/>
  <c r="J3839" i="1"/>
  <c r="E3988" i="1"/>
  <c r="J4036" i="1"/>
  <c r="E3108" i="1"/>
  <c r="G3108" i="1" s="1"/>
  <c r="E4107" i="1"/>
  <c r="J4008" i="1"/>
  <c r="J3274" i="1"/>
  <c r="E4161" i="1"/>
  <c r="E3138" i="1"/>
  <c r="J2357" i="1"/>
  <c r="J4568" i="1"/>
  <c r="J3688" i="1"/>
  <c r="J3980" i="1"/>
  <c r="J4478" i="1"/>
  <c r="E1670" i="1"/>
  <c r="J2853" i="1"/>
  <c r="J4437" i="1"/>
  <c r="E3531" i="1"/>
  <c r="J3767" i="1"/>
  <c r="J4925" i="1"/>
  <c r="E4731" i="1"/>
  <c r="E2837" i="1"/>
  <c r="J2364" i="1"/>
  <c r="E3444" i="1"/>
  <c r="J2183" i="1"/>
  <c r="E3120" i="1"/>
  <c r="E2507" i="1"/>
  <c r="E3160" i="1"/>
  <c r="J3551" i="1"/>
  <c r="J3313" i="1"/>
  <c r="J3063" i="1"/>
  <c r="J2837" i="1"/>
  <c r="J1984" i="1"/>
  <c r="J3017" i="1"/>
  <c r="E3196" i="1"/>
  <c r="E1903" i="1"/>
  <c r="J4436" i="1"/>
  <c r="J4561" i="1"/>
  <c r="E5178" i="1"/>
  <c r="J4776" i="1"/>
  <c r="J3296" i="1"/>
  <c r="J3502" i="1"/>
  <c r="J3884" i="1"/>
  <c r="E2793" i="1"/>
  <c r="J3411" i="1"/>
  <c r="E4033" i="1"/>
  <c r="Z419" i="1"/>
  <c r="J2863" i="1"/>
  <c r="E3176" i="1"/>
  <c r="E1791" i="1"/>
  <c r="E1564" i="1"/>
  <c r="E3378" i="1"/>
  <c r="J2537" i="1"/>
  <c r="J4074" i="1"/>
  <c r="J3278" i="1"/>
  <c r="J3878" i="1"/>
  <c r="E3276" i="1"/>
  <c r="E3731" i="1"/>
  <c r="J1535" i="1"/>
  <c r="J3523" i="1"/>
  <c r="J3379" i="1"/>
  <c r="J1596" i="1"/>
  <c r="J3037" i="1"/>
  <c r="J2859" i="1"/>
  <c r="E1298" i="1"/>
  <c r="G1298" i="1" s="1"/>
  <c r="J3995" i="1"/>
  <c r="E4036" i="1"/>
  <c r="J3799" i="1"/>
  <c r="E3101" i="1"/>
  <c r="J3994" i="1"/>
  <c r="E1456" i="1"/>
  <c r="J3388" i="1"/>
  <c r="E2875" i="1"/>
  <c r="E1804" i="1"/>
  <c r="J2840" i="1"/>
  <c r="E3867" i="1"/>
  <c r="E3059" i="1"/>
  <c r="J4026" i="1"/>
  <c r="E4216" i="1"/>
  <c r="E4471" i="1"/>
  <c r="E4517" i="1"/>
  <c r="J5012" i="1"/>
  <c r="E4038" i="1"/>
  <c r="Z212" i="1"/>
  <c r="J4165" i="1"/>
  <c r="J4134" i="1"/>
  <c r="J3443" i="1"/>
  <c r="E4540" i="1"/>
  <c r="J2937" i="1"/>
  <c r="J4432" i="1"/>
  <c r="E3448" i="1"/>
  <c r="E3907" i="1"/>
  <c r="E4773" i="1"/>
  <c r="E4946" i="1"/>
  <c r="J4580" i="1"/>
  <c r="J3997" i="1"/>
  <c r="J4434" i="1"/>
  <c r="E4790" i="1"/>
  <c r="E3192" i="1"/>
  <c r="E3505" i="1"/>
  <c r="E4089" i="1"/>
  <c r="J4641" i="1"/>
  <c r="J4616" i="1"/>
  <c r="J3595" i="1"/>
  <c r="E5043" i="1"/>
  <c r="J3356" i="1"/>
  <c r="E5117" i="1"/>
  <c r="E5436" i="1"/>
  <c r="J4252" i="1"/>
  <c r="E4314" i="1"/>
  <c r="E3872" i="1"/>
  <c r="J4262" i="1"/>
  <c r="J3266" i="1"/>
  <c r="E3963" i="1"/>
  <c r="G3963" i="1" s="1"/>
  <c r="J4177" i="1"/>
  <c r="E2406" i="1"/>
  <c r="P51" i="1"/>
  <c r="J3636" i="1"/>
  <c r="J5373" i="1"/>
  <c r="E4215" i="1"/>
  <c r="J3752" i="1"/>
  <c r="E4431" i="1"/>
  <c r="J4013" i="1"/>
  <c r="E4448" i="1"/>
  <c r="J4767" i="1"/>
  <c r="J3666" i="1"/>
  <c r="E4769" i="1"/>
  <c r="E5384" i="1"/>
  <c r="E4768" i="1"/>
  <c r="J4857" i="1"/>
  <c r="J2201" i="1"/>
  <c r="E3121" i="1"/>
  <c r="J2506" i="1"/>
  <c r="J1223" i="1"/>
  <c r="J2666" i="1"/>
  <c r="J4607" i="1"/>
  <c r="J4054" i="1"/>
  <c r="J3915" i="1"/>
  <c r="E4460" i="1"/>
  <c r="E2069" i="1"/>
  <c r="J882" i="1"/>
  <c r="J2743" i="1"/>
  <c r="E3539" i="1"/>
  <c r="E4551" i="1"/>
  <c r="E3202" i="1"/>
  <c r="J3824" i="1"/>
  <c r="J4155" i="1"/>
  <c r="J6005" i="1"/>
  <c r="J3675" i="1"/>
  <c r="J2824" i="1"/>
  <c r="J3218" i="1"/>
  <c r="E2625" i="1"/>
  <c r="J4256" i="1"/>
  <c r="E2034" i="1"/>
  <c r="E3661" i="1"/>
  <c r="E3941" i="1"/>
  <c r="E3161" i="1"/>
  <c r="E5914" i="1"/>
  <c r="J3135" i="1"/>
  <c r="E2177" i="1"/>
  <c r="E3998" i="1"/>
  <c r="G3998" i="1" s="1"/>
  <c r="E3236" i="1"/>
  <c r="J1674" i="1"/>
  <c r="E4467" i="1"/>
  <c r="J4163" i="1"/>
  <c r="E1749" i="1"/>
  <c r="G1754" i="1" s="1"/>
  <c r="J4283" i="1"/>
  <c r="E3913" i="1"/>
  <c r="E2999" i="1"/>
  <c r="E3620" i="1"/>
  <c r="E3849" i="1"/>
  <c r="J3797" i="1"/>
  <c r="E5114" i="1"/>
  <c r="Z52" i="1"/>
  <c r="E3945" i="1"/>
  <c r="J4395" i="1"/>
  <c r="J3422" i="1"/>
  <c r="J2777" i="1"/>
  <c r="J3714" i="1"/>
  <c r="J2899" i="1"/>
  <c r="E3141" i="1"/>
  <c r="J3211" i="1"/>
  <c r="J4647" i="1"/>
  <c r="E2876" i="1"/>
  <c r="J2220" i="1"/>
  <c r="J2897" i="1"/>
  <c r="E2919" i="1"/>
  <c r="E4598" i="1"/>
  <c r="J3986" i="1"/>
  <c r="J1930" i="1"/>
  <c r="J3918" i="1"/>
  <c r="E2826" i="1"/>
  <c r="J3952" i="1"/>
  <c r="J3917" i="1"/>
  <c r="J4412" i="1"/>
  <c r="J2933" i="1"/>
  <c r="J4973" i="1"/>
  <c r="E2530" i="1"/>
  <c r="J3508" i="1"/>
  <c r="E3255" i="1"/>
  <c r="G3255" i="1" s="1"/>
  <c r="E2970" i="1"/>
  <c r="E4169" i="1"/>
  <c r="E3686" i="1"/>
  <c r="G3691" i="1" s="1"/>
  <c r="J1614" i="1"/>
  <c r="J3404" i="1"/>
  <c r="J3282" i="1"/>
  <c r="E4367" i="1"/>
  <c r="G4372" i="1" s="1"/>
  <c r="J4644" i="1"/>
  <c r="J2940" i="1"/>
  <c r="E4174" i="1"/>
  <c r="J3674" i="1"/>
  <c r="J5696" i="1"/>
  <c r="E3932" i="1"/>
  <c r="J4373" i="1"/>
  <c r="E5775" i="1"/>
  <c r="J3697" i="1"/>
  <c r="J4248" i="1"/>
  <c r="E5048" i="1"/>
  <c r="E4384" i="1"/>
  <c r="E4744" i="1"/>
  <c r="J4095" i="1"/>
  <c r="E4413" i="1"/>
  <c r="E3696" i="1"/>
  <c r="J4713" i="1"/>
  <c r="J5503" i="1"/>
  <c r="E3305" i="1"/>
  <c r="E4887" i="1"/>
  <c r="E3649" i="1"/>
  <c r="J4115" i="1"/>
  <c r="J3907" i="1"/>
  <c r="E3859" i="1"/>
  <c r="J3504" i="1"/>
  <c r="J4185" i="1"/>
  <c r="J5392" i="1"/>
  <c r="E3889" i="1"/>
  <c r="E4554" i="1"/>
  <c r="E4020" i="1"/>
  <c r="E3992" i="1"/>
  <c r="J4508" i="1"/>
  <c r="E5011" i="1"/>
  <c r="J3966" i="1"/>
  <c r="J4778" i="1"/>
  <c r="E3540" i="1"/>
  <c r="E4219" i="1"/>
  <c r="E4123" i="1"/>
  <c r="E3610" i="1"/>
  <c r="E3515" i="1"/>
  <c r="E3190" i="1"/>
  <c r="G3190" i="1" s="1"/>
  <c r="J3761" i="1"/>
  <c r="E4558" i="1"/>
  <c r="J5551" i="1"/>
  <c r="J3210" i="1"/>
  <c r="E4299" i="1"/>
  <c r="P368" i="1"/>
  <c r="E5059" i="1"/>
  <c r="J2828" i="1"/>
  <c r="J3545" i="1"/>
  <c r="J4786" i="1"/>
  <c r="J2155" i="1"/>
  <c r="E2706" i="1"/>
  <c r="J2694" i="1"/>
  <c r="E3391" i="1"/>
  <c r="E4323" i="1"/>
  <c r="J4667" i="1"/>
  <c r="J3473" i="1"/>
  <c r="J3604" i="1"/>
  <c r="E3132" i="1"/>
  <c r="J3712" i="1"/>
  <c r="J3879" i="1"/>
  <c r="E4528" i="1"/>
  <c r="E3374" i="1"/>
  <c r="E3323" i="1"/>
  <c r="E3128" i="1"/>
  <c r="J4400" i="1"/>
  <c r="E3412" i="1"/>
  <c r="G3417" i="1" s="1"/>
  <c r="J5981" i="1"/>
  <c r="J3173" i="1"/>
  <c r="J3514" i="1"/>
  <c r="E5110" i="1"/>
  <c r="E1448" i="1"/>
  <c r="J3632" i="1"/>
  <c r="E1396" i="1"/>
  <c r="J3242" i="1"/>
  <c r="J3987" i="1"/>
  <c r="J3192" i="1"/>
  <c r="J4078" i="1"/>
  <c r="J2473" i="1"/>
  <c r="E2282" i="1"/>
  <c r="E4001" i="1"/>
  <c r="E2348" i="1"/>
  <c r="E3420" i="1"/>
  <c r="E3019" i="1"/>
  <c r="J3380" i="1"/>
  <c r="J1934" i="1"/>
  <c r="E2908" i="1"/>
  <c r="E3110" i="1"/>
  <c r="E3545" i="1"/>
  <c r="E3748" i="1"/>
  <c r="E3342" i="1"/>
  <c r="G3342" i="1" s="1"/>
  <c r="E4626" i="1"/>
  <c r="J4466" i="1"/>
  <c r="E3493" i="1"/>
  <c r="J3846" i="1"/>
  <c r="E1823" i="1"/>
  <c r="E3940" i="1"/>
  <c r="J3888" i="1"/>
  <c r="J1570" i="1"/>
  <c r="J5108" i="1"/>
  <c r="J4826" i="1"/>
  <c r="E1436" i="1"/>
  <c r="E4224" i="1"/>
  <c r="J3773" i="1"/>
  <c r="E2892" i="1"/>
  <c r="E2849" i="1"/>
  <c r="E1388" i="1"/>
  <c r="J4836" i="1"/>
  <c r="E3292" i="1"/>
  <c r="E2176" i="1"/>
  <c r="J4272" i="1"/>
  <c r="E1684" i="1"/>
  <c r="J4886" i="1"/>
  <c r="J3395" i="1"/>
  <c r="E3716" i="1"/>
  <c r="G3721" i="1" s="1"/>
  <c r="J4498" i="1"/>
  <c r="J3421" i="1"/>
  <c r="J2124" i="1"/>
  <c r="E4160" i="1"/>
  <c r="E2293" i="1"/>
  <c r="E2321" i="1"/>
  <c r="J4399" i="1"/>
  <c r="E4632" i="1"/>
  <c r="J3345" i="1"/>
  <c r="E3376" i="1"/>
  <c r="J4755" i="1"/>
  <c r="E4266" i="1"/>
  <c r="E3718" i="1"/>
  <c r="E5406" i="1"/>
  <c r="J5256" i="1"/>
  <c r="J4203" i="1"/>
  <c r="J3703" i="1"/>
  <c r="E3470" i="1"/>
  <c r="J4228" i="1"/>
  <c r="E4802" i="1"/>
  <c r="J4374" i="1"/>
  <c r="J5131" i="1"/>
  <c r="J3660" i="1"/>
  <c r="J4516" i="1"/>
  <c r="E5203" i="1"/>
  <c r="E3968" i="1"/>
  <c r="G3968" i="1" s="1"/>
  <c r="E3563" i="1"/>
  <c r="E3807" i="1"/>
  <c r="J5260" i="1"/>
  <c r="J4209" i="1"/>
  <c r="E3613" i="1"/>
  <c r="E3631" i="1"/>
  <c r="E3977" i="1"/>
  <c r="E4439" i="1"/>
  <c r="E5277" i="1"/>
  <c r="G5277" i="1" s="1"/>
  <c r="E3582" i="1"/>
  <c r="E3442" i="1"/>
  <c r="J4297" i="1"/>
  <c r="J4168" i="1"/>
  <c r="J4619" i="1"/>
  <c r="J4072" i="1"/>
  <c r="E4858" i="1"/>
  <c r="G4858" i="1" s="1"/>
  <c r="J4211" i="1"/>
  <c r="E4385" i="1"/>
  <c r="J2754" i="1"/>
  <c r="J4039" i="1"/>
  <c r="J4566" i="1"/>
  <c r="E3258" i="1"/>
  <c r="E2743" i="1"/>
  <c r="J4113" i="1"/>
  <c r="J4079" i="1"/>
  <c r="J2693" i="1"/>
  <c r="J3144" i="1"/>
  <c r="J3914" i="1"/>
  <c r="E4037" i="1"/>
  <c r="E5219" i="1"/>
  <c r="J5567" i="1"/>
  <c r="J5174" i="1"/>
  <c r="E4630" i="1"/>
  <c r="J5877" i="1"/>
  <c r="E3107" i="1"/>
  <c r="J4294" i="1"/>
  <c r="J5084" i="1"/>
  <c r="J2650" i="1"/>
  <c r="E3621" i="1"/>
  <c r="E3892" i="1"/>
  <c r="J3537" i="1"/>
  <c r="J2383" i="1"/>
  <c r="J1245" i="1"/>
  <c r="J3938" i="1"/>
  <c r="J3116" i="1"/>
  <c r="J3031" i="1"/>
  <c r="E4058" i="1"/>
  <c r="E4002" i="1"/>
  <c r="E2427" i="1"/>
  <c r="J4041" i="1"/>
  <c r="E3314" i="1"/>
  <c r="E2868" i="1"/>
  <c r="E4196" i="1"/>
  <c r="E2645" i="1"/>
  <c r="J3405" i="1"/>
  <c r="E4182" i="1"/>
  <c r="E5534" i="1"/>
  <c r="J3389" i="1"/>
  <c r="E1195" i="1"/>
  <c r="J3375" i="1"/>
  <c r="E3229" i="1"/>
  <c r="J3695" i="1"/>
  <c r="E1216" i="1"/>
  <c r="E3606" i="1"/>
  <c r="J3247" i="1"/>
  <c r="E1189" i="1"/>
  <c r="E4258" i="1"/>
  <c r="E2013" i="1"/>
  <c r="J348" i="1"/>
  <c r="E2764" i="1"/>
  <c r="J3396" i="1"/>
  <c r="E3363" i="1"/>
  <c r="J2609" i="1"/>
  <c r="E3829" i="1"/>
  <c r="E1348" i="1"/>
  <c r="E3786" i="1"/>
  <c r="E4774" i="1"/>
  <c r="E2564" i="1"/>
  <c r="J3699" i="1"/>
  <c r="J1325" i="1"/>
  <c r="E3802" i="1"/>
  <c r="E3700" i="1"/>
  <c r="J3944" i="1"/>
  <c r="E2987" i="1"/>
  <c r="J4532" i="1"/>
  <c r="J3187" i="1"/>
  <c r="J3368" i="1"/>
  <c r="J3803" i="1"/>
  <c r="J2342" i="1"/>
  <c r="E3421" i="1"/>
  <c r="J4773" i="1"/>
  <c r="E3213" i="1"/>
  <c r="J3290" i="1"/>
  <c r="E2134" i="1"/>
  <c r="J3626" i="1"/>
  <c r="E1994" i="1"/>
  <c r="E2506" i="1"/>
  <c r="E3605" i="1"/>
  <c r="J4517" i="1"/>
  <c r="J2509" i="1"/>
  <c r="E4136" i="1"/>
  <c r="E4191" i="1"/>
  <c r="J3754" i="1"/>
  <c r="E4824" i="1"/>
  <c r="J2300" i="1"/>
  <c r="J2216" i="1"/>
  <c r="E4100" i="1"/>
  <c r="E1363" i="1"/>
  <c r="J2881" i="1"/>
  <c r="J3719" i="1"/>
  <c r="J3606" i="1"/>
  <c r="E3978" i="1"/>
  <c r="G3978" i="1" s="1"/>
  <c r="E5135" i="1"/>
  <c r="E3758" i="1"/>
  <c r="J2877" i="1"/>
  <c r="J4083" i="1"/>
  <c r="E3222" i="1"/>
  <c r="J2477" i="1"/>
  <c r="E3240" i="1"/>
  <c r="J4449" i="1"/>
  <c r="E4520" i="1"/>
  <c r="J1988" i="1"/>
  <c r="E4990" i="1"/>
  <c r="J3373" i="1"/>
  <c r="E3418" i="1"/>
  <c r="J3847" i="1"/>
  <c r="J3407" i="1"/>
  <c r="E3097" i="1"/>
  <c r="E3808" i="1"/>
  <c r="J2432" i="1"/>
  <c r="J4609" i="1"/>
  <c r="J4428" i="1"/>
  <c r="J4401" i="1"/>
  <c r="J5816" i="1"/>
  <c r="J2597" i="1"/>
  <c r="E3616" i="1"/>
  <c r="E4389" i="1"/>
  <c r="J3453" i="1"/>
  <c r="E4306" i="1"/>
  <c r="J4111" i="1"/>
  <c r="E4296" i="1"/>
  <c r="E3996" i="1"/>
  <c r="E3509" i="1"/>
  <c r="E3210" i="1"/>
  <c r="E3900" i="1"/>
  <c r="J4045" i="1"/>
  <c r="J4108" i="1"/>
  <c r="J5188" i="1"/>
  <c r="J5985" i="1"/>
  <c r="E3717" i="1"/>
  <c r="J4080" i="1"/>
  <c r="J5595" i="1"/>
  <c r="E2394" i="1"/>
  <c r="E4525" i="1"/>
  <c r="E3507" i="1"/>
  <c r="E3333" i="1"/>
  <c r="J4829" i="1"/>
  <c r="E4673" i="1"/>
  <c r="J3444" i="1"/>
  <c r="J4127" i="1"/>
  <c r="J3772" i="1"/>
  <c r="J4723" i="1"/>
  <c r="J3750" i="1"/>
  <c r="E5969" i="1"/>
  <c r="J4051" i="1"/>
  <c r="E4177" i="1"/>
  <c r="E4690" i="1"/>
  <c r="E4509" i="1"/>
  <c r="G4514" i="1" s="1"/>
  <c r="J5083" i="1"/>
  <c r="J5320" i="1"/>
  <c r="E4522" i="1"/>
  <c r="E5916" i="1"/>
  <c r="J5132" i="1"/>
  <c r="E2553" i="1"/>
  <c r="E3272" i="1"/>
  <c r="E486" i="1"/>
  <c r="J2911" i="1"/>
  <c r="E4678" i="1"/>
  <c r="J5889" i="1"/>
  <c r="E3356" i="1"/>
  <c r="J2805" i="1"/>
  <c r="J2986" i="1"/>
  <c r="E3746" i="1"/>
  <c r="J4380" i="1"/>
  <c r="J1508" i="1"/>
  <c r="J5079" i="1"/>
  <c r="J4748" i="1"/>
  <c r="J2391" i="1"/>
  <c r="E3953" i="1"/>
  <c r="G3953" i="1" s="1"/>
  <c r="E2559" i="1"/>
  <c r="J3174" i="1"/>
  <c r="E3855" i="1"/>
  <c r="E2355" i="1"/>
  <c r="J4277" i="1"/>
  <c r="J3932" i="1"/>
  <c r="J4703" i="1"/>
  <c r="J1709" i="1"/>
  <c r="E1698" i="1"/>
  <c r="E2833" i="1"/>
  <c r="J2872" i="1"/>
  <c r="J2909" i="1"/>
  <c r="E1995" i="1"/>
  <c r="E5409" i="1"/>
  <c r="J3261" i="1"/>
  <c r="E4416" i="1"/>
  <c r="J3216" i="1"/>
  <c r="E2117" i="1"/>
  <c r="J3584" i="1"/>
  <c r="J4727" i="1"/>
  <c r="J3934" i="1"/>
  <c r="E3066" i="1"/>
  <c r="J4058" i="1"/>
  <c r="J4144" i="1"/>
  <c r="J3185" i="1"/>
  <c r="E4751" i="1"/>
  <c r="J2074" i="1"/>
  <c r="E3679" i="1"/>
  <c r="E4246" i="1"/>
  <c r="E1953" i="1"/>
  <c r="J3749" i="1"/>
  <c r="E3739" i="1"/>
  <c r="J4067" i="1"/>
  <c r="J1547" i="1"/>
  <c r="E3830" i="1"/>
  <c r="E2779" i="1"/>
  <c r="E1960" i="1"/>
  <c r="J3605" i="1"/>
  <c r="E2093" i="1"/>
  <c r="G2093" i="1" s="1"/>
  <c r="J2949" i="1"/>
  <c r="J4061" i="1"/>
  <c r="E3368" i="1"/>
  <c r="E3464" i="1"/>
  <c r="J2796" i="1"/>
  <c r="E2928" i="1"/>
  <c r="E4083" i="1"/>
  <c r="E2912" i="1"/>
  <c r="E3497" i="1"/>
  <c r="J4336" i="1"/>
  <c r="J2435" i="1"/>
  <c r="J3493" i="1"/>
  <c r="J3480" i="1"/>
  <c r="J3663" i="1"/>
  <c r="E4004" i="1"/>
  <c r="E3209" i="1"/>
  <c r="J2487" i="1"/>
  <c r="J3625" i="1"/>
  <c r="E1415" i="1"/>
  <c r="G1415" i="1" s="1"/>
  <c r="J4775" i="1"/>
  <c r="E2515" i="1"/>
  <c r="J3393" i="1"/>
  <c r="J3892" i="1"/>
  <c r="J2532" i="1"/>
  <c r="E2696" i="1"/>
  <c r="J4212" i="1"/>
  <c r="E3278" i="1"/>
  <c r="E4907" i="1"/>
  <c r="J1978" i="1"/>
  <c r="J3477" i="1"/>
  <c r="J3920" i="1"/>
  <c r="J2612" i="1"/>
  <c r="J3898" i="1"/>
  <c r="J3115" i="1"/>
  <c r="E4184" i="1"/>
  <c r="J3467" i="1"/>
  <c r="J3476" i="1"/>
  <c r="J2967" i="1"/>
  <c r="J2762" i="1"/>
  <c r="J4279" i="1"/>
  <c r="J3567" i="1"/>
  <c r="E4645" i="1"/>
  <c r="E5163" i="1"/>
  <c r="E3973" i="1"/>
  <c r="J3295" i="1"/>
  <c r="E2773" i="1"/>
  <c r="J3838" i="1"/>
  <c r="E4624" i="1"/>
  <c r="E3838" i="1"/>
  <c r="J3673" i="1"/>
  <c r="E5213" i="1"/>
  <c r="J3818" i="1"/>
  <c r="P200" i="1"/>
  <c r="E4207" i="1"/>
  <c r="E5176" i="1"/>
  <c r="E4518" i="1"/>
  <c r="J3833" i="1"/>
  <c r="E4734" i="1"/>
  <c r="J4255" i="1"/>
  <c r="E3471" i="1"/>
  <c r="J3954" i="1"/>
  <c r="J4586" i="1"/>
  <c r="E5216" i="1"/>
  <c r="J3596" i="1"/>
  <c r="J5060" i="1"/>
  <c r="E3081" i="1"/>
  <c r="J4156" i="1"/>
  <c r="E3918" i="1"/>
  <c r="E3428" i="1"/>
  <c r="E4332" i="1"/>
  <c r="G4337" i="1" s="1"/>
  <c r="E4857" i="1"/>
  <c r="E3742" i="1"/>
  <c r="J3733" i="1"/>
  <c r="E3559" i="1"/>
  <c r="J5482" i="1"/>
  <c r="J4303" i="1"/>
  <c r="E4926" i="1"/>
  <c r="J5332" i="1"/>
  <c r="J5001" i="1"/>
  <c r="J4887" i="1"/>
  <c r="J5846" i="1"/>
  <c r="J4530" i="1"/>
  <c r="P199" i="1"/>
  <c r="E5815" i="1"/>
  <c r="E5239" i="1"/>
  <c r="J4522" i="1"/>
  <c r="E4599" i="1"/>
  <c r="E4849" i="1"/>
  <c r="E3665" i="1"/>
  <c r="E4304" i="1"/>
  <c r="J3438" i="1"/>
  <c r="E5697" i="1"/>
  <c r="E5305" i="1"/>
  <c r="E4493" i="1"/>
  <c r="E4842" i="1"/>
  <c r="J3167" i="1"/>
  <c r="E4149" i="1"/>
  <c r="J4854" i="1"/>
  <c r="J3913" i="1"/>
  <c r="J4585" i="1"/>
  <c r="J4546" i="1"/>
  <c r="E4170" i="1"/>
  <c r="E5148" i="1"/>
  <c r="J2624" i="1"/>
  <c r="J4259" i="1"/>
  <c r="J3836" i="1"/>
  <c r="J3684" i="1"/>
  <c r="E3316" i="1"/>
  <c r="E3567" i="1"/>
  <c r="J4118" i="1"/>
  <c r="E5866" i="1"/>
  <c r="J3842" i="1"/>
  <c r="J5430" i="1"/>
  <c r="E2819" i="1"/>
  <c r="P375" i="1"/>
  <c r="Q375" i="1" s="1"/>
  <c r="E3402" i="1"/>
  <c r="E5019" i="1"/>
  <c r="J2954" i="1"/>
  <c r="E4732" i="1"/>
  <c r="E4853" i="1"/>
  <c r="G4853" i="1" s="1"/>
  <c r="E4062" i="1"/>
  <c r="J3392" i="1"/>
  <c r="E4275" i="1"/>
  <c r="E4475" i="1"/>
  <c r="J3728" i="1"/>
  <c r="J3981" i="1"/>
  <c r="E4513" i="1"/>
  <c r="E5156" i="1"/>
  <c r="J3429" i="1"/>
  <c r="E4088" i="1"/>
  <c r="J4856" i="1"/>
  <c r="J4632" i="1"/>
  <c r="E3685" i="1"/>
  <c r="J4981" i="1"/>
  <c r="E5389" i="1"/>
  <c r="J3800" i="1"/>
  <c r="J4539" i="1"/>
  <c r="J4005" i="1"/>
  <c r="J5798" i="1"/>
  <c r="J4783" i="1"/>
  <c r="E4415" i="1"/>
  <c r="J5933" i="1"/>
  <c r="J3528" i="1"/>
  <c r="E3871" i="1"/>
  <c r="E3456" i="1"/>
  <c r="J3963" i="1"/>
  <c r="J4234" i="1"/>
  <c r="E4015" i="1"/>
  <c r="E4620" i="1"/>
  <c r="E4553" i="1"/>
  <c r="J4307" i="1"/>
  <c r="E4573" i="1"/>
  <c r="E5937" i="1"/>
  <c r="J4601" i="1"/>
  <c r="J3710" i="1"/>
  <c r="E4260" i="1"/>
  <c r="E4998" i="1"/>
  <c r="Z36" i="1"/>
  <c r="J4838" i="1"/>
  <c r="J3371" i="1"/>
  <c r="J4106" i="1"/>
  <c r="J4596" i="1"/>
  <c r="E4688" i="1"/>
  <c r="E5539" i="1"/>
  <c r="E5072" i="1"/>
  <c r="E5287" i="1"/>
  <c r="G5287" i="1" s="1"/>
  <c r="J4471" i="1"/>
  <c r="J4642" i="1"/>
  <c r="E4515" i="1"/>
  <c r="J5533" i="1"/>
  <c r="E5635" i="1"/>
  <c r="J3873" i="1"/>
  <c r="E5804" i="1"/>
  <c r="J5408" i="1"/>
  <c r="E3299" i="1"/>
  <c r="E5301" i="1"/>
  <c r="J3928" i="1"/>
  <c r="J4864" i="1"/>
  <c r="E5814" i="1"/>
  <c r="J5238" i="1"/>
  <c r="E5041" i="1"/>
  <c r="E4412" i="1"/>
  <c r="Z311" i="1"/>
  <c r="J4104" i="1"/>
  <c r="J5218" i="1"/>
  <c r="E5138" i="1"/>
  <c r="E5777" i="1"/>
  <c r="E4991" i="1"/>
  <c r="J5223" i="1"/>
  <c r="Z326" i="1"/>
  <c r="AA326" i="1" s="1"/>
  <c r="E4596" i="1"/>
  <c r="J5743" i="1"/>
  <c r="J4594" i="1"/>
  <c r="J4311" i="1"/>
  <c r="J5528" i="1"/>
  <c r="E5082" i="1"/>
  <c r="E3146" i="1"/>
  <c r="E3886" i="1"/>
  <c r="J4357" i="1"/>
  <c r="J5080" i="1"/>
  <c r="E5349" i="1"/>
  <c r="E4739" i="1"/>
  <c r="E4823" i="1"/>
  <c r="J5833" i="1"/>
  <c r="E4331" i="1"/>
  <c r="E2878" i="1"/>
  <c r="J4802" i="1"/>
  <c r="J4387" i="1"/>
  <c r="E4719" i="1"/>
  <c r="J3305" i="1"/>
  <c r="J5824" i="1"/>
  <c r="E3150" i="1"/>
  <c r="E2976" i="1"/>
  <c r="J4577" i="1"/>
  <c r="E3642" i="1"/>
  <c r="J3137" i="1"/>
  <c r="E4532" i="1"/>
  <c r="E5238" i="1"/>
  <c r="E5913" i="1"/>
  <c r="E4189" i="1"/>
  <c r="E4166" i="1"/>
  <c r="E3451" i="1"/>
  <c r="E3334" i="1"/>
  <c r="J3084" i="1"/>
  <c r="E4217" i="1"/>
  <c r="G4217" i="1" s="1"/>
  <c r="J3199" i="1"/>
  <c r="J4244" i="1"/>
  <c r="J4788" i="1"/>
  <c r="E4487" i="1"/>
  <c r="J5044" i="1"/>
  <c r="J3976" i="1"/>
  <c r="E4850" i="1"/>
  <c r="E3751" i="1"/>
  <c r="G3756" i="1" s="1"/>
  <c r="E3626" i="1"/>
  <c r="J3279" i="1"/>
  <c r="E5218" i="1"/>
  <c r="E5120" i="1"/>
  <c r="G5120" i="1" s="1"/>
  <c r="E4362" i="1"/>
  <c r="G4362" i="1" s="1"/>
  <c r="J4455" i="1"/>
  <c r="E3860" i="1"/>
  <c r="J3729" i="1"/>
  <c r="J4481" i="1"/>
  <c r="J4298" i="1"/>
  <c r="J3889" i="1"/>
  <c r="E5354" i="1"/>
  <c r="G5354" i="1" s="1"/>
  <c r="E5959" i="1"/>
  <c r="J4557" i="1"/>
  <c r="J4324" i="1"/>
  <c r="E3593" i="1"/>
  <c r="J3487" i="1"/>
  <c r="J3948" i="1"/>
  <c r="E3062" i="1"/>
  <c r="E4117" i="1"/>
  <c r="E5351" i="1"/>
  <c r="J4335" i="1"/>
  <c r="E4012" i="1"/>
  <c r="J4186" i="1"/>
  <c r="J4221" i="1"/>
  <c r="E4175" i="1"/>
  <c r="E4747" i="1"/>
  <c r="J5681" i="1"/>
  <c r="J3608" i="1"/>
  <c r="J4756" i="1"/>
  <c r="J4992" i="1"/>
  <c r="E4046" i="1"/>
  <c r="E3785" i="1"/>
  <c r="E4521" i="1"/>
  <c r="E5112" i="1"/>
  <c r="E4290" i="1"/>
  <c r="E5302" i="1"/>
  <c r="E4505" i="1"/>
  <c r="J4967" i="1"/>
  <c r="E4256" i="1"/>
  <c r="Z367" i="1"/>
  <c r="E4303" i="1"/>
  <c r="E3791" i="1"/>
  <c r="G3796" i="1" s="1"/>
  <c r="E4777" i="1"/>
  <c r="J4924" i="1"/>
  <c r="J4575" i="1"/>
  <c r="E4102" i="1"/>
  <c r="E4378" i="1"/>
  <c r="P127" i="1"/>
  <c r="J2586" i="1"/>
  <c r="E3745" i="1"/>
  <c r="J4739" i="1"/>
  <c r="E5336" i="1"/>
  <c r="J5315" i="1"/>
  <c r="J4760" i="1"/>
  <c r="P6" i="1"/>
  <c r="J5873" i="1"/>
  <c r="P83" i="1"/>
  <c r="J4464" i="1"/>
  <c r="E5003" i="1"/>
  <c r="J5930" i="1"/>
  <c r="J5703" i="1"/>
  <c r="J4556" i="1"/>
  <c r="P237" i="1"/>
  <c r="Q237" i="1" s="1"/>
  <c r="J5419" i="1"/>
  <c r="J4550" i="1"/>
  <c r="Z143" i="1"/>
  <c r="E4059" i="1"/>
  <c r="E3636" i="1"/>
  <c r="J4781" i="1"/>
  <c r="J4402" i="1"/>
  <c r="J3794" i="1"/>
  <c r="J4422" i="1"/>
  <c r="J2682" i="1"/>
  <c r="E4118" i="1"/>
  <c r="J3717" i="1"/>
  <c r="J4038" i="1"/>
  <c r="J4048" i="1"/>
  <c r="E3882" i="1"/>
  <c r="E4443" i="1"/>
  <c r="E4792" i="1"/>
  <c r="J4675" i="1"/>
  <c r="E3664" i="1"/>
  <c r="G3664" i="1" s="1"/>
  <c r="J3834" i="1"/>
  <c r="E4018" i="1"/>
  <c r="J4492" i="1"/>
  <c r="J3891" i="1"/>
  <c r="J5075" i="1"/>
  <c r="J3702" i="1"/>
  <c r="J3340" i="1"/>
  <c r="J3154" i="1"/>
  <c r="J3194" i="1"/>
  <c r="J4882" i="1"/>
  <c r="E5247" i="1"/>
  <c r="E4566" i="1"/>
  <c r="E5599" i="1"/>
  <c r="E3390" i="1"/>
  <c r="E4104" i="1"/>
  <c r="J4365" i="1"/>
  <c r="J3128" i="1"/>
  <c r="J4123" i="1"/>
  <c r="J3737" i="1"/>
  <c r="E4049" i="1"/>
  <c r="J4004" i="1"/>
  <c r="E4905" i="1"/>
  <c r="E3166" i="1"/>
  <c r="E4000" i="1"/>
  <c r="J4153" i="1"/>
  <c r="P231" i="1"/>
  <c r="E3350" i="1"/>
  <c r="E4668" i="1"/>
  <c r="E3693" i="1"/>
  <c r="J5154" i="1"/>
  <c r="J3937" i="1"/>
  <c r="E3935" i="1"/>
  <c r="J3642" i="1"/>
  <c r="J4128" i="1"/>
  <c r="J4852" i="1"/>
  <c r="E3580" i="1"/>
  <c r="J3436" i="1"/>
  <c r="E4080" i="1"/>
  <c r="J3785" i="1"/>
  <c r="J5282" i="1"/>
  <c r="J3656" i="1"/>
  <c r="E4252" i="1"/>
  <c r="G4252" i="1" s="1"/>
  <c r="J4158" i="1"/>
  <c r="J3464" i="1"/>
  <c r="J3762" i="1"/>
  <c r="J4660" i="1"/>
  <c r="J3950" i="1"/>
  <c r="E5105" i="1"/>
  <c r="G5105" i="1" s="1"/>
  <c r="J4269" i="1"/>
  <c r="E3308" i="1"/>
  <c r="J4963" i="1"/>
  <c r="J5405" i="1"/>
  <c r="J3957" i="1"/>
  <c r="J3479" i="1"/>
  <c r="E3816" i="1"/>
  <c r="J5213" i="1"/>
  <c r="E3511" i="1"/>
  <c r="J4989" i="1"/>
  <c r="J4692" i="1"/>
  <c r="J4912" i="1"/>
  <c r="E4915" i="1"/>
  <c r="E4034" i="1"/>
  <c r="J3612" i="1"/>
  <c r="J3940" i="1"/>
  <c r="E4109" i="1"/>
  <c r="E4760" i="1"/>
  <c r="J4390" i="1"/>
  <c r="E4585" i="1"/>
  <c r="J4086" i="1"/>
  <c r="J3738" i="1"/>
  <c r="E5308" i="1"/>
  <c r="J2973" i="1"/>
  <c r="E4125" i="1"/>
  <c r="G4130" i="1" s="1"/>
  <c r="J4554" i="1"/>
  <c r="J4965" i="1"/>
  <c r="P204" i="1"/>
  <c r="E3983" i="1"/>
  <c r="G3983" i="1" s="1"/>
  <c r="J4406" i="1"/>
  <c r="J4420" i="1"/>
  <c r="E3206" i="1"/>
  <c r="J4744" i="1"/>
  <c r="E4868" i="1"/>
  <c r="J5684" i="1"/>
  <c r="E3901" i="1"/>
  <c r="E3910" i="1"/>
  <c r="J4451" i="1"/>
  <c r="E4186" i="1"/>
  <c r="E5182" i="1"/>
  <c r="Z168" i="1"/>
  <c r="AA168" i="1" s="1"/>
  <c r="J5151" i="1"/>
  <c r="E4432" i="1"/>
  <c r="E4721" i="1"/>
  <c r="G4721" i="1" s="1"/>
  <c r="J4930" i="1"/>
  <c r="E4841" i="1"/>
  <c r="E4700" i="1"/>
  <c r="J4046" i="1"/>
  <c r="E5965" i="1"/>
  <c r="G5970" i="1" s="1"/>
  <c r="E4923" i="1"/>
  <c r="J5121" i="1"/>
  <c r="E2936" i="1"/>
  <c r="E4329" i="1"/>
  <c r="E3267" i="1"/>
  <c r="J5391" i="1"/>
  <c r="J5015" i="1"/>
  <c r="Z171" i="1"/>
  <c r="J5692" i="1"/>
  <c r="Z423" i="1"/>
  <c r="Z214" i="1"/>
  <c r="AA214" i="1" s="1"/>
  <c r="Z48" i="1"/>
  <c r="AA48" i="1" s="1"/>
  <c r="E5309" i="1"/>
  <c r="P176" i="1"/>
  <c r="J3494" i="1"/>
  <c r="J4219" i="1"/>
  <c r="J4052" i="1"/>
  <c r="J5838" i="1"/>
  <c r="E4079" i="1"/>
  <c r="J4089" i="1"/>
  <c r="J3871" i="1"/>
  <c r="E4480" i="1"/>
  <c r="E3155" i="1"/>
  <c r="G3155" i="1" s="1"/>
  <c r="E3318" i="1"/>
  <c r="J4245" i="1"/>
  <c r="E3638" i="1"/>
  <c r="E4342" i="1"/>
  <c r="J5007" i="1"/>
  <c r="J3819" i="1"/>
  <c r="E4047" i="1"/>
  <c r="E4484" i="1"/>
  <c r="E4428" i="1"/>
  <c r="J3350" i="1"/>
  <c r="E4949" i="1"/>
  <c r="J3984" i="1"/>
  <c r="E5412" i="1"/>
  <c r="E3960" i="1"/>
  <c r="J3509" i="1"/>
  <c r="J4885" i="1"/>
  <c r="E3914" i="1"/>
  <c r="J5233" i="1"/>
  <c r="E4994" i="1"/>
  <c r="J3816" i="1"/>
  <c r="J3419" i="1"/>
  <c r="J4721" i="1"/>
  <c r="J4047" i="1"/>
  <c r="J4383" i="1"/>
  <c r="J3488" i="1"/>
  <c r="E4840" i="1"/>
  <c r="E3814" i="1"/>
  <c r="J3941" i="1"/>
  <c r="J4953" i="1"/>
  <c r="E3826" i="1"/>
  <c r="G3831" i="1" s="1"/>
  <c r="E3734" i="1"/>
  <c r="J3988" i="1"/>
  <c r="J3843" i="1"/>
  <c r="E3967" i="1"/>
  <c r="E3671" i="1"/>
  <c r="J4285" i="1"/>
  <c r="J5636" i="1"/>
  <c r="E4135" i="1"/>
  <c r="E5939" i="1"/>
  <c r="J3786" i="1"/>
  <c r="E3038" i="1"/>
  <c r="G3038" i="1" s="1"/>
  <c r="J4537" i="1"/>
  <c r="J3549" i="1"/>
  <c r="E4801" i="1"/>
  <c r="J4273" i="1"/>
  <c r="E4356" i="1"/>
  <c r="E3912" i="1"/>
  <c r="J3851" i="1"/>
  <c r="E4736" i="1"/>
  <c r="G4736" i="1" s="1"/>
  <c r="J4640" i="1"/>
  <c r="E3899" i="1"/>
  <c r="E4106" i="1"/>
  <c r="J5014" i="1"/>
  <c r="E3761" i="1"/>
  <c r="G3766" i="1" s="1"/>
  <c r="E4677" i="1"/>
  <c r="E4945" i="1"/>
  <c r="G4945" i="1" s="1"/>
  <c r="P65" i="1"/>
  <c r="E3328" i="1"/>
  <c r="E4344" i="1"/>
  <c r="E3544" i="1"/>
  <c r="G3544" i="1" s="1"/>
  <c r="E5884" i="1"/>
  <c r="J3565" i="1"/>
  <c r="E4979" i="1"/>
  <c r="J3672" i="1"/>
  <c r="E5291" i="1"/>
  <c r="J4130" i="1"/>
  <c r="E4588" i="1"/>
  <c r="E3520" i="1"/>
  <c r="J3704" i="1"/>
  <c r="E5192" i="1"/>
  <c r="E4272" i="1"/>
  <c r="J3687" i="1"/>
  <c r="J4312" i="1"/>
  <c r="E4912" i="1"/>
  <c r="J4613" i="1"/>
  <c r="E5137" i="1"/>
  <c r="E5451" i="1"/>
  <c r="E3522" i="1"/>
  <c r="J4346" i="1"/>
  <c r="E4264" i="1"/>
  <c r="E4167" i="1"/>
  <c r="E5737" i="1"/>
  <c r="J3902" i="1"/>
  <c r="E5752" i="1"/>
  <c r="E4828" i="1"/>
  <c r="G4828" i="1" s="1"/>
  <c r="E4856" i="1"/>
  <c r="J4936" i="1"/>
  <c r="J5875" i="1"/>
  <c r="J5125" i="1"/>
  <c r="E4633" i="1"/>
  <c r="E4179" i="1"/>
  <c r="E5352" i="1"/>
  <c r="E4190" i="1"/>
  <c r="E4490" i="1"/>
  <c r="P243" i="1"/>
  <c r="J5920" i="1"/>
  <c r="J3678" i="1"/>
  <c r="E4337" i="1"/>
  <c r="E5669" i="1"/>
  <c r="E5724" i="1"/>
  <c r="J4591" i="1"/>
  <c r="E4658" i="1"/>
  <c r="E5324" i="1"/>
  <c r="E4114" i="1"/>
  <c r="J4302" i="1"/>
  <c r="E5438" i="1"/>
  <c r="J3854" i="1"/>
  <c r="E5694" i="1"/>
  <c r="E3392" i="1"/>
  <c r="G3397" i="1" s="1"/>
  <c r="E4893" i="1"/>
  <c r="E5449" i="1"/>
  <c r="G5454" i="1" s="1"/>
  <c r="E5509" i="1"/>
  <c r="J5477" i="1"/>
  <c r="E4898" i="1"/>
  <c r="G4903" i="1" s="1"/>
  <c r="J5199" i="1"/>
  <c r="J5092" i="1"/>
  <c r="E5198" i="1"/>
  <c r="E5805" i="1"/>
  <c r="E4832" i="1"/>
  <c r="E3387" i="1"/>
  <c r="G3387" i="1" s="1"/>
  <c r="J4197" i="1"/>
  <c r="E4388" i="1"/>
  <c r="E3609" i="1"/>
  <c r="G3609" i="1" s="1"/>
  <c r="J5379" i="1"/>
  <c r="E3699" i="1"/>
  <c r="E4351" i="1"/>
  <c r="E4380" i="1"/>
  <c r="J4268" i="1"/>
  <c r="J3812" i="1"/>
  <c r="J5475" i="1"/>
  <c r="E3840" i="1"/>
  <c r="J4364" i="1"/>
  <c r="E2576" i="1"/>
  <c r="J3170" i="1"/>
  <c r="E4276" i="1"/>
  <c r="J3840" i="1"/>
  <c r="E4891" i="1"/>
  <c r="E4451" i="1"/>
  <c r="E3083" i="1"/>
  <c r="J4077" i="1"/>
  <c r="J3347" i="1"/>
  <c r="J4863" i="1"/>
  <c r="J4693" i="1"/>
  <c r="J4055" i="1"/>
  <c r="E5835" i="1"/>
  <c r="J3936" i="1"/>
  <c r="E3809" i="1"/>
  <c r="E4241" i="1"/>
  <c r="E2942" i="1"/>
  <c r="J4355" i="1"/>
  <c r="J3787" i="1"/>
  <c r="E3313" i="1"/>
  <c r="J4881" i="1"/>
  <c r="J3820" i="1"/>
  <c r="E5863" i="1"/>
  <c r="E4694" i="1"/>
  <c r="E4009" i="1"/>
  <c r="E3783" i="1"/>
  <c r="E3908" i="1"/>
  <c r="G3913" i="1" s="1"/>
  <c r="J4443" i="1"/>
  <c r="E5321" i="1"/>
  <c r="J5783" i="1"/>
  <c r="E5407" i="1"/>
  <c r="J5389" i="1"/>
  <c r="E4013" i="1"/>
  <c r="J3775" i="1"/>
  <c r="E5592" i="1"/>
  <c r="P355" i="1"/>
  <c r="E4655" i="1"/>
  <c r="E5738" i="1"/>
  <c r="J4821" i="1"/>
  <c r="J4850" i="1"/>
  <c r="P365" i="1"/>
  <c r="E4569" i="1"/>
  <c r="G4569" i="1" s="1"/>
  <c r="E4482" i="1"/>
  <c r="J5646" i="1"/>
  <c r="E4172" i="1"/>
  <c r="J4160" i="1"/>
  <c r="E5551" i="1"/>
  <c r="E5732" i="1"/>
  <c r="J4220" i="1"/>
  <c r="J4325" i="1"/>
  <c r="E4180" i="1"/>
  <c r="G4185" i="1" s="1"/>
  <c r="E4227" i="1"/>
  <c r="E4638" i="1"/>
  <c r="J5998" i="1"/>
  <c r="E3585" i="1"/>
  <c r="J5960" i="1"/>
  <c r="J4538" i="1"/>
  <c r="J4792" i="1"/>
  <c r="J4638" i="1"/>
  <c r="E5104" i="1"/>
  <c r="Z113" i="1"/>
  <c r="AA113" i="1" s="1"/>
  <c r="J4975" i="1"/>
  <c r="J4699" i="1"/>
  <c r="E5266" i="1"/>
  <c r="E5010" i="1"/>
  <c r="Z195" i="1"/>
  <c r="AA195" i="1" s="1"/>
  <c r="J4182" i="1"/>
  <c r="J5507" i="1"/>
  <c r="J4159" i="1"/>
  <c r="E4029" i="1"/>
  <c r="E4130" i="1"/>
  <c r="E3698" i="1"/>
  <c r="E4560" i="1"/>
  <c r="E4909" i="1"/>
  <c r="J3640" i="1"/>
  <c r="E4750" i="1"/>
  <c r="E3974" i="1"/>
  <c r="E4039" i="1"/>
  <c r="J5194" i="1"/>
  <c r="J3664" i="1"/>
  <c r="E4273" i="1"/>
  <c r="E4593" i="1"/>
  <c r="J5461" i="1"/>
  <c r="E4752" i="1"/>
  <c r="E2924" i="1"/>
  <c r="E3476" i="1"/>
  <c r="E4084" i="1"/>
  <c r="E4917" i="1"/>
  <c r="J3657" i="1"/>
  <c r="E4066" i="1"/>
  <c r="J4090" i="1"/>
  <c r="J4851" i="1"/>
  <c r="J5359" i="1"/>
  <c r="E4845" i="1"/>
  <c r="E4634" i="1"/>
  <c r="J4241" i="1"/>
  <c r="E4030" i="1"/>
  <c r="J4309" i="1"/>
  <c r="E3711" i="1"/>
  <c r="E4105" i="1"/>
  <c r="E3895" i="1"/>
  <c r="E5080" i="1"/>
  <c r="G5085" i="1" s="1"/>
  <c r="E4377" i="1"/>
  <c r="G4377" i="1" s="1"/>
  <c r="E5548" i="1"/>
  <c r="E4625" i="1"/>
  <c r="J3801" i="1"/>
  <c r="E4302" i="1"/>
  <c r="J3679" i="1"/>
  <c r="E4666" i="1"/>
  <c r="G4671" i="1" s="1"/>
  <c r="E4455" i="1"/>
  <c r="E5911" i="1"/>
  <c r="E4757" i="1"/>
  <c r="E4964" i="1"/>
  <c r="J4536" i="1"/>
  <c r="E4267" i="1"/>
  <c r="E5243" i="1"/>
  <c r="J3420" i="1"/>
  <c r="Z37" i="1"/>
  <c r="J4506" i="1"/>
  <c r="J4407" i="1"/>
  <c r="E4696" i="1"/>
  <c r="J4339" i="1"/>
  <c r="J3856" i="1"/>
  <c r="E3767" i="1"/>
  <c r="E4576" i="1"/>
  <c r="G4576" i="1" s="1"/>
  <c r="J3226" i="1"/>
  <c r="J3804" i="1"/>
  <c r="J3400" i="1"/>
  <c r="E4865" i="1"/>
  <c r="E3359" i="1"/>
  <c r="Z106" i="1"/>
  <c r="J3637" i="1"/>
  <c r="E3759" i="1"/>
  <c r="J3415" i="1"/>
  <c r="E3510" i="1"/>
  <c r="J4902" i="1"/>
  <c r="J4643" i="1"/>
  <c r="E5597" i="1"/>
  <c r="E5271" i="1"/>
  <c r="Z342" i="1"/>
  <c r="E3885" i="1"/>
  <c r="E4115" i="1"/>
  <c r="J4284" i="1"/>
  <c r="J4010" i="1"/>
  <c r="E5624" i="1"/>
  <c r="E4671" i="1"/>
  <c r="E4579" i="1"/>
  <c r="J4317" i="1"/>
  <c r="J5935" i="1"/>
  <c r="E4763" i="1"/>
  <c r="G4763" i="1" s="1"/>
  <c r="J4579" i="1"/>
  <c r="J5054" i="1"/>
  <c r="E4453" i="1"/>
  <c r="J4129" i="1"/>
  <c r="J4247" i="1"/>
  <c r="E5281" i="1"/>
  <c r="E5867" i="1"/>
  <c r="E5904" i="1"/>
  <c r="E5419" i="1"/>
  <c r="G5424" i="1" s="1"/>
  <c r="J4469" i="1"/>
  <c r="J4491" i="1"/>
  <c r="J4362" i="1"/>
  <c r="J3732" i="1"/>
  <c r="J4671" i="1"/>
  <c r="E3919" i="1"/>
  <c r="J4474" i="1"/>
  <c r="E5217" i="1"/>
  <c r="E6010" i="1"/>
  <c r="G6010" i="1" s="1"/>
  <c r="J5463" i="1"/>
  <c r="J5126" i="1"/>
  <c r="J4333" i="1"/>
  <c r="E4820" i="1"/>
  <c r="E5023" i="1"/>
  <c r="Z252" i="1"/>
  <c r="E3219" i="1"/>
  <c r="J5135" i="1"/>
  <c r="E4942" i="1"/>
  <c r="J5158" i="1"/>
  <c r="E4193" i="1"/>
  <c r="J3993" i="1"/>
  <c r="E4014" i="1"/>
  <c r="E3639" i="1"/>
  <c r="E5846" i="1"/>
  <c r="E4126" i="1"/>
  <c r="E3204" i="1"/>
  <c r="E3936" i="1"/>
  <c r="J4094" i="1"/>
  <c r="J2490" i="1"/>
  <c r="E3959" i="1"/>
  <c r="E5373" i="1"/>
  <c r="J4238" i="1"/>
  <c r="J3177" i="1"/>
  <c r="E3154" i="1"/>
  <c r="E3961" i="1"/>
  <c r="J3057" i="1"/>
  <c r="E3396" i="1"/>
  <c r="E4597" i="1"/>
  <c r="J3511" i="1"/>
  <c r="E4076" i="1"/>
  <c r="J4946" i="1"/>
  <c r="E4345" i="1"/>
  <c r="J4293" i="1"/>
  <c r="J5682" i="1"/>
  <c r="E3589" i="1"/>
  <c r="G3594" i="1" s="1"/>
  <c r="E3466" i="1"/>
  <c r="E4288" i="1"/>
  <c r="J5134" i="1"/>
  <c r="J4678" i="1"/>
  <c r="E5638" i="1"/>
  <c r="J3861" i="1"/>
  <c r="E3657" i="1"/>
  <c r="E5042" i="1"/>
  <c r="E3997" i="1"/>
  <c r="J3912" i="1"/>
  <c r="J5253" i="1"/>
  <c r="E4374" i="1"/>
  <c r="E5144" i="1"/>
  <c r="E5648" i="1"/>
  <c r="J3563" i="1"/>
  <c r="J4361" i="1"/>
  <c r="J3164" i="1"/>
  <c r="E4786" i="1"/>
  <c r="J4465" i="1"/>
  <c r="J5250" i="1"/>
  <c r="J4686" i="1"/>
  <c r="J3906" i="1"/>
  <c r="J4724" i="1"/>
  <c r="E3479" i="1"/>
  <c r="G3484" i="1" s="1"/>
  <c r="J3297" i="1"/>
  <c r="E3372" i="1"/>
  <c r="J3730" i="1"/>
  <c r="E4291" i="1"/>
  <c r="E5076" i="1"/>
  <c r="J4435" i="1"/>
  <c r="J5191" i="1"/>
  <c r="J4860" i="1"/>
  <c r="J5627" i="1"/>
  <c r="J3544" i="1"/>
  <c r="J5614" i="1"/>
  <c r="J6018" i="1"/>
  <c r="J4227" i="1"/>
  <c r="J5266" i="1"/>
  <c r="E4099" i="1"/>
  <c r="E3904" i="1"/>
  <c r="E4129" i="1"/>
  <c r="J4176" i="1"/>
  <c r="J4473" i="1"/>
  <c r="E3950" i="1"/>
  <c r="J5082" i="1"/>
  <c r="J4088" i="1"/>
  <c r="J4954" i="1"/>
  <c r="J5521" i="1"/>
  <c r="J5978" i="1"/>
  <c r="J5758" i="1"/>
  <c r="E4652" i="1"/>
  <c r="E5631" i="1"/>
  <c r="E5508" i="1"/>
  <c r="J5283" i="1"/>
  <c r="E4305" i="1"/>
  <c r="E4478" i="1"/>
  <c r="J2695" i="1"/>
  <c r="E5090" i="1"/>
  <c r="J5860" i="1"/>
  <c r="E4406" i="1"/>
  <c r="E5657" i="1"/>
  <c r="E4485" i="1"/>
  <c r="P31" i="1"/>
  <c r="Q31" i="1" s="1"/>
  <c r="J5789" i="1"/>
  <c r="J5987" i="1"/>
  <c r="Z170" i="1"/>
  <c r="AA170" i="1" s="1"/>
  <c r="E5038" i="1"/>
  <c r="Z20" i="1"/>
  <c r="AA20" i="1" s="1"/>
  <c r="E4353" i="1"/>
  <c r="J4345" i="1"/>
  <c r="J3578" i="1"/>
  <c r="J4363" i="1"/>
  <c r="E4173" i="1"/>
  <c r="E4225" i="1"/>
  <c r="J4146" i="1"/>
  <c r="J5970" i="1"/>
  <c r="J3302" i="1"/>
  <c r="E3956" i="1"/>
  <c r="E4511" i="1"/>
  <c r="E3014" i="1"/>
  <c r="J4096" i="1"/>
  <c r="J3945" i="1"/>
  <c r="J4382" i="1"/>
  <c r="E3242" i="1"/>
  <c r="J3458" i="1"/>
  <c r="E3174" i="1"/>
  <c r="J3899" i="1"/>
  <c r="E4999" i="1"/>
  <c r="J4834" i="1"/>
  <c r="J3613" i="1"/>
  <c r="J3815" i="1"/>
  <c r="J4482" i="1"/>
  <c r="E4363" i="1"/>
  <c r="J4453" i="1"/>
  <c r="E4139" i="1"/>
  <c r="J4653" i="1"/>
  <c r="E4720" i="1"/>
  <c r="J3814" i="1"/>
  <c r="J4648" i="1"/>
  <c r="J4541" i="1"/>
  <c r="J5064" i="1"/>
  <c r="J4329" i="1"/>
  <c r="J5153" i="1"/>
  <c r="J4494" i="1"/>
  <c r="J4181" i="1"/>
  <c r="E4542" i="1"/>
  <c r="J4454" i="1"/>
  <c r="J3489" i="1"/>
  <c r="J3792" i="1"/>
  <c r="J5307" i="1"/>
  <c r="J5175" i="1"/>
  <c r="J4687" i="1"/>
  <c r="J4700" i="1"/>
  <c r="J4914" i="1"/>
  <c r="E3538" i="1"/>
  <c r="E3366" i="1"/>
  <c r="E2729" i="1"/>
  <c r="E4095" i="1"/>
  <c r="E4552" i="1"/>
  <c r="J3895" i="1"/>
  <c r="E5990" i="1"/>
  <c r="G5990" i="1" s="1"/>
  <c r="J3434" i="1"/>
  <c r="J3228" i="1"/>
  <c r="E4707" i="1"/>
  <c r="E4780" i="1"/>
  <c r="E3662" i="1"/>
  <c r="J3850" i="1"/>
  <c r="E3629" i="1"/>
  <c r="E4449" i="1"/>
  <c r="E5983" i="1"/>
  <c r="J4459" i="1"/>
  <c r="E4988" i="1"/>
  <c r="E4096" i="1"/>
  <c r="J4360" i="1"/>
  <c r="J4468" i="1"/>
  <c r="J4441" i="1"/>
  <c r="J5773" i="1"/>
  <c r="E4549" i="1"/>
  <c r="G4554" i="1" s="1"/>
  <c r="E5800" i="1"/>
  <c r="J5511" i="1"/>
  <c r="E5103" i="1"/>
  <c r="J4800" i="1"/>
  <c r="E3787" i="1"/>
  <c r="E4410" i="1"/>
  <c r="J5002" i="1"/>
  <c r="J5098" i="1"/>
  <c r="J5787" i="1"/>
  <c r="J3234" i="1"/>
  <c r="E4636" i="1"/>
  <c r="G4636" i="1" s="1"/>
  <c r="E4402" i="1"/>
  <c r="J4023" i="1"/>
  <c r="E5160" i="1"/>
  <c r="J3825" i="1"/>
  <c r="J5880" i="1"/>
  <c r="J4639" i="1"/>
  <c r="E4064" i="1"/>
  <c r="J4416" i="1"/>
  <c r="J4565" i="1"/>
  <c r="J5610" i="1"/>
  <c r="E3875" i="1"/>
  <c r="J4705" i="1"/>
  <c r="E4113" i="1"/>
  <c r="J4737" i="1"/>
  <c r="E5861" i="1"/>
  <c r="E5049" i="1"/>
  <c r="J3832" i="1"/>
  <c r="E5067" i="1"/>
  <c r="J5958" i="1"/>
  <c r="P433" i="1"/>
  <c r="Q433" i="1" s="1"/>
  <c r="E5357" i="1"/>
  <c r="E4787" i="1"/>
  <c r="J4918" i="1"/>
  <c r="P221" i="1"/>
  <c r="Q221" i="1" s="1"/>
  <c r="E4481" i="1"/>
  <c r="Z213" i="1"/>
  <c r="E4753" i="1"/>
  <c r="J3270" i="1"/>
  <c r="E4068" i="1"/>
  <c r="E5260" i="1"/>
  <c r="E5692" i="1"/>
  <c r="J5590" i="1"/>
  <c r="J4162" i="1"/>
  <c r="J3700" i="1"/>
  <c r="E2560" i="1"/>
  <c r="J5685" i="1"/>
  <c r="E4127" i="1"/>
  <c r="E4185" i="1"/>
  <c r="E3984" i="1"/>
  <c r="E6018" i="1"/>
  <c r="J4534" i="1"/>
  <c r="E4271" i="1"/>
  <c r="J3868" i="1"/>
  <c r="J5071" i="1"/>
  <c r="J4029" i="1"/>
  <c r="J3658" i="1"/>
  <c r="J3455" i="1"/>
  <c r="J4133" i="1"/>
  <c r="E3843" i="1"/>
  <c r="E3676" i="1"/>
  <c r="J3982" i="1"/>
  <c r="J4629" i="1"/>
  <c r="J5792" i="1"/>
  <c r="J4274" i="1"/>
  <c r="E3135" i="1"/>
  <c r="J4404" i="1"/>
  <c r="E3357" i="1"/>
  <c r="E3772" i="1"/>
  <c r="J3746" i="1"/>
  <c r="J4559" i="1"/>
  <c r="J4964" i="1"/>
  <c r="E3943" i="1"/>
  <c r="J5738" i="1"/>
  <c r="J3827" i="1"/>
  <c r="J3634" i="1"/>
  <c r="J3557" i="1"/>
  <c r="J3150" i="1"/>
  <c r="J4794" i="1"/>
  <c r="J3023" i="1"/>
  <c r="J5113" i="1"/>
  <c r="E4369" i="1"/>
  <c r="E4740" i="1"/>
  <c r="E3719" i="1"/>
  <c r="E4382" i="1"/>
  <c r="J3742" i="1"/>
  <c r="J3451" i="1"/>
  <c r="E3416" i="1"/>
  <c r="J4479" i="1"/>
  <c r="J3319" i="1"/>
  <c r="J4427" i="1"/>
  <c r="J4630" i="1"/>
  <c r="E4980" i="1"/>
  <c r="G4980" i="1" s="1"/>
  <c r="J4545" i="1"/>
  <c r="J4299" i="1"/>
  <c r="E4601" i="1"/>
  <c r="E3123" i="1"/>
  <c r="J4358" i="1"/>
  <c r="J3639" i="1"/>
  <c r="J3811" i="1"/>
  <c r="J5890" i="1"/>
  <c r="E4274" i="1"/>
  <c r="E5417" i="1"/>
  <c r="J5836" i="1"/>
  <c r="E3273" i="1"/>
  <c r="E5113" i="1"/>
  <c r="E5006" i="1"/>
  <c r="E4852" i="1"/>
  <c r="E3877" i="1"/>
  <c r="E3644" i="1"/>
  <c r="G3649" i="1" s="1"/>
  <c r="E3737" i="1"/>
  <c r="E3312" i="1"/>
  <c r="J5169" i="1"/>
  <c r="J2687" i="1"/>
  <c r="E3252" i="1"/>
  <c r="J3225" i="1"/>
  <c r="J3855" i="1"/>
  <c r="J4260" i="1"/>
  <c r="J5201" i="1"/>
  <c r="E4464" i="1"/>
  <c r="G4469" i="1" s="1"/>
  <c r="J5344" i="1"/>
  <c r="E3294" i="1"/>
  <c r="J3526" i="1"/>
  <c r="J3958" i="1"/>
  <c r="E3964" i="1"/>
  <c r="J5146" i="1"/>
  <c r="J5763" i="1"/>
  <c r="J5052" i="1"/>
  <c r="J4820" i="1"/>
  <c r="E5690" i="1"/>
  <c r="E4507" i="1"/>
  <c r="J4650" i="1"/>
  <c r="E5152" i="1"/>
  <c r="J4651" i="1"/>
  <c r="J5954" i="1"/>
  <c r="E5342" i="1"/>
  <c r="J4148" i="1"/>
  <c r="J5339" i="1"/>
  <c r="J4823" i="1"/>
  <c r="E4269" i="1"/>
  <c r="E5882" i="1"/>
  <c r="E4766" i="1"/>
  <c r="J4646" i="1"/>
  <c r="E4908" i="1"/>
  <c r="G4913" i="1" s="1"/>
  <c r="J5245" i="1"/>
  <c r="E5487" i="1"/>
  <c r="E5085" i="1"/>
  <c r="E5878" i="1"/>
  <c r="E3572" i="1"/>
  <c r="J3956" i="1"/>
  <c r="E4785" i="1"/>
  <c r="J4044" i="1"/>
  <c r="P332" i="1"/>
  <c r="Q332" i="1" s="1"/>
  <c r="E5728" i="1"/>
  <c r="E3575" i="1"/>
  <c r="E5100" i="1"/>
  <c r="J5143" i="1"/>
  <c r="J5375" i="1"/>
  <c r="J4934" i="1"/>
  <c r="Z310" i="1"/>
  <c r="E4776" i="1"/>
  <c r="J4995" i="1"/>
  <c r="E5332" i="1"/>
  <c r="E5807" i="1"/>
  <c r="J4654" i="1"/>
  <c r="J5009" i="1"/>
  <c r="E3951" i="1"/>
  <c r="E3457" i="1"/>
  <c r="G3462" i="1" s="1"/>
  <c r="J3919" i="1"/>
  <c r="J4569" i="1"/>
  <c r="J4171" i="1"/>
  <c r="J3143" i="1"/>
  <c r="J4414" i="1"/>
  <c r="E2998" i="1"/>
  <c r="G2998" i="1" s="1"/>
  <c r="E4421" i="1"/>
  <c r="J3769" i="1"/>
  <c r="E4726" i="1"/>
  <c r="G4726" i="1" s="1"/>
  <c r="E5193" i="1"/>
  <c r="P378" i="1"/>
  <c r="J3778" i="1"/>
  <c r="E3438" i="1"/>
  <c r="J3240" i="1"/>
  <c r="E4334" i="1"/>
  <c r="J5184" i="1"/>
  <c r="E4664" i="1"/>
  <c r="J3252" i="1"/>
  <c r="E3897" i="1"/>
  <c r="J3968" i="1"/>
  <c r="J4808" i="1"/>
  <c r="J4152" i="1"/>
  <c r="J5556" i="1"/>
  <c r="E5057" i="1"/>
  <c r="E4025" i="1"/>
  <c r="J3507" i="1"/>
  <c r="E3705" i="1"/>
  <c r="E4924" i="1"/>
  <c r="E3873" i="1"/>
  <c r="J2830" i="1"/>
  <c r="J4214" i="1"/>
  <c r="E4053" i="1"/>
  <c r="J4099" i="1"/>
  <c r="E3725" i="1"/>
  <c r="J4265" i="1"/>
  <c r="J4167" i="1"/>
  <c r="E3427" i="1"/>
  <c r="E5244" i="1"/>
  <c r="J4890" i="1"/>
  <c r="J4527" i="1"/>
  <c r="E4618" i="1"/>
  <c r="E4028" i="1"/>
  <c r="J4142" i="1"/>
  <c r="E4110" i="1"/>
  <c r="E5579" i="1"/>
  <c r="J5767" i="1"/>
  <c r="J4438" i="1"/>
  <c r="J4874" i="1"/>
  <c r="J3925" i="1"/>
  <c r="E3989" i="1"/>
  <c r="E5984" i="1"/>
  <c r="J4119" i="1"/>
  <c r="E4714" i="1"/>
  <c r="E4144" i="1"/>
  <c r="Z99" i="1"/>
  <c r="AA99" i="1" s="1"/>
  <c r="J2851" i="1"/>
  <c r="J3568" i="1"/>
  <c r="E4866" i="1"/>
  <c r="E5797" i="1"/>
  <c r="J4709" i="1"/>
  <c r="J3288" i="1"/>
  <c r="E4919" i="1"/>
  <c r="E4401" i="1"/>
  <c r="J2814" i="1"/>
  <c r="E4077" i="1"/>
  <c r="J3571" i="1"/>
  <c r="J4235" i="1"/>
  <c r="J5183" i="1"/>
  <c r="J3591" i="1"/>
  <c r="E4911" i="1"/>
  <c r="J3516" i="1"/>
  <c r="E3208" i="1"/>
  <c r="J4266" i="1"/>
  <c r="J3289" i="1"/>
  <c r="E3566" i="1"/>
  <c r="J3618" i="1"/>
  <c r="J3821" i="1"/>
  <c r="J4334" i="1"/>
  <c r="J3897" i="1"/>
  <c r="E4040" i="1"/>
  <c r="J4774" i="1"/>
  <c r="E2687" i="1"/>
  <c r="E4316" i="1"/>
  <c r="E3822" i="1"/>
  <c r="E5322" i="1"/>
  <c r="J5535" i="1"/>
  <c r="E4176" i="1"/>
  <c r="J4941" i="1"/>
  <c r="J4669" i="1"/>
  <c r="Z151" i="1"/>
  <c r="AA151" i="1" s="1"/>
  <c r="E4594" i="1"/>
  <c r="J4729" i="1"/>
  <c r="J4777" i="1"/>
  <c r="J5354" i="1"/>
  <c r="J4289" i="1"/>
  <c r="J5606" i="1"/>
  <c r="J5317" i="1"/>
  <c r="Z98" i="1"/>
  <c r="AA98" i="1" s="1"/>
  <c r="E4497" i="1"/>
  <c r="J5562" i="1"/>
  <c r="E4533" i="1"/>
  <c r="J5544" i="1"/>
  <c r="E4459" i="1"/>
  <c r="E5857" i="1"/>
  <c r="J4947" i="1"/>
  <c r="E4611" i="1"/>
  <c r="J5352" i="1"/>
  <c r="E5850" i="1"/>
  <c r="G5855" i="1" s="1"/>
  <c r="J4347" i="1"/>
  <c r="J5005" i="1"/>
  <c r="E5992" i="1"/>
  <c r="J5502" i="1"/>
  <c r="J4731" i="1"/>
  <c r="J4939" i="1"/>
  <c r="J4057" i="1"/>
  <c r="E4052" i="1"/>
  <c r="J4633" i="1"/>
  <c r="J5285" i="1"/>
  <c r="J5272" i="1"/>
  <c r="J4301" i="1"/>
  <c r="E5543" i="1"/>
  <c r="J4715" i="1"/>
  <c r="P124" i="1"/>
  <c r="Z406" i="1"/>
  <c r="J4898" i="1"/>
  <c r="E4436" i="1"/>
  <c r="E5116" i="1"/>
  <c r="E5278" i="1"/>
  <c r="E5853" i="1"/>
  <c r="E4775" i="1"/>
  <c r="E4837" i="1"/>
  <c r="P163" i="1"/>
  <c r="Q163" i="1" s="1"/>
  <c r="J5232" i="1"/>
  <c r="J5046" i="1"/>
  <c r="J5090" i="1"/>
  <c r="E4285" i="1"/>
  <c r="E5466" i="1"/>
  <c r="J5869" i="1"/>
  <c r="E4295" i="1"/>
  <c r="J5148" i="1"/>
  <c r="Z149" i="1"/>
  <c r="E5837" i="1"/>
  <c r="E5819" i="1"/>
  <c r="P105" i="1"/>
  <c r="Q105" i="1" s="1"/>
  <c r="E5905" i="1"/>
  <c r="J5806" i="1"/>
  <c r="E4755" i="1"/>
  <c r="J4192" i="1"/>
  <c r="Z266" i="1"/>
  <c r="E5061" i="1"/>
  <c r="J4919" i="1"/>
  <c r="P194" i="1"/>
  <c r="J5654" i="1"/>
  <c r="J5868" i="1"/>
  <c r="E4899" i="1"/>
  <c r="J4969" i="1"/>
  <c r="E4403" i="1"/>
  <c r="E4711" i="1"/>
  <c r="G4711" i="1" s="1"/>
  <c r="J4615" i="1"/>
  <c r="E4871" i="1"/>
  <c r="J4136" i="1"/>
  <c r="J5808" i="1"/>
  <c r="J4784" i="1"/>
  <c r="E4146" i="1"/>
  <c r="J6006" i="1"/>
  <c r="J4950" i="1"/>
  <c r="E3215" i="1"/>
  <c r="J4540" i="1"/>
  <c r="J5804" i="1"/>
  <c r="J4002" i="1"/>
  <c r="J4217" i="1"/>
  <c r="Z198" i="1"/>
  <c r="J4870" i="1"/>
  <c r="J4679" i="1"/>
  <c r="E5865" i="1"/>
  <c r="E4243" i="1"/>
  <c r="E5668" i="1"/>
  <c r="J4631" i="1"/>
  <c r="J4462" i="1"/>
  <c r="J4818" i="1"/>
  <c r="E5494" i="1"/>
  <c r="E4770" i="1"/>
  <c r="E4262" i="1"/>
  <c r="E4510" i="1"/>
  <c r="J5176" i="1"/>
  <c r="J4551" i="1"/>
  <c r="E5294" i="1"/>
  <c r="J4732" i="1"/>
  <c r="E4692" i="1"/>
  <c r="E4873" i="1"/>
  <c r="P138" i="1"/>
  <c r="J5615" i="1"/>
  <c r="E4797" i="1"/>
  <c r="J4066" i="1"/>
  <c r="E4697" i="1"/>
  <c r="J4276" i="1"/>
  <c r="E4398" i="1"/>
  <c r="E5320" i="1"/>
  <c r="J4391" i="1"/>
  <c r="J4131" i="1"/>
  <c r="E4042" i="1"/>
  <c r="J5068" i="1"/>
  <c r="J5555" i="1"/>
  <c r="E3250" i="1"/>
  <c r="E4556" i="1"/>
  <c r="E5611" i="1"/>
  <c r="G5611" i="1" s="1"/>
  <c r="J4979" i="1"/>
  <c r="J4135" i="1"/>
  <c r="J4758" i="1"/>
  <c r="J4893" i="1"/>
  <c r="J4697" i="1"/>
  <c r="E5862" i="1"/>
  <c r="J4524" i="1"/>
  <c r="E3586" i="1"/>
  <c r="J4562" i="1"/>
  <c r="J4470" i="1"/>
  <c r="E5831" i="1"/>
  <c r="J5519" i="1"/>
  <c r="J5661" i="1"/>
  <c r="Z199" i="1"/>
  <c r="J5984" i="1"/>
  <c r="J5355" i="1"/>
  <c r="J5867" i="1"/>
  <c r="J4897" i="1"/>
  <c r="E4355" i="1"/>
  <c r="E4392" i="1"/>
  <c r="E5133" i="1"/>
  <c r="P114" i="1"/>
  <c r="Z358" i="1"/>
  <c r="E5340" i="1"/>
  <c r="E5898" i="1"/>
  <c r="E5184" i="1"/>
  <c r="J5565" i="1"/>
  <c r="J4668" i="1"/>
  <c r="J5348" i="1"/>
  <c r="J5056" i="1"/>
  <c r="J5147" i="1"/>
  <c r="J4803" i="1"/>
  <c r="E5897" i="1"/>
  <c r="J5620" i="1"/>
  <c r="J5197" i="1"/>
  <c r="J5155" i="1"/>
  <c r="P109" i="1"/>
  <c r="Z62" i="1"/>
  <c r="E5177" i="1"/>
  <c r="J4990" i="1"/>
  <c r="E4101" i="1"/>
  <c r="J5313" i="1"/>
  <c r="J5634" i="1"/>
  <c r="J5099" i="1"/>
  <c r="E6001" i="1"/>
  <c r="E5603" i="1"/>
  <c r="E5686" i="1"/>
  <c r="P98" i="1"/>
  <c r="Q98" i="1" s="1"/>
  <c r="J5644" i="1"/>
  <c r="J5499" i="1"/>
  <c r="J4938" i="1"/>
  <c r="J5170" i="1"/>
  <c r="E4612" i="1"/>
  <c r="E4057" i="1"/>
  <c r="J5950" i="1"/>
  <c r="E3199" i="1"/>
  <c r="E3494" i="1"/>
  <c r="G3499" i="1" s="1"/>
  <c r="J4012" i="1"/>
  <c r="J3788" i="1"/>
  <c r="E4754" i="1"/>
  <c r="J4968" i="1"/>
  <c r="J4966" i="1"/>
  <c r="J4866" i="1"/>
  <c r="J5762" i="1"/>
  <c r="J4393" i="1"/>
  <c r="E3990" i="1"/>
  <c r="J4419" i="1"/>
  <c r="J4689" i="1"/>
  <c r="J4042" i="1"/>
  <c r="J5220" i="1"/>
  <c r="J4598" i="1"/>
  <c r="J5159" i="1"/>
  <c r="E5070" i="1"/>
  <c r="E5828" i="1"/>
  <c r="E4022" i="1"/>
  <c r="J4749" i="1"/>
  <c r="Z112" i="1"/>
  <c r="AA112" i="1" s="1"/>
  <c r="J4945" i="1"/>
  <c r="E4607" i="1"/>
  <c r="J5426" i="1"/>
  <c r="E5108" i="1"/>
  <c r="J3457" i="1"/>
  <c r="J4366" i="1"/>
  <c r="E5736" i="1"/>
  <c r="E5664" i="1"/>
  <c r="E4561" i="1"/>
  <c r="J5714" i="1"/>
  <c r="E4069" i="1"/>
  <c r="E5402" i="1"/>
  <c r="P55" i="1"/>
  <c r="E4519" i="1"/>
  <c r="G4519" i="1" s="1"/>
  <c r="E4373" i="1"/>
  <c r="E4544" i="1"/>
  <c r="E5031" i="1"/>
  <c r="E5226" i="1"/>
  <c r="J5274" i="1"/>
  <c r="E4710" i="1"/>
  <c r="J4714" i="1"/>
  <c r="J4097" i="1"/>
  <c r="E4836" i="1"/>
  <c r="E4427" i="1"/>
  <c r="J5603" i="1"/>
  <c r="E5572" i="1"/>
  <c r="E4580" i="1"/>
  <c r="J4910" i="1"/>
  <c r="E5555" i="1"/>
  <c r="J5442" i="1"/>
  <c r="J5236" i="1"/>
  <c r="J4552" i="1"/>
  <c r="E5101" i="1"/>
  <c r="E4218" i="1"/>
  <c r="J4555" i="1"/>
  <c r="E5356" i="1"/>
  <c r="Z282" i="1"/>
  <c r="E4860" i="1"/>
  <c r="E4799" i="1"/>
  <c r="J3410" i="1"/>
  <c r="E4358" i="1"/>
  <c r="Z221" i="1"/>
  <c r="J4883" i="1"/>
  <c r="E4921" i="1"/>
  <c r="J4011" i="1"/>
  <c r="J4352" i="1"/>
  <c r="P148" i="1"/>
  <c r="Q148" i="1" s="1"/>
  <c r="J3594" i="1"/>
  <c r="E4938" i="1"/>
  <c r="J5254" i="1"/>
  <c r="J5374" i="1"/>
  <c r="J4960" i="1"/>
  <c r="E5318" i="1"/>
  <c r="E5157" i="1"/>
  <c r="J5599" i="1"/>
  <c r="E5306" i="1"/>
  <c r="J4895" i="1"/>
  <c r="E3949" i="1"/>
  <c r="E4423" i="1"/>
  <c r="E5017" i="1"/>
  <c r="J3964" i="1"/>
  <c r="P155" i="1"/>
  <c r="E4530" i="1"/>
  <c r="J5764" i="1"/>
  <c r="J5050" i="1"/>
  <c r="E5962" i="1"/>
  <c r="J5848" i="1"/>
  <c r="J5263" i="1"/>
  <c r="E5760" i="1"/>
  <c r="E4748" i="1"/>
  <c r="J5239" i="1"/>
  <c r="E5630" i="1"/>
  <c r="E4529" i="1"/>
  <c r="Z309" i="1"/>
  <c r="AA309" i="1" s="1"/>
  <c r="E4417" i="1"/>
  <c r="J5832" i="1"/>
  <c r="Z275" i="1"/>
  <c r="AA275" i="1" s="1"/>
  <c r="P342" i="1"/>
  <c r="J5364" i="1"/>
  <c r="P233" i="1"/>
  <c r="J4314" i="1"/>
  <c r="J5853" i="1"/>
  <c r="E4781" i="1"/>
  <c r="E5225" i="1"/>
  <c r="E5254" i="1"/>
  <c r="E5496" i="1"/>
  <c r="E5556" i="1"/>
  <c r="J5144" i="1"/>
  <c r="P343" i="1"/>
  <c r="Q343" i="1" s="1"/>
  <c r="J4988" i="1"/>
  <c r="J3686" i="1"/>
  <c r="J5053" i="1"/>
  <c r="E4606" i="1"/>
  <c r="E5586" i="1"/>
  <c r="J5536" i="1"/>
  <c r="E5429" i="1"/>
  <c r="G5434" i="1" s="1"/>
  <c r="P162" i="1"/>
  <c r="P414" i="1"/>
  <c r="Q414" i="1" s="1"/>
  <c r="E5940" i="1"/>
  <c r="E5616" i="1"/>
  <c r="G5616" i="1" s="1"/>
  <c r="Z54" i="1"/>
  <c r="AA54" i="1" s="1"/>
  <c r="E5778" i="1"/>
  <c r="J4483" i="1"/>
  <c r="E4590" i="1"/>
  <c r="P133" i="1"/>
  <c r="E3277" i="1"/>
  <c r="J3588" i="1"/>
  <c r="E5522" i="1"/>
  <c r="E4327" i="1"/>
  <c r="J5124" i="1"/>
  <c r="E4249" i="1"/>
  <c r="J5589" i="1"/>
  <c r="J4275" i="1"/>
  <c r="E4103" i="1"/>
  <c r="E5363" i="1"/>
  <c r="J4263" i="1"/>
  <c r="Z339" i="1"/>
  <c r="E5154" i="1"/>
  <c r="J5261" i="1"/>
  <c r="E5089" i="1"/>
  <c r="J4984" i="1"/>
  <c r="J4230" i="1"/>
  <c r="E5860" i="1"/>
  <c r="E3832" i="1"/>
  <c r="E5206" i="1"/>
  <c r="J4677" i="1"/>
  <c r="E4395" i="1"/>
  <c r="E5431" i="1"/>
  <c r="E4839" i="1"/>
  <c r="J5081" i="1"/>
  <c r="E5411" i="1"/>
  <c r="J3972" i="1"/>
  <c r="J4281" i="1"/>
  <c r="J5500" i="1"/>
  <c r="E5125" i="1"/>
  <c r="J4855" i="1"/>
  <c r="J5335" i="1"/>
  <c r="E5185" i="1"/>
  <c r="E5544" i="1"/>
  <c r="E4011" i="1"/>
  <c r="E4343" i="1"/>
  <c r="E5205" i="1"/>
  <c r="J4807" i="1"/>
  <c r="E5715" i="1"/>
  <c r="P420" i="1"/>
  <c r="E5621" i="1"/>
  <c r="G5621" i="1" s="1"/>
  <c r="E3648" i="1"/>
  <c r="E4236" i="1"/>
  <c r="J3933" i="1"/>
  <c r="E5008" i="1"/>
  <c r="J3603" i="1"/>
  <c r="E4608" i="1"/>
  <c r="E5921" i="1"/>
  <c r="E4670" i="1"/>
  <c r="E5653" i="1"/>
  <c r="E5002" i="1"/>
  <c r="E5140" i="1"/>
  <c r="J5745" i="1"/>
  <c r="E5396" i="1"/>
  <c r="E3440" i="1"/>
  <c r="J4655" i="1"/>
  <c r="E4543" i="1"/>
  <c r="E5191" i="1"/>
  <c r="E3891" i="1"/>
  <c r="E4930" i="1"/>
  <c r="E5958" i="1"/>
  <c r="J3352" i="1"/>
  <c r="E5492" i="1"/>
  <c r="E4360" i="1"/>
  <c r="J5139" i="1"/>
  <c r="Z427" i="1"/>
  <c r="E4778" i="1"/>
  <c r="G4778" i="1" s="1"/>
  <c r="J5842" i="1"/>
  <c r="E5362" i="1"/>
  <c r="E4444" i="1"/>
  <c r="J4896" i="1"/>
  <c r="E4829" i="1"/>
  <c r="J5189" i="1"/>
  <c r="J4920" i="1"/>
  <c r="J5262" i="1"/>
  <c r="P5" i="1"/>
  <c r="E4562" i="1"/>
  <c r="J5333" i="1"/>
  <c r="J4518" i="1"/>
  <c r="J4514" i="1"/>
  <c r="J4574" i="1"/>
  <c r="E4880" i="1"/>
  <c r="E5295" i="1"/>
  <c r="J5171" i="1"/>
  <c r="J4392" i="1"/>
  <c r="J4351" i="1"/>
  <c r="J4911" i="1"/>
  <c r="P357" i="1"/>
  <c r="J5802" i="1"/>
  <c r="J5990" i="1"/>
  <c r="Z354" i="1"/>
  <c r="E5095" i="1"/>
  <c r="G5095" i="1" s="1"/>
  <c r="J5018" i="1"/>
  <c r="J5382" i="1"/>
  <c r="E4604" i="1"/>
  <c r="J5284" i="1"/>
  <c r="J4344" i="1"/>
  <c r="J5119" i="1"/>
  <c r="Z186" i="1"/>
  <c r="AA186" i="1" s="1"/>
  <c r="J5150" i="1"/>
  <c r="J4503" i="1"/>
  <c r="E5427" i="1"/>
  <c r="E5346" i="1"/>
  <c r="J4504" i="1"/>
  <c r="E5633" i="1"/>
  <c r="Z203" i="1"/>
  <c r="J5428" i="1"/>
  <c r="J5361" i="1"/>
  <c r="E5004" i="1"/>
  <c r="J4840" i="1"/>
  <c r="P373" i="1"/>
  <c r="Q373" i="1" s="1"/>
  <c r="P122" i="1"/>
  <c r="E4914" i="1"/>
  <c r="E4963" i="1"/>
  <c r="E4538" i="1"/>
  <c r="J5652" i="1"/>
  <c r="E5422" i="1"/>
  <c r="J5592" i="1"/>
  <c r="J5797" i="1"/>
  <c r="Z412" i="1"/>
  <c r="J5096" i="1"/>
  <c r="Z438" i="1"/>
  <c r="AA438" i="1" s="1"/>
  <c r="Z66" i="1"/>
  <c r="AA66" i="1" s="1"/>
  <c r="Z34" i="1"/>
  <c r="E4317" i="1"/>
  <c r="G4317" i="1" s="1"/>
  <c r="E4087" i="1"/>
  <c r="J3991" i="1"/>
  <c r="E4194" i="1"/>
  <c r="J4486" i="1"/>
  <c r="J4124" i="1"/>
  <c r="J3887" i="1"/>
  <c r="J4330" i="1"/>
  <c r="J5751" i="1"/>
  <c r="E4335" i="1"/>
  <c r="J5008" i="1"/>
  <c r="E5886" i="1"/>
  <c r="E4897" i="1"/>
  <c r="E5276" i="1"/>
  <c r="E4361" i="1"/>
  <c r="E5408" i="1"/>
  <c r="J4519" i="1"/>
  <c r="J4064" i="1"/>
  <c r="J4332" i="1"/>
  <c r="J4385" i="1"/>
  <c r="J4563" i="1"/>
  <c r="J4782" i="1"/>
  <c r="E4962" i="1"/>
  <c r="J5034" i="1"/>
  <c r="J5010" i="1"/>
  <c r="J4983" i="1"/>
  <c r="Z249" i="1"/>
  <c r="J4717" i="1"/>
  <c r="E4798" i="1"/>
  <c r="E4745" i="1"/>
  <c r="J4738" i="1"/>
  <c r="E4705" i="1"/>
  <c r="E4027" i="1"/>
  <c r="E5201" i="1"/>
  <c r="E4674" i="1"/>
  <c r="J4620" i="1"/>
  <c r="E5181" i="1"/>
  <c r="E3995" i="1"/>
  <c r="J5780" i="1"/>
  <c r="J4319" i="1"/>
  <c r="E4883" i="1"/>
  <c r="J5855" i="1"/>
  <c r="P294" i="1"/>
  <c r="E4181" i="1"/>
  <c r="J3971" i="1"/>
  <c r="E4767" i="1"/>
  <c r="J4121" i="1"/>
  <c r="E4235" i="1"/>
  <c r="J4582" i="1"/>
  <c r="J3809" i="1"/>
  <c r="J5810" i="1"/>
  <c r="E3774" i="1"/>
  <c r="E5552" i="1"/>
  <c r="E4896" i="1"/>
  <c r="E4831" i="1"/>
  <c r="E6005" i="1"/>
  <c r="E3981" i="1"/>
  <c r="J5765" i="1"/>
  <c r="E4704" i="1"/>
  <c r="E5529" i="1"/>
  <c r="J5431" i="1"/>
  <c r="J4817" i="1"/>
  <c r="E5960" i="1"/>
  <c r="J3693" i="1"/>
  <c r="J4172" i="1"/>
  <c r="E4642" i="1"/>
  <c r="E4581" i="1"/>
  <c r="E4007" i="1"/>
  <c r="E4875" i="1"/>
  <c r="J5172" i="1"/>
  <c r="J4771" i="1"/>
  <c r="J4603" i="1"/>
  <c r="J5547" i="1"/>
  <c r="J4526" i="1"/>
  <c r="E5161" i="1"/>
  <c r="E5264" i="1"/>
  <c r="J3779" i="1"/>
  <c r="J5116" i="1"/>
  <c r="J5509" i="1"/>
  <c r="J4154" i="1"/>
  <c r="J3607" i="1"/>
  <c r="E4941" i="1"/>
  <c r="J5275" i="1"/>
  <c r="E4953" i="1"/>
  <c r="J6020" i="1"/>
  <c r="J5427" i="1"/>
  <c r="J4304" i="1"/>
  <c r="E5365" i="1"/>
  <c r="J5550" i="1"/>
  <c r="J5752" i="1"/>
  <c r="E4111" i="1"/>
  <c r="J4605" i="1"/>
  <c r="J4745" i="1"/>
  <c r="J5288" i="1"/>
  <c r="E4882" i="1"/>
  <c r="J5309" i="1"/>
  <c r="J5297" i="1"/>
  <c r="E5024" i="1"/>
  <c r="E4725" i="1"/>
  <c r="J4789" i="1"/>
  <c r="E5833" i="1"/>
  <c r="J4970" i="1"/>
  <c r="J4825" i="1"/>
  <c r="E4352" i="1"/>
  <c r="J5212" i="1"/>
  <c r="J5928" i="1"/>
  <c r="E4771" i="1"/>
  <c r="J5973" i="1"/>
  <c r="J4871" i="1"/>
  <c r="J5076" i="1"/>
  <c r="J5409" i="1"/>
  <c r="E4085" i="1"/>
  <c r="G4090" i="1" s="1"/>
  <c r="E4240" i="1"/>
  <c r="E5426" i="1"/>
  <c r="J4962" i="1"/>
  <c r="J5013" i="1"/>
  <c r="E5680" i="1"/>
  <c r="E5646" i="1"/>
  <c r="G5646" i="1" s="1"/>
  <c r="P333" i="1"/>
  <c r="Q333" i="1" s="1"/>
  <c r="E5966" i="1"/>
  <c r="J5601" i="1"/>
  <c r="P346" i="1"/>
  <c r="J5394" i="1"/>
  <c r="E5727" i="1"/>
  <c r="J5931" i="1"/>
  <c r="E4659" i="1"/>
  <c r="J5163" i="1"/>
  <c r="J5073" i="1"/>
  <c r="J4125" i="1"/>
  <c r="J4701" i="1"/>
  <c r="E4142" i="1"/>
  <c r="J4117" i="1"/>
  <c r="J4169" i="1"/>
  <c r="J5720" i="1"/>
  <c r="E3923" i="1"/>
  <c r="G3923" i="1" s="1"/>
  <c r="J4529" i="1"/>
  <c r="E4244" i="1"/>
  <c r="J5237" i="1"/>
  <c r="E5678" i="1"/>
  <c r="E4861" i="1"/>
  <c r="E4321" i="1"/>
  <c r="E5608" i="1"/>
  <c r="J5252" i="1"/>
  <c r="E5595" i="1"/>
  <c r="E4116" i="1"/>
  <c r="J5273" i="1"/>
  <c r="E4811" i="1"/>
  <c r="E4501" i="1"/>
  <c r="E4424" i="1"/>
  <c r="J4688" i="1"/>
  <c r="E5375" i="1"/>
  <c r="E5304" i="1"/>
  <c r="J4368" i="1"/>
  <c r="E5594" i="1"/>
  <c r="E4703" i="1"/>
  <c r="E4150" i="1"/>
  <c r="J4861" i="1"/>
  <c r="J4706" i="1"/>
  <c r="J5138" i="1"/>
  <c r="E5472" i="1"/>
  <c r="Z437" i="1"/>
  <c r="E4228" i="1"/>
  <c r="J4597" i="1"/>
  <c r="J5612" i="1"/>
  <c r="J5485" i="1"/>
  <c r="E4539" i="1"/>
  <c r="G4544" i="1" s="1"/>
  <c r="E5233" i="1"/>
  <c r="J6010" i="1"/>
  <c r="E4508" i="1"/>
  <c r="E4888" i="1"/>
  <c r="E3281" i="1"/>
  <c r="E4872" i="1"/>
  <c r="J5449" i="1"/>
  <c r="J4341" i="1"/>
  <c r="E4366" i="1"/>
  <c r="J5624" i="1"/>
  <c r="E4300" i="1"/>
  <c r="E4292" i="1"/>
  <c r="G4292" i="1" s="1"/>
  <c r="J5413" i="1"/>
  <c r="J4876" i="1"/>
  <c r="E4278" i="1"/>
  <c r="J5452" i="1"/>
  <c r="E3324" i="1"/>
  <c r="E4134" i="1"/>
  <c r="E5627" i="1"/>
  <c r="J5823" i="1"/>
  <c r="J5386" i="1"/>
  <c r="J4661" i="1"/>
  <c r="J4461" i="1"/>
  <c r="J5534" i="1"/>
  <c r="E3401" i="1"/>
  <c r="E4435" i="1"/>
  <c r="E4649" i="1"/>
  <c r="E5009" i="1"/>
  <c r="J4521" i="1"/>
  <c r="E5211" i="1"/>
  <c r="Z123" i="1"/>
  <c r="E4019" i="1"/>
  <c r="E4411" i="1"/>
  <c r="E4635" i="1"/>
  <c r="J5747" i="1"/>
  <c r="E4486" i="1"/>
  <c r="E4437" i="1"/>
  <c r="J4320" i="1"/>
  <c r="J5433" i="1"/>
  <c r="E3866" i="1"/>
  <c r="E4254" i="1"/>
  <c r="E4985" i="1"/>
  <c r="J5517" i="1"/>
  <c r="E5716" i="1"/>
  <c r="E4247" i="1"/>
  <c r="J4899" i="1"/>
  <c r="P278" i="1"/>
  <c r="J5167" i="1"/>
  <c r="Z61" i="1"/>
  <c r="E5037" i="1"/>
  <c r="E5045" i="1"/>
  <c r="G5045" i="1" s="1"/>
  <c r="E5851" i="1"/>
  <c r="J5450" i="1"/>
  <c r="J4853" i="1"/>
  <c r="Z440" i="1"/>
  <c r="E5880" i="1"/>
  <c r="J5357" i="1"/>
  <c r="E5434" i="1"/>
  <c r="Z23" i="1"/>
  <c r="E5423" i="1"/>
  <c r="Z402" i="1"/>
  <c r="AA402" i="1" s="1"/>
  <c r="J5621" i="1"/>
  <c r="J5187" i="1"/>
  <c r="E5845" i="1"/>
  <c r="J5222" i="1"/>
  <c r="E4386" i="1"/>
  <c r="E5789" i="1"/>
  <c r="J4513" i="1"/>
  <c r="E4422" i="1"/>
  <c r="J4785" i="1"/>
  <c r="E5641" i="1"/>
  <c r="J5774" i="1"/>
  <c r="E5374" i="1"/>
  <c r="G5379" i="1" s="1"/>
  <c r="E4827" i="1"/>
  <c r="J5643" i="1"/>
  <c r="E5316" i="1"/>
  <c r="Z46" i="1"/>
  <c r="AA46" i="1" s="1"/>
  <c r="E4648" i="1"/>
  <c r="E5650" i="1"/>
  <c r="J5492" i="1"/>
  <c r="P52" i="1"/>
  <c r="J6013" i="1"/>
  <c r="E5007" i="1"/>
  <c r="J5660" i="1"/>
  <c r="P90" i="1"/>
  <c r="Q90" i="1" s="1"/>
  <c r="Z303" i="1"/>
  <c r="E4782" i="1"/>
  <c r="J5716" i="1"/>
  <c r="E4297" i="1"/>
  <c r="G4297" i="1" s="1"/>
  <c r="J4652" i="1"/>
  <c r="E4929" i="1"/>
  <c r="J4815" i="1"/>
  <c r="J5786" i="1"/>
  <c r="J4204" i="1"/>
  <c r="E5751" i="1"/>
  <c r="J4208" i="1"/>
  <c r="P428" i="1"/>
  <c r="Q428" i="1" s="1"/>
  <c r="J5196" i="1"/>
  <c r="J4927" i="1"/>
  <c r="J4736" i="1"/>
  <c r="E4320" i="1"/>
  <c r="J5330" i="1"/>
  <c r="E5536" i="1"/>
  <c r="E5433" i="1"/>
  <c r="J3989" i="1"/>
  <c r="J4680" i="1"/>
  <c r="J5243" i="1"/>
  <c r="J4869" i="1"/>
  <c r="E4407" i="1"/>
  <c r="J5800" i="1"/>
  <c r="J4567" i="1"/>
  <c r="E4639" i="1"/>
  <c r="E5742" i="1"/>
  <c r="E4925" i="1"/>
  <c r="E5263" i="1"/>
  <c r="J4007" i="1"/>
  <c r="E3952" i="1"/>
  <c r="J4742" i="1"/>
  <c r="E5453" i="1"/>
  <c r="J5089" i="1"/>
  <c r="E5200" i="1"/>
  <c r="E4504" i="1"/>
  <c r="J5671" i="1"/>
  <c r="J5674" i="1"/>
  <c r="E4242" i="1"/>
  <c r="E5165" i="1"/>
  <c r="Z244" i="1"/>
  <c r="E5498" i="1"/>
  <c r="J5962" i="1"/>
  <c r="E5838" i="1"/>
  <c r="E5142" i="1"/>
  <c r="E4701" i="1"/>
  <c r="G4701" i="1" s="1"/>
  <c r="E5685" i="1"/>
  <c r="Z164" i="1"/>
  <c r="E5388" i="1"/>
  <c r="E5075" i="1"/>
  <c r="E4577" i="1"/>
  <c r="J4116" i="1"/>
  <c r="J5162" i="1"/>
  <c r="E4728" i="1"/>
  <c r="J3757" i="1"/>
  <c r="J3468" i="1"/>
  <c r="J4049" i="1"/>
  <c r="E5032" i="1"/>
  <c r="J5109" i="1"/>
  <c r="J5518" i="1"/>
  <c r="E5604" i="1"/>
  <c r="E5662" i="1"/>
  <c r="E5895" i="1"/>
  <c r="G5895" i="1" s="1"/>
  <c r="E4951" i="1"/>
  <c r="E4682" i="1"/>
  <c r="J6014" i="1"/>
  <c r="E5927" i="1"/>
  <c r="J5127" i="1"/>
  <c r="J5061" i="1"/>
  <c r="E5558" i="1"/>
  <c r="E5849" i="1"/>
  <c r="E5122" i="1"/>
  <c r="E4270" i="1"/>
  <c r="J4369" i="1"/>
  <c r="J5289" i="1"/>
  <c r="J5707" i="1"/>
  <c r="J4595" i="1"/>
  <c r="Z75" i="1"/>
  <c r="J4741" i="1"/>
  <c r="J5390" i="1"/>
  <c r="J5728" i="1"/>
  <c r="J5270" i="1"/>
  <c r="E4535" i="1"/>
  <c r="J5729" i="1"/>
  <c r="P142" i="1"/>
  <c r="Q142" i="1" s="1"/>
  <c r="J5234" i="1"/>
  <c r="J5478" i="1"/>
  <c r="E5566" i="1"/>
  <c r="G5566" i="1" s="1"/>
  <c r="E5074" i="1"/>
  <c r="J5415" i="1"/>
  <c r="P313" i="1"/>
  <c r="E4647" i="1"/>
  <c r="J4827" i="1"/>
  <c r="J4790" i="1"/>
  <c r="P212" i="1"/>
  <c r="Q212" i="1" s="1"/>
  <c r="P131" i="1"/>
  <c r="E5946" i="1"/>
  <c r="E4570" i="1"/>
  <c r="P103" i="1"/>
  <c r="J5607" i="1"/>
  <c r="P350" i="1"/>
  <c r="E4452" i="1"/>
  <c r="J4571" i="1"/>
  <c r="E5568" i="1"/>
  <c r="J5365" i="1"/>
  <c r="E4188" i="1"/>
  <c r="E5577" i="1"/>
  <c r="J3423" i="1"/>
  <c r="E4506" i="1"/>
  <c r="E5256" i="1"/>
  <c r="E4944" i="1"/>
  <c r="E4158" i="1"/>
  <c r="E5131" i="1"/>
  <c r="E5012" i="1"/>
  <c r="E4788" i="1"/>
  <c r="J5097" i="1"/>
  <c r="E5699" i="1"/>
  <c r="J4683" i="1"/>
  <c r="J5078" i="1"/>
  <c r="E4843" i="1"/>
  <c r="J4531" i="1"/>
  <c r="J5857" i="1"/>
  <c r="E5094" i="1"/>
  <c r="J4509" i="1"/>
  <c r="J5640" i="1"/>
  <c r="J4327" i="1"/>
  <c r="J4972" i="1"/>
  <c r="E4472" i="1"/>
  <c r="E5896" i="1"/>
  <c r="J5351" i="1"/>
  <c r="J4496" i="1"/>
  <c r="J4812" i="1"/>
  <c r="P96" i="1"/>
  <c r="J4578" i="1"/>
  <c r="J3860" i="1"/>
  <c r="J3869" i="1"/>
  <c r="E5618" i="1"/>
  <c r="J5088" i="1"/>
  <c r="E5293" i="1"/>
  <c r="J4656" i="1"/>
  <c r="E3999" i="1"/>
  <c r="E4023" i="1"/>
  <c r="G4023" i="1" s="1"/>
  <c r="J3659" i="1"/>
  <c r="E5480" i="1"/>
  <c r="E4976" i="1"/>
  <c r="J5030" i="1"/>
  <c r="E3862" i="1"/>
  <c r="J5677" i="1"/>
  <c r="E5005" i="1"/>
  <c r="J4257" i="1"/>
  <c r="J4184" i="1"/>
  <c r="J4375" i="1"/>
  <c r="J4296" i="1"/>
  <c r="J5133" i="1"/>
  <c r="E4375" i="1"/>
  <c r="E4230" i="1"/>
  <c r="J4816" i="1"/>
  <c r="J3690" i="1"/>
  <c r="E4684" i="1"/>
  <c r="E5237" i="1"/>
  <c r="E4393" i="1"/>
  <c r="J5302" i="1"/>
  <c r="J5560" i="1"/>
  <c r="J3867" i="1"/>
  <c r="E5639" i="1"/>
  <c r="J5303" i="1"/>
  <c r="E4438" i="1"/>
  <c r="E4210" i="1"/>
  <c r="E4387" i="1"/>
  <c r="E4454" i="1"/>
  <c r="E4818" i="1"/>
  <c r="G4823" i="1" s="1"/>
  <c r="E4743" i="1"/>
  <c r="J5495" i="1"/>
  <c r="J5122" i="1"/>
  <c r="J5300" i="1"/>
  <c r="Z373" i="1"/>
  <c r="E5503" i="1"/>
  <c r="E5339" i="1"/>
  <c r="G5344" i="1" s="1"/>
  <c r="J4018" i="1"/>
  <c r="J5594" i="1"/>
  <c r="J6016" i="1"/>
  <c r="E4192" i="1"/>
  <c r="Z276" i="1"/>
  <c r="AA276" i="1" s="1"/>
  <c r="J5048" i="1"/>
  <c r="E5047" i="1"/>
  <c r="J4348" i="1"/>
  <c r="J5866" i="1"/>
  <c r="Z434" i="1"/>
  <c r="J5242" i="1"/>
  <c r="J4913" i="1"/>
  <c r="J4822" i="1"/>
  <c r="E4357" i="1"/>
  <c r="P421" i="1"/>
  <c r="Q421" i="1" s="1"/>
  <c r="J5353" i="1"/>
  <c r="E5258" i="1"/>
  <c r="E5859" i="1"/>
  <c r="P128" i="1"/>
  <c r="E5179" i="1"/>
  <c r="E5232" i="1"/>
  <c r="J5593" i="1"/>
  <c r="J4987" i="1"/>
  <c r="J4206" i="1"/>
  <c r="J5608" i="1"/>
  <c r="E4749" i="1"/>
  <c r="E4602" i="1"/>
  <c r="P161" i="1"/>
  <c r="Z206" i="1"/>
  <c r="J5893" i="1"/>
  <c r="P316" i="1"/>
  <c r="P43" i="1"/>
  <c r="P228" i="1"/>
  <c r="J5730" i="1"/>
  <c r="Z156" i="1"/>
  <c r="J5718" i="1"/>
  <c r="J5631" i="1"/>
  <c r="J5118" i="1"/>
  <c r="J4310" i="1"/>
  <c r="J5290" i="1"/>
  <c r="J3321" i="1"/>
  <c r="E4441" i="1"/>
  <c r="J4356" i="1"/>
  <c r="E4904" i="1"/>
  <c r="J5709" i="1"/>
  <c r="E4950" i="1"/>
  <c r="J3929" i="1"/>
  <c r="J4875" i="1"/>
  <c r="J4484" i="1"/>
  <c r="E4724" i="1"/>
  <c r="J4765" i="1"/>
  <c r="J4684" i="1"/>
  <c r="E5613" i="1"/>
  <c r="P389" i="1"/>
  <c r="Q389" i="1" s="1"/>
  <c r="J5688" i="1"/>
  <c r="J4426" i="1"/>
  <c r="E3687" i="1"/>
  <c r="J3901" i="1"/>
  <c r="E4973" i="1"/>
  <c r="J4888" i="1"/>
  <c r="J5665" i="1"/>
  <c r="E4483" i="1"/>
  <c r="J5371" i="1"/>
  <c r="E5069" i="1"/>
  <c r="E4675" i="1"/>
  <c r="J4394" i="1"/>
  <c r="E5344" i="1"/>
  <c r="J3826" i="1"/>
  <c r="J4222" i="1"/>
  <c r="J4560" i="1"/>
  <c r="E4879" i="1"/>
  <c r="E4477" i="1"/>
  <c r="J5437" i="1"/>
  <c r="E5215" i="1"/>
  <c r="J3081" i="1"/>
  <c r="E2964" i="1"/>
  <c r="J5969" i="1"/>
  <c r="Z329" i="1"/>
  <c r="AA329" i="1" s="1"/>
  <c r="J4932" i="1"/>
  <c r="J4612" i="1"/>
  <c r="E4621" i="1"/>
  <c r="J4456" i="1"/>
  <c r="J5321" i="1"/>
  <c r="J5531" i="1"/>
  <c r="J5152" i="1"/>
  <c r="E5107" i="1"/>
  <c r="J5741" i="1"/>
  <c r="E4238" i="1"/>
  <c r="Z104" i="1"/>
  <c r="AA104" i="1" s="1"/>
  <c r="J4056" i="1"/>
  <c r="J5094" i="1"/>
  <c r="J4166" i="1"/>
  <c r="J4408" i="1"/>
  <c r="E4589" i="1"/>
  <c r="E4592" i="1"/>
  <c r="J5195" i="1"/>
  <c r="E5682" i="1"/>
  <c r="P272" i="1"/>
  <c r="E5479" i="1"/>
  <c r="G5484" i="1" s="1"/>
  <c r="J4188" i="1"/>
  <c r="E3958" i="1"/>
  <c r="J4413" i="1"/>
  <c r="J4354" i="1"/>
  <c r="E4213" i="1"/>
  <c r="P337" i="1"/>
  <c r="J5424" i="1"/>
  <c r="E5772" i="1"/>
  <c r="E5088" i="1"/>
  <c r="E4309" i="1"/>
  <c r="E4469" i="1"/>
  <c r="Z263" i="1"/>
  <c r="E5289" i="1"/>
  <c r="J5074" i="1"/>
  <c r="J5345" i="1"/>
  <c r="E5765" i="1"/>
  <c r="J5102" i="1"/>
  <c r="E5387" i="1"/>
  <c r="E5788" i="1"/>
  <c r="J5383" i="1"/>
  <c r="E4425" i="1"/>
  <c r="J5629" i="1"/>
  <c r="J5474" i="1"/>
  <c r="E5677" i="1"/>
  <c r="J5003" i="1"/>
  <c r="J5737" i="1"/>
  <c r="J5414" i="1"/>
  <c r="P119" i="1"/>
  <c r="J5418" i="1"/>
  <c r="J4867" i="1"/>
  <c r="E5253" i="1"/>
  <c r="J4658" i="1"/>
  <c r="J4844" i="1"/>
  <c r="P232" i="1"/>
  <c r="Q232" i="1" s="1"/>
  <c r="J5575" i="1"/>
  <c r="J5279" i="1"/>
  <c r="J4528" i="1"/>
  <c r="Z302" i="1"/>
  <c r="AA302" i="1" s="1"/>
  <c r="J4417" i="1"/>
  <c r="J5576" i="1"/>
  <c r="E5284" i="1"/>
  <c r="P121" i="1"/>
  <c r="P296" i="1"/>
  <c r="P47" i="1"/>
  <c r="E5612" i="1"/>
  <c r="E5091" i="1"/>
  <c r="P27" i="1"/>
  <c r="E5620" i="1"/>
  <c r="J4105" i="1"/>
  <c r="E4617" i="1"/>
  <c r="E5274" i="1"/>
  <c r="E5507" i="1"/>
  <c r="J5754" i="1"/>
  <c r="J5435" i="1"/>
  <c r="E4347" i="1"/>
  <c r="E4667" i="1"/>
  <c r="J4581" i="1"/>
  <c r="E5467" i="1"/>
  <c r="E5576" i="1"/>
  <c r="E4340" i="1"/>
  <c r="J4708" i="1"/>
  <c r="E5505" i="1"/>
  <c r="J3718" i="1"/>
  <c r="E4526" i="1"/>
  <c r="J5899" i="1"/>
  <c r="J5412" i="1"/>
  <c r="J4031" i="1"/>
  <c r="J4564" i="1"/>
  <c r="E5928" i="1"/>
  <c r="J3939" i="1"/>
  <c r="J4452" i="1"/>
  <c r="E4610" i="1"/>
  <c r="E4094" i="1"/>
  <c r="Z393" i="1"/>
  <c r="E4715" i="1"/>
  <c r="E4575" i="1"/>
  <c r="J4937" i="1"/>
  <c r="J5923" i="1"/>
  <c r="J4726" i="1"/>
  <c r="J4593" i="1"/>
  <c r="P86" i="1"/>
  <c r="Q86" i="1" s="1"/>
  <c r="E3909" i="1"/>
  <c r="P287" i="1"/>
  <c r="J4859" i="1"/>
  <c r="E5147" i="1"/>
  <c r="E5290" i="1"/>
  <c r="E3933" i="1"/>
  <c r="G3938" i="1" s="1"/>
  <c r="J5459" i="1"/>
  <c r="J6021" i="1"/>
  <c r="J4122" i="1"/>
  <c r="J5077" i="1"/>
  <c r="J5130" i="1"/>
  <c r="J4682" i="1"/>
  <c r="J4151" i="1"/>
  <c r="E4742" i="1"/>
  <c r="E5710" i="1"/>
  <c r="E4557" i="1"/>
  <c r="E5945" i="1"/>
  <c r="J4367" i="1"/>
  <c r="E5634" i="1"/>
  <c r="Z238" i="1"/>
  <c r="AA238" i="1" s="1"/>
  <c r="E5268" i="1"/>
  <c r="E5421" i="1"/>
  <c r="J5541" i="1"/>
  <c r="J4440" i="1"/>
  <c r="E4795" i="1"/>
  <c r="J6024" i="1"/>
  <c r="E5195" i="1"/>
  <c r="E4913" i="1"/>
  <c r="J4799" i="1"/>
  <c r="J4830" i="1"/>
  <c r="J5072" i="1"/>
  <c r="E4492" i="1"/>
  <c r="J4003" i="1"/>
  <c r="J5304" i="1"/>
  <c r="Z397" i="1"/>
  <c r="J4512" i="1"/>
  <c r="J4664" i="1"/>
  <c r="E5711" i="1"/>
  <c r="E5377" i="1"/>
  <c r="E5394" i="1"/>
  <c r="J4833" i="1"/>
  <c r="J5032" i="1"/>
  <c r="E4637" i="1"/>
  <c r="J4626" i="1"/>
  <c r="J4495" i="1"/>
  <c r="J5872" i="1"/>
  <c r="Z202" i="1"/>
  <c r="J5114" i="1"/>
  <c r="E4239" i="1"/>
  <c r="E4582" i="1"/>
  <c r="E5458" i="1"/>
  <c r="E4496" i="1"/>
  <c r="J5932" i="1"/>
  <c r="J4627" i="1"/>
  <c r="E4071" i="1"/>
  <c r="P418" i="1"/>
  <c r="Q418" i="1" s="1"/>
  <c r="Z401" i="1"/>
  <c r="J5851" i="1"/>
  <c r="E4756" i="1"/>
  <c r="J5959" i="1"/>
  <c r="J5439" i="1"/>
  <c r="J5038" i="1"/>
  <c r="J5004" i="1"/>
  <c r="E5918" i="1"/>
  <c r="J5723" i="1"/>
  <c r="Z318" i="1"/>
  <c r="E4816" i="1"/>
  <c r="J5192" i="1"/>
  <c r="E5035" i="1"/>
  <c r="E5512" i="1"/>
  <c r="E5313" i="1"/>
  <c r="E5949" i="1"/>
  <c r="E4995" i="1"/>
  <c r="G5000" i="1" s="1"/>
  <c r="E5194" i="1"/>
  <c r="E4876" i="1"/>
  <c r="J5569" i="1"/>
  <c r="P225" i="1"/>
  <c r="Q225" i="1" s="1"/>
  <c r="Z130" i="1"/>
  <c r="AA130" i="1" s="1"/>
  <c r="J4389" i="1"/>
  <c r="E4966" i="1"/>
  <c r="J4370" i="1"/>
  <c r="J5479" i="1"/>
  <c r="J3859" i="1"/>
  <c r="E5018" i="1"/>
  <c r="J6004" i="1"/>
  <c r="J5633" i="1"/>
  <c r="P14" i="1"/>
  <c r="Q14" i="1" s="1"/>
  <c r="J5828" i="1"/>
  <c r="P202" i="1"/>
  <c r="J5568" i="1"/>
  <c r="Z338" i="1"/>
  <c r="J5387" i="1"/>
  <c r="E5410" i="1"/>
  <c r="P45" i="1"/>
  <c r="J3619" i="1"/>
  <c r="E3218" i="1"/>
  <c r="J3735" i="1"/>
  <c r="J4359" i="1"/>
  <c r="J4813" i="1"/>
  <c r="J5506" i="1"/>
  <c r="E4420" i="1"/>
  <c r="J4447" i="1"/>
  <c r="E5066" i="1"/>
  <c r="E4195" i="1"/>
  <c r="G4195" i="1" s="1"/>
  <c r="E4397" i="1"/>
  <c r="E5303" i="1"/>
  <c r="E5441" i="1"/>
  <c r="P111" i="1"/>
  <c r="Q111" i="1" s="1"/>
  <c r="E5055" i="1"/>
  <c r="G5055" i="1" s="1"/>
  <c r="P388" i="1"/>
  <c r="J4649" i="1"/>
  <c r="E5230" i="1"/>
  <c r="J4752" i="1"/>
  <c r="J5325" i="1"/>
  <c r="J4636" i="1"/>
  <c r="E5541" i="1"/>
  <c r="G5541" i="1" s="1"/>
  <c r="J5967" i="1"/>
  <c r="J5362" i="1"/>
  <c r="J5756" i="1"/>
  <c r="J4621" i="1"/>
  <c r="E4548" i="1"/>
  <c r="J4326" i="1"/>
  <c r="P211" i="1"/>
  <c r="E4695" i="1"/>
  <c r="J5921" i="1"/>
  <c r="Z264" i="1"/>
  <c r="AA264" i="1" s="1"/>
  <c r="P16" i="1"/>
  <c r="E5791" i="1"/>
  <c r="E5330" i="1"/>
  <c r="E5741" i="1"/>
  <c r="J5257" i="1"/>
  <c r="E5663" i="1"/>
  <c r="P352" i="1"/>
  <c r="Q352" i="1" s="1"/>
  <c r="E5252" i="1"/>
  <c r="E5901" i="1"/>
  <c r="J4926" i="1"/>
  <c r="P328" i="1"/>
  <c r="J4313" i="1"/>
  <c r="E5900" i="1"/>
  <c r="E4312" i="1"/>
  <c r="G4312" i="1" s="1"/>
  <c r="J4751" i="1"/>
  <c r="E5526" i="1"/>
  <c r="E5802" i="1"/>
  <c r="P41" i="1"/>
  <c r="Q41" i="1" s="1"/>
  <c r="E5919" i="1"/>
  <c r="J5017" i="1"/>
  <c r="E5208" i="1"/>
  <c r="E4906" i="1"/>
  <c r="J4610" i="1"/>
  <c r="J5925" i="1"/>
  <c r="J4611" i="1"/>
  <c r="J5248" i="1"/>
  <c r="J5895" i="1"/>
  <c r="E5236" i="1"/>
  <c r="E5477" i="1"/>
  <c r="J5396" i="1"/>
  <c r="J5318" i="1"/>
  <c r="J4743" i="1"/>
  <c r="J5444" i="1"/>
  <c r="E5242" i="1"/>
  <c r="J5246" i="1"/>
  <c r="Z146" i="1"/>
  <c r="AA146" i="1" s="1"/>
  <c r="E5214" i="1"/>
  <c r="E5589" i="1"/>
  <c r="E5455" i="1"/>
  <c r="J5669" i="1"/>
  <c r="J4952" i="1"/>
  <c r="E4981" i="1"/>
  <c r="E4379" i="1"/>
  <c r="E5499" i="1"/>
  <c r="E5162" i="1"/>
  <c r="J5938" i="1"/>
  <c r="E4772" i="1"/>
  <c r="J5659" i="1"/>
  <c r="Z234" i="1"/>
  <c r="P132" i="1"/>
  <c r="E4813" i="1"/>
  <c r="E4205" i="1"/>
  <c r="J4832" i="1"/>
  <c r="Z279" i="1"/>
  <c r="AA279" i="1" s="1"/>
  <c r="E5998" i="1"/>
  <c r="J5360" i="1"/>
  <c r="J5066" i="1"/>
  <c r="J4523" i="1"/>
  <c r="E4574" i="1"/>
  <c r="G4574" i="1" s="1"/>
  <c r="E5420" i="1"/>
  <c r="E5747" i="1"/>
  <c r="J4485" i="1"/>
  <c r="E4916" i="1"/>
  <c r="P360" i="1"/>
  <c r="E4993" i="1"/>
  <c r="J5240" i="1"/>
  <c r="J5370" i="1"/>
  <c r="J5813" i="1"/>
  <c r="E5288" i="1"/>
  <c r="E5326" i="1"/>
  <c r="E5255" i="1"/>
  <c r="P320" i="1"/>
  <c r="Q320" i="1" s="1"/>
  <c r="Z287" i="1"/>
  <c r="E5563" i="1"/>
  <c r="Z323" i="1"/>
  <c r="J5420" i="1"/>
  <c r="P175" i="1"/>
  <c r="E5899" i="1"/>
  <c r="P329" i="1"/>
  <c r="Q329" i="1" s="1"/>
  <c r="P426" i="1"/>
  <c r="P227" i="1"/>
  <c r="Q227" i="1" s="1"/>
  <c r="E5450" i="1"/>
  <c r="E5437" i="1"/>
  <c r="P273" i="1"/>
  <c r="J5749" i="1"/>
  <c r="E5392" i="1"/>
  <c r="Z278" i="1"/>
  <c r="J5372" i="1"/>
  <c r="Z417" i="1"/>
  <c r="P419" i="1"/>
  <c r="Q419" i="1" s="1"/>
  <c r="J4798" i="1"/>
  <c r="E5947" i="1"/>
  <c r="E5714" i="1"/>
  <c r="E5350" i="1"/>
  <c r="P115" i="1"/>
  <c r="Q115" i="1" s="1"/>
  <c r="J5346" i="1"/>
  <c r="J5214" i="1"/>
  <c r="P282" i="1"/>
  <c r="Q282" i="1" s="1"/>
  <c r="J5101" i="1"/>
  <c r="E5414" i="1"/>
  <c r="P366" i="1"/>
  <c r="E4895" i="1"/>
  <c r="E5033" i="1"/>
  <c r="E4986" i="1"/>
  <c r="J5085" i="1"/>
  <c r="E5130" i="1"/>
  <c r="E4931" i="1"/>
  <c r="J5841" i="1"/>
  <c r="E4722" i="1"/>
  <c r="J5496" i="1"/>
  <c r="E4458" i="1"/>
  <c r="E5028" i="1"/>
  <c r="E5683" i="1"/>
  <c r="J4943" i="1"/>
  <c r="E5474" i="1"/>
  <c r="G5479" i="1" s="1"/>
  <c r="E5378" i="1"/>
  <c r="E5087" i="1"/>
  <c r="E5829" i="1"/>
  <c r="J5000" i="1"/>
  <c r="J5939" i="1"/>
  <c r="E5386" i="1"/>
  <c r="E6004" i="1"/>
  <c r="E4805" i="1"/>
  <c r="E4376" i="1"/>
  <c r="E5025" i="1"/>
  <c r="E5199" i="1"/>
  <c r="J5338" i="1"/>
  <c r="J5753" i="1"/>
  <c r="E5058" i="1"/>
  <c r="J5161" i="1"/>
  <c r="P210" i="1"/>
  <c r="Q210" i="1" s="1"/>
  <c r="E4997" i="1"/>
  <c r="E4430" i="1"/>
  <c r="E5812" i="1"/>
  <c r="J5157" i="1"/>
  <c r="J5529" i="1"/>
  <c r="P379" i="1"/>
  <c r="J5553" i="1"/>
  <c r="E5786" i="1"/>
  <c r="J5491" i="1"/>
  <c r="E4324" i="1"/>
  <c r="J5045" i="1"/>
  <c r="P11" i="1"/>
  <c r="Q11" i="1" s="1"/>
  <c r="E5081" i="1"/>
  <c r="E4815" i="1"/>
  <c r="J5376" i="1"/>
  <c r="J5794" i="1"/>
  <c r="E5557" i="1"/>
  <c r="J5368" i="1"/>
  <c r="J4740" i="1"/>
  <c r="J4497" i="1"/>
  <c r="E5334" i="1"/>
  <c r="E4765" i="1"/>
  <c r="P292" i="1"/>
  <c r="J4617" i="1"/>
  <c r="J5666" i="1"/>
  <c r="E5385" i="1"/>
  <c r="E4881" i="1"/>
  <c r="J5028" i="1"/>
  <c r="E4862" i="1"/>
  <c r="J5093" i="1"/>
  <c r="J4998" i="1"/>
  <c r="Z44" i="1"/>
  <c r="AA44" i="1" s="1"/>
  <c r="P26" i="1"/>
  <c r="P36" i="1"/>
  <c r="J5781" i="1"/>
  <c r="P293" i="1"/>
  <c r="Q293" i="1" s="1"/>
  <c r="J5027" i="1"/>
  <c r="E5415" i="1"/>
  <c r="J5722" i="1"/>
  <c r="E5473" i="1"/>
  <c r="J5845" i="1"/>
  <c r="E5722" i="1"/>
  <c r="J5505" i="1"/>
  <c r="J4795" i="1"/>
  <c r="P54" i="1"/>
  <c r="J5468" i="1"/>
  <c r="P208" i="1"/>
  <c r="E5806" i="1"/>
  <c r="J5103" i="1"/>
  <c r="E5353" i="1"/>
  <c r="Z347" i="1"/>
  <c r="Z118" i="1"/>
  <c r="E5123" i="1"/>
  <c r="P364" i="1"/>
  <c r="P159" i="1"/>
  <c r="Q159" i="1" s="1"/>
  <c r="P361" i="1"/>
  <c r="Z416" i="1"/>
  <c r="J5991" i="1"/>
  <c r="E5535" i="1"/>
  <c r="E5703" i="1"/>
  <c r="G5703" i="1" s="1"/>
  <c r="J5698" i="1"/>
  <c r="Z43" i="1"/>
  <c r="P300" i="1"/>
  <c r="E5656" i="1"/>
  <c r="E5573" i="1"/>
  <c r="E5924" i="1"/>
  <c r="E5269" i="1"/>
  <c r="E5285" i="1"/>
  <c r="J5035" i="1"/>
  <c r="J5403" i="1"/>
  <c r="E5457" i="1"/>
  <c r="J5451" i="1"/>
  <c r="J5884" i="1"/>
  <c r="J4614" i="1"/>
  <c r="J5448" i="1"/>
  <c r="E5328" i="1"/>
  <c r="J5788" i="1"/>
  <c r="E5355" i="1"/>
  <c r="E4806" i="1"/>
  <c r="J4696" i="1"/>
  <c r="E4937" i="1"/>
  <c r="J5115" i="1"/>
  <c r="Z364" i="1"/>
  <c r="J5885" i="1"/>
  <c r="E5209" i="1"/>
  <c r="Z50" i="1"/>
  <c r="E4709" i="1"/>
  <c r="E5757" i="1"/>
  <c r="P438" i="1"/>
  <c r="Z380" i="1"/>
  <c r="E5286" i="1"/>
  <c r="J4525" i="1"/>
  <c r="P423" i="1"/>
  <c r="J5638" i="1"/>
  <c r="J5546" i="1"/>
  <c r="P21" i="1"/>
  <c r="Q21" i="1" s="1"/>
  <c r="J4933" i="1"/>
  <c r="E4954" i="1"/>
  <c r="J5642" i="1"/>
  <c r="E5517" i="1"/>
  <c r="E5202" i="1"/>
  <c r="J5906" i="1"/>
  <c r="J4666" i="1"/>
  <c r="J5865" i="1"/>
  <c r="E4619" i="1"/>
  <c r="E5701" i="1"/>
  <c r="J5769" i="1"/>
  <c r="J5942" i="1"/>
  <c r="J3709" i="1"/>
  <c r="E5519" i="1"/>
  <c r="J4791" i="1"/>
  <c r="E5442" i="1"/>
  <c r="E5119" i="1"/>
  <c r="P2" i="1"/>
  <c r="AA294" i="1" s="1"/>
  <c r="E5847" i="1"/>
  <c r="J4584" i="1"/>
  <c r="J4415" i="1"/>
  <c r="J4996" i="1"/>
  <c r="E4863" i="1"/>
  <c r="E4835" i="1"/>
  <c r="E5575" i="1"/>
  <c r="J5111" i="1"/>
  <c r="E5890" i="1"/>
  <c r="J5293" i="1"/>
  <c r="E4961" i="1"/>
  <c r="E5982" i="1"/>
  <c r="E5528" i="1"/>
  <c r="P277" i="1"/>
  <c r="Q277" i="1" s="1"/>
  <c r="E5864" i="1"/>
  <c r="P34" i="1"/>
  <c r="Q34" i="1" s="1"/>
  <c r="J4200" i="1"/>
  <c r="J4663" i="1"/>
  <c r="E4737" i="1"/>
  <c r="Z230" i="1"/>
  <c r="E4793" i="1"/>
  <c r="G4793" i="1" s="1"/>
  <c r="E5932" i="1"/>
  <c r="E5988" i="1"/>
  <c r="J5164" i="1"/>
  <c r="J5757" i="1"/>
  <c r="Z208" i="1"/>
  <c r="E5585" i="1"/>
  <c r="Z247" i="1"/>
  <c r="AA247" i="1" s="1"/>
  <c r="J5211" i="1"/>
  <c r="E5885" i="1"/>
  <c r="J5815" i="1"/>
  <c r="P348" i="1"/>
  <c r="P397" i="1"/>
  <c r="Q397" i="1" s="1"/>
  <c r="J5341" i="1"/>
  <c r="Z307" i="1"/>
  <c r="P50" i="1"/>
  <c r="E5187" i="1"/>
  <c r="G5187" i="1" s="1"/>
  <c r="J5760" i="1"/>
  <c r="P261" i="1"/>
  <c r="E5726" i="1"/>
  <c r="E5693" i="1"/>
  <c r="J4900" i="1"/>
  <c r="E5906" i="1"/>
  <c r="J5795" i="1"/>
  <c r="P102" i="1"/>
  <c r="J5926" i="1"/>
  <c r="E5128" i="1"/>
  <c r="Z92" i="1"/>
  <c r="J5572" i="1"/>
  <c r="E4830" i="1"/>
  <c r="E5079" i="1"/>
  <c r="J5022" i="1"/>
  <c r="E4900" i="1"/>
  <c r="J5656" i="1"/>
  <c r="J5156" i="1"/>
  <c r="J5455" i="1"/>
  <c r="P134" i="1"/>
  <c r="Q134" i="1" s="1"/>
  <c r="E5325" i="1"/>
  <c r="J5657" i="1"/>
  <c r="E4759" i="1"/>
  <c r="P356" i="1"/>
  <c r="Q356" i="1" s="1"/>
  <c r="J5421" i="1"/>
  <c r="J4903" i="1"/>
  <c r="J5095" i="1"/>
  <c r="J5609" i="1"/>
  <c r="E5691" i="1"/>
  <c r="E5358" i="1"/>
  <c r="J5381" i="1"/>
  <c r="E4957" i="1"/>
  <c r="E5629" i="1"/>
  <c r="J6011" i="1"/>
  <c r="J5726" i="1"/>
  <c r="J5203" i="1"/>
  <c r="J4397" i="1"/>
  <c r="J3726" i="1"/>
  <c r="P376" i="1"/>
  <c r="E5245" i="1"/>
  <c r="E5134" i="1"/>
  <c r="Z269" i="1"/>
  <c r="AA269" i="1" s="1"/>
  <c r="E5720" i="1"/>
  <c r="J6001" i="1"/>
  <c r="J5384" i="1"/>
  <c r="J4282" i="1"/>
  <c r="J4403" i="1"/>
  <c r="J4623" i="1"/>
  <c r="E4741" i="1"/>
  <c r="G4741" i="1" s="1"/>
  <c r="E5560" i="1"/>
  <c r="J4843" i="1"/>
  <c r="E5430" i="1"/>
  <c r="Z134" i="1"/>
  <c r="P370" i="1"/>
  <c r="Q370" i="1" s="1"/>
  <c r="E5319" i="1"/>
  <c r="J4430" i="1"/>
  <c r="J4766" i="1"/>
  <c r="J4600" i="1"/>
  <c r="J5041" i="1"/>
  <c r="E5873" i="1"/>
  <c r="P46" i="1"/>
  <c r="E5102" i="1"/>
  <c r="J5469" i="1"/>
  <c r="J4060" i="1"/>
  <c r="E5796" i="1"/>
  <c r="J4323" i="1"/>
  <c r="J3883" i="1"/>
  <c r="E4279" i="1"/>
  <c r="J4814" i="1"/>
  <c r="P425" i="1"/>
  <c r="J4999" i="1"/>
  <c r="E4783" i="1"/>
  <c r="G4783" i="1" s="1"/>
  <c r="E5953" i="1"/>
  <c r="J5949" i="1"/>
  <c r="E4368" i="1"/>
  <c r="J5520" i="1"/>
  <c r="E4003" i="1"/>
  <c r="G4003" i="1" s="1"/>
  <c r="J5314" i="1"/>
  <c r="E5822" i="1"/>
  <c r="E5231" i="1"/>
  <c r="J4439" i="1"/>
  <c r="J5145" i="1"/>
  <c r="P398" i="1"/>
  <c r="Z215" i="1"/>
  <c r="Z9" i="1"/>
  <c r="AA9" i="1" s="1"/>
  <c r="Z80" i="1"/>
  <c r="Z388" i="1"/>
  <c r="P94" i="1"/>
  <c r="J5397" i="1"/>
  <c r="E5675" i="1"/>
  <c r="J5915" i="1"/>
  <c r="E5121" i="1"/>
  <c r="P172" i="1"/>
  <c r="E5383" i="1"/>
  <c r="J5944" i="1"/>
  <c r="E5893" i="1"/>
  <c r="Z353" i="1"/>
  <c r="AA353" i="1" s="1"/>
  <c r="E5795" i="1"/>
  <c r="J5736" i="1"/>
  <c r="E5647" i="1"/>
  <c r="Z73" i="1"/>
  <c r="J5919" i="1"/>
  <c r="E6017" i="1"/>
  <c r="P203" i="1"/>
  <c r="Q203" i="1" s="1"/>
  <c r="P169" i="1"/>
  <c r="E5712" i="1"/>
  <c r="E4955" i="1"/>
  <c r="E4874" i="1"/>
  <c r="E5432" i="1"/>
  <c r="E5980" i="1"/>
  <c r="E4461" i="1"/>
  <c r="J4398" i="1"/>
  <c r="E4901" i="1"/>
  <c r="J4433" i="1"/>
  <c r="J4477" i="1"/>
  <c r="E4502" i="1"/>
  <c r="J4810" i="1"/>
  <c r="Z223" i="1"/>
  <c r="J5537" i="1"/>
  <c r="E4567" i="1"/>
  <c r="E4221" i="1"/>
  <c r="E5376" i="1"/>
  <c r="J5724" i="1"/>
  <c r="J4879" i="1"/>
  <c r="J5141" i="1"/>
  <c r="E4584" i="1"/>
  <c r="E5413" i="1"/>
  <c r="J5432" i="1"/>
  <c r="J5887" i="1"/>
  <c r="J4718" i="1"/>
  <c r="Z319" i="1"/>
  <c r="E5015" i="1"/>
  <c r="G5020" i="1" s="1"/>
  <c r="J5055" i="1"/>
  <c r="Z102" i="1"/>
  <c r="E5956" i="1"/>
  <c r="J4824" i="1"/>
  <c r="P413" i="1"/>
  <c r="Q413" i="1" s="1"/>
  <c r="J4467" i="1"/>
  <c r="J5581" i="1"/>
  <c r="J5180" i="1"/>
  <c r="E5013" i="1"/>
  <c r="J5655" i="1"/>
  <c r="J5206" i="1"/>
  <c r="E5643" i="1"/>
  <c r="E5060" i="1"/>
  <c r="G5065" i="1" s="1"/>
  <c r="J5785" i="1"/>
  <c r="J5165" i="1"/>
  <c r="J5515" i="1"/>
  <c r="E5345" i="1"/>
  <c r="J5881" i="1"/>
  <c r="J5626" i="1"/>
  <c r="E5979" i="1"/>
  <c r="Z357" i="1"/>
  <c r="J5693" i="1"/>
  <c r="E5299" i="1"/>
  <c r="J4862" i="1"/>
  <c r="J5831" i="1"/>
  <c r="J4576" i="1"/>
  <c r="J4848" i="1"/>
  <c r="J5401" i="1"/>
  <c r="E5584" i="1"/>
  <c r="P147" i="1"/>
  <c r="Q147" i="1" s="1"/>
  <c r="J3947" i="1"/>
  <c r="J4730" i="1"/>
  <c r="E4112" i="1"/>
  <c r="J5591" i="1"/>
  <c r="J4570" i="1"/>
  <c r="J5334" i="1"/>
  <c r="J5395" i="1"/>
  <c r="J5972" i="1"/>
  <c r="E4987" i="1"/>
  <c r="Z362" i="1"/>
  <c r="J4316" i="1"/>
  <c r="E4214" i="1"/>
  <c r="E4922" i="1"/>
  <c r="E4400" i="1"/>
  <c r="J5160" i="1"/>
  <c r="E5569" i="1"/>
  <c r="Z81" i="1"/>
  <c r="E4959" i="1"/>
  <c r="E5212" i="1"/>
  <c r="G5217" i="1" s="1"/>
  <c r="E3924" i="1"/>
  <c r="E4794" i="1"/>
  <c r="E5448" i="1"/>
  <c r="J5434" i="1"/>
  <c r="E5502" i="1"/>
  <c r="J5179" i="1"/>
  <c r="E4992" i="1"/>
  <c r="E4932" i="1"/>
  <c r="E5249" i="1"/>
  <c r="J4232" i="1"/>
  <c r="E4657" i="1"/>
  <c r="J4835" i="1"/>
  <c r="J5750" i="1"/>
  <c r="E4583" i="1"/>
  <c r="E5660" i="1"/>
  <c r="J4463" i="1"/>
  <c r="J5731" i="1"/>
  <c r="J5809" i="1"/>
  <c r="Z56" i="1"/>
  <c r="AA56" i="1" s="1"/>
  <c r="Z119" i="1"/>
  <c r="J4872" i="1"/>
  <c r="J4338" i="1"/>
  <c r="J4505" i="1"/>
  <c r="J5584" i="1"/>
  <c r="E5824" i="1"/>
  <c r="J5989" i="1"/>
  <c r="E5188" i="1"/>
  <c r="J5388" i="1"/>
  <c r="J5489" i="1"/>
  <c r="Z294" i="1"/>
  <c r="P188" i="1"/>
  <c r="Q188" i="1" s="1"/>
  <c r="E5531" i="1"/>
  <c r="J5178" i="1"/>
  <c r="Z366" i="1"/>
  <c r="AA366" i="1" s="1"/>
  <c r="E5809" i="1"/>
  <c r="J5941" i="1"/>
  <c r="J5611" i="1"/>
  <c r="E5348" i="1"/>
  <c r="P340" i="1"/>
  <c r="P262" i="1"/>
  <c r="J5585" i="1"/>
  <c r="Z232" i="1"/>
  <c r="P431" i="1"/>
  <c r="Q431" i="1" s="1"/>
  <c r="J5070" i="1"/>
  <c r="Z328" i="1"/>
  <c r="P99" i="1"/>
  <c r="Z240" i="1"/>
  <c r="J5456" i="1"/>
  <c r="J5597" i="1"/>
  <c r="Z115" i="1"/>
  <c r="AA115" i="1" s="1"/>
  <c r="J5625" i="1"/>
  <c r="E5764" i="1"/>
  <c r="E5903" i="1"/>
  <c r="Z227" i="1"/>
  <c r="E5331" i="1"/>
  <c r="J5021" i="1"/>
  <c r="E5619" i="1"/>
  <c r="J5645" i="1"/>
  <c r="J4198" i="1"/>
  <c r="E4967" i="1"/>
  <c r="J4421" i="1"/>
  <c r="J5997" i="1"/>
  <c r="J4935" i="1"/>
  <c r="J5006" i="1"/>
  <c r="J5112" i="1"/>
  <c r="J5542" i="1"/>
  <c r="P304" i="1"/>
  <c r="J4878" i="1"/>
  <c r="E5347" i="1"/>
  <c r="J5732" i="1"/>
  <c r="E4660" i="1"/>
  <c r="E4977" i="1"/>
  <c r="J5619" i="1"/>
  <c r="E5166" i="1"/>
  <c r="J4592" i="1"/>
  <c r="J4507" i="1"/>
  <c r="J5057" i="1"/>
  <c r="E5036" i="1"/>
  <c r="J5105" i="1"/>
  <c r="J5271" i="1"/>
  <c r="J5512" i="1"/>
  <c r="P209" i="1"/>
  <c r="P9" i="1"/>
  <c r="Q9" i="1" s="1"/>
  <c r="E5168" i="1"/>
  <c r="J5319" i="1"/>
  <c r="E5183" i="1"/>
  <c r="E4609" i="1"/>
  <c r="E4371" i="1"/>
  <c r="E4886" i="1"/>
  <c r="E5787" i="1"/>
  <c r="E4446" i="1"/>
  <c r="E5952" i="1"/>
  <c r="J4493" i="1"/>
  <c r="J5422" i="1"/>
  <c r="E5993" i="1"/>
  <c r="J5639" i="1"/>
  <c r="J5110" i="1"/>
  <c r="Z161" i="1"/>
  <c r="AA161" i="1" s="1"/>
  <c r="E5359" i="1"/>
  <c r="E3972" i="1"/>
  <c r="J5106" i="1"/>
  <c r="J5104" i="1"/>
  <c r="J5280" i="1"/>
  <c r="E5118" i="1"/>
  <c r="J5185" i="1"/>
  <c r="J5670" i="1"/>
  <c r="J5269" i="1"/>
  <c r="P269" i="1"/>
  <c r="Q269" i="1" s="1"/>
  <c r="E5706" i="1"/>
  <c r="J5903" i="1"/>
  <c r="J5776" i="1"/>
  <c r="P387" i="1"/>
  <c r="Q387" i="1" s="1"/>
  <c r="E5784" i="1"/>
  <c r="J5349" i="1"/>
  <c r="Z254" i="1"/>
  <c r="P185" i="1"/>
  <c r="P72" i="1"/>
  <c r="J5494" i="1"/>
  <c r="E5150" i="1"/>
  <c r="J5820" i="1"/>
  <c r="E5855" i="1"/>
  <c r="E5920" i="1"/>
  <c r="G5925" i="1" s="1"/>
  <c r="Z297" i="1"/>
  <c r="J5805" i="1"/>
  <c r="P384" i="1"/>
  <c r="Q384" i="1" s="1"/>
  <c r="P250" i="1"/>
  <c r="P335" i="1"/>
  <c r="Q335" i="1" s="1"/>
  <c r="P7" i="1"/>
  <c r="J5667" i="1"/>
  <c r="E5270" i="1"/>
  <c r="J5423" i="1"/>
  <c r="J5578" i="1"/>
  <c r="J4308" i="1"/>
  <c r="J4849" i="1"/>
  <c r="P303" i="1"/>
  <c r="E4202" i="1"/>
  <c r="E4892" i="1"/>
  <c r="E5483" i="1"/>
  <c r="E5476" i="1"/>
  <c r="E5562" i="1"/>
  <c r="E4877" i="1"/>
  <c r="J4837" i="1"/>
  <c r="E4947" i="1"/>
  <c r="J5033" i="1"/>
  <c r="J5264" i="1"/>
  <c r="E4527" i="1"/>
  <c r="J5558" i="1"/>
  <c r="J5466" i="1"/>
  <c r="E5039" i="1"/>
  <c r="J5306" i="1"/>
  <c r="Z173" i="1"/>
  <c r="AA173" i="1" s="1"/>
  <c r="J5363" i="1"/>
  <c r="J4977" i="1"/>
  <c r="P104" i="1"/>
  <c r="J4877" i="1"/>
  <c r="J4961" i="1"/>
  <c r="J5100" i="1"/>
  <c r="E5614" i="1"/>
  <c r="J5819" i="1"/>
  <c r="J4460" i="1"/>
  <c r="E4641" i="1"/>
  <c r="G4641" i="1" s="1"/>
  <c r="E5600" i="1"/>
  <c r="J4690" i="1"/>
  <c r="J5173" i="1"/>
  <c r="J5980" i="1"/>
  <c r="J5839" i="1"/>
  <c r="E5077" i="1"/>
  <c r="J4921" i="1"/>
  <c r="E5617" i="1"/>
  <c r="E4927" i="1"/>
  <c r="J5447" i="1"/>
  <c r="J5843" i="1"/>
  <c r="P393" i="1"/>
  <c r="E5064" i="1"/>
  <c r="J4676" i="1"/>
  <c r="J5024" i="1"/>
  <c r="J4865" i="1"/>
  <c r="J4267" i="1"/>
  <c r="E5481" i="1"/>
  <c r="E5671" i="1"/>
  <c r="E5221" i="1"/>
  <c r="J5782" i="1"/>
  <c r="E5235" i="1"/>
  <c r="P87" i="1"/>
  <c r="Q87" i="1" s="1"/>
  <c r="E5926" i="1"/>
  <c r="J3829" i="1"/>
  <c r="P24" i="1"/>
  <c r="J4805" i="1"/>
  <c r="J4180" i="1"/>
  <c r="J5166" i="1"/>
  <c r="J5927" i="1"/>
  <c r="Z60" i="1"/>
  <c r="AA60" i="1" s="1"/>
  <c r="J4734" i="1"/>
  <c r="E5500" i="1"/>
  <c r="J5946" i="1"/>
  <c r="E4145" i="1"/>
  <c r="G4145" i="1" s="1"/>
  <c r="J4062" i="1"/>
  <c r="J4193" i="1"/>
  <c r="J5522" i="1"/>
  <c r="J5410" i="1"/>
  <c r="Z109" i="1"/>
  <c r="E4847" i="1"/>
  <c r="E5981" i="1"/>
  <c r="J4906" i="1"/>
  <c r="J4716" i="1"/>
  <c r="J5545" i="1"/>
  <c r="E5848" i="1"/>
  <c r="Z410" i="1"/>
  <c r="AA410" i="1" s="1"/>
  <c r="E5659" i="1"/>
  <c r="P383" i="1"/>
  <c r="Z76" i="1"/>
  <c r="E4800" i="1"/>
  <c r="J4712" i="1"/>
  <c r="J4691" i="1"/>
  <c r="J5484" i="1"/>
  <c r="J4929" i="1"/>
  <c r="J5265" i="1"/>
  <c r="J4747" i="1"/>
  <c r="E5632" i="1"/>
  <c r="E5229" i="1"/>
  <c r="J5879" i="1"/>
  <c r="J5577" i="1"/>
  <c r="E5329" i="1"/>
  <c r="G5334" i="1" s="1"/>
  <c r="J5276" i="1"/>
  <c r="E4131" i="1"/>
  <c r="J3946" i="1"/>
  <c r="E4848" i="1"/>
  <c r="G4848" i="1" s="1"/>
  <c r="E5917" i="1"/>
  <c r="E5941" i="1"/>
  <c r="E5312" i="1"/>
  <c r="J4951" i="1"/>
  <c r="J4959" i="1"/>
  <c r="E5734" i="1"/>
  <c r="P226" i="1"/>
  <c r="P416" i="1"/>
  <c r="Q416" i="1" s="1"/>
  <c r="Z63" i="1"/>
  <c r="Z27" i="1"/>
  <c r="J5746" i="1"/>
  <c r="J5554" i="1"/>
  <c r="E5581" i="1"/>
  <c r="G5581" i="1" s="1"/>
  <c r="E5538" i="1"/>
  <c r="J5295" i="1"/>
  <c r="P64" i="1"/>
  <c r="E5280" i="1"/>
  <c r="Z260" i="1"/>
  <c r="AA260" i="1" s="1"/>
  <c r="E5401" i="1"/>
  <c r="P396" i="1"/>
  <c r="J5460" i="1"/>
  <c r="J5255" i="1"/>
  <c r="P207" i="1"/>
  <c r="P305" i="1"/>
  <c r="Q305" i="1" s="1"/>
  <c r="Z235" i="1"/>
  <c r="AA235" i="1" s="1"/>
  <c r="E5702" i="1"/>
  <c r="J5952" i="1"/>
  <c r="Z35" i="1"/>
  <c r="E5596" i="1"/>
  <c r="G5596" i="1" s="1"/>
  <c r="E5506" i="1"/>
  <c r="J5417" i="1"/>
  <c r="Z298" i="1"/>
  <c r="AA298" i="1" s="1"/>
  <c r="E5748" i="1"/>
  <c r="J5380" i="1"/>
  <c r="E5713" i="1"/>
  <c r="J5702" i="1"/>
  <c r="E5567" i="1"/>
  <c r="E4595" i="1"/>
  <c r="J5440" i="1"/>
  <c r="J4931" i="1"/>
  <c r="E5679" i="1"/>
  <c r="J4880" i="1"/>
  <c r="J5999" i="1"/>
  <c r="J4980" i="1"/>
  <c r="E4450" i="1"/>
  <c r="J6022" i="1"/>
  <c r="E5951" i="1"/>
  <c r="E5395" i="1"/>
  <c r="J4431" i="1"/>
  <c r="J5198" i="1"/>
  <c r="E5799" i="1"/>
  <c r="E5053" i="1"/>
  <c r="E5485" i="1"/>
  <c r="E5721" i="1"/>
  <c r="J5404" i="1"/>
  <c r="P129" i="1"/>
  <c r="E4784" i="1"/>
  <c r="E4336" i="1"/>
  <c r="E4864" i="1"/>
  <c r="E4614" i="1"/>
  <c r="J4707" i="1"/>
  <c r="J5844" i="1"/>
  <c r="J5948" i="1"/>
  <c r="P308" i="1"/>
  <c r="J5019" i="1"/>
  <c r="J5294" i="1"/>
  <c r="J5069" i="1"/>
  <c r="J4475" i="1"/>
  <c r="E5871" i="1"/>
  <c r="J5571" i="1"/>
  <c r="E6016" i="1"/>
  <c r="Z204" i="1"/>
  <c r="AA204" i="1" s="1"/>
  <c r="J5822" i="1"/>
  <c r="J5825" i="1"/>
  <c r="E5167" i="1"/>
  <c r="J5911" i="1"/>
  <c r="E4434" i="1"/>
  <c r="G4434" i="1" s="1"/>
  <c r="E5323" i="1"/>
  <c r="E5769" i="1"/>
  <c r="J4991" i="1"/>
  <c r="E5537" i="1"/>
  <c r="J4753" i="1"/>
  <c r="J5465" i="1"/>
  <c r="E5987" i="1"/>
  <c r="J5326" i="1"/>
  <c r="J5618" i="1"/>
  <c r="E5275" i="1"/>
  <c r="E5132" i="1"/>
  <c r="J4811" i="1"/>
  <c r="E5615" i="1"/>
  <c r="E5770" i="1"/>
  <c r="J5727" i="1"/>
  <c r="Z280" i="1"/>
  <c r="E5542" i="1"/>
  <c r="J5473" i="1"/>
  <c r="J5407" i="1"/>
  <c r="J4695" i="1"/>
  <c r="E5129" i="1"/>
  <c r="E5115" i="1"/>
  <c r="P381" i="1"/>
  <c r="Z82" i="1"/>
  <c r="J4922" i="1"/>
  <c r="E5856" i="1"/>
  <c r="J5029" i="1"/>
  <c r="E5367" i="1"/>
  <c r="J5337" i="1"/>
  <c r="Z211" i="1"/>
  <c r="P125" i="1"/>
  <c r="Q125" i="1" s="1"/>
  <c r="P246" i="1"/>
  <c r="Q246" i="1" s="1"/>
  <c r="E4972" i="1"/>
  <c r="E5368" i="1"/>
  <c r="P319" i="1"/>
  <c r="J5994" i="1"/>
  <c r="E5486" i="1"/>
  <c r="G5486" i="1" s="1"/>
  <c r="P62" i="1"/>
  <c r="P85" i="1"/>
  <c r="Z181" i="1"/>
  <c r="J5708" i="1"/>
  <c r="P358" i="1"/>
  <c r="E5591" i="1"/>
  <c r="G5591" i="1" s="1"/>
  <c r="E5967" i="1"/>
  <c r="Z187" i="1"/>
  <c r="E4996" i="1"/>
  <c r="E5044" i="1"/>
  <c r="E5444" i="1"/>
  <c r="G5444" i="1" s="1"/>
  <c r="J5128" i="1"/>
  <c r="J5691" i="1"/>
  <c r="P75" i="1"/>
  <c r="P415" i="1"/>
  <c r="P178" i="1"/>
  <c r="E5658" i="1"/>
  <c r="E3991" i="1"/>
  <c r="J5168" i="1"/>
  <c r="E3373" i="1"/>
  <c r="E4691" i="1"/>
  <c r="J4948" i="1"/>
  <c r="J4780" i="1"/>
  <c r="E5106" i="1"/>
  <c r="E5504" i="1"/>
  <c r="E4834" i="1"/>
  <c r="P298" i="1"/>
  <c r="J5582" i="1"/>
  <c r="J5200" i="1"/>
  <c r="P347" i="1"/>
  <c r="Q347" i="1" s="1"/>
  <c r="E4814" i="1"/>
  <c r="E5250" i="1"/>
  <c r="Z345" i="1"/>
  <c r="J5905" i="1"/>
  <c r="E5740" i="1"/>
  <c r="E5136" i="1"/>
  <c r="J4772" i="1"/>
  <c r="J4520" i="1"/>
  <c r="P219" i="1"/>
  <c r="E5341" i="1"/>
  <c r="J5552" i="1"/>
  <c r="P318" i="1"/>
  <c r="Q318" i="1" s="1"/>
  <c r="E5196" i="1"/>
  <c r="J4510" i="1"/>
  <c r="J4424" i="1"/>
  <c r="J5443" i="1"/>
  <c r="J5062" i="1"/>
  <c r="E5527" i="1"/>
  <c r="P106" i="1"/>
  <c r="E5894" i="1"/>
  <c r="J5292" i="1"/>
  <c r="E5464" i="1"/>
  <c r="E5283" i="1"/>
  <c r="J5020" i="1"/>
  <c r="J5622" i="1"/>
  <c r="E5016" i="1"/>
  <c r="Z18" i="1"/>
  <c r="AA18" i="1" s="1"/>
  <c r="E5440" i="1"/>
  <c r="P220" i="1"/>
  <c r="J5367" i="1"/>
  <c r="E4055" i="1"/>
  <c r="J4328" i="1"/>
  <c r="J5675" i="1"/>
  <c r="J5548" i="1"/>
  <c r="E5223" i="1"/>
  <c r="J5291" i="1"/>
  <c r="J5663" i="1"/>
  <c r="P218" i="1"/>
  <c r="J5299" i="1"/>
  <c r="J4006" i="1"/>
  <c r="E5994" i="1"/>
  <c r="E4934" i="1"/>
  <c r="J4796" i="1"/>
  <c r="J4635" i="1"/>
  <c r="P214" i="1"/>
  <c r="E4708" i="1"/>
  <c r="E5546" i="1"/>
  <c r="P91" i="1"/>
  <c r="J5406" i="1"/>
  <c r="P283" i="1"/>
  <c r="E4311" i="1"/>
  <c r="J5026" i="1"/>
  <c r="E4758" i="1"/>
  <c r="E4462" i="1"/>
  <c r="J5481" i="1"/>
  <c r="E4512" i="1"/>
  <c r="J5480" i="1"/>
  <c r="E4838" i="1"/>
  <c r="E5461" i="1"/>
  <c r="E4810" i="1"/>
  <c r="Z32" i="1"/>
  <c r="AA32" i="1" s="1"/>
  <c r="E4488" i="1"/>
  <c r="E5636" i="1"/>
  <c r="Z175" i="1"/>
  <c r="J4923" i="1"/>
  <c r="J5446" i="1"/>
  <c r="E5484" i="1"/>
  <c r="Z420" i="1"/>
  <c r="J5975" i="1"/>
  <c r="Z31" i="1"/>
  <c r="E5439" i="1"/>
  <c r="E4591" i="1"/>
  <c r="G4596" i="1" s="1"/>
  <c r="E5972" i="1"/>
  <c r="E5056" i="1"/>
  <c r="Z124" i="1"/>
  <c r="J5182" i="1"/>
  <c r="J5604" i="1"/>
  <c r="P323" i="1"/>
  <c r="Q323" i="1" s="1"/>
  <c r="J5120" i="1"/>
  <c r="J5204" i="1"/>
  <c r="J4489" i="1"/>
  <c r="E5153" i="1"/>
  <c r="Z391" i="1"/>
  <c r="Z281" i="1"/>
  <c r="AA281" i="1" s="1"/>
  <c r="Z387" i="1"/>
  <c r="AA387" i="1" s="1"/>
  <c r="J5287" i="1"/>
  <c r="E5688" i="1"/>
  <c r="J5177" i="1"/>
  <c r="J5586" i="1"/>
  <c r="E5670" i="1"/>
  <c r="E5826" i="1"/>
  <c r="P321" i="1"/>
  <c r="Q321" i="1" s="1"/>
  <c r="P242" i="1"/>
  <c r="J4819" i="1"/>
  <c r="P82" i="1"/>
  <c r="E5839" i="1"/>
  <c r="J5704" i="1"/>
  <c r="P8" i="1"/>
  <c r="E5418" i="1"/>
  <c r="E5948" i="1"/>
  <c r="J5453" i="1"/>
  <c r="P249" i="1"/>
  <c r="Q249" i="1" s="1"/>
  <c r="E5944" i="1"/>
  <c r="J5514" i="1"/>
  <c r="E5745" i="1"/>
  <c r="J5811" i="1"/>
  <c r="Z433" i="1"/>
  <c r="P267" i="1"/>
  <c r="E5780" i="1"/>
  <c r="J5668" i="1"/>
  <c r="J5947" i="1"/>
  <c r="Z121" i="1"/>
  <c r="P189" i="1"/>
  <c r="J5706" i="1"/>
  <c r="E5155" i="1"/>
  <c r="Z431" i="1"/>
  <c r="AA431" i="1" s="1"/>
  <c r="E4650" i="1"/>
  <c r="J5308" i="1"/>
  <c r="P435" i="1"/>
  <c r="Z255" i="1"/>
  <c r="Z67" i="1"/>
  <c r="AA67" i="1" s="1"/>
  <c r="Z188" i="1"/>
  <c r="P173" i="1"/>
  <c r="Q173" i="1" s="1"/>
  <c r="E5379" i="1"/>
  <c r="E4826" i="1"/>
  <c r="P235" i="1"/>
  <c r="Q235" i="1" s="1"/>
  <c r="Z163" i="1"/>
  <c r="Z116" i="1"/>
  <c r="Z272" i="1"/>
  <c r="P196" i="1"/>
  <c r="Z398" i="1"/>
  <c r="P60" i="1"/>
  <c r="Q60" i="1" s="1"/>
  <c r="P4" i="1"/>
  <c r="P118" i="1"/>
  <c r="J5215" i="1"/>
  <c r="Z24" i="1"/>
  <c r="E5588" i="1"/>
  <c r="E5523" i="1"/>
  <c r="E5561" i="1"/>
  <c r="J4905" i="1"/>
  <c r="E5443" i="1"/>
  <c r="E5515" i="1"/>
  <c r="E5687" i="1"/>
  <c r="E5813" i="1"/>
  <c r="G5813" i="1" s="1"/>
  <c r="Z91" i="1"/>
  <c r="AA91" i="1" s="1"/>
  <c r="E5459" i="1"/>
  <c r="P66" i="1"/>
  <c r="Q66" i="1" s="1"/>
  <c r="J5888" i="1"/>
  <c r="E5823" i="1"/>
  <c r="G5823" i="1" s="1"/>
  <c r="Z395" i="1"/>
  <c r="AA395" i="1" s="1"/>
  <c r="P146" i="1"/>
  <c r="P264" i="1"/>
  <c r="E5465" i="1"/>
  <c r="J5924" i="1"/>
  <c r="J5247" i="1"/>
  <c r="E5310" i="1"/>
  <c r="E5854" i="1"/>
  <c r="E5704" i="1"/>
  <c r="E5938" i="1"/>
  <c r="Z306" i="1"/>
  <c r="J5467" i="1"/>
  <c r="J5821" i="1"/>
  <c r="E5092" i="1"/>
  <c r="Z51" i="1"/>
  <c r="AA51" i="1" s="1"/>
  <c r="E4948" i="1"/>
  <c r="P270" i="1"/>
  <c r="P402" i="1"/>
  <c r="Q402" i="1" s="1"/>
  <c r="P363" i="1"/>
  <c r="J5882" i="1"/>
  <c r="J5539" i="1"/>
  <c r="P324" i="1"/>
  <c r="P167" i="1"/>
  <c r="P59" i="1"/>
  <c r="Q59" i="1" s="1"/>
  <c r="J5917" i="1"/>
  <c r="J4194" i="1"/>
  <c r="E5996" i="1"/>
  <c r="E5771" i="1"/>
  <c r="J5647" i="1"/>
  <c r="P25" i="1"/>
  <c r="J5956" i="1"/>
  <c r="J5286" i="1"/>
  <c r="E5273" i="1"/>
  <c r="E6002" i="1"/>
  <c r="J5988" i="1"/>
  <c r="J5186" i="1"/>
  <c r="J5216" i="1"/>
  <c r="E5099" i="1"/>
  <c r="E5655" i="1"/>
  <c r="E5559" i="1"/>
  <c r="Z71" i="1"/>
  <c r="Z162" i="1"/>
  <c r="AA162" i="1" s="1"/>
  <c r="E5097" i="1"/>
  <c r="E5530" i="1"/>
  <c r="E6007" i="1"/>
  <c r="Z389" i="1"/>
  <c r="E5676" i="1"/>
  <c r="E5578" i="1"/>
  <c r="P317" i="1"/>
  <c r="Q317" i="1" s="1"/>
  <c r="P291" i="1"/>
  <c r="E5649" i="1"/>
  <c r="P236" i="1"/>
  <c r="P84" i="1"/>
  <c r="Q84" i="1" s="1"/>
  <c r="P192" i="1"/>
  <c r="J5532" i="1"/>
  <c r="P38" i="1"/>
  <c r="Q38" i="1" s="1"/>
  <c r="Z259" i="1"/>
  <c r="P422" i="1"/>
  <c r="E5124" i="1"/>
  <c r="J5023" i="1"/>
  <c r="E5338" i="1"/>
  <c r="P256" i="1"/>
  <c r="Z148" i="1"/>
  <c r="Z239" i="1"/>
  <c r="J5470" i="1"/>
  <c r="E5000" i="1"/>
  <c r="Z178" i="1"/>
  <c r="AA178" i="1" s="1"/>
  <c r="E5054" i="1"/>
  <c r="Z10" i="1"/>
  <c r="Z384" i="1"/>
  <c r="AA384" i="1" s="1"/>
  <c r="Z114" i="1"/>
  <c r="P336" i="1"/>
  <c r="Z13" i="1"/>
  <c r="Z79" i="1"/>
  <c r="E5391" i="1"/>
  <c r="Z190" i="1"/>
  <c r="E5811" i="1"/>
  <c r="P344" i="1"/>
  <c r="E5446" i="1"/>
  <c r="P380" i="1"/>
  <c r="Q380" i="1" s="1"/>
  <c r="Z385" i="1"/>
  <c r="J5717" i="1"/>
  <c r="Z111" i="1"/>
  <c r="J5874" i="1"/>
  <c r="J5190" i="1"/>
  <c r="J5943" i="1"/>
  <c r="Z64" i="1"/>
  <c r="AA64" i="1" s="1"/>
  <c r="E5424" i="1"/>
  <c r="E5637" i="1"/>
  <c r="Z418" i="1"/>
  <c r="P432" i="1"/>
  <c r="Q432" i="1" s="1"/>
  <c r="E5029" i="1"/>
  <c r="E5510" i="1"/>
  <c r="Z360" i="1"/>
  <c r="AA360" i="1" s="1"/>
  <c r="E5935" i="1"/>
  <c r="J5258" i="1"/>
  <c r="E5197" i="1"/>
  <c r="G5197" i="1" s="1"/>
  <c r="J5613" i="1"/>
  <c r="E5227" i="1"/>
  <c r="E5488" i="1"/>
  <c r="P427" i="1"/>
  <c r="E5602" i="1"/>
  <c r="P184" i="1"/>
  <c r="Q184" i="1" s="1"/>
  <c r="P22" i="1"/>
  <c r="Q22" i="1" s="1"/>
  <c r="P110" i="1"/>
  <c r="P403" i="1"/>
  <c r="Q403" i="1" s="1"/>
  <c r="J4978" i="1"/>
  <c r="Z167" i="1"/>
  <c r="E5452" i="1"/>
  <c r="Z378" i="1"/>
  <c r="Z349" i="1"/>
  <c r="Z308" i="1"/>
  <c r="Z22" i="1"/>
  <c r="J5107" i="1"/>
  <c r="P143" i="1"/>
  <c r="E5516" i="1"/>
  <c r="G5521" i="1" s="1"/>
  <c r="E5564" i="1"/>
  <c r="P224" i="1"/>
  <c r="P136" i="1"/>
  <c r="P248" i="1"/>
  <c r="E6000" i="1"/>
  <c r="G6005" i="1" s="1"/>
  <c r="E5874" i="1"/>
  <c r="J5818" i="1"/>
  <c r="P170" i="1"/>
  <c r="E5908" i="1"/>
  <c r="E5020" i="1"/>
  <c r="P351" i="1"/>
  <c r="Q351" i="1" s="1"/>
  <c r="Z257" i="1"/>
  <c r="AA257" i="1" s="1"/>
  <c r="E5063" i="1"/>
  <c r="E4975" i="1"/>
  <c r="G4975" i="1" s="1"/>
  <c r="E5876" i="1"/>
  <c r="Z7" i="1"/>
  <c r="Z137" i="1"/>
  <c r="Z40" i="1"/>
  <c r="E5756" i="1"/>
  <c r="E4968" i="1"/>
  <c r="E5533" i="1"/>
  <c r="P67" i="1"/>
  <c r="Z346" i="1"/>
  <c r="AA346" i="1" s="1"/>
  <c r="P100" i="1"/>
  <c r="Q100" i="1" s="1"/>
  <c r="P429" i="1"/>
  <c r="J5616" i="1"/>
  <c r="Z408" i="1"/>
  <c r="J5510" i="1"/>
  <c r="J5322" i="1"/>
  <c r="J4993" i="1"/>
  <c r="E4687" i="1"/>
  <c r="J5784" i="1"/>
  <c r="J5909" i="1"/>
  <c r="J5770" i="1"/>
  <c r="J5623" i="1"/>
  <c r="J5740" i="1"/>
  <c r="E5840" i="1"/>
  <c r="P112" i="1"/>
  <c r="Q112" i="1" s="1"/>
  <c r="P367" i="1"/>
  <c r="J5812" i="1"/>
  <c r="J5940" i="1"/>
  <c r="E5186" i="1"/>
  <c r="Z351" i="1"/>
  <c r="AA351" i="1" s="1"/>
  <c r="E5021" i="1"/>
  <c r="Z53" i="1"/>
  <c r="P311" i="1"/>
  <c r="Z321" i="1"/>
  <c r="AA321" i="1" s="1"/>
  <c r="Z70" i="1"/>
  <c r="AA70" i="1" s="1"/>
  <c r="E5456" i="1"/>
  <c r="E4878" i="1"/>
  <c r="G4883" i="1" s="1"/>
  <c r="J5025" i="1"/>
  <c r="J4845" i="1"/>
  <c r="J5438" i="1"/>
  <c r="E5098" i="1"/>
  <c r="E4989" i="1"/>
  <c r="E5366" i="1"/>
  <c r="J4976" i="1"/>
  <c r="E4903" i="1"/>
  <c r="Z284" i="1"/>
  <c r="Z312" i="1"/>
  <c r="AA312" i="1" s="1"/>
  <c r="E5571" i="1"/>
  <c r="Z166" i="1"/>
  <c r="P77" i="1"/>
  <c r="Z127" i="1"/>
  <c r="Z390" i="1"/>
  <c r="AA390" i="1" s="1"/>
  <c r="Z368" i="1"/>
  <c r="Z335" i="1"/>
  <c r="P408" i="1"/>
  <c r="J5916" i="1"/>
  <c r="E5666" i="1"/>
  <c r="E5766" i="1"/>
  <c r="Z426" i="1"/>
  <c r="AA426" i="1" s="1"/>
  <c r="Z189" i="1"/>
  <c r="J5227" i="1"/>
  <c r="J5436" i="1"/>
  <c r="J5087" i="1"/>
  <c r="E5570" i="1"/>
  <c r="J5651" i="1"/>
  <c r="E5758" i="1"/>
  <c r="G5758" i="1" s="1"/>
  <c r="P97" i="1"/>
  <c r="J5951" i="1"/>
  <c r="E5891" i="1"/>
  <c r="Z301" i="1"/>
  <c r="AA301" i="1" s="1"/>
  <c r="J5937" i="1"/>
  <c r="E6006" i="1"/>
  <c r="E5084" i="1"/>
  <c r="P436" i="1"/>
  <c r="J5892" i="1"/>
  <c r="Z288" i="1"/>
  <c r="AA288" i="1" s="1"/>
  <c r="P195" i="1"/>
  <c r="P18" i="1"/>
  <c r="Q18" i="1" s="1"/>
  <c r="P265" i="1"/>
  <c r="P407" i="1"/>
  <c r="Z25" i="1"/>
  <c r="J5377" i="1"/>
  <c r="P297" i="1"/>
  <c r="Q297" i="1" s="1"/>
  <c r="E5565" i="1"/>
  <c r="P241" i="1"/>
  <c r="P79" i="1"/>
  <c r="P187" i="1"/>
  <c r="Q187" i="1" s="1"/>
  <c r="Z258" i="1"/>
  <c r="AA258" i="1" s="1"/>
  <c r="J5559" i="1"/>
  <c r="J6000" i="1"/>
  <c r="E5834" i="1"/>
  <c r="P30" i="1"/>
  <c r="E5872" i="1"/>
  <c r="E4970" i="1"/>
  <c r="G4970" i="1" s="1"/>
  <c r="E6013" i="1"/>
  <c r="P57" i="1"/>
  <c r="E5493" i="1"/>
  <c r="P153" i="1"/>
  <c r="Z77" i="1"/>
  <c r="P406" i="1"/>
  <c r="Z399" i="1"/>
  <c r="Z414" i="1"/>
  <c r="AA414" i="1" s="1"/>
  <c r="Z337" i="1"/>
  <c r="E5735" i="1"/>
  <c r="E5370" i="1"/>
  <c r="J5721" i="1"/>
  <c r="P247" i="1"/>
  <c r="Q247" i="1" s="1"/>
  <c r="J5445" i="1"/>
  <c r="J5886" i="1"/>
  <c r="Z103" i="1"/>
  <c r="J5719" i="1"/>
  <c r="J5267" i="1"/>
  <c r="J5697" i="1"/>
  <c r="J5992" i="1"/>
  <c r="Z361" i="1"/>
  <c r="Z69" i="1"/>
  <c r="Z138" i="1"/>
  <c r="E5609" i="1"/>
  <c r="E6011" i="1"/>
  <c r="Z352" i="1"/>
  <c r="P61" i="1"/>
  <c r="Q61" i="1" s="1"/>
  <c r="Z320" i="1"/>
  <c r="P315" i="1"/>
  <c r="J5896" i="1"/>
  <c r="Z376" i="1"/>
  <c r="J5979" i="1"/>
  <c r="E5672" i="1"/>
  <c r="J6015" i="1"/>
  <c r="Z331" i="1"/>
  <c r="E5931" i="1"/>
  <c r="E5783" i="1"/>
  <c r="G5788" i="1" s="1"/>
  <c r="J5961" i="1"/>
  <c r="J5778" i="1"/>
  <c r="E5625" i="1"/>
  <c r="J4917" i="1"/>
  <c r="Z145" i="1"/>
  <c r="AA145" i="1" s="1"/>
  <c r="J5679" i="1"/>
  <c r="E5820" i="1"/>
  <c r="Z93" i="1"/>
  <c r="Z110" i="1"/>
  <c r="E5315" i="1"/>
  <c r="E5991" i="1"/>
  <c r="P144" i="1"/>
  <c r="Q144" i="1" s="1"/>
  <c r="J5490" i="1"/>
  <c r="E5381" i="1"/>
  <c r="Z128" i="1"/>
  <c r="Z142" i="1"/>
  <c r="AA142" i="1" s="1"/>
  <c r="J5058" i="1"/>
  <c r="J5573" i="1"/>
  <c r="J5649" i="1"/>
  <c r="Z314" i="1"/>
  <c r="Z17" i="1"/>
  <c r="Z89" i="1"/>
  <c r="P191" i="1"/>
  <c r="E5550" i="1"/>
  <c r="J5378" i="1"/>
  <c r="J5662" i="1"/>
  <c r="J5699" i="1"/>
  <c r="E5673" i="1"/>
  <c r="Z19" i="1"/>
  <c r="E5793" i="1"/>
  <c r="E5763" i="1"/>
  <c r="G5763" i="1" s="1"/>
  <c r="J5342" i="1"/>
  <c r="J5393" i="1"/>
  <c r="J5327" i="1"/>
  <c r="P222" i="1"/>
  <c r="E5661" i="1"/>
  <c r="G5666" i="1" s="1"/>
  <c r="P322" i="1"/>
  <c r="Z225" i="1"/>
  <c r="AA225" i="1" s="1"/>
  <c r="Z371" i="1"/>
  <c r="P326" i="1"/>
  <c r="P78" i="1"/>
  <c r="Q78" i="1" s="1"/>
  <c r="P3" i="1"/>
  <c r="Z299" i="1"/>
  <c r="J5305" i="1"/>
  <c r="J5497" i="1"/>
  <c r="Z382" i="1"/>
  <c r="Z396" i="1"/>
  <c r="Z45" i="1"/>
  <c r="J5983" i="1"/>
  <c r="Z283" i="1"/>
  <c r="J5793" i="1"/>
  <c r="P312" i="1"/>
  <c r="Q312" i="1" s="1"/>
  <c r="Z30" i="1"/>
  <c r="E5490" i="1"/>
  <c r="E5327" i="1"/>
  <c r="P107" i="1"/>
  <c r="P362" i="1"/>
  <c r="J5193" i="1"/>
  <c r="Z95" i="1"/>
  <c r="AA95" i="1" s="1"/>
  <c r="E5665" i="1"/>
  <c r="E5468" i="1"/>
  <c r="J5235" i="1"/>
  <c r="J4994" i="1"/>
  <c r="E5111" i="1"/>
  <c r="Z394" i="1"/>
  <c r="AA394" i="1" s="1"/>
  <c r="Z413" i="1"/>
  <c r="J5701" i="1"/>
  <c r="E4833" i="1"/>
  <c r="E5425" i="1"/>
  <c r="Z192" i="1"/>
  <c r="J5356" i="1"/>
  <c r="J5123" i="1"/>
  <c r="Z291" i="1"/>
  <c r="P394" i="1"/>
  <c r="J5803" i="1"/>
  <c r="E5779" i="1"/>
  <c r="Z141" i="1"/>
  <c r="AA141" i="1" s="1"/>
  <c r="E5416" i="1"/>
  <c r="P400" i="1"/>
  <c r="Q400" i="1" s="1"/>
  <c r="E5532" i="1"/>
  <c r="P254" i="1"/>
  <c r="E6003" i="1"/>
  <c r="E6009" i="1"/>
  <c r="J5429" i="1"/>
  <c r="Z176" i="1"/>
  <c r="Z333" i="1"/>
  <c r="J5400" i="1"/>
  <c r="E5773" i="1"/>
  <c r="Z363" i="1"/>
  <c r="E5050" i="1"/>
  <c r="J5358" i="1"/>
  <c r="E5708" i="1"/>
  <c r="Z201" i="1"/>
  <c r="J5039" i="1"/>
  <c r="P260" i="1"/>
  <c r="Q260" i="1" s="1"/>
  <c r="P392" i="1"/>
  <c r="Q392" i="1" s="1"/>
  <c r="P230" i="1"/>
  <c r="E5881" i="1"/>
  <c r="J5241" i="1"/>
  <c r="P314" i="1"/>
  <c r="Q314" i="1" s="1"/>
  <c r="P157" i="1"/>
  <c r="P49" i="1"/>
  <c r="J5799" i="1"/>
  <c r="E5832" i="1"/>
  <c r="J5324" i="1"/>
  <c r="J5229" i="1"/>
  <c r="P154" i="1"/>
  <c r="Q154" i="1" s="1"/>
  <c r="Z341" i="1"/>
  <c r="AA341" i="1" s="1"/>
  <c r="P166" i="1"/>
  <c r="Z133" i="1"/>
  <c r="P359" i="1"/>
  <c r="Z209" i="1"/>
  <c r="J4809" i="1"/>
  <c r="E5869" i="1"/>
  <c r="P401" i="1"/>
  <c r="Q401" i="1" s="1"/>
  <c r="P244" i="1"/>
  <c r="Z174" i="1"/>
  <c r="P268" i="1"/>
  <c r="Q268" i="1" s="1"/>
  <c r="E5801" i="1"/>
  <c r="J5244" i="1"/>
  <c r="P160" i="1"/>
  <c r="P190" i="1"/>
  <c r="P13" i="1"/>
  <c r="J4894" i="1"/>
  <c r="E5852" i="1"/>
  <c r="J5761" i="1"/>
  <c r="E5399" i="1"/>
  <c r="G5399" i="1" s="1"/>
  <c r="P158" i="1"/>
  <c r="E5489" i="1"/>
  <c r="E5369" i="1"/>
  <c r="P74" i="1"/>
  <c r="Q74" i="1" s="1"/>
  <c r="P182" i="1"/>
  <c r="Q182" i="1" s="1"/>
  <c r="Z169" i="1"/>
  <c r="J5311" i="1"/>
  <c r="E5977" i="1"/>
  <c r="Z429" i="1"/>
  <c r="AA429" i="1" s="1"/>
  <c r="Z421" i="1"/>
  <c r="AA421" i="1" s="1"/>
  <c r="Z218" i="1"/>
  <c r="Z14" i="1"/>
  <c r="P42" i="1"/>
  <c r="E5149" i="1"/>
  <c r="P299" i="1"/>
  <c r="P255" i="1"/>
  <c r="Q255" i="1" s="1"/>
  <c r="J5067" i="1"/>
  <c r="Z94" i="1"/>
  <c r="E5251" i="1"/>
  <c r="J6002" i="1"/>
  <c r="E5553" i="1"/>
  <c r="E5957" i="1"/>
  <c r="Z228" i="1"/>
  <c r="J5648" i="1"/>
  <c r="E5317" i="1"/>
  <c r="E5173" i="1"/>
  <c r="E5078" i="1"/>
  <c r="E5798" i="1"/>
  <c r="G5798" i="1" s="1"/>
  <c r="J5929" i="1"/>
  <c r="J5694" i="1"/>
  <c r="P205" i="1"/>
  <c r="Q205" i="1" s="1"/>
  <c r="J5912" i="1"/>
  <c r="J5583" i="1"/>
  <c r="J5993" i="1"/>
  <c r="E5808" i="1"/>
  <c r="Z392" i="1"/>
  <c r="AA392" i="1" s="1"/>
  <c r="J5600" i="1"/>
  <c r="P339" i="1"/>
  <c r="Q339" i="1" s="1"/>
  <c r="Z315" i="1"/>
  <c r="AA315" i="1" s="1"/>
  <c r="Z216" i="1"/>
  <c r="AA216" i="1" s="1"/>
  <c r="P186" i="1"/>
  <c r="Q186" i="1" s="1"/>
  <c r="Z183" i="1"/>
  <c r="E6022" i="1"/>
  <c r="P338" i="1"/>
  <c r="Q338" i="1" s="1"/>
  <c r="P108" i="1"/>
  <c r="Q108" i="1" s="1"/>
  <c r="J4958" i="1"/>
  <c r="Z400" i="1"/>
  <c r="J5854" i="1"/>
  <c r="E5622" i="1"/>
  <c r="E5605" i="1"/>
  <c r="J5457" i="1"/>
  <c r="J5031" i="1"/>
  <c r="P174" i="1"/>
  <c r="Q174" i="1" s="1"/>
  <c r="P12" i="1"/>
  <c r="J5508" i="1"/>
  <c r="Z422" i="1"/>
  <c r="AA422" i="1" s="1"/>
  <c r="Z316" i="1"/>
  <c r="AA316" i="1" s="1"/>
  <c r="J5964" i="1"/>
  <c r="P70" i="1"/>
  <c r="J5323" i="1"/>
  <c r="Z383" i="1"/>
  <c r="AA383" i="1" s="1"/>
  <c r="Z253" i="1"/>
  <c r="AA253" i="1" s="1"/>
  <c r="P285" i="1"/>
  <c r="Q285" i="1" s="1"/>
  <c r="Z336" i="1"/>
  <c r="AA336" i="1" s="1"/>
  <c r="E4717" i="1"/>
  <c r="J5598" i="1"/>
  <c r="E5083" i="1"/>
  <c r="J5827" i="1"/>
  <c r="J5209" i="1"/>
  <c r="P126" i="1"/>
  <c r="Q126" i="1" s="1"/>
  <c r="J5501" i="1"/>
  <c r="Z386" i="1"/>
  <c r="AA386" i="1" s="1"/>
  <c r="E5989" i="1"/>
  <c r="J5549" i="1"/>
  <c r="J5526" i="1"/>
  <c r="E5435" i="1"/>
  <c r="J5711" i="1"/>
  <c r="P341" i="1"/>
  <c r="P369" i="1"/>
  <c r="Q369" i="1" s="1"/>
  <c r="Z290" i="1"/>
  <c r="AA290" i="1" s="1"/>
  <c r="Z11" i="1"/>
  <c r="AA11" i="1" s="1"/>
  <c r="E5870" i="1"/>
  <c r="Z403" i="1"/>
  <c r="Z365" i="1"/>
  <c r="AA365" i="1" s="1"/>
  <c r="P130" i="1"/>
  <c r="Q130" i="1" s="1"/>
  <c r="Z49" i="1"/>
  <c r="AA49" i="1" s="1"/>
  <c r="J5922" i="1"/>
  <c r="E5460" i="1"/>
  <c r="J5570" i="1"/>
  <c r="J6008" i="1"/>
  <c r="E5761" i="1"/>
  <c r="Z409" i="1"/>
  <c r="AA409" i="1" s="1"/>
  <c r="Z125" i="1"/>
  <c r="AA125" i="1" s="1"/>
  <c r="J5955" i="1"/>
  <c r="J5673" i="1"/>
  <c r="E5652" i="1"/>
  <c r="E4851" i="1"/>
  <c r="Z425" i="1"/>
  <c r="AA425" i="1" s="1"/>
  <c r="Z439" i="1"/>
  <c r="AA439" i="1" s="1"/>
  <c r="Z370" i="1"/>
  <c r="AA370" i="1" s="1"/>
  <c r="P15" i="1"/>
  <c r="Q15" i="1" s="1"/>
  <c r="P76" i="1"/>
  <c r="E5478" i="1"/>
  <c r="Z350" i="1"/>
  <c r="AA350" i="1" s="1"/>
  <c r="E5696" i="1"/>
  <c r="Z90" i="1"/>
  <c r="AA90" i="1" s="1"/>
  <c r="E5723" i="1"/>
  <c r="P238" i="1"/>
  <c r="Q238" i="1" s="1"/>
  <c r="J4889" i="1"/>
  <c r="P309" i="1"/>
  <c r="Q309" i="1" s="1"/>
  <c r="Z377" i="1"/>
  <c r="AA377" i="1" s="1"/>
  <c r="P123" i="1"/>
  <c r="Q123" i="1" s="1"/>
  <c r="P301" i="1"/>
  <c r="Q301" i="1" s="1"/>
  <c r="Z96" i="1"/>
  <c r="Z158" i="1"/>
  <c r="AA158" i="1" s="1"/>
  <c r="Z200" i="1"/>
  <c r="AA200" i="1" s="1"/>
  <c r="J5602" i="1"/>
  <c r="J5733" i="1"/>
  <c r="E6015" i="1"/>
  <c r="J5441" i="1"/>
  <c r="E5830" i="1"/>
  <c r="Z372" i="1"/>
  <c r="AA372" i="1" s="1"/>
  <c r="J5664" i="1"/>
  <c r="J5963" i="1"/>
  <c r="J5462" i="1"/>
  <c r="E5858" i="1"/>
  <c r="P395" i="1"/>
  <c r="E5046" i="1"/>
  <c r="E5220" i="1"/>
  <c r="E4723" i="1"/>
  <c r="E5086" i="1"/>
  <c r="P245" i="1"/>
  <c r="Q245" i="1" s="1"/>
  <c r="E5189" i="1"/>
  <c r="E5262" i="1"/>
  <c r="E4894" i="1"/>
  <c r="J5596" i="1"/>
  <c r="Z107" i="1"/>
  <c r="AA107" i="1" s="1"/>
  <c r="E5817" i="1"/>
  <c r="Z120" i="1"/>
  <c r="AA120" i="1" s="1"/>
  <c r="P310" i="1"/>
  <c r="E5902" i="1"/>
  <c r="E5827" i="1"/>
  <c r="P307" i="1"/>
  <c r="P281" i="1"/>
  <c r="Q281" i="1" s="1"/>
  <c r="J5516" i="1"/>
  <c r="E5587" i="1"/>
  <c r="Z407" i="1"/>
  <c r="Z243" i="1"/>
  <c r="AA243" i="1" s="1"/>
  <c r="P135" i="1"/>
  <c r="E5583" i="1"/>
  <c r="P327" i="1"/>
  <c r="E5462" i="1"/>
  <c r="J5658" i="1"/>
  <c r="Z375" i="1"/>
  <c r="AA375" i="1" s="1"/>
  <c r="J5328" i="1"/>
  <c r="Z21" i="1"/>
  <c r="AA21" i="1" s="1"/>
  <c r="Z327" i="1"/>
  <c r="P183" i="1"/>
  <c r="Z242" i="1"/>
  <c r="AA242" i="1" s="1"/>
  <c r="Z296" i="1"/>
  <c r="P217" i="1"/>
  <c r="Q217" i="1" s="1"/>
  <c r="J5900" i="1"/>
  <c r="Z42" i="1"/>
  <c r="AA42" i="1" s="1"/>
  <c r="P58" i="1"/>
  <c r="E5705" i="1"/>
  <c r="E5975" i="1"/>
  <c r="G5980" i="1" s="1"/>
  <c r="E5841" i="1"/>
  <c r="Z415" i="1"/>
  <c r="AA415" i="1" s="1"/>
  <c r="E5513" i="1"/>
  <c r="E5382" i="1"/>
  <c r="E5803" i="1"/>
  <c r="P20" i="1"/>
  <c r="J5883" i="1"/>
  <c r="J6009" i="1"/>
  <c r="E5667" i="1"/>
  <c r="J5580" i="1"/>
  <c r="E5524" i="1"/>
  <c r="J5918" i="1"/>
  <c r="Z165" i="1"/>
  <c r="Z332" i="1"/>
  <c r="AA332" i="1" s="1"/>
  <c r="J5871" i="1"/>
  <c r="J5898" i="1"/>
  <c r="Z135" i="1"/>
  <c r="P19" i="1"/>
  <c r="Q19" i="1" s="1"/>
  <c r="E5335" i="1"/>
  <c r="E5759" i="1"/>
  <c r="J5316" i="1"/>
  <c r="Z57" i="1"/>
  <c r="AA57" i="1" s="1"/>
  <c r="P382" i="1"/>
  <c r="E5976" i="1"/>
  <c r="E5695" i="1"/>
  <c r="P56" i="1"/>
  <c r="P437" i="1"/>
  <c r="J5277" i="1"/>
  <c r="J5834" i="1"/>
  <c r="Z84" i="1"/>
  <c r="AA84" i="1" s="1"/>
  <c r="J5775" i="1"/>
  <c r="J5587" i="1"/>
  <c r="E5491" i="1"/>
  <c r="G5491" i="1" s="1"/>
  <c r="E5968" i="1"/>
  <c r="E5521" i="1"/>
  <c r="J5687" i="1"/>
  <c r="Z117" i="1"/>
  <c r="Z293" i="1"/>
  <c r="Z324" i="1"/>
  <c r="E5842" i="1"/>
  <c r="E5610" i="1"/>
  <c r="J5369" i="1"/>
  <c r="E5955" i="1"/>
  <c r="G5955" i="1" s="1"/>
  <c r="E5889" i="1"/>
  <c r="P193" i="1"/>
  <c r="Q193" i="1" s="1"/>
  <c r="P325" i="1"/>
  <c r="E5598" i="1"/>
  <c r="J4139" i="1"/>
  <c r="E5445" i="1"/>
  <c r="P71" i="1"/>
  <c r="Q71" i="1" s="1"/>
  <c r="J5641" i="1"/>
  <c r="Z8" i="1"/>
  <c r="P63" i="1"/>
  <c r="P276" i="1"/>
  <c r="Q276" i="1" s="1"/>
  <c r="E4971" i="1"/>
  <c r="E5774" i="1"/>
  <c r="J5829" i="1"/>
  <c r="E5628" i="1"/>
  <c r="J5249" i="1"/>
  <c r="P280" i="1"/>
  <c r="Q280" i="1" s="1"/>
  <c r="P412" i="1"/>
  <c r="Z265" i="1"/>
  <c r="E5776" i="1"/>
  <c r="J5251" i="1"/>
  <c r="P334" i="1"/>
  <c r="P177" i="1"/>
  <c r="Q177" i="1" s="1"/>
  <c r="P69" i="1"/>
  <c r="Q69" i="1" s="1"/>
  <c r="P181" i="1"/>
  <c r="J4384" i="1"/>
  <c r="E5743" i="1"/>
  <c r="E6023" i="1"/>
  <c r="E5333" i="1"/>
  <c r="P35" i="1"/>
  <c r="P290" i="1"/>
  <c r="Q290" i="1" s="1"/>
  <c r="E5495" i="1"/>
  <c r="E5875" i="1"/>
  <c r="E5888" i="1"/>
  <c r="E5582" i="1"/>
  <c r="J5221" i="1"/>
  <c r="Z359" i="1"/>
  <c r="Z271" i="1"/>
  <c r="AA271" i="1" s="1"/>
  <c r="E5782" i="1"/>
  <c r="Z179" i="1"/>
  <c r="Z182" i="1"/>
  <c r="AA182" i="1" s="1"/>
  <c r="P216" i="1"/>
  <c r="J5454" i="1"/>
  <c r="Z379" i="1"/>
  <c r="P33" i="1"/>
  <c r="E5014" i="1"/>
  <c r="Z226" i="1"/>
  <c r="J5259" i="1"/>
  <c r="E5964" i="1"/>
  <c r="J5700" i="1"/>
  <c r="J5493" i="1"/>
  <c r="Z436" i="1"/>
  <c r="E5190" i="1"/>
  <c r="J5902" i="1"/>
  <c r="Z237" i="1"/>
  <c r="AA237" i="1" s="1"/>
  <c r="J5971" i="1"/>
  <c r="J5771" i="1"/>
  <c r="Z197" i="1"/>
  <c r="J5513" i="1"/>
  <c r="E5718" i="1"/>
  <c r="G5723" i="1" s="1"/>
  <c r="E5314" i="1"/>
  <c r="E5343" i="1"/>
  <c r="J5476" i="1"/>
  <c r="E5644" i="1"/>
  <c r="Z374" i="1"/>
  <c r="AA374" i="1" s="1"/>
  <c r="P306" i="1"/>
  <c r="Z233" i="1"/>
  <c r="Z305" i="1"/>
  <c r="P165" i="1"/>
  <c r="E5929" i="1"/>
  <c r="E5729" i="1"/>
  <c r="Z157" i="1"/>
  <c r="AA157" i="1" s="1"/>
  <c r="P95" i="1"/>
  <c r="P424" i="1"/>
  <c r="Q424" i="1" s="1"/>
  <c r="J6012" i="1"/>
  <c r="Z292" i="1"/>
  <c r="E5337" i="1"/>
  <c r="P10" i="1"/>
  <c r="J5735" i="1"/>
  <c r="P390" i="1"/>
  <c r="E5825" i="1"/>
  <c r="J5340" i="1"/>
  <c r="J5298" i="1"/>
  <c r="J5876" i="1"/>
  <c r="Z101" i="1"/>
  <c r="E4870" i="1"/>
  <c r="Z267" i="1"/>
  <c r="Z74" i="1"/>
  <c r="Z15" i="1"/>
  <c r="AA15" i="1" s="1"/>
  <c r="Z87" i="1"/>
  <c r="Z245" i="1"/>
  <c r="E5923" i="1"/>
  <c r="Z33" i="1"/>
  <c r="Z160" i="1"/>
  <c r="Z172" i="1"/>
  <c r="J4543" i="1"/>
  <c r="J5268" i="1"/>
  <c r="E5973" i="1"/>
  <c r="E5297" i="1"/>
  <c r="J5910" i="1"/>
  <c r="E5821" i="1"/>
  <c r="J5995" i="1"/>
  <c r="J5908" i="1"/>
  <c r="J5907" i="1"/>
  <c r="E6012" i="1"/>
  <c r="J5936" i="1"/>
  <c r="Z29" i="1"/>
  <c r="AA29" i="1" s="1"/>
  <c r="J5411" i="1"/>
  <c r="J5945" i="1"/>
  <c r="Z241" i="1"/>
  <c r="AA241" i="1" s="1"/>
  <c r="P156" i="1"/>
  <c r="P274" i="1"/>
  <c r="Q274" i="1" s="1"/>
  <c r="E5403" i="1"/>
  <c r="P139" i="1"/>
  <c r="E5145" i="1"/>
  <c r="E5170" i="1"/>
  <c r="E5730" i="1"/>
  <c r="P434" i="1"/>
  <c r="J5301" i="1"/>
  <c r="Z47" i="1"/>
  <c r="AA47" i="1" s="1"/>
  <c r="J5538" i="1"/>
  <c r="E5279" i="1"/>
  <c r="J5065" i="1"/>
  <c r="J5837" i="1"/>
  <c r="E5785" i="1"/>
  <c r="J5181" i="1"/>
  <c r="Z139" i="1"/>
  <c r="E5651" i="1"/>
  <c r="E4686" i="1"/>
  <c r="J5136" i="1"/>
  <c r="J5628" i="1"/>
  <c r="J5766" i="1"/>
  <c r="J5226" i="1"/>
  <c r="Z185" i="1"/>
  <c r="J5487" i="1"/>
  <c r="E4689" i="1"/>
  <c r="E5836" i="1"/>
  <c r="Z334" i="1"/>
  <c r="Z155" i="1"/>
  <c r="AA155" i="1" s="1"/>
  <c r="Z129" i="1"/>
  <c r="Z317" i="1"/>
  <c r="P32" i="1"/>
  <c r="J5968" i="1"/>
  <c r="E5265" i="1"/>
  <c r="P140" i="1"/>
  <c r="J5205" i="1"/>
  <c r="E5428" i="1"/>
  <c r="J5416" i="1"/>
  <c r="E5942" i="1"/>
  <c r="J5817" i="1"/>
  <c r="E5930" i="1"/>
  <c r="G5935" i="1" s="1"/>
  <c r="E5497" i="1"/>
  <c r="J5278" i="1"/>
  <c r="E5393" i="1"/>
  <c r="J5385" i="1"/>
  <c r="J5734" i="1"/>
  <c r="J5796" i="1"/>
  <c r="E5073" i="1"/>
  <c r="E5879" i="1"/>
  <c r="E4419" i="1"/>
  <c r="E4808" i="1"/>
  <c r="G4808" i="1" s="1"/>
  <c r="P271" i="1"/>
  <c r="E5520" i="1"/>
  <c r="E5877" i="1"/>
  <c r="E5810" i="1"/>
  <c r="P152" i="1"/>
  <c r="P44" i="1"/>
  <c r="Q44" i="1" s="1"/>
  <c r="E5750" i="1"/>
  <c r="J5859" i="1"/>
  <c r="E5307" i="1"/>
  <c r="E5816" i="1"/>
  <c r="E5601" i="1"/>
  <c r="G5601" i="1" s="1"/>
  <c r="E5985" i="1"/>
  <c r="E6020" i="1"/>
  <c r="P198" i="1"/>
  <c r="Q198" i="1" s="1"/>
  <c r="P330" i="1"/>
  <c r="J5347" i="1"/>
  <c r="E5065" i="1"/>
  <c r="J5564" i="1"/>
  <c r="P252" i="1"/>
  <c r="Q252" i="1" s="1"/>
  <c r="J5863" i="1"/>
  <c r="P404" i="1"/>
  <c r="Q404" i="1" s="1"/>
  <c r="P137" i="1"/>
  <c r="E6024" i="1"/>
  <c r="Z100" i="1"/>
  <c r="AA100" i="1" s="1"/>
  <c r="J5791" i="1"/>
  <c r="E5642" i="1"/>
  <c r="E6021" i="1"/>
  <c r="P229" i="1"/>
  <c r="P141" i="1"/>
  <c r="P253" i="1"/>
  <c r="Q253" i="1" s="1"/>
  <c r="J5471" i="1"/>
  <c r="Z72" i="1"/>
  <c r="Z131" i="1"/>
  <c r="Z274" i="1"/>
  <c r="J5350" i="1"/>
  <c r="Z405" i="1"/>
  <c r="AA405" i="1" s="1"/>
  <c r="Z343" i="1"/>
  <c r="J5814" i="1"/>
  <c r="Z250" i="1"/>
  <c r="Z222" i="1"/>
  <c r="AA222" i="1" s="1"/>
  <c r="E6019" i="1"/>
  <c r="Z236" i="1"/>
  <c r="P374" i="1"/>
  <c r="Q374" i="1" s="1"/>
  <c r="Z356" i="1"/>
  <c r="Z5" i="1"/>
  <c r="P28" i="1"/>
  <c r="Q28" i="1" s="1"/>
  <c r="P275" i="1"/>
  <c r="P417" i="1"/>
  <c r="E5398" i="1"/>
  <c r="J5543" i="1"/>
  <c r="E5768" i="1"/>
  <c r="E5296" i="1"/>
  <c r="E5910" i="1"/>
  <c r="J5617" i="1"/>
  <c r="P116" i="1"/>
  <c r="Q116" i="1" s="1"/>
  <c r="J5472" i="1"/>
  <c r="Z153" i="1"/>
  <c r="AA153" i="1" s="1"/>
  <c r="E5267" i="1"/>
  <c r="E5794" i="1"/>
  <c r="J5891" i="1"/>
  <c r="J5296" i="1"/>
  <c r="J5650" i="1"/>
  <c r="P331" i="1"/>
  <c r="P266" i="1"/>
  <c r="P149" i="1"/>
  <c r="Q149" i="1" s="1"/>
  <c r="P93" i="1"/>
  <c r="J5579" i="1"/>
  <c r="Z286" i="1"/>
  <c r="Z261" i="1"/>
  <c r="AA261" i="1" s="1"/>
  <c r="P120" i="1"/>
  <c r="J5402" i="1"/>
  <c r="E5174" i="1"/>
  <c r="E5623" i="1"/>
  <c r="E5298" i="1"/>
  <c r="E5746" i="1"/>
  <c r="Z132" i="1"/>
  <c r="AA132" i="1" s="1"/>
  <c r="Z126" i="1"/>
  <c r="Z220" i="1"/>
  <c r="J5742" i="1"/>
  <c r="Z300" i="1"/>
  <c r="E5580" i="1"/>
  <c r="P391" i="1"/>
  <c r="P234" i="1"/>
  <c r="Q234" i="1" s="1"/>
  <c r="Z4" i="1"/>
  <c r="AA4" i="1" s="1"/>
  <c r="P258" i="1"/>
  <c r="E5961" i="1"/>
  <c r="E5887" i="1"/>
  <c r="J5904" i="1"/>
  <c r="P180" i="1"/>
  <c r="P440" i="1"/>
  <c r="Q440" i="1" s="1"/>
  <c r="Z59" i="1"/>
  <c r="AA59" i="1" s="1"/>
  <c r="J5486" i="1"/>
  <c r="Z231" i="1"/>
  <c r="E5545" i="1"/>
  <c r="J5231" i="1"/>
  <c r="E5372" i="1"/>
  <c r="Z428" i="1"/>
  <c r="E5593" i="1"/>
  <c r="E5511" i="1"/>
  <c r="P29" i="1"/>
  <c r="E5175" i="1"/>
  <c r="E5554" i="1"/>
  <c r="J4944" i="1"/>
  <c r="E5700" i="1"/>
  <c r="J5686" i="1"/>
  <c r="E5725" i="1"/>
  <c r="Z207" i="1"/>
  <c r="Z404" i="1"/>
  <c r="AA404" i="1" s="1"/>
  <c r="E5454" i="1"/>
  <c r="E5514" i="1"/>
  <c r="Z12" i="1"/>
  <c r="E4960" i="1"/>
  <c r="P151" i="1"/>
  <c r="P259" i="1"/>
  <c r="Q259" i="1" s="1"/>
  <c r="E5681" i="1"/>
  <c r="J5695" i="1"/>
  <c r="J5986" i="1"/>
  <c r="E5999" i="1"/>
  <c r="Z105" i="1"/>
  <c r="P377" i="1"/>
  <c r="Q377" i="1" s="1"/>
  <c r="E5674" i="1"/>
  <c r="P405" i="1"/>
  <c r="Q405" i="1" s="1"/>
  <c r="E5463" i="1"/>
  <c r="P171" i="1"/>
  <c r="P279" i="1"/>
  <c r="P68" i="1"/>
  <c r="P430" i="1"/>
  <c r="Q430" i="1" s="1"/>
  <c r="P73" i="1"/>
  <c r="J5683" i="1"/>
  <c r="Z55" i="1"/>
  <c r="Z68" i="1"/>
  <c r="AA68" i="1" s="1"/>
  <c r="P48" i="1"/>
  <c r="Q48" i="1" s="1"/>
  <c r="E5371" i="1"/>
  <c r="P88" i="1"/>
  <c r="Q88" i="1" s="1"/>
  <c r="E5936" i="1"/>
  <c r="J5037" i="1"/>
  <c r="P302" i="1"/>
  <c r="Z177" i="1"/>
  <c r="AA177" i="1" s="1"/>
  <c r="Z224" i="1"/>
  <c r="AA224" i="1" s="1"/>
  <c r="Z348" i="1"/>
  <c r="E5540" i="1"/>
  <c r="E5755" i="1"/>
  <c r="E5818" i="1"/>
  <c r="G5818" i="1" s="1"/>
  <c r="J5772" i="1"/>
  <c r="E5292" i="1"/>
  <c r="J5725" i="1"/>
  <c r="E4817" i="1"/>
  <c r="P164" i="1"/>
  <c r="P439" i="1"/>
  <c r="E5684" i="1"/>
  <c r="Z268" i="1"/>
  <c r="AA268" i="1" s="1"/>
  <c r="J5744" i="1"/>
  <c r="E5360" i="1"/>
  <c r="E5843" i="1"/>
  <c r="E5626" i="1"/>
  <c r="G5626" i="1" s="1"/>
  <c r="J5759" i="1"/>
  <c r="E5925" i="1"/>
  <c r="Z295" i="1"/>
  <c r="AA295" i="1" s="1"/>
  <c r="E5719" i="1"/>
  <c r="E5169" i="1"/>
  <c r="E4733" i="1"/>
  <c r="E4890" i="1"/>
  <c r="E5146" i="1"/>
  <c r="P251" i="1"/>
  <c r="P89" i="1"/>
  <c r="Q89" i="1" s="1"/>
  <c r="P197" i="1"/>
  <c r="J5953" i="1"/>
  <c r="E5790" i="1"/>
  <c r="P354" i="1"/>
  <c r="J5850" i="1"/>
  <c r="P40" i="1"/>
  <c r="P295" i="1"/>
  <c r="P371" i="1"/>
  <c r="Z97" i="1"/>
  <c r="AA97" i="1" s="1"/>
  <c r="E5380" i="1"/>
  <c r="Z435" i="1"/>
  <c r="J5281" i="1"/>
  <c r="Z147" i="1"/>
  <c r="Z256" i="1"/>
  <c r="E5501" i="1"/>
  <c r="G5501" i="1" s="1"/>
  <c r="Z150" i="1"/>
  <c r="Z289" i="1"/>
  <c r="AA289" i="1" s="1"/>
  <c r="J5524" i="1"/>
  <c r="J5826" i="1"/>
  <c r="P257" i="1"/>
  <c r="P80" i="1"/>
  <c r="Q80" i="1" s="1"/>
  <c r="P409" i="1"/>
  <c r="Q409" i="1" s="1"/>
  <c r="J5680" i="1"/>
  <c r="P240" i="1"/>
  <c r="E5471" i="1"/>
  <c r="E5717" i="1"/>
  <c r="Z246" i="1"/>
  <c r="AA246" i="1" s="1"/>
  <c r="Z180" i="1"/>
  <c r="Z136" i="1"/>
  <c r="Z330" i="1"/>
  <c r="P349" i="1"/>
  <c r="P410" i="1"/>
  <c r="E5405" i="1"/>
  <c r="Z344" i="1"/>
  <c r="AA344" i="1" s="1"/>
  <c r="Z108" i="1"/>
  <c r="Z194" i="1"/>
  <c r="AA194" i="1" s="1"/>
  <c r="J5425" i="1"/>
  <c r="Z38" i="1"/>
  <c r="Z58" i="1"/>
  <c r="AA58" i="1" s="1"/>
  <c r="P206" i="1"/>
  <c r="P150" i="1"/>
  <c r="P113" i="1"/>
  <c r="J5710" i="1"/>
  <c r="P213" i="1"/>
  <c r="P345" i="1"/>
  <c r="Q345" i="1" s="1"/>
  <c r="P353" i="1"/>
  <c r="J5830" i="1"/>
  <c r="E5892" i="1"/>
  <c r="J5574" i="1"/>
  <c r="P179" i="1"/>
  <c r="P17" i="1"/>
  <c r="Q17" i="1" s="1"/>
  <c r="J5858" i="1"/>
  <c r="P288" i="1"/>
  <c r="Q288" i="1" s="1"/>
  <c r="E5645" i="1"/>
  <c r="P168" i="1"/>
  <c r="E5995" i="1"/>
  <c r="P385" i="1"/>
  <c r="Q385" i="1" s="1"/>
  <c r="E5139" i="1"/>
  <c r="Z154" i="1"/>
  <c r="Z229" i="1"/>
  <c r="J5228" i="1"/>
  <c r="P289" i="1"/>
  <c r="Q289" i="1" s="1"/>
  <c r="J5557" i="1"/>
  <c r="Z16" i="1"/>
  <c r="Z28" i="1"/>
  <c r="AA28" i="1" s="1"/>
  <c r="Z191" i="1"/>
  <c r="P201" i="1"/>
  <c r="E4965" i="1"/>
  <c r="E4654" i="1"/>
  <c r="J5957" i="1"/>
  <c r="E5470" i="1"/>
  <c r="E5707" i="1"/>
  <c r="J5976" i="1"/>
  <c r="E4889" i="1"/>
  <c r="E5240" i="1"/>
  <c r="E4940" i="1"/>
  <c r="Z26" i="1"/>
  <c r="AA26" i="1" s="1"/>
  <c r="Z369" i="1"/>
  <c r="AA369" i="1" s="1"/>
  <c r="E5698" i="1"/>
  <c r="Z313" i="1"/>
  <c r="Z285" i="1"/>
  <c r="AA285" i="1" s="1"/>
  <c r="Z205" i="1"/>
  <c r="AA205" i="1" s="1"/>
  <c r="E5127" i="1"/>
  <c r="Z3" i="1"/>
  <c r="Z144" i="1"/>
  <c r="E5482" i="1"/>
  <c r="J6023" i="1"/>
  <c r="Z424" i="1"/>
  <c r="E5364" i="1"/>
  <c r="G5364" i="1" s="1"/>
  <c r="Z83" i="1"/>
  <c r="Z140" i="1"/>
  <c r="J5689" i="1"/>
  <c r="J6017" i="1"/>
  <c r="E5549" i="1"/>
  <c r="Z340" i="1"/>
  <c r="J5801" i="1"/>
  <c r="J5230" i="1"/>
  <c r="J5996" i="1"/>
  <c r="E5606" i="1"/>
  <c r="G5606" i="1" s="1"/>
  <c r="E5974" i="1"/>
  <c r="Z86" i="1"/>
  <c r="E5469" i="1"/>
  <c r="P215" i="1"/>
  <c r="Q215" i="1" s="1"/>
  <c r="J5739" i="1"/>
  <c r="J5807" i="1"/>
  <c r="P37" i="1"/>
  <c r="E5143" i="1"/>
  <c r="J5488" i="1"/>
  <c r="E5971" i="1"/>
  <c r="P386" i="1"/>
  <c r="P239" i="1"/>
  <c r="Q239" i="1" s="1"/>
  <c r="Z41" i="1"/>
  <c r="P263" i="1"/>
  <c r="Q263" i="1" s="1"/>
  <c r="J5862" i="1"/>
  <c r="E4622" i="1"/>
  <c r="J5678" i="1"/>
  <c r="E5400" i="1"/>
  <c r="P117" i="1"/>
  <c r="Q117" i="1" s="1"/>
  <c r="P372" i="1"/>
  <c r="E5912" i="1"/>
  <c r="J6019" i="1"/>
  <c r="J5498" i="1"/>
  <c r="J5856" i="1"/>
  <c r="J5966" i="1"/>
  <c r="J5847" i="1"/>
  <c r="J5676" i="1"/>
  <c r="Z355" i="1"/>
  <c r="Z88" i="1"/>
  <c r="Z122" i="1"/>
  <c r="AA122" i="1" s="1"/>
  <c r="E5246" i="1"/>
  <c r="E6008" i="1"/>
  <c r="Z6" i="1"/>
  <c r="AA6" i="1" s="1"/>
  <c r="Z322" i="1"/>
  <c r="Z65" i="1"/>
  <c r="Z217" i="1"/>
  <c r="AA217" i="1" s="1"/>
  <c r="Z219" i="1"/>
  <c r="J5897" i="1"/>
  <c r="J5861" i="1"/>
  <c r="E5943" i="1"/>
  <c r="E5754" i="1"/>
  <c r="E5590" i="1"/>
  <c r="J5755" i="1"/>
  <c r="J5690" i="1"/>
  <c r="E5883" i="1"/>
  <c r="J5043" i="1"/>
  <c r="Z2" i="1"/>
  <c r="AA2" i="1" s="1"/>
  <c r="J5630" i="1"/>
  <c r="Z430" i="1"/>
  <c r="Z262" i="1"/>
  <c r="P53" i="1"/>
  <c r="E5607" i="1"/>
  <c r="Z411" i="1"/>
  <c r="E5172" i="1"/>
  <c r="G5172" i="1" s="1"/>
  <c r="J5224" i="1"/>
  <c r="E5257" i="1"/>
  <c r="E5261" i="1"/>
  <c r="E6014" i="1"/>
  <c r="P39" i="1"/>
  <c r="Q39" i="1" s="1"/>
  <c r="J5540" i="1"/>
  <c r="Z210" i="1"/>
  <c r="J4985" i="1"/>
  <c r="P92" i="1"/>
  <c r="E5970" i="1"/>
  <c r="J5779" i="1"/>
  <c r="J5982" i="1"/>
  <c r="P286" i="1"/>
  <c r="Q286" i="1" s="1"/>
  <c r="E5475" i="1"/>
  <c r="E5954" i="1"/>
  <c r="Z273" i="1"/>
  <c r="Z432" i="1"/>
  <c r="AA432" i="1" s="1"/>
  <c r="Z325" i="1"/>
  <c r="AA325" i="1" s="1"/>
  <c r="Z159" i="1"/>
  <c r="Z184" i="1"/>
  <c r="Z381" i="1"/>
  <c r="AA381" i="1" s="1"/>
  <c r="J4915" i="1"/>
  <c r="E4796" i="1"/>
  <c r="P411" i="1"/>
  <c r="Z193" i="1"/>
  <c r="AA193" i="1" s="1"/>
  <c r="Z39" i="1"/>
  <c r="Z152" i="1"/>
  <c r="AA152" i="1" s="1"/>
  <c r="P145" i="1"/>
  <c r="J5705" i="1"/>
  <c r="Z196" i="1"/>
  <c r="Z277" i="1"/>
  <c r="P23" i="1"/>
  <c r="E4918" i="1"/>
  <c r="Z304" i="1"/>
  <c r="E5963" i="1"/>
  <c r="J5566" i="1"/>
  <c r="J5864" i="1"/>
  <c r="P81" i="1"/>
  <c r="J5852" i="1"/>
  <c r="E5978" i="1"/>
  <c r="J5894" i="1"/>
  <c r="G2816" i="1"/>
  <c r="G1096" i="1"/>
  <c r="G2532" i="1"/>
  <c r="G889" i="1"/>
  <c r="G2340" i="1"/>
  <c r="G849" i="1"/>
  <c r="G991" i="1"/>
  <c r="G2679" i="1"/>
  <c r="G1759" i="1"/>
  <c r="G2609" i="1"/>
  <c r="G1507" i="1"/>
  <c r="G2058" i="1"/>
  <c r="G1976" i="1"/>
  <c r="G981" i="1"/>
  <c r="G4080" i="1"/>
  <c r="G2011" i="1"/>
  <c r="G1178" i="1"/>
  <c r="G3467" i="1"/>
  <c r="G869" i="1"/>
  <c r="G1744" i="1"/>
  <c r="G4651" i="1"/>
  <c r="G3599" i="1"/>
  <c r="G2417" i="1"/>
  <c r="G2724" i="1"/>
  <c r="G3554" i="1"/>
  <c r="G1664" i="1"/>
  <c r="G1986" i="1"/>
  <c r="G1714" i="1"/>
  <c r="G1991" i="1"/>
  <c r="G924" i="1"/>
  <c r="G1258" i="1"/>
  <c r="G2604" i="1"/>
  <c r="G1081" i="1"/>
  <c r="G1587" i="1"/>
  <c r="G3382" i="1"/>
  <c r="G1512" i="1"/>
  <c r="G971" i="1"/>
  <c r="G894" i="1"/>
  <c r="G2033" i="1"/>
  <c r="G1487" i="1"/>
  <c r="G2552" i="1"/>
  <c r="G1293" i="1"/>
  <c r="G2437" i="1"/>
  <c r="G2776" i="1"/>
  <c r="Q192" i="1"/>
  <c r="Q236" i="1"/>
  <c r="Q291" i="1"/>
  <c r="AA389" i="1"/>
  <c r="AA71" i="1"/>
  <c r="Q25" i="1"/>
  <c r="Q167" i="1"/>
  <c r="Q324" i="1"/>
  <c r="Q363" i="1"/>
  <c r="Q270" i="1"/>
  <c r="AA306" i="1"/>
  <c r="Q264" i="1"/>
  <c r="Q146" i="1"/>
  <c r="AA24" i="1"/>
  <c r="Q118" i="1"/>
  <c r="Q4" i="1"/>
  <c r="AA398" i="1"/>
  <c r="Q196" i="1"/>
  <c r="AA272" i="1"/>
  <c r="AA116" i="1"/>
  <c r="AA163" i="1"/>
  <c r="AA188" i="1"/>
  <c r="AA255" i="1"/>
  <c r="Q435" i="1"/>
  <c r="Q72" i="1"/>
  <c r="Q8" i="1"/>
  <c r="Q185" i="1"/>
  <c r="Q348" i="1"/>
  <c r="G4803" i="1"/>
  <c r="G2028" i="1"/>
  <c r="G2173" i="1"/>
  <c r="G934" i="1"/>
  <c r="G1709" i="1"/>
  <c r="G1996" i="1"/>
  <c r="G1101" i="1"/>
  <c r="G3402" i="1"/>
  <c r="G1143" i="1"/>
  <c r="G3801" i="1"/>
  <c r="G1729" i="1"/>
  <c r="G3068" i="1"/>
  <c r="G3205" i="1"/>
  <c r="G2846" i="1"/>
  <c r="G1390" i="1"/>
  <c r="G1911" i="1"/>
  <c r="G5282" i="1"/>
  <c r="G1208" i="1"/>
  <c r="G1699" i="1"/>
  <c r="G3250" i="1"/>
  <c r="G3220" i="1"/>
  <c r="G2948" i="1"/>
  <c r="G3093" i="1"/>
  <c r="G1719" i="1"/>
  <c r="G2856" i="1"/>
  <c r="G2968" i="1"/>
  <c r="G2068" i="1"/>
  <c r="G3170" i="1"/>
  <c r="G1278" i="1"/>
  <c r="G3771" i="1"/>
  <c r="G1482" i="1"/>
  <c r="G2422" i="1"/>
  <c r="G1694" i="1"/>
  <c r="G5793" i="1"/>
  <c r="G3312" i="1"/>
  <c r="G2330" i="1"/>
  <c r="G2392" i="1"/>
  <c r="G2866" i="1"/>
  <c r="G2574" i="1"/>
  <c r="G1300" i="1"/>
  <c r="G2457" i="1"/>
  <c r="G3033" i="1"/>
  <c r="G3118" i="1"/>
  <c r="G2983" i="1"/>
  <c r="G819" i="1"/>
  <c r="G2335" i="1"/>
  <c r="G1492" i="1"/>
  <c r="G2921" i="1"/>
  <c r="G3300" i="1"/>
  <c r="G2462" i="1"/>
  <c r="G3806" i="1"/>
  <c r="G4030" i="1"/>
  <c r="G4165" i="1"/>
  <c r="G2021" i="1"/>
  <c r="G3088" i="1"/>
  <c r="G1981" i="1"/>
  <c r="G5683" i="1"/>
  <c r="G1006" i="1"/>
  <c r="G3412" i="1"/>
  <c r="G2754" i="1"/>
  <c r="G4918" i="1"/>
  <c r="G5257" i="1"/>
  <c r="G5546" i="1"/>
  <c r="G1739" i="1"/>
  <c r="G1430" i="1"/>
  <c r="G2467" i="1"/>
  <c r="G1602" i="1"/>
  <c r="G2796" i="1"/>
  <c r="G1061" i="1"/>
  <c r="G2285" i="1"/>
  <c r="G2734" i="1"/>
  <c r="G1684" i="1"/>
  <c r="G3245" i="1"/>
  <c r="G1283" i="1"/>
  <c r="G1123" i="1"/>
  <c r="G1582" i="1"/>
  <c r="G4222" i="1"/>
  <c r="G4479" i="1"/>
  <c r="G2567" i="1"/>
  <c r="G3482" i="1"/>
  <c r="G1839" i="1"/>
  <c r="G2188" i="1"/>
  <c r="G2517" i="1"/>
  <c r="G1106" i="1"/>
  <c r="G1066" i="1"/>
  <c r="G2584" i="1"/>
  <c r="G2477" i="1"/>
  <c r="G1844" i="1"/>
  <c r="G2562" i="1"/>
  <c r="G4227" i="1"/>
  <c r="G2193" i="1"/>
  <c r="G2215" i="1"/>
  <c r="G2669" i="1"/>
  <c r="G1128" i="1"/>
  <c r="G3362" i="1"/>
  <c r="G3604" i="1"/>
  <c r="G2230" i="1"/>
  <c r="G1435" i="1"/>
  <c r="G2719" i="1"/>
  <c r="G1597" i="1"/>
  <c r="G3509" i="1"/>
  <c r="AA215" i="1"/>
  <c r="G1071" i="1"/>
  <c r="G4928" i="1"/>
  <c r="G779" i="1"/>
  <c r="G3504" i="1"/>
  <c r="G834" i="1"/>
  <c r="Q244" i="1"/>
  <c r="AA299" i="1"/>
  <c r="G4676" i="1"/>
  <c r="G4399" i="1"/>
  <c r="G4404" i="1"/>
  <c r="AA118" i="1"/>
  <c r="AA338" i="1"/>
  <c r="Q121" i="1"/>
  <c r="Q360" i="1"/>
  <c r="Q145" i="1"/>
  <c r="AA39" i="1"/>
  <c r="Q411" i="1"/>
  <c r="Q92" i="1"/>
  <c r="AA210" i="1"/>
  <c r="AA262" i="1"/>
  <c r="AA430" i="1"/>
  <c r="Q386" i="1"/>
  <c r="Q37" i="1"/>
  <c r="AA140" i="1"/>
  <c r="AA144" i="1"/>
  <c r="AA3" i="1"/>
  <c r="G2624" i="1"/>
  <c r="AA199" i="1"/>
  <c r="G5222" i="1"/>
  <c r="G3878" i="1"/>
  <c r="G3477" i="1"/>
  <c r="G2841" i="1"/>
  <c r="G2108" i="1"/>
  <c r="G1395" i="1"/>
  <c r="G904" i="1"/>
  <c r="G1946" i="1"/>
  <c r="G2599" i="1"/>
  <c r="AA393" i="1"/>
  <c r="G3873" i="1"/>
  <c r="G1824" i="1"/>
  <c r="G1607" i="1"/>
  <c r="G2235" i="1"/>
  <c r="Q218" i="1"/>
  <c r="AA345" i="1"/>
  <c r="G2026" i="1"/>
  <c r="G1203" i="1"/>
  <c r="AA380" i="1"/>
  <c r="Q438" i="1"/>
  <c r="AA50" i="1"/>
  <c r="Q155" i="1"/>
  <c r="G5950" i="1"/>
  <c r="G4838" i="1"/>
  <c r="AA254" i="1"/>
  <c r="Q131" i="1"/>
  <c r="Q82" i="1"/>
  <c r="Q242" i="1"/>
  <c r="AA391" i="1"/>
  <c r="G4990" i="1"/>
  <c r="G1440" i="1"/>
  <c r="AA105" i="1"/>
  <c r="Q151" i="1"/>
  <c r="G4960" i="1"/>
  <c r="AA12" i="1"/>
  <c r="AA207" i="1"/>
  <c r="Q29" i="1"/>
  <c r="AA428" i="1"/>
  <c r="AA231" i="1"/>
  <c r="Q180" i="1"/>
  <c r="Q258" i="1"/>
  <c r="Q391" i="1"/>
  <c r="AA300" i="1"/>
  <c r="AA220" i="1"/>
  <c r="AA126" i="1"/>
  <c r="Q120" i="1"/>
  <c r="AA286" i="1"/>
  <c r="Q93" i="1"/>
  <c r="Q266" i="1"/>
  <c r="Q331" i="1"/>
  <c r="Q417" i="1"/>
  <c r="Q275" i="1"/>
  <c r="AA5" i="1"/>
  <c r="AA356" i="1"/>
  <c r="AA236" i="1"/>
  <c r="AA250" i="1"/>
  <c r="AA343" i="1"/>
  <c r="AA274" i="1"/>
  <c r="AA131" i="1"/>
  <c r="AA72" i="1"/>
  <c r="Q141" i="1"/>
  <c r="Q229" i="1"/>
  <c r="Q137" i="1"/>
  <c r="Q330" i="1"/>
  <c r="Q152" i="1"/>
  <c r="Q271" i="1"/>
  <c r="AA76" i="1"/>
  <c r="G3130" i="1"/>
  <c r="G2664" i="1"/>
  <c r="G1527" i="1"/>
  <c r="G2240" i="1"/>
  <c r="G2412" i="1"/>
  <c r="G4686" i="1"/>
  <c r="Q55" i="1"/>
  <c r="AA270" i="1"/>
  <c r="G961" i="1"/>
  <c r="G4110" i="1"/>
  <c r="Q33" i="1"/>
  <c r="AA379" i="1"/>
  <c r="Q216" i="1"/>
  <c r="AA179" i="1"/>
  <c r="AA359" i="1"/>
  <c r="G5875" i="1"/>
  <c r="Q35" i="1"/>
  <c r="Q181" i="1"/>
  <c r="Q334" i="1"/>
  <c r="AA265" i="1"/>
  <c r="Q412" i="1"/>
  <c r="Q63" i="1"/>
  <c r="AA8" i="1"/>
  <c r="Q325" i="1"/>
  <c r="AA324" i="1"/>
  <c r="AA293" i="1"/>
  <c r="AA117" i="1"/>
  <c r="Q437" i="1"/>
  <c r="Q56" i="1"/>
  <c r="Q382" i="1"/>
  <c r="AA135" i="1"/>
  <c r="AA165" i="1"/>
  <c r="Q20" i="1"/>
  <c r="G5803" i="1"/>
  <c r="Q58" i="1"/>
  <c r="AA296" i="1"/>
  <c r="Q183" i="1"/>
  <c r="AA327" i="1"/>
  <c r="Q327" i="1"/>
  <c r="Q135" i="1"/>
  <c r="AA407" i="1"/>
  <c r="Q307" i="1"/>
  <c r="Q310" i="1"/>
  <c r="AA119" i="1"/>
  <c r="G3215" i="1"/>
  <c r="G4175" i="1"/>
  <c r="G3696" i="1"/>
  <c r="G2938" i="1"/>
  <c r="Q395" i="1"/>
  <c r="AA92" i="1"/>
  <c r="Q27" i="1"/>
  <c r="Q189" i="1"/>
  <c r="AA227" i="1"/>
  <c r="AA303" i="1"/>
  <c r="AA121" i="1"/>
  <c r="Q102" i="1"/>
  <c r="AA406" i="1"/>
  <c r="AA35" i="1"/>
  <c r="Q267" i="1"/>
  <c r="AA417" i="1"/>
  <c r="AA433" i="1"/>
  <c r="AA213" i="1"/>
  <c r="AA240" i="1"/>
  <c r="AA278" i="1"/>
  <c r="Q207" i="1"/>
  <c r="Q99" i="1"/>
  <c r="Q261" i="1"/>
  <c r="AA328" i="1"/>
  <c r="Q273" i="1"/>
  <c r="AA252" i="1"/>
  <c r="Q396" i="1"/>
  <c r="Q50" i="1"/>
  <c r="Q47" i="1"/>
  <c r="AA232" i="1"/>
  <c r="AA307" i="1"/>
  <c r="Q85" i="1"/>
  <c r="Q262" i="1"/>
  <c r="Q62" i="1"/>
  <c r="Q340" i="1"/>
  <c r="Q208" i="1"/>
  <c r="Q296" i="1"/>
  <c r="Q54" i="1"/>
  <c r="Q162" i="1"/>
  <c r="Q319" i="1"/>
  <c r="Q26" i="1"/>
  <c r="Q425" i="1"/>
  <c r="G5324" i="1"/>
  <c r="Q376" i="1"/>
  <c r="G4170" i="1"/>
  <c r="G4045" i="1"/>
  <c r="G2397" i="1"/>
  <c r="G1622" i="1"/>
  <c r="G1111" i="1"/>
  <c r="AA401" i="1"/>
  <c r="Q365" i="1"/>
  <c r="G3195" i="1"/>
  <c r="G3280" i="1"/>
  <c r="G5152" i="1"/>
  <c r="G3457" i="1"/>
  <c r="G3372" i="1"/>
  <c r="AA175" i="1"/>
  <c r="Q219" i="1"/>
  <c r="G4696" i="1"/>
  <c r="G5439" i="1"/>
  <c r="G5965" i="1"/>
  <c r="G3908" i="1"/>
  <c r="G3225" i="1"/>
  <c r="G1674" i="1"/>
  <c r="G1445" i="1"/>
  <c r="G1502" i="1"/>
  <c r="G5743" i="1"/>
  <c r="G5668" i="1"/>
  <c r="G1734" i="1"/>
  <c r="G1961" i="1"/>
  <c r="G5945" i="1"/>
  <c r="G5339" i="1"/>
  <c r="G5090" i="1"/>
  <c r="G4210" i="1"/>
  <c r="G3524" i="1"/>
  <c r="G1652" i="1"/>
  <c r="G2153" i="1"/>
  <c r="G2527" i="1"/>
  <c r="G2407" i="1"/>
  <c r="G1268" i="1"/>
  <c r="G5728" i="1"/>
  <c r="G5531" i="1"/>
  <c r="Q423" i="1"/>
  <c r="AA364" i="1"/>
  <c r="G4115" i="1"/>
  <c r="G1679" i="1"/>
  <c r="G1350" i="1"/>
  <c r="G4923" i="1"/>
  <c r="G4352" i="1"/>
  <c r="G4095" i="1"/>
  <c r="G3574" i="1"/>
  <c r="G1592" i="1"/>
  <c r="G4105" i="1"/>
  <c r="G5885" i="1"/>
  <c r="G5688" i="1"/>
  <c r="Q128" i="1"/>
  <c r="G4504" i="1"/>
  <c r="G4302" i="1"/>
  <c r="G3240" i="1"/>
  <c r="G3786" i="1"/>
  <c r="G2427" i="1"/>
  <c r="G2594" i="1"/>
  <c r="G2871" i="1"/>
  <c r="G4155" i="1"/>
  <c r="G3836" i="1"/>
  <c r="G1183" i="1"/>
  <c r="G4075" i="1"/>
  <c r="G2537" i="1"/>
  <c r="G2886" i="1"/>
  <c r="G2365" i="1"/>
  <c r="G3265" i="1"/>
  <c r="G1931" i="1"/>
  <c r="G3302" i="1"/>
  <c r="G4933" i="1"/>
  <c r="G3407" i="1"/>
  <c r="G2497" i="1"/>
  <c r="G1557" i="1"/>
  <c r="G1971" i="1"/>
  <c r="G1647" i="1"/>
  <c r="G1198" i="1"/>
  <c r="G769" i="1"/>
  <c r="G1091" i="1"/>
  <c r="G2714" i="1"/>
  <c r="G2447" i="1"/>
  <c r="G2255" i="1"/>
  <c r="G1118" i="1"/>
  <c r="G3377" i="1"/>
  <c r="G1642" i="1"/>
  <c r="G1517" i="1"/>
  <c r="G5302" i="1"/>
  <c r="G4938" i="1"/>
  <c r="G2103" i="1"/>
  <c r="G3472" i="1"/>
  <c r="G2557" i="1"/>
  <c r="G4070" i="1"/>
  <c r="G2260" i="1"/>
  <c r="G1966" i="1"/>
  <c r="G2432" i="1"/>
  <c r="G1365" i="1"/>
  <c r="AA37" i="1"/>
  <c r="AA382" i="1"/>
  <c r="G2891" i="1"/>
  <c r="G3644" i="1"/>
  <c r="G1901" i="1"/>
  <c r="AA251" i="1"/>
  <c r="Q250" i="1"/>
  <c r="G1086" i="1"/>
  <c r="G1941" i="1"/>
  <c r="G4908" i="1"/>
  <c r="G5040" i="1"/>
  <c r="G1193" i="1"/>
  <c r="G1886" i="1"/>
  <c r="G1794" i="1"/>
  <c r="G1410" i="1"/>
  <c r="Q367" i="1"/>
  <c r="AA408" i="1"/>
  <c r="Q67" i="1"/>
  <c r="AA40" i="1"/>
  <c r="AA137" i="1"/>
  <c r="AA7" i="1"/>
  <c r="Q248" i="1"/>
  <c r="Q136" i="1"/>
  <c r="Q224" i="1"/>
  <c r="G5227" i="1"/>
  <c r="AA418" i="1"/>
  <c r="AA385" i="1"/>
  <c r="Q344" i="1"/>
  <c r="AA79" i="1"/>
  <c r="Q336" i="1"/>
  <c r="AA10" i="1"/>
  <c r="AA239" i="1"/>
  <c r="Q422" i="1"/>
  <c r="AA206" i="1"/>
  <c r="G5556" i="1"/>
  <c r="G5389" i="1"/>
  <c r="G4392" i="1"/>
  <c r="G2729" i="1"/>
  <c r="G2786" i="1"/>
  <c r="G2385" i="1"/>
  <c r="G3337" i="1"/>
  <c r="Q220" i="1"/>
  <c r="Q298" i="1"/>
  <c r="G5262" i="1"/>
  <c r="G5304" i="1"/>
  <c r="AA357" i="1"/>
  <c r="AA266" i="1"/>
  <c r="G5698" i="1"/>
  <c r="AA373" i="1"/>
  <c r="Q83" i="1"/>
  <c r="Q6" i="1"/>
  <c r="G5551" i="1"/>
  <c r="G5469" i="1"/>
  <c r="Q107" i="1"/>
  <c r="AA283" i="1"/>
  <c r="Q366" i="1"/>
  <c r="Q16" i="1"/>
  <c r="Q190" i="1"/>
  <c r="Q175" i="1"/>
  <c r="AA27" i="1"/>
  <c r="AA413" i="1"/>
  <c r="AA133" i="1"/>
  <c r="Q394" i="1"/>
  <c r="Q316" i="1"/>
  <c r="AA169" i="1"/>
  <c r="Q103" i="1"/>
  <c r="G5641" i="1"/>
  <c r="G4893" i="1"/>
  <c r="G4843" i="1"/>
  <c r="G5464" i="1"/>
  <c r="G5309" i="1"/>
  <c r="Q201" i="1"/>
  <c r="AA191" i="1"/>
  <c r="AA16" i="1"/>
  <c r="AA229" i="1"/>
  <c r="AA154" i="1"/>
  <c r="Q168" i="1"/>
  <c r="Q179" i="1"/>
  <c r="Q353" i="1"/>
  <c r="Q213" i="1"/>
  <c r="Q113" i="1"/>
  <c r="Q150" i="1"/>
  <c r="Q206" i="1"/>
  <c r="AA38" i="1"/>
  <c r="AA108" i="1"/>
  <c r="Q410" i="1"/>
  <c r="Q349" i="1"/>
  <c r="AA330" i="1"/>
  <c r="AA136" i="1"/>
  <c r="AA180" i="1"/>
  <c r="Q240" i="1"/>
  <c r="Q257" i="1"/>
  <c r="AA150" i="1"/>
  <c r="AA256" i="1"/>
  <c r="AA147" i="1"/>
  <c r="AA435" i="1"/>
  <c r="Q371" i="1"/>
  <c r="Q295" i="1"/>
  <c r="Q40" i="1"/>
  <c r="Q354" i="1"/>
  <c r="Q197" i="1"/>
  <c r="Q251" i="1"/>
  <c r="Q439" i="1"/>
  <c r="Q164" i="1"/>
  <c r="AA348" i="1"/>
  <c r="Q302" i="1"/>
  <c r="AA55" i="1"/>
  <c r="Q73" i="1"/>
  <c r="Q68" i="1"/>
  <c r="Q279" i="1"/>
  <c r="Q171" i="1"/>
  <c r="AA388" i="1"/>
  <c r="AA149" i="1"/>
  <c r="Q398" i="1"/>
  <c r="Q381" i="1"/>
  <c r="AA280" i="1"/>
  <c r="G4581" i="1"/>
  <c r="G3260" i="1"/>
  <c r="G789" i="1"/>
  <c r="Q140" i="1"/>
  <c r="AA139" i="1"/>
  <c r="AA101" i="1"/>
  <c r="Q306" i="1"/>
  <c r="G5319" i="1"/>
  <c r="AA226" i="1"/>
  <c r="AA208" i="1"/>
  <c r="Q304" i="1"/>
  <c r="G5162" i="1"/>
  <c r="G5828" i="1"/>
  <c r="G3816" i="1"/>
  <c r="G5252" i="1"/>
  <c r="G4018" i="1"/>
  <c r="G3307" i="1"/>
  <c r="G2943" i="1"/>
  <c r="G3442" i="1"/>
  <c r="G3063" i="1"/>
  <c r="Q200" i="1"/>
  <c r="G5207" i="1"/>
  <c r="AA85" i="1"/>
  <c r="G5678" i="1"/>
  <c r="AA376" i="1"/>
  <c r="G4995" i="1"/>
  <c r="G3958" i="1"/>
  <c r="Q272" i="1"/>
  <c r="G4626" i="1"/>
  <c r="G4985" i="1"/>
  <c r="G4382" i="1"/>
  <c r="G4758" i="1"/>
  <c r="G3275" i="1"/>
  <c r="G2916" i="1"/>
  <c r="G3003" i="1"/>
  <c r="G2801" i="1"/>
  <c r="G1188" i="1"/>
  <c r="G2402" i="1"/>
  <c r="G2614" i="1"/>
  <c r="G3270" i="1"/>
  <c r="G4474" i="1"/>
  <c r="G3008" i="1"/>
  <c r="G5833" i="1"/>
  <c r="G1340" i="1"/>
  <c r="G4085" i="1"/>
  <c r="G4529" i="1"/>
  <c r="AA164" i="1"/>
  <c r="G4706" i="1"/>
  <c r="G5838" i="1"/>
  <c r="Q204" i="1"/>
  <c r="G4282" i="1"/>
  <c r="G3811" i="1"/>
  <c r="G4205" i="1"/>
  <c r="G5132" i="1"/>
  <c r="Q129" i="1"/>
  <c r="AA23" i="1"/>
  <c r="Q278" i="1"/>
  <c r="G4120" i="1"/>
  <c r="G2876" i="1"/>
  <c r="AA52" i="1"/>
  <c r="G3918" i="1"/>
  <c r="G2836" i="1"/>
  <c r="G2492" i="1"/>
  <c r="G3569" i="1"/>
  <c r="G4409" i="1"/>
  <c r="G3048" i="1"/>
  <c r="G3681" i="1"/>
  <c r="G1881" i="1"/>
  <c r="G2123" i="1"/>
  <c r="G2993" i="1"/>
  <c r="G3058" i="1"/>
  <c r="G4050" i="1"/>
  <c r="G909" i="1"/>
  <c r="G2926" i="1"/>
  <c r="G1577" i="1"/>
  <c r="G1305" i="1"/>
  <c r="G1011" i="1"/>
  <c r="G1218" i="1"/>
  <c r="G749" i="1"/>
  <c r="G1288" i="1"/>
  <c r="G3098" i="1"/>
  <c r="G4940" i="1"/>
  <c r="G4691" i="1"/>
  <c r="G5075" i="1"/>
  <c r="G5005" i="1"/>
  <c r="G4100" i="1"/>
  <c r="G1223" i="1"/>
  <c r="G5247" i="1"/>
  <c r="G1163" i="1"/>
  <c r="G3701" i="1"/>
  <c r="G2053" i="1"/>
  <c r="G3711" i="1"/>
  <c r="G2245" i="1"/>
  <c r="G914" i="1"/>
  <c r="G744" i="1"/>
  <c r="G1450" i="1"/>
  <c r="G5025" i="1"/>
  <c r="G3781" i="1"/>
  <c r="G4028" i="1"/>
  <c r="G3559" i="1"/>
  <c r="G3210" i="1"/>
  <c r="G1704" i="1"/>
  <c r="G1497" i="1"/>
  <c r="G4534" i="1"/>
  <c r="G2958" i="1"/>
  <c r="G1861" i="1"/>
  <c r="G3848" i="1"/>
  <c r="G2325" i="1"/>
  <c r="G1016" i="1"/>
  <c r="G4454" i="1"/>
  <c r="G4180" i="1"/>
  <c r="G4387" i="1"/>
  <c r="G794" i="1"/>
  <c r="G5576" i="1"/>
  <c r="G2831" i="1"/>
  <c r="G1572" i="1"/>
  <c r="G5561" i="1"/>
  <c r="G5384" i="1"/>
  <c r="G2360" i="1"/>
  <c r="G2791" i="1"/>
  <c r="G996" i="1"/>
  <c r="G1552" i="1"/>
  <c r="G3150" i="1"/>
  <c r="G5651" i="1"/>
  <c r="AA292" i="1"/>
  <c r="Q165" i="1"/>
  <c r="AA63" i="1"/>
  <c r="Q226" i="1"/>
  <c r="Q124" i="1"/>
  <c r="Q233" i="1"/>
  <c r="AA75" i="1"/>
  <c r="Q342" i="1"/>
  <c r="G5157" i="1"/>
  <c r="G1764" i="1"/>
  <c r="G3357" i="1"/>
  <c r="AA362" i="1"/>
  <c r="AA223" i="1"/>
  <c r="Q194" i="1"/>
  <c r="G5506" i="1"/>
  <c r="AA134" i="1"/>
  <c r="G2487" i="1"/>
  <c r="G2579" i="1"/>
  <c r="G1876" i="1"/>
  <c r="G2689" i="1"/>
  <c r="G4586" i="1"/>
  <c r="G3726" i="1"/>
  <c r="G3135" i="1"/>
  <c r="G1749" i="1"/>
  <c r="AA110" i="1"/>
  <c r="AA352" i="1"/>
  <c r="AA69" i="1"/>
  <c r="AA361" i="1"/>
  <c r="Q265" i="1"/>
  <c r="AA368" i="1"/>
  <c r="AA166" i="1"/>
  <c r="AA284" i="1"/>
  <c r="AA203" i="1"/>
  <c r="G5850" i="1"/>
  <c r="G5920" i="1"/>
  <c r="Q337" i="1"/>
  <c r="G4955" i="1"/>
  <c r="G6000" i="1"/>
  <c r="Q119" i="1"/>
  <c r="G5449" i="1"/>
  <c r="G5237" i="1"/>
  <c r="AA171" i="1"/>
  <c r="G5142" i="1"/>
  <c r="AA244" i="1"/>
  <c r="G4247" i="1"/>
  <c r="G5536" i="1"/>
  <c r="Q243" i="1"/>
  <c r="G4509" i="1"/>
  <c r="G4798" i="1"/>
  <c r="G5631" i="1"/>
  <c r="G2881" i="1"/>
  <c r="G5880" i="1"/>
  <c r="G4232" i="1"/>
  <c r="G5693" i="1"/>
  <c r="G5429" i="1"/>
  <c r="G5673" i="1"/>
  <c r="G5843" i="1"/>
  <c r="G5167" i="1"/>
  <c r="G5713" i="1"/>
  <c r="G4307" i="1"/>
  <c r="G2826" i="1"/>
  <c r="G3539" i="1"/>
  <c r="G3659" i="1"/>
  <c r="G5314" i="1"/>
  <c r="G5349" i="1"/>
  <c r="G5147" i="1"/>
  <c r="G4190" i="1"/>
  <c r="G5511" i="1"/>
  <c r="G5272" i="1"/>
  <c r="G5910" i="1"/>
  <c r="G5773" i="1"/>
  <c r="G6020" i="1"/>
  <c r="G5985" i="1"/>
  <c r="G4419" i="1"/>
  <c r="Q383" i="1"/>
  <c r="G5848" i="1"/>
  <c r="AA109" i="1"/>
  <c r="Q24" i="1"/>
  <c r="G3676" i="1"/>
  <c r="G1804" i="1"/>
  <c r="G1657" i="1"/>
  <c r="G1133" i="1"/>
  <c r="G1460" i="1"/>
  <c r="G4873" i="1"/>
  <c r="G5870" i="1"/>
  <c r="G4868" i="1"/>
  <c r="G5656" i="1"/>
  <c r="G5122" i="1"/>
  <c r="G5636" i="1"/>
  <c r="G2482" i="1"/>
  <c r="G1465" i="1"/>
  <c r="G929" i="1"/>
  <c r="G919" i="1"/>
  <c r="G4267" i="1"/>
  <c r="G5414" i="1"/>
  <c r="G3529" i="1"/>
  <c r="G1425" i="1"/>
  <c r="G1148" i="1"/>
  <c r="G854" i="1"/>
  <c r="G5940" i="1"/>
  <c r="G5100" i="1"/>
  <c r="G5960" i="1"/>
  <c r="G5930" i="1"/>
  <c r="G5292" i="1"/>
  <c r="G5297" i="1"/>
  <c r="G5115" i="1"/>
  <c r="Q308" i="1"/>
  <c r="AA440" i="1"/>
  <c r="AA61" i="1"/>
  <c r="AA81" i="1"/>
  <c r="AA319" i="1"/>
  <c r="G4008" i="1"/>
  <c r="Q46" i="1"/>
  <c r="Q357" i="1"/>
  <c r="G5808" i="1"/>
  <c r="G5890" i="1"/>
  <c r="Q2" i="1"/>
  <c r="Q106" i="1"/>
  <c r="AA397" i="1"/>
  <c r="Q95" i="1"/>
  <c r="Q202" i="1"/>
  <c r="Q426" i="1"/>
  <c r="AA196" i="1"/>
  <c r="Q158" i="1"/>
  <c r="AA416" i="1"/>
  <c r="AA367" i="1"/>
  <c r="AA106" i="1"/>
  <c r="Q372" i="1"/>
  <c r="AA197" i="1"/>
  <c r="Q160" i="1"/>
  <c r="AA273" i="1"/>
  <c r="Q49" i="1"/>
  <c r="Q53" i="1"/>
  <c r="Q96" i="1"/>
  <c r="Q408" i="1"/>
  <c r="AA34" i="1"/>
  <c r="Q379" i="1"/>
  <c r="Q195" i="1"/>
  <c r="Q326" i="1"/>
  <c r="AA412" i="1"/>
  <c r="AA80" i="1"/>
  <c r="AA347" i="1"/>
  <c r="AA314" i="1"/>
  <c r="Q166" i="1"/>
  <c r="Q434" i="1"/>
  <c r="Q127" i="1"/>
  <c r="AA263" i="1"/>
  <c r="Q283" i="1"/>
  <c r="Q214" i="1"/>
  <c r="Q407" i="1"/>
  <c r="AA233" i="1"/>
  <c r="AA202" i="1"/>
  <c r="AA189" i="1"/>
  <c r="AA335" i="1"/>
  <c r="Q94" i="1"/>
  <c r="Q176" i="1"/>
  <c r="Q191" i="1"/>
  <c r="AA159" i="1"/>
  <c r="Q7" i="1"/>
  <c r="AA331" i="1"/>
  <c r="AA320" i="1"/>
  <c r="AA342" i="1"/>
  <c r="Q228" i="1"/>
  <c r="Q77" i="1"/>
  <c r="Q79" i="1"/>
  <c r="AA45" i="1"/>
  <c r="AA89" i="1"/>
  <c r="AA138" i="1"/>
  <c r="Q138" i="1"/>
  <c r="Q231" i="1"/>
  <c r="AA36" i="1"/>
  <c r="Q209" i="1"/>
  <c r="Q169" i="1"/>
  <c r="Q91" i="1"/>
  <c r="G5202" i="1"/>
  <c r="Q199" i="1"/>
  <c r="AA311" i="1"/>
  <c r="G4611" i="1"/>
  <c r="G4606" i="1"/>
  <c r="AA354" i="1"/>
  <c r="G5010" i="1"/>
  <c r="G4601" i="1"/>
  <c r="G5182" i="1"/>
  <c r="G5232" i="1"/>
  <c r="Q109" i="1"/>
  <c r="G4357" i="1"/>
  <c r="AA434" i="1"/>
  <c r="G5748" i="1"/>
  <c r="AA318" i="1"/>
  <c r="AA358" i="1"/>
  <c r="AA102" i="1"/>
  <c r="Q299" i="1"/>
  <c r="Q42" i="1"/>
  <c r="AA14" i="1"/>
  <c r="AA218" i="1"/>
  <c r="Q13" i="1"/>
  <c r="AA174" i="1"/>
  <c r="AA209" i="1"/>
  <c r="Q359" i="1"/>
  <c r="Q157" i="1"/>
  <c r="Q230" i="1"/>
  <c r="AA201" i="1"/>
  <c r="AA363" i="1"/>
  <c r="AA333" i="1"/>
  <c r="AA176" i="1"/>
  <c r="Q254" i="1"/>
  <c r="AA291" i="1"/>
  <c r="AA192" i="1"/>
  <c r="Q362" i="1"/>
  <c r="AA30" i="1"/>
  <c r="AA396" i="1"/>
  <c r="Q3" i="1"/>
  <c r="AA371" i="1"/>
  <c r="Q322" i="1"/>
  <c r="Q222" i="1"/>
  <c r="AA211" i="1"/>
  <c r="AA82" i="1"/>
  <c r="Q292" i="1"/>
  <c r="G5127" i="1"/>
  <c r="G5242" i="1"/>
  <c r="G4055" i="1"/>
  <c r="Q393" i="1"/>
  <c r="Q104" i="1"/>
  <c r="Q303" i="1"/>
  <c r="Q5" i="1"/>
  <c r="G4449" i="1"/>
  <c r="AA427" i="1"/>
  <c r="Q420" i="1"/>
  <c r="G5860" i="1"/>
  <c r="AA339" i="1"/>
  <c r="G4327" i="1"/>
  <c r="Q133" i="1"/>
  <c r="G5137" i="1"/>
  <c r="G4272" i="1"/>
  <c r="G3549" i="1"/>
  <c r="Q65" i="1"/>
  <c r="G4135" i="1"/>
  <c r="G4489" i="1"/>
  <c r="G4342" i="1"/>
  <c r="G4773" i="1"/>
  <c r="AA212" i="1"/>
  <c r="G3731" i="1"/>
  <c r="AA419" i="1"/>
  <c r="G3165" i="1"/>
  <c r="G2512" i="1"/>
  <c r="G3120" i="1"/>
  <c r="G4731" i="1"/>
  <c r="G3993" i="1"/>
  <c r="G3422" i="1"/>
  <c r="G2542" i="1"/>
  <c r="G4060" i="1"/>
  <c r="G1233" i="1"/>
  <c r="G2639" i="1"/>
  <c r="G3432" i="1"/>
  <c r="G4429" i="1"/>
  <c r="G3230" i="1"/>
  <c r="G2978" i="1"/>
  <c r="G4499" i="1"/>
  <c r="G3519" i="1"/>
  <c r="G1809" i="1"/>
  <c r="G4237" i="1"/>
  <c r="G4616" i="1"/>
  <c r="G4140" i="1"/>
  <c r="G1380" i="1"/>
  <c r="G1470" i="1"/>
  <c r="G2315" i="1"/>
  <c r="G2649" i="1"/>
  <c r="G1360" i="1"/>
  <c r="G1956" i="1"/>
  <c r="G3846" i="1"/>
  <c r="G946" i="1"/>
  <c r="G2208" i="1"/>
  <c r="G754" i="1"/>
  <c r="G2931" i="1"/>
  <c r="G1851" i="1"/>
  <c r="G2704" i="1"/>
  <c r="G809" i="1"/>
  <c r="G2375" i="1"/>
  <c r="G1051" i="1"/>
  <c r="G936" i="1"/>
  <c r="G1153" i="1"/>
  <c r="G839" i="1"/>
  <c r="G2133" i="1"/>
  <c r="G2452" i="1"/>
  <c r="G1375" i="1"/>
  <c r="G4756" i="1"/>
  <c r="Q223" i="1"/>
  <c r="G1562" i="1"/>
  <c r="G2063" i="1"/>
  <c r="G2006" i="1"/>
  <c r="G1310" i="1"/>
  <c r="G1662" i="1"/>
  <c r="G5915" i="1"/>
  <c r="G3671" i="1"/>
  <c r="G2507" i="1"/>
  <c r="G5267" i="1"/>
  <c r="G2001" i="1"/>
  <c r="G2320" i="1"/>
  <c r="G5496" i="1"/>
  <c r="Q399" i="1"/>
  <c r="AA31" i="1"/>
  <c r="G4424" i="1"/>
  <c r="AA230" i="1"/>
  <c r="Q388" i="1"/>
  <c r="G2183" i="1"/>
  <c r="AA198" i="1"/>
  <c r="G5865" i="1"/>
  <c r="G5070" i="1"/>
  <c r="Q170" i="1"/>
  <c r="AA185" i="1"/>
  <c r="G1522" i="1"/>
  <c r="Q75" i="1"/>
  <c r="AA317" i="1"/>
  <c r="AA43" i="1"/>
  <c r="Q64" i="1"/>
  <c r="AA86" i="1"/>
  <c r="G4459" i="1"/>
  <c r="Q313" i="1"/>
  <c r="Q161" i="1"/>
  <c r="AA143" i="1"/>
  <c r="Q256" i="1"/>
  <c r="Q436" i="1"/>
  <c r="AA181" i="1"/>
  <c r="G879" i="1"/>
  <c r="G1046" i="1"/>
  <c r="AA221" i="1"/>
  <c r="AA172" i="1"/>
  <c r="AA160" i="1"/>
  <c r="AA33" i="1"/>
  <c r="AA245" i="1"/>
  <c r="AA87" i="1"/>
  <c r="AA74" i="1"/>
  <c r="AA267" i="1"/>
  <c r="G5359" i="1"/>
  <c r="AA310" i="1"/>
  <c r="G3437" i="1"/>
  <c r="G3185" i="1"/>
  <c r="G1637" i="1"/>
  <c r="G4444" i="1"/>
  <c r="G1116" i="1"/>
  <c r="G4494" i="1"/>
  <c r="G3494" i="1"/>
  <c r="G5459" i="1"/>
  <c r="G1475" i="1"/>
  <c r="G4965" i="1"/>
  <c r="G1315" i="1"/>
  <c r="G2973" i="1"/>
  <c r="G3629" i="1"/>
  <c r="G3736" i="1"/>
  <c r="G1385" i="1"/>
  <c r="G4484" i="1"/>
  <c r="G2744" i="1"/>
  <c r="G4332" i="1"/>
  <c r="G4950" i="1"/>
  <c r="G1228" i="1"/>
  <c r="G1814" i="1"/>
  <c r="G2345" i="1"/>
  <c r="G2936" i="1"/>
  <c r="G4681" i="1"/>
  <c r="G2380" i="1"/>
  <c r="G3447" i="1"/>
  <c r="AA420" i="1"/>
  <c r="G1617" i="1"/>
  <c r="Q287" i="1"/>
  <c r="G3841" i="1"/>
  <c r="Q361" i="1"/>
  <c r="Q429" i="1"/>
  <c r="AA128" i="1"/>
  <c r="Q415" i="1"/>
  <c r="Q97" i="1"/>
  <c r="Q10" i="1"/>
  <c r="Q30" i="1"/>
  <c r="Q294" i="1"/>
  <c r="AA436" i="1"/>
  <c r="AA41" i="1"/>
  <c r="G1951" i="1"/>
  <c r="G1856" i="1"/>
  <c r="Q211" i="1"/>
  <c r="Q300" i="1"/>
  <c r="Q45" i="1"/>
  <c r="Q178" i="1"/>
  <c r="AA73" i="1"/>
  <c r="Q43" i="1"/>
  <c r="AA187" i="1"/>
  <c r="AA297" i="1"/>
  <c r="Q364" i="1"/>
  <c r="Q132" i="1"/>
  <c r="AA234" i="1"/>
  <c r="G5394" i="1"/>
  <c r="G4040" i="1"/>
  <c r="G1158" i="1"/>
  <c r="G1542" i="1"/>
  <c r="G844" i="1"/>
  <c r="G4347" i="1"/>
  <c r="G1138" i="1"/>
  <c r="G3113" i="1"/>
  <c r="G3125" i="1"/>
  <c r="G2654" i="1"/>
  <c r="Q355" i="1"/>
  <c r="Q350" i="1"/>
  <c r="AA249" i="1"/>
  <c r="Q368" i="1"/>
  <c r="AA282" i="1"/>
  <c r="Q139" i="1"/>
  <c r="G759" i="1"/>
  <c r="AA93" i="1"/>
  <c r="AA17" i="1"/>
  <c r="Q23" i="1"/>
  <c r="Q172" i="1"/>
  <c r="Q358" i="1"/>
  <c r="G951" i="1"/>
  <c r="Q52" i="1"/>
  <c r="AA148" i="1"/>
  <c r="AA111" i="1"/>
  <c r="AA19" i="1"/>
  <c r="AA103" i="1"/>
  <c r="AA337" i="1"/>
  <c r="AA399" i="1"/>
  <c r="Q406" i="1"/>
  <c r="AA77" i="1"/>
  <c r="Q153" i="1"/>
  <c r="Q57" i="1"/>
  <c r="Q122" i="1"/>
  <c r="G5035" i="1"/>
  <c r="G4621" i="1"/>
  <c r="G3943" i="1"/>
  <c r="G976" i="1"/>
  <c r="G1213" i="1"/>
  <c r="G774" i="1"/>
  <c r="G2547" i="1"/>
  <c r="G5778" i="1"/>
  <c r="G3514" i="1"/>
  <c r="G5526" i="1"/>
  <c r="AA156" i="1"/>
  <c r="AA259" i="1"/>
  <c r="AA123" i="1"/>
  <c r="Q114" i="1"/>
  <c r="AA411" i="1"/>
  <c r="G4065" i="1"/>
  <c r="AA334" i="1"/>
  <c r="AA129" i="1"/>
  <c r="AA114" i="1"/>
  <c r="AA437" i="1"/>
  <c r="Q241" i="1"/>
  <c r="AA313" i="1"/>
  <c r="AA190" i="1"/>
  <c r="AA424" i="1"/>
  <c r="AA83" i="1"/>
  <c r="AA340" i="1"/>
  <c r="AA305" i="1"/>
  <c r="AA25" i="1"/>
  <c r="Q328" i="1"/>
  <c r="Q311" i="1"/>
  <c r="AA53" i="1"/>
  <c r="Q143" i="1"/>
  <c r="AA22" i="1"/>
  <c r="AA308" i="1"/>
  <c r="AA349" i="1"/>
  <c r="AA378" i="1"/>
  <c r="AA167" i="1"/>
  <c r="Q110" i="1"/>
  <c r="Q427" i="1"/>
  <c r="G2851" i="1"/>
  <c r="G3584" i="1"/>
  <c r="G941" i="1"/>
  <c r="AA62" i="1"/>
  <c r="G4242" i="1"/>
  <c r="G2709" i="1"/>
  <c r="G2659" i="1"/>
  <c r="G1031" i="1"/>
  <c r="AA124" i="1"/>
  <c r="Q36" i="1"/>
  <c r="Q378" i="1"/>
  <c r="Q156" i="1"/>
  <c r="Q315" i="1"/>
  <c r="AA184" i="1"/>
  <c r="Q32" i="1"/>
  <c r="AA277" i="1"/>
  <c r="AA13" i="1"/>
  <c r="Q51" i="1"/>
  <c r="Q390" i="1"/>
  <c r="AA127" i="1"/>
  <c r="Q346" i="1"/>
  <c r="AA423" i="1"/>
  <c r="Q81" i="1"/>
  <c r="AA304" i="1"/>
  <c r="AA219" i="1"/>
  <c r="AA65" i="1"/>
  <c r="AA322" i="1"/>
  <c r="AA88" i="1"/>
  <c r="AA355" i="1"/>
  <c r="G4888" i="1"/>
  <c r="G4160" i="1"/>
  <c r="G2771" i="1"/>
  <c r="V88" i="1"/>
  <c r="V61" i="1"/>
  <c r="V217" i="1"/>
  <c r="V173" i="1"/>
  <c r="V227" i="1"/>
  <c r="V124" i="1"/>
  <c r="V429" i="1"/>
  <c r="V413" i="1"/>
  <c r="V423" i="1"/>
  <c r="V301" i="1"/>
  <c r="V31" i="1"/>
  <c r="V289" i="1"/>
  <c r="V264" i="1"/>
  <c r="V408" i="1"/>
  <c r="V58" i="1"/>
  <c r="V436" i="1"/>
  <c r="V324" i="1"/>
  <c r="V205" i="1"/>
  <c r="V184" i="1"/>
  <c r="V182" i="1"/>
  <c r="V195" i="1"/>
  <c r="V165" i="1"/>
  <c r="V186" i="1"/>
  <c r="V122" i="1"/>
  <c r="V221" i="1"/>
  <c r="V188" i="1"/>
  <c r="V12" i="1"/>
  <c r="V381" i="1"/>
  <c r="V5" i="1"/>
  <c r="V352" i="1"/>
  <c r="V87" i="1"/>
  <c r="V282" i="1"/>
  <c r="V325" i="1"/>
  <c r="V284" i="1"/>
  <c r="V29" i="1"/>
  <c r="V32" i="1"/>
  <c r="V116" i="1"/>
  <c r="V219" i="1"/>
  <c r="V42" i="1"/>
  <c r="V435" i="1"/>
  <c r="V3" i="1"/>
  <c r="V266" i="1"/>
  <c r="V6" i="1"/>
  <c r="V330" i="1"/>
  <c r="V200" i="1"/>
  <c r="V291" i="1"/>
  <c r="V354" i="1"/>
  <c r="V327" i="1"/>
  <c r="V326" i="1"/>
  <c r="V394" i="1"/>
  <c r="V393" i="1"/>
  <c r="V110" i="1"/>
  <c r="V84" i="1"/>
  <c r="V63" i="1"/>
  <c r="V67" i="1"/>
  <c r="V365" i="1"/>
  <c r="V157" i="1"/>
  <c r="V81" i="1"/>
  <c r="V73" i="1"/>
  <c r="V152" i="1"/>
  <c r="V235" i="1"/>
  <c r="V75" i="1"/>
  <c r="V70" i="1"/>
  <c r="V380" i="1"/>
  <c r="V100" i="1"/>
  <c r="V213" i="1"/>
  <c r="V383" i="1"/>
  <c r="V433" i="1"/>
  <c r="V30" i="1"/>
  <c r="V162" i="1"/>
  <c r="V376" i="1"/>
  <c r="V23" i="1"/>
  <c r="V190" i="1"/>
  <c r="V287" i="1"/>
  <c r="V368" i="1"/>
  <c r="V104" i="1"/>
  <c r="V281" i="1"/>
  <c r="V306" i="1"/>
  <c r="V272" i="1"/>
  <c r="V361" i="1"/>
  <c r="V191" i="1"/>
  <c r="V417" i="1"/>
  <c r="V389" i="1"/>
  <c r="V364" i="1"/>
  <c r="V13" i="1"/>
  <c r="V316" i="1"/>
  <c r="V438" i="1"/>
  <c r="V204" i="1"/>
  <c r="V80" i="1"/>
  <c r="V426" i="1"/>
  <c r="V242" i="1"/>
  <c r="V276" i="1"/>
  <c r="V68" i="1"/>
  <c r="V277" i="1"/>
  <c r="V16" i="1"/>
  <c r="V388" i="1"/>
  <c r="V82" i="1"/>
  <c r="V268" i="1"/>
  <c r="V401" i="1"/>
  <c r="V344" i="1"/>
  <c r="V103" i="1"/>
  <c r="V123" i="1"/>
  <c r="V139" i="1"/>
  <c r="V333" i="1"/>
  <c r="V138" i="1"/>
  <c r="V167" i="1"/>
  <c r="V59" i="1"/>
  <c r="V7" i="1"/>
  <c r="V175" i="1"/>
  <c r="V148" i="1"/>
  <c r="V378" i="1"/>
  <c r="V127" i="1"/>
  <c r="V72" i="1"/>
  <c r="V198" i="1"/>
  <c r="V35" i="1"/>
  <c r="V370" i="1"/>
  <c r="V356" i="1"/>
  <c r="V15" i="1"/>
  <c r="V60" i="1"/>
  <c r="V343" i="1"/>
  <c r="V141" i="1"/>
  <c r="V118" i="1"/>
  <c r="V9" i="1"/>
  <c r="V136" i="1"/>
  <c r="V97" i="1"/>
  <c r="V400" i="1"/>
  <c r="V319" i="1"/>
  <c r="V215" i="1"/>
  <c r="V78" i="1"/>
  <c r="V243" i="1"/>
  <c r="V384" i="1"/>
  <c r="V121" i="1"/>
  <c r="V218" i="1"/>
  <c r="V386" i="1"/>
  <c r="V296" i="1"/>
  <c r="V434" i="1"/>
  <c r="V94" i="1"/>
  <c r="V431" i="1"/>
  <c r="V150" i="1"/>
  <c r="V230" i="1"/>
  <c r="V229" i="1"/>
  <c r="V385" i="1"/>
  <c r="V404" i="1"/>
  <c r="V341" i="1"/>
  <c r="V140" i="1"/>
  <c r="V166" i="1"/>
  <c r="V115" i="1"/>
  <c r="V260" i="1"/>
  <c r="V259" i="1"/>
  <c r="V49" i="1"/>
  <c r="V298" i="1"/>
  <c r="V269" i="1"/>
  <c r="V297" i="1"/>
  <c r="V208" i="1"/>
  <c r="V189" i="1"/>
  <c r="V406" i="1"/>
  <c r="V329" i="1"/>
  <c r="V280" i="1"/>
  <c r="V40" i="1"/>
  <c r="V133" i="1"/>
  <c r="V34" i="1"/>
  <c r="V98" i="1"/>
  <c r="V437" i="1"/>
  <c r="V44" i="1"/>
  <c r="V256" i="1"/>
  <c r="V391" i="1"/>
  <c r="V375" i="1"/>
  <c r="V288" i="1"/>
  <c r="V395" i="1"/>
  <c r="V114" i="1"/>
  <c r="V425" i="1"/>
  <c r="V336" i="1"/>
  <c r="V271" i="1"/>
  <c r="V112" i="1"/>
  <c r="V295" i="1"/>
  <c r="V99" i="1"/>
  <c r="V50" i="1"/>
  <c r="V339" i="1"/>
  <c r="V129" i="1"/>
  <c r="V342" i="1"/>
  <c r="V432" i="1"/>
  <c r="V158" i="1"/>
  <c r="V410" i="1"/>
  <c r="V109" i="1"/>
  <c r="V180" i="1"/>
  <c r="V20" i="1"/>
  <c r="V398" i="1"/>
  <c r="V251" i="1"/>
  <c r="V308" i="1"/>
  <c r="V146" i="1"/>
  <c r="V171" i="1"/>
  <c r="V57" i="1"/>
  <c r="V267" i="1"/>
  <c r="V77" i="1"/>
  <c r="V396" i="1"/>
  <c r="V178" i="1"/>
  <c r="V320" i="1"/>
  <c r="V351" i="1"/>
  <c r="V4" i="1"/>
  <c r="V194" i="1"/>
  <c r="V224" i="1"/>
  <c r="V303" i="1"/>
  <c r="V45" i="1"/>
  <c r="V177" i="1"/>
  <c r="V274" i="1"/>
  <c r="V239" i="1"/>
  <c r="V275" i="1"/>
  <c r="V161" i="1"/>
  <c r="V340" i="1"/>
  <c r="V307" i="1"/>
  <c r="V363" i="1"/>
  <c r="V415" i="1"/>
  <c r="V334" i="1"/>
  <c r="V85" i="1"/>
  <c r="V421" i="1"/>
  <c r="V210" i="1"/>
  <c r="V153" i="1"/>
  <c r="V17" i="1"/>
  <c r="V33" i="1"/>
  <c r="V430" i="1"/>
  <c r="V397" i="1"/>
  <c r="V263" i="1"/>
  <c r="V257" i="1"/>
  <c r="V163" i="1"/>
  <c r="V412" i="1"/>
  <c r="V392" i="1"/>
  <c r="V199" i="1"/>
  <c r="V313" i="1"/>
  <c r="V220" i="1"/>
  <c r="V46" i="1"/>
  <c r="V26" i="1"/>
  <c r="V261" i="1"/>
  <c r="V348" i="1"/>
  <c r="V111" i="1"/>
  <c r="V353" i="1"/>
  <c r="V117" i="1"/>
  <c r="V424" i="1"/>
  <c r="V292" i="1"/>
  <c r="V18" i="1"/>
  <c r="V172" i="1"/>
  <c r="V105" i="1"/>
  <c r="V170" i="1"/>
  <c r="V21" i="1"/>
  <c r="V126" i="1"/>
  <c r="V332" i="1"/>
  <c r="V66" i="1"/>
  <c r="V240" i="1"/>
  <c r="V24" i="1"/>
  <c r="V233" i="1"/>
  <c r="V248" i="1"/>
  <c r="V119" i="1"/>
  <c r="V427" i="1"/>
  <c r="V285" i="1"/>
  <c r="V244" i="1"/>
  <c r="V279" i="1"/>
  <c r="V209" i="1"/>
  <c r="V367" i="1"/>
  <c r="V299" i="1"/>
  <c r="V250" i="1"/>
  <c r="V55" i="1"/>
  <c r="V14" i="1"/>
  <c r="V377" i="1"/>
  <c r="V36" i="1"/>
  <c r="V273" i="1"/>
  <c r="V120" i="1"/>
  <c r="V314" i="1"/>
  <c r="V238" i="1"/>
  <c r="V212" i="1"/>
  <c r="V79" i="1"/>
  <c r="V155" i="1"/>
  <c r="V37" i="1"/>
  <c r="V226" i="1"/>
  <c r="V174" i="1"/>
  <c r="V128" i="1"/>
  <c r="V254" i="1"/>
  <c r="V374" i="1"/>
  <c r="V311" i="1"/>
  <c r="V407" i="1"/>
  <c r="V130" i="1"/>
  <c r="V76" i="1"/>
  <c r="V101" i="1"/>
  <c r="V28" i="1"/>
  <c r="V349" i="1"/>
  <c r="V22" i="1"/>
  <c r="V160" i="1"/>
  <c r="V358" i="1"/>
  <c r="V151" i="1"/>
  <c r="V265" i="1"/>
  <c r="V51" i="1"/>
  <c r="V338" i="1"/>
  <c r="V202" i="1"/>
  <c r="V89" i="1"/>
  <c r="V93" i="1"/>
  <c r="V382" i="1"/>
  <c r="V328" i="1"/>
  <c r="V310" i="1"/>
  <c r="V145" i="1"/>
  <c r="V19" i="1"/>
  <c r="V102" i="1"/>
  <c r="V373" i="1"/>
  <c r="V95" i="1"/>
  <c r="V440" i="1"/>
  <c r="V108" i="1"/>
  <c r="V414" i="1"/>
  <c r="V234" i="1"/>
  <c r="V362" i="1"/>
  <c r="V419" i="1"/>
  <c r="V405" i="1"/>
  <c r="V390" i="1"/>
  <c r="V142" i="1"/>
  <c r="V216" i="1"/>
  <c r="V90" i="1"/>
  <c r="V255" i="1"/>
  <c r="V315" i="1"/>
  <c r="V214" i="1"/>
  <c r="V223" i="1"/>
  <c r="V113" i="1"/>
  <c r="V245" i="1"/>
  <c r="V300" i="1"/>
  <c r="V206" i="1"/>
  <c r="V402" i="1"/>
  <c r="V323" i="1"/>
  <c r="V38" i="1"/>
  <c r="V228" i="1"/>
  <c r="V286" i="1"/>
  <c r="V149" i="1"/>
  <c r="V379" i="1"/>
  <c r="V302" i="1"/>
  <c r="V62" i="1"/>
  <c r="V350" i="1"/>
  <c r="V187" i="1"/>
  <c r="V197" i="1"/>
  <c r="V91" i="1"/>
  <c r="V41" i="1"/>
  <c r="V312" i="1"/>
  <c r="V185" i="1"/>
  <c r="V53" i="1"/>
  <c r="V317" i="1"/>
  <c r="V403" i="1"/>
  <c r="V27" i="1"/>
  <c r="V428" i="1"/>
  <c r="V371" i="1"/>
  <c r="V262" i="1"/>
  <c r="V134" i="1"/>
  <c r="V321" i="1"/>
  <c r="V309" i="1"/>
  <c r="V71" i="1"/>
  <c r="V106" i="1"/>
  <c r="V420" i="1"/>
  <c r="V258" i="1"/>
  <c r="V181" i="1"/>
  <c r="V193" i="1"/>
  <c r="V293" i="1"/>
  <c r="V201" i="1"/>
  <c r="V203" i="1"/>
  <c r="V249" i="1"/>
  <c r="V96" i="1"/>
  <c r="V144" i="1"/>
  <c r="V331" i="1"/>
  <c r="V196" i="1"/>
  <c r="V372" i="1"/>
  <c r="V52" i="1"/>
  <c r="V86" i="1"/>
  <c r="V222" i="1"/>
  <c r="V366" i="1"/>
  <c r="V322" i="1"/>
  <c r="V355" i="1"/>
  <c r="V294" i="1"/>
  <c r="V183" i="1"/>
  <c r="V43" i="1"/>
  <c r="V439" i="1"/>
  <c r="V107" i="1"/>
  <c r="V132" i="1"/>
  <c r="V252" i="1"/>
  <c r="V345" i="1"/>
  <c r="V56" i="1"/>
  <c r="V169" i="1"/>
  <c r="V207" i="1"/>
  <c r="V318" i="1"/>
  <c r="V83" i="1"/>
  <c r="V48" i="1"/>
  <c r="V359" i="1"/>
  <c r="V65" i="1"/>
  <c r="V64" i="1"/>
  <c r="V246" i="1"/>
  <c r="V237" i="1"/>
  <c r="V337" i="1"/>
  <c r="V147" i="1"/>
  <c r="V357" i="1"/>
  <c r="V231" i="1"/>
  <c r="V47" i="1"/>
  <c r="V211" i="1"/>
  <c r="V10" i="1"/>
  <c r="V156" i="1"/>
  <c r="V290" i="1"/>
  <c r="V74" i="1"/>
  <c r="V232" i="1"/>
  <c r="V304" i="1"/>
  <c r="V335" i="1"/>
  <c r="V168" i="1"/>
  <c r="V143" i="1"/>
  <c r="V346" i="1"/>
  <c r="V125" i="1"/>
  <c r="V159" i="1"/>
  <c r="V179" i="1"/>
  <c r="V154" i="1"/>
  <c r="V247" i="1"/>
  <c r="K14" i="3"/>
  <c r="K20" i="3"/>
  <c r="K22" i="3"/>
  <c r="K18" i="3"/>
  <c r="K10" i="3"/>
  <c r="K9" i="3"/>
  <c r="N46" i="3"/>
  <c r="O49" i="3" s="1" a="1"/>
  <c r="O49" i="3" s="1"/>
  <c r="O50" i="3"/>
  <c r="W46" i="3"/>
  <c r="V46" i="3"/>
  <c r="X46" i="3"/>
  <c r="Y46" i="3"/>
  <c r="U46" i="3"/>
  <c r="M12" i="6"/>
  <c r="R15" i="6"/>
  <c r="O15" i="6"/>
  <c r="N15" i="6"/>
  <c r="M15" i="6"/>
  <c r="L15" i="6"/>
  <c r="R12" i="6"/>
  <c r="Q12" i="6"/>
  <c r="P12" i="6"/>
  <c r="O12" i="6"/>
  <c r="N12" i="6"/>
  <c r="L12" i="6"/>
  <c r="K12" i="6"/>
  <c r="O8" i="6"/>
  <c r="L8" i="6"/>
  <c r="K8" i="6"/>
  <c r="O3" i="6"/>
  <c r="N3" i="6"/>
  <c r="M3" i="6"/>
  <c r="L3" i="6"/>
  <c r="K3" i="6"/>
  <c r="J126" i="10"/>
  <c r="J121" i="10"/>
  <c r="P139" i="6"/>
  <c r="P137" i="6"/>
  <c r="P132" i="6"/>
  <c r="P136" i="6"/>
  <c r="P138" i="6"/>
  <c r="P135" i="6"/>
  <c r="P133" i="6"/>
  <c r="P134" i="6"/>
  <c r="P131" i="6"/>
  <c r="K138" i="6"/>
  <c r="K136" i="6"/>
  <c r="K135" i="6"/>
  <c r="K137" i="6"/>
  <c r="K134" i="6"/>
  <c r="K139" i="6"/>
  <c r="K133" i="6"/>
  <c r="K132" i="6"/>
  <c r="K131" i="6"/>
  <c r="K35" i="6"/>
  <c r="N34" i="6"/>
  <c r="N35" i="6"/>
  <c r="Q34" i="6"/>
  <c r="AE10" i="6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S15" i="6"/>
  <c r="Q77" i="6"/>
  <c r="T59" i="6"/>
  <c r="Q81" i="6"/>
  <c r="Q69" i="6"/>
  <c r="Q80" i="6"/>
  <c r="Q68" i="6"/>
  <c r="Q83" i="6"/>
  <c r="Q79" i="6"/>
  <c r="Q67" i="6"/>
  <c r="Q78" i="6"/>
  <c r="Q66" i="6"/>
  <c r="Q70" i="6"/>
  <c r="Q65" i="6"/>
  <c r="Q82" i="6"/>
  <c r="Q76" i="6"/>
  <c r="Q64" i="6"/>
  <c r="Q71" i="6"/>
  <c r="Q75" i="6"/>
  <c r="Q63" i="6"/>
  <c r="Q74" i="6"/>
  <c r="Q62" i="6"/>
  <c r="Q73" i="6"/>
  <c r="Q61" i="6"/>
  <c r="Q72" i="6"/>
  <c r="Q60" i="6"/>
  <c r="G3973" i="1" l="1"/>
  <c r="G5192" i="1"/>
  <c r="G5050" i="1"/>
  <c r="G5015" i="1"/>
  <c r="G4788" i="1"/>
  <c r="G3988" i="1"/>
  <c r="G4125" i="1"/>
  <c r="G3392" i="1"/>
  <c r="G1036" i="1"/>
  <c r="G1168" i="1"/>
  <c r="G1866" i="1"/>
  <c r="G2073" i="1"/>
  <c r="G4367" i="1"/>
  <c r="G1420" i="1"/>
  <c r="G3868" i="1"/>
  <c r="G5110" i="1"/>
  <c r="G5060" i="1"/>
  <c r="G4591" i="1"/>
  <c r="G2043" i="1"/>
  <c r="G3928" i="1"/>
  <c r="G1001" i="1"/>
  <c r="G899" i="1"/>
  <c r="V236" i="1"/>
  <c r="G5212" i="1"/>
  <c r="G1248" i="1"/>
  <c r="G5374" i="1"/>
  <c r="G3160" i="1"/>
  <c r="G5708" i="1"/>
  <c r="G5768" i="1"/>
  <c r="G4878" i="1"/>
  <c r="G3083" i="1"/>
  <c r="G5718" i="1"/>
  <c r="G3933" i="1"/>
  <c r="G4322" i="1"/>
  <c r="G2225" i="1"/>
  <c r="G5080" i="1"/>
  <c r="G5419" i="1"/>
  <c r="G1330" i="1"/>
  <c r="G2138" i="1"/>
  <c r="G2310" i="1"/>
  <c r="G1627" i="1"/>
  <c r="G784" i="1"/>
  <c r="G5404" i="1"/>
  <c r="G4813" i="1"/>
  <c r="G4818" i="1"/>
  <c r="G3686" i="1"/>
  <c r="G5900" i="1"/>
  <c r="G4200" i="1"/>
  <c r="G5586" i="1"/>
  <c r="G2906" i="1"/>
  <c r="G804" i="1"/>
  <c r="G1834" i="1"/>
  <c r="G2275" i="1"/>
  <c r="G4666" i="1"/>
  <c r="G3332" i="1"/>
  <c r="G4439" i="1"/>
  <c r="AA323" i="1"/>
  <c r="G1896" i="1"/>
  <c r="V25" i="1"/>
  <c r="V278" i="1"/>
  <c r="V283" i="1"/>
  <c r="G3619" i="1"/>
  <c r="G5783" i="1"/>
  <c r="G4833" i="1"/>
  <c r="G4549" i="1"/>
  <c r="G5995" i="1"/>
  <c r="G2355" i="1"/>
  <c r="G5474" i="1"/>
  <c r="G3140" i="1"/>
  <c r="G5661" i="1"/>
  <c r="G3821" i="1"/>
  <c r="G4539" i="1"/>
  <c r="G4559" i="1"/>
  <c r="G3761" i="1"/>
  <c r="G5516" i="1"/>
  <c r="G4716" i="1"/>
  <c r="G4898" i="1"/>
  <c r="G3791" i="1"/>
  <c r="G4751" i="1"/>
  <c r="G3018" i="1"/>
  <c r="G2806" i="1"/>
  <c r="G2766" i="1"/>
  <c r="G2163" i="1"/>
  <c r="G6015" i="1"/>
  <c r="AA403" i="1"/>
  <c r="Q70" i="1"/>
  <c r="AA400" i="1"/>
  <c r="AA228" i="1"/>
  <c r="AA287" i="1"/>
  <c r="G5905" i="1"/>
  <c r="G3654" i="1"/>
  <c r="G1819" i="1"/>
  <c r="G1243" i="1"/>
  <c r="G2038" i="1"/>
  <c r="G864" i="1"/>
  <c r="V270" i="1"/>
  <c r="V416" i="1"/>
  <c r="G3013" i="1"/>
  <c r="G764" i="1"/>
  <c r="G5975" i="1"/>
  <c r="G4768" i="1"/>
  <c r="G3589" i="1"/>
  <c r="G4464" i="1"/>
  <c r="G2295" i="1"/>
  <c r="G1774" i="1"/>
  <c r="G4257" i="1"/>
  <c r="G4150" i="1"/>
  <c r="G5329" i="1"/>
  <c r="G3043" i="1"/>
  <c r="G3853" i="1"/>
  <c r="G5369" i="1"/>
  <c r="G3180" i="1"/>
  <c r="G3751" i="1"/>
  <c r="G3746" i="1"/>
  <c r="G4863" i="1"/>
  <c r="G2203" i="1"/>
  <c r="G1076" i="1"/>
  <c r="V387" i="1"/>
  <c r="V131" i="1"/>
  <c r="G5177" i="1"/>
  <c r="G2118" i="1"/>
  <c r="G3716" i="1"/>
  <c r="G4524" i="1"/>
  <c r="G3639" i="1"/>
  <c r="G1921" i="1"/>
  <c r="AA96" i="1"/>
  <c r="Q76" i="1"/>
  <c r="Q341" i="1"/>
  <c r="Q12" i="1"/>
  <c r="AA183" i="1"/>
  <c r="AA94" i="1"/>
  <c r="G5571" i="1"/>
  <c r="G5738" i="1"/>
  <c r="G1480" i="1"/>
  <c r="G1021" i="1"/>
  <c r="V39" i="1"/>
  <c r="G986" i="1"/>
  <c r="O130" i="6"/>
  <c r="O131" i="6"/>
  <c r="O132" i="6"/>
  <c r="O133" i="6"/>
  <c r="O138" i="6"/>
  <c r="O139" i="6"/>
  <c r="O134" i="6"/>
  <c r="O135" i="6"/>
  <c r="O136" i="6"/>
  <c r="O137" i="6"/>
  <c r="N131" i="6"/>
  <c r="N132" i="6"/>
  <c r="N133" i="6"/>
  <c r="N134" i="6"/>
  <c r="N137" i="6"/>
  <c r="N135" i="6"/>
  <c r="N136" i="6"/>
  <c r="N138" i="6"/>
  <c r="N139" i="6"/>
  <c r="N130" i="6"/>
  <c r="M130" i="6"/>
  <c r="M131" i="6"/>
  <c r="M132" i="6"/>
  <c r="M133" i="6"/>
  <c r="M134" i="6"/>
  <c r="M139" i="6"/>
  <c r="M135" i="6"/>
  <c r="M136" i="6"/>
  <c r="M137" i="6"/>
  <c r="M138" i="6"/>
  <c r="L130" i="6"/>
  <c r="L131" i="6"/>
  <c r="L132" i="6"/>
  <c r="L133" i="6"/>
  <c r="L134" i="6"/>
  <c r="L135" i="6"/>
  <c r="L136" i="6"/>
  <c r="L137" i="6"/>
  <c r="L138" i="6"/>
  <c r="L139" i="6"/>
  <c r="P140" i="6"/>
  <c r="T31" i="6" s="1"/>
  <c r="K140" i="6"/>
  <c r="L30" i="6" s="1"/>
  <c r="S70" i="6"/>
  <c r="T70" i="6"/>
  <c r="S78" i="6"/>
  <c r="T78" i="6"/>
  <c r="S77" i="6"/>
  <c r="T77" i="6"/>
  <c r="S79" i="6"/>
  <c r="T79" i="6"/>
  <c r="S75" i="6"/>
  <c r="T75" i="6"/>
  <c r="S83" i="6"/>
  <c r="T83" i="6"/>
  <c r="S72" i="6"/>
  <c r="T72" i="6"/>
  <c r="S74" i="6"/>
  <c r="T74" i="6"/>
  <c r="S71" i="6"/>
  <c r="T71" i="6"/>
  <c r="S68" i="6"/>
  <c r="T68" i="6"/>
  <c r="S76" i="6"/>
  <c r="T76" i="6"/>
  <c r="S69" i="6"/>
  <c r="T69" i="6"/>
  <c r="S82" i="6"/>
  <c r="T82" i="6"/>
  <c r="S81" i="6"/>
  <c r="T81" i="6"/>
  <c r="S73" i="6"/>
  <c r="T73" i="6"/>
  <c r="S80" i="6"/>
  <c r="T80" i="6"/>
  <c r="S62" i="6"/>
  <c r="T62" i="6"/>
  <c r="S61" i="6"/>
  <c r="T61" i="6"/>
  <c r="S64" i="6"/>
  <c r="T64" i="6"/>
  <c r="S63" i="6"/>
  <c r="T63" i="6"/>
  <c r="S66" i="6"/>
  <c r="T66" i="6"/>
  <c r="S60" i="6"/>
  <c r="T60" i="6"/>
  <c r="S65" i="6"/>
  <c r="T65" i="6"/>
  <c r="S67" i="6"/>
  <c r="T67" i="6"/>
  <c r="O109" i="6"/>
  <c r="M98" i="6"/>
  <c r="O98" i="6" s="1"/>
  <c r="O92" i="6"/>
  <c r="K25" i="6" s="1"/>
  <c r="K44" i="6"/>
  <c r="K45" i="6"/>
  <c r="K46" i="6"/>
  <c r="K47" i="6"/>
  <c r="K48" i="6"/>
  <c r="M48" i="6" s="1"/>
  <c r="K49" i="6"/>
  <c r="M49" i="6" s="1"/>
  <c r="K50" i="6"/>
  <c r="M50" i="6" s="1"/>
  <c r="K43" i="6"/>
  <c r="M42" i="6"/>
  <c r="AN158" i="6"/>
  <c r="AO158" i="6" s="1"/>
  <c r="W123" i="6"/>
  <c r="X123" i="6" s="1"/>
  <c r="T124" i="6"/>
  <c r="J126" i="6"/>
  <c r="K126" i="6"/>
  <c r="L126" i="6"/>
  <c r="M126" i="6"/>
  <c r="N126" i="6"/>
  <c r="O126" i="6"/>
  <c r="P126" i="6"/>
  <c r="Q126" i="6"/>
  <c r="M103" i="6" s="1"/>
  <c r="O103" i="6" s="1"/>
  <c r="Q25" i="6" s="1"/>
  <c r="R126" i="6"/>
  <c r="S126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59" i="6"/>
  <c r="K12" i="3"/>
  <c r="L14" i="3" s="1"/>
  <c r="M764" i="1" l="1"/>
  <c r="M763" i="1"/>
  <c r="M762" i="1"/>
  <c r="M761" i="1"/>
  <c r="M760" i="1"/>
  <c r="M759" i="1"/>
  <c r="M758" i="1"/>
  <c r="L5" i="13"/>
  <c r="L17" i="13"/>
  <c r="L29" i="13"/>
  <c r="L41" i="13"/>
  <c r="L53" i="13"/>
  <c r="L65" i="13"/>
  <c r="L77" i="13"/>
  <c r="L89" i="13"/>
  <c r="L101" i="13"/>
  <c r="L113" i="13"/>
  <c r="L125" i="13"/>
  <c r="L137" i="13"/>
  <c r="L149" i="13"/>
  <c r="L161" i="13"/>
  <c r="L173" i="13"/>
  <c r="L185" i="13"/>
  <c r="L197" i="13"/>
  <c r="L209" i="13"/>
  <c r="L221" i="13"/>
  <c r="L233" i="13"/>
  <c r="L245" i="13"/>
  <c r="L257" i="13"/>
  <c r="L269" i="13"/>
  <c r="L281" i="13"/>
  <c r="L293" i="13"/>
  <c r="L305" i="13"/>
  <c r="L317" i="13"/>
  <c r="L329" i="13"/>
  <c r="L341" i="13"/>
  <c r="L353" i="13"/>
  <c r="L365" i="13"/>
  <c r="L368" i="13"/>
  <c r="L6" i="13"/>
  <c r="L18" i="13"/>
  <c r="L30" i="13"/>
  <c r="L42" i="13"/>
  <c r="L54" i="13"/>
  <c r="L66" i="13"/>
  <c r="L78" i="13"/>
  <c r="L90" i="13"/>
  <c r="L102" i="13"/>
  <c r="L114" i="13"/>
  <c r="L126" i="13"/>
  <c r="L138" i="13"/>
  <c r="L150" i="13"/>
  <c r="L162" i="13"/>
  <c r="L174" i="13"/>
  <c r="L186" i="13"/>
  <c r="L198" i="13"/>
  <c r="L210" i="13"/>
  <c r="L222" i="13"/>
  <c r="L234" i="13"/>
  <c r="L246" i="13"/>
  <c r="L258" i="13"/>
  <c r="L270" i="13"/>
  <c r="L282" i="13"/>
  <c r="L294" i="13"/>
  <c r="L306" i="13"/>
  <c r="L318" i="13"/>
  <c r="L330" i="13"/>
  <c r="L342" i="13"/>
  <c r="L354" i="13"/>
  <c r="L366" i="13"/>
  <c r="L364" i="13"/>
  <c r="L7" i="13"/>
  <c r="L19" i="13"/>
  <c r="L31" i="13"/>
  <c r="L43" i="13"/>
  <c r="L55" i="13"/>
  <c r="L67" i="13"/>
  <c r="L79" i="13"/>
  <c r="L91" i="13"/>
  <c r="L103" i="13"/>
  <c r="L115" i="13"/>
  <c r="L127" i="13"/>
  <c r="L139" i="13"/>
  <c r="L151" i="13"/>
  <c r="L163" i="13"/>
  <c r="L175" i="13"/>
  <c r="L187" i="13"/>
  <c r="L199" i="13"/>
  <c r="L211" i="13"/>
  <c r="L223" i="13"/>
  <c r="L235" i="13"/>
  <c r="L247" i="13"/>
  <c r="L259" i="13"/>
  <c r="L271" i="13"/>
  <c r="L283" i="13"/>
  <c r="L295" i="13"/>
  <c r="L307" i="13"/>
  <c r="L319" i="13"/>
  <c r="L331" i="13"/>
  <c r="L343" i="13"/>
  <c r="L355" i="13"/>
  <c r="L367" i="13"/>
  <c r="L328" i="13"/>
  <c r="L8" i="13"/>
  <c r="L20" i="13"/>
  <c r="L32" i="13"/>
  <c r="L44" i="13"/>
  <c r="L56" i="13"/>
  <c r="L68" i="13"/>
  <c r="L80" i="13"/>
  <c r="L92" i="13"/>
  <c r="L104" i="13"/>
  <c r="L116" i="13"/>
  <c r="L128" i="13"/>
  <c r="L140" i="13"/>
  <c r="L152" i="13"/>
  <c r="L164" i="13"/>
  <c r="L176" i="13"/>
  <c r="L188" i="13"/>
  <c r="L200" i="13"/>
  <c r="L212" i="13"/>
  <c r="L224" i="13"/>
  <c r="L236" i="13"/>
  <c r="L248" i="13"/>
  <c r="L260" i="13"/>
  <c r="L272" i="13"/>
  <c r="L284" i="13"/>
  <c r="L296" i="13"/>
  <c r="L308" i="13"/>
  <c r="L320" i="13"/>
  <c r="L332" i="13"/>
  <c r="L344" i="13"/>
  <c r="L356" i="13"/>
  <c r="L9" i="13"/>
  <c r="L21" i="13"/>
  <c r="L33" i="13"/>
  <c r="L45" i="13"/>
  <c r="L57" i="13"/>
  <c r="L69" i="13"/>
  <c r="L81" i="13"/>
  <c r="L93" i="13"/>
  <c r="L105" i="13"/>
  <c r="L117" i="13"/>
  <c r="L129" i="13"/>
  <c r="L141" i="13"/>
  <c r="L153" i="13"/>
  <c r="L165" i="13"/>
  <c r="L177" i="13"/>
  <c r="L189" i="13"/>
  <c r="L201" i="13"/>
  <c r="L213" i="13"/>
  <c r="L225" i="13"/>
  <c r="L237" i="13"/>
  <c r="L249" i="13"/>
  <c r="L261" i="13"/>
  <c r="L273" i="13"/>
  <c r="L285" i="13"/>
  <c r="L297" i="13"/>
  <c r="L309" i="13"/>
  <c r="L321" i="13"/>
  <c r="L333" i="13"/>
  <c r="L345" i="13"/>
  <c r="L357" i="13"/>
  <c r="L3" i="13"/>
  <c r="L304" i="13"/>
  <c r="L10" i="13"/>
  <c r="L22" i="13"/>
  <c r="L34" i="13"/>
  <c r="L46" i="13"/>
  <c r="L58" i="13"/>
  <c r="L70" i="13"/>
  <c r="L82" i="13"/>
  <c r="L94" i="13"/>
  <c r="L106" i="13"/>
  <c r="L118" i="13"/>
  <c r="L130" i="13"/>
  <c r="L142" i="13"/>
  <c r="L154" i="13"/>
  <c r="L166" i="13"/>
  <c r="L178" i="13"/>
  <c r="L190" i="13"/>
  <c r="L202" i="13"/>
  <c r="L214" i="13"/>
  <c r="L226" i="13"/>
  <c r="L238" i="13"/>
  <c r="L250" i="13"/>
  <c r="L262" i="13"/>
  <c r="L274" i="13"/>
  <c r="L286" i="13"/>
  <c r="L298" i="13"/>
  <c r="L310" i="13"/>
  <c r="L322" i="13"/>
  <c r="L334" i="13"/>
  <c r="L346" i="13"/>
  <c r="L358" i="13"/>
  <c r="L292" i="13"/>
  <c r="L11" i="13"/>
  <c r="L23" i="13"/>
  <c r="L35" i="13"/>
  <c r="L47" i="13"/>
  <c r="L59" i="13"/>
  <c r="L71" i="13"/>
  <c r="L83" i="13"/>
  <c r="L95" i="13"/>
  <c r="L107" i="13"/>
  <c r="L119" i="13"/>
  <c r="L131" i="13"/>
  <c r="L143" i="13"/>
  <c r="L155" i="13"/>
  <c r="L167" i="13"/>
  <c r="L179" i="13"/>
  <c r="L191" i="13"/>
  <c r="L203" i="13"/>
  <c r="L215" i="13"/>
  <c r="L227" i="13"/>
  <c r="L239" i="13"/>
  <c r="L251" i="13"/>
  <c r="L263" i="13"/>
  <c r="L275" i="13"/>
  <c r="L287" i="13"/>
  <c r="L299" i="13"/>
  <c r="L311" i="13"/>
  <c r="L323" i="13"/>
  <c r="L335" i="13"/>
  <c r="L347" i="13"/>
  <c r="L359" i="13"/>
  <c r="L352" i="13"/>
  <c r="L12" i="13"/>
  <c r="L24" i="13"/>
  <c r="L36" i="13"/>
  <c r="L48" i="13"/>
  <c r="L60" i="13"/>
  <c r="L72" i="13"/>
  <c r="L84" i="13"/>
  <c r="L96" i="13"/>
  <c r="L108" i="13"/>
  <c r="L120" i="13"/>
  <c r="L132" i="13"/>
  <c r="L144" i="13"/>
  <c r="L156" i="13"/>
  <c r="L168" i="13"/>
  <c r="L180" i="13"/>
  <c r="L192" i="13"/>
  <c r="L204" i="13"/>
  <c r="L216" i="13"/>
  <c r="L228" i="13"/>
  <c r="L240" i="13"/>
  <c r="L252" i="13"/>
  <c r="L264" i="13"/>
  <c r="L276" i="13"/>
  <c r="L288" i="13"/>
  <c r="L300" i="13"/>
  <c r="L312" i="13"/>
  <c r="L324" i="13"/>
  <c r="L336" i="13"/>
  <c r="L348" i="13"/>
  <c r="L360" i="13"/>
  <c r="L340" i="13"/>
  <c r="L13" i="13"/>
  <c r="L25" i="13"/>
  <c r="L37" i="13"/>
  <c r="L49" i="13"/>
  <c r="L61" i="13"/>
  <c r="L73" i="13"/>
  <c r="L85" i="13"/>
  <c r="L97" i="13"/>
  <c r="L109" i="13"/>
  <c r="L121" i="13"/>
  <c r="L133" i="13"/>
  <c r="L145" i="13"/>
  <c r="L157" i="13"/>
  <c r="L169" i="13"/>
  <c r="L181" i="13"/>
  <c r="L193" i="13"/>
  <c r="L205" i="13"/>
  <c r="L217" i="13"/>
  <c r="L229" i="13"/>
  <c r="L241" i="13"/>
  <c r="L253" i="13"/>
  <c r="L265" i="13"/>
  <c r="L277" i="13"/>
  <c r="L289" i="13"/>
  <c r="L301" i="13"/>
  <c r="L313" i="13"/>
  <c r="L325" i="13"/>
  <c r="L337" i="13"/>
  <c r="L349" i="13"/>
  <c r="L361" i="13"/>
  <c r="L362" i="13"/>
  <c r="L14" i="13"/>
  <c r="L26" i="13"/>
  <c r="L38" i="13"/>
  <c r="L50" i="13"/>
  <c r="L62" i="13"/>
  <c r="L74" i="13"/>
  <c r="L86" i="13"/>
  <c r="L98" i="13"/>
  <c r="L110" i="13"/>
  <c r="L122" i="13"/>
  <c r="L134" i="13"/>
  <c r="L146" i="13"/>
  <c r="L158" i="13"/>
  <c r="L170" i="13"/>
  <c r="L182" i="13"/>
  <c r="L194" i="13"/>
  <c r="L206" i="13"/>
  <c r="L218" i="13"/>
  <c r="L230" i="13"/>
  <c r="L242" i="13"/>
  <c r="L254" i="13"/>
  <c r="L266" i="13"/>
  <c r="L278" i="13"/>
  <c r="L290" i="13"/>
  <c r="L302" i="13"/>
  <c r="L314" i="13"/>
  <c r="L326" i="13"/>
  <c r="L338" i="13"/>
  <c r="L350" i="13"/>
  <c r="L316" i="13"/>
  <c r="L2" i="13"/>
  <c r="L15" i="13"/>
  <c r="L27" i="13"/>
  <c r="L39" i="13"/>
  <c r="L51" i="13"/>
  <c r="L63" i="13"/>
  <c r="L75" i="13"/>
  <c r="L87" i="13"/>
  <c r="L99" i="13"/>
  <c r="L111" i="13"/>
  <c r="L123" i="13"/>
  <c r="L135" i="13"/>
  <c r="L147" i="13"/>
  <c r="L159" i="13"/>
  <c r="L171" i="13"/>
  <c r="L183" i="13"/>
  <c r="L195" i="13"/>
  <c r="L207" i="13"/>
  <c r="L219" i="13"/>
  <c r="L231" i="13"/>
  <c r="L243" i="13"/>
  <c r="L255" i="13"/>
  <c r="L267" i="13"/>
  <c r="L279" i="13"/>
  <c r="L291" i="13"/>
  <c r="L303" i="13"/>
  <c r="L315" i="13"/>
  <c r="L327" i="13"/>
  <c r="L339" i="13"/>
  <c r="L351" i="13"/>
  <c r="L363" i="13"/>
  <c r="L268" i="13"/>
  <c r="L4" i="13"/>
  <c r="L16" i="13"/>
  <c r="L28" i="13"/>
  <c r="L40" i="13"/>
  <c r="L52" i="13"/>
  <c r="L64" i="13"/>
  <c r="L76" i="13"/>
  <c r="L88" i="13"/>
  <c r="L100" i="13"/>
  <c r="L112" i="13"/>
  <c r="L124" i="13"/>
  <c r="L136" i="13"/>
  <c r="L148" i="13"/>
  <c r="L160" i="13"/>
  <c r="L172" i="13"/>
  <c r="L184" i="13"/>
  <c r="L196" i="13"/>
  <c r="L208" i="13"/>
  <c r="L220" i="13"/>
  <c r="L232" i="13"/>
  <c r="L244" i="13"/>
  <c r="L256" i="13"/>
  <c r="L280" i="13"/>
  <c r="M769" i="1"/>
  <c r="M757" i="1"/>
  <c r="M768" i="1"/>
  <c r="M756" i="1"/>
  <c r="M902" i="1"/>
  <c r="M767" i="1"/>
  <c r="M755" i="1"/>
  <c r="M766" i="1"/>
  <c r="M754" i="1"/>
  <c r="M765" i="1"/>
  <c r="M753" i="1"/>
  <c r="L371" i="13"/>
  <c r="L369" i="13"/>
  <c r="L370" i="13"/>
  <c r="L372" i="13"/>
  <c r="L373" i="13"/>
  <c r="L375" i="13"/>
  <c r="L376" i="13"/>
  <c r="L374" i="13"/>
  <c r="L12" i="3"/>
  <c r="L13" i="3" s="1"/>
  <c r="T15" i="6"/>
  <c r="L140" i="6"/>
  <c r="M140" i="6"/>
  <c r="P30" i="6" s="1"/>
  <c r="O140" i="6"/>
  <c r="N140" i="6"/>
  <c r="M100" i="6"/>
  <c r="O100" i="6" s="1"/>
  <c r="N27" i="6" s="1"/>
  <c r="M99" i="6"/>
  <c r="O99" i="6" s="1"/>
  <c r="M97" i="6"/>
  <c r="O97" i="6" s="1"/>
  <c r="N25" i="6" s="1"/>
  <c r="M112" i="6"/>
  <c r="O112" i="6" s="1"/>
  <c r="M111" i="6"/>
  <c r="O111" i="6" s="1"/>
  <c r="M110" i="6"/>
  <c r="O110" i="6" s="1"/>
  <c r="N114" i="6" s="1"/>
  <c r="M106" i="6"/>
  <c r="O106" i="6" s="1"/>
  <c r="Q27" i="6" s="1"/>
  <c r="M105" i="6"/>
  <c r="O105" i="6" s="1"/>
  <c r="T125" i="6"/>
  <c r="M104" i="6"/>
  <c r="O104" i="6" s="1"/>
  <c r="N108" i="6" s="1"/>
  <c r="T30" i="6"/>
  <c r="P31" i="6"/>
  <c r="M46" i="6"/>
  <c r="M45" i="6"/>
  <c r="M44" i="6"/>
  <c r="M47" i="6"/>
  <c r="N50" i="6" s="1"/>
  <c r="M43" i="6"/>
  <c r="T25" i="6"/>
  <c r="N102" i="6"/>
  <c r="N26" i="6"/>
  <c r="R84" i="6"/>
  <c r="L21" i="6"/>
  <c r="M108" i="6"/>
  <c r="M114" i="6"/>
  <c r="M96" i="6"/>
  <c r="T127" i="6"/>
  <c r="T129" i="6" s="1"/>
  <c r="W126" i="6"/>
  <c r="AN159" i="6"/>
  <c r="AO159" i="6" s="1"/>
  <c r="Y123" i="6"/>
  <c r="X126" i="6"/>
  <c r="T84" i="6"/>
  <c r="N21" i="6" s="1"/>
  <c r="S84" i="6"/>
  <c r="L797" i="1"/>
  <c r="O781" i="1" a="1"/>
  <c r="O781" i="1" s="1"/>
  <c r="N781" i="1" a="1"/>
  <c r="N781" i="1" s="1"/>
  <c r="S3" i="13" l="1"/>
  <c r="O108" i="6"/>
  <c r="L31" i="6"/>
  <c r="M102" i="6"/>
  <c r="O102" i="6"/>
  <c r="T26" i="6"/>
  <c r="T32" i="6"/>
  <c r="P32" i="6"/>
  <c r="K21" i="3"/>
  <c r="K26" i="3" s="1"/>
  <c r="K28" i="3" s="1"/>
  <c r="L31" i="3" s="1"/>
  <c r="Q26" i="6"/>
  <c r="N46" i="6"/>
  <c r="M41" i="6" s="1"/>
  <c r="M21" i="6"/>
  <c r="AN160" i="6"/>
  <c r="AO160" i="6" s="1"/>
  <c r="Z123" i="6"/>
  <c r="Y126" i="6"/>
  <c r="X129" i="6" s="1"/>
  <c r="L32" i="6" l="1"/>
  <c r="AM161" i="6"/>
  <c r="AM162" i="6" s="1"/>
  <c r="AA121" i="6"/>
  <c r="AA124" i="6" s="1"/>
  <c r="Z126" i="6"/>
  <c r="AN161" i="6" l="1"/>
  <c r="AN162" i="6"/>
  <c r="AM163" i="6"/>
  <c r="AM164" i="6" l="1"/>
  <c r="AN163" i="6"/>
  <c r="AN164" i="6" l="1"/>
  <c r="AM165" i="6"/>
  <c r="AL166" i="6" s="1"/>
  <c r="AM166" i="6" l="1"/>
  <c r="AL167" i="6"/>
  <c r="AN165" i="6"/>
  <c r="AM167" i="6" l="1"/>
  <c r="AL168" i="6"/>
  <c r="AM168" i="6" l="1"/>
  <c r="AL169" i="6"/>
  <c r="AM169" i="6" l="1"/>
  <c r="AL170" i="6"/>
  <c r="AM170" i="6" l="1"/>
  <c r="AL171" i="6"/>
  <c r="AM171" i="6" l="1"/>
  <c r="AL172" i="6"/>
  <c r="AM172" i="6" l="1"/>
  <c r="AL173" i="6"/>
  <c r="AL174" i="6" l="1"/>
  <c r="AM173" i="6"/>
  <c r="AL175" i="6" l="1"/>
  <c r="AM174" i="6"/>
  <c r="AM175" i="6" l="1"/>
  <c r="AL176" i="6"/>
  <c r="AL177" i="6" l="1"/>
  <c r="AM176" i="6"/>
  <c r="AL178" i="6" l="1"/>
  <c r="AM177" i="6"/>
  <c r="AM178" i="6" l="1"/>
  <c r="AL179" i="6"/>
  <c r="AL180" i="6" l="1"/>
  <c r="AM179" i="6"/>
  <c r="AM180" i="6" l="1"/>
  <c r="AL181" i="6"/>
  <c r="AL182" i="6" l="1"/>
  <c r="AM181" i="6"/>
  <c r="AM182" i="6" l="1"/>
  <c r="AL183" i="6"/>
  <c r="AM183" i="6" l="1"/>
  <c r="AL184" i="6"/>
  <c r="AL185" i="6" l="1"/>
  <c r="AM184" i="6"/>
  <c r="AL186" i="6" l="1"/>
  <c r="AM185" i="6"/>
  <c r="AM186" i="6" l="1"/>
  <c r="AL187" i="6"/>
  <c r="AL188" i="6" l="1"/>
  <c r="AM187" i="6"/>
  <c r="AM188" i="6" l="1"/>
  <c r="AL189" i="6"/>
  <c r="AM189" i="6" l="1"/>
  <c r="AL190" i="6"/>
  <c r="AM190" i="6" l="1"/>
  <c r="AL191" i="6"/>
  <c r="AM191" i="6" l="1"/>
  <c r="AL192" i="6"/>
  <c r="AM192" i="6" l="1"/>
  <c r="AL193" i="6"/>
  <c r="AL194" i="6" l="1"/>
  <c r="AM193" i="6"/>
  <c r="AL195" i="6" l="1"/>
  <c r="AM194" i="6"/>
  <c r="AM195" i="6" l="1"/>
  <c r="AL196" i="6"/>
  <c r="AM196" i="6" l="1"/>
  <c r="AL197" i="6"/>
  <c r="AM197" i="6" l="1"/>
  <c r="AL198" i="6"/>
  <c r="AL199" i="6" l="1"/>
  <c r="AM198" i="6"/>
  <c r="AL200" i="6" l="1"/>
  <c r="AM199" i="6"/>
  <c r="AM200" i="6" l="1"/>
  <c r="AL201" i="6"/>
  <c r="AM201" i="6" l="1"/>
  <c r="AL202" i="6"/>
  <c r="AM202" i="6" l="1"/>
  <c r="AL203" i="6"/>
  <c r="AM203" i="6" l="1"/>
  <c r="AL204" i="6"/>
  <c r="AM204" i="6" l="1"/>
  <c r="AL205" i="6"/>
  <c r="AL206" i="6" l="1"/>
  <c r="AM205" i="6"/>
  <c r="AM206" i="6" l="1"/>
  <c r="AL207" i="6"/>
  <c r="AM207" i="6" l="1"/>
  <c r="AM208" i="6"/>
  <c r="AN208" i="6" l="1"/>
  <c r="AM209" i="6"/>
  <c r="AN209" i="6" l="1"/>
  <c r="AM210" i="6"/>
  <c r="AN210" i="6" l="1"/>
  <c r="AM211" i="6"/>
  <c r="AM212" i="6" l="1"/>
  <c r="AN211" i="6"/>
  <c r="AN212" i="6" l="1"/>
  <c r="AM213" i="6"/>
  <c r="AN213" i="6" l="1"/>
  <c r="AM214" i="6"/>
  <c r="AN214" i="6" l="1"/>
  <c r="AM215" i="6"/>
  <c r="AN215" i="6" l="1"/>
  <c r="AM216" i="6"/>
  <c r="AN216" i="6" l="1"/>
  <c r="AM217" i="6"/>
  <c r="AM218" i="6" l="1"/>
  <c r="AN217" i="6"/>
  <c r="AN218" i="6" l="1"/>
  <c r="AM219" i="6"/>
  <c r="AN219" i="6" l="1"/>
  <c r="AM220" i="6"/>
  <c r="AN220" i="6" l="1"/>
  <c r="AM221" i="6"/>
  <c r="AN221" i="6" l="1"/>
  <c r="AM222" i="6"/>
  <c r="AN222" i="6" l="1"/>
  <c r="AM223" i="6"/>
  <c r="AM224" i="6" l="1"/>
  <c r="AN223" i="6"/>
  <c r="AN224" i="6" l="1"/>
  <c r="AM225" i="6"/>
  <c r="AN225" i="6" l="1"/>
  <c r="AM226" i="6"/>
  <c r="AN226" i="6" l="1"/>
  <c r="AM227" i="6"/>
  <c r="AN227" i="6" l="1"/>
  <c r="AM228" i="6"/>
  <c r="AN228" i="6" l="1"/>
  <c r="AM229" i="6"/>
  <c r="AM230" i="6" l="1"/>
  <c r="AN229" i="6"/>
  <c r="AN230" i="6" l="1"/>
  <c r="AM231" i="6"/>
  <c r="AN231" i="6" l="1"/>
  <c r="AM232" i="6"/>
  <c r="AN232" i="6" l="1"/>
  <c r="AM233" i="6"/>
  <c r="AN233" i="6" l="1"/>
  <c r="AM234" i="6"/>
  <c r="AN234" i="6" l="1"/>
  <c r="AM235" i="6"/>
  <c r="AM236" i="6" l="1"/>
  <c r="AN235" i="6"/>
  <c r="AN236" i="6" l="1"/>
  <c r="AM237" i="6"/>
  <c r="AN237" i="6" l="1"/>
  <c r="AM238" i="6"/>
  <c r="AN238" i="6" l="1"/>
  <c r="AM239" i="6"/>
  <c r="AN239" i="6" l="1"/>
  <c r="AM240" i="6"/>
  <c r="AN240" i="6" l="1"/>
  <c r="AM241" i="6"/>
  <c r="AM242" i="6" l="1"/>
  <c r="AN241" i="6"/>
  <c r="AN242" i="6" l="1"/>
  <c r="AM243" i="6"/>
  <c r="AN243" i="6" l="1"/>
  <c r="AM244" i="6"/>
  <c r="AN244" i="6" l="1"/>
  <c r="AM245" i="6"/>
  <c r="AN245" i="6" l="1"/>
  <c r="AM246" i="6"/>
  <c r="AN246" i="6" l="1"/>
  <c r="AM247" i="6"/>
  <c r="AM248" i="6" l="1"/>
  <c r="AN247" i="6"/>
  <c r="AN248" i="6" l="1"/>
  <c r="AM249" i="6"/>
  <c r="AN249" i="6" l="1"/>
  <c r="AM250" i="6"/>
  <c r="AN250" i="6" l="1"/>
  <c r="AM251" i="6"/>
  <c r="AN251" i="6" l="1"/>
  <c r="AM252" i="6"/>
  <c r="AN252" i="6" l="1"/>
  <c r="AM253" i="6"/>
  <c r="AM254" i="6" l="1"/>
  <c r="AN253" i="6"/>
  <c r="AN254" i="6" l="1"/>
  <c r="AM255" i="6"/>
  <c r="AN255" i="6" l="1"/>
  <c r="AM256" i="6"/>
  <c r="AN256" i="6" l="1"/>
  <c r="AM257" i="6"/>
  <c r="AN257" i="6" l="1"/>
  <c r="AM258" i="6"/>
  <c r="AN258" i="6" l="1"/>
  <c r="AM259" i="6"/>
  <c r="AM260" i="6" l="1"/>
  <c r="AN259" i="6"/>
  <c r="AN260" i="6" l="1"/>
  <c r="AM261" i="6"/>
  <c r="AN261" i="6" l="1"/>
  <c r="AM262" i="6"/>
  <c r="AN262" i="6" l="1"/>
  <c r="AM263" i="6"/>
  <c r="AN263" i="6" l="1"/>
  <c r="AM264" i="6"/>
  <c r="AN264" i="6" l="1"/>
  <c r="AM265" i="6"/>
  <c r="AN265" i="6" l="1"/>
  <c r="AM266" i="6"/>
  <c r="AN266" i="6" l="1"/>
  <c r="AM267" i="6"/>
  <c r="AN267" i="6" l="1"/>
  <c r="AM268" i="6"/>
  <c r="AN268" i="6" l="1"/>
  <c r="AM269" i="6"/>
  <c r="AN269" i="6" l="1"/>
  <c r="AM270" i="6"/>
  <c r="M94" i="6"/>
  <c r="O94" i="6" s="1"/>
  <c r="K27" i="6" s="1"/>
  <c r="AN270" i="6" l="1"/>
  <c r="AM271" i="6"/>
  <c r="AN271" i="6" s="1"/>
  <c r="M93" i="6"/>
  <c r="O93" i="6" s="1"/>
  <c r="O96" i="6"/>
  <c r="M35" i="3" l="1"/>
  <c r="M42" i="3" s="1"/>
  <c r="M45" i="3" s="1"/>
  <c r="M54" i="3" s="1"/>
  <c r="N96" i="6"/>
  <c r="K26" i="6"/>
  <c r="E1138" i="14"/>
  <c r="E1558" i="14"/>
  <c r="E1414" i="14"/>
  <c r="E1270" i="14"/>
  <c r="E1126" i="14"/>
  <c r="E974" i="14"/>
  <c r="E990" i="14"/>
  <c r="E1546" i="14"/>
  <c r="E1402" i="14"/>
  <c r="E1258" i="14"/>
  <c r="E1114" i="14"/>
  <c r="E960" i="14"/>
  <c r="E1282" i="14"/>
  <c r="E1534" i="14"/>
  <c r="E1390" i="14"/>
  <c r="E1246" i="14"/>
  <c r="E1102" i="14"/>
  <c r="E946" i="14"/>
  <c r="E1426" i="14"/>
  <c r="E1522" i="14"/>
  <c r="E1378" i="14"/>
  <c r="E1234" i="14"/>
  <c r="E1090" i="14"/>
  <c r="E932" i="14"/>
  <c r="E1078" i="14"/>
  <c r="E918" i="14"/>
  <c r="E1498" i="14"/>
  <c r="E1354" i="14"/>
  <c r="E1210" i="14"/>
  <c r="E1066" i="14"/>
  <c r="E902" i="14"/>
  <c r="E1486" i="14"/>
  <c r="E1342" i="14"/>
  <c r="E1198" i="14"/>
  <c r="E1054" i="14"/>
  <c r="E887" i="14"/>
  <c r="E1222" i="14"/>
  <c r="E1474" i="14"/>
  <c r="E1330" i="14"/>
  <c r="E1186" i="14"/>
  <c r="E1042" i="14"/>
  <c r="E872" i="14"/>
  <c r="E1510" i="14"/>
  <c r="E1462" i="14"/>
  <c r="E1318" i="14"/>
  <c r="E1174" i="14"/>
  <c r="E1030" i="14"/>
  <c r="E854" i="14"/>
  <c r="E1366" i="14"/>
  <c r="E1450" i="14"/>
  <c r="E1306" i="14"/>
  <c r="E1162" i="14"/>
  <c r="E1018" i="14"/>
  <c r="E838" i="14"/>
  <c r="E1438" i="14"/>
  <c r="E1294" i="14"/>
  <c r="E1150" i="14"/>
  <c r="E1004" i="14"/>
  <c r="E818" i="14"/>
  <c r="E1556" i="14"/>
  <c r="E1472" i="14"/>
  <c r="E1364" i="14"/>
  <c r="E1280" i="14"/>
  <c r="E1172" i="14"/>
  <c r="E1076" i="14"/>
  <c r="E986" i="14"/>
  <c r="E868" i="14"/>
  <c r="E770" i="14"/>
  <c r="E635" i="14"/>
  <c r="E1559" i="14"/>
  <c r="E1547" i="14"/>
  <c r="E1535" i="14"/>
  <c r="E1523" i="14"/>
  <c r="E1511" i="14"/>
  <c r="E1499" i="14"/>
  <c r="E1487" i="14"/>
  <c r="E1475" i="14"/>
  <c r="E1463" i="14"/>
  <c r="E1451" i="14"/>
  <c r="E1439" i="14"/>
  <c r="E1427" i="14"/>
  <c r="E1415" i="14"/>
  <c r="E1403" i="14"/>
  <c r="E1391" i="14"/>
  <c r="E1379" i="14"/>
  <c r="E1367" i="14"/>
  <c r="E1355" i="14"/>
  <c r="E1343" i="14"/>
  <c r="E1331" i="14"/>
  <c r="E1319" i="14"/>
  <c r="E1307" i="14"/>
  <c r="E1295" i="14"/>
  <c r="E1283" i="14"/>
  <c r="E1271" i="14"/>
  <c r="E1259" i="14"/>
  <c r="E1247" i="14"/>
  <c r="E1235" i="14"/>
  <c r="E1223" i="14"/>
  <c r="E1211" i="14"/>
  <c r="E1199" i="14"/>
  <c r="E1187" i="14"/>
  <c r="E1175" i="14"/>
  <c r="E1163" i="14"/>
  <c r="E1151" i="14"/>
  <c r="E1139" i="14"/>
  <c r="E1127" i="14"/>
  <c r="E1115" i="14"/>
  <c r="E1103" i="14"/>
  <c r="E1091" i="14"/>
  <c r="E1079" i="14"/>
  <c r="E1067" i="14"/>
  <c r="E1055" i="14"/>
  <c r="E1043" i="14"/>
  <c r="E1031" i="14"/>
  <c r="E1019" i="14"/>
  <c r="E1005" i="14"/>
  <c r="E991" i="14"/>
  <c r="E976" i="14"/>
  <c r="E961" i="14"/>
  <c r="E947" i="14"/>
  <c r="E933" i="14"/>
  <c r="E919" i="14"/>
  <c r="E904" i="14"/>
  <c r="E888" i="14"/>
  <c r="E873" i="14"/>
  <c r="E856" i="14"/>
  <c r="E839" i="14"/>
  <c r="E820" i="14"/>
  <c r="E802" i="14"/>
  <c r="E780" i="14"/>
  <c r="E752" i="14"/>
  <c r="E720" i="14"/>
  <c r="E649" i="14"/>
  <c r="E577" i="14"/>
  <c r="E505" i="14"/>
  <c r="E433" i="14"/>
  <c r="E361" i="14"/>
  <c r="E289" i="14"/>
  <c r="E217" i="14"/>
  <c r="E145" i="14"/>
  <c r="E73" i="14"/>
  <c r="E801" i="14"/>
  <c r="E779" i="14"/>
  <c r="E746" i="14"/>
  <c r="E719" i="14"/>
  <c r="E647" i="14"/>
  <c r="E575" i="14"/>
  <c r="E503" i="14"/>
  <c r="E431" i="14"/>
  <c r="E359" i="14"/>
  <c r="E287" i="14"/>
  <c r="E215" i="14"/>
  <c r="E143" i="14"/>
  <c r="E71" i="14"/>
  <c r="E1557" i="14"/>
  <c r="E1545" i="14"/>
  <c r="E1533" i="14"/>
  <c r="E1521" i="14"/>
  <c r="E1509" i="14"/>
  <c r="E1497" i="14"/>
  <c r="E1485" i="14"/>
  <c r="E1473" i="14"/>
  <c r="E1461" i="14"/>
  <c r="E1449" i="14"/>
  <c r="E1437" i="14"/>
  <c r="E1425" i="14"/>
  <c r="E1413" i="14"/>
  <c r="E1401" i="14"/>
  <c r="E1389" i="14"/>
  <c r="E1377" i="14"/>
  <c r="E1365" i="14"/>
  <c r="E1353" i="14"/>
  <c r="E1341" i="14"/>
  <c r="E1329" i="14"/>
  <c r="E1317" i="14"/>
  <c r="E1305" i="14"/>
  <c r="E1293" i="14"/>
  <c r="E1281" i="14"/>
  <c r="E1269" i="14"/>
  <c r="E1257" i="14"/>
  <c r="E1245" i="14"/>
  <c r="E1233" i="14"/>
  <c r="E1221" i="14"/>
  <c r="E1209" i="14"/>
  <c r="E1197" i="14"/>
  <c r="E1185" i="14"/>
  <c r="E1173" i="14"/>
  <c r="E1161" i="14"/>
  <c r="E1149" i="14"/>
  <c r="E1137" i="14"/>
  <c r="E1125" i="14"/>
  <c r="E1113" i="14"/>
  <c r="E1101" i="14"/>
  <c r="E1089" i="14"/>
  <c r="E1077" i="14"/>
  <c r="E1065" i="14"/>
  <c r="E1053" i="14"/>
  <c r="E1041" i="14"/>
  <c r="E1029" i="14"/>
  <c r="E1017" i="14"/>
  <c r="E1003" i="14"/>
  <c r="E988" i="14"/>
  <c r="E973" i="14"/>
  <c r="E959" i="14"/>
  <c r="E945" i="14"/>
  <c r="E931" i="14"/>
  <c r="E916" i="14"/>
  <c r="E901" i="14"/>
  <c r="E886" i="14"/>
  <c r="E871" i="14"/>
  <c r="E853" i="14"/>
  <c r="E837" i="14"/>
  <c r="E817" i="14"/>
  <c r="E800" i="14"/>
  <c r="E776" i="14"/>
  <c r="E745" i="14"/>
  <c r="E709" i="14"/>
  <c r="E637" i="14"/>
  <c r="E565" i="14"/>
  <c r="E493" i="14"/>
  <c r="E421" i="14"/>
  <c r="E349" i="14"/>
  <c r="E277" i="14"/>
  <c r="E205" i="14"/>
  <c r="E133" i="14"/>
  <c r="E61" i="14"/>
  <c r="E1532" i="14"/>
  <c r="E1436" i="14"/>
  <c r="E1352" i="14"/>
  <c r="E1268" i="14"/>
  <c r="E1160" i="14"/>
  <c r="E1064" i="14"/>
  <c r="E914" i="14"/>
  <c r="E131" i="14"/>
  <c r="E1555" i="14"/>
  <c r="E1543" i="14"/>
  <c r="E1531" i="14"/>
  <c r="E1519" i="14"/>
  <c r="E1507" i="14"/>
  <c r="E1495" i="14"/>
  <c r="E1483" i="14"/>
  <c r="E1471" i="14"/>
  <c r="E1459" i="14"/>
  <c r="E1447" i="14"/>
  <c r="E1435" i="14"/>
  <c r="E1423" i="14"/>
  <c r="E1411" i="14"/>
  <c r="E1399" i="14"/>
  <c r="E1387" i="14"/>
  <c r="E1375" i="14"/>
  <c r="E1363" i="14"/>
  <c r="E1351" i="14"/>
  <c r="E1339" i="14"/>
  <c r="E1327" i="14"/>
  <c r="E1315" i="14"/>
  <c r="E1303" i="14"/>
  <c r="E1291" i="14"/>
  <c r="E1279" i="14"/>
  <c r="E1267" i="14"/>
  <c r="E1255" i="14"/>
  <c r="E1243" i="14"/>
  <c r="E1231" i="14"/>
  <c r="E1219" i="14"/>
  <c r="E1207" i="14"/>
  <c r="E1195" i="14"/>
  <c r="E1183" i="14"/>
  <c r="E1171" i="14"/>
  <c r="E1159" i="14"/>
  <c r="E1147" i="14"/>
  <c r="E1135" i="14"/>
  <c r="E1123" i="14"/>
  <c r="E1111" i="14"/>
  <c r="E1099" i="14"/>
  <c r="E1087" i="14"/>
  <c r="E1075" i="14"/>
  <c r="E1063" i="14"/>
  <c r="E1051" i="14"/>
  <c r="E1039" i="14"/>
  <c r="E1027" i="14"/>
  <c r="E1015" i="14"/>
  <c r="E1000" i="14"/>
  <c r="E985" i="14"/>
  <c r="E971" i="14"/>
  <c r="E957" i="14"/>
  <c r="E943" i="14"/>
  <c r="E928" i="14"/>
  <c r="E913" i="14"/>
  <c r="E899" i="14"/>
  <c r="E884" i="14"/>
  <c r="E866" i="14"/>
  <c r="E851" i="14"/>
  <c r="E832" i="14"/>
  <c r="E815" i="14"/>
  <c r="E793" i="14"/>
  <c r="E769" i="14"/>
  <c r="E743" i="14"/>
  <c r="E697" i="14"/>
  <c r="E625" i="14"/>
  <c r="E553" i="14"/>
  <c r="E481" i="14"/>
  <c r="E409" i="14"/>
  <c r="E337" i="14"/>
  <c r="E265" i="14"/>
  <c r="E193" i="14"/>
  <c r="E121" i="14"/>
  <c r="E49" i="14"/>
  <c r="E1544" i="14"/>
  <c r="E1424" i="14"/>
  <c r="E1328" i="14"/>
  <c r="E1220" i="14"/>
  <c r="E1124" i="14"/>
  <c r="E1016" i="14"/>
  <c r="E885" i="14"/>
  <c r="E203" i="14"/>
  <c r="E3" i="14"/>
  <c r="E1554" i="14"/>
  <c r="E1542" i="14"/>
  <c r="E1530" i="14"/>
  <c r="E1518" i="14"/>
  <c r="E1506" i="14"/>
  <c r="E1494" i="14"/>
  <c r="E1482" i="14"/>
  <c r="E1470" i="14"/>
  <c r="E1458" i="14"/>
  <c r="E1446" i="14"/>
  <c r="E1434" i="14"/>
  <c r="E1422" i="14"/>
  <c r="E1410" i="14"/>
  <c r="E1398" i="14"/>
  <c r="E1386" i="14"/>
  <c r="E1374" i="14"/>
  <c r="E1362" i="14"/>
  <c r="E1350" i="14"/>
  <c r="E1338" i="14"/>
  <c r="E1326" i="14"/>
  <c r="E1314" i="14"/>
  <c r="E1302" i="14"/>
  <c r="E1290" i="14"/>
  <c r="E1278" i="14"/>
  <c r="E1266" i="14"/>
  <c r="E1254" i="14"/>
  <c r="E1242" i="14"/>
  <c r="E1230" i="14"/>
  <c r="E1218" i="14"/>
  <c r="E1206" i="14"/>
  <c r="E1194" i="14"/>
  <c r="E1182" i="14"/>
  <c r="E1170" i="14"/>
  <c r="E1158" i="14"/>
  <c r="E1146" i="14"/>
  <c r="E1134" i="14"/>
  <c r="E1122" i="14"/>
  <c r="E1110" i="14"/>
  <c r="E1098" i="14"/>
  <c r="E1086" i="14"/>
  <c r="E1074" i="14"/>
  <c r="E1062" i="14"/>
  <c r="E1050" i="14"/>
  <c r="E1038" i="14"/>
  <c r="E1026" i="14"/>
  <c r="E1014" i="14"/>
  <c r="E998" i="14"/>
  <c r="E984" i="14"/>
  <c r="E970" i="14"/>
  <c r="E956" i="14"/>
  <c r="E942" i="14"/>
  <c r="E926" i="14"/>
  <c r="E912" i="14"/>
  <c r="E898" i="14"/>
  <c r="E883" i="14"/>
  <c r="E865" i="14"/>
  <c r="E850" i="14"/>
  <c r="E830" i="14"/>
  <c r="E814" i="14"/>
  <c r="E792" i="14"/>
  <c r="E768" i="14"/>
  <c r="E740" i="14"/>
  <c r="E695" i="14"/>
  <c r="E623" i="14"/>
  <c r="E551" i="14"/>
  <c r="E479" i="14"/>
  <c r="E407" i="14"/>
  <c r="E335" i="14"/>
  <c r="E263" i="14"/>
  <c r="E191" i="14"/>
  <c r="E119" i="14"/>
  <c r="E47" i="14"/>
  <c r="E1460" i="14"/>
  <c r="E1340" i="14"/>
  <c r="E1208" i="14"/>
  <c r="E1112" i="14"/>
  <c r="E972" i="14"/>
  <c r="E59" i="14"/>
  <c r="E1565" i="14"/>
  <c r="E1553" i="14"/>
  <c r="E1541" i="14"/>
  <c r="E1529" i="14"/>
  <c r="E1517" i="14"/>
  <c r="E1505" i="14"/>
  <c r="E1493" i="14"/>
  <c r="E1481" i="14"/>
  <c r="E1469" i="14"/>
  <c r="E1457" i="14"/>
  <c r="E1445" i="14"/>
  <c r="E1433" i="14"/>
  <c r="E1421" i="14"/>
  <c r="E1409" i="14"/>
  <c r="E1397" i="14"/>
  <c r="E1385" i="14"/>
  <c r="E1373" i="14"/>
  <c r="E1361" i="14"/>
  <c r="E1349" i="14"/>
  <c r="E1337" i="14"/>
  <c r="E1325" i="14"/>
  <c r="E1313" i="14"/>
  <c r="E1301" i="14"/>
  <c r="E1289" i="14"/>
  <c r="E1277" i="14"/>
  <c r="E1265" i="14"/>
  <c r="E1253" i="14"/>
  <c r="E1241" i="14"/>
  <c r="E1229" i="14"/>
  <c r="E1217" i="14"/>
  <c r="E1205" i="14"/>
  <c r="E1193" i="14"/>
  <c r="E1181" i="14"/>
  <c r="E1169" i="14"/>
  <c r="E1157" i="14"/>
  <c r="E1145" i="14"/>
  <c r="E1133" i="14"/>
  <c r="E1121" i="14"/>
  <c r="E1109" i="14"/>
  <c r="E1097" i="14"/>
  <c r="E1085" i="14"/>
  <c r="E1073" i="14"/>
  <c r="E1061" i="14"/>
  <c r="E1049" i="14"/>
  <c r="E1037" i="14"/>
  <c r="E1025" i="14"/>
  <c r="E1012" i="14"/>
  <c r="E997" i="14"/>
  <c r="E983" i="14"/>
  <c r="E969" i="14"/>
  <c r="E955" i="14"/>
  <c r="E940" i="14"/>
  <c r="E925" i="14"/>
  <c r="E911" i="14"/>
  <c r="E897" i="14"/>
  <c r="E880" i="14"/>
  <c r="E864" i="14"/>
  <c r="E849" i="14"/>
  <c r="E829" i="14"/>
  <c r="E813" i="14"/>
  <c r="E791" i="14"/>
  <c r="E767" i="14"/>
  <c r="E734" i="14"/>
  <c r="E685" i="14"/>
  <c r="E613" i="14"/>
  <c r="E541" i="14"/>
  <c r="E469" i="14"/>
  <c r="E397" i="14"/>
  <c r="E325" i="14"/>
  <c r="E253" i="14"/>
  <c r="E181" i="14"/>
  <c r="E109" i="14"/>
  <c r="E37" i="14"/>
  <c r="E1508" i="14"/>
  <c r="E1376" i="14"/>
  <c r="E1244" i="14"/>
  <c r="E1136" i="14"/>
  <c r="E1040" i="14"/>
  <c r="E944" i="14"/>
  <c r="E794" i="14"/>
  <c r="E275" i="14"/>
  <c r="E1564" i="14"/>
  <c r="E1552" i="14"/>
  <c r="E1540" i="14"/>
  <c r="E1528" i="14"/>
  <c r="E1516" i="14"/>
  <c r="E1504" i="14"/>
  <c r="E1492" i="14"/>
  <c r="E1480" i="14"/>
  <c r="E1468" i="14"/>
  <c r="E1456" i="14"/>
  <c r="E1444" i="14"/>
  <c r="E1432" i="14"/>
  <c r="E1420" i="14"/>
  <c r="E1408" i="14"/>
  <c r="E1396" i="14"/>
  <c r="E1384" i="14"/>
  <c r="E1372" i="14"/>
  <c r="E1360" i="14"/>
  <c r="E1348" i="14"/>
  <c r="E1336" i="14"/>
  <c r="E1324" i="14"/>
  <c r="E1312" i="14"/>
  <c r="E1300" i="14"/>
  <c r="E1288" i="14"/>
  <c r="E1276" i="14"/>
  <c r="E1264" i="14"/>
  <c r="E1252" i="14"/>
  <c r="E1240" i="14"/>
  <c r="E1228" i="14"/>
  <c r="E1216" i="14"/>
  <c r="E1204" i="14"/>
  <c r="E1192" i="14"/>
  <c r="E1180" i="14"/>
  <c r="E1168" i="14"/>
  <c r="E1156" i="14"/>
  <c r="E1144" i="14"/>
  <c r="E1132" i="14"/>
  <c r="E1120" i="14"/>
  <c r="E1108" i="14"/>
  <c r="E1096" i="14"/>
  <c r="E1084" i="14"/>
  <c r="E1072" i="14"/>
  <c r="E1060" i="14"/>
  <c r="E1048" i="14"/>
  <c r="E1036" i="14"/>
  <c r="E1024" i="14"/>
  <c r="E1010" i="14"/>
  <c r="E996" i="14"/>
  <c r="E982" i="14"/>
  <c r="E968" i="14"/>
  <c r="E954" i="14"/>
  <c r="E938" i="14"/>
  <c r="E924" i="14"/>
  <c r="E910" i="14"/>
  <c r="E896" i="14"/>
  <c r="E878" i="14"/>
  <c r="E863" i="14"/>
  <c r="E848" i="14"/>
  <c r="E828" i="14"/>
  <c r="E812" i="14"/>
  <c r="E790" i="14"/>
  <c r="E764" i="14"/>
  <c r="E733" i="14"/>
  <c r="E683" i="14"/>
  <c r="E611" i="14"/>
  <c r="E539" i="14"/>
  <c r="E467" i="14"/>
  <c r="E395" i="14"/>
  <c r="E323" i="14"/>
  <c r="E251" i="14"/>
  <c r="E179" i="14"/>
  <c r="E107" i="14"/>
  <c r="E35" i="14"/>
  <c r="E1448" i="14"/>
  <c r="E1256" i="14"/>
  <c r="E419" i="14"/>
  <c r="E1563" i="14"/>
  <c r="E1551" i="14"/>
  <c r="E1539" i="14"/>
  <c r="E1527" i="14"/>
  <c r="E1515" i="14"/>
  <c r="E1503" i="14"/>
  <c r="E1491" i="14"/>
  <c r="E1479" i="14"/>
  <c r="E1467" i="14"/>
  <c r="E1455" i="14"/>
  <c r="E1443" i="14"/>
  <c r="E1431" i="14"/>
  <c r="E1419" i="14"/>
  <c r="E1407" i="14"/>
  <c r="E1395" i="14"/>
  <c r="E1383" i="14"/>
  <c r="E1371" i="14"/>
  <c r="E1359" i="14"/>
  <c r="E1347" i="14"/>
  <c r="E1335" i="14"/>
  <c r="E1323" i="14"/>
  <c r="E1311" i="14"/>
  <c r="E1299" i="14"/>
  <c r="E1287" i="14"/>
  <c r="E1275" i="14"/>
  <c r="E1263" i="14"/>
  <c r="E1251" i="14"/>
  <c r="E1239" i="14"/>
  <c r="E1227" i="14"/>
  <c r="E1215" i="14"/>
  <c r="E1203" i="14"/>
  <c r="E1191" i="14"/>
  <c r="E1179" i="14"/>
  <c r="E1167" i="14"/>
  <c r="E1155" i="14"/>
  <c r="E1143" i="14"/>
  <c r="E1131" i="14"/>
  <c r="E1119" i="14"/>
  <c r="E1107" i="14"/>
  <c r="E1095" i="14"/>
  <c r="E1083" i="14"/>
  <c r="E1071" i="14"/>
  <c r="E1059" i="14"/>
  <c r="E1047" i="14"/>
  <c r="E1035" i="14"/>
  <c r="E1023" i="14"/>
  <c r="E1009" i="14"/>
  <c r="E995" i="14"/>
  <c r="E981" i="14"/>
  <c r="E967" i="14"/>
  <c r="E952" i="14"/>
  <c r="E937" i="14"/>
  <c r="E923" i="14"/>
  <c r="E909" i="14"/>
  <c r="E895" i="14"/>
  <c r="E877" i="14"/>
  <c r="E862" i="14"/>
  <c r="E844" i="14"/>
  <c r="E827" i="14"/>
  <c r="E806" i="14"/>
  <c r="E789" i="14"/>
  <c r="E758" i="14"/>
  <c r="E732" i="14"/>
  <c r="E673" i="14"/>
  <c r="E601" i="14"/>
  <c r="E529" i="14"/>
  <c r="E457" i="14"/>
  <c r="E385" i="14"/>
  <c r="E313" i="14"/>
  <c r="E241" i="14"/>
  <c r="E169" i="14"/>
  <c r="E97" i="14"/>
  <c r="E25" i="14"/>
  <c r="E1484" i="14"/>
  <c r="E1400" i="14"/>
  <c r="E1292" i="14"/>
  <c r="E1196" i="14"/>
  <c r="E1100" i="14"/>
  <c r="E1028" i="14"/>
  <c r="E930" i="14"/>
  <c r="E852" i="14"/>
  <c r="E744" i="14"/>
  <c r="E347" i="14"/>
  <c r="E1562" i="14"/>
  <c r="E1550" i="14"/>
  <c r="E1538" i="14"/>
  <c r="E1526" i="14"/>
  <c r="E1514" i="14"/>
  <c r="E1502" i="14"/>
  <c r="E1490" i="14"/>
  <c r="E1478" i="14"/>
  <c r="E1466" i="14"/>
  <c r="E1454" i="14"/>
  <c r="E1442" i="14"/>
  <c r="E1430" i="14"/>
  <c r="E1418" i="14"/>
  <c r="E1406" i="14"/>
  <c r="E1394" i="14"/>
  <c r="E1382" i="14"/>
  <c r="E1370" i="14"/>
  <c r="E1358" i="14"/>
  <c r="E1346" i="14"/>
  <c r="E1334" i="14"/>
  <c r="E1322" i="14"/>
  <c r="E1310" i="14"/>
  <c r="E1298" i="14"/>
  <c r="E1286" i="14"/>
  <c r="E1274" i="14"/>
  <c r="E1262" i="14"/>
  <c r="E1250" i="14"/>
  <c r="E1238" i="14"/>
  <c r="E1226" i="14"/>
  <c r="E1214" i="14"/>
  <c r="E1202" i="14"/>
  <c r="E1190" i="14"/>
  <c r="E1178" i="14"/>
  <c r="E1166" i="14"/>
  <c r="E1154" i="14"/>
  <c r="E1142" i="14"/>
  <c r="E1130" i="14"/>
  <c r="E1118" i="14"/>
  <c r="E1106" i="14"/>
  <c r="E1094" i="14"/>
  <c r="E1082" i="14"/>
  <c r="E1070" i="14"/>
  <c r="E1058" i="14"/>
  <c r="E1046" i="14"/>
  <c r="E1034" i="14"/>
  <c r="E1022" i="14"/>
  <c r="E1008" i="14"/>
  <c r="E994" i="14"/>
  <c r="E980" i="14"/>
  <c r="E966" i="14"/>
  <c r="E950" i="14"/>
  <c r="E936" i="14"/>
  <c r="E922" i="14"/>
  <c r="E908" i="14"/>
  <c r="E892" i="14"/>
  <c r="E876" i="14"/>
  <c r="E861" i="14"/>
  <c r="E842" i="14"/>
  <c r="E826" i="14"/>
  <c r="E805" i="14"/>
  <c r="E788" i="14"/>
  <c r="E757" i="14"/>
  <c r="E731" i="14"/>
  <c r="E671" i="14"/>
  <c r="E599" i="14"/>
  <c r="E527" i="14"/>
  <c r="E455" i="14"/>
  <c r="E383" i="14"/>
  <c r="E311" i="14"/>
  <c r="E239" i="14"/>
  <c r="E167" i="14"/>
  <c r="E95" i="14"/>
  <c r="E23" i="14"/>
  <c r="E1496" i="14"/>
  <c r="E1412" i="14"/>
  <c r="E1316" i="14"/>
  <c r="E1232" i="14"/>
  <c r="E1148" i="14"/>
  <c r="E1052" i="14"/>
  <c r="E958" i="14"/>
  <c r="E836" i="14"/>
  <c r="E491" i="14"/>
  <c r="E1561" i="14"/>
  <c r="E1549" i="14"/>
  <c r="E1537" i="14"/>
  <c r="E1525" i="14"/>
  <c r="E1513" i="14"/>
  <c r="E1501" i="14"/>
  <c r="E1489" i="14"/>
  <c r="E1477" i="14"/>
  <c r="E1465" i="14"/>
  <c r="E1453" i="14"/>
  <c r="E1441" i="14"/>
  <c r="E1429" i="14"/>
  <c r="E1417" i="14"/>
  <c r="E1405" i="14"/>
  <c r="E1393" i="14"/>
  <c r="E1381" i="14"/>
  <c r="E1369" i="14"/>
  <c r="E1357" i="14"/>
  <c r="E1345" i="14"/>
  <c r="E1333" i="14"/>
  <c r="E1321" i="14"/>
  <c r="E1309" i="14"/>
  <c r="E1297" i="14"/>
  <c r="E1285" i="14"/>
  <c r="E1273" i="14"/>
  <c r="E1261" i="14"/>
  <c r="E1249" i="14"/>
  <c r="E1237" i="14"/>
  <c r="E1225" i="14"/>
  <c r="E1213" i="14"/>
  <c r="E1201" i="14"/>
  <c r="E1189" i="14"/>
  <c r="E1177" i="14"/>
  <c r="E1165" i="14"/>
  <c r="E1153" i="14"/>
  <c r="E1141" i="14"/>
  <c r="E1129" i="14"/>
  <c r="E1117" i="14"/>
  <c r="E1105" i="14"/>
  <c r="E1093" i="14"/>
  <c r="E1081" i="14"/>
  <c r="E1069" i="14"/>
  <c r="E1057" i="14"/>
  <c r="E1045" i="14"/>
  <c r="E1033" i="14"/>
  <c r="E1021" i="14"/>
  <c r="E1007" i="14"/>
  <c r="E993" i="14"/>
  <c r="E979" i="14"/>
  <c r="E964" i="14"/>
  <c r="E949" i="14"/>
  <c r="E935" i="14"/>
  <c r="E921" i="14"/>
  <c r="E907" i="14"/>
  <c r="E890" i="14"/>
  <c r="E875" i="14"/>
  <c r="E860" i="14"/>
  <c r="E841" i="14"/>
  <c r="E825" i="14"/>
  <c r="E804" i="14"/>
  <c r="E782" i="14"/>
  <c r="E756" i="14"/>
  <c r="E722" i="14"/>
  <c r="E661" i="14"/>
  <c r="E589" i="14"/>
  <c r="E517" i="14"/>
  <c r="E445" i="14"/>
  <c r="E373" i="14"/>
  <c r="E301" i="14"/>
  <c r="E229" i="14"/>
  <c r="E157" i="14"/>
  <c r="E85" i="14"/>
  <c r="E13" i="14"/>
  <c r="E1520" i="14"/>
  <c r="E1388" i="14"/>
  <c r="E1304" i="14"/>
  <c r="E1184" i="14"/>
  <c r="E1088" i="14"/>
  <c r="E1002" i="14"/>
  <c r="E900" i="14"/>
  <c r="E816" i="14"/>
  <c r="E707" i="14"/>
  <c r="E563" i="14"/>
  <c r="E1560" i="14"/>
  <c r="E1548" i="14"/>
  <c r="E1536" i="14"/>
  <c r="E1524" i="14"/>
  <c r="E1512" i="14"/>
  <c r="E1500" i="14"/>
  <c r="E1488" i="14"/>
  <c r="E1476" i="14"/>
  <c r="E1464" i="14"/>
  <c r="E1452" i="14"/>
  <c r="E1440" i="14"/>
  <c r="E1428" i="14"/>
  <c r="E1416" i="14"/>
  <c r="E1404" i="14"/>
  <c r="E1392" i="14"/>
  <c r="E1380" i="14"/>
  <c r="E1368" i="14"/>
  <c r="E1356" i="14"/>
  <c r="E1344" i="14"/>
  <c r="E1332" i="14"/>
  <c r="E1320" i="14"/>
  <c r="E1308" i="14"/>
  <c r="E1296" i="14"/>
  <c r="E1284" i="14"/>
  <c r="E1272" i="14"/>
  <c r="E1260" i="14"/>
  <c r="E1248" i="14"/>
  <c r="E1236" i="14"/>
  <c r="E1224" i="14"/>
  <c r="E1212" i="14"/>
  <c r="E1200" i="14"/>
  <c r="E1188" i="14"/>
  <c r="E1176" i="14"/>
  <c r="E1164" i="14"/>
  <c r="E1152" i="14"/>
  <c r="E1140" i="14"/>
  <c r="E1128" i="14"/>
  <c r="E1116" i="14"/>
  <c r="E1104" i="14"/>
  <c r="E1092" i="14"/>
  <c r="E1080" i="14"/>
  <c r="E1068" i="14"/>
  <c r="E1056" i="14"/>
  <c r="E1044" i="14"/>
  <c r="E1032" i="14"/>
  <c r="E1020" i="14"/>
  <c r="E1006" i="14"/>
  <c r="E992" i="14"/>
  <c r="E978" i="14"/>
  <c r="E962" i="14"/>
  <c r="E948" i="14"/>
  <c r="E934" i="14"/>
  <c r="E920" i="14"/>
  <c r="E906" i="14"/>
  <c r="E889" i="14"/>
  <c r="E874" i="14"/>
  <c r="E859" i="14"/>
  <c r="E840" i="14"/>
  <c r="E824" i="14"/>
  <c r="E803" i="14"/>
  <c r="E781" i="14"/>
  <c r="E755" i="14"/>
  <c r="E721" i="14"/>
  <c r="E659" i="14"/>
  <c r="E587" i="14"/>
  <c r="E515" i="14"/>
  <c r="E443" i="14"/>
  <c r="E371" i="14"/>
  <c r="E299" i="14"/>
  <c r="E227" i="14"/>
  <c r="E155" i="14"/>
  <c r="E83" i="14"/>
  <c r="E11" i="14"/>
  <c r="E710" i="14"/>
  <c r="E698" i="14"/>
  <c r="E686" i="14"/>
  <c r="E674" i="14"/>
  <c r="E662" i="14"/>
  <c r="E650" i="14"/>
  <c r="E638" i="14"/>
  <c r="E626" i="14"/>
  <c r="E614" i="14"/>
  <c r="E602" i="14"/>
  <c r="E590" i="14"/>
  <c r="E578" i="14"/>
  <c r="E566" i="14"/>
  <c r="E554" i="14"/>
  <c r="E542" i="14"/>
  <c r="E530" i="14"/>
  <c r="E518" i="14"/>
  <c r="E506" i="14"/>
  <c r="E494" i="14"/>
  <c r="E482" i="14"/>
  <c r="E470" i="14"/>
  <c r="E458" i="14"/>
  <c r="E446" i="14"/>
  <c r="E434" i="14"/>
  <c r="E422" i="14"/>
  <c r="E410" i="14"/>
  <c r="E398" i="14"/>
  <c r="E386" i="14"/>
  <c r="E374" i="14"/>
  <c r="E362" i="14"/>
  <c r="E350" i="14"/>
  <c r="E338" i="14"/>
  <c r="E326" i="14"/>
  <c r="E314" i="14"/>
  <c r="E302" i="14"/>
  <c r="E290" i="14"/>
  <c r="E278" i="14"/>
  <c r="E266" i="14"/>
  <c r="E254" i="14"/>
  <c r="E242" i="14"/>
  <c r="E230" i="14"/>
  <c r="E218" i="14"/>
  <c r="E206" i="14"/>
  <c r="E194" i="14"/>
  <c r="E182" i="14"/>
  <c r="E170" i="14"/>
  <c r="E158" i="14"/>
  <c r="E146" i="14"/>
  <c r="E134" i="14"/>
  <c r="E110" i="14"/>
  <c r="E98" i="14"/>
  <c r="E86" i="14"/>
  <c r="E74" i="14"/>
  <c r="E62" i="14"/>
  <c r="E50" i="14"/>
  <c r="E38" i="14"/>
  <c r="E26" i="14"/>
  <c r="E14" i="14"/>
  <c r="E708" i="14"/>
  <c r="E696" i="14"/>
  <c r="E684" i="14"/>
  <c r="E672" i="14"/>
  <c r="E660" i="14"/>
  <c r="E648" i="14"/>
  <c r="E636" i="14"/>
  <c r="E624" i="14"/>
  <c r="E612" i="14"/>
  <c r="E600" i="14"/>
  <c r="E588" i="14"/>
  <c r="E576" i="14"/>
  <c r="E564" i="14"/>
  <c r="E552" i="14"/>
  <c r="E540" i="14"/>
  <c r="E528" i="14"/>
  <c r="E516" i="14"/>
  <c r="E504" i="14"/>
  <c r="E492" i="14"/>
  <c r="E480" i="14"/>
  <c r="E468" i="14"/>
  <c r="E456" i="14"/>
  <c r="E444" i="14"/>
  <c r="E432" i="14"/>
  <c r="E420" i="14"/>
  <c r="E408" i="14"/>
  <c r="E396" i="14"/>
  <c r="E384" i="14"/>
  <c r="E372" i="14"/>
  <c r="E360" i="14"/>
  <c r="E348" i="14"/>
  <c r="E336" i="14"/>
  <c r="E324" i="14"/>
  <c r="E312" i="14"/>
  <c r="E300" i="14"/>
  <c r="E288" i="14"/>
  <c r="E276" i="14"/>
  <c r="E264" i="14"/>
  <c r="E252" i="14"/>
  <c r="E240" i="14"/>
  <c r="E228" i="14"/>
  <c r="E216" i="14"/>
  <c r="E204" i="14"/>
  <c r="E192" i="14"/>
  <c r="E180" i="14"/>
  <c r="E168" i="14"/>
  <c r="E156" i="14"/>
  <c r="E144" i="14"/>
  <c r="E132" i="14"/>
  <c r="E120" i="14"/>
  <c r="E108" i="14"/>
  <c r="E96" i="14"/>
  <c r="E84" i="14"/>
  <c r="E72" i="14"/>
  <c r="E60" i="14"/>
  <c r="E48" i="14"/>
  <c r="E36" i="14"/>
  <c r="E24" i="14"/>
  <c r="E12" i="14"/>
  <c r="E778" i="14"/>
  <c r="E766" i="14"/>
  <c r="E754" i="14"/>
  <c r="E742" i="14"/>
  <c r="E730" i="14"/>
  <c r="E718" i="14"/>
  <c r="E706" i="14"/>
  <c r="E694" i="14"/>
  <c r="E682" i="14"/>
  <c r="E670" i="14"/>
  <c r="E658" i="14"/>
  <c r="E646" i="14"/>
  <c r="E634" i="14"/>
  <c r="E622" i="14"/>
  <c r="E610" i="14"/>
  <c r="E598" i="14"/>
  <c r="E586" i="14"/>
  <c r="E574" i="14"/>
  <c r="E562" i="14"/>
  <c r="E550" i="14"/>
  <c r="E538" i="14"/>
  <c r="E526" i="14"/>
  <c r="E514" i="14"/>
  <c r="E502" i="14"/>
  <c r="E490" i="14"/>
  <c r="E478" i="14"/>
  <c r="E466" i="14"/>
  <c r="E454" i="14"/>
  <c r="E442" i="14"/>
  <c r="E430" i="14"/>
  <c r="E418" i="14"/>
  <c r="E406" i="14"/>
  <c r="E394" i="14"/>
  <c r="E382" i="14"/>
  <c r="E370" i="14"/>
  <c r="E358" i="14"/>
  <c r="E346" i="14"/>
  <c r="E334" i="14"/>
  <c r="E322" i="14"/>
  <c r="E310" i="14"/>
  <c r="E298" i="14"/>
  <c r="E286" i="14"/>
  <c r="E274" i="14"/>
  <c r="E262" i="14"/>
  <c r="E250" i="14"/>
  <c r="E238" i="14"/>
  <c r="E226" i="14"/>
  <c r="E214" i="14"/>
  <c r="E202" i="14"/>
  <c r="E190" i="14"/>
  <c r="E178" i="14"/>
  <c r="E166" i="14"/>
  <c r="E154" i="14"/>
  <c r="E142" i="14"/>
  <c r="E130" i="14"/>
  <c r="E118" i="14"/>
  <c r="E106" i="14"/>
  <c r="E94" i="14"/>
  <c r="E82" i="14"/>
  <c r="E70" i="14"/>
  <c r="E58" i="14"/>
  <c r="E46" i="14"/>
  <c r="E34" i="14"/>
  <c r="E22" i="14"/>
  <c r="E10" i="14"/>
  <c r="E777" i="14"/>
  <c r="E765" i="14"/>
  <c r="E753" i="14"/>
  <c r="E741" i="14"/>
  <c r="E729" i="14"/>
  <c r="E717" i="14"/>
  <c r="E705" i="14"/>
  <c r="E693" i="14"/>
  <c r="E681" i="14"/>
  <c r="E669" i="14"/>
  <c r="E657" i="14"/>
  <c r="E645" i="14"/>
  <c r="E633" i="14"/>
  <c r="E621" i="14"/>
  <c r="E609" i="14"/>
  <c r="E597" i="14"/>
  <c r="E585" i="14"/>
  <c r="E573" i="14"/>
  <c r="E561" i="14"/>
  <c r="E549" i="14"/>
  <c r="E537" i="14"/>
  <c r="E525" i="14"/>
  <c r="E513" i="14"/>
  <c r="E501" i="14"/>
  <c r="E489" i="14"/>
  <c r="E477" i="14"/>
  <c r="E465" i="14"/>
  <c r="E453" i="14"/>
  <c r="E441" i="14"/>
  <c r="E429" i="14"/>
  <c r="E417" i="14"/>
  <c r="E405" i="14"/>
  <c r="E393" i="14"/>
  <c r="E381" i="14"/>
  <c r="E369" i="14"/>
  <c r="E357" i="14"/>
  <c r="E345" i="14"/>
  <c r="E333" i="14"/>
  <c r="E321" i="14"/>
  <c r="E309" i="14"/>
  <c r="E297" i="14"/>
  <c r="E285" i="14"/>
  <c r="E273" i="14"/>
  <c r="E261" i="14"/>
  <c r="E249" i="14"/>
  <c r="E237" i="14"/>
  <c r="E225" i="14"/>
  <c r="E213" i="14"/>
  <c r="E201" i="14"/>
  <c r="E189" i="14"/>
  <c r="E177" i="14"/>
  <c r="E165" i="14"/>
  <c r="E153" i="14"/>
  <c r="E141" i="14"/>
  <c r="E129" i="14"/>
  <c r="E117" i="14"/>
  <c r="E105" i="14"/>
  <c r="E93" i="14"/>
  <c r="E81" i="14"/>
  <c r="E69" i="14"/>
  <c r="E57" i="14"/>
  <c r="E45" i="14"/>
  <c r="E33" i="14"/>
  <c r="E21" i="14"/>
  <c r="E9" i="14"/>
  <c r="E728" i="14"/>
  <c r="E716" i="14"/>
  <c r="E704" i="14"/>
  <c r="E692" i="14"/>
  <c r="E680" i="14"/>
  <c r="E668" i="14"/>
  <c r="E656" i="14"/>
  <c r="E644" i="14"/>
  <c r="E632" i="14"/>
  <c r="E620" i="14"/>
  <c r="E608" i="14"/>
  <c r="E596" i="14"/>
  <c r="E584" i="14"/>
  <c r="E572" i="14"/>
  <c r="E560" i="14"/>
  <c r="E548" i="14"/>
  <c r="E536" i="14"/>
  <c r="E524" i="14"/>
  <c r="E512" i="14"/>
  <c r="E500" i="14"/>
  <c r="E488" i="14"/>
  <c r="E476" i="14"/>
  <c r="E464" i="14"/>
  <c r="E452" i="14"/>
  <c r="E440" i="14"/>
  <c r="E428" i="14"/>
  <c r="E416" i="14"/>
  <c r="E404" i="14"/>
  <c r="E392" i="14"/>
  <c r="E380" i="14"/>
  <c r="E368" i="14"/>
  <c r="E356" i="14"/>
  <c r="E344" i="14"/>
  <c r="E332" i="14"/>
  <c r="E320" i="14"/>
  <c r="E308" i="14"/>
  <c r="E296" i="14"/>
  <c r="E284" i="14"/>
  <c r="E272" i="14"/>
  <c r="E260" i="14"/>
  <c r="E248" i="14"/>
  <c r="E236" i="14"/>
  <c r="E224" i="14"/>
  <c r="E212" i="14"/>
  <c r="E200" i="14"/>
  <c r="E188" i="14"/>
  <c r="E176" i="14"/>
  <c r="E164" i="14"/>
  <c r="E152" i="14"/>
  <c r="E140" i="14"/>
  <c r="E128" i="14"/>
  <c r="E116" i="14"/>
  <c r="E104" i="14"/>
  <c r="E92" i="14"/>
  <c r="E80" i="14"/>
  <c r="E68" i="14"/>
  <c r="E56" i="14"/>
  <c r="E44" i="14"/>
  <c r="E32" i="14"/>
  <c r="E20" i="14"/>
  <c r="E8" i="14"/>
  <c r="E847" i="14"/>
  <c r="E835" i="14"/>
  <c r="E823" i="14"/>
  <c r="E811" i="14"/>
  <c r="E799" i="14"/>
  <c r="E787" i="14"/>
  <c r="E775" i="14"/>
  <c r="E763" i="14"/>
  <c r="E751" i="14"/>
  <c r="E739" i="14"/>
  <c r="E727" i="14"/>
  <c r="E715" i="14"/>
  <c r="E703" i="14"/>
  <c r="E691" i="14"/>
  <c r="E679" i="14"/>
  <c r="E667" i="14"/>
  <c r="E655" i="14"/>
  <c r="E643" i="14"/>
  <c r="E631" i="14"/>
  <c r="E619" i="14"/>
  <c r="E607" i="14"/>
  <c r="E595" i="14"/>
  <c r="E583" i="14"/>
  <c r="E571" i="14"/>
  <c r="E559" i="14"/>
  <c r="E547" i="14"/>
  <c r="E535" i="14"/>
  <c r="E523" i="14"/>
  <c r="E511" i="14"/>
  <c r="E499" i="14"/>
  <c r="E487" i="14"/>
  <c r="E475" i="14"/>
  <c r="E463" i="14"/>
  <c r="E451" i="14"/>
  <c r="E439" i="14"/>
  <c r="E427" i="14"/>
  <c r="E415" i="14"/>
  <c r="E403" i="14"/>
  <c r="E391" i="14"/>
  <c r="E379" i="14"/>
  <c r="E367" i="14"/>
  <c r="E355" i="14"/>
  <c r="E343" i="14"/>
  <c r="E331" i="14"/>
  <c r="E319" i="14"/>
  <c r="E307" i="14"/>
  <c r="E295" i="14"/>
  <c r="E283" i="14"/>
  <c r="E271" i="14"/>
  <c r="E259" i="14"/>
  <c r="E247" i="14"/>
  <c r="E235" i="14"/>
  <c r="E223" i="14"/>
  <c r="E211" i="14"/>
  <c r="E199" i="14"/>
  <c r="E187" i="14"/>
  <c r="E175" i="14"/>
  <c r="E163" i="14"/>
  <c r="E151" i="14"/>
  <c r="E139" i="14"/>
  <c r="E127" i="14"/>
  <c r="E115" i="14"/>
  <c r="E103" i="14"/>
  <c r="E91" i="14"/>
  <c r="E79" i="14"/>
  <c r="E67" i="14"/>
  <c r="E55" i="14"/>
  <c r="E43" i="14"/>
  <c r="E31" i="14"/>
  <c r="E19" i="14"/>
  <c r="E7" i="14"/>
  <c r="E894" i="14"/>
  <c r="E882" i="14"/>
  <c r="E870" i="14"/>
  <c r="E858" i="14"/>
  <c r="E846" i="14"/>
  <c r="E834" i="14"/>
  <c r="E822" i="14"/>
  <c r="E810" i="14"/>
  <c r="E798" i="14"/>
  <c r="E786" i="14"/>
  <c r="E774" i="14"/>
  <c r="E762" i="14"/>
  <c r="E750" i="14"/>
  <c r="E738" i="14"/>
  <c r="E726" i="14"/>
  <c r="E714" i="14"/>
  <c r="E702" i="14"/>
  <c r="E690" i="14"/>
  <c r="E678" i="14"/>
  <c r="E666" i="14"/>
  <c r="E654" i="14"/>
  <c r="E642" i="14"/>
  <c r="E630" i="14"/>
  <c r="E618" i="14"/>
  <c r="E606" i="14"/>
  <c r="E594" i="14"/>
  <c r="E582" i="14"/>
  <c r="E570" i="14"/>
  <c r="E558" i="14"/>
  <c r="E546" i="14"/>
  <c r="E534" i="14"/>
  <c r="E522" i="14"/>
  <c r="E510" i="14"/>
  <c r="E498" i="14"/>
  <c r="E486" i="14"/>
  <c r="E474" i="14"/>
  <c r="E462" i="14"/>
  <c r="E450" i="14"/>
  <c r="E438" i="14"/>
  <c r="E426" i="14"/>
  <c r="E414" i="14"/>
  <c r="E402" i="14"/>
  <c r="E390" i="14"/>
  <c r="E378" i="14"/>
  <c r="E366" i="14"/>
  <c r="E354" i="14"/>
  <c r="E342" i="14"/>
  <c r="E330" i="14"/>
  <c r="E318" i="14"/>
  <c r="E306" i="14"/>
  <c r="E294" i="14"/>
  <c r="E282" i="14"/>
  <c r="E270" i="14"/>
  <c r="E258" i="14"/>
  <c r="E246" i="14"/>
  <c r="E234" i="14"/>
  <c r="E222" i="14"/>
  <c r="E210" i="14"/>
  <c r="E198" i="14"/>
  <c r="E186" i="14"/>
  <c r="E174" i="14"/>
  <c r="E162" i="14"/>
  <c r="E150" i="14"/>
  <c r="E138" i="14"/>
  <c r="E126" i="14"/>
  <c r="E114" i="14"/>
  <c r="E102" i="14"/>
  <c r="E90" i="14"/>
  <c r="E78" i="14"/>
  <c r="E66" i="14"/>
  <c r="E54" i="14"/>
  <c r="E42" i="14"/>
  <c r="E30" i="14"/>
  <c r="E18" i="14"/>
  <c r="E6" i="14"/>
  <c r="E1013" i="14"/>
  <c r="E1001" i="14"/>
  <c r="E989" i="14"/>
  <c r="E977" i="14"/>
  <c r="E965" i="14"/>
  <c r="E953" i="14"/>
  <c r="E941" i="14"/>
  <c r="E929" i="14"/>
  <c r="E917" i="14"/>
  <c r="E905" i="14"/>
  <c r="E893" i="14"/>
  <c r="E881" i="14"/>
  <c r="E869" i="14"/>
  <c r="E857" i="14"/>
  <c r="E845" i="14"/>
  <c r="E833" i="14"/>
  <c r="E821" i="14"/>
  <c r="E809" i="14"/>
  <c r="E797" i="14"/>
  <c r="E785" i="14"/>
  <c r="E773" i="14"/>
  <c r="E761" i="14"/>
  <c r="E749" i="14"/>
  <c r="E737" i="14"/>
  <c r="E725" i="14"/>
  <c r="E713" i="14"/>
  <c r="E701" i="14"/>
  <c r="E689" i="14"/>
  <c r="E677" i="14"/>
  <c r="E665" i="14"/>
  <c r="E653" i="14"/>
  <c r="E641" i="14"/>
  <c r="E629" i="14"/>
  <c r="E617" i="14"/>
  <c r="E605" i="14"/>
  <c r="E593" i="14"/>
  <c r="E581" i="14"/>
  <c r="E569" i="14"/>
  <c r="E557" i="14"/>
  <c r="E545" i="14"/>
  <c r="E533" i="14"/>
  <c r="E521" i="14"/>
  <c r="E509" i="14"/>
  <c r="E497" i="14"/>
  <c r="E485" i="14"/>
  <c r="E473" i="14"/>
  <c r="E461" i="14"/>
  <c r="E449" i="14"/>
  <c r="E437" i="14"/>
  <c r="E425" i="14"/>
  <c r="E413" i="14"/>
  <c r="E401" i="14"/>
  <c r="E389" i="14"/>
  <c r="E377" i="14"/>
  <c r="E365" i="14"/>
  <c r="E353" i="14"/>
  <c r="E341" i="14"/>
  <c r="E329" i="14"/>
  <c r="E317" i="14"/>
  <c r="E305" i="14"/>
  <c r="E293" i="14"/>
  <c r="E281" i="14"/>
  <c r="E269" i="14"/>
  <c r="E257" i="14"/>
  <c r="E245" i="14"/>
  <c r="E233" i="14"/>
  <c r="E221" i="14"/>
  <c r="E209" i="14"/>
  <c r="E197" i="14"/>
  <c r="E185" i="14"/>
  <c r="E173" i="14"/>
  <c r="E161" i="14"/>
  <c r="E149" i="14"/>
  <c r="E137" i="14"/>
  <c r="E125" i="14"/>
  <c r="E113" i="14"/>
  <c r="E101" i="14"/>
  <c r="E89" i="14"/>
  <c r="E77" i="14"/>
  <c r="E65" i="14"/>
  <c r="E53" i="14"/>
  <c r="E41" i="14"/>
  <c r="E29" i="14"/>
  <c r="E17" i="14"/>
  <c r="E5" i="14"/>
  <c r="E808" i="14"/>
  <c r="E796" i="14"/>
  <c r="E784" i="14"/>
  <c r="E772" i="14"/>
  <c r="E760" i="14"/>
  <c r="E748" i="14"/>
  <c r="E736" i="14"/>
  <c r="E724" i="14"/>
  <c r="E712" i="14"/>
  <c r="E700" i="14"/>
  <c r="E688" i="14"/>
  <c r="E676" i="14"/>
  <c r="E664" i="14"/>
  <c r="E652" i="14"/>
  <c r="E640" i="14"/>
  <c r="E628" i="14"/>
  <c r="E616" i="14"/>
  <c r="E604" i="14"/>
  <c r="E592" i="14"/>
  <c r="E580" i="14"/>
  <c r="E568" i="14"/>
  <c r="E556" i="14"/>
  <c r="E544" i="14"/>
  <c r="E532" i="14"/>
  <c r="E520" i="14"/>
  <c r="E508" i="14"/>
  <c r="E496" i="14"/>
  <c r="E484" i="14"/>
  <c r="E472" i="14"/>
  <c r="E460" i="14"/>
  <c r="E448" i="14"/>
  <c r="E436" i="14"/>
  <c r="E424" i="14"/>
  <c r="E412" i="14"/>
  <c r="E400" i="14"/>
  <c r="E388" i="14"/>
  <c r="E376" i="14"/>
  <c r="E364" i="14"/>
  <c r="E352" i="14"/>
  <c r="E340" i="14"/>
  <c r="E328" i="14"/>
  <c r="E316" i="14"/>
  <c r="E304" i="14"/>
  <c r="E292" i="14"/>
  <c r="E280" i="14"/>
  <c r="E268" i="14"/>
  <c r="E256" i="14"/>
  <c r="E244" i="14"/>
  <c r="E232" i="14"/>
  <c r="E220" i="14"/>
  <c r="E208" i="14"/>
  <c r="E196" i="14"/>
  <c r="E184" i="14"/>
  <c r="E172" i="14"/>
  <c r="E160" i="14"/>
  <c r="E148" i="14"/>
  <c r="E136" i="14"/>
  <c r="E124" i="14"/>
  <c r="E112" i="14"/>
  <c r="E100" i="14"/>
  <c r="E88" i="14"/>
  <c r="E76" i="14"/>
  <c r="E64" i="14"/>
  <c r="E52" i="14"/>
  <c r="E40" i="14"/>
  <c r="E28" i="14"/>
  <c r="E16" i="14"/>
  <c r="E4" i="14"/>
  <c r="E1011" i="14"/>
  <c r="E999" i="14"/>
  <c r="E987" i="14"/>
  <c r="E975" i="14"/>
  <c r="E963" i="14"/>
  <c r="E951" i="14"/>
  <c r="E939" i="14"/>
  <c r="E927" i="14"/>
  <c r="E915" i="14"/>
  <c r="E903" i="14"/>
  <c r="E891" i="14"/>
  <c r="E879" i="14"/>
  <c r="E867" i="14"/>
  <c r="E855" i="14"/>
  <c r="E843" i="14"/>
  <c r="E831" i="14"/>
  <c r="E819" i="14"/>
  <c r="E807" i="14"/>
  <c r="E795" i="14"/>
  <c r="E783" i="14"/>
  <c r="E771" i="14"/>
  <c r="E759" i="14"/>
  <c r="E747" i="14"/>
  <c r="E735" i="14"/>
  <c r="E723" i="14"/>
  <c r="E711" i="14"/>
  <c r="E699" i="14"/>
  <c r="E687" i="14"/>
  <c r="E675" i="14"/>
  <c r="E663" i="14"/>
  <c r="E651" i="14"/>
  <c r="E639" i="14"/>
  <c r="E627" i="14"/>
  <c r="E615" i="14"/>
  <c r="E603" i="14"/>
  <c r="E591" i="14"/>
  <c r="E579" i="14"/>
  <c r="E567" i="14"/>
  <c r="E555" i="14"/>
  <c r="E543" i="14"/>
  <c r="E531" i="14"/>
  <c r="E519" i="14"/>
  <c r="E507" i="14"/>
  <c r="E495" i="14"/>
  <c r="E483" i="14"/>
  <c r="E471" i="14"/>
  <c r="E459" i="14"/>
  <c r="E447" i="14"/>
  <c r="E435" i="14"/>
  <c r="E423" i="14"/>
  <c r="E411" i="14"/>
  <c r="E399" i="14"/>
  <c r="E387" i="14"/>
  <c r="E375" i="14"/>
  <c r="E363" i="14"/>
  <c r="E351" i="14"/>
  <c r="E339" i="14"/>
  <c r="E327" i="14"/>
  <c r="E315" i="14"/>
  <c r="E303" i="14"/>
  <c r="E291" i="14"/>
  <c r="E279" i="14"/>
  <c r="E267" i="14"/>
  <c r="E255" i="14"/>
  <c r="E243" i="14"/>
  <c r="E231" i="14"/>
  <c r="E219" i="14"/>
  <c r="E207" i="14"/>
  <c r="E195" i="14"/>
  <c r="E183" i="14"/>
  <c r="E171" i="14"/>
  <c r="E159" i="14"/>
  <c r="E147" i="14"/>
  <c r="E135" i="14"/>
  <c r="E123" i="14"/>
  <c r="E111" i="14"/>
  <c r="E99" i="14"/>
  <c r="E87" i="14"/>
  <c r="E75" i="14"/>
  <c r="E63" i="14"/>
  <c r="E51" i="14"/>
  <c r="E39" i="14"/>
  <c r="E27" i="14"/>
  <c r="E122" i="14"/>
  <c r="E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F40A90-4FED-4DF7-BDA6-E8998B402A6E}" keepAlive="1" name="쿼리 - _______________" description="통합 문서의 '_______________' 쿼리에 대한 연결입니다." type="5" refreshedVersion="8" background="1" saveData="1">
    <dbPr connection="Provider=Microsoft.Mashup.OleDb.1;Data Source=$Workbook$;Location=_______________;Extended Properties=&quot;&quot;" command="SELECT * FROM [_______________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<sst xmlns="http://schemas.openxmlformats.org/spreadsheetml/2006/main" count="914" uniqueCount="598">
  <si>
    <t>스테이지</t>
  </si>
  <si>
    <t>1번값</t>
  </si>
  <si>
    <t>2번값</t>
  </si>
  <si>
    <t>3번값</t>
  </si>
  <si>
    <t>4번값</t>
  </si>
  <si>
    <t>5번값</t>
  </si>
  <si>
    <t>6번값</t>
  </si>
  <si>
    <t>7번값</t>
  </si>
  <si>
    <t>8번값</t>
  </si>
  <si>
    <t>9번값</t>
  </si>
  <si>
    <t xml:space="preserve"> </t>
    <phoneticPr fontId="18" type="noConversion"/>
  </si>
  <si>
    <t>슈바니</t>
    <phoneticPr fontId="18" type="noConversion"/>
  </si>
  <si>
    <t>K802/$K$801</t>
    <phoneticPr fontId="18" type="noConversion"/>
  </si>
  <si>
    <t>INDEX(K:K, Q802+2) / INDEX(K:K, Q802+1)</t>
    <phoneticPr fontId="18" type="noConversion"/>
  </si>
  <si>
    <t>K열이 체력합</t>
    <phoneticPr fontId="18" type="noConversion"/>
  </si>
  <si>
    <t>INDEX(K:K, R802+2) / INDEX(K:K, Q802+1)</t>
    <phoneticPr fontId="18" type="noConversion"/>
  </si>
  <si>
    <t>세짐</t>
    <phoneticPr fontId="18" type="noConversion"/>
  </si>
  <si>
    <t>K811/K810</t>
    <phoneticPr fontId="18" type="noConversion"/>
  </si>
  <si>
    <t>1회성공</t>
  </si>
  <si>
    <t>2회성공</t>
  </si>
  <si>
    <t>3회성공</t>
  </si>
  <si>
    <t>4회성공</t>
  </si>
  <si>
    <t>5회성공</t>
  </si>
  <si>
    <t>6회성공</t>
  </si>
  <si>
    <t>7회성공</t>
  </si>
  <si>
    <t>8회성공</t>
  </si>
  <si>
    <t>9회성공</t>
  </si>
  <si>
    <t>10회성공</t>
  </si>
  <si>
    <t>1세트효과</t>
  </si>
  <si>
    <t>3세트효과</t>
  </si>
  <si>
    <t>5세트효과</t>
  </si>
  <si>
    <t>7세트효과</t>
  </si>
  <si>
    <t>8세트효과</t>
  </si>
  <si>
    <t>9세트효과</t>
  </si>
  <si>
    <t>10세트효과</t>
  </si>
  <si>
    <t>원래</t>
    <phoneticPr fontId="18" type="noConversion"/>
  </si>
  <si>
    <t>고려</t>
    <phoneticPr fontId="18" type="noConversion"/>
  </si>
  <si>
    <t>조선</t>
    <phoneticPr fontId="18" type="noConversion"/>
  </si>
  <si>
    <t xml:space="preserve"> 전투력</t>
    <phoneticPr fontId="18" type="noConversion"/>
  </si>
  <si>
    <t>배율</t>
    <phoneticPr fontId="18" type="noConversion"/>
  </si>
  <si>
    <t>세트효과</t>
    <phoneticPr fontId="18" type="noConversion"/>
  </si>
  <si>
    <t>총 전투력</t>
    <phoneticPr fontId="18" type="noConversion"/>
  </si>
  <si>
    <t>초월</t>
    <phoneticPr fontId="18" type="noConversion"/>
  </si>
  <si>
    <t>어빌</t>
    <phoneticPr fontId="18" type="noConversion"/>
  </si>
  <si>
    <t>어빌증폭</t>
    <phoneticPr fontId="18" type="noConversion"/>
  </si>
  <si>
    <t>룬</t>
    <phoneticPr fontId="18" type="noConversion"/>
  </si>
  <si>
    <t>나무</t>
    <phoneticPr fontId="18" type="noConversion"/>
  </si>
  <si>
    <t>나무진화</t>
    <phoneticPr fontId="18" type="noConversion"/>
  </si>
  <si>
    <t>장비장착</t>
    <phoneticPr fontId="18" type="noConversion"/>
  </si>
  <si>
    <t>장비보유</t>
    <phoneticPr fontId="18" type="noConversion"/>
  </si>
  <si>
    <t>장비보유근력</t>
    <phoneticPr fontId="18" type="noConversion"/>
  </si>
  <si>
    <t>고려영웅</t>
    <phoneticPr fontId="18" type="noConversion"/>
  </si>
  <si>
    <t>조선영웅</t>
    <phoneticPr fontId="18" type="noConversion"/>
  </si>
  <si>
    <t>근현대영웅</t>
    <phoneticPr fontId="18" type="noConversion"/>
  </si>
  <si>
    <t>연구</t>
    <phoneticPr fontId="18" type="noConversion"/>
  </si>
  <si>
    <t>연구증폭</t>
    <phoneticPr fontId="18" type="noConversion"/>
  </si>
  <si>
    <t>공격정수</t>
    <phoneticPr fontId="18" type="noConversion"/>
  </si>
  <si>
    <t>공격근력</t>
    <phoneticPr fontId="18" type="noConversion"/>
  </si>
  <si>
    <t>승급</t>
    <phoneticPr fontId="18" type="noConversion"/>
  </si>
  <si>
    <t>정수공x 2 x 룬공/100 *어빌</t>
    <phoneticPr fontId="18" type="noConversion"/>
  </si>
  <si>
    <t xml:space="preserve">(어빌 x 어빌 공근 증폭)/10000 </t>
  </si>
  <si>
    <t>(연구 공근 x연구공근증폭 ) /10000</t>
  </si>
  <si>
    <t>나무 공격력 /1000</t>
  </si>
  <si>
    <t xml:space="preserve">나무 승급 공격력/100 </t>
  </si>
  <si>
    <t xml:space="preserve">정수 근력 </t>
  </si>
  <si>
    <t>룬 근 /100</t>
  </si>
  <si>
    <t>(장비 공격력 +</t>
  </si>
  <si>
    <t xml:space="preserve"> (무기보유 공격력 * 장비증폭)/100 + </t>
  </si>
  <si>
    <t>(무기 보유 근력 *장비증폭/100/2) )/100</t>
  </si>
  <si>
    <t>초월 공격력 /100</t>
  </si>
  <si>
    <t>조선위인공격력 /100</t>
  </si>
  <si>
    <t>근대위인공격력 /100</t>
  </si>
  <si>
    <t xml:space="preserve">캐릭터승급 /100 </t>
  </si>
  <si>
    <t>고려유물공격력 x 고려유물공격력증폭 /10000</t>
  </si>
  <si>
    <t>조선 x 조선증폭 /10000</t>
  </si>
  <si>
    <t>근대 x 근대 /10000</t>
  </si>
  <si>
    <t>정수 공</t>
    <phoneticPr fontId="18" type="noConversion"/>
  </si>
  <si>
    <t>룬공</t>
    <phoneticPr fontId="18" type="noConversion"/>
  </si>
  <si>
    <t>어빌공/증폭</t>
    <phoneticPr fontId="18" type="noConversion"/>
  </si>
  <si>
    <t>연구공/증폭</t>
    <phoneticPr fontId="18" type="noConversion"/>
  </si>
  <si>
    <t>나무공</t>
    <phoneticPr fontId="18" type="noConversion"/>
  </si>
  <si>
    <t>나무승급공</t>
    <phoneticPr fontId="18" type="noConversion"/>
  </si>
  <si>
    <t>장비 공</t>
    <phoneticPr fontId="18" type="noConversion"/>
  </si>
  <si>
    <t>항목</t>
  </si>
  <si>
    <t>값</t>
  </si>
  <si>
    <t>신규</t>
    <phoneticPr fontId="18" type="noConversion"/>
  </si>
  <si>
    <t>초월 공</t>
    <phoneticPr fontId="18" type="noConversion"/>
  </si>
  <si>
    <t>위인</t>
    <phoneticPr fontId="18" type="noConversion"/>
  </si>
  <si>
    <t>위인 공</t>
    <phoneticPr fontId="18" type="noConversion"/>
  </si>
  <si>
    <t xml:space="preserve"> 승급 공</t>
    <phoneticPr fontId="18" type="noConversion"/>
  </si>
  <si>
    <t>유물 고려 공</t>
    <phoneticPr fontId="18" type="noConversion"/>
  </si>
  <si>
    <t xml:space="preserve">어빌 </t>
    <phoneticPr fontId="18" type="noConversion"/>
  </si>
  <si>
    <t>표류자</t>
    <phoneticPr fontId="18" type="noConversion"/>
  </si>
  <si>
    <t>무사</t>
    <phoneticPr fontId="18" type="noConversion"/>
  </si>
  <si>
    <t>검객</t>
    <phoneticPr fontId="18" type="noConversion"/>
  </si>
  <si>
    <t>투사</t>
    <phoneticPr fontId="18" type="noConversion"/>
  </si>
  <si>
    <t>검제</t>
    <phoneticPr fontId="18" type="noConversion"/>
  </si>
  <si>
    <t>투신</t>
    <phoneticPr fontId="18" type="noConversion"/>
  </si>
  <si>
    <t>패왕</t>
    <phoneticPr fontId="18" type="noConversion"/>
  </si>
  <si>
    <t>검선</t>
    <phoneticPr fontId="18" type="noConversion"/>
  </si>
  <si>
    <t>아수라</t>
    <phoneticPr fontId="18" type="noConversion"/>
  </si>
  <si>
    <t>무기</t>
    <phoneticPr fontId="18" type="noConversion"/>
  </si>
  <si>
    <t>유일</t>
    <phoneticPr fontId="18" type="noConversion"/>
  </si>
  <si>
    <t>신화</t>
    <phoneticPr fontId="18" type="noConversion"/>
  </si>
  <si>
    <t>전설</t>
    <phoneticPr fontId="18" type="noConversion"/>
  </si>
  <si>
    <t>영웅</t>
    <phoneticPr fontId="18" type="noConversion"/>
  </si>
  <si>
    <t>희귀</t>
    <phoneticPr fontId="18" type="noConversion"/>
  </si>
  <si>
    <t>고급</t>
    <phoneticPr fontId="18" type="noConversion"/>
  </si>
  <si>
    <t>총 어빌</t>
    <phoneticPr fontId="18" type="noConversion"/>
  </si>
  <si>
    <t>보유공격</t>
    <phoneticPr fontId="18" type="noConversion"/>
  </si>
  <si>
    <t>보유근력</t>
    <phoneticPr fontId="18" type="noConversion"/>
  </si>
  <si>
    <t>계수</t>
    <phoneticPr fontId="18" type="noConversion"/>
  </si>
  <si>
    <t>무기공격력</t>
    <phoneticPr fontId="18" type="noConversion"/>
  </si>
  <si>
    <t>배수</t>
    <phoneticPr fontId="18" type="noConversion"/>
  </si>
  <si>
    <t>강화수</t>
    <phoneticPr fontId="18" type="noConversion"/>
  </si>
  <si>
    <t>무기장착</t>
    <phoneticPr fontId="18" type="noConversion"/>
  </si>
  <si>
    <t>무기보유공</t>
    <phoneticPr fontId="18" type="noConversion"/>
  </si>
  <si>
    <t>무기보유근</t>
    <phoneticPr fontId="18" type="noConversion"/>
  </si>
  <si>
    <t>보유1</t>
  </si>
  <si>
    <t>보유2</t>
  </si>
  <si>
    <t>보유3</t>
  </si>
  <si>
    <t>보유4</t>
  </si>
  <si>
    <t>보유5</t>
  </si>
  <si>
    <t>보유6</t>
  </si>
  <si>
    <t>보유7</t>
  </si>
  <si>
    <t>보유8</t>
  </si>
  <si>
    <t>보유9</t>
  </si>
  <si>
    <t>보유10</t>
  </si>
  <si>
    <t>보유11</t>
  </si>
  <si>
    <t>보유12</t>
  </si>
  <si>
    <t>보유13</t>
  </si>
  <si>
    <t>보유14</t>
  </si>
  <si>
    <t>보유15</t>
  </si>
  <si>
    <t>유물</t>
    <phoneticPr fontId="18" type="noConversion"/>
  </si>
  <si>
    <t>초월값상승</t>
    <phoneticPr fontId="18" type="noConversion"/>
  </si>
  <si>
    <t>일반</t>
  </si>
  <si>
    <t>신화</t>
  </si>
  <si>
    <t>기본</t>
    <phoneticPr fontId="18" type="noConversion"/>
  </si>
  <si>
    <t>근대</t>
    <phoneticPr fontId="18" type="noConversion"/>
  </si>
  <si>
    <t>공격력</t>
    <phoneticPr fontId="18" type="noConversion"/>
  </si>
  <si>
    <t>치명확율</t>
    <phoneticPr fontId="18" type="noConversion"/>
  </si>
  <si>
    <t>치명데미지</t>
    <phoneticPr fontId="18" type="noConversion"/>
  </si>
  <si>
    <t>기;본</t>
    <phoneticPr fontId="18" type="noConversion"/>
  </si>
  <si>
    <t>공격</t>
    <phoneticPr fontId="18" type="noConversion"/>
  </si>
  <si>
    <t>생명2</t>
    <phoneticPr fontId="18" type="noConversion"/>
  </si>
  <si>
    <t>생명</t>
    <phoneticPr fontId="18" type="noConversion"/>
  </si>
  <si>
    <t>생명력</t>
    <phoneticPr fontId="18" type="noConversion"/>
  </si>
  <si>
    <t>치명</t>
    <phoneticPr fontId="18" type="noConversion"/>
  </si>
  <si>
    <t>등급</t>
    <phoneticPr fontId="18" type="noConversion"/>
  </si>
  <si>
    <t>합</t>
    <phoneticPr fontId="18" type="noConversion"/>
  </si>
  <si>
    <t>수치</t>
    <phoneticPr fontId="18" type="noConversion"/>
  </si>
  <si>
    <t>개수</t>
    <phoneticPr fontId="18" type="noConversion"/>
  </si>
  <si>
    <t>돌아가기</t>
    <phoneticPr fontId="18" type="noConversion"/>
  </si>
  <si>
    <t>정수</t>
    <phoneticPr fontId="18" type="noConversion"/>
  </si>
  <si>
    <t>선택</t>
    <phoneticPr fontId="18" type="noConversion"/>
  </si>
  <si>
    <t>강화횟수</t>
    <phoneticPr fontId="18" type="noConversion"/>
  </si>
  <si>
    <t>근력</t>
    <phoneticPr fontId="18" type="noConversion"/>
  </si>
  <si>
    <t>체력</t>
    <phoneticPr fontId="18" type="noConversion"/>
  </si>
  <si>
    <t>누적금화</t>
    <phoneticPr fontId="18" type="noConversion"/>
  </si>
  <si>
    <t>금화</t>
    <phoneticPr fontId="18" type="noConversion"/>
  </si>
  <si>
    <t>강화</t>
    <phoneticPr fontId="18" type="noConversion"/>
  </si>
  <si>
    <t>경험</t>
    <phoneticPr fontId="18" type="noConversion"/>
  </si>
  <si>
    <t>누적룬</t>
    <phoneticPr fontId="18" type="noConversion"/>
  </si>
  <si>
    <t>누적 초월석</t>
    <phoneticPr fontId="18" type="noConversion"/>
  </si>
  <si>
    <t>능력치</t>
    <phoneticPr fontId="18" type="noConversion"/>
  </si>
  <si>
    <t>룬 공격력</t>
    <phoneticPr fontId="18" type="noConversion"/>
  </si>
  <si>
    <t>룬 근력</t>
    <phoneticPr fontId="18" type="noConversion"/>
  </si>
  <si>
    <t>초월 공격력</t>
    <phoneticPr fontId="18" type="noConversion"/>
  </si>
  <si>
    <t>이동</t>
    <phoneticPr fontId="18" type="noConversion"/>
  </si>
  <si>
    <t>강화 레벨</t>
    <phoneticPr fontId="18" type="noConversion"/>
  </si>
  <si>
    <t>I</t>
    <phoneticPr fontId="18" type="noConversion"/>
  </si>
  <si>
    <t>몬 피해량</t>
    <phoneticPr fontId="18" type="noConversion"/>
  </si>
  <si>
    <t>보 피해량</t>
    <phoneticPr fontId="18" type="noConversion"/>
  </si>
  <si>
    <t>ID</t>
  </si>
  <si>
    <t>나무이름</t>
  </si>
  <si>
    <t>승급시 상승능력치</t>
  </si>
  <si>
    <t>승급시 소모비용1</t>
  </si>
  <si>
    <t>승급시 소모비용2</t>
  </si>
  <si>
    <t>씨앗</t>
  </si>
  <si>
    <t>뿌리</t>
  </si>
  <si>
    <t>새싹</t>
  </si>
  <si>
    <t>잎새</t>
  </si>
  <si>
    <t>가지</t>
  </si>
  <si>
    <t>묘목</t>
  </si>
  <si>
    <t>견목</t>
  </si>
  <si>
    <t>성목</t>
  </si>
  <si>
    <t>거목</t>
  </si>
  <si>
    <t>신목</t>
  </si>
  <si>
    <t>영목</t>
  </si>
  <si>
    <t>천목</t>
  </si>
  <si>
    <t>태초목</t>
  </si>
  <si>
    <t>창조목</t>
  </si>
  <si>
    <t>수호목</t>
  </si>
  <si>
    <t>세계목</t>
  </si>
  <si>
    <t>세계수</t>
  </si>
  <si>
    <t>무한수</t>
  </si>
  <si>
    <t>영겁수</t>
  </si>
  <si>
    <t>-</t>
  </si>
  <si>
    <t>나무 승급</t>
    <phoneticPr fontId="18" type="noConversion"/>
  </si>
  <si>
    <t>누적 소모</t>
    <phoneticPr fontId="18" type="noConversion"/>
  </si>
  <si>
    <t>최고 무기</t>
    <phoneticPr fontId="18" type="noConversion"/>
  </si>
  <si>
    <t>일반1</t>
    <phoneticPr fontId="18" type="noConversion"/>
  </si>
  <si>
    <t>일반3</t>
  </si>
  <si>
    <t>일반4</t>
  </si>
  <si>
    <t>일반2</t>
    <phoneticPr fontId="18" type="noConversion"/>
  </si>
  <si>
    <t>고급1</t>
    <phoneticPr fontId="18" type="noConversion"/>
  </si>
  <si>
    <t>고급2</t>
  </si>
  <si>
    <t>고급3</t>
  </si>
  <si>
    <t>고급4</t>
  </si>
  <si>
    <t>희귀1</t>
    <phoneticPr fontId="18" type="noConversion"/>
  </si>
  <si>
    <t>희귀2</t>
  </si>
  <si>
    <t>희귀3</t>
  </si>
  <si>
    <t>희귀4</t>
  </si>
  <si>
    <t>영웅2</t>
    <phoneticPr fontId="18" type="noConversion"/>
  </si>
  <si>
    <t>영웅3</t>
  </si>
  <si>
    <t>영웅4</t>
  </si>
  <si>
    <t>영웅5</t>
  </si>
  <si>
    <t>전설1</t>
    <phoneticPr fontId="18" type="noConversion"/>
  </si>
  <si>
    <t>전설2</t>
  </si>
  <si>
    <t>전설3</t>
  </si>
  <si>
    <t>전설4</t>
  </si>
  <si>
    <t>신화1</t>
    <phoneticPr fontId="18" type="noConversion"/>
  </si>
  <si>
    <t>신화2</t>
  </si>
  <si>
    <t>신화3</t>
  </si>
  <si>
    <t>신화4</t>
  </si>
  <si>
    <t>나무 이름</t>
    <phoneticPr fontId="18" type="noConversion"/>
  </si>
  <si>
    <t>승급 공격</t>
    <phoneticPr fontId="18" type="noConversion"/>
  </si>
  <si>
    <t>승급생명</t>
    <phoneticPr fontId="18" type="noConversion"/>
  </si>
  <si>
    <t>승급 누적</t>
    <phoneticPr fontId="18" type="noConversion"/>
  </si>
  <si>
    <t>총 소모</t>
    <phoneticPr fontId="18" type="noConversion"/>
  </si>
  <si>
    <t>능력치로</t>
    <phoneticPr fontId="18" type="noConversion"/>
  </si>
  <si>
    <t>일반</t>
    <phoneticPr fontId="18" type="noConversion"/>
  </si>
  <si>
    <t>수정</t>
    <phoneticPr fontId="18" type="noConversion"/>
  </si>
  <si>
    <t>생명령</t>
    <phoneticPr fontId="18" type="noConversion"/>
  </si>
  <si>
    <t>0강</t>
  </si>
  <si>
    <t>0강</t>
    <phoneticPr fontId="18" type="noConversion"/>
  </si>
  <si>
    <t>1강</t>
  </si>
  <si>
    <t>2강</t>
  </si>
  <si>
    <t>3강</t>
  </si>
  <si>
    <t>4강</t>
  </si>
  <si>
    <t>5강</t>
  </si>
  <si>
    <t>6강</t>
  </si>
  <si>
    <t>7강</t>
  </si>
  <si>
    <t>8강</t>
  </si>
  <si>
    <t>9강</t>
  </si>
  <si>
    <t>10강</t>
  </si>
  <si>
    <t xml:space="preserve">고려 </t>
    <phoneticPr fontId="18" type="noConversion"/>
  </si>
  <si>
    <t>k</t>
    <phoneticPr fontId="18" type="noConversion"/>
  </si>
  <si>
    <t>l</t>
    <phoneticPr fontId="18" type="noConversion"/>
  </si>
  <si>
    <t>m</t>
    <phoneticPr fontId="18" type="noConversion"/>
  </si>
  <si>
    <t>n</t>
    <phoneticPr fontId="18" type="noConversion"/>
  </si>
  <si>
    <t>o</t>
    <phoneticPr fontId="18" type="noConversion"/>
  </si>
  <si>
    <t>p</t>
    <phoneticPr fontId="18" type="noConversion"/>
  </si>
  <si>
    <t>총 공격력</t>
    <phoneticPr fontId="18" type="noConversion"/>
  </si>
  <si>
    <t>연구 사용 가능 스탯</t>
  </si>
  <si>
    <t>고대 사용 가능</t>
  </si>
  <si>
    <t>고대 스탯합</t>
  </si>
  <si>
    <t>중세 사용 가능</t>
  </si>
  <si>
    <t>중세 스탯합</t>
  </si>
  <si>
    <t>MAX</t>
  </si>
  <si>
    <t>연구 공격력</t>
  </si>
  <si>
    <t>연구 생명력</t>
  </si>
  <si>
    <t/>
  </si>
  <si>
    <t>무기 보유 공격력 증폭</t>
  </si>
  <si>
    <t>무기 보유 근력 증폭</t>
  </si>
  <si>
    <t>갑옷 보유 생명력 증폭</t>
  </si>
  <si>
    <t>갑옷 보유 방어 증폭</t>
  </si>
  <si>
    <t>치명타 데미지 증폭</t>
  </si>
  <si>
    <t>필드 공격력 증폭</t>
  </si>
  <si>
    <t>점령전 공격력 증폭</t>
  </si>
  <si>
    <t>무릉전 공격력 증폭</t>
  </si>
  <si>
    <t>퇴마전 공격력 증폭</t>
  </si>
  <si>
    <t>연구속도 증가</t>
  </si>
  <si>
    <t>점령전 최대 스테이지 증가</t>
  </si>
  <si>
    <t>무릉전 최대 스테이지 증가</t>
  </si>
  <si>
    <t>퇴마전 최대 스테이지 증가</t>
  </si>
  <si>
    <t>유일 장비 강화 횟수 증가</t>
  </si>
  <si>
    <t>신화 장비 강화 횟수 증가</t>
  </si>
  <si>
    <t>전설 장비 강화 횟수 증가</t>
  </si>
  <si>
    <t>영웅 장비 강화 횟수 증가</t>
  </si>
  <si>
    <t>희귀 장비 강화 횟수 증가</t>
  </si>
  <si>
    <t>고급 장비 강화 횟수 증가</t>
  </si>
  <si>
    <t>일반 장비 강화 횟수 증가</t>
  </si>
  <si>
    <t>가속 소환 횟수 증가</t>
  </si>
  <si>
    <t>공격 숙련도</t>
  </si>
  <si>
    <t>스킬 숙련도</t>
  </si>
  <si>
    <t>기본 공격 추가 데미지</t>
  </si>
  <si>
    <t>합계</t>
  </si>
  <si>
    <t>중세</t>
    <phoneticPr fontId="18" type="noConversion"/>
  </si>
  <si>
    <t>고대</t>
    <phoneticPr fontId="18" type="noConversion"/>
  </si>
  <si>
    <t>고+중</t>
  </si>
  <si>
    <t>고+중</t>
    <phoneticPr fontId="18" type="noConversion"/>
  </si>
  <si>
    <t>중세+고대</t>
    <phoneticPr fontId="18" type="noConversion"/>
  </si>
  <si>
    <t>성균관</t>
    <phoneticPr fontId="18" type="noConversion"/>
  </si>
  <si>
    <t xml:space="preserve">보유공증 </t>
    <phoneticPr fontId="18" type="noConversion"/>
  </si>
  <si>
    <t>보유근증</t>
    <phoneticPr fontId="18" type="noConversion"/>
  </si>
  <si>
    <t>보유생증</t>
    <phoneticPr fontId="18" type="noConversion"/>
  </si>
  <si>
    <t>보유방증</t>
    <phoneticPr fontId="18" type="noConversion"/>
  </si>
  <si>
    <t>q</t>
    <phoneticPr fontId="18" type="noConversion"/>
  </si>
  <si>
    <t>아이디</t>
  </si>
  <si>
    <t>획득조건</t>
  </si>
  <si>
    <t>스킬가격</t>
  </si>
  <si>
    <t>스킬가격추가</t>
  </si>
  <si>
    <t>스킬가격곱셈</t>
  </si>
  <si>
    <t>스킬번호</t>
  </si>
  <si>
    <t>이름</t>
  </si>
  <si>
    <t>설명1</t>
  </si>
  <si>
    <t>기본값</t>
  </si>
  <si>
    <t>상승값</t>
  </si>
  <si>
    <t>사거리/지속시간</t>
  </si>
  <si>
    <t>마리수</t>
  </si>
  <si>
    <t>대기시간</t>
  </si>
  <si>
    <t>타격횟수</t>
  </si>
  <si>
    <t>폭염참</t>
  </si>
  <si>
    <t>강력한 한 번의 공격으로 적을 격파하는 스킬.</t>
  </si>
  <si>
    <t>대지분쇄</t>
  </si>
  <si>
    <t>강력한 힘으로 대상을 완전히 파괴하거나 파쇄하는 스킬.</t>
  </si>
  <si>
    <t>화룡염탄</t>
  </si>
  <si>
    <t>불꽃과 열기를 발산하여 지면을 흩뿌리며 폭발적인 염탄을 날리는 스킬.</t>
  </si>
  <si>
    <t>흑운베기</t>
  </si>
  <si>
    <t>어둠과 구름이 얽힌 검을 휘둘러 칼날 그림자가 퍼져나가 베어버리는 스킬.</t>
  </si>
  <si>
    <t>핏빛포효</t>
  </si>
  <si>
    <t>전투의 피로 물든 강한 포효로 일정 시간 기본공격을 상승시키는 버프 스킬.</t>
  </si>
  <si>
    <t>유령검참</t>
  </si>
  <si>
    <t>보라색 그림자가 유령처럼 등장하며 날카로운 베기로 공격하는 스킬.</t>
  </si>
  <si>
    <t>천둥선고</t>
  </si>
  <si>
    <t>하늘에서 번개가 내리치며 강력한 전격을 발사하는 스킬.</t>
  </si>
  <si>
    <t>핏빛폭섬</t>
  </si>
  <si>
    <t>핏빛으로 물든 파동이 일어나 적을 휘감으며 타격하는 스킬.</t>
  </si>
  <si>
    <t>푸른마귀</t>
  </si>
  <si>
    <t>푸른색의 마력으로 가득찬 그림자가 적을 둘러싸며 공격하는 스킬.</t>
  </si>
  <si>
    <t>화염갑주</t>
  </si>
  <si>
    <t>온 몸을 화염으로 강화해 일정 시간 기본공격을 상승시키는 버프 스킬.</t>
  </si>
  <si>
    <t>영혼찢기</t>
  </si>
  <si>
    <t>검의 힘으로 상대의 영혼을 찢어내어 피해를 입히는 스킬.</t>
  </si>
  <si>
    <t>태양의공명</t>
  </si>
  <si>
    <t>태양의 힘이 폭발하여 높은 공기압과 온도로 주변을 태워버리는 스킬.</t>
  </si>
  <si>
    <t>화염낙엽</t>
  </si>
  <si>
    <t>화염이 마치 낙엽처럼 떨어져 화려하게 펼쳐지며 주변을 태워버리는 스킬.</t>
  </si>
  <si>
    <t>칼날유성</t>
  </si>
  <si>
    <t>하늘에서 수많은 칼날이 비처럼 내려와 적을 베어내리는 스킬.</t>
  </si>
  <si>
    <t>피의군주</t>
  </si>
  <si>
    <t>정복자의 피의 힘을 소환해 일정 시간 기본공격을 증가시키는 버프 스킬.</t>
  </si>
  <si>
    <t>핏빛폭풍</t>
  </si>
  <si>
    <t>피로 적을 둘러싸며 압박적인 공격을 가하는 피의 힘을 담은 스킬.</t>
  </si>
  <si>
    <t>흑연의창공</t>
  </si>
  <si>
    <t>어둠의 힘을 모아 형성된 창공을 통해 강력한 공격을 발사하는 스킬.</t>
  </si>
  <si>
    <t>호화멸탄</t>
  </si>
  <si>
    <t>화려한 폭발과 광란의 파괴력의 화염으로 적을 소멸시키는 스킬.</t>
  </si>
  <si>
    <t>심연의포효</t>
  </si>
  <si>
    <t>어둠의 깊은 곳에서 울려퍼지는 강력한 울음소리로 적을 압도하는 스킬.</t>
  </si>
  <si>
    <t>영웅출현</t>
  </si>
  <si>
    <t>전투의 열정과 승리의 기운으로 일정 시간 기본공격을 상승시키는 버프 스킬.</t>
  </si>
  <si>
    <t>창공의깃발</t>
  </si>
  <si>
    <t>하늘에서 떨어지는 푸른 창과 같이 적을 관통하며 공격하는 스킬.</t>
  </si>
  <si>
    <t>중력왜곡</t>
  </si>
  <si>
    <t>중력을 왜곡해 공간을 비틀어 강력한 파동을 일으켜 공격하는 스킬.</t>
  </si>
  <si>
    <t>청홍낙엽</t>
  </si>
  <si>
    <t>붉으면서 푸른 꽃이 춤추듯이 흩어지며 낙엽을 떨어뜨리듯 공격하는 스킬.</t>
  </si>
  <si>
    <t>검은망령</t>
  </si>
  <si>
    <t>검은 망령이 소환되어 주변 적을 쓸어버리며 무자비하게 공격하는 스킬.</t>
  </si>
  <si>
    <t>절대권력</t>
  </si>
  <si>
    <t>피바람 속 눈동자의 강력한 힘으로 일정시간 기본공격을 상승시키는 버프 스킬.</t>
  </si>
  <si>
    <t>스킬</t>
    <phoneticPr fontId="18" type="noConversion"/>
  </si>
  <si>
    <t>스킬레벨</t>
    <phoneticPr fontId="18" type="noConversion"/>
  </si>
  <si>
    <t>스킬단계</t>
    <phoneticPr fontId="18" type="noConversion"/>
  </si>
  <si>
    <t>스킬번호</t>
    <phoneticPr fontId="18" type="noConversion"/>
  </si>
  <si>
    <t>스킬 뎀지</t>
    <phoneticPr fontId="18" type="noConversion"/>
  </si>
  <si>
    <t>번호</t>
    <phoneticPr fontId="18" type="noConversion"/>
  </si>
  <si>
    <t>10</t>
    <phoneticPr fontId="18" type="noConversion"/>
  </si>
  <si>
    <t>11</t>
  </si>
  <si>
    <t>12</t>
  </si>
  <si>
    <t>13</t>
  </si>
  <si>
    <t>14</t>
  </si>
  <si>
    <t>20</t>
  </si>
  <si>
    <t>21</t>
  </si>
  <si>
    <t>22</t>
  </si>
  <si>
    <t>23</t>
  </si>
  <si>
    <t>24</t>
  </si>
  <si>
    <t>30</t>
  </si>
  <si>
    <t>31</t>
  </si>
  <si>
    <t>32</t>
  </si>
  <si>
    <t>33</t>
  </si>
  <si>
    <t>34</t>
  </si>
  <si>
    <t>40</t>
  </si>
  <si>
    <t>41</t>
  </si>
  <si>
    <t>42</t>
  </si>
  <si>
    <t>43</t>
  </si>
  <si>
    <t>44</t>
  </si>
  <si>
    <t>50</t>
  </si>
  <si>
    <t>51</t>
  </si>
  <si>
    <t>52</t>
  </si>
  <si>
    <t>53</t>
  </si>
  <si>
    <t>누적비용</t>
    <phoneticPr fontId="18" type="noConversion"/>
  </si>
  <si>
    <t>20.초</t>
    <phoneticPr fontId="18" type="noConversion"/>
  </si>
  <si>
    <t>"'[상승값.xlsx]상승'!</t>
    <phoneticPr fontId="18" type="noConversion"/>
  </si>
  <si>
    <t>offenseCalcul *</t>
  </si>
  <si>
    <t>총합 offenseCalcul *</t>
    <phoneticPr fontId="18" type="noConversion"/>
  </si>
  <si>
    <t>// 기본 스킬 데미지</t>
  </si>
  <si>
    <t>damageCalcul =</t>
    <phoneticPr fontId="18" type="noConversion"/>
  </si>
  <si>
    <t>/ 10;</t>
    <phoneticPr fontId="18" type="noConversion"/>
  </si>
  <si>
    <t>statData.damageCalcul *</t>
    <phoneticPr fontId="18" type="noConversion"/>
  </si>
  <si>
    <t>statData.AdsDamageCalcul()</t>
    <phoneticPr fontId="18" type="noConversion"/>
  </si>
  <si>
    <t>enemy.GetDamage(</t>
  </si>
  <si>
    <t>// 스킬 버프</t>
  </si>
  <si>
    <t>// 광고 버프 3</t>
  </si>
  <si>
    <t>// 치명타 적용 여부</t>
  </si>
  <si>
    <t xml:space="preserve">, </t>
    <phoneticPr fontId="18" type="noConversion"/>
  </si>
  <si>
    <t>statData.criticalConfirm);</t>
    <phoneticPr fontId="18" type="noConversion"/>
  </si>
  <si>
    <t xml:space="preserve">        if (GameManager.instance.battleMode != BattleMode.Dungeon4)</t>
  </si>
  <si>
    <t xml:space="preserve">        {</t>
  </si>
  <si>
    <t xml:space="preserve">            </t>
  </si>
  <si>
    <t xml:space="preserve">            Debug.Log("데미지" + damage);</t>
  </si>
  <si>
    <t xml:space="preserve">            currentHp -= damage;</t>
  </si>
  <si>
    <t xml:space="preserve">            Debug.Log("체력" + currentHp);</t>
  </si>
  <si>
    <t xml:space="preserve">        }</t>
  </si>
  <si>
    <t xml:space="preserve">고려위인공격력 /100 </t>
    <phoneticPr fontId="18" type="noConversion"/>
  </si>
  <si>
    <t>스킬강횟수</t>
    <phoneticPr fontId="18" type="noConversion"/>
  </si>
  <si>
    <t>성장최대치</t>
  </si>
  <si>
    <t>퍼센트 증가량</t>
  </si>
  <si>
    <t>가격 증가량</t>
  </si>
  <si>
    <t>신화수</t>
  </si>
  <si>
    <t>4~5</t>
    <phoneticPr fontId="18" type="noConversion"/>
  </si>
  <si>
    <t>최댓값</t>
    <phoneticPr fontId="18" type="noConversion"/>
  </si>
  <si>
    <t>평타</t>
    <phoneticPr fontId="18" type="noConversion"/>
  </si>
  <si>
    <t>스킬쓸떄는 100 안쓸떄는 625</t>
    <phoneticPr fontId="18" type="noConversion"/>
  </si>
  <si>
    <t>// 숙련도 슈바니 150~200</t>
    <phoneticPr fontId="18" type="noConversion"/>
  </si>
  <si>
    <t>보스전100</t>
    <phoneticPr fontId="18" type="noConversion"/>
  </si>
  <si>
    <t>OffenseEssence2</t>
  </si>
  <si>
    <t>OffenseEquipmentEquip</t>
  </si>
  <si>
    <t>Offense1EquipmentHave</t>
  </si>
  <si>
    <t>Offense2EquipmentHave</t>
  </si>
  <si>
    <t>OffenseHero2</t>
  </si>
  <si>
    <t>OffenseHero3</t>
  </si>
  <si>
    <t>OffenseHero4</t>
  </si>
  <si>
    <t>OffenseCharacterUp</t>
  </si>
  <si>
    <t>OffenseTreasure1</t>
  </si>
  <si>
    <t>OffenseTreasure2</t>
  </si>
  <si>
    <t>OffenseTreasure3</t>
  </si>
  <si>
    <t>OffenseTreasureMix1</t>
  </si>
  <si>
    <t>OffenseTreasureMix2</t>
  </si>
  <si>
    <t>OffenseTreasureMix3</t>
  </si>
  <si>
    <t>OffenseResearch1</t>
  </si>
  <si>
    <t>OffenseResearch2</t>
  </si>
  <si>
    <t>Offense2EquipmentHaveUp</t>
  </si>
  <si>
    <t>Hp1EquipmentHaveUp</t>
  </si>
  <si>
    <t>Hp2EquipmentHaveUp</t>
  </si>
  <si>
    <t>HpEssence1</t>
  </si>
  <si>
    <t>HpEssence2</t>
  </si>
  <si>
    <t>HpEquipmentEquip</t>
  </si>
  <si>
    <t>Hp1EquipmentHave</t>
  </si>
  <si>
    <t>Hp2EquipmentHave</t>
  </si>
  <si>
    <t>HpHero2</t>
  </si>
  <si>
    <t>HpHero3</t>
  </si>
  <si>
    <t>HpHero4</t>
  </si>
  <si>
    <t>HpCharacterUp</t>
  </si>
  <si>
    <t>HpTreasure1</t>
  </si>
  <si>
    <t>HpTreasure2</t>
  </si>
  <si>
    <t>HpTreasure3</t>
  </si>
  <si>
    <t>HpTreasureMix1</t>
  </si>
  <si>
    <t>HpTreasureMix2</t>
  </si>
  <si>
    <t>HpTreasureMix3</t>
  </si>
  <si>
    <t>HpResearch1</t>
  </si>
  <si>
    <t>HpResearch2</t>
  </si>
  <si>
    <t>OffenseEssence1</t>
    <phoneticPr fontId="18" type="noConversion"/>
  </si>
  <si>
    <t>HpGrowth3_1</t>
  </si>
  <si>
    <t>HpGrowth3_2,</t>
  </si>
  <si>
    <t>HpGrowth4_1</t>
  </si>
  <si>
    <t>HpGrowth4_2</t>
  </si>
  <si>
    <t>HpGrowth5_2</t>
  </si>
  <si>
    <t>HpGrowth2_1</t>
    <phoneticPr fontId="18" type="noConversion"/>
  </si>
  <si>
    <t>HpGrowth5_1</t>
    <phoneticPr fontId="18" type="noConversion"/>
  </si>
  <si>
    <t>OffenseGrowth2_1</t>
  </si>
  <si>
    <t>OffenseGrowth3_2</t>
  </si>
  <si>
    <t>OffenseGrowth4_1</t>
  </si>
  <si>
    <t>OffenseGrowth4_2</t>
  </si>
  <si>
    <t>OffenseGrowth5_2</t>
  </si>
  <si>
    <t>critical1_Damage</t>
  </si>
  <si>
    <t>critical1_Damage</t>
    <phoneticPr fontId="18" type="noConversion"/>
  </si>
  <si>
    <t>DungeonPowerUp2</t>
    <phoneticPr fontId="18" type="noConversion"/>
  </si>
  <si>
    <t>Offense1EquipmentHaveUp</t>
    <phoneticPr fontId="18" type="noConversion"/>
  </si>
  <si>
    <t>CriticalConfirm</t>
    <phoneticPr fontId="18" type="noConversion"/>
  </si>
  <si>
    <t>skillDamage</t>
  </si>
  <si>
    <t>D</t>
    <phoneticPr fontId="18" type="noConversion"/>
  </si>
  <si>
    <t>ㅇ</t>
    <phoneticPr fontId="18" type="noConversion"/>
  </si>
  <si>
    <t>critical1_DamageRate</t>
  </si>
  <si>
    <t>awakeDamage</t>
    <phoneticPr fontId="18" type="noConversion"/>
  </si>
  <si>
    <t xml:space="preserve"> / 100 *//무기각성</t>
  </si>
  <si>
    <t>awakeDamage2</t>
    <phoneticPr fontId="18" type="noConversion"/>
  </si>
  <si>
    <t xml:space="preserve"> / 100 *//방어구각성</t>
  </si>
  <si>
    <t>finalDamage</t>
    <phoneticPr fontId="18" type="noConversion"/>
  </si>
  <si>
    <t xml:space="preserve"> / 100//미확정</t>
  </si>
  <si>
    <t>HeroPlaceDamageCalcul()</t>
    <phoneticPr fontId="18" type="noConversion"/>
  </si>
  <si>
    <t xml:space="preserve"> / 100 *</t>
    <phoneticPr fontId="18" type="noConversion"/>
  </si>
  <si>
    <t xml:space="preserve">NomalAndBossDamageCalcul() </t>
    <phoneticPr fontId="18" type="noConversion"/>
  </si>
  <si>
    <t>/ 1000 *</t>
  </si>
  <si>
    <t>KnockBackGuard</t>
    <phoneticPr fontId="18" type="noConversion"/>
  </si>
  <si>
    <t>ㅌ</t>
    <phoneticPr fontId="18" type="noConversion"/>
  </si>
  <si>
    <t>skillDamageCalcul</t>
    <phoneticPr fontId="18" type="noConversion"/>
  </si>
  <si>
    <t>// 안쓸떄 200 쓸떄 스킬뎀지 / 100 *</t>
    <phoneticPr fontId="18" type="noConversion"/>
  </si>
  <si>
    <t xml:space="preserve">statData.CriticalDamageCalcul() </t>
    <phoneticPr fontId="18" type="noConversion"/>
  </si>
  <si>
    <t>// 치명타 데미지 x 치명타증폭 /100 +100/ 100 *</t>
    <phoneticPr fontId="18" type="noConversion"/>
  </si>
  <si>
    <t xml:space="preserve">expertCalcul </t>
    <phoneticPr fontId="18" type="noConversion"/>
  </si>
  <si>
    <t>/ 100 *</t>
  </si>
  <si>
    <t>/ 100 *</t>
    <phoneticPr fontId="18" type="noConversion"/>
  </si>
  <si>
    <t xml:space="preserve">skillBuffDamage </t>
    <phoneticPr fontId="18" type="noConversion"/>
  </si>
  <si>
    <t>bossHpDown</t>
  </si>
  <si>
    <t>(정수 x 2)</t>
    <phoneticPr fontId="18" type="noConversion"/>
  </si>
  <si>
    <t>(룬 공 /100)</t>
    <phoneticPr fontId="18" type="noConversion"/>
  </si>
  <si>
    <t>(critical1_Damage * critical1_DamageUp / 100) + 100;</t>
  </si>
  <si>
    <t>nomalExpert</t>
  </si>
  <si>
    <t>데미지</t>
    <phoneticPr fontId="18" type="noConversion"/>
  </si>
  <si>
    <t>nomalAddDamage</t>
  </si>
  <si>
    <t>skillExpert</t>
    <phoneticPr fontId="18" type="noConversion"/>
  </si>
  <si>
    <t>skillDamage</t>
    <phoneticPr fontId="18" type="noConversion"/>
  </si>
  <si>
    <t xml:space="preserve"> 
</t>
    <phoneticPr fontId="18" type="noConversion"/>
  </si>
  <si>
    <t>보유0</t>
  </si>
  <si>
    <t>아이디   진화 조각 개수</t>
  </si>
  <si>
    <t>박범</t>
  </si>
  <si>
    <t>hero0_Park</t>
  </si>
  <si>
    <t>공대생</t>
  </si>
  <si>
    <t>그 무엇도 '현실'보다 우위에 있을 순 없어.</t>
  </si>
  <si>
    <t>갑수와 함께 과거로 온 공대생.&lt;br&gt;&lt;br&gt;아직 사회의 쓴맛을 제대로 경험하지 못해&lt;br&gt;순수함을 간직한 열혈 청년이다.&lt;br&gt;&lt;br&gt;본래 이상주의적 성격을 가지고 있으나&lt;br&gt;어떠한 계기로 현실주의적 성격으로 바뀌게 된다.</t>
  </si>
  <si>
    <t>필드공격력증가</t>
  </si>
  <si>
    <t>캐릭터 공격력</t>
  </si>
  <si>
    <t>게임기</t>
  </si>
  <si>
    <t>화련</t>
  </si>
  <si>
    <t>hero0_Hwa</t>
  </si>
  <si>
    <t>조선인</t>
  </si>
  <si>
    <t>이길 수 없다면 저희 편으로 만들어야죠.</t>
  </si>
  <si>
    <t>갑수 일행과 미래로 동행하는 조선인.&lt;br&gt;&lt;br&gt;사회성이 부족하지만 의술에 능하고&lt;br&gt;누구보다 따뜻한 마음을 가지고 있다.&lt;br&gt;&lt;br&gt;일행들 중에 가장 불우한 경험을 가지고 있지만&lt;br&gt;일행들로 인하여 잘 이겨내고 있다.</t>
  </si>
  <si>
    <t>무감정</t>
  </si>
  <si>
    <t>장보고</t>
  </si>
  <si>
    <t>hero1_JangBoGo</t>
  </si>
  <si>
    <t xml:space="preserve">해상왕   </t>
  </si>
  <si>
    <t>바다를 지배하는 자가 세계를 지배한다.</t>
  </si>
  <si>
    <t>신라의 무장.&lt;br&gt;&lt;br&gt;신라에서 당으로 건너간 후 그곳에서 군인으로 출세.&lt;br&gt;&lt;br&gt;완도에 청해진을 설치하여 해적을 소탕하고&lt;br&gt;당나라와 신라 일본을 잇는 해상무역을 주도하였다.</t>
  </si>
  <si>
    <t>청해진</t>
  </si>
  <si>
    <t>이방원</t>
  </si>
  <si>
    <t>hero2_LeeBangWon</t>
  </si>
  <si>
    <t xml:space="preserve">정치 10단   </t>
  </si>
  <si>
    <t>주상께서 짊어질 모든 악업은 내가 맡을 것이요.</t>
  </si>
  <si>
    <t>새 왕조에 많은 공을 세웠음에도 불구하고&lt;br&gt;정도전 등에 의해서 견제되었다.&lt;br&gt;&lt;br&gt;제1차 왕자의 난을 계기로 재기에 성공하지만&lt;br&gt;왕위에 오른 뒤 계속된 피의 숙청을 단행하였다.&lt;br&gt;&lt;br&gt;그러나 한편에서 보면 그는&lt;br&gt;500년 조선조 국가 운영의 밑그림을 완성한 군왕이었다.</t>
  </si>
  <si>
    <t>피의 군주</t>
  </si>
  <si>
    <t>d</t>
    <phoneticPr fontId="18" type="noConversion"/>
  </si>
  <si>
    <t>OffenseGrowth3_1</t>
    <phoneticPr fontId="18" type="noConversion"/>
  </si>
  <si>
    <t>OffenseGrowth5_1</t>
    <phoneticPr fontId="18" type="noConversion"/>
  </si>
  <si>
    <t>정수 근+룬 근</t>
    <phoneticPr fontId="18" type="noConversion"/>
  </si>
  <si>
    <t>무42D237킵</t>
  </si>
  <si>
    <t>넉백 3.5</t>
    <phoneticPr fontId="18" type="noConversion"/>
  </si>
  <si>
    <t>넉백올방어</t>
    <phoneticPr fontId="18" type="noConversion"/>
  </si>
  <si>
    <t>넉백방어1</t>
    <phoneticPr fontId="18" type="noConversion"/>
  </si>
  <si>
    <t>넉백방어3</t>
    <phoneticPr fontId="18" type="noConversion"/>
  </si>
  <si>
    <t>70번</t>
  </si>
  <si>
    <t>`</t>
    <phoneticPr fontId="18" type="noConversion"/>
  </si>
  <si>
    <t>1회방어</t>
    <phoneticPr fontId="18" type="noConversion"/>
  </si>
  <si>
    <t>1:12:30:45</t>
  </si>
  <si>
    <t>0:5:15:30</t>
  </si>
  <si>
    <t>스킬뎀</t>
    <phoneticPr fontId="18" type="noConversion"/>
  </si>
  <si>
    <t>크리티칼고정</t>
    <phoneticPr fontId="18" type="noConversion"/>
  </si>
  <si>
    <t>숙련도</t>
    <phoneticPr fontId="18" type="noConversion"/>
  </si>
  <si>
    <t>스킬버프</t>
    <phoneticPr fontId="18" type="noConversion"/>
  </si>
  <si>
    <t>중간값</t>
    <phoneticPr fontId="18" type="noConversion"/>
  </si>
  <si>
    <t>이게오른다</t>
    <phoneticPr fontId="18" type="noConversion"/>
  </si>
  <si>
    <t>값 범위</t>
  </si>
  <si>
    <t>횟수</t>
  </si>
  <si>
    <t>특징</t>
  </si>
  <si>
    <t>skillDamageCalcul</t>
  </si>
  <si>
    <t>200, 9600, 10800, 12000, 14400</t>
  </si>
  <si>
    <t>200(54), 14400(4), 12000(3), 10800(2), 9600(2)</t>
  </si>
  <si>
    <t>skillBuffDamage</t>
  </si>
  <si>
    <t>100, 625</t>
  </si>
  <si>
    <t>100(28) → 625(37), 28번째부터 전환</t>
  </si>
  <si>
    <t>스테이지 값</t>
    <phoneticPr fontId="18" type="noConversion"/>
  </si>
  <si>
    <t>무릉전 클리어</t>
    <phoneticPr fontId="18" type="noConversion"/>
  </si>
  <si>
    <t>다이아</t>
    <phoneticPr fontId="18" type="noConversion"/>
  </si>
  <si>
    <t>초월석(마리당)</t>
  </si>
  <si>
    <t>안설(마리당)</t>
  </si>
  <si>
    <t>강화석 (Per 5Stage)</t>
  </si>
  <si>
    <t>인봉 (Per 5Stage)</t>
  </si>
  <si>
    <t>다이아 (Per 5Stage)</t>
  </si>
  <si>
    <t>화련(Per 20Stage)</t>
  </si>
  <si>
    <t>강화석</t>
    <phoneticPr fontId="18" type="noConversion"/>
  </si>
  <si>
    <t>무릉전스테이지</t>
    <phoneticPr fontId="18" type="noConversion"/>
  </si>
  <si>
    <t>강화석지급량</t>
    <phoneticPr fontId="18" type="noConversion"/>
  </si>
  <si>
    <t>증강량</t>
    <phoneticPr fontId="18" type="noConversion"/>
  </si>
  <si>
    <t>최종 강화석</t>
    <phoneticPr fontId="18" type="noConversion"/>
  </si>
  <si>
    <t>입장권 개수</t>
    <phoneticPr fontId="18" type="noConversion"/>
  </si>
  <si>
    <t>어려움</t>
    <phoneticPr fontId="18" type="noConversion"/>
  </si>
  <si>
    <t>스테이지</t>
    <phoneticPr fontId="18" type="noConversion"/>
  </si>
  <si>
    <t>치환스테이지</t>
    <phoneticPr fontId="18" type="noConversion"/>
  </si>
  <si>
    <t>극한</t>
    <phoneticPr fontId="18" type="noConversion"/>
  </si>
  <si>
    <t>어려움-&gt;일반</t>
    <phoneticPr fontId="18" type="noConversion"/>
  </si>
  <si>
    <t>지옥</t>
    <phoneticPr fontId="18" type="noConversion"/>
  </si>
  <si>
    <t>연옥</t>
    <phoneticPr fontId="18" type="noConversion"/>
  </si>
  <si>
    <t>지옥-&gt;일반</t>
    <phoneticPr fontId="18" type="noConversion"/>
  </si>
  <si>
    <t>극한-&gt;일반</t>
    <phoneticPr fontId="18" type="noConversion"/>
  </si>
  <si>
    <t>연옥-&gt;일반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</si>
</sst>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[$-F400]h:mm:ss\ AM/PM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E7E9EA"/>
      <name val="Inherit"/>
      <family val="2"/>
    </font>
    <font>
      <u/>
      <sz val="11"/>
      <color theme="10"/>
      <name val="맑은 고딕"/>
      <family val="3"/>
      <charset val="129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333639"/>
      </left>
      <right style="medium">
        <color rgb="FF333639"/>
      </right>
      <top style="medium">
        <color rgb="FF333639"/>
      </top>
      <bottom style="medium">
        <color rgb="FF333639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7" fillId="3" borderId="0" xfId="7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5" borderId="0" xfId="42" applyNumberFormat="1" applyFont="1" applyFill="1">
      <alignment vertical="center"/>
    </xf>
    <xf numFmtId="0" fontId="0" fillId="36" borderId="0" xfId="0" applyFill="1">
      <alignment vertical="center"/>
    </xf>
    <xf numFmtId="0" fontId="0" fillId="0" borderId="0" xfId="0" applyAlignment="1">
      <alignment vertical="center" wrapText="1"/>
    </xf>
    <xf numFmtId="0" fontId="0" fillId="35" borderId="10" xfId="0" applyFill="1" applyBorder="1">
      <alignment vertical="center"/>
    </xf>
    <xf numFmtId="0" fontId="7" fillId="3" borderId="10" xfId="7" applyBorder="1">
      <alignment vertical="center"/>
    </xf>
    <xf numFmtId="0" fontId="8" fillId="4" borderId="0" xfId="8">
      <alignment vertical="center"/>
    </xf>
    <xf numFmtId="0" fontId="0" fillId="37" borderId="0" xfId="0" applyFill="1">
      <alignment vertical="center"/>
    </xf>
    <xf numFmtId="0" fontId="8" fillId="37" borderId="0" xfId="8" applyFill="1">
      <alignment vertical="center"/>
    </xf>
    <xf numFmtId="0" fontId="8" fillId="36" borderId="0" xfId="8" applyFill="1" applyBorder="1">
      <alignment vertical="center"/>
    </xf>
    <xf numFmtId="0" fontId="0" fillId="38" borderId="0" xfId="0" applyFill="1">
      <alignment vertical="center"/>
    </xf>
    <xf numFmtId="0" fontId="19" fillId="0" borderId="0" xfId="43">
      <alignment vertical="center"/>
    </xf>
    <xf numFmtId="3" fontId="0" fillId="0" borderId="0" xfId="0" applyNumberFormat="1">
      <alignment vertical="center"/>
    </xf>
    <xf numFmtId="0" fontId="20" fillId="0" borderId="0" xfId="0" applyFont="1" applyAlignment="1">
      <alignment horizontal="center" vertical="center" wrapText="1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0" fillId="41" borderId="0" xfId="0" applyFill="1">
      <alignment vertical="center"/>
    </xf>
    <xf numFmtId="0" fontId="2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42" borderId="0" xfId="0" applyFill="1">
      <alignment vertical="center"/>
    </xf>
    <xf numFmtId="41" fontId="0" fillId="0" borderId="0" xfId="44" applyFont="1">
      <alignment vertical="center"/>
    </xf>
    <xf numFmtId="41" fontId="0" fillId="0" borderId="0" xfId="0" applyNumberFormat="1">
      <alignment vertical="center"/>
    </xf>
    <xf numFmtId="41" fontId="0" fillId="39" borderId="0" xfId="44" applyFont="1" applyFill="1">
      <alignment vertical="center"/>
    </xf>
    <xf numFmtId="0" fontId="19" fillId="39" borderId="0" xfId="43" applyFill="1">
      <alignment vertical="center"/>
    </xf>
    <xf numFmtId="0" fontId="0" fillId="43" borderId="12" xfId="0" applyFill="1" applyBorder="1">
      <alignment vertical="center"/>
    </xf>
    <xf numFmtId="0" fontId="0" fillId="0" borderId="12" xfId="0" applyBorder="1">
      <alignment vertical="center"/>
    </xf>
    <xf numFmtId="0" fontId="0" fillId="43" borderId="11" xfId="0" applyFill="1" applyBorder="1">
      <alignment vertical="center"/>
    </xf>
    <xf numFmtId="0" fontId="0" fillId="0" borderId="11" xfId="0" applyBorder="1">
      <alignment vertical="center"/>
    </xf>
    <xf numFmtId="49" fontId="0" fillId="0" borderId="0" xfId="0" applyNumberForma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2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35" borderId="0" xfId="0" applyFill="1" applyAlignment="1">
      <alignment horizontal="right" vertical="center"/>
    </xf>
    <xf numFmtId="0" fontId="0" fillId="37" borderId="0" xfId="0" applyFill="1" applyAlignment="1">
      <alignment horizontal="right" vertical="center"/>
    </xf>
    <xf numFmtId="176" fontId="0" fillId="0" borderId="0" xfId="0" applyNumberFormat="1">
      <alignment vertical="center"/>
    </xf>
    <xf numFmtId="0" fontId="23" fillId="39" borderId="0" xfId="43" applyFont="1" applyFill="1">
      <alignment vertical="center"/>
    </xf>
    <xf numFmtId="0" fontId="24" fillId="0" borderId="0" xfId="0" applyFont="1">
      <alignment vertical="center"/>
    </xf>
    <xf numFmtId="177" fontId="24" fillId="0" borderId="0" xfId="0" applyNumberFormat="1" applyFont="1">
      <alignment vertical="center"/>
    </xf>
    <xf numFmtId="46" fontId="0" fillId="0" borderId="0" xfId="0" applyNumberFormat="1">
      <alignment vertical="center"/>
    </xf>
    <xf numFmtId="0" fontId="25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0" fillId="44" borderId="0" xfId="0" applyFill="1">
      <alignment vertical="center"/>
    </xf>
    <xf numFmtId="0" fontId="0" fillId="39" borderId="0" xfId="0" applyFill="1" applyAlignment="1">
      <alignment horizontal="center" vertical="center"/>
    </xf>
    <xf numFmtId="11" fontId="0" fillId="39" borderId="0" xfId="0" applyNumberFormat="1" applyFill="1">
      <alignment vertical="center"/>
    </xf>
    <xf numFmtId="0" fontId="0" fillId="45" borderId="0" xfId="0" applyFill="1">
      <alignment vertical="center"/>
    </xf>
    <xf numFmtId="0" fontId="0" fillId="46" borderId="0" xfId="0" applyFill="1">
      <alignment vertical="center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41" fontId="0" fillId="0" borderId="0" xfId="44" applyFont="1" applyAlignment="1">
      <alignment horizontal="center" vertical="center"/>
    </xf>
    <xf numFmtId="0" fontId="0" fillId="43" borderId="0" xfId="0" applyFill="1" applyAlignment="1">
      <alignment horizontal="center"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3" builtinId="8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6A46E0-CD2C-41DC-8F34-FEEF81A08CDF}" autoFormatId="16" applyNumberFormats="0" applyBorderFormats="0" applyFontFormats="0" applyPatternFormats="0" applyAlignmentFormats="0" applyWidthHeightFormats="0">
  <queryTableRefresh nextId="7">
    <queryTableFields count="6">
      <queryTableField id="1" name="연구 사용 가능 스탯" tableColumnId="1"/>
      <queryTableField id="2" name="고대 사용 가능" tableColumnId="2"/>
      <queryTableField id="3" name="고대 스탯합" tableColumnId="3"/>
      <queryTableField id="4" name="중세 사용 가능" tableColumnId="4"/>
      <queryTableField id="5" name="중세 스탯합" tableColumnId="5"/>
      <queryTableField id="6" name="MAX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4859A-B9FC-49FA-8836-0EC79B207256}" name="_______________" displayName="_______________" ref="A1:F39" tableType="queryTable" totalsRowShown="0">
  <autoFilter ref="A1:F39" xr:uid="{E4E4859A-B9FC-49FA-8836-0EC79B207256}"/>
  <tableColumns count="6">
    <tableColumn id="1" xr3:uid="{7C306837-1F3B-43BF-A7FA-9E1CE098D35F}" uniqueName="1" name="연구 사용 가능 스탯" queryTableFieldId="1" dataDxfId="0"/>
    <tableColumn id="2" xr3:uid="{42A0F5B7-90BC-489B-A451-50BFDD0D2574}" uniqueName="2" name="고대 사용 가능" queryTableFieldId="2"/>
    <tableColumn id="3" xr3:uid="{F65FA9EE-59A7-4358-85F9-E59AEEDB6BEE}" uniqueName="3" name="고대 스탯합" queryTableFieldId="3"/>
    <tableColumn id="4" xr3:uid="{480D31A1-76D5-4D9F-9927-04E100CA2B30}" uniqueName="4" name="중세 사용 가능" queryTableFieldId="4"/>
    <tableColumn id="5" xr3:uid="{E2068C2D-8760-473A-9BDC-5F50BAF89D63}" uniqueName="5" name="중세 스탯합" queryTableFieldId="5"/>
    <tableColumn id="6" xr3:uid="{34D03E72-649C-44B0-9408-E5BAE6BC506A}" uniqueName="6" name="MAX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../&#50641;&#49472;/&#48372;&#49828;&#52404;&#47141;%20&#45936;&#51060;&#53552;.xlsm" TargetMode="External"/><Relationship Id="rId13" Type="http://schemas.openxmlformats.org/officeDocument/2006/relationships/hyperlink" Target="../../&#50641;&#49472;/&#48372;&#49828;&#52404;&#47141;%20&#45936;&#51060;&#53552;.xlsm" TargetMode="External"/><Relationship Id="rId3" Type="http://schemas.openxmlformats.org/officeDocument/2006/relationships/hyperlink" Target="../../&#50641;&#49472;/&#48372;&#49828;&#52404;&#47141;%20&#45936;&#51060;&#53552;.xlsm" TargetMode="External"/><Relationship Id="rId7" Type="http://schemas.openxmlformats.org/officeDocument/2006/relationships/hyperlink" Target="../../&#50641;&#49472;/&#48372;&#49828;&#52404;&#47141;%20&#45936;&#51060;&#53552;.xlsm" TargetMode="External"/><Relationship Id="rId12" Type="http://schemas.openxmlformats.org/officeDocument/2006/relationships/hyperlink" Target="../../&#50641;&#49472;/&#48372;&#49828;&#52404;&#47141;%20&#45936;&#51060;&#53552;.xlsm" TargetMode="External"/><Relationship Id="rId2" Type="http://schemas.openxmlformats.org/officeDocument/2006/relationships/hyperlink" Target="../../&#50641;&#49472;/&#48372;&#49828;&#52404;&#47141;%20&#45936;&#51060;&#53552;.xlsm" TargetMode="External"/><Relationship Id="rId1" Type="http://schemas.openxmlformats.org/officeDocument/2006/relationships/hyperlink" Target="../../&#50641;&#49472;/&#48372;&#49828;&#52404;&#47141;%20&#45936;&#51060;&#53552;(1)&#51032;%20&#48373;&#49324;&#48376;.xlsm" TargetMode="External"/><Relationship Id="rId6" Type="http://schemas.openxmlformats.org/officeDocument/2006/relationships/hyperlink" Target="../../&#50641;&#49472;/&#48372;&#49828;&#52404;&#47141;%20&#45936;&#51060;&#53552;.xlsm" TargetMode="External"/><Relationship Id="rId11" Type="http://schemas.openxmlformats.org/officeDocument/2006/relationships/hyperlink" Target="../../&#50641;&#49472;/&#48372;&#49828;&#52404;&#47141;%20&#45936;&#51060;&#53552;.xlsm" TargetMode="External"/><Relationship Id="rId5" Type="http://schemas.openxmlformats.org/officeDocument/2006/relationships/hyperlink" Target="../../&#50641;&#49472;/&#48372;&#49828;&#52404;&#47141;%20&#45936;&#51060;&#53552;.xlsm" TargetMode="External"/><Relationship Id="rId15" Type="http://schemas.openxmlformats.org/officeDocument/2006/relationships/hyperlink" Target="../../&#50641;&#49472;/&#48372;&#49828;&#52404;&#47141;%20&#45936;&#51060;&#53552;.xlsm" TargetMode="External"/><Relationship Id="rId10" Type="http://schemas.openxmlformats.org/officeDocument/2006/relationships/hyperlink" Target="../../&#50641;&#49472;/&#48372;&#49828;&#52404;&#47141;%20&#45936;&#51060;&#53552;.xlsm" TargetMode="External"/><Relationship Id="rId4" Type="http://schemas.openxmlformats.org/officeDocument/2006/relationships/hyperlink" Target="../../&#50641;&#49472;/&#48372;&#49828;&#52404;&#47141;%20&#45936;&#51060;&#53552;.xlsm" TargetMode="External"/><Relationship Id="rId9" Type="http://schemas.openxmlformats.org/officeDocument/2006/relationships/hyperlink" Target="../../&#50641;&#49472;/&#48372;&#49828;&#52404;&#47141;%20&#45936;&#51060;&#53552;.xlsm" TargetMode="External"/><Relationship Id="rId14" Type="http://schemas.openxmlformats.org/officeDocument/2006/relationships/hyperlink" Target="../../&#50641;&#49472;/&#48372;&#49828;&#52404;&#47141;%20&#45936;&#51060;&#53552;.xls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../&#50641;&#49472;/&#48372;&#49828;&#52404;&#47141;%20&#45936;&#51060;&#53552;.xlsm" TargetMode="External"/><Relationship Id="rId13" Type="http://schemas.openxmlformats.org/officeDocument/2006/relationships/hyperlink" Target="../../&#50641;&#49472;/&#48372;&#49828;&#52404;&#47141;%20&#45936;&#51060;&#53552;.xlsm" TargetMode="External"/><Relationship Id="rId3" Type="http://schemas.openxmlformats.org/officeDocument/2006/relationships/hyperlink" Target="../../&#50641;&#49472;/&#48372;&#49828;&#52404;&#47141;%20&#45936;&#51060;&#53552;.xlsm" TargetMode="External"/><Relationship Id="rId7" Type="http://schemas.openxmlformats.org/officeDocument/2006/relationships/hyperlink" Target="../../&#50641;&#49472;/&#48372;&#49828;&#52404;&#47141;%20&#45936;&#51060;&#53552;.xlsm" TargetMode="External"/><Relationship Id="rId12" Type="http://schemas.openxmlformats.org/officeDocument/2006/relationships/hyperlink" Target="../../&#50641;&#49472;/&#48372;&#49828;&#52404;&#47141;%20&#45936;&#51060;&#53552;.xlsm" TargetMode="External"/><Relationship Id="rId17" Type="http://schemas.openxmlformats.org/officeDocument/2006/relationships/hyperlink" Target="../../&#50641;&#49472;/&#48372;&#49828;&#52404;&#47141;%20&#45936;&#51060;&#53552;.xlsm" TargetMode="External"/><Relationship Id="rId2" Type="http://schemas.openxmlformats.org/officeDocument/2006/relationships/hyperlink" Target="../../&#50641;&#49472;/&#48372;&#49828;&#52404;&#47141;%20&#45936;&#51060;&#53552;.xlsm" TargetMode="External"/><Relationship Id="rId16" Type="http://schemas.openxmlformats.org/officeDocument/2006/relationships/hyperlink" Target="../../&#50641;&#49472;/&#48372;&#49828;&#52404;&#47141;%20&#45936;&#51060;&#53552;.xlsm" TargetMode="External"/><Relationship Id="rId1" Type="http://schemas.openxmlformats.org/officeDocument/2006/relationships/hyperlink" Target="../../&#50641;&#49472;/&#48372;&#49828;&#52404;&#47141;%20&#45936;&#51060;&#53552;.xlsm" TargetMode="External"/><Relationship Id="rId6" Type="http://schemas.openxmlformats.org/officeDocument/2006/relationships/hyperlink" Target="../../&#50641;&#49472;/&#48372;&#49828;&#52404;&#47141;%20&#45936;&#51060;&#53552;.xlsm" TargetMode="External"/><Relationship Id="rId11" Type="http://schemas.openxmlformats.org/officeDocument/2006/relationships/hyperlink" Target="../../&#50641;&#49472;/&#48372;&#49828;&#52404;&#47141;%20&#45936;&#51060;&#53552;.xlsm" TargetMode="External"/><Relationship Id="rId5" Type="http://schemas.openxmlformats.org/officeDocument/2006/relationships/hyperlink" Target="../../&#50641;&#49472;/&#48372;&#49828;&#52404;&#47141;%20&#45936;&#51060;&#53552;.xlsm" TargetMode="External"/><Relationship Id="rId15" Type="http://schemas.openxmlformats.org/officeDocument/2006/relationships/hyperlink" Target="../../&#50641;&#49472;/&#48372;&#49828;&#52404;&#47141;%20&#45936;&#51060;&#53552;.xlsm" TargetMode="External"/><Relationship Id="rId10" Type="http://schemas.openxmlformats.org/officeDocument/2006/relationships/hyperlink" Target="../../&#50641;&#49472;/&#48372;&#49828;&#52404;&#47141;%20&#45936;&#51060;&#53552;.xlsm" TargetMode="External"/><Relationship Id="rId4" Type="http://schemas.openxmlformats.org/officeDocument/2006/relationships/hyperlink" Target="../../&#50641;&#49472;/&#48372;&#49828;&#52404;&#47141;%20&#45936;&#51060;&#53552;.xlsm" TargetMode="External"/><Relationship Id="rId9" Type="http://schemas.openxmlformats.org/officeDocument/2006/relationships/hyperlink" Target="../../&#50641;&#49472;/&#48372;&#49828;&#52404;&#47141;%20&#45936;&#51060;&#53552;.xlsm" TargetMode="External"/><Relationship Id="rId14" Type="http://schemas.openxmlformats.org/officeDocument/2006/relationships/hyperlink" Target="../../&#50641;&#49472;/&#48372;&#49828;&#52404;&#47141;%20&#45936;&#51060;&#53552;.xls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D238-7C96-4C25-BC68-EB8D10F51535}">
  <sheetPr codeName="Sheet1"/>
  <dimension ref="A1:AA6024"/>
  <sheetViews>
    <sheetView zoomScaleNormal="100" workbookViewId="0">
      <selection activeCell="D741" sqref="D741"/>
    </sheetView>
  </sheetViews>
  <sheetFormatPr defaultRowHeight="16.5"/>
  <cols>
    <col min="1" max="1" width="8.625" bestFit="1" customWidth="1"/>
    <col min="2" max="2" width="10.375" bestFit="1" customWidth="1"/>
    <col min="3" max="3" width="10.375" customWidth="1"/>
    <col min="4" max="6" width="10.375" bestFit="1" customWidth="1"/>
    <col min="7" max="8" width="10.375" customWidth="1"/>
    <col min="9" max="11" width="10.375" bestFit="1" customWidth="1"/>
    <col min="12" max="12" width="12.75" bestFit="1" customWidth="1"/>
    <col min="14" max="14" width="11" bestFit="1" customWidth="1"/>
    <col min="15" max="15" width="9.875" bestFit="1" customWidth="1"/>
    <col min="21" max="21" width="11" bestFit="1" customWidth="1"/>
  </cols>
  <sheetData>
    <row r="1" spans="1:27">
      <c r="A1" s="53" t="s">
        <v>231</v>
      </c>
      <c r="B1" s="53"/>
      <c r="C1" s="22"/>
      <c r="D1" s="54" t="s">
        <v>588</v>
      </c>
      <c r="E1" s="54"/>
      <c r="F1" s="54"/>
      <c r="G1" s="49"/>
      <c r="H1" s="49"/>
      <c r="I1" s="55" t="s">
        <v>591</v>
      </c>
      <c r="J1" s="55"/>
      <c r="K1" s="55"/>
      <c r="Q1" t="s">
        <v>16</v>
      </c>
      <c r="S1" t="s">
        <v>588</v>
      </c>
      <c r="V1" t="s">
        <v>16</v>
      </c>
      <c r="X1" t="s">
        <v>591</v>
      </c>
      <c r="AA1" t="s">
        <v>16</v>
      </c>
    </row>
    <row r="2" spans="1:27">
      <c r="A2" t="s">
        <v>589</v>
      </c>
      <c r="B2" t="s">
        <v>157</v>
      </c>
      <c r="D2" s="18" t="s">
        <v>589</v>
      </c>
      <c r="E2" s="18" t="s">
        <v>157</v>
      </c>
      <c r="F2" s="18" t="s">
        <v>590</v>
      </c>
      <c r="G2" s="18"/>
      <c r="H2" s="18"/>
      <c r="I2" s="19" t="s">
        <v>589</v>
      </c>
      <c r="J2" s="19" t="s">
        <v>157</v>
      </c>
      <c r="K2" s="19" t="s">
        <v>590</v>
      </c>
      <c r="N2" s="18">
        <v>563</v>
      </c>
      <c r="O2" s="2" t="s">
        <v>10</v>
      </c>
      <c r="P2" s="2" cm="1">
        <f t="array" aca="1" ref="P2" ca="1">INDIRECT("b" &amp; (N2+2))</f>
        <v>1.2250000000000001E+37</v>
      </c>
      <c r="Q2" s="5">
        <f ca="1">P2/P$2</f>
        <v>1</v>
      </c>
      <c r="S2" s="18">
        <v>123</v>
      </c>
      <c r="T2" s="2" t="s">
        <v>10</v>
      </c>
      <c r="U2" s="2" cm="1">
        <f t="array" aca="1" ref="U2" ca="1">INDIRECT("d" &amp; (S2+2))</f>
        <v>123</v>
      </c>
      <c r="V2" s="5">
        <f t="shared" ref="V2:V65" ca="1" si="0">U2/U$2</f>
        <v>1</v>
      </c>
      <c r="X2" s="18">
        <v>563</v>
      </c>
      <c r="Y2" s="2" t="s">
        <v>10</v>
      </c>
      <c r="Z2" s="2" cm="1">
        <f t="array" aca="1" ref="Z2" ca="1">INDIRECT("b" &amp; (X2+2))</f>
        <v>1.2250000000000001E+37</v>
      </c>
      <c r="AA2" s="5">
        <f ca="1">Z2/Z$2</f>
        <v>1</v>
      </c>
    </row>
    <row r="3" spans="1:27">
      <c r="A3">
        <v>1</v>
      </c>
      <c r="B3">
        <v>50</v>
      </c>
      <c r="D3" s="18">
        <v>1</v>
      </c>
      <c r="E3" s="18" cm="1">
        <f t="array" aca="1" ref="E3" ca="1">INDIRECT("b"&amp;F3+2)</f>
        <v>9.0000000000000012E+28</v>
      </c>
      <c r="F3" s="18">
        <f t="shared" ref="F3:F34" si="1">INT((A3-1)*1.333333+400)</f>
        <v>400</v>
      </c>
      <c r="G3" s="18"/>
      <c r="H3" s="18"/>
      <c r="I3" s="19">
        <v>1</v>
      </c>
      <c r="J3" s="19" cm="1">
        <f t="array" aca="1" ref="J3" ca="1">INDIRECT("b"&amp;K3+2)</f>
        <v>9.5500000000000001E+61</v>
      </c>
      <c r="K3" s="19">
        <f>INT((A3-1)*40/30+900*40/30)+400</f>
        <v>1600</v>
      </c>
      <c r="N3" s="18">
        <v>564</v>
      </c>
      <c r="O3" s="18"/>
      <c r="P3" s="2" cm="1">
        <f t="array" aca="1" ref="P3" ca="1">INDIRECT("b" &amp; (N3+2))</f>
        <v>1.4499999999999999E+37</v>
      </c>
      <c r="Q3" s="5">
        <f t="shared" ref="Q3:Q66" ca="1" si="2">P3/$P$2</f>
        <v>1.1836734693877549</v>
      </c>
      <c r="S3" s="18">
        <v>124</v>
      </c>
      <c r="T3" s="18"/>
      <c r="U3" s="2" cm="1">
        <f t="array" aca="1" ref="U3" ca="1">INDIRECT("d" &amp; (S3+2))</f>
        <v>124</v>
      </c>
      <c r="V3" s="5">
        <f t="shared" ca="1" si="0"/>
        <v>1.0081300813008129</v>
      </c>
      <c r="W3">
        <v>1</v>
      </c>
      <c r="X3" s="18">
        <v>564</v>
      </c>
      <c r="Y3" s="18"/>
      <c r="Z3" s="2" cm="1">
        <f t="array" aca="1" ref="Z3" ca="1">INDIRECT("b" &amp; (X3+2))</f>
        <v>1.4499999999999999E+37</v>
      </c>
      <c r="AA3" s="5">
        <f t="shared" ref="AA3:AA66" ca="1" si="3">Z3/$P$2</f>
        <v>1.1836734693877549</v>
      </c>
    </row>
    <row r="4" spans="1:27">
      <c r="A4">
        <v>2</v>
      </c>
      <c r="B4">
        <v>80</v>
      </c>
      <c r="D4" s="18">
        <v>2</v>
      </c>
      <c r="E4" s="18" cm="1">
        <f t="array" aca="1" ref="E4" ca="1">INDIRECT("b"&amp;F4+2)</f>
        <v>9.4999999999999993E+28</v>
      </c>
      <c r="F4" s="18">
        <f t="shared" si="1"/>
        <v>401</v>
      </c>
      <c r="G4" s="18"/>
      <c r="H4" s="18"/>
      <c r="I4" s="19">
        <v>2</v>
      </c>
      <c r="J4" s="19" cm="1">
        <f t="array" aca="1" ref="J4" ca="1">INDIRECT("b"&amp;K4+2)</f>
        <v>9.7749999999999997E+61</v>
      </c>
      <c r="K4" s="19">
        <f t="shared" ref="K4:K67" si="4">INT((A4-1)*40/30+900*40/30)+400</f>
        <v>1601</v>
      </c>
      <c r="N4" s="18">
        <v>565</v>
      </c>
      <c r="O4" s="18"/>
      <c r="P4" s="2" cm="1">
        <f t="array" aca="1" ref="P4" ca="1">INDIRECT("b" &amp; (N4+2))</f>
        <v>1.6749999999999999E+37</v>
      </c>
      <c r="Q4" s="5">
        <f t="shared" ca="1" si="2"/>
        <v>1.3673469387755099</v>
      </c>
      <c r="S4" s="18">
        <v>125</v>
      </c>
      <c r="T4" s="18"/>
      <c r="U4" s="2" cm="1">
        <f t="array" aca="1" ref="U4" ca="1">INDIRECT("d" &amp; (S4+2))</f>
        <v>125</v>
      </c>
      <c r="V4" s="5">
        <f t="shared" ca="1" si="0"/>
        <v>1.0162601626016261</v>
      </c>
      <c r="W4">
        <v>2</v>
      </c>
      <c r="X4" s="18">
        <v>565</v>
      </c>
      <c r="Y4" s="18"/>
      <c r="Z4" s="2" cm="1">
        <f t="array" aca="1" ref="Z4" ca="1">INDIRECT("b" &amp; (X4+2))</f>
        <v>1.6749999999999999E+37</v>
      </c>
      <c r="AA4" s="5">
        <f t="shared" ca="1" si="3"/>
        <v>1.3673469387755099</v>
      </c>
    </row>
    <row r="5" spans="1:27">
      <c r="A5">
        <v>3</v>
      </c>
      <c r="B5">
        <v>120</v>
      </c>
      <c r="D5" s="18">
        <v>3</v>
      </c>
      <c r="E5" s="18" cm="1">
        <f t="array" aca="1" ref="E5" ca="1">INDIRECT("b"&amp;F5+2)</f>
        <v>9.9999999999999991E+28</v>
      </c>
      <c r="F5" s="18">
        <f t="shared" si="1"/>
        <v>402</v>
      </c>
      <c r="G5" s="18"/>
      <c r="H5" s="18"/>
      <c r="I5" s="19">
        <v>3</v>
      </c>
      <c r="J5" s="19" cm="1">
        <f t="array" aca="1" ref="J5" ca="1">INDIRECT("b"&amp;K5+2)</f>
        <v>1E+62</v>
      </c>
      <c r="K5" s="19">
        <f t="shared" si="4"/>
        <v>1602</v>
      </c>
      <c r="N5" s="18">
        <v>566</v>
      </c>
      <c r="O5" s="18"/>
      <c r="P5" s="2" cm="1">
        <f t="array" aca="1" ref="P5" ca="1">INDIRECT("b" &amp; (N5+2))</f>
        <v>1.9000000000000002E+37</v>
      </c>
      <c r="Q5" s="5">
        <f t="shared" ca="1" si="2"/>
        <v>1.5510204081632653</v>
      </c>
      <c r="S5" s="18">
        <v>126</v>
      </c>
      <c r="T5" s="18"/>
      <c r="U5" s="2" cm="1">
        <f t="array" aca="1" ref="U5" ca="1">INDIRECT("d" &amp; (S5+2))</f>
        <v>126</v>
      </c>
      <c r="V5" s="5">
        <f t="shared" ca="1" si="0"/>
        <v>1.024390243902439</v>
      </c>
      <c r="W5">
        <v>3</v>
      </c>
      <c r="X5" s="18">
        <v>566</v>
      </c>
      <c r="Y5" s="18"/>
      <c r="Z5" s="2" cm="1">
        <f t="array" aca="1" ref="Z5" ca="1">INDIRECT("b" &amp; (X5+2))</f>
        <v>1.9000000000000002E+37</v>
      </c>
      <c r="AA5" s="5">
        <f t="shared" ca="1" si="3"/>
        <v>1.5510204081632653</v>
      </c>
    </row>
    <row r="6" spans="1:27">
      <c r="A6">
        <v>4</v>
      </c>
      <c r="B6">
        <v>300</v>
      </c>
      <c r="D6" s="18">
        <v>4</v>
      </c>
      <c r="E6" s="18" cm="1">
        <f t="array" aca="1" ref="E6" ca="1">INDIRECT("b"&amp;F6+2)</f>
        <v>1.0500000000000001E+29</v>
      </c>
      <c r="F6" s="18">
        <f t="shared" si="1"/>
        <v>403</v>
      </c>
      <c r="G6" s="18"/>
      <c r="H6" s="18"/>
      <c r="I6" s="19">
        <v>4</v>
      </c>
      <c r="J6" s="19" cm="1">
        <f t="array" aca="1" ref="J6" ca="1">INDIRECT("b"&amp;K6+2)</f>
        <v>1.4500000000000001E+62</v>
      </c>
      <c r="K6" s="19">
        <f t="shared" si="4"/>
        <v>1604</v>
      </c>
      <c r="N6" s="18">
        <v>567</v>
      </c>
      <c r="O6" s="18"/>
      <c r="P6" s="2" cm="1">
        <f t="array" aca="1" ref="P6" ca="1">INDIRECT("b" &amp; (N6+2))</f>
        <v>2.125E+37</v>
      </c>
      <c r="Q6" s="5">
        <f t="shared" ca="1" si="2"/>
        <v>1.7346938775510203</v>
      </c>
      <c r="S6" s="18">
        <v>127</v>
      </c>
      <c r="T6" s="18"/>
      <c r="U6" s="2" cm="1">
        <f t="array" aca="1" ref="U6" ca="1">INDIRECT("d" &amp; (S6+2))</f>
        <v>127</v>
      </c>
      <c r="V6" s="5">
        <f t="shared" ca="1" si="0"/>
        <v>1.032520325203252</v>
      </c>
      <c r="W6">
        <v>4</v>
      </c>
      <c r="X6" s="18">
        <v>567</v>
      </c>
      <c r="Y6" s="18"/>
      <c r="Z6" s="2" cm="1">
        <f t="array" aca="1" ref="Z6" ca="1">INDIRECT("b" &amp; (X6+2))</f>
        <v>2.125E+37</v>
      </c>
      <c r="AA6" s="5">
        <f t="shared" ca="1" si="3"/>
        <v>1.7346938775510203</v>
      </c>
    </row>
    <row r="7" spans="1:27">
      <c r="A7">
        <v>5</v>
      </c>
      <c r="B7">
        <v>700</v>
      </c>
      <c r="D7" s="18">
        <v>5</v>
      </c>
      <c r="E7" s="18" cm="1">
        <f t="array" aca="1" ref="E7" ca="1">INDIRECT("b"&amp;F7+2)</f>
        <v>1.5E+29</v>
      </c>
      <c r="F7" s="18">
        <f t="shared" si="1"/>
        <v>405</v>
      </c>
      <c r="G7" s="18"/>
      <c r="H7" s="18"/>
      <c r="I7" s="19">
        <v>5</v>
      </c>
      <c r="J7" s="19" cm="1">
        <f t="array" aca="1" ref="J7" ca="1">INDIRECT("b"&amp;K7+2)</f>
        <v>1.6750000000000001E+62</v>
      </c>
      <c r="K7" s="19">
        <f t="shared" si="4"/>
        <v>1605</v>
      </c>
      <c r="N7" s="18">
        <v>568</v>
      </c>
      <c r="O7" s="18"/>
      <c r="P7" s="2" cm="1">
        <f t="array" aca="1" ref="P7" ca="1">INDIRECT("b" &amp; (N7+2))</f>
        <v>2.3500000000000002E+37</v>
      </c>
      <c r="Q7" s="5">
        <f t="shared" ca="1" si="2"/>
        <v>1.9183673469387756</v>
      </c>
      <c r="S7" s="18">
        <v>128</v>
      </c>
      <c r="T7" s="18"/>
      <c r="U7" s="2" cm="1">
        <f t="array" aca="1" ref="U7" ca="1">INDIRECT("d" &amp; (S7+2))</f>
        <v>128</v>
      </c>
      <c r="V7" s="5">
        <f t="shared" ca="1" si="0"/>
        <v>1.0406504065040652</v>
      </c>
      <c r="W7" s="4">
        <v>5</v>
      </c>
      <c r="X7" s="18">
        <v>568</v>
      </c>
      <c r="Y7" s="18"/>
      <c r="Z7" s="2" cm="1">
        <f t="array" aca="1" ref="Z7" ca="1">INDIRECT("b" &amp; (X7+2))</f>
        <v>2.3500000000000002E+37</v>
      </c>
      <c r="AA7" s="5">
        <f t="shared" ca="1" si="3"/>
        <v>1.9183673469387756</v>
      </c>
    </row>
    <row r="8" spans="1:27">
      <c r="A8">
        <v>6</v>
      </c>
      <c r="B8">
        <v>3000</v>
      </c>
      <c r="D8" s="18">
        <v>6</v>
      </c>
      <c r="E8" s="18" cm="1">
        <f t="array" aca="1" ref="E8" ca="1">INDIRECT("b"&amp;F8+2)</f>
        <v>1.9999999999999998E+29</v>
      </c>
      <c r="F8" s="18">
        <f t="shared" si="1"/>
        <v>406</v>
      </c>
      <c r="G8" s="18"/>
      <c r="H8" s="18"/>
      <c r="I8" s="19">
        <v>6</v>
      </c>
      <c r="J8" s="19" cm="1">
        <f t="array" aca="1" ref="J8" ca="1">INDIRECT("b"&amp;K8+2)</f>
        <v>1.9000000000000001E+62</v>
      </c>
      <c r="K8" s="19">
        <f t="shared" si="4"/>
        <v>1606</v>
      </c>
      <c r="N8" s="18">
        <v>569</v>
      </c>
      <c r="O8" s="18"/>
      <c r="P8" s="2" cm="1">
        <f t="array" aca="1" ref="P8" ca="1">INDIRECT("b" &amp; (N8+2))</f>
        <v>2.5749999999999998E+37</v>
      </c>
      <c r="Q8" s="5">
        <f t="shared" ca="1" si="2"/>
        <v>2.1020408163265301</v>
      </c>
      <c r="S8" s="18">
        <v>129</v>
      </c>
      <c r="T8" s="18"/>
      <c r="U8" s="2" cm="1">
        <f t="array" aca="1" ref="U8" ca="1">INDIRECT("d" &amp; (S8+2))</f>
        <v>129</v>
      </c>
      <c r="V8" s="5">
        <f t="shared" ca="1" si="0"/>
        <v>1.0487804878048781</v>
      </c>
      <c r="W8">
        <v>6</v>
      </c>
      <c r="X8" s="18">
        <v>569</v>
      </c>
      <c r="Y8" s="18"/>
      <c r="Z8" s="2" cm="1">
        <f t="array" aca="1" ref="Z8" ca="1">INDIRECT("b" &amp; (X8+2))</f>
        <v>2.5749999999999998E+37</v>
      </c>
      <c r="AA8" s="5">
        <f t="shared" ca="1" si="3"/>
        <v>2.1020408163265301</v>
      </c>
    </row>
    <row r="9" spans="1:27">
      <c r="A9">
        <v>7</v>
      </c>
      <c r="B9">
        <v>5000</v>
      </c>
      <c r="D9" s="18">
        <v>7</v>
      </c>
      <c r="E9" s="18" cm="1">
        <f t="array" aca="1" ref="E9" ca="1">INDIRECT("b"&amp;F9+2)</f>
        <v>2.5000000000000004E+29</v>
      </c>
      <c r="F9" s="18">
        <f t="shared" si="1"/>
        <v>407</v>
      </c>
      <c r="G9" s="18"/>
      <c r="H9" s="18"/>
      <c r="I9" s="19">
        <v>7</v>
      </c>
      <c r="J9" s="19" cm="1">
        <f t="array" aca="1" ref="J9" ca="1">INDIRECT("b"&amp;K9+2)</f>
        <v>2.3500000000000001E+62</v>
      </c>
      <c r="K9" s="19">
        <f t="shared" si="4"/>
        <v>1608</v>
      </c>
      <c r="N9" s="18">
        <v>570</v>
      </c>
      <c r="O9" s="18"/>
      <c r="P9" s="2" cm="1">
        <f t="array" aca="1" ref="P9" ca="1">INDIRECT("b" &amp; (N9+2))</f>
        <v>2.8000000000000003E+37</v>
      </c>
      <c r="Q9" s="5">
        <f t="shared" ca="1" si="2"/>
        <v>2.2857142857142856</v>
      </c>
      <c r="S9" s="18">
        <v>130</v>
      </c>
      <c r="T9" s="18"/>
      <c r="U9" s="2" cm="1">
        <f t="array" aca="1" ref="U9" ca="1">INDIRECT("d" &amp; (S9+2))</f>
        <v>130</v>
      </c>
      <c r="V9" s="5">
        <f t="shared" ca="1" si="0"/>
        <v>1.056910569105691</v>
      </c>
      <c r="W9">
        <v>7</v>
      </c>
      <c r="X9" s="18">
        <v>570</v>
      </c>
      <c r="Y9" s="18"/>
      <c r="Z9" s="2" cm="1">
        <f t="array" aca="1" ref="Z9" ca="1">INDIRECT("b" &amp; (X9+2))</f>
        <v>2.8000000000000003E+37</v>
      </c>
      <c r="AA9" s="5">
        <f t="shared" ca="1" si="3"/>
        <v>2.2857142857142856</v>
      </c>
    </row>
    <row r="10" spans="1:27">
      <c r="A10">
        <v>8</v>
      </c>
      <c r="B10">
        <v>7000</v>
      </c>
      <c r="D10" s="18">
        <v>8</v>
      </c>
      <c r="E10" s="18" cm="1">
        <f t="array" aca="1" ref="E10" ca="1">INDIRECT("b"&amp;F10+2)</f>
        <v>3.5000000000000005E+29</v>
      </c>
      <c r="F10" s="18">
        <f t="shared" si="1"/>
        <v>409</v>
      </c>
      <c r="G10" s="18"/>
      <c r="H10" s="18"/>
      <c r="I10" s="19">
        <v>8</v>
      </c>
      <c r="J10" s="19" cm="1">
        <f t="array" aca="1" ref="J10" ca="1">INDIRECT("b"&amp;K10+2)</f>
        <v>2.5750000000000004E+62</v>
      </c>
      <c r="K10" s="19">
        <f t="shared" si="4"/>
        <v>1609</v>
      </c>
      <c r="N10" s="18">
        <v>571</v>
      </c>
      <c r="O10" s="18"/>
      <c r="P10" s="2" cm="1">
        <f t="array" aca="1" ref="P10" ca="1">INDIRECT("b" &amp; (N10+2))</f>
        <v>3.0249999999999999E+37</v>
      </c>
      <c r="Q10" s="5">
        <f t="shared" ca="1" si="2"/>
        <v>2.4693877551020407</v>
      </c>
      <c r="S10" s="18">
        <v>131</v>
      </c>
      <c r="T10" s="18"/>
      <c r="U10" s="2" cm="1">
        <f t="array" aca="1" ref="U10" ca="1">INDIRECT("d" &amp; (S10+2))</f>
        <v>131</v>
      </c>
      <c r="V10" s="5">
        <f t="shared" ca="1" si="0"/>
        <v>1.065040650406504</v>
      </c>
      <c r="W10">
        <v>8</v>
      </c>
      <c r="X10" s="18">
        <v>571</v>
      </c>
      <c r="Y10" s="18"/>
      <c r="Z10" s="2" cm="1">
        <f t="array" aca="1" ref="Z10" ca="1">INDIRECT("b" &amp; (X10+2))</f>
        <v>3.0249999999999999E+37</v>
      </c>
      <c r="AA10" s="5">
        <f t="shared" ca="1" si="3"/>
        <v>2.4693877551020407</v>
      </c>
    </row>
    <row r="11" spans="1:27">
      <c r="A11">
        <v>9</v>
      </c>
      <c r="B11">
        <v>9000</v>
      </c>
      <c r="D11" s="18">
        <v>9</v>
      </c>
      <c r="E11" s="18" cm="1">
        <f t="array" aca="1" ref="E11" ca="1">INDIRECT("b"&amp;F11+2)</f>
        <v>3.9999999999999997E+29</v>
      </c>
      <c r="F11" s="18">
        <f t="shared" si="1"/>
        <v>410</v>
      </c>
      <c r="G11" s="18"/>
      <c r="H11" s="18"/>
      <c r="I11" s="19">
        <v>9</v>
      </c>
      <c r="J11" s="19" cm="1">
        <f t="array" aca="1" ref="J11" ca="1">INDIRECT("b"&amp;K11+2)</f>
        <v>2.8000000000000001E+62</v>
      </c>
      <c r="K11" s="19">
        <f t="shared" si="4"/>
        <v>1610</v>
      </c>
      <c r="N11" s="18">
        <v>572</v>
      </c>
      <c r="O11" s="18"/>
      <c r="P11" s="2" cm="1">
        <f t="array" aca="1" ref="P11" ca="1">INDIRECT("b" &amp; (N11+2))</f>
        <v>3.2499999999999999E+37</v>
      </c>
      <c r="Q11" s="5">
        <f t="shared" ca="1" si="2"/>
        <v>2.6530612244897958</v>
      </c>
      <c r="S11" s="18">
        <v>132</v>
      </c>
      <c r="T11" s="18"/>
      <c r="U11" s="2" cm="1">
        <f t="array" aca="1" ref="U11" ca="1">INDIRECT("d" &amp; (S11+2))</f>
        <v>132</v>
      </c>
      <c r="V11" s="5">
        <f t="shared" ca="1" si="0"/>
        <v>1.0731707317073171</v>
      </c>
      <c r="W11">
        <v>9</v>
      </c>
      <c r="X11" s="18">
        <v>572</v>
      </c>
      <c r="Y11" s="18"/>
      <c r="Z11" s="2" cm="1">
        <f t="array" aca="1" ref="Z11" ca="1">INDIRECT("b" &amp; (X11+2))</f>
        <v>3.2499999999999999E+37</v>
      </c>
      <c r="AA11" s="5">
        <f t="shared" ca="1" si="3"/>
        <v>2.6530612244897958</v>
      </c>
    </row>
    <row r="12" spans="1:27">
      <c r="A12">
        <v>10</v>
      </c>
      <c r="B12">
        <v>12000</v>
      </c>
      <c r="D12" s="18">
        <v>10</v>
      </c>
      <c r="E12" s="18" cm="1">
        <f t="array" aca="1" ref="E12" ca="1">INDIRECT("b"&amp;F12+2)</f>
        <v>4.5000000000000002E+29</v>
      </c>
      <c r="F12" s="18">
        <f t="shared" si="1"/>
        <v>411</v>
      </c>
      <c r="G12" s="18"/>
      <c r="H12" s="18"/>
      <c r="I12" s="19">
        <v>10</v>
      </c>
      <c r="J12" s="19" cm="1">
        <f t="array" aca="1" ref="J12" ca="1">INDIRECT("b"&amp;K12+2)</f>
        <v>3.2500000000000001E+62</v>
      </c>
      <c r="K12" s="19">
        <f t="shared" si="4"/>
        <v>1612</v>
      </c>
      <c r="N12" s="18">
        <v>573</v>
      </c>
      <c r="O12" s="18"/>
      <c r="P12" s="2" cm="1">
        <f t="array" aca="1" ref="P12" ca="1">INDIRECT("b" &amp; (N12+2))</f>
        <v>3.4750000000000004E+37</v>
      </c>
      <c r="Q12" s="5">
        <f t="shared" ca="1" si="2"/>
        <v>2.8367346938775513</v>
      </c>
      <c r="S12" s="18">
        <v>133</v>
      </c>
      <c r="T12" s="18"/>
      <c r="U12" s="2" cm="1">
        <f t="array" aca="1" ref="U12" ca="1">INDIRECT("d" &amp; (S12+2))</f>
        <v>133</v>
      </c>
      <c r="V12" s="5">
        <f t="shared" ca="1" si="0"/>
        <v>1.0813008130081301</v>
      </c>
      <c r="W12">
        <v>10</v>
      </c>
      <c r="X12" s="18">
        <v>573</v>
      </c>
      <c r="Y12" s="18"/>
      <c r="Z12" s="2" cm="1">
        <f t="array" aca="1" ref="Z12" ca="1">INDIRECT("b" &amp; (X12+2))</f>
        <v>3.4750000000000004E+37</v>
      </c>
      <c r="AA12" s="5">
        <f t="shared" ca="1" si="3"/>
        <v>2.8367346938775513</v>
      </c>
    </row>
    <row r="13" spans="1:27">
      <c r="A13">
        <v>11</v>
      </c>
      <c r="B13">
        <v>15000</v>
      </c>
      <c r="D13" s="18">
        <v>11</v>
      </c>
      <c r="E13" s="18" cm="1">
        <f t="array" aca="1" ref="E13" ca="1">INDIRECT("b"&amp;F13+2)</f>
        <v>5.5E+29</v>
      </c>
      <c r="F13" s="18">
        <f t="shared" si="1"/>
        <v>413</v>
      </c>
      <c r="G13" s="18"/>
      <c r="H13" s="18"/>
      <c r="I13" s="19">
        <v>11</v>
      </c>
      <c r="J13" s="19" cm="1">
        <f t="array" aca="1" ref="J13" ca="1">INDIRECT("b"&amp;K13+2)</f>
        <v>3.4750000000000004E+62</v>
      </c>
      <c r="K13" s="19">
        <f t="shared" si="4"/>
        <v>1613</v>
      </c>
      <c r="N13" s="18">
        <v>574</v>
      </c>
      <c r="O13" s="18"/>
      <c r="P13" s="2" cm="1">
        <f t="array" aca="1" ref="P13" ca="1">INDIRECT("b" &amp; (N13+2))</f>
        <v>3.6999999999999999E+37</v>
      </c>
      <c r="Q13" s="5">
        <f t="shared" ca="1" si="2"/>
        <v>3.0204081632653059</v>
      </c>
      <c r="S13" s="18">
        <v>134</v>
      </c>
      <c r="T13" s="18"/>
      <c r="U13" s="2" cm="1">
        <f t="array" aca="1" ref="U13" ca="1">INDIRECT("d" &amp; (S13+2))</f>
        <v>134</v>
      </c>
      <c r="V13" s="5">
        <f t="shared" ca="1" si="0"/>
        <v>1.089430894308943</v>
      </c>
      <c r="W13">
        <v>11</v>
      </c>
      <c r="X13" s="18">
        <v>574</v>
      </c>
      <c r="Y13" s="18"/>
      <c r="Z13" s="2" cm="1">
        <f t="array" aca="1" ref="Z13" ca="1">INDIRECT("b" &amp; (X13+2))</f>
        <v>3.6999999999999999E+37</v>
      </c>
      <c r="AA13" s="5">
        <f t="shared" ca="1" si="3"/>
        <v>3.0204081632653059</v>
      </c>
    </row>
    <row r="14" spans="1:27">
      <c r="A14">
        <v>12</v>
      </c>
      <c r="B14">
        <v>18000</v>
      </c>
      <c r="D14" s="18">
        <v>12</v>
      </c>
      <c r="E14" s="18" cm="1">
        <f t="array" aca="1" ref="E14" ca="1">INDIRECT("b"&amp;F14+2)</f>
        <v>5.9999999999999998E+29</v>
      </c>
      <c r="F14" s="18">
        <f t="shared" si="1"/>
        <v>414</v>
      </c>
      <c r="G14" s="18"/>
      <c r="H14" s="18"/>
      <c r="I14" s="19">
        <v>12</v>
      </c>
      <c r="J14" s="19" cm="1">
        <f t="array" aca="1" ref="J14" ca="1">INDIRECT("b"&amp;K14+2)</f>
        <v>3.7000000000000001E+62</v>
      </c>
      <c r="K14" s="19">
        <f t="shared" si="4"/>
        <v>1614</v>
      </c>
      <c r="N14" s="18">
        <v>575</v>
      </c>
      <c r="O14" s="18"/>
      <c r="P14" s="2" cm="1">
        <f t="array" aca="1" ref="P14" ca="1">INDIRECT("b" &amp; (N14+2))</f>
        <v>3.925E+37</v>
      </c>
      <c r="Q14" s="5">
        <f t="shared" ca="1" si="2"/>
        <v>3.204081632653061</v>
      </c>
      <c r="S14" s="18">
        <v>135</v>
      </c>
      <c r="T14" s="18"/>
      <c r="U14" s="2" cm="1">
        <f t="array" aca="1" ref="U14" ca="1">INDIRECT("d" &amp; (S14+2))</f>
        <v>135</v>
      </c>
      <c r="V14" s="5">
        <f t="shared" ca="1" si="0"/>
        <v>1.0975609756097562</v>
      </c>
      <c r="W14">
        <v>12</v>
      </c>
      <c r="X14" s="18">
        <v>575</v>
      </c>
      <c r="Y14" s="18"/>
      <c r="Z14" s="2" cm="1">
        <f t="array" aca="1" ref="Z14" ca="1">INDIRECT("b" &amp; (X14+2))</f>
        <v>3.925E+37</v>
      </c>
      <c r="AA14" s="5">
        <f t="shared" ca="1" si="3"/>
        <v>3.204081632653061</v>
      </c>
    </row>
    <row r="15" spans="1:27">
      <c r="A15">
        <v>13</v>
      </c>
      <c r="B15">
        <v>21000</v>
      </c>
      <c r="D15" s="18">
        <v>13</v>
      </c>
      <c r="E15" s="18" cm="1">
        <f t="array" aca="1" ref="E15" ca="1">INDIRECT("b"&amp;F15+2)</f>
        <v>6.4999999999999997E+29</v>
      </c>
      <c r="F15" s="18">
        <f t="shared" si="1"/>
        <v>415</v>
      </c>
      <c r="G15" s="18"/>
      <c r="H15" s="18"/>
      <c r="I15" s="19">
        <v>13</v>
      </c>
      <c r="J15" s="19" cm="1">
        <f t="array" aca="1" ref="J15" ca="1">INDIRECT("b"&amp;K15+2)</f>
        <v>4.1500000000000001E+62</v>
      </c>
      <c r="K15" s="19">
        <f t="shared" si="4"/>
        <v>1616</v>
      </c>
      <c r="N15" s="18">
        <v>576</v>
      </c>
      <c r="O15" s="18"/>
      <c r="P15" s="2" cm="1">
        <f t="array" aca="1" ref="P15" ca="1">INDIRECT("b" &amp; (N15+2))</f>
        <v>4.1500000000000005E+37</v>
      </c>
      <c r="Q15" s="5">
        <f t="shared" ca="1" si="2"/>
        <v>3.3877551020408165</v>
      </c>
      <c r="S15" s="18">
        <v>136</v>
      </c>
      <c r="T15" s="18"/>
      <c r="U15" s="2" cm="1">
        <f t="array" aca="1" ref="U15" ca="1">INDIRECT("d" &amp; (S15+2))</f>
        <v>136</v>
      </c>
      <c r="V15" s="5">
        <f t="shared" ca="1" si="0"/>
        <v>1.1056910569105691</v>
      </c>
      <c r="W15" s="4">
        <v>13</v>
      </c>
      <c r="X15" s="18">
        <v>576</v>
      </c>
      <c r="Y15" s="18"/>
      <c r="Z15" s="2" cm="1">
        <f t="array" aca="1" ref="Z15" ca="1">INDIRECT("b" &amp; (X15+2))</f>
        <v>4.1500000000000005E+37</v>
      </c>
      <c r="AA15" s="5">
        <f t="shared" ca="1" si="3"/>
        <v>3.3877551020408165</v>
      </c>
    </row>
    <row r="16" spans="1:27">
      <c r="A16">
        <v>14</v>
      </c>
      <c r="B16">
        <v>24000</v>
      </c>
      <c r="D16" s="18">
        <v>14</v>
      </c>
      <c r="E16" s="18" cm="1">
        <f t="array" aca="1" ref="E16" ca="1">INDIRECT("b"&amp;F16+2)</f>
        <v>7.4999999999999994E+29</v>
      </c>
      <c r="F16" s="18">
        <f t="shared" si="1"/>
        <v>417</v>
      </c>
      <c r="G16" s="18"/>
      <c r="H16" s="18"/>
      <c r="I16" s="19">
        <v>14</v>
      </c>
      <c r="J16" s="19" cm="1">
        <f t="array" aca="1" ref="J16" ca="1">INDIRECT("b"&amp;K16+2)</f>
        <v>4.3750000000000004E+62</v>
      </c>
      <c r="K16" s="19">
        <f t="shared" si="4"/>
        <v>1617</v>
      </c>
      <c r="N16" s="18">
        <v>577</v>
      </c>
      <c r="O16" s="18"/>
      <c r="P16" s="2" cm="1">
        <f t="array" aca="1" ref="P16" ca="1">INDIRECT("b" &amp; (N16+2))</f>
        <v>4.375E+37</v>
      </c>
      <c r="Q16" s="5">
        <f t="shared" ca="1" si="2"/>
        <v>3.5714285714285712</v>
      </c>
      <c r="S16" s="18">
        <v>137</v>
      </c>
      <c r="T16" s="18"/>
      <c r="U16" s="2" cm="1">
        <f t="array" aca="1" ref="U16" ca="1">INDIRECT("d" &amp; (S16+2))</f>
        <v>137</v>
      </c>
      <c r="V16" s="5">
        <f t="shared" ca="1" si="0"/>
        <v>1.1138211382113821</v>
      </c>
      <c r="W16">
        <v>14</v>
      </c>
      <c r="X16" s="18">
        <v>577</v>
      </c>
      <c r="Y16" s="18"/>
      <c r="Z16" s="2" cm="1">
        <f t="array" aca="1" ref="Z16" ca="1">INDIRECT("b" &amp; (X16+2))</f>
        <v>4.375E+37</v>
      </c>
      <c r="AA16" s="5">
        <f t="shared" ca="1" si="3"/>
        <v>3.5714285714285712</v>
      </c>
    </row>
    <row r="17" spans="1:27">
      <c r="A17">
        <v>15</v>
      </c>
      <c r="B17">
        <v>27000</v>
      </c>
      <c r="D17" s="18">
        <v>15</v>
      </c>
      <c r="E17" s="18" cm="1">
        <f t="array" aca="1" ref="E17" ca="1">INDIRECT("b"&amp;F17+2)</f>
        <v>7.9999999999999993E+29</v>
      </c>
      <c r="F17" s="18">
        <f t="shared" si="1"/>
        <v>418</v>
      </c>
      <c r="G17" s="18"/>
      <c r="H17" s="18"/>
      <c r="I17" s="19">
        <v>15</v>
      </c>
      <c r="J17" s="19" cm="1">
        <f t="array" aca="1" ref="J17" ca="1">INDIRECT("b"&amp;K17+2)</f>
        <v>4.6000000000000006E+62</v>
      </c>
      <c r="K17" s="19">
        <f t="shared" si="4"/>
        <v>1618</v>
      </c>
      <c r="N17" s="18">
        <v>578</v>
      </c>
      <c r="O17" s="18"/>
      <c r="P17" s="2" cm="1">
        <f t="array" aca="1" ref="P17" ca="1">INDIRECT("b" &amp; (N17+2))</f>
        <v>4.6E+37</v>
      </c>
      <c r="Q17" s="5">
        <f t="shared" ca="1" si="2"/>
        <v>3.7551020408163263</v>
      </c>
      <c r="S17" s="18">
        <v>138</v>
      </c>
      <c r="T17" s="18"/>
      <c r="U17" s="2" cm="1">
        <f t="array" aca="1" ref="U17" ca="1">INDIRECT("d" &amp; (S17+2))</f>
        <v>138</v>
      </c>
      <c r="V17" s="5">
        <f t="shared" ca="1" si="0"/>
        <v>1.1219512195121952</v>
      </c>
      <c r="W17">
        <v>15</v>
      </c>
      <c r="X17" s="18">
        <v>578</v>
      </c>
      <c r="Y17" s="18"/>
      <c r="Z17" s="2" cm="1">
        <f t="array" aca="1" ref="Z17" ca="1">INDIRECT("b" &amp; (X17+2))</f>
        <v>4.6E+37</v>
      </c>
      <c r="AA17" s="5">
        <f t="shared" ca="1" si="3"/>
        <v>3.7551020408163263</v>
      </c>
    </row>
    <row r="18" spans="1:27">
      <c r="A18">
        <v>16</v>
      </c>
      <c r="B18">
        <v>30000</v>
      </c>
      <c r="D18" s="18">
        <v>16</v>
      </c>
      <c r="E18" s="18" cm="1">
        <f t="array" aca="1" ref="E18" ca="1">INDIRECT("b"&amp;F18+2)</f>
        <v>8.4999999999999992E+29</v>
      </c>
      <c r="F18" s="18">
        <f t="shared" si="1"/>
        <v>419</v>
      </c>
      <c r="G18" s="18"/>
      <c r="H18" s="18"/>
      <c r="I18" s="19">
        <v>16</v>
      </c>
      <c r="J18" s="19" cm="1">
        <f t="array" aca="1" ref="J18" ca="1">INDIRECT("b"&amp;K18+2)</f>
        <v>5.0500000000000001E+62</v>
      </c>
      <c r="K18" s="19">
        <f t="shared" si="4"/>
        <v>1620</v>
      </c>
      <c r="N18" s="18">
        <v>579</v>
      </c>
      <c r="O18" s="18"/>
      <c r="P18" s="2" cm="1">
        <f t="array" aca="1" ref="P18" ca="1">INDIRECT("b" &amp; (N18+2))</f>
        <v>4.8250000000000001E+37</v>
      </c>
      <c r="Q18" s="5">
        <f t="shared" ca="1" si="2"/>
        <v>3.9387755102040813</v>
      </c>
      <c r="S18" s="18">
        <v>139</v>
      </c>
      <c r="T18" s="18"/>
      <c r="U18" s="2" cm="1">
        <f t="array" aca="1" ref="U18" ca="1">INDIRECT("d" &amp; (S18+2))</f>
        <v>139</v>
      </c>
      <c r="V18" s="5">
        <f t="shared" ca="1" si="0"/>
        <v>1.1300813008130082</v>
      </c>
      <c r="W18">
        <v>16</v>
      </c>
      <c r="X18" s="18">
        <v>579</v>
      </c>
      <c r="Y18" s="18"/>
      <c r="Z18" s="2" cm="1">
        <f t="array" aca="1" ref="Z18" ca="1">INDIRECT("b" &amp; (X18+2))</f>
        <v>4.8250000000000001E+37</v>
      </c>
      <c r="AA18" s="5">
        <f t="shared" ca="1" si="3"/>
        <v>3.9387755102040813</v>
      </c>
    </row>
    <row r="19" spans="1:27">
      <c r="A19">
        <v>17</v>
      </c>
      <c r="B19">
        <v>50000</v>
      </c>
      <c r="D19" s="18">
        <v>17</v>
      </c>
      <c r="E19" s="18" cm="1">
        <f t="array" aca="1" ref="E19" ca="1">INDIRECT("b"&amp;F19+2)</f>
        <v>9.5000000000000003E+29</v>
      </c>
      <c r="F19" s="18">
        <f t="shared" si="1"/>
        <v>421</v>
      </c>
      <c r="G19" s="18"/>
      <c r="H19" s="18"/>
      <c r="I19" s="19">
        <v>17</v>
      </c>
      <c r="J19" s="19" cm="1">
        <f t="array" aca="1" ref="J19" ca="1">INDIRECT("b"&amp;K19+2)</f>
        <v>5.2750000000000004E+62</v>
      </c>
      <c r="K19" s="19">
        <f t="shared" si="4"/>
        <v>1621</v>
      </c>
      <c r="N19" s="18">
        <v>580</v>
      </c>
      <c r="O19" s="18"/>
      <c r="P19" s="2" cm="1">
        <f t="array" aca="1" ref="P19" ca="1">INDIRECT("b" &amp; (N19+2))</f>
        <v>5.0500000000000001E+37</v>
      </c>
      <c r="Q19" s="5">
        <f t="shared" ca="1" si="2"/>
        <v>4.1224489795918364</v>
      </c>
      <c r="S19" s="18">
        <v>140</v>
      </c>
      <c r="T19" s="18"/>
      <c r="U19" s="2" cm="1">
        <f t="array" aca="1" ref="U19" ca="1">INDIRECT("d" &amp; (S19+2))</f>
        <v>140</v>
      </c>
      <c r="V19" s="5">
        <f t="shared" ca="1" si="0"/>
        <v>1.1382113821138211</v>
      </c>
      <c r="W19">
        <v>17</v>
      </c>
      <c r="X19" s="18">
        <v>580</v>
      </c>
      <c r="Y19" s="18"/>
      <c r="Z19" s="2" cm="1">
        <f t="array" aca="1" ref="Z19" ca="1">INDIRECT("b" &amp; (X19+2))</f>
        <v>5.0500000000000001E+37</v>
      </c>
      <c r="AA19" s="5">
        <f t="shared" ca="1" si="3"/>
        <v>4.1224489795918364</v>
      </c>
    </row>
    <row r="20" spans="1:27">
      <c r="A20">
        <v>18</v>
      </c>
      <c r="B20">
        <v>100000</v>
      </c>
      <c r="D20" s="18">
        <v>18</v>
      </c>
      <c r="E20" s="18" cm="1">
        <f t="array" aca="1" ref="E20" ca="1">INDIRECT("b"&amp;F20+2)</f>
        <v>1E+30</v>
      </c>
      <c r="F20" s="18">
        <f t="shared" si="1"/>
        <v>422</v>
      </c>
      <c r="G20" s="18"/>
      <c r="H20" s="18"/>
      <c r="I20" s="19">
        <v>18</v>
      </c>
      <c r="J20" s="19" cm="1">
        <f t="array" aca="1" ref="J20" ca="1">INDIRECT("b"&amp;K20+2)</f>
        <v>5.5000000000000006E+62</v>
      </c>
      <c r="K20" s="19">
        <f t="shared" si="4"/>
        <v>1622</v>
      </c>
      <c r="N20" s="18">
        <v>581</v>
      </c>
      <c r="O20" s="18"/>
      <c r="P20" s="2" cm="1">
        <f t="array" aca="1" ref="P20" ca="1">INDIRECT("b" &amp; (N20+2))</f>
        <v>5.2750000000000001E+37</v>
      </c>
      <c r="Q20" s="5">
        <f t="shared" ca="1" si="2"/>
        <v>4.3061224489795915</v>
      </c>
      <c r="S20" s="18">
        <v>141</v>
      </c>
      <c r="T20" s="18"/>
      <c r="U20" s="2" cm="1">
        <f t="array" aca="1" ref="U20" ca="1">INDIRECT("d" &amp; (S20+2))</f>
        <v>141</v>
      </c>
      <c r="V20" s="5">
        <f t="shared" ca="1" si="0"/>
        <v>1.1463414634146341</v>
      </c>
      <c r="W20">
        <v>18</v>
      </c>
      <c r="X20" s="18">
        <v>581</v>
      </c>
      <c r="Y20" s="18"/>
      <c r="Z20" s="2" cm="1">
        <f t="array" aca="1" ref="Z20" ca="1">INDIRECT("b" &amp; (X20+2))</f>
        <v>5.2750000000000001E+37</v>
      </c>
      <c r="AA20" s="5">
        <f t="shared" ca="1" si="3"/>
        <v>4.3061224489795915</v>
      </c>
    </row>
    <row r="21" spans="1:27">
      <c r="A21">
        <v>19</v>
      </c>
      <c r="B21">
        <v>300000</v>
      </c>
      <c r="D21" s="18">
        <v>19</v>
      </c>
      <c r="E21" s="18" cm="1">
        <f t="array" aca="1" ref="E21" ca="1">INDIRECT("b"&amp;F21+2)</f>
        <v>1.05E+30</v>
      </c>
      <c r="F21" s="18">
        <f t="shared" si="1"/>
        <v>423</v>
      </c>
      <c r="G21" s="18"/>
      <c r="H21" s="18"/>
      <c r="I21" s="19">
        <v>19</v>
      </c>
      <c r="J21" s="19" cm="1">
        <f t="array" aca="1" ref="J21" ca="1">INDIRECT("b"&amp;K21+2)</f>
        <v>5.9500000000000001E+62</v>
      </c>
      <c r="K21" s="19">
        <f t="shared" si="4"/>
        <v>1624</v>
      </c>
      <c r="N21" s="18">
        <v>582</v>
      </c>
      <c r="O21" s="18"/>
      <c r="P21" s="2" cm="1">
        <f t="array" aca="1" ref="P21" ca="1">INDIRECT("b" &amp; (N21+2))</f>
        <v>5.5000000000000002E+37</v>
      </c>
      <c r="Q21" s="5">
        <f t="shared" ca="1" si="2"/>
        <v>4.4897959183673466</v>
      </c>
      <c r="S21" s="18">
        <v>142</v>
      </c>
      <c r="T21" s="18"/>
      <c r="U21" s="2" cm="1">
        <f t="array" aca="1" ref="U21" ca="1">INDIRECT("d" &amp; (S21+2))</f>
        <v>142</v>
      </c>
      <c r="V21" s="5">
        <f t="shared" ca="1" si="0"/>
        <v>1.1544715447154472</v>
      </c>
      <c r="W21">
        <v>19</v>
      </c>
      <c r="X21" s="18">
        <v>582</v>
      </c>
      <c r="Y21" s="18"/>
      <c r="Z21" s="2" cm="1">
        <f t="array" aca="1" ref="Z21" ca="1">INDIRECT("b" &amp; (X21+2))</f>
        <v>5.5000000000000002E+37</v>
      </c>
      <c r="AA21" s="5">
        <f t="shared" ca="1" si="3"/>
        <v>4.4897959183673466</v>
      </c>
    </row>
    <row r="22" spans="1:27">
      <c r="A22">
        <v>20</v>
      </c>
      <c r="B22">
        <v>500000</v>
      </c>
      <c r="D22" s="18">
        <v>20</v>
      </c>
      <c r="E22" s="18" cm="1">
        <f t="array" aca="1" ref="E22" ca="1">INDIRECT("b"&amp;F22+2)</f>
        <v>1.4999999999999999E+30</v>
      </c>
      <c r="F22" s="18">
        <f t="shared" si="1"/>
        <v>425</v>
      </c>
      <c r="G22" s="18"/>
      <c r="H22" s="18"/>
      <c r="I22" s="19">
        <v>20</v>
      </c>
      <c r="J22" s="19" cm="1">
        <f t="array" aca="1" ref="J22" ca="1">INDIRECT("b"&amp;K22+2)</f>
        <v>6.1750000000000004E+62</v>
      </c>
      <c r="K22" s="19">
        <f t="shared" si="4"/>
        <v>1625</v>
      </c>
      <c r="N22" s="18">
        <v>583</v>
      </c>
      <c r="O22" s="18"/>
      <c r="P22" s="2" cm="1">
        <f t="array" aca="1" ref="P22" ca="1">INDIRECT("b" &amp; (N22+2))</f>
        <v>5.7250000000000002E+37</v>
      </c>
      <c r="Q22" s="5">
        <f t="shared" ca="1" si="2"/>
        <v>4.6734693877551017</v>
      </c>
      <c r="S22" s="18">
        <v>143</v>
      </c>
      <c r="T22" s="18"/>
      <c r="U22" s="2" cm="1">
        <f t="array" aca="1" ref="U22" ca="1">INDIRECT("d" &amp; (S22+2))</f>
        <v>143</v>
      </c>
      <c r="V22" s="5">
        <f t="shared" ca="1" si="0"/>
        <v>1.1626016260162602</v>
      </c>
      <c r="W22">
        <v>20</v>
      </c>
      <c r="X22" s="18">
        <v>583</v>
      </c>
      <c r="Y22" s="18"/>
      <c r="Z22" s="2" cm="1">
        <f t="array" aca="1" ref="Z22" ca="1">INDIRECT("b" &amp; (X22+2))</f>
        <v>5.7250000000000002E+37</v>
      </c>
      <c r="AA22" s="5">
        <f t="shared" ca="1" si="3"/>
        <v>4.6734693877551017</v>
      </c>
    </row>
    <row r="23" spans="1:27">
      <c r="A23">
        <v>21</v>
      </c>
      <c r="B23">
        <v>700000</v>
      </c>
      <c r="D23" s="18">
        <v>21</v>
      </c>
      <c r="E23" s="18" cm="1">
        <f t="array" aca="1" ref="E23" ca="1">INDIRECT("b"&amp;F23+2)</f>
        <v>2E+30</v>
      </c>
      <c r="F23" s="18">
        <f t="shared" si="1"/>
        <v>426</v>
      </c>
      <c r="G23" s="18"/>
      <c r="H23" s="18"/>
      <c r="I23" s="19">
        <v>21</v>
      </c>
      <c r="J23" s="19" cm="1">
        <f t="array" aca="1" ref="J23" ca="1">INDIRECT("b"&amp;K23+2)</f>
        <v>6.4000000000000006E+62</v>
      </c>
      <c r="K23" s="19">
        <f t="shared" si="4"/>
        <v>1626</v>
      </c>
      <c r="N23" s="18">
        <v>584</v>
      </c>
      <c r="O23" s="18"/>
      <c r="P23" s="2" cm="1">
        <f t="array" aca="1" ref="P23" ca="1">INDIRECT("b" &amp; (N23+2))</f>
        <v>5.9500000000000002E+37</v>
      </c>
      <c r="Q23" s="5">
        <f t="shared" ca="1" si="2"/>
        <v>4.8571428571428568</v>
      </c>
      <c r="S23" s="18">
        <v>144</v>
      </c>
      <c r="T23" s="18"/>
      <c r="U23" s="2" cm="1">
        <f t="array" aca="1" ref="U23" ca="1">INDIRECT("d" &amp; (S23+2))</f>
        <v>144</v>
      </c>
      <c r="V23" s="5">
        <f t="shared" ca="1" si="0"/>
        <v>1.1707317073170731</v>
      </c>
      <c r="W23">
        <v>21</v>
      </c>
      <c r="X23" s="18">
        <v>584</v>
      </c>
      <c r="Y23" s="18"/>
      <c r="Z23" s="2" cm="1">
        <f t="array" aca="1" ref="Z23" ca="1">INDIRECT("b" &amp; (X23+2))</f>
        <v>5.9500000000000002E+37</v>
      </c>
      <c r="AA23" s="5">
        <f t="shared" ca="1" si="3"/>
        <v>4.8571428571428568</v>
      </c>
    </row>
    <row r="24" spans="1:27">
      <c r="A24">
        <v>22</v>
      </c>
      <c r="B24">
        <v>900000</v>
      </c>
      <c r="D24" s="18">
        <v>22</v>
      </c>
      <c r="E24" s="18" cm="1">
        <f t="array" aca="1" ref="E24" ca="1">INDIRECT("b"&amp;F24+2)</f>
        <v>2.5000000000000002E+30</v>
      </c>
      <c r="F24" s="18">
        <f t="shared" si="1"/>
        <v>427</v>
      </c>
      <c r="G24" s="18"/>
      <c r="H24" s="18"/>
      <c r="I24" s="19">
        <v>22</v>
      </c>
      <c r="J24" s="19" cm="1">
        <f t="array" aca="1" ref="J24" ca="1">INDIRECT("b"&amp;K24+2)</f>
        <v>6.8500000000000001E+62</v>
      </c>
      <c r="K24" s="19">
        <f t="shared" si="4"/>
        <v>1628</v>
      </c>
      <c r="N24" s="18">
        <v>585</v>
      </c>
      <c r="O24" s="18"/>
      <c r="P24" s="2" cm="1">
        <f t="array" aca="1" ref="P24" ca="1">INDIRECT("b" &amp; (N24+2))</f>
        <v>6.1750000000000002E+37</v>
      </c>
      <c r="Q24" s="5">
        <f t="shared" ca="1" si="2"/>
        <v>5.0408163265306118</v>
      </c>
      <c r="S24" s="18">
        <v>145</v>
      </c>
      <c r="T24" s="18"/>
      <c r="U24" s="2" cm="1">
        <f t="array" aca="1" ref="U24" ca="1">INDIRECT("d" &amp; (S24+2))</f>
        <v>145</v>
      </c>
      <c r="V24" s="5">
        <f t="shared" ca="1" si="0"/>
        <v>1.1788617886178863</v>
      </c>
      <c r="W24">
        <v>22</v>
      </c>
      <c r="X24" s="18">
        <v>585</v>
      </c>
      <c r="Y24" s="18"/>
      <c r="Z24" s="2" cm="1">
        <f t="array" aca="1" ref="Z24" ca="1">INDIRECT("b" &amp; (X24+2))</f>
        <v>6.1750000000000002E+37</v>
      </c>
      <c r="AA24" s="5">
        <f t="shared" ca="1" si="3"/>
        <v>5.0408163265306118</v>
      </c>
    </row>
    <row r="25" spans="1:27">
      <c r="A25">
        <v>23</v>
      </c>
      <c r="B25">
        <v>1100000</v>
      </c>
      <c r="D25" s="18">
        <v>23</v>
      </c>
      <c r="E25" s="18" cm="1">
        <f t="array" aca="1" ref="E25" ca="1">INDIRECT("b"&amp;F25+2)</f>
        <v>3.5000000000000002E+30</v>
      </c>
      <c r="F25" s="18">
        <f t="shared" si="1"/>
        <v>429</v>
      </c>
      <c r="G25" s="18"/>
      <c r="H25" s="18"/>
      <c r="I25" s="19">
        <v>23</v>
      </c>
      <c r="J25" s="19" cm="1">
        <f t="array" aca="1" ref="J25" ca="1">INDIRECT("b"&amp;K25+2)</f>
        <v>7.0750000000000004E+62</v>
      </c>
      <c r="K25" s="19">
        <f t="shared" si="4"/>
        <v>1629</v>
      </c>
      <c r="N25" s="18">
        <v>586</v>
      </c>
      <c r="O25" s="18"/>
      <c r="P25" s="2" cm="1">
        <f t="array" aca="1" ref="P25" ca="1">INDIRECT("b" &amp; (N25+2))</f>
        <v>6.3999999999999993E+37</v>
      </c>
      <c r="Q25" s="5">
        <f t="shared" ca="1" si="2"/>
        <v>5.224489795918366</v>
      </c>
      <c r="S25" s="18">
        <v>146</v>
      </c>
      <c r="T25" s="18"/>
      <c r="U25" s="2" cm="1">
        <f t="array" aca="1" ref="U25" ca="1">INDIRECT("d" &amp; (S25+2))</f>
        <v>146</v>
      </c>
      <c r="V25" s="5">
        <f t="shared" ca="1" si="0"/>
        <v>1.1869918699186992</v>
      </c>
      <c r="W25">
        <v>23</v>
      </c>
      <c r="X25" s="18">
        <v>586</v>
      </c>
      <c r="Y25" s="18"/>
      <c r="Z25" s="2" cm="1">
        <f t="array" aca="1" ref="Z25" ca="1">INDIRECT("b" &amp; (X25+2))</f>
        <v>6.3999999999999993E+37</v>
      </c>
      <c r="AA25" s="5">
        <f t="shared" ca="1" si="3"/>
        <v>5.224489795918366</v>
      </c>
    </row>
    <row r="26" spans="1:27">
      <c r="A26">
        <v>24</v>
      </c>
      <c r="B26">
        <v>1500000</v>
      </c>
      <c r="D26" s="18">
        <v>24</v>
      </c>
      <c r="E26" s="18" cm="1">
        <f t="array" aca="1" ref="E26" ca="1">INDIRECT("b"&amp;F26+2)</f>
        <v>4.0000000000000001E+30</v>
      </c>
      <c r="F26" s="18">
        <f t="shared" si="1"/>
        <v>430</v>
      </c>
      <c r="G26" s="18"/>
      <c r="H26" s="18"/>
      <c r="I26" s="19">
        <v>24</v>
      </c>
      <c r="J26" s="19" cm="1">
        <f t="array" aca="1" ref="J26" ca="1">INDIRECT("b"&amp;K26+2)</f>
        <v>7.3000000000000006E+62</v>
      </c>
      <c r="K26" s="19">
        <f t="shared" si="4"/>
        <v>1630</v>
      </c>
      <c r="N26" s="18">
        <v>587</v>
      </c>
      <c r="O26" s="18"/>
      <c r="P26" s="2" cm="1">
        <f t="array" aca="1" ref="P26" ca="1">INDIRECT("b" &amp; (N26+2))</f>
        <v>6.6250000000000003E+37</v>
      </c>
      <c r="Q26" s="5">
        <f t="shared" ca="1" si="2"/>
        <v>5.408163265306122</v>
      </c>
      <c r="S26" s="18">
        <v>147</v>
      </c>
      <c r="T26" s="18"/>
      <c r="U26" s="2" cm="1">
        <f t="array" aca="1" ref="U26" ca="1">INDIRECT("d" &amp; (S26+2))</f>
        <v>147</v>
      </c>
      <c r="V26" s="5">
        <f t="shared" ca="1" si="0"/>
        <v>1.1951219512195121</v>
      </c>
      <c r="W26">
        <v>24</v>
      </c>
      <c r="X26" s="18">
        <v>587</v>
      </c>
      <c r="Y26" s="18"/>
      <c r="Z26" s="2" cm="1">
        <f t="array" aca="1" ref="Z26" ca="1">INDIRECT("b" &amp; (X26+2))</f>
        <v>6.6250000000000003E+37</v>
      </c>
      <c r="AA26" s="5">
        <f t="shared" ca="1" si="3"/>
        <v>5.408163265306122</v>
      </c>
    </row>
    <row r="27" spans="1:27">
      <c r="A27">
        <v>25</v>
      </c>
      <c r="B27">
        <v>2000000</v>
      </c>
      <c r="D27" s="18">
        <v>25</v>
      </c>
      <c r="E27" s="18" cm="1">
        <f t="array" aca="1" ref="E27" ca="1">INDIRECT("b"&amp;F27+2)</f>
        <v>4.4999999999999999E+30</v>
      </c>
      <c r="F27" s="18">
        <f t="shared" si="1"/>
        <v>431</v>
      </c>
      <c r="G27" s="18"/>
      <c r="H27" s="18"/>
      <c r="I27" s="19">
        <v>25</v>
      </c>
      <c r="J27" s="19" cm="1">
        <f t="array" aca="1" ref="J27" ca="1">INDIRECT("b"&amp;K27+2)</f>
        <v>7.750000000000001E+62</v>
      </c>
      <c r="K27" s="19">
        <f t="shared" si="4"/>
        <v>1632</v>
      </c>
      <c r="N27" s="18">
        <v>588</v>
      </c>
      <c r="O27" s="18"/>
      <c r="P27" s="2" cm="1">
        <f t="array" aca="1" ref="P27" ca="1">INDIRECT("b" &amp; (N27+2))</f>
        <v>6.8500000000000013E+37</v>
      </c>
      <c r="Q27" s="5">
        <f t="shared" ca="1" si="2"/>
        <v>5.591836734693878</v>
      </c>
      <c r="S27" s="18">
        <v>148</v>
      </c>
      <c r="T27" s="18"/>
      <c r="U27" s="2" cm="1">
        <f t="array" aca="1" ref="U27" ca="1">INDIRECT("d" &amp; (S27+2))</f>
        <v>148</v>
      </c>
      <c r="V27" s="5">
        <f t="shared" ca="1" si="0"/>
        <v>1.2032520325203253</v>
      </c>
      <c r="W27">
        <v>25</v>
      </c>
      <c r="X27" s="18">
        <v>588</v>
      </c>
      <c r="Y27" s="18"/>
      <c r="Z27" s="2" cm="1">
        <f t="array" aca="1" ref="Z27" ca="1">INDIRECT("b" &amp; (X27+2))</f>
        <v>6.8500000000000013E+37</v>
      </c>
      <c r="AA27" s="5">
        <f t="shared" ca="1" si="3"/>
        <v>5.591836734693878</v>
      </c>
    </row>
    <row r="28" spans="1:27">
      <c r="A28">
        <v>26</v>
      </c>
      <c r="B28">
        <v>2500000</v>
      </c>
      <c r="D28" s="18">
        <v>26</v>
      </c>
      <c r="E28" s="18" cm="1">
        <f t="array" aca="1" ref="E28" ca="1">INDIRECT("b"&amp;F28+2)</f>
        <v>5.5000000000000003E+30</v>
      </c>
      <c r="F28" s="18">
        <f t="shared" si="1"/>
        <v>433</v>
      </c>
      <c r="G28" s="18"/>
      <c r="H28" s="18"/>
      <c r="I28" s="19">
        <v>26</v>
      </c>
      <c r="J28" s="19" cm="1">
        <f t="array" aca="1" ref="J28" ca="1">INDIRECT("b"&amp;K28+2)</f>
        <v>7.9750000000000004E+62</v>
      </c>
      <c r="K28" s="19">
        <f t="shared" si="4"/>
        <v>1633</v>
      </c>
      <c r="N28" s="18">
        <v>589</v>
      </c>
      <c r="O28" s="18"/>
      <c r="P28" s="2" cm="1">
        <f t="array" aca="1" ref="P28" ca="1">INDIRECT("b" &amp; (N28+2))</f>
        <v>7.0750000000000004E+37</v>
      </c>
      <c r="Q28" s="5">
        <f t="shared" ca="1" si="2"/>
        <v>5.7755102040816322</v>
      </c>
      <c r="S28" s="18">
        <v>149</v>
      </c>
      <c r="T28" s="18"/>
      <c r="U28" s="2" cm="1">
        <f t="array" aca="1" ref="U28" ca="1">INDIRECT("d" &amp; (S28+2))</f>
        <v>149</v>
      </c>
      <c r="V28" s="5">
        <f t="shared" ca="1" si="0"/>
        <v>1.2113821138211383</v>
      </c>
      <c r="W28">
        <v>26</v>
      </c>
      <c r="X28" s="18">
        <v>589</v>
      </c>
      <c r="Y28" s="18"/>
      <c r="Z28" s="2" cm="1">
        <f t="array" aca="1" ref="Z28" ca="1">INDIRECT("b" &amp; (X28+2))</f>
        <v>7.0750000000000004E+37</v>
      </c>
      <c r="AA28" s="5">
        <f t="shared" ca="1" si="3"/>
        <v>5.7755102040816322</v>
      </c>
    </row>
    <row r="29" spans="1:27">
      <c r="A29">
        <v>27</v>
      </c>
      <c r="B29">
        <v>3000000</v>
      </c>
      <c r="D29" s="18">
        <v>27</v>
      </c>
      <c r="E29" s="18" cm="1">
        <f t="array" aca="1" ref="E29" ca="1">INDIRECT("b"&amp;F29+2)</f>
        <v>5.9999999999999996E+30</v>
      </c>
      <c r="F29" s="18">
        <f t="shared" si="1"/>
        <v>434</v>
      </c>
      <c r="G29" s="18"/>
      <c r="H29" s="18"/>
      <c r="I29" s="19">
        <v>27</v>
      </c>
      <c r="J29" s="19" cm="1">
        <f t="array" aca="1" ref="J29" ca="1">INDIRECT("b"&amp;K29+2)</f>
        <v>8.2000000000000006E+62</v>
      </c>
      <c r="K29" s="19">
        <f t="shared" si="4"/>
        <v>1634</v>
      </c>
      <c r="N29" s="18">
        <v>590</v>
      </c>
      <c r="O29" s="18"/>
      <c r="P29" s="2" cm="1">
        <f t="array" aca="1" ref="P29" ca="1">INDIRECT("b" &amp; (N29+2))</f>
        <v>7.3000000000000004E+37</v>
      </c>
      <c r="Q29" s="5">
        <f t="shared" ca="1" si="2"/>
        <v>5.9591836734693873</v>
      </c>
      <c r="S29" s="18">
        <v>150</v>
      </c>
      <c r="T29" s="18"/>
      <c r="U29" s="2" cm="1">
        <f t="array" aca="1" ref="U29" ca="1">INDIRECT("d" &amp; (S29+2))</f>
        <v>150</v>
      </c>
      <c r="V29" s="5">
        <f t="shared" ca="1" si="0"/>
        <v>1.2195121951219512</v>
      </c>
      <c r="W29">
        <v>27</v>
      </c>
      <c r="X29" s="18">
        <v>590</v>
      </c>
      <c r="Y29" s="18"/>
      <c r="Z29" s="2" cm="1">
        <f t="array" aca="1" ref="Z29" ca="1">INDIRECT("b" &amp; (X29+2))</f>
        <v>7.3000000000000004E+37</v>
      </c>
      <c r="AA29" s="5">
        <f t="shared" ca="1" si="3"/>
        <v>5.9591836734693873</v>
      </c>
    </row>
    <row r="30" spans="1:27">
      <c r="A30">
        <v>28</v>
      </c>
      <c r="B30">
        <v>3500000</v>
      </c>
      <c r="D30" s="18">
        <v>28</v>
      </c>
      <c r="E30" s="18" cm="1">
        <f t="array" aca="1" ref="E30" ca="1">INDIRECT("b"&amp;F30+2)</f>
        <v>6.5E+30</v>
      </c>
      <c r="F30" s="18">
        <f t="shared" si="1"/>
        <v>435</v>
      </c>
      <c r="G30" s="18"/>
      <c r="H30" s="18"/>
      <c r="I30" s="19">
        <v>28</v>
      </c>
      <c r="J30" s="19" cm="1">
        <f t="array" aca="1" ref="J30" ca="1">INDIRECT("b"&amp;K30+2)</f>
        <v>8.650000000000001E+62</v>
      </c>
      <c r="K30" s="19">
        <f t="shared" si="4"/>
        <v>1636</v>
      </c>
      <c r="N30" s="18">
        <v>591</v>
      </c>
      <c r="O30" s="18"/>
      <c r="P30" s="2" cm="1">
        <f t="array" aca="1" ref="P30" ca="1">INDIRECT("b" &amp; (N30+2))</f>
        <v>7.5249999999999995E+37</v>
      </c>
      <c r="Q30" s="5">
        <f t="shared" ca="1" si="2"/>
        <v>6.1428571428571423</v>
      </c>
      <c r="S30" s="18">
        <v>151</v>
      </c>
      <c r="T30" s="18"/>
      <c r="U30" s="2" cm="1">
        <f t="array" aca="1" ref="U30" ca="1">INDIRECT("d" &amp; (S30+2))</f>
        <v>151</v>
      </c>
      <c r="V30" s="5">
        <f t="shared" ca="1" si="0"/>
        <v>1.2276422764227641</v>
      </c>
      <c r="W30">
        <v>28</v>
      </c>
      <c r="X30" s="18">
        <v>591</v>
      </c>
      <c r="Y30" s="18"/>
      <c r="Z30" s="2" cm="1">
        <f t="array" aca="1" ref="Z30" ca="1">INDIRECT("b" &amp; (X30+2))</f>
        <v>7.5249999999999995E+37</v>
      </c>
      <c r="AA30" s="5">
        <f t="shared" ca="1" si="3"/>
        <v>6.1428571428571423</v>
      </c>
    </row>
    <row r="31" spans="1:27">
      <c r="A31">
        <v>29</v>
      </c>
      <c r="B31">
        <v>4000000</v>
      </c>
      <c r="D31" s="18">
        <v>29</v>
      </c>
      <c r="E31" s="18" cm="1">
        <f t="array" aca="1" ref="E31" ca="1">INDIRECT("b"&amp;F31+2)</f>
        <v>7.4999999999999997E+30</v>
      </c>
      <c r="F31" s="18">
        <f t="shared" si="1"/>
        <v>437</v>
      </c>
      <c r="G31" s="18"/>
      <c r="H31" s="18"/>
      <c r="I31" s="19">
        <v>29</v>
      </c>
      <c r="J31" s="19" cm="1">
        <f t="array" aca="1" ref="J31" ca="1">INDIRECT("b"&amp;K31+2)</f>
        <v>8.8750000000000004E+62</v>
      </c>
      <c r="K31" s="19">
        <f t="shared" si="4"/>
        <v>1637</v>
      </c>
      <c r="N31" s="18">
        <v>592</v>
      </c>
      <c r="O31" s="18"/>
      <c r="P31" s="2" cm="1">
        <f t="array" aca="1" ref="P31" ca="1">INDIRECT("b" &amp; (N31+2))</f>
        <v>7.7500000000000004E+37</v>
      </c>
      <c r="Q31" s="5">
        <f t="shared" ca="1" si="2"/>
        <v>6.3265306122448974</v>
      </c>
      <c r="S31" s="18">
        <v>152</v>
      </c>
      <c r="T31" s="18"/>
      <c r="U31" s="2" cm="1">
        <f t="array" aca="1" ref="U31" ca="1">INDIRECT("d" &amp; (S31+2))</f>
        <v>152</v>
      </c>
      <c r="V31" s="5">
        <f t="shared" ca="1" si="0"/>
        <v>1.2357723577235773</v>
      </c>
      <c r="W31">
        <v>29</v>
      </c>
      <c r="X31" s="18">
        <v>592</v>
      </c>
      <c r="Y31" s="18"/>
      <c r="Z31" s="2" cm="1">
        <f t="array" aca="1" ref="Z31" ca="1">INDIRECT("b" &amp; (X31+2))</f>
        <v>7.7500000000000004E+37</v>
      </c>
      <c r="AA31" s="5">
        <f t="shared" ca="1" si="3"/>
        <v>6.3265306122448974</v>
      </c>
    </row>
    <row r="32" spans="1:27">
      <c r="A32">
        <v>30</v>
      </c>
      <c r="B32">
        <v>4500000</v>
      </c>
      <c r="D32" s="18">
        <v>30</v>
      </c>
      <c r="E32" s="18" cm="1">
        <f t="array" aca="1" ref="E32" ca="1">INDIRECT("b"&amp;F32+2)</f>
        <v>8.0000000000000002E+30</v>
      </c>
      <c r="F32" s="18">
        <f t="shared" si="1"/>
        <v>438</v>
      </c>
      <c r="G32" s="18"/>
      <c r="H32" s="18"/>
      <c r="I32" s="19">
        <v>30</v>
      </c>
      <c r="J32" s="19" cm="1">
        <f t="array" aca="1" ref="J32" ca="1">INDIRECT("b"&amp;K32+2)</f>
        <v>9.1000000000000015E+62</v>
      </c>
      <c r="K32" s="19">
        <f t="shared" si="4"/>
        <v>1638</v>
      </c>
      <c r="N32" s="18">
        <v>593</v>
      </c>
      <c r="O32" s="18"/>
      <c r="P32" s="2" cm="1">
        <f t="array" aca="1" ref="P32" ca="1">INDIRECT("b" &amp; (N32+2))</f>
        <v>7.9750000000000005E+37</v>
      </c>
      <c r="Q32" s="5">
        <f t="shared" ca="1" si="2"/>
        <v>6.5102040816326525</v>
      </c>
      <c r="S32" s="18">
        <v>153</v>
      </c>
      <c r="T32" s="18"/>
      <c r="U32" s="2" cm="1">
        <f t="array" aca="1" ref="U32" ca="1">INDIRECT("d" &amp; (S32+2))</f>
        <v>153</v>
      </c>
      <c r="V32" s="5">
        <f t="shared" ca="1" si="0"/>
        <v>1.2439024390243902</v>
      </c>
      <c r="W32">
        <v>30</v>
      </c>
      <c r="X32" s="18">
        <v>593</v>
      </c>
      <c r="Y32" s="18"/>
      <c r="Z32" s="2" cm="1">
        <f t="array" aca="1" ref="Z32" ca="1">INDIRECT("b" &amp; (X32+2))</f>
        <v>7.9750000000000005E+37</v>
      </c>
      <c r="AA32" s="5">
        <f t="shared" ca="1" si="3"/>
        <v>6.5102040816326525</v>
      </c>
    </row>
    <row r="33" spans="1:27">
      <c r="A33">
        <v>31</v>
      </c>
      <c r="B33">
        <v>5000000</v>
      </c>
      <c r="D33" s="18">
        <v>31</v>
      </c>
      <c r="E33" s="18" cm="1">
        <f t="array" aca="1" ref="E33" ca="1">INDIRECT("b"&amp;F33+2)</f>
        <v>8.4999999999999995E+30</v>
      </c>
      <c r="F33" s="18">
        <f t="shared" si="1"/>
        <v>439</v>
      </c>
      <c r="G33" s="18"/>
      <c r="H33" s="18"/>
      <c r="I33" s="19">
        <v>31</v>
      </c>
      <c r="J33" s="19" cm="1">
        <f t="array" aca="1" ref="J33" ca="1">INDIRECT("b"&amp;K33+2)</f>
        <v>9.5500000000000001E+62</v>
      </c>
      <c r="K33" s="19">
        <f t="shared" si="4"/>
        <v>1640</v>
      </c>
      <c r="N33" s="18">
        <v>594</v>
      </c>
      <c r="O33" s="18"/>
      <c r="P33" s="2" cm="1">
        <f t="array" aca="1" ref="P33" ca="1">INDIRECT("b" &amp; (N33+2))</f>
        <v>8.1999999999999996E+37</v>
      </c>
      <c r="Q33" s="5">
        <f t="shared" ca="1" si="2"/>
        <v>6.6938775510204076</v>
      </c>
      <c r="S33" s="18">
        <v>154</v>
      </c>
      <c r="T33" s="18"/>
      <c r="U33" s="2" cm="1">
        <f t="array" aca="1" ref="U33" ca="1">INDIRECT("d" &amp; (S33+2))</f>
        <v>154</v>
      </c>
      <c r="V33" s="5">
        <f t="shared" ca="1" si="0"/>
        <v>1.2520325203252032</v>
      </c>
      <c r="W33">
        <v>31</v>
      </c>
      <c r="X33" s="18">
        <v>594</v>
      </c>
      <c r="Y33" s="18"/>
      <c r="Z33" s="2" cm="1">
        <f t="array" aca="1" ref="Z33" ca="1">INDIRECT("b" &amp; (X33+2))</f>
        <v>8.1999999999999996E+37</v>
      </c>
      <c r="AA33" s="5">
        <f t="shared" ca="1" si="3"/>
        <v>6.6938775510204076</v>
      </c>
    </row>
    <row r="34" spans="1:27">
      <c r="A34">
        <v>32</v>
      </c>
      <c r="B34">
        <v>8000000</v>
      </c>
      <c r="D34" s="18">
        <v>32</v>
      </c>
      <c r="E34" s="18" cm="1">
        <f t="array" aca="1" ref="E34" ca="1">INDIRECT("b"&amp;F34+2)</f>
        <v>9.5000000000000003E+30</v>
      </c>
      <c r="F34" s="18">
        <f t="shared" si="1"/>
        <v>441</v>
      </c>
      <c r="G34" s="18"/>
      <c r="H34" s="18"/>
      <c r="I34" s="19">
        <v>32</v>
      </c>
      <c r="J34" s="19" cm="1">
        <f t="array" aca="1" ref="J34" ca="1">INDIRECT("b"&amp;K34+2)</f>
        <v>9.7750000000000013E+62</v>
      </c>
      <c r="K34" s="19">
        <f t="shared" si="4"/>
        <v>1641</v>
      </c>
      <c r="N34" s="18">
        <v>595</v>
      </c>
      <c r="O34" s="18"/>
      <c r="P34" s="2" cm="1">
        <f t="array" aca="1" ref="P34" ca="1">INDIRECT("b" &amp; (N34+2))</f>
        <v>8.4250000000000005E+37</v>
      </c>
      <c r="Q34" s="5">
        <f t="shared" ca="1" si="2"/>
        <v>6.8775510204081636</v>
      </c>
      <c r="S34" s="18">
        <v>155</v>
      </c>
      <c r="T34" s="18"/>
      <c r="U34" s="2" cm="1">
        <f t="array" aca="1" ref="U34" ca="1">INDIRECT("d" &amp; (S34+2))</f>
        <v>155</v>
      </c>
      <c r="V34" s="5">
        <f t="shared" ca="1" si="0"/>
        <v>1.2601626016260163</v>
      </c>
      <c r="W34">
        <v>32</v>
      </c>
      <c r="X34" s="18">
        <v>595</v>
      </c>
      <c r="Y34" s="18"/>
      <c r="Z34" s="2" cm="1">
        <f t="array" aca="1" ref="Z34" ca="1">INDIRECT("b" &amp; (X34+2))</f>
        <v>8.4250000000000005E+37</v>
      </c>
      <c r="AA34" s="5">
        <f t="shared" ca="1" si="3"/>
        <v>6.8775510204081636</v>
      </c>
    </row>
    <row r="35" spans="1:27">
      <c r="A35">
        <v>33</v>
      </c>
      <c r="B35">
        <v>15000000</v>
      </c>
      <c r="D35" s="18">
        <v>33</v>
      </c>
      <c r="E35" s="18" cm="1">
        <f t="array" aca="1" ref="E35" ca="1">INDIRECT("b"&amp;F35+2)</f>
        <v>9.9999999999999996E+30</v>
      </c>
      <c r="F35" s="18">
        <f t="shared" ref="F35:F66" si="5">INT((A35-1)*1.333333+400)</f>
        <v>442</v>
      </c>
      <c r="G35" s="18"/>
      <c r="H35" s="18"/>
      <c r="I35" s="19">
        <v>33</v>
      </c>
      <c r="J35" s="19" cm="1">
        <f t="array" aca="1" ref="J35" ca="1">INDIRECT("b"&amp;K35+2)</f>
        <v>1.0000000000000001E+63</v>
      </c>
      <c r="K35" s="19">
        <f t="shared" si="4"/>
        <v>1642</v>
      </c>
      <c r="N35" s="18">
        <v>596</v>
      </c>
      <c r="O35" s="18"/>
      <c r="P35" s="2" cm="1">
        <f t="array" aca="1" ref="P35" ca="1">INDIRECT("b" &amp; (N35+2))</f>
        <v>8.6499999999999996E+37</v>
      </c>
      <c r="Q35" s="5">
        <f t="shared" ca="1" si="2"/>
        <v>7.0612244897959178</v>
      </c>
      <c r="S35" s="18">
        <v>156</v>
      </c>
      <c r="T35" s="18"/>
      <c r="U35" s="2" cm="1">
        <f t="array" aca="1" ref="U35" ca="1">INDIRECT("d" &amp; (S35+2))</f>
        <v>156</v>
      </c>
      <c r="V35" s="5">
        <f t="shared" ca="1" si="0"/>
        <v>1.2682926829268293</v>
      </c>
      <c r="W35">
        <v>33</v>
      </c>
      <c r="X35" s="18">
        <v>596</v>
      </c>
      <c r="Y35" s="18"/>
      <c r="Z35" s="2" cm="1">
        <f t="array" aca="1" ref="Z35" ca="1">INDIRECT("b" &amp; (X35+2))</f>
        <v>8.6499999999999996E+37</v>
      </c>
      <c r="AA35" s="5">
        <f t="shared" ca="1" si="3"/>
        <v>7.0612244897959178</v>
      </c>
    </row>
    <row r="36" spans="1:27">
      <c r="A36">
        <v>34</v>
      </c>
      <c r="B36">
        <v>20000000</v>
      </c>
      <c r="D36" s="18">
        <v>34</v>
      </c>
      <c r="E36" s="18" cm="1">
        <f t="array" aca="1" ref="E36" ca="1">INDIRECT("b"&amp;F36+2)</f>
        <v>1.0500000000000001E+31</v>
      </c>
      <c r="F36" s="18">
        <f t="shared" si="5"/>
        <v>443</v>
      </c>
      <c r="G36" s="18"/>
      <c r="H36" s="18"/>
      <c r="I36" s="19">
        <v>34</v>
      </c>
      <c r="J36" s="19" cm="1">
        <f t="array" aca="1" ref="J36" ca="1">INDIRECT("b"&amp;K36+2)</f>
        <v>1.45E+63</v>
      </c>
      <c r="K36" s="19">
        <f t="shared" si="4"/>
        <v>1644</v>
      </c>
      <c r="N36" s="18">
        <v>597</v>
      </c>
      <c r="O36" s="18"/>
      <c r="P36" s="2" cm="1">
        <f t="array" aca="1" ref="P36" ca="1">INDIRECT("b" &amp; (N36+2))</f>
        <v>8.8749999999999996E+37</v>
      </c>
      <c r="Q36" s="5">
        <f t="shared" ca="1" si="2"/>
        <v>7.2448979591836729</v>
      </c>
      <c r="S36" s="18">
        <v>157</v>
      </c>
      <c r="T36" s="18"/>
      <c r="U36" s="2" cm="1">
        <f t="array" aca="1" ref="U36" ca="1">INDIRECT("d" &amp; (S36+2))</f>
        <v>157</v>
      </c>
      <c r="V36" s="5">
        <f t="shared" ca="1" si="0"/>
        <v>1.2764227642276422</v>
      </c>
      <c r="W36">
        <v>34</v>
      </c>
      <c r="X36" s="18">
        <v>597</v>
      </c>
      <c r="Y36" s="18"/>
      <c r="Z36" s="2" cm="1">
        <f t="array" aca="1" ref="Z36" ca="1">INDIRECT("b" &amp; (X36+2))</f>
        <v>8.8749999999999996E+37</v>
      </c>
      <c r="AA36" s="5">
        <f t="shared" ca="1" si="3"/>
        <v>7.2448979591836729</v>
      </c>
    </row>
    <row r="37" spans="1:27">
      <c r="A37">
        <v>35</v>
      </c>
      <c r="B37">
        <v>25000000</v>
      </c>
      <c r="D37" s="18">
        <v>35</v>
      </c>
      <c r="E37" s="18" cm="1">
        <f t="array" aca="1" ref="E37" ca="1">INDIRECT("b"&amp;F37+2)</f>
        <v>1.4999999999999999E+31</v>
      </c>
      <c r="F37" s="18">
        <f t="shared" si="5"/>
        <v>445</v>
      </c>
      <c r="G37" s="18"/>
      <c r="H37" s="18"/>
      <c r="I37" s="19">
        <v>35</v>
      </c>
      <c r="J37" s="19" cm="1">
        <f t="array" aca="1" ref="J37" ca="1">INDIRECT("b"&amp;K37+2)</f>
        <v>1.675E+63</v>
      </c>
      <c r="K37" s="19">
        <f t="shared" si="4"/>
        <v>1645</v>
      </c>
      <c r="N37" s="18">
        <v>598</v>
      </c>
      <c r="O37" s="18"/>
      <c r="P37" s="2" cm="1">
        <f t="array" aca="1" ref="P37" ca="1">INDIRECT("b" &amp; (N37+2))</f>
        <v>9.0999999999999997E+37</v>
      </c>
      <c r="Q37" s="5">
        <f t="shared" ca="1" si="2"/>
        <v>7.4285714285714279</v>
      </c>
      <c r="S37" s="18">
        <v>158</v>
      </c>
      <c r="T37" s="18"/>
      <c r="U37" s="2" cm="1">
        <f t="array" aca="1" ref="U37" ca="1">INDIRECT("d" &amp; (S37+2))</f>
        <v>158</v>
      </c>
      <c r="V37" s="5">
        <f t="shared" ca="1" si="0"/>
        <v>1.2845528455284554</v>
      </c>
      <c r="W37">
        <v>35</v>
      </c>
      <c r="X37" s="18">
        <v>598</v>
      </c>
      <c r="Y37" s="18"/>
      <c r="Z37" s="2" cm="1">
        <f t="array" aca="1" ref="Z37" ca="1">INDIRECT("b" &amp; (X37+2))</f>
        <v>9.0999999999999997E+37</v>
      </c>
      <c r="AA37" s="5">
        <f t="shared" ca="1" si="3"/>
        <v>7.4285714285714279</v>
      </c>
    </row>
    <row r="38" spans="1:27">
      <c r="A38">
        <v>36</v>
      </c>
      <c r="B38">
        <v>30000000</v>
      </c>
      <c r="D38" s="18">
        <v>36</v>
      </c>
      <c r="E38" s="18" cm="1">
        <f t="array" aca="1" ref="E38" ca="1">INDIRECT("b"&amp;F38+2)</f>
        <v>1.9999999999999999E+31</v>
      </c>
      <c r="F38" s="18">
        <f t="shared" si="5"/>
        <v>446</v>
      </c>
      <c r="G38" s="18"/>
      <c r="H38" s="18"/>
      <c r="I38" s="19">
        <v>36</v>
      </c>
      <c r="J38" s="19" cm="1">
        <f t="array" aca="1" ref="J38" ca="1">INDIRECT("b"&amp;K38+2)</f>
        <v>1.9000000000000001E+63</v>
      </c>
      <c r="K38" s="19">
        <f t="shared" si="4"/>
        <v>1646</v>
      </c>
      <c r="N38" s="18">
        <v>599</v>
      </c>
      <c r="O38" s="18"/>
      <c r="P38" s="2" cm="1">
        <f t="array" aca="1" ref="P38" ca="1">INDIRECT("b" &amp; (N38+2))</f>
        <v>9.3249999999999997E+37</v>
      </c>
      <c r="Q38" s="5">
        <f t="shared" ca="1" si="2"/>
        <v>7.612244897959183</v>
      </c>
      <c r="S38" s="18">
        <v>159</v>
      </c>
      <c r="T38" s="18"/>
      <c r="U38" s="2" cm="1">
        <f t="array" aca="1" ref="U38" ca="1">INDIRECT("d" &amp; (S38+2))</f>
        <v>159</v>
      </c>
      <c r="V38" s="5">
        <f t="shared" ca="1" si="0"/>
        <v>1.2926829268292683</v>
      </c>
      <c r="W38">
        <v>36</v>
      </c>
      <c r="X38" s="18">
        <v>599</v>
      </c>
      <c r="Y38" s="18"/>
      <c r="Z38" s="2" cm="1">
        <f t="array" aca="1" ref="Z38" ca="1">INDIRECT("b" &amp; (X38+2))</f>
        <v>9.3249999999999997E+37</v>
      </c>
      <c r="AA38" s="5">
        <f t="shared" ca="1" si="3"/>
        <v>7.612244897959183</v>
      </c>
    </row>
    <row r="39" spans="1:27">
      <c r="A39">
        <v>37</v>
      </c>
      <c r="B39">
        <v>35000000</v>
      </c>
      <c r="D39" s="18">
        <v>37</v>
      </c>
      <c r="E39" s="18" cm="1">
        <f t="array" aca="1" ref="E39" ca="1">INDIRECT("b"&amp;F39+2)</f>
        <v>2.5000000000000001E+31</v>
      </c>
      <c r="F39" s="18">
        <f t="shared" si="5"/>
        <v>447</v>
      </c>
      <c r="G39" s="18"/>
      <c r="H39" s="18"/>
      <c r="I39" s="19">
        <v>37</v>
      </c>
      <c r="J39" s="19" cm="1">
        <f t="array" aca="1" ref="J39" ca="1">INDIRECT("b"&amp;K39+2)</f>
        <v>2.3500000000000001E+63</v>
      </c>
      <c r="K39" s="19">
        <f t="shared" si="4"/>
        <v>1648</v>
      </c>
      <c r="N39" s="18">
        <v>600</v>
      </c>
      <c r="O39" s="18"/>
      <c r="P39" s="2" cm="1">
        <f t="array" aca="1" ref="P39" ca="1">INDIRECT("b" &amp; (N39+2))</f>
        <v>9.5499999999999997E+37</v>
      </c>
      <c r="Q39" s="5">
        <f t="shared" ca="1" si="2"/>
        <v>7.7959183673469381</v>
      </c>
      <c r="S39" s="18">
        <v>160</v>
      </c>
      <c r="T39" s="18"/>
      <c r="U39" s="2" cm="1">
        <f t="array" aca="1" ref="U39" ca="1">INDIRECT("d" &amp; (S39+2))</f>
        <v>160</v>
      </c>
      <c r="V39" s="5">
        <f t="shared" ca="1" si="0"/>
        <v>1.3008130081300813</v>
      </c>
      <c r="W39">
        <v>37</v>
      </c>
      <c r="X39" s="18">
        <v>600</v>
      </c>
      <c r="Y39" s="18"/>
      <c r="Z39" s="2" cm="1">
        <f t="array" aca="1" ref="Z39" ca="1">INDIRECT("b" &amp; (X39+2))</f>
        <v>9.5499999999999997E+37</v>
      </c>
      <c r="AA39" s="5">
        <f t="shared" ca="1" si="3"/>
        <v>7.7959183673469381</v>
      </c>
    </row>
    <row r="40" spans="1:27">
      <c r="A40">
        <v>38</v>
      </c>
      <c r="B40">
        <v>40000000</v>
      </c>
      <c r="D40" s="18">
        <v>38</v>
      </c>
      <c r="E40" s="18" cm="1">
        <f t="array" aca="1" ref="E40" ca="1">INDIRECT("b"&amp;F40+2)</f>
        <v>3.5000000000000001E+31</v>
      </c>
      <c r="F40" s="18">
        <f t="shared" si="5"/>
        <v>449</v>
      </c>
      <c r="G40" s="18"/>
      <c r="H40" s="18"/>
      <c r="I40" s="19">
        <v>38</v>
      </c>
      <c r="J40" s="19" cm="1">
        <f t="array" aca="1" ref="J40" ca="1">INDIRECT("b"&amp;K40+2)</f>
        <v>2.5750000000000002E+63</v>
      </c>
      <c r="K40" s="19">
        <f t="shared" si="4"/>
        <v>1649</v>
      </c>
      <c r="N40" s="18">
        <v>601</v>
      </c>
      <c r="O40" s="18"/>
      <c r="P40" s="2" cm="1">
        <f t="array" aca="1" ref="P40" ca="1">INDIRECT("b" &amp; (N40+2))</f>
        <v>9.7749999999999997E+37</v>
      </c>
      <c r="Q40" s="5">
        <f t="shared" ca="1" si="2"/>
        <v>7.9795918367346932</v>
      </c>
      <c r="S40" s="18">
        <v>161</v>
      </c>
      <c r="T40" s="18"/>
      <c r="U40" s="2" cm="1">
        <f t="array" aca="1" ref="U40" ca="1">INDIRECT("d" &amp; (S40+2))</f>
        <v>161</v>
      </c>
      <c r="V40" s="5">
        <f t="shared" ca="1" si="0"/>
        <v>1.3089430894308942</v>
      </c>
      <c r="W40">
        <v>38</v>
      </c>
      <c r="X40" s="18">
        <v>601</v>
      </c>
      <c r="Y40" s="18"/>
      <c r="Z40" s="2" cm="1">
        <f t="array" aca="1" ref="Z40" ca="1">INDIRECT("b" &amp; (X40+2))</f>
        <v>9.7749999999999997E+37</v>
      </c>
      <c r="AA40" s="5">
        <f t="shared" ca="1" si="3"/>
        <v>7.9795918367346932</v>
      </c>
    </row>
    <row r="41" spans="1:27">
      <c r="A41">
        <v>39</v>
      </c>
      <c r="B41">
        <v>45000000</v>
      </c>
      <c r="D41" s="18">
        <v>39</v>
      </c>
      <c r="E41" s="18" cm="1">
        <f t="array" aca="1" ref="E41" ca="1">INDIRECT("b"&amp;F41+2)</f>
        <v>3.9999999999999999E+31</v>
      </c>
      <c r="F41" s="18">
        <f t="shared" si="5"/>
        <v>450</v>
      </c>
      <c r="G41" s="18"/>
      <c r="H41" s="18"/>
      <c r="I41" s="19">
        <v>39</v>
      </c>
      <c r="J41" s="19" cm="1">
        <f t="array" aca="1" ref="J41" ca="1">INDIRECT("b"&amp;K41+2)</f>
        <v>2.7999999999999999E+63</v>
      </c>
      <c r="K41" s="19">
        <f t="shared" si="4"/>
        <v>1650</v>
      </c>
      <c r="N41" s="18">
        <v>602</v>
      </c>
      <c r="O41" s="18"/>
      <c r="P41" s="2" cm="1">
        <f t="array" aca="1" ref="P41" ca="1">INDIRECT("b" &amp; (N41+2))</f>
        <v>9.9999999999999998E+37</v>
      </c>
      <c r="Q41" s="5">
        <f t="shared" ca="1" si="2"/>
        <v>8.1632653061224474</v>
      </c>
      <c r="S41" s="18">
        <v>162</v>
      </c>
      <c r="T41" s="18"/>
      <c r="U41" s="2" cm="1">
        <f t="array" aca="1" ref="U41" ca="1">INDIRECT("d" &amp; (S41+2))</f>
        <v>162</v>
      </c>
      <c r="V41" s="5">
        <f t="shared" ca="1" si="0"/>
        <v>1.3170731707317074</v>
      </c>
      <c r="W41">
        <v>39</v>
      </c>
      <c r="X41" s="18">
        <v>602</v>
      </c>
      <c r="Y41" s="18"/>
      <c r="Z41" s="2" cm="1">
        <f t="array" aca="1" ref="Z41" ca="1">INDIRECT("b" &amp; (X41+2))</f>
        <v>9.9999999999999998E+37</v>
      </c>
      <c r="AA41" s="5">
        <f t="shared" ca="1" si="3"/>
        <v>8.1632653061224474</v>
      </c>
    </row>
    <row r="42" spans="1:27">
      <c r="A42">
        <v>40</v>
      </c>
      <c r="B42">
        <v>50000000</v>
      </c>
      <c r="D42" s="18">
        <v>40</v>
      </c>
      <c r="E42" s="18" cm="1">
        <f t="array" aca="1" ref="E42" ca="1">INDIRECT("b"&amp;F42+2)</f>
        <v>4.5000000000000005E+31</v>
      </c>
      <c r="F42" s="18">
        <f t="shared" si="5"/>
        <v>451</v>
      </c>
      <c r="G42" s="18"/>
      <c r="H42" s="18"/>
      <c r="I42" s="19">
        <v>40</v>
      </c>
      <c r="J42" s="19" cm="1">
        <f t="array" aca="1" ref="J42" ca="1">INDIRECT("b"&amp;K42+2)</f>
        <v>3.25E+63</v>
      </c>
      <c r="K42" s="19">
        <f t="shared" si="4"/>
        <v>1652</v>
      </c>
      <c r="N42" s="18">
        <v>603</v>
      </c>
      <c r="O42" s="18"/>
      <c r="P42" s="2" cm="1">
        <f t="array" aca="1" ref="P42" ca="1">INDIRECT("b" &amp; (N42+2))</f>
        <v>1.225E+38</v>
      </c>
      <c r="Q42" s="5">
        <f t="shared" ca="1" si="2"/>
        <v>10</v>
      </c>
      <c r="S42" s="18">
        <v>163</v>
      </c>
      <c r="T42" s="18"/>
      <c r="U42" s="2" cm="1">
        <f t="array" aca="1" ref="U42" ca="1">INDIRECT("d" &amp; (S42+2))</f>
        <v>163</v>
      </c>
      <c r="V42" s="5">
        <f t="shared" ca="1" si="0"/>
        <v>1.3252032520325203</v>
      </c>
      <c r="W42">
        <v>40</v>
      </c>
      <c r="X42" s="18">
        <v>603</v>
      </c>
      <c r="Y42" s="18"/>
      <c r="Z42" s="2" cm="1">
        <f t="array" aca="1" ref="Z42" ca="1">INDIRECT("b" &amp; (X42+2))</f>
        <v>1.225E+38</v>
      </c>
      <c r="AA42" s="5">
        <f t="shared" ca="1" si="3"/>
        <v>10</v>
      </c>
    </row>
    <row r="43" spans="1:27">
      <c r="A43">
        <v>41</v>
      </c>
      <c r="B43">
        <v>100000000</v>
      </c>
      <c r="D43" s="18">
        <v>41</v>
      </c>
      <c r="E43" s="18" cm="1">
        <f t="array" aca="1" ref="E43" ca="1">INDIRECT("b"&amp;F43+2)</f>
        <v>5.5E+31</v>
      </c>
      <c r="F43" s="18">
        <f t="shared" si="5"/>
        <v>453</v>
      </c>
      <c r="G43" s="18"/>
      <c r="H43" s="18"/>
      <c r="I43" s="19">
        <v>41</v>
      </c>
      <c r="J43" s="19" cm="1">
        <f t="array" aca="1" ref="J43" ca="1">INDIRECT("b"&amp;K43+2)</f>
        <v>3.4750000000000004E+63</v>
      </c>
      <c r="K43" s="19">
        <f t="shared" si="4"/>
        <v>1653</v>
      </c>
      <c r="N43" s="18">
        <v>604</v>
      </c>
      <c r="O43" s="18"/>
      <c r="P43" s="2" cm="1">
        <f t="array" aca="1" ref="P43" ca="1">INDIRECT("b" &amp; (N43+2))</f>
        <v>1.4499999999999998E+38</v>
      </c>
      <c r="Q43" s="5">
        <f t="shared" ca="1" si="2"/>
        <v>11.836734693877549</v>
      </c>
      <c r="S43" s="18">
        <v>164</v>
      </c>
      <c r="T43" s="18"/>
      <c r="U43" s="2" cm="1">
        <f t="array" aca="1" ref="U43" ca="1">INDIRECT("d" &amp; (S43+2))</f>
        <v>164</v>
      </c>
      <c r="V43" s="5">
        <f t="shared" ca="1" si="0"/>
        <v>1.3333333333333333</v>
      </c>
      <c r="W43">
        <v>41</v>
      </c>
      <c r="X43" s="18">
        <v>604</v>
      </c>
      <c r="Y43" s="18"/>
      <c r="Z43" s="2" cm="1">
        <f t="array" aca="1" ref="Z43" ca="1">INDIRECT("b" &amp; (X43+2))</f>
        <v>1.4499999999999998E+38</v>
      </c>
      <c r="AA43" s="5">
        <f t="shared" ca="1" si="3"/>
        <v>11.836734693877549</v>
      </c>
    </row>
    <row r="44" spans="1:27">
      <c r="A44">
        <v>42</v>
      </c>
      <c r="B44">
        <v>200000000</v>
      </c>
      <c r="D44" s="18">
        <v>42</v>
      </c>
      <c r="E44" s="18" cm="1">
        <f t="array" aca="1" ref="E44" ca="1">INDIRECT("b"&amp;F44+2)</f>
        <v>5.9999999999999998E+31</v>
      </c>
      <c r="F44" s="18">
        <f t="shared" si="5"/>
        <v>454</v>
      </c>
      <c r="G44" s="18"/>
      <c r="H44" s="18"/>
      <c r="I44" s="19">
        <v>42</v>
      </c>
      <c r="J44" s="19" cm="1">
        <f t="array" aca="1" ref="J44" ca="1">INDIRECT("b"&amp;K44+2)</f>
        <v>3.6999999999999997E+63</v>
      </c>
      <c r="K44" s="19">
        <f t="shared" si="4"/>
        <v>1654</v>
      </c>
      <c r="N44" s="18">
        <v>605</v>
      </c>
      <c r="O44" s="18"/>
      <c r="P44" s="2" cm="1">
        <f t="array" aca="1" ref="P44" ca="1">INDIRECT("b" &amp; (N44+2))</f>
        <v>1.6750000000000001E+38</v>
      </c>
      <c r="Q44" s="5">
        <f t="shared" ca="1" si="2"/>
        <v>13.673469387755102</v>
      </c>
      <c r="S44" s="18">
        <v>165</v>
      </c>
      <c r="T44" s="18"/>
      <c r="U44" s="2" cm="1">
        <f t="array" aca="1" ref="U44" ca="1">INDIRECT("d" &amp; (S44+2))</f>
        <v>165</v>
      </c>
      <c r="V44" s="5">
        <f t="shared" ca="1" si="0"/>
        <v>1.3414634146341464</v>
      </c>
      <c r="W44">
        <v>42</v>
      </c>
      <c r="X44" s="18">
        <v>605</v>
      </c>
      <c r="Y44" s="18"/>
      <c r="Z44" s="2" cm="1">
        <f t="array" aca="1" ref="Z44" ca="1">INDIRECT("b" &amp; (X44+2))</f>
        <v>1.6750000000000001E+38</v>
      </c>
      <c r="AA44" s="5">
        <f t="shared" ca="1" si="3"/>
        <v>13.673469387755102</v>
      </c>
    </row>
    <row r="45" spans="1:27">
      <c r="A45">
        <v>43</v>
      </c>
      <c r="B45">
        <v>300000000</v>
      </c>
      <c r="D45" s="18">
        <v>43</v>
      </c>
      <c r="E45" s="18" cm="1">
        <f t="array" aca="1" ref="E45" ca="1">INDIRECT("b"&amp;F45+2)</f>
        <v>6.4999999999999995E+31</v>
      </c>
      <c r="F45" s="18">
        <f t="shared" si="5"/>
        <v>455</v>
      </c>
      <c r="G45" s="18"/>
      <c r="H45" s="18"/>
      <c r="I45" s="19">
        <v>43</v>
      </c>
      <c r="J45" s="19" cm="1">
        <f t="array" aca="1" ref="J45" ca="1">INDIRECT("b"&amp;K45+2)</f>
        <v>4.1499999999999998E+63</v>
      </c>
      <c r="K45" s="19">
        <f t="shared" si="4"/>
        <v>1656</v>
      </c>
      <c r="N45" s="18">
        <v>606</v>
      </c>
      <c r="O45" s="18"/>
      <c r="P45" s="2" cm="1">
        <f t="array" aca="1" ref="P45" ca="1">INDIRECT("b" &amp; (N45+2))</f>
        <v>1.9000000000000003E+38</v>
      </c>
      <c r="Q45" s="5">
        <f t="shared" ca="1" si="2"/>
        <v>15.510204081632654</v>
      </c>
      <c r="S45" s="18">
        <v>166</v>
      </c>
      <c r="T45" s="18"/>
      <c r="U45" s="2" cm="1">
        <f t="array" aca="1" ref="U45" ca="1">INDIRECT("d" &amp; (S45+2))</f>
        <v>166</v>
      </c>
      <c r="V45" s="5">
        <f t="shared" ca="1" si="0"/>
        <v>1.3495934959349594</v>
      </c>
      <c r="W45">
        <v>43</v>
      </c>
      <c r="X45" s="18">
        <v>606</v>
      </c>
      <c r="Y45" s="18"/>
      <c r="Z45" s="2" cm="1">
        <f t="array" aca="1" ref="Z45" ca="1">INDIRECT("b" &amp; (X45+2))</f>
        <v>1.9000000000000003E+38</v>
      </c>
      <c r="AA45" s="5">
        <f t="shared" ca="1" si="3"/>
        <v>15.510204081632654</v>
      </c>
    </row>
    <row r="46" spans="1:27">
      <c r="A46">
        <v>44</v>
      </c>
      <c r="B46">
        <v>400000000</v>
      </c>
      <c r="D46" s="18">
        <v>44</v>
      </c>
      <c r="E46" s="18" cm="1">
        <f t="array" aca="1" ref="E46" ca="1">INDIRECT("b"&amp;F46+2)</f>
        <v>7.5E+31</v>
      </c>
      <c r="F46" s="18">
        <f t="shared" si="5"/>
        <v>457</v>
      </c>
      <c r="G46" s="18"/>
      <c r="H46" s="18"/>
      <c r="I46" s="19">
        <v>44</v>
      </c>
      <c r="J46" s="19" cm="1">
        <f t="array" aca="1" ref="J46" ca="1">INDIRECT("b"&amp;K46+2)</f>
        <v>4.3749999999999998E+63</v>
      </c>
      <c r="K46" s="19">
        <f t="shared" si="4"/>
        <v>1657</v>
      </c>
      <c r="N46" s="18">
        <v>607</v>
      </c>
      <c r="O46" s="18"/>
      <c r="P46" s="2" cm="1">
        <f t="array" aca="1" ref="P46" ca="1">INDIRECT("b" &amp; (N46+2))</f>
        <v>2.1249999999999999E+38</v>
      </c>
      <c r="Q46" s="5">
        <f t="shared" ca="1" si="2"/>
        <v>17.346938775510203</v>
      </c>
      <c r="S46" s="18">
        <v>167</v>
      </c>
      <c r="T46" s="18"/>
      <c r="U46" s="2" cm="1">
        <f t="array" aca="1" ref="U46" ca="1">INDIRECT("d" &amp; (S46+2))</f>
        <v>167</v>
      </c>
      <c r="V46" s="5">
        <f t="shared" ca="1" si="0"/>
        <v>1.3577235772357723</v>
      </c>
      <c r="W46">
        <v>44</v>
      </c>
      <c r="X46" s="18">
        <v>607</v>
      </c>
      <c r="Y46" s="18"/>
      <c r="Z46" s="2" cm="1">
        <f t="array" aca="1" ref="Z46" ca="1">INDIRECT("b" &amp; (X46+2))</f>
        <v>2.1249999999999999E+38</v>
      </c>
      <c r="AA46" s="5">
        <f t="shared" ca="1" si="3"/>
        <v>17.346938775510203</v>
      </c>
    </row>
    <row r="47" spans="1:27">
      <c r="A47">
        <v>45</v>
      </c>
      <c r="B47">
        <v>500000000</v>
      </c>
      <c r="D47" s="18">
        <v>45</v>
      </c>
      <c r="E47" s="18" cm="1">
        <f t="array" aca="1" ref="E47" ca="1">INDIRECT("b"&amp;F47+2)</f>
        <v>7.9999999999999997E+31</v>
      </c>
      <c r="F47" s="18">
        <f t="shared" si="5"/>
        <v>458</v>
      </c>
      <c r="G47" s="18"/>
      <c r="H47" s="18"/>
      <c r="I47" s="19">
        <v>45</v>
      </c>
      <c r="J47" s="19" cm="1">
        <f t="array" aca="1" ref="J47" ca="1">INDIRECT("b"&amp;K47+2)</f>
        <v>4.5999999999999999E+63</v>
      </c>
      <c r="K47" s="19">
        <f t="shared" si="4"/>
        <v>1658</v>
      </c>
      <c r="N47" s="18">
        <v>608</v>
      </c>
      <c r="O47" s="18"/>
      <c r="P47" s="2" cm="1">
        <f t="array" aca="1" ref="P47" ca="1">INDIRECT("b" &amp; (N47+2))</f>
        <v>2.35E+38</v>
      </c>
      <c r="Q47" s="5">
        <f t="shared" ca="1" si="2"/>
        <v>19.183673469387752</v>
      </c>
      <c r="S47" s="18">
        <v>168</v>
      </c>
      <c r="T47" s="18"/>
      <c r="U47" s="2" cm="1">
        <f t="array" aca="1" ref="U47" ca="1">INDIRECT("d" &amp; (S47+2))</f>
        <v>168</v>
      </c>
      <c r="V47" s="5">
        <f t="shared" ca="1" si="0"/>
        <v>1.3658536585365855</v>
      </c>
      <c r="W47">
        <v>45</v>
      </c>
      <c r="X47" s="18">
        <v>608</v>
      </c>
      <c r="Y47" s="18"/>
      <c r="Z47" s="2" cm="1">
        <f t="array" aca="1" ref="Z47" ca="1">INDIRECT("b" &amp; (X47+2))</f>
        <v>2.35E+38</v>
      </c>
      <c r="AA47" s="5">
        <f t="shared" ca="1" si="3"/>
        <v>19.183673469387752</v>
      </c>
    </row>
    <row r="48" spans="1:27">
      <c r="A48">
        <v>46</v>
      </c>
      <c r="B48">
        <v>600000000</v>
      </c>
      <c r="D48" s="18">
        <v>46</v>
      </c>
      <c r="E48" s="18" cm="1">
        <f t="array" aca="1" ref="E48" ca="1">INDIRECT("b"&amp;F48+2)</f>
        <v>8.4999999999999995E+31</v>
      </c>
      <c r="F48" s="18">
        <f t="shared" si="5"/>
        <v>459</v>
      </c>
      <c r="G48" s="18"/>
      <c r="H48" s="18"/>
      <c r="I48" s="19">
        <v>46</v>
      </c>
      <c r="J48" s="19" cm="1">
        <f t="array" aca="1" ref="J48" ca="1">INDIRECT("b"&amp;K48+2)</f>
        <v>5.05E+63</v>
      </c>
      <c r="K48" s="19">
        <f t="shared" si="4"/>
        <v>1660</v>
      </c>
      <c r="N48" s="18">
        <v>609</v>
      </c>
      <c r="O48" s="18"/>
      <c r="P48" s="2" cm="1">
        <f t="array" aca="1" ref="P48" ca="1">INDIRECT("b" &amp; (N48+2))</f>
        <v>2.575E+38</v>
      </c>
      <c r="Q48" s="5">
        <f t="shared" ca="1" si="2"/>
        <v>21.020408163265305</v>
      </c>
      <c r="S48" s="18">
        <v>169</v>
      </c>
      <c r="T48" s="18"/>
      <c r="U48" s="2" cm="1">
        <f t="array" aca="1" ref="U48" ca="1">INDIRECT("d" &amp; (S48+2))</f>
        <v>169</v>
      </c>
      <c r="V48" s="5">
        <f t="shared" ca="1" si="0"/>
        <v>1.3739837398373984</v>
      </c>
      <c r="W48">
        <v>46</v>
      </c>
      <c r="X48" s="18">
        <v>609</v>
      </c>
      <c r="Y48" s="18"/>
      <c r="Z48" s="2" cm="1">
        <f t="array" aca="1" ref="Z48" ca="1">INDIRECT("b" &amp; (X48+2))</f>
        <v>2.575E+38</v>
      </c>
      <c r="AA48" s="5">
        <f t="shared" ca="1" si="3"/>
        <v>21.020408163265305</v>
      </c>
    </row>
    <row r="49" spans="1:27">
      <c r="A49">
        <v>47</v>
      </c>
      <c r="B49">
        <v>700000000</v>
      </c>
      <c r="D49" s="18">
        <v>47</v>
      </c>
      <c r="E49" s="18" cm="1">
        <f t="array" aca="1" ref="E49" ca="1">INDIRECT("b"&amp;F49+2)</f>
        <v>9.5000000000000008E+31</v>
      </c>
      <c r="F49" s="18">
        <f t="shared" si="5"/>
        <v>461</v>
      </c>
      <c r="G49" s="18"/>
      <c r="H49" s="18"/>
      <c r="I49" s="19">
        <v>47</v>
      </c>
      <c r="J49" s="19" cm="1">
        <f t="array" aca="1" ref="J49" ca="1">INDIRECT("b"&amp;K49+2)</f>
        <v>5.275E+63</v>
      </c>
      <c r="K49" s="19">
        <f t="shared" si="4"/>
        <v>1661</v>
      </c>
      <c r="N49" s="18">
        <v>610</v>
      </c>
      <c r="O49" s="18"/>
      <c r="P49" s="2" cm="1">
        <f t="array" aca="1" ref="P49" ca="1">INDIRECT("b" &amp; (N49+2))</f>
        <v>2.8E+38</v>
      </c>
      <c r="Q49" s="5">
        <f t="shared" ca="1" si="2"/>
        <v>22.857142857142854</v>
      </c>
      <c r="S49" s="18">
        <v>170</v>
      </c>
      <c r="T49" s="18"/>
      <c r="U49" s="2" cm="1">
        <f t="array" aca="1" ref="U49" ca="1">INDIRECT("d" &amp; (S49+2))</f>
        <v>170</v>
      </c>
      <c r="V49" s="5">
        <f t="shared" ca="1" si="0"/>
        <v>1.3821138211382114</v>
      </c>
      <c r="W49">
        <v>47</v>
      </c>
      <c r="X49" s="18">
        <v>610</v>
      </c>
      <c r="Y49" s="18"/>
      <c r="Z49" s="2" cm="1">
        <f t="array" aca="1" ref="Z49" ca="1">INDIRECT("b" &amp; (X49+2))</f>
        <v>2.8E+38</v>
      </c>
      <c r="AA49" s="5">
        <f t="shared" ca="1" si="3"/>
        <v>22.857142857142854</v>
      </c>
    </row>
    <row r="50" spans="1:27">
      <c r="A50">
        <v>48</v>
      </c>
      <c r="B50">
        <v>800000000</v>
      </c>
      <c r="D50" s="18">
        <v>48</v>
      </c>
      <c r="E50" s="18" cm="1">
        <f t="array" aca="1" ref="E50" ca="1">INDIRECT("b"&amp;F50+2)</f>
        <v>1.0000000000000001E+32</v>
      </c>
      <c r="F50" s="18">
        <f t="shared" si="5"/>
        <v>462</v>
      </c>
      <c r="G50" s="18"/>
      <c r="H50" s="18"/>
      <c r="I50" s="19">
        <v>48</v>
      </c>
      <c r="J50" s="19" cm="1">
        <f t="array" aca="1" ref="J50" ca="1">INDIRECT("b"&amp;K50+2)</f>
        <v>5.5E+63</v>
      </c>
      <c r="K50" s="19">
        <f t="shared" si="4"/>
        <v>1662</v>
      </c>
      <c r="N50" s="18">
        <v>611</v>
      </c>
      <c r="O50" s="18"/>
      <c r="P50" s="2" cm="1">
        <f t="array" aca="1" ref="P50" ca="1">INDIRECT("b" &amp; (N50+2))</f>
        <v>3.025E+38</v>
      </c>
      <c r="Q50" s="5">
        <f t="shared" ca="1" si="2"/>
        <v>24.693877551020407</v>
      </c>
      <c r="S50" s="18">
        <v>171</v>
      </c>
      <c r="T50" s="18"/>
      <c r="U50" s="2" cm="1">
        <f t="array" aca="1" ref="U50" ca="1">INDIRECT("d" &amp; (S50+2))</f>
        <v>171</v>
      </c>
      <c r="V50" s="5">
        <f t="shared" ca="1" si="0"/>
        <v>1.3902439024390243</v>
      </c>
      <c r="W50">
        <v>48</v>
      </c>
      <c r="X50" s="18">
        <v>611</v>
      </c>
      <c r="Y50" s="18"/>
      <c r="Z50" s="2" cm="1">
        <f t="array" aca="1" ref="Z50" ca="1">INDIRECT("b" &amp; (X50+2))</f>
        <v>3.025E+38</v>
      </c>
      <c r="AA50" s="5">
        <f t="shared" ca="1" si="3"/>
        <v>24.693877551020407</v>
      </c>
    </row>
    <row r="51" spans="1:27">
      <c r="A51">
        <v>49</v>
      </c>
      <c r="B51">
        <v>900000000</v>
      </c>
      <c r="D51" s="18">
        <v>49</v>
      </c>
      <c r="E51" s="18" cm="1">
        <f t="array" aca="1" ref="E51" ca="1">INDIRECT("b"&amp;F51+2)</f>
        <v>1.05E+32</v>
      </c>
      <c r="F51" s="18">
        <f t="shared" si="5"/>
        <v>463</v>
      </c>
      <c r="G51" s="18"/>
      <c r="H51" s="18"/>
      <c r="I51" s="19">
        <v>49</v>
      </c>
      <c r="J51" s="19" cm="1">
        <f t="array" aca="1" ref="J51" ca="1">INDIRECT("b"&amp;K51+2)</f>
        <v>5.9500000000000001E+63</v>
      </c>
      <c r="K51" s="19">
        <f t="shared" si="4"/>
        <v>1664</v>
      </c>
      <c r="N51" s="18">
        <v>612</v>
      </c>
      <c r="O51" s="18"/>
      <c r="P51" s="2" cm="1">
        <f t="array" aca="1" ref="P51" ca="1">INDIRECT("b" &amp; (N51+2))</f>
        <v>3.2499999999999997E+38</v>
      </c>
      <c r="Q51" s="5">
        <f t="shared" ca="1" si="2"/>
        <v>26.530612244897956</v>
      </c>
      <c r="S51" s="18">
        <v>172</v>
      </c>
      <c r="T51" s="18"/>
      <c r="U51" s="2" cm="1">
        <f t="array" aca="1" ref="U51" ca="1">INDIRECT("d" &amp; (S51+2))</f>
        <v>172</v>
      </c>
      <c r="V51" s="5">
        <f t="shared" ca="1" si="0"/>
        <v>1.3983739837398375</v>
      </c>
      <c r="W51">
        <v>49</v>
      </c>
      <c r="X51" s="18">
        <v>612</v>
      </c>
      <c r="Y51" s="18"/>
      <c r="Z51" s="2" cm="1">
        <f t="array" aca="1" ref="Z51" ca="1">INDIRECT("b" &amp; (X51+2))</f>
        <v>3.2499999999999997E+38</v>
      </c>
      <c r="AA51" s="5">
        <f t="shared" ca="1" si="3"/>
        <v>26.530612244897956</v>
      </c>
    </row>
    <row r="52" spans="1:27">
      <c r="A52">
        <v>50</v>
      </c>
      <c r="B52">
        <v>1000000000</v>
      </c>
      <c r="D52" s="18">
        <v>50</v>
      </c>
      <c r="E52" s="18" cm="1">
        <f t="array" aca="1" ref="E52" ca="1">INDIRECT("b"&amp;F52+2)</f>
        <v>1.5E+32</v>
      </c>
      <c r="F52" s="18">
        <f t="shared" si="5"/>
        <v>465</v>
      </c>
      <c r="G52" s="18"/>
      <c r="H52" s="18"/>
      <c r="I52" s="19">
        <v>50</v>
      </c>
      <c r="J52" s="19" cm="1">
        <f t="array" aca="1" ref="J52" ca="1">INDIRECT("b"&amp;K52+2)</f>
        <v>6.1750000000000002E+63</v>
      </c>
      <c r="K52" s="19">
        <f t="shared" si="4"/>
        <v>1665</v>
      </c>
      <c r="N52" s="18">
        <v>613</v>
      </c>
      <c r="O52" s="18"/>
      <c r="P52" s="2" cm="1">
        <f t="array" aca="1" ref="P52" ca="1">INDIRECT("b" &amp; (N52+2))</f>
        <v>3.4750000000000001E+38</v>
      </c>
      <c r="Q52" s="5">
        <f t="shared" ca="1" si="2"/>
        <v>28.367346938775508</v>
      </c>
      <c r="S52" s="18">
        <v>173</v>
      </c>
      <c r="T52" s="18"/>
      <c r="U52" s="2" cm="1">
        <f t="array" aca="1" ref="U52" ca="1">INDIRECT("d" &amp; (S52+2))</f>
        <v>173</v>
      </c>
      <c r="V52" s="5">
        <f t="shared" ca="1" si="0"/>
        <v>1.4065040650406504</v>
      </c>
      <c r="W52">
        <v>50</v>
      </c>
      <c r="X52" s="18">
        <v>613</v>
      </c>
      <c r="Y52" s="18"/>
      <c r="Z52" s="2" cm="1">
        <f t="array" aca="1" ref="Z52" ca="1">INDIRECT("b" &amp; (X52+2))</f>
        <v>3.4750000000000001E+38</v>
      </c>
      <c r="AA52" s="5">
        <f t="shared" ca="1" si="3"/>
        <v>28.367346938775508</v>
      </c>
    </row>
    <row r="53" spans="1:27">
      <c r="A53">
        <v>51</v>
      </c>
      <c r="B53">
        <v>1500000000</v>
      </c>
      <c r="D53" s="18">
        <v>51</v>
      </c>
      <c r="E53" s="18" cm="1">
        <f t="array" aca="1" ref="E53" ca="1">INDIRECT("b"&amp;F53+2)</f>
        <v>2.0000000000000001E+32</v>
      </c>
      <c r="F53" s="18">
        <f t="shared" si="5"/>
        <v>466</v>
      </c>
      <c r="G53" s="18"/>
      <c r="H53" s="18"/>
      <c r="I53" s="19">
        <v>51</v>
      </c>
      <c r="J53" s="19" cm="1">
        <f t="array" aca="1" ref="J53" ca="1">INDIRECT("b"&amp;K53+2)</f>
        <v>6.4000000000000002E+63</v>
      </c>
      <c r="K53" s="19">
        <f t="shared" si="4"/>
        <v>1666</v>
      </c>
      <c r="N53" s="18">
        <v>614</v>
      </c>
      <c r="O53" s="18"/>
      <c r="P53" s="2" cm="1">
        <f t="array" aca="1" ref="P53" ca="1">INDIRECT("b" &amp; (N53+2))</f>
        <v>3.7000000000000001E+38</v>
      </c>
      <c r="Q53" s="5">
        <f t="shared" ca="1" si="2"/>
        <v>30.204081632653061</v>
      </c>
      <c r="S53" s="18">
        <v>174</v>
      </c>
      <c r="T53" s="18"/>
      <c r="U53" s="2" cm="1">
        <f t="array" aca="1" ref="U53" ca="1">INDIRECT("d" &amp; (S53+2))</f>
        <v>174</v>
      </c>
      <c r="V53" s="5">
        <f t="shared" ca="1" si="0"/>
        <v>1.4146341463414633</v>
      </c>
      <c r="W53">
        <v>51</v>
      </c>
      <c r="X53" s="18">
        <v>614</v>
      </c>
      <c r="Y53" s="18"/>
      <c r="Z53" s="2" cm="1">
        <f t="array" aca="1" ref="Z53" ca="1">INDIRECT("b" &amp; (X53+2))</f>
        <v>3.7000000000000001E+38</v>
      </c>
      <c r="AA53" s="5">
        <f t="shared" ca="1" si="3"/>
        <v>30.204081632653061</v>
      </c>
    </row>
    <row r="54" spans="1:27">
      <c r="A54">
        <v>52</v>
      </c>
      <c r="B54">
        <v>2000000000</v>
      </c>
      <c r="D54" s="18">
        <v>52</v>
      </c>
      <c r="E54" s="18" cm="1">
        <f t="array" aca="1" ref="E54" ca="1">INDIRECT("b"&amp;F54+2)</f>
        <v>2.5000000000000002E+32</v>
      </c>
      <c r="F54" s="18">
        <f t="shared" si="5"/>
        <v>467</v>
      </c>
      <c r="G54" s="18"/>
      <c r="H54" s="18"/>
      <c r="I54" s="19">
        <v>52</v>
      </c>
      <c r="J54" s="19" cm="1">
        <f t="array" aca="1" ref="J54" ca="1">INDIRECT("b"&amp;K54+2)</f>
        <v>6.8499999999999996E+63</v>
      </c>
      <c r="K54" s="19">
        <f t="shared" si="4"/>
        <v>1668</v>
      </c>
      <c r="N54" s="18">
        <v>615</v>
      </c>
      <c r="O54" s="18"/>
      <c r="P54" s="2" cm="1">
        <f t="array" aca="1" ref="P54" ca="1">INDIRECT("b" &amp; (N54+2))</f>
        <v>3.9250000000000002E+38</v>
      </c>
      <c r="Q54" s="5">
        <f t="shared" ca="1" si="2"/>
        <v>32.04081632653061</v>
      </c>
      <c r="S54" s="18">
        <v>175</v>
      </c>
      <c r="T54" s="18"/>
      <c r="U54" s="2" cm="1">
        <f t="array" aca="1" ref="U54" ca="1">INDIRECT("d" &amp; (S54+2))</f>
        <v>175</v>
      </c>
      <c r="V54" s="5">
        <f t="shared" ca="1" si="0"/>
        <v>1.4227642276422765</v>
      </c>
      <c r="W54">
        <v>52</v>
      </c>
      <c r="X54" s="18">
        <v>615</v>
      </c>
      <c r="Y54" s="18"/>
      <c r="Z54" s="2" cm="1">
        <f t="array" aca="1" ref="Z54" ca="1">INDIRECT("b" &amp; (X54+2))</f>
        <v>3.9250000000000002E+38</v>
      </c>
      <c r="AA54" s="5">
        <f t="shared" ca="1" si="3"/>
        <v>32.04081632653061</v>
      </c>
    </row>
    <row r="55" spans="1:27">
      <c r="A55">
        <v>53</v>
      </c>
      <c r="B55">
        <v>2500000000</v>
      </c>
      <c r="D55" s="18">
        <v>53</v>
      </c>
      <c r="E55" s="18" cm="1">
        <f t="array" aca="1" ref="E55" ca="1">INDIRECT("b"&amp;F55+2)</f>
        <v>3.5000000000000001E+32</v>
      </c>
      <c r="F55" s="18">
        <f t="shared" si="5"/>
        <v>469</v>
      </c>
      <c r="G55" s="18"/>
      <c r="H55" s="18"/>
      <c r="I55" s="19">
        <v>53</v>
      </c>
      <c r="J55" s="19" cm="1">
        <f t="array" aca="1" ref="J55" ca="1">INDIRECT("b"&amp;K55+2)</f>
        <v>7.0750000000000004E+63</v>
      </c>
      <c r="K55" s="19">
        <f t="shared" si="4"/>
        <v>1669</v>
      </c>
      <c r="N55" s="18">
        <v>616</v>
      </c>
      <c r="O55" s="18"/>
      <c r="P55" s="2" cm="1">
        <f t="array" aca="1" ref="P55" ca="1">INDIRECT("b" &amp; (N55+2))</f>
        <v>4.1500000000000002E+38</v>
      </c>
      <c r="Q55" s="5">
        <f t="shared" ca="1" si="2"/>
        <v>33.877551020408163</v>
      </c>
      <c r="S55" s="18">
        <v>176</v>
      </c>
      <c r="T55" s="18"/>
      <c r="U55" s="2" cm="1">
        <f t="array" aca="1" ref="U55" ca="1">INDIRECT("d" &amp; (S55+2))</f>
        <v>176</v>
      </c>
      <c r="V55" s="5">
        <f t="shared" ca="1" si="0"/>
        <v>1.4308943089430894</v>
      </c>
      <c r="W55">
        <v>53</v>
      </c>
      <c r="X55" s="18">
        <v>616</v>
      </c>
      <c r="Y55" s="18"/>
      <c r="Z55" s="2" cm="1">
        <f t="array" aca="1" ref="Z55" ca="1">INDIRECT("b" &amp; (X55+2))</f>
        <v>4.1500000000000002E+38</v>
      </c>
      <c r="AA55" s="5">
        <f t="shared" ca="1" si="3"/>
        <v>33.877551020408163</v>
      </c>
    </row>
    <row r="56" spans="1:27">
      <c r="A56">
        <v>54</v>
      </c>
      <c r="B56">
        <v>3000000000</v>
      </c>
      <c r="D56" s="18">
        <v>54</v>
      </c>
      <c r="E56" s="18" cm="1">
        <f t="array" aca="1" ref="E56" ca="1">INDIRECT("b"&amp;F56+2)</f>
        <v>4.0000000000000002E+32</v>
      </c>
      <c r="F56" s="18">
        <f t="shared" si="5"/>
        <v>470</v>
      </c>
      <c r="G56" s="18"/>
      <c r="H56" s="18"/>
      <c r="I56" s="19">
        <v>54</v>
      </c>
      <c r="J56" s="19" cm="1">
        <f t="array" aca="1" ref="J56" ca="1">INDIRECT("b"&amp;K56+2)</f>
        <v>7.2999999999999997E+63</v>
      </c>
      <c r="K56" s="19">
        <f t="shared" si="4"/>
        <v>1670</v>
      </c>
      <c r="N56" s="18">
        <v>617</v>
      </c>
      <c r="O56" s="18"/>
      <c r="P56" s="2" cm="1">
        <f t="array" aca="1" ref="P56" ca="1">INDIRECT("b" &amp; (N56+2))</f>
        <v>4.3750000000000002E+38</v>
      </c>
      <c r="Q56" s="5">
        <f t="shared" ca="1" si="2"/>
        <v>35.714285714285715</v>
      </c>
      <c r="S56" s="18">
        <v>177</v>
      </c>
      <c r="T56" s="18"/>
      <c r="U56" s="2" cm="1">
        <f t="array" aca="1" ref="U56" ca="1">INDIRECT("d" &amp; (S56+2))</f>
        <v>177</v>
      </c>
      <c r="V56" s="5">
        <f t="shared" ca="1" si="0"/>
        <v>1.4390243902439024</v>
      </c>
      <c r="W56">
        <v>54</v>
      </c>
      <c r="X56" s="18">
        <v>617</v>
      </c>
      <c r="Y56" s="18"/>
      <c r="Z56" s="2" cm="1">
        <f t="array" aca="1" ref="Z56" ca="1">INDIRECT("b" &amp; (X56+2))</f>
        <v>4.3750000000000002E+38</v>
      </c>
      <c r="AA56" s="5">
        <f t="shared" ca="1" si="3"/>
        <v>35.714285714285715</v>
      </c>
    </row>
    <row r="57" spans="1:27">
      <c r="A57">
        <v>55</v>
      </c>
      <c r="B57">
        <v>3500000000</v>
      </c>
      <c r="D57" s="18">
        <v>55</v>
      </c>
      <c r="E57" s="18" cm="1">
        <f t="array" aca="1" ref="E57" ca="1">INDIRECT("b"&amp;F57+2)</f>
        <v>4.5000000000000003E+32</v>
      </c>
      <c r="F57" s="18">
        <f t="shared" si="5"/>
        <v>471</v>
      </c>
      <c r="G57" s="18"/>
      <c r="H57" s="18"/>
      <c r="I57" s="19">
        <v>55</v>
      </c>
      <c r="J57" s="19" cm="1">
        <f t="array" aca="1" ref="J57" ca="1">INDIRECT("b"&amp;K57+2)</f>
        <v>7.7499999999999998E+63</v>
      </c>
      <c r="K57" s="19">
        <f t="shared" si="4"/>
        <v>1672</v>
      </c>
      <c r="N57" s="18">
        <v>618</v>
      </c>
      <c r="O57" s="18"/>
      <c r="P57" s="2" cm="1">
        <f t="array" aca="1" ref="P57" ca="1">INDIRECT("b" &amp; (N57+2))</f>
        <v>4.6000000000000002E+38</v>
      </c>
      <c r="Q57" s="5">
        <f t="shared" ca="1" si="2"/>
        <v>37.551020408163261</v>
      </c>
      <c r="S57" s="18">
        <v>178</v>
      </c>
      <c r="T57" s="18"/>
      <c r="U57" s="2" cm="1">
        <f t="array" aca="1" ref="U57" ca="1">INDIRECT("d" &amp; (S57+2))</f>
        <v>178</v>
      </c>
      <c r="V57" s="5">
        <f t="shared" ca="1" si="0"/>
        <v>1.4471544715447155</v>
      </c>
      <c r="W57">
        <v>55</v>
      </c>
      <c r="X57" s="18">
        <v>618</v>
      </c>
      <c r="Y57" s="18"/>
      <c r="Z57" s="2" cm="1">
        <f t="array" aca="1" ref="Z57" ca="1">INDIRECT("b" &amp; (X57+2))</f>
        <v>4.6000000000000002E+38</v>
      </c>
      <c r="AA57" s="5">
        <f t="shared" ca="1" si="3"/>
        <v>37.551020408163261</v>
      </c>
    </row>
    <row r="58" spans="1:27">
      <c r="A58">
        <v>56</v>
      </c>
      <c r="B58">
        <v>4000000000</v>
      </c>
      <c r="D58" s="18">
        <v>56</v>
      </c>
      <c r="E58" s="18" cm="1">
        <f t="array" aca="1" ref="E58" ca="1">INDIRECT("b"&amp;F58+2)</f>
        <v>5.4999999999999998E+32</v>
      </c>
      <c r="F58" s="18">
        <f t="shared" si="5"/>
        <v>473</v>
      </c>
      <c r="G58" s="18"/>
      <c r="H58" s="18"/>
      <c r="I58" s="19">
        <v>56</v>
      </c>
      <c r="J58" s="19" cm="1">
        <f t="array" aca="1" ref="J58" ca="1">INDIRECT("b"&amp;K58+2)</f>
        <v>7.9750000000000005E+63</v>
      </c>
      <c r="K58" s="19">
        <f t="shared" si="4"/>
        <v>1673</v>
      </c>
      <c r="N58" s="18">
        <v>619</v>
      </c>
      <c r="O58" s="18"/>
      <c r="P58" s="2" cm="1">
        <f t="array" aca="1" ref="P58" ca="1">INDIRECT("b" &amp; (N58+2))</f>
        <v>4.8250000000000003E+38</v>
      </c>
      <c r="Q58" s="5">
        <f t="shared" ca="1" si="2"/>
        <v>39.387755102040813</v>
      </c>
      <c r="S58" s="18">
        <v>179</v>
      </c>
      <c r="T58" s="18"/>
      <c r="U58" s="2" cm="1">
        <f t="array" aca="1" ref="U58" ca="1">INDIRECT("d" &amp; (S58+2))</f>
        <v>179</v>
      </c>
      <c r="V58" s="5">
        <f t="shared" ca="1" si="0"/>
        <v>1.4552845528455285</v>
      </c>
      <c r="W58">
        <v>56</v>
      </c>
      <c r="X58" s="18">
        <v>619</v>
      </c>
      <c r="Y58" s="18"/>
      <c r="Z58" s="2" cm="1">
        <f t="array" aca="1" ref="Z58" ca="1">INDIRECT("b" &amp; (X58+2))</f>
        <v>4.8250000000000003E+38</v>
      </c>
      <c r="AA58" s="5">
        <f t="shared" ca="1" si="3"/>
        <v>39.387755102040813</v>
      </c>
    </row>
    <row r="59" spans="1:27">
      <c r="A59">
        <v>57</v>
      </c>
      <c r="B59">
        <v>4500000000</v>
      </c>
      <c r="D59" s="18">
        <v>57</v>
      </c>
      <c r="E59" s="18" cm="1">
        <f t="array" aca="1" ref="E59" ca="1">INDIRECT("b"&amp;F59+2)</f>
        <v>6E+32</v>
      </c>
      <c r="F59" s="18">
        <f t="shared" si="5"/>
        <v>474</v>
      </c>
      <c r="G59" s="18"/>
      <c r="H59" s="18"/>
      <c r="I59" s="19">
        <v>57</v>
      </c>
      <c r="J59" s="19" cm="1">
        <f t="array" aca="1" ref="J59" ca="1">INDIRECT("b"&amp;K59+2)</f>
        <v>8.1999999999999999E+63</v>
      </c>
      <c r="K59" s="19">
        <f t="shared" si="4"/>
        <v>1674</v>
      </c>
      <c r="N59" s="18">
        <v>620</v>
      </c>
      <c r="O59" s="18"/>
      <c r="P59" s="2" cm="1">
        <f t="array" aca="1" ref="P59" ca="1">INDIRECT("b" &amp; (N59+2))</f>
        <v>5.0500000000000003E+38</v>
      </c>
      <c r="Q59" s="5">
        <f t="shared" ca="1" si="2"/>
        <v>41.224489795918366</v>
      </c>
      <c r="S59" s="18">
        <v>180</v>
      </c>
      <c r="T59" s="18"/>
      <c r="U59" s="2" cm="1">
        <f t="array" aca="1" ref="U59" ca="1">INDIRECT("d" &amp; (S59+2))</f>
        <v>180</v>
      </c>
      <c r="V59" s="5">
        <f t="shared" ca="1" si="0"/>
        <v>1.4634146341463414</v>
      </c>
      <c r="W59">
        <v>57</v>
      </c>
      <c r="X59" s="18">
        <v>620</v>
      </c>
      <c r="Y59" s="18"/>
      <c r="Z59" s="2" cm="1">
        <f t="array" aca="1" ref="Z59" ca="1">INDIRECT("b" &amp; (X59+2))</f>
        <v>5.0500000000000003E+38</v>
      </c>
      <c r="AA59" s="5">
        <f t="shared" ca="1" si="3"/>
        <v>41.224489795918366</v>
      </c>
    </row>
    <row r="60" spans="1:27">
      <c r="A60">
        <v>58</v>
      </c>
      <c r="B60">
        <v>5000000000</v>
      </c>
      <c r="D60" s="18">
        <v>58</v>
      </c>
      <c r="E60" s="18" cm="1">
        <f t="array" aca="1" ref="E60" ca="1">INDIRECT("b"&amp;F60+2)</f>
        <v>6.4999999999999994E+32</v>
      </c>
      <c r="F60" s="18">
        <f t="shared" si="5"/>
        <v>475</v>
      </c>
      <c r="G60" s="18"/>
      <c r="H60" s="18"/>
      <c r="I60" s="19">
        <v>58</v>
      </c>
      <c r="J60" s="19" cm="1">
        <f t="array" aca="1" ref="J60" ca="1">INDIRECT("b"&amp;K60+2)</f>
        <v>8.6499999999999999E+63</v>
      </c>
      <c r="K60" s="19">
        <f t="shared" si="4"/>
        <v>1676</v>
      </c>
      <c r="N60" s="18">
        <v>621</v>
      </c>
      <c r="O60" s="18"/>
      <c r="P60" s="2" cm="1">
        <f t="array" aca="1" ref="P60" ca="1">INDIRECT("b" &amp; (N60+2))</f>
        <v>5.2750000000000003E+38</v>
      </c>
      <c r="Q60" s="5">
        <f t="shared" ca="1" si="2"/>
        <v>43.061224489795919</v>
      </c>
      <c r="S60" s="18">
        <v>181</v>
      </c>
      <c r="T60" s="18"/>
      <c r="U60" s="2" cm="1">
        <f t="array" aca="1" ref="U60" ca="1">INDIRECT("d" &amp; (S60+2))</f>
        <v>181</v>
      </c>
      <c r="V60" s="5">
        <f t="shared" ca="1" si="0"/>
        <v>1.4715447154471544</v>
      </c>
      <c r="W60">
        <v>58</v>
      </c>
      <c r="X60" s="18">
        <v>621</v>
      </c>
      <c r="Y60" s="18"/>
      <c r="Z60" s="2" cm="1">
        <f t="array" aca="1" ref="Z60" ca="1">INDIRECT("b" &amp; (X60+2))</f>
        <v>5.2750000000000003E+38</v>
      </c>
      <c r="AA60" s="5">
        <f t="shared" ca="1" si="3"/>
        <v>43.061224489795919</v>
      </c>
    </row>
    <row r="61" spans="1:27">
      <c r="A61">
        <v>59</v>
      </c>
      <c r="B61">
        <v>5500000000</v>
      </c>
      <c r="D61" s="18">
        <v>59</v>
      </c>
      <c r="E61" s="18" cm="1">
        <f t="array" aca="1" ref="E61" ca="1">INDIRECT("b"&amp;F61+2)</f>
        <v>7.4999999999999996E+32</v>
      </c>
      <c r="F61" s="18">
        <f t="shared" si="5"/>
        <v>477</v>
      </c>
      <c r="G61" s="18"/>
      <c r="H61" s="18"/>
      <c r="I61" s="19">
        <v>59</v>
      </c>
      <c r="J61" s="19" cm="1">
        <f t="array" aca="1" ref="J61" ca="1">INDIRECT("b"&amp;K61+2)</f>
        <v>8.8750000000000007E+63</v>
      </c>
      <c r="K61" s="19">
        <f t="shared" si="4"/>
        <v>1677</v>
      </c>
      <c r="N61" s="18">
        <v>622</v>
      </c>
      <c r="O61" s="18"/>
      <c r="P61" s="2" cm="1">
        <f t="array" aca="1" ref="P61" ca="1">INDIRECT("b" &amp; (N61+2))</f>
        <v>5.4999999999999996E+38</v>
      </c>
      <c r="Q61" s="5">
        <f t="shared" ca="1" si="2"/>
        <v>44.897959183673464</v>
      </c>
      <c r="S61" s="18">
        <v>182</v>
      </c>
      <c r="T61" s="18"/>
      <c r="U61" s="2" cm="1">
        <f t="array" aca="1" ref="U61" ca="1">INDIRECT("d" &amp; (S61+2))</f>
        <v>182</v>
      </c>
      <c r="V61" s="5">
        <f t="shared" ca="1" si="0"/>
        <v>1.4796747967479675</v>
      </c>
      <c r="W61">
        <v>59</v>
      </c>
      <c r="X61" s="18">
        <v>622</v>
      </c>
      <c r="Y61" s="18"/>
      <c r="Z61" s="2" cm="1">
        <f t="array" aca="1" ref="Z61" ca="1">INDIRECT("b" &amp; (X61+2))</f>
        <v>5.4999999999999996E+38</v>
      </c>
      <c r="AA61" s="5">
        <f t="shared" ca="1" si="3"/>
        <v>44.897959183673464</v>
      </c>
    </row>
    <row r="62" spans="1:27">
      <c r="A62">
        <v>60</v>
      </c>
      <c r="B62">
        <v>6000000000</v>
      </c>
      <c r="D62" s="18">
        <v>60</v>
      </c>
      <c r="E62" s="18" cm="1">
        <f t="array" aca="1" ref="E62" ca="1">INDIRECT("b"&amp;F62+2)</f>
        <v>8.0000000000000004E+32</v>
      </c>
      <c r="F62" s="18">
        <f t="shared" si="5"/>
        <v>478</v>
      </c>
      <c r="G62" s="18"/>
      <c r="H62" s="18"/>
      <c r="I62" s="19">
        <v>60</v>
      </c>
      <c r="J62" s="19" cm="1">
        <f t="array" aca="1" ref="J62" ca="1">INDIRECT("b"&amp;K62+2)</f>
        <v>9.1E+63</v>
      </c>
      <c r="K62" s="19">
        <f t="shared" si="4"/>
        <v>1678</v>
      </c>
      <c r="N62" s="18">
        <v>623</v>
      </c>
      <c r="O62" s="18"/>
      <c r="P62" s="2" cm="1">
        <f t="array" aca="1" ref="P62" ca="1">INDIRECT("b" &amp; (N62+2))</f>
        <v>5.7250000000000004E+38</v>
      </c>
      <c r="Q62" s="5">
        <f t="shared" ca="1" si="2"/>
        <v>46.734693877551017</v>
      </c>
      <c r="S62" s="18">
        <v>183</v>
      </c>
      <c r="T62" s="18"/>
      <c r="U62" s="2" cm="1">
        <f t="array" aca="1" ref="U62" ca="1">INDIRECT("d" &amp; (S62+2))</f>
        <v>183</v>
      </c>
      <c r="V62" s="5">
        <f t="shared" ca="1" si="0"/>
        <v>1.4878048780487805</v>
      </c>
      <c r="W62">
        <v>60</v>
      </c>
      <c r="X62" s="18">
        <v>623</v>
      </c>
      <c r="Y62" s="18"/>
      <c r="Z62" s="2" cm="1">
        <f t="array" aca="1" ref="Z62" ca="1">INDIRECT("b" &amp; (X62+2))</f>
        <v>5.7250000000000004E+38</v>
      </c>
      <c r="AA62" s="5">
        <f t="shared" ca="1" si="3"/>
        <v>46.734693877551017</v>
      </c>
    </row>
    <row r="63" spans="1:27">
      <c r="A63">
        <v>61</v>
      </c>
      <c r="B63">
        <v>7000000000</v>
      </c>
      <c r="D63" s="18">
        <v>61</v>
      </c>
      <c r="E63" s="18" cm="1">
        <f t="array" aca="1" ref="E63" ca="1">INDIRECT("b"&amp;F63+2)</f>
        <v>8.4999999999999998E+32</v>
      </c>
      <c r="F63" s="18">
        <f t="shared" si="5"/>
        <v>479</v>
      </c>
      <c r="G63" s="18"/>
      <c r="H63" s="18"/>
      <c r="I63" s="19">
        <v>61</v>
      </c>
      <c r="J63" s="19" cm="1">
        <f t="array" aca="1" ref="J63" ca="1">INDIRECT("b"&amp;K63+2)</f>
        <v>9.5500000000000001E+63</v>
      </c>
      <c r="K63" s="19">
        <f t="shared" si="4"/>
        <v>1680</v>
      </c>
      <c r="N63" s="18">
        <v>624</v>
      </c>
      <c r="O63" s="18"/>
      <c r="P63" s="2" cm="1">
        <f t="array" aca="1" ref="P63" ca="1">INDIRECT("b" &amp; (N63+2))</f>
        <v>5.9500000000000004E+38</v>
      </c>
      <c r="Q63" s="5">
        <f t="shared" ca="1" si="2"/>
        <v>48.571428571428569</v>
      </c>
      <c r="S63" s="18">
        <v>184</v>
      </c>
      <c r="T63" s="18"/>
      <c r="U63" s="2" cm="1">
        <f t="array" aca="1" ref="U63" ca="1">INDIRECT("d" &amp; (S63+2))</f>
        <v>184</v>
      </c>
      <c r="V63" s="5">
        <f t="shared" ca="1" si="0"/>
        <v>1.4959349593495934</v>
      </c>
      <c r="W63">
        <v>61</v>
      </c>
      <c r="X63" s="18">
        <v>624</v>
      </c>
      <c r="Y63" s="18"/>
      <c r="Z63" s="2" cm="1">
        <f t="array" aca="1" ref="Z63" ca="1">INDIRECT("b" &amp; (X63+2))</f>
        <v>5.9500000000000004E+38</v>
      </c>
      <c r="AA63" s="5">
        <f t="shared" ca="1" si="3"/>
        <v>48.571428571428569</v>
      </c>
    </row>
    <row r="64" spans="1:27">
      <c r="A64">
        <v>62</v>
      </c>
      <c r="B64">
        <v>8000000000</v>
      </c>
      <c r="D64" s="18">
        <v>62</v>
      </c>
      <c r="E64" s="18" cm="1">
        <f t="array" aca="1" ref="E64" ca="1">INDIRECT("b"&amp;F64+2)</f>
        <v>9.5000000000000001E+32</v>
      </c>
      <c r="F64" s="18">
        <f t="shared" si="5"/>
        <v>481</v>
      </c>
      <c r="G64" s="18"/>
      <c r="H64" s="18"/>
      <c r="I64" s="19">
        <v>62</v>
      </c>
      <c r="J64" s="19" cm="1">
        <f t="array" aca="1" ref="J64" ca="1">INDIRECT("b"&amp;K64+2)</f>
        <v>9.7749999999999994E+63</v>
      </c>
      <c r="K64" s="19">
        <f t="shared" si="4"/>
        <v>1681</v>
      </c>
      <c r="N64" s="18">
        <v>625</v>
      </c>
      <c r="O64" s="18"/>
      <c r="P64" s="2" cm="1">
        <f t="array" aca="1" ref="P64" ca="1">INDIRECT("b" &amp; (N64+2))</f>
        <v>6.1749999999999997E+38</v>
      </c>
      <c r="Q64" s="5">
        <f t="shared" ca="1" si="2"/>
        <v>50.408163265306115</v>
      </c>
      <c r="S64" s="18">
        <v>185</v>
      </c>
      <c r="T64" s="18"/>
      <c r="U64" s="2" cm="1">
        <f t="array" aca="1" ref="U64" ca="1">INDIRECT("d" &amp; (S64+2))</f>
        <v>185</v>
      </c>
      <c r="V64" s="5">
        <f t="shared" ca="1" si="0"/>
        <v>1.5040650406504066</v>
      </c>
      <c r="W64">
        <v>62</v>
      </c>
      <c r="X64" s="18">
        <v>625</v>
      </c>
      <c r="Y64" s="18"/>
      <c r="Z64" s="2" cm="1">
        <f t="array" aca="1" ref="Z64" ca="1">INDIRECT("b" &amp; (X64+2))</f>
        <v>6.1749999999999997E+38</v>
      </c>
      <c r="AA64" s="5">
        <f t="shared" ca="1" si="3"/>
        <v>50.408163265306115</v>
      </c>
    </row>
    <row r="65" spans="1:27">
      <c r="A65">
        <v>63</v>
      </c>
      <c r="B65">
        <v>9000000000</v>
      </c>
      <c r="D65" s="18">
        <v>63</v>
      </c>
      <c r="E65" s="18" cm="1">
        <f t="array" aca="1" ref="E65" ca="1">INDIRECT("b"&amp;F65+2)</f>
        <v>1.0000000000000001E+33</v>
      </c>
      <c r="F65" s="18">
        <f t="shared" si="5"/>
        <v>482</v>
      </c>
      <c r="G65" s="18"/>
      <c r="H65" s="18"/>
      <c r="I65" s="19">
        <v>63</v>
      </c>
      <c r="J65" s="19" cm="1">
        <f t="array" aca="1" ref="J65" ca="1">INDIRECT("b"&amp;K65+2)</f>
        <v>1E+64</v>
      </c>
      <c r="K65" s="19">
        <f t="shared" si="4"/>
        <v>1682</v>
      </c>
      <c r="N65" s="18">
        <v>626</v>
      </c>
      <c r="O65" s="18"/>
      <c r="P65" s="2" cm="1">
        <f t="array" aca="1" ref="P65" ca="1">INDIRECT("b" &amp; (N65+2))</f>
        <v>6.3999999999999997E+38</v>
      </c>
      <c r="Q65" s="5">
        <f t="shared" ca="1" si="2"/>
        <v>52.244897959183668</v>
      </c>
      <c r="S65" s="18">
        <v>186</v>
      </c>
      <c r="T65" s="18"/>
      <c r="U65" s="2" cm="1">
        <f t="array" aca="1" ref="U65" ca="1">INDIRECT("d" &amp; (S65+2))</f>
        <v>186</v>
      </c>
      <c r="V65" s="5">
        <f t="shared" ca="1" si="0"/>
        <v>1.5121951219512195</v>
      </c>
      <c r="W65">
        <v>63</v>
      </c>
      <c r="X65" s="18">
        <v>626</v>
      </c>
      <c r="Y65" s="18"/>
      <c r="Z65" s="2" cm="1">
        <f t="array" aca="1" ref="Z65" ca="1">INDIRECT("b" &amp; (X65+2))</f>
        <v>6.3999999999999997E+38</v>
      </c>
      <c r="AA65" s="5">
        <f t="shared" ca="1" si="3"/>
        <v>52.244897959183668</v>
      </c>
    </row>
    <row r="66" spans="1:27">
      <c r="A66">
        <v>64</v>
      </c>
      <c r="B66">
        <v>10000000000</v>
      </c>
      <c r="D66" s="18">
        <v>64</v>
      </c>
      <c r="E66" s="18" cm="1">
        <f t="array" aca="1" ref="E66" ca="1">INDIRECT("b"&amp;F66+2)</f>
        <v>1.05E+33</v>
      </c>
      <c r="F66" s="18">
        <f t="shared" si="5"/>
        <v>483</v>
      </c>
      <c r="G66" s="18"/>
      <c r="H66" s="18"/>
      <c r="I66" s="19">
        <v>64</v>
      </c>
      <c r="J66" s="19" cm="1">
        <f t="array" aca="1" ref="J66" ca="1">INDIRECT("b"&amp;K66+2)</f>
        <v>1.4500000000000003E+64</v>
      </c>
      <c r="K66" s="19">
        <f t="shared" si="4"/>
        <v>1684</v>
      </c>
      <c r="N66" s="18">
        <v>627</v>
      </c>
      <c r="O66" s="18"/>
      <c r="P66" s="2" cm="1">
        <f t="array" aca="1" ref="P66" ca="1">INDIRECT("b" &amp; (N66+2))</f>
        <v>6.6250000000000005E+38</v>
      </c>
      <c r="Q66" s="5">
        <f t="shared" ca="1" si="2"/>
        <v>54.081632653061227</v>
      </c>
      <c r="S66" s="18">
        <v>187</v>
      </c>
      <c r="T66" s="18"/>
      <c r="U66" s="2" cm="1">
        <f t="array" aca="1" ref="U66" ca="1">INDIRECT("d" &amp; (S66+2))</f>
        <v>187</v>
      </c>
      <c r="V66" s="5">
        <f t="shared" ref="V66:V129" ca="1" si="6">U66/U$2</f>
        <v>1.5203252032520325</v>
      </c>
      <c r="W66">
        <v>64</v>
      </c>
      <c r="X66" s="18">
        <v>627</v>
      </c>
      <c r="Y66" s="18"/>
      <c r="Z66" s="2" cm="1">
        <f t="array" aca="1" ref="Z66" ca="1">INDIRECT("b" &amp; (X66+2))</f>
        <v>6.6250000000000005E+38</v>
      </c>
      <c r="AA66" s="5">
        <f t="shared" ca="1" si="3"/>
        <v>54.081632653061227</v>
      </c>
    </row>
    <row r="67" spans="1:27">
      <c r="A67">
        <v>65</v>
      </c>
      <c r="B67">
        <v>15000000000</v>
      </c>
      <c r="D67" s="18">
        <v>65</v>
      </c>
      <c r="E67" s="18" cm="1">
        <f t="array" aca="1" ref="E67" ca="1">INDIRECT("b"&amp;F67+2)</f>
        <v>1.4999999999999999E+33</v>
      </c>
      <c r="F67" s="18">
        <f t="shared" ref="F67:F98" si="7">INT((A67-1)*1.333333+400)</f>
        <v>485</v>
      </c>
      <c r="G67" s="18"/>
      <c r="H67" s="18"/>
      <c r="I67" s="19">
        <v>65</v>
      </c>
      <c r="J67" s="19" cm="1">
        <f t="array" aca="1" ref="J67" ca="1">INDIRECT("b"&amp;K67+2)</f>
        <v>1.6750000000000002E+64</v>
      </c>
      <c r="K67" s="19">
        <f t="shared" si="4"/>
        <v>1685</v>
      </c>
      <c r="N67" s="18">
        <v>628</v>
      </c>
      <c r="O67" s="18"/>
      <c r="P67" s="2" cm="1">
        <f t="array" aca="1" ref="P67" ca="1">INDIRECT("b" &amp; (N67+2))</f>
        <v>6.8500000000000005E+38</v>
      </c>
      <c r="Q67" s="5">
        <f t="shared" ref="Q67:Q130" ca="1" si="8">P67/$P$2</f>
        <v>55.918367346938773</v>
      </c>
      <c r="S67" s="18">
        <v>188</v>
      </c>
      <c r="T67" s="18"/>
      <c r="U67" s="2" cm="1">
        <f t="array" aca="1" ref="U67" ca="1">INDIRECT("d" &amp; (S67+2))</f>
        <v>188</v>
      </c>
      <c r="V67" s="5">
        <f t="shared" ca="1" si="6"/>
        <v>1.5284552845528456</v>
      </c>
      <c r="W67">
        <v>65</v>
      </c>
      <c r="X67" s="18">
        <v>628</v>
      </c>
      <c r="Y67" s="18"/>
      <c r="Z67" s="2" cm="1">
        <f t="array" aca="1" ref="Z67" ca="1">INDIRECT("b" &amp; (X67+2))</f>
        <v>6.8500000000000005E+38</v>
      </c>
      <c r="AA67" s="5">
        <f t="shared" ref="AA67:AA130" ca="1" si="9">Z67/$P$2</f>
        <v>55.918367346938773</v>
      </c>
    </row>
    <row r="68" spans="1:27">
      <c r="A68">
        <v>66</v>
      </c>
      <c r="B68">
        <v>20000000000</v>
      </c>
      <c r="D68" s="18">
        <v>66</v>
      </c>
      <c r="E68" s="18" cm="1">
        <f t="array" aca="1" ref="E68" ca="1">INDIRECT("b"&amp;F68+2)</f>
        <v>2.0000000000000002E+33</v>
      </c>
      <c r="F68" s="18">
        <f t="shared" si="7"/>
        <v>486</v>
      </c>
      <c r="G68" s="18"/>
      <c r="H68" s="18"/>
      <c r="I68" s="19">
        <v>66</v>
      </c>
      <c r="J68" s="19" cm="1">
        <f t="array" aca="1" ref="J68" ca="1">INDIRECT("b"&amp;K68+2)</f>
        <v>1.9000000000000001E+64</v>
      </c>
      <c r="K68" s="19">
        <f t="shared" ref="K68:K131" si="10">INT((A68-1)*40/30+900*40/30)+400</f>
        <v>1686</v>
      </c>
      <c r="N68" s="18">
        <v>629</v>
      </c>
      <c r="O68" s="18"/>
      <c r="P68" s="2" cm="1">
        <f t="array" aca="1" ref="P68" ca="1">INDIRECT("b" &amp; (N68+2))</f>
        <v>7.0750000000000005E+38</v>
      </c>
      <c r="Q68" s="5">
        <f t="shared" ca="1" si="8"/>
        <v>57.755102040816325</v>
      </c>
      <c r="S68" s="18">
        <v>189</v>
      </c>
      <c r="T68" s="18"/>
      <c r="U68" s="2" cm="1">
        <f t="array" aca="1" ref="U68" ca="1">INDIRECT("d" &amp; (S68+2))</f>
        <v>189</v>
      </c>
      <c r="V68" s="5">
        <f t="shared" ca="1" si="6"/>
        <v>1.5365853658536586</v>
      </c>
      <c r="W68">
        <v>66</v>
      </c>
      <c r="X68" s="18">
        <v>629</v>
      </c>
      <c r="Y68" s="18"/>
      <c r="Z68" s="2" cm="1">
        <f t="array" aca="1" ref="Z68" ca="1">INDIRECT("b" &amp; (X68+2))</f>
        <v>7.0750000000000005E+38</v>
      </c>
      <c r="AA68" s="5">
        <f t="shared" ca="1" si="9"/>
        <v>57.755102040816325</v>
      </c>
    </row>
    <row r="69" spans="1:27">
      <c r="A69">
        <v>67</v>
      </c>
      <c r="B69">
        <v>25000000000</v>
      </c>
      <c r="D69" s="18">
        <v>67</v>
      </c>
      <c r="E69" s="18" cm="1">
        <f t="array" aca="1" ref="E69" ca="1">INDIRECT("b"&amp;F69+2)</f>
        <v>2.5000000000000002E+33</v>
      </c>
      <c r="F69" s="18">
        <f t="shared" si="7"/>
        <v>487</v>
      </c>
      <c r="G69" s="18"/>
      <c r="H69" s="18"/>
      <c r="I69" s="19">
        <v>67</v>
      </c>
      <c r="J69" s="19" cm="1">
        <f t="array" aca="1" ref="J69" ca="1">INDIRECT("b"&amp;K69+2)</f>
        <v>2.3500000000000001E+64</v>
      </c>
      <c r="K69" s="19">
        <f t="shared" si="10"/>
        <v>1688</v>
      </c>
      <c r="N69" s="18">
        <v>630</v>
      </c>
      <c r="O69" s="18"/>
      <c r="P69" s="2" cm="1">
        <f t="array" aca="1" ref="P69" ca="1">INDIRECT("b" &amp; (N69+2))</f>
        <v>7.3000000000000006E+38</v>
      </c>
      <c r="Q69" s="5">
        <f t="shared" ca="1" si="8"/>
        <v>59.591836734693878</v>
      </c>
      <c r="S69" s="18">
        <v>190</v>
      </c>
      <c r="T69" s="18"/>
      <c r="U69" s="2" cm="1">
        <f t="array" aca="1" ref="U69" ca="1">INDIRECT("d" &amp; (S69+2))</f>
        <v>190</v>
      </c>
      <c r="V69" s="5">
        <f t="shared" ca="1" si="6"/>
        <v>1.5447154471544715</v>
      </c>
      <c r="W69">
        <v>67</v>
      </c>
      <c r="X69" s="18">
        <v>630</v>
      </c>
      <c r="Y69" s="18"/>
      <c r="Z69" s="2" cm="1">
        <f t="array" aca="1" ref="Z69" ca="1">INDIRECT("b" &amp; (X69+2))</f>
        <v>7.3000000000000006E+38</v>
      </c>
      <c r="AA69" s="5">
        <f t="shared" ca="1" si="9"/>
        <v>59.591836734693878</v>
      </c>
    </row>
    <row r="70" spans="1:27">
      <c r="A70">
        <v>68</v>
      </c>
      <c r="B70">
        <v>30000000000</v>
      </c>
      <c r="D70" s="18">
        <v>68</v>
      </c>
      <c r="E70" s="18" cm="1">
        <f t="array" aca="1" ref="E70" ca="1">INDIRECT("b"&amp;F70+2)</f>
        <v>3.5000000000000001E+33</v>
      </c>
      <c r="F70" s="18">
        <f t="shared" si="7"/>
        <v>489</v>
      </c>
      <c r="G70" s="18"/>
      <c r="H70" s="18"/>
      <c r="I70" s="19">
        <v>68</v>
      </c>
      <c r="J70" s="19" cm="1">
        <f t="array" aca="1" ref="J70" ca="1">INDIRECT("b"&amp;K70+2)</f>
        <v>2.5750000000000003E+64</v>
      </c>
      <c r="K70" s="19">
        <f t="shared" si="10"/>
        <v>1689</v>
      </c>
      <c r="N70" s="18">
        <v>631</v>
      </c>
      <c r="O70" s="18"/>
      <c r="P70" s="2" cm="1">
        <f t="array" aca="1" ref="P70" ca="1">INDIRECT("b" &amp; (N70+2))</f>
        <v>7.5249999999999991E+38</v>
      </c>
      <c r="Q70" s="5">
        <f t="shared" ca="1" si="8"/>
        <v>61.428571428571416</v>
      </c>
      <c r="S70" s="18">
        <v>191</v>
      </c>
      <c r="T70" s="18"/>
      <c r="U70" s="2" cm="1">
        <f t="array" aca="1" ref="U70" ca="1">INDIRECT("d" &amp; (S70+2))</f>
        <v>191</v>
      </c>
      <c r="V70" s="5">
        <f t="shared" ca="1" si="6"/>
        <v>1.5528455284552845</v>
      </c>
      <c r="W70">
        <v>68</v>
      </c>
      <c r="X70" s="18">
        <v>631</v>
      </c>
      <c r="Y70" s="18"/>
      <c r="Z70" s="2" cm="1">
        <f t="array" aca="1" ref="Z70" ca="1">INDIRECT("b" &amp; (X70+2))</f>
        <v>7.5249999999999991E+38</v>
      </c>
      <c r="AA70" s="5">
        <f t="shared" ca="1" si="9"/>
        <v>61.428571428571416</v>
      </c>
    </row>
    <row r="71" spans="1:27">
      <c r="A71">
        <v>69</v>
      </c>
      <c r="B71">
        <v>35000000000</v>
      </c>
      <c r="D71" s="18">
        <v>69</v>
      </c>
      <c r="E71" s="18" cm="1">
        <f t="array" aca="1" ref="E71" ca="1">INDIRECT("b"&amp;F71+2)</f>
        <v>4.0000000000000004E+33</v>
      </c>
      <c r="F71" s="18">
        <f t="shared" si="7"/>
        <v>490</v>
      </c>
      <c r="G71" s="18"/>
      <c r="H71" s="18"/>
      <c r="I71" s="19">
        <v>69</v>
      </c>
      <c r="J71" s="19" cm="1">
        <f t="array" aca="1" ref="J71" ca="1">INDIRECT("b"&amp;K71+2)</f>
        <v>2.8000000000000002E+64</v>
      </c>
      <c r="K71" s="19">
        <f t="shared" si="10"/>
        <v>1690</v>
      </c>
      <c r="N71" s="18">
        <v>632</v>
      </c>
      <c r="O71" s="18"/>
      <c r="P71" s="2" cm="1">
        <f t="array" aca="1" ref="P71" ca="1">INDIRECT("b" &amp; (N71+2))</f>
        <v>7.7500000000000006E+38</v>
      </c>
      <c r="Q71" s="5">
        <f t="shared" ca="1" si="8"/>
        <v>63.265306122448976</v>
      </c>
      <c r="S71" s="18">
        <v>192</v>
      </c>
      <c r="T71" s="18"/>
      <c r="U71" s="2" cm="1">
        <f t="array" aca="1" ref="U71" ca="1">INDIRECT("d" &amp; (S71+2))</f>
        <v>192</v>
      </c>
      <c r="V71" s="5">
        <f t="shared" ca="1" si="6"/>
        <v>1.5609756097560976</v>
      </c>
      <c r="W71">
        <v>69</v>
      </c>
      <c r="X71" s="18">
        <v>632</v>
      </c>
      <c r="Y71" s="18"/>
      <c r="Z71" s="2" cm="1">
        <f t="array" aca="1" ref="Z71" ca="1">INDIRECT("b" &amp; (X71+2))</f>
        <v>7.7500000000000006E+38</v>
      </c>
      <c r="AA71" s="5">
        <f t="shared" ca="1" si="9"/>
        <v>63.265306122448976</v>
      </c>
    </row>
    <row r="72" spans="1:27">
      <c r="A72">
        <v>70</v>
      </c>
      <c r="B72">
        <v>40000000000</v>
      </c>
      <c r="D72" s="18">
        <v>70</v>
      </c>
      <c r="E72" s="18" cm="1">
        <f t="array" aca="1" ref="E72" ca="1">INDIRECT("b"&amp;F72+2)</f>
        <v>4.5E+33</v>
      </c>
      <c r="F72" s="18">
        <f t="shared" si="7"/>
        <v>491</v>
      </c>
      <c r="G72" s="18"/>
      <c r="H72" s="18"/>
      <c r="I72" s="19">
        <v>70</v>
      </c>
      <c r="J72" s="19" cm="1">
        <f t="array" aca="1" ref="J72" ca="1">INDIRECT("b"&amp;K72+2)</f>
        <v>3.25E+64</v>
      </c>
      <c r="K72" s="19">
        <f t="shared" si="10"/>
        <v>1692</v>
      </c>
      <c r="N72" s="18">
        <v>633</v>
      </c>
      <c r="O72" s="18"/>
      <c r="P72" s="2" cm="1">
        <f t="array" aca="1" ref="P72" ca="1">INDIRECT("b" &amp; (N72+2))</f>
        <v>7.9750000000000007E+38</v>
      </c>
      <c r="Q72" s="5">
        <f t="shared" ca="1" si="8"/>
        <v>65.102040816326536</v>
      </c>
      <c r="S72" s="18">
        <v>193</v>
      </c>
      <c r="T72" s="18"/>
      <c r="U72" s="2" cm="1">
        <f t="array" aca="1" ref="U72" ca="1">INDIRECT("d" &amp; (S72+2))</f>
        <v>193</v>
      </c>
      <c r="V72" s="5">
        <f t="shared" ca="1" si="6"/>
        <v>1.5691056910569106</v>
      </c>
      <c r="W72">
        <v>70</v>
      </c>
      <c r="X72" s="18">
        <v>633</v>
      </c>
      <c r="Y72" s="18"/>
      <c r="Z72" s="2" cm="1">
        <f t="array" aca="1" ref="Z72" ca="1">INDIRECT("b" &amp; (X72+2))</f>
        <v>7.9750000000000007E+38</v>
      </c>
      <c r="AA72" s="5">
        <f t="shared" ca="1" si="9"/>
        <v>65.102040816326536</v>
      </c>
    </row>
    <row r="73" spans="1:27">
      <c r="A73">
        <v>71</v>
      </c>
      <c r="B73">
        <v>45000000000</v>
      </c>
      <c r="D73" s="18">
        <v>71</v>
      </c>
      <c r="E73" s="18" cm="1">
        <f t="array" aca="1" ref="E73" ca="1">INDIRECT("b"&amp;F73+2)</f>
        <v>5.4999999999999994E+33</v>
      </c>
      <c r="F73" s="18">
        <f t="shared" si="7"/>
        <v>493</v>
      </c>
      <c r="G73" s="18"/>
      <c r="H73" s="18"/>
      <c r="I73" s="19">
        <v>71</v>
      </c>
      <c r="J73" s="19" cm="1">
        <f t="array" aca="1" ref="J73" ca="1">INDIRECT("b"&amp;K73+2)</f>
        <v>3.4750000000000005E+64</v>
      </c>
      <c r="K73" s="19">
        <f t="shared" si="10"/>
        <v>1693</v>
      </c>
      <c r="N73" s="18">
        <v>634</v>
      </c>
      <c r="O73" s="18"/>
      <c r="P73" s="2" cm="1">
        <f t="array" aca="1" ref="P73" ca="1">INDIRECT("b" &amp; (N73+2))</f>
        <v>8.1999999999999992E+38</v>
      </c>
      <c r="Q73" s="5">
        <f t="shared" ca="1" si="8"/>
        <v>66.938775510204067</v>
      </c>
      <c r="S73" s="18">
        <v>194</v>
      </c>
      <c r="T73" s="18"/>
      <c r="U73" s="2" cm="1">
        <f t="array" aca="1" ref="U73" ca="1">INDIRECT("d" &amp; (S73+2))</f>
        <v>194</v>
      </c>
      <c r="V73" s="5">
        <f t="shared" ca="1" si="6"/>
        <v>1.5772357723577235</v>
      </c>
      <c r="W73">
        <v>71</v>
      </c>
      <c r="X73" s="18">
        <v>634</v>
      </c>
      <c r="Y73" s="18"/>
      <c r="Z73" s="2" cm="1">
        <f t="array" aca="1" ref="Z73" ca="1">INDIRECT("b" &amp; (X73+2))</f>
        <v>8.1999999999999992E+38</v>
      </c>
      <c r="AA73" s="5">
        <f t="shared" ca="1" si="9"/>
        <v>66.938775510204067</v>
      </c>
    </row>
    <row r="74" spans="1:27">
      <c r="A74">
        <v>72</v>
      </c>
      <c r="B74">
        <v>50000000000</v>
      </c>
      <c r="D74" s="18">
        <v>72</v>
      </c>
      <c r="E74" s="18" cm="1">
        <f t="array" aca="1" ref="E74" ca="1">INDIRECT("b"&amp;F74+2)</f>
        <v>5.9999999999999997E+33</v>
      </c>
      <c r="F74" s="18">
        <f t="shared" si="7"/>
        <v>494</v>
      </c>
      <c r="G74" s="18"/>
      <c r="H74" s="18"/>
      <c r="I74" s="19">
        <v>72</v>
      </c>
      <c r="J74" s="19" cm="1">
        <f t="array" aca="1" ref="J74" ca="1">INDIRECT("b"&amp;K74+2)</f>
        <v>3.7000000000000004E+64</v>
      </c>
      <c r="K74" s="19">
        <f t="shared" si="10"/>
        <v>1694</v>
      </c>
      <c r="N74" s="18">
        <v>635</v>
      </c>
      <c r="O74" s="18"/>
      <c r="P74" s="2" cm="1">
        <f t="array" aca="1" ref="P74" ca="1">INDIRECT("b" &amp; (N74+2))</f>
        <v>8.4250000000000007E+38</v>
      </c>
      <c r="Q74" s="5">
        <f t="shared" ca="1" si="8"/>
        <v>68.775510204081627</v>
      </c>
      <c r="S74" s="18">
        <v>195</v>
      </c>
      <c r="T74" s="18"/>
      <c r="U74" s="2" cm="1">
        <f t="array" aca="1" ref="U74" ca="1">INDIRECT("d" &amp; (S74+2))</f>
        <v>195</v>
      </c>
      <c r="V74" s="5">
        <f t="shared" ca="1" si="6"/>
        <v>1.5853658536585367</v>
      </c>
      <c r="W74">
        <v>72</v>
      </c>
      <c r="X74" s="18">
        <v>635</v>
      </c>
      <c r="Y74" s="18"/>
      <c r="Z74" s="2" cm="1">
        <f t="array" aca="1" ref="Z74" ca="1">INDIRECT("b" &amp; (X74+2))</f>
        <v>8.4250000000000007E+38</v>
      </c>
      <c r="AA74" s="5">
        <f t="shared" ca="1" si="9"/>
        <v>68.775510204081627</v>
      </c>
    </row>
    <row r="75" spans="1:27">
      <c r="A75">
        <v>73</v>
      </c>
      <c r="B75">
        <v>55000000000</v>
      </c>
      <c r="D75" s="18">
        <v>73</v>
      </c>
      <c r="E75" s="18" cm="1">
        <f t="array" aca="1" ref="E75" ca="1">INDIRECT("b"&amp;F75+2)</f>
        <v>6.4999999999999988E+33</v>
      </c>
      <c r="F75" s="18">
        <f t="shared" si="7"/>
        <v>495</v>
      </c>
      <c r="G75" s="18"/>
      <c r="H75" s="18"/>
      <c r="I75" s="19">
        <v>73</v>
      </c>
      <c r="J75" s="19" cm="1">
        <f t="array" aca="1" ref="J75" ca="1">INDIRECT("b"&amp;K75+2)</f>
        <v>4.1500000000000002E+64</v>
      </c>
      <c r="K75" s="19">
        <f t="shared" si="10"/>
        <v>1696</v>
      </c>
      <c r="N75" s="18">
        <v>636</v>
      </c>
      <c r="O75" s="18"/>
      <c r="P75" s="2" cm="1">
        <f t="array" aca="1" ref="P75" ca="1">INDIRECT("b" &amp; (N75+2))</f>
        <v>8.6499999999999992E+38</v>
      </c>
      <c r="Q75" s="5">
        <f t="shared" ca="1" si="8"/>
        <v>70.612244897959172</v>
      </c>
      <c r="S75" s="18">
        <v>196</v>
      </c>
      <c r="T75" s="18"/>
      <c r="U75" s="2" cm="1">
        <f t="array" aca="1" ref="U75" ca="1">INDIRECT("d" &amp; (S75+2))</f>
        <v>196</v>
      </c>
      <c r="V75" s="5">
        <f t="shared" ca="1" si="6"/>
        <v>1.5934959349593496</v>
      </c>
      <c r="W75">
        <v>73</v>
      </c>
      <c r="X75" s="18">
        <v>636</v>
      </c>
      <c r="Y75" s="18"/>
      <c r="Z75" s="2" cm="1">
        <f t="array" aca="1" ref="Z75" ca="1">INDIRECT("b" &amp; (X75+2))</f>
        <v>8.6499999999999992E+38</v>
      </c>
      <c r="AA75" s="5">
        <f t="shared" ca="1" si="9"/>
        <v>70.612244897959172</v>
      </c>
    </row>
    <row r="76" spans="1:27">
      <c r="A76">
        <v>74</v>
      </c>
      <c r="B76">
        <v>60000000000</v>
      </c>
      <c r="D76" s="18">
        <v>74</v>
      </c>
      <c r="E76" s="18" cm="1">
        <f t="array" aca="1" ref="E76" ca="1">INDIRECT("b"&amp;F76+2)</f>
        <v>7.4999999999999993E+33</v>
      </c>
      <c r="F76" s="18">
        <f t="shared" si="7"/>
        <v>497</v>
      </c>
      <c r="G76" s="18"/>
      <c r="H76" s="18"/>
      <c r="I76" s="19">
        <v>74</v>
      </c>
      <c r="J76" s="19" cm="1">
        <f t="array" aca="1" ref="J76" ca="1">INDIRECT("b"&amp;K76+2)</f>
        <v>4.3750000000000001E+64</v>
      </c>
      <c r="K76" s="19">
        <f t="shared" si="10"/>
        <v>1697</v>
      </c>
      <c r="N76" s="18">
        <v>637</v>
      </c>
      <c r="O76" s="18"/>
      <c r="P76" s="2" cm="1">
        <f t="array" aca="1" ref="P76" ca="1">INDIRECT("b" &amp; (N76+2))</f>
        <v>8.8749999999999993E+38</v>
      </c>
      <c r="Q76" s="5">
        <f t="shared" ca="1" si="8"/>
        <v>72.448979591836718</v>
      </c>
      <c r="S76" s="18">
        <v>197</v>
      </c>
      <c r="T76" s="18"/>
      <c r="U76" s="2" cm="1">
        <f t="array" aca="1" ref="U76" ca="1">INDIRECT("d" &amp; (S76+2))</f>
        <v>197</v>
      </c>
      <c r="V76" s="5">
        <f t="shared" ca="1" si="6"/>
        <v>1.6016260162601625</v>
      </c>
      <c r="W76">
        <v>74</v>
      </c>
      <c r="X76" s="18">
        <v>637</v>
      </c>
      <c r="Y76" s="18"/>
      <c r="Z76" s="2" cm="1">
        <f t="array" aca="1" ref="Z76" ca="1">INDIRECT("b" &amp; (X76+2))</f>
        <v>8.8749999999999993E+38</v>
      </c>
      <c r="AA76" s="5">
        <f t="shared" ca="1" si="9"/>
        <v>72.448979591836718</v>
      </c>
    </row>
    <row r="77" spans="1:27">
      <c r="A77">
        <v>75</v>
      </c>
      <c r="B77">
        <v>65000000000</v>
      </c>
      <c r="D77" s="18">
        <v>75</v>
      </c>
      <c r="E77" s="18" cm="1">
        <f t="array" aca="1" ref="E77" ca="1">INDIRECT("b"&amp;F77+2)</f>
        <v>8.0000000000000007E+33</v>
      </c>
      <c r="F77" s="18">
        <f t="shared" si="7"/>
        <v>498</v>
      </c>
      <c r="G77" s="18"/>
      <c r="H77" s="18"/>
      <c r="I77" s="19">
        <v>75</v>
      </c>
      <c r="J77" s="19" cm="1">
        <f t="array" aca="1" ref="J77" ca="1">INDIRECT("b"&amp;K77+2)</f>
        <v>4.6000000000000006E+64</v>
      </c>
      <c r="K77" s="19">
        <f t="shared" si="10"/>
        <v>1698</v>
      </c>
      <c r="N77" s="18">
        <v>638</v>
      </c>
      <c r="O77" s="18"/>
      <c r="P77" s="2" cm="1">
        <f t="array" aca="1" ref="P77" ca="1">INDIRECT("b" &amp; (N77+2))</f>
        <v>9.0999999999999993E+38</v>
      </c>
      <c r="Q77" s="5">
        <f t="shared" ca="1" si="8"/>
        <v>74.285714285714278</v>
      </c>
      <c r="S77" s="18">
        <v>198</v>
      </c>
      <c r="T77" s="18"/>
      <c r="U77" s="2" cm="1">
        <f t="array" aca="1" ref="U77" ca="1">INDIRECT("d" &amp; (S77+2))</f>
        <v>198</v>
      </c>
      <c r="V77" s="5">
        <f t="shared" ca="1" si="6"/>
        <v>1.6097560975609757</v>
      </c>
      <c r="W77">
        <v>75</v>
      </c>
      <c r="X77" s="18">
        <v>638</v>
      </c>
      <c r="Y77" s="18"/>
      <c r="Z77" s="2" cm="1">
        <f t="array" aca="1" ref="Z77" ca="1">INDIRECT("b" &amp; (X77+2))</f>
        <v>9.0999999999999993E+38</v>
      </c>
      <c r="AA77" s="5">
        <f t="shared" ca="1" si="9"/>
        <v>74.285714285714278</v>
      </c>
    </row>
    <row r="78" spans="1:27">
      <c r="A78">
        <v>76</v>
      </c>
      <c r="B78">
        <v>70000000000</v>
      </c>
      <c r="D78" s="18">
        <v>76</v>
      </c>
      <c r="E78" s="18" cm="1">
        <f t="array" aca="1" ref="E78" ca="1">INDIRECT("b"&amp;F78+2)</f>
        <v>8.4999999999999998E+33</v>
      </c>
      <c r="F78" s="18">
        <f t="shared" si="7"/>
        <v>499</v>
      </c>
      <c r="G78" s="18"/>
      <c r="H78" s="18"/>
      <c r="I78" s="19">
        <v>76</v>
      </c>
      <c r="J78" s="19" cm="1">
        <f t="array" aca="1" ref="J78" ca="1">INDIRECT("b"&amp;K78+2)</f>
        <v>5.0500000000000004E+64</v>
      </c>
      <c r="K78" s="19">
        <f t="shared" si="10"/>
        <v>1700</v>
      </c>
      <c r="N78" s="18">
        <v>639</v>
      </c>
      <c r="O78" s="18"/>
      <c r="P78" s="2" cm="1">
        <f t="array" aca="1" ref="P78" ca="1">INDIRECT("b" &amp; (N78+2))</f>
        <v>9.3249999999999993E+38</v>
      </c>
      <c r="Q78" s="5">
        <f t="shared" ca="1" si="8"/>
        <v>76.122448979591823</v>
      </c>
      <c r="S78" s="18">
        <v>199</v>
      </c>
      <c r="T78" s="18"/>
      <c r="U78" s="2" cm="1">
        <f t="array" aca="1" ref="U78" ca="1">INDIRECT("d" &amp; (S78+2))</f>
        <v>199</v>
      </c>
      <c r="V78" s="5">
        <f t="shared" ca="1" si="6"/>
        <v>1.6178861788617886</v>
      </c>
      <c r="W78">
        <v>76</v>
      </c>
      <c r="X78" s="18">
        <v>639</v>
      </c>
      <c r="Y78" s="18"/>
      <c r="Z78" s="2" cm="1">
        <f t="array" aca="1" ref="Z78" ca="1">INDIRECT("b" &amp; (X78+2))</f>
        <v>9.3249999999999993E+38</v>
      </c>
      <c r="AA78" s="5">
        <f t="shared" ca="1" si="9"/>
        <v>76.122448979591823</v>
      </c>
    </row>
    <row r="79" spans="1:27">
      <c r="A79">
        <v>77</v>
      </c>
      <c r="B79">
        <v>75000000000</v>
      </c>
      <c r="D79" s="18">
        <v>77</v>
      </c>
      <c r="E79" s="18" cm="1">
        <f t="array" aca="1" ref="E79" ca="1">INDIRECT("b"&amp;F79+2)</f>
        <v>9.5000000000000003E+33</v>
      </c>
      <c r="F79" s="18">
        <f t="shared" si="7"/>
        <v>501</v>
      </c>
      <c r="G79" s="18"/>
      <c r="H79" s="18"/>
      <c r="I79" s="19">
        <v>77</v>
      </c>
      <c r="J79" s="19" cm="1">
        <f t="array" aca="1" ref="J79" ca="1">INDIRECT("b"&amp;K79+2)</f>
        <v>5.2750000000000009E+64</v>
      </c>
      <c r="K79" s="19">
        <f t="shared" si="10"/>
        <v>1701</v>
      </c>
      <c r="N79" s="18">
        <v>640</v>
      </c>
      <c r="O79" s="18"/>
      <c r="P79" s="2" cm="1">
        <f t="array" aca="1" ref="P79" ca="1">INDIRECT("b" &amp; (N79+2))</f>
        <v>9.5499999999999993E+38</v>
      </c>
      <c r="Q79" s="5">
        <f t="shared" ca="1" si="8"/>
        <v>77.959183673469383</v>
      </c>
      <c r="S79" s="18">
        <v>200</v>
      </c>
      <c r="T79" s="18"/>
      <c r="U79" s="2" cm="1">
        <f t="array" aca="1" ref="U79" ca="1">INDIRECT("d" &amp; (S79+2))</f>
        <v>200</v>
      </c>
      <c r="V79" s="5">
        <f t="shared" ca="1" si="6"/>
        <v>1.6260162601626016</v>
      </c>
      <c r="W79">
        <v>77</v>
      </c>
      <c r="X79" s="18">
        <v>640</v>
      </c>
      <c r="Y79" s="18"/>
      <c r="Z79" s="2" cm="1">
        <f t="array" aca="1" ref="Z79" ca="1">INDIRECT("b" &amp; (X79+2))</f>
        <v>9.5499999999999993E+38</v>
      </c>
      <c r="AA79" s="5">
        <f t="shared" ca="1" si="9"/>
        <v>77.959183673469383</v>
      </c>
    </row>
    <row r="80" spans="1:27">
      <c r="A80">
        <v>78</v>
      </c>
      <c r="B80">
        <v>80000000000</v>
      </c>
      <c r="D80" s="18">
        <v>78</v>
      </c>
      <c r="E80" s="18" cm="1">
        <f t="array" aca="1" ref="E80" ca="1">INDIRECT("b"&amp;F80+2)</f>
        <v>1.0000000000000001E+34</v>
      </c>
      <c r="F80" s="18">
        <f t="shared" si="7"/>
        <v>502</v>
      </c>
      <c r="G80" s="18"/>
      <c r="H80" s="18"/>
      <c r="I80" s="19">
        <v>78</v>
      </c>
      <c r="J80" s="19" cm="1">
        <f t="array" aca="1" ref="J80" ca="1">INDIRECT("b"&amp;K80+2)</f>
        <v>5.5000000000000008E+64</v>
      </c>
      <c r="K80" s="19">
        <f t="shared" si="10"/>
        <v>1702</v>
      </c>
      <c r="N80" s="18">
        <v>641</v>
      </c>
      <c r="O80" s="18"/>
      <c r="P80" s="2" cm="1">
        <f t="array" aca="1" ref="P80" ca="1">INDIRECT("b" &amp; (N80+2))</f>
        <v>9.7749999999999994E+38</v>
      </c>
      <c r="Q80" s="5">
        <f t="shared" ca="1" si="8"/>
        <v>79.795918367346928</v>
      </c>
      <c r="S80" s="18">
        <v>201</v>
      </c>
      <c r="T80" s="18"/>
      <c r="U80" s="2" cm="1">
        <f t="array" aca="1" ref="U80" ca="1">INDIRECT("d" &amp; (S80+2))</f>
        <v>201</v>
      </c>
      <c r="V80" s="5">
        <f t="shared" ca="1" si="6"/>
        <v>1.6341463414634145</v>
      </c>
      <c r="W80">
        <v>78</v>
      </c>
      <c r="X80" s="18">
        <v>641</v>
      </c>
      <c r="Y80" s="18"/>
      <c r="Z80" s="2" cm="1">
        <f t="array" aca="1" ref="Z80" ca="1">INDIRECT("b" &amp; (X80+2))</f>
        <v>9.7749999999999994E+38</v>
      </c>
      <c r="AA80" s="5">
        <f t="shared" ca="1" si="9"/>
        <v>79.795918367346928</v>
      </c>
    </row>
    <row r="81" spans="1:27">
      <c r="A81">
        <v>79</v>
      </c>
      <c r="B81">
        <v>85000000000</v>
      </c>
      <c r="D81" s="18">
        <v>79</v>
      </c>
      <c r="E81" s="18" cm="1">
        <f t="array" aca="1" ref="E81" ca="1">INDIRECT("b"&amp;F81+2)</f>
        <v>1.0500000000000001E+34</v>
      </c>
      <c r="F81" s="18">
        <f t="shared" si="7"/>
        <v>503</v>
      </c>
      <c r="G81" s="18"/>
      <c r="H81" s="18"/>
      <c r="I81" s="19">
        <v>79</v>
      </c>
      <c r="J81" s="19" cm="1">
        <f t="array" aca="1" ref="J81" ca="1">INDIRECT("b"&amp;K81+2)</f>
        <v>5.9500000000000006E+64</v>
      </c>
      <c r="K81" s="19">
        <f t="shared" si="10"/>
        <v>1704</v>
      </c>
      <c r="N81" s="18">
        <v>642</v>
      </c>
      <c r="O81" s="18"/>
      <c r="P81" s="2" cm="1">
        <f t="array" aca="1" ref="P81" ca="1">INDIRECT("b" &amp; (N81+2))</f>
        <v>1.0000000000000001E+39</v>
      </c>
      <c r="Q81" s="5">
        <f t="shared" ca="1" si="8"/>
        <v>81.632653061224488</v>
      </c>
      <c r="S81" s="18">
        <v>202</v>
      </c>
      <c r="T81" s="18"/>
      <c r="U81" s="2" cm="1">
        <f t="array" aca="1" ref="U81" ca="1">INDIRECT("d" &amp; (S81+2))</f>
        <v>202</v>
      </c>
      <c r="V81" s="5">
        <f t="shared" ca="1" si="6"/>
        <v>1.6422764227642277</v>
      </c>
      <c r="W81">
        <v>79</v>
      </c>
      <c r="X81" s="18">
        <v>642</v>
      </c>
      <c r="Y81" s="18"/>
      <c r="Z81" s="2" cm="1">
        <f t="array" aca="1" ref="Z81" ca="1">INDIRECT("b" &amp; (X81+2))</f>
        <v>1.0000000000000001E+39</v>
      </c>
      <c r="AA81" s="5">
        <f t="shared" ca="1" si="9"/>
        <v>81.632653061224488</v>
      </c>
    </row>
    <row r="82" spans="1:27">
      <c r="A82">
        <v>80</v>
      </c>
      <c r="B82">
        <v>90000000000</v>
      </c>
      <c r="D82" s="18">
        <v>80</v>
      </c>
      <c r="E82" s="18" cm="1">
        <f t="array" aca="1" ref="E82" ca="1">INDIRECT("b"&amp;F82+2)</f>
        <v>1.5000000000000001E+34</v>
      </c>
      <c r="F82" s="18">
        <f t="shared" si="7"/>
        <v>505</v>
      </c>
      <c r="G82" s="18"/>
      <c r="H82" s="18"/>
      <c r="I82" s="19">
        <v>80</v>
      </c>
      <c r="J82" s="19" cm="1">
        <f t="array" aca="1" ref="J82" ca="1">INDIRECT("b"&amp;K82+2)</f>
        <v>6.1750000000000005E+64</v>
      </c>
      <c r="K82" s="19">
        <f t="shared" si="10"/>
        <v>1705</v>
      </c>
      <c r="N82" s="18">
        <v>643</v>
      </c>
      <c r="O82" s="18"/>
      <c r="P82" s="2" cm="1">
        <f t="array" aca="1" ref="P82" ca="1">INDIRECT("b" &amp; (N82+2))</f>
        <v>1.225E+39</v>
      </c>
      <c r="Q82" s="5">
        <f t="shared" ca="1" si="8"/>
        <v>99.999999999999986</v>
      </c>
      <c r="S82" s="18">
        <v>203</v>
      </c>
      <c r="T82" s="18"/>
      <c r="U82" s="2" cm="1">
        <f t="array" aca="1" ref="U82" ca="1">INDIRECT("d" &amp; (S82+2))</f>
        <v>203</v>
      </c>
      <c r="V82" s="5">
        <f t="shared" ca="1" si="6"/>
        <v>1.6504065040650406</v>
      </c>
      <c r="W82">
        <v>80</v>
      </c>
      <c r="X82" s="18">
        <v>643</v>
      </c>
      <c r="Y82" s="18"/>
      <c r="Z82" s="2" cm="1">
        <f t="array" aca="1" ref="Z82" ca="1">INDIRECT("b" &amp; (X82+2))</f>
        <v>1.225E+39</v>
      </c>
      <c r="AA82" s="5">
        <f t="shared" ca="1" si="9"/>
        <v>99.999999999999986</v>
      </c>
    </row>
    <row r="83" spans="1:27">
      <c r="A83">
        <v>81</v>
      </c>
      <c r="B83">
        <v>95000000000</v>
      </c>
      <c r="D83" s="18">
        <v>81</v>
      </c>
      <c r="E83" s="18" cm="1">
        <f t="array" aca="1" ref="E83" ca="1">INDIRECT("b"&amp;F83+2)</f>
        <v>2.0000000000000001E+34</v>
      </c>
      <c r="F83" s="18">
        <f t="shared" si="7"/>
        <v>506</v>
      </c>
      <c r="G83" s="18"/>
      <c r="H83" s="18"/>
      <c r="I83" s="19">
        <v>81</v>
      </c>
      <c r="J83" s="19" cm="1">
        <f t="array" aca="1" ref="J83" ca="1">INDIRECT("b"&amp;K83+2)</f>
        <v>6.4000000000000004E+64</v>
      </c>
      <c r="K83" s="19">
        <f t="shared" si="10"/>
        <v>1706</v>
      </c>
      <c r="N83" s="18">
        <v>644</v>
      </c>
      <c r="O83" s="18"/>
      <c r="P83" s="2" cm="1">
        <f t="array" aca="1" ref="P83" ca="1">INDIRECT("b" &amp; (N83+2))</f>
        <v>1.4499999999999998E+39</v>
      </c>
      <c r="Q83" s="5">
        <f t="shared" ca="1" si="8"/>
        <v>118.36734693877548</v>
      </c>
      <c r="S83" s="18">
        <v>204</v>
      </c>
      <c r="T83" s="18"/>
      <c r="U83" s="2" cm="1">
        <f t="array" aca="1" ref="U83" ca="1">INDIRECT("d" &amp; (S83+2))</f>
        <v>204</v>
      </c>
      <c r="V83" s="5">
        <f t="shared" ca="1" si="6"/>
        <v>1.6585365853658536</v>
      </c>
      <c r="W83">
        <v>81</v>
      </c>
      <c r="X83" s="18">
        <v>644</v>
      </c>
      <c r="Y83" s="18"/>
      <c r="Z83" s="2" cm="1">
        <f t="array" aca="1" ref="Z83" ca="1">INDIRECT("b" &amp; (X83+2))</f>
        <v>1.4499999999999998E+39</v>
      </c>
      <c r="AA83" s="5">
        <f t="shared" ca="1" si="9"/>
        <v>118.36734693877548</v>
      </c>
    </row>
    <row r="84" spans="1:27">
      <c r="A84">
        <v>82</v>
      </c>
      <c r="B84">
        <v>100000000000</v>
      </c>
      <c r="D84" s="18">
        <v>82</v>
      </c>
      <c r="E84" s="18" cm="1">
        <f t="array" aca="1" ref="E84" ca="1">INDIRECT("b"&amp;F84+2)</f>
        <v>2.5000000000000004E+34</v>
      </c>
      <c r="F84" s="18">
        <f t="shared" si="7"/>
        <v>507</v>
      </c>
      <c r="G84" s="18"/>
      <c r="H84" s="18"/>
      <c r="I84" s="19">
        <v>82</v>
      </c>
      <c r="J84" s="19" cm="1">
        <f t="array" aca="1" ref="J84" ca="1">INDIRECT("b"&amp;K84+2)</f>
        <v>6.8500000000000002E+64</v>
      </c>
      <c r="K84" s="19">
        <f t="shared" si="10"/>
        <v>1708</v>
      </c>
      <c r="N84" s="18">
        <v>645</v>
      </c>
      <c r="O84" s="18"/>
      <c r="P84" s="2" cm="1">
        <f t="array" aca="1" ref="P84" ca="1">INDIRECT("b" &amp; (N84+2))</f>
        <v>1.6749999999999999E+39</v>
      </c>
      <c r="Q84" s="5">
        <f t="shared" ca="1" si="8"/>
        <v>136.734693877551</v>
      </c>
      <c r="S84" s="18">
        <v>205</v>
      </c>
      <c r="T84" s="18"/>
      <c r="U84" s="2" cm="1">
        <f t="array" aca="1" ref="U84" ca="1">INDIRECT("d" &amp; (S84+2))</f>
        <v>205</v>
      </c>
      <c r="V84" s="5">
        <f t="shared" ca="1" si="6"/>
        <v>1.6666666666666667</v>
      </c>
      <c r="W84">
        <v>82</v>
      </c>
      <c r="X84" s="18">
        <v>645</v>
      </c>
      <c r="Y84" s="18"/>
      <c r="Z84" s="2" cm="1">
        <f t="array" aca="1" ref="Z84" ca="1">INDIRECT("b" &amp; (X84+2))</f>
        <v>1.6749999999999999E+39</v>
      </c>
      <c r="AA84" s="5">
        <f t="shared" ca="1" si="9"/>
        <v>136.734693877551</v>
      </c>
    </row>
    <row r="85" spans="1:27">
      <c r="A85">
        <v>83</v>
      </c>
      <c r="B85">
        <v>150000000000</v>
      </c>
      <c r="D85" s="18">
        <v>83</v>
      </c>
      <c r="E85" s="18" cm="1">
        <f t="array" aca="1" ref="E85" ca="1">INDIRECT("b"&amp;F85+2)</f>
        <v>3.5E+34</v>
      </c>
      <c r="F85" s="18">
        <f t="shared" si="7"/>
        <v>509</v>
      </c>
      <c r="G85" s="18"/>
      <c r="H85" s="18"/>
      <c r="I85" s="19">
        <v>83</v>
      </c>
      <c r="J85" s="19" cm="1">
        <f t="array" aca="1" ref="J85" ca="1">INDIRECT("b"&amp;K85+2)</f>
        <v>7.0750000000000001E+64</v>
      </c>
      <c r="K85" s="19">
        <f t="shared" si="10"/>
        <v>1709</v>
      </c>
      <c r="N85" s="18">
        <v>646</v>
      </c>
      <c r="O85" s="18"/>
      <c r="P85" s="2" cm="1">
        <f t="array" aca="1" ref="P85" ca="1">INDIRECT("b" &amp; (N85+2))</f>
        <v>1.9000000000000002E+39</v>
      </c>
      <c r="Q85" s="5">
        <f t="shared" ca="1" si="8"/>
        <v>155.10204081632654</v>
      </c>
      <c r="S85" s="18">
        <v>206</v>
      </c>
      <c r="T85" s="18"/>
      <c r="U85" s="2" cm="1">
        <f t="array" aca="1" ref="U85" ca="1">INDIRECT("d" &amp; (S85+2))</f>
        <v>206</v>
      </c>
      <c r="V85" s="5">
        <f t="shared" ca="1" si="6"/>
        <v>1.6747967479674797</v>
      </c>
      <c r="W85">
        <v>83</v>
      </c>
      <c r="X85" s="18">
        <v>646</v>
      </c>
      <c r="Y85" s="18"/>
      <c r="Z85" s="2" cm="1">
        <f t="array" aca="1" ref="Z85" ca="1">INDIRECT("b" &amp; (X85+2))</f>
        <v>1.9000000000000002E+39</v>
      </c>
      <c r="AA85" s="5">
        <f t="shared" ca="1" si="9"/>
        <v>155.10204081632654</v>
      </c>
    </row>
    <row r="86" spans="1:27">
      <c r="A86">
        <v>84</v>
      </c>
      <c r="B86">
        <v>200000000000</v>
      </c>
      <c r="D86" s="18">
        <v>84</v>
      </c>
      <c r="E86" s="18" cm="1">
        <f t="array" aca="1" ref="E86" ca="1">INDIRECT("b"&amp;F86+2)</f>
        <v>4.0000000000000002E+34</v>
      </c>
      <c r="F86" s="18">
        <f t="shared" si="7"/>
        <v>510</v>
      </c>
      <c r="G86" s="18"/>
      <c r="H86" s="18"/>
      <c r="I86" s="19">
        <v>84</v>
      </c>
      <c r="J86" s="19" cm="1">
        <f t="array" aca="1" ref="J86" ca="1">INDIRECT("b"&amp;K86+2)</f>
        <v>7.3000000000000011E+64</v>
      </c>
      <c r="K86" s="19">
        <f t="shared" si="10"/>
        <v>1710</v>
      </c>
      <c r="N86" s="18">
        <v>647</v>
      </c>
      <c r="O86" s="18"/>
      <c r="P86" s="2" cm="1">
        <f t="array" aca="1" ref="P86" ca="1">INDIRECT("b" &amp; (N86+2))</f>
        <v>2.1249999999999999E+39</v>
      </c>
      <c r="Q86" s="5">
        <f t="shared" ca="1" si="8"/>
        <v>173.46938775510202</v>
      </c>
      <c r="S86" s="18">
        <v>207</v>
      </c>
      <c r="T86" s="18"/>
      <c r="U86" s="2" cm="1">
        <f t="array" aca="1" ref="U86" ca="1">INDIRECT("d" &amp; (S86+2))</f>
        <v>207</v>
      </c>
      <c r="V86" s="5">
        <f t="shared" ca="1" si="6"/>
        <v>1.6829268292682926</v>
      </c>
      <c r="W86">
        <v>84</v>
      </c>
      <c r="X86" s="18">
        <v>647</v>
      </c>
      <c r="Y86" s="18"/>
      <c r="Z86" s="2" cm="1">
        <f t="array" aca="1" ref="Z86" ca="1">INDIRECT("b" &amp; (X86+2))</f>
        <v>2.1249999999999999E+39</v>
      </c>
      <c r="AA86" s="5">
        <f t="shared" ca="1" si="9"/>
        <v>173.46938775510202</v>
      </c>
    </row>
    <row r="87" spans="1:27">
      <c r="A87">
        <v>85</v>
      </c>
      <c r="B87">
        <v>250000000000</v>
      </c>
      <c r="D87" s="18">
        <v>85</v>
      </c>
      <c r="E87" s="18" cm="1">
        <f t="array" aca="1" ref="E87" ca="1">INDIRECT("b"&amp;F87+2)</f>
        <v>4.5E+34</v>
      </c>
      <c r="F87" s="18">
        <f t="shared" si="7"/>
        <v>511</v>
      </c>
      <c r="G87" s="18"/>
      <c r="H87" s="18"/>
      <c r="I87" s="19">
        <v>85</v>
      </c>
      <c r="J87" s="19" cm="1">
        <f t="array" aca="1" ref="J87" ca="1">INDIRECT("b"&amp;K87+2)</f>
        <v>7.7500000000000009E+64</v>
      </c>
      <c r="K87" s="19">
        <f t="shared" si="10"/>
        <v>1712</v>
      </c>
      <c r="N87" s="18">
        <v>648</v>
      </c>
      <c r="O87" s="18"/>
      <c r="P87" s="2" cm="1">
        <f t="array" aca="1" ref="P87" ca="1">INDIRECT("b" &amp; (N87+2))</f>
        <v>2.3500000000000003E+39</v>
      </c>
      <c r="Q87" s="5">
        <f t="shared" ca="1" si="8"/>
        <v>191.83673469387756</v>
      </c>
      <c r="S87" s="18">
        <v>208</v>
      </c>
      <c r="T87" s="18"/>
      <c r="U87" s="2" cm="1">
        <f t="array" aca="1" ref="U87" ca="1">INDIRECT("d" &amp; (S87+2))</f>
        <v>208</v>
      </c>
      <c r="V87" s="5">
        <f t="shared" ca="1" si="6"/>
        <v>1.6910569105691058</v>
      </c>
      <c r="W87">
        <v>85</v>
      </c>
      <c r="X87" s="18">
        <v>648</v>
      </c>
      <c r="Y87" s="18"/>
      <c r="Z87" s="2" cm="1">
        <f t="array" aca="1" ref="Z87" ca="1">INDIRECT("b" &amp; (X87+2))</f>
        <v>2.3500000000000003E+39</v>
      </c>
      <c r="AA87" s="5">
        <f t="shared" ca="1" si="9"/>
        <v>191.83673469387756</v>
      </c>
    </row>
    <row r="88" spans="1:27">
      <c r="A88">
        <v>86</v>
      </c>
      <c r="B88">
        <v>300000000000</v>
      </c>
      <c r="D88" s="18">
        <v>86</v>
      </c>
      <c r="E88" s="18" cm="1">
        <f t="array" aca="1" ref="E88" ca="1">INDIRECT("b"&amp;F88+2)</f>
        <v>5.4999999999999996E+34</v>
      </c>
      <c r="F88" s="18">
        <f t="shared" si="7"/>
        <v>513</v>
      </c>
      <c r="G88" s="18"/>
      <c r="H88" s="18"/>
      <c r="I88" s="19">
        <v>86</v>
      </c>
      <c r="J88" s="19" cm="1">
        <f t="array" aca="1" ref="J88" ca="1">INDIRECT("b"&amp;K88+2)</f>
        <v>7.9750000000000008E+64</v>
      </c>
      <c r="K88" s="19">
        <f t="shared" si="10"/>
        <v>1713</v>
      </c>
      <c r="N88" s="18">
        <v>649</v>
      </c>
      <c r="O88" s="18"/>
      <c r="P88" s="2" cm="1">
        <f t="array" aca="1" ref="P88" ca="1">INDIRECT("b" &amp; (N88+2))</f>
        <v>2.575E+39</v>
      </c>
      <c r="Q88" s="5">
        <f t="shared" ca="1" si="8"/>
        <v>210.20408163265304</v>
      </c>
      <c r="S88" s="18">
        <v>209</v>
      </c>
      <c r="T88" s="18"/>
      <c r="U88" s="2" cm="1">
        <f t="array" aca="1" ref="U88" ca="1">INDIRECT("d" &amp; (S88+2))</f>
        <v>209</v>
      </c>
      <c r="V88" s="5">
        <f t="shared" ca="1" si="6"/>
        <v>1.6991869918699187</v>
      </c>
      <c r="W88">
        <v>86</v>
      </c>
      <c r="X88" s="18">
        <v>649</v>
      </c>
      <c r="Y88" s="18"/>
      <c r="Z88" s="2" cm="1">
        <f t="array" aca="1" ref="Z88" ca="1">INDIRECT("b" &amp; (X88+2))</f>
        <v>2.575E+39</v>
      </c>
      <c r="AA88" s="5">
        <f t="shared" ca="1" si="9"/>
        <v>210.20408163265304</v>
      </c>
    </row>
    <row r="89" spans="1:27">
      <c r="A89">
        <v>87</v>
      </c>
      <c r="B89">
        <v>350000000000</v>
      </c>
      <c r="D89" s="18">
        <v>87</v>
      </c>
      <c r="E89" s="18" cm="1">
        <f t="array" aca="1" ref="E89" ca="1">INDIRECT("b"&amp;F89+2)</f>
        <v>6.0000000000000004E+34</v>
      </c>
      <c r="F89" s="18">
        <f t="shared" si="7"/>
        <v>514</v>
      </c>
      <c r="G89" s="18"/>
      <c r="H89" s="18"/>
      <c r="I89" s="19">
        <v>87</v>
      </c>
      <c r="J89" s="19" cm="1">
        <f t="array" aca="1" ref="J89" ca="1">INDIRECT("b"&amp;K89+2)</f>
        <v>8.2000000000000007E+64</v>
      </c>
      <c r="K89" s="19">
        <f t="shared" si="10"/>
        <v>1714</v>
      </c>
      <c r="N89" s="18">
        <v>650</v>
      </c>
      <c r="O89" s="18"/>
      <c r="P89" s="2" cm="1">
        <f t="array" aca="1" ref="P89" ca="1">INDIRECT("b" &amp; (N89+2))</f>
        <v>2.8E+39</v>
      </c>
      <c r="Q89" s="5">
        <f t="shared" ca="1" si="8"/>
        <v>228.57142857142856</v>
      </c>
      <c r="S89" s="18">
        <v>210</v>
      </c>
      <c r="T89" s="18"/>
      <c r="U89" s="2" cm="1">
        <f t="array" aca="1" ref="U89" ca="1">INDIRECT("d" &amp; (S89+2))</f>
        <v>210</v>
      </c>
      <c r="V89" s="5">
        <f t="shared" ca="1" si="6"/>
        <v>1.7073170731707317</v>
      </c>
      <c r="W89">
        <v>87</v>
      </c>
      <c r="X89" s="18">
        <v>650</v>
      </c>
      <c r="Y89" s="18"/>
      <c r="Z89" s="2" cm="1">
        <f t="array" aca="1" ref="Z89" ca="1">INDIRECT("b" &amp; (X89+2))</f>
        <v>2.8E+39</v>
      </c>
      <c r="AA89" s="5">
        <f t="shared" ca="1" si="9"/>
        <v>228.57142857142856</v>
      </c>
    </row>
    <row r="90" spans="1:27">
      <c r="A90">
        <v>88</v>
      </c>
      <c r="B90">
        <v>400000000000</v>
      </c>
      <c r="D90" s="18">
        <v>88</v>
      </c>
      <c r="E90" s="18" cm="1">
        <f t="array" aca="1" ref="E90" ca="1">INDIRECT("b"&amp;F90+2)</f>
        <v>6.4999999999999992E+34</v>
      </c>
      <c r="F90" s="18">
        <f t="shared" si="7"/>
        <v>515</v>
      </c>
      <c r="G90" s="18"/>
      <c r="H90" s="18"/>
      <c r="I90" s="19">
        <v>88</v>
      </c>
      <c r="J90" s="19" cm="1">
        <f t="array" aca="1" ref="J90" ca="1">INDIRECT("b"&amp;K90+2)</f>
        <v>8.6500000000000005E+64</v>
      </c>
      <c r="K90" s="19">
        <f t="shared" si="10"/>
        <v>1716</v>
      </c>
      <c r="N90" s="18">
        <v>651</v>
      </c>
      <c r="O90" s="18"/>
      <c r="P90" s="2" cm="1">
        <f t="array" aca="1" ref="P90" ca="1">INDIRECT("b" &amp; (N90+2))</f>
        <v>3.0249999999999997E+39</v>
      </c>
      <c r="Q90" s="5">
        <f t="shared" ca="1" si="8"/>
        <v>246.93877551020404</v>
      </c>
      <c r="S90" s="18">
        <v>211</v>
      </c>
      <c r="T90" s="18"/>
      <c r="U90" s="2" cm="1">
        <f t="array" aca="1" ref="U90" ca="1">INDIRECT("d" &amp; (S90+2))</f>
        <v>211</v>
      </c>
      <c r="V90" s="5">
        <f t="shared" ca="1" si="6"/>
        <v>1.7154471544715446</v>
      </c>
      <c r="W90">
        <v>88</v>
      </c>
      <c r="X90" s="18">
        <v>651</v>
      </c>
      <c r="Y90" s="18"/>
      <c r="Z90" s="2" cm="1">
        <f t="array" aca="1" ref="Z90" ca="1">INDIRECT("b" &amp; (X90+2))</f>
        <v>3.0249999999999997E+39</v>
      </c>
      <c r="AA90" s="5">
        <f t="shared" ca="1" si="9"/>
        <v>246.93877551020404</v>
      </c>
    </row>
    <row r="91" spans="1:27">
      <c r="A91">
        <v>89</v>
      </c>
      <c r="B91">
        <v>450000000000</v>
      </c>
      <c r="D91" s="18">
        <v>89</v>
      </c>
      <c r="E91" s="18" cm="1">
        <f t="array" aca="1" ref="E91" ca="1">INDIRECT("b"&amp;F91+2)</f>
        <v>7.4999999999999998E+34</v>
      </c>
      <c r="F91" s="18">
        <f t="shared" si="7"/>
        <v>517</v>
      </c>
      <c r="G91" s="18"/>
      <c r="H91" s="18"/>
      <c r="I91" s="19">
        <v>89</v>
      </c>
      <c r="J91" s="19" cm="1">
        <f t="array" aca="1" ref="J91" ca="1">INDIRECT("b"&amp;K91+2)</f>
        <v>8.8750000000000004E+64</v>
      </c>
      <c r="K91" s="19">
        <f t="shared" si="10"/>
        <v>1717</v>
      </c>
      <c r="N91" s="18">
        <v>652</v>
      </c>
      <c r="O91" s="18"/>
      <c r="P91" s="2" cm="1">
        <f t="array" aca="1" ref="P91" ca="1">INDIRECT("b" &amp; (N91+2))</f>
        <v>3.2499999999999995E+39</v>
      </c>
      <c r="Q91" s="5">
        <f t="shared" ca="1" si="8"/>
        <v>265.30612244897952</v>
      </c>
      <c r="S91" s="18">
        <v>212</v>
      </c>
      <c r="T91" s="18"/>
      <c r="U91" s="2" cm="1">
        <f t="array" aca="1" ref="U91" ca="1">INDIRECT("d" &amp; (S91+2))</f>
        <v>212</v>
      </c>
      <c r="V91" s="5">
        <f t="shared" ca="1" si="6"/>
        <v>1.7235772357723578</v>
      </c>
      <c r="W91">
        <v>89</v>
      </c>
      <c r="X91" s="18">
        <v>652</v>
      </c>
      <c r="Y91" s="18"/>
      <c r="Z91" s="2" cm="1">
        <f t="array" aca="1" ref="Z91" ca="1">INDIRECT("b" &amp; (X91+2))</f>
        <v>3.2499999999999995E+39</v>
      </c>
      <c r="AA91" s="5">
        <f t="shared" ca="1" si="9"/>
        <v>265.30612244897952</v>
      </c>
    </row>
    <row r="92" spans="1:27">
      <c r="A92">
        <v>90</v>
      </c>
      <c r="B92">
        <v>500000000000</v>
      </c>
      <c r="D92" s="18">
        <v>90</v>
      </c>
      <c r="E92" s="18" cm="1">
        <f t="array" aca="1" ref="E92" ca="1">INDIRECT("b"&amp;F92+2)</f>
        <v>8.0000000000000005E+34</v>
      </c>
      <c r="F92" s="18">
        <f t="shared" si="7"/>
        <v>518</v>
      </c>
      <c r="G92" s="18"/>
      <c r="H92" s="18"/>
      <c r="I92" s="19">
        <v>90</v>
      </c>
      <c r="J92" s="19" cm="1">
        <f t="array" aca="1" ref="J92" ca="1">INDIRECT("b"&amp;K92+2)</f>
        <v>9.1000000000000003E+64</v>
      </c>
      <c r="K92" s="19">
        <f t="shared" si="10"/>
        <v>1718</v>
      </c>
      <c r="N92" s="18">
        <v>653</v>
      </c>
      <c r="O92" s="18"/>
      <c r="P92" s="2" cm="1">
        <f t="array" aca="1" ref="P92" ca="1">INDIRECT("b" &amp; (N92+2))</f>
        <v>3.4750000000000004E+39</v>
      </c>
      <c r="Q92" s="5">
        <f t="shared" ca="1" si="8"/>
        <v>283.67346938775512</v>
      </c>
      <c r="S92" s="18">
        <v>213</v>
      </c>
      <c r="T92" s="18"/>
      <c r="U92" s="2" cm="1">
        <f t="array" aca="1" ref="U92" ca="1">INDIRECT("d" &amp; (S92+2))</f>
        <v>213</v>
      </c>
      <c r="V92" s="5">
        <f t="shared" ca="1" si="6"/>
        <v>1.7317073170731707</v>
      </c>
      <c r="W92">
        <v>90</v>
      </c>
      <c r="X92" s="18">
        <v>653</v>
      </c>
      <c r="Y92" s="18"/>
      <c r="Z92" s="2" cm="1">
        <f t="array" aca="1" ref="Z92" ca="1">INDIRECT("b" &amp; (X92+2))</f>
        <v>3.4750000000000004E+39</v>
      </c>
      <c r="AA92" s="5">
        <f t="shared" ca="1" si="9"/>
        <v>283.67346938775512</v>
      </c>
    </row>
    <row r="93" spans="1:27">
      <c r="A93">
        <v>91</v>
      </c>
      <c r="B93">
        <v>1000000000000</v>
      </c>
      <c r="D93" s="18">
        <v>91</v>
      </c>
      <c r="E93" s="18" cm="1">
        <f t="array" aca="1" ref="E93" ca="1">INDIRECT("b"&amp;F93+2)</f>
        <v>8.5000000000000003E+34</v>
      </c>
      <c r="F93" s="18">
        <f t="shared" si="7"/>
        <v>519</v>
      </c>
      <c r="G93" s="18"/>
      <c r="H93" s="18"/>
      <c r="I93" s="19">
        <v>91</v>
      </c>
      <c r="J93" s="19" cm="1">
        <f t="array" aca="1" ref="J93" ca="1">INDIRECT("b"&amp;K93+2)</f>
        <v>9.5500000000000013E+64</v>
      </c>
      <c r="K93" s="19">
        <f t="shared" si="10"/>
        <v>1720</v>
      </c>
      <c r="N93" s="18">
        <v>654</v>
      </c>
      <c r="O93" s="18"/>
      <c r="P93" s="2" cm="1">
        <f t="array" aca="1" ref="P93" ca="1">INDIRECT("b" &amp; (N93+2))</f>
        <v>3.7000000000000001E+39</v>
      </c>
      <c r="Q93" s="5">
        <f t="shared" ca="1" si="8"/>
        <v>302.0408163265306</v>
      </c>
      <c r="S93" s="18">
        <v>214</v>
      </c>
      <c r="T93" s="18"/>
      <c r="U93" s="2" cm="1">
        <f t="array" aca="1" ref="U93" ca="1">INDIRECT("d" &amp; (S93+2))</f>
        <v>214</v>
      </c>
      <c r="V93" s="5">
        <f t="shared" ca="1" si="6"/>
        <v>1.7398373983739837</v>
      </c>
      <c r="W93">
        <v>91</v>
      </c>
      <c r="X93" s="18">
        <v>654</v>
      </c>
      <c r="Y93" s="18"/>
      <c r="Z93" s="2" cm="1">
        <f t="array" aca="1" ref="Z93" ca="1">INDIRECT("b" &amp; (X93+2))</f>
        <v>3.7000000000000001E+39</v>
      </c>
      <c r="AA93" s="5">
        <f t="shared" ca="1" si="9"/>
        <v>302.0408163265306</v>
      </c>
    </row>
    <row r="94" spans="1:27">
      <c r="A94">
        <v>92</v>
      </c>
      <c r="B94">
        <v>1500000000000</v>
      </c>
      <c r="D94" s="18">
        <v>92</v>
      </c>
      <c r="E94" s="18" cm="1">
        <f t="array" aca="1" ref="E94" ca="1">INDIRECT("b"&amp;F94+2)</f>
        <v>9.4999999999999999E+34</v>
      </c>
      <c r="F94" s="18">
        <f t="shared" si="7"/>
        <v>521</v>
      </c>
      <c r="G94" s="18"/>
      <c r="H94" s="18"/>
      <c r="I94" s="19">
        <v>92</v>
      </c>
      <c r="J94" s="19" cm="1">
        <f t="array" aca="1" ref="J94" ca="1">INDIRECT("b"&amp;K94+2)</f>
        <v>9.7750000000000012E+64</v>
      </c>
      <c r="K94" s="19">
        <f t="shared" si="10"/>
        <v>1721</v>
      </c>
      <c r="N94" s="18">
        <v>655</v>
      </c>
      <c r="O94" s="18"/>
      <c r="P94" s="2" cm="1">
        <f t="array" aca="1" ref="P94" ca="1">INDIRECT("b" &amp; (N94+2))</f>
        <v>3.9249999999999999E+39</v>
      </c>
      <c r="Q94" s="5">
        <f t="shared" ca="1" si="8"/>
        <v>320.40816326530609</v>
      </c>
      <c r="S94" s="18">
        <v>215</v>
      </c>
      <c r="T94" s="18"/>
      <c r="U94" s="2" cm="1">
        <f t="array" aca="1" ref="U94" ca="1">INDIRECT("d" &amp; (S94+2))</f>
        <v>215</v>
      </c>
      <c r="V94" s="5">
        <f t="shared" ca="1" si="6"/>
        <v>1.7479674796747968</v>
      </c>
      <c r="W94">
        <v>92</v>
      </c>
      <c r="X94" s="18">
        <v>655</v>
      </c>
      <c r="Y94" s="18"/>
      <c r="Z94" s="2" cm="1">
        <f t="array" aca="1" ref="Z94" ca="1">INDIRECT("b" &amp; (X94+2))</f>
        <v>3.9249999999999999E+39</v>
      </c>
      <c r="AA94" s="5">
        <f t="shared" ca="1" si="9"/>
        <v>320.40816326530609</v>
      </c>
    </row>
    <row r="95" spans="1:27">
      <c r="A95">
        <v>93</v>
      </c>
      <c r="B95">
        <v>2000000000000</v>
      </c>
      <c r="D95" s="18">
        <v>93</v>
      </c>
      <c r="E95" s="18" cm="1">
        <f t="array" aca="1" ref="E95" ca="1">INDIRECT("b"&amp;F95+2)</f>
        <v>9.9999999999999997E+34</v>
      </c>
      <c r="F95" s="18">
        <f t="shared" si="7"/>
        <v>522</v>
      </c>
      <c r="G95" s="18"/>
      <c r="H95" s="18"/>
      <c r="I95" s="19">
        <v>93</v>
      </c>
      <c r="J95" s="19" cm="1">
        <f t="array" aca="1" ref="J95" ca="1">INDIRECT("b"&amp;K95+2)</f>
        <v>9.9999999999999999E+64</v>
      </c>
      <c r="K95" s="19">
        <f t="shared" si="10"/>
        <v>1722</v>
      </c>
      <c r="N95" s="18">
        <v>656</v>
      </c>
      <c r="O95" s="18"/>
      <c r="P95" s="2" cm="1">
        <f t="array" aca="1" ref="P95" ca="1">INDIRECT("b" &amp; (N95+2))</f>
        <v>4.1500000000000002E+39</v>
      </c>
      <c r="Q95" s="5">
        <f t="shared" ca="1" si="8"/>
        <v>338.77551020408163</v>
      </c>
      <c r="S95" s="18">
        <v>216</v>
      </c>
      <c r="T95" s="18"/>
      <c r="U95" s="2" cm="1">
        <f t="array" aca="1" ref="U95" ca="1">INDIRECT("d" &amp; (S95+2))</f>
        <v>216</v>
      </c>
      <c r="V95" s="5">
        <f t="shared" ca="1" si="6"/>
        <v>1.7560975609756098</v>
      </c>
      <c r="W95">
        <v>93</v>
      </c>
      <c r="X95" s="18">
        <v>656</v>
      </c>
      <c r="Y95" s="18"/>
      <c r="Z95" s="2" cm="1">
        <f t="array" aca="1" ref="Z95" ca="1">INDIRECT("b" &amp; (X95+2))</f>
        <v>4.1500000000000002E+39</v>
      </c>
      <c r="AA95" s="5">
        <f t="shared" ca="1" si="9"/>
        <v>338.77551020408163</v>
      </c>
    </row>
    <row r="96" spans="1:27">
      <c r="A96">
        <v>94</v>
      </c>
      <c r="B96">
        <v>2500000000000</v>
      </c>
      <c r="D96" s="18">
        <v>94</v>
      </c>
      <c r="E96" s="18" cm="1">
        <f t="array" aca="1" ref="E96" ca="1">INDIRECT("b"&amp;F96+2)</f>
        <v>1.0499999999999999E+35</v>
      </c>
      <c r="F96" s="18">
        <f t="shared" si="7"/>
        <v>523</v>
      </c>
      <c r="G96" s="18"/>
      <c r="H96" s="18"/>
      <c r="I96" s="19">
        <v>94</v>
      </c>
      <c r="J96" s="19" cm="1">
        <f t="array" aca="1" ref="J96" ca="1">INDIRECT("b"&amp;K96+2)</f>
        <v>1.45E+65</v>
      </c>
      <c r="K96" s="19">
        <f t="shared" si="10"/>
        <v>1724</v>
      </c>
      <c r="N96" s="18">
        <v>657</v>
      </c>
      <c r="O96" s="18"/>
      <c r="P96" s="2" cm="1">
        <f t="array" aca="1" ref="P96" ca="1">INDIRECT("b" &amp; (N96+2))</f>
        <v>4.3749999999999999E+39</v>
      </c>
      <c r="Q96" s="5">
        <f t="shared" ca="1" si="8"/>
        <v>357.14285714285711</v>
      </c>
      <c r="S96" s="18">
        <v>217</v>
      </c>
      <c r="T96" s="18"/>
      <c r="U96" s="2" cm="1">
        <f t="array" aca="1" ref="U96" ca="1">INDIRECT("d" &amp; (S96+2))</f>
        <v>217</v>
      </c>
      <c r="V96" s="5">
        <f t="shared" ca="1" si="6"/>
        <v>1.7642276422764227</v>
      </c>
      <c r="W96">
        <v>94</v>
      </c>
      <c r="X96" s="18">
        <v>657</v>
      </c>
      <c r="Y96" s="18"/>
      <c r="Z96" s="2" cm="1">
        <f t="array" aca="1" ref="Z96" ca="1">INDIRECT("b" &amp; (X96+2))</f>
        <v>4.3749999999999999E+39</v>
      </c>
      <c r="AA96" s="5">
        <f t="shared" ca="1" si="9"/>
        <v>357.14285714285711</v>
      </c>
    </row>
    <row r="97" spans="1:27">
      <c r="A97">
        <v>95</v>
      </c>
      <c r="B97">
        <v>3000000000000</v>
      </c>
      <c r="D97" s="18">
        <v>95</v>
      </c>
      <c r="E97" s="18" cm="1">
        <f t="array" aca="1" ref="E97" ca="1">INDIRECT("b"&amp;F97+2)</f>
        <v>1.5E+35</v>
      </c>
      <c r="F97" s="18">
        <f t="shared" si="7"/>
        <v>525</v>
      </c>
      <c r="G97" s="18"/>
      <c r="H97" s="18"/>
      <c r="I97" s="19">
        <v>95</v>
      </c>
      <c r="J97" s="19" cm="1">
        <f t="array" aca="1" ref="J97" ca="1">INDIRECT("b"&amp;K97+2)</f>
        <v>1.6750000000000002E+65</v>
      </c>
      <c r="K97" s="19">
        <f t="shared" si="10"/>
        <v>1725</v>
      </c>
      <c r="N97" s="18">
        <v>658</v>
      </c>
      <c r="O97" s="18"/>
      <c r="P97" s="2" cm="1">
        <f t="array" aca="1" ref="P97" ca="1">INDIRECT("b" &amp; (N97+2))</f>
        <v>4.5999999999999996E+39</v>
      </c>
      <c r="Q97" s="5">
        <f t="shared" ca="1" si="8"/>
        <v>375.51020408163259</v>
      </c>
      <c r="S97" s="18">
        <v>218</v>
      </c>
      <c r="T97" s="18"/>
      <c r="U97" s="2" cm="1">
        <f t="array" aca="1" ref="U97" ca="1">INDIRECT("d" &amp; (S97+2))</f>
        <v>218</v>
      </c>
      <c r="V97" s="5">
        <f t="shared" ca="1" si="6"/>
        <v>1.7723577235772359</v>
      </c>
      <c r="W97">
        <v>95</v>
      </c>
      <c r="X97" s="18">
        <v>658</v>
      </c>
      <c r="Y97" s="18"/>
      <c r="Z97" s="2" cm="1">
        <f t="array" aca="1" ref="Z97" ca="1">INDIRECT("b" &amp; (X97+2))</f>
        <v>4.5999999999999996E+39</v>
      </c>
      <c r="AA97" s="5">
        <f t="shared" ca="1" si="9"/>
        <v>375.51020408163259</v>
      </c>
    </row>
    <row r="98" spans="1:27">
      <c r="A98">
        <v>96</v>
      </c>
      <c r="B98">
        <v>3500000000000</v>
      </c>
      <c r="D98" s="18">
        <v>96</v>
      </c>
      <c r="E98" s="18" cm="1">
        <f t="array" aca="1" ref="E98" ca="1">INDIRECT("b"&amp;F98+2)</f>
        <v>1.9999999999999999E+35</v>
      </c>
      <c r="F98" s="18">
        <f t="shared" si="7"/>
        <v>526</v>
      </c>
      <c r="G98" s="18"/>
      <c r="H98" s="18"/>
      <c r="I98" s="19">
        <v>96</v>
      </c>
      <c r="J98" s="19" cm="1">
        <f t="array" aca="1" ref="J98" ca="1">INDIRECT("b"&amp;K98+2)</f>
        <v>1.9000000000000001E+65</v>
      </c>
      <c r="K98" s="19">
        <f t="shared" si="10"/>
        <v>1726</v>
      </c>
      <c r="N98" s="18">
        <v>659</v>
      </c>
      <c r="O98" s="18"/>
      <c r="P98" s="2" cm="1">
        <f t="array" aca="1" ref="P98" ca="1">INDIRECT("b" &amp; (N98+2))</f>
        <v>4.8250000000000006E+39</v>
      </c>
      <c r="Q98" s="5">
        <f t="shared" ca="1" si="8"/>
        <v>393.87755102040819</v>
      </c>
      <c r="S98" s="18">
        <v>219</v>
      </c>
      <c r="T98" s="18"/>
      <c r="U98" s="2" cm="1">
        <f t="array" aca="1" ref="U98" ca="1">INDIRECT("d" &amp; (S98+2))</f>
        <v>219</v>
      </c>
      <c r="V98" s="5">
        <f t="shared" ca="1" si="6"/>
        <v>1.7804878048780488</v>
      </c>
      <c r="W98">
        <v>96</v>
      </c>
      <c r="X98" s="18">
        <v>659</v>
      </c>
      <c r="Y98" s="18"/>
      <c r="Z98" s="2" cm="1">
        <f t="array" aca="1" ref="Z98" ca="1">INDIRECT("b" &amp; (X98+2))</f>
        <v>4.8250000000000006E+39</v>
      </c>
      <c r="AA98" s="5">
        <f t="shared" ca="1" si="9"/>
        <v>393.87755102040819</v>
      </c>
    </row>
    <row r="99" spans="1:27">
      <c r="A99">
        <v>97</v>
      </c>
      <c r="B99">
        <v>4000000000000</v>
      </c>
      <c r="D99" s="18">
        <v>97</v>
      </c>
      <c r="E99" s="18" cm="1">
        <f t="array" aca="1" ref="E99" ca="1">INDIRECT("b"&amp;F99+2)</f>
        <v>2.5000000000000001E+35</v>
      </c>
      <c r="F99" s="18">
        <f t="shared" ref="F99:F124" si="11">INT((A99-1)*1.333333+400)</f>
        <v>527</v>
      </c>
      <c r="G99" s="18"/>
      <c r="H99" s="18"/>
      <c r="I99" s="19">
        <v>97</v>
      </c>
      <c r="J99" s="19" cm="1">
        <f t="array" aca="1" ref="J99" ca="1">INDIRECT("b"&amp;K99+2)</f>
        <v>2.3500000000000001E+65</v>
      </c>
      <c r="K99" s="19">
        <f t="shared" si="10"/>
        <v>1728</v>
      </c>
      <c r="N99" s="18">
        <v>660</v>
      </c>
      <c r="O99" s="18"/>
      <c r="P99" s="2" cm="1">
        <f t="array" aca="1" ref="P99" ca="1">INDIRECT("b" &amp; (N99+2))</f>
        <v>5.0500000000000003E+39</v>
      </c>
      <c r="Q99" s="5">
        <f t="shared" ca="1" si="8"/>
        <v>412.24489795918367</v>
      </c>
      <c r="S99" s="18">
        <v>220</v>
      </c>
      <c r="T99" s="18"/>
      <c r="U99" s="2" cm="1">
        <f t="array" aca="1" ref="U99" ca="1">INDIRECT("d" &amp; (S99+2))</f>
        <v>220</v>
      </c>
      <c r="V99" s="5">
        <f t="shared" ca="1" si="6"/>
        <v>1.7886178861788617</v>
      </c>
      <c r="W99">
        <v>97</v>
      </c>
      <c r="X99" s="18">
        <v>660</v>
      </c>
      <c r="Y99" s="18"/>
      <c r="Z99" s="2" cm="1">
        <f t="array" aca="1" ref="Z99" ca="1">INDIRECT("b" &amp; (X99+2))</f>
        <v>5.0500000000000003E+39</v>
      </c>
      <c r="AA99" s="5">
        <f t="shared" ca="1" si="9"/>
        <v>412.24489795918367</v>
      </c>
    </row>
    <row r="100" spans="1:27">
      <c r="A100">
        <v>98</v>
      </c>
      <c r="B100">
        <v>4500000000000</v>
      </c>
      <c r="D100" s="18">
        <v>98</v>
      </c>
      <c r="E100" s="18" cm="1">
        <f t="array" aca="1" ref="E100" ca="1">INDIRECT("b"&amp;F100+2)</f>
        <v>3.5000000000000001E+35</v>
      </c>
      <c r="F100" s="18">
        <f t="shared" si="11"/>
        <v>529</v>
      </c>
      <c r="G100" s="18"/>
      <c r="H100" s="18"/>
      <c r="I100" s="19">
        <v>98</v>
      </c>
      <c r="J100" s="19" cm="1">
        <f t="array" aca="1" ref="J100" ca="1">INDIRECT("b"&amp;K100+2)</f>
        <v>2.575E+65</v>
      </c>
      <c r="K100" s="19">
        <f t="shared" si="10"/>
        <v>1729</v>
      </c>
      <c r="N100" s="18">
        <v>661</v>
      </c>
      <c r="O100" s="18"/>
      <c r="P100" s="2" cm="1">
        <f t="array" aca="1" ref="P100" ca="1">INDIRECT("b" &amp; (N100+2))</f>
        <v>5.275E+39</v>
      </c>
      <c r="Q100" s="5">
        <f t="shared" ca="1" si="8"/>
        <v>430.61224489795916</v>
      </c>
      <c r="S100" s="18">
        <v>221</v>
      </c>
      <c r="T100" s="18"/>
      <c r="U100" s="2" cm="1">
        <f t="array" aca="1" ref="U100" ca="1">INDIRECT("d" &amp; (S100+2))</f>
        <v>221</v>
      </c>
      <c r="V100" s="5">
        <f t="shared" ca="1" si="6"/>
        <v>1.7967479674796747</v>
      </c>
      <c r="W100">
        <v>98</v>
      </c>
      <c r="X100" s="18">
        <v>661</v>
      </c>
      <c r="Y100" s="18"/>
      <c r="Z100" s="2" cm="1">
        <f t="array" aca="1" ref="Z100" ca="1">INDIRECT("b" &amp; (X100+2))</f>
        <v>5.275E+39</v>
      </c>
      <c r="AA100" s="5">
        <f t="shared" ca="1" si="9"/>
        <v>430.61224489795916</v>
      </c>
    </row>
    <row r="101" spans="1:27">
      <c r="A101">
        <v>99</v>
      </c>
      <c r="B101">
        <v>5000000000000</v>
      </c>
      <c r="D101" s="18">
        <v>99</v>
      </c>
      <c r="E101" s="18" cm="1">
        <f t="array" aca="1" ref="E101" ca="1">INDIRECT("b"&amp;F101+2)</f>
        <v>3.9999999999999999E+35</v>
      </c>
      <c r="F101" s="18">
        <f t="shared" si="11"/>
        <v>530</v>
      </c>
      <c r="G101" s="18"/>
      <c r="H101" s="18"/>
      <c r="I101" s="19">
        <v>99</v>
      </c>
      <c r="J101" s="19" cm="1">
        <f t="array" aca="1" ref="J101" ca="1">INDIRECT("b"&amp;K101+2)</f>
        <v>2.8000000000000004E+65</v>
      </c>
      <c r="K101" s="19">
        <f t="shared" si="10"/>
        <v>1730</v>
      </c>
      <c r="N101" s="18">
        <v>662</v>
      </c>
      <c r="O101" s="18"/>
      <c r="P101" s="2" cm="1">
        <f t="array" aca="1" ref="P101" ca="1">INDIRECT("b" &amp; (N101+2))</f>
        <v>5.4999999999999997E+39</v>
      </c>
      <c r="Q101" s="5">
        <f t="shared" ca="1" si="8"/>
        <v>448.97959183673464</v>
      </c>
      <c r="S101" s="18">
        <v>222</v>
      </c>
      <c r="T101" s="18"/>
      <c r="U101" s="2" cm="1">
        <f t="array" aca="1" ref="U101" ca="1">INDIRECT("d" &amp; (S101+2))</f>
        <v>222</v>
      </c>
      <c r="V101" s="5">
        <f t="shared" ca="1" si="6"/>
        <v>1.8048780487804879</v>
      </c>
      <c r="W101">
        <v>99</v>
      </c>
      <c r="X101" s="18">
        <v>662</v>
      </c>
      <c r="Y101" s="18"/>
      <c r="Z101" s="2" cm="1">
        <f t="array" aca="1" ref="Z101" ca="1">INDIRECT("b" &amp; (X101+2))</f>
        <v>5.4999999999999997E+39</v>
      </c>
      <c r="AA101" s="5">
        <f t="shared" ca="1" si="9"/>
        <v>448.97959183673464</v>
      </c>
    </row>
    <row r="102" spans="1:27">
      <c r="A102">
        <v>100</v>
      </c>
      <c r="B102">
        <v>5500000000000</v>
      </c>
      <c r="D102" s="18">
        <v>100</v>
      </c>
      <c r="E102" s="18" cm="1">
        <f t="array" aca="1" ref="E102" ca="1">INDIRECT("b"&amp;F102+2)</f>
        <v>4.5000000000000004E+35</v>
      </c>
      <c r="F102" s="18">
        <f t="shared" si="11"/>
        <v>531</v>
      </c>
      <c r="G102" s="18"/>
      <c r="H102" s="18"/>
      <c r="I102" s="19">
        <v>100</v>
      </c>
      <c r="J102" s="19" cm="1">
        <f t="array" aca="1" ref="J102" ca="1">INDIRECT("b"&amp;K102+2)</f>
        <v>3.2500000000000001E+65</v>
      </c>
      <c r="K102" s="19">
        <f t="shared" si="10"/>
        <v>1732</v>
      </c>
      <c r="N102" s="18">
        <v>663</v>
      </c>
      <c r="O102" s="18"/>
      <c r="P102" s="2" cm="1">
        <f t="array" aca="1" ref="P102" ca="1">INDIRECT("b" &amp; (N102+2))</f>
        <v>5.7250000000000007E+39</v>
      </c>
      <c r="Q102" s="5">
        <f t="shared" ca="1" si="8"/>
        <v>467.34693877551024</v>
      </c>
      <c r="S102" s="18">
        <v>223</v>
      </c>
      <c r="T102" s="18"/>
      <c r="U102" s="2" cm="1">
        <f t="array" aca="1" ref="U102" ca="1">INDIRECT("d" &amp; (S102+2))</f>
        <v>223</v>
      </c>
      <c r="V102" s="5">
        <f t="shared" ca="1" si="6"/>
        <v>1.8130081300813008</v>
      </c>
      <c r="W102">
        <v>100</v>
      </c>
      <c r="X102" s="18">
        <v>663</v>
      </c>
      <c r="Y102" s="18"/>
      <c r="Z102" s="2" cm="1">
        <f t="array" aca="1" ref="Z102" ca="1">INDIRECT("b" &amp; (X102+2))</f>
        <v>5.7250000000000007E+39</v>
      </c>
      <c r="AA102" s="5">
        <f t="shared" ca="1" si="9"/>
        <v>467.34693877551024</v>
      </c>
    </row>
    <row r="103" spans="1:27">
      <c r="A103">
        <v>101</v>
      </c>
      <c r="B103">
        <v>6000000000000</v>
      </c>
      <c r="D103" s="18">
        <v>101</v>
      </c>
      <c r="E103" s="18" cm="1">
        <f t="array" aca="1" ref="E103" ca="1">INDIRECT("b"&amp;F103+2)</f>
        <v>5.5E+35</v>
      </c>
      <c r="F103" s="18">
        <f t="shared" si="11"/>
        <v>533</v>
      </c>
      <c r="G103" s="18"/>
      <c r="H103" s="18"/>
      <c r="I103" s="19">
        <v>101</v>
      </c>
      <c r="J103" s="19" cm="1">
        <f t="array" aca="1" ref="J103" ca="1">INDIRECT("b"&amp;K103+2)</f>
        <v>3.475E+65</v>
      </c>
      <c r="K103" s="19">
        <f t="shared" si="10"/>
        <v>1733</v>
      </c>
      <c r="N103" s="18">
        <v>664</v>
      </c>
      <c r="O103" s="18"/>
      <c r="P103" s="2" cm="1">
        <f t="array" aca="1" ref="P103" ca="1">INDIRECT("b" &amp; (N103+2))</f>
        <v>5.9500000000000004E+39</v>
      </c>
      <c r="Q103" s="5">
        <f t="shared" ca="1" si="8"/>
        <v>485.71428571428572</v>
      </c>
      <c r="S103" s="18">
        <v>224</v>
      </c>
      <c r="T103" s="18"/>
      <c r="U103" s="2" cm="1">
        <f t="array" aca="1" ref="U103" ca="1">INDIRECT("d" &amp; (S103+2))</f>
        <v>224</v>
      </c>
      <c r="V103" s="5">
        <f t="shared" ca="1" si="6"/>
        <v>1.8211382113821137</v>
      </c>
      <c r="W103">
        <v>101</v>
      </c>
      <c r="X103" s="18">
        <v>664</v>
      </c>
      <c r="Y103" s="18"/>
      <c r="Z103" s="2" cm="1">
        <f t="array" aca="1" ref="Z103" ca="1">INDIRECT("b" &amp; (X103+2))</f>
        <v>5.9500000000000004E+39</v>
      </c>
      <c r="AA103" s="5">
        <f t="shared" ca="1" si="9"/>
        <v>485.71428571428572</v>
      </c>
    </row>
    <row r="104" spans="1:27">
      <c r="A104">
        <v>102</v>
      </c>
      <c r="B104">
        <v>7000000000000</v>
      </c>
      <c r="D104" s="18">
        <v>102</v>
      </c>
      <c r="E104" s="18" cm="1">
        <f t="array" aca="1" ref="E104" ca="1">INDIRECT("b"&amp;F104+2)</f>
        <v>5.9999999999999998E+35</v>
      </c>
      <c r="F104" s="18">
        <f t="shared" si="11"/>
        <v>534</v>
      </c>
      <c r="G104" s="18"/>
      <c r="H104" s="18"/>
      <c r="I104" s="19">
        <v>102</v>
      </c>
      <c r="J104" s="19" cm="1">
        <f t="array" aca="1" ref="J104" ca="1">INDIRECT("b"&amp;K104+2)</f>
        <v>3.6999999999999999E+65</v>
      </c>
      <c r="K104" s="19">
        <f t="shared" si="10"/>
        <v>1734</v>
      </c>
      <c r="N104" s="18">
        <v>665</v>
      </c>
      <c r="O104" s="18"/>
      <c r="P104" s="2" cm="1">
        <f t="array" aca="1" ref="P104" ca="1">INDIRECT("b" &amp; (N104+2))</f>
        <v>6.1750000000000001E+39</v>
      </c>
      <c r="Q104" s="5">
        <f t="shared" ca="1" si="8"/>
        <v>504.08163265306121</v>
      </c>
      <c r="S104" s="18">
        <v>225</v>
      </c>
      <c r="T104" s="18"/>
      <c r="U104" s="2" cm="1">
        <f t="array" aca="1" ref="U104" ca="1">INDIRECT("d" &amp; (S104+2))</f>
        <v>225</v>
      </c>
      <c r="V104" s="5">
        <f t="shared" ca="1" si="6"/>
        <v>1.8292682926829269</v>
      </c>
      <c r="W104">
        <v>102</v>
      </c>
      <c r="X104" s="18">
        <v>665</v>
      </c>
      <c r="Y104" s="18"/>
      <c r="Z104" s="2" cm="1">
        <f t="array" aca="1" ref="Z104" ca="1">INDIRECT("b" &amp; (X104+2))</f>
        <v>6.1750000000000001E+39</v>
      </c>
      <c r="AA104" s="5">
        <f t="shared" ca="1" si="9"/>
        <v>504.08163265306121</v>
      </c>
    </row>
    <row r="105" spans="1:27">
      <c r="A105">
        <v>103</v>
      </c>
      <c r="B105">
        <v>8000000000000</v>
      </c>
      <c r="D105" s="18">
        <v>103</v>
      </c>
      <c r="E105" s="18" cm="1">
        <f t="array" aca="1" ref="E105" ca="1">INDIRECT("b"&amp;F105+2)</f>
        <v>6.4999999999999996E+35</v>
      </c>
      <c r="F105" s="18">
        <f t="shared" si="11"/>
        <v>535</v>
      </c>
      <c r="G105" s="18"/>
      <c r="H105" s="18"/>
      <c r="I105" s="19">
        <v>103</v>
      </c>
      <c r="J105" s="19" cm="1">
        <f t="array" aca="1" ref="J105" ca="1">INDIRECT("b"&amp;K105+2)</f>
        <v>4.1500000000000002E+65</v>
      </c>
      <c r="K105" s="19">
        <f t="shared" si="10"/>
        <v>1736</v>
      </c>
      <c r="N105" s="18">
        <v>666</v>
      </c>
      <c r="O105" s="18"/>
      <c r="P105" s="2" cm="1">
        <f t="array" aca="1" ref="P105" ca="1">INDIRECT("b" &amp; (N105+2))</f>
        <v>6.3999999999999999E+39</v>
      </c>
      <c r="Q105" s="5">
        <f t="shared" ca="1" si="8"/>
        <v>522.44897959183663</v>
      </c>
      <c r="S105" s="18">
        <v>226</v>
      </c>
      <c r="T105" s="18"/>
      <c r="U105" s="2" cm="1">
        <f t="array" aca="1" ref="U105" ca="1">INDIRECT("d" &amp; (S105+2))</f>
        <v>226</v>
      </c>
      <c r="V105" s="5">
        <f t="shared" ca="1" si="6"/>
        <v>1.8373983739837398</v>
      </c>
      <c r="W105">
        <v>103</v>
      </c>
      <c r="X105" s="18">
        <v>666</v>
      </c>
      <c r="Y105" s="18"/>
      <c r="Z105" s="2" cm="1">
        <f t="array" aca="1" ref="Z105" ca="1">INDIRECT("b" &amp; (X105+2))</f>
        <v>6.3999999999999999E+39</v>
      </c>
      <c r="AA105" s="5">
        <f t="shared" ca="1" si="9"/>
        <v>522.44897959183663</v>
      </c>
    </row>
    <row r="106" spans="1:27">
      <c r="A106">
        <v>104</v>
      </c>
      <c r="B106">
        <v>9000000000000</v>
      </c>
      <c r="D106" s="18">
        <v>104</v>
      </c>
      <c r="E106" s="18" cm="1">
        <f t="array" aca="1" ref="E106" ca="1">INDIRECT("b"&amp;F106+2)</f>
        <v>7.4999999999999999E+35</v>
      </c>
      <c r="F106" s="18">
        <f t="shared" si="11"/>
        <v>537</v>
      </c>
      <c r="G106" s="18"/>
      <c r="H106" s="18"/>
      <c r="I106" s="19">
        <v>104</v>
      </c>
      <c r="J106" s="19" cm="1">
        <f t="array" aca="1" ref="J106" ca="1">INDIRECT("b"&amp;K106+2)</f>
        <v>4.3750000000000006E+65</v>
      </c>
      <c r="K106" s="19">
        <f t="shared" si="10"/>
        <v>1737</v>
      </c>
      <c r="N106" s="18">
        <v>667</v>
      </c>
      <c r="O106" s="18"/>
      <c r="P106" s="2" cm="1">
        <f t="array" aca="1" ref="P106" ca="1">INDIRECT("b" &amp; (N106+2))</f>
        <v>6.6250000000000008E+39</v>
      </c>
      <c r="Q106" s="5">
        <f t="shared" ca="1" si="8"/>
        <v>540.81632653061229</v>
      </c>
      <c r="S106" s="18">
        <v>227</v>
      </c>
      <c r="T106" s="18"/>
      <c r="U106" s="2" cm="1">
        <f t="array" aca="1" ref="U106" ca="1">INDIRECT("d" &amp; (S106+2))</f>
        <v>227</v>
      </c>
      <c r="V106" s="5">
        <f t="shared" ca="1" si="6"/>
        <v>1.8455284552845528</v>
      </c>
      <c r="W106">
        <v>104</v>
      </c>
      <c r="X106" s="18">
        <v>667</v>
      </c>
      <c r="Y106" s="18"/>
      <c r="Z106" s="2" cm="1">
        <f t="array" aca="1" ref="Z106" ca="1">INDIRECT("b" &amp; (X106+2))</f>
        <v>6.6250000000000008E+39</v>
      </c>
      <c r="AA106" s="5">
        <f t="shared" ca="1" si="9"/>
        <v>540.81632653061229</v>
      </c>
    </row>
    <row r="107" spans="1:27">
      <c r="A107">
        <v>105</v>
      </c>
      <c r="B107">
        <v>10000000000000</v>
      </c>
      <c r="D107" s="18">
        <v>105</v>
      </c>
      <c r="E107" s="18" cm="1">
        <f t="array" aca="1" ref="E107" ca="1">INDIRECT("b"&amp;F107+2)</f>
        <v>7.9999999999999997E+35</v>
      </c>
      <c r="F107" s="18">
        <f t="shared" si="11"/>
        <v>538</v>
      </c>
      <c r="G107" s="18"/>
      <c r="H107" s="18"/>
      <c r="I107" s="19">
        <v>105</v>
      </c>
      <c r="J107" s="19" cm="1">
        <f t="array" aca="1" ref="J107" ca="1">INDIRECT("b"&amp;K107+2)</f>
        <v>4.6E+65</v>
      </c>
      <c r="K107" s="19">
        <f t="shared" si="10"/>
        <v>1738</v>
      </c>
      <c r="N107" s="18">
        <v>668</v>
      </c>
      <c r="O107" s="18"/>
      <c r="P107" s="2" cm="1">
        <f t="array" aca="1" ref="P107" ca="1">INDIRECT("b" &amp; (N107+2))</f>
        <v>6.8500000000000005E+39</v>
      </c>
      <c r="Q107" s="5">
        <f t="shared" ca="1" si="8"/>
        <v>559.18367346938771</v>
      </c>
      <c r="S107" s="18">
        <v>228</v>
      </c>
      <c r="T107" s="18"/>
      <c r="U107" s="2" cm="1">
        <f t="array" aca="1" ref="U107" ca="1">INDIRECT("d" &amp; (S107+2))</f>
        <v>228</v>
      </c>
      <c r="V107" s="5">
        <f t="shared" ca="1" si="6"/>
        <v>1.8536585365853659</v>
      </c>
      <c r="W107">
        <v>105</v>
      </c>
      <c r="X107" s="18">
        <v>668</v>
      </c>
      <c r="Y107" s="18"/>
      <c r="Z107" s="2" cm="1">
        <f t="array" aca="1" ref="Z107" ca="1">INDIRECT("b" &amp; (X107+2))</f>
        <v>6.8500000000000005E+39</v>
      </c>
      <c r="AA107" s="5">
        <f t="shared" ca="1" si="9"/>
        <v>559.18367346938771</v>
      </c>
    </row>
    <row r="108" spans="1:27">
      <c r="A108">
        <v>106</v>
      </c>
      <c r="B108">
        <v>15000000000000</v>
      </c>
      <c r="D108" s="18">
        <v>106</v>
      </c>
      <c r="E108" s="18" cm="1">
        <f t="array" aca="1" ref="E108" ca="1">INDIRECT("b"&amp;F108+2)</f>
        <v>8.4999999999999995E+35</v>
      </c>
      <c r="F108" s="18">
        <f t="shared" si="11"/>
        <v>539</v>
      </c>
      <c r="G108" s="18"/>
      <c r="H108" s="18"/>
      <c r="I108" s="19">
        <v>106</v>
      </c>
      <c r="J108" s="19" cm="1">
        <f t="array" aca="1" ref="J108" ca="1">INDIRECT("b"&amp;K108+2)</f>
        <v>5.0499999999999998E+65</v>
      </c>
      <c r="K108" s="19">
        <f t="shared" si="10"/>
        <v>1740</v>
      </c>
      <c r="N108" s="18">
        <v>669</v>
      </c>
      <c r="O108" s="18"/>
      <c r="P108" s="2" cm="1">
        <f t="array" aca="1" ref="P108" ca="1">INDIRECT("b" &amp; (N108+2))</f>
        <v>7.0750000000000002E+39</v>
      </c>
      <c r="Q108" s="5">
        <f t="shared" ca="1" si="8"/>
        <v>577.55102040816325</v>
      </c>
      <c r="S108" s="18">
        <v>229</v>
      </c>
      <c r="T108" s="18"/>
      <c r="U108" s="2" cm="1">
        <f t="array" aca="1" ref="U108" ca="1">INDIRECT("d" &amp; (S108+2))</f>
        <v>229</v>
      </c>
      <c r="V108" s="5">
        <f t="shared" ca="1" si="6"/>
        <v>1.8617886178861789</v>
      </c>
      <c r="W108">
        <v>106</v>
      </c>
      <c r="X108" s="18">
        <v>669</v>
      </c>
      <c r="Y108" s="18"/>
      <c r="Z108" s="2" cm="1">
        <f t="array" aca="1" ref="Z108" ca="1">INDIRECT("b" &amp; (X108+2))</f>
        <v>7.0750000000000002E+39</v>
      </c>
      <c r="AA108" s="5">
        <f t="shared" ca="1" si="9"/>
        <v>577.55102040816325</v>
      </c>
    </row>
    <row r="109" spans="1:27">
      <c r="A109">
        <v>107</v>
      </c>
      <c r="B109">
        <v>20000000000000</v>
      </c>
      <c r="D109" s="18">
        <v>107</v>
      </c>
      <c r="E109" s="18" cm="1">
        <f t="array" aca="1" ref="E109" ca="1">INDIRECT("b"&amp;F109+2)</f>
        <v>9.5000000000000006E+35</v>
      </c>
      <c r="F109" s="18">
        <f t="shared" si="11"/>
        <v>541</v>
      </c>
      <c r="G109" s="18"/>
      <c r="H109" s="18"/>
      <c r="I109" s="19">
        <v>107</v>
      </c>
      <c r="J109" s="19" cm="1">
        <f t="array" aca="1" ref="J109" ca="1">INDIRECT("b"&amp;K109+2)</f>
        <v>5.2750000000000002E+65</v>
      </c>
      <c r="K109" s="19">
        <f t="shared" si="10"/>
        <v>1741</v>
      </c>
      <c r="N109" s="18">
        <v>670</v>
      </c>
      <c r="O109" s="18"/>
      <c r="P109" s="2" cm="1">
        <f t="array" aca="1" ref="P109" ca="1">INDIRECT("b" &amp; (N109+2))</f>
        <v>7.3E+39</v>
      </c>
      <c r="Q109" s="5">
        <f t="shared" ca="1" si="8"/>
        <v>595.91836734693868</v>
      </c>
      <c r="S109" s="18">
        <v>230</v>
      </c>
      <c r="T109" s="18"/>
      <c r="U109" s="2" cm="1">
        <f t="array" aca="1" ref="U109" ca="1">INDIRECT("d" &amp; (S109+2))</f>
        <v>230</v>
      </c>
      <c r="V109" s="5">
        <f t="shared" ca="1" si="6"/>
        <v>1.8699186991869918</v>
      </c>
      <c r="W109">
        <v>107</v>
      </c>
      <c r="X109" s="18">
        <v>670</v>
      </c>
      <c r="Y109" s="18"/>
      <c r="Z109" s="2" cm="1">
        <f t="array" aca="1" ref="Z109" ca="1">INDIRECT("b" &amp; (X109+2))</f>
        <v>7.3E+39</v>
      </c>
      <c r="AA109" s="5">
        <f t="shared" ca="1" si="9"/>
        <v>595.91836734693868</v>
      </c>
    </row>
    <row r="110" spans="1:27">
      <c r="A110">
        <v>108</v>
      </c>
      <c r="B110">
        <v>25000000000000</v>
      </c>
      <c r="D110" s="18">
        <v>108</v>
      </c>
      <c r="E110" s="18" cm="1">
        <f t="array" aca="1" ref="E110" ca="1">INDIRECT("b"&amp;F110+2)</f>
        <v>1E+36</v>
      </c>
      <c r="F110" s="18">
        <f t="shared" si="11"/>
        <v>542</v>
      </c>
      <c r="G110" s="18"/>
      <c r="H110" s="18"/>
      <c r="I110" s="19">
        <v>108</v>
      </c>
      <c r="J110" s="19" cm="1">
        <f t="array" aca="1" ref="J110" ca="1">INDIRECT("b"&amp;K110+2)</f>
        <v>5.5000000000000005E+65</v>
      </c>
      <c r="K110" s="19">
        <f t="shared" si="10"/>
        <v>1742</v>
      </c>
      <c r="N110" s="18">
        <v>671</v>
      </c>
      <c r="O110" s="18"/>
      <c r="P110" s="2" cm="1">
        <f t="array" aca="1" ref="P110" ca="1">INDIRECT("b" &amp; (N110+2))</f>
        <v>7.5249999999999997E+39</v>
      </c>
      <c r="Q110" s="5">
        <f t="shared" ca="1" si="8"/>
        <v>614.28571428571422</v>
      </c>
      <c r="S110" s="18">
        <v>231</v>
      </c>
      <c r="T110" s="18"/>
      <c r="U110" s="2" cm="1">
        <f t="array" aca="1" ref="U110" ca="1">INDIRECT("d" &amp; (S110+2))</f>
        <v>231</v>
      </c>
      <c r="V110" s="5">
        <f t="shared" ca="1" si="6"/>
        <v>1.8780487804878048</v>
      </c>
      <c r="W110">
        <v>108</v>
      </c>
      <c r="X110" s="18">
        <v>671</v>
      </c>
      <c r="Y110" s="18"/>
      <c r="Z110" s="2" cm="1">
        <f t="array" aca="1" ref="Z110" ca="1">INDIRECT("b" &amp; (X110+2))</f>
        <v>7.5249999999999997E+39</v>
      </c>
      <c r="AA110" s="5">
        <f t="shared" ca="1" si="9"/>
        <v>614.28571428571422</v>
      </c>
    </row>
    <row r="111" spans="1:27">
      <c r="A111">
        <v>109</v>
      </c>
      <c r="B111">
        <v>30000000000000</v>
      </c>
      <c r="D111" s="18">
        <v>109</v>
      </c>
      <c r="E111" s="18" cm="1">
        <f t="array" aca="1" ref="E111" ca="1">INDIRECT("b"&amp;F111+2)</f>
        <v>1.05E+36</v>
      </c>
      <c r="F111" s="18">
        <f t="shared" si="11"/>
        <v>543</v>
      </c>
      <c r="G111" s="18"/>
      <c r="H111" s="18"/>
      <c r="I111" s="19">
        <v>109</v>
      </c>
      <c r="J111" s="19" cm="1">
        <f t="array" aca="1" ref="J111" ca="1">INDIRECT("b"&amp;K111+2)</f>
        <v>5.9500000000000003E+65</v>
      </c>
      <c r="K111" s="19">
        <f t="shared" si="10"/>
        <v>1744</v>
      </c>
      <c r="N111" s="18">
        <v>672</v>
      </c>
      <c r="O111" s="18"/>
      <c r="P111" s="2" cm="1">
        <f t="array" aca="1" ref="P111" ca="1">INDIRECT("b" &amp; (N111+2))</f>
        <v>7.7499999999999994E+39</v>
      </c>
      <c r="Q111" s="5">
        <f t="shared" ca="1" si="8"/>
        <v>632.65306122448965</v>
      </c>
      <c r="S111" s="18">
        <v>232</v>
      </c>
      <c r="T111" s="18"/>
      <c r="U111" s="2" cm="1">
        <f t="array" aca="1" ref="U111" ca="1">INDIRECT("d" &amp; (S111+2))</f>
        <v>232</v>
      </c>
      <c r="V111" s="5">
        <f t="shared" ca="1" si="6"/>
        <v>1.8861788617886179</v>
      </c>
      <c r="W111">
        <v>109</v>
      </c>
      <c r="X111" s="18">
        <v>672</v>
      </c>
      <c r="Y111" s="18"/>
      <c r="Z111" s="2" cm="1">
        <f t="array" aca="1" ref="Z111" ca="1">INDIRECT("b" &amp; (X111+2))</f>
        <v>7.7499999999999994E+39</v>
      </c>
      <c r="AA111" s="5">
        <f t="shared" ca="1" si="9"/>
        <v>632.65306122448965</v>
      </c>
    </row>
    <row r="112" spans="1:27">
      <c r="A112">
        <v>110</v>
      </c>
      <c r="B112">
        <v>35000000000000</v>
      </c>
      <c r="D112" s="18">
        <v>110</v>
      </c>
      <c r="E112" s="18" cm="1">
        <f t="array" aca="1" ref="E112" ca="1">INDIRECT("b"&amp;F112+2)</f>
        <v>1.5E+36</v>
      </c>
      <c r="F112" s="18">
        <f t="shared" si="11"/>
        <v>545</v>
      </c>
      <c r="G112" s="18"/>
      <c r="H112" s="18"/>
      <c r="I112" s="19">
        <v>110</v>
      </c>
      <c r="J112" s="19" cm="1">
        <f t="array" aca="1" ref="J112" ca="1">INDIRECT("b"&amp;K112+2)</f>
        <v>6.1750000000000007E+65</v>
      </c>
      <c r="K112" s="19">
        <f t="shared" si="10"/>
        <v>1745</v>
      </c>
      <c r="N112" s="18">
        <v>673</v>
      </c>
      <c r="O112" s="18"/>
      <c r="P112" s="2" cm="1">
        <f t="array" aca="1" ref="P112" ca="1">INDIRECT("b" &amp; (N112+2))</f>
        <v>7.9750000000000004E+39</v>
      </c>
      <c r="Q112" s="5">
        <f t="shared" ca="1" si="8"/>
        <v>651.0204081632653</v>
      </c>
      <c r="S112" s="18">
        <v>233</v>
      </c>
      <c r="T112" s="18"/>
      <c r="U112" s="2" cm="1">
        <f t="array" aca="1" ref="U112" ca="1">INDIRECT("d" &amp; (S112+2))</f>
        <v>233</v>
      </c>
      <c r="V112" s="5">
        <f t="shared" ca="1" si="6"/>
        <v>1.8943089430894309</v>
      </c>
      <c r="W112">
        <v>110</v>
      </c>
      <c r="X112" s="18">
        <v>673</v>
      </c>
      <c r="Y112" s="18"/>
      <c r="Z112" s="2" cm="1">
        <f t="array" aca="1" ref="Z112" ca="1">INDIRECT("b" &amp; (X112+2))</f>
        <v>7.9750000000000004E+39</v>
      </c>
      <c r="AA112" s="5">
        <f t="shared" ca="1" si="9"/>
        <v>651.0204081632653</v>
      </c>
    </row>
    <row r="113" spans="1:27">
      <c r="A113">
        <v>111</v>
      </c>
      <c r="B113">
        <v>40000000000000</v>
      </c>
      <c r="D113" s="18">
        <v>111</v>
      </c>
      <c r="E113" s="18" cm="1">
        <f t="array" aca="1" ref="E113" ca="1">INDIRECT("b"&amp;F113+2)</f>
        <v>2.0000000000000001E+36</v>
      </c>
      <c r="F113" s="18">
        <f t="shared" si="11"/>
        <v>546</v>
      </c>
      <c r="G113" s="18"/>
      <c r="H113" s="18"/>
      <c r="I113" s="19">
        <v>111</v>
      </c>
      <c r="J113" s="19" cm="1">
        <f t="array" aca="1" ref="J113" ca="1">INDIRECT("b"&amp;K113+2)</f>
        <v>6.4000000000000001E+65</v>
      </c>
      <c r="K113" s="19">
        <f t="shared" si="10"/>
        <v>1746</v>
      </c>
      <c r="N113" s="18">
        <v>674</v>
      </c>
      <c r="O113" s="18"/>
      <c r="P113" s="2" cm="1">
        <f t="array" aca="1" ref="P113" ca="1">INDIRECT("b" &amp; (N113+2))</f>
        <v>8.2000000000000001E+39</v>
      </c>
      <c r="Q113" s="5">
        <f t="shared" ca="1" si="8"/>
        <v>669.38775510204073</v>
      </c>
      <c r="S113" s="18">
        <v>234</v>
      </c>
      <c r="T113" s="18"/>
      <c r="U113" s="2" cm="1">
        <f t="array" aca="1" ref="U113" ca="1">INDIRECT("d" &amp; (S113+2))</f>
        <v>234</v>
      </c>
      <c r="V113" s="5">
        <f t="shared" ca="1" si="6"/>
        <v>1.9024390243902438</v>
      </c>
      <c r="W113">
        <v>111</v>
      </c>
      <c r="X113" s="18">
        <v>674</v>
      </c>
      <c r="Y113" s="18"/>
      <c r="Z113" s="2" cm="1">
        <f t="array" aca="1" ref="Z113" ca="1">INDIRECT("b" &amp; (X113+2))</f>
        <v>8.2000000000000001E+39</v>
      </c>
      <c r="AA113" s="5">
        <f t="shared" ca="1" si="9"/>
        <v>669.38775510204073</v>
      </c>
    </row>
    <row r="114" spans="1:27">
      <c r="A114">
        <v>112</v>
      </c>
      <c r="B114">
        <v>50000000000000</v>
      </c>
      <c r="D114" s="18">
        <v>112</v>
      </c>
      <c r="E114" s="18" cm="1">
        <f t="array" aca="1" ref="E114" ca="1">INDIRECT("b"&amp;F114+2)</f>
        <v>2.5000000000000002E+36</v>
      </c>
      <c r="F114" s="18">
        <f t="shared" si="11"/>
        <v>547</v>
      </c>
      <c r="G114" s="18"/>
      <c r="H114" s="18"/>
      <c r="I114" s="19">
        <v>112</v>
      </c>
      <c r="J114" s="19" cm="1">
        <f t="array" aca="1" ref="J114" ca="1">INDIRECT("b"&amp;K114+2)</f>
        <v>6.8499999999999999E+65</v>
      </c>
      <c r="K114" s="19">
        <f t="shared" si="10"/>
        <v>1748</v>
      </c>
      <c r="N114" s="18">
        <v>675</v>
      </c>
      <c r="O114" s="18"/>
      <c r="P114" s="2" cm="1">
        <f t="array" aca="1" ref="P114" ca="1">INDIRECT("b" &amp; (N114+2))</f>
        <v>8.4249999999999998E+39</v>
      </c>
      <c r="Q114" s="5">
        <f t="shared" ca="1" si="8"/>
        <v>687.75510204081627</v>
      </c>
      <c r="S114" s="18">
        <v>235</v>
      </c>
      <c r="T114" s="18"/>
      <c r="U114" s="2" cm="1">
        <f t="array" aca="1" ref="U114" ca="1">INDIRECT("d" &amp; (S114+2))</f>
        <v>235</v>
      </c>
      <c r="V114" s="5">
        <f t="shared" ca="1" si="6"/>
        <v>1.910569105691057</v>
      </c>
      <c r="W114">
        <v>112</v>
      </c>
      <c r="X114" s="18">
        <v>675</v>
      </c>
      <c r="Y114" s="18"/>
      <c r="Z114" s="2" cm="1">
        <f t="array" aca="1" ref="Z114" ca="1">INDIRECT("b" &amp; (X114+2))</f>
        <v>8.4249999999999998E+39</v>
      </c>
      <c r="AA114" s="5">
        <f t="shared" ca="1" si="9"/>
        <v>687.75510204081627</v>
      </c>
    </row>
    <row r="115" spans="1:27">
      <c r="A115">
        <v>113</v>
      </c>
      <c r="B115">
        <v>60000000000000</v>
      </c>
      <c r="D115" s="18">
        <v>113</v>
      </c>
      <c r="E115" s="18" cm="1">
        <f t="array" aca="1" ref="E115" ca="1">INDIRECT("b"&amp;F115+2)</f>
        <v>3.5000000000000004E+36</v>
      </c>
      <c r="F115" s="18">
        <f t="shared" si="11"/>
        <v>549</v>
      </c>
      <c r="G115" s="18"/>
      <c r="H115" s="18"/>
      <c r="I115" s="19">
        <v>113</v>
      </c>
      <c r="J115" s="19" cm="1">
        <f t="array" aca="1" ref="J115" ca="1">INDIRECT("b"&amp;K115+2)</f>
        <v>7.0750000000000003E+65</v>
      </c>
      <c r="K115" s="19">
        <f t="shared" si="10"/>
        <v>1749</v>
      </c>
      <c r="N115" s="18">
        <v>676</v>
      </c>
      <c r="O115" s="18"/>
      <c r="P115" s="2" cm="1">
        <f t="array" aca="1" ref="P115" ca="1">INDIRECT("b" &amp; (N115+2))</f>
        <v>8.6499999999999995E+39</v>
      </c>
      <c r="Q115" s="5">
        <f t="shared" ca="1" si="8"/>
        <v>706.1224489795917</v>
      </c>
      <c r="S115" s="18">
        <v>236</v>
      </c>
      <c r="T115" s="18"/>
      <c r="U115" s="2" cm="1">
        <f t="array" aca="1" ref="U115" ca="1">INDIRECT("d" &amp; (S115+2))</f>
        <v>236</v>
      </c>
      <c r="V115" s="5">
        <f t="shared" ca="1" si="6"/>
        <v>1.9186991869918699</v>
      </c>
      <c r="W115">
        <v>113</v>
      </c>
      <c r="X115" s="18">
        <v>676</v>
      </c>
      <c r="Y115" s="18"/>
      <c r="Z115" s="2" cm="1">
        <f t="array" aca="1" ref="Z115" ca="1">INDIRECT("b" &amp; (X115+2))</f>
        <v>8.6499999999999995E+39</v>
      </c>
      <c r="AA115" s="5">
        <f t="shared" ca="1" si="9"/>
        <v>706.1224489795917</v>
      </c>
    </row>
    <row r="116" spans="1:27">
      <c r="A116">
        <v>114</v>
      </c>
      <c r="B116">
        <v>70000000000000</v>
      </c>
      <c r="D116" s="18">
        <v>114</v>
      </c>
      <c r="E116" s="18" cm="1">
        <f t="array" aca="1" ref="E116" ca="1">INDIRECT("b"&amp;F116+2)</f>
        <v>4.0000000000000002E+36</v>
      </c>
      <c r="F116" s="18">
        <f t="shared" si="11"/>
        <v>550</v>
      </c>
      <c r="G116" s="18"/>
      <c r="H116" s="18"/>
      <c r="I116" s="19">
        <v>114</v>
      </c>
      <c r="J116" s="19" cm="1">
        <f t="array" aca="1" ref="J116" ca="1">INDIRECT("b"&amp;K116+2)</f>
        <v>7.3000000000000007E+65</v>
      </c>
      <c r="K116" s="19">
        <f t="shared" si="10"/>
        <v>1750</v>
      </c>
      <c r="N116" s="18">
        <v>677</v>
      </c>
      <c r="O116" s="18"/>
      <c r="P116" s="2" cm="1">
        <f t="array" aca="1" ref="P116" ca="1">INDIRECT("b" &amp; (N116+2))</f>
        <v>8.8749999999999993E+39</v>
      </c>
      <c r="Q116" s="5">
        <f t="shared" ca="1" si="8"/>
        <v>724.48979591836724</v>
      </c>
      <c r="S116" s="18">
        <v>237</v>
      </c>
      <c r="T116" s="18"/>
      <c r="U116" s="2" cm="1">
        <f t="array" aca="1" ref="U116" ca="1">INDIRECT("d" &amp; (S116+2))</f>
        <v>237</v>
      </c>
      <c r="V116" s="5">
        <f t="shared" ca="1" si="6"/>
        <v>1.9268292682926829</v>
      </c>
      <c r="W116">
        <v>114</v>
      </c>
      <c r="X116" s="18">
        <v>677</v>
      </c>
      <c r="Y116" s="18"/>
      <c r="Z116" s="2" cm="1">
        <f t="array" aca="1" ref="Z116" ca="1">INDIRECT("b" &amp; (X116+2))</f>
        <v>8.8749999999999993E+39</v>
      </c>
      <c r="AA116" s="5">
        <f t="shared" ca="1" si="9"/>
        <v>724.48979591836724</v>
      </c>
    </row>
    <row r="117" spans="1:27">
      <c r="A117">
        <v>115</v>
      </c>
      <c r="B117">
        <v>80000000000000</v>
      </c>
      <c r="D117" s="18">
        <v>115</v>
      </c>
      <c r="E117" s="18" cm="1">
        <f t="array" aca="1" ref="E117" ca="1">INDIRECT("b"&amp;F117+2)</f>
        <v>4.5000000000000006E+36</v>
      </c>
      <c r="F117" s="18">
        <f t="shared" si="11"/>
        <v>551</v>
      </c>
      <c r="G117" s="18"/>
      <c r="H117" s="18"/>
      <c r="I117" s="19">
        <v>115</v>
      </c>
      <c r="J117" s="19" cm="1">
        <f t="array" aca="1" ref="J117" ca="1">INDIRECT("b"&amp;K117+2)</f>
        <v>7.7500000000000005E+65</v>
      </c>
      <c r="K117" s="19">
        <f t="shared" si="10"/>
        <v>1752</v>
      </c>
      <c r="N117" s="18">
        <v>678</v>
      </c>
      <c r="O117" s="18"/>
      <c r="P117" s="2" cm="1">
        <f t="array" aca="1" ref="P117" ca="1">INDIRECT("b" &amp; (N117+2))</f>
        <v>9.099999999999999E+39</v>
      </c>
      <c r="Q117" s="5">
        <f t="shared" ca="1" si="8"/>
        <v>742.85714285714266</v>
      </c>
      <c r="S117" s="18">
        <v>238</v>
      </c>
      <c r="T117" s="18"/>
      <c r="U117" s="2" cm="1">
        <f t="array" aca="1" ref="U117" ca="1">INDIRECT("d" &amp; (S117+2))</f>
        <v>238</v>
      </c>
      <c r="V117" s="5">
        <f t="shared" ca="1" si="6"/>
        <v>1.934959349593496</v>
      </c>
      <c r="W117">
        <v>115</v>
      </c>
      <c r="X117" s="18">
        <v>678</v>
      </c>
      <c r="Y117" s="18"/>
      <c r="Z117" s="2" cm="1">
        <f t="array" aca="1" ref="Z117" ca="1">INDIRECT("b" &amp; (X117+2))</f>
        <v>9.099999999999999E+39</v>
      </c>
      <c r="AA117" s="5">
        <f t="shared" ca="1" si="9"/>
        <v>742.85714285714266</v>
      </c>
    </row>
    <row r="118" spans="1:27">
      <c r="A118">
        <v>116</v>
      </c>
      <c r="B118">
        <v>90000000000000</v>
      </c>
      <c r="D118" s="18">
        <v>116</v>
      </c>
      <c r="E118" s="18" cm="1">
        <f t="array" aca="1" ref="E118" ca="1">INDIRECT("b"&amp;F118+2)</f>
        <v>5.5000000000000002E+36</v>
      </c>
      <c r="F118" s="18">
        <f t="shared" si="11"/>
        <v>553</v>
      </c>
      <c r="G118" s="18"/>
      <c r="H118" s="18"/>
      <c r="I118" s="19">
        <v>116</v>
      </c>
      <c r="J118" s="19" cm="1">
        <f t="array" aca="1" ref="J118" ca="1">INDIRECT("b"&amp;K118+2)</f>
        <v>7.9750000000000008E+65</v>
      </c>
      <c r="K118" s="19">
        <f t="shared" si="10"/>
        <v>1753</v>
      </c>
      <c r="N118" s="18">
        <v>679</v>
      </c>
      <c r="O118" s="18"/>
      <c r="P118" s="2" cm="1">
        <f t="array" aca="1" ref="P118" ca="1">INDIRECT("b" &amp; (N118+2))</f>
        <v>9.3249999999999999E+39</v>
      </c>
      <c r="Q118" s="5">
        <f t="shared" ca="1" si="8"/>
        <v>761.22448979591832</v>
      </c>
      <c r="S118" s="18">
        <v>239</v>
      </c>
      <c r="T118" s="18"/>
      <c r="U118" s="2" cm="1">
        <f t="array" aca="1" ref="U118" ca="1">INDIRECT("d" &amp; (S118+2))</f>
        <v>239</v>
      </c>
      <c r="V118" s="5">
        <f t="shared" ca="1" si="6"/>
        <v>1.943089430894309</v>
      </c>
      <c r="W118">
        <v>116</v>
      </c>
      <c r="X118" s="18">
        <v>679</v>
      </c>
      <c r="Y118" s="18"/>
      <c r="Z118" s="2" cm="1">
        <f t="array" aca="1" ref="Z118" ca="1">INDIRECT("b" &amp; (X118+2))</f>
        <v>9.3249999999999999E+39</v>
      </c>
      <c r="AA118" s="5">
        <f t="shared" ca="1" si="9"/>
        <v>761.22448979591832</v>
      </c>
    </row>
    <row r="119" spans="1:27">
      <c r="A119">
        <v>117</v>
      </c>
      <c r="B119">
        <v>100000000000000</v>
      </c>
      <c r="D119" s="18">
        <v>117</v>
      </c>
      <c r="E119" s="18" cm="1">
        <f t="array" aca="1" ref="E119" ca="1">INDIRECT("b"&amp;F119+2)</f>
        <v>6E+36</v>
      </c>
      <c r="F119" s="18">
        <f t="shared" si="11"/>
        <v>554</v>
      </c>
      <c r="G119" s="18"/>
      <c r="H119" s="18"/>
      <c r="I119" s="19">
        <v>117</v>
      </c>
      <c r="J119" s="19" cm="1">
        <f t="array" aca="1" ref="J119" ca="1">INDIRECT("b"&amp;K119+2)</f>
        <v>8.2000000000000003E+65</v>
      </c>
      <c r="K119" s="19">
        <f t="shared" si="10"/>
        <v>1754</v>
      </c>
      <c r="N119" s="18">
        <v>680</v>
      </c>
      <c r="O119" s="18"/>
      <c r="P119" s="2" cm="1">
        <f t="array" aca="1" ref="P119" ca="1">INDIRECT("b" &amp; (N119+2))</f>
        <v>9.5499999999999996E+39</v>
      </c>
      <c r="Q119" s="5">
        <f t="shared" ca="1" si="8"/>
        <v>779.59183673469374</v>
      </c>
      <c r="S119" s="18">
        <v>240</v>
      </c>
      <c r="T119" s="18"/>
      <c r="U119" s="2" cm="1">
        <f t="array" aca="1" ref="U119" ca="1">INDIRECT("d" &amp; (S119+2))</f>
        <v>240</v>
      </c>
      <c r="V119" s="5">
        <f t="shared" ca="1" si="6"/>
        <v>1.9512195121951219</v>
      </c>
      <c r="W119">
        <v>117</v>
      </c>
      <c r="X119" s="18">
        <v>680</v>
      </c>
      <c r="Y119" s="18"/>
      <c r="Z119" s="2" cm="1">
        <f t="array" aca="1" ref="Z119" ca="1">INDIRECT("b" &amp; (X119+2))</f>
        <v>9.5499999999999996E+39</v>
      </c>
      <c r="AA119" s="5">
        <f t="shared" ca="1" si="9"/>
        <v>779.59183673469374</v>
      </c>
    </row>
    <row r="120" spans="1:27">
      <c r="A120">
        <v>118</v>
      </c>
      <c r="B120">
        <v>200000000000000</v>
      </c>
      <c r="D120" s="18">
        <v>118</v>
      </c>
      <c r="E120" s="18" cm="1">
        <f t="array" aca="1" ref="E120" ca="1">INDIRECT("b"&amp;F120+2)</f>
        <v>6.4999999999999998E+36</v>
      </c>
      <c r="F120" s="18">
        <f t="shared" si="11"/>
        <v>555</v>
      </c>
      <c r="G120" s="18"/>
      <c r="H120" s="18"/>
      <c r="I120" s="19">
        <v>118</v>
      </c>
      <c r="J120" s="19" cm="1">
        <f t="array" aca="1" ref="J120" ca="1">INDIRECT("b"&amp;K120+2)</f>
        <v>8.650000000000001E+65</v>
      </c>
      <c r="K120" s="19">
        <f t="shared" si="10"/>
        <v>1756</v>
      </c>
      <c r="N120" s="18">
        <v>681</v>
      </c>
      <c r="O120" s="18"/>
      <c r="P120" s="2" cm="1">
        <f t="array" aca="1" ref="P120" ca="1">INDIRECT("b" &amp; (N120+2))</f>
        <v>9.7749999999999994E+39</v>
      </c>
      <c r="Q120" s="5">
        <f t="shared" ca="1" si="8"/>
        <v>797.95918367346928</v>
      </c>
      <c r="S120" s="18">
        <v>241</v>
      </c>
      <c r="T120" s="18"/>
      <c r="U120" s="2" cm="1">
        <f t="array" aca="1" ref="U120" ca="1">INDIRECT("d" &amp; (S120+2))</f>
        <v>241</v>
      </c>
      <c r="V120" s="5">
        <f t="shared" ca="1" si="6"/>
        <v>1.9593495934959348</v>
      </c>
      <c r="W120">
        <v>118</v>
      </c>
      <c r="X120" s="18">
        <v>681</v>
      </c>
      <c r="Y120" s="18"/>
      <c r="Z120" s="2" cm="1">
        <f t="array" aca="1" ref="Z120" ca="1">INDIRECT("b" &amp; (X120+2))</f>
        <v>9.7749999999999994E+39</v>
      </c>
      <c r="AA120" s="5">
        <f t="shared" ca="1" si="9"/>
        <v>797.95918367346928</v>
      </c>
    </row>
    <row r="121" spans="1:27">
      <c r="A121">
        <v>119</v>
      </c>
      <c r="B121">
        <v>300000000000000</v>
      </c>
      <c r="D121" s="18">
        <v>119</v>
      </c>
      <c r="E121" s="18" cm="1">
        <f t="array" aca="1" ref="E121" ca="1">INDIRECT("b"&amp;F121+2)</f>
        <v>7.4999999999999994E+36</v>
      </c>
      <c r="F121" s="18">
        <f t="shared" si="11"/>
        <v>557</v>
      </c>
      <c r="G121" s="18"/>
      <c r="H121" s="18"/>
      <c r="I121" s="19">
        <v>119</v>
      </c>
      <c r="J121" s="19" cm="1">
        <f t="array" aca="1" ref="J121" ca="1">INDIRECT("b"&amp;K121+2)</f>
        <v>8.8750000000000014E+65</v>
      </c>
      <c r="K121" s="19">
        <f t="shared" si="10"/>
        <v>1757</v>
      </c>
      <c r="N121" s="18">
        <v>682</v>
      </c>
      <c r="O121" s="18"/>
      <c r="P121" s="2" cm="1">
        <f t="array" aca="1" ref="P121" ca="1">INDIRECT("b" &amp; (N121+2))</f>
        <v>1E+40</v>
      </c>
      <c r="Q121" s="5">
        <f t="shared" ca="1" si="8"/>
        <v>816.32653061224482</v>
      </c>
      <c r="S121" s="18">
        <v>242</v>
      </c>
      <c r="T121" s="18"/>
      <c r="U121" s="2" cm="1">
        <f t="array" aca="1" ref="U121" ca="1">INDIRECT("d" &amp; (S121+2))</f>
        <v>242</v>
      </c>
      <c r="V121" s="5">
        <f t="shared" ca="1" si="6"/>
        <v>1.967479674796748</v>
      </c>
      <c r="W121">
        <v>119</v>
      </c>
      <c r="X121" s="18">
        <v>682</v>
      </c>
      <c r="Y121" s="18"/>
      <c r="Z121" s="2" cm="1">
        <f t="array" aca="1" ref="Z121" ca="1">INDIRECT("b" &amp; (X121+2))</f>
        <v>1E+40</v>
      </c>
      <c r="AA121" s="5">
        <f t="shared" ca="1" si="9"/>
        <v>816.32653061224482</v>
      </c>
    </row>
    <row r="122" spans="1:27">
      <c r="A122">
        <v>120</v>
      </c>
      <c r="B122">
        <v>400000000000000</v>
      </c>
      <c r="D122" s="18">
        <v>120</v>
      </c>
      <c r="E122" s="18" cm="1">
        <f t="array" aca="1" ref="E122" ca="1">INDIRECT("b"&amp;F122+2)</f>
        <v>8.0000000000000003E+36</v>
      </c>
      <c r="F122" s="18">
        <f t="shared" si="11"/>
        <v>558</v>
      </c>
      <c r="G122" s="18"/>
      <c r="H122" s="18"/>
      <c r="I122" s="19">
        <v>120</v>
      </c>
      <c r="J122" s="19" cm="1">
        <f t="array" aca="1" ref="J122" ca="1">INDIRECT("b"&amp;K122+2)</f>
        <v>9.0999999999999999E+65</v>
      </c>
      <c r="K122" s="19">
        <f t="shared" si="10"/>
        <v>1758</v>
      </c>
      <c r="N122" s="18">
        <v>683</v>
      </c>
      <c r="O122" s="18"/>
      <c r="P122" s="2" cm="1">
        <f t="array" aca="1" ref="P122" ca="1">INDIRECT("b" &amp; (N122+2))</f>
        <v>1.2250000000000001E+40</v>
      </c>
      <c r="Q122" s="5">
        <f t="shared" ca="1" si="8"/>
        <v>1000</v>
      </c>
      <c r="S122" s="18">
        <v>243</v>
      </c>
      <c r="T122" s="18"/>
      <c r="U122" s="2" cm="1">
        <f t="array" aca="1" ref="U122" ca="1">INDIRECT("d" &amp; (S122+2))</f>
        <v>243</v>
      </c>
      <c r="V122" s="5">
        <f t="shared" ca="1" si="6"/>
        <v>1.975609756097561</v>
      </c>
      <c r="W122">
        <v>120</v>
      </c>
      <c r="X122" s="18">
        <v>683</v>
      </c>
      <c r="Y122" s="18"/>
      <c r="Z122" s="2" cm="1">
        <f t="array" aca="1" ref="Z122" ca="1">INDIRECT("b" &amp; (X122+2))</f>
        <v>1.2250000000000001E+40</v>
      </c>
      <c r="AA122" s="5">
        <f t="shared" ca="1" si="9"/>
        <v>1000</v>
      </c>
    </row>
    <row r="123" spans="1:27">
      <c r="A123">
        <v>121</v>
      </c>
      <c r="B123">
        <v>500000000000000</v>
      </c>
      <c r="D123" s="18">
        <v>121</v>
      </c>
      <c r="E123" s="18" cm="1">
        <f t="array" aca="1" ref="E123" ca="1">INDIRECT("b"&amp;F123+2)</f>
        <v>8.5000000000000001E+36</v>
      </c>
      <c r="F123" s="18">
        <f t="shared" si="11"/>
        <v>559</v>
      </c>
      <c r="G123" s="18"/>
      <c r="H123" s="18"/>
      <c r="I123" s="19">
        <v>121</v>
      </c>
      <c r="J123" s="19" cm="1">
        <f t="array" aca="1" ref="J123" ca="1">INDIRECT("b"&amp;K123+2)</f>
        <v>9.5500000000000006E+65</v>
      </c>
      <c r="K123" s="19">
        <f t="shared" si="10"/>
        <v>1760</v>
      </c>
      <c r="N123" s="18">
        <v>684</v>
      </c>
      <c r="O123" s="18"/>
      <c r="P123" s="2" cm="1">
        <f t="array" aca="1" ref="P123" ca="1">INDIRECT("b" &amp; (N123+2))</f>
        <v>1.4499999999999998E+40</v>
      </c>
      <c r="Q123" s="5">
        <f t="shared" ca="1" si="8"/>
        <v>1183.6734693877549</v>
      </c>
      <c r="S123" s="18">
        <v>244</v>
      </c>
      <c r="T123" s="18"/>
      <c r="U123" s="2" cm="1">
        <f t="array" aca="1" ref="U123" ca="1">INDIRECT("d" &amp; (S123+2))</f>
        <v>244</v>
      </c>
      <c r="V123" s="5">
        <f t="shared" ca="1" si="6"/>
        <v>1.9837398373983739</v>
      </c>
      <c r="W123">
        <v>121</v>
      </c>
      <c r="X123" s="18">
        <v>684</v>
      </c>
      <c r="Y123" s="18"/>
      <c r="Z123" s="2" cm="1">
        <f t="array" aca="1" ref="Z123" ca="1">INDIRECT("b" &amp; (X123+2))</f>
        <v>1.4499999999999998E+40</v>
      </c>
      <c r="AA123" s="5">
        <f t="shared" ca="1" si="9"/>
        <v>1183.6734693877549</v>
      </c>
    </row>
    <row r="124" spans="1:27">
      <c r="A124">
        <v>122</v>
      </c>
      <c r="B124">
        <v>600000000000000</v>
      </c>
      <c r="D124" s="18">
        <v>122</v>
      </c>
      <c r="E124" s="18" cm="1">
        <f t="array" aca="1" ref="E124" ca="1">INDIRECT("b"&amp;F124+2)</f>
        <v>9.4999999999999997E+36</v>
      </c>
      <c r="F124" s="18">
        <f t="shared" si="11"/>
        <v>561</v>
      </c>
      <c r="G124" s="18"/>
      <c r="H124" s="18"/>
      <c r="I124" s="19">
        <v>122</v>
      </c>
      <c r="J124" s="19" cm="1">
        <f t="array" aca="1" ref="J124" ca="1">INDIRECT("b"&amp;K124+2)</f>
        <v>9.775000000000001E+65</v>
      </c>
      <c r="K124" s="19">
        <f t="shared" si="10"/>
        <v>1761</v>
      </c>
      <c r="N124" s="18">
        <v>685</v>
      </c>
      <c r="O124" s="18"/>
      <c r="P124" s="2" cm="1">
        <f t="array" aca="1" ref="P124" ca="1">INDIRECT("b" &amp; (N124+2))</f>
        <v>1.6750000000000001E+40</v>
      </c>
      <c r="Q124" s="5">
        <f t="shared" ca="1" si="8"/>
        <v>1367.3469387755101</v>
      </c>
      <c r="S124" s="18">
        <v>245</v>
      </c>
      <c r="T124" s="18"/>
      <c r="U124" s="2" cm="1">
        <f t="array" aca="1" ref="U124" ca="1">INDIRECT("d" &amp; (S124+2))</f>
        <v>245</v>
      </c>
      <c r="V124" s="5">
        <f t="shared" ca="1" si="6"/>
        <v>1.9918699186991871</v>
      </c>
      <c r="W124">
        <v>122</v>
      </c>
      <c r="X124" s="18">
        <v>685</v>
      </c>
      <c r="Y124" s="18"/>
      <c r="Z124" s="2" cm="1">
        <f t="array" aca="1" ref="Z124" ca="1">INDIRECT("b" &amp; (X124+2))</f>
        <v>1.6750000000000001E+40</v>
      </c>
      <c r="AA124" s="5">
        <f t="shared" ca="1" si="9"/>
        <v>1367.3469387755101</v>
      </c>
    </row>
    <row r="125" spans="1:27">
      <c r="A125">
        <v>123</v>
      </c>
      <c r="B125">
        <v>700000000000000</v>
      </c>
      <c r="D125" s="18">
        <v>123</v>
      </c>
      <c r="E125" s="18" cm="1">
        <f t="array" aca="1" ref="E125" ca="1">INDIRECT("b"&amp;F125+2)</f>
        <v>1.2250000000000001E+37</v>
      </c>
      <c r="F125" s="18">
        <f t="shared" ref="F125:F188" si="12">INT((A125-123)*1.333333)+563</f>
        <v>563</v>
      </c>
      <c r="G125" s="18"/>
      <c r="H125" s="18"/>
      <c r="I125" s="19">
        <v>123</v>
      </c>
      <c r="J125" s="19" cm="1">
        <f t="array" aca="1" ref="J125" ca="1">INDIRECT("b"&amp;K125+2)</f>
        <v>9.9999999999999995E+65</v>
      </c>
      <c r="K125" s="19">
        <f t="shared" si="10"/>
        <v>1762</v>
      </c>
      <c r="N125" s="18">
        <v>686</v>
      </c>
      <c r="O125" s="18"/>
      <c r="P125" s="2" cm="1">
        <f t="array" aca="1" ref="P125" ca="1">INDIRECT("b" &amp; (N125+2))</f>
        <v>1.9000000000000003E+40</v>
      </c>
      <c r="Q125" s="5">
        <f t="shared" ca="1" si="8"/>
        <v>1551.0204081632653</v>
      </c>
      <c r="S125" s="18">
        <v>246</v>
      </c>
      <c r="T125" s="18"/>
      <c r="U125" s="2" cm="1">
        <f t="array" aca="1" ref="U125" ca="1">INDIRECT("d" &amp; (S125+2))</f>
        <v>246</v>
      </c>
      <c r="V125" s="5">
        <f t="shared" ca="1" si="6"/>
        <v>2</v>
      </c>
      <c r="W125">
        <v>123</v>
      </c>
      <c r="X125" s="18">
        <v>686</v>
      </c>
      <c r="Y125" s="18"/>
      <c r="Z125" s="2" cm="1">
        <f t="array" aca="1" ref="Z125" ca="1">INDIRECT("b" &amp; (X125+2))</f>
        <v>1.9000000000000003E+40</v>
      </c>
      <c r="AA125" s="5">
        <f t="shared" ca="1" si="9"/>
        <v>1551.0204081632653</v>
      </c>
    </row>
    <row r="126" spans="1:27">
      <c r="A126">
        <v>124</v>
      </c>
      <c r="B126">
        <v>800000000000000</v>
      </c>
      <c r="D126" s="18">
        <v>124</v>
      </c>
      <c r="E126" s="18" cm="1">
        <f t="array" aca="1" ref="E126" ca="1">INDIRECT("b"&amp;F126+2)</f>
        <v>1.4499999999999999E+37</v>
      </c>
      <c r="F126" s="18">
        <f t="shared" si="12"/>
        <v>564</v>
      </c>
      <c r="G126" s="18"/>
      <c r="H126" s="18"/>
      <c r="I126" s="19">
        <v>124</v>
      </c>
      <c r="J126" s="19" cm="1">
        <f t="array" aca="1" ref="J126" ca="1">INDIRECT("b"&amp;K126+2)</f>
        <v>1.4499999999999999E+66</v>
      </c>
      <c r="K126" s="19">
        <f t="shared" si="10"/>
        <v>1764</v>
      </c>
      <c r="N126" s="18">
        <v>687</v>
      </c>
      <c r="O126" s="18"/>
      <c r="P126" s="2" cm="1">
        <f t="array" aca="1" ref="P126" ca="1">INDIRECT("b" &amp; (N126+2))</f>
        <v>2.125E+40</v>
      </c>
      <c r="Q126" s="5">
        <f t="shared" ca="1" si="8"/>
        <v>1734.6938775510203</v>
      </c>
      <c r="S126" s="18">
        <v>247</v>
      </c>
      <c r="T126" s="18"/>
      <c r="U126" s="2" cm="1">
        <f t="array" aca="1" ref="U126" ca="1">INDIRECT("d" &amp; (S126+2))</f>
        <v>247</v>
      </c>
      <c r="V126" s="5">
        <f t="shared" ca="1" si="6"/>
        <v>2.0081300813008132</v>
      </c>
      <c r="W126">
        <v>124</v>
      </c>
      <c r="X126" s="18">
        <v>687</v>
      </c>
      <c r="Y126" s="18"/>
      <c r="Z126" s="2" cm="1">
        <f t="array" aca="1" ref="Z126" ca="1">INDIRECT("b" &amp; (X126+2))</f>
        <v>2.125E+40</v>
      </c>
      <c r="AA126" s="5">
        <f t="shared" ca="1" si="9"/>
        <v>1734.6938775510203</v>
      </c>
    </row>
    <row r="127" spans="1:27">
      <c r="A127">
        <v>125</v>
      </c>
      <c r="B127">
        <v>900000000000000</v>
      </c>
      <c r="D127" s="18">
        <v>125</v>
      </c>
      <c r="E127" s="18" cm="1">
        <f t="array" aca="1" ref="E127" ca="1">INDIRECT("b"&amp;F127+2)</f>
        <v>1.6749999999999999E+37</v>
      </c>
      <c r="F127" s="18">
        <f t="shared" si="12"/>
        <v>565</v>
      </c>
      <c r="G127" s="18"/>
      <c r="H127" s="18"/>
      <c r="I127" s="19">
        <v>125</v>
      </c>
      <c r="J127" s="19" cm="1">
        <f t="array" aca="1" ref="J127" ca="1">INDIRECT("b"&amp;K127+2)</f>
        <v>1.6749999999999999E+66</v>
      </c>
      <c r="K127" s="19">
        <f t="shared" si="10"/>
        <v>1765</v>
      </c>
      <c r="N127" s="18">
        <v>688</v>
      </c>
      <c r="O127" s="18"/>
      <c r="P127" s="2" cm="1">
        <f t="array" aca="1" ref="P127" ca="1">INDIRECT("b" &amp; (N127+2))</f>
        <v>2.3500000000000002E+40</v>
      </c>
      <c r="Q127" s="5">
        <f t="shared" ca="1" si="8"/>
        <v>1918.3673469387754</v>
      </c>
      <c r="S127" s="18">
        <v>248</v>
      </c>
      <c r="T127" s="18"/>
      <c r="U127" s="2" cm="1">
        <f t="array" aca="1" ref="U127" ca="1">INDIRECT("d" &amp; (S127+2))</f>
        <v>248</v>
      </c>
      <c r="V127" s="5">
        <f t="shared" ca="1" si="6"/>
        <v>2.0162601626016259</v>
      </c>
      <c r="W127">
        <v>125</v>
      </c>
      <c r="X127" s="18">
        <v>688</v>
      </c>
      <c r="Y127" s="18"/>
      <c r="Z127" s="2" cm="1">
        <f t="array" aca="1" ref="Z127" ca="1">INDIRECT("b" &amp; (X127+2))</f>
        <v>2.3500000000000002E+40</v>
      </c>
      <c r="AA127" s="5">
        <f t="shared" ca="1" si="9"/>
        <v>1918.3673469387754</v>
      </c>
    </row>
    <row r="128" spans="1:27">
      <c r="A128">
        <v>126</v>
      </c>
      <c r="B128">
        <v>1000000000000000</v>
      </c>
      <c r="D128" s="18">
        <v>126</v>
      </c>
      <c r="E128" s="18" cm="1">
        <f t="array" aca="1" ref="E128" ca="1">INDIRECT("b"&amp;F128+2)</f>
        <v>1.9000000000000002E+37</v>
      </c>
      <c r="F128" s="18">
        <f t="shared" si="12"/>
        <v>566</v>
      </c>
      <c r="G128" s="18"/>
      <c r="H128" s="18"/>
      <c r="I128" s="19">
        <v>126</v>
      </c>
      <c r="J128" s="19" cm="1">
        <f t="array" aca="1" ref="J128" ca="1">INDIRECT("b"&amp;K128+2)</f>
        <v>1.8999999999999997E+66</v>
      </c>
      <c r="K128" s="19">
        <f t="shared" si="10"/>
        <v>1766</v>
      </c>
      <c r="N128" s="18">
        <v>689</v>
      </c>
      <c r="O128" s="18"/>
      <c r="P128" s="2" cm="1">
        <f t="array" aca="1" ref="P128" ca="1">INDIRECT("b" &amp; (N128+2))</f>
        <v>2.5749999999999997E+40</v>
      </c>
      <c r="Q128" s="5">
        <f t="shared" ca="1" si="8"/>
        <v>2102.0408163265301</v>
      </c>
      <c r="S128" s="18">
        <v>249</v>
      </c>
      <c r="T128" s="18"/>
      <c r="U128" s="2" cm="1">
        <f t="array" aca="1" ref="U128" ca="1">INDIRECT("d" &amp; (S128+2))</f>
        <v>249</v>
      </c>
      <c r="V128" s="5">
        <f t="shared" ca="1" si="6"/>
        <v>2.024390243902439</v>
      </c>
      <c r="W128">
        <v>126</v>
      </c>
      <c r="X128" s="18">
        <v>689</v>
      </c>
      <c r="Y128" s="18"/>
      <c r="Z128" s="2" cm="1">
        <f t="array" aca="1" ref="Z128" ca="1">INDIRECT("b" &amp; (X128+2))</f>
        <v>2.5749999999999997E+40</v>
      </c>
      <c r="AA128" s="5">
        <f t="shared" ca="1" si="9"/>
        <v>2102.0408163265301</v>
      </c>
    </row>
    <row r="129" spans="1:27">
      <c r="A129">
        <v>127</v>
      </c>
      <c r="B129">
        <v>1500000000000000</v>
      </c>
      <c r="D129" s="18">
        <v>127</v>
      </c>
      <c r="E129" s="18" cm="1">
        <f t="array" aca="1" ref="E129" ca="1">INDIRECT("b"&amp;F129+2)</f>
        <v>2.3500000000000002E+37</v>
      </c>
      <c r="F129" s="18">
        <f t="shared" si="12"/>
        <v>568</v>
      </c>
      <c r="G129" s="18"/>
      <c r="H129" s="18"/>
      <c r="I129" s="19">
        <v>127</v>
      </c>
      <c r="J129" s="19" cm="1">
        <f t="array" aca="1" ref="J129" ca="1">INDIRECT("b"&amp;K129+2)</f>
        <v>2.3499999999999997E+66</v>
      </c>
      <c r="K129" s="19">
        <f t="shared" si="10"/>
        <v>1768</v>
      </c>
      <c r="N129" s="18">
        <v>690</v>
      </c>
      <c r="O129" s="18"/>
      <c r="P129" s="2" cm="1">
        <f t="array" aca="1" ref="P129" ca="1">INDIRECT("b" &amp; (N129+2))</f>
        <v>2.8000000000000001E+40</v>
      </c>
      <c r="Q129" s="5">
        <f t="shared" ca="1" si="8"/>
        <v>2285.7142857142858</v>
      </c>
      <c r="S129" s="18">
        <v>250</v>
      </c>
      <c r="T129" s="18"/>
      <c r="U129" s="2" cm="1">
        <f t="array" aca="1" ref="U129" ca="1">INDIRECT("d" &amp; (S129+2))</f>
        <v>250</v>
      </c>
      <c r="V129" s="5">
        <f t="shared" ca="1" si="6"/>
        <v>2.0325203252032522</v>
      </c>
      <c r="W129">
        <v>127</v>
      </c>
      <c r="X129" s="18">
        <v>690</v>
      </c>
      <c r="Y129" s="18"/>
      <c r="Z129" s="2" cm="1">
        <f t="array" aca="1" ref="Z129" ca="1">INDIRECT("b" &amp; (X129+2))</f>
        <v>2.8000000000000001E+40</v>
      </c>
      <c r="AA129" s="5">
        <f t="shared" ca="1" si="9"/>
        <v>2285.7142857142858</v>
      </c>
    </row>
    <row r="130" spans="1:27">
      <c r="A130">
        <v>128</v>
      </c>
      <c r="B130">
        <v>2000000000000000</v>
      </c>
      <c r="D130" s="18">
        <v>128</v>
      </c>
      <c r="E130" s="18" cm="1">
        <f t="array" aca="1" ref="E130" ca="1">INDIRECT("b"&amp;F130+2)</f>
        <v>2.5749999999999998E+37</v>
      </c>
      <c r="F130" s="18">
        <f t="shared" si="12"/>
        <v>569</v>
      </c>
      <c r="G130" s="18"/>
      <c r="H130" s="18"/>
      <c r="I130" s="19">
        <v>128</v>
      </c>
      <c r="J130" s="19" cm="1">
        <f t="array" aca="1" ref="J130" ca="1">INDIRECT("b"&amp;K130+2)</f>
        <v>2.5749999999999997E+66</v>
      </c>
      <c r="K130" s="19">
        <f t="shared" si="10"/>
        <v>1769</v>
      </c>
      <c r="N130" s="18">
        <v>691</v>
      </c>
      <c r="O130" s="18"/>
      <c r="P130" s="2" cm="1">
        <f t="array" aca="1" ref="P130" ca="1">INDIRECT("b" &amp; (N130+2))</f>
        <v>3.0250000000000001E+40</v>
      </c>
      <c r="Q130" s="5">
        <f t="shared" ca="1" si="8"/>
        <v>2469.3877551020405</v>
      </c>
      <c r="S130" s="18">
        <v>251</v>
      </c>
      <c r="T130" s="18"/>
      <c r="U130" s="2" cm="1">
        <f t="array" aca="1" ref="U130" ca="1">INDIRECT("d" &amp; (S130+2))</f>
        <v>251</v>
      </c>
      <c r="V130" s="5">
        <f t="shared" ref="V130:V193" ca="1" si="13">U130/U$2</f>
        <v>2.0406504065040649</v>
      </c>
      <c r="W130">
        <v>128</v>
      </c>
      <c r="X130" s="18">
        <v>691</v>
      </c>
      <c r="Y130" s="18"/>
      <c r="Z130" s="2" cm="1">
        <f t="array" aca="1" ref="Z130" ca="1">INDIRECT("b" &amp; (X130+2))</f>
        <v>3.0250000000000001E+40</v>
      </c>
      <c r="AA130" s="5">
        <f t="shared" ca="1" si="9"/>
        <v>2469.3877551020405</v>
      </c>
    </row>
    <row r="131" spans="1:27">
      <c r="A131">
        <v>129</v>
      </c>
      <c r="B131">
        <v>2500000000000000</v>
      </c>
      <c r="D131" s="18">
        <v>129</v>
      </c>
      <c r="E131" s="18" cm="1">
        <f t="array" aca="1" ref="E131" ca="1">INDIRECT("b"&amp;F131+2)</f>
        <v>2.8000000000000003E+37</v>
      </c>
      <c r="F131" s="18">
        <f t="shared" si="12"/>
        <v>570</v>
      </c>
      <c r="G131" s="18"/>
      <c r="H131" s="18"/>
      <c r="I131" s="19">
        <v>129</v>
      </c>
      <c r="J131" s="19" cm="1">
        <f t="array" aca="1" ref="J131" ca="1">INDIRECT("b"&amp;K131+2)</f>
        <v>2.7999999999999997E+66</v>
      </c>
      <c r="K131" s="19">
        <f t="shared" si="10"/>
        <v>1770</v>
      </c>
      <c r="N131" s="18">
        <v>692</v>
      </c>
      <c r="O131" s="18"/>
      <c r="P131" s="2" cm="1">
        <f t="array" aca="1" ref="P131" ca="1">INDIRECT("b" &amp; (N131+2))</f>
        <v>3.2499999999999996E+40</v>
      </c>
      <c r="Q131" s="5">
        <f t="shared" ref="Q131:Q194" ca="1" si="14">P131/$P$2</f>
        <v>2653.0612244897952</v>
      </c>
      <c r="S131" s="18">
        <v>252</v>
      </c>
      <c r="T131" s="18"/>
      <c r="U131" s="2" cm="1">
        <f t="array" aca="1" ref="U131" ca="1">INDIRECT("d" &amp; (S131+2))</f>
        <v>252</v>
      </c>
      <c r="V131" s="5">
        <f t="shared" ca="1" si="13"/>
        <v>2.0487804878048781</v>
      </c>
      <c r="W131">
        <v>129</v>
      </c>
      <c r="X131" s="18">
        <v>692</v>
      </c>
      <c r="Y131" s="18"/>
      <c r="Z131" s="2" cm="1">
        <f t="array" aca="1" ref="Z131" ca="1">INDIRECT("b" &amp; (X131+2))</f>
        <v>3.2499999999999996E+40</v>
      </c>
      <c r="AA131" s="5">
        <f t="shared" ref="AA131:AA194" ca="1" si="15">Z131/$P$2</f>
        <v>2653.0612244897952</v>
      </c>
    </row>
    <row r="132" spans="1:27">
      <c r="A132">
        <v>130</v>
      </c>
      <c r="B132">
        <v>3000000000000000</v>
      </c>
      <c r="D132" s="18">
        <v>130</v>
      </c>
      <c r="E132" s="18" cm="1">
        <f t="array" aca="1" ref="E132" ca="1">INDIRECT("b"&amp;F132+2)</f>
        <v>3.2499999999999999E+37</v>
      </c>
      <c r="F132" s="18">
        <f t="shared" si="12"/>
        <v>572</v>
      </c>
      <c r="G132" s="18"/>
      <c r="H132" s="18"/>
      <c r="I132" s="19">
        <v>130</v>
      </c>
      <c r="J132" s="19" cm="1">
        <f t="array" aca="1" ref="J132" ca="1">INDIRECT("b"&amp;K132+2)</f>
        <v>3.2499999999999997E+66</v>
      </c>
      <c r="K132" s="19">
        <f t="shared" ref="K132:K195" si="16">INT((A132-1)*40/30+900*40/30)+400</f>
        <v>1772</v>
      </c>
      <c r="N132" s="18">
        <v>693</v>
      </c>
      <c r="O132" s="18"/>
      <c r="P132" s="2" cm="1">
        <f t="array" aca="1" ref="P132" ca="1">INDIRECT("b" &amp; (N132+2))</f>
        <v>3.475E+40</v>
      </c>
      <c r="Q132" s="5">
        <f t="shared" ca="1" si="14"/>
        <v>2836.7346938775509</v>
      </c>
      <c r="S132" s="18">
        <v>253</v>
      </c>
      <c r="T132" s="18"/>
      <c r="U132" s="2" cm="1">
        <f t="array" aca="1" ref="U132" ca="1">INDIRECT("d" &amp; (S132+2))</f>
        <v>253</v>
      </c>
      <c r="V132" s="5">
        <f t="shared" ca="1" si="13"/>
        <v>2.0569105691056913</v>
      </c>
      <c r="W132">
        <v>130</v>
      </c>
      <c r="X132" s="18">
        <v>693</v>
      </c>
      <c r="Y132" s="18"/>
      <c r="Z132" s="2" cm="1">
        <f t="array" aca="1" ref="Z132" ca="1">INDIRECT("b" &amp; (X132+2))</f>
        <v>3.475E+40</v>
      </c>
      <c r="AA132" s="5">
        <f t="shared" ca="1" si="15"/>
        <v>2836.7346938775509</v>
      </c>
    </row>
    <row r="133" spans="1:27">
      <c r="A133">
        <v>131</v>
      </c>
      <c r="B133">
        <v>3500000000000000</v>
      </c>
      <c r="D133" s="18">
        <v>131</v>
      </c>
      <c r="E133" s="18" cm="1">
        <f t="array" aca="1" ref="E133" ca="1">INDIRECT("b"&amp;F133+2)</f>
        <v>3.4750000000000004E+37</v>
      </c>
      <c r="F133" s="18">
        <f t="shared" si="12"/>
        <v>573</v>
      </c>
      <c r="G133" s="18"/>
      <c r="H133" s="18"/>
      <c r="I133" s="19">
        <v>131</v>
      </c>
      <c r="J133" s="19" cm="1">
        <f t="array" aca="1" ref="J133" ca="1">INDIRECT("b"&amp;K133+2)</f>
        <v>3.475E+66</v>
      </c>
      <c r="K133" s="19">
        <f t="shared" si="16"/>
        <v>1773</v>
      </c>
      <c r="N133" s="18">
        <v>694</v>
      </c>
      <c r="O133" s="18"/>
      <c r="P133" s="2" cm="1">
        <f t="array" aca="1" ref="P133" ca="1">INDIRECT("b" &amp; (N133+2))</f>
        <v>3.7E+40</v>
      </c>
      <c r="Q133" s="5">
        <f t="shared" ca="1" si="14"/>
        <v>3020.408163265306</v>
      </c>
      <c r="S133" s="18">
        <v>254</v>
      </c>
      <c r="T133" s="18"/>
      <c r="U133" s="2" cm="1">
        <f t="array" aca="1" ref="U133" ca="1">INDIRECT("d" &amp; (S133+2))</f>
        <v>254</v>
      </c>
      <c r="V133" s="5">
        <f t="shared" ca="1" si="13"/>
        <v>2.065040650406504</v>
      </c>
      <c r="W133">
        <v>131</v>
      </c>
      <c r="X133" s="18">
        <v>694</v>
      </c>
      <c r="Y133" s="18"/>
      <c r="Z133" s="2" cm="1">
        <f t="array" aca="1" ref="Z133" ca="1">INDIRECT("b" &amp; (X133+2))</f>
        <v>3.7E+40</v>
      </c>
      <c r="AA133" s="5">
        <f t="shared" ca="1" si="15"/>
        <v>3020.408163265306</v>
      </c>
    </row>
    <row r="134" spans="1:27">
      <c r="A134">
        <v>132</v>
      </c>
      <c r="B134">
        <v>4000000000000000</v>
      </c>
      <c r="D134" s="18">
        <v>132</v>
      </c>
      <c r="E134" s="18" cm="1">
        <f t="array" aca="1" ref="E134" ca="1">INDIRECT("b"&amp;F134+2)</f>
        <v>3.6999999999999999E+37</v>
      </c>
      <c r="F134" s="18">
        <f t="shared" si="12"/>
        <v>574</v>
      </c>
      <c r="G134" s="18"/>
      <c r="H134" s="18"/>
      <c r="I134" s="19">
        <v>132</v>
      </c>
      <c r="J134" s="19" cm="1">
        <f t="array" aca="1" ref="J134" ca="1">INDIRECT("b"&amp;K134+2)</f>
        <v>3.7E+66</v>
      </c>
      <c r="K134" s="19">
        <f t="shared" si="16"/>
        <v>1774</v>
      </c>
      <c r="N134" s="18">
        <v>695</v>
      </c>
      <c r="O134" s="18"/>
      <c r="P134" s="2" cm="1">
        <f t="array" aca="1" ref="P134" ca="1">INDIRECT("b" &amp; (N134+2))</f>
        <v>3.925E+40</v>
      </c>
      <c r="Q134" s="5">
        <f t="shared" ca="1" si="14"/>
        <v>3204.0816326530608</v>
      </c>
      <c r="S134" s="18">
        <v>255</v>
      </c>
      <c r="T134" s="18"/>
      <c r="U134" s="2" cm="1">
        <f t="array" aca="1" ref="U134" ca="1">INDIRECT("d" &amp; (S134+2))</f>
        <v>255</v>
      </c>
      <c r="V134" s="5">
        <f t="shared" ca="1" si="13"/>
        <v>2.0731707317073171</v>
      </c>
      <c r="W134">
        <v>132</v>
      </c>
      <c r="X134" s="18">
        <v>695</v>
      </c>
      <c r="Y134" s="18"/>
      <c r="Z134" s="2" cm="1">
        <f t="array" aca="1" ref="Z134" ca="1">INDIRECT("b" &amp; (X134+2))</f>
        <v>3.925E+40</v>
      </c>
      <c r="AA134" s="5">
        <f t="shared" ca="1" si="15"/>
        <v>3204.0816326530608</v>
      </c>
    </row>
    <row r="135" spans="1:27">
      <c r="A135">
        <v>133</v>
      </c>
      <c r="B135">
        <v>4500000000000000</v>
      </c>
      <c r="D135" s="18">
        <v>133</v>
      </c>
      <c r="E135" s="18" cm="1">
        <f t="array" aca="1" ref="E135" ca="1">INDIRECT("b"&amp;F135+2)</f>
        <v>4.1500000000000005E+37</v>
      </c>
      <c r="F135" s="18">
        <f t="shared" si="12"/>
        <v>576</v>
      </c>
      <c r="G135" s="18"/>
      <c r="H135" s="18"/>
      <c r="I135" s="19">
        <v>133</v>
      </c>
      <c r="J135" s="19" cm="1">
        <f t="array" aca="1" ref="J135" ca="1">INDIRECT("b"&amp;K135+2)</f>
        <v>4.15E+66</v>
      </c>
      <c r="K135" s="19">
        <f t="shared" si="16"/>
        <v>1776</v>
      </c>
      <c r="N135" s="18">
        <v>696</v>
      </c>
      <c r="O135" s="18"/>
      <c r="P135" s="2" cm="1">
        <f t="array" aca="1" ref="P135" ca="1">INDIRECT("b" &amp; (N135+2))</f>
        <v>4.1500000000000004E+40</v>
      </c>
      <c r="Q135" s="5">
        <f t="shared" ca="1" si="14"/>
        <v>3387.7551020408164</v>
      </c>
      <c r="S135" s="18">
        <v>256</v>
      </c>
      <c r="T135" s="18"/>
      <c r="U135" s="2" cm="1">
        <f t="array" aca="1" ref="U135" ca="1">INDIRECT("d" &amp; (S135+2))</f>
        <v>256</v>
      </c>
      <c r="V135" s="5">
        <f t="shared" ca="1" si="13"/>
        <v>2.0813008130081303</v>
      </c>
      <c r="W135">
        <v>133</v>
      </c>
      <c r="X135" s="18">
        <v>696</v>
      </c>
      <c r="Y135" s="18"/>
      <c r="Z135" s="2" cm="1">
        <f t="array" aca="1" ref="Z135" ca="1">INDIRECT("b" &amp; (X135+2))</f>
        <v>4.1500000000000004E+40</v>
      </c>
      <c r="AA135" s="5">
        <f t="shared" ca="1" si="15"/>
        <v>3387.7551020408164</v>
      </c>
    </row>
    <row r="136" spans="1:27">
      <c r="A136">
        <v>134</v>
      </c>
      <c r="B136">
        <v>5000000000000000</v>
      </c>
      <c r="D136" s="18">
        <v>134</v>
      </c>
      <c r="E136" s="18" cm="1">
        <f t="array" aca="1" ref="E136" ca="1">INDIRECT("b"&amp;F136+2)</f>
        <v>4.375E+37</v>
      </c>
      <c r="F136" s="18">
        <f t="shared" si="12"/>
        <v>577</v>
      </c>
      <c r="G136" s="18"/>
      <c r="H136" s="18"/>
      <c r="I136" s="19">
        <v>134</v>
      </c>
      <c r="J136" s="19" cm="1">
        <f t="array" aca="1" ref="J136" ca="1">INDIRECT("b"&amp;K136+2)</f>
        <v>4.375E+66</v>
      </c>
      <c r="K136" s="19">
        <f t="shared" si="16"/>
        <v>1777</v>
      </c>
      <c r="N136" s="18">
        <v>697</v>
      </c>
      <c r="O136" s="18"/>
      <c r="P136" s="2" cm="1">
        <f t="array" aca="1" ref="P136" ca="1">INDIRECT("b" &amp; (N136+2))</f>
        <v>4.3749999999999999E+40</v>
      </c>
      <c r="Q136" s="5">
        <f t="shared" ca="1" si="14"/>
        <v>3571.4285714285711</v>
      </c>
      <c r="S136" s="18">
        <v>257</v>
      </c>
      <c r="T136" s="18"/>
      <c r="U136" s="2" cm="1">
        <f t="array" aca="1" ref="U136" ca="1">INDIRECT("d" &amp; (S136+2))</f>
        <v>257</v>
      </c>
      <c r="V136" s="5">
        <f t="shared" ca="1" si="13"/>
        <v>2.089430894308943</v>
      </c>
      <c r="W136">
        <v>134</v>
      </c>
      <c r="X136" s="18">
        <v>697</v>
      </c>
      <c r="Y136" s="18"/>
      <c r="Z136" s="2" cm="1">
        <f t="array" aca="1" ref="Z136" ca="1">INDIRECT("b" &amp; (X136+2))</f>
        <v>4.3749999999999999E+40</v>
      </c>
      <c r="AA136" s="5">
        <f t="shared" ca="1" si="15"/>
        <v>3571.4285714285711</v>
      </c>
    </row>
    <row r="137" spans="1:27">
      <c r="A137">
        <v>135</v>
      </c>
      <c r="B137">
        <v>5500000000000000</v>
      </c>
      <c r="D137" s="18">
        <v>135</v>
      </c>
      <c r="E137" s="18" cm="1">
        <f t="array" aca="1" ref="E137" ca="1">INDIRECT("b"&amp;F137+2)</f>
        <v>4.6E+37</v>
      </c>
      <c r="F137" s="18">
        <f t="shared" si="12"/>
        <v>578</v>
      </c>
      <c r="G137" s="18"/>
      <c r="H137" s="18"/>
      <c r="I137" s="19">
        <v>135</v>
      </c>
      <c r="J137" s="19" cm="1">
        <f t="array" aca="1" ref="J137" ca="1">INDIRECT("b"&amp;K137+2)</f>
        <v>4.6E+66</v>
      </c>
      <c r="K137" s="19">
        <f t="shared" si="16"/>
        <v>1778</v>
      </c>
      <c r="N137" s="18">
        <v>698</v>
      </c>
      <c r="O137" s="18"/>
      <c r="P137" s="2" cm="1">
        <f t="array" aca="1" ref="P137" ca="1">INDIRECT("b" &amp; (N137+2))</f>
        <v>4.5999999999999999E+40</v>
      </c>
      <c r="Q137" s="5">
        <f t="shared" ca="1" si="14"/>
        <v>3755.1020408163263</v>
      </c>
      <c r="S137" s="18">
        <v>258</v>
      </c>
      <c r="T137" s="18"/>
      <c r="U137" s="2" cm="1">
        <f t="array" aca="1" ref="U137" ca="1">INDIRECT("d" &amp; (S137+2))</f>
        <v>258</v>
      </c>
      <c r="V137" s="5">
        <f t="shared" ca="1" si="13"/>
        <v>2.0975609756097562</v>
      </c>
      <c r="W137">
        <v>135</v>
      </c>
      <c r="X137" s="18">
        <v>698</v>
      </c>
      <c r="Y137" s="18"/>
      <c r="Z137" s="2" cm="1">
        <f t="array" aca="1" ref="Z137" ca="1">INDIRECT("b" &amp; (X137+2))</f>
        <v>4.5999999999999999E+40</v>
      </c>
      <c r="AA137" s="5">
        <f t="shared" ca="1" si="15"/>
        <v>3755.1020408163263</v>
      </c>
    </row>
    <row r="138" spans="1:27">
      <c r="A138">
        <v>136</v>
      </c>
      <c r="B138">
        <v>6000000000000000</v>
      </c>
      <c r="D138" s="18">
        <v>136</v>
      </c>
      <c r="E138" s="18" cm="1">
        <f t="array" aca="1" ref="E138" ca="1">INDIRECT("b"&amp;F138+2)</f>
        <v>5.0500000000000001E+37</v>
      </c>
      <c r="F138" s="18">
        <f t="shared" si="12"/>
        <v>580</v>
      </c>
      <c r="G138" s="18"/>
      <c r="H138" s="18"/>
      <c r="I138" s="19">
        <v>136</v>
      </c>
      <c r="J138" s="19" cm="1">
        <f t="array" aca="1" ref="J138" ca="1">INDIRECT("b"&amp;K138+2)</f>
        <v>5.05E+66</v>
      </c>
      <c r="K138" s="19">
        <f t="shared" si="16"/>
        <v>1780</v>
      </c>
      <c r="N138" s="18">
        <v>699</v>
      </c>
      <c r="O138" s="18"/>
      <c r="P138" s="2" cm="1">
        <f t="array" aca="1" ref="P138" ca="1">INDIRECT("b" &amp; (N138+2))</f>
        <v>4.8250000000000008E+40</v>
      </c>
      <c r="Q138" s="5">
        <f t="shared" ca="1" si="14"/>
        <v>3938.7755102040819</v>
      </c>
      <c r="S138" s="18">
        <v>259</v>
      </c>
      <c r="T138" s="18"/>
      <c r="U138" s="2" cm="1">
        <f t="array" aca="1" ref="U138" ca="1">INDIRECT("d" &amp; (S138+2))</f>
        <v>259</v>
      </c>
      <c r="V138" s="5">
        <f t="shared" ca="1" si="13"/>
        <v>2.1056910569105689</v>
      </c>
      <c r="W138">
        <v>136</v>
      </c>
      <c r="X138" s="18">
        <v>699</v>
      </c>
      <c r="Y138" s="18"/>
      <c r="Z138" s="2" cm="1">
        <f t="array" aca="1" ref="Z138" ca="1">INDIRECT("b" &amp; (X138+2))</f>
        <v>4.8250000000000008E+40</v>
      </c>
      <c r="AA138" s="5">
        <f t="shared" ca="1" si="15"/>
        <v>3938.7755102040819</v>
      </c>
    </row>
    <row r="139" spans="1:27">
      <c r="A139">
        <v>137</v>
      </c>
      <c r="B139">
        <v>6500000000000000</v>
      </c>
      <c r="D139" s="18">
        <v>137</v>
      </c>
      <c r="E139" s="18" cm="1">
        <f t="array" aca="1" ref="E139" ca="1">INDIRECT("b"&amp;F139+2)</f>
        <v>5.2750000000000001E+37</v>
      </c>
      <c r="F139" s="18">
        <f t="shared" si="12"/>
        <v>581</v>
      </c>
      <c r="G139" s="18"/>
      <c r="H139" s="18"/>
      <c r="I139" s="19">
        <v>137</v>
      </c>
      <c r="J139" s="19" cm="1">
        <f t="array" aca="1" ref="J139" ca="1">INDIRECT("b"&amp;K139+2)</f>
        <v>5.275E+66</v>
      </c>
      <c r="K139" s="19">
        <f t="shared" si="16"/>
        <v>1781</v>
      </c>
      <c r="N139" s="18">
        <v>700</v>
      </c>
      <c r="O139" s="18"/>
      <c r="P139" s="2" cm="1">
        <f t="array" aca="1" ref="P139" ca="1">INDIRECT("b" &amp; (N139+2))</f>
        <v>5.0499999999999998E+40</v>
      </c>
      <c r="Q139" s="5">
        <f t="shared" ca="1" si="14"/>
        <v>4122.4489795918362</v>
      </c>
      <c r="S139" s="18">
        <v>260</v>
      </c>
      <c r="T139" s="18"/>
      <c r="U139" s="2" cm="1">
        <f t="array" aca="1" ref="U139" ca="1">INDIRECT("d" &amp; (S139+2))</f>
        <v>260</v>
      </c>
      <c r="V139" s="5">
        <f t="shared" ca="1" si="13"/>
        <v>2.1138211382113821</v>
      </c>
      <c r="W139">
        <v>137</v>
      </c>
      <c r="X139" s="18">
        <v>700</v>
      </c>
      <c r="Y139" s="18"/>
      <c r="Z139" s="2" cm="1">
        <f t="array" aca="1" ref="Z139" ca="1">INDIRECT("b" &amp; (X139+2))</f>
        <v>5.0499999999999998E+40</v>
      </c>
      <c r="AA139" s="5">
        <f t="shared" ca="1" si="15"/>
        <v>4122.4489795918362</v>
      </c>
    </row>
    <row r="140" spans="1:27">
      <c r="A140">
        <v>138</v>
      </c>
      <c r="B140">
        <v>7000000000000000</v>
      </c>
      <c r="D140" s="18">
        <v>138</v>
      </c>
      <c r="E140" s="18" cm="1">
        <f t="array" aca="1" ref="E140" ca="1">INDIRECT("b"&amp;F140+2)</f>
        <v>5.5000000000000002E+37</v>
      </c>
      <c r="F140" s="18">
        <f t="shared" si="12"/>
        <v>582</v>
      </c>
      <c r="G140" s="18"/>
      <c r="H140" s="18"/>
      <c r="I140" s="19">
        <v>138</v>
      </c>
      <c r="J140" s="19" cm="1">
        <f t="array" aca="1" ref="J140" ca="1">INDIRECT("b"&amp;K140+2)</f>
        <v>5.5E+66</v>
      </c>
      <c r="K140" s="19">
        <f t="shared" si="16"/>
        <v>1782</v>
      </c>
      <c r="N140" s="18">
        <v>701</v>
      </c>
      <c r="O140" s="18"/>
      <c r="P140" s="2" cm="1">
        <f t="array" aca="1" ref="P140" ca="1">INDIRECT("b" &amp; (N140+2))</f>
        <v>5.2749999999999998E+40</v>
      </c>
      <c r="Q140" s="5">
        <f t="shared" ca="1" si="14"/>
        <v>4306.1224489795914</v>
      </c>
      <c r="S140" s="18">
        <v>261</v>
      </c>
      <c r="T140" s="18"/>
      <c r="U140" s="2" cm="1">
        <f t="array" aca="1" ref="U140" ca="1">INDIRECT("d" &amp; (S140+2))</f>
        <v>261</v>
      </c>
      <c r="V140" s="5">
        <f t="shared" ca="1" si="13"/>
        <v>2.1219512195121952</v>
      </c>
      <c r="W140">
        <v>138</v>
      </c>
      <c r="X140" s="18">
        <v>701</v>
      </c>
      <c r="Y140" s="18"/>
      <c r="Z140" s="2" cm="1">
        <f t="array" aca="1" ref="Z140" ca="1">INDIRECT("b" &amp; (X140+2))</f>
        <v>5.2749999999999998E+40</v>
      </c>
      <c r="AA140" s="5">
        <f t="shared" ca="1" si="15"/>
        <v>4306.1224489795914</v>
      </c>
    </row>
    <row r="141" spans="1:27">
      <c r="A141">
        <v>139</v>
      </c>
      <c r="B141">
        <v>7500000000000000</v>
      </c>
      <c r="D141" s="18">
        <v>139</v>
      </c>
      <c r="E141" s="18" cm="1">
        <f t="array" aca="1" ref="E141" ca="1">INDIRECT("b"&amp;F141+2)</f>
        <v>5.9500000000000002E+37</v>
      </c>
      <c r="F141" s="18">
        <f t="shared" si="12"/>
        <v>584</v>
      </c>
      <c r="G141" s="18"/>
      <c r="H141" s="18"/>
      <c r="I141" s="19">
        <v>139</v>
      </c>
      <c r="J141" s="19" cm="1">
        <f t="array" aca="1" ref="J141" ca="1">INDIRECT("b"&amp;K141+2)</f>
        <v>5.95E+66</v>
      </c>
      <c r="K141" s="19">
        <f t="shared" si="16"/>
        <v>1784</v>
      </c>
      <c r="N141" s="18">
        <v>702</v>
      </c>
      <c r="O141" s="18"/>
      <c r="P141" s="2" cm="1">
        <f t="array" aca="1" ref="P141" ca="1">INDIRECT("b" &amp; (N141+2))</f>
        <v>5.4999999999999997E+40</v>
      </c>
      <c r="Q141" s="5">
        <f t="shared" ca="1" si="14"/>
        <v>4489.7959183673465</v>
      </c>
      <c r="S141" s="18">
        <v>262</v>
      </c>
      <c r="T141" s="18"/>
      <c r="U141" s="2" cm="1">
        <f t="array" aca="1" ref="U141" ca="1">INDIRECT("d" &amp; (S141+2))</f>
        <v>262</v>
      </c>
      <c r="V141" s="5">
        <f t="shared" ca="1" si="13"/>
        <v>2.1300813008130079</v>
      </c>
      <c r="W141">
        <v>139</v>
      </c>
      <c r="X141" s="18">
        <v>702</v>
      </c>
      <c r="Y141" s="18"/>
      <c r="Z141" s="2" cm="1">
        <f t="array" aca="1" ref="Z141" ca="1">INDIRECT("b" &amp; (X141+2))</f>
        <v>5.4999999999999997E+40</v>
      </c>
      <c r="AA141" s="5">
        <f t="shared" ca="1" si="15"/>
        <v>4489.7959183673465</v>
      </c>
    </row>
    <row r="142" spans="1:27">
      <c r="A142">
        <v>140</v>
      </c>
      <c r="B142">
        <v>8000000000000000</v>
      </c>
      <c r="D142" s="18">
        <v>140</v>
      </c>
      <c r="E142" s="18" cm="1">
        <f t="array" aca="1" ref="E142" ca="1">INDIRECT("b"&amp;F142+2)</f>
        <v>6.1750000000000002E+37</v>
      </c>
      <c r="F142" s="18">
        <f t="shared" si="12"/>
        <v>585</v>
      </c>
      <c r="G142" s="18"/>
      <c r="H142" s="18"/>
      <c r="I142" s="19">
        <v>140</v>
      </c>
      <c r="J142" s="19" cm="1">
        <f t="array" aca="1" ref="J142" ca="1">INDIRECT("b"&amp;K142+2)</f>
        <v>6.175E+66</v>
      </c>
      <c r="K142" s="19">
        <f t="shared" si="16"/>
        <v>1785</v>
      </c>
      <c r="N142" s="18">
        <v>703</v>
      </c>
      <c r="O142" s="18"/>
      <c r="P142" s="2" cm="1">
        <f t="array" aca="1" ref="P142" ca="1">INDIRECT("b" &amp; (N142+2))</f>
        <v>5.7250000000000007E+40</v>
      </c>
      <c r="Q142" s="5">
        <f t="shared" ca="1" si="14"/>
        <v>4673.4693877551026</v>
      </c>
      <c r="S142" s="18">
        <v>263</v>
      </c>
      <c r="T142" s="18"/>
      <c r="U142" s="2" cm="1">
        <f t="array" aca="1" ref="U142" ca="1">INDIRECT("d" &amp; (S142+2))</f>
        <v>263</v>
      </c>
      <c r="V142" s="5">
        <f t="shared" ca="1" si="13"/>
        <v>2.1382113821138211</v>
      </c>
      <c r="W142">
        <v>140</v>
      </c>
      <c r="X142" s="18">
        <v>703</v>
      </c>
      <c r="Y142" s="18"/>
      <c r="Z142" s="2" cm="1">
        <f t="array" aca="1" ref="Z142" ca="1">INDIRECT("b" &amp; (X142+2))</f>
        <v>5.7250000000000007E+40</v>
      </c>
      <c r="AA142" s="5">
        <f t="shared" ca="1" si="15"/>
        <v>4673.4693877551026</v>
      </c>
    </row>
    <row r="143" spans="1:27">
      <c r="A143">
        <v>141</v>
      </c>
      <c r="B143">
        <v>8500000000000000</v>
      </c>
      <c r="D143" s="18">
        <v>141</v>
      </c>
      <c r="E143" s="18" cm="1">
        <f t="array" aca="1" ref="E143" ca="1">INDIRECT("b"&amp;F143+2)</f>
        <v>6.3999999999999993E+37</v>
      </c>
      <c r="F143" s="18">
        <f t="shared" si="12"/>
        <v>586</v>
      </c>
      <c r="G143" s="18"/>
      <c r="H143" s="18"/>
      <c r="I143" s="19">
        <v>141</v>
      </c>
      <c r="J143" s="19" cm="1">
        <f t="array" aca="1" ref="J143" ca="1">INDIRECT("b"&amp;K143+2)</f>
        <v>6.3999999999999999E+66</v>
      </c>
      <c r="K143" s="19">
        <f t="shared" si="16"/>
        <v>1786</v>
      </c>
      <c r="N143" s="18">
        <v>704</v>
      </c>
      <c r="O143" s="18"/>
      <c r="P143" s="2" cm="1">
        <f t="array" aca="1" ref="P143" ca="1">INDIRECT("b" &amp; (N143+2))</f>
        <v>5.9500000000000006E+40</v>
      </c>
      <c r="Q143" s="5">
        <f t="shared" ca="1" si="14"/>
        <v>4857.1428571428569</v>
      </c>
      <c r="S143" s="18">
        <v>264</v>
      </c>
      <c r="T143" s="18"/>
      <c r="U143" s="2" cm="1">
        <f t="array" aca="1" ref="U143" ca="1">INDIRECT("d" &amp; (S143+2))</f>
        <v>264</v>
      </c>
      <c r="V143" s="5">
        <f t="shared" ca="1" si="13"/>
        <v>2.1463414634146343</v>
      </c>
      <c r="W143">
        <v>141</v>
      </c>
      <c r="X143" s="18">
        <v>704</v>
      </c>
      <c r="Y143" s="18"/>
      <c r="Z143" s="2" cm="1">
        <f t="array" aca="1" ref="Z143" ca="1">INDIRECT("b" &amp; (X143+2))</f>
        <v>5.9500000000000006E+40</v>
      </c>
      <c r="AA143" s="5">
        <f t="shared" ca="1" si="15"/>
        <v>4857.1428571428569</v>
      </c>
    </row>
    <row r="144" spans="1:27">
      <c r="A144">
        <v>142</v>
      </c>
      <c r="B144">
        <v>9000000000000000</v>
      </c>
      <c r="D144" s="18">
        <v>142</v>
      </c>
      <c r="E144" s="18" cm="1">
        <f t="array" aca="1" ref="E144" ca="1">INDIRECT("b"&amp;F144+2)</f>
        <v>6.8500000000000013E+37</v>
      </c>
      <c r="F144" s="18">
        <f t="shared" si="12"/>
        <v>588</v>
      </c>
      <c r="G144" s="18"/>
      <c r="H144" s="18"/>
      <c r="I144" s="19">
        <v>142</v>
      </c>
      <c r="J144" s="19" cm="1">
        <f t="array" aca="1" ref="J144" ca="1">INDIRECT("b"&amp;K144+2)</f>
        <v>6.8499999999999999E+66</v>
      </c>
      <c r="K144" s="19">
        <f t="shared" si="16"/>
        <v>1788</v>
      </c>
      <c r="N144" s="18">
        <v>705</v>
      </c>
      <c r="O144" s="18"/>
      <c r="P144" s="2" cm="1">
        <f t="array" aca="1" ref="P144" ca="1">INDIRECT("b" &amp; (N144+2))</f>
        <v>6.1749999999999996E+40</v>
      </c>
      <c r="Q144" s="5">
        <f t="shared" ca="1" si="14"/>
        <v>5040.8163265306111</v>
      </c>
      <c r="S144" s="18">
        <v>265</v>
      </c>
      <c r="T144" s="18"/>
      <c r="U144" s="2" cm="1">
        <f t="array" aca="1" ref="U144" ca="1">INDIRECT("d" &amp; (S144+2))</f>
        <v>265</v>
      </c>
      <c r="V144" s="5">
        <f t="shared" ca="1" si="13"/>
        <v>2.154471544715447</v>
      </c>
      <c r="W144">
        <v>142</v>
      </c>
      <c r="X144" s="18">
        <v>705</v>
      </c>
      <c r="Y144" s="18"/>
      <c r="Z144" s="2" cm="1">
        <f t="array" aca="1" ref="Z144" ca="1">INDIRECT("b" &amp; (X144+2))</f>
        <v>6.1749999999999996E+40</v>
      </c>
      <c r="AA144" s="5">
        <f t="shared" ca="1" si="15"/>
        <v>5040.8163265306111</v>
      </c>
    </row>
    <row r="145" spans="1:27">
      <c r="A145">
        <v>143</v>
      </c>
      <c r="B145">
        <v>9500000000000000</v>
      </c>
      <c r="D145" s="18">
        <v>143</v>
      </c>
      <c r="E145" s="18" cm="1">
        <f t="array" aca="1" ref="E145" ca="1">INDIRECT("b"&amp;F145+2)</f>
        <v>7.0750000000000004E+37</v>
      </c>
      <c r="F145" s="18">
        <f t="shared" si="12"/>
        <v>589</v>
      </c>
      <c r="G145" s="18"/>
      <c r="H145" s="18"/>
      <c r="I145" s="19">
        <v>143</v>
      </c>
      <c r="J145" s="19" cm="1">
        <f t="array" aca="1" ref="J145" ca="1">INDIRECT("b"&amp;K145+2)</f>
        <v>7.0749999999999999E+66</v>
      </c>
      <c r="K145" s="19">
        <f t="shared" si="16"/>
        <v>1789</v>
      </c>
      <c r="N145" s="18">
        <v>706</v>
      </c>
      <c r="O145" s="18"/>
      <c r="P145" s="2" cm="1">
        <f t="array" aca="1" ref="P145" ca="1">INDIRECT("b" &amp; (N145+2))</f>
        <v>6.3999999999999996E+40</v>
      </c>
      <c r="Q145" s="5">
        <f t="shared" ca="1" si="14"/>
        <v>5224.4897959183663</v>
      </c>
      <c r="S145" s="18">
        <v>266</v>
      </c>
      <c r="T145" s="18"/>
      <c r="U145" s="2" cm="1">
        <f t="array" aca="1" ref="U145" ca="1">INDIRECT("d" &amp; (S145+2))</f>
        <v>266</v>
      </c>
      <c r="V145" s="5">
        <f t="shared" ca="1" si="13"/>
        <v>2.1626016260162602</v>
      </c>
      <c r="W145">
        <v>143</v>
      </c>
      <c r="X145" s="18">
        <v>706</v>
      </c>
      <c r="Y145" s="18"/>
      <c r="Z145" s="2" cm="1">
        <f t="array" aca="1" ref="Z145" ca="1">INDIRECT("b" &amp; (X145+2))</f>
        <v>6.3999999999999996E+40</v>
      </c>
      <c r="AA145" s="5">
        <f t="shared" ca="1" si="15"/>
        <v>5224.4897959183663</v>
      </c>
    </row>
    <row r="146" spans="1:27">
      <c r="A146">
        <v>144</v>
      </c>
      <c r="B146">
        <v>1E+16</v>
      </c>
      <c r="D146" s="18">
        <v>144</v>
      </c>
      <c r="E146" s="18" cm="1">
        <f t="array" aca="1" ref="E146" ca="1">INDIRECT("b"&amp;F146+2)</f>
        <v>7.3000000000000004E+37</v>
      </c>
      <c r="F146" s="18">
        <f t="shared" si="12"/>
        <v>590</v>
      </c>
      <c r="G146" s="18"/>
      <c r="H146" s="18"/>
      <c r="I146" s="19">
        <v>144</v>
      </c>
      <c r="J146" s="19" cm="1">
        <f t="array" aca="1" ref="J146" ca="1">INDIRECT("b"&amp;K146+2)</f>
        <v>7.2999999999999999E+66</v>
      </c>
      <c r="K146" s="19">
        <f t="shared" si="16"/>
        <v>1790</v>
      </c>
      <c r="N146" s="18">
        <v>707</v>
      </c>
      <c r="O146" s="18"/>
      <c r="P146" s="2" cm="1">
        <f t="array" aca="1" ref="P146" ca="1">INDIRECT("b" &amp; (N146+2))</f>
        <v>6.6250000000000005E+40</v>
      </c>
      <c r="Q146" s="5">
        <f t="shared" ca="1" si="14"/>
        <v>5408.1632653061224</v>
      </c>
      <c r="S146" s="18">
        <v>267</v>
      </c>
      <c r="T146" s="18"/>
      <c r="U146" s="2" cm="1">
        <f t="array" aca="1" ref="U146" ca="1">INDIRECT("d" &amp; (S146+2))</f>
        <v>267</v>
      </c>
      <c r="V146" s="5">
        <f t="shared" ca="1" si="13"/>
        <v>2.1707317073170733</v>
      </c>
      <c r="W146">
        <v>144</v>
      </c>
      <c r="X146" s="18">
        <v>707</v>
      </c>
      <c r="Y146" s="18"/>
      <c r="Z146" s="2" cm="1">
        <f t="array" aca="1" ref="Z146" ca="1">INDIRECT("b" &amp; (X146+2))</f>
        <v>6.6250000000000005E+40</v>
      </c>
      <c r="AA146" s="5">
        <f t="shared" ca="1" si="15"/>
        <v>5408.1632653061224</v>
      </c>
    </row>
    <row r="147" spans="1:27">
      <c r="A147">
        <v>145</v>
      </c>
      <c r="B147">
        <v>1.5E+16</v>
      </c>
      <c r="D147" s="18">
        <v>145</v>
      </c>
      <c r="E147" s="18" cm="1">
        <f t="array" aca="1" ref="E147" ca="1">INDIRECT("b"&amp;F147+2)</f>
        <v>7.7500000000000004E+37</v>
      </c>
      <c r="F147" s="18">
        <f t="shared" si="12"/>
        <v>592</v>
      </c>
      <c r="G147" s="18"/>
      <c r="H147" s="18"/>
      <c r="I147" s="19">
        <v>145</v>
      </c>
      <c r="J147" s="19" cm="1">
        <f t="array" aca="1" ref="J147" ca="1">INDIRECT("b"&amp;K147+2)</f>
        <v>7.7499999999999999E+66</v>
      </c>
      <c r="K147" s="19">
        <f t="shared" si="16"/>
        <v>1792</v>
      </c>
      <c r="N147" s="18">
        <v>708</v>
      </c>
      <c r="O147" s="18"/>
      <c r="P147" s="2" cm="1">
        <f t="array" aca="1" ref="P147" ca="1">INDIRECT("b" &amp; (N147+2))</f>
        <v>6.8500000000000005E+40</v>
      </c>
      <c r="Q147" s="5">
        <f t="shared" ca="1" si="14"/>
        <v>5591.8367346938776</v>
      </c>
      <c r="S147" s="18">
        <v>268</v>
      </c>
      <c r="T147" s="18"/>
      <c r="U147" s="2" cm="1">
        <f t="array" aca="1" ref="U147" ca="1">INDIRECT("d" &amp; (S147+2))</f>
        <v>268</v>
      </c>
      <c r="V147" s="5">
        <f t="shared" ca="1" si="13"/>
        <v>2.178861788617886</v>
      </c>
      <c r="W147">
        <v>145</v>
      </c>
      <c r="X147" s="18">
        <v>708</v>
      </c>
      <c r="Y147" s="18"/>
      <c r="Z147" s="2" cm="1">
        <f t="array" aca="1" ref="Z147" ca="1">INDIRECT("b" &amp; (X147+2))</f>
        <v>6.8500000000000005E+40</v>
      </c>
      <c r="AA147" s="5">
        <f t="shared" ca="1" si="15"/>
        <v>5591.8367346938776</v>
      </c>
    </row>
    <row r="148" spans="1:27">
      <c r="A148">
        <v>146</v>
      </c>
      <c r="B148">
        <v>2E+16</v>
      </c>
      <c r="D148" s="18">
        <v>146</v>
      </c>
      <c r="E148" s="18" cm="1">
        <f t="array" aca="1" ref="E148" ca="1">INDIRECT("b"&amp;F148+2)</f>
        <v>7.9750000000000005E+37</v>
      </c>
      <c r="F148" s="18">
        <f t="shared" si="12"/>
        <v>593</v>
      </c>
      <c r="G148" s="18"/>
      <c r="H148" s="18"/>
      <c r="I148" s="19">
        <v>146</v>
      </c>
      <c r="J148" s="19" cm="1">
        <f t="array" aca="1" ref="J148" ca="1">INDIRECT("b"&amp;K148+2)</f>
        <v>7.9749999999999999E+66</v>
      </c>
      <c r="K148" s="19">
        <f t="shared" si="16"/>
        <v>1793</v>
      </c>
      <c r="N148" s="18">
        <v>709</v>
      </c>
      <c r="O148" s="18"/>
      <c r="P148" s="2" cm="1">
        <f t="array" aca="1" ref="P148" ca="1">INDIRECT("b" &amp; (N148+2))</f>
        <v>7.0749999999999995E+40</v>
      </c>
      <c r="Q148" s="5">
        <f t="shared" ca="1" si="14"/>
        <v>5775.5102040816319</v>
      </c>
      <c r="S148" s="18">
        <v>269</v>
      </c>
      <c r="T148" s="18"/>
      <c r="U148" s="2" cm="1">
        <f t="array" aca="1" ref="U148" ca="1">INDIRECT("d" &amp; (S148+2))</f>
        <v>269</v>
      </c>
      <c r="V148" s="5">
        <f t="shared" ca="1" si="13"/>
        <v>2.1869918699186992</v>
      </c>
      <c r="W148">
        <v>146</v>
      </c>
      <c r="X148" s="18">
        <v>709</v>
      </c>
      <c r="Y148" s="18"/>
      <c r="Z148" s="2" cm="1">
        <f t="array" aca="1" ref="Z148" ca="1">INDIRECT("b" &amp; (X148+2))</f>
        <v>7.0749999999999995E+40</v>
      </c>
      <c r="AA148" s="5">
        <f t="shared" ca="1" si="15"/>
        <v>5775.5102040816319</v>
      </c>
    </row>
    <row r="149" spans="1:27">
      <c r="A149">
        <v>147</v>
      </c>
      <c r="B149">
        <v>2.5E+16</v>
      </c>
      <c r="D149" s="18">
        <v>147</v>
      </c>
      <c r="E149" s="18" cm="1">
        <f t="array" aca="1" ref="E149" ca="1">INDIRECT("b"&amp;F149+2)</f>
        <v>8.1999999999999996E+37</v>
      </c>
      <c r="F149" s="18">
        <f t="shared" si="12"/>
        <v>594</v>
      </c>
      <c r="G149" s="18"/>
      <c r="H149" s="18"/>
      <c r="I149" s="19">
        <v>147</v>
      </c>
      <c r="J149" s="19" cm="1">
        <f t="array" aca="1" ref="J149" ca="1">INDIRECT("b"&amp;K149+2)</f>
        <v>8.1999999999999999E+66</v>
      </c>
      <c r="K149" s="19">
        <f t="shared" si="16"/>
        <v>1794</v>
      </c>
      <c r="N149" s="18">
        <v>710</v>
      </c>
      <c r="O149" s="18"/>
      <c r="P149" s="2" cm="1">
        <f t="array" aca="1" ref="P149" ca="1">INDIRECT("b" &amp; (N149+2))</f>
        <v>7.3000000000000005E+40</v>
      </c>
      <c r="Q149" s="5">
        <f t="shared" ca="1" si="14"/>
        <v>5959.1836734693879</v>
      </c>
      <c r="S149" s="18">
        <v>270</v>
      </c>
      <c r="T149" s="18"/>
      <c r="U149" s="2" cm="1">
        <f t="array" aca="1" ref="U149" ca="1">INDIRECT("d" &amp; (S149+2))</f>
        <v>270</v>
      </c>
      <c r="V149" s="5">
        <f t="shared" ca="1" si="13"/>
        <v>2.1951219512195124</v>
      </c>
      <c r="W149">
        <v>147</v>
      </c>
      <c r="X149" s="18">
        <v>710</v>
      </c>
      <c r="Y149" s="18"/>
      <c r="Z149" s="2" cm="1">
        <f t="array" aca="1" ref="Z149" ca="1">INDIRECT("b" &amp; (X149+2))</f>
        <v>7.3000000000000005E+40</v>
      </c>
      <c r="AA149" s="5">
        <f t="shared" ca="1" si="15"/>
        <v>5959.1836734693879</v>
      </c>
    </row>
    <row r="150" spans="1:27">
      <c r="A150">
        <v>148</v>
      </c>
      <c r="B150">
        <v>3E+16</v>
      </c>
      <c r="D150" s="18">
        <v>148</v>
      </c>
      <c r="E150" s="18" cm="1">
        <f t="array" aca="1" ref="E150" ca="1">INDIRECT("b"&amp;F150+2)</f>
        <v>8.6499999999999996E+37</v>
      </c>
      <c r="F150" s="18">
        <f t="shared" si="12"/>
        <v>596</v>
      </c>
      <c r="G150" s="18"/>
      <c r="H150" s="18"/>
      <c r="I150" s="19">
        <v>148</v>
      </c>
      <c r="J150" s="19" cm="1">
        <f t="array" aca="1" ref="J150" ca="1">INDIRECT("b"&amp;K150+2)</f>
        <v>8.6499999999999999E+66</v>
      </c>
      <c r="K150" s="19">
        <f t="shared" si="16"/>
        <v>1796</v>
      </c>
      <c r="N150" s="18">
        <v>711</v>
      </c>
      <c r="O150" s="18"/>
      <c r="P150" s="2" cm="1">
        <f t="array" aca="1" ref="P150" ca="1">INDIRECT("b" &amp; (N150+2))</f>
        <v>7.5249999999999995E+40</v>
      </c>
      <c r="Q150" s="5">
        <f t="shared" ca="1" si="14"/>
        <v>6142.8571428571422</v>
      </c>
      <c r="S150" s="18">
        <v>271</v>
      </c>
      <c r="T150" s="18"/>
      <c r="U150" s="2" cm="1">
        <f t="array" aca="1" ref="U150" ca="1">INDIRECT("d" &amp; (S150+2))</f>
        <v>271</v>
      </c>
      <c r="V150" s="5">
        <f t="shared" ca="1" si="13"/>
        <v>2.2032520325203251</v>
      </c>
      <c r="W150">
        <v>148</v>
      </c>
      <c r="X150" s="18">
        <v>711</v>
      </c>
      <c r="Y150" s="18"/>
      <c r="Z150" s="2" cm="1">
        <f t="array" aca="1" ref="Z150" ca="1">INDIRECT("b" &amp; (X150+2))</f>
        <v>7.5249999999999995E+40</v>
      </c>
      <c r="AA150" s="5">
        <f t="shared" ca="1" si="15"/>
        <v>6142.8571428571422</v>
      </c>
    </row>
    <row r="151" spans="1:27">
      <c r="A151">
        <v>149</v>
      </c>
      <c r="B151">
        <v>3.5E+16</v>
      </c>
      <c r="D151" s="18">
        <v>149</v>
      </c>
      <c r="E151" s="18" cm="1">
        <f t="array" aca="1" ref="E151" ca="1">INDIRECT("b"&amp;F151+2)</f>
        <v>8.8749999999999996E+37</v>
      </c>
      <c r="F151" s="18">
        <f t="shared" si="12"/>
        <v>597</v>
      </c>
      <c r="G151" s="18"/>
      <c r="H151" s="18"/>
      <c r="I151" s="19">
        <v>149</v>
      </c>
      <c r="J151" s="19" cm="1">
        <f t="array" aca="1" ref="J151" ca="1">INDIRECT("b"&amp;K151+2)</f>
        <v>8.8749999999999999E+66</v>
      </c>
      <c r="K151" s="19">
        <f t="shared" si="16"/>
        <v>1797</v>
      </c>
      <c r="N151" s="18">
        <v>712</v>
      </c>
      <c r="O151" s="18"/>
      <c r="P151" s="2" cm="1">
        <f t="array" aca="1" ref="P151" ca="1">INDIRECT("b" &amp; (N151+2))</f>
        <v>7.7500000000000004E+40</v>
      </c>
      <c r="Q151" s="5">
        <f t="shared" ca="1" si="14"/>
        <v>6326.5306122448974</v>
      </c>
      <c r="S151" s="18">
        <v>272</v>
      </c>
      <c r="T151" s="18"/>
      <c r="U151" s="2" cm="1">
        <f t="array" aca="1" ref="U151" ca="1">INDIRECT("d" &amp; (S151+2))</f>
        <v>272</v>
      </c>
      <c r="V151" s="5">
        <f t="shared" ca="1" si="13"/>
        <v>2.2113821138211383</v>
      </c>
      <c r="W151">
        <v>149</v>
      </c>
      <c r="X151" s="18">
        <v>712</v>
      </c>
      <c r="Y151" s="18"/>
      <c r="Z151" s="2" cm="1">
        <f t="array" aca="1" ref="Z151" ca="1">INDIRECT("b" &amp; (X151+2))</f>
        <v>7.7500000000000004E+40</v>
      </c>
      <c r="AA151" s="5">
        <f t="shared" ca="1" si="15"/>
        <v>6326.5306122448974</v>
      </c>
    </row>
    <row r="152" spans="1:27">
      <c r="A152">
        <v>150</v>
      </c>
      <c r="B152">
        <v>4E+16</v>
      </c>
      <c r="D152" s="18">
        <v>150</v>
      </c>
      <c r="E152" s="18" cm="1">
        <f t="array" aca="1" ref="E152" ca="1">INDIRECT("b"&amp;F152+2)</f>
        <v>9.0999999999999997E+37</v>
      </c>
      <c r="F152" s="18">
        <f t="shared" si="12"/>
        <v>598</v>
      </c>
      <c r="G152" s="18"/>
      <c r="H152" s="18"/>
      <c r="I152" s="19">
        <v>150</v>
      </c>
      <c r="J152" s="19" cm="1">
        <f t="array" aca="1" ref="J152" ca="1">INDIRECT("b"&amp;K152+2)</f>
        <v>9.0999999999999999E+66</v>
      </c>
      <c r="K152" s="19">
        <f t="shared" si="16"/>
        <v>1798</v>
      </c>
      <c r="N152" s="18">
        <v>713</v>
      </c>
      <c r="O152" s="18"/>
      <c r="P152" s="2" cm="1">
        <f t="array" aca="1" ref="P152" ca="1">INDIRECT("b" &amp; (N152+2))</f>
        <v>7.9750000000000004E+40</v>
      </c>
      <c r="Q152" s="5">
        <f t="shared" ca="1" si="14"/>
        <v>6510.2040816326526</v>
      </c>
      <c r="S152" s="18">
        <v>273</v>
      </c>
      <c r="T152" s="18"/>
      <c r="U152" s="2" cm="1">
        <f t="array" aca="1" ref="U152" ca="1">INDIRECT("d" &amp; (S152+2))</f>
        <v>273</v>
      </c>
      <c r="V152" s="5">
        <f t="shared" ca="1" si="13"/>
        <v>2.2195121951219514</v>
      </c>
      <c r="W152">
        <v>150</v>
      </c>
      <c r="X152" s="18">
        <v>713</v>
      </c>
      <c r="Y152" s="18"/>
      <c r="Z152" s="2" cm="1">
        <f t="array" aca="1" ref="Z152" ca="1">INDIRECT("b" &amp; (X152+2))</f>
        <v>7.9750000000000004E+40</v>
      </c>
      <c r="AA152" s="5">
        <f t="shared" ca="1" si="15"/>
        <v>6510.2040816326526</v>
      </c>
    </row>
    <row r="153" spans="1:27">
      <c r="A153">
        <v>151</v>
      </c>
      <c r="B153">
        <v>4.5E+16</v>
      </c>
      <c r="D153" s="18">
        <v>151</v>
      </c>
      <c r="E153" s="18" cm="1">
        <f t="array" aca="1" ref="E153" ca="1">INDIRECT("b"&amp;F153+2)</f>
        <v>9.5499999999999997E+37</v>
      </c>
      <c r="F153" s="18">
        <f t="shared" si="12"/>
        <v>600</v>
      </c>
      <c r="G153" s="18"/>
      <c r="H153" s="18"/>
      <c r="I153" s="19">
        <v>151</v>
      </c>
      <c r="J153" s="19" cm="1">
        <f t="array" aca="1" ref="J153" ca="1">INDIRECT("b"&amp;K153+2)</f>
        <v>9.5499999999999998E+66</v>
      </c>
      <c r="K153" s="19">
        <f t="shared" si="16"/>
        <v>1800</v>
      </c>
      <c r="N153" s="18">
        <v>714</v>
      </c>
      <c r="O153" s="18"/>
      <c r="P153" s="2" cm="1">
        <f t="array" aca="1" ref="P153" ca="1">INDIRECT("b" &amp; (N153+2))</f>
        <v>8.1999999999999994E+40</v>
      </c>
      <c r="Q153" s="5">
        <f t="shared" ca="1" si="14"/>
        <v>6693.8775510204068</v>
      </c>
      <c r="S153" s="18">
        <v>274</v>
      </c>
      <c r="T153" s="18"/>
      <c r="U153" s="2" cm="1">
        <f t="array" aca="1" ref="U153" ca="1">INDIRECT("d" &amp; (S153+2))</f>
        <v>274</v>
      </c>
      <c r="V153" s="5">
        <f t="shared" ca="1" si="13"/>
        <v>2.2276422764227641</v>
      </c>
      <c r="W153">
        <v>151</v>
      </c>
      <c r="X153" s="18">
        <v>714</v>
      </c>
      <c r="Y153" s="18"/>
      <c r="Z153" s="2" cm="1">
        <f t="array" aca="1" ref="Z153" ca="1">INDIRECT("b" &amp; (X153+2))</f>
        <v>8.1999999999999994E+40</v>
      </c>
      <c r="AA153" s="5">
        <f t="shared" ca="1" si="15"/>
        <v>6693.8775510204068</v>
      </c>
    </row>
    <row r="154" spans="1:27">
      <c r="A154">
        <v>152</v>
      </c>
      <c r="B154">
        <v>5E+16</v>
      </c>
      <c r="D154" s="18">
        <v>152</v>
      </c>
      <c r="E154" s="18" cm="1">
        <f t="array" aca="1" ref="E154" ca="1">INDIRECT("b"&amp;F154+2)</f>
        <v>9.7749999999999997E+37</v>
      </c>
      <c r="F154" s="18">
        <f t="shared" si="12"/>
        <v>601</v>
      </c>
      <c r="G154" s="18"/>
      <c r="H154" s="18"/>
      <c r="I154" s="19">
        <v>152</v>
      </c>
      <c r="J154" s="19" cm="1">
        <f t="array" aca="1" ref="J154" ca="1">INDIRECT("b"&amp;K154+2)</f>
        <v>9.7749999999999998E+66</v>
      </c>
      <c r="K154" s="19">
        <f t="shared" si="16"/>
        <v>1801</v>
      </c>
      <c r="N154" s="18">
        <v>715</v>
      </c>
      <c r="O154" s="18"/>
      <c r="P154" s="2" cm="1">
        <f t="array" aca="1" ref="P154" ca="1">INDIRECT("b" &amp; (N154+2))</f>
        <v>8.4250000000000003E+40</v>
      </c>
      <c r="Q154" s="5">
        <f t="shared" ca="1" si="14"/>
        <v>6877.5510204081629</v>
      </c>
      <c r="S154" s="18">
        <v>275</v>
      </c>
      <c r="T154" s="18"/>
      <c r="U154" s="2" cm="1">
        <f t="array" aca="1" ref="U154" ca="1">INDIRECT("d" &amp; (S154+2))</f>
        <v>275</v>
      </c>
      <c r="V154" s="5">
        <f t="shared" ca="1" si="13"/>
        <v>2.2357723577235773</v>
      </c>
      <c r="W154">
        <v>152</v>
      </c>
      <c r="X154" s="18">
        <v>715</v>
      </c>
      <c r="Y154" s="18"/>
      <c r="Z154" s="2" cm="1">
        <f t="array" aca="1" ref="Z154" ca="1">INDIRECT("b" &amp; (X154+2))</f>
        <v>8.4250000000000003E+40</v>
      </c>
      <c r="AA154" s="5">
        <f t="shared" ca="1" si="15"/>
        <v>6877.5510204081629</v>
      </c>
    </row>
    <row r="155" spans="1:27">
      <c r="A155">
        <v>153</v>
      </c>
      <c r="B155">
        <v>5.5E+16</v>
      </c>
      <c r="D155" s="18">
        <v>153</v>
      </c>
      <c r="E155" s="18" cm="1">
        <f t="array" aca="1" ref="E155" ca="1">INDIRECT("b"&amp;F155+2)</f>
        <v>9.9999999999999998E+37</v>
      </c>
      <c r="F155" s="18">
        <f t="shared" si="12"/>
        <v>602</v>
      </c>
      <c r="G155" s="18"/>
      <c r="H155" s="18"/>
      <c r="I155" s="19">
        <v>153</v>
      </c>
      <c r="J155" s="19" cm="1">
        <f t="array" aca="1" ref="J155" ca="1">INDIRECT("b"&amp;K155+2)</f>
        <v>9.9999999999999998E+66</v>
      </c>
      <c r="K155" s="19">
        <f t="shared" si="16"/>
        <v>1802</v>
      </c>
      <c r="N155" s="18">
        <v>716</v>
      </c>
      <c r="O155" s="18"/>
      <c r="P155" s="2" cm="1">
        <f t="array" aca="1" ref="P155" ca="1">INDIRECT("b" &amp; (N155+2))</f>
        <v>8.6499999999999993E+40</v>
      </c>
      <c r="Q155" s="5">
        <f t="shared" ca="1" si="14"/>
        <v>7061.2244897959172</v>
      </c>
      <c r="S155" s="18">
        <v>276</v>
      </c>
      <c r="T155" s="18"/>
      <c r="U155" s="2" cm="1">
        <f t="array" aca="1" ref="U155" ca="1">INDIRECT("d" &amp; (S155+2))</f>
        <v>276</v>
      </c>
      <c r="V155" s="5">
        <f t="shared" ca="1" si="13"/>
        <v>2.2439024390243905</v>
      </c>
      <c r="W155">
        <v>153</v>
      </c>
      <c r="X155" s="18">
        <v>716</v>
      </c>
      <c r="Y155" s="18"/>
      <c r="Z155" s="2" cm="1">
        <f t="array" aca="1" ref="Z155" ca="1">INDIRECT("b" &amp; (X155+2))</f>
        <v>8.6499999999999993E+40</v>
      </c>
      <c r="AA155" s="5">
        <f t="shared" ca="1" si="15"/>
        <v>7061.2244897959172</v>
      </c>
    </row>
    <row r="156" spans="1:27">
      <c r="A156">
        <v>154</v>
      </c>
      <c r="B156">
        <v>6E+16</v>
      </c>
      <c r="D156" s="18">
        <v>154</v>
      </c>
      <c r="E156" s="18" cm="1">
        <f t="array" aca="1" ref="E156" ca="1">INDIRECT("b"&amp;F156+2)</f>
        <v>1.4499999999999998E+38</v>
      </c>
      <c r="F156" s="18">
        <f t="shared" si="12"/>
        <v>604</v>
      </c>
      <c r="G156" s="18"/>
      <c r="H156" s="18"/>
      <c r="I156" s="19">
        <v>154</v>
      </c>
      <c r="J156" s="19" cm="1">
        <f t="array" aca="1" ref="J156" ca="1">INDIRECT("b"&amp;K156+2)</f>
        <v>1.4499999999999998E+67</v>
      </c>
      <c r="K156" s="19">
        <f t="shared" si="16"/>
        <v>1804</v>
      </c>
      <c r="N156" s="18">
        <v>717</v>
      </c>
      <c r="O156" s="18"/>
      <c r="P156" s="2" cm="1">
        <f t="array" aca="1" ref="P156" ca="1">INDIRECT("b" &amp; (N156+2))</f>
        <v>8.8749999999999993E+40</v>
      </c>
      <c r="Q156" s="5">
        <f t="shared" ca="1" si="14"/>
        <v>7244.8979591836724</v>
      </c>
      <c r="S156" s="18">
        <v>277</v>
      </c>
      <c r="T156" s="18"/>
      <c r="U156" s="2" cm="1">
        <f t="array" aca="1" ref="U156" ca="1">INDIRECT("d" &amp; (S156+2))</f>
        <v>277</v>
      </c>
      <c r="V156" s="5">
        <f t="shared" ca="1" si="13"/>
        <v>2.2520325203252032</v>
      </c>
      <c r="W156">
        <v>154</v>
      </c>
      <c r="X156" s="18">
        <v>717</v>
      </c>
      <c r="Y156" s="18"/>
      <c r="Z156" s="2" cm="1">
        <f t="array" aca="1" ref="Z156" ca="1">INDIRECT("b" &amp; (X156+2))</f>
        <v>8.8749999999999993E+40</v>
      </c>
      <c r="AA156" s="5">
        <f t="shared" ca="1" si="15"/>
        <v>7244.8979591836724</v>
      </c>
    </row>
    <row r="157" spans="1:27">
      <c r="A157">
        <v>155</v>
      </c>
      <c r="B157">
        <v>6.5E+16</v>
      </c>
      <c r="D157" s="18">
        <v>155</v>
      </c>
      <c r="E157" s="18" cm="1">
        <f t="array" aca="1" ref="E157" ca="1">INDIRECT("b"&amp;F157+2)</f>
        <v>1.6750000000000001E+38</v>
      </c>
      <c r="F157" s="18">
        <f t="shared" si="12"/>
        <v>605</v>
      </c>
      <c r="G157" s="18"/>
      <c r="H157" s="18"/>
      <c r="I157" s="19">
        <v>155</v>
      </c>
      <c r="J157" s="19" cm="1">
        <f t="array" aca="1" ref="J157" ca="1">INDIRECT("b"&amp;K157+2)</f>
        <v>1.6749999999999998E+67</v>
      </c>
      <c r="K157" s="19">
        <f t="shared" si="16"/>
        <v>1805</v>
      </c>
      <c r="N157" s="18">
        <v>718</v>
      </c>
      <c r="O157" s="18"/>
      <c r="P157" s="2" cm="1">
        <f t="array" aca="1" ref="P157" ca="1">INDIRECT("b" &amp; (N157+2))</f>
        <v>9.0999999999999983E+40</v>
      </c>
      <c r="Q157" s="5">
        <f t="shared" ca="1" si="14"/>
        <v>7428.5714285714266</v>
      </c>
      <c r="S157" s="18">
        <v>278</v>
      </c>
      <c r="T157" s="18"/>
      <c r="U157" s="2" cm="1">
        <f t="array" aca="1" ref="U157" ca="1">INDIRECT("d" &amp; (S157+2))</f>
        <v>278</v>
      </c>
      <c r="V157" s="5">
        <f t="shared" ca="1" si="13"/>
        <v>2.2601626016260163</v>
      </c>
      <c r="W157">
        <v>155</v>
      </c>
      <c r="X157" s="18">
        <v>718</v>
      </c>
      <c r="Y157" s="18"/>
      <c r="Z157" s="2" cm="1">
        <f t="array" aca="1" ref="Z157" ca="1">INDIRECT("b" &amp; (X157+2))</f>
        <v>9.0999999999999983E+40</v>
      </c>
      <c r="AA157" s="5">
        <f t="shared" ca="1" si="15"/>
        <v>7428.5714285714266</v>
      </c>
    </row>
    <row r="158" spans="1:27">
      <c r="A158">
        <v>156</v>
      </c>
      <c r="B158">
        <v>7E+16</v>
      </c>
      <c r="D158" s="18">
        <v>156</v>
      </c>
      <c r="E158" s="18" cm="1">
        <f t="array" aca="1" ref="E158" ca="1">INDIRECT("b"&amp;F158+2)</f>
        <v>1.9000000000000003E+38</v>
      </c>
      <c r="F158" s="18">
        <f t="shared" si="12"/>
        <v>606</v>
      </c>
      <c r="G158" s="18"/>
      <c r="H158" s="18"/>
      <c r="I158" s="19">
        <v>156</v>
      </c>
      <c r="J158" s="19" cm="1">
        <f t="array" aca="1" ref="J158" ca="1">INDIRECT("b"&amp;K158+2)</f>
        <v>1.8999999999999998E+67</v>
      </c>
      <c r="K158" s="19">
        <f t="shared" si="16"/>
        <v>1806</v>
      </c>
      <c r="N158" s="18">
        <v>719</v>
      </c>
      <c r="O158" s="18"/>
      <c r="P158" s="2" cm="1">
        <f t="array" aca="1" ref="P158" ca="1">INDIRECT("b" &amp; (N158+2))</f>
        <v>9.3249999999999992E+40</v>
      </c>
      <c r="Q158" s="5">
        <f t="shared" ca="1" si="14"/>
        <v>7612.2448979591827</v>
      </c>
      <c r="S158" s="18">
        <v>279</v>
      </c>
      <c r="T158" s="18"/>
      <c r="U158" s="2" cm="1">
        <f t="array" aca="1" ref="U158" ca="1">INDIRECT("d" &amp; (S158+2))</f>
        <v>279</v>
      </c>
      <c r="V158" s="5">
        <f t="shared" ca="1" si="13"/>
        <v>2.2682926829268291</v>
      </c>
      <c r="W158">
        <v>156</v>
      </c>
      <c r="X158" s="18">
        <v>719</v>
      </c>
      <c r="Y158" s="18"/>
      <c r="Z158" s="2" cm="1">
        <f t="array" aca="1" ref="Z158" ca="1">INDIRECT("b" &amp; (X158+2))</f>
        <v>9.3249999999999992E+40</v>
      </c>
      <c r="AA158" s="5">
        <f t="shared" ca="1" si="15"/>
        <v>7612.2448979591827</v>
      </c>
    </row>
    <row r="159" spans="1:27">
      <c r="A159">
        <v>157</v>
      </c>
      <c r="B159">
        <v>7.5E+16</v>
      </c>
      <c r="D159" s="18">
        <v>157</v>
      </c>
      <c r="E159" s="18" cm="1">
        <f t="array" aca="1" ref="E159" ca="1">INDIRECT("b"&amp;F159+2)</f>
        <v>2.35E+38</v>
      </c>
      <c r="F159" s="18">
        <f t="shared" si="12"/>
        <v>608</v>
      </c>
      <c r="G159" s="18"/>
      <c r="H159" s="18"/>
      <c r="I159" s="19">
        <v>157</v>
      </c>
      <c r="J159" s="19" cm="1">
        <f t="array" aca="1" ref="J159" ca="1">INDIRECT("b"&amp;K159+2)</f>
        <v>2.3499999999999998E+67</v>
      </c>
      <c r="K159" s="19">
        <f t="shared" si="16"/>
        <v>1808</v>
      </c>
      <c r="N159" s="18">
        <v>720</v>
      </c>
      <c r="O159" s="18"/>
      <c r="P159" s="2" cm="1">
        <f t="array" aca="1" ref="P159" ca="1">INDIRECT("b" &amp; (N159+2))</f>
        <v>9.5500000000000001E+40</v>
      </c>
      <c r="Q159" s="5">
        <f t="shared" ca="1" si="14"/>
        <v>7795.9183673469379</v>
      </c>
      <c r="S159" s="18">
        <v>280</v>
      </c>
      <c r="T159" s="18"/>
      <c r="U159" s="2" cm="1">
        <f t="array" aca="1" ref="U159" ca="1">INDIRECT("d" &amp; (S159+2))</f>
        <v>280</v>
      </c>
      <c r="V159" s="5">
        <f t="shared" ca="1" si="13"/>
        <v>2.2764227642276422</v>
      </c>
      <c r="W159">
        <v>157</v>
      </c>
      <c r="X159" s="18">
        <v>720</v>
      </c>
      <c r="Y159" s="18"/>
      <c r="Z159" s="2" cm="1">
        <f t="array" aca="1" ref="Z159" ca="1">INDIRECT("b" &amp; (X159+2))</f>
        <v>9.5500000000000001E+40</v>
      </c>
      <c r="AA159" s="5">
        <f t="shared" ca="1" si="15"/>
        <v>7795.9183673469379</v>
      </c>
    </row>
    <row r="160" spans="1:27">
      <c r="A160">
        <v>158</v>
      </c>
      <c r="B160">
        <v>8E+16</v>
      </c>
      <c r="D160" s="18">
        <v>158</v>
      </c>
      <c r="E160" s="18" cm="1">
        <f t="array" aca="1" ref="E160" ca="1">INDIRECT("b"&amp;F160+2)</f>
        <v>2.575E+38</v>
      </c>
      <c r="F160" s="18">
        <f t="shared" si="12"/>
        <v>609</v>
      </c>
      <c r="G160" s="18"/>
      <c r="H160" s="18"/>
      <c r="I160" s="19">
        <v>158</v>
      </c>
      <c r="J160" s="19" cm="1">
        <f t="array" aca="1" ref="J160" ca="1">INDIRECT("b"&amp;K160+2)</f>
        <v>2.5749999999999998E+67</v>
      </c>
      <c r="K160" s="19">
        <f t="shared" si="16"/>
        <v>1809</v>
      </c>
      <c r="N160" s="18">
        <v>721</v>
      </c>
      <c r="O160" s="18"/>
      <c r="P160" s="2" cm="1">
        <f t="array" aca="1" ref="P160" ca="1">INDIRECT("b" &amp; (N160+2))</f>
        <v>9.7749999999999991E+40</v>
      </c>
      <c r="Q160" s="5">
        <f t="shared" ca="1" si="14"/>
        <v>7979.5918367346922</v>
      </c>
      <c r="S160" s="18">
        <v>281</v>
      </c>
      <c r="T160" s="18"/>
      <c r="U160" s="2" cm="1">
        <f t="array" aca="1" ref="U160" ca="1">INDIRECT("d" &amp; (S160+2))</f>
        <v>281</v>
      </c>
      <c r="V160" s="5">
        <f t="shared" ca="1" si="13"/>
        <v>2.2845528455284554</v>
      </c>
      <c r="W160">
        <v>158</v>
      </c>
      <c r="X160" s="18">
        <v>721</v>
      </c>
      <c r="Y160" s="18"/>
      <c r="Z160" s="2" cm="1">
        <f t="array" aca="1" ref="Z160" ca="1">INDIRECT("b" &amp; (X160+2))</f>
        <v>9.7749999999999991E+40</v>
      </c>
      <c r="AA160" s="5">
        <f t="shared" ca="1" si="15"/>
        <v>7979.5918367346922</v>
      </c>
    </row>
    <row r="161" spans="1:27">
      <c r="A161">
        <v>159</v>
      </c>
      <c r="B161">
        <v>8.5E+16</v>
      </c>
      <c r="D161" s="18">
        <v>159</v>
      </c>
      <c r="E161" s="18" cm="1">
        <f t="array" aca="1" ref="E161" ca="1">INDIRECT("b"&amp;F161+2)</f>
        <v>2.8E+38</v>
      </c>
      <c r="F161" s="18">
        <f t="shared" si="12"/>
        <v>610</v>
      </c>
      <c r="G161" s="18"/>
      <c r="H161" s="18"/>
      <c r="I161" s="19">
        <v>159</v>
      </c>
      <c r="J161" s="19" cm="1">
        <f t="array" aca="1" ref="J161" ca="1">INDIRECT("b"&amp;K161+2)</f>
        <v>2.7999999999999998E+67</v>
      </c>
      <c r="K161" s="19">
        <f t="shared" si="16"/>
        <v>1810</v>
      </c>
      <c r="N161" s="18">
        <v>722</v>
      </c>
      <c r="O161" s="18"/>
      <c r="P161" s="2" cm="1">
        <f t="array" aca="1" ref="P161" ca="1">INDIRECT("b" &amp; (N161+2))</f>
        <v>1E+41</v>
      </c>
      <c r="Q161" s="5">
        <f t="shared" ca="1" si="14"/>
        <v>8163.2653061224482</v>
      </c>
      <c r="S161" s="18">
        <v>282</v>
      </c>
      <c r="T161" s="18"/>
      <c r="U161" s="2" cm="1">
        <f t="array" aca="1" ref="U161" ca="1">INDIRECT("d" &amp; (S161+2))</f>
        <v>282</v>
      </c>
      <c r="V161" s="5">
        <f t="shared" ca="1" si="13"/>
        <v>2.2926829268292681</v>
      </c>
      <c r="W161">
        <v>159</v>
      </c>
      <c r="X161" s="18">
        <v>722</v>
      </c>
      <c r="Y161" s="18"/>
      <c r="Z161" s="2" cm="1">
        <f t="array" aca="1" ref="Z161" ca="1">INDIRECT("b" &amp; (X161+2))</f>
        <v>1E+41</v>
      </c>
      <c r="AA161" s="5">
        <f t="shared" ca="1" si="15"/>
        <v>8163.2653061224482</v>
      </c>
    </row>
    <row r="162" spans="1:27">
      <c r="A162">
        <v>160</v>
      </c>
      <c r="B162">
        <v>9E+16</v>
      </c>
      <c r="D162" s="18">
        <v>160</v>
      </c>
      <c r="E162" s="18" cm="1">
        <f t="array" aca="1" ref="E162" ca="1">INDIRECT("b"&amp;F162+2)</f>
        <v>3.2499999999999997E+38</v>
      </c>
      <c r="F162" s="18">
        <f t="shared" si="12"/>
        <v>612</v>
      </c>
      <c r="G162" s="18"/>
      <c r="H162" s="18"/>
      <c r="I162" s="19">
        <v>160</v>
      </c>
      <c r="J162" s="19" cm="1">
        <f t="array" aca="1" ref="J162" ca="1">INDIRECT("b"&amp;K162+2)</f>
        <v>3.2499999999999998E+67</v>
      </c>
      <c r="K162" s="19">
        <f t="shared" si="16"/>
        <v>1812</v>
      </c>
      <c r="N162" s="18">
        <v>723</v>
      </c>
      <c r="O162" s="18"/>
      <c r="P162" s="2" cm="1">
        <f t="array" aca="1" ref="P162" ca="1">INDIRECT("b" &amp; (N162+2))</f>
        <v>1.2250000000000002E+41</v>
      </c>
      <c r="Q162" s="5">
        <f t="shared" ca="1" si="14"/>
        <v>10000</v>
      </c>
      <c r="S162" s="18">
        <v>283</v>
      </c>
      <c r="T162" s="18"/>
      <c r="U162" s="2" cm="1">
        <f t="array" aca="1" ref="U162" ca="1">INDIRECT("d" &amp; (S162+2))</f>
        <v>283</v>
      </c>
      <c r="V162" s="5">
        <f t="shared" ca="1" si="13"/>
        <v>2.3008130081300813</v>
      </c>
      <c r="W162">
        <v>160</v>
      </c>
      <c r="X162" s="18">
        <v>723</v>
      </c>
      <c r="Y162" s="18"/>
      <c r="Z162" s="2" cm="1">
        <f t="array" aca="1" ref="Z162" ca="1">INDIRECT("b" &amp; (X162+2))</f>
        <v>1.2250000000000002E+41</v>
      </c>
      <c r="AA162" s="5">
        <f t="shared" ca="1" si="15"/>
        <v>10000</v>
      </c>
    </row>
    <row r="163" spans="1:27">
      <c r="A163">
        <v>161</v>
      </c>
      <c r="B163">
        <v>9.5E+16</v>
      </c>
      <c r="D163" s="18">
        <v>161</v>
      </c>
      <c r="E163" s="18" cm="1">
        <f t="array" aca="1" ref="E163" ca="1">INDIRECT("b"&amp;F163+2)</f>
        <v>3.4750000000000001E+38</v>
      </c>
      <c r="F163" s="18">
        <f t="shared" si="12"/>
        <v>613</v>
      </c>
      <c r="G163" s="18"/>
      <c r="H163" s="18"/>
      <c r="I163" s="19">
        <v>161</v>
      </c>
      <c r="J163" s="19" cm="1">
        <f t="array" aca="1" ref="J163" ca="1">INDIRECT("b"&amp;K163+2)</f>
        <v>3.4749999999999997E+67</v>
      </c>
      <c r="K163" s="19">
        <f t="shared" si="16"/>
        <v>1813</v>
      </c>
      <c r="N163" s="18">
        <v>724</v>
      </c>
      <c r="O163" s="18"/>
      <c r="P163" s="2" cm="1">
        <f t="array" aca="1" ref="P163" ca="1">INDIRECT("b" &amp; (N163+2))</f>
        <v>1.4499999999999997E+41</v>
      </c>
      <c r="Q163" s="5">
        <f t="shared" ca="1" si="14"/>
        <v>11836.734693877548</v>
      </c>
      <c r="S163" s="18">
        <v>284</v>
      </c>
      <c r="T163" s="18"/>
      <c r="U163" s="2" cm="1">
        <f t="array" aca="1" ref="U163" ca="1">INDIRECT("d" &amp; (S163+2))</f>
        <v>284</v>
      </c>
      <c r="V163" s="5">
        <f t="shared" ca="1" si="13"/>
        <v>2.3089430894308944</v>
      </c>
      <c r="W163">
        <v>161</v>
      </c>
      <c r="X163" s="18">
        <v>724</v>
      </c>
      <c r="Y163" s="18"/>
      <c r="Z163" s="2" cm="1">
        <f t="array" aca="1" ref="Z163" ca="1">INDIRECT("b" &amp; (X163+2))</f>
        <v>1.4499999999999997E+41</v>
      </c>
      <c r="AA163" s="5">
        <f t="shared" ca="1" si="15"/>
        <v>11836.734693877548</v>
      </c>
    </row>
    <row r="164" spans="1:27">
      <c r="A164">
        <v>162</v>
      </c>
      <c r="B164">
        <v>1E+17</v>
      </c>
      <c r="D164" s="18">
        <v>162</v>
      </c>
      <c r="E164" s="18" cm="1">
        <f t="array" aca="1" ref="E164" ca="1">INDIRECT("b"&amp;F164+2)</f>
        <v>3.7000000000000001E+38</v>
      </c>
      <c r="F164" s="18">
        <f t="shared" si="12"/>
        <v>614</v>
      </c>
      <c r="G164" s="18"/>
      <c r="H164" s="18"/>
      <c r="I164" s="19">
        <v>162</v>
      </c>
      <c r="J164" s="19" cm="1">
        <f t="array" aca="1" ref="J164" ca="1">INDIRECT("b"&amp;K164+2)</f>
        <v>3.6999999999999997E+67</v>
      </c>
      <c r="K164" s="19">
        <f t="shared" si="16"/>
        <v>1814</v>
      </c>
      <c r="N164" s="18">
        <v>725</v>
      </c>
      <c r="O164" s="18"/>
      <c r="P164" s="2" cm="1">
        <f t="array" aca="1" ref="P164" ca="1">INDIRECT("b" &amp; (N164+2))</f>
        <v>1.6750000000000001E+41</v>
      </c>
      <c r="Q164" s="5">
        <f t="shared" ca="1" si="14"/>
        <v>13673.469387755102</v>
      </c>
      <c r="S164" s="18">
        <v>285</v>
      </c>
      <c r="T164" s="18"/>
      <c r="U164" s="2" cm="1">
        <f t="array" aca="1" ref="U164" ca="1">INDIRECT("d" &amp; (S164+2))</f>
        <v>285</v>
      </c>
      <c r="V164" s="5">
        <f t="shared" ca="1" si="13"/>
        <v>2.3170731707317072</v>
      </c>
      <c r="W164">
        <v>162</v>
      </c>
      <c r="X164" s="18">
        <v>725</v>
      </c>
      <c r="Y164" s="18"/>
      <c r="Z164" s="2" cm="1">
        <f t="array" aca="1" ref="Z164" ca="1">INDIRECT("b" &amp; (X164+2))</f>
        <v>1.6750000000000001E+41</v>
      </c>
      <c r="AA164" s="5">
        <f t="shared" ca="1" si="15"/>
        <v>13673.469387755102</v>
      </c>
    </row>
    <row r="165" spans="1:27">
      <c r="A165">
        <v>163</v>
      </c>
      <c r="B165">
        <v>1.05E+17</v>
      </c>
      <c r="D165" s="18">
        <v>163</v>
      </c>
      <c r="E165" s="18" cm="1">
        <f t="array" aca="1" ref="E165" ca="1">INDIRECT("b"&amp;F165+2)</f>
        <v>4.1500000000000002E+38</v>
      </c>
      <c r="F165" s="18">
        <f t="shared" si="12"/>
        <v>616</v>
      </c>
      <c r="G165" s="18"/>
      <c r="H165" s="18"/>
      <c r="I165" s="19">
        <v>163</v>
      </c>
      <c r="J165" s="19" cm="1">
        <f t="array" aca="1" ref="J165" ca="1">INDIRECT("b"&amp;K165+2)</f>
        <v>4.1499999999999997E+67</v>
      </c>
      <c r="K165" s="19">
        <f t="shared" si="16"/>
        <v>1816</v>
      </c>
      <c r="N165" s="18">
        <v>726</v>
      </c>
      <c r="O165" s="18"/>
      <c r="P165" s="2" cm="1">
        <f t="array" aca="1" ref="P165" ca="1">INDIRECT("b" &amp; (N165+2))</f>
        <v>1.9000000000000001E+41</v>
      </c>
      <c r="Q165" s="5">
        <f t="shared" ca="1" si="14"/>
        <v>15510.204081632652</v>
      </c>
      <c r="S165" s="18">
        <v>286</v>
      </c>
      <c r="T165" s="18"/>
      <c r="U165" s="2" cm="1">
        <f t="array" aca="1" ref="U165" ca="1">INDIRECT("d" &amp; (S165+2))</f>
        <v>286</v>
      </c>
      <c r="V165" s="5">
        <f t="shared" ca="1" si="13"/>
        <v>2.3252032520325203</v>
      </c>
      <c r="W165">
        <v>163</v>
      </c>
      <c r="X165" s="18">
        <v>726</v>
      </c>
      <c r="Y165" s="18"/>
      <c r="Z165" s="2" cm="1">
        <f t="array" aca="1" ref="Z165" ca="1">INDIRECT("b" &amp; (X165+2))</f>
        <v>1.9000000000000001E+41</v>
      </c>
      <c r="AA165" s="5">
        <f t="shared" ca="1" si="15"/>
        <v>15510.204081632652</v>
      </c>
    </row>
    <row r="166" spans="1:27">
      <c r="A166">
        <v>164</v>
      </c>
      <c r="B166">
        <v>1.1E+17</v>
      </c>
      <c r="D166" s="18">
        <v>164</v>
      </c>
      <c r="E166" s="18" cm="1">
        <f t="array" aca="1" ref="E166" ca="1">INDIRECT("b"&amp;F166+2)</f>
        <v>4.3750000000000002E+38</v>
      </c>
      <c r="F166" s="18">
        <f t="shared" si="12"/>
        <v>617</v>
      </c>
      <c r="G166" s="18"/>
      <c r="H166" s="18"/>
      <c r="I166" s="19">
        <v>164</v>
      </c>
      <c r="J166" s="19" cm="1">
        <f t="array" aca="1" ref="J166" ca="1">INDIRECT("b"&amp;K166+2)</f>
        <v>4.3749999999999997E+67</v>
      </c>
      <c r="K166" s="19">
        <f t="shared" si="16"/>
        <v>1817</v>
      </c>
      <c r="N166" s="18">
        <v>727</v>
      </c>
      <c r="O166" s="18"/>
      <c r="P166" s="2" cm="1">
        <f t="array" aca="1" ref="P166" ca="1">INDIRECT("b" &amp; (N166+2))</f>
        <v>2.1249999999999998E+41</v>
      </c>
      <c r="Q166" s="5">
        <f t="shared" ca="1" si="14"/>
        <v>17346.9387755102</v>
      </c>
      <c r="S166" s="18">
        <v>287</v>
      </c>
      <c r="T166" s="18"/>
      <c r="U166" s="2" cm="1">
        <f t="array" aca="1" ref="U166" ca="1">INDIRECT("d" &amp; (S166+2))</f>
        <v>287</v>
      </c>
      <c r="V166" s="5">
        <f t="shared" ca="1" si="13"/>
        <v>2.3333333333333335</v>
      </c>
      <c r="W166">
        <v>164</v>
      </c>
      <c r="X166" s="18">
        <v>727</v>
      </c>
      <c r="Y166" s="18"/>
      <c r="Z166" s="2" cm="1">
        <f t="array" aca="1" ref="Z166" ca="1">INDIRECT("b" &amp; (X166+2))</f>
        <v>2.1249999999999998E+41</v>
      </c>
      <c r="AA166" s="5">
        <f t="shared" ca="1" si="15"/>
        <v>17346.9387755102</v>
      </c>
    </row>
    <row r="167" spans="1:27">
      <c r="A167">
        <v>165</v>
      </c>
      <c r="B167">
        <v>1.5E+17</v>
      </c>
      <c r="D167" s="18">
        <v>165</v>
      </c>
      <c r="E167" s="18" cm="1">
        <f t="array" aca="1" ref="E167" ca="1">INDIRECT("b"&amp;F167+2)</f>
        <v>4.6000000000000002E+38</v>
      </c>
      <c r="F167" s="18">
        <f t="shared" si="12"/>
        <v>618</v>
      </c>
      <c r="G167" s="18"/>
      <c r="H167" s="18"/>
      <c r="I167" s="19">
        <v>165</v>
      </c>
      <c r="J167" s="19" cm="1">
        <f t="array" aca="1" ref="J167" ca="1">INDIRECT("b"&amp;K167+2)</f>
        <v>4.5999999999999997E+67</v>
      </c>
      <c r="K167" s="19">
        <f t="shared" si="16"/>
        <v>1818</v>
      </c>
      <c r="N167" s="18">
        <v>728</v>
      </c>
      <c r="O167" s="18"/>
      <c r="P167" s="2" cm="1">
        <f t="array" aca="1" ref="P167" ca="1">INDIRECT("b" &amp; (N167+2))</f>
        <v>2.3500000000000004E+41</v>
      </c>
      <c r="Q167" s="5">
        <f t="shared" ca="1" si="14"/>
        <v>19183.673469387755</v>
      </c>
      <c r="S167" s="18">
        <v>288</v>
      </c>
      <c r="T167" s="18"/>
      <c r="U167" s="2" cm="1">
        <f t="array" aca="1" ref="U167" ca="1">INDIRECT("d" &amp; (S167+2))</f>
        <v>288</v>
      </c>
      <c r="V167" s="5">
        <f t="shared" ca="1" si="13"/>
        <v>2.3414634146341462</v>
      </c>
      <c r="W167">
        <v>165</v>
      </c>
      <c r="X167" s="18">
        <v>728</v>
      </c>
      <c r="Y167" s="18"/>
      <c r="Z167" s="2" cm="1">
        <f t="array" aca="1" ref="Z167" ca="1">INDIRECT("b" &amp; (X167+2))</f>
        <v>2.3500000000000004E+41</v>
      </c>
      <c r="AA167" s="5">
        <f t="shared" ca="1" si="15"/>
        <v>19183.673469387755</v>
      </c>
    </row>
    <row r="168" spans="1:27">
      <c r="A168">
        <v>166</v>
      </c>
      <c r="B168">
        <v>2E+17</v>
      </c>
      <c r="D168" s="18">
        <v>166</v>
      </c>
      <c r="E168" s="18" cm="1">
        <f t="array" aca="1" ref="E168" ca="1">INDIRECT("b"&amp;F168+2)</f>
        <v>5.0500000000000003E+38</v>
      </c>
      <c r="F168" s="18">
        <f t="shared" si="12"/>
        <v>620</v>
      </c>
      <c r="G168" s="18"/>
      <c r="H168" s="18"/>
      <c r="I168" s="19">
        <v>166</v>
      </c>
      <c r="J168" s="19" cm="1">
        <f t="array" aca="1" ref="J168" ca="1">INDIRECT("b"&amp;K168+2)</f>
        <v>5.0499999999999997E+67</v>
      </c>
      <c r="K168" s="19">
        <f t="shared" si="16"/>
        <v>1820</v>
      </c>
      <c r="N168" s="18">
        <v>729</v>
      </c>
      <c r="O168" s="18"/>
      <c r="P168" s="2" cm="1">
        <f t="array" aca="1" ref="P168" ca="1">INDIRECT("b" &amp; (N168+2))</f>
        <v>2.5749999999999998E+41</v>
      </c>
      <c r="Q168" s="5">
        <f t="shared" ca="1" si="14"/>
        <v>21020.408163265303</v>
      </c>
      <c r="S168" s="18">
        <v>289</v>
      </c>
      <c r="T168" s="18"/>
      <c r="U168" s="2" cm="1">
        <f t="array" aca="1" ref="U168" ca="1">INDIRECT("d" &amp; (S168+2))</f>
        <v>289</v>
      </c>
      <c r="V168" s="5">
        <f t="shared" ca="1" si="13"/>
        <v>2.3495934959349594</v>
      </c>
      <c r="W168">
        <v>166</v>
      </c>
      <c r="X168" s="18">
        <v>729</v>
      </c>
      <c r="Y168" s="18"/>
      <c r="Z168" s="2" cm="1">
        <f t="array" aca="1" ref="Z168" ca="1">INDIRECT("b" &amp; (X168+2))</f>
        <v>2.5749999999999998E+41</v>
      </c>
      <c r="AA168" s="5">
        <f t="shared" ca="1" si="15"/>
        <v>21020.408163265303</v>
      </c>
    </row>
    <row r="169" spans="1:27">
      <c r="A169">
        <v>167</v>
      </c>
      <c r="B169">
        <v>2.5E+17</v>
      </c>
      <c r="D169" s="18">
        <v>167</v>
      </c>
      <c r="E169" s="18" cm="1">
        <f t="array" aca="1" ref="E169" ca="1">INDIRECT("b"&amp;F169+2)</f>
        <v>5.2750000000000003E+38</v>
      </c>
      <c r="F169" s="18">
        <f t="shared" si="12"/>
        <v>621</v>
      </c>
      <c r="G169" s="18"/>
      <c r="H169" s="18"/>
      <c r="I169" s="19">
        <v>167</v>
      </c>
      <c r="J169" s="19" cm="1">
        <f t="array" aca="1" ref="J169" ca="1">INDIRECT("b"&amp;K169+2)</f>
        <v>5.2749999999999997E+67</v>
      </c>
      <c r="K169" s="19">
        <f t="shared" si="16"/>
        <v>1821</v>
      </c>
      <c r="N169" s="18">
        <v>730</v>
      </c>
      <c r="O169" s="18"/>
      <c r="P169" s="2" cm="1">
        <f t="array" aca="1" ref="P169" ca="1">INDIRECT("b" &amp; (N169+2))</f>
        <v>2.7999999999999999E+41</v>
      </c>
      <c r="Q169" s="5">
        <f t="shared" ca="1" si="14"/>
        <v>22857.142857142855</v>
      </c>
      <c r="S169" s="18">
        <v>290</v>
      </c>
      <c r="T169" s="18"/>
      <c r="U169" s="2" cm="1">
        <f t="array" aca="1" ref="U169" ca="1">INDIRECT("d" &amp; (S169+2))</f>
        <v>290</v>
      </c>
      <c r="V169" s="5">
        <f t="shared" ca="1" si="13"/>
        <v>2.3577235772357725</v>
      </c>
      <c r="W169">
        <v>167</v>
      </c>
      <c r="X169" s="18">
        <v>730</v>
      </c>
      <c r="Y169" s="18"/>
      <c r="Z169" s="2" cm="1">
        <f t="array" aca="1" ref="Z169" ca="1">INDIRECT("b" &amp; (X169+2))</f>
        <v>2.7999999999999999E+41</v>
      </c>
      <c r="AA169" s="5">
        <f t="shared" ca="1" si="15"/>
        <v>22857.142857142855</v>
      </c>
    </row>
    <row r="170" spans="1:27">
      <c r="A170">
        <v>168</v>
      </c>
      <c r="B170">
        <v>3E+17</v>
      </c>
      <c r="D170" s="18">
        <v>168</v>
      </c>
      <c r="E170" s="18" cm="1">
        <f t="array" aca="1" ref="E170" ca="1">INDIRECT("b"&amp;F170+2)</f>
        <v>5.4999999999999996E+38</v>
      </c>
      <c r="F170" s="18">
        <f t="shared" si="12"/>
        <v>622</v>
      </c>
      <c r="G170" s="18"/>
      <c r="H170" s="18"/>
      <c r="I170" s="19">
        <v>168</v>
      </c>
      <c r="J170" s="19" cm="1">
        <f t="array" aca="1" ref="J170" ca="1">INDIRECT("b"&amp;K170+2)</f>
        <v>5.4999999999999997E+67</v>
      </c>
      <c r="K170" s="19">
        <f t="shared" si="16"/>
        <v>1822</v>
      </c>
      <c r="N170" s="18">
        <v>731</v>
      </c>
      <c r="O170" s="18"/>
      <c r="P170" s="2" cm="1">
        <f t="array" aca="1" ref="P170" ca="1">INDIRECT("b" &amp; (N170+2))</f>
        <v>3.0250000000000001E+41</v>
      </c>
      <c r="Q170" s="5">
        <f t="shared" ca="1" si="14"/>
        <v>24693.877551020407</v>
      </c>
      <c r="S170" s="18">
        <v>291</v>
      </c>
      <c r="T170" s="18"/>
      <c r="U170" s="2" cm="1">
        <f t="array" aca="1" ref="U170" ca="1">INDIRECT("d" &amp; (S170+2))</f>
        <v>291</v>
      </c>
      <c r="V170" s="5">
        <f t="shared" ca="1" si="13"/>
        <v>2.3658536585365852</v>
      </c>
      <c r="W170">
        <v>168</v>
      </c>
      <c r="X170" s="18">
        <v>731</v>
      </c>
      <c r="Y170" s="18"/>
      <c r="Z170" s="2" cm="1">
        <f t="array" aca="1" ref="Z170" ca="1">INDIRECT("b" &amp; (X170+2))</f>
        <v>3.0250000000000001E+41</v>
      </c>
      <c r="AA170" s="5">
        <f t="shared" ca="1" si="15"/>
        <v>24693.877551020407</v>
      </c>
    </row>
    <row r="171" spans="1:27">
      <c r="A171">
        <v>169</v>
      </c>
      <c r="B171">
        <v>3.5E+17</v>
      </c>
      <c r="D171" s="18">
        <v>169</v>
      </c>
      <c r="E171" s="18" cm="1">
        <f t="array" aca="1" ref="E171" ca="1">INDIRECT("b"&amp;F171+2)</f>
        <v>5.9500000000000004E+38</v>
      </c>
      <c r="F171" s="18">
        <f t="shared" si="12"/>
        <v>624</v>
      </c>
      <c r="G171" s="18"/>
      <c r="H171" s="18"/>
      <c r="I171" s="19">
        <v>169</v>
      </c>
      <c r="J171" s="19" cm="1">
        <f t="array" aca="1" ref="J171" ca="1">INDIRECT("b"&amp;K171+2)</f>
        <v>5.9499999999999997E+67</v>
      </c>
      <c r="K171" s="19">
        <f t="shared" si="16"/>
        <v>1824</v>
      </c>
      <c r="N171" s="18">
        <v>732</v>
      </c>
      <c r="O171" s="18"/>
      <c r="P171" s="2" cm="1">
        <f t="array" aca="1" ref="P171" ca="1">INDIRECT("b" &amp; (N171+2))</f>
        <v>3.2499999999999995E+41</v>
      </c>
      <c r="Q171" s="5">
        <f t="shared" ca="1" si="14"/>
        <v>26530.612244897951</v>
      </c>
      <c r="S171" s="18">
        <v>292</v>
      </c>
      <c r="T171" s="18"/>
      <c r="U171" s="2" cm="1">
        <f t="array" aca="1" ref="U171" ca="1">INDIRECT("d" &amp; (S171+2))</f>
        <v>292</v>
      </c>
      <c r="V171" s="5">
        <f t="shared" ca="1" si="13"/>
        <v>2.3739837398373984</v>
      </c>
      <c r="W171">
        <v>169</v>
      </c>
      <c r="X171" s="18">
        <v>732</v>
      </c>
      <c r="Y171" s="18"/>
      <c r="Z171" s="2" cm="1">
        <f t="array" aca="1" ref="Z171" ca="1">INDIRECT("b" &amp; (X171+2))</f>
        <v>3.2499999999999995E+41</v>
      </c>
      <c r="AA171" s="5">
        <f t="shared" ca="1" si="15"/>
        <v>26530.612244897951</v>
      </c>
    </row>
    <row r="172" spans="1:27">
      <c r="A172">
        <v>170</v>
      </c>
      <c r="B172">
        <v>4E+17</v>
      </c>
      <c r="D172" s="18">
        <v>170</v>
      </c>
      <c r="E172" s="18" cm="1">
        <f t="array" aca="1" ref="E172" ca="1">INDIRECT("b"&amp;F172+2)</f>
        <v>6.1749999999999997E+38</v>
      </c>
      <c r="F172" s="18">
        <f t="shared" si="12"/>
        <v>625</v>
      </c>
      <c r="G172" s="18"/>
      <c r="H172" s="18"/>
      <c r="I172" s="19">
        <v>170</v>
      </c>
      <c r="J172" s="19" cm="1">
        <f t="array" aca="1" ref="J172" ca="1">INDIRECT("b"&amp;K172+2)</f>
        <v>6.1750000000000003E+67</v>
      </c>
      <c r="K172" s="19">
        <f t="shared" si="16"/>
        <v>1825</v>
      </c>
      <c r="N172" s="18">
        <v>733</v>
      </c>
      <c r="O172" s="18"/>
      <c r="P172" s="2" cm="1">
        <f t="array" aca="1" ref="P172" ca="1">INDIRECT("b" &amp; (N172+2))</f>
        <v>3.475E+41</v>
      </c>
      <c r="Q172" s="5">
        <f t="shared" ca="1" si="14"/>
        <v>28367.346938775507</v>
      </c>
      <c r="S172" s="18">
        <v>293</v>
      </c>
      <c r="T172" s="18"/>
      <c r="U172" s="2" cm="1">
        <f t="array" aca="1" ref="U172" ca="1">INDIRECT("d" &amp; (S172+2))</f>
        <v>293</v>
      </c>
      <c r="V172" s="5">
        <f t="shared" ca="1" si="13"/>
        <v>2.3821138211382116</v>
      </c>
      <c r="W172">
        <v>170</v>
      </c>
      <c r="X172" s="18">
        <v>733</v>
      </c>
      <c r="Y172" s="18"/>
      <c r="Z172" s="2" cm="1">
        <f t="array" aca="1" ref="Z172" ca="1">INDIRECT("b" &amp; (X172+2))</f>
        <v>3.475E+41</v>
      </c>
      <c r="AA172" s="5">
        <f t="shared" ca="1" si="15"/>
        <v>28367.346938775507</v>
      </c>
    </row>
    <row r="173" spans="1:27">
      <c r="A173">
        <v>171</v>
      </c>
      <c r="B173">
        <v>4.5E+17</v>
      </c>
      <c r="D173" s="18">
        <v>171</v>
      </c>
      <c r="E173" s="18" cm="1">
        <f t="array" aca="1" ref="E173" ca="1">INDIRECT("b"&amp;F173+2)</f>
        <v>6.3999999999999997E+38</v>
      </c>
      <c r="F173" s="18">
        <f t="shared" si="12"/>
        <v>626</v>
      </c>
      <c r="G173" s="18"/>
      <c r="H173" s="18"/>
      <c r="I173" s="19">
        <v>171</v>
      </c>
      <c r="J173" s="19" cm="1">
        <f t="array" aca="1" ref="J173" ca="1">INDIRECT("b"&amp;K173+2)</f>
        <v>6.3999999999999997E+67</v>
      </c>
      <c r="K173" s="19">
        <f t="shared" si="16"/>
        <v>1826</v>
      </c>
      <c r="N173" s="18">
        <v>734</v>
      </c>
      <c r="O173" s="18"/>
      <c r="P173" s="2" cm="1">
        <f t="array" aca="1" ref="P173" ca="1">INDIRECT("b" &amp; (N173+2))</f>
        <v>3.6999999999999998E+41</v>
      </c>
      <c r="Q173" s="5">
        <f t="shared" ca="1" si="14"/>
        <v>30204.081632653058</v>
      </c>
      <c r="S173" s="18">
        <v>294</v>
      </c>
      <c r="T173" s="18"/>
      <c r="U173" s="2" cm="1">
        <f t="array" aca="1" ref="U173" ca="1">INDIRECT("d" &amp; (S173+2))</f>
        <v>294</v>
      </c>
      <c r="V173" s="5">
        <f t="shared" ca="1" si="13"/>
        <v>2.3902439024390243</v>
      </c>
      <c r="W173">
        <v>171</v>
      </c>
      <c r="X173" s="18">
        <v>734</v>
      </c>
      <c r="Y173" s="18"/>
      <c r="Z173" s="2" cm="1">
        <f t="array" aca="1" ref="Z173" ca="1">INDIRECT("b" &amp; (X173+2))</f>
        <v>3.6999999999999998E+41</v>
      </c>
      <c r="AA173" s="5">
        <f t="shared" ca="1" si="15"/>
        <v>30204.081632653058</v>
      </c>
    </row>
    <row r="174" spans="1:27">
      <c r="A174">
        <v>172</v>
      </c>
      <c r="B174">
        <v>5E+17</v>
      </c>
      <c r="D174" s="18">
        <v>172</v>
      </c>
      <c r="E174" s="18" cm="1">
        <f t="array" aca="1" ref="E174" ca="1">INDIRECT("b"&amp;F174+2)</f>
        <v>6.8500000000000005E+38</v>
      </c>
      <c r="F174" s="18">
        <f t="shared" si="12"/>
        <v>628</v>
      </c>
      <c r="G174" s="18"/>
      <c r="H174" s="18"/>
      <c r="I174" s="19">
        <v>172</v>
      </c>
      <c r="J174" s="19" cm="1">
        <f t="array" aca="1" ref="J174" ca="1">INDIRECT("b"&amp;K174+2)</f>
        <v>6.8499999999999996E+67</v>
      </c>
      <c r="K174" s="19">
        <f t="shared" si="16"/>
        <v>1828</v>
      </c>
      <c r="N174" s="18">
        <v>735</v>
      </c>
      <c r="O174" s="18"/>
      <c r="P174" s="2" cm="1">
        <f t="array" aca="1" ref="P174" ca="1">INDIRECT("b" &amp; (N174+2))</f>
        <v>3.925E+41</v>
      </c>
      <c r="Q174" s="5">
        <f t="shared" ca="1" si="14"/>
        <v>32040.81632653061</v>
      </c>
      <c r="S174" s="18">
        <v>295</v>
      </c>
      <c r="T174" s="18"/>
      <c r="U174" s="2" cm="1">
        <f t="array" aca="1" ref="U174" ca="1">INDIRECT("d" &amp; (S174+2))</f>
        <v>295</v>
      </c>
      <c r="V174" s="5">
        <f t="shared" ca="1" si="13"/>
        <v>2.3983739837398375</v>
      </c>
      <c r="W174">
        <v>172</v>
      </c>
      <c r="X174" s="18">
        <v>735</v>
      </c>
      <c r="Y174" s="18"/>
      <c r="Z174" s="2" cm="1">
        <f t="array" aca="1" ref="Z174" ca="1">INDIRECT("b" &amp; (X174+2))</f>
        <v>3.925E+41</v>
      </c>
      <c r="AA174" s="5">
        <f t="shared" ca="1" si="15"/>
        <v>32040.81632653061</v>
      </c>
    </row>
    <row r="175" spans="1:27">
      <c r="A175">
        <v>173</v>
      </c>
      <c r="B175">
        <v>5.5E+17</v>
      </c>
      <c r="D175" s="18">
        <v>173</v>
      </c>
      <c r="E175" s="18" cm="1">
        <f t="array" aca="1" ref="E175" ca="1">INDIRECT("b"&amp;F175+2)</f>
        <v>7.0750000000000005E+38</v>
      </c>
      <c r="F175" s="18">
        <f t="shared" si="12"/>
        <v>629</v>
      </c>
      <c r="G175" s="18"/>
      <c r="H175" s="18"/>
      <c r="I175" s="19">
        <v>173</v>
      </c>
      <c r="J175" s="19" cm="1">
        <f t="array" aca="1" ref="J175" ca="1">INDIRECT("b"&amp;K175+2)</f>
        <v>7.0750000000000002E+67</v>
      </c>
      <c r="K175" s="19">
        <f t="shared" si="16"/>
        <v>1829</v>
      </c>
      <c r="N175" s="18">
        <v>736</v>
      </c>
      <c r="O175" s="18"/>
      <c r="P175" s="2" cm="1">
        <f t="array" aca="1" ref="P175" ca="1">INDIRECT("b" &amp; (N175+2))</f>
        <v>4.1500000000000001E+41</v>
      </c>
      <c r="Q175" s="5">
        <f t="shared" ca="1" si="14"/>
        <v>33877.551020408158</v>
      </c>
      <c r="S175" s="18">
        <v>296</v>
      </c>
      <c r="T175" s="18"/>
      <c r="U175" s="2" cm="1">
        <f t="array" aca="1" ref="U175" ca="1">INDIRECT("d" &amp; (S175+2))</f>
        <v>296</v>
      </c>
      <c r="V175" s="5">
        <f t="shared" ca="1" si="13"/>
        <v>2.4065040650406506</v>
      </c>
      <c r="W175">
        <v>173</v>
      </c>
      <c r="X175" s="18">
        <v>736</v>
      </c>
      <c r="Y175" s="18"/>
      <c r="Z175" s="2" cm="1">
        <f t="array" aca="1" ref="Z175" ca="1">INDIRECT("b" &amp; (X175+2))</f>
        <v>4.1500000000000001E+41</v>
      </c>
      <c r="AA175" s="5">
        <f t="shared" ca="1" si="15"/>
        <v>33877.551020408158</v>
      </c>
    </row>
    <row r="176" spans="1:27">
      <c r="A176">
        <v>174</v>
      </c>
      <c r="B176">
        <v>6E+17</v>
      </c>
      <c r="D176" s="18">
        <v>174</v>
      </c>
      <c r="E176" s="18" cm="1">
        <f t="array" aca="1" ref="E176" ca="1">INDIRECT("b"&amp;F176+2)</f>
        <v>7.3000000000000006E+38</v>
      </c>
      <c r="F176" s="18">
        <f t="shared" si="12"/>
        <v>630</v>
      </c>
      <c r="G176" s="18"/>
      <c r="H176" s="18"/>
      <c r="I176" s="19">
        <v>174</v>
      </c>
      <c r="J176" s="19" cm="1">
        <f t="array" aca="1" ref="J176" ca="1">INDIRECT("b"&amp;K176+2)</f>
        <v>7.2999999999999996E+67</v>
      </c>
      <c r="K176" s="19">
        <f t="shared" si="16"/>
        <v>1830</v>
      </c>
      <c r="N176" s="18">
        <v>737</v>
      </c>
      <c r="O176" s="18"/>
      <c r="P176" s="2" cm="1">
        <f t="array" aca="1" ref="P176" ca="1">INDIRECT("b" &amp; (N176+2))</f>
        <v>4.3749999999999995E+41</v>
      </c>
      <c r="Q176" s="5">
        <f t="shared" ca="1" si="14"/>
        <v>35714.28571428571</v>
      </c>
      <c r="S176" s="18">
        <v>297</v>
      </c>
      <c r="T176" s="18"/>
      <c r="U176" s="2" cm="1">
        <f t="array" aca="1" ref="U176" ca="1">INDIRECT("d" &amp; (S176+2))</f>
        <v>297</v>
      </c>
      <c r="V176" s="5">
        <f t="shared" ca="1" si="13"/>
        <v>2.4146341463414633</v>
      </c>
      <c r="W176">
        <v>174</v>
      </c>
      <c r="X176" s="18">
        <v>737</v>
      </c>
      <c r="Y176" s="18"/>
      <c r="Z176" s="2" cm="1">
        <f t="array" aca="1" ref="Z176" ca="1">INDIRECT("b" &amp; (X176+2))</f>
        <v>4.3749999999999995E+41</v>
      </c>
      <c r="AA176" s="5">
        <f t="shared" ca="1" si="15"/>
        <v>35714.28571428571</v>
      </c>
    </row>
    <row r="177" spans="1:27">
      <c r="A177">
        <v>175</v>
      </c>
      <c r="B177">
        <v>6.5E+17</v>
      </c>
      <c r="D177" s="18">
        <v>175</v>
      </c>
      <c r="E177" s="18" cm="1">
        <f t="array" aca="1" ref="E177" ca="1">INDIRECT("b"&amp;F177+2)</f>
        <v>7.7500000000000006E+38</v>
      </c>
      <c r="F177" s="18">
        <f t="shared" si="12"/>
        <v>632</v>
      </c>
      <c r="G177" s="18"/>
      <c r="H177" s="18"/>
      <c r="I177" s="19">
        <v>175</v>
      </c>
      <c r="J177" s="19" cm="1">
        <f t="array" aca="1" ref="J177" ca="1">INDIRECT("b"&amp;K177+2)</f>
        <v>7.7499999999999996E+67</v>
      </c>
      <c r="K177" s="19">
        <f t="shared" si="16"/>
        <v>1832</v>
      </c>
      <c r="N177" s="18">
        <v>738</v>
      </c>
      <c r="O177" s="18"/>
      <c r="P177" s="2" cm="1">
        <f t="array" aca="1" ref="P177" ca="1">INDIRECT("b" &amp; (N177+2))</f>
        <v>4.5999999999999997E+41</v>
      </c>
      <c r="Q177" s="5">
        <f t="shared" ca="1" si="14"/>
        <v>37551.020408163262</v>
      </c>
      <c r="S177" s="18">
        <v>298</v>
      </c>
      <c r="T177" s="18"/>
      <c r="U177" s="2" cm="1">
        <f t="array" aca="1" ref="U177" ca="1">INDIRECT("d" &amp; (S177+2))</f>
        <v>298</v>
      </c>
      <c r="V177" s="5">
        <f t="shared" ca="1" si="13"/>
        <v>2.4227642276422765</v>
      </c>
      <c r="W177">
        <v>175</v>
      </c>
      <c r="X177" s="18">
        <v>738</v>
      </c>
      <c r="Y177" s="18"/>
      <c r="Z177" s="2" cm="1">
        <f t="array" aca="1" ref="Z177" ca="1">INDIRECT("b" &amp; (X177+2))</f>
        <v>4.5999999999999997E+41</v>
      </c>
      <c r="AA177" s="5">
        <f t="shared" ca="1" si="15"/>
        <v>37551.020408163262</v>
      </c>
    </row>
    <row r="178" spans="1:27">
      <c r="A178">
        <v>176</v>
      </c>
      <c r="B178">
        <v>7E+17</v>
      </c>
      <c r="D178" s="18">
        <v>176</v>
      </c>
      <c r="E178" s="18" cm="1">
        <f t="array" aca="1" ref="E178" ca="1">INDIRECT("b"&amp;F178+2)</f>
        <v>7.9750000000000007E+38</v>
      </c>
      <c r="F178" s="18">
        <f t="shared" si="12"/>
        <v>633</v>
      </c>
      <c r="G178" s="18"/>
      <c r="H178" s="18"/>
      <c r="I178" s="19">
        <v>176</v>
      </c>
      <c r="J178" s="19" cm="1">
        <f t="array" aca="1" ref="J178" ca="1">INDIRECT("b"&amp;K178+2)</f>
        <v>7.9750000000000002E+67</v>
      </c>
      <c r="K178" s="19">
        <f t="shared" si="16"/>
        <v>1833</v>
      </c>
      <c r="N178" s="18">
        <v>739</v>
      </c>
      <c r="O178" s="18"/>
      <c r="P178" s="2" cm="1">
        <f t="array" aca="1" ref="P178" ca="1">INDIRECT("b" &amp; (N178+2))</f>
        <v>4.8250000000000006E+41</v>
      </c>
      <c r="Q178" s="5">
        <f t="shared" ca="1" si="14"/>
        <v>39387.755102040821</v>
      </c>
      <c r="S178" s="18">
        <v>299</v>
      </c>
      <c r="T178" s="18"/>
      <c r="U178" s="2" cm="1">
        <f t="array" aca="1" ref="U178" ca="1">INDIRECT("d" &amp; (S178+2))</f>
        <v>299</v>
      </c>
      <c r="V178" s="5">
        <f t="shared" ca="1" si="13"/>
        <v>2.4308943089430892</v>
      </c>
      <c r="W178">
        <v>176</v>
      </c>
      <c r="X178" s="18">
        <v>739</v>
      </c>
      <c r="Y178" s="18"/>
      <c r="Z178" s="2" cm="1">
        <f t="array" aca="1" ref="Z178" ca="1">INDIRECT("b" &amp; (X178+2))</f>
        <v>4.8250000000000006E+41</v>
      </c>
      <c r="AA178" s="5">
        <f t="shared" ca="1" si="15"/>
        <v>39387.755102040821</v>
      </c>
    </row>
    <row r="179" spans="1:27">
      <c r="A179">
        <v>177</v>
      </c>
      <c r="B179">
        <v>7.5E+17</v>
      </c>
      <c r="D179" s="18">
        <v>177</v>
      </c>
      <c r="E179" s="18" cm="1">
        <f t="array" aca="1" ref="E179" ca="1">INDIRECT("b"&amp;F179+2)</f>
        <v>8.1999999999999992E+38</v>
      </c>
      <c r="F179" s="18">
        <f t="shared" si="12"/>
        <v>634</v>
      </c>
      <c r="G179" s="18"/>
      <c r="H179" s="18"/>
      <c r="I179" s="19">
        <v>177</v>
      </c>
      <c r="J179" s="19" cm="1">
        <f t="array" aca="1" ref="J179" ca="1">INDIRECT("b"&amp;K179+2)</f>
        <v>8.1999999999999996E+67</v>
      </c>
      <c r="K179" s="19">
        <f t="shared" si="16"/>
        <v>1834</v>
      </c>
      <c r="N179" s="18">
        <v>740</v>
      </c>
      <c r="O179" s="18"/>
      <c r="P179" s="2" cm="1">
        <f t="array" aca="1" ref="P179" ca="1">INDIRECT("b" &amp; (N179+2))</f>
        <v>5.05E+41</v>
      </c>
      <c r="Q179" s="5">
        <f t="shared" ca="1" si="14"/>
        <v>41224.489795918365</v>
      </c>
      <c r="S179" s="18">
        <v>300</v>
      </c>
      <c r="T179" s="18"/>
      <c r="U179" s="2" cm="1">
        <f t="array" aca="1" ref="U179" ca="1">INDIRECT("d" &amp; (S179+2))</f>
        <v>300</v>
      </c>
      <c r="V179" s="5">
        <f t="shared" ca="1" si="13"/>
        <v>2.4390243902439024</v>
      </c>
      <c r="W179">
        <v>177</v>
      </c>
      <c r="X179" s="18">
        <v>740</v>
      </c>
      <c r="Y179" s="18"/>
      <c r="Z179" s="2" cm="1">
        <f t="array" aca="1" ref="Z179" ca="1">INDIRECT("b" &amp; (X179+2))</f>
        <v>5.05E+41</v>
      </c>
      <c r="AA179" s="5">
        <f t="shared" ca="1" si="15"/>
        <v>41224.489795918365</v>
      </c>
    </row>
    <row r="180" spans="1:27">
      <c r="A180">
        <v>178</v>
      </c>
      <c r="B180">
        <v>8E+17</v>
      </c>
      <c r="D180" s="18">
        <v>178</v>
      </c>
      <c r="E180" s="18" cm="1">
        <f t="array" aca="1" ref="E180" ca="1">INDIRECT("b"&amp;F180+2)</f>
        <v>8.6499999999999992E+38</v>
      </c>
      <c r="F180" s="18">
        <f t="shared" si="12"/>
        <v>636</v>
      </c>
      <c r="G180" s="18"/>
      <c r="H180" s="18"/>
      <c r="I180" s="19">
        <v>178</v>
      </c>
      <c r="J180" s="19" cm="1">
        <f t="array" aca="1" ref="J180" ca="1">INDIRECT("b"&amp;K180+2)</f>
        <v>8.6499999999999996E+67</v>
      </c>
      <c r="K180" s="19">
        <f t="shared" si="16"/>
        <v>1836</v>
      </c>
      <c r="N180" s="18">
        <v>741</v>
      </c>
      <c r="O180" s="18"/>
      <c r="P180" s="2" cm="1">
        <f t="array" aca="1" ref="P180" ca="1">INDIRECT("b" &amp; (N180+2))</f>
        <v>5.2750000000000002E+41</v>
      </c>
      <c r="Q180" s="5">
        <f t="shared" ca="1" si="14"/>
        <v>43061.224489795917</v>
      </c>
      <c r="S180" s="18">
        <v>301</v>
      </c>
      <c r="T180" s="18"/>
      <c r="U180" s="2" cm="1">
        <f t="array" aca="1" ref="U180" ca="1">INDIRECT("d" &amp; (S180+2))</f>
        <v>301</v>
      </c>
      <c r="V180" s="5">
        <f t="shared" ca="1" si="13"/>
        <v>2.4471544715447155</v>
      </c>
      <c r="W180">
        <v>178</v>
      </c>
      <c r="X180" s="18">
        <v>741</v>
      </c>
      <c r="Y180" s="18"/>
      <c r="Z180" s="2" cm="1">
        <f t="array" aca="1" ref="Z180" ca="1">INDIRECT("b" &amp; (X180+2))</f>
        <v>5.2750000000000002E+41</v>
      </c>
      <c r="AA180" s="5">
        <f t="shared" ca="1" si="15"/>
        <v>43061.224489795917</v>
      </c>
    </row>
    <row r="181" spans="1:27">
      <c r="A181">
        <v>179</v>
      </c>
      <c r="B181">
        <v>8.5E+17</v>
      </c>
      <c r="D181" s="18">
        <v>179</v>
      </c>
      <c r="E181" s="18" cm="1">
        <f t="array" aca="1" ref="E181" ca="1">INDIRECT("b"&amp;F181+2)</f>
        <v>8.8749999999999993E+38</v>
      </c>
      <c r="F181" s="18">
        <f t="shared" si="12"/>
        <v>637</v>
      </c>
      <c r="G181" s="18"/>
      <c r="H181" s="18"/>
      <c r="I181" s="19">
        <v>179</v>
      </c>
      <c r="J181" s="19" cm="1">
        <f t="array" aca="1" ref="J181" ca="1">INDIRECT("b"&amp;K181+2)</f>
        <v>8.8750000000000002E+67</v>
      </c>
      <c r="K181" s="19">
        <f t="shared" si="16"/>
        <v>1837</v>
      </c>
      <c r="N181" s="18">
        <v>742</v>
      </c>
      <c r="O181" s="18"/>
      <c r="P181" s="2" cm="1">
        <f t="array" aca="1" ref="P181" ca="1">INDIRECT("b" &amp; (N181+2))</f>
        <v>5.4999999999999996E+41</v>
      </c>
      <c r="Q181" s="5">
        <f t="shared" ca="1" si="14"/>
        <v>44897.959183673462</v>
      </c>
      <c r="S181" s="18">
        <v>302</v>
      </c>
      <c r="T181" s="18"/>
      <c r="U181" s="2" cm="1">
        <f t="array" aca="1" ref="U181" ca="1">INDIRECT("d" &amp; (S181+2))</f>
        <v>302</v>
      </c>
      <c r="V181" s="5">
        <f t="shared" ca="1" si="13"/>
        <v>2.4552845528455283</v>
      </c>
      <c r="W181">
        <v>179</v>
      </c>
      <c r="X181" s="18">
        <v>742</v>
      </c>
      <c r="Y181" s="18"/>
      <c r="Z181" s="2" cm="1">
        <f t="array" aca="1" ref="Z181" ca="1">INDIRECT("b" &amp; (X181+2))</f>
        <v>5.4999999999999996E+41</v>
      </c>
      <c r="AA181" s="5">
        <f t="shared" ca="1" si="15"/>
        <v>44897.959183673462</v>
      </c>
    </row>
    <row r="182" spans="1:27">
      <c r="A182">
        <v>180</v>
      </c>
      <c r="B182">
        <v>9E+17</v>
      </c>
      <c r="D182" s="18">
        <v>180</v>
      </c>
      <c r="E182" s="18" cm="1">
        <f t="array" aca="1" ref="E182" ca="1">INDIRECT("b"&amp;F182+2)</f>
        <v>9.0999999999999993E+38</v>
      </c>
      <c r="F182" s="18">
        <f t="shared" si="12"/>
        <v>638</v>
      </c>
      <c r="G182" s="18"/>
      <c r="H182" s="18"/>
      <c r="I182" s="19">
        <v>180</v>
      </c>
      <c r="J182" s="19" cm="1">
        <f t="array" aca="1" ref="J182" ca="1">INDIRECT("b"&amp;K182+2)</f>
        <v>9.0999999999999996E+67</v>
      </c>
      <c r="K182" s="19">
        <f t="shared" si="16"/>
        <v>1838</v>
      </c>
      <c r="N182" s="18">
        <v>743</v>
      </c>
      <c r="O182" s="18"/>
      <c r="P182" s="2" cm="1">
        <f t="array" aca="1" ref="P182" ca="1">INDIRECT("b" &amp; (N182+2))</f>
        <v>5.7250000000000005E+41</v>
      </c>
      <c r="Q182" s="5">
        <f t="shared" ca="1" si="14"/>
        <v>46734.693877551021</v>
      </c>
      <c r="S182" s="18">
        <v>303</v>
      </c>
      <c r="T182" s="18"/>
      <c r="U182" s="2" cm="1">
        <f t="array" aca="1" ref="U182" ca="1">INDIRECT("d" &amp; (S182+2))</f>
        <v>303</v>
      </c>
      <c r="V182" s="5">
        <f t="shared" ca="1" si="13"/>
        <v>2.4634146341463414</v>
      </c>
      <c r="W182">
        <v>180</v>
      </c>
      <c r="X182" s="18">
        <v>743</v>
      </c>
      <c r="Y182" s="18"/>
      <c r="Z182" s="2" cm="1">
        <f t="array" aca="1" ref="Z182" ca="1">INDIRECT("b" &amp; (X182+2))</f>
        <v>5.7250000000000005E+41</v>
      </c>
      <c r="AA182" s="5">
        <f t="shared" ca="1" si="15"/>
        <v>46734.693877551021</v>
      </c>
    </row>
    <row r="183" spans="1:27">
      <c r="A183">
        <v>181</v>
      </c>
      <c r="B183">
        <v>9.5E+17</v>
      </c>
      <c r="D183" s="18">
        <v>181</v>
      </c>
      <c r="E183" s="18" cm="1">
        <f t="array" aca="1" ref="E183" ca="1">INDIRECT("b"&amp;F183+2)</f>
        <v>9.5499999999999993E+38</v>
      </c>
      <c r="F183" s="18">
        <f t="shared" si="12"/>
        <v>640</v>
      </c>
      <c r="G183" s="18"/>
      <c r="H183" s="18"/>
      <c r="I183" s="19">
        <v>181</v>
      </c>
      <c r="J183" s="19" cm="1">
        <f t="array" aca="1" ref="J183" ca="1">INDIRECT("b"&amp;K183+2)</f>
        <v>9.5499999999999995E+67</v>
      </c>
      <c r="K183" s="19">
        <f t="shared" si="16"/>
        <v>1840</v>
      </c>
      <c r="N183" s="18">
        <v>744</v>
      </c>
      <c r="O183" s="18"/>
      <c r="P183" s="2" cm="1">
        <f t="array" aca="1" ref="P183" ca="1">INDIRECT("b" &amp; (N183+2))</f>
        <v>5.9500000000000006E+41</v>
      </c>
      <c r="Q183" s="5">
        <f t="shared" ca="1" si="14"/>
        <v>48571.428571428572</v>
      </c>
      <c r="S183" s="18">
        <v>304</v>
      </c>
      <c r="T183" s="18"/>
      <c r="U183" s="2" cm="1">
        <f t="array" aca="1" ref="U183" ca="1">INDIRECT("d" &amp; (S183+2))</f>
        <v>304</v>
      </c>
      <c r="V183" s="5">
        <f t="shared" ca="1" si="13"/>
        <v>2.4715447154471546</v>
      </c>
      <c r="W183">
        <v>181</v>
      </c>
      <c r="X183" s="18">
        <v>744</v>
      </c>
      <c r="Y183" s="18"/>
      <c r="Z183" s="2" cm="1">
        <f t="array" aca="1" ref="Z183" ca="1">INDIRECT("b" &amp; (X183+2))</f>
        <v>5.9500000000000006E+41</v>
      </c>
      <c r="AA183" s="5">
        <f t="shared" ca="1" si="15"/>
        <v>48571.428571428572</v>
      </c>
    </row>
    <row r="184" spans="1:27">
      <c r="A184">
        <v>182</v>
      </c>
      <c r="B184">
        <v>1E+18</v>
      </c>
      <c r="D184" s="18">
        <v>182</v>
      </c>
      <c r="E184" s="18" cm="1">
        <f t="array" aca="1" ref="E184" ca="1">INDIRECT("b"&amp;F184+2)</f>
        <v>9.7749999999999994E+38</v>
      </c>
      <c r="F184" s="18">
        <f t="shared" si="12"/>
        <v>641</v>
      </c>
      <c r="G184" s="18"/>
      <c r="H184" s="18"/>
      <c r="I184" s="19">
        <v>182</v>
      </c>
      <c r="J184" s="19" cm="1">
        <f t="array" aca="1" ref="J184" ca="1">INDIRECT("b"&amp;K184+2)</f>
        <v>9.7750000000000001E+67</v>
      </c>
      <c r="K184" s="19">
        <f t="shared" si="16"/>
        <v>1841</v>
      </c>
      <c r="N184" s="18">
        <v>745</v>
      </c>
      <c r="O184" s="18"/>
      <c r="P184" s="2" cm="1">
        <f t="array" aca="1" ref="P184" ca="1">INDIRECT("b" &amp; (N184+2))</f>
        <v>6.1749999999999993E+41</v>
      </c>
      <c r="Q184" s="5">
        <f t="shared" ca="1" si="14"/>
        <v>50408.16326530611</v>
      </c>
      <c r="S184" s="18">
        <v>305</v>
      </c>
      <c r="T184" s="18"/>
      <c r="U184" s="2" cm="1">
        <f t="array" aca="1" ref="U184" ca="1">INDIRECT("d" &amp; (S184+2))</f>
        <v>305</v>
      </c>
      <c r="V184" s="5">
        <f t="shared" ca="1" si="13"/>
        <v>2.4796747967479673</v>
      </c>
      <c r="W184">
        <v>182</v>
      </c>
      <c r="X184" s="18">
        <v>745</v>
      </c>
      <c r="Y184" s="18"/>
      <c r="Z184" s="2" cm="1">
        <f t="array" aca="1" ref="Z184" ca="1">INDIRECT("b" &amp; (X184+2))</f>
        <v>6.1749999999999993E+41</v>
      </c>
      <c r="AA184" s="5">
        <f t="shared" ca="1" si="15"/>
        <v>50408.16326530611</v>
      </c>
    </row>
    <row r="185" spans="1:27">
      <c r="A185">
        <v>183</v>
      </c>
      <c r="B185">
        <v>1.05E+18</v>
      </c>
      <c r="D185" s="18">
        <v>183</v>
      </c>
      <c r="E185" s="18" cm="1">
        <f t="array" aca="1" ref="E185" ca="1">INDIRECT("b"&amp;F185+2)</f>
        <v>1.0000000000000001E+39</v>
      </c>
      <c r="F185" s="18">
        <f t="shared" si="12"/>
        <v>642</v>
      </c>
      <c r="G185" s="18"/>
      <c r="H185" s="18"/>
      <c r="I185" s="19">
        <v>183</v>
      </c>
      <c r="J185" s="19" cm="1">
        <f t="array" aca="1" ref="J185" ca="1">INDIRECT("b"&amp;K185+2)</f>
        <v>9.9999999999999995E+67</v>
      </c>
      <c r="K185" s="19">
        <f t="shared" si="16"/>
        <v>1842</v>
      </c>
      <c r="N185" s="18">
        <v>746</v>
      </c>
      <c r="O185" s="18"/>
      <c r="P185" s="2" cm="1">
        <f t="array" aca="1" ref="P185" ca="1">INDIRECT("b" &amp; (N185+2))</f>
        <v>6.3999999999999994E+41</v>
      </c>
      <c r="Q185" s="5">
        <f t="shared" ca="1" si="14"/>
        <v>52244.897959183661</v>
      </c>
      <c r="S185" s="18">
        <v>306</v>
      </c>
      <c r="T185" s="18"/>
      <c r="U185" s="2" cm="1">
        <f t="array" aca="1" ref="U185" ca="1">INDIRECT("d" &amp; (S185+2))</f>
        <v>306</v>
      </c>
      <c r="V185" s="5">
        <f t="shared" ca="1" si="13"/>
        <v>2.4878048780487805</v>
      </c>
      <c r="W185">
        <v>183</v>
      </c>
      <c r="X185" s="18">
        <v>746</v>
      </c>
      <c r="Y185" s="18"/>
      <c r="Z185" s="2" cm="1">
        <f t="array" aca="1" ref="Z185" ca="1">INDIRECT("b" &amp; (X185+2))</f>
        <v>6.3999999999999994E+41</v>
      </c>
      <c r="AA185" s="5">
        <f t="shared" ca="1" si="15"/>
        <v>52244.897959183661</v>
      </c>
    </row>
    <row r="186" spans="1:27">
      <c r="A186">
        <v>184</v>
      </c>
      <c r="B186">
        <v>1.1E+18</v>
      </c>
      <c r="D186" s="18">
        <v>184</v>
      </c>
      <c r="E186" s="18" cm="1">
        <f t="array" aca="1" ref="E186" ca="1">INDIRECT("b"&amp;F186+2)</f>
        <v>1.4499999999999998E+39</v>
      </c>
      <c r="F186" s="18">
        <f t="shared" si="12"/>
        <v>644</v>
      </c>
      <c r="G186" s="18"/>
      <c r="H186" s="18"/>
      <c r="I186" s="19">
        <v>184</v>
      </c>
      <c r="J186" s="19" cm="1">
        <f t="array" aca="1" ref="J186" ca="1">INDIRECT("b"&amp;K186+2)</f>
        <v>1.4499999999999998E+68</v>
      </c>
      <c r="K186" s="19">
        <f t="shared" si="16"/>
        <v>1844</v>
      </c>
      <c r="N186" s="18">
        <v>747</v>
      </c>
      <c r="O186" s="18"/>
      <c r="P186" s="2" cm="1">
        <f t="array" aca="1" ref="P186" ca="1">INDIRECT("b" &amp; (N186+2))</f>
        <v>6.6250000000000004E+41</v>
      </c>
      <c r="Q186" s="5">
        <f t="shared" ca="1" si="14"/>
        <v>54081.63265306122</v>
      </c>
      <c r="S186" s="18">
        <v>307</v>
      </c>
      <c r="T186" s="18"/>
      <c r="U186" s="2" cm="1">
        <f t="array" aca="1" ref="U186" ca="1">INDIRECT("d" &amp; (S186+2))</f>
        <v>307</v>
      </c>
      <c r="V186" s="5">
        <f t="shared" ca="1" si="13"/>
        <v>2.4959349593495936</v>
      </c>
      <c r="W186">
        <v>184</v>
      </c>
      <c r="X186" s="18">
        <v>747</v>
      </c>
      <c r="Y186" s="18"/>
      <c r="Z186" s="2" cm="1">
        <f t="array" aca="1" ref="Z186" ca="1">INDIRECT("b" &amp; (X186+2))</f>
        <v>6.6250000000000004E+41</v>
      </c>
      <c r="AA186" s="5">
        <f t="shared" ca="1" si="15"/>
        <v>54081.63265306122</v>
      </c>
    </row>
    <row r="187" spans="1:27">
      <c r="A187">
        <v>185</v>
      </c>
      <c r="B187">
        <v>1.5E+18</v>
      </c>
      <c r="D187" s="18">
        <v>185</v>
      </c>
      <c r="E187" s="18" cm="1">
        <f t="array" aca="1" ref="E187" ca="1">INDIRECT("b"&amp;F187+2)</f>
        <v>1.6749999999999999E+39</v>
      </c>
      <c r="F187" s="18">
        <f t="shared" si="12"/>
        <v>645</v>
      </c>
      <c r="G187" s="18"/>
      <c r="H187" s="18"/>
      <c r="I187" s="19">
        <v>185</v>
      </c>
      <c r="J187" s="19" cm="1">
        <f t="array" aca="1" ref="J187" ca="1">INDIRECT("b"&amp;K187+2)</f>
        <v>1.6749999999999999E+68</v>
      </c>
      <c r="K187" s="19">
        <f t="shared" si="16"/>
        <v>1845</v>
      </c>
      <c r="N187" s="18">
        <v>748</v>
      </c>
      <c r="O187" s="18"/>
      <c r="P187" s="2" cm="1">
        <f t="array" aca="1" ref="P187" ca="1">INDIRECT("b" &amp; (N187+2))</f>
        <v>6.8500000000000005E+41</v>
      </c>
      <c r="Q187" s="5">
        <f t="shared" ca="1" si="14"/>
        <v>55918.367346938772</v>
      </c>
      <c r="S187" s="18">
        <v>308</v>
      </c>
      <c r="T187" s="18"/>
      <c r="U187" s="2" cm="1">
        <f t="array" aca="1" ref="U187" ca="1">INDIRECT("d" &amp; (S187+2))</f>
        <v>308</v>
      </c>
      <c r="V187" s="5">
        <f t="shared" ca="1" si="13"/>
        <v>2.5040650406504064</v>
      </c>
      <c r="W187">
        <v>185</v>
      </c>
      <c r="X187" s="18">
        <v>748</v>
      </c>
      <c r="Y187" s="18"/>
      <c r="Z187" s="2" cm="1">
        <f t="array" aca="1" ref="Z187" ca="1">INDIRECT("b" &amp; (X187+2))</f>
        <v>6.8500000000000005E+41</v>
      </c>
      <c r="AA187" s="5">
        <f t="shared" ca="1" si="15"/>
        <v>55918.367346938772</v>
      </c>
    </row>
    <row r="188" spans="1:27">
      <c r="A188">
        <v>186</v>
      </c>
      <c r="B188">
        <v>2E+18</v>
      </c>
      <c r="D188" s="18">
        <v>186</v>
      </c>
      <c r="E188" s="18" cm="1">
        <f t="array" aca="1" ref="E188" ca="1">INDIRECT("b"&amp;F188+2)</f>
        <v>1.9000000000000002E+39</v>
      </c>
      <c r="F188" s="18">
        <f t="shared" si="12"/>
        <v>646</v>
      </c>
      <c r="G188" s="18"/>
      <c r="H188" s="18"/>
      <c r="I188" s="19">
        <v>186</v>
      </c>
      <c r="J188" s="19" cm="1">
        <f t="array" aca="1" ref="J188" ca="1">INDIRECT("b"&amp;K188+2)</f>
        <v>1.8999999999999998E+68</v>
      </c>
      <c r="K188" s="19">
        <f t="shared" si="16"/>
        <v>1846</v>
      </c>
      <c r="N188" s="18">
        <v>749</v>
      </c>
      <c r="O188" s="18"/>
      <c r="P188" s="2" cm="1">
        <f t="array" aca="1" ref="P188" ca="1">INDIRECT("b" &amp; (N188+2))</f>
        <v>7.0749999999999999E+41</v>
      </c>
      <c r="Q188" s="5">
        <f t="shared" ca="1" si="14"/>
        <v>57755.102040816324</v>
      </c>
      <c r="S188" s="18">
        <v>309</v>
      </c>
      <c r="T188" s="18"/>
      <c r="U188" s="2" cm="1">
        <f t="array" aca="1" ref="U188" ca="1">INDIRECT("d" &amp; (S188+2))</f>
        <v>309</v>
      </c>
      <c r="V188" s="5">
        <f t="shared" ca="1" si="13"/>
        <v>2.5121951219512195</v>
      </c>
      <c r="W188">
        <v>186</v>
      </c>
      <c r="X188" s="18">
        <v>749</v>
      </c>
      <c r="Y188" s="18"/>
      <c r="Z188" s="2" cm="1">
        <f t="array" aca="1" ref="Z188" ca="1">INDIRECT("b" &amp; (X188+2))</f>
        <v>7.0749999999999999E+41</v>
      </c>
      <c r="AA188" s="5">
        <f t="shared" ca="1" si="15"/>
        <v>57755.102040816324</v>
      </c>
    </row>
    <row r="189" spans="1:27">
      <c r="A189">
        <v>187</v>
      </c>
      <c r="B189">
        <v>2.5E+18</v>
      </c>
      <c r="D189" s="18">
        <v>187</v>
      </c>
      <c r="E189" s="18" cm="1">
        <f t="array" aca="1" ref="E189" ca="1">INDIRECT("b"&amp;F189+2)</f>
        <v>2.3500000000000003E+39</v>
      </c>
      <c r="F189" s="18">
        <f t="shared" ref="F189:F252" si="17">INT((A189-123)*1.333333)+563</f>
        <v>648</v>
      </c>
      <c r="G189" s="18"/>
      <c r="H189" s="18"/>
      <c r="I189" s="19">
        <v>187</v>
      </c>
      <c r="J189" s="19" cm="1">
        <f t="array" aca="1" ref="J189" ca="1">INDIRECT("b"&amp;K189+2)</f>
        <v>2.3499999999999998E+68</v>
      </c>
      <c r="K189" s="19">
        <f t="shared" si="16"/>
        <v>1848</v>
      </c>
      <c r="N189" s="18">
        <v>750</v>
      </c>
      <c r="O189" s="18"/>
      <c r="P189" s="2" cm="1">
        <f t="array" aca="1" ref="P189" ca="1">INDIRECT("b" &amp; (N189+2))</f>
        <v>7.3000000000000001E+41</v>
      </c>
      <c r="Q189" s="5">
        <f t="shared" ca="1" si="14"/>
        <v>59591.836734693876</v>
      </c>
      <c r="S189" s="18">
        <v>310</v>
      </c>
      <c r="T189" s="18"/>
      <c r="U189" s="2" cm="1">
        <f t="array" aca="1" ref="U189" ca="1">INDIRECT("d" &amp; (S189+2))</f>
        <v>310</v>
      </c>
      <c r="V189" s="5">
        <f t="shared" ca="1" si="13"/>
        <v>2.5203252032520327</v>
      </c>
      <c r="W189">
        <v>187</v>
      </c>
      <c r="X189" s="18">
        <v>750</v>
      </c>
      <c r="Y189" s="18"/>
      <c r="Z189" s="2" cm="1">
        <f t="array" aca="1" ref="Z189" ca="1">INDIRECT("b" &amp; (X189+2))</f>
        <v>7.3000000000000001E+41</v>
      </c>
      <c r="AA189" s="5">
        <f t="shared" ca="1" si="15"/>
        <v>59591.836734693876</v>
      </c>
    </row>
    <row r="190" spans="1:27">
      <c r="A190">
        <v>188</v>
      </c>
      <c r="B190">
        <v>3E+18</v>
      </c>
      <c r="D190" s="18">
        <v>188</v>
      </c>
      <c r="E190" s="18" cm="1">
        <f t="array" aca="1" ref="E190" ca="1">INDIRECT("b"&amp;F190+2)</f>
        <v>2.575E+39</v>
      </c>
      <c r="F190" s="18">
        <f t="shared" si="17"/>
        <v>649</v>
      </c>
      <c r="G190" s="18"/>
      <c r="H190" s="18"/>
      <c r="I190" s="19">
        <v>188</v>
      </c>
      <c r="J190" s="19" cm="1">
        <f t="array" aca="1" ref="J190" ca="1">INDIRECT("b"&amp;K190+2)</f>
        <v>2.5749999999999999E+68</v>
      </c>
      <c r="K190" s="19">
        <f t="shared" si="16"/>
        <v>1849</v>
      </c>
      <c r="N190" s="18">
        <v>751</v>
      </c>
      <c r="O190" s="18"/>
      <c r="P190" s="2" cm="1">
        <f t="array" aca="1" ref="P190" ca="1">INDIRECT("b" &amp; (N190+2))</f>
        <v>7.5249999999999987E+41</v>
      </c>
      <c r="Q190" s="5">
        <f t="shared" ca="1" si="14"/>
        <v>61428.571428571413</v>
      </c>
      <c r="S190" s="18">
        <v>311</v>
      </c>
      <c r="T190" s="18"/>
      <c r="U190" s="2" cm="1">
        <f t="array" aca="1" ref="U190" ca="1">INDIRECT("d" &amp; (S190+2))</f>
        <v>311</v>
      </c>
      <c r="V190" s="5">
        <f t="shared" ca="1" si="13"/>
        <v>2.5284552845528454</v>
      </c>
      <c r="W190">
        <v>188</v>
      </c>
      <c r="X190" s="18">
        <v>751</v>
      </c>
      <c r="Y190" s="18"/>
      <c r="Z190" s="2" cm="1">
        <f t="array" aca="1" ref="Z190" ca="1">INDIRECT("b" &amp; (X190+2))</f>
        <v>7.5249999999999987E+41</v>
      </c>
      <c r="AA190" s="5">
        <f t="shared" ca="1" si="15"/>
        <v>61428.571428571413</v>
      </c>
    </row>
    <row r="191" spans="1:27">
      <c r="A191">
        <v>189</v>
      </c>
      <c r="B191">
        <v>3.5E+18</v>
      </c>
      <c r="D191" s="18">
        <v>189</v>
      </c>
      <c r="E191" s="18" cm="1">
        <f t="array" aca="1" ref="E191" ca="1">INDIRECT("b"&amp;F191+2)</f>
        <v>2.8E+39</v>
      </c>
      <c r="F191" s="18">
        <f t="shared" si="17"/>
        <v>650</v>
      </c>
      <c r="G191" s="18"/>
      <c r="H191" s="18"/>
      <c r="I191" s="19">
        <v>189</v>
      </c>
      <c r="J191" s="19" cm="1">
        <f t="array" aca="1" ref="J191" ca="1">INDIRECT("b"&amp;K191+2)</f>
        <v>2.8E+68</v>
      </c>
      <c r="K191" s="19">
        <f t="shared" si="16"/>
        <v>1850</v>
      </c>
      <c r="N191" s="18">
        <v>752</v>
      </c>
      <c r="O191" s="18"/>
      <c r="P191" s="2" cm="1">
        <f t="array" aca="1" ref="P191" ca="1">INDIRECT("b" &amp; (N191+2))</f>
        <v>7.7500000000000004E+41</v>
      </c>
      <c r="Q191" s="5">
        <f t="shared" ca="1" si="14"/>
        <v>63265.306122448979</v>
      </c>
      <c r="S191" s="18">
        <v>312</v>
      </c>
      <c r="T191" s="18"/>
      <c r="U191" s="2" cm="1">
        <f t="array" aca="1" ref="U191" ca="1">INDIRECT("d" &amp; (S191+2))</f>
        <v>312</v>
      </c>
      <c r="V191" s="5">
        <f t="shared" ca="1" si="13"/>
        <v>2.5365853658536586</v>
      </c>
      <c r="W191">
        <v>189</v>
      </c>
      <c r="X191" s="18">
        <v>752</v>
      </c>
      <c r="Y191" s="18"/>
      <c r="Z191" s="2" cm="1">
        <f t="array" aca="1" ref="Z191" ca="1">INDIRECT("b" &amp; (X191+2))</f>
        <v>7.7500000000000004E+41</v>
      </c>
      <c r="AA191" s="5">
        <f t="shared" ca="1" si="15"/>
        <v>63265.306122448979</v>
      </c>
    </row>
    <row r="192" spans="1:27">
      <c r="A192">
        <v>190</v>
      </c>
      <c r="B192">
        <v>4E+18</v>
      </c>
      <c r="D192" s="18">
        <v>190</v>
      </c>
      <c r="E192" s="18" cm="1">
        <f t="array" aca="1" ref="E192" ca="1">INDIRECT("b"&amp;F192+2)</f>
        <v>3.2499999999999995E+39</v>
      </c>
      <c r="F192" s="18">
        <f t="shared" si="17"/>
        <v>652</v>
      </c>
      <c r="G192" s="18"/>
      <c r="H192" s="18"/>
      <c r="I192" s="19">
        <v>190</v>
      </c>
      <c r="J192" s="19" cm="1">
        <f t="array" aca="1" ref="J192" ca="1">INDIRECT("b"&amp;K192+2)</f>
        <v>3.2499999999999998E+68</v>
      </c>
      <c r="K192" s="19">
        <f t="shared" si="16"/>
        <v>1852</v>
      </c>
      <c r="N192" s="18">
        <v>753</v>
      </c>
      <c r="O192" s="18"/>
      <c r="P192" s="2" cm="1">
        <f t="array" aca="1" ref="P192" ca="1">INDIRECT("b" &amp; (N192+2))</f>
        <v>7.9750000000000005E+41</v>
      </c>
      <c r="Q192" s="5">
        <f t="shared" ca="1" si="14"/>
        <v>65102.040816326531</v>
      </c>
      <c r="S192" s="18">
        <v>313</v>
      </c>
      <c r="T192" s="18"/>
      <c r="U192" s="2" cm="1">
        <f t="array" aca="1" ref="U192" ca="1">INDIRECT("d" &amp; (S192+2))</f>
        <v>313</v>
      </c>
      <c r="V192" s="5">
        <f t="shared" ca="1" si="13"/>
        <v>2.5447154471544717</v>
      </c>
      <c r="W192">
        <v>190</v>
      </c>
      <c r="X192" s="18">
        <v>753</v>
      </c>
      <c r="Y192" s="18"/>
      <c r="Z192" s="2" cm="1">
        <f t="array" aca="1" ref="Z192" ca="1">INDIRECT("b" &amp; (X192+2))</f>
        <v>7.9750000000000005E+41</v>
      </c>
      <c r="AA192" s="5">
        <f t="shared" ca="1" si="15"/>
        <v>65102.040816326531</v>
      </c>
    </row>
    <row r="193" spans="1:27">
      <c r="A193">
        <v>191</v>
      </c>
      <c r="B193">
        <v>4.5E+18</v>
      </c>
      <c r="D193" s="18">
        <v>191</v>
      </c>
      <c r="E193" s="18" cm="1">
        <f t="array" aca="1" ref="E193" ca="1">INDIRECT("b"&amp;F193+2)</f>
        <v>3.4750000000000004E+39</v>
      </c>
      <c r="F193" s="18">
        <f t="shared" si="17"/>
        <v>653</v>
      </c>
      <c r="G193" s="18"/>
      <c r="H193" s="18"/>
      <c r="I193" s="19">
        <v>191</v>
      </c>
      <c r="J193" s="19" cm="1">
        <f t="array" aca="1" ref="J193" ca="1">INDIRECT("b"&amp;K193+2)</f>
        <v>3.4749999999999999E+68</v>
      </c>
      <c r="K193" s="19">
        <f t="shared" si="16"/>
        <v>1853</v>
      </c>
      <c r="N193" s="18">
        <v>754</v>
      </c>
      <c r="O193" s="18"/>
      <c r="P193" s="2" cm="1">
        <f t="array" aca="1" ref="P193" ca="1">INDIRECT("b" &amp; (N193+2))</f>
        <v>8.1999999999999992E+41</v>
      </c>
      <c r="Q193" s="5">
        <f t="shared" ca="1" si="14"/>
        <v>66938.775510204068</v>
      </c>
      <c r="S193" s="18">
        <v>314</v>
      </c>
      <c r="T193" s="18"/>
      <c r="U193" s="2" cm="1">
        <f t="array" aca="1" ref="U193" ca="1">INDIRECT("d" &amp; (S193+2))</f>
        <v>314</v>
      </c>
      <c r="V193" s="5">
        <f t="shared" ca="1" si="13"/>
        <v>2.5528455284552845</v>
      </c>
      <c r="W193">
        <v>191</v>
      </c>
      <c r="X193" s="18">
        <v>754</v>
      </c>
      <c r="Y193" s="18"/>
      <c r="Z193" s="2" cm="1">
        <f t="array" aca="1" ref="Z193" ca="1">INDIRECT("b" &amp; (X193+2))</f>
        <v>8.1999999999999992E+41</v>
      </c>
      <c r="AA193" s="5">
        <f t="shared" ca="1" si="15"/>
        <v>66938.775510204068</v>
      </c>
    </row>
    <row r="194" spans="1:27">
      <c r="A194">
        <v>192</v>
      </c>
      <c r="B194">
        <v>5E+18</v>
      </c>
      <c r="D194" s="18">
        <v>192</v>
      </c>
      <c r="E194" s="18" cm="1">
        <f t="array" aca="1" ref="E194" ca="1">INDIRECT("b"&amp;F194+2)</f>
        <v>3.7000000000000001E+39</v>
      </c>
      <c r="F194" s="18">
        <f t="shared" si="17"/>
        <v>654</v>
      </c>
      <c r="G194" s="18"/>
      <c r="H194" s="18"/>
      <c r="I194" s="19">
        <v>192</v>
      </c>
      <c r="J194" s="19" cm="1">
        <f t="array" aca="1" ref="J194" ca="1">INDIRECT("b"&amp;K194+2)</f>
        <v>3.7E+68</v>
      </c>
      <c r="K194" s="19">
        <f t="shared" si="16"/>
        <v>1854</v>
      </c>
      <c r="N194" s="18">
        <v>755</v>
      </c>
      <c r="O194" s="18"/>
      <c r="P194" s="2" cm="1">
        <f t="array" aca="1" ref="P194" ca="1">INDIRECT("b" &amp; (N194+2))</f>
        <v>8.4250000000000009E+41</v>
      </c>
      <c r="Q194" s="5">
        <f t="shared" ca="1" si="14"/>
        <v>68775.510204081627</v>
      </c>
      <c r="S194" s="18">
        <v>315</v>
      </c>
      <c r="T194" s="18"/>
      <c r="U194" s="2" cm="1">
        <f t="array" aca="1" ref="U194" ca="1">INDIRECT("d" &amp; (S194+2))</f>
        <v>315</v>
      </c>
      <c r="V194" s="5">
        <f t="shared" ref="V194:V257" ca="1" si="18">U194/U$2</f>
        <v>2.5609756097560976</v>
      </c>
      <c r="W194">
        <v>192</v>
      </c>
      <c r="X194" s="18">
        <v>755</v>
      </c>
      <c r="Y194" s="18"/>
      <c r="Z194" s="2" cm="1">
        <f t="array" aca="1" ref="Z194" ca="1">INDIRECT("b" &amp; (X194+2))</f>
        <v>8.4250000000000009E+41</v>
      </c>
      <c r="AA194" s="5">
        <f t="shared" ca="1" si="15"/>
        <v>68775.510204081627</v>
      </c>
    </row>
    <row r="195" spans="1:27">
      <c r="A195">
        <v>193</v>
      </c>
      <c r="B195">
        <v>5.5E+18</v>
      </c>
      <c r="D195" s="18">
        <v>193</v>
      </c>
      <c r="E195" s="18" cm="1">
        <f t="array" aca="1" ref="E195" ca="1">INDIRECT("b"&amp;F195+2)</f>
        <v>4.1500000000000002E+39</v>
      </c>
      <c r="F195" s="18">
        <f t="shared" si="17"/>
        <v>656</v>
      </c>
      <c r="G195" s="18"/>
      <c r="H195" s="18"/>
      <c r="I195" s="19">
        <v>193</v>
      </c>
      <c r="J195" s="19" cm="1">
        <f t="array" aca="1" ref="J195" ca="1">INDIRECT("b"&amp;K195+2)</f>
        <v>4.1499999999999997E+68</v>
      </c>
      <c r="K195" s="19">
        <f t="shared" si="16"/>
        <v>1856</v>
      </c>
      <c r="N195" s="18">
        <v>756</v>
      </c>
      <c r="O195" s="18"/>
      <c r="P195" s="2" cm="1">
        <f t="array" aca="1" ref="P195" ca="1">INDIRECT("b" &amp; (N195+2))</f>
        <v>8.6499999999999995E+41</v>
      </c>
      <c r="Q195" s="5">
        <f t="shared" ref="Q195:Q258" ca="1" si="19">P195/$P$2</f>
        <v>70612.244897959172</v>
      </c>
      <c r="S195" s="18">
        <v>316</v>
      </c>
      <c r="T195" s="18"/>
      <c r="U195" s="2" cm="1">
        <f t="array" aca="1" ref="U195" ca="1">INDIRECT("d" &amp; (S195+2))</f>
        <v>316</v>
      </c>
      <c r="V195" s="5">
        <f t="shared" ca="1" si="18"/>
        <v>2.5691056910569108</v>
      </c>
      <c r="W195">
        <v>193</v>
      </c>
      <c r="X195" s="18">
        <v>756</v>
      </c>
      <c r="Y195" s="18"/>
      <c r="Z195" s="2" cm="1">
        <f t="array" aca="1" ref="Z195" ca="1">INDIRECT("b" &amp; (X195+2))</f>
        <v>8.6499999999999995E+41</v>
      </c>
      <c r="AA195" s="5">
        <f t="shared" ref="AA195:AA258" ca="1" si="20">Z195/$P$2</f>
        <v>70612.244897959172</v>
      </c>
    </row>
    <row r="196" spans="1:27">
      <c r="A196">
        <v>194</v>
      </c>
      <c r="B196">
        <v>6E+18</v>
      </c>
      <c r="D196" s="18">
        <v>194</v>
      </c>
      <c r="E196" s="18" cm="1">
        <f t="array" aca="1" ref="E196" ca="1">INDIRECT("b"&amp;F196+2)</f>
        <v>4.3749999999999999E+39</v>
      </c>
      <c r="F196" s="18">
        <f t="shared" si="17"/>
        <v>657</v>
      </c>
      <c r="G196" s="18"/>
      <c r="H196" s="18"/>
      <c r="I196" s="19">
        <v>194</v>
      </c>
      <c r="J196" s="19" cm="1">
        <f t="array" aca="1" ref="J196" ca="1">INDIRECT("b"&amp;K196+2)</f>
        <v>4.3749999999999998E+68</v>
      </c>
      <c r="K196" s="19">
        <f t="shared" ref="K196:K259" si="21">INT((A196-1)*40/30+900*40/30)+400</f>
        <v>1857</v>
      </c>
      <c r="N196" s="18">
        <v>757</v>
      </c>
      <c r="O196" s="18"/>
      <c r="P196" s="2" cm="1">
        <f t="array" aca="1" ref="P196" ca="1">INDIRECT("b" &amp; (N196+2))</f>
        <v>8.8749999999999996E+41</v>
      </c>
      <c r="Q196" s="5">
        <f t="shared" ca="1" si="19"/>
        <v>72448.979591836731</v>
      </c>
      <c r="S196" s="18">
        <v>317</v>
      </c>
      <c r="T196" s="18"/>
      <c r="U196" s="2" cm="1">
        <f t="array" aca="1" ref="U196" ca="1">INDIRECT("d" &amp; (S196+2))</f>
        <v>317</v>
      </c>
      <c r="V196" s="5">
        <f t="shared" ca="1" si="18"/>
        <v>2.5772357723577235</v>
      </c>
      <c r="W196">
        <v>194</v>
      </c>
      <c r="X196" s="18">
        <v>757</v>
      </c>
      <c r="Y196" s="18"/>
      <c r="Z196" s="2" cm="1">
        <f t="array" aca="1" ref="Z196" ca="1">INDIRECT("b" &amp; (X196+2))</f>
        <v>8.8749999999999996E+41</v>
      </c>
      <c r="AA196" s="5">
        <f t="shared" ca="1" si="20"/>
        <v>72448.979591836731</v>
      </c>
    </row>
    <row r="197" spans="1:27">
      <c r="A197">
        <v>195</v>
      </c>
      <c r="B197">
        <v>6.5E+18</v>
      </c>
      <c r="D197" s="18">
        <v>195</v>
      </c>
      <c r="E197" s="18" cm="1">
        <f t="array" aca="1" ref="E197" ca="1">INDIRECT("b"&amp;F197+2)</f>
        <v>4.5999999999999996E+39</v>
      </c>
      <c r="F197" s="18">
        <f t="shared" si="17"/>
        <v>658</v>
      </c>
      <c r="G197" s="18"/>
      <c r="H197" s="18"/>
      <c r="I197" s="19">
        <v>195</v>
      </c>
      <c r="J197" s="19" cm="1">
        <f t="array" aca="1" ref="J197" ca="1">INDIRECT("b"&amp;K197+2)</f>
        <v>4.6E+68</v>
      </c>
      <c r="K197" s="19">
        <f t="shared" si="21"/>
        <v>1858</v>
      </c>
      <c r="N197" s="18">
        <v>758</v>
      </c>
      <c r="O197" s="18"/>
      <c r="P197" s="2" cm="1">
        <f t="array" aca="1" ref="P197" ca="1">INDIRECT("b" &amp; (N197+2))</f>
        <v>9.0999999999999983E+41</v>
      </c>
      <c r="Q197" s="5">
        <f t="shared" ca="1" si="19"/>
        <v>74285.714285714261</v>
      </c>
      <c r="S197" s="18">
        <v>318</v>
      </c>
      <c r="T197" s="18"/>
      <c r="U197" s="2" cm="1">
        <f t="array" aca="1" ref="U197" ca="1">INDIRECT("d" &amp; (S197+2))</f>
        <v>318</v>
      </c>
      <c r="V197" s="5">
        <f t="shared" ca="1" si="18"/>
        <v>2.5853658536585367</v>
      </c>
      <c r="W197">
        <v>195</v>
      </c>
      <c r="X197" s="18">
        <v>758</v>
      </c>
      <c r="Y197" s="18"/>
      <c r="Z197" s="2" cm="1">
        <f t="array" aca="1" ref="Z197" ca="1">INDIRECT("b" &amp; (X197+2))</f>
        <v>9.0999999999999983E+41</v>
      </c>
      <c r="AA197" s="5">
        <f t="shared" ca="1" si="20"/>
        <v>74285.714285714261</v>
      </c>
    </row>
    <row r="198" spans="1:27">
      <c r="A198">
        <v>196</v>
      </c>
      <c r="B198">
        <v>7E+18</v>
      </c>
      <c r="D198" s="18">
        <v>196</v>
      </c>
      <c r="E198" s="18" cm="1">
        <f t="array" aca="1" ref="E198" ca="1">INDIRECT("b"&amp;F198+2)</f>
        <v>5.0500000000000003E+39</v>
      </c>
      <c r="F198" s="18">
        <f t="shared" si="17"/>
        <v>660</v>
      </c>
      <c r="G198" s="18"/>
      <c r="H198" s="18"/>
      <c r="I198" s="19">
        <v>196</v>
      </c>
      <c r="J198" s="19" cm="1">
        <f t="array" aca="1" ref="J198" ca="1">INDIRECT("b"&amp;K198+2)</f>
        <v>5.0500000000000002E+68</v>
      </c>
      <c r="K198" s="19">
        <f t="shared" si="21"/>
        <v>1860</v>
      </c>
      <c r="N198" s="18">
        <v>759</v>
      </c>
      <c r="O198" s="18"/>
      <c r="P198" s="2" cm="1">
        <f t="array" aca="1" ref="P198" ca="1">INDIRECT("b" &amp; (N198+2))</f>
        <v>9.325E+41</v>
      </c>
      <c r="Q198" s="5">
        <f t="shared" ca="1" si="19"/>
        <v>76122.448979591834</v>
      </c>
      <c r="S198" s="18">
        <v>319</v>
      </c>
      <c r="T198" s="18"/>
      <c r="U198" s="2" cm="1">
        <f t="array" aca="1" ref="U198" ca="1">INDIRECT("d" &amp; (S198+2))</f>
        <v>319</v>
      </c>
      <c r="V198" s="5">
        <f t="shared" ca="1" si="18"/>
        <v>2.5934959349593494</v>
      </c>
      <c r="W198">
        <v>196</v>
      </c>
      <c r="X198" s="18">
        <v>759</v>
      </c>
      <c r="Y198" s="18"/>
      <c r="Z198" s="2" cm="1">
        <f t="array" aca="1" ref="Z198" ca="1">INDIRECT("b" &amp; (X198+2))</f>
        <v>9.325E+41</v>
      </c>
      <c r="AA198" s="5">
        <f t="shared" ca="1" si="20"/>
        <v>76122.448979591834</v>
      </c>
    </row>
    <row r="199" spans="1:27">
      <c r="A199">
        <v>197</v>
      </c>
      <c r="B199">
        <v>7.5E+18</v>
      </c>
      <c r="D199" s="18">
        <v>197</v>
      </c>
      <c r="E199" s="18" cm="1">
        <f t="array" aca="1" ref="E199" ca="1">INDIRECT("b"&amp;F199+2)</f>
        <v>5.275E+39</v>
      </c>
      <c r="F199" s="18">
        <f t="shared" si="17"/>
        <v>661</v>
      </c>
      <c r="G199" s="18"/>
      <c r="H199" s="18"/>
      <c r="I199" s="19">
        <v>197</v>
      </c>
      <c r="J199" s="19" cm="1">
        <f t="array" aca="1" ref="J199" ca="1">INDIRECT("b"&amp;K199+2)</f>
        <v>5.2749999999999993E+68</v>
      </c>
      <c r="K199" s="19">
        <f t="shared" si="21"/>
        <v>1861</v>
      </c>
      <c r="N199" s="18">
        <v>760</v>
      </c>
      <c r="O199" s="18"/>
      <c r="P199" s="2" cm="1">
        <f t="array" aca="1" ref="P199" ca="1">INDIRECT("b" &amp; (N199+2))</f>
        <v>9.5500000000000001E+41</v>
      </c>
      <c r="Q199" s="5">
        <f t="shared" ca="1" si="19"/>
        <v>77959.183673469379</v>
      </c>
      <c r="S199" s="18">
        <v>320</v>
      </c>
      <c r="T199" s="18"/>
      <c r="U199" s="2" cm="1">
        <f t="array" aca="1" ref="U199" ca="1">INDIRECT("d" &amp; (S199+2))</f>
        <v>320</v>
      </c>
      <c r="V199" s="5">
        <f t="shared" ca="1" si="18"/>
        <v>2.6016260162601625</v>
      </c>
      <c r="W199">
        <v>197</v>
      </c>
      <c r="X199" s="18">
        <v>760</v>
      </c>
      <c r="Y199" s="18"/>
      <c r="Z199" s="2" cm="1">
        <f t="array" aca="1" ref="Z199" ca="1">INDIRECT("b" &amp; (X199+2))</f>
        <v>9.5500000000000001E+41</v>
      </c>
      <c r="AA199" s="5">
        <f t="shared" ca="1" si="20"/>
        <v>77959.183673469379</v>
      </c>
    </row>
    <row r="200" spans="1:27">
      <c r="A200">
        <v>198</v>
      </c>
      <c r="B200">
        <v>8E+18</v>
      </c>
      <c r="D200" s="18">
        <v>198</v>
      </c>
      <c r="E200" s="18" cm="1">
        <f t="array" aca="1" ref="E200" ca="1">INDIRECT("b"&amp;F200+2)</f>
        <v>5.4999999999999997E+39</v>
      </c>
      <c r="F200" s="18">
        <f t="shared" si="17"/>
        <v>662</v>
      </c>
      <c r="G200" s="18"/>
      <c r="H200" s="18"/>
      <c r="I200" s="19">
        <v>198</v>
      </c>
      <c r="J200" s="19" cm="1">
        <f t="array" aca="1" ref="J200" ca="1">INDIRECT("b"&amp;K200+2)</f>
        <v>5.4999999999999994E+68</v>
      </c>
      <c r="K200" s="19">
        <f t="shared" si="21"/>
        <v>1862</v>
      </c>
      <c r="N200" s="18">
        <v>761</v>
      </c>
      <c r="O200" s="18"/>
      <c r="P200" s="2" cm="1">
        <f t="array" aca="1" ref="P200" ca="1">INDIRECT("b" &amp; (N200+2))</f>
        <v>9.7749999999999987E+41</v>
      </c>
      <c r="Q200" s="5">
        <f t="shared" ca="1" si="19"/>
        <v>79795.918367346923</v>
      </c>
      <c r="S200" s="18">
        <v>321</v>
      </c>
      <c r="T200" s="18"/>
      <c r="U200" s="2" cm="1">
        <f t="array" aca="1" ref="U200" ca="1">INDIRECT("d" &amp; (S200+2))</f>
        <v>321</v>
      </c>
      <c r="V200" s="5">
        <f t="shared" ca="1" si="18"/>
        <v>2.6097560975609757</v>
      </c>
      <c r="W200">
        <v>198</v>
      </c>
      <c r="X200" s="18">
        <v>761</v>
      </c>
      <c r="Y200" s="18"/>
      <c r="Z200" s="2" cm="1">
        <f t="array" aca="1" ref="Z200" ca="1">INDIRECT("b" &amp; (X200+2))</f>
        <v>9.7749999999999987E+41</v>
      </c>
      <c r="AA200" s="5">
        <f t="shared" ca="1" si="20"/>
        <v>79795.918367346923</v>
      </c>
    </row>
    <row r="201" spans="1:27">
      <c r="A201">
        <v>199</v>
      </c>
      <c r="B201">
        <v>8.5E+18</v>
      </c>
      <c r="D201" s="18">
        <v>199</v>
      </c>
      <c r="E201" s="18" cm="1">
        <f t="array" aca="1" ref="E201" ca="1">INDIRECT("b"&amp;F201+2)</f>
        <v>5.9500000000000004E+39</v>
      </c>
      <c r="F201" s="18">
        <f t="shared" si="17"/>
        <v>664</v>
      </c>
      <c r="G201" s="18"/>
      <c r="H201" s="18"/>
      <c r="I201" s="19">
        <v>199</v>
      </c>
      <c r="J201" s="19" cm="1">
        <f t="array" aca="1" ref="J201" ca="1">INDIRECT("b"&amp;K201+2)</f>
        <v>5.9499999999999997E+68</v>
      </c>
      <c r="K201" s="19">
        <f t="shared" si="21"/>
        <v>1864</v>
      </c>
      <c r="N201" s="18">
        <v>762</v>
      </c>
      <c r="O201" s="18"/>
      <c r="P201" s="2" cm="1">
        <f t="array" aca="1" ref="P201" ca="1">INDIRECT("b" &amp; (N201+2))</f>
        <v>1E+42</v>
      </c>
      <c r="Q201" s="5">
        <f t="shared" ca="1" si="19"/>
        <v>81632.653061224482</v>
      </c>
      <c r="S201" s="18">
        <v>322</v>
      </c>
      <c r="T201" s="18"/>
      <c r="U201" s="2" cm="1">
        <f t="array" aca="1" ref="U201" ca="1">INDIRECT("d" &amp; (S201+2))</f>
        <v>322</v>
      </c>
      <c r="V201" s="5">
        <f t="shared" ca="1" si="18"/>
        <v>2.6178861788617884</v>
      </c>
      <c r="W201">
        <v>199</v>
      </c>
      <c r="X201" s="18">
        <v>762</v>
      </c>
      <c r="Y201" s="18"/>
      <c r="Z201" s="2" cm="1">
        <f t="array" aca="1" ref="Z201" ca="1">INDIRECT("b" &amp; (X201+2))</f>
        <v>1E+42</v>
      </c>
      <c r="AA201" s="5">
        <f t="shared" ca="1" si="20"/>
        <v>81632.653061224482</v>
      </c>
    </row>
    <row r="202" spans="1:27">
      <c r="A202">
        <v>200</v>
      </c>
      <c r="B202">
        <v>9E+18</v>
      </c>
      <c r="D202" s="18">
        <v>200</v>
      </c>
      <c r="E202" s="18" cm="1">
        <f t="array" aca="1" ref="E202" ca="1">INDIRECT("b"&amp;F202+2)</f>
        <v>6.1750000000000001E+39</v>
      </c>
      <c r="F202" s="18">
        <f t="shared" si="17"/>
        <v>665</v>
      </c>
      <c r="G202" s="18"/>
      <c r="H202" s="18"/>
      <c r="I202" s="19">
        <v>200</v>
      </c>
      <c r="J202" s="19" cm="1">
        <f t="array" aca="1" ref="J202" ca="1">INDIRECT("b"&amp;K202+2)</f>
        <v>6.1749999999999998E+68</v>
      </c>
      <c r="K202" s="19">
        <f t="shared" si="21"/>
        <v>1865</v>
      </c>
      <c r="N202" s="18">
        <v>763</v>
      </c>
      <c r="O202" s="18"/>
      <c r="P202" s="2" cm="1">
        <f t="array" aca="1" ref="P202" ca="1">INDIRECT("b" &amp; (N202+2))</f>
        <v>1.2250000000000001E+42</v>
      </c>
      <c r="Q202" s="5">
        <f t="shared" ca="1" si="19"/>
        <v>100000</v>
      </c>
      <c r="S202" s="18">
        <v>323</v>
      </c>
      <c r="T202" s="18"/>
      <c r="U202" s="2" cm="1">
        <f t="array" aca="1" ref="U202" ca="1">INDIRECT("d" &amp; (S202+2))</f>
        <v>323</v>
      </c>
      <c r="V202" s="5">
        <f t="shared" ca="1" si="18"/>
        <v>2.6260162601626016</v>
      </c>
      <c r="W202">
        <v>200</v>
      </c>
      <c r="X202" s="18">
        <v>763</v>
      </c>
      <c r="Y202" s="18"/>
      <c r="Z202" s="2" cm="1">
        <f t="array" aca="1" ref="Z202" ca="1">INDIRECT("b" &amp; (X202+2))</f>
        <v>1.2250000000000001E+42</v>
      </c>
      <c r="AA202" s="5">
        <f t="shared" ca="1" si="20"/>
        <v>100000</v>
      </c>
    </row>
    <row r="203" spans="1:27">
      <c r="A203">
        <v>201</v>
      </c>
      <c r="B203">
        <v>9.5E+18</v>
      </c>
      <c r="D203" s="18">
        <v>201</v>
      </c>
      <c r="E203" s="18" cm="1">
        <f t="array" aca="1" ref="E203" ca="1">INDIRECT("b"&amp;F203+2)</f>
        <v>6.3999999999999999E+39</v>
      </c>
      <c r="F203" s="18">
        <f t="shared" si="17"/>
        <v>666</v>
      </c>
      <c r="G203" s="18"/>
      <c r="H203" s="18"/>
      <c r="I203" s="19">
        <v>201</v>
      </c>
      <c r="J203" s="19" cm="1">
        <f t="array" aca="1" ref="J203" ca="1">INDIRECT("b"&amp;K203+2)</f>
        <v>6.3999999999999999E+68</v>
      </c>
      <c r="K203" s="19">
        <f t="shared" si="21"/>
        <v>1866</v>
      </c>
      <c r="N203" s="18">
        <v>764</v>
      </c>
      <c r="O203" s="18"/>
      <c r="P203" s="2" cm="1">
        <f t="array" aca="1" ref="P203" ca="1">INDIRECT("b" &amp; (N203+2))</f>
        <v>1.4499999999999999E+42</v>
      </c>
      <c r="Q203" s="5">
        <f t="shared" ca="1" si="19"/>
        <v>118367.34693877549</v>
      </c>
      <c r="S203" s="18">
        <v>324</v>
      </c>
      <c r="T203" s="18"/>
      <c r="U203" s="2" cm="1">
        <f t="array" aca="1" ref="U203" ca="1">INDIRECT("d" &amp; (S203+2))</f>
        <v>324</v>
      </c>
      <c r="V203" s="5">
        <f t="shared" ca="1" si="18"/>
        <v>2.6341463414634148</v>
      </c>
      <c r="W203">
        <v>201</v>
      </c>
      <c r="X203" s="18">
        <v>764</v>
      </c>
      <c r="Y203" s="18"/>
      <c r="Z203" s="2" cm="1">
        <f t="array" aca="1" ref="Z203" ca="1">INDIRECT("b" &amp; (X203+2))</f>
        <v>1.4499999999999999E+42</v>
      </c>
      <c r="AA203" s="5">
        <f t="shared" ca="1" si="20"/>
        <v>118367.34693877549</v>
      </c>
    </row>
    <row r="204" spans="1:27">
      <c r="A204">
        <v>202</v>
      </c>
      <c r="B204">
        <v>1E+19</v>
      </c>
      <c r="D204" s="18">
        <v>202</v>
      </c>
      <c r="E204" s="18" cm="1">
        <f t="array" aca="1" ref="E204" ca="1">INDIRECT("b"&amp;F204+2)</f>
        <v>6.8500000000000005E+39</v>
      </c>
      <c r="F204" s="18">
        <f t="shared" si="17"/>
        <v>668</v>
      </c>
      <c r="G204" s="18"/>
      <c r="H204" s="18"/>
      <c r="I204" s="19">
        <v>202</v>
      </c>
      <c r="J204" s="19" cm="1">
        <f t="array" aca="1" ref="J204" ca="1">INDIRECT("b"&amp;K204+2)</f>
        <v>6.8500000000000001E+68</v>
      </c>
      <c r="K204" s="19">
        <f t="shared" si="21"/>
        <v>1868</v>
      </c>
      <c r="N204" s="18">
        <v>765</v>
      </c>
      <c r="O204" s="18"/>
      <c r="P204" s="2" cm="1">
        <f t="array" aca="1" ref="P204" ca="1">INDIRECT("b" &amp; (N204+2))</f>
        <v>1.6750000000000001E+42</v>
      </c>
      <c r="Q204" s="5">
        <f t="shared" ca="1" si="19"/>
        <v>136734.69387755101</v>
      </c>
      <c r="S204" s="18">
        <v>325</v>
      </c>
      <c r="T204" s="18"/>
      <c r="U204" s="2" cm="1">
        <f t="array" aca="1" ref="U204" ca="1">INDIRECT("d" &amp; (S204+2))</f>
        <v>325</v>
      </c>
      <c r="V204" s="5">
        <f t="shared" ca="1" si="18"/>
        <v>2.6422764227642275</v>
      </c>
      <c r="W204">
        <v>202</v>
      </c>
      <c r="X204" s="18">
        <v>765</v>
      </c>
      <c r="Y204" s="18"/>
      <c r="Z204" s="2" cm="1">
        <f t="array" aca="1" ref="Z204" ca="1">INDIRECT("b" &amp; (X204+2))</f>
        <v>1.6750000000000001E+42</v>
      </c>
      <c r="AA204" s="5">
        <f t="shared" ca="1" si="20"/>
        <v>136734.69387755101</v>
      </c>
    </row>
    <row r="205" spans="1:27">
      <c r="A205">
        <v>203</v>
      </c>
      <c r="B205">
        <v>1.05E+19</v>
      </c>
      <c r="D205" s="18">
        <v>203</v>
      </c>
      <c r="E205" s="18" cm="1">
        <f t="array" aca="1" ref="E205" ca="1">INDIRECT("b"&amp;F205+2)</f>
        <v>7.0750000000000002E+39</v>
      </c>
      <c r="F205" s="18">
        <f t="shared" si="17"/>
        <v>669</v>
      </c>
      <c r="G205" s="18"/>
      <c r="H205" s="18"/>
      <c r="I205" s="19">
        <v>203</v>
      </c>
      <c r="J205" s="19" cm="1">
        <f t="array" aca="1" ref="J205" ca="1">INDIRECT("b"&amp;K205+2)</f>
        <v>7.0749999999999993E+68</v>
      </c>
      <c r="K205" s="19">
        <f t="shared" si="21"/>
        <v>1869</v>
      </c>
      <c r="N205" s="18">
        <v>766</v>
      </c>
      <c r="O205" s="18"/>
      <c r="P205" s="2" cm="1">
        <f t="array" aca="1" ref="P205" ca="1">INDIRECT("b" &amp; (N205+2))</f>
        <v>1.9000000000000002E+42</v>
      </c>
      <c r="Q205" s="5">
        <f t="shared" ca="1" si="19"/>
        <v>155102.04081632654</v>
      </c>
      <c r="S205" s="18">
        <v>326</v>
      </c>
      <c r="T205" s="18"/>
      <c r="U205" s="2" cm="1">
        <f t="array" aca="1" ref="U205" ca="1">INDIRECT("d" &amp; (S205+2))</f>
        <v>326</v>
      </c>
      <c r="V205" s="5">
        <f t="shared" ca="1" si="18"/>
        <v>2.6504065040650406</v>
      </c>
      <c r="W205">
        <v>203</v>
      </c>
      <c r="X205" s="18">
        <v>766</v>
      </c>
      <c r="Y205" s="18"/>
      <c r="Z205" s="2" cm="1">
        <f t="array" aca="1" ref="Z205" ca="1">INDIRECT("b" &amp; (X205+2))</f>
        <v>1.9000000000000002E+42</v>
      </c>
      <c r="AA205" s="5">
        <f t="shared" ca="1" si="20"/>
        <v>155102.04081632654</v>
      </c>
    </row>
    <row r="206" spans="1:27">
      <c r="A206">
        <v>204</v>
      </c>
      <c r="B206">
        <v>1.1E+19</v>
      </c>
      <c r="D206" s="18">
        <v>204</v>
      </c>
      <c r="E206" s="18" cm="1">
        <f t="array" aca="1" ref="E206" ca="1">INDIRECT("b"&amp;F206+2)</f>
        <v>7.3E+39</v>
      </c>
      <c r="F206" s="18">
        <f t="shared" si="17"/>
        <v>670</v>
      </c>
      <c r="G206" s="18"/>
      <c r="H206" s="18"/>
      <c r="I206" s="19">
        <v>204</v>
      </c>
      <c r="J206" s="19" cm="1">
        <f t="array" aca="1" ref="J206" ca="1">INDIRECT("b"&amp;K206+2)</f>
        <v>7.2999999999999994E+68</v>
      </c>
      <c r="K206" s="19">
        <f t="shared" si="21"/>
        <v>1870</v>
      </c>
      <c r="N206" s="18">
        <v>767</v>
      </c>
      <c r="O206" s="18"/>
      <c r="P206" s="2" cm="1">
        <f t="array" aca="1" ref="P206" ca="1">INDIRECT("b" &amp; (N206+2))</f>
        <v>2.1250000000000001E+42</v>
      </c>
      <c r="Q206" s="5">
        <f t="shared" ca="1" si="19"/>
        <v>173469.38775510204</v>
      </c>
      <c r="S206" s="18">
        <v>327</v>
      </c>
      <c r="T206" s="18"/>
      <c r="U206" s="2" cm="1">
        <f t="array" aca="1" ref="U206" ca="1">INDIRECT("d" &amp; (S206+2))</f>
        <v>327</v>
      </c>
      <c r="V206" s="5">
        <f t="shared" ca="1" si="18"/>
        <v>2.6585365853658538</v>
      </c>
      <c r="W206">
        <v>204</v>
      </c>
      <c r="X206" s="18">
        <v>767</v>
      </c>
      <c r="Y206" s="18"/>
      <c r="Z206" s="2" cm="1">
        <f t="array" aca="1" ref="Z206" ca="1">INDIRECT("b" &amp; (X206+2))</f>
        <v>2.1250000000000001E+42</v>
      </c>
      <c r="AA206" s="5">
        <f t="shared" ca="1" si="20"/>
        <v>173469.38775510204</v>
      </c>
    </row>
    <row r="207" spans="1:27">
      <c r="A207">
        <v>205</v>
      </c>
      <c r="B207">
        <v>1.5E+19</v>
      </c>
      <c r="D207" s="18">
        <v>205</v>
      </c>
      <c r="E207" s="18" cm="1">
        <f t="array" aca="1" ref="E207" ca="1">INDIRECT("b"&amp;F207+2)</f>
        <v>7.7499999999999994E+39</v>
      </c>
      <c r="F207" s="18">
        <f t="shared" si="17"/>
        <v>672</v>
      </c>
      <c r="G207" s="18"/>
      <c r="H207" s="18"/>
      <c r="I207" s="19">
        <v>205</v>
      </c>
      <c r="J207" s="19" cm="1">
        <f t="array" aca="1" ref="J207" ca="1">INDIRECT("b"&amp;K207+2)</f>
        <v>7.7499999999999996E+68</v>
      </c>
      <c r="K207" s="19">
        <f t="shared" si="21"/>
        <v>1872</v>
      </c>
      <c r="N207" s="18">
        <v>768</v>
      </c>
      <c r="O207" s="18"/>
      <c r="P207" s="2" cm="1">
        <f t="array" aca="1" ref="P207" ca="1">INDIRECT("b" &amp; (N207+2))</f>
        <v>2.3500000000000002E+42</v>
      </c>
      <c r="Q207" s="5">
        <f t="shared" ca="1" si="19"/>
        <v>191836.73469387754</v>
      </c>
      <c r="S207" s="18">
        <v>328</v>
      </c>
      <c r="T207" s="18"/>
      <c r="U207" s="2" cm="1">
        <f t="array" aca="1" ref="U207" ca="1">INDIRECT("d" &amp; (S207+2))</f>
        <v>328</v>
      </c>
      <c r="V207" s="5">
        <f t="shared" ca="1" si="18"/>
        <v>2.6666666666666665</v>
      </c>
      <c r="W207">
        <v>205</v>
      </c>
      <c r="X207" s="18">
        <v>768</v>
      </c>
      <c r="Y207" s="18"/>
      <c r="Z207" s="2" cm="1">
        <f t="array" aca="1" ref="Z207" ca="1">INDIRECT("b" &amp; (X207+2))</f>
        <v>2.3500000000000002E+42</v>
      </c>
      <c r="AA207" s="5">
        <f t="shared" ca="1" si="20"/>
        <v>191836.73469387754</v>
      </c>
    </row>
    <row r="208" spans="1:27">
      <c r="A208">
        <v>206</v>
      </c>
      <c r="B208">
        <v>2E+19</v>
      </c>
      <c r="D208" s="18">
        <v>206</v>
      </c>
      <c r="E208" s="18" cm="1">
        <f t="array" aca="1" ref="E208" ca="1">INDIRECT("b"&amp;F208+2)</f>
        <v>7.9750000000000004E+39</v>
      </c>
      <c r="F208" s="18">
        <f t="shared" si="17"/>
        <v>673</v>
      </c>
      <c r="G208" s="18"/>
      <c r="H208" s="18"/>
      <c r="I208" s="19">
        <v>206</v>
      </c>
      <c r="J208" s="19" cm="1">
        <f t="array" aca="1" ref="J208" ca="1">INDIRECT("b"&amp;K208+2)</f>
        <v>7.9749999999999997E+68</v>
      </c>
      <c r="K208" s="19">
        <f t="shared" si="21"/>
        <v>1873</v>
      </c>
      <c r="N208" s="18">
        <v>769</v>
      </c>
      <c r="O208" s="18"/>
      <c r="P208" s="2" cm="1">
        <f t="array" aca="1" ref="P208" ca="1">INDIRECT("b" &amp; (N208+2))</f>
        <v>2.5749999999999998E+42</v>
      </c>
      <c r="Q208" s="5">
        <f t="shared" ca="1" si="19"/>
        <v>210204.08163265302</v>
      </c>
      <c r="S208" s="18">
        <v>329</v>
      </c>
      <c r="T208" s="18"/>
      <c r="U208" s="2" cm="1">
        <f t="array" aca="1" ref="U208" ca="1">INDIRECT("d" &amp; (S208+2))</f>
        <v>329</v>
      </c>
      <c r="V208" s="5">
        <f t="shared" ca="1" si="18"/>
        <v>2.6747967479674797</v>
      </c>
      <c r="W208">
        <v>206</v>
      </c>
      <c r="X208" s="18">
        <v>769</v>
      </c>
      <c r="Y208" s="18"/>
      <c r="Z208" s="2" cm="1">
        <f t="array" aca="1" ref="Z208" ca="1">INDIRECT("b" &amp; (X208+2))</f>
        <v>2.5749999999999998E+42</v>
      </c>
      <c r="AA208" s="5">
        <f t="shared" ca="1" si="20"/>
        <v>210204.08163265302</v>
      </c>
    </row>
    <row r="209" spans="1:27">
      <c r="A209">
        <v>207</v>
      </c>
      <c r="B209">
        <v>2.5E+19</v>
      </c>
      <c r="D209" s="18">
        <v>207</v>
      </c>
      <c r="E209" s="18" cm="1">
        <f t="array" aca="1" ref="E209" ca="1">INDIRECT("b"&amp;F209+2)</f>
        <v>8.2000000000000001E+39</v>
      </c>
      <c r="F209" s="18">
        <f t="shared" si="17"/>
        <v>674</v>
      </c>
      <c r="G209" s="18"/>
      <c r="H209" s="18"/>
      <c r="I209" s="19">
        <v>207</v>
      </c>
      <c r="J209" s="19" cm="1">
        <f t="array" aca="1" ref="J209" ca="1">INDIRECT("b"&amp;K209+2)</f>
        <v>8.1999999999999998E+68</v>
      </c>
      <c r="K209" s="19">
        <f t="shared" si="21"/>
        <v>1874</v>
      </c>
      <c r="N209" s="18">
        <v>770</v>
      </c>
      <c r="O209" s="18"/>
      <c r="P209" s="2" cm="1">
        <f t="array" aca="1" ref="P209" ca="1">INDIRECT("b" &amp; (N209+2))</f>
        <v>2.7999999999999999E+42</v>
      </c>
      <c r="Q209" s="5">
        <f t="shared" ca="1" si="19"/>
        <v>228571.42857142855</v>
      </c>
      <c r="S209" s="18">
        <v>330</v>
      </c>
      <c r="T209" s="18"/>
      <c r="U209" s="2" cm="1">
        <f t="array" aca="1" ref="U209" ca="1">INDIRECT("d" &amp; (S209+2))</f>
        <v>330</v>
      </c>
      <c r="V209" s="5">
        <f t="shared" ca="1" si="18"/>
        <v>2.6829268292682928</v>
      </c>
      <c r="W209">
        <v>207</v>
      </c>
      <c r="X209" s="18">
        <v>770</v>
      </c>
      <c r="Y209" s="18"/>
      <c r="Z209" s="2" cm="1">
        <f t="array" aca="1" ref="Z209" ca="1">INDIRECT("b" &amp; (X209+2))</f>
        <v>2.7999999999999999E+42</v>
      </c>
      <c r="AA209" s="5">
        <f t="shared" ca="1" si="20"/>
        <v>228571.42857142855</v>
      </c>
    </row>
    <row r="210" spans="1:27">
      <c r="A210">
        <v>208</v>
      </c>
      <c r="B210">
        <v>3E+19</v>
      </c>
      <c r="D210" s="18">
        <v>208</v>
      </c>
      <c r="E210" s="18" cm="1">
        <f t="array" aca="1" ref="E210" ca="1">INDIRECT("b"&amp;F210+2)</f>
        <v>8.6499999999999995E+39</v>
      </c>
      <c r="F210" s="18">
        <f t="shared" si="17"/>
        <v>676</v>
      </c>
      <c r="G210" s="18"/>
      <c r="H210" s="18"/>
      <c r="I210" s="19">
        <v>208</v>
      </c>
      <c r="J210" s="19" cm="1">
        <f t="array" aca="1" ref="J210" ca="1">INDIRECT("b"&amp;K210+2)</f>
        <v>8.6500000000000001E+68</v>
      </c>
      <c r="K210" s="19">
        <f t="shared" si="21"/>
        <v>1876</v>
      </c>
      <c r="N210" s="18">
        <v>771</v>
      </c>
      <c r="O210" s="18"/>
      <c r="P210" s="2" cm="1">
        <f t="array" aca="1" ref="P210" ca="1">INDIRECT("b" &amp; (N210+2))</f>
        <v>3.0249999999999998E+42</v>
      </c>
      <c r="Q210" s="5">
        <f t="shared" ca="1" si="19"/>
        <v>246938.77551020405</v>
      </c>
      <c r="S210" s="18">
        <v>331</v>
      </c>
      <c r="T210" s="18"/>
      <c r="U210" s="2" cm="1">
        <f t="array" aca="1" ref="U210" ca="1">INDIRECT("d" &amp; (S210+2))</f>
        <v>331</v>
      </c>
      <c r="V210" s="5">
        <f t="shared" ca="1" si="18"/>
        <v>2.6910569105691056</v>
      </c>
      <c r="W210">
        <v>208</v>
      </c>
      <c r="X210" s="18">
        <v>771</v>
      </c>
      <c r="Y210" s="18"/>
      <c r="Z210" s="2" cm="1">
        <f t="array" aca="1" ref="Z210" ca="1">INDIRECT("b" &amp; (X210+2))</f>
        <v>3.0249999999999998E+42</v>
      </c>
      <c r="AA210" s="5">
        <f t="shared" ca="1" si="20"/>
        <v>246938.77551020405</v>
      </c>
    </row>
    <row r="211" spans="1:27">
      <c r="A211">
        <v>209</v>
      </c>
      <c r="B211">
        <v>3.5E+19</v>
      </c>
      <c r="D211" s="18">
        <v>209</v>
      </c>
      <c r="E211" s="18" cm="1">
        <f t="array" aca="1" ref="E211" ca="1">INDIRECT("b"&amp;F211+2)</f>
        <v>8.8749999999999993E+39</v>
      </c>
      <c r="F211" s="18">
        <f t="shared" si="17"/>
        <v>677</v>
      </c>
      <c r="G211" s="18"/>
      <c r="H211" s="18"/>
      <c r="I211" s="19">
        <v>209</v>
      </c>
      <c r="J211" s="19" cm="1">
        <f t="array" aca="1" ref="J211" ca="1">INDIRECT("b"&amp;K211+2)</f>
        <v>8.8749999999999992E+68</v>
      </c>
      <c r="K211" s="19">
        <f t="shared" si="21"/>
        <v>1877</v>
      </c>
      <c r="N211" s="18">
        <v>772</v>
      </c>
      <c r="O211" s="18"/>
      <c r="P211" s="2" cm="1">
        <f t="array" aca="1" ref="P211" ca="1">INDIRECT("b" &amp; (N211+2))</f>
        <v>3.2499999999999996E+42</v>
      </c>
      <c r="Q211" s="5">
        <f t="shared" ca="1" si="19"/>
        <v>265306.12244897953</v>
      </c>
      <c r="S211" s="18">
        <v>332</v>
      </c>
      <c r="T211" s="18"/>
      <c r="U211" s="2" cm="1">
        <f t="array" aca="1" ref="U211" ca="1">INDIRECT("d" &amp; (S211+2))</f>
        <v>332</v>
      </c>
      <c r="V211" s="5">
        <f t="shared" ca="1" si="18"/>
        <v>2.6991869918699187</v>
      </c>
      <c r="W211">
        <v>209</v>
      </c>
      <c r="X211" s="18">
        <v>772</v>
      </c>
      <c r="Y211" s="18"/>
      <c r="Z211" s="2" cm="1">
        <f t="array" aca="1" ref="Z211" ca="1">INDIRECT("b" &amp; (X211+2))</f>
        <v>3.2499999999999996E+42</v>
      </c>
      <c r="AA211" s="5">
        <f t="shared" ca="1" si="20"/>
        <v>265306.12244897953</v>
      </c>
    </row>
    <row r="212" spans="1:27">
      <c r="A212">
        <v>210</v>
      </c>
      <c r="B212">
        <v>4E+19</v>
      </c>
      <c r="D212" s="18">
        <v>210</v>
      </c>
      <c r="E212" s="18" cm="1">
        <f t="array" aca="1" ref="E212" ca="1">INDIRECT("b"&amp;F212+2)</f>
        <v>9.099999999999999E+39</v>
      </c>
      <c r="F212" s="18">
        <f t="shared" si="17"/>
        <v>678</v>
      </c>
      <c r="G212" s="18"/>
      <c r="H212" s="18"/>
      <c r="I212" s="19">
        <v>210</v>
      </c>
      <c r="J212" s="19" cm="1">
        <f t="array" aca="1" ref="J212" ca="1">INDIRECT("b"&amp;K212+2)</f>
        <v>9.1000000000000003E+68</v>
      </c>
      <c r="K212" s="19">
        <f t="shared" si="21"/>
        <v>1878</v>
      </c>
      <c r="N212" s="18">
        <v>773</v>
      </c>
      <c r="O212" s="18"/>
      <c r="P212" s="2" cm="1">
        <f t="array" aca="1" ref="P212" ca="1">INDIRECT("b" &amp; (N212+2))</f>
        <v>3.4750000000000001E+42</v>
      </c>
      <c r="Q212" s="5">
        <f t="shared" ca="1" si="19"/>
        <v>283673.46938775509</v>
      </c>
      <c r="S212" s="18">
        <v>333</v>
      </c>
      <c r="T212" s="18"/>
      <c r="U212" s="2" cm="1">
        <f t="array" aca="1" ref="U212" ca="1">INDIRECT("d" &amp; (S212+2))</f>
        <v>333</v>
      </c>
      <c r="V212" s="5">
        <f t="shared" ca="1" si="18"/>
        <v>2.7073170731707319</v>
      </c>
      <c r="W212">
        <v>210</v>
      </c>
      <c r="X212" s="18">
        <v>773</v>
      </c>
      <c r="Y212" s="18"/>
      <c r="Z212" s="2" cm="1">
        <f t="array" aca="1" ref="Z212" ca="1">INDIRECT("b" &amp; (X212+2))</f>
        <v>3.4750000000000001E+42</v>
      </c>
      <c r="AA212" s="5">
        <f t="shared" ca="1" si="20"/>
        <v>283673.46938775509</v>
      </c>
    </row>
    <row r="213" spans="1:27">
      <c r="A213">
        <v>211</v>
      </c>
      <c r="B213">
        <v>4.5E+19</v>
      </c>
      <c r="D213" s="18">
        <v>211</v>
      </c>
      <c r="E213" s="18" cm="1">
        <f t="array" aca="1" ref="E213" ca="1">INDIRECT("b"&amp;F213+2)</f>
        <v>9.5499999999999996E+39</v>
      </c>
      <c r="F213" s="18">
        <f t="shared" si="17"/>
        <v>680</v>
      </c>
      <c r="G213" s="18"/>
      <c r="H213" s="18"/>
      <c r="I213" s="19">
        <v>211</v>
      </c>
      <c r="J213" s="19" cm="1">
        <f t="array" aca="1" ref="J213" ca="1">INDIRECT("b"&amp;K213+2)</f>
        <v>9.5499999999999986E+68</v>
      </c>
      <c r="K213" s="19">
        <f t="shared" si="21"/>
        <v>1880</v>
      </c>
      <c r="N213" s="18">
        <v>774</v>
      </c>
      <c r="O213" s="18"/>
      <c r="P213" s="2" cm="1">
        <f t="array" aca="1" ref="P213" ca="1">INDIRECT("b" &amp; (N213+2))</f>
        <v>3.7E+42</v>
      </c>
      <c r="Q213" s="5">
        <f t="shared" ca="1" si="19"/>
        <v>302040.81632653059</v>
      </c>
      <c r="S213" s="18">
        <v>334</v>
      </c>
      <c r="T213" s="18"/>
      <c r="U213" s="2" cm="1">
        <f t="array" aca="1" ref="U213" ca="1">INDIRECT("d" &amp; (S213+2))</f>
        <v>334</v>
      </c>
      <c r="V213" s="5">
        <f t="shared" ca="1" si="18"/>
        <v>2.7154471544715446</v>
      </c>
      <c r="W213">
        <v>211</v>
      </c>
      <c r="X213" s="18">
        <v>774</v>
      </c>
      <c r="Y213" s="18"/>
      <c r="Z213" s="2" cm="1">
        <f t="array" aca="1" ref="Z213" ca="1">INDIRECT("b" &amp; (X213+2))</f>
        <v>3.7E+42</v>
      </c>
      <c r="AA213" s="5">
        <f t="shared" ca="1" si="20"/>
        <v>302040.81632653059</v>
      </c>
    </row>
    <row r="214" spans="1:27">
      <c r="A214">
        <v>212</v>
      </c>
      <c r="B214">
        <v>5E+19</v>
      </c>
      <c r="D214" s="18">
        <v>212</v>
      </c>
      <c r="E214" s="18" cm="1">
        <f t="array" aca="1" ref="E214" ca="1">INDIRECT("b"&amp;F214+2)</f>
        <v>9.7749999999999994E+39</v>
      </c>
      <c r="F214" s="18">
        <f t="shared" si="17"/>
        <v>681</v>
      </c>
      <c r="G214" s="18"/>
      <c r="H214" s="18"/>
      <c r="I214" s="19">
        <v>212</v>
      </c>
      <c r="J214" s="19" cm="1">
        <f t="array" aca="1" ref="J214" ca="1">INDIRECT("b"&amp;K214+2)</f>
        <v>9.7749999999999997E+68</v>
      </c>
      <c r="K214" s="19">
        <f t="shared" si="21"/>
        <v>1881</v>
      </c>
      <c r="N214" s="18">
        <v>775</v>
      </c>
      <c r="O214" s="18"/>
      <c r="P214" s="2" cm="1">
        <f t="array" aca="1" ref="P214" ca="1">INDIRECT("b" &amp; (N214+2))</f>
        <v>3.9249999999999998E+42</v>
      </c>
      <c r="Q214" s="5">
        <f t="shared" ca="1" si="19"/>
        <v>320408.1632653061</v>
      </c>
      <c r="S214" s="18">
        <v>335</v>
      </c>
      <c r="T214" s="18"/>
      <c r="U214" s="2" cm="1">
        <f t="array" aca="1" ref="U214" ca="1">INDIRECT("d" &amp; (S214+2))</f>
        <v>335</v>
      </c>
      <c r="V214" s="5">
        <f t="shared" ca="1" si="18"/>
        <v>2.7235772357723578</v>
      </c>
      <c r="W214">
        <v>212</v>
      </c>
      <c r="X214" s="18">
        <v>775</v>
      </c>
      <c r="Y214" s="18"/>
      <c r="Z214" s="2" cm="1">
        <f t="array" aca="1" ref="Z214" ca="1">INDIRECT("b" &amp; (X214+2))</f>
        <v>3.9249999999999998E+42</v>
      </c>
      <c r="AA214" s="5">
        <f t="shared" ca="1" si="20"/>
        <v>320408.1632653061</v>
      </c>
    </row>
    <row r="215" spans="1:27">
      <c r="A215">
        <v>213</v>
      </c>
      <c r="B215">
        <v>5.5E+19</v>
      </c>
      <c r="D215" s="18">
        <v>213</v>
      </c>
      <c r="E215" s="18" cm="1">
        <f t="array" aca="1" ref="E215" ca="1">INDIRECT("b"&amp;F215+2)</f>
        <v>1E+40</v>
      </c>
      <c r="F215" s="18">
        <f t="shared" si="17"/>
        <v>682</v>
      </c>
      <c r="G215" s="18"/>
      <c r="H215" s="18"/>
      <c r="I215" s="19">
        <v>213</v>
      </c>
      <c r="J215" s="19" cm="1">
        <f t="array" aca="1" ref="J215" ca="1">INDIRECT("b"&amp;K215+2)</f>
        <v>9.9999999999999988E+68</v>
      </c>
      <c r="K215" s="19">
        <f t="shared" si="21"/>
        <v>1882</v>
      </c>
      <c r="N215" s="18">
        <v>776</v>
      </c>
      <c r="O215" s="18"/>
      <c r="P215" s="2" cm="1">
        <f t="array" aca="1" ref="P215" ca="1">INDIRECT("b" &amp; (N215+2))</f>
        <v>4.1500000000000003E+42</v>
      </c>
      <c r="Q215" s="5">
        <f t="shared" ca="1" si="19"/>
        <v>338775.51020408166</v>
      </c>
      <c r="S215" s="18">
        <v>336</v>
      </c>
      <c r="T215" s="18"/>
      <c r="U215" s="2" cm="1">
        <f t="array" aca="1" ref="U215" ca="1">INDIRECT("d" &amp; (S215+2))</f>
        <v>336</v>
      </c>
      <c r="V215" s="5">
        <f t="shared" ca="1" si="18"/>
        <v>2.7317073170731709</v>
      </c>
      <c r="W215">
        <v>213</v>
      </c>
      <c r="X215" s="18">
        <v>776</v>
      </c>
      <c r="Y215" s="18"/>
      <c r="Z215" s="2" cm="1">
        <f t="array" aca="1" ref="Z215" ca="1">INDIRECT("b" &amp; (X215+2))</f>
        <v>4.1500000000000003E+42</v>
      </c>
      <c r="AA215" s="5">
        <f t="shared" ca="1" si="20"/>
        <v>338775.51020408166</v>
      </c>
    </row>
    <row r="216" spans="1:27">
      <c r="A216">
        <v>214</v>
      </c>
      <c r="B216">
        <v>6E+19</v>
      </c>
      <c r="D216" s="18">
        <v>214</v>
      </c>
      <c r="E216" s="18" cm="1">
        <f t="array" aca="1" ref="E216" ca="1">INDIRECT("b"&amp;F216+2)</f>
        <v>1.4499999999999998E+40</v>
      </c>
      <c r="F216" s="18">
        <f t="shared" si="17"/>
        <v>684</v>
      </c>
      <c r="G216" s="18"/>
      <c r="H216" s="18"/>
      <c r="I216" s="19">
        <v>214</v>
      </c>
      <c r="J216" s="19" cm="1">
        <f t="array" aca="1" ref="J216" ca="1">INDIRECT("b"&amp;K216+2)</f>
        <v>1.4499999999999999E+69</v>
      </c>
      <c r="K216" s="19">
        <f t="shared" si="21"/>
        <v>1884</v>
      </c>
      <c r="N216" s="18">
        <v>777</v>
      </c>
      <c r="O216" s="18"/>
      <c r="P216" s="2" cm="1">
        <f t="array" aca="1" ref="P216" ca="1">INDIRECT("b" &amp; (N216+2))</f>
        <v>4.3750000000000001E+42</v>
      </c>
      <c r="Q216" s="5">
        <f t="shared" ca="1" si="19"/>
        <v>357142.8571428571</v>
      </c>
      <c r="S216" s="18">
        <v>337</v>
      </c>
      <c r="T216" s="18"/>
      <c r="U216" s="2" cm="1">
        <f t="array" aca="1" ref="U216" ca="1">INDIRECT("d" &amp; (S216+2))</f>
        <v>337</v>
      </c>
      <c r="V216" s="5">
        <f t="shared" ca="1" si="18"/>
        <v>2.7398373983739837</v>
      </c>
      <c r="W216">
        <v>214</v>
      </c>
      <c r="X216" s="18">
        <v>777</v>
      </c>
      <c r="Y216" s="18"/>
      <c r="Z216" s="2" cm="1">
        <f t="array" aca="1" ref="Z216" ca="1">INDIRECT("b" &amp; (X216+2))</f>
        <v>4.3750000000000001E+42</v>
      </c>
      <c r="AA216" s="5">
        <f t="shared" ca="1" si="20"/>
        <v>357142.8571428571</v>
      </c>
    </row>
    <row r="217" spans="1:27">
      <c r="A217">
        <v>215</v>
      </c>
      <c r="B217">
        <v>6.5E+19</v>
      </c>
      <c r="D217" s="18">
        <v>215</v>
      </c>
      <c r="E217" s="18" cm="1">
        <f t="array" aca="1" ref="E217" ca="1">INDIRECT("b"&amp;F217+2)</f>
        <v>1.6750000000000001E+40</v>
      </c>
      <c r="F217" s="18">
        <f t="shared" si="17"/>
        <v>685</v>
      </c>
      <c r="G217" s="18"/>
      <c r="H217" s="18"/>
      <c r="I217" s="19">
        <v>215</v>
      </c>
      <c r="J217" s="19" cm="1">
        <f t="array" aca="1" ref="J217" ca="1">INDIRECT("b"&amp;K217+2)</f>
        <v>1.6749999999999998E+69</v>
      </c>
      <c r="K217" s="19">
        <f t="shared" si="21"/>
        <v>1885</v>
      </c>
      <c r="N217" s="18">
        <v>778</v>
      </c>
      <c r="O217" s="18"/>
      <c r="P217" s="2" cm="1">
        <f t="array" aca="1" ref="P217" ca="1">INDIRECT("b" &amp; (N217+2))</f>
        <v>4.6E+42</v>
      </c>
      <c r="Q217" s="5">
        <f t="shared" ca="1" si="19"/>
        <v>375510.2040816326</v>
      </c>
      <c r="S217" s="18">
        <v>338</v>
      </c>
      <c r="T217" s="18"/>
      <c r="U217" s="2" cm="1">
        <f t="array" aca="1" ref="U217" ca="1">INDIRECT("d" &amp; (S217+2))</f>
        <v>338</v>
      </c>
      <c r="V217" s="5">
        <f t="shared" ca="1" si="18"/>
        <v>2.7479674796747968</v>
      </c>
      <c r="W217">
        <v>215</v>
      </c>
      <c r="X217" s="18">
        <v>778</v>
      </c>
      <c r="Y217" s="18"/>
      <c r="Z217" s="2" cm="1">
        <f t="array" aca="1" ref="Z217" ca="1">INDIRECT("b" &amp; (X217+2))</f>
        <v>4.6E+42</v>
      </c>
      <c r="AA217" s="5">
        <f t="shared" ca="1" si="20"/>
        <v>375510.2040816326</v>
      </c>
    </row>
    <row r="218" spans="1:27">
      <c r="A218">
        <v>216</v>
      </c>
      <c r="B218">
        <v>7E+19</v>
      </c>
      <c r="D218" s="18">
        <v>216</v>
      </c>
      <c r="E218" s="18" cm="1">
        <f t="array" aca="1" ref="E218" ca="1">INDIRECT("b"&amp;F218+2)</f>
        <v>1.9000000000000003E+40</v>
      </c>
      <c r="F218" s="18">
        <f t="shared" si="17"/>
        <v>686</v>
      </c>
      <c r="G218" s="18"/>
      <c r="H218" s="18"/>
      <c r="I218" s="19">
        <v>216</v>
      </c>
      <c r="J218" s="19" cm="1">
        <f t="array" aca="1" ref="J218" ca="1">INDIRECT("b"&amp;K218+2)</f>
        <v>1.8999999999999998E+69</v>
      </c>
      <c r="K218" s="19">
        <f t="shared" si="21"/>
        <v>1886</v>
      </c>
      <c r="N218" s="18">
        <v>779</v>
      </c>
      <c r="O218" s="18"/>
      <c r="P218" s="2" cm="1">
        <f t="array" aca="1" ref="P218" ca="1">INDIRECT("b" &amp; (N218+2))</f>
        <v>4.8250000000000011E+42</v>
      </c>
      <c r="Q218" s="5">
        <f t="shared" ca="1" si="19"/>
        <v>393877.55102040822</v>
      </c>
      <c r="S218" s="18">
        <v>339</v>
      </c>
      <c r="T218" s="18"/>
      <c r="U218" s="2" cm="1">
        <f t="array" aca="1" ref="U218" ca="1">INDIRECT("d" &amp; (S218+2))</f>
        <v>339</v>
      </c>
      <c r="V218" s="5">
        <f t="shared" ca="1" si="18"/>
        <v>2.7560975609756095</v>
      </c>
      <c r="W218">
        <v>216</v>
      </c>
      <c r="X218" s="18">
        <v>779</v>
      </c>
      <c r="Y218" s="18"/>
      <c r="Z218" s="2" cm="1">
        <f t="array" aca="1" ref="Z218" ca="1">INDIRECT("b" &amp; (X218+2))</f>
        <v>4.8250000000000011E+42</v>
      </c>
      <c r="AA218" s="5">
        <f t="shared" ca="1" si="20"/>
        <v>393877.55102040822</v>
      </c>
    </row>
    <row r="219" spans="1:27">
      <c r="A219">
        <v>217</v>
      </c>
      <c r="B219">
        <v>7.5E+19</v>
      </c>
      <c r="D219" s="18">
        <v>217</v>
      </c>
      <c r="E219" s="18" cm="1">
        <f t="array" aca="1" ref="E219" ca="1">INDIRECT("b"&amp;F219+2)</f>
        <v>2.3500000000000002E+40</v>
      </c>
      <c r="F219" s="18">
        <f t="shared" si="17"/>
        <v>688</v>
      </c>
      <c r="G219" s="18"/>
      <c r="H219" s="18"/>
      <c r="I219" s="19">
        <v>217</v>
      </c>
      <c r="J219" s="19" cm="1">
        <f t="array" aca="1" ref="J219" ca="1">INDIRECT("b"&amp;K219+2)</f>
        <v>2.35E+69</v>
      </c>
      <c r="K219" s="19">
        <f t="shared" si="21"/>
        <v>1888</v>
      </c>
      <c r="N219" s="18">
        <v>780</v>
      </c>
      <c r="O219" s="18"/>
      <c r="P219" s="2" cm="1">
        <f t="array" aca="1" ref="P219" ca="1">INDIRECT("b" &amp; (N219+2))</f>
        <v>5.0499999999999997E+42</v>
      </c>
      <c r="Q219" s="5">
        <f t="shared" ca="1" si="19"/>
        <v>412244.89795918361</v>
      </c>
      <c r="S219" s="18">
        <v>340</v>
      </c>
      <c r="T219" s="18"/>
      <c r="U219" s="2" cm="1">
        <f t="array" aca="1" ref="U219" ca="1">INDIRECT("d" &amp; (S219+2))</f>
        <v>340</v>
      </c>
      <c r="V219" s="5">
        <f t="shared" ca="1" si="18"/>
        <v>2.7642276422764227</v>
      </c>
      <c r="W219">
        <v>217</v>
      </c>
      <c r="X219" s="18">
        <v>780</v>
      </c>
      <c r="Y219" s="18"/>
      <c r="Z219" s="2" cm="1">
        <f t="array" aca="1" ref="Z219" ca="1">INDIRECT("b" &amp; (X219+2))</f>
        <v>5.0499999999999997E+42</v>
      </c>
      <c r="AA219" s="5">
        <f t="shared" ca="1" si="20"/>
        <v>412244.89795918361</v>
      </c>
    </row>
    <row r="220" spans="1:27">
      <c r="A220">
        <v>218</v>
      </c>
      <c r="B220">
        <v>8E+19</v>
      </c>
      <c r="D220" s="18">
        <v>218</v>
      </c>
      <c r="E220" s="18" cm="1">
        <f t="array" aca="1" ref="E220" ca="1">INDIRECT("b"&amp;F220+2)</f>
        <v>2.5749999999999997E+40</v>
      </c>
      <c r="F220" s="18">
        <f t="shared" si="17"/>
        <v>689</v>
      </c>
      <c r="G220" s="18"/>
      <c r="H220" s="18"/>
      <c r="I220" s="19">
        <v>218</v>
      </c>
      <c r="J220" s="19" cm="1">
        <f t="array" aca="1" ref="J220" ca="1">INDIRECT("b"&amp;K220+2)</f>
        <v>2.5749999999999999E+69</v>
      </c>
      <c r="K220" s="19">
        <f t="shared" si="21"/>
        <v>1889</v>
      </c>
      <c r="N220" s="18">
        <v>781</v>
      </c>
      <c r="O220" s="18"/>
      <c r="P220" s="2" cm="1">
        <f t="array" aca="1" ref="P220" ca="1">INDIRECT("b" &amp; (N220+2))</f>
        <v>5.2749999999999995E+42</v>
      </c>
      <c r="Q220" s="5">
        <f t="shared" ca="1" si="19"/>
        <v>430612.24489795911</v>
      </c>
      <c r="S220" s="18">
        <v>341</v>
      </c>
      <c r="T220" s="18"/>
      <c r="U220" s="2" cm="1">
        <f t="array" aca="1" ref="U220" ca="1">INDIRECT("d" &amp; (S220+2))</f>
        <v>341</v>
      </c>
      <c r="V220" s="5">
        <f t="shared" ca="1" si="18"/>
        <v>2.7723577235772359</v>
      </c>
      <c r="W220">
        <v>218</v>
      </c>
      <c r="X220" s="18">
        <v>781</v>
      </c>
      <c r="Y220" s="18"/>
      <c r="Z220" s="2" cm="1">
        <f t="array" aca="1" ref="Z220" ca="1">INDIRECT("b" &amp; (X220+2))</f>
        <v>5.2749999999999995E+42</v>
      </c>
      <c r="AA220" s="5">
        <f t="shared" ca="1" si="20"/>
        <v>430612.24489795911</v>
      </c>
    </row>
    <row r="221" spans="1:27">
      <c r="A221">
        <v>219</v>
      </c>
      <c r="B221">
        <v>8.5E+19</v>
      </c>
      <c r="D221" s="18">
        <v>219</v>
      </c>
      <c r="E221" s="18" cm="1">
        <f t="array" aca="1" ref="E221" ca="1">INDIRECT("b"&amp;F221+2)</f>
        <v>2.8000000000000001E+40</v>
      </c>
      <c r="F221" s="18">
        <f t="shared" si="17"/>
        <v>690</v>
      </c>
      <c r="G221" s="18"/>
      <c r="H221" s="18"/>
      <c r="I221" s="19">
        <v>219</v>
      </c>
      <c r="J221" s="19" cm="1">
        <f t="array" aca="1" ref="J221" ca="1">INDIRECT("b"&amp;K221+2)</f>
        <v>2.7999999999999998E+69</v>
      </c>
      <c r="K221" s="19">
        <f t="shared" si="21"/>
        <v>1890</v>
      </c>
      <c r="N221" s="18">
        <v>782</v>
      </c>
      <c r="O221" s="18"/>
      <c r="P221" s="2" cm="1">
        <f t="array" aca="1" ref="P221" ca="1">INDIRECT("b" &amp; (N221+2))</f>
        <v>5.5E+42</v>
      </c>
      <c r="Q221" s="5">
        <f t="shared" ca="1" si="19"/>
        <v>448979.59183673467</v>
      </c>
      <c r="S221" s="18">
        <v>342</v>
      </c>
      <c r="T221" s="18"/>
      <c r="U221" s="2" cm="1">
        <f t="array" aca="1" ref="U221" ca="1">INDIRECT("d" &amp; (S221+2))</f>
        <v>342</v>
      </c>
      <c r="V221" s="5">
        <f t="shared" ca="1" si="18"/>
        <v>2.7804878048780486</v>
      </c>
      <c r="W221">
        <v>219</v>
      </c>
      <c r="X221" s="18">
        <v>782</v>
      </c>
      <c r="Y221" s="18"/>
      <c r="Z221" s="2" cm="1">
        <f t="array" aca="1" ref="Z221" ca="1">INDIRECT("b" &amp; (X221+2))</f>
        <v>5.5E+42</v>
      </c>
      <c r="AA221" s="5">
        <f t="shared" ca="1" si="20"/>
        <v>448979.59183673467</v>
      </c>
    </row>
    <row r="222" spans="1:27">
      <c r="A222">
        <v>220</v>
      </c>
      <c r="B222">
        <v>9E+19</v>
      </c>
      <c r="D222" s="18">
        <v>220</v>
      </c>
      <c r="E222" s="18" cm="1">
        <f t="array" aca="1" ref="E222" ca="1">INDIRECT("b"&amp;F222+2)</f>
        <v>3.2499999999999996E+40</v>
      </c>
      <c r="F222" s="18">
        <f t="shared" si="17"/>
        <v>692</v>
      </c>
      <c r="G222" s="18"/>
      <c r="H222" s="18"/>
      <c r="I222" s="19">
        <v>220</v>
      </c>
      <c r="J222" s="19" cm="1">
        <f t="array" aca="1" ref="J222" ca="1">INDIRECT("b"&amp;K222+2)</f>
        <v>3.2499999999999997E+69</v>
      </c>
      <c r="K222" s="19">
        <f t="shared" si="21"/>
        <v>1892</v>
      </c>
      <c r="N222" s="18">
        <v>783</v>
      </c>
      <c r="O222" s="18"/>
      <c r="P222" s="2" cm="1">
        <f t="array" aca="1" ref="P222" ca="1">INDIRECT("b" &amp; (N222+2))</f>
        <v>5.7250000000000005E+42</v>
      </c>
      <c r="Q222" s="5">
        <f t="shared" ca="1" si="19"/>
        <v>467346.93877551018</v>
      </c>
      <c r="S222" s="18">
        <v>343</v>
      </c>
      <c r="T222" s="18"/>
      <c r="U222" s="2" cm="1">
        <f t="array" aca="1" ref="U222" ca="1">INDIRECT("d" &amp; (S222+2))</f>
        <v>343</v>
      </c>
      <c r="V222" s="5">
        <f t="shared" ca="1" si="18"/>
        <v>2.7886178861788617</v>
      </c>
      <c r="W222">
        <v>220</v>
      </c>
      <c r="X222" s="18">
        <v>783</v>
      </c>
      <c r="Y222" s="18"/>
      <c r="Z222" s="2" cm="1">
        <f t="array" aca="1" ref="Z222" ca="1">INDIRECT("b" &amp; (X222+2))</f>
        <v>5.7250000000000005E+42</v>
      </c>
      <c r="AA222" s="5">
        <f t="shared" ca="1" si="20"/>
        <v>467346.93877551018</v>
      </c>
    </row>
    <row r="223" spans="1:27">
      <c r="A223">
        <v>221</v>
      </c>
      <c r="B223">
        <v>9.5E+19</v>
      </c>
      <c r="D223" s="18">
        <v>221</v>
      </c>
      <c r="E223" s="18" cm="1">
        <f t="array" aca="1" ref="E223" ca="1">INDIRECT("b"&amp;F223+2)</f>
        <v>3.475E+40</v>
      </c>
      <c r="F223" s="18">
        <f t="shared" si="17"/>
        <v>693</v>
      </c>
      <c r="G223" s="18"/>
      <c r="H223" s="18"/>
      <c r="I223" s="19">
        <v>221</v>
      </c>
      <c r="J223" s="19" cm="1">
        <f t="array" aca="1" ref="J223" ca="1">INDIRECT("b"&amp;K223+2)</f>
        <v>3.4749999999999996E+69</v>
      </c>
      <c r="K223" s="19">
        <f t="shared" si="21"/>
        <v>1893</v>
      </c>
      <c r="N223" s="18">
        <v>784</v>
      </c>
      <c r="O223" s="18"/>
      <c r="P223" s="2" cm="1">
        <f t="array" aca="1" ref="P223" ca="1">INDIRECT("b" &amp; (N223+2))</f>
        <v>5.9500000000000003E+42</v>
      </c>
      <c r="Q223" s="5">
        <f t="shared" ca="1" si="19"/>
        <v>485714.28571428568</v>
      </c>
      <c r="S223" s="18">
        <v>344</v>
      </c>
      <c r="T223" s="18"/>
      <c r="U223" s="2" cm="1">
        <f t="array" aca="1" ref="U223" ca="1">INDIRECT("d" &amp; (S223+2))</f>
        <v>344</v>
      </c>
      <c r="V223" s="5">
        <f t="shared" ca="1" si="18"/>
        <v>2.7967479674796749</v>
      </c>
      <c r="W223">
        <v>221</v>
      </c>
      <c r="X223" s="18">
        <v>784</v>
      </c>
      <c r="Y223" s="18"/>
      <c r="Z223" s="2" cm="1">
        <f t="array" aca="1" ref="Z223" ca="1">INDIRECT("b" &amp; (X223+2))</f>
        <v>5.9500000000000003E+42</v>
      </c>
      <c r="AA223" s="5">
        <f t="shared" ca="1" si="20"/>
        <v>485714.28571428568</v>
      </c>
    </row>
    <row r="224" spans="1:27">
      <c r="A224">
        <v>222</v>
      </c>
      <c r="B224">
        <v>1E+20</v>
      </c>
      <c r="D224" s="18">
        <v>222</v>
      </c>
      <c r="E224" s="18" cm="1">
        <f t="array" aca="1" ref="E224" ca="1">INDIRECT("b"&amp;F224+2)</f>
        <v>3.7E+40</v>
      </c>
      <c r="F224" s="18">
        <f t="shared" si="17"/>
        <v>694</v>
      </c>
      <c r="G224" s="18"/>
      <c r="H224" s="18"/>
      <c r="I224" s="19">
        <v>222</v>
      </c>
      <c r="J224" s="19" cm="1">
        <f t="array" aca="1" ref="J224" ca="1">INDIRECT("b"&amp;K224+2)</f>
        <v>3.6999999999999999E+69</v>
      </c>
      <c r="K224" s="19">
        <f t="shared" si="21"/>
        <v>1894</v>
      </c>
      <c r="N224" s="18">
        <v>785</v>
      </c>
      <c r="O224" s="18"/>
      <c r="P224" s="2" cm="1">
        <f t="array" aca="1" ref="P224" ca="1">INDIRECT("b" &amp; (N224+2))</f>
        <v>6.1750000000000002E+42</v>
      </c>
      <c r="Q224" s="5">
        <f t="shared" ca="1" si="19"/>
        <v>504081.63265306118</v>
      </c>
      <c r="S224" s="18">
        <v>345</v>
      </c>
      <c r="T224" s="18"/>
      <c r="U224" s="2" cm="1">
        <f t="array" aca="1" ref="U224" ca="1">INDIRECT("d" &amp; (S224+2))</f>
        <v>345</v>
      </c>
      <c r="V224" s="5">
        <f t="shared" ca="1" si="18"/>
        <v>2.8048780487804876</v>
      </c>
      <c r="W224">
        <v>222</v>
      </c>
      <c r="X224" s="18">
        <v>785</v>
      </c>
      <c r="Y224" s="18"/>
      <c r="Z224" s="2" cm="1">
        <f t="array" aca="1" ref="Z224" ca="1">INDIRECT("b" &amp; (X224+2))</f>
        <v>6.1750000000000002E+42</v>
      </c>
      <c r="AA224" s="5">
        <f t="shared" ca="1" si="20"/>
        <v>504081.63265306118</v>
      </c>
    </row>
    <row r="225" spans="1:27">
      <c r="A225">
        <v>223</v>
      </c>
      <c r="B225">
        <v>1.05E+20</v>
      </c>
      <c r="D225" s="18">
        <v>223</v>
      </c>
      <c r="E225" s="18" cm="1">
        <f t="array" aca="1" ref="E225" ca="1">INDIRECT("b"&amp;F225+2)</f>
        <v>4.1500000000000004E+40</v>
      </c>
      <c r="F225" s="18">
        <f t="shared" si="17"/>
        <v>696</v>
      </c>
      <c r="G225" s="18"/>
      <c r="H225" s="18"/>
      <c r="I225" s="19">
        <v>223</v>
      </c>
      <c r="J225" s="19" cm="1">
        <f t="array" aca="1" ref="J225" ca="1">INDIRECT("b"&amp;K225+2)</f>
        <v>4.1499999999999997E+69</v>
      </c>
      <c r="K225" s="19">
        <f t="shared" si="21"/>
        <v>1896</v>
      </c>
      <c r="N225" s="18">
        <v>786</v>
      </c>
      <c r="O225" s="18"/>
      <c r="P225" s="2" cm="1">
        <f t="array" aca="1" ref="P225" ca="1">INDIRECT("b" &amp; (N225+2))</f>
        <v>6.4E+42</v>
      </c>
      <c r="Q225" s="5">
        <f t="shared" ca="1" si="19"/>
        <v>522448.97959183669</v>
      </c>
      <c r="S225" s="18">
        <v>346</v>
      </c>
      <c r="T225" s="18"/>
      <c r="U225" s="2" cm="1">
        <f t="array" aca="1" ref="U225" ca="1">INDIRECT("d" &amp; (S225+2))</f>
        <v>346</v>
      </c>
      <c r="V225" s="5">
        <f t="shared" ca="1" si="18"/>
        <v>2.8130081300813008</v>
      </c>
      <c r="W225">
        <v>223</v>
      </c>
      <c r="X225" s="18">
        <v>786</v>
      </c>
      <c r="Y225" s="18"/>
      <c r="Z225" s="2" cm="1">
        <f t="array" aca="1" ref="Z225" ca="1">INDIRECT("b" &amp; (X225+2))</f>
        <v>6.4E+42</v>
      </c>
      <c r="AA225" s="5">
        <f t="shared" ca="1" si="20"/>
        <v>522448.97959183669</v>
      </c>
    </row>
    <row r="226" spans="1:27">
      <c r="A226">
        <v>224</v>
      </c>
      <c r="B226">
        <v>1.1E+20</v>
      </c>
      <c r="D226" s="18">
        <v>224</v>
      </c>
      <c r="E226" s="18" cm="1">
        <f t="array" aca="1" ref="E226" ca="1">INDIRECT("b"&amp;F226+2)</f>
        <v>4.3749999999999999E+40</v>
      </c>
      <c r="F226" s="18">
        <f t="shared" si="17"/>
        <v>697</v>
      </c>
      <c r="G226" s="18"/>
      <c r="H226" s="18"/>
      <c r="I226" s="19">
        <v>224</v>
      </c>
      <c r="J226" s="19" cm="1">
        <f t="array" aca="1" ref="J226" ca="1">INDIRECT("b"&amp;K226+2)</f>
        <v>4.375E+69</v>
      </c>
      <c r="K226" s="19">
        <f t="shared" si="21"/>
        <v>1897</v>
      </c>
      <c r="N226" s="18">
        <v>787</v>
      </c>
      <c r="O226" s="18"/>
      <c r="P226" s="2" cm="1">
        <f t="array" aca="1" ref="P226" ca="1">INDIRECT("b" &amp; (N226+2))</f>
        <v>6.6250000000000011E+42</v>
      </c>
      <c r="Q226" s="5">
        <f t="shared" ca="1" si="19"/>
        <v>540816.32653061231</v>
      </c>
      <c r="S226" s="18">
        <v>347</v>
      </c>
      <c r="T226" s="18"/>
      <c r="U226" s="2" cm="1">
        <f t="array" aca="1" ref="U226" ca="1">INDIRECT("d" &amp; (S226+2))</f>
        <v>347</v>
      </c>
      <c r="V226" s="5">
        <f t="shared" ca="1" si="18"/>
        <v>2.821138211382114</v>
      </c>
      <c r="W226">
        <v>224</v>
      </c>
      <c r="X226" s="18">
        <v>787</v>
      </c>
      <c r="Y226" s="18"/>
      <c r="Z226" s="2" cm="1">
        <f t="array" aca="1" ref="Z226" ca="1">INDIRECT("b" &amp; (X226+2))</f>
        <v>6.6250000000000011E+42</v>
      </c>
      <c r="AA226" s="5">
        <f t="shared" ca="1" si="20"/>
        <v>540816.32653061231</v>
      </c>
    </row>
    <row r="227" spans="1:27">
      <c r="A227">
        <v>225</v>
      </c>
      <c r="B227">
        <v>1.5E+20</v>
      </c>
      <c r="D227" s="18">
        <v>225</v>
      </c>
      <c r="E227" s="18" cm="1">
        <f t="array" aca="1" ref="E227" ca="1">INDIRECT("b"&amp;F227+2)</f>
        <v>4.5999999999999999E+40</v>
      </c>
      <c r="F227" s="18">
        <f t="shared" si="17"/>
        <v>698</v>
      </c>
      <c r="G227" s="18"/>
      <c r="H227" s="18"/>
      <c r="I227" s="19">
        <v>225</v>
      </c>
      <c r="J227" s="19" cm="1">
        <f t="array" aca="1" ref="J227" ca="1">INDIRECT("b"&amp;K227+2)</f>
        <v>4.5999999999999996E+69</v>
      </c>
      <c r="K227" s="19">
        <f t="shared" si="21"/>
        <v>1898</v>
      </c>
      <c r="N227" s="18">
        <v>788</v>
      </c>
      <c r="O227" s="18"/>
      <c r="P227" s="2" cm="1">
        <f t="array" aca="1" ref="P227" ca="1">INDIRECT("b" &amp; (N227+2))</f>
        <v>6.850000000000001E+42</v>
      </c>
      <c r="Q227" s="5">
        <f t="shared" ca="1" si="19"/>
        <v>559183.67346938781</v>
      </c>
      <c r="S227" s="18">
        <v>348</v>
      </c>
      <c r="T227" s="18"/>
      <c r="U227" s="2" cm="1">
        <f t="array" aca="1" ref="U227" ca="1">INDIRECT("d" &amp; (S227+2))</f>
        <v>348</v>
      </c>
      <c r="V227" s="5">
        <f t="shared" ca="1" si="18"/>
        <v>2.8292682926829267</v>
      </c>
      <c r="W227">
        <v>225</v>
      </c>
      <c r="X227" s="18">
        <v>788</v>
      </c>
      <c r="Y227" s="18"/>
      <c r="Z227" s="2" cm="1">
        <f t="array" aca="1" ref="Z227" ca="1">INDIRECT("b" &amp; (X227+2))</f>
        <v>6.850000000000001E+42</v>
      </c>
      <c r="AA227" s="5">
        <f t="shared" ca="1" si="20"/>
        <v>559183.67346938781</v>
      </c>
    </row>
    <row r="228" spans="1:27">
      <c r="A228">
        <v>226</v>
      </c>
      <c r="B228">
        <v>2E+20</v>
      </c>
      <c r="D228" s="18">
        <v>226</v>
      </c>
      <c r="E228" s="18" cm="1">
        <f t="array" aca="1" ref="E228" ca="1">INDIRECT("b"&amp;F228+2)</f>
        <v>5.0499999999999998E+40</v>
      </c>
      <c r="F228" s="18">
        <f t="shared" si="17"/>
        <v>700</v>
      </c>
      <c r="G228" s="18"/>
      <c r="H228" s="18"/>
      <c r="I228" s="19">
        <v>226</v>
      </c>
      <c r="J228" s="19" cm="1">
        <f t="array" aca="1" ref="J228" ca="1">INDIRECT("b"&amp;K228+2)</f>
        <v>5.0499999999999994E+69</v>
      </c>
      <c r="K228" s="19">
        <f t="shared" si="21"/>
        <v>1900</v>
      </c>
      <c r="N228" s="18">
        <v>789</v>
      </c>
      <c r="O228" s="18"/>
      <c r="P228" s="2" cm="1">
        <f t="array" aca="1" ref="P228" ca="1">INDIRECT("b" &amp; (N228+2))</f>
        <v>7.0749999999999996E+42</v>
      </c>
      <c r="Q228" s="5">
        <f t="shared" ca="1" si="19"/>
        <v>577551.0204081632</v>
      </c>
      <c r="S228" s="18">
        <v>349</v>
      </c>
      <c r="T228" s="18"/>
      <c r="U228" s="2" cm="1">
        <f t="array" aca="1" ref="U228" ca="1">INDIRECT("d" &amp; (S228+2))</f>
        <v>349</v>
      </c>
      <c r="V228" s="5">
        <f t="shared" ca="1" si="18"/>
        <v>2.8373983739837398</v>
      </c>
      <c r="W228">
        <v>226</v>
      </c>
      <c r="X228" s="18">
        <v>789</v>
      </c>
      <c r="Y228" s="18"/>
      <c r="Z228" s="2" cm="1">
        <f t="array" aca="1" ref="Z228" ca="1">INDIRECT("b" &amp; (X228+2))</f>
        <v>7.0749999999999996E+42</v>
      </c>
      <c r="AA228" s="5">
        <f t="shared" ca="1" si="20"/>
        <v>577551.0204081632</v>
      </c>
    </row>
    <row r="229" spans="1:27">
      <c r="A229">
        <v>227</v>
      </c>
      <c r="B229">
        <v>2.5E+20</v>
      </c>
      <c r="D229" s="18">
        <v>227</v>
      </c>
      <c r="E229" s="18" cm="1">
        <f t="array" aca="1" ref="E229" ca="1">INDIRECT("b"&amp;F229+2)</f>
        <v>5.2749999999999998E+40</v>
      </c>
      <c r="F229" s="18">
        <f t="shared" si="17"/>
        <v>701</v>
      </c>
      <c r="G229" s="18"/>
      <c r="H229" s="18"/>
      <c r="I229" s="19">
        <v>227</v>
      </c>
      <c r="J229" s="19" cm="1">
        <f t="array" aca="1" ref="J229" ca="1">INDIRECT("b"&amp;K229+2)</f>
        <v>5.2749999999999997E+69</v>
      </c>
      <c r="K229" s="19">
        <f t="shared" si="21"/>
        <v>1901</v>
      </c>
      <c r="N229" s="18">
        <v>790</v>
      </c>
      <c r="O229" s="18"/>
      <c r="P229" s="2" cm="1">
        <f t="array" aca="1" ref="P229" ca="1">INDIRECT("b" &amp; (N229+2))</f>
        <v>7.3000000000000007E+42</v>
      </c>
      <c r="Q229" s="5">
        <f t="shared" ca="1" si="19"/>
        <v>595918.36734693882</v>
      </c>
      <c r="S229" s="18">
        <v>350</v>
      </c>
      <c r="T229" s="18"/>
      <c r="U229" s="2" cm="1">
        <f t="array" aca="1" ref="U229" ca="1">INDIRECT("d" &amp; (S229+2))</f>
        <v>350</v>
      </c>
      <c r="V229" s="5">
        <f t="shared" ca="1" si="18"/>
        <v>2.845528455284553</v>
      </c>
      <c r="W229">
        <v>227</v>
      </c>
      <c r="X229" s="18">
        <v>790</v>
      </c>
      <c r="Y229" s="18"/>
      <c r="Z229" s="2" cm="1">
        <f t="array" aca="1" ref="Z229" ca="1">INDIRECT("b" &amp; (X229+2))</f>
        <v>7.3000000000000007E+42</v>
      </c>
      <c r="AA229" s="5">
        <f t="shared" ca="1" si="20"/>
        <v>595918.36734693882</v>
      </c>
    </row>
    <row r="230" spans="1:27">
      <c r="A230">
        <v>228</v>
      </c>
      <c r="B230">
        <v>3E+20</v>
      </c>
      <c r="D230" s="18">
        <v>228</v>
      </c>
      <c r="E230" s="18" cm="1">
        <f t="array" aca="1" ref="E230" ca="1">INDIRECT("b"&amp;F230+2)</f>
        <v>5.4999999999999997E+40</v>
      </c>
      <c r="F230" s="18">
        <f t="shared" si="17"/>
        <v>702</v>
      </c>
      <c r="G230" s="18"/>
      <c r="H230" s="18"/>
      <c r="I230" s="19">
        <v>228</v>
      </c>
      <c r="J230" s="19" cm="1">
        <f t="array" aca="1" ref="J230" ca="1">INDIRECT("b"&amp;K230+2)</f>
        <v>5.5E+69</v>
      </c>
      <c r="K230" s="19">
        <f t="shared" si="21"/>
        <v>1902</v>
      </c>
      <c r="N230" s="18">
        <v>791</v>
      </c>
      <c r="O230" s="18"/>
      <c r="P230" s="2" cm="1">
        <f t="array" aca="1" ref="P230" ca="1">INDIRECT("b" &amp; (N230+2))</f>
        <v>7.5249999999999993E+42</v>
      </c>
      <c r="Q230" s="5">
        <f t="shared" ca="1" si="19"/>
        <v>614285.7142857142</v>
      </c>
      <c r="S230" s="18">
        <v>351</v>
      </c>
      <c r="T230" s="18"/>
      <c r="U230" s="2" cm="1">
        <f t="array" aca="1" ref="U230" ca="1">INDIRECT("d" &amp; (S230+2))</f>
        <v>351</v>
      </c>
      <c r="V230" s="5">
        <f t="shared" ca="1" si="18"/>
        <v>2.8536585365853657</v>
      </c>
      <c r="W230">
        <v>228</v>
      </c>
      <c r="X230" s="18">
        <v>791</v>
      </c>
      <c r="Y230" s="18"/>
      <c r="Z230" s="2" cm="1">
        <f t="array" aca="1" ref="Z230" ca="1">INDIRECT("b" &amp; (X230+2))</f>
        <v>7.5249999999999993E+42</v>
      </c>
      <c r="AA230" s="5">
        <f t="shared" ca="1" si="20"/>
        <v>614285.7142857142</v>
      </c>
    </row>
    <row r="231" spans="1:27">
      <c r="A231">
        <v>229</v>
      </c>
      <c r="B231">
        <v>3.5E+20</v>
      </c>
      <c r="D231" s="18">
        <v>229</v>
      </c>
      <c r="E231" s="18" cm="1">
        <f t="array" aca="1" ref="E231" ca="1">INDIRECT("b"&amp;F231+2)</f>
        <v>5.9500000000000006E+40</v>
      </c>
      <c r="F231" s="18">
        <f t="shared" si="17"/>
        <v>704</v>
      </c>
      <c r="G231" s="18"/>
      <c r="H231" s="18"/>
      <c r="I231" s="19">
        <v>229</v>
      </c>
      <c r="J231" s="19" cm="1">
        <f t="array" aca="1" ref="J231" ca="1">INDIRECT("b"&amp;K231+2)</f>
        <v>5.9499999999999999E+69</v>
      </c>
      <c r="K231" s="19">
        <f t="shared" si="21"/>
        <v>1904</v>
      </c>
      <c r="N231" s="18">
        <v>792</v>
      </c>
      <c r="O231" s="18"/>
      <c r="P231" s="2" cm="1">
        <f t="array" aca="1" ref="P231" ca="1">INDIRECT("b" &amp; (N231+2))</f>
        <v>7.7500000000000004E+42</v>
      </c>
      <c r="Q231" s="5">
        <f t="shared" ca="1" si="19"/>
        <v>632653.06122448982</v>
      </c>
      <c r="S231" s="18">
        <v>352</v>
      </c>
      <c r="T231" s="18"/>
      <c r="U231" s="2" cm="1">
        <f t="array" aca="1" ref="U231" ca="1">INDIRECT("d" &amp; (S231+2))</f>
        <v>352</v>
      </c>
      <c r="V231" s="5">
        <f t="shared" ca="1" si="18"/>
        <v>2.8617886178861789</v>
      </c>
      <c r="W231">
        <v>229</v>
      </c>
      <c r="X231" s="18">
        <v>792</v>
      </c>
      <c r="Y231" s="18"/>
      <c r="Z231" s="2" cm="1">
        <f t="array" aca="1" ref="Z231" ca="1">INDIRECT("b" &amp; (X231+2))</f>
        <v>7.7500000000000004E+42</v>
      </c>
      <c r="AA231" s="5">
        <f t="shared" ca="1" si="20"/>
        <v>632653.06122448982</v>
      </c>
    </row>
    <row r="232" spans="1:27">
      <c r="A232">
        <v>230</v>
      </c>
      <c r="B232">
        <v>4E+20</v>
      </c>
      <c r="D232" s="18">
        <v>230</v>
      </c>
      <c r="E232" s="18" cm="1">
        <f t="array" aca="1" ref="E232" ca="1">INDIRECT("b"&amp;F232+2)</f>
        <v>6.1749999999999996E+40</v>
      </c>
      <c r="F232" s="18">
        <f t="shared" si="17"/>
        <v>705</v>
      </c>
      <c r="G232" s="18"/>
      <c r="H232" s="18"/>
      <c r="I232" s="19">
        <v>230</v>
      </c>
      <c r="J232" s="19" cm="1">
        <f t="array" aca="1" ref="J232" ca="1">INDIRECT("b"&amp;K232+2)</f>
        <v>6.1749999999999994E+69</v>
      </c>
      <c r="K232" s="19">
        <f t="shared" si="21"/>
        <v>1905</v>
      </c>
      <c r="N232" s="18">
        <v>793</v>
      </c>
      <c r="O232" s="18"/>
      <c r="P232" s="2" cm="1">
        <f t="array" aca="1" ref="P232" ca="1">INDIRECT("b" &amp; (N232+2))</f>
        <v>7.9750000000000002E+42</v>
      </c>
      <c r="Q232" s="5">
        <f t="shared" ca="1" si="19"/>
        <v>651020.40816326533</v>
      </c>
      <c r="S232" s="18">
        <v>353</v>
      </c>
      <c r="T232" s="18"/>
      <c r="U232" s="2" cm="1">
        <f t="array" aca="1" ref="U232" ca="1">INDIRECT("d" &amp; (S232+2))</f>
        <v>353</v>
      </c>
      <c r="V232" s="5">
        <f t="shared" ca="1" si="18"/>
        <v>2.8699186991869921</v>
      </c>
      <c r="W232">
        <v>230</v>
      </c>
      <c r="X232" s="18">
        <v>793</v>
      </c>
      <c r="Y232" s="18"/>
      <c r="Z232" s="2" cm="1">
        <f t="array" aca="1" ref="Z232" ca="1">INDIRECT("b" &amp; (X232+2))</f>
        <v>7.9750000000000002E+42</v>
      </c>
      <c r="AA232" s="5">
        <f t="shared" ca="1" si="20"/>
        <v>651020.40816326533</v>
      </c>
    </row>
    <row r="233" spans="1:27">
      <c r="A233">
        <v>231</v>
      </c>
      <c r="B233">
        <v>4.5E+20</v>
      </c>
      <c r="D233" s="18">
        <v>231</v>
      </c>
      <c r="E233" s="18" cm="1">
        <f t="array" aca="1" ref="E233" ca="1">INDIRECT("b"&amp;F233+2)</f>
        <v>6.3999999999999996E+40</v>
      </c>
      <c r="F233" s="18">
        <f t="shared" si="17"/>
        <v>706</v>
      </c>
      <c r="G233" s="18"/>
      <c r="H233" s="18"/>
      <c r="I233" s="19">
        <v>231</v>
      </c>
      <c r="J233" s="19" cm="1">
        <f t="array" aca="1" ref="J233" ca="1">INDIRECT("b"&amp;K233+2)</f>
        <v>6.3999999999999997E+69</v>
      </c>
      <c r="K233" s="19">
        <f t="shared" si="21"/>
        <v>1906</v>
      </c>
      <c r="N233" s="18">
        <v>794</v>
      </c>
      <c r="O233" s="18"/>
      <c r="P233" s="2" cm="1">
        <f t="array" aca="1" ref="P233" ca="1">INDIRECT("b" &amp; (N233+2))</f>
        <v>8.1999999999999989E+42</v>
      </c>
      <c r="Q233" s="5">
        <f t="shared" ca="1" si="19"/>
        <v>669387.75510204071</v>
      </c>
      <c r="S233" s="18">
        <v>354</v>
      </c>
      <c r="T233" s="18"/>
      <c r="U233" s="2" cm="1">
        <f t="array" aca="1" ref="U233" ca="1">INDIRECT("d" &amp; (S233+2))</f>
        <v>354</v>
      </c>
      <c r="V233" s="5">
        <f t="shared" ca="1" si="18"/>
        <v>2.8780487804878048</v>
      </c>
      <c r="W233">
        <v>231</v>
      </c>
      <c r="X233" s="18">
        <v>794</v>
      </c>
      <c r="Y233" s="18"/>
      <c r="Z233" s="2" cm="1">
        <f t="array" aca="1" ref="Z233" ca="1">INDIRECT("b" &amp; (X233+2))</f>
        <v>8.1999999999999989E+42</v>
      </c>
      <c r="AA233" s="5">
        <f t="shared" ca="1" si="20"/>
        <v>669387.75510204071</v>
      </c>
    </row>
    <row r="234" spans="1:27">
      <c r="A234">
        <v>232</v>
      </c>
      <c r="B234">
        <v>5E+20</v>
      </c>
      <c r="D234" s="18">
        <v>232</v>
      </c>
      <c r="E234" s="18" cm="1">
        <f t="array" aca="1" ref="E234" ca="1">INDIRECT("b"&amp;F234+2)</f>
        <v>6.8500000000000005E+40</v>
      </c>
      <c r="F234" s="18">
        <f t="shared" si="17"/>
        <v>708</v>
      </c>
      <c r="G234" s="18"/>
      <c r="H234" s="18"/>
      <c r="I234" s="19">
        <v>232</v>
      </c>
      <c r="J234" s="19" cm="1">
        <f t="array" aca="1" ref="J234" ca="1">INDIRECT("b"&amp;K234+2)</f>
        <v>6.8499999999999995E+69</v>
      </c>
      <c r="K234" s="19">
        <f t="shared" si="21"/>
        <v>1908</v>
      </c>
      <c r="N234" s="18">
        <v>795</v>
      </c>
      <c r="O234" s="18"/>
      <c r="P234" s="2" cm="1">
        <f t="array" aca="1" ref="P234" ca="1">INDIRECT("b" &amp; (N234+2))</f>
        <v>8.4249999999999999E+42</v>
      </c>
      <c r="Q234" s="5">
        <f t="shared" ca="1" si="19"/>
        <v>687755.10204081621</v>
      </c>
      <c r="S234" s="18">
        <v>355</v>
      </c>
      <c r="T234" s="18"/>
      <c r="U234" s="2" cm="1">
        <f t="array" aca="1" ref="U234" ca="1">INDIRECT("d" &amp; (S234+2))</f>
        <v>355</v>
      </c>
      <c r="V234" s="5">
        <f t="shared" ca="1" si="18"/>
        <v>2.8861788617886179</v>
      </c>
      <c r="W234">
        <v>232</v>
      </c>
      <c r="X234" s="18">
        <v>795</v>
      </c>
      <c r="Y234" s="18"/>
      <c r="Z234" s="2" cm="1">
        <f t="array" aca="1" ref="Z234" ca="1">INDIRECT("b" &amp; (X234+2))</f>
        <v>8.4249999999999999E+42</v>
      </c>
      <c r="AA234" s="5">
        <f t="shared" ca="1" si="20"/>
        <v>687755.10204081621</v>
      </c>
    </row>
    <row r="235" spans="1:27">
      <c r="A235">
        <v>233</v>
      </c>
      <c r="B235">
        <v>5.5E+20</v>
      </c>
      <c r="D235" s="18">
        <v>233</v>
      </c>
      <c r="E235" s="18" cm="1">
        <f t="array" aca="1" ref="E235" ca="1">INDIRECT("b"&amp;F235+2)</f>
        <v>7.0749999999999995E+40</v>
      </c>
      <c r="F235" s="18">
        <f t="shared" si="17"/>
        <v>709</v>
      </c>
      <c r="G235" s="18"/>
      <c r="H235" s="18"/>
      <c r="I235" s="19">
        <v>233</v>
      </c>
      <c r="J235" s="19" cm="1">
        <f t="array" aca="1" ref="J235" ca="1">INDIRECT("b"&amp;K235+2)</f>
        <v>7.0749999999999998E+69</v>
      </c>
      <c r="K235" s="19">
        <f t="shared" si="21"/>
        <v>1909</v>
      </c>
      <c r="N235" s="18">
        <v>796</v>
      </c>
      <c r="O235" s="18"/>
      <c r="P235" s="2" cm="1">
        <f t="array" aca="1" ref="P235" ca="1">INDIRECT("b" &amp; (N235+2))</f>
        <v>8.6499999999999998E+42</v>
      </c>
      <c r="Q235" s="5">
        <f t="shared" ca="1" si="19"/>
        <v>706122.44897959172</v>
      </c>
      <c r="S235" s="18">
        <v>356</v>
      </c>
      <c r="T235" s="18"/>
      <c r="U235" s="2" cm="1">
        <f t="array" aca="1" ref="U235" ca="1">INDIRECT("d" &amp; (S235+2))</f>
        <v>356</v>
      </c>
      <c r="V235" s="5">
        <f t="shared" ca="1" si="18"/>
        <v>2.8943089430894311</v>
      </c>
      <c r="W235">
        <v>233</v>
      </c>
      <c r="X235" s="18">
        <v>796</v>
      </c>
      <c r="Y235" s="18"/>
      <c r="Z235" s="2" cm="1">
        <f t="array" aca="1" ref="Z235" ca="1">INDIRECT("b" &amp; (X235+2))</f>
        <v>8.6499999999999998E+42</v>
      </c>
      <c r="AA235" s="5">
        <f t="shared" ca="1" si="20"/>
        <v>706122.44897959172</v>
      </c>
    </row>
    <row r="236" spans="1:27">
      <c r="A236">
        <v>234</v>
      </c>
      <c r="B236">
        <v>6E+20</v>
      </c>
      <c r="D236" s="18">
        <v>234</v>
      </c>
      <c r="E236" s="18" cm="1">
        <f t="array" aca="1" ref="E236" ca="1">INDIRECT("b"&amp;F236+2)</f>
        <v>7.3000000000000005E+40</v>
      </c>
      <c r="F236" s="18">
        <f t="shared" si="17"/>
        <v>710</v>
      </c>
      <c r="G236" s="18"/>
      <c r="H236" s="18"/>
      <c r="I236" s="19">
        <v>234</v>
      </c>
      <c r="J236" s="19" cm="1">
        <f t="array" aca="1" ref="J236" ca="1">INDIRECT("b"&amp;K236+2)</f>
        <v>7.3000000000000001E+69</v>
      </c>
      <c r="K236" s="19">
        <f t="shared" si="21"/>
        <v>1910</v>
      </c>
      <c r="N236" s="18">
        <v>797</v>
      </c>
      <c r="O236" s="18"/>
      <c r="P236" s="2" cm="1">
        <f t="array" aca="1" ref="P236" ca="1">INDIRECT("b" &amp; (N236+2))</f>
        <v>8.8749999999999996E+42</v>
      </c>
      <c r="Q236" s="5">
        <f t="shared" ca="1" si="19"/>
        <v>724489.79591836722</v>
      </c>
      <c r="S236" s="18">
        <v>357</v>
      </c>
      <c r="T236" s="18"/>
      <c r="U236" s="2" cm="1">
        <f t="array" aca="1" ref="U236" ca="1">INDIRECT("d" &amp; (S236+2))</f>
        <v>357</v>
      </c>
      <c r="V236" s="5">
        <f t="shared" ca="1" si="18"/>
        <v>2.9024390243902438</v>
      </c>
      <c r="W236">
        <v>234</v>
      </c>
      <c r="X236" s="18">
        <v>797</v>
      </c>
      <c r="Y236" s="18"/>
      <c r="Z236" s="2" cm="1">
        <f t="array" aca="1" ref="Z236" ca="1">INDIRECT("b" &amp; (X236+2))</f>
        <v>8.8749999999999996E+42</v>
      </c>
      <c r="AA236" s="5">
        <f t="shared" ca="1" si="20"/>
        <v>724489.79591836722</v>
      </c>
    </row>
    <row r="237" spans="1:27">
      <c r="A237">
        <v>235</v>
      </c>
      <c r="B237">
        <v>6.5E+20</v>
      </c>
      <c r="D237" s="18">
        <v>235</v>
      </c>
      <c r="E237" s="18" cm="1">
        <f t="array" aca="1" ref="E237" ca="1">INDIRECT("b"&amp;F237+2)</f>
        <v>7.7500000000000004E+40</v>
      </c>
      <c r="F237" s="18">
        <f t="shared" si="17"/>
        <v>712</v>
      </c>
      <c r="G237" s="18"/>
      <c r="H237" s="18"/>
      <c r="I237" s="19">
        <v>235</v>
      </c>
      <c r="J237" s="19" cm="1">
        <f t="array" aca="1" ref="J237" ca="1">INDIRECT("b"&amp;K237+2)</f>
        <v>7.7499999999999992E+69</v>
      </c>
      <c r="K237" s="19">
        <f t="shared" si="21"/>
        <v>1912</v>
      </c>
      <c r="N237" s="18">
        <v>798</v>
      </c>
      <c r="O237" s="18"/>
      <c r="P237" s="2" cm="1">
        <f t="array" aca="1" ref="P237" ca="1">INDIRECT("b" &amp; (N237+2))</f>
        <v>9.0999999999999983E+42</v>
      </c>
      <c r="Q237" s="5">
        <f t="shared" ca="1" si="19"/>
        <v>742857.14285714261</v>
      </c>
      <c r="S237" s="18">
        <v>358</v>
      </c>
      <c r="T237" s="18"/>
      <c r="U237" s="2" cm="1">
        <f t="array" aca="1" ref="U237" ca="1">INDIRECT("d" &amp; (S237+2))</f>
        <v>358</v>
      </c>
      <c r="V237" s="5">
        <f t="shared" ca="1" si="18"/>
        <v>2.910569105691057</v>
      </c>
      <c r="W237">
        <v>235</v>
      </c>
      <c r="X237" s="18">
        <v>798</v>
      </c>
      <c r="Y237" s="18"/>
      <c r="Z237" s="2" cm="1">
        <f t="array" aca="1" ref="Z237" ca="1">INDIRECT("b" &amp; (X237+2))</f>
        <v>9.0999999999999983E+42</v>
      </c>
      <c r="AA237" s="5">
        <f t="shared" ca="1" si="20"/>
        <v>742857.14285714261</v>
      </c>
    </row>
    <row r="238" spans="1:27">
      <c r="A238">
        <v>236</v>
      </c>
      <c r="B238">
        <v>7E+20</v>
      </c>
      <c r="D238" s="18">
        <v>236</v>
      </c>
      <c r="E238" s="18" cm="1">
        <f t="array" aca="1" ref="E238" ca="1">INDIRECT("b"&amp;F238+2)</f>
        <v>7.9750000000000004E+40</v>
      </c>
      <c r="F238" s="18">
        <f t="shared" si="17"/>
        <v>713</v>
      </c>
      <c r="G238" s="18"/>
      <c r="H238" s="18"/>
      <c r="I238" s="19">
        <v>236</v>
      </c>
      <c r="J238" s="19" cm="1">
        <f t="array" aca="1" ref="J238" ca="1">INDIRECT("b"&amp;K238+2)</f>
        <v>7.9749999999999995E+69</v>
      </c>
      <c r="K238" s="19">
        <f t="shared" si="21"/>
        <v>1913</v>
      </c>
      <c r="N238" s="18">
        <v>799</v>
      </c>
      <c r="O238" s="18"/>
      <c r="P238" s="2" cm="1">
        <f t="array" aca="1" ref="P238" ca="1">INDIRECT("b" &amp; (N238+2))</f>
        <v>9.3249999999999993E+42</v>
      </c>
      <c r="Q238" s="5">
        <f t="shared" ca="1" si="19"/>
        <v>761224.48979591823</v>
      </c>
      <c r="S238" s="18">
        <v>359</v>
      </c>
      <c r="T238" s="18"/>
      <c r="U238" s="2" cm="1">
        <f t="array" aca="1" ref="U238" ca="1">INDIRECT("d" &amp; (S238+2))</f>
        <v>359</v>
      </c>
      <c r="V238" s="5">
        <f t="shared" ca="1" si="18"/>
        <v>2.9186991869918697</v>
      </c>
      <c r="W238">
        <v>236</v>
      </c>
      <c r="X238" s="18">
        <v>799</v>
      </c>
      <c r="Y238" s="18"/>
      <c r="Z238" s="2" cm="1">
        <f t="array" aca="1" ref="Z238" ca="1">INDIRECT("b" &amp; (X238+2))</f>
        <v>9.3249999999999993E+42</v>
      </c>
      <c r="AA238" s="5">
        <f t="shared" ca="1" si="20"/>
        <v>761224.48979591823</v>
      </c>
    </row>
    <row r="239" spans="1:27">
      <c r="A239">
        <v>237</v>
      </c>
      <c r="B239">
        <v>7.5E+20</v>
      </c>
      <c r="D239" s="18">
        <v>237</v>
      </c>
      <c r="E239" s="18" cm="1">
        <f t="array" aca="1" ref="E239" ca="1">INDIRECT("b"&amp;F239+2)</f>
        <v>8.1999999999999994E+40</v>
      </c>
      <c r="F239" s="18">
        <f t="shared" si="17"/>
        <v>714</v>
      </c>
      <c r="G239" s="18"/>
      <c r="H239" s="18"/>
      <c r="I239" s="19">
        <v>237</v>
      </c>
      <c r="J239" s="19" cm="1">
        <f t="array" aca="1" ref="J239" ca="1">INDIRECT("b"&amp;K239+2)</f>
        <v>8.1999999999999998E+69</v>
      </c>
      <c r="K239" s="19">
        <f t="shared" si="21"/>
        <v>1914</v>
      </c>
      <c r="N239" s="18">
        <v>800</v>
      </c>
      <c r="O239" s="18"/>
      <c r="P239" s="2" cm="1">
        <f t="array" aca="1" ref="P239" ca="1">INDIRECT("b" &amp; (N239+2))</f>
        <v>9.5500000000000004E+42</v>
      </c>
      <c r="Q239" s="5">
        <f t="shared" ca="1" si="19"/>
        <v>779591.83673469385</v>
      </c>
      <c r="S239" s="18">
        <v>360</v>
      </c>
      <c r="T239" s="18"/>
      <c r="U239" s="2" cm="1">
        <f t="array" aca="1" ref="U239" ca="1">INDIRECT("d" &amp; (S239+2))</f>
        <v>360</v>
      </c>
      <c r="V239" s="5">
        <f t="shared" ca="1" si="18"/>
        <v>2.9268292682926829</v>
      </c>
      <c r="W239">
        <v>237</v>
      </c>
      <c r="X239" s="18">
        <v>800</v>
      </c>
      <c r="Y239" s="18"/>
      <c r="Z239" s="2" cm="1">
        <f t="array" aca="1" ref="Z239" ca="1">INDIRECT("b" &amp; (X239+2))</f>
        <v>9.5500000000000004E+42</v>
      </c>
      <c r="AA239" s="5">
        <f t="shared" ca="1" si="20"/>
        <v>779591.83673469385</v>
      </c>
    </row>
    <row r="240" spans="1:27">
      <c r="A240">
        <v>238</v>
      </c>
      <c r="B240">
        <v>8E+20</v>
      </c>
      <c r="D240" s="18">
        <v>238</v>
      </c>
      <c r="E240" s="18" cm="1">
        <f t="array" aca="1" ref="E240" ca="1">INDIRECT("b"&amp;F240+2)</f>
        <v>8.6499999999999993E+40</v>
      </c>
      <c r="F240" s="18">
        <f t="shared" si="17"/>
        <v>716</v>
      </c>
      <c r="G240" s="18"/>
      <c r="H240" s="18"/>
      <c r="I240" s="19">
        <v>238</v>
      </c>
      <c r="J240" s="19" cm="1">
        <f t="array" aca="1" ref="J240" ca="1">INDIRECT("b"&amp;K240+2)</f>
        <v>8.6499999999999989E+69</v>
      </c>
      <c r="K240" s="19">
        <f t="shared" si="21"/>
        <v>1916</v>
      </c>
      <c r="N240" s="18">
        <v>801</v>
      </c>
      <c r="O240" s="18"/>
      <c r="P240" s="2" cm="1">
        <f t="array" aca="1" ref="P240" ca="1">INDIRECT("b" &amp; (N240+2))</f>
        <v>9.774999999999999E+42</v>
      </c>
      <c r="Q240" s="5">
        <f t="shared" ca="1" si="19"/>
        <v>797959.18367346923</v>
      </c>
      <c r="S240" s="18">
        <v>361</v>
      </c>
      <c r="T240" s="18"/>
      <c r="U240" s="2" cm="1">
        <f t="array" aca="1" ref="U240" ca="1">INDIRECT("d" &amp; (S240+2))</f>
        <v>361</v>
      </c>
      <c r="V240" s="5">
        <f t="shared" ca="1" si="18"/>
        <v>2.934959349593496</v>
      </c>
      <c r="W240">
        <v>238</v>
      </c>
      <c r="X240" s="18">
        <v>801</v>
      </c>
      <c r="Y240" s="18"/>
      <c r="Z240" s="2" cm="1">
        <f t="array" aca="1" ref="Z240" ca="1">INDIRECT("b" &amp; (X240+2))</f>
        <v>9.774999999999999E+42</v>
      </c>
      <c r="AA240" s="5">
        <f t="shared" ca="1" si="20"/>
        <v>797959.18367346923</v>
      </c>
    </row>
    <row r="241" spans="1:27">
      <c r="A241">
        <v>239</v>
      </c>
      <c r="B241">
        <v>8.5E+20</v>
      </c>
      <c r="D241" s="18">
        <v>239</v>
      </c>
      <c r="E241" s="18" cm="1">
        <f t="array" aca="1" ref="E241" ca="1">INDIRECT("b"&amp;F241+2)</f>
        <v>8.8749999999999993E+40</v>
      </c>
      <c r="F241" s="18">
        <f t="shared" si="17"/>
        <v>717</v>
      </c>
      <c r="G241" s="18"/>
      <c r="H241" s="18"/>
      <c r="I241" s="19">
        <v>239</v>
      </c>
      <c r="J241" s="19" cm="1">
        <f t="array" aca="1" ref="J241" ca="1">INDIRECT("b"&amp;K241+2)</f>
        <v>8.8749999999999992E+69</v>
      </c>
      <c r="K241" s="19">
        <f t="shared" si="21"/>
        <v>1917</v>
      </c>
      <c r="N241" s="18">
        <v>802</v>
      </c>
      <c r="O241" s="18"/>
      <c r="P241" s="2" cm="1">
        <f t="array" aca="1" ref="P241" ca="1">INDIRECT("b" &amp; (N241+2))</f>
        <v>1E+43</v>
      </c>
      <c r="Q241" s="5">
        <f t="shared" ca="1" si="19"/>
        <v>816326.53061224485</v>
      </c>
      <c r="S241" s="18">
        <v>362</v>
      </c>
      <c r="T241" s="18"/>
      <c r="U241" s="2" cm="1">
        <f t="array" aca="1" ref="U241" ca="1">INDIRECT("d" &amp; (S241+2))</f>
        <v>362</v>
      </c>
      <c r="V241" s="5">
        <f t="shared" ca="1" si="18"/>
        <v>2.9430894308943087</v>
      </c>
      <c r="W241">
        <v>239</v>
      </c>
      <c r="X241" s="18">
        <v>802</v>
      </c>
      <c r="Y241" s="18"/>
      <c r="Z241" s="2" cm="1">
        <f t="array" aca="1" ref="Z241" ca="1">INDIRECT("b" &amp; (X241+2))</f>
        <v>1E+43</v>
      </c>
      <c r="AA241" s="5">
        <f t="shared" ca="1" si="20"/>
        <v>816326.53061224485</v>
      </c>
    </row>
    <row r="242" spans="1:27">
      <c r="A242">
        <v>240</v>
      </c>
      <c r="B242">
        <v>9E+20</v>
      </c>
      <c r="D242" s="18">
        <v>240</v>
      </c>
      <c r="E242" s="18" cm="1">
        <f t="array" aca="1" ref="E242" ca="1">INDIRECT("b"&amp;F242+2)</f>
        <v>9.0999999999999983E+40</v>
      </c>
      <c r="F242" s="18">
        <f t="shared" si="17"/>
        <v>718</v>
      </c>
      <c r="G242" s="18"/>
      <c r="H242" s="18"/>
      <c r="I242" s="19">
        <v>240</v>
      </c>
      <c r="J242" s="19" cm="1">
        <f t="array" aca="1" ref="J242" ca="1">INDIRECT("b"&amp;K242+2)</f>
        <v>9.0999999999999995E+69</v>
      </c>
      <c r="K242" s="19">
        <f t="shared" si="21"/>
        <v>1918</v>
      </c>
      <c r="N242" s="18">
        <v>803</v>
      </c>
      <c r="O242" s="18"/>
      <c r="P242" s="2" cm="1">
        <f t="array" aca="1" ref="P242" ca="1">INDIRECT("b" &amp; (N242+2))</f>
        <v>1.2250000000000002E+43</v>
      </c>
      <c r="Q242" s="5">
        <f t="shared" ca="1" si="19"/>
        <v>1000000.0000000001</v>
      </c>
      <c r="S242" s="18">
        <v>363</v>
      </c>
      <c r="T242" s="18"/>
      <c r="U242" s="2" cm="1">
        <f t="array" aca="1" ref="U242" ca="1">INDIRECT("d" &amp; (S242+2))</f>
        <v>363</v>
      </c>
      <c r="V242" s="5">
        <f t="shared" ca="1" si="18"/>
        <v>2.9512195121951219</v>
      </c>
      <c r="W242">
        <v>240</v>
      </c>
      <c r="X242" s="18">
        <v>803</v>
      </c>
      <c r="Y242" s="18"/>
      <c r="Z242" s="2" cm="1">
        <f t="array" aca="1" ref="Z242" ca="1">INDIRECT("b" &amp; (X242+2))</f>
        <v>1.2250000000000002E+43</v>
      </c>
      <c r="AA242" s="5">
        <f t="shared" ca="1" si="20"/>
        <v>1000000.0000000001</v>
      </c>
    </row>
    <row r="243" spans="1:27">
      <c r="A243">
        <v>241</v>
      </c>
      <c r="B243">
        <v>9.5E+20</v>
      </c>
      <c r="D243" s="18">
        <v>241</v>
      </c>
      <c r="E243" s="18" cm="1">
        <f t="array" aca="1" ref="E243" ca="1">INDIRECT("b"&amp;F243+2)</f>
        <v>9.5500000000000001E+40</v>
      </c>
      <c r="F243" s="18">
        <f t="shared" si="17"/>
        <v>720</v>
      </c>
      <c r="G243" s="18"/>
      <c r="H243" s="18"/>
      <c r="I243" s="19">
        <v>241</v>
      </c>
      <c r="J243" s="19" cm="1">
        <f t="array" aca="1" ref="J243" ca="1">INDIRECT("b"&amp;K243+2)</f>
        <v>9.5500000000000001E+69</v>
      </c>
      <c r="K243" s="19">
        <f t="shared" si="21"/>
        <v>1920</v>
      </c>
      <c r="N243" s="18">
        <v>804</v>
      </c>
      <c r="O243" s="18"/>
      <c r="P243" s="2" cm="1">
        <f t="array" aca="1" ref="P243" ca="1">INDIRECT("b" &amp; (N243+2))</f>
        <v>1.4499999999999998E+43</v>
      </c>
      <c r="Q243" s="5">
        <f t="shared" ca="1" si="19"/>
        <v>1183673.4693877548</v>
      </c>
      <c r="S243" s="18">
        <v>364</v>
      </c>
      <c r="T243" s="18"/>
      <c r="U243" s="2" cm="1">
        <f t="array" aca="1" ref="U243" ca="1">INDIRECT("d" &amp; (S243+2))</f>
        <v>364</v>
      </c>
      <c r="V243" s="5">
        <f t="shared" ca="1" si="18"/>
        <v>2.9593495934959351</v>
      </c>
      <c r="W243">
        <v>241</v>
      </c>
      <c r="X243" s="18">
        <v>804</v>
      </c>
      <c r="Y243" s="18"/>
      <c r="Z243" s="2" cm="1">
        <f t="array" aca="1" ref="Z243" ca="1">INDIRECT("b" &amp; (X243+2))</f>
        <v>1.4499999999999998E+43</v>
      </c>
      <c r="AA243" s="5">
        <f t="shared" ca="1" si="20"/>
        <v>1183673.4693877548</v>
      </c>
    </row>
    <row r="244" spans="1:27">
      <c r="A244">
        <v>242</v>
      </c>
      <c r="B244">
        <v>1E+21</v>
      </c>
      <c r="D244" s="18">
        <v>242</v>
      </c>
      <c r="E244" s="18" cm="1">
        <f t="array" aca="1" ref="E244" ca="1">INDIRECT("b"&amp;F244+2)</f>
        <v>9.7749999999999991E+40</v>
      </c>
      <c r="F244" s="18">
        <f t="shared" si="17"/>
        <v>721</v>
      </c>
      <c r="G244" s="18"/>
      <c r="H244" s="18"/>
      <c r="I244" s="19">
        <v>242</v>
      </c>
      <c r="J244" s="19" cm="1">
        <f t="array" aca="1" ref="J244" ca="1">INDIRECT("b"&amp;K244+2)</f>
        <v>9.7749999999999989E+69</v>
      </c>
      <c r="K244" s="19">
        <f t="shared" si="21"/>
        <v>1921</v>
      </c>
      <c r="N244" s="18">
        <v>805</v>
      </c>
      <c r="O244" s="18"/>
      <c r="P244" s="2" cm="1">
        <f t="array" aca="1" ref="P244" ca="1">INDIRECT("b" &amp; (N244+2))</f>
        <v>1.6749999999999999E+43</v>
      </c>
      <c r="Q244" s="5">
        <f t="shared" ca="1" si="19"/>
        <v>1367346.9387755101</v>
      </c>
      <c r="S244" s="18">
        <v>365</v>
      </c>
      <c r="T244" s="18"/>
      <c r="U244" s="2" cm="1">
        <f t="array" aca="1" ref="U244" ca="1">INDIRECT("d" &amp; (S244+2))</f>
        <v>365</v>
      </c>
      <c r="V244" s="5">
        <f t="shared" ca="1" si="18"/>
        <v>2.9674796747967478</v>
      </c>
      <c r="W244">
        <v>242</v>
      </c>
      <c r="X244" s="18">
        <v>805</v>
      </c>
      <c r="Y244" s="18"/>
      <c r="Z244" s="2" cm="1">
        <f t="array" aca="1" ref="Z244" ca="1">INDIRECT("b" &amp; (X244+2))</f>
        <v>1.6749999999999999E+43</v>
      </c>
      <c r="AA244" s="5">
        <f t="shared" ca="1" si="20"/>
        <v>1367346.9387755101</v>
      </c>
    </row>
    <row r="245" spans="1:27">
      <c r="A245">
        <v>243</v>
      </c>
      <c r="B245">
        <v>1.05E+21</v>
      </c>
      <c r="D245" s="18">
        <v>243</v>
      </c>
      <c r="E245" s="18" cm="1">
        <f t="array" aca="1" ref="E245" ca="1">INDIRECT("b"&amp;F245+2)</f>
        <v>1E+41</v>
      </c>
      <c r="F245" s="18">
        <f t="shared" si="17"/>
        <v>722</v>
      </c>
      <c r="G245" s="18"/>
      <c r="H245" s="18"/>
      <c r="I245" s="19">
        <v>243</v>
      </c>
      <c r="J245" s="19" cm="1">
        <f t="array" aca="1" ref="J245" ca="1">INDIRECT("b"&amp;K245+2)</f>
        <v>1.0000000000000001E+70</v>
      </c>
      <c r="K245" s="19">
        <f t="shared" si="21"/>
        <v>1922</v>
      </c>
      <c r="N245" s="18">
        <v>806</v>
      </c>
      <c r="O245" s="18"/>
      <c r="P245" s="2" cm="1">
        <f t="array" aca="1" ref="P245" ca="1">INDIRECT("b" &amp; (N245+2))</f>
        <v>1.9000000000000003E+43</v>
      </c>
      <c r="Q245" s="5">
        <f t="shared" ca="1" si="19"/>
        <v>1551020.4081632653</v>
      </c>
      <c r="S245" s="18">
        <v>366</v>
      </c>
      <c r="T245" s="18"/>
      <c r="U245" s="2" cm="1">
        <f t="array" aca="1" ref="U245" ca="1">INDIRECT("d" &amp; (S245+2))</f>
        <v>366</v>
      </c>
      <c r="V245" s="5">
        <f t="shared" ca="1" si="18"/>
        <v>2.975609756097561</v>
      </c>
      <c r="W245">
        <v>243</v>
      </c>
      <c r="X245" s="18">
        <v>806</v>
      </c>
      <c r="Y245" s="18"/>
      <c r="Z245" s="2" cm="1">
        <f t="array" aca="1" ref="Z245" ca="1">INDIRECT("b" &amp; (X245+2))</f>
        <v>1.9000000000000003E+43</v>
      </c>
      <c r="AA245" s="5">
        <f t="shared" ca="1" si="20"/>
        <v>1551020.4081632653</v>
      </c>
    </row>
    <row r="246" spans="1:27">
      <c r="A246">
        <v>244</v>
      </c>
      <c r="B246">
        <v>1.1E+21</v>
      </c>
      <c r="D246" s="18">
        <v>244</v>
      </c>
      <c r="E246" s="18" cm="1">
        <f t="array" aca="1" ref="E246" ca="1">INDIRECT("b"&amp;F246+2)</f>
        <v>1.4499999999999997E+41</v>
      </c>
      <c r="F246" s="18">
        <f t="shared" si="17"/>
        <v>724</v>
      </c>
      <c r="G246" s="18"/>
      <c r="H246" s="18"/>
      <c r="I246" s="19">
        <v>244</v>
      </c>
      <c r="J246" s="19" cm="1">
        <f t="array" aca="1" ref="J246" ca="1">INDIRECT("b"&amp;K246+2)</f>
        <v>1.4499999999999999E+70</v>
      </c>
      <c r="K246" s="19">
        <f t="shared" si="21"/>
        <v>1924</v>
      </c>
      <c r="N246" s="18">
        <v>807</v>
      </c>
      <c r="O246" s="18"/>
      <c r="P246" s="2" cm="1">
        <f t="array" aca="1" ref="P246" ca="1">INDIRECT("b" &amp; (N246+2))</f>
        <v>2.1249999999999999E+43</v>
      </c>
      <c r="Q246" s="5">
        <f t="shared" ca="1" si="19"/>
        <v>1734693.8775510201</v>
      </c>
      <c r="S246" s="18">
        <v>367</v>
      </c>
      <c r="T246" s="18"/>
      <c r="U246" s="2" cm="1">
        <f t="array" aca="1" ref="U246" ca="1">INDIRECT("d" &amp; (S246+2))</f>
        <v>367</v>
      </c>
      <c r="V246" s="5">
        <f t="shared" ca="1" si="18"/>
        <v>2.9837398373983741</v>
      </c>
      <c r="W246">
        <v>244</v>
      </c>
      <c r="X246" s="18">
        <v>807</v>
      </c>
      <c r="Y246" s="18"/>
      <c r="Z246" s="2" cm="1">
        <f t="array" aca="1" ref="Z246" ca="1">INDIRECT("b" &amp; (X246+2))</f>
        <v>2.1249999999999999E+43</v>
      </c>
      <c r="AA246" s="5">
        <f t="shared" ca="1" si="20"/>
        <v>1734693.8775510201</v>
      </c>
    </row>
    <row r="247" spans="1:27">
      <c r="A247">
        <v>245</v>
      </c>
      <c r="B247">
        <v>1.5E+21</v>
      </c>
      <c r="D247" s="18">
        <v>245</v>
      </c>
      <c r="E247" s="18" cm="1">
        <f t="array" aca="1" ref="E247" ca="1">INDIRECT("b"&amp;F247+2)</f>
        <v>1.6750000000000001E+41</v>
      </c>
      <c r="F247" s="18">
        <f t="shared" si="17"/>
        <v>725</v>
      </c>
      <c r="G247" s="18"/>
      <c r="H247" s="18"/>
      <c r="I247" s="19">
        <v>245</v>
      </c>
      <c r="J247" s="19" cm="1">
        <f t="array" aca="1" ref="J247" ca="1">INDIRECT("b"&amp;K247+2)</f>
        <v>1.6749999999999999E+70</v>
      </c>
      <c r="K247" s="19">
        <f t="shared" si="21"/>
        <v>1925</v>
      </c>
      <c r="N247" s="18">
        <v>808</v>
      </c>
      <c r="O247" s="18"/>
      <c r="P247" s="2" cm="1">
        <f t="array" aca="1" ref="P247" ca="1">INDIRECT("b" &amp; (N247+2))</f>
        <v>2.35E+43</v>
      </c>
      <c r="Q247" s="5">
        <f t="shared" ca="1" si="19"/>
        <v>1918367.3469387754</v>
      </c>
      <c r="S247" s="18">
        <v>368</v>
      </c>
      <c r="T247" s="18"/>
      <c r="U247" s="2" cm="1">
        <f t="array" aca="1" ref="U247" ca="1">INDIRECT("d" &amp; (S247+2))</f>
        <v>368</v>
      </c>
      <c r="V247" s="5">
        <f t="shared" ca="1" si="18"/>
        <v>2.9918699186991868</v>
      </c>
      <c r="W247">
        <v>245</v>
      </c>
      <c r="X247" s="18">
        <v>808</v>
      </c>
      <c r="Y247" s="18"/>
      <c r="Z247" s="2" cm="1">
        <f t="array" aca="1" ref="Z247" ca="1">INDIRECT("b" &amp; (X247+2))</f>
        <v>2.35E+43</v>
      </c>
      <c r="AA247" s="5">
        <f t="shared" ca="1" si="20"/>
        <v>1918367.3469387754</v>
      </c>
    </row>
    <row r="248" spans="1:27">
      <c r="A248">
        <v>246</v>
      </c>
      <c r="B248">
        <v>2E+21</v>
      </c>
      <c r="D248" s="18">
        <v>246</v>
      </c>
      <c r="E248" s="18" cm="1">
        <f t="array" aca="1" ref="E248" ca="1">INDIRECT("b"&amp;F248+2)</f>
        <v>1.9000000000000001E+41</v>
      </c>
      <c r="F248" s="18">
        <f t="shared" si="17"/>
        <v>726</v>
      </c>
      <c r="G248" s="18"/>
      <c r="H248" s="18"/>
      <c r="I248" s="19">
        <v>246</v>
      </c>
      <c r="J248" s="19" cm="1">
        <f t="array" aca="1" ref="J248" ca="1">INDIRECT("b"&amp;K248+2)</f>
        <v>1.9000000000000002E+70</v>
      </c>
      <c r="K248" s="19">
        <f t="shared" si="21"/>
        <v>1926</v>
      </c>
      <c r="N248" s="18">
        <v>809</v>
      </c>
      <c r="O248" s="18"/>
      <c r="P248" s="2" cm="1">
        <f t="array" aca="1" ref="P248" ca="1">INDIRECT("b" &amp; (N248+2))</f>
        <v>2.5749999999999996E+43</v>
      </c>
      <c r="Q248" s="5">
        <f t="shared" ca="1" si="19"/>
        <v>2102040.8163265302</v>
      </c>
      <c r="S248" s="18">
        <v>369</v>
      </c>
      <c r="T248" s="18"/>
      <c r="U248" s="2" cm="1">
        <f t="array" aca="1" ref="U248" ca="1">INDIRECT("d" &amp; (S248+2))</f>
        <v>369</v>
      </c>
      <c r="V248" s="5">
        <f t="shared" ca="1" si="18"/>
        <v>3</v>
      </c>
      <c r="W248">
        <v>246</v>
      </c>
      <c r="X248" s="18">
        <v>809</v>
      </c>
      <c r="Y248" s="18"/>
      <c r="Z248" s="2" cm="1">
        <f t="array" aca="1" ref="Z248" ca="1">INDIRECT("b" &amp; (X248+2))</f>
        <v>2.5749999999999996E+43</v>
      </c>
      <c r="AA248" s="5">
        <f t="shared" ca="1" si="20"/>
        <v>2102040.8163265302</v>
      </c>
    </row>
    <row r="249" spans="1:27">
      <c r="A249">
        <v>247</v>
      </c>
      <c r="B249">
        <v>2.5E+21</v>
      </c>
      <c r="D249" s="18">
        <v>247</v>
      </c>
      <c r="E249" s="18" cm="1">
        <f t="array" aca="1" ref="E249" ca="1">INDIRECT("b"&amp;F249+2)</f>
        <v>2.3500000000000004E+41</v>
      </c>
      <c r="F249" s="18">
        <f t="shared" si="17"/>
        <v>728</v>
      </c>
      <c r="G249" s="18"/>
      <c r="H249" s="18"/>
      <c r="I249" s="19">
        <v>247</v>
      </c>
      <c r="J249" s="19" cm="1">
        <f t="array" aca="1" ref="J249" ca="1">INDIRECT("b"&amp;K249+2)</f>
        <v>2.3500000000000002E+70</v>
      </c>
      <c r="K249" s="19">
        <f t="shared" si="21"/>
        <v>1928</v>
      </c>
      <c r="N249" s="18">
        <v>810</v>
      </c>
      <c r="O249" s="18"/>
      <c r="P249" s="2" cm="1">
        <f t="array" aca="1" ref="P249" ca="1">INDIRECT("b" &amp; (N249+2))</f>
        <v>2.8000000000000002E+43</v>
      </c>
      <c r="Q249" s="5">
        <f t="shared" ca="1" si="19"/>
        <v>2285714.2857142854</v>
      </c>
      <c r="S249" s="18">
        <v>370</v>
      </c>
      <c r="T249" s="18"/>
      <c r="U249" s="2" cm="1">
        <f t="array" aca="1" ref="U249" ca="1">INDIRECT("d" &amp; (S249+2))</f>
        <v>370</v>
      </c>
      <c r="V249" s="5">
        <f t="shared" ca="1" si="18"/>
        <v>3.0081300813008132</v>
      </c>
      <c r="W249">
        <v>247</v>
      </c>
      <c r="X249" s="18">
        <v>810</v>
      </c>
      <c r="Y249" s="18"/>
      <c r="Z249" s="2" cm="1">
        <f t="array" aca="1" ref="Z249" ca="1">INDIRECT("b" &amp; (X249+2))</f>
        <v>2.8000000000000002E+43</v>
      </c>
      <c r="AA249" s="5">
        <f t="shared" ca="1" si="20"/>
        <v>2285714.2857142854</v>
      </c>
    </row>
    <row r="250" spans="1:27">
      <c r="A250">
        <v>248</v>
      </c>
      <c r="B250">
        <v>3E+21</v>
      </c>
      <c r="D250" s="18">
        <v>248</v>
      </c>
      <c r="E250" s="18" cm="1">
        <f t="array" aca="1" ref="E250" ca="1">INDIRECT("b"&amp;F250+2)</f>
        <v>2.5749999999999998E+41</v>
      </c>
      <c r="F250" s="18">
        <f t="shared" si="17"/>
        <v>729</v>
      </c>
      <c r="G250" s="18"/>
      <c r="H250" s="18"/>
      <c r="I250" s="19">
        <v>248</v>
      </c>
      <c r="J250" s="19" cm="1">
        <f t="array" aca="1" ref="J250" ca="1">INDIRECT("b"&amp;K250+2)</f>
        <v>2.5750000000000002E+70</v>
      </c>
      <c r="K250" s="19">
        <f t="shared" si="21"/>
        <v>1929</v>
      </c>
      <c r="N250" s="18">
        <v>811</v>
      </c>
      <c r="O250" s="18"/>
      <c r="P250" s="2" cm="1">
        <f t="array" aca="1" ref="P250" ca="1">INDIRECT("b" &amp; (N250+2))</f>
        <v>3.0250000000000003E+43</v>
      </c>
      <c r="Q250" s="5">
        <f t="shared" ca="1" si="19"/>
        <v>2469387.7551020407</v>
      </c>
      <c r="S250" s="18">
        <v>371</v>
      </c>
      <c r="T250" s="18"/>
      <c r="U250" s="2" cm="1">
        <f t="array" aca="1" ref="U250" ca="1">INDIRECT("d" &amp; (S250+2))</f>
        <v>371</v>
      </c>
      <c r="V250" s="5">
        <f t="shared" ca="1" si="18"/>
        <v>3.0162601626016259</v>
      </c>
      <c r="W250">
        <v>248</v>
      </c>
      <c r="X250" s="18">
        <v>811</v>
      </c>
      <c r="Y250" s="18"/>
      <c r="Z250" s="2" cm="1">
        <f t="array" aca="1" ref="Z250" ca="1">INDIRECT("b" &amp; (X250+2))</f>
        <v>3.0250000000000003E+43</v>
      </c>
      <c r="AA250" s="5">
        <f t="shared" ca="1" si="20"/>
        <v>2469387.7551020407</v>
      </c>
    </row>
    <row r="251" spans="1:27">
      <c r="A251">
        <v>249</v>
      </c>
      <c r="B251">
        <v>3.5E+21</v>
      </c>
      <c r="D251" s="18">
        <v>249</v>
      </c>
      <c r="E251" s="18" cm="1">
        <f t="array" aca="1" ref="E251" ca="1">INDIRECT("b"&amp;F251+2)</f>
        <v>2.7999999999999999E+41</v>
      </c>
      <c r="F251" s="18">
        <f t="shared" si="17"/>
        <v>730</v>
      </c>
      <c r="G251" s="18"/>
      <c r="H251" s="18"/>
      <c r="I251" s="19">
        <v>249</v>
      </c>
      <c r="J251" s="19" cm="1">
        <f t="array" aca="1" ref="J251" ca="1">INDIRECT("b"&amp;K251+2)</f>
        <v>2.7999999999999999E+70</v>
      </c>
      <c r="K251" s="19">
        <f t="shared" si="21"/>
        <v>1930</v>
      </c>
      <c r="N251" s="18">
        <v>812</v>
      </c>
      <c r="O251" s="18"/>
      <c r="P251" s="2" cm="1">
        <f t="array" aca="1" ref="P251" ca="1">INDIRECT("b" &amp; (N251+2))</f>
        <v>3.2499999999999994E+43</v>
      </c>
      <c r="Q251" s="5">
        <f t="shared" ca="1" si="19"/>
        <v>2653061.224489795</v>
      </c>
      <c r="S251" s="18">
        <v>372</v>
      </c>
      <c r="T251" s="18"/>
      <c r="U251" s="2" cm="1">
        <f t="array" aca="1" ref="U251" ca="1">INDIRECT("d" &amp; (S251+2))</f>
        <v>372</v>
      </c>
      <c r="V251" s="5">
        <f t="shared" ca="1" si="18"/>
        <v>3.024390243902439</v>
      </c>
      <c r="W251">
        <v>249</v>
      </c>
      <c r="X251" s="18">
        <v>812</v>
      </c>
      <c r="Y251" s="18"/>
      <c r="Z251" s="2" cm="1">
        <f t="array" aca="1" ref="Z251" ca="1">INDIRECT("b" &amp; (X251+2))</f>
        <v>3.2499999999999994E+43</v>
      </c>
      <c r="AA251" s="5">
        <f t="shared" ca="1" si="20"/>
        <v>2653061.224489795</v>
      </c>
    </row>
    <row r="252" spans="1:27">
      <c r="A252">
        <v>250</v>
      </c>
      <c r="B252">
        <v>4E+21</v>
      </c>
      <c r="D252" s="18">
        <v>250</v>
      </c>
      <c r="E252" s="18" cm="1">
        <f t="array" aca="1" ref="E252" ca="1">INDIRECT("b"&amp;F252+2)</f>
        <v>3.2499999999999995E+41</v>
      </c>
      <c r="F252" s="18">
        <f t="shared" si="17"/>
        <v>732</v>
      </c>
      <c r="G252" s="18"/>
      <c r="H252" s="18"/>
      <c r="I252" s="19">
        <v>250</v>
      </c>
      <c r="J252" s="19" cm="1">
        <f t="array" aca="1" ref="J252" ca="1">INDIRECT("b"&amp;K252+2)</f>
        <v>3.2499999999999999E+70</v>
      </c>
      <c r="K252" s="19">
        <f t="shared" si="21"/>
        <v>1932</v>
      </c>
      <c r="N252" s="18">
        <v>813</v>
      </c>
      <c r="O252" s="18"/>
      <c r="P252" s="2" cm="1">
        <f t="array" aca="1" ref="P252" ca="1">INDIRECT("b" &amp; (N252+2))</f>
        <v>3.475E+43</v>
      </c>
      <c r="Q252" s="5">
        <f t="shared" ca="1" si="19"/>
        <v>2836734.6938775508</v>
      </c>
      <c r="S252" s="18">
        <v>373</v>
      </c>
      <c r="T252" s="18"/>
      <c r="U252" s="2" cm="1">
        <f t="array" aca="1" ref="U252" ca="1">INDIRECT("d" &amp; (S252+2))</f>
        <v>373</v>
      </c>
      <c r="V252" s="5">
        <f t="shared" ca="1" si="18"/>
        <v>3.0325203252032522</v>
      </c>
      <c r="W252">
        <v>250</v>
      </c>
      <c r="X252" s="18">
        <v>813</v>
      </c>
      <c r="Y252" s="18"/>
      <c r="Z252" s="2" cm="1">
        <f t="array" aca="1" ref="Z252" ca="1">INDIRECT("b" &amp; (X252+2))</f>
        <v>3.475E+43</v>
      </c>
      <c r="AA252" s="5">
        <f t="shared" ca="1" si="20"/>
        <v>2836734.6938775508</v>
      </c>
    </row>
    <row r="253" spans="1:27">
      <c r="A253">
        <v>251</v>
      </c>
      <c r="B253">
        <v>4.5E+21</v>
      </c>
      <c r="D253" s="18">
        <v>251</v>
      </c>
      <c r="E253" s="18" cm="1">
        <f t="array" aca="1" ref="E253" ca="1">INDIRECT("b"&amp;F253+2)</f>
        <v>3.475E+41</v>
      </c>
      <c r="F253" s="18">
        <f t="shared" ref="F253:F316" si="22">INT((A253-123)*1.333333)+563</f>
        <v>733</v>
      </c>
      <c r="G253" s="18"/>
      <c r="H253" s="18"/>
      <c r="I253" s="19">
        <v>251</v>
      </c>
      <c r="J253" s="19" cm="1">
        <f t="array" aca="1" ref="J253" ca="1">INDIRECT("b"&amp;K253+2)</f>
        <v>3.4749999999999999E+70</v>
      </c>
      <c r="K253" s="19">
        <f t="shared" si="21"/>
        <v>1933</v>
      </c>
      <c r="N253" s="18">
        <v>814</v>
      </c>
      <c r="O253" s="18"/>
      <c r="P253" s="2" cm="1">
        <f t="array" aca="1" ref="P253" ca="1">INDIRECT("b" &amp; (N253+2))</f>
        <v>3.7000000000000001E+43</v>
      </c>
      <c r="Q253" s="5">
        <f t="shared" ca="1" si="19"/>
        <v>3020408.163265306</v>
      </c>
      <c r="S253" s="18">
        <v>374</v>
      </c>
      <c r="T253" s="18"/>
      <c r="U253" s="2" cm="1">
        <f t="array" aca="1" ref="U253" ca="1">INDIRECT("d" &amp; (S253+2))</f>
        <v>374</v>
      </c>
      <c r="V253" s="5">
        <f t="shared" ca="1" si="18"/>
        <v>3.0406504065040649</v>
      </c>
      <c r="W253">
        <v>251</v>
      </c>
      <c r="X253" s="18">
        <v>814</v>
      </c>
      <c r="Y253" s="18"/>
      <c r="Z253" s="2" cm="1">
        <f t="array" aca="1" ref="Z253" ca="1">INDIRECT("b" &amp; (X253+2))</f>
        <v>3.7000000000000001E+43</v>
      </c>
      <c r="AA253" s="5">
        <f t="shared" ca="1" si="20"/>
        <v>3020408.163265306</v>
      </c>
    </row>
    <row r="254" spans="1:27">
      <c r="A254">
        <v>252</v>
      </c>
      <c r="B254">
        <v>5E+21</v>
      </c>
      <c r="D254" s="18">
        <v>252</v>
      </c>
      <c r="E254" s="18" cm="1">
        <f t="array" aca="1" ref="E254" ca="1">INDIRECT("b"&amp;F254+2)</f>
        <v>3.6999999999999998E+41</v>
      </c>
      <c r="F254" s="18">
        <f t="shared" si="22"/>
        <v>734</v>
      </c>
      <c r="G254" s="18"/>
      <c r="H254" s="18"/>
      <c r="I254" s="19">
        <v>252</v>
      </c>
      <c r="J254" s="19" cm="1">
        <f t="array" aca="1" ref="J254" ca="1">INDIRECT("b"&amp;K254+2)</f>
        <v>3.6999999999999999E+70</v>
      </c>
      <c r="K254" s="19">
        <f t="shared" si="21"/>
        <v>1934</v>
      </c>
      <c r="N254" s="18">
        <v>815</v>
      </c>
      <c r="O254" s="18"/>
      <c r="P254" s="2" cm="1">
        <f t="array" aca="1" ref="P254" ca="1">INDIRECT("b" &amp; (N254+2))</f>
        <v>3.9250000000000002E+43</v>
      </c>
      <c r="Q254" s="5">
        <f t="shared" ca="1" si="19"/>
        <v>3204081.6326530613</v>
      </c>
      <c r="S254" s="18">
        <v>375</v>
      </c>
      <c r="T254" s="18"/>
      <c r="U254" s="2" cm="1">
        <f t="array" aca="1" ref="U254" ca="1">INDIRECT("d" &amp; (S254+2))</f>
        <v>375</v>
      </c>
      <c r="V254" s="5">
        <f t="shared" ca="1" si="18"/>
        <v>3.0487804878048781</v>
      </c>
      <c r="W254">
        <v>252</v>
      </c>
      <c r="X254" s="18">
        <v>815</v>
      </c>
      <c r="Y254" s="18"/>
      <c r="Z254" s="2" cm="1">
        <f t="array" aca="1" ref="Z254" ca="1">INDIRECT("b" &amp; (X254+2))</f>
        <v>3.9250000000000002E+43</v>
      </c>
      <c r="AA254" s="5">
        <f t="shared" ca="1" si="20"/>
        <v>3204081.6326530613</v>
      </c>
    </row>
    <row r="255" spans="1:27">
      <c r="A255">
        <v>253</v>
      </c>
      <c r="B255">
        <v>5.5E+21</v>
      </c>
      <c r="D255" s="18">
        <v>253</v>
      </c>
      <c r="E255" s="18" cm="1">
        <f t="array" aca="1" ref="E255" ca="1">INDIRECT("b"&amp;F255+2)</f>
        <v>4.1500000000000001E+41</v>
      </c>
      <c r="F255" s="18">
        <f t="shared" si="22"/>
        <v>736</v>
      </c>
      <c r="G255" s="18"/>
      <c r="H255" s="18"/>
      <c r="I255" s="19">
        <v>253</v>
      </c>
      <c r="J255" s="19" cm="1">
        <f t="array" aca="1" ref="J255" ca="1">INDIRECT("b"&amp;K255+2)</f>
        <v>4.1499999999999999E+70</v>
      </c>
      <c r="K255" s="19">
        <f t="shared" si="21"/>
        <v>1936</v>
      </c>
      <c r="N255" s="18">
        <v>816</v>
      </c>
      <c r="O255" s="18"/>
      <c r="P255" s="2" cm="1">
        <f t="array" aca="1" ref="P255" ca="1">INDIRECT("b" &amp; (N255+2))</f>
        <v>4.1500000000000003E+43</v>
      </c>
      <c r="Q255" s="5">
        <f t="shared" ca="1" si="19"/>
        <v>3387755.1020408161</v>
      </c>
      <c r="S255" s="18">
        <v>376</v>
      </c>
      <c r="T255" s="18"/>
      <c r="U255" s="2" cm="1">
        <f t="array" aca="1" ref="U255" ca="1">INDIRECT("d" &amp; (S255+2))</f>
        <v>376</v>
      </c>
      <c r="V255" s="5">
        <f t="shared" ca="1" si="18"/>
        <v>3.0569105691056913</v>
      </c>
      <c r="W255">
        <v>253</v>
      </c>
      <c r="X255" s="18">
        <v>816</v>
      </c>
      <c r="Y255" s="18"/>
      <c r="Z255" s="2" cm="1">
        <f t="array" aca="1" ref="Z255" ca="1">INDIRECT("b" &amp; (X255+2))</f>
        <v>4.1500000000000003E+43</v>
      </c>
      <c r="AA255" s="5">
        <f t="shared" ca="1" si="20"/>
        <v>3387755.1020408161</v>
      </c>
    </row>
    <row r="256" spans="1:27">
      <c r="A256">
        <v>254</v>
      </c>
      <c r="B256">
        <v>6E+21</v>
      </c>
      <c r="D256" s="18">
        <v>254</v>
      </c>
      <c r="E256" s="18" cm="1">
        <f t="array" aca="1" ref="E256" ca="1">INDIRECT("b"&amp;F256+2)</f>
        <v>4.3749999999999995E+41</v>
      </c>
      <c r="F256" s="18">
        <f t="shared" si="22"/>
        <v>737</v>
      </c>
      <c r="G256" s="18"/>
      <c r="H256" s="18"/>
      <c r="I256" s="19">
        <v>254</v>
      </c>
      <c r="J256" s="19" cm="1">
        <f t="array" aca="1" ref="J256" ca="1">INDIRECT("b"&amp;K256+2)</f>
        <v>4.3749999999999999E+70</v>
      </c>
      <c r="K256" s="19">
        <f t="shared" si="21"/>
        <v>1937</v>
      </c>
      <c r="N256" s="18">
        <v>817</v>
      </c>
      <c r="O256" s="18"/>
      <c r="P256" s="2" cm="1">
        <f t="array" aca="1" ref="P256" ca="1">INDIRECT("b" &amp; (N256+2))</f>
        <v>4.3749999999999999E+43</v>
      </c>
      <c r="Q256" s="5">
        <f t="shared" ca="1" si="19"/>
        <v>3571428.5714285709</v>
      </c>
      <c r="S256" s="18">
        <v>377</v>
      </c>
      <c r="T256" s="18"/>
      <c r="U256" s="2" cm="1">
        <f t="array" aca="1" ref="U256" ca="1">INDIRECT("d" &amp; (S256+2))</f>
        <v>377</v>
      </c>
      <c r="V256" s="5">
        <f t="shared" ca="1" si="18"/>
        <v>3.065040650406504</v>
      </c>
      <c r="W256">
        <v>254</v>
      </c>
      <c r="X256" s="18">
        <v>817</v>
      </c>
      <c r="Y256" s="18"/>
      <c r="Z256" s="2" cm="1">
        <f t="array" aca="1" ref="Z256" ca="1">INDIRECT("b" &amp; (X256+2))</f>
        <v>4.3749999999999999E+43</v>
      </c>
      <c r="AA256" s="5">
        <f t="shared" ca="1" si="20"/>
        <v>3571428.5714285709</v>
      </c>
    </row>
    <row r="257" spans="1:27">
      <c r="A257">
        <v>255</v>
      </c>
      <c r="B257">
        <v>6.5E+21</v>
      </c>
      <c r="D257" s="18">
        <v>255</v>
      </c>
      <c r="E257" s="18" cm="1">
        <f t="array" aca="1" ref="E257" ca="1">INDIRECT("b"&amp;F257+2)</f>
        <v>4.5999999999999997E+41</v>
      </c>
      <c r="F257" s="18">
        <f t="shared" si="22"/>
        <v>738</v>
      </c>
      <c r="G257" s="18"/>
      <c r="H257" s="18"/>
      <c r="I257" s="19">
        <v>255</v>
      </c>
      <c r="J257" s="19" cm="1">
        <f t="array" aca="1" ref="J257" ca="1">INDIRECT("b"&amp;K257+2)</f>
        <v>4.5999999999999999E+70</v>
      </c>
      <c r="K257" s="19">
        <f t="shared" si="21"/>
        <v>1938</v>
      </c>
      <c r="N257" s="18">
        <v>818</v>
      </c>
      <c r="O257" s="18"/>
      <c r="P257" s="2" cm="1">
        <f t="array" aca="1" ref="P257" ca="1">INDIRECT("b" &amp; (N257+2))</f>
        <v>4.5999999999999995E+43</v>
      </c>
      <c r="Q257" s="5">
        <f t="shared" ca="1" si="19"/>
        <v>3755102.0408163257</v>
      </c>
      <c r="S257" s="18">
        <v>378</v>
      </c>
      <c r="T257" s="18"/>
      <c r="U257" s="2" cm="1">
        <f t="array" aca="1" ref="U257" ca="1">INDIRECT("d" &amp; (S257+2))</f>
        <v>378</v>
      </c>
      <c r="V257" s="5">
        <f t="shared" ca="1" si="18"/>
        <v>3.0731707317073171</v>
      </c>
      <c r="W257">
        <v>255</v>
      </c>
      <c r="X257" s="18">
        <v>818</v>
      </c>
      <c r="Y257" s="18"/>
      <c r="Z257" s="2" cm="1">
        <f t="array" aca="1" ref="Z257" ca="1">INDIRECT("b" &amp; (X257+2))</f>
        <v>4.5999999999999995E+43</v>
      </c>
      <c r="AA257" s="5">
        <f t="shared" ca="1" si="20"/>
        <v>3755102.0408163257</v>
      </c>
    </row>
    <row r="258" spans="1:27">
      <c r="A258">
        <v>256</v>
      </c>
      <c r="B258">
        <v>7E+21</v>
      </c>
      <c r="D258" s="18">
        <v>256</v>
      </c>
      <c r="E258" s="18" cm="1">
        <f t="array" aca="1" ref="E258" ca="1">INDIRECT("b"&amp;F258+2)</f>
        <v>5.05E+41</v>
      </c>
      <c r="F258" s="18">
        <f t="shared" si="22"/>
        <v>740</v>
      </c>
      <c r="G258" s="18"/>
      <c r="H258" s="18"/>
      <c r="I258" s="19">
        <v>256</v>
      </c>
      <c r="J258" s="19" cm="1">
        <f t="array" aca="1" ref="J258" ca="1">INDIRECT("b"&amp;K258+2)</f>
        <v>5.0500000000000005E+70</v>
      </c>
      <c r="K258" s="19">
        <f t="shared" si="21"/>
        <v>1940</v>
      </c>
      <c r="N258" s="18">
        <v>819</v>
      </c>
      <c r="O258" s="18"/>
      <c r="P258" s="2" cm="1">
        <f t="array" aca="1" ref="P258" ca="1">INDIRECT("b" &amp; (N258+2))</f>
        <v>4.8250000000000011E+43</v>
      </c>
      <c r="Q258" s="5">
        <f t="shared" ca="1" si="19"/>
        <v>3938775.5102040824</v>
      </c>
      <c r="S258" s="18">
        <v>379</v>
      </c>
      <c r="T258" s="18"/>
      <c r="U258" s="2" cm="1">
        <f t="array" aca="1" ref="U258" ca="1">INDIRECT("d" &amp; (S258+2))</f>
        <v>379</v>
      </c>
      <c r="V258" s="5">
        <f t="shared" ref="V258:V321" ca="1" si="23">U258/U$2</f>
        <v>3.0813008130081303</v>
      </c>
      <c r="W258">
        <v>256</v>
      </c>
      <c r="X258" s="18">
        <v>819</v>
      </c>
      <c r="Y258" s="18"/>
      <c r="Z258" s="2" cm="1">
        <f t="array" aca="1" ref="Z258" ca="1">INDIRECT("b" &amp; (X258+2))</f>
        <v>4.8250000000000011E+43</v>
      </c>
      <c r="AA258" s="5">
        <f t="shared" ca="1" si="20"/>
        <v>3938775.5102040824</v>
      </c>
    </row>
    <row r="259" spans="1:27">
      <c r="A259">
        <v>257</v>
      </c>
      <c r="B259">
        <v>7.5E+21</v>
      </c>
      <c r="D259" s="18">
        <v>257</v>
      </c>
      <c r="E259" s="18" cm="1">
        <f t="array" aca="1" ref="E259" ca="1">INDIRECT("b"&amp;F259+2)</f>
        <v>5.2750000000000002E+41</v>
      </c>
      <c r="F259" s="18">
        <f t="shared" si="22"/>
        <v>741</v>
      </c>
      <c r="G259" s="18"/>
      <c r="H259" s="18"/>
      <c r="I259" s="19">
        <v>257</v>
      </c>
      <c r="J259" s="19" cm="1">
        <f t="array" aca="1" ref="J259" ca="1">INDIRECT("b"&amp;K259+2)</f>
        <v>5.2750000000000005E+70</v>
      </c>
      <c r="K259" s="19">
        <f t="shared" si="21"/>
        <v>1941</v>
      </c>
      <c r="N259" s="18">
        <v>820</v>
      </c>
      <c r="O259" s="18"/>
      <c r="P259" s="2" cm="1">
        <f t="array" aca="1" ref="P259" ca="1">INDIRECT("b" &amp; (N259+2))</f>
        <v>5.0499999999999997E+43</v>
      </c>
      <c r="Q259" s="5">
        <f t="shared" ref="Q259:Q322" ca="1" si="24">P259/$P$2</f>
        <v>4122448.9795918362</v>
      </c>
      <c r="S259" s="18">
        <v>380</v>
      </c>
      <c r="T259" s="18"/>
      <c r="U259" s="2" cm="1">
        <f t="array" aca="1" ref="U259" ca="1">INDIRECT("d" &amp; (S259+2))</f>
        <v>380</v>
      </c>
      <c r="V259" s="5">
        <f t="shared" ca="1" si="23"/>
        <v>3.089430894308943</v>
      </c>
      <c r="W259">
        <v>257</v>
      </c>
      <c r="X259" s="18">
        <v>820</v>
      </c>
      <c r="Y259" s="18"/>
      <c r="Z259" s="2" cm="1">
        <f t="array" aca="1" ref="Z259" ca="1">INDIRECT("b" &amp; (X259+2))</f>
        <v>5.0499999999999997E+43</v>
      </c>
      <c r="AA259" s="5">
        <f t="shared" ref="AA259:AA322" ca="1" si="25">Z259/$P$2</f>
        <v>4122448.9795918362</v>
      </c>
    </row>
    <row r="260" spans="1:27">
      <c r="A260">
        <v>258</v>
      </c>
      <c r="B260">
        <v>8E+21</v>
      </c>
      <c r="D260" s="18">
        <v>258</v>
      </c>
      <c r="E260" s="18" cm="1">
        <f t="array" aca="1" ref="E260" ca="1">INDIRECT("b"&amp;F260+2)</f>
        <v>5.4999999999999996E+41</v>
      </c>
      <c r="F260" s="18">
        <f t="shared" si="22"/>
        <v>742</v>
      </c>
      <c r="G260" s="18"/>
      <c r="H260" s="18"/>
      <c r="I260" s="19">
        <v>258</v>
      </c>
      <c r="J260" s="19" cm="1">
        <f t="array" aca="1" ref="J260" ca="1">INDIRECT("b"&amp;K260+2)</f>
        <v>5.5000000000000005E+70</v>
      </c>
      <c r="K260" s="19">
        <f t="shared" ref="K260:K323" si="26">INT((A260-1)*40/30+900*40/30)+400</f>
        <v>1942</v>
      </c>
      <c r="N260" s="18">
        <v>821</v>
      </c>
      <c r="O260" s="18"/>
      <c r="P260" s="2" cm="1">
        <f t="array" aca="1" ref="P260" ca="1">INDIRECT("b" &amp; (N260+2))</f>
        <v>5.2749999999999993E+43</v>
      </c>
      <c r="Q260" s="5">
        <f t="shared" ca="1" si="24"/>
        <v>4306122.448979591</v>
      </c>
      <c r="S260" s="18">
        <v>381</v>
      </c>
      <c r="T260" s="18"/>
      <c r="U260" s="2" cm="1">
        <f t="array" aca="1" ref="U260" ca="1">INDIRECT("d" &amp; (S260+2))</f>
        <v>381</v>
      </c>
      <c r="V260" s="5">
        <f t="shared" ca="1" si="23"/>
        <v>3.0975609756097562</v>
      </c>
      <c r="W260">
        <v>258</v>
      </c>
      <c r="X260" s="18">
        <v>821</v>
      </c>
      <c r="Y260" s="18"/>
      <c r="Z260" s="2" cm="1">
        <f t="array" aca="1" ref="Z260" ca="1">INDIRECT("b" &amp; (X260+2))</f>
        <v>5.2749999999999993E+43</v>
      </c>
      <c r="AA260" s="5">
        <f t="shared" ca="1" si="25"/>
        <v>4306122.448979591</v>
      </c>
    </row>
    <row r="261" spans="1:27">
      <c r="A261">
        <v>259</v>
      </c>
      <c r="B261">
        <v>8.5E+21</v>
      </c>
      <c r="D261" s="18">
        <v>259</v>
      </c>
      <c r="E261" s="18" cm="1">
        <f t="array" aca="1" ref="E261" ca="1">INDIRECT("b"&amp;F261+2)</f>
        <v>5.9500000000000006E+41</v>
      </c>
      <c r="F261" s="18">
        <f t="shared" si="22"/>
        <v>744</v>
      </c>
      <c r="G261" s="18"/>
      <c r="H261" s="18"/>
      <c r="I261" s="19">
        <v>259</v>
      </c>
      <c r="J261" s="19" cm="1">
        <f t="array" aca="1" ref="J261" ca="1">INDIRECT("b"&amp;K261+2)</f>
        <v>5.9500000000000005E+70</v>
      </c>
      <c r="K261" s="19">
        <f t="shared" si="26"/>
        <v>1944</v>
      </c>
      <c r="N261" s="18">
        <v>822</v>
      </c>
      <c r="O261" s="18"/>
      <c r="P261" s="2" cm="1">
        <f t="array" aca="1" ref="P261" ca="1">INDIRECT("b" &amp; (N261+2))</f>
        <v>5.4999999999999999E+43</v>
      </c>
      <c r="Q261" s="5">
        <f t="shared" ca="1" si="24"/>
        <v>4489795.9183673467</v>
      </c>
      <c r="S261" s="18">
        <v>382</v>
      </c>
      <c r="T261" s="18"/>
      <c r="U261" s="2" cm="1">
        <f t="array" aca="1" ref="U261" ca="1">INDIRECT("d" &amp; (S261+2))</f>
        <v>382</v>
      </c>
      <c r="V261" s="5">
        <f t="shared" ca="1" si="23"/>
        <v>3.1056910569105689</v>
      </c>
      <c r="W261">
        <v>259</v>
      </c>
      <c r="X261" s="18">
        <v>822</v>
      </c>
      <c r="Y261" s="18"/>
      <c r="Z261" s="2" cm="1">
        <f t="array" aca="1" ref="Z261" ca="1">INDIRECT("b" &amp; (X261+2))</f>
        <v>5.4999999999999999E+43</v>
      </c>
      <c r="AA261" s="5">
        <f t="shared" ca="1" si="25"/>
        <v>4489795.9183673467</v>
      </c>
    </row>
    <row r="262" spans="1:27">
      <c r="A262">
        <v>260</v>
      </c>
      <c r="B262">
        <v>9E+21</v>
      </c>
      <c r="D262" s="18">
        <v>260</v>
      </c>
      <c r="E262" s="18" cm="1">
        <f t="array" aca="1" ref="E262" ca="1">INDIRECT("b"&amp;F262+2)</f>
        <v>6.1749999999999993E+41</v>
      </c>
      <c r="F262" s="18">
        <f t="shared" si="22"/>
        <v>745</v>
      </c>
      <c r="G262" s="18"/>
      <c r="H262" s="18"/>
      <c r="I262" s="19">
        <v>260</v>
      </c>
      <c r="J262" s="19" cm="1">
        <f t="array" aca="1" ref="J262" ca="1">INDIRECT("b"&amp;K262+2)</f>
        <v>6.1749999999999999E+70</v>
      </c>
      <c r="K262" s="19">
        <f t="shared" si="26"/>
        <v>1945</v>
      </c>
      <c r="N262" s="18">
        <v>823</v>
      </c>
      <c r="O262" s="18"/>
      <c r="P262" s="2" cm="1">
        <f t="array" aca="1" ref="P262" ca="1">INDIRECT("b" &amp; (N262+2))</f>
        <v>5.7250000000000005E+43</v>
      </c>
      <c r="Q262" s="5">
        <f t="shared" ca="1" si="24"/>
        <v>4673469.3877551025</v>
      </c>
      <c r="S262" s="18">
        <v>383</v>
      </c>
      <c r="T262" s="18"/>
      <c r="U262" s="2" cm="1">
        <f t="array" aca="1" ref="U262" ca="1">INDIRECT("d" &amp; (S262+2))</f>
        <v>383</v>
      </c>
      <c r="V262" s="5">
        <f t="shared" ca="1" si="23"/>
        <v>3.1138211382113821</v>
      </c>
      <c r="W262">
        <v>260</v>
      </c>
      <c r="X262" s="18">
        <v>823</v>
      </c>
      <c r="Y262" s="18"/>
      <c r="Z262" s="2" cm="1">
        <f t="array" aca="1" ref="Z262" ca="1">INDIRECT("b" &amp; (X262+2))</f>
        <v>5.7250000000000005E+43</v>
      </c>
      <c r="AA262" s="5">
        <f t="shared" ca="1" si="25"/>
        <v>4673469.3877551025</v>
      </c>
    </row>
    <row r="263" spans="1:27">
      <c r="A263">
        <v>261</v>
      </c>
      <c r="B263">
        <v>9.500000000000001E+21</v>
      </c>
      <c r="D263" s="18">
        <v>261</v>
      </c>
      <c r="E263" s="18" cm="1">
        <f t="array" aca="1" ref="E263" ca="1">INDIRECT("b"&amp;F263+2)</f>
        <v>6.3999999999999994E+41</v>
      </c>
      <c r="F263" s="18">
        <f t="shared" si="22"/>
        <v>746</v>
      </c>
      <c r="G263" s="18"/>
      <c r="H263" s="18"/>
      <c r="I263" s="19">
        <v>261</v>
      </c>
      <c r="J263" s="19" cm="1">
        <f t="array" aca="1" ref="J263" ca="1">INDIRECT("b"&amp;K263+2)</f>
        <v>6.4000000000000005E+70</v>
      </c>
      <c r="K263" s="19">
        <f t="shared" si="26"/>
        <v>1946</v>
      </c>
      <c r="N263" s="18">
        <v>824</v>
      </c>
      <c r="O263" s="18"/>
      <c r="P263" s="2" cm="1">
        <f t="array" aca="1" ref="P263" ca="1">INDIRECT("b" &amp; (N263+2))</f>
        <v>5.9500000000000011E+43</v>
      </c>
      <c r="Q263" s="5">
        <f t="shared" ca="1" si="24"/>
        <v>4857142.8571428573</v>
      </c>
      <c r="S263" s="18">
        <v>384</v>
      </c>
      <c r="T263" s="18"/>
      <c r="U263" s="2" cm="1">
        <f t="array" aca="1" ref="U263" ca="1">INDIRECT("d" &amp; (S263+2))</f>
        <v>384</v>
      </c>
      <c r="V263" s="5">
        <f t="shared" ca="1" si="23"/>
        <v>3.1219512195121952</v>
      </c>
      <c r="W263">
        <v>261</v>
      </c>
      <c r="X263" s="18">
        <v>824</v>
      </c>
      <c r="Y263" s="18"/>
      <c r="Z263" s="2" cm="1">
        <f t="array" aca="1" ref="Z263" ca="1">INDIRECT("b" &amp; (X263+2))</f>
        <v>5.9500000000000011E+43</v>
      </c>
      <c r="AA263" s="5">
        <f t="shared" ca="1" si="25"/>
        <v>4857142.8571428573</v>
      </c>
    </row>
    <row r="264" spans="1:27">
      <c r="A264">
        <v>262</v>
      </c>
      <c r="B264">
        <v>1E+22</v>
      </c>
      <c r="D264" s="18">
        <v>262</v>
      </c>
      <c r="E264" s="18" cm="1">
        <f t="array" aca="1" ref="E264" ca="1">INDIRECT("b"&amp;F264+2)</f>
        <v>6.8500000000000005E+41</v>
      </c>
      <c r="F264" s="18">
        <f t="shared" si="22"/>
        <v>748</v>
      </c>
      <c r="G264" s="18"/>
      <c r="H264" s="18"/>
      <c r="I264" s="19">
        <v>262</v>
      </c>
      <c r="J264" s="19" cm="1">
        <f t="array" aca="1" ref="J264" ca="1">INDIRECT("b"&amp;K264+2)</f>
        <v>6.8500000000000005E+70</v>
      </c>
      <c r="K264" s="19">
        <f t="shared" si="26"/>
        <v>1948</v>
      </c>
      <c r="N264" s="18">
        <v>825</v>
      </c>
      <c r="O264" s="18"/>
      <c r="P264" s="2" cm="1">
        <f t="array" aca="1" ref="P264" ca="1">INDIRECT("b" &amp; (N264+2))</f>
        <v>6.1749999999999997E+43</v>
      </c>
      <c r="Q264" s="5">
        <f t="shared" ca="1" si="24"/>
        <v>5040816.3265306111</v>
      </c>
      <c r="S264" s="18">
        <v>385</v>
      </c>
      <c r="T264" s="18"/>
      <c r="U264" s="2" cm="1">
        <f t="array" aca="1" ref="U264" ca="1">INDIRECT("d" &amp; (S264+2))</f>
        <v>385</v>
      </c>
      <c r="V264" s="5">
        <f t="shared" ca="1" si="23"/>
        <v>3.1300813008130079</v>
      </c>
      <c r="W264">
        <v>262</v>
      </c>
      <c r="X264" s="18">
        <v>825</v>
      </c>
      <c r="Y264" s="18"/>
      <c r="Z264" s="2" cm="1">
        <f t="array" aca="1" ref="Z264" ca="1">INDIRECT("b" &amp; (X264+2))</f>
        <v>6.1749999999999997E+43</v>
      </c>
      <c r="AA264" s="5">
        <f t="shared" ca="1" si="25"/>
        <v>5040816.3265306111</v>
      </c>
    </row>
    <row r="265" spans="1:27">
      <c r="A265">
        <v>263</v>
      </c>
      <c r="B265">
        <v>1.0499999999999999E+22</v>
      </c>
      <c r="D265" s="18">
        <v>263</v>
      </c>
      <c r="E265" s="18" cm="1">
        <f t="array" aca="1" ref="E265" ca="1">INDIRECT("b"&amp;F265+2)</f>
        <v>7.0749999999999999E+41</v>
      </c>
      <c r="F265" s="18">
        <f t="shared" si="22"/>
        <v>749</v>
      </c>
      <c r="G265" s="18"/>
      <c r="H265" s="18"/>
      <c r="I265" s="19">
        <v>263</v>
      </c>
      <c r="J265" s="19" cm="1">
        <f t="array" aca="1" ref="J265" ca="1">INDIRECT("b"&amp;K265+2)</f>
        <v>7.0749999999999998E+70</v>
      </c>
      <c r="K265" s="19">
        <f t="shared" si="26"/>
        <v>1949</v>
      </c>
      <c r="N265" s="18">
        <v>826</v>
      </c>
      <c r="O265" s="18"/>
      <c r="P265" s="2" cm="1">
        <f t="array" aca="1" ref="P265" ca="1">INDIRECT("b" &amp; (N265+2))</f>
        <v>6.3999999999999993E+43</v>
      </c>
      <c r="Q265" s="5">
        <f t="shared" ca="1" si="24"/>
        <v>5224489.7959183659</v>
      </c>
      <c r="S265" s="18">
        <v>386</v>
      </c>
      <c r="T265" s="18"/>
      <c r="U265" s="2" cm="1">
        <f t="array" aca="1" ref="U265" ca="1">INDIRECT("d" &amp; (S265+2))</f>
        <v>386</v>
      </c>
      <c r="V265" s="5">
        <f t="shared" ca="1" si="23"/>
        <v>3.1382113821138211</v>
      </c>
      <c r="W265">
        <v>263</v>
      </c>
      <c r="X265" s="18">
        <v>826</v>
      </c>
      <c r="Y265" s="18"/>
      <c r="Z265" s="2" cm="1">
        <f t="array" aca="1" ref="Z265" ca="1">INDIRECT("b" &amp; (X265+2))</f>
        <v>6.3999999999999993E+43</v>
      </c>
      <c r="AA265" s="5">
        <f t="shared" ca="1" si="25"/>
        <v>5224489.7959183659</v>
      </c>
    </row>
    <row r="266" spans="1:27">
      <c r="A266">
        <v>264</v>
      </c>
      <c r="B266">
        <v>1.1E+22</v>
      </c>
      <c r="D266" s="18">
        <v>264</v>
      </c>
      <c r="E266" s="18" cm="1">
        <f t="array" aca="1" ref="E266" ca="1">INDIRECT("b"&amp;F266+2)</f>
        <v>7.3000000000000001E+41</v>
      </c>
      <c r="F266" s="18">
        <f t="shared" si="22"/>
        <v>750</v>
      </c>
      <c r="G266" s="18"/>
      <c r="H266" s="18"/>
      <c r="I266" s="19">
        <v>264</v>
      </c>
      <c r="J266" s="19" cm="1">
        <f t="array" aca="1" ref="J266" ca="1">INDIRECT("b"&amp;K266+2)</f>
        <v>7.3000000000000005E+70</v>
      </c>
      <c r="K266" s="19">
        <f t="shared" si="26"/>
        <v>1950</v>
      </c>
      <c r="N266" s="18">
        <v>827</v>
      </c>
      <c r="O266" s="18"/>
      <c r="P266" s="2" cm="1">
        <f t="array" aca="1" ref="P266" ca="1">INDIRECT("b" &amp; (N266+2))</f>
        <v>6.6250000000000009E+43</v>
      </c>
      <c r="Q266" s="5">
        <f t="shared" ca="1" si="24"/>
        <v>5408163.2653061226</v>
      </c>
      <c r="S266" s="18">
        <v>387</v>
      </c>
      <c r="T266" s="18"/>
      <c r="U266" s="2" cm="1">
        <f t="array" aca="1" ref="U266" ca="1">INDIRECT("d" &amp; (S266+2))</f>
        <v>387</v>
      </c>
      <c r="V266" s="5">
        <f t="shared" ca="1" si="23"/>
        <v>3.1463414634146343</v>
      </c>
      <c r="W266">
        <v>264</v>
      </c>
      <c r="X266" s="18">
        <v>827</v>
      </c>
      <c r="Y266" s="18"/>
      <c r="Z266" s="2" cm="1">
        <f t="array" aca="1" ref="Z266" ca="1">INDIRECT("b" &amp; (X266+2))</f>
        <v>6.6250000000000009E+43</v>
      </c>
      <c r="AA266" s="5">
        <f t="shared" ca="1" si="25"/>
        <v>5408163.2653061226</v>
      </c>
    </row>
    <row r="267" spans="1:27">
      <c r="A267">
        <v>265</v>
      </c>
      <c r="B267">
        <v>1.5E+22</v>
      </c>
      <c r="D267" s="18">
        <v>265</v>
      </c>
      <c r="E267" s="18" cm="1">
        <f t="array" aca="1" ref="E267" ca="1">INDIRECT("b"&amp;F267+2)</f>
        <v>7.7500000000000004E+41</v>
      </c>
      <c r="F267" s="18">
        <f t="shared" si="22"/>
        <v>752</v>
      </c>
      <c r="G267" s="18"/>
      <c r="H267" s="18"/>
      <c r="I267" s="19">
        <v>265</v>
      </c>
      <c r="J267" s="19" cm="1">
        <f t="array" aca="1" ref="J267" ca="1">INDIRECT("b"&amp;K267+2)</f>
        <v>7.7500000000000004E+70</v>
      </c>
      <c r="K267" s="19">
        <f t="shared" si="26"/>
        <v>1952</v>
      </c>
      <c r="N267" s="18">
        <v>828</v>
      </c>
      <c r="O267" s="18"/>
      <c r="P267" s="2" cm="1">
        <f t="array" aca="1" ref="P267" ca="1">INDIRECT("b" &amp; (N267+2))</f>
        <v>6.8500000000000005E+43</v>
      </c>
      <c r="Q267" s="5">
        <f t="shared" ca="1" si="24"/>
        <v>5591836.7346938774</v>
      </c>
      <c r="S267" s="18">
        <v>388</v>
      </c>
      <c r="T267" s="18"/>
      <c r="U267" s="2" cm="1">
        <f t="array" aca="1" ref="U267" ca="1">INDIRECT("d" &amp; (S267+2))</f>
        <v>388</v>
      </c>
      <c r="V267" s="5">
        <f t="shared" ca="1" si="23"/>
        <v>3.154471544715447</v>
      </c>
      <c r="W267">
        <v>265</v>
      </c>
      <c r="X267" s="18">
        <v>828</v>
      </c>
      <c r="Y267" s="18"/>
      <c r="Z267" s="2" cm="1">
        <f t="array" aca="1" ref="Z267" ca="1">INDIRECT("b" &amp; (X267+2))</f>
        <v>6.8500000000000005E+43</v>
      </c>
      <c r="AA267" s="5">
        <f t="shared" ca="1" si="25"/>
        <v>5591836.7346938774</v>
      </c>
    </row>
    <row r="268" spans="1:27">
      <c r="A268">
        <v>266</v>
      </c>
      <c r="B268">
        <v>2E+22</v>
      </c>
      <c r="D268" s="18">
        <v>266</v>
      </c>
      <c r="E268" s="18" cm="1">
        <f t="array" aca="1" ref="E268" ca="1">INDIRECT("b"&amp;F268+2)</f>
        <v>7.9750000000000005E+41</v>
      </c>
      <c r="F268" s="18">
        <f t="shared" si="22"/>
        <v>753</v>
      </c>
      <c r="G268" s="18"/>
      <c r="H268" s="18"/>
      <c r="I268" s="19">
        <v>266</v>
      </c>
      <c r="J268" s="19" cm="1">
        <f t="array" aca="1" ref="J268" ca="1">INDIRECT("b"&amp;K268+2)</f>
        <v>7.9749999999999998E+70</v>
      </c>
      <c r="K268" s="19">
        <f t="shared" si="26"/>
        <v>1953</v>
      </c>
      <c r="N268" s="18">
        <v>829</v>
      </c>
      <c r="O268" s="18"/>
      <c r="P268" s="2" cm="1">
        <f t="array" aca="1" ref="P268" ca="1">INDIRECT("b" &amp; (N268+2))</f>
        <v>7.0749999999999991E+43</v>
      </c>
      <c r="Q268" s="5">
        <f t="shared" ca="1" si="24"/>
        <v>5775510.2040816313</v>
      </c>
      <c r="S268" s="18">
        <v>389</v>
      </c>
      <c r="T268" s="18"/>
      <c r="U268" s="2" cm="1">
        <f t="array" aca="1" ref="U268" ca="1">INDIRECT("d" &amp; (S268+2))</f>
        <v>389</v>
      </c>
      <c r="V268" s="5">
        <f t="shared" ca="1" si="23"/>
        <v>3.1626016260162602</v>
      </c>
      <c r="W268">
        <v>266</v>
      </c>
      <c r="X268" s="18">
        <v>829</v>
      </c>
      <c r="Y268" s="18"/>
      <c r="Z268" s="2" cm="1">
        <f t="array" aca="1" ref="Z268" ca="1">INDIRECT("b" &amp; (X268+2))</f>
        <v>7.0749999999999991E+43</v>
      </c>
      <c r="AA268" s="5">
        <f t="shared" ca="1" si="25"/>
        <v>5775510.2040816313</v>
      </c>
    </row>
    <row r="269" spans="1:27">
      <c r="A269">
        <v>267</v>
      </c>
      <c r="B269">
        <v>2.4999999999999998E+22</v>
      </c>
      <c r="D269" s="18">
        <v>267</v>
      </c>
      <c r="E269" s="18" cm="1">
        <f t="array" aca="1" ref="E269" ca="1">INDIRECT("b"&amp;F269+2)</f>
        <v>8.1999999999999992E+41</v>
      </c>
      <c r="F269" s="18">
        <f t="shared" si="22"/>
        <v>754</v>
      </c>
      <c r="G269" s="18"/>
      <c r="H269" s="18"/>
      <c r="I269" s="19">
        <v>267</v>
      </c>
      <c r="J269" s="19" cm="1">
        <f t="array" aca="1" ref="J269" ca="1">INDIRECT("b"&amp;K269+2)</f>
        <v>8.2000000000000004E+70</v>
      </c>
      <c r="K269" s="19">
        <f t="shared" si="26"/>
        <v>1954</v>
      </c>
      <c r="N269" s="18">
        <v>830</v>
      </c>
      <c r="O269" s="18"/>
      <c r="P269" s="2" cm="1">
        <f t="array" aca="1" ref="P269" ca="1">INDIRECT("b" &amp; (N269+2))</f>
        <v>7.3000000000000007E+43</v>
      </c>
      <c r="Q269" s="5">
        <f t="shared" ca="1" si="24"/>
        <v>5959183.6734693879</v>
      </c>
      <c r="S269" s="18">
        <v>390</v>
      </c>
      <c r="T269" s="18"/>
      <c r="U269" s="2" cm="1">
        <f t="array" aca="1" ref="U269" ca="1">INDIRECT("d" &amp; (S269+2))</f>
        <v>390</v>
      </c>
      <c r="V269" s="5">
        <f t="shared" ca="1" si="23"/>
        <v>3.1707317073170733</v>
      </c>
      <c r="W269">
        <v>267</v>
      </c>
      <c r="X269" s="18">
        <v>830</v>
      </c>
      <c r="Y269" s="18"/>
      <c r="Z269" s="2" cm="1">
        <f t="array" aca="1" ref="Z269" ca="1">INDIRECT("b" &amp; (X269+2))</f>
        <v>7.3000000000000007E+43</v>
      </c>
      <c r="AA269" s="5">
        <f t="shared" ca="1" si="25"/>
        <v>5959183.6734693879</v>
      </c>
    </row>
    <row r="270" spans="1:27">
      <c r="A270">
        <v>268</v>
      </c>
      <c r="B270">
        <v>3E+22</v>
      </c>
      <c r="D270" s="18">
        <v>268</v>
      </c>
      <c r="E270" s="18" cm="1">
        <f t="array" aca="1" ref="E270" ca="1">INDIRECT("b"&amp;F270+2)</f>
        <v>8.6499999999999995E+41</v>
      </c>
      <c r="F270" s="18">
        <f t="shared" si="22"/>
        <v>756</v>
      </c>
      <c r="G270" s="18"/>
      <c r="H270" s="18"/>
      <c r="I270" s="19">
        <v>268</v>
      </c>
      <c r="J270" s="19" cm="1">
        <f t="array" aca="1" ref="J270" ca="1">INDIRECT("b"&amp;K270+2)</f>
        <v>8.6500000000000004E+70</v>
      </c>
      <c r="K270" s="19">
        <f t="shared" si="26"/>
        <v>1956</v>
      </c>
      <c r="N270" s="18">
        <v>831</v>
      </c>
      <c r="O270" s="18"/>
      <c r="P270" s="2" cm="1">
        <f t="array" aca="1" ref="P270" ca="1">INDIRECT("b" &amp; (N270+2))</f>
        <v>7.5249999999999993E+43</v>
      </c>
      <c r="Q270" s="5">
        <f t="shared" ca="1" si="24"/>
        <v>6142857.1428571418</v>
      </c>
      <c r="S270" s="18">
        <v>391</v>
      </c>
      <c r="T270" s="18"/>
      <c r="U270" s="2" cm="1">
        <f t="array" aca="1" ref="U270" ca="1">INDIRECT("d" &amp; (S270+2))</f>
        <v>391</v>
      </c>
      <c r="V270" s="5">
        <f t="shared" ca="1" si="23"/>
        <v>3.178861788617886</v>
      </c>
      <c r="W270">
        <v>268</v>
      </c>
      <c r="X270" s="18">
        <v>831</v>
      </c>
      <c r="Y270" s="18"/>
      <c r="Z270" s="2" cm="1">
        <f t="array" aca="1" ref="Z270" ca="1">INDIRECT("b" &amp; (X270+2))</f>
        <v>7.5249999999999993E+43</v>
      </c>
      <c r="AA270" s="5">
        <f t="shared" ca="1" si="25"/>
        <v>6142857.1428571418</v>
      </c>
    </row>
    <row r="271" spans="1:27">
      <c r="A271">
        <v>269</v>
      </c>
      <c r="B271">
        <v>3.5000000000000002E+22</v>
      </c>
      <c r="D271" s="18">
        <v>269</v>
      </c>
      <c r="E271" s="18" cm="1">
        <f t="array" aca="1" ref="E271" ca="1">INDIRECT("b"&amp;F271+2)</f>
        <v>8.8749999999999996E+41</v>
      </c>
      <c r="F271" s="18">
        <f t="shared" si="22"/>
        <v>757</v>
      </c>
      <c r="G271" s="18"/>
      <c r="H271" s="18"/>
      <c r="I271" s="19">
        <v>269</v>
      </c>
      <c r="J271" s="19" cm="1">
        <f t="array" aca="1" ref="J271" ca="1">INDIRECT("b"&amp;K271+2)</f>
        <v>8.8749999999999998E+70</v>
      </c>
      <c r="K271" s="19">
        <f t="shared" si="26"/>
        <v>1957</v>
      </c>
      <c r="N271" s="18">
        <v>832</v>
      </c>
      <c r="O271" s="18"/>
      <c r="P271" s="2" cm="1">
        <f t="array" aca="1" ref="P271" ca="1">INDIRECT("b" &amp; (N271+2))</f>
        <v>7.7500000000000009E+43</v>
      </c>
      <c r="Q271" s="5">
        <f t="shared" ca="1" si="24"/>
        <v>6326530.6122448985</v>
      </c>
      <c r="S271" s="18">
        <v>392</v>
      </c>
      <c r="T271" s="18"/>
      <c r="U271" s="2" cm="1">
        <f t="array" aca="1" ref="U271" ca="1">INDIRECT("d" &amp; (S271+2))</f>
        <v>392</v>
      </c>
      <c r="V271" s="5">
        <f t="shared" ca="1" si="23"/>
        <v>3.1869918699186992</v>
      </c>
      <c r="W271">
        <v>269</v>
      </c>
      <c r="X271" s="18">
        <v>832</v>
      </c>
      <c r="Y271" s="18"/>
      <c r="Z271" s="2" cm="1">
        <f t="array" aca="1" ref="Z271" ca="1">INDIRECT("b" &amp; (X271+2))</f>
        <v>7.7500000000000009E+43</v>
      </c>
      <c r="AA271" s="5">
        <f t="shared" ca="1" si="25"/>
        <v>6326530.6122448985</v>
      </c>
    </row>
    <row r="272" spans="1:27">
      <c r="A272">
        <v>270</v>
      </c>
      <c r="B272">
        <v>4E+22</v>
      </c>
      <c r="D272" s="18">
        <v>270</v>
      </c>
      <c r="E272" s="18" cm="1">
        <f t="array" aca="1" ref="E272" ca="1">INDIRECT("b"&amp;F272+2)</f>
        <v>9.0999999999999983E+41</v>
      </c>
      <c r="F272" s="18">
        <f t="shared" si="22"/>
        <v>758</v>
      </c>
      <c r="G272" s="18"/>
      <c r="H272" s="18"/>
      <c r="I272" s="19">
        <v>270</v>
      </c>
      <c r="J272" s="19" cm="1">
        <f t="array" aca="1" ref="J272" ca="1">INDIRECT("b"&amp;K272+2)</f>
        <v>9.1000000000000004E+70</v>
      </c>
      <c r="K272" s="19">
        <f t="shared" si="26"/>
        <v>1958</v>
      </c>
      <c r="N272" s="18">
        <v>833</v>
      </c>
      <c r="O272" s="18"/>
      <c r="P272" s="2" cm="1">
        <f t="array" aca="1" ref="P272" ca="1">INDIRECT("b" &amp; (N272+2))</f>
        <v>7.9750000000000005E+43</v>
      </c>
      <c r="Q272" s="5">
        <f t="shared" ca="1" si="24"/>
        <v>6510204.0816326533</v>
      </c>
      <c r="S272" s="18">
        <v>393</v>
      </c>
      <c r="T272" s="18"/>
      <c r="U272" s="2" cm="1">
        <f t="array" aca="1" ref="U272" ca="1">INDIRECT("d" &amp; (S272+2))</f>
        <v>393</v>
      </c>
      <c r="V272" s="5">
        <f t="shared" ca="1" si="23"/>
        <v>3.1951219512195124</v>
      </c>
      <c r="W272">
        <v>270</v>
      </c>
      <c r="X272" s="18">
        <v>833</v>
      </c>
      <c r="Y272" s="18"/>
      <c r="Z272" s="2" cm="1">
        <f t="array" aca="1" ref="Z272" ca="1">INDIRECT("b" &amp; (X272+2))</f>
        <v>7.9750000000000005E+43</v>
      </c>
      <c r="AA272" s="5">
        <f t="shared" ca="1" si="25"/>
        <v>6510204.0816326533</v>
      </c>
    </row>
    <row r="273" spans="1:27">
      <c r="A273">
        <v>271</v>
      </c>
      <c r="B273">
        <v>4.4999999999999998E+22</v>
      </c>
      <c r="D273" s="18">
        <v>271</v>
      </c>
      <c r="E273" s="18" cm="1">
        <f t="array" aca="1" ref="E273" ca="1">INDIRECT("b"&amp;F273+2)</f>
        <v>9.5500000000000001E+41</v>
      </c>
      <c r="F273" s="18">
        <f t="shared" si="22"/>
        <v>760</v>
      </c>
      <c r="G273" s="18"/>
      <c r="H273" s="18"/>
      <c r="I273" s="19">
        <v>271</v>
      </c>
      <c r="J273" s="19" cm="1">
        <f t="array" aca="1" ref="J273" ca="1">INDIRECT("b"&amp;K273+2)</f>
        <v>9.5500000000000004E+70</v>
      </c>
      <c r="K273" s="19">
        <f t="shared" si="26"/>
        <v>1960</v>
      </c>
      <c r="N273" s="18">
        <v>834</v>
      </c>
      <c r="O273" s="18"/>
      <c r="P273" s="2" cm="1">
        <f t="array" aca="1" ref="P273" ca="1">INDIRECT("b" &amp; (N273+2))</f>
        <v>8.1999999999999991E+43</v>
      </c>
      <c r="Q273" s="5">
        <f t="shared" ca="1" si="24"/>
        <v>6693877.5510204071</v>
      </c>
      <c r="S273" s="18">
        <v>394</v>
      </c>
      <c r="T273" s="18"/>
      <c r="U273" s="2" cm="1">
        <f t="array" aca="1" ref="U273" ca="1">INDIRECT("d" &amp; (S273+2))</f>
        <v>394</v>
      </c>
      <c r="V273" s="5">
        <f t="shared" ca="1" si="23"/>
        <v>3.2032520325203251</v>
      </c>
      <c r="W273">
        <v>271</v>
      </c>
      <c r="X273" s="18">
        <v>834</v>
      </c>
      <c r="Y273" s="18"/>
      <c r="Z273" s="2" cm="1">
        <f t="array" aca="1" ref="Z273" ca="1">INDIRECT("b" &amp; (X273+2))</f>
        <v>8.1999999999999991E+43</v>
      </c>
      <c r="AA273" s="5">
        <f t="shared" ca="1" si="25"/>
        <v>6693877.5510204071</v>
      </c>
    </row>
    <row r="274" spans="1:27">
      <c r="A274">
        <v>272</v>
      </c>
      <c r="B274">
        <v>4.9999999999999996E+22</v>
      </c>
      <c r="D274" s="18">
        <v>272</v>
      </c>
      <c r="E274" s="18" cm="1">
        <f t="array" aca="1" ref="E274" ca="1">INDIRECT("b"&amp;F274+2)</f>
        <v>9.7749999999999987E+41</v>
      </c>
      <c r="F274" s="18">
        <f t="shared" si="22"/>
        <v>761</v>
      </c>
      <c r="G274" s="18"/>
      <c r="H274" s="18"/>
      <c r="I274" s="19">
        <v>272</v>
      </c>
      <c r="J274" s="19" cm="1">
        <f t="array" aca="1" ref="J274" ca="1">INDIRECT("b"&amp;K274+2)</f>
        <v>9.7749999999999998E+70</v>
      </c>
      <c r="K274" s="19">
        <f t="shared" si="26"/>
        <v>1961</v>
      </c>
      <c r="N274" s="18">
        <v>835</v>
      </c>
      <c r="O274" s="18"/>
      <c r="P274" s="2" cm="1">
        <f t="array" aca="1" ref="P274" ca="1">INDIRECT("b" &amp; (N274+2))</f>
        <v>8.4250000000000007E+43</v>
      </c>
      <c r="Q274" s="5">
        <f t="shared" ca="1" si="24"/>
        <v>6877551.0204081628</v>
      </c>
      <c r="S274" s="18">
        <v>395</v>
      </c>
      <c r="T274" s="18"/>
      <c r="U274" s="2" cm="1">
        <f t="array" aca="1" ref="U274" ca="1">INDIRECT("d" &amp; (S274+2))</f>
        <v>395</v>
      </c>
      <c r="V274" s="5">
        <f t="shared" ca="1" si="23"/>
        <v>3.2113821138211383</v>
      </c>
      <c r="W274">
        <v>272</v>
      </c>
      <c r="X274" s="18">
        <v>835</v>
      </c>
      <c r="Y274" s="18"/>
      <c r="Z274" s="2" cm="1">
        <f t="array" aca="1" ref="Z274" ca="1">INDIRECT("b" &amp; (X274+2))</f>
        <v>8.4250000000000007E+43</v>
      </c>
      <c r="AA274" s="5">
        <f t="shared" ca="1" si="25"/>
        <v>6877551.0204081628</v>
      </c>
    </row>
    <row r="275" spans="1:27">
      <c r="A275">
        <v>273</v>
      </c>
      <c r="B275">
        <v>5.5000000000000002E+22</v>
      </c>
      <c r="D275" s="18">
        <v>273</v>
      </c>
      <c r="E275" s="18" cm="1">
        <f t="array" aca="1" ref="E275" ca="1">INDIRECT("b"&amp;F275+2)</f>
        <v>1E+42</v>
      </c>
      <c r="F275" s="18">
        <f t="shared" si="22"/>
        <v>762</v>
      </c>
      <c r="G275" s="18"/>
      <c r="H275" s="18"/>
      <c r="I275" s="19">
        <v>273</v>
      </c>
      <c r="J275" s="19" cm="1">
        <f t="array" aca="1" ref="J275" ca="1">INDIRECT("b"&amp;K275+2)</f>
        <v>1E+71</v>
      </c>
      <c r="K275" s="19">
        <f t="shared" si="26"/>
        <v>1962</v>
      </c>
      <c r="N275" s="18">
        <v>836</v>
      </c>
      <c r="O275" s="18"/>
      <c r="P275" s="2" cm="1">
        <f t="array" aca="1" ref="P275" ca="1">INDIRECT("b" &amp; (N275+2))</f>
        <v>8.6499999999999993E+43</v>
      </c>
      <c r="Q275" s="5">
        <f t="shared" ca="1" si="24"/>
        <v>7061224.4897959176</v>
      </c>
      <c r="S275" s="18">
        <v>396</v>
      </c>
      <c r="T275" s="18"/>
      <c r="U275" s="2" cm="1">
        <f t="array" aca="1" ref="U275" ca="1">INDIRECT("d" &amp; (S275+2))</f>
        <v>396</v>
      </c>
      <c r="V275" s="5">
        <f t="shared" ca="1" si="23"/>
        <v>3.2195121951219514</v>
      </c>
      <c r="W275">
        <v>273</v>
      </c>
      <c r="X275" s="18">
        <v>836</v>
      </c>
      <c r="Y275" s="18"/>
      <c r="Z275" s="2" cm="1">
        <f t="array" aca="1" ref="Z275" ca="1">INDIRECT("b" &amp; (X275+2))</f>
        <v>8.6499999999999993E+43</v>
      </c>
      <c r="AA275" s="5">
        <f t="shared" ca="1" si="25"/>
        <v>7061224.4897959176</v>
      </c>
    </row>
    <row r="276" spans="1:27">
      <c r="A276">
        <v>274</v>
      </c>
      <c r="B276">
        <v>6E+22</v>
      </c>
      <c r="D276" s="18">
        <v>274</v>
      </c>
      <c r="E276" s="18" cm="1">
        <f t="array" aca="1" ref="E276" ca="1">INDIRECT("b"&amp;F276+2)</f>
        <v>1.4499999999999999E+42</v>
      </c>
      <c r="F276" s="18">
        <f t="shared" si="22"/>
        <v>764</v>
      </c>
      <c r="G276" s="18"/>
      <c r="H276" s="18"/>
      <c r="I276" s="19">
        <v>274</v>
      </c>
      <c r="J276" s="19" cm="1">
        <f t="array" aca="1" ref="J276" ca="1">INDIRECT("b"&amp;K276+2)</f>
        <v>1.45E+71</v>
      </c>
      <c r="K276" s="19">
        <f t="shared" si="26"/>
        <v>1964</v>
      </c>
      <c r="N276" s="18">
        <v>837</v>
      </c>
      <c r="O276" s="18"/>
      <c r="P276" s="2" cm="1">
        <f t="array" aca="1" ref="P276" ca="1">INDIRECT("b" &amp; (N276+2))</f>
        <v>8.8749999999999989E+43</v>
      </c>
      <c r="Q276" s="5">
        <f t="shared" ca="1" si="24"/>
        <v>7244897.9591836724</v>
      </c>
      <c r="S276" s="18">
        <v>397</v>
      </c>
      <c r="T276" s="18"/>
      <c r="U276" s="2" cm="1">
        <f t="array" aca="1" ref="U276" ca="1">INDIRECT("d" &amp; (S276+2))</f>
        <v>397</v>
      </c>
      <c r="V276" s="5">
        <f t="shared" ca="1" si="23"/>
        <v>3.2276422764227641</v>
      </c>
      <c r="W276">
        <v>274</v>
      </c>
      <c r="X276" s="18">
        <v>837</v>
      </c>
      <c r="Y276" s="18"/>
      <c r="Z276" s="2" cm="1">
        <f t="array" aca="1" ref="Z276" ca="1">INDIRECT("b" &amp; (X276+2))</f>
        <v>8.8749999999999989E+43</v>
      </c>
      <c r="AA276" s="5">
        <f t="shared" ca="1" si="25"/>
        <v>7244897.9591836724</v>
      </c>
    </row>
    <row r="277" spans="1:27">
      <c r="A277">
        <v>275</v>
      </c>
      <c r="B277">
        <v>6.4999999999999998E+22</v>
      </c>
      <c r="D277" s="18">
        <v>275</v>
      </c>
      <c r="E277" s="18" cm="1">
        <f t="array" aca="1" ref="E277" ca="1">INDIRECT("b"&amp;F277+2)</f>
        <v>1.6750000000000001E+42</v>
      </c>
      <c r="F277" s="18">
        <f t="shared" si="22"/>
        <v>765</v>
      </c>
      <c r="G277" s="18"/>
      <c r="H277" s="18"/>
      <c r="I277" s="19">
        <v>275</v>
      </c>
      <c r="J277" s="19" cm="1">
        <f t="array" aca="1" ref="J277" ca="1">INDIRECT("b"&amp;K277+2)</f>
        <v>1.6750000000000002E+71</v>
      </c>
      <c r="K277" s="19">
        <f t="shared" si="26"/>
        <v>1965</v>
      </c>
      <c r="N277" s="18">
        <v>838</v>
      </c>
      <c r="O277" s="18"/>
      <c r="P277" s="2" cm="1">
        <f t="array" aca="1" ref="P277" ca="1">INDIRECT("b" &amp; (N277+2))</f>
        <v>9.0999999999999985E+43</v>
      </c>
      <c r="Q277" s="5">
        <f t="shared" ca="1" si="24"/>
        <v>7428571.4285714263</v>
      </c>
      <c r="S277" s="18">
        <v>398</v>
      </c>
      <c r="T277" s="18"/>
      <c r="U277" s="2" cm="1">
        <f t="array" aca="1" ref="U277" ca="1">INDIRECT("d" &amp; (S277+2))</f>
        <v>398</v>
      </c>
      <c r="V277" s="5">
        <f t="shared" ca="1" si="23"/>
        <v>3.2357723577235773</v>
      </c>
      <c r="W277">
        <v>275</v>
      </c>
      <c r="X277" s="18">
        <v>838</v>
      </c>
      <c r="Y277" s="18"/>
      <c r="Z277" s="2" cm="1">
        <f t="array" aca="1" ref="Z277" ca="1">INDIRECT("b" &amp; (X277+2))</f>
        <v>9.0999999999999985E+43</v>
      </c>
      <c r="AA277" s="5">
        <f t="shared" ca="1" si="25"/>
        <v>7428571.4285714263</v>
      </c>
    </row>
    <row r="278" spans="1:27">
      <c r="A278">
        <v>276</v>
      </c>
      <c r="B278">
        <v>7.0000000000000004E+22</v>
      </c>
      <c r="D278" s="18">
        <v>276</v>
      </c>
      <c r="E278" s="18" cm="1">
        <f t="array" aca="1" ref="E278" ca="1">INDIRECT("b"&amp;F278+2)</f>
        <v>1.9000000000000002E+42</v>
      </c>
      <c r="F278" s="18">
        <f t="shared" si="22"/>
        <v>766</v>
      </c>
      <c r="G278" s="18"/>
      <c r="H278" s="18"/>
      <c r="I278" s="19">
        <v>276</v>
      </c>
      <c r="J278" s="19" cm="1">
        <f t="array" aca="1" ref="J278" ca="1">INDIRECT("b"&amp;K278+2)</f>
        <v>1.9E+71</v>
      </c>
      <c r="K278" s="19">
        <f t="shared" si="26"/>
        <v>1966</v>
      </c>
      <c r="N278" s="18">
        <v>839</v>
      </c>
      <c r="O278" s="18"/>
      <c r="P278" s="2" cm="1">
        <f t="array" aca="1" ref="P278" ca="1">INDIRECT("b" &amp; (N278+2))</f>
        <v>9.3249999999999991E+43</v>
      </c>
      <c r="Q278" s="5">
        <f t="shared" ca="1" si="24"/>
        <v>7612244.897959182</v>
      </c>
      <c r="S278" s="18">
        <v>399</v>
      </c>
      <c r="T278" s="18"/>
      <c r="U278" s="2" cm="1">
        <f t="array" aca="1" ref="U278" ca="1">INDIRECT("d" &amp; (S278+2))</f>
        <v>399</v>
      </c>
      <c r="V278" s="5">
        <f t="shared" ca="1" si="23"/>
        <v>3.2439024390243905</v>
      </c>
      <c r="W278">
        <v>276</v>
      </c>
      <c r="X278" s="18">
        <v>839</v>
      </c>
      <c r="Y278" s="18"/>
      <c r="Z278" s="2" cm="1">
        <f t="array" aca="1" ref="Z278" ca="1">INDIRECT("b" &amp; (X278+2))</f>
        <v>9.3249999999999991E+43</v>
      </c>
      <c r="AA278" s="5">
        <f t="shared" ca="1" si="25"/>
        <v>7612244.897959182</v>
      </c>
    </row>
    <row r="279" spans="1:27">
      <c r="A279">
        <v>277</v>
      </c>
      <c r="B279">
        <v>7.5000000000000002E+22</v>
      </c>
      <c r="D279" s="18">
        <v>277</v>
      </c>
      <c r="E279" s="18" cm="1">
        <f t="array" aca="1" ref="E279" ca="1">INDIRECT("b"&amp;F279+2)</f>
        <v>2.3500000000000002E+42</v>
      </c>
      <c r="F279" s="18">
        <f t="shared" si="22"/>
        <v>768</v>
      </c>
      <c r="G279" s="18"/>
      <c r="H279" s="18"/>
      <c r="I279" s="19">
        <v>277</v>
      </c>
      <c r="J279" s="19" cm="1">
        <f t="array" aca="1" ref="J279" ca="1">INDIRECT("b"&amp;K279+2)</f>
        <v>2.3500000000000003E+71</v>
      </c>
      <c r="K279" s="19">
        <f t="shared" si="26"/>
        <v>1968</v>
      </c>
      <c r="N279" s="18">
        <v>840</v>
      </c>
      <c r="O279" s="18"/>
      <c r="P279" s="2" cm="1">
        <f t="array" aca="1" ref="P279" ca="1">INDIRECT("b" &amp; (N279+2))</f>
        <v>9.5499999999999997E+43</v>
      </c>
      <c r="Q279" s="5">
        <f t="shared" ca="1" si="24"/>
        <v>7795918.3673469378</v>
      </c>
      <c r="S279" s="18">
        <v>400</v>
      </c>
      <c r="T279" s="18"/>
      <c r="U279" s="2" cm="1">
        <f t="array" aca="1" ref="U279" ca="1">INDIRECT("d" &amp; (S279+2))</f>
        <v>400</v>
      </c>
      <c r="V279" s="5">
        <f t="shared" ca="1" si="23"/>
        <v>3.2520325203252032</v>
      </c>
      <c r="W279">
        <v>277</v>
      </c>
      <c r="X279" s="18">
        <v>840</v>
      </c>
      <c r="Y279" s="18"/>
      <c r="Z279" s="2" cm="1">
        <f t="array" aca="1" ref="Z279" ca="1">INDIRECT("b" &amp; (X279+2))</f>
        <v>9.5499999999999997E+43</v>
      </c>
      <c r="AA279" s="5">
        <f t="shared" ca="1" si="25"/>
        <v>7795918.3673469378</v>
      </c>
    </row>
    <row r="280" spans="1:27">
      <c r="A280">
        <v>278</v>
      </c>
      <c r="B280">
        <v>8E+22</v>
      </c>
      <c r="D280" s="18">
        <v>278</v>
      </c>
      <c r="E280" s="18" cm="1">
        <f t="array" aca="1" ref="E280" ca="1">INDIRECT("b"&amp;F280+2)</f>
        <v>2.5749999999999998E+42</v>
      </c>
      <c r="F280" s="18">
        <f t="shared" si="22"/>
        <v>769</v>
      </c>
      <c r="G280" s="18"/>
      <c r="H280" s="18"/>
      <c r="I280" s="19">
        <v>278</v>
      </c>
      <c r="J280" s="19" cm="1">
        <f t="array" aca="1" ref="J280" ca="1">INDIRECT("b"&amp;K280+2)</f>
        <v>2.5750000000000001E+71</v>
      </c>
      <c r="K280" s="19">
        <f t="shared" si="26"/>
        <v>1969</v>
      </c>
      <c r="N280" s="18">
        <v>841</v>
      </c>
      <c r="O280" s="18"/>
      <c r="P280" s="2" cm="1">
        <f t="array" aca="1" ref="P280" ca="1">INDIRECT("b" &amp; (N280+2))</f>
        <v>9.7749999999999983E+43</v>
      </c>
      <c r="Q280" s="5">
        <f t="shared" ca="1" si="24"/>
        <v>7979591.8367346916</v>
      </c>
      <c r="S280" s="18">
        <v>401</v>
      </c>
      <c r="T280" s="18"/>
      <c r="U280" s="2" cm="1">
        <f t="array" aca="1" ref="U280" ca="1">INDIRECT("d" &amp; (S280+2))</f>
        <v>401</v>
      </c>
      <c r="V280" s="5">
        <f t="shared" ca="1" si="23"/>
        <v>3.2601626016260163</v>
      </c>
      <c r="W280">
        <v>278</v>
      </c>
      <c r="X280" s="18">
        <v>841</v>
      </c>
      <c r="Y280" s="18"/>
      <c r="Z280" s="2" cm="1">
        <f t="array" aca="1" ref="Z280" ca="1">INDIRECT("b" &amp; (X280+2))</f>
        <v>9.7749999999999983E+43</v>
      </c>
      <c r="AA280" s="5">
        <f t="shared" ca="1" si="25"/>
        <v>7979591.8367346916</v>
      </c>
    </row>
    <row r="281" spans="1:27">
      <c r="A281">
        <v>279</v>
      </c>
      <c r="B281">
        <v>8.4999999999999998E+22</v>
      </c>
      <c r="D281" s="18">
        <v>279</v>
      </c>
      <c r="E281" s="18" cm="1">
        <f t="array" aca="1" ref="E281" ca="1">INDIRECT("b"&amp;F281+2)</f>
        <v>2.7999999999999999E+42</v>
      </c>
      <c r="F281" s="18">
        <f t="shared" si="22"/>
        <v>770</v>
      </c>
      <c r="G281" s="18"/>
      <c r="H281" s="18"/>
      <c r="I281" s="19">
        <v>279</v>
      </c>
      <c r="J281" s="19" cm="1">
        <f t="array" aca="1" ref="J281" ca="1">INDIRECT("b"&amp;K281+2)</f>
        <v>2.8E+71</v>
      </c>
      <c r="K281" s="19">
        <f t="shared" si="26"/>
        <v>1970</v>
      </c>
      <c r="N281" s="18">
        <v>842</v>
      </c>
      <c r="O281" s="18"/>
      <c r="P281" s="2" cm="1">
        <f t="array" aca="1" ref="P281" ca="1">INDIRECT("b" &amp; (N281+2))</f>
        <v>1.0000000000000001E+44</v>
      </c>
      <c r="Q281" s="5">
        <f t="shared" ca="1" si="24"/>
        <v>8163265.3061224492</v>
      </c>
      <c r="S281" s="18">
        <v>402</v>
      </c>
      <c r="T281" s="18"/>
      <c r="U281" s="2" cm="1">
        <f t="array" aca="1" ref="U281" ca="1">INDIRECT("d" &amp; (S281+2))</f>
        <v>402</v>
      </c>
      <c r="V281" s="5">
        <f t="shared" ca="1" si="23"/>
        <v>3.2682926829268291</v>
      </c>
      <c r="W281">
        <v>279</v>
      </c>
      <c r="X281" s="18">
        <v>842</v>
      </c>
      <c r="Y281" s="18"/>
      <c r="Z281" s="2" cm="1">
        <f t="array" aca="1" ref="Z281" ca="1">INDIRECT("b" &amp; (X281+2))</f>
        <v>1.0000000000000001E+44</v>
      </c>
      <c r="AA281" s="5">
        <f t="shared" ca="1" si="25"/>
        <v>8163265.3061224492</v>
      </c>
    </row>
    <row r="282" spans="1:27">
      <c r="A282">
        <v>280</v>
      </c>
      <c r="B282">
        <v>8.9999999999999996E+22</v>
      </c>
      <c r="D282" s="18">
        <v>280</v>
      </c>
      <c r="E282" s="18" cm="1">
        <f t="array" aca="1" ref="E282" ca="1">INDIRECT("b"&amp;F282+2)</f>
        <v>3.2499999999999996E+42</v>
      </c>
      <c r="F282" s="18">
        <f t="shared" si="22"/>
        <v>772</v>
      </c>
      <c r="G282" s="18"/>
      <c r="H282" s="18"/>
      <c r="I282" s="19">
        <v>280</v>
      </c>
      <c r="J282" s="19" cm="1">
        <f t="array" aca="1" ref="J282" ca="1">INDIRECT("b"&amp;K282+2)</f>
        <v>3.2500000000000003E+71</v>
      </c>
      <c r="K282" s="19">
        <f t="shared" si="26"/>
        <v>1972</v>
      </c>
      <c r="N282" s="18">
        <v>843</v>
      </c>
      <c r="O282" s="18"/>
      <c r="P282" s="2" cm="1">
        <f t="array" aca="1" ref="P282" ca="1">INDIRECT("b" &amp; (N282+2))</f>
        <v>1.2250000000000001E+44</v>
      </c>
      <c r="Q282" s="5">
        <f t="shared" ca="1" si="24"/>
        <v>10000000</v>
      </c>
      <c r="S282" s="18">
        <v>403</v>
      </c>
      <c r="T282" s="18"/>
      <c r="U282" s="2" cm="1">
        <f t="array" aca="1" ref="U282" ca="1">INDIRECT("d" &amp; (S282+2))</f>
        <v>403</v>
      </c>
      <c r="V282" s="5">
        <f t="shared" ca="1" si="23"/>
        <v>3.2764227642276422</v>
      </c>
      <c r="W282">
        <v>280</v>
      </c>
      <c r="X282" s="18">
        <v>843</v>
      </c>
      <c r="Y282" s="18"/>
      <c r="Z282" s="2" cm="1">
        <f t="array" aca="1" ref="Z282" ca="1">INDIRECT("b" &amp; (X282+2))</f>
        <v>1.2250000000000001E+44</v>
      </c>
      <c r="AA282" s="5">
        <f t="shared" ca="1" si="25"/>
        <v>10000000</v>
      </c>
    </row>
    <row r="283" spans="1:27">
      <c r="A283">
        <v>281</v>
      </c>
      <c r="B283">
        <v>9.4999999999999994E+22</v>
      </c>
      <c r="D283" s="18">
        <v>281</v>
      </c>
      <c r="E283" s="18" cm="1">
        <f t="array" aca="1" ref="E283" ca="1">INDIRECT("b"&amp;F283+2)</f>
        <v>3.4750000000000001E+42</v>
      </c>
      <c r="F283" s="18">
        <f t="shared" si="22"/>
        <v>773</v>
      </c>
      <c r="G283" s="18"/>
      <c r="H283" s="18"/>
      <c r="I283" s="19">
        <v>281</v>
      </c>
      <c r="J283" s="19" cm="1">
        <f t="array" aca="1" ref="J283" ca="1">INDIRECT("b"&amp;K283+2)</f>
        <v>3.4750000000000001E+71</v>
      </c>
      <c r="K283" s="19">
        <f t="shared" si="26"/>
        <v>1973</v>
      </c>
      <c r="N283" s="18">
        <v>844</v>
      </c>
      <c r="O283" s="18"/>
      <c r="P283" s="2" cm="1">
        <f t="array" aca="1" ref="P283" ca="1">INDIRECT("b" &amp; (N283+2))</f>
        <v>1.4499999999999999E+44</v>
      </c>
      <c r="Q283" s="5">
        <f t="shared" ca="1" si="24"/>
        <v>11836734.69387755</v>
      </c>
      <c r="S283" s="18">
        <v>404</v>
      </c>
      <c r="T283" s="18"/>
      <c r="U283" s="2" cm="1">
        <f t="array" aca="1" ref="U283" ca="1">INDIRECT("d" &amp; (S283+2))</f>
        <v>404</v>
      </c>
      <c r="V283" s="5">
        <f t="shared" ca="1" si="23"/>
        <v>3.2845528455284554</v>
      </c>
      <c r="W283">
        <v>281</v>
      </c>
      <c r="X283" s="18">
        <v>844</v>
      </c>
      <c r="Y283" s="18"/>
      <c r="Z283" s="2" cm="1">
        <f t="array" aca="1" ref="Z283" ca="1">INDIRECT("b" &amp; (X283+2))</f>
        <v>1.4499999999999999E+44</v>
      </c>
      <c r="AA283" s="5">
        <f t="shared" ca="1" si="25"/>
        <v>11836734.69387755</v>
      </c>
    </row>
    <row r="284" spans="1:27">
      <c r="A284">
        <v>282</v>
      </c>
      <c r="B284">
        <v>9.9999999999999992E+22</v>
      </c>
      <c r="D284" s="18">
        <v>282</v>
      </c>
      <c r="E284" s="18" cm="1">
        <f t="array" aca="1" ref="E284" ca="1">INDIRECT("b"&amp;F284+2)</f>
        <v>3.7E+42</v>
      </c>
      <c r="F284" s="18">
        <f t="shared" si="22"/>
        <v>774</v>
      </c>
      <c r="G284" s="18"/>
      <c r="H284" s="18"/>
      <c r="I284" s="19">
        <v>282</v>
      </c>
      <c r="J284" s="19" cm="1">
        <f t="array" aca="1" ref="J284" ca="1">INDIRECT("b"&amp;K284+2)</f>
        <v>3.7E+71</v>
      </c>
      <c r="K284" s="19">
        <f t="shared" si="26"/>
        <v>1974</v>
      </c>
      <c r="N284" s="18">
        <v>845</v>
      </c>
      <c r="O284" s="18"/>
      <c r="P284" s="2" cm="1">
        <f t="array" aca="1" ref="P284" ca="1">INDIRECT("b" &amp; (N284+2))</f>
        <v>1.6750000000000001E+44</v>
      </c>
      <c r="Q284" s="5">
        <f t="shared" ca="1" si="24"/>
        <v>13673469.387755102</v>
      </c>
      <c r="S284" s="18">
        <v>405</v>
      </c>
      <c r="T284" s="18"/>
      <c r="U284" s="2" cm="1">
        <f t="array" aca="1" ref="U284" ca="1">INDIRECT("d" &amp; (S284+2))</f>
        <v>405</v>
      </c>
      <c r="V284" s="5">
        <f t="shared" ca="1" si="23"/>
        <v>3.2926829268292681</v>
      </c>
      <c r="W284">
        <v>282</v>
      </c>
      <c r="X284" s="18">
        <v>845</v>
      </c>
      <c r="Y284" s="18"/>
      <c r="Z284" s="2" cm="1">
        <f t="array" aca="1" ref="Z284" ca="1">INDIRECT("b" &amp; (X284+2))</f>
        <v>1.6750000000000001E+44</v>
      </c>
      <c r="AA284" s="5">
        <f t="shared" ca="1" si="25"/>
        <v>13673469.387755102</v>
      </c>
    </row>
    <row r="285" spans="1:27">
      <c r="A285">
        <v>283</v>
      </c>
      <c r="B285">
        <v>1.0500000000000001E+23</v>
      </c>
      <c r="D285" s="18">
        <v>283</v>
      </c>
      <c r="E285" s="18" cm="1">
        <f t="array" aca="1" ref="E285" ca="1">INDIRECT("b"&amp;F285+2)</f>
        <v>4.1500000000000003E+42</v>
      </c>
      <c r="F285" s="18">
        <f t="shared" si="22"/>
        <v>776</v>
      </c>
      <c r="G285" s="18"/>
      <c r="H285" s="18"/>
      <c r="I285" s="19">
        <v>283</v>
      </c>
      <c r="J285" s="19" cm="1">
        <f t="array" aca="1" ref="J285" ca="1">INDIRECT("b"&amp;K285+2)</f>
        <v>4.1500000000000002E+71</v>
      </c>
      <c r="K285" s="19">
        <f t="shared" si="26"/>
        <v>1976</v>
      </c>
      <c r="N285" s="18">
        <v>846</v>
      </c>
      <c r="O285" s="18"/>
      <c r="P285" s="2" cm="1">
        <f t="array" aca="1" ref="P285" ca="1">INDIRECT("b" &amp; (N285+2))</f>
        <v>1.9000000000000001E+44</v>
      </c>
      <c r="Q285" s="5">
        <f t="shared" ca="1" si="24"/>
        <v>15510204.081632653</v>
      </c>
      <c r="S285" s="18">
        <v>406</v>
      </c>
      <c r="T285" s="18"/>
      <c r="U285" s="2" cm="1">
        <f t="array" aca="1" ref="U285" ca="1">INDIRECT("d" &amp; (S285+2))</f>
        <v>406</v>
      </c>
      <c r="V285" s="5">
        <f t="shared" ca="1" si="23"/>
        <v>3.3008130081300813</v>
      </c>
      <c r="W285">
        <v>283</v>
      </c>
      <c r="X285" s="18">
        <v>846</v>
      </c>
      <c r="Y285" s="18"/>
      <c r="Z285" s="2" cm="1">
        <f t="array" aca="1" ref="Z285" ca="1">INDIRECT("b" &amp; (X285+2))</f>
        <v>1.9000000000000001E+44</v>
      </c>
      <c r="AA285" s="5">
        <f t="shared" ca="1" si="25"/>
        <v>15510204.081632653</v>
      </c>
    </row>
    <row r="286" spans="1:27">
      <c r="A286">
        <v>284</v>
      </c>
      <c r="B286">
        <v>1.1E+23</v>
      </c>
      <c r="D286" s="18">
        <v>284</v>
      </c>
      <c r="E286" s="18" cm="1">
        <f t="array" aca="1" ref="E286" ca="1">INDIRECT("b"&amp;F286+2)</f>
        <v>4.3750000000000001E+42</v>
      </c>
      <c r="F286" s="18">
        <f t="shared" si="22"/>
        <v>777</v>
      </c>
      <c r="G286" s="18"/>
      <c r="H286" s="18"/>
      <c r="I286" s="19">
        <v>284</v>
      </c>
      <c r="J286" s="19" cm="1">
        <f t="array" aca="1" ref="J286" ca="1">INDIRECT("b"&amp;K286+2)</f>
        <v>4.3750000000000001E+71</v>
      </c>
      <c r="K286" s="19">
        <f t="shared" si="26"/>
        <v>1977</v>
      </c>
      <c r="N286" s="18">
        <v>847</v>
      </c>
      <c r="O286" s="18"/>
      <c r="P286" s="2" cm="1">
        <f t="array" aca="1" ref="P286" ca="1">INDIRECT("b" &amp; (N286+2))</f>
        <v>2.1249999999999999E+44</v>
      </c>
      <c r="Q286" s="5">
        <f t="shared" ca="1" si="24"/>
        <v>17346938.775510203</v>
      </c>
      <c r="S286" s="18">
        <v>407</v>
      </c>
      <c r="T286" s="18"/>
      <c r="U286" s="2" cm="1">
        <f t="array" aca="1" ref="U286" ca="1">INDIRECT("d" &amp; (S286+2))</f>
        <v>407</v>
      </c>
      <c r="V286" s="5">
        <f t="shared" ca="1" si="23"/>
        <v>3.3089430894308944</v>
      </c>
      <c r="W286">
        <v>284</v>
      </c>
      <c r="X286" s="18">
        <v>847</v>
      </c>
      <c r="Y286" s="18"/>
      <c r="Z286" s="2" cm="1">
        <f t="array" aca="1" ref="Z286" ca="1">INDIRECT("b" &amp; (X286+2))</f>
        <v>2.1249999999999999E+44</v>
      </c>
      <c r="AA286" s="5">
        <f t="shared" ca="1" si="25"/>
        <v>17346938.775510203</v>
      </c>
    </row>
    <row r="287" spans="1:27">
      <c r="A287">
        <v>285</v>
      </c>
      <c r="B287">
        <v>1.5E+23</v>
      </c>
      <c r="D287" s="18">
        <v>285</v>
      </c>
      <c r="E287" s="18" cm="1">
        <f t="array" aca="1" ref="E287" ca="1">INDIRECT("b"&amp;F287+2)</f>
        <v>4.6E+42</v>
      </c>
      <c r="F287" s="18">
        <f t="shared" si="22"/>
        <v>778</v>
      </c>
      <c r="G287" s="18"/>
      <c r="H287" s="18"/>
      <c r="I287" s="19">
        <v>285</v>
      </c>
      <c r="J287" s="19" cm="1">
        <f t="array" aca="1" ref="J287" ca="1">INDIRECT("b"&amp;K287+2)</f>
        <v>4.6000000000000005E+71</v>
      </c>
      <c r="K287" s="19">
        <f t="shared" si="26"/>
        <v>1978</v>
      </c>
      <c r="N287" s="18">
        <v>848</v>
      </c>
      <c r="O287" s="18"/>
      <c r="P287" s="2" cm="1">
        <f t="array" aca="1" ref="P287" ca="1">INDIRECT("b" &amp; (N287+2))</f>
        <v>2.3500000000000001E+44</v>
      </c>
      <c r="Q287" s="5">
        <f t="shared" ca="1" si="24"/>
        <v>19183673.469387755</v>
      </c>
      <c r="S287" s="18">
        <v>408</v>
      </c>
      <c r="T287" s="18"/>
      <c r="U287" s="2" cm="1">
        <f t="array" aca="1" ref="U287" ca="1">INDIRECT("d" &amp; (S287+2))</f>
        <v>408</v>
      </c>
      <c r="V287" s="5">
        <f t="shared" ca="1" si="23"/>
        <v>3.3170731707317072</v>
      </c>
      <c r="W287">
        <v>285</v>
      </c>
      <c r="X287" s="18">
        <v>848</v>
      </c>
      <c r="Y287" s="18"/>
      <c r="Z287" s="2" cm="1">
        <f t="array" aca="1" ref="Z287" ca="1">INDIRECT("b" &amp; (X287+2))</f>
        <v>2.3500000000000001E+44</v>
      </c>
      <c r="AA287" s="5">
        <f t="shared" ca="1" si="25"/>
        <v>19183673.469387755</v>
      </c>
    </row>
    <row r="288" spans="1:27">
      <c r="A288">
        <v>286</v>
      </c>
      <c r="B288">
        <v>1.9999999999999998E+23</v>
      </c>
      <c r="D288" s="18">
        <v>286</v>
      </c>
      <c r="E288" s="18" cm="1">
        <f t="array" aca="1" ref="E288" ca="1">INDIRECT("b"&amp;F288+2)</f>
        <v>5.0499999999999997E+42</v>
      </c>
      <c r="F288" s="18">
        <f t="shared" si="22"/>
        <v>780</v>
      </c>
      <c r="G288" s="18"/>
      <c r="H288" s="18"/>
      <c r="I288" s="19">
        <v>286</v>
      </c>
      <c r="J288" s="19" cm="1">
        <f t="array" aca="1" ref="J288" ca="1">INDIRECT("b"&amp;K288+2)</f>
        <v>5.0500000000000002E+71</v>
      </c>
      <c r="K288" s="19">
        <f t="shared" si="26"/>
        <v>1980</v>
      </c>
      <c r="N288" s="18">
        <v>849</v>
      </c>
      <c r="O288" s="18"/>
      <c r="P288" s="2" cm="1">
        <f t="array" aca="1" ref="P288" ca="1">INDIRECT("b" &amp; (N288+2))</f>
        <v>2.5749999999999995E+44</v>
      </c>
      <c r="Q288" s="5">
        <f t="shared" ca="1" si="24"/>
        <v>21020408.163265299</v>
      </c>
      <c r="S288" s="18">
        <v>409</v>
      </c>
      <c r="T288" s="18"/>
      <c r="U288" s="2" cm="1">
        <f t="array" aca="1" ref="U288" ca="1">INDIRECT("d" &amp; (S288+2))</f>
        <v>409</v>
      </c>
      <c r="V288" s="5">
        <f t="shared" ca="1" si="23"/>
        <v>3.3252032520325203</v>
      </c>
      <c r="W288">
        <v>286</v>
      </c>
      <c r="X288" s="18">
        <v>849</v>
      </c>
      <c r="Y288" s="18"/>
      <c r="Z288" s="2" cm="1">
        <f t="array" aca="1" ref="Z288" ca="1">INDIRECT("b" &amp; (X288+2))</f>
        <v>2.5749999999999995E+44</v>
      </c>
      <c r="AA288" s="5">
        <f t="shared" ca="1" si="25"/>
        <v>21020408.163265299</v>
      </c>
    </row>
    <row r="289" spans="1:27">
      <c r="A289">
        <v>287</v>
      </c>
      <c r="B289">
        <v>2.5E+23</v>
      </c>
      <c r="D289" s="18">
        <v>287</v>
      </c>
      <c r="E289" s="18" cm="1">
        <f t="array" aca="1" ref="E289" ca="1">INDIRECT("b"&amp;F289+2)</f>
        <v>5.2749999999999995E+42</v>
      </c>
      <c r="F289" s="18">
        <f t="shared" si="22"/>
        <v>781</v>
      </c>
      <c r="G289" s="18"/>
      <c r="H289" s="18"/>
      <c r="I289" s="19">
        <v>287</v>
      </c>
      <c r="J289" s="19" cm="1">
        <f t="array" aca="1" ref="J289" ca="1">INDIRECT("b"&amp;K289+2)</f>
        <v>5.2750000000000001E+71</v>
      </c>
      <c r="K289" s="19">
        <f t="shared" si="26"/>
        <v>1981</v>
      </c>
      <c r="N289" s="18">
        <v>850</v>
      </c>
      <c r="O289" s="18"/>
      <c r="P289" s="2" cm="1">
        <f t="array" aca="1" ref="P289" ca="1">INDIRECT("b" &amp; (N289+2))</f>
        <v>2.8000000000000001E+44</v>
      </c>
      <c r="Q289" s="5">
        <f t="shared" ca="1" si="24"/>
        <v>22857142.857142854</v>
      </c>
      <c r="S289" s="18">
        <v>410</v>
      </c>
      <c r="T289" s="18"/>
      <c r="U289" s="2" cm="1">
        <f t="array" aca="1" ref="U289" ca="1">INDIRECT("d" &amp; (S289+2))</f>
        <v>410</v>
      </c>
      <c r="V289" s="5">
        <f t="shared" ca="1" si="23"/>
        <v>3.3333333333333335</v>
      </c>
      <c r="W289">
        <v>287</v>
      </c>
      <c r="X289" s="18">
        <v>850</v>
      </c>
      <c r="Y289" s="18"/>
      <c r="Z289" s="2" cm="1">
        <f t="array" aca="1" ref="Z289" ca="1">INDIRECT("b" &amp; (X289+2))</f>
        <v>2.8000000000000001E+44</v>
      </c>
      <c r="AA289" s="5">
        <f t="shared" ca="1" si="25"/>
        <v>22857142.857142854</v>
      </c>
    </row>
    <row r="290" spans="1:27">
      <c r="A290">
        <v>288</v>
      </c>
      <c r="B290">
        <v>3.0000000000000001E+23</v>
      </c>
      <c r="D290" s="18">
        <v>288</v>
      </c>
      <c r="E290" s="18" cm="1">
        <f t="array" aca="1" ref="E290" ca="1">INDIRECT("b"&amp;F290+2)</f>
        <v>5.5E+42</v>
      </c>
      <c r="F290" s="18">
        <f t="shared" si="22"/>
        <v>782</v>
      </c>
      <c r="G290" s="18"/>
      <c r="H290" s="18"/>
      <c r="I290" s="19">
        <v>288</v>
      </c>
      <c r="J290" s="19" cm="1">
        <f t="array" aca="1" ref="J290" ca="1">INDIRECT("b"&amp;K290+2)</f>
        <v>5.5E+71</v>
      </c>
      <c r="K290" s="19">
        <f t="shared" si="26"/>
        <v>1982</v>
      </c>
      <c r="N290" s="18">
        <v>851</v>
      </c>
      <c r="O290" s="18"/>
      <c r="P290" s="2" cm="1">
        <f t="array" aca="1" ref="P290" ca="1">INDIRECT("b" &amp; (N290+2))</f>
        <v>3.0250000000000003E+44</v>
      </c>
      <c r="Q290" s="5">
        <f t="shared" ca="1" si="24"/>
        <v>24693877.55102041</v>
      </c>
      <c r="S290" s="18">
        <v>411</v>
      </c>
      <c r="T290" s="18"/>
      <c r="U290" s="2" cm="1">
        <f t="array" aca="1" ref="U290" ca="1">INDIRECT("d" &amp; (S290+2))</f>
        <v>411</v>
      </c>
      <c r="V290" s="5">
        <f t="shared" ca="1" si="23"/>
        <v>3.3414634146341462</v>
      </c>
      <c r="W290">
        <v>288</v>
      </c>
      <c r="X290" s="18">
        <v>851</v>
      </c>
      <c r="Y290" s="18"/>
      <c r="Z290" s="2" cm="1">
        <f t="array" aca="1" ref="Z290" ca="1">INDIRECT("b" &amp; (X290+2))</f>
        <v>3.0250000000000003E+44</v>
      </c>
      <c r="AA290" s="5">
        <f t="shared" ca="1" si="25"/>
        <v>24693877.55102041</v>
      </c>
    </row>
    <row r="291" spans="1:27">
      <c r="A291">
        <v>289</v>
      </c>
      <c r="B291">
        <v>3.5000000000000002E+23</v>
      </c>
      <c r="D291" s="18">
        <v>289</v>
      </c>
      <c r="E291" s="18" cm="1">
        <f t="array" aca="1" ref="E291" ca="1">INDIRECT("b"&amp;F291+2)</f>
        <v>5.9500000000000003E+42</v>
      </c>
      <c r="F291" s="18">
        <f t="shared" si="22"/>
        <v>784</v>
      </c>
      <c r="G291" s="18"/>
      <c r="H291" s="18"/>
      <c r="I291" s="19">
        <v>289</v>
      </c>
      <c r="J291" s="19" cm="1">
        <f t="array" aca="1" ref="J291" ca="1">INDIRECT("b"&amp;K291+2)</f>
        <v>5.9500000000000007E+71</v>
      </c>
      <c r="K291" s="19">
        <f t="shared" si="26"/>
        <v>1984</v>
      </c>
      <c r="N291" s="18">
        <v>852</v>
      </c>
      <c r="O291" s="18"/>
      <c r="P291" s="2" cm="1">
        <f t="array" aca="1" ref="P291" ca="1">INDIRECT("b" &amp; (N291+2))</f>
        <v>3.2499999999999997E+44</v>
      </c>
      <c r="Q291" s="5">
        <f t="shared" ca="1" si="24"/>
        <v>26530612.244897954</v>
      </c>
      <c r="S291" s="18">
        <v>412</v>
      </c>
      <c r="T291" s="18"/>
      <c r="U291" s="2" cm="1">
        <f t="array" aca="1" ref="U291" ca="1">INDIRECT("d" &amp; (S291+2))</f>
        <v>412</v>
      </c>
      <c r="V291" s="5">
        <f t="shared" ca="1" si="23"/>
        <v>3.3495934959349594</v>
      </c>
      <c r="W291">
        <v>289</v>
      </c>
      <c r="X291" s="18">
        <v>852</v>
      </c>
      <c r="Y291" s="18"/>
      <c r="Z291" s="2" cm="1">
        <f t="array" aca="1" ref="Z291" ca="1">INDIRECT("b" &amp; (X291+2))</f>
        <v>3.2499999999999997E+44</v>
      </c>
      <c r="AA291" s="5">
        <f t="shared" ca="1" si="25"/>
        <v>26530612.244897954</v>
      </c>
    </row>
    <row r="292" spans="1:27">
      <c r="A292">
        <v>290</v>
      </c>
      <c r="B292">
        <v>3.9999999999999997E+23</v>
      </c>
      <c r="D292" s="18">
        <v>290</v>
      </c>
      <c r="E292" s="18" cm="1">
        <f t="array" aca="1" ref="E292" ca="1">INDIRECT("b"&amp;F292+2)</f>
        <v>6.1750000000000002E+42</v>
      </c>
      <c r="F292" s="18">
        <f t="shared" si="22"/>
        <v>785</v>
      </c>
      <c r="G292" s="18"/>
      <c r="H292" s="18"/>
      <c r="I292" s="19">
        <v>290</v>
      </c>
      <c r="J292" s="19" cm="1">
        <f t="array" aca="1" ref="J292" ca="1">INDIRECT("b"&amp;K292+2)</f>
        <v>6.1750000000000006E+71</v>
      </c>
      <c r="K292" s="19">
        <f t="shared" si="26"/>
        <v>1985</v>
      </c>
      <c r="N292" s="18">
        <v>853</v>
      </c>
      <c r="O292" s="18"/>
      <c r="P292" s="2" cm="1">
        <f t="array" aca="1" ref="P292" ca="1">INDIRECT("b" &amp; (N292+2))</f>
        <v>3.4749999999999999E+44</v>
      </c>
      <c r="Q292" s="5">
        <f t="shared" ca="1" si="24"/>
        <v>28367346.938775506</v>
      </c>
      <c r="S292" s="18">
        <v>413</v>
      </c>
      <c r="T292" s="18"/>
      <c r="U292" s="2" cm="1">
        <f t="array" aca="1" ref="U292" ca="1">INDIRECT("d" &amp; (S292+2))</f>
        <v>413</v>
      </c>
      <c r="V292" s="5">
        <f t="shared" ca="1" si="23"/>
        <v>3.3577235772357725</v>
      </c>
      <c r="W292">
        <v>290</v>
      </c>
      <c r="X292" s="18">
        <v>853</v>
      </c>
      <c r="Y292" s="18"/>
      <c r="Z292" s="2" cm="1">
        <f t="array" aca="1" ref="Z292" ca="1">INDIRECT("b" &amp; (X292+2))</f>
        <v>3.4749999999999999E+44</v>
      </c>
      <c r="AA292" s="5">
        <f t="shared" ca="1" si="25"/>
        <v>28367346.938775506</v>
      </c>
    </row>
    <row r="293" spans="1:27">
      <c r="A293">
        <v>291</v>
      </c>
      <c r="B293">
        <v>4.4999999999999998E+23</v>
      </c>
      <c r="D293" s="18">
        <v>291</v>
      </c>
      <c r="E293" s="18" cm="1">
        <f t="array" aca="1" ref="E293" ca="1">INDIRECT("b"&amp;F293+2)</f>
        <v>6.4E+42</v>
      </c>
      <c r="F293" s="18">
        <f t="shared" si="22"/>
        <v>786</v>
      </c>
      <c r="G293" s="18"/>
      <c r="H293" s="18"/>
      <c r="I293" s="19">
        <v>291</v>
      </c>
      <c r="J293" s="19" cm="1">
        <f t="array" aca="1" ref="J293" ca="1">INDIRECT("b"&amp;K293+2)</f>
        <v>6.4000000000000005E+71</v>
      </c>
      <c r="K293" s="19">
        <f t="shared" si="26"/>
        <v>1986</v>
      </c>
      <c r="N293" s="18">
        <v>854</v>
      </c>
      <c r="O293" s="18"/>
      <c r="P293" s="2" cm="1">
        <f t="array" aca="1" ref="P293" ca="1">INDIRECT("b" &amp; (N293+2))</f>
        <v>3.7000000000000001E+44</v>
      </c>
      <c r="Q293" s="5">
        <f t="shared" ca="1" si="24"/>
        <v>30204081.632653061</v>
      </c>
      <c r="S293" s="18">
        <v>414</v>
      </c>
      <c r="T293" s="18"/>
      <c r="U293" s="2" cm="1">
        <f t="array" aca="1" ref="U293" ca="1">INDIRECT("d" &amp; (S293+2))</f>
        <v>414</v>
      </c>
      <c r="V293" s="5">
        <f t="shared" ca="1" si="23"/>
        <v>3.3658536585365852</v>
      </c>
      <c r="W293">
        <v>291</v>
      </c>
      <c r="X293" s="18">
        <v>854</v>
      </c>
      <c r="Y293" s="18"/>
      <c r="Z293" s="2" cm="1">
        <f t="array" aca="1" ref="Z293" ca="1">INDIRECT("b" &amp; (X293+2))</f>
        <v>3.7000000000000001E+44</v>
      </c>
      <c r="AA293" s="5">
        <f t="shared" ca="1" si="25"/>
        <v>30204081.632653061</v>
      </c>
    </row>
    <row r="294" spans="1:27">
      <c r="A294">
        <v>292</v>
      </c>
      <c r="B294">
        <v>4.9999999999999999E+23</v>
      </c>
      <c r="D294" s="18">
        <v>292</v>
      </c>
      <c r="E294" s="18" cm="1">
        <f t="array" aca="1" ref="E294" ca="1">INDIRECT("b"&amp;F294+2)</f>
        <v>6.850000000000001E+42</v>
      </c>
      <c r="F294" s="18">
        <f t="shared" si="22"/>
        <v>788</v>
      </c>
      <c r="G294" s="18"/>
      <c r="H294" s="18"/>
      <c r="I294" s="19">
        <v>292</v>
      </c>
      <c r="J294" s="19" cm="1">
        <f t="array" aca="1" ref="J294" ca="1">INDIRECT("b"&amp;K294+2)</f>
        <v>6.8500000000000002E+71</v>
      </c>
      <c r="K294" s="19">
        <f t="shared" si="26"/>
        <v>1988</v>
      </c>
      <c r="N294" s="18">
        <v>855</v>
      </c>
      <c r="O294" s="18"/>
      <c r="P294" s="2" cm="1">
        <f t="array" aca="1" ref="P294" ca="1">INDIRECT("b" &amp; (N294+2))</f>
        <v>3.9249999999999999E+44</v>
      </c>
      <c r="Q294" s="5">
        <f t="shared" ca="1" si="24"/>
        <v>32040816.326530609</v>
      </c>
      <c r="S294" s="18">
        <v>415</v>
      </c>
      <c r="T294" s="18"/>
      <c r="U294" s="2" cm="1">
        <f t="array" aca="1" ref="U294" ca="1">INDIRECT("d" &amp; (S294+2))</f>
        <v>415</v>
      </c>
      <c r="V294" s="5">
        <f t="shared" ca="1" si="23"/>
        <v>3.3739837398373984</v>
      </c>
      <c r="W294">
        <v>292</v>
      </c>
      <c r="X294" s="18">
        <v>855</v>
      </c>
      <c r="Y294" s="18"/>
      <c r="Z294" s="2" cm="1">
        <f t="array" aca="1" ref="Z294" ca="1">INDIRECT("b" &amp; (X294+2))</f>
        <v>3.9249999999999999E+44</v>
      </c>
      <c r="AA294" s="5">
        <f t="shared" ca="1" si="25"/>
        <v>32040816.326530609</v>
      </c>
    </row>
    <row r="295" spans="1:27">
      <c r="A295">
        <v>293</v>
      </c>
      <c r="B295">
        <v>5.5E+23</v>
      </c>
      <c r="D295" s="18">
        <v>293</v>
      </c>
      <c r="E295" s="18" cm="1">
        <f t="array" aca="1" ref="E295" ca="1">INDIRECT("b"&amp;F295+2)</f>
        <v>7.0749999999999996E+42</v>
      </c>
      <c r="F295" s="18">
        <f t="shared" si="22"/>
        <v>789</v>
      </c>
      <c r="G295" s="18"/>
      <c r="H295" s="18"/>
      <c r="I295" s="19">
        <v>293</v>
      </c>
      <c r="J295" s="19" cm="1">
        <f t="array" aca="1" ref="J295" ca="1">INDIRECT("b"&amp;K295+2)</f>
        <v>7.0750000000000001E+71</v>
      </c>
      <c r="K295" s="19">
        <f t="shared" si="26"/>
        <v>1989</v>
      </c>
      <c r="N295" s="18">
        <v>856</v>
      </c>
      <c r="O295" s="18"/>
      <c r="P295" s="2" cm="1">
        <f t="array" aca="1" ref="P295" ca="1">INDIRECT("b" &amp; (N295+2))</f>
        <v>4.1500000000000005E+44</v>
      </c>
      <c r="Q295" s="5">
        <f t="shared" ca="1" si="24"/>
        <v>33877551.020408161</v>
      </c>
      <c r="S295" s="18">
        <v>416</v>
      </c>
      <c r="T295" s="18"/>
      <c r="U295" s="2" cm="1">
        <f t="array" aca="1" ref="U295" ca="1">INDIRECT("d" &amp; (S295+2))</f>
        <v>416</v>
      </c>
      <c r="V295" s="5">
        <f t="shared" ca="1" si="23"/>
        <v>3.3821138211382116</v>
      </c>
      <c r="W295">
        <v>293</v>
      </c>
      <c r="X295" s="18">
        <v>856</v>
      </c>
      <c r="Y295" s="18"/>
      <c r="Z295" s="2" cm="1">
        <f t="array" aca="1" ref="Z295" ca="1">INDIRECT("b" &amp; (X295+2))</f>
        <v>4.1500000000000005E+44</v>
      </c>
      <c r="AA295" s="5">
        <f t="shared" ca="1" si="25"/>
        <v>33877551.020408161</v>
      </c>
    </row>
    <row r="296" spans="1:27">
      <c r="A296">
        <v>294</v>
      </c>
      <c r="B296">
        <v>6.0000000000000002E+23</v>
      </c>
      <c r="D296" s="18">
        <v>294</v>
      </c>
      <c r="E296" s="18" cm="1">
        <f t="array" aca="1" ref="E296" ca="1">INDIRECT("b"&amp;F296+2)</f>
        <v>7.3000000000000007E+42</v>
      </c>
      <c r="F296" s="18">
        <f t="shared" si="22"/>
        <v>790</v>
      </c>
      <c r="G296" s="18"/>
      <c r="H296" s="18"/>
      <c r="I296" s="19">
        <v>294</v>
      </c>
      <c r="J296" s="19" cm="1">
        <f t="array" aca="1" ref="J296" ca="1">INDIRECT("b"&amp;K296+2)</f>
        <v>7.3E+71</v>
      </c>
      <c r="K296" s="19">
        <f t="shared" si="26"/>
        <v>1990</v>
      </c>
      <c r="N296" s="18">
        <v>857</v>
      </c>
      <c r="O296" s="18"/>
      <c r="P296" s="2" cm="1">
        <f t="array" aca="1" ref="P296" ca="1">INDIRECT("b" &amp; (N296+2))</f>
        <v>4.3750000000000003E+44</v>
      </c>
      <c r="Q296" s="5">
        <f t="shared" ca="1" si="24"/>
        <v>35714285.714285716</v>
      </c>
      <c r="S296" s="18">
        <v>417</v>
      </c>
      <c r="T296" s="18"/>
      <c r="U296" s="2" cm="1">
        <f t="array" aca="1" ref="U296" ca="1">INDIRECT("d" &amp; (S296+2))</f>
        <v>417</v>
      </c>
      <c r="V296" s="5">
        <f t="shared" ca="1" si="23"/>
        <v>3.3902439024390243</v>
      </c>
      <c r="W296">
        <v>294</v>
      </c>
      <c r="X296" s="18">
        <v>857</v>
      </c>
      <c r="Y296" s="18"/>
      <c r="Z296" s="2" cm="1">
        <f t="array" aca="1" ref="Z296" ca="1">INDIRECT("b" &amp; (X296+2))</f>
        <v>4.3750000000000003E+44</v>
      </c>
      <c r="AA296" s="5">
        <f t="shared" ca="1" si="25"/>
        <v>35714285.714285716</v>
      </c>
    </row>
    <row r="297" spans="1:27">
      <c r="A297">
        <v>295</v>
      </c>
      <c r="B297">
        <v>6.4999999999999996E+23</v>
      </c>
      <c r="D297" s="18">
        <v>295</v>
      </c>
      <c r="E297" s="18" cm="1">
        <f t="array" aca="1" ref="E297" ca="1">INDIRECT("b"&amp;F297+2)</f>
        <v>7.7500000000000004E+42</v>
      </c>
      <c r="F297" s="18">
        <f t="shared" si="22"/>
        <v>792</v>
      </c>
      <c r="G297" s="18"/>
      <c r="H297" s="18"/>
      <c r="I297" s="19">
        <v>295</v>
      </c>
      <c r="J297" s="19" cm="1">
        <f t="array" aca="1" ref="J297" ca="1">INDIRECT("b"&amp;K297+2)</f>
        <v>7.7500000000000007E+71</v>
      </c>
      <c r="K297" s="19">
        <f t="shared" si="26"/>
        <v>1992</v>
      </c>
      <c r="N297" s="18">
        <v>858</v>
      </c>
      <c r="O297" s="18"/>
      <c r="P297" s="2" cm="1">
        <f t="array" aca="1" ref="P297" ca="1">INDIRECT("b" &amp; (N297+2))</f>
        <v>4.6000000000000001E+44</v>
      </c>
      <c r="Q297" s="5">
        <f t="shared" ca="1" si="24"/>
        <v>37551020.408163264</v>
      </c>
      <c r="S297" s="18">
        <v>418</v>
      </c>
      <c r="T297" s="18"/>
      <c r="U297" s="2" cm="1">
        <f t="array" aca="1" ref="U297" ca="1">INDIRECT("d" &amp; (S297+2))</f>
        <v>418</v>
      </c>
      <c r="V297" s="5">
        <f t="shared" ca="1" si="23"/>
        <v>3.3983739837398375</v>
      </c>
      <c r="W297">
        <v>295</v>
      </c>
      <c r="X297" s="18">
        <v>858</v>
      </c>
      <c r="Y297" s="18"/>
      <c r="Z297" s="2" cm="1">
        <f t="array" aca="1" ref="Z297" ca="1">INDIRECT("b" &amp; (X297+2))</f>
        <v>4.6000000000000001E+44</v>
      </c>
      <c r="AA297" s="5">
        <f t="shared" ca="1" si="25"/>
        <v>37551020.408163264</v>
      </c>
    </row>
    <row r="298" spans="1:27">
      <c r="A298">
        <v>296</v>
      </c>
      <c r="B298">
        <v>7.0000000000000004E+23</v>
      </c>
      <c r="D298" s="18">
        <v>296</v>
      </c>
      <c r="E298" s="18" cm="1">
        <f t="array" aca="1" ref="E298" ca="1">INDIRECT("b"&amp;F298+2)</f>
        <v>7.9750000000000002E+42</v>
      </c>
      <c r="F298" s="18">
        <f t="shared" si="22"/>
        <v>793</v>
      </c>
      <c r="G298" s="18"/>
      <c r="H298" s="18"/>
      <c r="I298" s="19">
        <v>296</v>
      </c>
      <c r="J298" s="19" cm="1">
        <f t="array" aca="1" ref="J298" ca="1">INDIRECT("b"&amp;K298+2)</f>
        <v>7.9750000000000006E+71</v>
      </c>
      <c r="K298" s="19">
        <f t="shared" si="26"/>
        <v>1993</v>
      </c>
      <c r="N298" s="18">
        <v>859</v>
      </c>
      <c r="O298" s="18"/>
      <c r="P298" s="2" cm="1">
        <f t="array" aca="1" ref="P298" ca="1">INDIRECT("b" &amp; (N298+2))</f>
        <v>4.8250000000000007E+44</v>
      </c>
      <c r="Q298" s="5">
        <f t="shared" ca="1" si="24"/>
        <v>39387755.10204082</v>
      </c>
      <c r="S298" s="18">
        <v>419</v>
      </c>
      <c r="T298" s="18"/>
      <c r="U298" s="2" cm="1">
        <f t="array" aca="1" ref="U298" ca="1">INDIRECT("d" &amp; (S298+2))</f>
        <v>419</v>
      </c>
      <c r="V298" s="5">
        <f t="shared" ca="1" si="23"/>
        <v>3.4065040650406506</v>
      </c>
      <c r="W298">
        <v>296</v>
      </c>
      <c r="X298" s="18">
        <v>859</v>
      </c>
      <c r="Y298" s="18"/>
      <c r="Z298" s="2" cm="1">
        <f t="array" aca="1" ref="Z298" ca="1">INDIRECT("b" &amp; (X298+2))</f>
        <v>4.8250000000000007E+44</v>
      </c>
      <c r="AA298" s="5">
        <f t="shared" ca="1" si="25"/>
        <v>39387755.10204082</v>
      </c>
    </row>
    <row r="299" spans="1:27">
      <c r="A299">
        <v>297</v>
      </c>
      <c r="B299">
        <v>7.4999999999999999E+23</v>
      </c>
      <c r="D299" s="18">
        <v>297</v>
      </c>
      <c r="E299" s="18" cm="1">
        <f t="array" aca="1" ref="E299" ca="1">INDIRECT("b"&amp;F299+2)</f>
        <v>8.1999999999999989E+42</v>
      </c>
      <c r="F299" s="18">
        <f t="shared" si="22"/>
        <v>794</v>
      </c>
      <c r="G299" s="18"/>
      <c r="H299" s="18"/>
      <c r="I299" s="19">
        <v>297</v>
      </c>
      <c r="J299" s="19" cm="1">
        <f t="array" aca="1" ref="J299" ca="1">INDIRECT("b"&amp;K299+2)</f>
        <v>8.2000000000000004E+71</v>
      </c>
      <c r="K299" s="19">
        <f t="shared" si="26"/>
        <v>1994</v>
      </c>
      <c r="N299" s="18">
        <v>860</v>
      </c>
      <c r="O299" s="18"/>
      <c r="P299" s="2" cm="1">
        <f t="array" aca="1" ref="P299" ca="1">INDIRECT("b" &amp; (N299+2))</f>
        <v>5.0499999999999997E+44</v>
      </c>
      <c r="Q299" s="5">
        <f t="shared" ca="1" si="24"/>
        <v>41224489.79591836</v>
      </c>
      <c r="S299" s="18">
        <v>420</v>
      </c>
      <c r="T299" s="18"/>
      <c r="U299" s="2" cm="1">
        <f t="array" aca="1" ref="U299" ca="1">INDIRECT("d" &amp; (S299+2))</f>
        <v>420</v>
      </c>
      <c r="V299" s="5">
        <f t="shared" ca="1" si="23"/>
        <v>3.4146341463414633</v>
      </c>
      <c r="W299">
        <v>297</v>
      </c>
      <c r="X299" s="18">
        <v>860</v>
      </c>
      <c r="Y299" s="18"/>
      <c r="Z299" s="2" cm="1">
        <f t="array" aca="1" ref="Z299" ca="1">INDIRECT("b" &amp; (X299+2))</f>
        <v>5.0499999999999997E+44</v>
      </c>
      <c r="AA299" s="5">
        <f t="shared" ca="1" si="25"/>
        <v>41224489.79591836</v>
      </c>
    </row>
    <row r="300" spans="1:27">
      <c r="A300">
        <v>298</v>
      </c>
      <c r="B300">
        <v>7.9999999999999993E+23</v>
      </c>
      <c r="D300" s="18">
        <v>298</v>
      </c>
      <c r="E300" s="18" cm="1">
        <f t="array" aca="1" ref="E300" ca="1">INDIRECT("b"&amp;F300+2)</f>
        <v>8.6499999999999998E+42</v>
      </c>
      <c r="F300" s="18">
        <f t="shared" si="22"/>
        <v>796</v>
      </c>
      <c r="G300" s="18"/>
      <c r="H300" s="18"/>
      <c r="I300" s="19">
        <v>298</v>
      </c>
      <c r="J300" s="19" cm="1">
        <f t="array" aca="1" ref="J300" ca="1">INDIRECT("b"&amp;K300+2)</f>
        <v>8.6500000000000002E+71</v>
      </c>
      <c r="K300" s="19">
        <f t="shared" si="26"/>
        <v>1996</v>
      </c>
      <c r="N300" s="18">
        <v>861</v>
      </c>
      <c r="O300" s="18"/>
      <c r="P300" s="2" cm="1">
        <f t="array" aca="1" ref="P300" ca="1">INDIRECT("b" &amp; (N300+2))</f>
        <v>5.2749999999999995E+44</v>
      </c>
      <c r="Q300" s="5">
        <f t="shared" ca="1" si="24"/>
        <v>43061224.489795908</v>
      </c>
      <c r="S300" s="18">
        <v>421</v>
      </c>
      <c r="T300" s="18"/>
      <c r="U300" s="2" cm="1">
        <f t="array" aca="1" ref="U300" ca="1">INDIRECT("d" &amp; (S300+2))</f>
        <v>421</v>
      </c>
      <c r="V300" s="5">
        <f t="shared" ca="1" si="23"/>
        <v>3.4227642276422765</v>
      </c>
      <c r="W300">
        <v>298</v>
      </c>
      <c r="X300" s="18">
        <v>861</v>
      </c>
      <c r="Y300" s="18"/>
      <c r="Z300" s="2" cm="1">
        <f t="array" aca="1" ref="Z300" ca="1">INDIRECT("b" &amp; (X300+2))</f>
        <v>5.2749999999999995E+44</v>
      </c>
      <c r="AA300" s="5">
        <f t="shared" ca="1" si="25"/>
        <v>43061224.489795908</v>
      </c>
    </row>
    <row r="301" spans="1:27">
      <c r="A301">
        <v>299</v>
      </c>
      <c r="B301">
        <v>8.5000000000000001E+23</v>
      </c>
      <c r="D301" s="18">
        <v>299</v>
      </c>
      <c r="E301" s="18" cm="1">
        <f t="array" aca="1" ref="E301" ca="1">INDIRECT("b"&amp;F301+2)</f>
        <v>8.8749999999999996E+42</v>
      </c>
      <c r="F301" s="18">
        <f t="shared" si="22"/>
        <v>797</v>
      </c>
      <c r="G301" s="18"/>
      <c r="H301" s="18"/>
      <c r="I301" s="19">
        <v>299</v>
      </c>
      <c r="J301" s="19" cm="1">
        <f t="array" aca="1" ref="J301" ca="1">INDIRECT("b"&amp;K301+2)</f>
        <v>8.875000000000001E+71</v>
      </c>
      <c r="K301" s="19">
        <f t="shared" si="26"/>
        <v>1997</v>
      </c>
      <c r="N301" s="18">
        <v>862</v>
      </c>
      <c r="O301" s="18"/>
      <c r="P301" s="2" cm="1">
        <f t="array" aca="1" ref="P301" ca="1">INDIRECT("b" &amp; (N301+2))</f>
        <v>5.5000000000000001E+44</v>
      </c>
      <c r="Q301" s="5">
        <f t="shared" ca="1" si="24"/>
        <v>44897959.183673464</v>
      </c>
      <c r="S301" s="18">
        <v>422</v>
      </c>
      <c r="T301" s="18"/>
      <c r="U301" s="2" cm="1">
        <f t="array" aca="1" ref="U301" ca="1">INDIRECT("d" &amp; (S301+2))</f>
        <v>422</v>
      </c>
      <c r="V301" s="5">
        <f t="shared" ca="1" si="23"/>
        <v>3.4308943089430892</v>
      </c>
      <c r="W301">
        <v>299</v>
      </c>
      <c r="X301" s="18">
        <v>862</v>
      </c>
      <c r="Y301" s="18"/>
      <c r="Z301" s="2" cm="1">
        <f t="array" aca="1" ref="Z301" ca="1">INDIRECT("b" &amp; (X301+2))</f>
        <v>5.5000000000000001E+44</v>
      </c>
      <c r="AA301" s="5">
        <f t="shared" ca="1" si="25"/>
        <v>44897959.183673464</v>
      </c>
    </row>
    <row r="302" spans="1:27">
      <c r="A302">
        <v>300</v>
      </c>
      <c r="B302">
        <v>8.9999999999999996E+23</v>
      </c>
      <c r="D302" s="18">
        <v>300</v>
      </c>
      <c r="E302" s="18" cm="1">
        <f t="array" aca="1" ref="E302" ca="1">INDIRECT("b"&amp;F302+2)</f>
        <v>9.0999999999999983E+42</v>
      </c>
      <c r="F302" s="18">
        <f t="shared" si="22"/>
        <v>798</v>
      </c>
      <c r="G302" s="18"/>
      <c r="H302" s="18"/>
      <c r="I302" s="19">
        <v>300</v>
      </c>
      <c r="J302" s="19" cm="1">
        <f t="array" aca="1" ref="J302" ca="1">INDIRECT("b"&amp;K302+2)</f>
        <v>9.0999999999999999E+71</v>
      </c>
      <c r="K302" s="19">
        <f t="shared" si="26"/>
        <v>1998</v>
      </c>
      <c r="N302" s="18">
        <v>863</v>
      </c>
      <c r="O302" s="18"/>
      <c r="P302" s="2" cm="1">
        <f t="array" aca="1" ref="P302" ca="1">INDIRECT("b" &amp; (N302+2))</f>
        <v>5.7250000000000007E+44</v>
      </c>
      <c r="Q302" s="5">
        <f t="shared" ca="1" si="24"/>
        <v>46734693.877551019</v>
      </c>
      <c r="S302" s="18">
        <v>423</v>
      </c>
      <c r="T302" s="18"/>
      <c r="U302" s="2" cm="1">
        <f t="array" aca="1" ref="U302" ca="1">INDIRECT("d" &amp; (S302+2))</f>
        <v>423</v>
      </c>
      <c r="V302" s="5">
        <f t="shared" ca="1" si="23"/>
        <v>3.4390243902439024</v>
      </c>
      <c r="W302">
        <v>300</v>
      </c>
      <c r="X302" s="18">
        <v>863</v>
      </c>
      <c r="Y302" s="18"/>
      <c r="Z302" s="2" cm="1">
        <f t="array" aca="1" ref="Z302" ca="1">INDIRECT("b" &amp; (X302+2))</f>
        <v>5.7250000000000007E+44</v>
      </c>
      <c r="AA302" s="5">
        <f t="shared" ca="1" si="25"/>
        <v>46734693.877551019</v>
      </c>
    </row>
    <row r="303" spans="1:27">
      <c r="A303">
        <v>301</v>
      </c>
      <c r="B303">
        <v>9.5000000000000004E+23</v>
      </c>
      <c r="D303" s="18">
        <v>301</v>
      </c>
      <c r="E303" s="18" cm="1">
        <f t="array" aca="1" ref="E303" ca="1">INDIRECT("b"&amp;F303+2)</f>
        <v>9.5500000000000004E+42</v>
      </c>
      <c r="F303" s="18">
        <f t="shared" si="22"/>
        <v>800</v>
      </c>
      <c r="G303" s="18"/>
      <c r="H303" s="18"/>
      <c r="I303" s="19">
        <v>301</v>
      </c>
      <c r="J303" s="19" cm="1">
        <f t="array" aca="1" ref="J303" ca="1">INDIRECT("b"&amp;K303+2)</f>
        <v>9.5499999999999997E+71</v>
      </c>
      <c r="K303" s="19">
        <f t="shared" si="26"/>
        <v>2000</v>
      </c>
      <c r="N303" s="18">
        <v>864</v>
      </c>
      <c r="O303" s="18"/>
      <c r="P303" s="2" cm="1">
        <f t="array" aca="1" ref="P303" ca="1">INDIRECT("b" &amp; (N303+2))</f>
        <v>5.9500000000000005E+44</v>
      </c>
      <c r="Q303" s="5">
        <f t="shared" ca="1" si="24"/>
        <v>48571428.571428575</v>
      </c>
      <c r="S303" s="18">
        <v>424</v>
      </c>
      <c r="T303" s="18"/>
      <c r="U303" s="2" cm="1">
        <f t="array" aca="1" ref="U303" ca="1">INDIRECT("d" &amp; (S303+2))</f>
        <v>424</v>
      </c>
      <c r="V303" s="5">
        <f t="shared" ca="1" si="23"/>
        <v>3.4471544715447155</v>
      </c>
      <c r="W303">
        <v>301</v>
      </c>
      <c r="X303" s="18">
        <v>864</v>
      </c>
      <c r="Y303" s="18"/>
      <c r="Z303" s="2" cm="1">
        <f t="array" aca="1" ref="Z303" ca="1">INDIRECT("b" &amp; (X303+2))</f>
        <v>5.9500000000000005E+44</v>
      </c>
      <c r="AA303" s="5">
        <f t="shared" ca="1" si="25"/>
        <v>48571428.571428575</v>
      </c>
    </row>
    <row r="304" spans="1:27">
      <c r="A304">
        <v>302</v>
      </c>
      <c r="B304">
        <v>9.9999999999999998E+23</v>
      </c>
      <c r="D304" s="18">
        <v>302</v>
      </c>
      <c r="E304" s="18" cm="1">
        <f t="array" aca="1" ref="E304" ca="1">INDIRECT("b"&amp;F304+2)</f>
        <v>9.774999999999999E+42</v>
      </c>
      <c r="F304" s="18">
        <f t="shared" si="22"/>
        <v>801</v>
      </c>
      <c r="G304" s="18"/>
      <c r="H304" s="18"/>
      <c r="I304" s="19">
        <v>302</v>
      </c>
      <c r="J304" s="19" cm="1">
        <f t="array" aca="1" ref="J304" ca="1">INDIRECT("b"&amp;K304+2)</f>
        <v>9.7750000000000005E+71</v>
      </c>
      <c r="K304" s="19">
        <f t="shared" si="26"/>
        <v>2001</v>
      </c>
      <c r="N304" s="18">
        <v>865</v>
      </c>
      <c r="O304" s="18"/>
      <c r="P304" s="2" cm="1">
        <f t="array" aca="1" ref="P304" ca="1">INDIRECT("b" &amp; (N304+2))</f>
        <v>6.1749999999999995E+44</v>
      </c>
      <c r="Q304" s="5">
        <f t="shared" ca="1" si="24"/>
        <v>50408163.265306115</v>
      </c>
      <c r="S304" s="18">
        <v>425</v>
      </c>
      <c r="T304" s="18"/>
      <c r="U304" s="2" cm="1">
        <f t="array" aca="1" ref="U304" ca="1">INDIRECT("d" &amp; (S304+2))</f>
        <v>425</v>
      </c>
      <c r="V304" s="5">
        <f t="shared" ca="1" si="23"/>
        <v>3.4552845528455283</v>
      </c>
      <c r="W304">
        <v>302</v>
      </c>
      <c r="X304" s="18">
        <v>865</v>
      </c>
      <c r="Y304" s="18"/>
      <c r="Z304" s="2" cm="1">
        <f t="array" aca="1" ref="Z304" ca="1">INDIRECT("b" &amp; (X304+2))</f>
        <v>6.1749999999999995E+44</v>
      </c>
      <c r="AA304" s="5">
        <f t="shared" ca="1" si="25"/>
        <v>50408163.265306115</v>
      </c>
    </row>
    <row r="305" spans="1:27">
      <c r="A305">
        <v>303</v>
      </c>
      <c r="B305">
        <v>1.0500000000000001E+24</v>
      </c>
      <c r="D305" s="18">
        <v>303</v>
      </c>
      <c r="E305" s="18" cm="1">
        <f t="array" aca="1" ref="E305" ca="1">INDIRECT("b"&amp;F305+2)</f>
        <v>1E+43</v>
      </c>
      <c r="F305" s="18">
        <f t="shared" si="22"/>
        <v>802</v>
      </c>
      <c r="G305" s="18"/>
      <c r="H305" s="18"/>
      <c r="I305" s="19">
        <v>303</v>
      </c>
      <c r="J305" s="19" cm="1">
        <f t="array" aca="1" ref="J305" ca="1">INDIRECT("b"&amp;K305+2)</f>
        <v>9.9999999999999994E+71</v>
      </c>
      <c r="K305" s="19">
        <f t="shared" si="26"/>
        <v>2002</v>
      </c>
      <c r="N305" s="18">
        <v>866</v>
      </c>
      <c r="O305" s="18"/>
      <c r="P305" s="2" cm="1">
        <f t="array" aca="1" ref="P305" ca="1">INDIRECT("b" &amp; (N305+2))</f>
        <v>6.3999999999999993E+44</v>
      </c>
      <c r="Q305" s="5">
        <f t="shared" ca="1" si="24"/>
        <v>52244897.959183663</v>
      </c>
      <c r="S305" s="18">
        <v>426</v>
      </c>
      <c r="T305" s="18"/>
      <c r="U305" s="2" cm="1">
        <f t="array" aca="1" ref="U305" ca="1">INDIRECT("d" &amp; (S305+2))</f>
        <v>426</v>
      </c>
      <c r="V305" s="5">
        <f t="shared" ca="1" si="23"/>
        <v>3.4634146341463414</v>
      </c>
      <c r="W305">
        <v>303</v>
      </c>
      <c r="X305" s="18">
        <v>866</v>
      </c>
      <c r="Y305" s="18"/>
      <c r="Z305" s="2" cm="1">
        <f t="array" aca="1" ref="Z305" ca="1">INDIRECT("b" &amp; (X305+2))</f>
        <v>6.3999999999999993E+44</v>
      </c>
      <c r="AA305" s="5">
        <f t="shared" ca="1" si="25"/>
        <v>52244897.959183663</v>
      </c>
    </row>
    <row r="306" spans="1:27">
      <c r="A306">
        <v>304</v>
      </c>
      <c r="B306">
        <v>1.1E+24</v>
      </c>
      <c r="D306" s="18">
        <v>304</v>
      </c>
      <c r="E306" s="18" cm="1">
        <f t="array" aca="1" ref="E306" ca="1">INDIRECT("b"&amp;F306+2)</f>
        <v>1.4499999999999998E+43</v>
      </c>
      <c r="F306" s="18">
        <f t="shared" si="22"/>
        <v>804</v>
      </c>
      <c r="G306" s="18"/>
      <c r="H306" s="18"/>
      <c r="I306" s="19">
        <v>304</v>
      </c>
      <c r="J306" s="19" cm="1">
        <f t="array" aca="1" ref="J306" ca="1">INDIRECT("b"&amp;K306+2)</f>
        <v>1.4500000000000001E+72</v>
      </c>
      <c r="K306" s="19">
        <f t="shared" si="26"/>
        <v>2004</v>
      </c>
      <c r="N306" s="18">
        <v>867</v>
      </c>
      <c r="O306" s="18"/>
      <c r="P306" s="2" cm="1">
        <f t="array" aca="1" ref="P306" ca="1">INDIRECT("b" &amp; (N306+2))</f>
        <v>6.6250000000000007E+44</v>
      </c>
      <c r="Q306" s="5">
        <f t="shared" ca="1" si="24"/>
        <v>54081632.653061226</v>
      </c>
      <c r="S306" s="18">
        <v>427</v>
      </c>
      <c r="T306" s="18"/>
      <c r="U306" s="2" cm="1">
        <f t="array" aca="1" ref="U306" ca="1">INDIRECT("d" &amp; (S306+2))</f>
        <v>427</v>
      </c>
      <c r="V306" s="5">
        <f t="shared" ca="1" si="23"/>
        <v>3.4715447154471546</v>
      </c>
      <c r="W306">
        <v>304</v>
      </c>
      <c r="X306" s="18">
        <v>867</v>
      </c>
      <c r="Y306" s="18"/>
      <c r="Z306" s="2" cm="1">
        <f t="array" aca="1" ref="Z306" ca="1">INDIRECT("b" &amp; (X306+2))</f>
        <v>6.6250000000000007E+44</v>
      </c>
      <c r="AA306" s="5">
        <f t="shared" ca="1" si="25"/>
        <v>54081632.653061226</v>
      </c>
    </row>
    <row r="307" spans="1:27">
      <c r="A307">
        <v>305</v>
      </c>
      <c r="B307">
        <v>1.5E+24</v>
      </c>
      <c r="D307" s="18">
        <v>305</v>
      </c>
      <c r="E307" s="18" cm="1">
        <f t="array" aca="1" ref="E307" ca="1">INDIRECT("b"&amp;F307+2)</f>
        <v>1.6749999999999999E+43</v>
      </c>
      <c r="F307" s="18">
        <f t="shared" si="22"/>
        <v>805</v>
      </c>
      <c r="G307" s="18"/>
      <c r="H307" s="18"/>
      <c r="I307" s="19">
        <v>305</v>
      </c>
      <c r="J307" s="19" cm="1">
        <f t="array" aca="1" ref="J307" ca="1">INDIRECT("b"&amp;K307+2)</f>
        <v>1.675E+72</v>
      </c>
      <c r="K307" s="19">
        <f t="shared" si="26"/>
        <v>2005</v>
      </c>
      <c r="N307" s="18">
        <v>868</v>
      </c>
      <c r="O307" s="18"/>
      <c r="P307" s="2" cm="1">
        <f t="array" aca="1" ref="P307" ca="1">INDIRECT("b" &amp; (N307+2))</f>
        <v>6.8500000000000005E+44</v>
      </c>
      <c r="Q307" s="5">
        <f t="shared" ca="1" si="24"/>
        <v>55918367.346938774</v>
      </c>
      <c r="S307" s="18">
        <v>428</v>
      </c>
      <c r="T307" s="18"/>
      <c r="U307" s="2" cm="1">
        <f t="array" aca="1" ref="U307" ca="1">INDIRECT("d" &amp; (S307+2))</f>
        <v>428</v>
      </c>
      <c r="V307" s="5">
        <f t="shared" ca="1" si="23"/>
        <v>3.4796747967479673</v>
      </c>
      <c r="W307">
        <v>305</v>
      </c>
      <c r="X307" s="18">
        <v>868</v>
      </c>
      <c r="Y307" s="18"/>
      <c r="Z307" s="2" cm="1">
        <f t="array" aca="1" ref="Z307" ca="1">INDIRECT("b" &amp; (X307+2))</f>
        <v>6.8500000000000005E+44</v>
      </c>
      <c r="AA307" s="5">
        <f t="shared" ca="1" si="25"/>
        <v>55918367.346938774</v>
      </c>
    </row>
    <row r="308" spans="1:27">
      <c r="A308">
        <v>306</v>
      </c>
      <c r="B308">
        <v>2E+24</v>
      </c>
      <c r="D308" s="18">
        <v>306</v>
      </c>
      <c r="E308" s="18" cm="1">
        <f t="array" aca="1" ref="E308" ca="1">INDIRECT("b"&amp;F308+2)</f>
        <v>1.9000000000000003E+43</v>
      </c>
      <c r="F308" s="18">
        <f t="shared" si="22"/>
        <v>806</v>
      </c>
      <c r="G308" s="18"/>
      <c r="H308" s="18"/>
      <c r="I308" s="19">
        <v>306</v>
      </c>
      <c r="J308" s="19" cm="1">
        <f t="array" aca="1" ref="J308" ca="1">INDIRECT("b"&amp;K308+2)</f>
        <v>1.9E+72</v>
      </c>
      <c r="K308" s="19">
        <f t="shared" si="26"/>
        <v>2006</v>
      </c>
      <c r="N308" s="18">
        <v>869</v>
      </c>
      <c r="O308" s="18"/>
      <c r="P308" s="2" cm="1">
        <f t="array" aca="1" ref="P308" ca="1">INDIRECT("b" &amp; (N308+2))</f>
        <v>7.0749999999999995E+44</v>
      </c>
      <c r="Q308" s="5">
        <f t="shared" ca="1" si="24"/>
        <v>57755102.040816315</v>
      </c>
      <c r="S308" s="18">
        <v>429</v>
      </c>
      <c r="T308" s="18"/>
      <c r="U308" s="2" cm="1">
        <f t="array" aca="1" ref="U308" ca="1">INDIRECT("d" &amp; (S308+2))</f>
        <v>429</v>
      </c>
      <c r="V308" s="5">
        <f t="shared" ca="1" si="23"/>
        <v>3.4878048780487805</v>
      </c>
      <c r="W308">
        <v>306</v>
      </c>
      <c r="X308" s="18">
        <v>869</v>
      </c>
      <c r="Y308" s="18"/>
      <c r="Z308" s="2" cm="1">
        <f t="array" aca="1" ref="Z308" ca="1">INDIRECT("b" &amp; (X308+2))</f>
        <v>7.0749999999999995E+44</v>
      </c>
      <c r="AA308" s="5">
        <f t="shared" ca="1" si="25"/>
        <v>57755102.040816315</v>
      </c>
    </row>
    <row r="309" spans="1:27">
      <c r="A309">
        <v>307</v>
      </c>
      <c r="B309">
        <v>2.5000000000000002E+24</v>
      </c>
      <c r="D309" s="18">
        <v>307</v>
      </c>
      <c r="E309" s="18" cm="1">
        <f t="array" aca="1" ref="E309" ca="1">INDIRECT("b"&amp;F309+2)</f>
        <v>2.35E+43</v>
      </c>
      <c r="F309" s="18">
        <f t="shared" si="22"/>
        <v>808</v>
      </c>
      <c r="G309" s="18"/>
      <c r="H309" s="18"/>
      <c r="I309" s="19">
        <v>307</v>
      </c>
      <c r="J309" s="19" cm="1">
        <f t="array" aca="1" ref="J309" ca="1">INDIRECT("b"&amp;K309+2)</f>
        <v>2.3500000000000002E+72</v>
      </c>
      <c r="K309" s="19">
        <f t="shared" si="26"/>
        <v>2008</v>
      </c>
      <c r="N309" s="18">
        <v>870</v>
      </c>
      <c r="O309" s="18"/>
      <c r="P309" s="2" cm="1">
        <f t="array" aca="1" ref="P309" ca="1">INDIRECT("b" &amp; (N309+2))</f>
        <v>7.3000000000000001E+44</v>
      </c>
      <c r="Q309" s="5">
        <f t="shared" ca="1" si="24"/>
        <v>59591836.73469387</v>
      </c>
      <c r="S309" s="18">
        <v>430</v>
      </c>
      <c r="T309" s="18"/>
      <c r="U309" s="2" cm="1">
        <f t="array" aca="1" ref="U309" ca="1">INDIRECT("d" &amp; (S309+2))</f>
        <v>430</v>
      </c>
      <c r="V309" s="5">
        <f t="shared" ca="1" si="23"/>
        <v>3.4959349593495936</v>
      </c>
      <c r="W309">
        <v>307</v>
      </c>
      <c r="X309" s="18">
        <v>870</v>
      </c>
      <c r="Y309" s="18"/>
      <c r="Z309" s="2" cm="1">
        <f t="array" aca="1" ref="Z309" ca="1">INDIRECT("b" &amp; (X309+2))</f>
        <v>7.3000000000000001E+44</v>
      </c>
      <c r="AA309" s="5">
        <f t="shared" ca="1" si="25"/>
        <v>59591836.73469387</v>
      </c>
    </row>
    <row r="310" spans="1:27">
      <c r="A310">
        <v>308</v>
      </c>
      <c r="B310">
        <v>2.9999999999999999E+24</v>
      </c>
      <c r="D310" s="18">
        <v>308</v>
      </c>
      <c r="E310" s="18" cm="1">
        <f t="array" aca="1" ref="E310" ca="1">INDIRECT("b"&amp;F310+2)</f>
        <v>2.5749999999999996E+43</v>
      </c>
      <c r="F310" s="18">
        <f t="shared" si="22"/>
        <v>809</v>
      </c>
      <c r="G310" s="18"/>
      <c r="H310" s="18"/>
      <c r="I310" s="19">
        <v>308</v>
      </c>
      <c r="J310" s="19" cm="1">
        <f t="array" aca="1" ref="J310" ca="1">INDIRECT("b"&amp;K310+2)</f>
        <v>2.5750000000000002E+72</v>
      </c>
      <c r="K310" s="19">
        <f t="shared" si="26"/>
        <v>2009</v>
      </c>
      <c r="N310" s="18">
        <v>871</v>
      </c>
      <c r="O310" s="18"/>
      <c r="P310" s="2" cm="1">
        <f t="array" aca="1" ref="P310" ca="1">INDIRECT("b" &amp; (N310+2))</f>
        <v>7.5249999999999999E+44</v>
      </c>
      <c r="Q310" s="5">
        <f t="shared" ca="1" si="24"/>
        <v>61428571.428571425</v>
      </c>
      <c r="S310" s="18">
        <v>431</v>
      </c>
      <c r="T310" s="18"/>
      <c r="U310" s="2" cm="1">
        <f t="array" aca="1" ref="U310" ca="1">INDIRECT("d" &amp; (S310+2))</f>
        <v>431</v>
      </c>
      <c r="V310" s="5">
        <f t="shared" ca="1" si="23"/>
        <v>3.5040650406504064</v>
      </c>
      <c r="W310">
        <v>308</v>
      </c>
      <c r="X310" s="18">
        <v>871</v>
      </c>
      <c r="Y310" s="18"/>
      <c r="Z310" s="2" cm="1">
        <f t="array" aca="1" ref="Z310" ca="1">INDIRECT("b" &amp; (X310+2))</f>
        <v>7.5249999999999999E+44</v>
      </c>
      <c r="AA310" s="5">
        <f t="shared" ca="1" si="25"/>
        <v>61428571.428571425</v>
      </c>
    </row>
    <row r="311" spans="1:27">
      <c r="A311">
        <v>309</v>
      </c>
      <c r="B311">
        <v>3.5000000000000002E+24</v>
      </c>
      <c r="D311" s="18">
        <v>309</v>
      </c>
      <c r="E311" s="18" cm="1">
        <f t="array" aca="1" ref="E311" ca="1">INDIRECT("b"&amp;F311+2)</f>
        <v>2.8000000000000002E+43</v>
      </c>
      <c r="F311" s="18">
        <f t="shared" si="22"/>
        <v>810</v>
      </c>
      <c r="G311" s="18"/>
      <c r="H311" s="18"/>
      <c r="I311" s="19">
        <v>309</v>
      </c>
      <c r="J311" s="19" cm="1">
        <f t="array" aca="1" ref="J311" ca="1">INDIRECT("b"&amp;K311+2)</f>
        <v>2.7999999999999999E+72</v>
      </c>
      <c r="K311" s="19">
        <f t="shared" si="26"/>
        <v>2010</v>
      </c>
      <c r="N311" s="18">
        <v>872</v>
      </c>
      <c r="O311" s="18"/>
      <c r="P311" s="2" cm="1">
        <f t="array" aca="1" ref="P311" ca="1">INDIRECT("b" &amp; (N311+2))</f>
        <v>7.7499999999999997E+44</v>
      </c>
      <c r="Q311" s="5">
        <f t="shared" ca="1" si="24"/>
        <v>63265306.122448973</v>
      </c>
      <c r="S311" s="18">
        <v>432</v>
      </c>
      <c r="T311" s="18"/>
      <c r="U311" s="2" cm="1">
        <f t="array" aca="1" ref="U311" ca="1">INDIRECT("d" &amp; (S311+2))</f>
        <v>432</v>
      </c>
      <c r="V311" s="5">
        <f t="shared" ca="1" si="23"/>
        <v>3.5121951219512195</v>
      </c>
      <c r="W311">
        <v>309</v>
      </c>
      <c r="X311" s="18">
        <v>872</v>
      </c>
      <c r="Y311" s="18"/>
      <c r="Z311" s="2" cm="1">
        <f t="array" aca="1" ref="Z311" ca="1">INDIRECT("b" &amp; (X311+2))</f>
        <v>7.7499999999999997E+44</v>
      </c>
      <c r="AA311" s="5">
        <f t="shared" ca="1" si="25"/>
        <v>63265306.122448973</v>
      </c>
    </row>
    <row r="312" spans="1:27">
      <c r="A312">
        <v>310</v>
      </c>
      <c r="B312">
        <v>3.9999999999999999E+24</v>
      </c>
      <c r="D312" s="18">
        <v>310</v>
      </c>
      <c r="E312" s="18" cm="1">
        <f t="array" aca="1" ref="E312" ca="1">INDIRECT("b"&amp;F312+2)</f>
        <v>3.2499999999999994E+43</v>
      </c>
      <c r="F312" s="18">
        <f t="shared" si="22"/>
        <v>812</v>
      </c>
      <c r="G312" s="18"/>
      <c r="H312" s="18"/>
      <c r="I312" s="19">
        <v>310</v>
      </c>
      <c r="J312" s="19" cm="1">
        <f t="array" aca="1" ref="J312" ca="1">INDIRECT("b"&amp;K312+2)</f>
        <v>3.2500000000000001E+72</v>
      </c>
      <c r="K312" s="19">
        <f t="shared" si="26"/>
        <v>2012</v>
      </c>
      <c r="N312" s="18">
        <v>873</v>
      </c>
      <c r="O312" s="18"/>
      <c r="P312" s="2" cm="1">
        <f t="array" aca="1" ref="P312" ca="1">INDIRECT("b" &amp; (N312+2))</f>
        <v>7.9750000000000011E+44</v>
      </c>
      <c r="Q312" s="5">
        <f t="shared" ca="1" si="24"/>
        <v>65102040.816326536</v>
      </c>
      <c r="S312" s="18">
        <v>433</v>
      </c>
      <c r="T312" s="18"/>
      <c r="U312" s="2" cm="1">
        <f t="array" aca="1" ref="U312" ca="1">INDIRECT("d" &amp; (S312+2))</f>
        <v>433</v>
      </c>
      <c r="V312" s="5">
        <f t="shared" ca="1" si="23"/>
        <v>3.5203252032520327</v>
      </c>
      <c r="W312">
        <v>310</v>
      </c>
      <c r="X312" s="18">
        <v>873</v>
      </c>
      <c r="Y312" s="18"/>
      <c r="Z312" s="2" cm="1">
        <f t="array" aca="1" ref="Z312" ca="1">INDIRECT("b" &amp; (X312+2))</f>
        <v>7.9750000000000011E+44</v>
      </c>
      <c r="AA312" s="5">
        <f t="shared" ca="1" si="25"/>
        <v>65102040.816326536</v>
      </c>
    </row>
    <row r="313" spans="1:27">
      <c r="A313">
        <v>311</v>
      </c>
      <c r="B313">
        <v>4.5000000000000002E+24</v>
      </c>
      <c r="D313" s="18">
        <v>311</v>
      </c>
      <c r="E313" s="18" cm="1">
        <f t="array" aca="1" ref="E313" ca="1">INDIRECT("b"&amp;F313+2)</f>
        <v>3.475E+43</v>
      </c>
      <c r="F313" s="18">
        <f t="shared" si="22"/>
        <v>813</v>
      </c>
      <c r="G313" s="18"/>
      <c r="H313" s="18"/>
      <c r="I313" s="19">
        <v>311</v>
      </c>
      <c r="J313" s="19" cm="1">
        <f t="array" aca="1" ref="J313" ca="1">INDIRECT("b"&amp;K313+2)</f>
        <v>3.4750000000000001E+72</v>
      </c>
      <c r="K313" s="19">
        <f t="shared" si="26"/>
        <v>2013</v>
      </c>
      <c r="N313" s="18">
        <v>874</v>
      </c>
      <c r="O313" s="18"/>
      <c r="P313" s="2" cm="1">
        <f t="array" aca="1" ref="P313" ca="1">INDIRECT("b" &amp; (N313+2))</f>
        <v>8.1999999999999993E+44</v>
      </c>
      <c r="Q313" s="5">
        <f t="shared" ca="1" si="24"/>
        <v>66938775.510204069</v>
      </c>
      <c r="S313" s="18">
        <v>434</v>
      </c>
      <c r="T313" s="18"/>
      <c r="U313" s="2" cm="1">
        <f t="array" aca="1" ref="U313" ca="1">INDIRECT("d" &amp; (S313+2))</f>
        <v>434</v>
      </c>
      <c r="V313" s="5">
        <f t="shared" ca="1" si="23"/>
        <v>3.5284552845528454</v>
      </c>
      <c r="W313">
        <v>311</v>
      </c>
      <c r="X313" s="18">
        <v>874</v>
      </c>
      <c r="Y313" s="18"/>
      <c r="Z313" s="2" cm="1">
        <f t="array" aca="1" ref="Z313" ca="1">INDIRECT("b" &amp; (X313+2))</f>
        <v>8.1999999999999993E+44</v>
      </c>
      <c r="AA313" s="5">
        <f t="shared" ca="1" si="25"/>
        <v>66938775.510204069</v>
      </c>
    </row>
    <row r="314" spans="1:27">
      <c r="A314">
        <v>312</v>
      </c>
      <c r="B314">
        <v>5.0000000000000005E+24</v>
      </c>
      <c r="D314" s="18">
        <v>312</v>
      </c>
      <c r="E314" s="18" cm="1">
        <f t="array" aca="1" ref="E314" ca="1">INDIRECT("b"&amp;F314+2)</f>
        <v>3.7000000000000001E+43</v>
      </c>
      <c r="F314" s="18">
        <f t="shared" si="22"/>
        <v>814</v>
      </c>
      <c r="G314" s="18"/>
      <c r="H314" s="18"/>
      <c r="I314" s="19">
        <v>312</v>
      </c>
      <c r="J314" s="19" cm="1">
        <f t="array" aca="1" ref="J314" ca="1">INDIRECT("b"&amp;K314+2)</f>
        <v>3.7000000000000002E+72</v>
      </c>
      <c r="K314" s="19">
        <f t="shared" si="26"/>
        <v>2014</v>
      </c>
      <c r="N314" s="18">
        <v>875</v>
      </c>
      <c r="O314" s="18"/>
      <c r="P314" s="2" cm="1">
        <f t="array" aca="1" ref="P314" ca="1">INDIRECT("b" &amp; (N314+2))</f>
        <v>8.4250000000000007E+44</v>
      </c>
      <c r="Q314" s="5">
        <f t="shared" ca="1" si="24"/>
        <v>68775510.20408164</v>
      </c>
      <c r="S314" s="18">
        <v>435</v>
      </c>
      <c r="T314" s="18"/>
      <c r="U314" s="2" cm="1">
        <f t="array" aca="1" ref="U314" ca="1">INDIRECT("d" &amp; (S314+2))</f>
        <v>435</v>
      </c>
      <c r="V314" s="5">
        <f t="shared" ca="1" si="23"/>
        <v>3.5365853658536586</v>
      </c>
      <c r="W314">
        <v>312</v>
      </c>
      <c r="X314" s="18">
        <v>875</v>
      </c>
      <c r="Y314" s="18"/>
      <c r="Z314" s="2" cm="1">
        <f t="array" aca="1" ref="Z314" ca="1">INDIRECT("b" &amp; (X314+2))</f>
        <v>8.4250000000000007E+44</v>
      </c>
      <c r="AA314" s="5">
        <f t="shared" ca="1" si="25"/>
        <v>68775510.20408164</v>
      </c>
    </row>
    <row r="315" spans="1:27">
      <c r="A315">
        <v>313</v>
      </c>
      <c r="B315">
        <v>5.5000000000000002E+24</v>
      </c>
      <c r="D315" s="18">
        <v>313</v>
      </c>
      <c r="E315" s="18" cm="1">
        <f t="array" aca="1" ref="E315" ca="1">INDIRECT("b"&amp;F315+2)</f>
        <v>4.1500000000000003E+43</v>
      </c>
      <c r="F315" s="18">
        <f t="shared" si="22"/>
        <v>816</v>
      </c>
      <c r="G315" s="18"/>
      <c r="H315" s="18"/>
      <c r="I315" s="19">
        <v>313</v>
      </c>
      <c r="J315" s="19" cm="1">
        <f t="array" aca="1" ref="J315" ca="1">INDIRECT("b"&amp;K315+2)</f>
        <v>4.1500000000000003E+72</v>
      </c>
      <c r="K315" s="19">
        <f t="shared" si="26"/>
        <v>2016</v>
      </c>
      <c r="N315" s="18">
        <v>876</v>
      </c>
      <c r="O315" s="18"/>
      <c r="P315" s="2" cm="1">
        <f t="array" aca="1" ref="P315" ca="1">INDIRECT("b" &amp; (N315+2))</f>
        <v>8.6499999999999989E+44</v>
      </c>
      <c r="Q315" s="5">
        <f t="shared" ca="1" si="24"/>
        <v>70612244.897959173</v>
      </c>
      <c r="S315" s="18">
        <v>436</v>
      </c>
      <c r="T315" s="18"/>
      <c r="U315" s="2" cm="1">
        <f t="array" aca="1" ref="U315" ca="1">INDIRECT("d" &amp; (S315+2))</f>
        <v>436</v>
      </c>
      <c r="V315" s="5">
        <f t="shared" ca="1" si="23"/>
        <v>3.5447154471544717</v>
      </c>
      <c r="W315">
        <v>313</v>
      </c>
      <c r="X315" s="18">
        <v>876</v>
      </c>
      <c r="Y315" s="18"/>
      <c r="Z315" s="2" cm="1">
        <f t="array" aca="1" ref="Z315" ca="1">INDIRECT("b" &amp; (X315+2))</f>
        <v>8.6499999999999989E+44</v>
      </c>
      <c r="AA315" s="5">
        <f t="shared" ca="1" si="25"/>
        <v>70612244.897959173</v>
      </c>
    </row>
    <row r="316" spans="1:27">
      <c r="A316">
        <v>314</v>
      </c>
      <c r="B316">
        <v>5.9999999999999999E+24</v>
      </c>
      <c r="D316" s="18">
        <v>314</v>
      </c>
      <c r="E316" s="18" cm="1">
        <f t="array" aca="1" ref="E316" ca="1">INDIRECT("b"&amp;F316+2)</f>
        <v>4.3749999999999999E+43</v>
      </c>
      <c r="F316" s="18">
        <f t="shared" si="22"/>
        <v>817</v>
      </c>
      <c r="G316" s="18"/>
      <c r="H316" s="18"/>
      <c r="I316" s="19">
        <v>314</v>
      </c>
      <c r="J316" s="19" cm="1">
        <f t="array" aca="1" ref="J316" ca="1">INDIRECT("b"&amp;K316+2)</f>
        <v>4.375E+72</v>
      </c>
      <c r="K316" s="19">
        <f t="shared" si="26"/>
        <v>2017</v>
      </c>
      <c r="N316" s="18">
        <v>877</v>
      </c>
      <c r="O316" s="18"/>
      <c r="P316" s="2" cm="1">
        <f t="array" aca="1" ref="P316" ca="1">INDIRECT("b" &amp; (N316+2))</f>
        <v>8.8749999999999987E+44</v>
      </c>
      <c r="Q316" s="5">
        <f t="shared" ca="1" si="24"/>
        <v>72448979.591836721</v>
      </c>
      <c r="S316" s="18">
        <v>437</v>
      </c>
      <c r="T316" s="18"/>
      <c r="U316" s="2" cm="1">
        <f t="array" aca="1" ref="U316" ca="1">INDIRECT("d" &amp; (S316+2))</f>
        <v>437</v>
      </c>
      <c r="V316" s="5">
        <f t="shared" ca="1" si="23"/>
        <v>3.5528455284552845</v>
      </c>
      <c r="W316">
        <v>314</v>
      </c>
      <c r="X316" s="18">
        <v>877</v>
      </c>
      <c r="Y316" s="18"/>
      <c r="Z316" s="2" cm="1">
        <f t="array" aca="1" ref="Z316" ca="1">INDIRECT("b" &amp; (X316+2))</f>
        <v>8.8749999999999987E+44</v>
      </c>
      <c r="AA316" s="5">
        <f t="shared" ca="1" si="25"/>
        <v>72448979.591836721</v>
      </c>
    </row>
    <row r="317" spans="1:27">
      <c r="A317">
        <v>315</v>
      </c>
      <c r="B317">
        <v>6.4999999999999996E+24</v>
      </c>
      <c r="D317" s="18">
        <v>315</v>
      </c>
      <c r="E317" s="18" cm="1">
        <f t="array" aca="1" ref="E317" ca="1">INDIRECT("b"&amp;F317+2)</f>
        <v>4.5999999999999995E+43</v>
      </c>
      <c r="F317" s="18">
        <f t="shared" ref="F317:F380" si="27">INT((A317-123)*1.333333)+563</f>
        <v>818</v>
      </c>
      <c r="G317" s="18"/>
      <c r="H317" s="18"/>
      <c r="I317" s="19">
        <v>315</v>
      </c>
      <c r="J317" s="19" cm="1">
        <f t="array" aca="1" ref="J317" ca="1">INDIRECT("b"&amp;K317+2)</f>
        <v>4.6000000000000005E+72</v>
      </c>
      <c r="K317" s="19">
        <f t="shared" si="26"/>
        <v>2018</v>
      </c>
      <c r="N317" s="18">
        <v>878</v>
      </c>
      <c r="O317" s="18"/>
      <c r="P317" s="2" cm="1">
        <f t="array" aca="1" ref="P317" ca="1">INDIRECT("b" &amp; (N317+2))</f>
        <v>9.0999999999999985E+44</v>
      </c>
      <c r="Q317" s="5">
        <f t="shared" ca="1" si="24"/>
        <v>74285714.285714269</v>
      </c>
      <c r="S317" s="18">
        <v>438</v>
      </c>
      <c r="T317" s="18"/>
      <c r="U317" s="2" cm="1">
        <f t="array" aca="1" ref="U317" ca="1">INDIRECT("d" &amp; (S317+2))</f>
        <v>438</v>
      </c>
      <c r="V317" s="5">
        <f t="shared" ca="1" si="23"/>
        <v>3.5609756097560976</v>
      </c>
      <c r="W317">
        <v>315</v>
      </c>
      <c r="X317" s="18">
        <v>878</v>
      </c>
      <c r="Y317" s="18"/>
      <c r="Z317" s="2" cm="1">
        <f t="array" aca="1" ref="Z317" ca="1">INDIRECT("b" &amp; (X317+2))</f>
        <v>9.0999999999999985E+44</v>
      </c>
      <c r="AA317" s="5">
        <f t="shared" ca="1" si="25"/>
        <v>74285714.285714269</v>
      </c>
    </row>
    <row r="318" spans="1:27">
      <c r="A318">
        <v>316</v>
      </c>
      <c r="B318">
        <v>7.0000000000000004E+24</v>
      </c>
      <c r="D318" s="18">
        <v>316</v>
      </c>
      <c r="E318" s="18" cm="1">
        <f t="array" aca="1" ref="E318" ca="1">INDIRECT("b"&amp;F318+2)</f>
        <v>5.0499999999999997E+43</v>
      </c>
      <c r="F318" s="18">
        <f t="shared" si="27"/>
        <v>820</v>
      </c>
      <c r="G318" s="18"/>
      <c r="H318" s="18"/>
      <c r="I318" s="19">
        <v>316</v>
      </c>
      <c r="J318" s="19" cm="1">
        <f t="array" aca="1" ref="J318" ca="1">INDIRECT("b"&amp;K318+2)</f>
        <v>5.0499999999999998E+72</v>
      </c>
      <c r="K318" s="19">
        <f t="shared" si="26"/>
        <v>2020</v>
      </c>
      <c r="N318" s="18">
        <v>879</v>
      </c>
      <c r="O318" s="18"/>
      <c r="P318" s="2" cm="1">
        <f t="array" aca="1" ref="P318" ca="1">INDIRECT("b" &amp; (N318+2))</f>
        <v>9.3249999999999999E+44</v>
      </c>
      <c r="Q318" s="5">
        <f t="shared" ca="1" si="24"/>
        <v>76122448.979591832</v>
      </c>
      <c r="S318" s="18">
        <v>439</v>
      </c>
      <c r="T318" s="18"/>
      <c r="U318" s="2" cm="1">
        <f t="array" aca="1" ref="U318" ca="1">INDIRECT("d" &amp; (S318+2))</f>
        <v>439</v>
      </c>
      <c r="V318" s="5">
        <f t="shared" ca="1" si="23"/>
        <v>3.5691056910569108</v>
      </c>
      <c r="W318">
        <v>316</v>
      </c>
      <c r="X318" s="18">
        <v>879</v>
      </c>
      <c r="Y318" s="18"/>
      <c r="Z318" s="2" cm="1">
        <f t="array" aca="1" ref="Z318" ca="1">INDIRECT("b" &amp; (X318+2))</f>
        <v>9.3249999999999999E+44</v>
      </c>
      <c r="AA318" s="5">
        <f t="shared" ca="1" si="25"/>
        <v>76122448.979591832</v>
      </c>
    </row>
    <row r="319" spans="1:27">
      <c r="A319">
        <v>317</v>
      </c>
      <c r="B319">
        <v>7.5000000000000001E+24</v>
      </c>
      <c r="D319" s="18">
        <v>317</v>
      </c>
      <c r="E319" s="18" cm="1">
        <f t="array" aca="1" ref="E319" ca="1">INDIRECT("b"&amp;F319+2)</f>
        <v>5.2749999999999993E+43</v>
      </c>
      <c r="F319" s="18">
        <f t="shared" si="27"/>
        <v>821</v>
      </c>
      <c r="G319" s="18"/>
      <c r="H319" s="18"/>
      <c r="I319" s="19">
        <v>317</v>
      </c>
      <c r="J319" s="19" cm="1">
        <f t="array" aca="1" ref="J319" ca="1">INDIRECT("b"&amp;K319+2)</f>
        <v>5.2750000000000003E+72</v>
      </c>
      <c r="K319" s="19">
        <f t="shared" si="26"/>
        <v>2021</v>
      </c>
      <c r="N319" s="18">
        <v>880</v>
      </c>
      <c r="O319" s="18"/>
      <c r="P319" s="2" cm="1">
        <f t="array" aca="1" ref="P319" ca="1">INDIRECT("b" &amp; (N319+2))</f>
        <v>9.5499999999999997E+44</v>
      </c>
      <c r="Q319" s="5">
        <f t="shared" ca="1" si="24"/>
        <v>77959183.67346938</v>
      </c>
      <c r="S319" s="18">
        <v>440</v>
      </c>
      <c r="T319" s="18"/>
      <c r="U319" s="2" cm="1">
        <f t="array" aca="1" ref="U319" ca="1">INDIRECT("d" &amp; (S319+2))</f>
        <v>440</v>
      </c>
      <c r="V319" s="5">
        <f t="shared" ca="1" si="23"/>
        <v>3.5772357723577235</v>
      </c>
      <c r="W319">
        <v>317</v>
      </c>
      <c r="X319" s="18">
        <v>880</v>
      </c>
      <c r="Y319" s="18"/>
      <c r="Z319" s="2" cm="1">
        <f t="array" aca="1" ref="Z319" ca="1">INDIRECT("b" &amp; (X319+2))</f>
        <v>9.5499999999999997E+44</v>
      </c>
      <c r="AA319" s="5">
        <f t="shared" ca="1" si="25"/>
        <v>77959183.67346938</v>
      </c>
    </row>
    <row r="320" spans="1:27">
      <c r="A320">
        <v>318</v>
      </c>
      <c r="B320">
        <v>7.9999999999999999E+24</v>
      </c>
      <c r="D320" s="18">
        <v>318</v>
      </c>
      <c r="E320" s="18" cm="1">
        <f t="array" aca="1" ref="E320" ca="1">INDIRECT("b"&amp;F320+2)</f>
        <v>5.4999999999999999E+43</v>
      </c>
      <c r="F320" s="18">
        <f t="shared" si="27"/>
        <v>822</v>
      </c>
      <c r="G320" s="18"/>
      <c r="H320" s="18"/>
      <c r="I320" s="19">
        <v>318</v>
      </c>
      <c r="J320" s="19" cm="1">
        <f t="array" aca="1" ref="J320" ca="1">INDIRECT("b"&amp;K320+2)</f>
        <v>5.5E+72</v>
      </c>
      <c r="K320" s="19">
        <f t="shared" si="26"/>
        <v>2022</v>
      </c>
      <c r="N320" s="18">
        <v>881</v>
      </c>
      <c r="O320" s="18"/>
      <c r="P320" s="2" cm="1">
        <f t="array" aca="1" ref="P320" ca="1">INDIRECT("b" &amp; (N320+2))</f>
        <v>9.7749999999999995E+44</v>
      </c>
      <c r="Q320" s="5">
        <f t="shared" ca="1" si="24"/>
        <v>79795918.367346928</v>
      </c>
      <c r="S320" s="18">
        <v>441</v>
      </c>
      <c r="T320" s="18"/>
      <c r="U320" s="2" cm="1">
        <f t="array" aca="1" ref="U320" ca="1">INDIRECT("d" &amp; (S320+2))</f>
        <v>441</v>
      </c>
      <c r="V320" s="5">
        <f t="shared" ca="1" si="23"/>
        <v>3.5853658536585367</v>
      </c>
      <c r="W320">
        <v>318</v>
      </c>
      <c r="X320" s="18">
        <v>881</v>
      </c>
      <c r="Y320" s="18"/>
      <c r="Z320" s="2" cm="1">
        <f t="array" aca="1" ref="Z320" ca="1">INDIRECT("b" &amp; (X320+2))</f>
        <v>9.7749999999999995E+44</v>
      </c>
      <c r="AA320" s="5">
        <f t="shared" ca="1" si="25"/>
        <v>79795918.367346928</v>
      </c>
    </row>
    <row r="321" spans="1:27">
      <c r="A321">
        <v>319</v>
      </c>
      <c r="B321">
        <v>8.4999999999999996E+24</v>
      </c>
      <c r="D321" s="18">
        <v>319</v>
      </c>
      <c r="E321" s="18" cm="1">
        <f t="array" aca="1" ref="E321" ca="1">INDIRECT("b"&amp;F321+2)</f>
        <v>5.9500000000000011E+43</v>
      </c>
      <c r="F321" s="18">
        <f t="shared" si="27"/>
        <v>824</v>
      </c>
      <c r="G321" s="18"/>
      <c r="H321" s="18"/>
      <c r="I321" s="19">
        <v>319</v>
      </c>
      <c r="J321" s="19" cm="1">
        <f t="array" aca="1" ref="J321" ca="1">INDIRECT("b"&amp;K321+2)</f>
        <v>5.9500000000000001E+72</v>
      </c>
      <c r="K321" s="19">
        <f t="shared" si="26"/>
        <v>2024</v>
      </c>
      <c r="N321" s="18">
        <v>882</v>
      </c>
      <c r="O321" s="18"/>
      <c r="P321" s="2" cm="1">
        <f t="array" aca="1" ref="P321" ca="1">INDIRECT("b" &amp; (N321+2))</f>
        <v>1.0000000000000001E+45</v>
      </c>
      <c r="Q321" s="5">
        <f t="shared" ca="1" si="24"/>
        <v>81632653.06122449</v>
      </c>
      <c r="S321" s="18">
        <v>442</v>
      </c>
      <c r="T321" s="18"/>
      <c r="U321" s="2" cm="1">
        <f t="array" aca="1" ref="U321" ca="1">INDIRECT("d" &amp; (S321+2))</f>
        <v>442</v>
      </c>
      <c r="V321" s="5">
        <f t="shared" ca="1" si="23"/>
        <v>3.5934959349593494</v>
      </c>
      <c r="W321">
        <v>319</v>
      </c>
      <c r="X321" s="18">
        <v>882</v>
      </c>
      <c r="Y321" s="18"/>
      <c r="Z321" s="2" cm="1">
        <f t="array" aca="1" ref="Z321" ca="1">INDIRECT("b" &amp; (X321+2))</f>
        <v>1.0000000000000001E+45</v>
      </c>
      <c r="AA321" s="5">
        <f t="shared" ca="1" si="25"/>
        <v>81632653.06122449</v>
      </c>
    </row>
    <row r="322" spans="1:27">
      <c r="A322">
        <v>320</v>
      </c>
      <c r="B322">
        <v>9.0000000000000004E+24</v>
      </c>
      <c r="D322" s="18">
        <v>320</v>
      </c>
      <c r="E322" s="18" cm="1">
        <f t="array" aca="1" ref="E322" ca="1">INDIRECT("b"&amp;F322+2)</f>
        <v>6.1749999999999997E+43</v>
      </c>
      <c r="F322" s="18">
        <f t="shared" si="27"/>
        <v>825</v>
      </c>
      <c r="G322" s="18"/>
      <c r="H322" s="18"/>
      <c r="I322" s="19">
        <v>320</v>
      </c>
      <c r="J322" s="19" cm="1">
        <f t="array" aca="1" ref="J322" ca="1">INDIRECT("b"&amp;K322+2)</f>
        <v>6.1749999999999998E+72</v>
      </c>
      <c r="K322" s="19">
        <f t="shared" si="26"/>
        <v>2025</v>
      </c>
      <c r="N322" s="18">
        <v>883</v>
      </c>
      <c r="O322" s="18"/>
      <c r="P322" s="2" cm="1">
        <f t="array" aca="1" ref="P322" ca="1">INDIRECT("b" &amp; (N322+2))</f>
        <v>1.225E+45</v>
      </c>
      <c r="Q322" s="5">
        <f t="shared" ca="1" si="24"/>
        <v>100000000</v>
      </c>
      <c r="S322" s="18">
        <v>443</v>
      </c>
      <c r="T322" s="18"/>
      <c r="U322" s="2" cm="1">
        <f t="array" aca="1" ref="U322" ca="1">INDIRECT("d" &amp; (S322+2))</f>
        <v>443</v>
      </c>
      <c r="V322" s="5">
        <f t="shared" ref="V322:V385" ca="1" si="28">U322/U$2</f>
        <v>3.6016260162601625</v>
      </c>
      <c r="W322">
        <v>320</v>
      </c>
      <c r="X322" s="18">
        <v>883</v>
      </c>
      <c r="Y322" s="18"/>
      <c r="Z322" s="2" cm="1">
        <f t="array" aca="1" ref="Z322" ca="1">INDIRECT("b" &amp; (X322+2))</f>
        <v>1.225E+45</v>
      </c>
      <c r="AA322" s="5">
        <f t="shared" ca="1" si="25"/>
        <v>100000000</v>
      </c>
    </row>
    <row r="323" spans="1:27">
      <c r="A323">
        <v>321</v>
      </c>
      <c r="B323">
        <v>9.5000000000000001E+24</v>
      </c>
      <c r="D323" s="18">
        <v>321</v>
      </c>
      <c r="E323" s="18" cm="1">
        <f t="array" aca="1" ref="E323" ca="1">INDIRECT("b"&amp;F323+2)</f>
        <v>6.3999999999999993E+43</v>
      </c>
      <c r="F323" s="18">
        <f t="shared" si="27"/>
        <v>826</v>
      </c>
      <c r="G323" s="18"/>
      <c r="H323" s="18"/>
      <c r="I323" s="19">
        <v>321</v>
      </c>
      <c r="J323" s="19" cm="1">
        <f t="array" aca="1" ref="J323" ca="1">INDIRECT("b"&amp;K323+2)</f>
        <v>6.4000000000000003E+72</v>
      </c>
      <c r="K323" s="19">
        <f t="shared" si="26"/>
        <v>2026</v>
      </c>
      <c r="N323" s="18">
        <v>884</v>
      </c>
      <c r="O323" s="18"/>
      <c r="P323" s="2" cm="1">
        <f t="array" aca="1" ref="P323" ca="1">INDIRECT("b" &amp; (N323+2))</f>
        <v>1.4499999999999999E+45</v>
      </c>
      <c r="Q323" s="5">
        <f t="shared" ref="Q323:Q386" ca="1" si="29">P323/$P$2</f>
        <v>118367346.93877549</v>
      </c>
      <c r="S323" s="18">
        <v>444</v>
      </c>
      <c r="T323" s="18"/>
      <c r="U323" s="2" cm="1">
        <f t="array" aca="1" ref="U323" ca="1">INDIRECT("d" &amp; (S323+2))</f>
        <v>444</v>
      </c>
      <c r="V323" s="5">
        <f t="shared" ca="1" si="28"/>
        <v>3.6097560975609757</v>
      </c>
      <c r="W323">
        <v>321</v>
      </c>
      <c r="X323" s="18">
        <v>884</v>
      </c>
      <c r="Y323" s="18"/>
      <c r="Z323" s="2" cm="1">
        <f t="array" aca="1" ref="Z323" ca="1">INDIRECT("b" &amp; (X323+2))</f>
        <v>1.4499999999999999E+45</v>
      </c>
      <c r="AA323" s="5">
        <f t="shared" ref="AA323:AA386" ca="1" si="30">Z323/$P$2</f>
        <v>118367346.93877549</v>
      </c>
    </row>
    <row r="324" spans="1:27">
      <c r="A324">
        <v>322</v>
      </c>
      <c r="B324">
        <v>9.9999999999999988E+24</v>
      </c>
      <c r="D324" s="18">
        <v>322</v>
      </c>
      <c r="E324" s="18" cm="1">
        <f t="array" aca="1" ref="E324" ca="1">INDIRECT("b"&amp;F324+2)</f>
        <v>6.8500000000000005E+43</v>
      </c>
      <c r="F324" s="18">
        <f t="shared" si="27"/>
        <v>828</v>
      </c>
      <c r="G324" s="18"/>
      <c r="H324" s="18"/>
      <c r="I324" s="19">
        <v>322</v>
      </c>
      <c r="J324" s="19" cm="1">
        <f t="array" aca="1" ref="J324" ca="1">INDIRECT("b"&amp;K324+2)</f>
        <v>6.8500000000000004E+72</v>
      </c>
      <c r="K324" s="19">
        <f t="shared" ref="K324:K387" si="31">INT((A324-1)*40/30+900*40/30)+400</f>
        <v>2028</v>
      </c>
      <c r="N324" s="18">
        <v>885</v>
      </c>
      <c r="O324" s="18"/>
      <c r="P324" s="2" cm="1">
        <f t="array" aca="1" ref="P324" ca="1">INDIRECT("b" &amp; (N324+2))</f>
        <v>1.675E+45</v>
      </c>
      <c r="Q324" s="5">
        <f t="shared" ca="1" si="29"/>
        <v>136734693.87755102</v>
      </c>
      <c r="S324" s="18">
        <v>445</v>
      </c>
      <c r="T324" s="18"/>
      <c r="U324" s="2" cm="1">
        <f t="array" aca="1" ref="U324" ca="1">INDIRECT("d" &amp; (S324+2))</f>
        <v>445</v>
      </c>
      <c r="V324" s="5">
        <f t="shared" ca="1" si="28"/>
        <v>3.6178861788617884</v>
      </c>
      <c r="W324">
        <v>322</v>
      </c>
      <c r="X324" s="18">
        <v>885</v>
      </c>
      <c r="Y324" s="18"/>
      <c r="Z324" s="2" cm="1">
        <f t="array" aca="1" ref="Z324" ca="1">INDIRECT("b" &amp; (X324+2))</f>
        <v>1.675E+45</v>
      </c>
      <c r="AA324" s="5">
        <f t="shared" ca="1" si="30"/>
        <v>136734693.87755102</v>
      </c>
    </row>
    <row r="325" spans="1:27">
      <c r="A325">
        <v>323</v>
      </c>
      <c r="B325">
        <v>1.05E+25</v>
      </c>
      <c r="D325" s="18">
        <v>323</v>
      </c>
      <c r="E325" s="18" cm="1">
        <f t="array" aca="1" ref="E325" ca="1">INDIRECT("b"&amp;F325+2)</f>
        <v>7.0749999999999991E+43</v>
      </c>
      <c r="F325" s="18">
        <f t="shared" si="27"/>
        <v>829</v>
      </c>
      <c r="G325" s="18"/>
      <c r="H325" s="18"/>
      <c r="I325" s="19">
        <v>323</v>
      </c>
      <c r="J325" s="19" cm="1">
        <f t="array" aca="1" ref="J325" ca="1">INDIRECT("b"&amp;K325+2)</f>
        <v>7.0750000000000001E+72</v>
      </c>
      <c r="K325" s="19">
        <f t="shared" si="31"/>
        <v>2029</v>
      </c>
      <c r="N325" s="18">
        <v>886</v>
      </c>
      <c r="O325" s="18"/>
      <c r="P325" s="2" cm="1">
        <f t="array" aca="1" ref="P325" ca="1">INDIRECT("b" &amp; (N325+2))</f>
        <v>1.9000000000000004E+45</v>
      </c>
      <c r="Q325" s="5">
        <f t="shared" ca="1" si="29"/>
        <v>155102040.81632656</v>
      </c>
      <c r="S325" s="18">
        <v>446</v>
      </c>
      <c r="T325" s="18"/>
      <c r="U325" s="2" cm="1">
        <f t="array" aca="1" ref="U325" ca="1">INDIRECT("d" &amp; (S325+2))</f>
        <v>446</v>
      </c>
      <c r="V325" s="5">
        <f t="shared" ca="1" si="28"/>
        <v>3.6260162601626016</v>
      </c>
      <c r="W325">
        <v>323</v>
      </c>
      <c r="X325" s="18">
        <v>886</v>
      </c>
      <c r="Y325" s="18"/>
      <c r="Z325" s="2" cm="1">
        <f t="array" aca="1" ref="Z325" ca="1">INDIRECT("b" &amp; (X325+2))</f>
        <v>1.9000000000000004E+45</v>
      </c>
      <c r="AA325" s="5">
        <f t="shared" ca="1" si="30"/>
        <v>155102040.81632656</v>
      </c>
    </row>
    <row r="326" spans="1:27">
      <c r="A326">
        <v>324</v>
      </c>
      <c r="B326">
        <v>1.1E+25</v>
      </c>
      <c r="D326" s="18">
        <v>324</v>
      </c>
      <c r="E326" s="18" cm="1">
        <f t="array" aca="1" ref="E326" ca="1">INDIRECT("b"&amp;F326+2)</f>
        <v>7.3000000000000007E+43</v>
      </c>
      <c r="F326" s="18">
        <f t="shared" si="27"/>
        <v>830</v>
      </c>
      <c r="G326" s="18"/>
      <c r="H326" s="18"/>
      <c r="I326" s="19">
        <v>324</v>
      </c>
      <c r="J326" s="19" cm="1">
        <f t="array" aca="1" ref="J326" ca="1">INDIRECT("b"&amp;K326+2)</f>
        <v>7.3000000000000006E+72</v>
      </c>
      <c r="K326" s="19">
        <f t="shared" si="31"/>
        <v>2030</v>
      </c>
      <c r="N326" s="18">
        <v>887</v>
      </c>
      <c r="O326" s="18"/>
      <c r="P326" s="2" cm="1">
        <f t="array" aca="1" ref="P326" ca="1">INDIRECT("b" &amp; (N326+2))</f>
        <v>2.1249999999999999E+45</v>
      </c>
      <c r="Q326" s="5">
        <f t="shared" ca="1" si="29"/>
        <v>173469387.75510201</v>
      </c>
      <c r="S326" s="18">
        <v>447</v>
      </c>
      <c r="T326" s="18"/>
      <c r="U326" s="2" cm="1">
        <f t="array" aca="1" ref="U326" ca="1">INDIRECT("d" &amp; (S326+2))</f>
        <v>447</v>
      </c>
      <c r="V326" s="5">
        <f t="shared" ca="1" si="28"/>
        <v>3.6341463414634148</v>
      </c>
      <c r="W326">
        <v>324</v>
      </c>
      <c r="X326" s="18">
        <v>887</v>
      </c>
      <c r="Y326" s="18"/>
      <c r="Z326" s="2" cm="1">
        <f t="array" aca="1" ref="Z326" ca="1">INDIRECT("b" &amp; (X326+2))</f>
        <v>2.1249999999999999E+45</v>
      </c>
      <c r="AA326" s="5">
        <f t="shared" ca="1" si="30"/>
        <v>173469387.75510201</v>
      </c>
    </row>
    <row r="327" spans="1:27">
      <c r="A327">
        <v>325</v>
      </c>
      <c r="B327">
        <v>1.5E+25</v>
      </c>
      <c r="D327" s="18">
        <v>325</v>
      </c>
      <c r="E327" s="18" cm="1">
        <f t="array" aca="1" ref="E327" ca="1">INDIRECT("b"&amp;F327+2)</f>
        <v>7.7500000000000009E+43</v>
      </c>
      <c r="F327" s="18">
        <f t="shared" si="27"/>
        <v>832</v>
      </c>
      <c r="G327" s="18"/>
      <c r="H327" s="18"/>
      <c r="I327" s="19">
        <v>325</v>
      </c>
      <c r="J327" s="19" cm="1">
        <f t="array" aca="1" ref="J327" ca="1">INDIRECT("b"&amp;K327+2)</f>
        <v>7.7499999999999999E+72</v>
      </c>
      <c r="K327" s="19">
        <f t="shared" si="31"/>
        <v>2032</v>
      </c>
      <c r="N327" s="18">
        <v>888</v>
      </c>
      <c r="O327" s="18"/>
      <c r="P327" s="2" cm="1">
        <f t="array" aca="1" ref="P327" ca="1">INDIRECT("b" &amp; (N327+2))</f>
        <v>2.3500000000000003E+45</v>
      </c>
      <c r="Q327" s="5">
        <f t="shared" ca="1" si="29"/>
        <v>191836734.69387755</v>
      </c>
      <c r="S327" s="18">
        <v>448</v>
      </c>
      <c r="T327" s="18"/>
      <c r="U327" s="2" cm="1">
        <f t="array" aca="1" ref="U327" ca="1">INDIRECT("d" &amp; (S327+2))</f>
        <v>448</v>
      </c>
      <c r="V327" s="5">
        <f t="shared" ca="1" si="28"/>
        <v>3.6422764227642275</v>
      </c>
      <c r="W327">
        <v>325</v>
      </c>
      <c r="X327" s="18">
        <v>888</v>
      </c>
      <c r="Y327" s="18"/>
      <c r="Z327" s="2" cm="1">
        <f t="array" aca="1" ref="Z327" ca="1">INDIRECT("b" &amp; (X327+2))</f>
        <v>2.3500000000000003E+45</v>
      </c>
      <c r="AA327" s="5">
        <f t="shared" ca="1" si="30"/>
        <v>191836734.69387755</v>
      </c>
    </row>
    <row r="328" spans="1:27">
      <c r="A328">
        <v>326</v>
      </c>
      <c r="B328">
        <v>1.9999999999999998E+25</v>
      </c>
      <c r="D328" s="18">
        <v>326</v>
      </c>
      <c r="E328" s="18" cm="1">
        <f t="array" aca="1" ref="E328" ca="1">INDIRECT("b"&amp;F328+2)</f>
        <v>7.9750000000000005E+43</v>
      </c>
      <c r="F328" s="18">
        <f t="shared" si="27"/>
        <v>833</v>
      </c>
      <c r="G328" s="18"/>
      <c r="H328" s="18"/>
      <c r="I328" s="19">
        <v>326</v>
      </c>
      <c r="J328" s="19" cm="1">
        <f t="array" aca="1" ref="J328" ca="1">INDIRECT("b"&amp;K328+2)</f>
        <v>7.9750000000000004E+72</v>
      </c>
      <c r="K328" s="19">
        <f t="shared" si="31"/>
        <v>2033</v>
      </c>
      <c r="N328" s="18">
        <v>889</v>
      </c>
      <c r="O328" s="18"/>
      <c r="P328" s="2" cm="1">
        <f t="array" aca="1" ref="P328" ca="1">INDIRECT("b" &amp; (N328+2))</f>
        <v>2.5749999999999998E+45</v>
      </c>
      <c r="Q328" s="5">
        <f t="shared" ca="1" si="29"/>
        <v>210204081.63265303</v>
      </c>
      <c r="S328" s="18">
        <v>449</v>
      </c>
      <c r="T328" s="18"/>
      <c r="U328" s="2" cm="1">
        <f t="array" aca="1" ref="U328" ca="1">INDIRECT("d" &amp; (S328+2))</f>
        <v>449</v>
      </c>
      <c r="V328" s="5">
        <f t="shared" ca="1" si="28"/>
        <v>3.6504065040650406</v>
      </c>
      <c r="W328">
        <v>326</v>
      </c>
      <c r="X328" s="18">
        <v>889</v>
      </c>
      <c r="Y328" s="18"/>
      <c r="Z328" s="2" cm="1">
        <f t="array" aca="1" ref="Z328" ca="1">INDIRECT("b" &amp; (X328+2))</f>
        <v>2.5749999999999998E+45</v>
      </c>
      <c r="AA328" s="5">
        <f t="shared" ca="1" si="30"/>
        <v>210204081.63265303</v>
      </c>
    </row>
    <row r="329" spans="1:27">
      <c r="A329">
        <v>327</v>
      </c>
      <c r="B329">
        <v>2.5000000000000001E+25</v>
      </c>
      <c r="D329" s="18">
        <v>327</v>
      </c>
      <c r="E329" s="18" cm="1">
        <f t="array" aca="1" ref="E329" ca="1">INDIRECT("b"&amp;F329+2)</f>
        <v>8.1999999999999991E+43</v>
      </c>
      <c r="F329" s="18">
        <f t="shared" si="27"/>
        <v>834</v>
      </c>
      <c r="G329" s="18"/>
      <c r="H329" s="18"/>
      <c r="I329" s="19">
        <v>327</v>
      </c>
      <c r="J329" s="19" cm="1">
        <f t="array" aca="1" ref="J329" ca="1">INDIRECT("b"&amp;K329+2)</f>
        <v>8.2000000000000008E+72</v>
      </c>
      <c r="K329" s="19">
        <f t="shared" si="31"/>
        <v>2034</v>
      </c>
      <c r="N329" s="18">
        <v>890</v>
      </c>
      <c r="O329" s="18"/>
      <c r="P329" s="2" cm="1">
        <f t="array" aca="1" ref="P329" ca="1">INDIRECT("b" &amp; (N329+2))</f>
        <v>2.8000000000000002E+45</v>
      </c>
      <c r="Q329" s="5">
        <f t="shared" ca="1" si="29"/>
        <v>228571428.57142857</v>
      </c>
      <c r="S329" s="18">
        <v>450</v>
      </c>
      <c r="T329" s="18"/>
      <c r="U329" s="2" cm="1">
        <f t="array" aca="1" ref="U329" ca="1">INDIRECT("d" &amp; (S329+2))</f>
        <v>450</v>
      </c>
      <c r="V329" s="5">
        <f t="shared" ca="1" si="28"/>
        <v>3.6585365853658538</v>
      </c>
      <c r="W329">
        <v>327</v>
      </c>
      <c r="X329" s="18">
        <v>890</v>
      </c>
      <c r="Y329" s="18"/>
      <c r="Z329" s="2" cm="1">
        <f t="array" aca="1" ref="Z329" ca="1">INDIRECT("b" &amp; (X329+2))</f>
        <v>2.8000000000000002E+45</v>
      </c>
      <c r="AA329" s="5">
        <f t="shared" ca="1" si="30"/>
        <v>228571428.57142857</v>
      </c>
    </row>
    <row r="330" spans="1:27">
      <c r="A330">
        <v>328</v>
      </c>
      <c r="B330">
        <v>3.0000000000000001E+25</v>
      </c>
      <c r="D330" s="18">
        <v>328</v>
      </c>
      <c r="E330" s="18" cm="1">
        <f t="array" aca="1" ref="E330" ca="1">INDIRECT("b"&amp;F330+2)</f>
        <v>8.6499999999999993E+43</v>
      </c>
      <c r="F330" s="18">
        <f t="shared" si="27"/>
        <v>836</v>
      </c>
      <c r="G330" s="18"/>
      <c r="H330" s="18"/>
      <c r="I330" s="19">
        <v>328</v>
      </c>
      <c r="J330" s="19" cm="1">
        <f t="array" aca="1" ref="J330" ca="1">INDIRECT("b"&amp;K330+2)</f>
        <v>8.6500000000000002E+72</v>
      </c>
      <c r="K330" s="19">
        <f t="shared" si="31"/>
        <v>2036</v>
      </c>
      <c r="N330" s="18">
        <v>891</v>
      </c>
      <c r="O330" s="18"/>
      <c r="P330" s="2" cm="1">
        <f t="array" aca="1" ref="P330" ca="1">INDIRECT("b" &amp; (N330+2))</f>
        <v>3.0250000000000004E+45</v>
      </c>
      <c r="Q330" s="5">
        <f t="shared" ca="1" si="29"/>
        <v>246938775.51020408</v>
      </c>
      <c r="S330" s="18">
        <v>451</v>
      </c>
      <c r="T330" s="18"/>
      <c r="U330" s="2" cm="1">
        <f t="array" aca="1" ref="U330" ca="1">INDIRECT("d" &amp; (S330+2))</f>
        <v>451</v>
      </c>
      <c r="V330" s="5">
        <f t="shared" ca="1" si="28"/>
        <v>3.6666666666666665</v>
      </c>
      <c r="W330">
        <v>328</v>
      </c>
      <c r="X330" s="18">
        <v>891</v>
      </c>
      <c r="Y330" s="18"/>
      <c r="Z330" s="2" cm="1">
        <f t="array" aca="1" ref="Z330" ca="1">INDIRECT("b" &amp; (X330+2))</f>
        <v>3.0250000000000004E+45</v>
      </c>
      <c r="AA330" s="5">
        <f t="shared" ca="1" si="30"/>
        <v>246938775.51020408</v>
      </c>
    </row>
    <row r="331" spans="1:27">
      <c r="A331">
        <v>329</v>
      </c>
      <c r="B331">
        <v>3.5000000000000004E+25</v>
      </c>
      <c r="D331" s="18">
        <v>329</v>
      </c>
      <c r="E331" s="18" cm="1">
        <f t="array" aca="1" ref="E331" ca="1">INDIRECT("b"&amp;F331+2)</f>
        <v>8.8749999999999989E+43</v>
      </c>
      <c r="F331" s="18">
        <f t="shared" si="27"/>
        <v>837</v>
      </c>
      <c r="G331" s="18"/>
      <c r="H331" s="18"/>
      <c r="I331" s="19">
        <v>329</v>
      </c>
      <c r="J331" s="19" cm="1">
        <f t="array" aca="1" ref="J331" ca="1">INDIRECT("b"&amp;K331+2)</f>
        <v>8.8750000000000007E+72</v>
      </c>
      <c r="K331" s="19">
        <f t="shared" si="31"/>
        <v>2037</v>
      </c>
      <c r="N331" s="18">
        <v>892</v>
      </c>
      <c r="O331" s="18"/>
      <c r="P331" s="2" cm="1">
        <f t="array" aca="1" ref="P331" ca="1">INDIRECT("b" &amp; (N331+2))</f>
        <v>3.2499999999999995E+45</v>
      </c>
      <c r="Q331" s="5">
        <f t="shared" ca="1" si="29"/>
        <v>265306122.44897953</v>
      </c>
      <c r="S331" s="18">
        <v>452</v>
      </c>
      <c r="T331" s="18"/>
      <c r="U331" s="2" cm="1">
        <f t="array" aca="1" ref="U331" ca="1">INDIRECT("d" &amp; (S331+2))</f>
        <v>452</v>
      </c>
      <c r="V331" s="5">
        <f t="shared" ca="1" si="28"/>
        <v>3.6747967479674797</v>
      </c>
      <c r="W331">
        <v>329</v>
      </c>
      <c r="X331" s="18">
        <v>892</v>
      </c>
      <c r="Y331" s="18"/>
      <c r="Z331" s="2" cm="1">
        <f t="array" aca="1" ref="Z331" ca="1">INDIRECT("b" &amp; (X331+2))</f>
        <v>3.2499999999999995E+45</v>
      </c>
      <c r="AA331" s="5">
        <f t="shared" ca="1" si="30"/>
        <v>265306122.44897953</v>
      </c>
    </row>
    <row r="332" spans="1:27">
      <c r="A332">
        <v>330</v>
      </c>
      <c r="B332">
        <v>3.9999999999999995E+25</v>
      </c>
      <c r="D332" s="18">
        <v>330</v>
      </c>
      <c r="E332" s="18" cm="1">
        <f t="array" aca="1" ref="E332" ca="1">INDIRECT("b"&amp;F332+2)</f>
        <v>9.0999999999999985E+43</v>
      </c>
      <c r="F332" s="18">
        <f t="shared" si="27"/>
        <v>838</v>
      </c>
      <c r="G332" s="18"/>
      <c r="H332" s="18"/>
      <c r="I332" s="19">
        <v>330</v>
      </c>
      <c r="J332" s="19" cm="1">
        <f t="array" aca="1" ref="J332" ca="1">INDIRECT("b"&amp;K332+2)</f>
        <v>9.0999999999999995E+72</v>
      </c>
      <c r="K332" s="19">
        <f t="shared" si="31"/>
        <v>2038</v>
      </c>
      <c r="N332" s="18">
        <v>893</v>
      </c>
      <c r="O332" s="18"/>
      <c r="P332" s="2" cm="1">
        <f t="array" aca="1" ref="P332" ca="1">INDIRECT("b" &amp; (N332+2))</f>
        <v>3.475E+45</v>
      </c>
      <c r="Q332" s="5">
        <f t="shared" ca="1" si="29"/>
        <v>283673469.3877551</v>
      </c>
      <c r="S332" s="18">
        <v>453</v>
      </c>
      <c r="T332" s="18"/>
      <c r="U332" s="2" cm="1">
        <f t="array" aca="1" ref="U332" ca="1">INDIRECT("d" &amp; (S332+2))</f>
        <v>453</v>
      </c>
      <c r="V332" s="5">
        <f t="shared" ca="1" si="28"/>
        <v>3.6829268292682928</v>
      </c>
      <c r="W332">
        <v>330</v>
      </c>
      <c r="X332" s="18">
        <v>893</v>
      </c>
      <c r="Y332" s="18"/>
      <c r="Z332" s="2" cm="1">
        <f t="array" aca="1" ref="Z332" ca="1">INDIRECT("b" &amp; (X332+2))</f>
        <v>3.475E+45</v>
      </c>
      <c r="AA332" s="5">
        <f t="shared" ca="1" si="30"/>
        <v>283673469.3877551</v>
      </c>
    </row>
    <row r="333" spans="1:27">
      <c r="A333">
        <v>331</v>
      </c>
      <c r="B333">
        <v>4.5000000000000003E+25</v>
      </c>
      <c r="D333" s="18">
        <v>331</v>
      </c>
      <c r="E333" s="18" cm="1">
        <f t="array" aca="1" ref="E333" ca="1">INDIRECT("b"&amp;F333+2)</f>
        <v>9.5499999999999997E+43</v>
      </c>
      <c r="F333" s="18">
        <f t="shared" si="27"/>
        <v>840</v>
      </c>
      <c r="G333" s="18"/>
      <c r="H333" s="18"/>
      <c r="I333" s="19">
        <v>331</v>
      </c>
      <c r="J333" s="19" cm="1">
        <f t="array" aca="1" ref="J333" ca="1">INDIRECT("b"&amp;K333+2)</f>
        <v>9.5500000000000005E+72</v>
      </c>
      <c r="K333" s="19">
        <f t="shared" si="31"/>
        <v>2040</v>
      </c>
      <c r="N333" s="18">
        <v>894</v>
      </c>
      <c r="O333" s="18"/>
      <c r="P333" s="2" cm="1">
        <f t="array" aca="1" ref="P333" ca="1">INDIRECT("b" &amp; (N333+2))</f>
        <v>3.6999999999999998E+45</v>
      </c>
      <c r="Q333" s="5">
        <f t="shared" ca="1" si="29"/>
        <v>302040816.32653058</v>
      </c>
      <c r="S333" s="18">
        <v>454</v>
      </c>
      <c r="T333" s="18"/>
      <c r="U333" s="2" cm="1">
        <f t="array" aca="1" ref="U333" ca="1">INDIRECT("d" &amp; (S333+2))</f>
        <v>454</v>
      </c>
      <c r="V333" s="5">
        <f t="shared" ca="1" si="28"/>
        <v>3.6910569105691056</v>
      </c>
      <c r="W333">
        <v>331</v>
      </c>
      <c r="X333" s="18">
        <v>894</v>
      </c>
      <c r="Y333" s="18"/>
      <c r="Z333" s="2" cm="1">
        <f t="array" aca="1" ref="Z333" ca="1">INDIRECT("b" &amp; (X333+2))</f>
        <v>3.6999999999999998E+45</v>
      </c>
      <c r="AA333" s="5">
        <f t="shared" ca="1" si="30"/>
        <v>302040816.32653058</v>
      </c>
    </row>
    <row r="334" spans="1:27">
      <c r="A334">
        <v>332</v>
      </c>
      <c r="B334">
        <v>5.0000000000000002E+25</v>
      </c>
      <c r="D334" s="18">
        <v>332</v>
      </c>
      <c r="E334" s="18" cm="1">
        <f t="array" aca="1" ref="E334" ca="1">INDIRECT("b"&amp;F334+2)</f>
        <v>9.7749999999999983E+43</v>
      </c>
      <c r="F334" s="18">
        <f t="shared" si="27"/>
        <v>841</v>
      </c>
      <c r="G334" s="18"/>
      <c r="H334" s="18"/>
      <c r="I334" s="19">
        <v>332</v>
      </c>
      <c r="J334" s="19" cm="1">
        <f t="array" aca="1" ref="J334" ca="1">INDIRECT("b"&amp;K334+2)</f>
        <v>9.7750000000000009E+72</v>
      </c>
      <c r="K334" s="19">
        <f t="shared" si="31"/>
        <v>2041</v>
      </c>
      <c r="N334" s="18">
        <v>895</v>
      </c>
      <c r="O334" s="18"/>
      <c r="P334" s="2" cm="1">
        <f t="array" aca="1" ref="P334" ca="1">INDIRECT("b" &amp; (N334+2))</f>
        <v>3.9250000000000002E+45</v>
      </c>
      <c r="Q334" s="5">
        <f t="shared" ca="1" si="29"/>
        <v>320408163.26530612</v>
      </c>
      <c r="S334" s="18">
        <v>455</v>
      </c>
      <c r="T334" s="18"/>
      <c r="U334" s="2" cm="1">
        <f t="array" aca="1" ref="U334" ca="1">INDIRECT("d" &amp; (S334+2))</f>
        <v>455</v>
      </c>
      <c r="V334" s="5">
        <f t="shared" ca="1" si="28"/>
        <v>3.6991869918699187</v>
      </c>
      <c r="W334">
        <v>332</v>
      </c>
      <c r="X334" s="18">
        <v>895</v>
      </c>
      <c r="Y334" s="18"/>
      <c r="Z334" s="2" cm="1">
        <f t="array" aca="1" ref="Z334" ca="1">INDIRECT("b" &amp; (X334+2))</f>
        <v>3.9250000000000002E+45</v>
      </c>
      <c r="AA334" s="5">
        <f t="shared" ca="1" si="30"/>
        <v>320408163.26530612</v>
      </c>
    </row>
    <row r="335" spans="1:27">
      <c r="A335">
        <v>333</v>
      </c>
      <c r="B335">
        <v>5.5000000000000002E+25</v>
      </c>
      <c r="D335" s="18">
        <v>333</v>
      </c>
      <c r="E335" s="18" cm="1">
        <f t="array" aca="1" ref="E335" ca="1">INDIRECT("b"&amp;F335+2)</f>
        <v>1.0000000000000001E+44</v>
      </c>
      <c r="F335" s="18">
        <f t="shared" si="27"/>
        <v>842</v>
      </c>
      <c r="G335" s="18"/>
      <c r="H335" s="18"/>
      <c r="I335" s="19">
        <v>333</v>
      </c>
      <c r="J335" s="19" cm="1">
        <f t="array" aca="1" ref="J335" ca="1">INDIRECT("b"&amp;K335+2)</f>
        <v>9.9999999999999998E+72</v>
      </c>
      <c r="K335" s="19">
        <f t="shared" si="31"/>
        <v>2042</v>
      </c>
      <c r="N335" s="18">
        <v>896</v>
      </c>
      <c r="O335" s="18"/>
      <c r="P335" s="2" cm="1">
        <f t="array" aca="1" ref="P335" ca="1">INDIRECT("b" &amp; (N335+2))</f>
        <v>4.1500000000000006E+45</v>
      </c>
      <c r="Q335" s="5">
        <f t="shared" ca="1" si="29"/>
        <v>338775510.20408165</v>
      </c>
      <c r="S335" s="18">
        <v>456</v>
      </c>
      <c r="T335" s="18"/>
      <c r="U335" s="2" cm="1">
        <f t="array" aca="1" ref="U335" ca="1">INDIRECT("d" &amp; (S335+2))</f>
        <v>456</v>
      </c>
      <c r="V335" s="5">
        <f t="shared" ca="1" si="28"/>
        <v>3.7073170731707319</v>
      </c>
      <c r="W335">
        <v>333</v>
      </c>
      <c r="X335" s="18">
        <v>896</v>
      </c>
      <c r="Y335" s="18"/>
      <c r="Z335" s="2" cm="1">
        <f t="array" aca="1" ref="Z335" ca="1">INDIRECT("b" &amp; (X335+2))</f>
        <v>4.1500000000000006E+45</v>
      </c>
      <c r="AA335" s="5">
        <f t="shared" ca="1" si="30"/>
        <v>338775510.20408165</v>
      </c>
    </row>
    <row r="336" spans="1:27">
      <c r="A336">
        <v>334</v>
      </c>
      <c r="B336">
        <v>6.0000000000000001E+25</v>
      </c>
      <c r="D336" s="18">
        <v>334</v>
      </c>
      <c r="E336" s="18" cm="1">
        <f t="array" aca="1" ref="E336" ca="1">INDIRECT("b"&amp;F336+2)</f>
        <v>1.4499999999999999E+44</v>
      </c>
      <c r="F336" s="18">
        <f t="shared" si="27"/>
        <v>844</v>
      </c>
      <c r="G336" s="18"/>
      <c r="H336" s="18"/>
      <c r="I336" s="19">
        <v>334</v>
      </c>
      <c r="J336" s="19" cm="1">
        <f t="array" aca="1" ref="J336" ca="1">INDIRECT("b"&amp;K336+2)</f>
        <v>1.4500000000000001E+73</v>
      </c>
      <c r="K336" s="19">
        <f t="shared" si="31"/>
        <v>2044</v>
      </c>
      <c r="N336" s="18">
        <v>897</v>
      </c>
      <c r="O336" s="18"/>
      <c r="P336" s="2" cm="1">
        <f t="array" aca="1" ref="P336" ca="1">INDIRECT("b" &amp; (N336+2))</f>
        <v>4.3749999999999998E+45</v>
      </c>
      <c r="Q336" s="5">
        <f t="shared" ca="1" si="29"/>
        <v>357142857.14285707</v>
      </c>
      <c r="S336" s="18">
        <v>457</v>
      </c>
      <c r="T336" s="18"/>
      <c r="U336" s="2" cm="1">
        <f t="array" aca="1" ref="U336" ca="1">INDIRECT("d" &amp; (S336+2))</f>
        <v>457</v>
      </c>
      <c r="V336" s="5">
        <f t="shared" ca="1" si="28"/>
        <v>3.7154471544715446</v>
      </c>
      <c r="W336">
        <v>334</v>
      </c>
      <c r="X336" s="18">
        <v>897</v>
      </c>
      <c r="Y336" s="18"/>
      <c r="Z336" s="2" cm="1">
        <f t="array" aca="1" ref="Z336" ca="1">INDIRECT("b" &amp; (X336+2))</f>
        <v>4.3749999999999998E+45</v>
      </c>
      <c r="AA336" s="5">
        <f t="shared" ca="1" si="30"/>
        <v>357142857.14285707</v>
      </c>
    </row>
    <row r="337" spans="1:27">
      <c r="A337">
        <v>335</v>
      </c>
      <c r="B337">
        <v>6.4999999999999992E+25</v>
      </c>
      <c r="D337" s="18">
        <v>335</v>
      </c>
      <c r="E337" s="18" cm="1">
        <f t="array" aca="1" ref="E337" ca="1">INDIRECT("b"&amp;F337+2)</f>
        <v>1.6750000000000001E+44</v>
      </c>
      <c r="F337" s="18">
        <f t="shared" si="27"/>
        <v>845</v>
      </c>
      <c r="G337" s="18"/>
      <c r="H337" s="18"/>
      <c r="I337" s="19">
        <v>335</v>
      </c>
      <c r="J337" s="19" cm="1">
        <f t="array" aca="1" ref="J337" ca="1">INDIRECT("b"&amp;K337+2)</f>
        <v>1.675E+73</v>
      </c>
      <c r="K337" s="19">
        <f t="shared" si="31"/>
        <v>2045</v>
      </c>
      <c r="N337" s="18">
        <v>898</v>
      </c>
      <c r="O337" s="18"/>
      <c r="P337" s="2" cm="1">
        <f t="array" aca="1" ref="P337" ca="1">INDIRECT("b" &amp; (N337+2))</f>
        <v>4.5999999999999996E+45</v>
      </c>
      <c r="Q337" s="5">
        <f t="shared" ca="1" si="29"/>
        <v>375510204.08163261</v>
      </c>
      <c r="S337" s="18">
        <v>458</v>
      </c>
      <c r="T337" s="18"/>
      <c r="U337" s="2" cm="1">
        <f t="array" aca="1" ref="U337" ca="1">INDIRECT("d" &amp; (S337+2))</f>
        <v>458</v>
      </c>
      <c r="V337" s="5">
        <f t="shared" ca="1" si="28"/>
        <v>3.7235772357723578</v>
      </c>
      <c r="W337">
        <v>335</v>
      </c>
      <c r="X337" s="18">
        <v>898</v>
      </c>
      <c r="Y337" s="18"/>
      <c r="Z337" s="2" cm="1">
        <f t="array" aca="1" ref="Z337" ca="1">INDIRECT("b" &amp; (X337+2))</f>
        <v>4.5999999999999996E+45</v>
      </c>
      <c r="AA337" s="5">
        <f t="shared" ca="1" si="30"/>
        <v>375510204.08163261</v>
      </c>
    </row>
    <row r="338" spans="1:27">
      <c r="A338">
        <v>336</v>
      </c>
      <c r="B338">
        <v>7.0000000000000008E+25</v>
      </c>
      <c r="D338" s="18">
        <v>336</v>
      </c>
      <c r="E338" s="18" cm="1">
        <f t="array" aca="1" ref="E338" ca="1">INDIRECT("b"&amp;F338+2)</f>
        <v>1.9000000000000001E+44</v>
      </c>
      <c r="F338" s="18">
        <f t="shared" si="27"/>
        <v>846</v>
      </c>
      <c r="G338" s="18"/>
      <c r="H338" s="18"/>
      <c r="I338" s="19">
        <v>336</v>
      </c>
      <c r="J338" s="19" cm="1">
        <f t="array" aca="1" ref="J338" ca="1">INDIRECT("b"&amp;K338+2)</f>
        <v>1.9000000000000001E+73</v>
      </c>
      <c r="K338" s="19">
        <f t="shared" si="31"/>
        <v>2046</v>
      </c>
      <c r="N338" s="18">
        <v>899</v>
      </c>
      <c r="O338" s="18"/>
      <c r="P338" s="2" cm="1">
        <f t="array" aca="1" ref="P338" ca="1">INDIRECT("b" &amp; (N338+2))</f>
        <v>4.8250000000000007E+45</v>
      </c>
      <c r="Q338" s="5">
        <f t="shared" ca="1" si="29"/>
        <v>393877551.02040821</v>
      </c>
      <c r="S338" s="18">
        <v>459</v>
      </c>
      <c r="T338" s="18"/>
      <c r="U338" s="2" cm="1">
        <f t="array" aca="1" ref="U338" ca="1">INDIRECT("d" &amp; (S338+2))</f>
        <v>459</v>
      </c>
      <c r="V338" s="5">
        <f t="shared" ca="1" si="28"/>
        <v>3.7317073170731709</v>
      </c>
      <c r="W338">
        <v>336</v>
      </c>
      <c r="X338" s="18">
        <v>899</v>
      </c>
      <c r="Y338" s="18"/>
      <c r="Z338" s="2" cm="1">
        <f t="array" aca="1" ref="Z338" ca="1">INDIRECT("b" &amp; (X338+2))</f>
        <v>4.8250000000000007E+45</v>
      </c>
      <c r="AA338" s="5">
        <f t="shared" ca="1" si="30"/>
        <v>393877551.02040821</v>
      </c>
    </row>
    <row r="339" spans="1:27">
      <c r="A339">
        <v>337</v>
      </c>
      <c r="B339">
        <v>7.4999999999999999E+25</v>
      </c>
      <c r="D339" s="18">
        <v>337</v>
      </c>
      <c r="E339" s="18" cm="1">
        <f t="array" aca="1" ref="E339" ca="1">INDIRECT("b"&amp;F339+2)</f>
        <v>2.3500000000000001E+44</v>
      </c>
      <c r="F339" s="18">
        <f t="shared" si="27"/>
        <v>848</v>
      </c>
      <c r="G339" s="18"/>
      <c r="H339" s="18"/>
      <c r="I339" s="19">
        <v>337</v>
      </c>
      <c r="J339" s="19" cm="1">
        <f t="array" aca="1" ref="J339" ca="1">INDIRECT("b"&amp;K339+2)</f>
        <v>2.3500000000000001E+73</v>
      </c>
      <c r="K339" s="19">
        <f t="shared" si="31"/>
        <v>2048</v>
      </c>
      <c r="N339" s="18">
        <v>900</v>
      </c>
      <c r="O339" s="18"/>
      <c r="P339" s="2" cm="1">
        <f t="array" aca="1" ref="P339" ca="1">INDIRECT("b" &amp; (N339+2))</f>
        <v>5.0499999999999999E+45</v>
      </c>
      <c r="Q339" s="5">
        <f t="shared" ca="1" si="29"/>
        <v>412244897.95918363</v>
      </c>
      <c r="S339" s="18">
        <v>460</v>
      </c>
      <c r="T339" s="18"/>
      <c r="U339" s="2" cm="1">
        <f t="array" aca="1" ref="U339" ca="1">INDIRECT("d" &amp; (S339+2))</f>
        <v>460</v>
      </c>
      <c r="V339" s="5">
        <f t="shared" ca="1" si="28"/>
        <v>3.7398373983739837</v>
      </c>
      <c r="W339">
        <v>337</v>
      </c>
      <c r="X339" s="18">
        <v>900</v>
      </c>
      <c r="Y339" s="18"/>
      <c r="Z339" s="2" cm="1">
        <f t="array" aca="1" ref="Z339" ca="1">INDIRECT("b" &amp; (X339+2))</f>
        <v>5.0499999999999999E+45</v>
      </c>
      <c r="AA339" s="5">
        <f t="shared" ca="1" si="30"/>
        <v>412244897.95918363</v>
      </c>
    </row>
    <row r="340" spans="1:27">
      <c r="A340">
        <v>338</v>
      </c>
      <c r="B340">
        <v>7.999999999999999E+25</v>
      </c>
      <c r="D340" s="18">
        <v>338</v>
      </c>
      <c r="E340" s="18" cm="1">
        <f t="array" aca="1" ref="E340" ca="1">INDIRECT("b"&amp;F340+2)</f>
        <v>2.5749999999999995E+44</v>
      </c>
      <c r="F340" s="18">
        <f t="shared" si="27"/>
        <v>849</v>
      </c>
      <c r="G340" s="18"/>
      <c r="H340" s="18"/>
      <c r="I340" s="19">
        <v>338</v>
      </c>
      <c r="J340" s="19" cm="1">
        <f t="array" aca="1" ref="J340" ca="1">INDIRECT("b"&amp;K340+2)</f>
        <v>2.5749999999999999E+73</v>
      </c>
      <c r="K340" s="19">
        <f t="shared" si="31"/>
        <v>2049</v>
      </c>
      <c r="N340" s="18">
        <v>901</v>
      </c>
      <c r="O340" s="18"/>
      <c r="P340" s="2" cm="1">
        <f t="array" aca="1" ref="P340" ca="1">INDIRECT("b" &amp; (N340+2))</f>
        <v>5.2749999999999997E+45</v>
      </c>
      <c r="Q340" s="5">
        <f t="shared" ca="1" si="29"/>
        <v>430612244.89795911</v>
      </c>
      <c r="S340" s="18">
        <v>461</v>
      </c>
      <c r="T340" s="18"/>
      <c r="U340" s="2" cm="1">
        <f t="array" aca="1" ref="U340" ca="1">INDIRECT("d" &amp; (S340+2))</f>
        <v>461</v>
      </c>
      <c r="V340" s="5">
        <f t="shared" ca="1" si="28"/>
        <v>3.7479674796747968</v>
      </c>
      <c r="W340">
        <v>338</v>
      </c>
      <c r="X340" s="18">
        <v>901</v>
      </c>
      <c r="Y340" s="18"/>
      <c r="Z340" s="2" cm="1">
        <f t="array" aca="1" ref="Z340" ca="1">INDIRECT("b" &amp; (X340+2))</f>
        <v>5.2749999999999997E+45</v>
      </c>
      <c r="AA340" s="5">
        <f t="shared" ca="1" si="30"/>
        <v>430612244.89795911</v>
      </c>
    </row>
    <row r="341" spans="1:27">
      <c r="A341">
        <v>339</v>
      </c>
      <c r="B341">
        <v>8.4999999999999989E+25</v>
      </c>
      <c r="D341" s="18">
        <v>339</v>
      </c>
      <c r="E341" s="18" cm="1">
        <f t="array" aca="1" ref="E341" ca="1">INDIRECT("b"&amp;F341+2)</f>
        <v>2.8000000000000001E+44</v>
      </c>
      <c r="F341" s="18">
        <f t="shared" si="27"/>
        <v>850</v>
      </c>
      <c r="G341" s="18"/>
      <c r="H341" s="18"/>
      <c r="I341" s="19">
        <v>339</v>
      </c>
      <c r="J341" s="19" cm="1">
        <f t="array" aca="1" ref="J341" ca="1">INDIRECT("b"&amp;K341+2)</f>
        <v>2.8000000000000001E+73</v>
      </c>
      <c r="K341" s="19">
        <f t="shared" si="31"/>
        <v>2050</v>
      </c>
      <c r="N341" s="18">
        <v>902</v>
      </c>
      <c r="O341" s="18"/>
      <c r="P341" s="2" cm="1">
        <f t="array" aca="1" ref="P341" ca="1">INDIRECT("b" &amp; (N341+2))</f>
        <v>5.4999999999999995E+45</v>
      </c>
      <c r="Q341" s="5">
        <f t="shared" ca="1" si="29"/>
        <v>448979591.83673459</v>
      </c>
      <c r="S341" s="18">
        <v>462</v>
      </c>
      <c r="T341" s="18"/>
      <c r="U341" s="2" cm="1">
        <f t="array" aca="1" ref="U341" ca="1">INDIRECT("d" &amp; (S341+2))</f>
        <v>462</v>
      </c>
      <c r="V341" s="5">
        <f t="shared" ca="1" si="28"/>
        <v>3.7560975609756095</v>
      </c>
      <c r="W341">
        <v>339</v>
      </c>
      <c r="X341" s="18">
        <v>902</v>
      </c>
      <c r="Y341" s="18"/>
      <c r="Z341" s="2" cm="1">
        <f t="array" aca="1" ref="Z341" ca="1">INDIRECT("b" &amp; (X341+2))</f>
        <v>5.4999999999999995E+45</v>
      </c>
      <c r="AA341" s="5">
        <f t="shared" ca="1" si="30"/>
        <v>448979591.83673459</v>
      </c>
    </row>
    <row r="342" spans="1:27">
      <c r="A342">
        <v>340</v>
      </c>
      <c r="B342">
        <v>9.0000000000000006E+25</v>
      </c>
      <c r="D342" s="18">
        <v>340</v>
      </c>
      <c r="E342" s="18" cm="1">
        <f t="array" aca="1" ref="E342" ca="1">INDIRECT("b"&amp;F342+2)</f>
        <v>3.2499999999999997E+44</v>
      </c>
      <c r="F342" s="18">
        <f t="shared" si="27"/>
        <v>852</v>
      </c>
      <c r="G342" s="18"/>
      <c r="H342" s="18"/>
      <c r="I342" s="19">
        <v>340</v>
      </c>
      <c r="J342" s="19" cm="1">
        <f t="array" aca="1" ref="J342" ca="1">INDIRECT("b"&amp;K342+2)</f>
        <v>3.2500000000000001E+73</v>
      </c>
      <c r="K342" s="19">
        <f t="shared" si="31"/>
        <v>2052</v>
      </c>
      <c r="N342" s="18">
        <v>903</v>
      </c>
      <c r="O342" s="18"/>
      <c r="P342" s="2" cm="1">
        <f t="array" aca="1" ref="P342" ca="1">INDIRECT("b" &amp; (N342+2))</f>
        <v>5.7250000000000005E+45</v>
      </c>
      <c r="Q342" s="5">
        <f t="shared" ca="1" si="29"/>
        <v>467346938.77551019</v>
      </c>
      <c r="S342" s="18">
        <v>463</v>
      </c>
      <c r="T342" s="18"/>
      <c r="U342" s="2" cm="1">
        <f t="array" aca="1" ref="U342" ca="1">INDIRECT("d" &amp; (S342+2))</f>
        <v>463</v>
      </c>
      <c r="V342" s="5">
        <f t="shared" ca="1" si="28"/>
        <v>3.7642276422764227</v>
      </c>
      <c r="W342">
        <v>340</v>
      </c>
      <c r="X342" s="18">
        <v>903</v>
      </c>
      <c r="Y342" s="18"/>
      <c r="Z342" s="2" cm="1">
        <f t="array" aca="1" ref="Z342" ca="1">INDIRECT("b" &amp; (X342+2))</f>
        <v>5.7250000000000005E+45</v>
      </c>
      <c r="AA342" s="5">
        <f t="shared" ca="1" si="30"/>
        <v>467346938.77551019</v>
      </c>
    </row>
    <row r="343" spans="1:27">
      <c r="A343">
        <v>341</v>
      </c>
      <c r="B343">
        <v>9.5000000000000005E+25</v>
      </c>
      <c r="D343" s="18">
        <v>341</v>
      </c>
      <c r="E343" s="18" cm="1">
        <f t="array" aca="1" ref="E343" ca="1">INDIRECT("b"&amp;F343+2)</f>
        <v>3.4749999999999999E+44</v>
      </c>
      <c r="F343" s="18">
        <f t="shared" si="27"/>
        <v>853</v>
      </c>
      <c r="G343" s="18"/>
      <c r="H343" s="18"/>
      <c r="I343" s="19">
        <v>341</v>
      </c>
      <c r="J343" s="19" cm="1">
        <f t="array" aca="1" ref="J343" ca="1">INDIRECT("b"&amp;K343+2)</f>
        <v>3.4750000000000002E+73</v>
      </c>
      <c r="K343" s="19">
        <f t="shared" si="31"/>
        <v>2053</v>
      </c>
      <c r="N343" s="18">
        <v>904</v>
      </c>
      <c r="O343" s="18"/>
      <c r="P343" s="2" cm="1">
        <f t="array" aca="1" ref="P343" ca="1">INDIRECT("b" &amp; (N343+2))</f>
        <v>5.950000000000001E+45</v>
      </c>
      <c r="Q343" s="5">
        <f t="shared" ca="1" si="29"/>
        <v>485714285.71428573</v>
      </c>
      <c r="S343" s="18">
        <v>464</v>
      </c>
      <c r="T343" s="18"/>
      <c r="U343" s="2" cm="1">
        <f t="array" aca="1" ref="U343" ca="1">INDIRECT("d" &amp; (S343+2))</f>
        <v>464</v>
      </c>
      <c r="V343" s="5">
        <f t="shared" ca="1" si="28"/>
        <v>3.7723577235772359</v>
      </c>
      <c r="W343">
        <v>341</v>
      </c>
      <c r="X343" s="18">
        <v>904</v>
      </c>
      <c r="Y343" s="18"/>
      <c r="Z343" s="2" cm="1">
        <f t="array" aca="1" ref="Z343" ca="1">INDIRECT("b" &amp; (X343+2))</f>
        <v>5.950000000000001E+45</v>
      </c>
      <c r="AA343" s="5">
        <f t="shared" ca="1" si="30"/>
        <v>485714285.71428573</v>
      </c>
    </row>
    <row r="344" spans="1:27">
      <c r="A344">
        <v>342</v>
      </c>
      <c r="B344">
        <v>1E+26</v>
      </c>
      <c r="D344" s="18">
        <v>342</v>
      </c>
      <c r="E344" s="18" cm="1">
        <f t="array" aca="1" ref="E344" ca="1">INDIRECT("b"&amp;F344+2)</f>
        <v>3.7000000000000001E+44</v>
      </c>
      <c r="F344" s="18">
        <f t="shared" si="27"/>
        <v>854</v>
      </c>
      <c r="G344" s="18"/>
      <c r="H344" s="18"/>
      <c r="I344" s="19">
        <v>342</v>
      </c>
      <c r="J344" s="19" cm="1">
        <f t="array" aca="1" ref="J344" ca="1">INDIRECT("b"&amp;K344+2)</f>
        <v>3.6999999999999997E+73</v>
      </c>
      <c r="K344" s="19">
        <f t="shared" si="31"/>
        <v>2054</v>
      </c>
      <c r="N344" s="18">
        <v>905</v>
      </c>
      <c r="O344" s="18"/>
      <c r="P344" s="2" cm="1">
        <f t="array" aca="1" ref="P344" ca="1">INDIRECT("b" &amp; (N344+2))</f>
        <v>6.1750000000000001E+45</v>
      </c>
      <c r="Q344" s="5">
        <f t="shared" ca="1" si="29"/>
        <v>504081632.65306121</v>
      </c>
      <c r="S344" s="18">
        <v>465</v>
      </c>
      <c r="T344" s="18"/>
      <c r="U344" s="2" cm="1">
        <f t="array" aca="1" ref="U344" ca="1">INDIRECT("d" &amp; (S344+2))</f>
        <v>465</v>
      </c>
      <c r="V344" s="5">
        <f t="shared" ca="1" si="28"/>
        <v>3.7804878048780486</v>
      </c>
      <c r="W344">
        <v>342</v>
      </c>
      <c r="X344" s="18">
        <v>905</v>
      </c>
      <c r="Y344" s="18"/>
      <c r="Z344" s="2" cm="1">
        <f t="array" aca="1" ref="Z344" ca="1">INDIRECT("b" &amp; (X344+2))</f>
        <v>6.1750000000000001E+45</v>
      </c>
      <c r="AA344" s="5">
        <f t="shared" ca="1" si="30"/>
        <v>504081632.65306121</v>
      </c>
    </row>
    <row r="345" spans="1:27">
      <c r="A345">
        <v>343</v>
      </c>
      <c r="B345">
        <v>1.05E+26</v>
      </c>
      <c r="D345" s="18">
        <v>343</v>
      </c>
      <c r="E345" s="18" cm="1">
        <f t="array" aca="1" ref="E345" ca="1">INDIRECT("b"&amp;F345+2)</f>
        <v>4.1500000000000005E+44</v>
      </c>
      <c r="F345" s="18">
        <f t="shared" si="27"/>
        <v>856</v>
      </c>
      <c r="G345" s="18"/>
      <c r="H345" s="18"/>
      <c r="I345" s="19">
        <v>343</v>
      </c>
      <c r="J345" s="19" cm="1">
        <f t="array" aca="1" ref="J345" ca="1">INDIRECT("b"&amp;K345+2)</f>
        <v>4.15E+73</v>
      </c>
      <c r="K345" s="19">
        <f t="shared" si="31"/>
        <v>2056</v>
      </c>
      <c r="N345" s="18">
        <v>906</v>
      </c>
      <c r="O345" s="18"/>
      <c r="P345" s="2" cm="1">
        <f t="array" aca="1" ref="P345" ca="1">INDIRECT("b" &amp; (N345+2))</f>
        <v>6.3999999999999993E+45</v>
      </c>
      <c r="Q345" s="5">
        <f t="shared" ca="1" si="29"/>
        <v>522448979.59183663</v>
      </c>
      <c r="S345" s="18">
        <v>466</v>
      </c>
      <c r="T345" s="18"/>
      <c r="U345" s="2" cm="1">
        <f t="array" aca="1" ref="U345" ca="1">INDIRECT("d" &amp; (S345+2))</f>
        <v>466</v>
      </c>
      <c r="V345" s="5">
        <f t="shared" ca="1" si="28"/>
        <v>3.7886178861788617</v>
      </c>
      <c r="W345">
        <v>343</v>
      </c>
      <c r="X345" s="18">
        <v>906</v>
      </c>
      <c r="Y345" s="18"/>
      <c r="Z345" s="2" cm="1">
        <f t="array" aca="1" ref="Z345" ca="1">INDIRECT("b" &amp; (X345+2))</f>
        <v>6.3999999999999993E+45</v>
      </c>
      <c r="AA345" s="5">
        <f t="shared" ca="1" si="30"/>
        <v>522448979.59183663</v>
      </c>
    </row>
    <row r="346" spans="1:27">
      <c r="A346">
        <v>344</v>
      </c>
      <c r="B346">
        <v>1.1E+26</v>
      </c>
      <c r="D346" s="18">
        <v>344</v>
      </c>
      <c r="E346" s="18" cm="1">
        <f t="array" aca="1" ref="E346" ca="1">INDIRECT("b"&amp;F346+2)</f>
        <v>4.3750000000000003E+44</v>
      </c>
      <c r="F346" s="18">
        <f t="shared" si="27"/>
        <v>857</v>
      </c>
      <c r="G346" s="18"/>
      <c r="H346" s="18"/>
      <c r="I346" s="19">
        <v>344</v>
      </c>
      <c r="J346" s="19" cm="1">
        <f t="array" aca="1" ref="J346" ca="1">INDIRECT("b"&amp;K346+2)</f>
        <v>4.3750000000000002E+73</v>
      </c>
      <c r="K346" s="19">
        <f t="shared" si="31"/>
        <v>2057</v>
      </c>
      <c r="N346" s="18">
        <v>907</v>
      </c>
      <c r="O346" s="18"/>
      <c r="P346" s="2" cm="1">
        <f t="array" aca="1" ref="P346" ca="1">INDIRECT("b" &amp; (N346+2))</f>
        <v>6.625000000000001E+45</v>
      </c>
      <c r="Q346" s="5">
        <f t="shared" ca="1" si="29"/>
        <v>540816326.53061223</v>
      </c>
      <c r="S346" s="18">
        <v>467</v>
      </c>
      <c r="T346" s="18"/>
      <c r="U346" s="2" cm="1">
        <f t="array" aca="1" ref="U346" ca="1">INDIRECT("d" &amp; (S346+2))</f>
        <v>467</v>
      </c>
      <c r="V346" s="5">
        <f t="shared" ca="1" si="28"/>
        <v>3.7967479674796749</v>
      </c>
      <c r="W346">
        <v>344</v>
      </c>
      <c r="X346" s="18">
        <v>907</v>
      </c>
      <c r="Y346" s="18"/>
      <c r="Z346" s="2" cm="1">
        <f t="array" aca="1" ref="Z346" ca="1">INDIRECT("b" &amp; (X346+2))</f>
        <v>6.625000000000001E+45</v>
      </c>
      <c r="AA346" s="5">
        <f t="shared" ca="1" si="30"/>
        <v>540816326.53061223</v>
      </c>
    </row>
    <row r="347" spans="1:27">
      <c r="A347">
        <v>345</v>
      </c>
      <c r="B347">
        <v>1.5E+26</v>
      </c>
      <c r="D347" s="18">
        <v>345</v>
      </c>
      <c r="E347" s="18" cm="1">
        <f t="array" aca="1" ref="E347" ca="1">INDIRECT("b"&amp;F347+2)</f>
        <v>4.6000000000000001E+44</v>
      </c>
      <c r="F347" s="18">
        <f t="shared" si="27"/>
        <v>858</v>
      </c>
      <c r="G347" s="18"/>
      <c r="H347" s="18"/>
      <c r="I347" s="19">
        <v>345</v>
      </c>
      <c r="J347" s="19" cm="1">
        <f t="array" aca="1" ref="J347" ca="1">INDIRECT("b"&amp;K347+2)</f>
        <v>4.5999999999999997E+73</v>
      </c>
      <c r="K347" s="19">
        <f t="shared" si="31"/>
        <v>2058</v>
      </c>
      <c r="N347" s="18">
        <v>908</v>
      </c>
      <c r="O347" s="18"/>
      <c r="P347" s="2" cm="1">
        <f t="array" aca="1" ref="P347" ca="1">INDIRECT("b" &amp; (N347+2))</f>
        <v>6.8500000000000002E+45</v>
      </c>
      <c r="Q347" s="5">
        <f t="shared" ca="1" si="29"/>
        <v>559183673.46938777</v>
      </c>
      <c r="S347" s="18">
        <v>468</v>
      </c>
      <c r="T347" s="18"/>
      <c r="U347" s="2" cm="1">
        <f t="array" aca="1" ref="U347" ca="1">INDIRECT("d" &amp; (S347+2))</f>
        <v>468</v>
      </c>
      <c r="V347" s="5">
        <f t="shared" ca="1" si="28"/>
        <v>3.8048780487804876</v>
      </c>
      <c r="W347">
        <v>345</v>
      </c>
      <c r="X347" s="18">
        <v>908</v>
      </c>
      <c r="Y347" s="18"/>
      <c r="Z347" s="2" cm="1">
        <f t="array" aca="1" ref="Z347" ca="1">INDIRECT("b" &amp; (X347+2))</f>
        <v>6.8500000000000002E+45</v>
      </c>
      <c r="AA347" s="5">
        <f t="shared" ca="1" si="30"/>
        <v>559183673.46938777</v>
      </c>
    </row>
    <row r="348" spans="1:27">
      <c r="A348">
        <v>346</v>
      </c>
      <c r="B348">
        <v>2.0000000000000001E+26</v>
      </c>
      <c r="D348" s="18">
        <v>346</v>
      </c>
      <c r="E348" s="18" cm="1">
        <f t="array" aca="1" ref="E348" ca="1">INDIRECT("b"&amp;F348+2)</f>
        <v>5.0499999999999997E+44</v>
      </c>
      <c r="F348" s="18">
        <f t="shared" si="27"/>
        <v>860</v>
      </c>
      <c r="G348" s="18"/>
      <c r="H348" s="18"/>
      <c r="I348" s="19">
        <v>346</v>
      </c>
      <c r="J348" s="19" cm="1">
        <f t="array" aca="1" ref="J348" ca="1">INDIRECT("b"&amp;K348+2)</f>
        <v>5.05E+73</v>
      </c>
      <c r="K348" s="19">
        <f t="shared" si="31"/>
        <v>2060</v>
      </c>
      <c r="N348" s="18">
        <v>909</v>
      </c>
      <c r="O348" s="18"/>
      <c r="P348" s="2" cm="1">
        <f t="array" aca="1" ref="P348" ca="1">INDIRECT("b" &amp; (N348+2))</f>
        <v>7.0749999999999993E+45</v>
      </c>
      <c r="Q348" s="5">
        <f t="shared" ca="1" si="29"/>
        <v>577551020.40816319</v>
      </c>
      <c r="S348" s="18">
        <v>469</v>
      </c>
      <c r="T348" s="18"/>
      <c r="U348" s="2" cm="1">
        <f t="array" aca="1" ref="U348" ca="1">INDIRECT("d" &amp; (S348+2))</f>
        <v>469</v>
      </c>
      <c r="V348" s="5">
        <f t="shared" ca="1" si="28"/>
        <v>3.8130081300813008</v>
      </c>
      <c r="W348">
        <v>346</v>
      </c>
      <c r="X348" s="18">
        <v>909</v>
      </c>
      <c r="Y348" s="18"/>
      <c r="Z348" s="2" cm="1">
        <f t="array" aca="1" ref="Z348" ca="1">INDIRECT("b" &amp; (X348+2))</f>
        <v>7.0749999999999993E+45</v>
      </c>
      <c r="AA348" s="5">
        <f t="shared" ca="1" si="30"/>
        <v>577551020.40816319</v>
      </c>
    </row>
    <row r="349" spans="1:27">
      <c r="A349">
        <v>347</v>
      </c>
      <c r="B349">
        <v>2.5000000000000004E+26</v>
      </c>
      <c r="D349" s="18">
        <v>347</v>
      </c>
      <c r="E349" s="18" cm="1">
        <f t="array" aca="1" ref="E349" ca="1">INDIRECT("b"&amp;F349+2)</f>
        <v>5.2749999999999995E+44</v>
      </c>
      <c r="F349" s="18">
        <f t="shared" si="27"/>
        <v>861</v>
      </c>
      <c r="G349" s="18"/>
      <c r="H349" s="18"/>
      <c r="I349" s="19">
        <v>347</v>
      </c>
      <c r="J349" s="19" cm="1">
        <f t="array" aca="1" ref="J349" ca="1">INDIRECT("b"&amp;K349+2)</f>
        <v>5.2750000000000001E+73</v>
      </c>
      <c r="K349" s="19">
        <f t="shared" si="31"/>
        <v>2061</v>
      </c>
      <c r="N349" s="18">
        <v>910</v>
      </c>
      <c r="O349" s="18"/>
      <c r="P349" s="2" cm="1">
        <f t="array" aca="1" ref="P349" ca="1">INDIRECT("b" &amp; (N349+2))</f>
        <v>7.300000000000001E+45</v>
      </c>
      <c r="Q349" s="5">
        <f t="shared" ca="1" si="29"/>
        <v>595918367.34693885</v>
      </c>
      <c r="S349" s="18">
        <v>470</v>
      </c>
      <c r="T349" s="18"/>
      <c r="U349" s="2" cm="1">
        <f t="array" aca="1" ref="U349" ca="1">INDIRECT("d" &amp; (S349+2))</f>
        <v>470</v>
      </c>
      <c r="V349" s="5">
        <f t="shared" ca="1" si="28"/>
        <v>3.821138211382114</v>
      </c>
      <c r="W349">
        <v>347</v>
      </c>
      <c r="X349" s="18">
        <v>910</v>
      </c>
      <c r="Y349" s="18"/>
      <c r="Z349" s="2" cm="1">
        <f t="array" aca="1" ref="Z349" ca="1">INDIRECT("b" &amp; (X349+2))</f>
        <v>7.300000000000001E+45</v>
      </c>
      <c r="AA349" s="5">
        <f t="shared" ca="1" si="30"/>
        <v>595918367.34693885</v>
      </c>
    </row>
    <row r="350" spans="1:27">
      <c r="A350">
        <v>348</v>
      </c>
      <c r="B350">
        <v>3E+26</v>
      </c>
      <c r="D350" s="18">
        <v>348</v>
      </c>
      <c r="E350" s="18" cm="1">
        <f t="array" aca="1" ref="E350" ca="1">INDIRECT("b"&amp;F350+2)</f>
        <v>5.5000000000000001E+44</v>
      </c>
      <c r="F350" s="18">
        <f t="shared" si="27"/>
        <v>862</v>
      </c>
      <c r="G350" s="18"/>
      <c r="H350" s="18"/>
      <c r="I350" s="19">
        <v>348</v>
      </c>
      <c r="J350" s="19" cm="1">
        <f t="array" aca="1" ref="J350" ca="1">INDIRECT("b"&amp;K350+2)</f>
        <v>5.4999999999999997E+73</v>
      </c>
      <c r="K350" s="19">
        <f t="shared" si="31"/>
        <v>2062</v>
      </c>
      <c r="N350" s="18">
        <v>911</v>
      </c>
      <c r="O350" s="18"/>
      <c r="P350" s="2" cm="1">
        <f t="array" aca="1" ref="P350" ca="1">INDIRECT("b" &amp; (N350+2))</f>
        <v>7.5249999999999989E+45</v>
      </c>
      <c r="Q350" s="5">
        <f t="shared" ca="1" si="29"/>
        <v>614285714.28571415</v>
      </c>
      <c r="S350" s="18">
        <v>471</v>
      </c>
      <c r="T350" s="18"/>
      <c r="U350" s="2" cm="1">
        <f t="array" aca="1" ref="U350" ca="1">INDIRECT("d" &amp; (S350+2))</f>
        <v>471</v>
      </c>
      <c r="V350" s="5">
        <f t="shared" ca="1" si="28"/>
        <v>3.8292682926829267</v>
      </c>
      <c r="W350">
        <v>348</v>
      </c>
      <c r="X350" s="18">
        <v>911</v>
      </c>
      <c r="Y350" s="18"/>
      <c r="Z350" s="2" cm="1">
        <f t="array" aca="1" ref="Z350" ca="1">INDIRECT("b" &amp; (X350+2))</f>
        <v>7.5249999999999989E+45</v>
      </c>
      <c r="AA350" s="5">
        <f t="shared" ca="1" si="30"/>
        <v>614285714.28571415</v>
      </c>
    </row>
    <row r="351" spans="1:27">
      <c r="A351">
        <v>349</v>
      </c>
      <c r="B351">
        <v>3.4999999999999999E+26</v>
      </c>
      <c r="D351" s="18">
        <v>349</v>
      </c>
      <c r="E351" s="18" cm="1">
        <f t="array" aca="1" ref="E351" ca="1">INDIRECT("b"&amp;F351+2)</f>
        <v>5.9500000000000005E+44</v>
      </c>
      <c r="F351" s="18">
        <f t="shared" si="27"/>
        <v>864</v>
      </c>
      <c r="G351" s="18"/>
      <c r="H351" s="18"/>
      <c r="I351" s="19">
        <v>349</v>
      </c>
      <c r="J351" s="19" cm="1">
        <f t="array" aca="1" ref="J351" ca="1">INDIRECT("b"&amp;K351+2)</f>
        <v>5.9499999999999993E+73</v>
      </c>
      <c r="K351" s="19">
        <f t="shared" si="31"/>
        <v>2064</v>
      </c>
      <c r="N351" s="18">
        <v>912</v>
      </c>
      <c r="O351" s="18"/>
      <c r="P351" s="2" cm="1">
        <f t="array" aca="1" ref="P351" ca="1">INDIRECT("b" &amp; (N351+2))</f>
        <v>7.7500000000000006E+45</v>
      </c>
      <c r="Q351" s="5">
        <f t="shared" ca="1" si="29"/>
        <v>632653061.22448981</v>
      </c>
      <c r="S351" s="18">
        <v>472</v>
      </c>
      <c r="T351" s="18"/>
      <c r="U351" s="2" cm="1">
        <f t="array" aca="1" ref="U351" ca="1">INDIRECT("d" &amp; (S351+2))</f>
        <v>472</v>
      </c>
      <c r="V351" s="5">
        <f t="shared" ca="1" si="28"/>
        <v>3.8373983739837398</v>
      </c>
      <c r="W351">
        <v>349</v>
      </c>
      <c r="X351" s="18">
        <v>912</v>
      </c>
      <c r="Y351" s="18"/>
      <c r="Z351" s="2" cm="1">
        <f t="array" aca="1" ref="Z351" ca="1">INDIRECT("b" &amp; (X351+2))</f>
        <v>7.7500000000000006E+45</v>
      </c>
      <c r="AA351" s="5">
        <f t="shared" ca="1" si="30"/>
        <v>632653061.22448981</v>
      </c>
    </row>
    <row r="352" spans="1:27">
      <c r="A352">
        <v>350</v>
      </c>
      <c r="B352">
        <v>4.0000000000000002E+26</v>
      </c>
      <c r="D352" s="18">
        <v>350</v>
      </c>
      <c r="E352" s="18" cm="1">
        <f t="array" aca="1" ref="E352" ca="1">INDIRECT("b"&amp;F352+2)</f>
        <v>6.1749999999999995E+44</v>
      </c>
      <c r="F352" s="18">
        <f t="shared" si="27"/>
        <v>865</v>
      </c>
      <c r="G352" s="18"/>
      <c r="H352" s="18"/>
      <c r="I352" s="19">
        <v>350</v>
      </c>
      <c r="J352" s="19" cm="1">
        <f t="array" aca="1" ref="J352" ca="1">INDIRECT("b"&amp;K352+2)</f>
        <v>6.1749999999999995E+73</v>
      </c>
      <c r="K352" s="19">
        <f t="shared" si="31"/>
        <v>2065</v>
      </c>
      <c r="N352" s="18">
        <v>913</v>
      </c>
      <c r="O352" s="18"/>
      <c r="P352" s="2" cm="1">
        <f t="array" aca="1" ref="P352" ca="1">INDIRECT("b" &amp; (N352+2))</f>
        <v>7.9749999999999998E+45</v>
      </c>
      <c r="Q352" s="5">
        <f t="shared" ca="1" si="29"/>
        <v>651020408.16326523</v>
      </c>
      <c r="S352" s="18">
        <v>473</v>
      </c>
      <c r="T352" s="18"/>
      <c r="U352" s="2" cm="1">
        <f t="array" aca="1" ref="U352" ca="1">INDIRECT("d" &amp; (S352+2))</f>
        <v>473</v>
      </c>
      <c r="V352" s="5">
        <f t="shared" ca="1" si="28"/>
        <v>3.845528455284553</v>
      </c>
      <c r="W352">
        <v>350</v>
      </c>
      <c r="X352" s="18">
        <v>913</v>
      </c>
      <c r="Y352" s="18"/>
      <c r="Z352" s="2" cm="1">
        <f t="array" aca="1" ref="Z352" ca="1">INDIRECT("b" &amp; (X352+2))</f>
        <v>7.9749999999999998E+45</v>
      </c>
      <c r="AA352" s="5">
        <f t="shared" ca="1" si="30"/>
        <v>651020408.16326523</v>
      </c>
    </row>
    <row r="353" spans="1:27">
      <c r="A353">
        <v>351</v>
      </c>
      <c r="B353">
        <v>4.5000000000000005E+26</v>
      </c>
      <c r="D353" s="18">
        <v>351</v>
      </c>
      <c r="E353" s="18" cm="1">
        <f t="array" aca="1" ref="E353" ca="1">INDIRECT("b"&amp;F353+2)</f>
        <v>6.3999999999999993E+44</v>
      </c>
      <c r="F353" s="18">
        <f t="shared" si="27"/>
        <v>866</v>
      </c>
      <c r="G353" s="18"/>
      <c r="H353" s="18"/>
      <c r="I353" s="19">
        <v>351</v>
      </c>
      <c r="J353" s="19" cm="1">
        <f t="array" aca="1" ref="J353" ca="1">INDIRECT("b"&amp;K353+2)</f>
        <v>6.3999999999999996E+73</v>
      </c>
      <c r="K353" s="19">
        <f t="shared" si="31"/>
        <v>2066</v>
      </c>
      <c r="N353" s="18">
        <v>914</v>
      </c>
      <c r="O353" s="18"/>
      <c r="P353" s="2" cm="1">
        <f t="array" aca="1" ref="P353" ca="1">INDIRECT("b" &amp; (N353+2))</f>
        <v>8.199999999999999E+45</v>
      </c>
      <c r="Q353" s="5">
        <f t="shared" ca="1" si="29"/>
        <v>669387755.10204065</v>
      </c>
      <c r="S353" s="18">
        <v>474</v>
      </c>
      <c r="T353" s="18"/>
      <c r="U353" s="2" cm="1">
        <f t="array" aca="1" ref="U353" ca="1">INDIRECT("d" &amp; (S353+2))</f>
        <v>474</v>
      </c>
      <c r="V353" s="5">
        <f t="shared" ca="1" si="28"/>
        <v>3.8536585365853657</v>
      </c>
      <c r="W353">
        <v>351</v>
      </c>
      <c r="X353" s="18">
        <v>914</v>
      </c>
      <c r="Y353" s="18"/>
      <c r="Z353" s="2" cm="1">
        <f t="array" aca="1" ref="Z353" ca="1">INDIRECT("b" &amp; (X353+2))</f>
        <v>8.199999999999999E+45</v>
      </c>
      <c r="AA353" s="5">
        <f t="shared" ca="1" si="30"/>
        <v>669387755.10204065</v>
      </c>
    </row>
    <row r="354" spans="1:27">
      <c r="A354">
        <v>352</v>
      </c>
      <c r="B354">
        <v>5.0000000000000008E+26</v>
      </c>
      <c r="D354" s="18">
        <v>352</v>
      </c>
      <c r="E354" s="18" cm="1">
        <f t="array" aca="1" ref="E354" ca="1">INDIRECT("b"&amp;F354+2)</f>
        <v>6.8500000000000005E+44</v>
      </c>
      <c r="F354" s="18">
        <f t="shared" si="27"/>
        <v>868</v>
      </c>
      <c r="G354" s="18"/>
      <c r="H354" s="18"/>
      <c r="I354" s="19">
        <v>352</v>
      </c>
      <c r="J354" s="19" cm="1">
        <f t="array" aca="1" ref="J354" ca="1">INDIRECT("b"&amp;K354+2)</f>
        <v>6.8499999999999999E+73</v>
      </c>
      <c r="K354" s="19">
        <f t="shared" si="31"/>
        <v>2068</v>
      </c>
      <c r="N354" s="18">
        <v>915</v>
      </c>
      <c r="O354" s="18"/>
      <c r="P354" s="2" cm="1">
        <f t="array" aca="1" ref="P354" ca="1">INDIRECT("b" &amp; (N354+2))</f>
        <v>8.4250000000000007E+45</v>
      </c>
      <c r="Q354" s="5">
        <f t="shared" ca="1" si="29"/>
        <v>687755102.04081631</v>
      </c>
      <c r="S354" s="18">
        <v>475</v>
      </c>
      <c r="T354" s="18"/>
      <c r="U354" s="2" cm="1">
        <f t="array" aca="1" ref="U354" ca="1">INDIRECT("d" &amp; (S354+2))</f>
        <v>475</v>
      </c>
      <c r="V354" s="5">
        <f t="shared" ca="1" si="28"/>
        <v>3.8617886178861789</v>
      </c>
      <c r="W354">
        <v>352</v>
      </c>
      <c r="X354" s="18">
        <v>915</v>
      </c>
      <c r="Y354" s="18"/>
      <c r="Z354" s="2" cm="1">
        <f t="array" aca="1" ref="Z354" ca="1">INDIRECT("b" &amp; (X354+2))</f>
        <v>8.4250000000000007E+45</v>
      </c>
      <c r="AA354" s="5">
        <f t="shared" ca="1" si="30"/>
        <v>687755102.04081631</v>
      </c>
    </row>
    <row r="355" spans="1:27">
      <c r="A355">
        <v>353</v>
      </c>
      <c r="B355">
        <v>5.5000000000000003E+26</v>
      </c>
      <c r="D355" s="18">
        <v>353</v>
      </c>
      <c r="E355" s="18" cm="1">
        <f t="array" aca="1" ref="E355" ca="1">INDIRECT("b"&amp;F355+2)</f>
        <v>7.0749999999999995E+44</v>
      </c>
      <c r="F355" s="18">
        <f t="shared" si="27"/>
        <v>869</v>
      </c>
      <c r="G355" s="18"/>
      <c r="H355" s="18"/>
      <c r="I355" s="19">
        <v>353</v>
      </c>
      <c r="J355" s="19" cm="1">
        <f t="array" aca="1" ref="J355" ca="1">INDIRECT("b"&amp;K355+2)</f>
        <v>7.0750000000000001E+73</v>
      </c>
      <c r="K355" s="19">
        <f t="shared" si="31"/>
        <v>2069</v>
      </c>
      <c r="N355" s="18">
        <v>916</v>
      </c>
      <c r="O355" s="18"/>
      <c r="P355" s="2" cm="1">
        <f t="array" aca="1" ref="P355" ca="1">INDIRECT("b" &amp; (N355+2))</f>
        <v>8.6499999999999999E+45</v>
      </c>
      <c r="Q355" s="5">
        <f t="shared" ca="1" si="29"/>
        <v>706122448.97959173</v>
      </c>
      <c r="S355" s="18">
        <v>476</v>
      </c>
      <c r="T355" s="18"/>
      <c r="U355" s="2" cm="1">
        <f t="array" aca="1" ref="U355" ca="1">INDIRECT("d" &amp; (S355+2))</f>
        <v>476</v>
      </c>
      <c r="V355" s="5">
        <f t="shared" ca="1" si="28"/>
        <v>3.8699186991869921</v>
      </c>
      <c r="W355">
        <v>353</v>
      </c>
      <c r="X355" s="18">
        <v>916</v>
      </c>
      <c r="Y355" s="18"/>
      <c r="Z355" s="2" cm="1">
        <f t="array" aca="1" ref="Z355" ca="1">INDIRECT("b" &amp; (X355+2))</f>
        <v>8.6499999999999999E+45</v>
      </c>
      <c r="AA355" s="5">
        <f t="shared" ca="1" si="30"/>
        <v>706122448.97959173</v>
      </c>
    </row>
    <row r="356" spans="1:27">
      <c r="A356">
        <v>354</v>
      </c>
      <c r="B356">
        <v>5.9999999999999999E+26</v>
      </c>
      <c r="D356" s="18">
        <v>354</v>
      </c>
      <c r="E356" s="18" cm="1">
        <f t="array" aca="1" ref="E356" ca="1">INDIRECT("b"&amp;F356+2)</f>
        <v>7.3000000000000001E+44</v>
      </c>
      <c r="F356" s="18">
        <f t="shared" si="27"/>
        <v>870</v>
      </c>
      <c r="G356" s="18"/>
      <c r="H356" s="18"/>
      <c r="I356" s="19">
        <v>354</v>
      </c>
      <c r="J356" s="19" cm="1">
        <f t="array" aca="1" ref="J356" ca="1">INDIRECT("b"&amp;K356+2)</f>
        <v>7.3000000000000002E+73</v>
      </c>
      <c r="K356" s="19">
        <f t="shared" si="31"/>
        <v>2070</v>
      </c>
      <c r="N356" s="18">
        <v>917</v>
      </c>
      <c r="O356" s="18"/>
      <c r="P356" s="2" cm="1">
        <f t="array" aca="1" ref="P356" ca="1">INDIRECT("b" &amp; (N356+2))</f>
        <v>8.874999999999999E+45</v>
      </c>
      <c r="Q356" s="5">
        <f t="shared" ca="1" si="29"/>
        <v>724489795.91836727</v>
      </c>
      <c r="S356" s="18">
        <v>477</v>
      </c>
      <c r="T356" s="18"/>
      <c r="U356" s="2" cm="1">
        <f t="array" aca="1" ref="U356" ca="1">INDIRECT("d" &amp; (S356+2))</f>
        <v>477</v>
      </c>
      <c r="V356" s="5">
        <f t="shared" ca="1" si="28"/>
        <v>3.8780487804878048</v>
      </c>
      <c r="W356">
        <v>354</v>
      </c>
      <c r="X356" s="18">
        <v>917</v>
      </c>
      <c r="Y356" s="18"/>
      <c r="Z356" s="2" cm="1">
        <f t="array" aca="1" ref="Z356" ca="1">INDIRECT("b" &amp; (X356+2))</f>
        <v>8.874999999999999E+45</v>
      </c>
      <c r="AA356" s="5">
        <f t="shared" ca="1" si="30"/>
        <v>724489795.91836727</v>
      </c>
    </row>
    <row r="357" spans="1:27">
      <c r="A357">
        <v>355</v>
      </c>
      <c r="B357">
        <v>6.5000000000000002E+26</v>
      </c>
      <c r="D357" s="18">
        <v>355</v>
      </c>
      <c r="E357" s="18" cm="1">
        <f t="array" aca="1" ref="E357" ca="1">INDIRECT("b"&amp;F357+2)</f>
        <v>7.7499999999999997E+44</v>
      </c>
      <c r="F357" s="18">
        <f t="shared" si="27"/>
        <v>872</v>
      </c>
      <c r="G357" s="18"/>
      <c r="H357" s="18"/>
      <c r="I357" s="19">
        <v>355</v>
      </c>
      <c r="J357" s="19" cm="1">
        <f t="array" aca="1" ref="J357" ca="1">INDIRECT("b"&amp;K357+2)</f>
        <v>7.7500000000000005E+73</v>
      </c>
      <c r="K357" s="19">
        <f t="shared" si="31"/>
        <v>2072</v>
      </c>
      <c r="N357" s="18">
        <v>918</v>
      </c>
      <c r="O357" s="18"/>
      <c r="P357" s="2" cm="1">
        <f t="array" aca="1" ref="P357" ca="1">INDIRECT("b" &amp; (N357+2))</f>
        <v>9.0999999999999982E+45</v>
      </c>
      <c r="Q357" s="5">
        <f t="shared" ca="1" si="29"/>
        <v>742857142.85714269</v>
      </c>
      <c r="S357" s="18">
        <v>478</v>
      </c>
      <c r="T357" s="18"/>
      <c r="U357" s="2" cm="1">
        <f t="array" aca="1" ref="U357" ca="1">INDIRECT("d" &amp; (S357+2))</f>
        <v>478</v>
      </c>
      <c r="V357" s="5">
        <f t="shared" ca="1" si="28"/>
        <v>3.8861788617886179</v>
      </c>
      <c r="W357">
        <v>355</v>
      </c>
      <c r="X357" s="18">
        <v>918</v>
      </c>
      <c r="Y357" s="18"/>
      <c r="Z357" s="2" cm="1">
        <f t="array" aca="1" ref="Z357" ca="1">INDIRECT("b" &amp; (X357+2))</f>
        <v>9.0999999999999982E+45</v>
      </c>
      <c r="AA357" s="5">
        <f t="shared" ca="1" si="30"/>
        <v>742857142.85714269</v>
      </c>
    </row>
    <row r="358" spans="1:27">
      <c r="A358">
        <v>356</v>
      </c>
      <c r="B358">
        <v>6.9999999999999998E+26</v>
      </c>
      <c r="D358" s="18">
        <v>356</v>
      </c>
      <c r="E358" s="18" cm="1">
        <f t="array" aca="1" ref="E358" ca="1">INDIRECT("b"&amp;F358+2)</f>
        <v>7.9750000000000011E+44</v>
      </c>
      <c r="F358" s="18">
        <f t="shared" si="27"/>
        <v>873</v>
      </c>
      <c r="G358" s="18"/>
      <c r="H358" s="18"/>
      <c r="I358" s="19">
        <v>356</v>
      </c>
      <c r="J358" s="19" cm="1">
        <f t="array" aca="1" ref="J358" ca="1">INDIRECT("b"&amp;K358+2)</f>
        <v>7.9749999999999994E+73</v>
      </c>
      <c r="K358" s="19">
        <f t="shared" si="31"/>
        <v>2073</v>
      </c>
      <c r="N358" s="18">
        <v>919</v>
      </c>
      <c r="O358" s="18"/>
      <c r="P358" s="2" cm="1">
        <f t="array" aca="1" ref="P358" ca="1">INDIRECT("b" &amp; (N358+2))</f>
        <v>9.3249999999999986E+45</v>
      </c>
      <c r="Q358" s="5">
        <f t="shared" ca="1" si="29"/>
        <v>761224489.79591823</v>
      </c>
      <c r="S358" s="18">
        <v>479</v>
      </c>
      <c r="T358" s="18"/>
      <c r="U358" s="2" cm="1">
        <f t="array" aca="1" ref="U358" ca="1">INDIRECT("d" &amp; (S358+2))</f>
        <v>479</v>
      </c>
      <c r="V358" s="5">
        <f t="shared" ca="1" si="28"/>
        <v>3.8943089430894311</v>
      </c>
      <c r="W358">
        <v>356</v>
      </c>
      <c r="X358" s="18">
        <v>919</v>
      </c>
      <c r="Y358" s="18"/>
      <c r="Z358" s="2" cm="1">
        <f t="array" aca="1" ref="Z358" ca="1">INDIRECT("b" &amp; (X358+2))</f>
        <v>9.3249999999999986E+45</v>
      </c>
      <c r="AA358" s="5">
        <f t="shared" ca="1" si="30"/>
        <v>761224489.79591823</v>
      </c>
    </row>
    <row r="359" spans="1:27">
      <c r="A359">
        <v>357</v>
      </c>
      <c r="B359">
        <v>7.5000000000000008E+26</v>
      </c>
      <c r="D359" s="18">
        <v>357</v>
      </c>
      <c r="E359" s="18" cm="1">
        <f t="array" aca="1" ref="E359" ca="1">INDIRECT("b"&amp;F359+2)</f>
        <v>8.1999999999999993E+44</v>
      </c>
      <c r="F359" s="18">
        <f t="shared" si="27"/>
        <v>874</v>
      </c>
      <c r="G359" s="18"/>
      <c r="H359" s="18"/>
      <c r="I359" s="19">
        <v>357</v>
      </c>
      <c r="J359" s="19" cm="1">
        <f t="array" aca="1" ref="J359" ca="1">INDIRECT("b"&amp;K359+2)</f>
        <v>8.1999999999999996E+73</v>
      </c>
      <c r="K359" s="19">
        <f t="shared" si="31"/>
        <v>2074</v>
      </c>
      <c r="N359" s="18">
        <v>920</v>
      </c>
      <c r="O359" s="18"/>
      <c r="P359" s="2" cm="1">
        <f t="array" aca="1" ref="P359" ca="1">INDIRECT("b" &amp; (N359+2))</f>
        <v>9.5500000000000003E+45</v>
      </c>
      <c r="Q359" s="5">
        <f t="shared" ca="1" si="29"/>
        <v>779591836.73469388</v>
      </c>
      <c r="S359" s="18">
        <v>480</v>
      </c>
      <c r="T359" s="18"/>
      <c r="U359" s="2" cm="1">
        <f t="array" aca="1" ref="U359" ca="1">INDIRECT("d" &amp; (S359+2))</f>
        <v>480</v>
      </c>
      <c r="V359" s="5">
        <f t="shared" ca="1" si="28"/>
        <v>3.9024390243902438</v>
      </c>
      <c r="W359">
        <v>357</v>
      </c>
      <c r="X359" s="18">
        <v>920</v>
      </c>
      <c r="Y359" s="18"/>
      <c r="Z359" s="2" cm="1">
        <f t="array" aca="1" ref="Z359" ca="1">INDIRECT("b" &amp; (X359+2))</f>
        <v>9.5500000000000003E+45</v>
      </c>
      <c r="AA359" s="5">
        <f t="shared" ca="1" si="30"/>
        <v>779591836.73469388</v>
      </c>
    </row>
    <row r="360" spans="1:27">
      <c r="A360">
        <v>358</v>
      </c>
      <c r="B360">
        <v>8.0000000000000004E+26</v>
      </c>
      <c r="D360" s="18">
        <v>358</v>
      </c>
      <c r="E360" s="18" cm="1">
        <f t="array" aca="1" ref="E360" ca="1">INDIRECT("b"&amp;F360+2)</f>
        <v>8.6499999999999989E+44</v>
      </c>
      <c r="F360" s="18">
        <f t="shared" si="27"/>
        <v>876</v>
      </c>
      <c r="G360" s="18"/>
      <c r="H360" s="18"/>
      <c r="I360" s="19">
        <v>358</v>
      </c>
      <c r="J360" s="19" cm="1">
        <f t="array" aca="1" ref="J360" ca="1">INDIRECT("b"&amp;K360+2)</f>
        <v>8.6499999999999999E+73</v>
      </c>
      <c r="K360" s="19">
        <f t="shared" si="31"/>
        <v>2076</v>
      </c>
      <c r="N360" s="18">
        <v>921</v>
      </c>
      <c r="O360" s="18"/>
      <c r="P360" s="2" cm="1">
        <f t="array" aca="1" ref="P360" ca="1">INDIRECT("b" &amp; (N360+2))</f>
        <v>9.7749999999999995E+45</v>
      </c>
      <c r="Q360" s="5">
        <f t="shared" ca="1" si="29"/>
        <v>797959183.67346931</v>
      </c>
      <c r="S360" s="18">
        <v>481</v>
      </c>
      <c r="T360" s="18"/>
      <c r="U360" s="2" cm="1">
        <f t="array" aca="1" ref="U360" ca="1">INDIRECT("d" &amp; (S360+2))</f>
        <v>481</v>
      </c>
      <c r="V360" s="5">
        <f t="shared" ca="1" si="28"/>
        <v>3.910569105691057</v>
      </c>
      <c r="W360">
        <v>358</v>
      </c>
      <c r="X360" s="18">
        <v>921</v>
      </c>
      <c r="Y360" s="18"/>
      <c r="Z360" s="2" cm="1">
        <f t="array" aca="1" ref="Z360" ca="1">INDIRECT("b" &amp; (X360+2))</f>
        <v>9.7749999999999995E+45</v>
      </c>
      <c r="AA360" s="5">
        <f t="shared" ca="1" si="30"/>
        <v>797959183.67346931</v>
      </c>
    </row>
    <row r="361" spans="1:27">
      <c r="A361">
        <v>359</v>
      </c>
      <c r="B361">
        <v>8.5E+26</v>
      </c>
      <c r="D361" s="18">
        <v>359</v>
      </c>
      <c r="E361" s="18" cm="1">
        <f t="array" aca="1" ref="E361" ca="1">INDIRECT("b"&amp;F361+2)</f>
        <v>8.8749999999999987E+44</v>
      </c>
      <c r="F361" s="18">
        <f t="shared" si="27"/>
        <v>877</v>
      </c>
      <c r="G361" s="18"/>
      <c r="H361" s="18"/>
      <c r="I361" s="19">
        <v>359</v>
      </c>
      <c r="J361" s="19" cm="1">
        <f t="array" aca="1" ref="J361" ca="1">INDIRECT("b"&amp;K361+2)</f>
        <v>8.875E+73</v>
      </c>
      <c r="K361" s="19">
        <f t="shared" si="31"/>
        <v>2077</v>
      </c>
      <c r="N361" s="18">
        <v>922</v>
      </c>
      <c r="O361" s="18"/>
      <c r="P361" s="2" cm="1">
        <f t="array" aca="1" ref="P361" ca="1">INDIRECT("b" &amp; (N361+2))</f>
        <v>9.9999999999999999E+45</v>
      </c>
      <c r="Q361" s="5">
        <f t="shared" ca="1" si="29"/>
        <v>816326530.61224484</v>
      </c>
      <c r="S361" s="18">
        <v>482</v>
      </c>
      <c r="T361" s="18"/>
      <c r="U361" s="2" cm="1">
        <f t="array" aca="1" ref="U361" ca="1">INDIRECT("d" &amp; (S361+2))</f>
        <v>482</v>
      </c>
      <c r="V361" s="5">
        <f t="shared" ca="1" si="28"/>
        <v>3.9186991869918697</v>
      </c>
      <c r="W361">
        <v>359</v>
      </c>
      <c r="X361" s="18">
        <v>922</v>
      </c>
      <c r="Y361" s="18"/>
      <c r="Z361" s="2" cm="1">
        <f t="array" aca="1" ref="Z361" ca="1">INDIRECT("b" &amp; (X361+2))</f>
        <v>9.9999999999999999E+45</v>
      </c>
      <c r="AA361" s="5">
        <f t="shared" ca="1" si="30"/>
        <v>816326530.61224484</v>
      </c>
    </row>
    <row r="362" spans="1:27">
      <c r="A362">
        <v>360</v>
      </c>
      <c r="B362">
        <v>9.0000000000000009E+26</v>
      </c>
      <c r="D362" s="18">
        <v>360</v>
      </c>
      <c r="E362" s="18" cm="1">
        <f t="array" aca="1" ref="E362" ca="1">INDIRECT("b"&amp;F362+2)</f>
        <v>9.0999999999999985E+44</v>
      </c>
      <c r="F362" s="18">
        <f t="shared" si="27"/>
        <v>878</v>
      </c>
      <c r="G362" s="18"/>
      <c r="H362" s="18"/>
      <c r="I362" s="19">
        <v>360</v>
      </c>
      <c r="J362" s="19" cm="1">
        <f t="array" aca="1" ref="J362" ca="1">INDIRECT("b"&amp;K362+2)</f>
        <v>9.1000000000000002E+73</v>
      </c>
      <c r="K362" s="19">
        <f t="shared" si="31"/>
        <v>2078</v>
      </c>
      <c r="N362" s="18">
        <v>923</v>
      </c>
      <c r="O362" s="18"/>
      <c r="P362" s="2" cm="1">
        <f t="array" aca="1" ref="P362" ca="1">INDIRECT("b" &amp; (N362+2))</f>
        <v>1.2250000000000002E+46</v>
      </c>
      <c r="Q362" s="5">
        <f t="shared" ca="1" si="29"/>
        <v>1000000000.0000001</v>
      </c>
      <c r="S362" s="18">
        <v>483</v>
      </c>
      <c r="T362" s="18"/>
      <c r="U362" s="2" cm="1">
        <f t="array" aca="1" ref="U362" ca="1">INDIRECT("d" &amp; (S362+2))</f>
        <v>483</v>
      </c>
      <c r="V362" s="5">
        <f t="shared" ca="1" si="28"/>
        <v>3.9268292682926829</v>
      </c>
      <c r="W362">
        <v>360</v>
      </c>
      <c r="X362" s="18">
        <v>923</v>
      </c>
      <c r="Y362" s="18"/>
      <c r="Z362" s="2" cm="1">
        <f t="array" aca="1" ref="Z362" ca="1">INDIRECT("b" &amp; (X362+2))</f>
        <v>1.2250000000000002E+46</v>
      </c>
      <c r="AA362" s="5">
        <f t="shared" ca="1" si="30"/>
        <v>1000000000.0000001</v>
      </c>
    </row>
    <row r="363" spans="1:27">
      <c r="A363">
        <v>361</v>
      </c>
      <c r="B363">
        <v>9.5000000000000005E+26</v>
      </c>
      <c r="D363" s="18">
        <v>361</v>
      </c>
      <c r="E363" s="18" cm="1">
        <f t="array" aca="1" ref="E363" ca="1">INDIRECT("b"&amp;F363+2)</f>
        <v>9.5499999999999997E+44</v>
      </c>
      <c r="F363" s="18">
        <f t="shared" si="27"/>
        <v>880</v>
      </c>
      <c r="G363" s="18"/>
      <c r="H363" s="18"/>
      <c r="I363" s="19">
        <v>361</v>
      </c>
      <c r="J363" s="19" cm="1">
        <f t="array" aca="1" ref="J363" ca="1">INDIRECT("b"&amp;K363+2)</f>
        <v>9.5500000000000005E+73</v>
      </c>
      <c r="K363" s="19">
        <f t="shared" si="31"/>
        <v>2080</v>
      </c>
      <c r="N363" s="18">
        <v>924</v>
      </c>
      <c r="O363" s="18"/>
      <c r="P363" s="2" cm="1">
        <f t="array" aca="1" ref="P363" ca="1">INDIRECT("b" &amp; (N363+2))</f>
        <v>1.4499999999999999E+46</v>
      </c>
      <c r="Q363" s="5">
        <f t="shared" ca="1" si="29"/>
        <v>1183673469.3877549</v>
      </c>
      <c r="S363" s="18">
        <v>484</v>
      </c>
      <c r="T363" s="18"/>
      <c r="U363" s="2" cm="1">
        <f t="array" aca="1" ref="U363" ca="1">INDIRECT("d" &amp; (S363+2))</f>
        <v>484</v>
      </c>
      <c r="V363" s="5">
        <f t="shared" ca="1" si="28"/>
        <v>3.934959349593496</v>
      </c>
      <c r="W363">
        <v>361</v>
      </c>
      <c r="X363" s="18">
        <v>924</v>
      </c>
      <c r="Y363" s="18"/>
      <c r="Z363" s="2" cm="1">
        <f t="array" aca="1" ref="Z363" ca="1">INDIRECT("b" &amp; (X363+2))</f>
        <v>1.4499999999999999E+46</v>
      </c>
      <c r="AA363" s="5">
        <f t="shared" ca="1" si="30"/>
        <v>1183673469.3877549</v>
      </c>
    </row>
    <row r="364" spans="1:27">
      <c r="A364">
        <v>362</v>
      </c>
      <c r="B364">
        <v>1E+27</v>
      </c>
      <c r="D364" s="18">
        <v>362</v>
      </c>
      <c r="E364" s="18" cm="1">
        <f t="array" aca="1" ref="E364" ca="1">INDIRECT("b"&amp;F364+2)</f>
        <v>9.7749999999999995E+44</v>
      </c>
      <c r="F364" s="18">
        <f t="shared" si="27"/>
        <v>881</v>
      </c>
      <c r="G364" s="18"/>
      <c r="H364" s="18"/>
      <c r="I364" s="19">
        <v>362</v>
      </c>
      <c r="J364" s="19" cm="1">
        <f t="array" aca="1" ref="J364" ca="1">INDIRECT("b"&amp;K364+2)</f>
        <v>9.7749999999999994E+73</v>
      </c>
      <c r="K364" s="19">
        <f t="shared" si="31"/>
        <v>2081</v>
      </c>
      <c r="N364" s="18">
        <v>925</v>
      </c>
      <c r="O364" s="18"/>
      <c r="P364" s="2" cm="1">
        <f t="array" aca="1" ref="P364" ca="1">INDIRECT("b" &amp; (N364+2))</f>
        <v>1.675E+46</v>
      </c>
      <c r="Q364" s="5">
        <f t="shared" ca="1" si="29"/>
        <v>1367346938.7755101</v>
      </c>
      <c r="S364" s="18">
        <v>485</v>
      </c>
      <c r="T364" s="18"/>
      <c r="U364" s="2" cm="1">
        <f t="array" aca="1" ref="U364" ca="1">INDIRECT("d" &amp; (S364+2))</f>
        <v>485</v>
      </c>
      <c r="V364" s="5">
        <f t="shared" ca="1" si="28"/>
        <v>3.9430894308943087</v>
      </c>
      <c r="W364">
        <v>362</v>
      </c>
      <c r="X364" s="18">
        <v>925</v>
      </c>
      <c r="Y364" s="18"/>
      <c r="Z364" s="2" cm="1">
        <f t="array" aca="1" ref="Z364" ca="1">INDIRECT("b" &amp; (X364+2))</f>
        <v>1.675E+46</v>
      </c>
      <c r="AA364" s="5">
        <f t="shared" ca="1" si="30"/>
        <v>1367346938.7755101</v>
      </c>
    </row>
    <row r="365" spans="1:27">
      <c r="A365">
        <v>363</v>
      </c>
      <c r="B365">
        <v>1.0500000000000001E+27</v>
      </c>
      <c r="D365" s="18">
        <v>363</v>
      </c>
      <c r="E365" s="18" cm="1">
        <f t="array" aca="1" ref="E365" ca="1">INDIRECT("b"&amp;F365+2)</f>
        <v>1.0000000000000001E+45</v>
      </c>
      <c r="F365" s="18">
        <f t="shared" si="27"/>
        <v>882</v>
      </c>
      <c r="G365" s="18"/>
      <c r="H365" s="18"/>
      <c r="I365" s="19">
        <v>363</v>
      </c>
      <c r="J365" s="19" cm="1">
        <f t="array" aca="1" ref="J365" ca="1">INDIRECT("b"&amp;K365+2)</f>
        <v>9.9999999999999995E+73</v>
      </c>
      <c r="K365" s="19">
        <f t="shared" si="31"/>
        <v>2082</v>
      </c>
      <c r="N365" s="18">
        <v>926</v>
      </c>
      <c r="O365" s="18"/>
      <c r="P365" s="2" cm="1">
        <f t="array" aca="1" ref="P365" ca="1">INDIRECT("b" &amp; (N365+2))</f>
        <v>1.9000000000000002E+46</v>
      </c>
      <c r="Q365" s="5">
        <f t="shared" ca="1" si="29"/>
        <v>1551020408.1632655</v>
      </c>
      <c r="S365" s="18">
        <v>486</v>
      </c>
      <c r="T365" s="18"/>
      <c r="U365" s="2" cm="1">
        <f t="array" aca="1" ref="U365" ca="1">INDIRECT("d" &amp; (S365+2))</f>
        <v>486</v>
      </c>
      <c r="V365" s="5">
        <f t="shared" ca="1" si="28"/>
        <v>3.9512195121951219</v>
      </c>
      <c r="W365">
        <v>363</v>
      </c>
      <c r="X365" s="18">
        <v>926</v>
      </c>
      <c r="Y365" s="18"/>
      <c r="Z365" s="2" cm="1">
        <f t="array" aca="1" ref="Z365" ca="1">INDIRECT("b" &amp; (X365+2))</f>
        <v>1.9000000000000002E+46</v>
      </c>
      <c r="AA365" s="5">
        <f t="shared" ca="1" si="30"/>
        <v>1551020408.1632655</v>
      </c>
    </row>
    <row r="366" spans="1:27">
      <c r="A366">
        <v>364</v>
      </c>
      <c r="B366">
        <v>1.1000000000000001E+27</v>
      </c>
      <c r="D366" s="18">
        <v>364</v>
      </c>
      <c r="E366" s="18" cm="1">
        <f t="array" aca="1" ref="E366" ca="1">INDIRECT("b"&amp;F366+2)</f>
        <v>1.4499999999999999E+45</v>
      </c>
      <c r="F366" s="18">
        <f t="shared" si="27"/>
        <v>884</v>
      </c>
      <c r="G366" s="18"/>
      <c r="H366" s="18"/>
      <c r="I366" s="19">
        <v>364</v>
      </c>
      <c r="J366" s="19" cm="1">
        <f t="array" aca="1" ref="J366" ca="1">INDIRECT("b"&amp;K366+2)</f>
        <v>1.4499999999999999E+74</v>
      </c>
      <c r="K366" s="19">
        <f t="shared" si="31"/>
        <v>2084</v>
      </c>
      <c r="N366" s="18">
        <v>927</v>
      </c>
      <c r="O366" s="18"/>
      <c r="P366" s="2" cm="1">
        <f t="array" aca="1" ref="P366" ca="1">INDIRECT("b" &amp; (N366+2))</f>
        <v>2.1249999999999999E+46</v>
      </c>
      <c r="Q366" s="5">
        <f t="shared" ca="1" si="29"/>
        <v>1734693877.5510201</v>
      </c>
      <c r="S366" s="18">
        <v>487</v>
      </c>
      <c r="T366" s="18"/>
      <c r="U366" s="2" cm="1">
        <f t="array" aca="1" ref="U366" ca="1">INDIRECT("d" &amp; (S366+2))</f>
        <v>487</v>
      </c>
      <c r="V366" s="5">
        <f t="shared" ca="1" si="28"/>
        <v>3.9593495934959351</v>
      </c>
      <c r="W366">
        <v>364</v>
      </c>
      <c r="X366" s="18">
        <v>927</v>
      </c>
      <c r="Y366" s="18"/>
      <c r="Z366" s="2" cm="1">
        <f t="array" aca="1" ref="Z366" ca="1">INDIRECT("b" &amp; (X366+2))</f>
        <v>2.1249999999999999E+46</v>
      </c>
      <c r="AA366" s="5">
        <f t="shared" ca="1" si="30"/>
        <v>1734693877.5510201</v>
      </c>
    </row>
    <row r="367" spans="1:27">
      <c r="A367">
        <v>365</v>
      </c>
      <c r="B367">
        <v>1.4999999999999999E+27</v>
      </c>
      <c r="D367" s="18">
        <v>365</v>
      </c>
      <c r="E367" s="18" cm="1">
        <f t="array" aca="1" ref="E367" ca="1">INDIRECT("b"&amp;F367+2)</f>
        <v>1.675E+45</v>
      </c>
      <c r="F367" s="18">
        <f t="shared" si="27"/>
        <v>885</v>
      </c>
      <c r="G367" s="18"/>
      <c r="H367" s="18"/>
      <c r="I367" s="19">
        <v>365</v>
      </c>
      <c r="J367" s="19" cm="1">
        <f t="array" aca="1" ref="J367" ca="1">INDIRECT("b"&amp;K367+2)</f>
        <v>1.675E+74</v>
      </c>
      <c r="K367" s="19">
        <f t="shared" si="31"/>
        <v>2085</v>
      </c>
      <c r="N367" s="18">
        <v>928</v>
      </c>
      <c r="O367" s="18"/>
      <c r="P367" s="2" cm="1">
        <f t="array" aca="1" ref="P367" ca="1">INDIRECT("b" &amp; (N367+2))</f>
        <v>2.3500000000000003E+46</v>
      </c>
      <c r="Q367" s="5">
        <f t="shared" ca="1" si="29"/>
        <v>1918367346.9387755</v>
      </c>
      <c r="S367" s="18">
        <v>488</v>
      </c>
      <c r="T367" s="18"/>
      <c r="U367" s="2" cm="1">
        <f t="array" aca="1" ref="U367" ca="1">INDIRECT("d" &amp; (S367+2))</f>
        <v>488</v>
      </c>
      <c r="V367" s="5">
        <f t="shared" ca="1" si="28"/>
        <v>3.9674796747967478</v>
      </c>
      <c r="W367">
        <v>365</v>
      </c>
      <c r="X367" s="18">
        <v>928</v>
      </c>
      <c r="Y367" s="18"/>
      <c r="Z367" s="2" cm="1">
        <f t="array" aca="1" ref="Z367" ca="1">INDIRECT("b" &amp; (X367+2))</f>
        <v>2.3500000000000003E+46</v>
      </c>
      <c r="AA367" s="5">
        <f t="shared" ca="1" si="30"/>
        <v>1918367346.9387755</v>
      </c>
    </row>
    <row r="368" spans="1:27">
      <c r="A368">
        <v>366</v>
      </c>
      <c r="B368">
        <v>2E+27</v>
      </c>
      <c r="D368" s="18">
        <v>366</v>
      </c>
      <c r="E368" s="18" cm="1">
        <f t="array" aca="1" ref="E368" ca="1">INDIRECT("b"&amp;F368+2)</f>
        <v>1.9000000000000004E+45</v>
      </c>
      <c r="F368" s="18">
        <f t="shared" si="27"/>
        <v>886</v>
      </c>
      <c r="G368" s="18"/>
      <c r="H368" s="18"/>
      <c r="I368" s="19">
        <v>366</v>
      </c>
      <c r="J368" s="19" cm="1">
        <f t="array" aca="1" ref="J368" ca="1">INDIRECT("b"&amp;K368+2)</f>
        <v>1.8999999999999999E+74</v>
      </c>
      <c r="K368" s="19">
        <f t="shared" si="31"/>
        <v>2086</v>
      </c>
      <c r="N368" s="18">
        <v>929</v>
      </c>
      <c r="O368" s="18"/>
      <c r="P368" s="2" cm="1">
        <f t="array" aca="1" ref="P368" ca="1">INDIRECT("b" &amp; (N368+2))</f>
        <v>2.5749999999999997E+46</v>
      </c>
      <c r="Q368" s="5">
        <f t="shared" ca="1" si="29"/>
        <v>2102040816.3265302</v>
      </c>
      <c r="S368" s="18">
        <v>489</v>
      </c>
      <c r="T368" s="18"/>
      <c r="U368" s="2" cm="1">
        <f t="array" aca="1" ref="U368" ca="1">INDIRECT("d" &amp; (S368+2))</f>
        <v>489</v>
      </c>
      <c r="V368" s="5">
        <f t="shared" ca="1" si="28"/>
        <v>3.975609756097561</v>
      </c>
      <c r="W368">
        <v>366</v>
      </c>
      <c r="X368" s="18">
        <v>929</v>
      </c>
      <c r="Y368" s="18"/>
      <c r="Z368" s="2" cm="1">
        <f t="array" aca="1" ref="Z368" ca="1">INDIRECT("b" &amp; (X368+2))</f>
        <v>2.5749999999999997E+46</v>
      </c>
      <c r="AA368" s="5">
        <f t="shared" ca="1" si="30"/>
        <v>2102040816.3265302</v>
      </c>
    </row>
    <row r="369" spans="1:27">
      <c r="A369">
        <v>367</v>
      </c>
      <c r="B369">
        <v>2.5000000000000004E+27</v>
      </c>
      <c r="D369" s="18">
        <v>367</v>
      </c>
      <c r="E369" s="18" cm="1">
        <f t="array" aca="1" ref="E369" ca="1">INDIRECT("b"&amp;F369+2)</f>
        <v>2.3500000000000003E+45</v>
      </c>
      <c r="F369" s="18">
        <f t="shared" si="27"/>
        <v>888</v>
      </c>
      <c r="G369" s="18"/>
      <c r="H369" s="18"/>
      <c r="I369" s="19">
        <v>367</v>
      </c>
      <c r="J369" s="19" cm="1">
        <f t="array" aca="1" ref="J369" ca="1">INDIRECT("b"&amp;K369+2)</f>
        <v>2.3499999999999997E+74</v>
      </c>
      <c r="K369" s="19">
        <f t="shared" si="31"/>
        <v>2088</v>
      </c>
      <c r="N369" s="18">
        <v>930</v>
      </c>
      <c r="O369" s="18"/>
      <c r="P369" s="2" cm="1">
        <f t="array" aca="1" ref="P369" ca="1">INDIRECT("b" &amp; (N369+2))</f>
        <v>2.8000000000000002E+46</v>
      </c>
      <c r="Q369" s="5">
        <f t="shared" ca="1" si="29"/>
        <v>2285714285.7142859</v>
      </c>
      <c r="S369" s="18">
        <v>490</v>
      </c>
      <c r="T369" s="18"/>
      <c r="U369" s="2" cm="1">
        <f t="array" aca="1" ref="U369" ca="1">INDIRECT("d" &amp; (S369+2))</f>
        <v>490</v>
      </c>
      <c r="V369" s="5">
        <f t="shared" ca="1" si="28"/>
        <v>3.9837398373983741</v>
      </c>
      <c r="W369">
        <v>367</v>
      </c>
      <c r="X369" s="18">
        <v>930</v>
      </c>
      <c r="Y369" s="18"/>
      <c r="Z369" s="2" cm="1">
        <f t="array" aca="1" ref="Z369" ca="1">INDIRECT("b" &amp; (X369+2))</f>
        <v>2.8000000000000002E+46</v>
      </c>
      <c r="AA369" s="5">
        <f t="shared" ca="1" si="30"/>
        <v>2285714285.7142859</v>
      </c>
    </row>
    <row r="370" spans="1:27">
      <c r="A370">
        <v>368</v>
      </c>
      <c r="B370">
        <v>2.9999999999999998E+27</v>
      </c>
      <c r="D370" s="18">
        <v>368</v>
      </c>
      <c r="E370" s="18" cm="1">
        <f t="array" aca="1" ref="E370" ca="1">INDIRECT("b"&amp;F370+2)</f>
        <v>2.5749999999999998E+45</v>
      </c>
      <c r="F370" s="18">
        <f t="shared" si="27"/>
        <v>889</v>
      </c>
      <c r="G370" s="18"/>
      <c r="H370" s="18"/>
      <c r="I370" s="19">
        <v>368</v>
      </c>
      <c r="J370" s="19" cm="1">
        <f t="array" aca="1" ref="J370" ca="1">INDIRECT("b"&amp;K370+2)</f>
        <v>2.5749999999999996E+74</v>
      </c>
      <c r="K370" s="19">
        <f t="shared" si="31"/>
        <v>2089</v>
      </c>
      <c r="N370" s="18">
        <v>931</v>
      </c>
      <c r="O370" s="18"/>
      <c r="P370" s="2" cm="1">
        <f t="array" aca="1" ref="P370" ca="1">INDIRECT("b" &amp; (N370+2))</f>
        <v>3.0250000000000001E+46</v>
      </c>
      <c r="Q370" s="5">
        <f t="shared" ca="1" si="29"/>
        <v>2469387755.1020408</v>
      </c>
      <c r="S370" s="18">
        <v>491</v>
      </c>
      <c r="T370" s="18"/>
      <c r="U370" s="2" cm="1">
        <f t="array" aca="1" ref="U370" ca="1">INDIRECT("d" &amp; (S370+2))</f>
        <v>491</v>
      </c>
      <c r="V370" s="5">
        <f t="shared" ca="1" si="28"/>
        <v>3.9918699186991868</v>
      </c>
      <c r="W370">
        <v>368</v>
      </c>
      <c r="X370" s="18">
        <v>931</v>
      </c>
      <c r="Y370" s="18"/>
      <c r="Z370" s="2" cm="1">
        <f t="array" aca="1" ref="Z370" ca="1">INDIRECT("b" &amp; (X370+2))</f>
        <v>3.0250000000000001E+46</v>
      </c>
      <c r="AA370" s="5">
        <f t="shared" ca="1" si="30"/>
        <v>2469387755.1020408</v>
      </c>
    </row>
    <row r="371" spans="1:27">
      <c r="A371">
        <v>369</v>
      </c>
      <c r="B371">
        <v>3.5000000000000002E+27</v>
      </c>
      <c r="D371" s="18">
        <v>369</v>
      </c>
      <c r="E371" s="18" cm="1">
        <f t="array" aca="1" ref="E371" ca="1">INDIRECT("b"&amp;F371+2)</f>
        <v>2.8000000000000002E+45</v>
      </c>
      <c r="F371" s="18">
        <f t="shared" si="27"/>
        <v>890</v>
      </c>
      <c r="G371" s="18"/>
      <c r="H371" s="18"/>
      <c r="I371" s="19">
        <v>369</v>
      </c>
      <c r="J371" s="19" cm="1">
        <f t="array" aca="1" ref="J371" ca="1">INDIRECT("b"&amp;K371+2)</f>
        <v>2.8E+74</v>
      </c>
      <c r="K371" s="19">
        <f t="shared" si="31"/>
        <v>2090</v>
      </c>
      <c r="N371" s="18">
        <v>932</v>
      </c>
      <c r="O371" s="18"/>
      <c r="P371" s="2" cm="1">
        <f t="array" aca="1" ref="P371" ca="1">INDIRECT("b" &amp; (N371+2))</f>
        <v>3.2499999999999995E+46</v>
      </c>
      <c r="Q371" s="5">
        <f t="shared" ca="1" si="29"/>
        <v>2653061224.4897952</v>
      </c>
      <c r="S371" s="18">
        <v>492</v>
      </c>
      <c r="T371" s="18"/>
      <c r="U371" s="2" cm="1">
        <f t="array" aca="1" ref="U371" ca="1">INDIRECT("d" &amp; (S371+2))</f>
        <v>492</v>
      </c>
      <c r="V371" s="5">
        <f t="shared" ca="1" si="28"/>
        <v>4</v>
      </c>
      <c r="W371">
        <v>369</v>
      </c>
      <c r="X371" s="18">
        <v>932</v>
      </c>
      <c r="Y371" s="18"/>
      <c r="Z371" s="2" cm="1">
        <f t="array" aca="1" ref="Z371" ca="1">INDIRECT("b" &amp; (X371+2))</f>
        <v>3.2499999999999995E+46</v>
      </c>
      <c r="AA371" s="5">
        <f t="shared" ca="1" si="30"/>
        <v>2653061224.4897952</v>
      </c>
    </row>
    <row r="372" spans="1:27">
      <c r="A372">
        <v>370</v>
      </c>
      <c r="B372">
        <v>4.0000000000000001E+27</v>
      </c>
      <c r="D372" s="18">
        <v>370</v>
      </c>
      <c r="E372" s="18" cm="1">
        <f t="array" aca="1" ref="E372" ca="1">INDIRECT("b"&amp;F372+2)</f>
        <v>3.2499999999999995E+45</v>
      </c>
      <c r="F372" s="18">
        <f t="shared" si="27"/>
        <v>892</v>
      </c>
      <c r="G372" s="18"/>
      <c r="H372" s="18"/>
      <c r="I372" s="19">
        <v>370</v>
      </c>
      <c r="J372" s="19" cm="1">
        <f t="array" aca="1" ref="J372" ca="1">INDIRECT("b"&amp;K372+2)</f>
        <v>3.2499999999999998E+74</v>
      </c>
      <c r="K372" s="19">
        <f t="shared" si="31"/>
        <v>2092</v>
      </c>
      <c r="N372" s="18">
        <v>933</v>
      </c>
      <c r="O372" s="18"/>
      <c r="P372" s="2" cm="1">
        <f t="array" aca="1" ref="P372" ca="1">INDIRECT("b" &amp; (N372+2))</f>
        <v>3.475E+46</v>
      </c>
      <c r="Q372" s="5">
        <f t="shared" ca="1" si="29"/>
        <v>2836734693.8775506</v>
      </c>
      <c r="S372" s="18">
        <v>493</v>
      </c>
      <c r="T372" s="18"/>
      <c r="U372" s="2" cm="1">
        <f t="array" aca="1" ref="U372" ca="1">INDIRECT("d" &amp; (S372+2))</f>
        <v>493</v>
      </c>
      <c r="V372" s="5">
        <f t="shared" ca="1" si="28"/>
        <v>4.0081300813008127</v>
      </c>
      <c r="W372">
        <v>370</v>
      </c>
      <c r="X372" s="18">
        <v>933</v>
      </c>
      <c r="Y372" s="18"/>
      <c r="Z372" s="2" cm="1">
        <f t="array" aca="1" ref="Z372" ca="1">INDIRECT("b" &amp; (X372+2))</f>
        <v>3.475E+46</v>
      </c>
      <c r="AA372" s="5">
        <f t="shared" ca="1" si="30"/>
        <v>2836734693.8775506</v>
      </c>
    </row>
    <row r="373" spans="1:27">
      <c r="A373">
        <v>371</v>
      </c>
      <c r="B373">
        <v>4.4999999999999999E+27</v>
      </c>
      <c r="D373" s="18">
        <v>371</v>
      </c>
      <c r="E373" s="18" cm="1">
        <f t="array" aca="1" ref="E373" ca="1">INDIRECT("b"&amp;F373+2)</f>
        <v>3.475E+45</v>
      </c>
      <c r="F373" s="18">
        <f t="shared" si="27"/>
        <v>893</v>
      </c>
      <c r="G373" s="18"/>
      <c r="H373" s="18"/>
      <c r="I373" s="19">
        <v>371</v>
      </c>
      <c r="J373" s="19" cm="1">
        <f t="array" aca="1" ref="J373" ca="1">INDIRECT("b"&amp;K373+2)</f>
        <v>3.4749999999999997E+74</v>
      </c>
      <c r="K373" s="19">
        <f t="shared" si="31"/>
        <v>2093</v>
      </c>
      <c r="N373" s="18">
        <v>934</v>
      </c>
      <c r="O373" s="18"/>
      <c r="P373" s="2" cm="1">
        <f t="array" aca="1" ref="P373" ca="1">INDIRECT("b" &amp; (N373+2))</f>
        <v>3.6999999999999999E+46</v>
      </c>
      <c r="Q373" s="5">
        <f t="shared" ca="1" si="29"/>
        <v>3020408163.265306</v>
      </c>
      <c r="S373" s="18">
        <v>494</v>
      </c>
      <c r="T373" s="18"/>
      <c r="U373" s="2" cm="1">
        <f t="array" aca="1" ref="U373" ca="1">INDIRECT("d" &amp; (S373+2))</f>
        <v>494</v>
      </c>
      <c r="V373" s="5">
        <f t="shared" ca="1" si="28"/>
        <v>4.0162601626016263</v>
      </c>
      <c r="W373">
        <v>371</v>
      </c>
      <c r="X373" s="18">
        <v>934</v>
      </c>
      <c r="Y373" s="18"/>
      <c r="Z373" s="2" cm="1">
        <f t="array" aca="1" ref="Z373" ca="1">INDIRECT("b" &amp; (X373+2))</f>
        <v>3.6999999999999999E+46</v>
      </c>
      <c r="AA373" s="5">
        <f t="shared" ca="1" si="30"/>
        <v>3020408163.265306</v>
      </c>
    </row>
    <row r="374" spans="1:27">
      <c r="A374">
        <v>372</v>
      </c>
      <c r="B374">
        <v>5.0000000000000009E+27</v>
      </c>
      <c r="D374" s="18">
        <v>372</v>
      </c>
      <c r="E374" s="18" cm="1">
        <f t="array" aca="1" ref="E374" ca="1">INDIRECT("b"&amp;F374+2)</f>
        <v>3.6999999999999998E+45</v>
      </c>
      <c r="F374" s="18">
        <f t="shared" si="27"/>
        <v>894</v>
      </c>
      <c r="G374" s="18"/>
      <c r="H374" s="18"/>
      <c r="I374" s="19">
        <v>372</v>
      </c>
      <c r="J374" s="19" cm="1">
        <f t="array" aca="1" ref="J374" ca="1">INDIRECT("b"&amp;K374+2)</f>
        <v>3.6999999999999996E+74</v>
      </c>
      <c r="K374" s="19">
        <f t="shared" si="31"/>
        <v>2094</v>
      </c>
      <c r="N374" s="18">
        <v>935</v>
      </c>
      <c r="O374" s="18"/>
      <c r="P374" s="2" cm="1">
        <f t="array" aca="1" ref="P374" ca="1">INDIRECT("b" &amp; (N374+2))</f>
        <v>3.9249999999999998E+46</v>
      </c>
      <c r="Q374" s="5">
        <f t="shared" ca="1" si="29"/>
        <v>3204081632.6530609</v>
      </c>
      <c r="S374" s="18">
        <v>495</v>
      </c>
      <c r="T374" s="18"/>
      <c r="U374" s="2" cm="1">
        <f t="array" aca="1" ref="U374" ca="1">INDIRECT("d" &amp; (S374+2))</f>
        <v>495</v>
      </c>
      <c r="V374" s="5">
        <f t="shared" ca="1" si="28"/>
        <v>4.024390243902439</v>
      </c>
      <c r="W374">
        <v>372</v>
      </c>
      <c r="X374" s="18">
        <v>935</v>
      </c>
      <c r="Y374" s="18"/>
      <c r="Z374" s="2" cm="1">
        <f t="array" aca="1" ref="Z374" ca="1">INDIRECT("b" &amp; (X374+2))</f>
        <v>3.9249999999999998E+46</v>
      </c>
      <c r="AA374" s="5">
        <f t="shared" ca="1" si="30"/>
        <v>3204081632.6530609</v>
      </c>
    </row>
    <row r="375" spans="1:27">
      <c r="A375">
        <v>373</v>
      </c>
      <c r="B375">
        <v>5.4999999999999997E+27</v>
      </c>
      <c r="D375" s="18">
        <v>373</v>
      </c>
      <c r="E375" s="18" cm="1">
        <f t="array" aca="1" ref="E375" ca="1">INDIRECT("b"&amp;F375+2)</f>
        <v>4.1500000000000006E+45</v>
      </c>
      <c r="F375" s="18">
        <f t="shared" si="27"/>
        <v>896</v>
      </c>
      <c r="G375" s="18"/>
      <c r="H375" s="18"/>
      <c r="I375" s="19">
        <v>373</v>
      </c>
      <c r="J375" s="19" cm="1">
        <f t="array" aca="1" ref="J375" ca="1">INDIRECT("b"&amp;K375+2)</f>
        <v>4.1499999999999999E+74</v>
      </c>
      <c r="K375" s="19">
        <f t="shared" si="31"/>
        <v>2096</v>
      </c>
      <c r="N375" s="18">
        <v>936</v>
      </c>
      <c r="O375" s="18"/>
      <c r="P375" s="2" cm="1">
        <f t="array" aca="1" ref="P375" ca="1">INDIRECT("b" &amp; (N375+2))</f>
        <v>4.1500000000000003E+46</v>
      </c>
      <c r="Q375" s="5">
        <f t="shared" ca="1" si="29"/>
        <v>3387755102.0408163</v>
      </c>
      <c r="S375" s="18">
        <v>496</v>
      </c>
      <c r="T375" s="18"/>
      <c r="U375" s="2" cm="1">
        <f t="array" aca="1" ref="U375" ca="1">INDIRECT("d" &amp; (S375+2))</f>
        <v>496</v>
      </c>
      <c r="V375" s="5">
        <f t="shared" ca="1" si="28"/>
        <v>4.0325203252032518</v>
      </c>
      <c r="W375">
        <v>373</v>
      </c>
      <c r="X375" s="18">
        <v>936</v>
      </c>
      <c r="Y375" s="18"/>
      <c r="Z375" s="2" cm="1">
        <f t="array" aca="1" ref="Z375" ca="1">INDIRECT("b" &amp; (X375+2))</f>
        <v>4.1500000000000003E+46</v>
      </c>
      <c r="AA375" s="5">
        <f t="shared" ca="1" si="30"/>
        <v>3387755102.0408163</v>
      </c>
    </row>
    <row r="376" spans="1:27">
      <c r="A376">
        <v>374</v>
      </c>
      <c r="B376">
        <v>5.9999999999999995E+27</v>
      </c>
      <c r="D376" s="18">
        <v>374</v>
      </c>
      <c r="E376" s="18" cm="1">
        <f t="array" aca="1" ref="E376" ca="1">INDIRECT("b"&amp;F376+2)</f>
        <v>4.3749999999999998E+45</v>
      </c>
      <c r="F376" s="18">
        <f t="shared" si="27"/>
        <v>897</v>
      </c>
      <c r="G376" s="18"/>
      <c r="H376" s="18"/>
      <c r="I376" s="19">
        <v>374</v>
      </c>
      <c r="J376" s="19" cm="1">
        <f t="array" aca="1" ref="J376" ca="1">INDIRECT("b"&amp;K376+2)</f>
        <v>4.3749999999999998E+74</v>
      </c>
      <c r="K376" s="19">
        <f t="shared" si="31"/>
        <v>2097</v>
      </c>
      <c r="N376" s="18">
        <v>937</v>
      </c>
      <c r="O376" s="18"/>
      <c r="P376" s="2" cm="1">
        <f t="array" aca="1" ref="P376" ca="1">INDIRECT("b" &amp; (N376+2))</f>
        <v>4.3749999999999997E+46</v>
      </c>
      <c r="Q376" s="5">
        <f t="shared" ca="1" si="29"/>
        <v>3571428571.4285707</v>
      </c>
      <c r="S376" s="18">
        <v>497</v>
      </c>
      <c r="T376" s="18"/>
      <c r="U376" s="2" cm="1">
        <f t="array" aca="1" ref="U376" ca="1">INDIRECT("d" &amp; (S376+2))</f>
        <v>497</v>
      </c>
      <c r="V376" s="5">
        <f t="shared" ca="1" si="28"/>
        <v>4.0406504065040654</v>
      </c>
      <c r="W376">
        <v>374</v>
      </c>
      <c r="X376" s="18">
        <v>937</v>
      </c>
      <c r="Y376" s="18"/>
      <c r="Z376" s="2" cm="1">
        <f t="array" aca="1" ref="Z376" ca="1">INDIRECT("b" &amp; (X376+2))</f>
        <v>4.3749999999999997E+46</v>
      </c>
      <c r="AA376" s="5">
        <f t="shared" ca="1" si="30"/>
        <v>3571428571.4285707</v>
      </c>
    </row>
    <row r="377" spans="1:27">
      <c r="A377">
        <v>375</v>
      </c>
      <c r="B377">
        <v>6.4999999999999994E+27</v>
      </c>
      <c r="D377" s="18">
        <v>375</v>
      </c>
      <c r="E377" s="18" cm="1">
        <f t="array" aca="1" ref="E377" ca="1">INDIRECT("b"&amp;F377+2)</f>
        <v>4.5999999999999996E+45</v>
      </c>
      <c r="F377" s="18">
        <f t="shared" si="27"/>
        <v>898</v>
      </c>
      <c r="G377" s="18"/>
      <c r="H377" s="18"/>
      <c r="I377" s="19">
        <v>375</v>
      </c>
      <c r="J377" s="19" cm="1">
        <f t="array" aca="1" ref="J377" ca="1">INDIRECT("b"&amp;K377+2)</f>
        <v>4.5999999999999997E+74</v>
      </c>
      <c r="K377" s="19">
        <f t="shared" si="31"/>
        <v>2098</v>
      </c>
      <c r="N377" s="18">
        <v>938</v>
      </c>
      <c r="O377" s="18"/>
      <c r="P377" s="2" cm="1">
        <f t="array" aca="1" ref="P377" ca="1">INDIRECT("b" &amp; (N377+2))</f>
        <v>4.6000000000000001E+46</v>
      </c>
      <c r="Q377" s="5">
        <f t="shared" ca="1" si="29"/>
        <v>3755102040.8163261</v>
      </c>
      <c r="S377" s="18">
        <v>498</v>
      </c>
      <c r="T377" s="18"/>
      <c r="U377" s="2" cm="1">
        <f t="array" aca="1" ref="U377" ca="1">INDIRECT("d" &amp; (S377+2))</f>
        <v>498</v>
      </c>
      <c r="V377" s="5">
        <f t="shared" ca="1" si="28"/>
        <v>4.0487804878048781</v>
      </c>
      <c r="W377">
        <v>375</v>
      </c>
      <c r="X377" s="18">
        <v>938</v>
      </c>
      <c r="Y377" s="18"/>
      <c r="Z377" s="2" cm="1">
        <f t="array" aca="1" ref="Z377" ca="1">INDIRECT("b" &amp; (X377+2))</f>
        <v>4.6000000000000001E+46</v>
      </c>
      <c r="AA377" s="5">
        <f t="shared" ca="1" si="30"/>
        <v>3755102040.8163261</v>
      </c>
    </row>
    <row r="378" spans="1:27">
      <c r="A378">
        <v>376</v>
      </c>
      <c r="B378">
        <v>7.0000000000000004E+27</v>
      </c>
      <c r="D378" s="18">
        <v>376</v>
      </c>
      <c r="E378" s="18" cm="1">
        <f t="array" aca="1" ref="E378" ca="1">INDIRECT("b"&amp;F378+2)</f>
        <v>5.0499999999999999E+45</v>
      </c>
      <c r="F378" s="18">
        <f t="shared" si="27"/>
        <v>900</v>
      </c>
      <c r="G378" s="18"/>
      <c r="H378" s="18"/>
      <c r="I378" s="19">
        <v>376</v>
      </c>
      <c r="J378" s="19" cm="1">
        <f t="array" aca="1" ref="J378" ca="1">INDIRECT("b"&amp;K378+2)</f>
        <v>5.0499999999999995E+74</v>
      </c>
      <c r="K378" s="19">
        <f t="shared" si="31"/>
        <v>2100</v>
      </c>
      <c r="N378" s="18">
        <v>939</v>
      </c>
      <c r="O378" s="18"/>
      <c r="P378" s="2" cm="1">
        <f t="array" aca="1" ref="P378" ca="1">INDIRECT("b" &amp; (N378+2))</f>
        <v>4.8250000000000006E+46</v>
      </c>
      <c r="Q378" s="5">
        <f t="shared" ca="1" si="29"/>
        <v>3938775510.2040815</v>
      </c>
      <c r="S378" s="18">
        <v>499</v>
      </c>
      <c r="T378" s="18"/>
      <c r="U378" s="2" cm="1">
        <f t="array" aca="1" ref="U378" ca="1">INDIRECT("d" &amp; (S378+2))</f>
        <v>499</v>
      </c>
      <c r="V378" s="5">
        <f t="shared" ca="1" si="28"/>
        <v>4.0569105691056908</v>
      </c>
      <c r="W378">
        <v>376</v>
      </c>
      <c r="X378" s="18">
        <v>939</v>
      </c>
      <c r="Y378" s="18"/>
      <c r="Z378" s="2" cm="1">
        <f t="array" aca="1" ref="Z378" ca="1">INDIRECT("b" &amp; (X378+2))</f>
        <v>4.8250000000000006E+46</v>
      </c>
      <c r="AA378" s="5">
        <f t="shared" ca="1" si="30"/>
        <v>3938775510.2040815</v>
      </c>
    </row>
    <row r="379" spans="1:27">
      <c r="A379">
        <v>377</v>
      </c>
      <c r="B379">
        <v>7.5000000000000002E+27</v>
      </c>
      <c r="D379" s="18">
        <v>377</v>
      </c>
      <c r="E379" s="18" cm="1">
        <f t="array" aca="1" ref="E379" ca="1">INDIRECT("b"&amp;F379+2)</f>
        <v>5.2749999999999997E+45</v>
      </c>
      <c r="F379" s="18">
        <f t="shared" si="27"/>
        <v>901</v>
      </c>
      <c r="G379" s="18"/>
      <c r="H379" s="18"/>
      <c r="I379" s="19">
        <v>377</v>
      </c>
      <c r="J379" s="19" cm="1">
        <f t="array" aca="1" ref="J379" ca="1">INDIRECT("b"&amp;K379+2)</f>
        <v>5.2749999999999994E+74</v>
      </c>
      <c r="K379" s="19">
        <f t="shared" si="31"/>
        <v>2101</v>
      </c>
      <c r="N379" s="18">
        <v>940</v>
      </c>
      <c r="O379" s="18"/>
      <c r="P379" s="2" cm="1">
        <f t="array" aca="1" ref="P379" ca="1">INDIRECT("b" &amp; (N379+2))</f>
        <v>5.05E+46</v>
      </c>
      <c r="Q379" s="5">
        <f t="shared" ca="1" si="29"/>
        <v>4122448979.5918365</v>
      </c>
      <c r="S379" s="18">
        <v>500</v>
      </c>
      <c r="T379" s="18"/>
      <c r="U379" s="2" cm="1">
        <f t="array" aca="1" ref="U379" ca="1">INDIRECT("d" &amp; (S379+2))</f>
        <v>500</v>
      </c>
      <c r="V379" s="5">
        <f t="shared" ca="1" si="28"/>
        <v>4.0650406504065044</v>
      </c>
      <c r="W379">
        <v>377</v>
      </c>
      <c r="X379" s="18">
        <v>940</v>
      </c>
      <c r="Y379" s="18"/>
      <c r="Z379" s="2" cm="1">
        <f t="array" aca="1" ref="Z379" ca="1">INDIRECT("b" &amp; (X379+2))</f>
        <v>5.05E+46</v>
      </c>
      <c r="AA379" s="5">
        <f t="shared" ca="1" si="30"/>
        <v>4122448979.5918365</v>
      </c>
    </row>
    <row r="380" spans="1:27">
      <c r="A380">
        <v>378</v>
      </c>
      <c r="B380">
        <v>8.0000000000000001E+27</v>
      </c>
      <c r="D380" s="18">
        <v>378</v>
      </c>
      <c r="E380" s="18" cm="1">
        <f t="array" aca="1" ref="E380" ca="1">INDIRECT("b"&amp;F380+2)</f>
        <v>5.4999999999999995E+45</v>
      </c>
      <c r="F380" s="18">
        <f t="shared" si="27"/>
        <v>902</v>
      </c>
      <c r="G380" s="18"/>
      <c r="H380" s="18"/>
      <c r="I380" s="19">
        <v>378</v>
      </c>
      <c r="J380" s="19" cm="1">
        <f t="array" aca="1" ref="J380" ca="1">INDIRECT("b"&amp;K380+2)</f>
        <v>5.4999999999999993E+74</v>
      </c>
      <c r="K380" s="19">
        <f t="shared" si="31"/>
        <v>2102</v>
      </c>
      <c r="N380" s="18">
        <v>941</v>
      </c>
      <c r="O380" s="18"/>
      <c r="P380" s="2" cm="1">
        <f t="array" aca="1" ref="P380" ca="1">INDIRECT("b" &amp; (N380+2))</f>
        <v>5.2749999999999994E+46</v>
      </c>
      <c r="Q380" s="5">
        <f t="shared" ca="1" si="29"/>
        <v>4306122448.9795914</v>
      </c>
      <c r="S380" s="18">
        <v>501</v>
      </c>
      <c r="T380" s="18"/>
      <c r="U380" s="2" cm="1">
        <f t="array" aca="1" ref="U380" ca="1">INDIRECT("d" &amp; (S380+2))</f>
        <v>501</v>
      </c>
      <c r="V380" s="5">
        <f t="shared" ca="1" si="28"/>
        <v>4.0731707317073171</v>
      </c>
      <c r="W380">
        <v>378</v>
      </c>
      <c r="X380" s="18">
        <v>941</v>
      </c>
      <c r="Y380" s="18"/>
      <c r="Z380" s="2" cm="1">
        <f t="array" aca="1" ref="Z380" ca="1">INDIRECT("b" &amp; (X380+2))</f>
        <v>5.2749999999999994E+46</v>
      </c>
      <c r="AA380" s="5">
        <f t="shared" ca="1" si="30"/>
        <v>4306122448.9795914</v>
      </c>
    </row>
    <row r="381" spans="1:27">
      <c r="A381">
        <v>379</v>
      </c>
      <c r="B381">
        <v>8.5E+27</v>
      </c>
      <c r="D381" s="18">
        <v>379</v>
      </c>
      <c r="E381" s="18" cm="1">
        <f t="array" aca="1" ref="E381" ca="1">INDIRECT("b"&amp;F381+2)</f>
        <v>5.950000000000001E+45</v>
      </c>
      <c r="F381" s="18">
        <f t="shared" ref="F381:F444" si="32">INT((A381-123)*1.333333)+563</f>
        <v>904</v>
      </c>
      <c r="G381" s="18"/>
      <c r="H381" s="18"/>
      <c r="I381" s="19">
        <v>379</v>
      </c>
      <c r="J381" s="19" cm="1">
        <f t="array" aca="1" ref="J381" ca="1">INDIRECT("b"&amp;K381+2)</f>
        <v>5.9500000000000001E+74</v>
      </c>
      <c r="K381" s="19">
        <f t="shared" si="31"/>
        <v>2104</v>
      </c>
      <c r="N381" s="18">
        <v>942</v>
      </c>
      <c r="O381" s="18"/>
      <c r="P381" s="2" cm="1">
        <f t="array" aca="1" ref="P381" ca="1">INDIRECT("b" &amp; (N381+2))</f>
        <v>5.4999999999999998E+46</v>
      </c>
      <c r="Q381" s="5">
        <f t="shared" ca="1" si="29"/>
        <v>4489795918.3673468</v>
      </c>
      <c r="S381" s="18">
        <v>502</v>
      </c>
      <c r="T381" s="18"/>
      <c r="U381" s="2" cm="1">
        <f t="array" aca="1" ref="U381" ca="1">INDIRECT("d" &amp; (S381+2))</f>
        <v>502</v>
      </c>
      <c r="V381" s="5">
        <f t="shared" ca="1" si="28"/>
        <v>4.0813008130081299</v>
      </c>
      <c r="W381">
        <v>379</v>
      </c>
      <c r="X381" s="18">
        <v>942</v>
      </c>
      <c r="Y381" s="18"/>
      <c r="Z381" s="2" cm="1">
        <f t="array" aca="1" ref="Z381" ca="1">INDIRECT("b" &amp; (X381+2))</f>
        <v>5.4999999999999998E+46</v>
      </c>
      <c r="AA381" s="5">
        <f t="shared" ca="1" si="30"/>
        <v>4489795918.3673468</v>
      </c>
    </row>
    <row r="382" spans="1:27">
      <c r="A382">
        <v>380</v>
      </c>
      <c r="B382">
        <v>8.9999999999999998E+27</v>
      </c>
      <c r="D382" s="18">
        <v>380</v>
      </c>
      <c r="E382" s="18" cm="1">
        <f t="array" aca="1" ref="E382" ca="1">INDIRECT("b"&amp;F382+2)</f>
        <v>6.1750000000000001E+45</v>
      </c>
      <c r="F382" s="18">
        <f t="shared" si="32"/>
        <v>905</v>
      </c>
      <c r="G382" s="18"/>
      <c r="H382" s="18"/>
      <c r="I382" s="19">
        <v>380</v>
      </c>
      <c r="J382" s="19" cm="1">
        <f t="array" aca="1" ref="J382" ca="1">INDIRECT("b"&amp;K382+2)</f>
        <v>6.175E+74</v>
      </c>
      <c r="K382" s="19">
        <f t="shared" si="31"/>
        <v>2105</v>
      </c>
      <c r="N382" s="18">
        <v>943</v>
      </c>
      <c r="O382" s="18"/>
      <c r="P382" s="2" cm="1">
        <f t="array" aca="1" ref="P382" ca="1">INDIRECT("b" &amp; (N382+2))</f>
        <v>5.7250000000000003E+46</v>
      </c>
      <c r="Q382" s="5">
        <f t="shared" ca="1" si="29"/>
        <v>4673469387.7551022</v>
      </c>
      <c r="S382" s="18">
        <v>503</v>
      </c>
      <c r="T382" s="18"/>
      <c r="U382" s="2" cm="1">
        <f t="array" aca="1" ref="U382" ca="1">INDIRECT("d" &amp; (S382+2))</f>
        <v>503</v>
      </c>
      <c r="V382" s="5">
        <f t="shared" ca="1" si="28"/>
        <v>4.0894308943089435</v>
      </c>
      <c r="W382">
        <v>380</v>
      </c>
      <c r="X382" s="18">
        <v>943</v>
      </c>
      <c r="Y382" s="18"/>
      <c r="Z382" s="2" cm="1">
        <f t="array" aca="1" ref="Z382" ca="1">INDIRECT("b" &amp; (X382+2))</f>
        <v>5.7250000000000003E+46</v>
      </c>
      <c r="AA382" s="5">
        <f t="shared" ca="1" si="30"/>
        <v>4673469387.7551022</v>
      </c>
    </row>
    <row r="383" spans="1:27">
      <c r="A383">
        <v>381</v>
      </c>
      <c r="B383">
        <v>9.4999999999999997E+27</v>
      </c>
      <c r="D383" s="18">
        <v>381</v>
      </c>
      <c r="E383" s="18" cm="1">
        <f t="array" aca="1" ref="E383" ca="1">INDIRECT("b"&amp;F383+2)</f>
        <v>6.3999999999999993E+45</v>
      </c>
      <c r="F383" s="18">
        <f t="shared" si="32"/>
        <v>906</v>
      </c>
      <c r="G383" s="18"/>
      <c r="H383" s="18"/>
      <c r="I383" s="19">
        <v>381</v>
      </c>
      <c r="J383" s="19" cm="1">
        <f t="array" aca="1" ref="J383" ca="1">INDIRECT("b"&amp;K383+2)</f>
        <v>6.3999999999999999E+74</v>
      </c>
      <c r="K383" s="19">
        <f t="shared" si="31"/>
        <v>2106</v>
      </c>
      <c r="N383" s="18">
        <v>944</v>
      </c>
      <c r="O383" s="18"/>
      <c r="P383" s="2" cm="1">
        <f t="array" aca="1" ref="P383" ca="1">INDIRECT("b" &amp; (N383+2))</f>
        <v>5.9500000000000007E+46</v>
      </c>
      <c r="Q383" s="5">
        <f t="shared" ca="1" si="29"/>
        <v>4857142857.1428576</v>
      </c>
      <c r="S383" s="18">
        <v>504</v>
      </c>
      <c r="T383" s="18"/>
      <c r="U383" s="2" cm="1">
        <f t="array" aca="1" ref="U383" ca="1">INDIRECT("d" &amp; (S383+2))</f>
        <v>504</v>
      </c>
      <c r="V383" s="5">
        <f t="shared" ca="1" si="28"/>
        <v>4.0975609756097562</v>
      </c>
      <c r="W383">
        <v>381</v>
      </c>
      <c r="X383" s="18">
        <v>944</v>
      </c>
      <c r="Y383" s="18"/>
      <c r="Z383" s="2" cm="1">
        <f t="array" aca="1" ref="Z383" ca="1">INDIRECT("b" &amp; (X383+2))</f>
        <v>5.9500000000000007E+46</v>
      </c>
      <c r="AA383" s="5">
        <f t="shared" ca="1" si="30"/>
        <v>4857142857.1428576</v>
      </c>
    </row>
    <row r="384" spans="1:27">
      <c r="A384">
        <v>382</v>
      </c>
      <c r="B384">
        <v>9.9999999999999996E+27</v>
      </c>
      <c r="D384" s="18">
        <v>382</v>
      </c>
      <c r="E384" s="18" cm="1">
        <f t="array" aca="1" ref="E384" ca="1">INDIRECT("b"&amp;F384+2)</f>
        <v>6.8500000000000002E+45</v>
      </c>
      <c r="F384" s="18">
        <f t="shared" si="32"/>
        <v>908</v>
      </c>
      <c r="G384" s="18"/>
      <c r="H384" s="18"/>
      <c r="I384" s="19">
        <v>382</v>
      </c>
      <c r="J384" s="19" cm="1">
        <f t="array" aca="1" ref="J384" ca="1">INDIRECT("b"&amp;K384+2)</f>
        <v>6.8499999999999997E+74</v>
      </c>
      <c r="K384" s="19">
        <f t="shared" si="31"/>
        <v>2108</v>
      </c>
      <c r="N384" s="18">
        <v>945</v>
      </c>
      <c r="O384" s="18"/>
      <c r="P384" s="2" cm="1">
        <f t="array" aca="1" ref="P384" ca="1">INDIRECT("b" &amp; (N384+2))</f>
        <v>6.1750000000000001E+46</v>
      </c>
      <c r="Q384" s="5">
        <f t="shared" ca="1" si="29"/>
        <v>5040816326.530612</v>
      </c>
      <c r="S384" s="18">
        <v>505</v>
      </c>
      <c r="T384" s="18"/>
      <c r="U384" s="2" cm="1">
        <f t="array" aca="1" ref="U384" ca="1">INDIRECT("d" &amp; (S384+2))</f>
        <v>505</v>
      </c>
      <c r="V384" s="5">
        <f t="shared" ca="1" si="28"/>
        <v>4.1056910569105689</v>
      </c>
      <c r="W384">
        <v>382</v>
      </c>
      <c r="X384" s="18">
        <v>945</v>
      </c>
      <c r="Y384" s="18"/>
      <c r="Z384" s="2" cm="1">
        <f t="array" aca="1" ref="Z384" ca="1">INDIRECT("b" &amp; (X384+2))</f>
        <v>6.1750000000000001E+46</v>
      </c>
      <c r="AA384" s="5">
        <f t="shared" ca="1" si="30"/>
        <v>5040816326.530612</v>
      </c>
    </row>
    <row r="385" spans="1:27">
      <c r="A385">
        <v>383</v>
      </c>
      <c r="B385">
        <v>1.0500000000000002E+28</v>
      </c>
      <c r="D385" s="18">
        <v>383</v>
      </c>
      <c r="E385" s="18" cm="1">
        <f t="array" aca="1" ref="E385" ca="1">INDIRECT("b"&amp;F385+2)</f>
        <v>7.0749999999999993E+45</v>
      </c>
      <c r="F385" s="18">
        <f t="shared" si="32"/>
        <v>909</v>
      </c>
      <c r="G385" s="18"/>
      <c r="H385" s="18"/>
      <c r="I385" s="19">
        <v>383</v>
      </c>
      <c r="J385" s="19" cm="1">
        <f t="array" aca="1" ref="J385" ca="1">INDIRECT("b"&amp;K385+2)</f>
        <v>7.0749999999999996E+74</v>
      </c>
      <c r="K385" s="19">
        <f t="shared" si="31"/>
        <v>2109</v>
      </c>
      <c r="N385" s="18">
        <v>946</v>
      </c>
      <c r="O385" s="18"/>
      <c r="P385" s="2" cm="1">
        <f t="array" aca="1" ref="P385" ca="1">INDIRECT("b" &amp; (N385+2))</f>
        <v>6.3999999999999996E+46</v>
      </c>
      <c r="Q385" s="5">
        <f t="shared" ca="1" si="29"/>
        <v>5224489795.9183664</v>
      </c>
      <c r="S385" s="18">
        <v>506</v>
      </c>
      <c r="T385" s="18"/>
      <c r="U385" s="2" cm="1">
        <f t="array" aca="1" ref="U385" ca="1">INDIRECT("d" &amp; (S385+2))</f>
        <v>506</v>
      </c>
      <c r="V385" s="5">
        <f t="shared" ca="1" si="28"/>
        <v>4.1138211382113825</v>
      </c>
      <c r="W385">
        <v>383</v>
      </c>
      <c r="X385" s="18">
        <v>946</v>
      </c>
      <c r="Y385" s="18"/>
      <c r="Z385" s="2" cm="1">
        <f t="array" aca="1" ref="Z385" ca="1">INDIRECT("b" &amp; (X385+2))</f>
        <v>6.3999999999999996E+46</v>
      </c>
      <c r="AA385" s="5">
        <f t="shared" ca="1" si="30"/>
        <v>5224489795.9183664</v>
      </c>
    </row>
    <row r="386" spans="1:27">
      <c r="A386">
        <v>384</v>
      </c>
      <c r="B386">
        <v>1.0999999999999999E+28</v>
      </c>
      <c r="D386" s="18">
        <v>384</v>
      </c>
      <c r="E386" s="18" cm="1">
        <f t="array" aca="1" ref="E386" ca="1">INDIRECT("b"&amp;F386+2)</f>
        <v>7.300000000000001E+45</v>
      </c>
      <c r="F386" s="18">
        <f t="shared" si="32"/>
        <v>910</v>
      </c>
      <c r="G386" s="18"/>
      <c r="H386" s="18"/>
      <c r="I386" s="19">
        <v>384</v>
      </c>
      <c r="J386" s="19" cm="1">
        <f t="array" aca="1" ref="J386" ca="1">INDIRECT("b"&amp;K386+2)</f>
        <v>7.2999999999999995E+74</v>
      </c>
      <c r="K386" s="19">
        <f t="shared" si="31"/>
        <v>2110</v>
      </c>
      <c r="N386" s="18">
        <v>947</v>
      </c>
      <c r="O386" s="18"/>
      <c r="P386" s="2" cm="1">
        <f t="array" aca="1" ref="P386" ca="1">INDIRECT("b" &amp; (N386+2))</f>
        <v>6.625000000000001E+46</v>
      </c>
      <c r="Q386" s="5">
        <f t="shared" ca="1" si="29"/>
        <v>5408163265.3061228</v>
      </c>
      <c r="S386" s="18">
        <v>507</v>
      </c>
      <c r="T386" s="18"/>
      <c r="U386" s="2" cm="1">
        <f t="array" aca="1" ref="U386" ca="1">INDIRECT("d" &amp; (S386+2))</f>
        <v>507</v>
      </c>
      <c r="V386" s="5">
        <f t="shared" ref="V386:V440" ca="1" si="33">U386/U$2</f>
        <v>4.1219512195121952</v>
      </c>
      <c r="W386">
        <v>384</v>
      </c>
      <c r="X386" s="18">
        <v>947</v>
      </c>
      <c r="Y386" s="18"/>
      <c r="Z386" s="2" cm="1">
        <f t="array" aca="1" ref="Z386" ca="1">INDIRECT("b" &amp; (X386+2))</f>
        <v>6.625000000000001E+46</v>
      </c>
      <c r="AA386" s="5">
        <f t="shared" ca="1" si="30"/>
        <v>5408163265.3061228</v>
      </c>
    </row>
    <row r="387" spans="1:27">
      <c r="A387">
        <v>385</v>
      </c>
      <c r="B387">
        <v>1.5E+28</v>
      </c>
      <c r="D387" s="18">
        <v>385</v>
      </c>
      <c r="E387" s="18" cm="1">
        <f t="array" aca="1" ref="E387" ca="1">INDIRECT("b"&amp;F387+2)</f>
        <v>7.7500000000000006E+45</v>
      </c>
      <c r="F387" s="18">
        <f t="shared" si="32"/>
        <v>912</v>
      </c>
      <c r="G387" s="18"/>
      <c r="H387" s="18"/>
      <c r="I387" s="19">
        <v>385</v>
      </c>
      <c r="J387" s="19" cm="1">
        <f t="array" aca="1" ref="J387" ca="1">INDIRECT("b"&amp;K387+2)</f>
        <v>7.7499999999999993E+74</v>
      </c>
      <c r="K387" s="19">
        <f t="shared" si="31"/>
        <v>2112</v>
      </c>
      <c r="N387" s="18">
        <v>948</v>
      </c>
      <c r="O387" s="18"/>
      <c r="P387" s="2" cm="1">
        <f t="array" aca="1" ref="P387" ca="1">INDIRECT("b" &amp; (N387+2))</f>
        <v>6.8500000000000004E+46</v>
      </c>
      <c r="Q387" s="5">
        <f t="shared" ref="Q387:Q440" ca="1" si="34">P387/$P$2</f>
        <v>5591836734.6938772</v>
      </c>
      <c r="S387" s="18">
        <v>508</v>
      </c>
      <c r="T387" s="18"/>
      <c r="U387" s="2" cm="1">
        <f t="array" aca="1" ref="U387" ca="1">INDIRECT("d" &amp; (S387+2))</f>
        <v>508</v>
      </c>
      <c r="V387" s="5">
        <f t="shared" ca="1" si="33"/>
        <v>4.1300813008130079</v>
      </c>
      <c r="W387">
        <v>385</v>
      </c>
      <c r="X387" s="18">
        <v>948</v>
      </c>
      <c r="Y387" s="18"/>
      <c r="Z387" s="2" cm="1">
        <f t="array" aca="1" ref="Z387" ca="1">INDIRECT("b" &amp; (X387+2))</f>
        <v>6.8500000000000004E+46</v>
      </c>
      <c r="AA387" s="5">
        <f t="shared" ref="AA387:AA440" ca="1" si="35">Z387/$P$2</f>
        <v>5591836734.6938772</v>
      </c>
    </row>
    <row r="388" spans="1:27">
      <c r="A388">
        <v>386</v>
      </c>
      <c r="B388">
        <v>1.9999999999999999E+28</v>
      </c>
      <c r="D388" s="18">
        <v>386</v>
      </c>
      <c r="E388" s="18" cm="1">
        <f t="array" aca="1" ref="E388" ca="1">INDIRECT("b"&amp;F388+2)</f>
        <v>7.9749999999999998E+45</v>
      </c>
      <c r="F388" s="18">
        <f t="shared" si="32"/>
        <v>913</v>
      </c>
      <c r="G388" s="18"/>
      <c r="H388" s="18"/>
      <c r="I388" s="19">
        <v>386</v>
      </c>
      <c r="J388" s="19" cm="1">
        <f t="array" aca="1" ref="J388" ca="1">INDIRECT("b"&amp;K388+2)</f>
        <v>7.9749999999999992E+74</v>
      </c>
      <c r="K388" s="19">
        <f t="shared" ref="K388:K451" si="36">INT((A388-1)*40/30+900*40/30)+400</f>
        <v>2113</v>
      </c>
      <c r="N388" s="18">
        <v>949</v>
      </c>
      <c r="O388" s="18"/>
      <c r="P388" s="2" cm="1">
        <f t="array" aca="1" ref="P388" ca="1">INDIRECT("b" &amp; (N388+2))</f>
        <v>7.0749999999999998E+46</v>
      </c>
      <c r="Q388" s="5">
        <f t="shared" ca="1" si="34"/>
        <v>5775510204.0816317</v>
      </c>
      <c r="S388" s="18">
        <v>509</v>
      </c>
      <c r="T388" s="18"/>
      <c r="U388" s="2" cm="1">
        <f t="array" aca="1" ref="U388" ca="1">INDIRECT("d" &amp; (S388+2))</f>
        <v>509</v>
      </c>
      <c r="V388" s="5">
        <f t="shared" ca="1" si="33"/>
        <v>4.1382113821138216</v>
      </c>
      <c r="W388">
        <v>386</v>
      </c>
      <c r="X388" s="18">
        <v>949</v>
      </c>
      <c r="Y388" s="18"/>
      <c r="Z388" s="2" cm="1">
        <f t="array" aca="1" ref="Z388" ca="1">INDIRECT("b" &amp; (X388+2))</f>
        <v>7.0749999999999998E+46</v>
      </c>
      <c r="AA388" s="5">
        <f t="shared" ca="1" si="35"/>
        <v>5775510204.0816317</v>
      </c>
    </row>
    <row r="389" spans="1:27">
      <c r="A389">
        <v>387</v>
      </c>
      <c r="B389">
        <v>2.5000000000000002E+28</v>
      </c>
      <c r="D389" s="18">
        <v>387</v>
      </c>
      <c r="E389" s="18" cm="1">
        <f t="array" aca="1" ref="E389" ca="1">INDIRECT("b"&amp;F389+2)</f>
        <v>8.199999999999999E+45</v>
      </c>
      <c r="F389" s="18">
        <f t="shared" si="32"/>
        <v>914</v>
      </c>
      <c r="G389" s="18"/>
      <c r="H389" s="18"/>
      <c r="I389" s="19">
        <v>387</v>
      </c>
      <c r="J389" s="19" cm="1">
        <f t="array" aca="1" ref="J389" ca="1">INDIRECT("b"&amp;K389+2)</f>
        <v>8.1999999999999991E+74</v>
      </c>
      <c r="K389" s="19">
        <f t="shared" si="36"/>
        <v>2114</v>
      </c>
      <c r="N389" s="18">
        <v>950</v>
      </c>
      <c r="O389" s="18"/>
      <c r="P389" s="2" cm="1">
        <f t="array" aca="1" ref="P389" ca="1">INDIRECT("b" &amp; (N389+2))</f>
        <v>7.3000000000000003E+46</v>
      </c>
      <c r="Q389" s="5">
        <f t="shared" ca="1" si="34"/>
        <v>5959183673.4693871</v>
      </c>
      <c r="S389" s="18">
        <v>510</v>
      </c>
      <c r="T389" s="18"/>
      <c r="U389" s="2" cm="1">
        <f t="array" aca="1" ref="U389" ca="1">INDIRECT("d" &amp; (S389+2))</f>
        <v>510</v>
      </c>
      <c r="V389" s="5">
        <f t="shared" ca="1" si="33"/>
        <v>4.1463414634146343</v>
      </c>
      <c r="W389">
        <v>387</v>
      </c>
      <c r="X389" s="18">
        <v>950</v>
      </c>
      <c r="Y389" s="18"/>
      <c r="Z389" s="2" cm="1">
        <f t="array" aca="1" ref="Z389" ca="1">INDIRECT("b" &amp; (X389+2))</f>
        <v>7.3000000000000003E+46</v>
      </c>
      <c r="AA389" s="5">
        <f t="shared" ca="1" si="35"/>
        <v>5959183673.4693871</v>
      </c>
    </row>
    <row r="390" spans="1:27">
      <c r="A390">
        <v>388</v>
      </c>
      <c r="B390">
        <v>3.0000000000000001E+28</v>
      </c>
      <c r="D390" s="18">
        <v>388</v>
      </c>
      <c r="E390" s="18" cm="1">
        <f t="array" aca="1" ref="E390" ca="1">INDIRECT("b"&amp;F390+2)</f>
        <v>8.6499999999999999E+45</v>
      </c>
      <c r="F390" s="18">
        <f t="shared" si="32"/>
        <v>916</v>
      </c>
      <c r="G390" s="18"/>
      <c r="H390" s="18"/>
      <c r="I390" s="19">
        <v>388</v>
      </c>
      <c r="J390" s="19" cm="1">
        <f t="array" aca="1" ref="J390" ca="1">INDIRECT("b"&amp;K390+2)</f>
        <v>8.6499999999999999E+74</v>
      </c>
      <c r="K390" s="19">
        <f t="shared" si="36"/>
        <v>2116</v>
      </c>
      <c r="N390" s="18">
        <v>951</v>
      </c>
      <c r="O390" s="18"/>
      <c r="P390" s="2" cm="1">
        <f t="array" aca="1" ref="P390" ca="1">INDIRECT("b" &amp; (N390+2))</f>
        <v>7.5249999999999997E+46</v>
      </c>
      <c r="Q390" s="5">
        <f t="shared" ca="1" si="34"/>
        <v>6142857142.8571424</v>
      </c>
      <c r="S390" s="18">
        <v>511</v>
      </c>
      <c r="T390" s="18"/>
      <c r="U390" s="2" cm="1">
        <f t="array" aca="1" ref="U390" ca="1">INDIRECT("d" &amp; (S390+2))</f>
        <v>511</v>
      </c>
      <c r="V390" s="5">
        <f t="shared" ca="1" si="33"/>
        <v>4.154471544715447</v>
      </c>
      <c r="W390">
        <v>388</v>
      </c>
      <c r="X390" s="18">
        <v>951</v>
      </c>
      <c r="Y390" s="18"/>
      <c r="Z390" s="2" cm="1">
        <f t="array" aca="1" ref="Z390" ca="1">INDIRECT("b" &amp; (X390+2))</f>
        <v>7.5249999999999997E+46</v>
      </c>
      <c r="AA390" s="5">
        <f t="shared" ca="1" si="35"/>
        <v>6142857142.8571424</v>
      </c>
    </row>
    <row r="391" spans="1:27">
      <c r="A391">
        <v>389</v>
      </c>
      <c r="B391">
        <v>3.5000000000000004E+28</v>
      </c>
      <c r="D391" s="18">
        <v>389</v>
      </c>
      <c r="E391" s="18" cm="1">
        <f t="array" aca="1" ref="E391" ca="1">INDIRECT("b"&amp;F391+2)</f>
        <v>8.874999999999999E+45</v>
      </c>
      <c r="F391" s="18">
        <f t="shared" si="32"/>
        <v>917</v>
      </c>
      <c r="G391" s="18"/>
      <c r="H391" s="18"/>
      <c r="I391" s="19">
        <v>389</v>
      </c>
      <c r="J391" s="19" cm="1">
        <f t="array" aca="1" ref="J391" ca="1">INDIRECT("b"&amp;K391+2)</f>
        <v>8.8749999999999998E+74</v>
      </c>
      <c r="K391" s="19">
        <f t="shared" si="36"/>
        <v>2117</v>
      </c>
      <c r="N391" s="18">
        <v>952</v>
      </c>
      <c r="O391" s="18"/>
      <c r="P391" s="2" cm="1">
        <f t="array" aca="1" ref="P391" ca="1">INDIRECT("b" &amp; (N391+2))</f>
        <v>7.7500000000000001E+46</v>
      </c>
      <c r="Q391" s="5">
        <f t="shared" ca="1" si="34"/>
        <v>6326530612.2448978</v>
      </c>
      <c r="S391" s="18">
        <v>512</v>
      </c>
      <c r="T391" s="18"/>
      <c r="U391" s="2" cm="1">
        <f t="array" aca="1" ref="U391" ca="1">INDIRECT("d" &amp; (S391+2))</f>
        <v>512</v>
      </c>
      <c r="V391" s="5">
        <f t="shared" ca="1" si="33"/>
        <v>4.1626016260162606</v>
      </c>
      <c r="W391">
        <v>389</v>
      </c>
      <c r="X391" s="18">
        <v>952</v>
      </c>
      <c r="Y391" s="18"/>
      <c r="Z391" s="2" cm="1">
        <f t="array" aca="1" ref="Z391" ca="1">INDIRECT("b" &amp; (X391+2))</f>
        <v>7.7500000000000001E+46</v>
      </c>
      <c r="AA391" s="5">
        <f t="shared" ca="1" si="35"/>
        <v>6326530612.2448978</v>
      </c>
    </row>
    <row r="392" spans="1:27">
      <c r="A392">
        <v>390</v>
      </c>
      <c r="B392">
        <v>3.9999999999999998E+28</v>
      </c>
      <c r="D392" s="18">
        <v>390</v>
      </c>
      <c r="E392" s="18" cm="1">
        <f t="array" aca="1" ref="E392" ca="1">INDIRECT("b"&amp;F392+2)</f>
        <v>9.0999999999999982E+45</v>
      </c>
      <c r="F392" s="18">
        <f t="shared" si="32"/>
        <v>918</v>
      </c>
      <c r="G392" s="18"/>
      <c r="H392" s="18"/>
      <c r="I392" s="19">
        <v>390</v>
      </c>
      <c r="J392" s="19" cm="1">
        <f t="array" aca="1" ref="J392" ca="1">INDIRECT("b"&amp;K392+2)</f>
        <v>9.0999999999999997E+74</v>
      </c>
      <c r="K392" s="19">
        <f t="shared" si="36"/>
        <v>2118</v>
      </c>
      <c r="N392" s="18">
        <v>953</v>
      </c>
      <c r="O392" s="18"/>
      <c r="P392" s="2" cm="1">
        <f t="array" aca="1" ref="P392" ca="1">INDIRECT("b" &amp; (N392+2))</f>
        <v>7.9750000000000006E+46</v>
      </c>
      <c r="Q392" s="5">
        <f t="shared" ca="1" si="34"/>
        <v>6510204081.6326532</v>
      </c>
      <c r="S392" s="18">
        <v>513</v>
      </c>
      <c r="T392" s="18"/>
      <c r="U392" s="2" cm="1">
        <f t="array" aca="1" ref="U392" ca="1">INDIRECT("d" &amp; (S392+2))</f>
        <v>513</v>
      </c>
      <c r="V392" s="5">
        <f t="shared" ca="1" si="33"/>
        <v>4.1707317073170733</v>
      </c>
      <c r="W392">
        <v>390</v>
      </c>
      <c r="X392" s="18">
        <v>953</v>
      </c>
      <c r="Y392" s="18"/>
      <c r="Z392" s="2" cm="1">
        <f t="array" aca="1" ref="Z392" ca="1">INDIRECT("b" &amp; (X392+2))</f>
        <v>7.9750000000000006E+46</v>
      </c>
      <c r="AA392" s="5">
        <f t="shared" ca="1" si="35"/>
        <v>6510204081.6326532</v>
      </c>
    </row>
    <row r="393" spans="1:27">
      <c r="A393">
        <v>391</v>
      </c>
      <c r="B393">
        <v>4.5000000000000006E+28</v>
      </c>
      <c r="D393" s="18">
        <v>391</v>
      </c>
      <c r="E393" s="18" cm="1">
        <f t="array" aca="1" ref="E393" ca="1">INDIRECT("b"&amp;F393+2)</f>
        <v>9.5500000000000003E+45</v>
      </c>
      <c r="F393" s="18">
        <f t="shared" si="32"/>
        <v>920</v>
      </c>
      <c r="G393" s="18"/>
      <c r="H393" s="18"/>
      <c r="I393" s="19">
        <v>391</v>
      </c>
      <c r="J393" s="19" cm="1">
        <f t="array" aca="1" ref="J393" ca="1">INDIRECT("b"&amp;K393+2)</f>
        <v>9.5499999999999995E+74</v>
      </c>
      <c r="K393" s="19">
        <f t="shared" si="36"/>
        <v>2120</v>
      </c>
      <c r="N393" s="18">
        <v>954</v>
      </c>
      <c r="O393" s="18"/>
      <c r="P393" s="2" cm="1">
        <f t="array" aca="1" ref="P393" ca="1">INDIRECT("b" &amp; (N393+2))</f>
        <v>8.199999999999999E+46</v>
      </c>
      <c r="Q393" s="5">
        <f t="shared" ca="1" si="34"/>
        <v>6693877551.0204067</v>
      </c>
      <c r="S393" s="18">
        <v>514</v>
      </c>
      <c r="T393" s="18"/>
      <c r="U393" s="2" cm="1">
        <f t="array" aca="1" ref="U393" ca="1">INDIRECT("d" &amp; (S393+2))</f>
        <v>514</v>
      </c>
      <c r="V393" s="5">
        <f t="shared" ca="1" si="33"/>
        <v>4.178861788617886</v>
      </c>
      <c r="W393">
        <v>391</v>
      </c>
      <c r="X393" s="18">
        <v>954</v>
      </c>
      <c r="Y393" s="18"/>
      <c r="Z393" s="2" cm="1">
        <f t="array" aca="1" ref="Z393" ca="1">INDIRECT("b" &amp; (X393+2))</f>
        <v>8.199999999999999E+46</v>
      </c>
      <c r="AA393" s="5">
        <f t="shared" ca="1" si="35"/>
        <v>6693877551.0204067</v>
      </c>
    </row>
    <row r="394" spans="1:27">
      <c r="A394">
        <v>392</v>
      </c>
      <c r="B394">
        <v>5.0000000000000005E+28</v>
      </c>
      <c r="D394" s="18">
        <v>392</v>
      </c>
      <c r="E394" s="18" cm="1">
        <f t="array" aca="1" ref="E394" ca="1">INDIRECT("b"&amp;F394+2)</f>
        <v>9.7749999999999995E+45</v>
      </c>
      <c r="F394" s="18">
        <f t="shared" si="32"/>
        <v>921</v>
      </c>
      <c r="G394" s="18"/>
      <c r="H394" s="18"/>
      <c r="I394" s="19">
        <v>392</v>
      </c>
      <c r="J394" s="19" cm="1">
        <f t="array" aca="1" ref="J394" ca="1">INDIRECT("b"&amp;K394+2)</f>
        <v>9.7750000000000004E+74</v>
      </c>
      <c r="K394" s="19">
        <f t="shared" si="36"/>
        <v>2121</v>
      </c>
      <c r="N394" s="18">
        <v>955</v>
      </c>
      <c r="O394" s="18"/>
      <c r="P394" s="2" cm="1">
        <f t="array" aca="1" ref="P394" ca="1">INDIRECT("b" &amp; (N394+2))</f>
        <v>8.4250000000000004E+46</v>
      </c>
      <c r="Q394" s="5">
        <f t="shared" ca="1" si="34"/>
        <v>6877551020.4081631</v>
      </c>
      <c r="S394" s="18">
        <v>515</v>
      </c>
      <c r="T394" s="18"/>
      <c r="U394" s="2" cm="1">
        <f t="array" aca="1" ref="U394" ca="1">INDIRECT("d" &amp; (S394+2))</f>
        <v>515</v>
      </c>
      <c r="V394" s="5">
        <f t="shared" ca="1" si="33"/>
        <v>4.1869918699186988</v>
      </c>
      <c r="W394">
        <v>392</v>
      </c>
      <c r="X394" s="18">
        <v>955</v>
      </c>
      <c r="Y394" s="18"/>
      <c r="Z394" s="2" cm="1">
        <f t="array" aca="1" ref="Z394" ca="1">INDIRECT("b" &amp; (X394+2))</f>
        <v>8.4250000000000004E+46</v>
      </c>
      <c r="AA394" s="5">
        <f t="shared" ca="1" si="35"/>
        <v>6877551020.4081631</v>
      </c>
    </row>
    <row r="395" spans="1:27">
      <c r="A395">
        <v>393</v>
      </c>
      <c r="B395">
        <v>5.5000000000000003E+28</v>
      </c>
      <c r="D395" s="18">
        <v>393</v>
      </c>
      <c r="E395" s="18" cm="1">
        <f t="array" aca="1" ref="E395" ca="1">INDIRECT("b"&amp;F395+2)</f>
        <v>9.9999999999999999E+45</v>
      </c>
      <c r="F395" s="18">
        <f t="shared" si="32"/>
        <v>922</v>
      </c>
      <c r="G395" s="18"/>
      <c r="H395" s="18"/>
      <c r="I395" s="19">
        <v>393</v>
      </c>
      <c r="J395" s="19" cm="1">
        <f t="array" aca="1" ref="J395" ca="1">INDIRECT("b"&amp;K395+2)</f>
        <v>9.9999999999999993E+74</v>
      </c>
      <c r="K395" s="19">
        <f t="shared" si="36"/>
        <v>2122</v>
      </c>
      <c r="N395" s="18">
        <v>956</v>
      </c>
      <c r="O395" s="18"/>
      <c r="P395" s="2" cm="1">
        <f t="array" aca="1" ref="P395" ca="1">INDIRECT("b" &amp; (N395+2))</f>
        <v>8.6499999999999988E+46</v>
      </c>
      <c r="Q395" s="5">
        <f t="shared" ca="1" si="34"/>
        <v>7061224489.7959166</v>
      </c>
      <c r="S395" s="18">
        <v>516</v>
      </c>
      <c r="T395" s="18"/>
      <c r="U395" s="2" cm="1">
        <f t="array" aca="1" ref="U395" ca="1">INDIRECT("d" &amp; (S395+2))</f>
        <v>516</v>
      </c>
      <c r="V395" s="5">
        <f t="shared" ca="1" si="33"/>
        <v>4.1951219512195124</v>
      </c>
      <c r="W395">
        <v>393</v>
      </c>
      <c r="X395" s="18">
        <v>956</v>
      </c>
      <c r="Y395" s="18"/>
      <c r="Z395" s="2" cm="1">
        <f t="array" aca="1" ref="Z395" ca="1">INDIRECT("b" &amp; (X395+2))</f>
        <v>8.6499999999999988E+46</v>
      </c>
      <c r="AA395" s="5">
        <f t="shared" ca="1" si="35"/>
        <v>7061224489.7959166</v>
      </c>
    </row>
    <row r="396" spans="1:27">
      <c r="A396">
        <v>394</v>
      </c>
      <c r="B396">
        <v>6.0000000000000002E+28</v>
      </c>
      <c r="D396" s="18">
        <v>394</v>
      </c>
      <c r="E396" s="18" cm="1">
        <f t="array" aca="1" ref="E396" ca="1">INDIRECT("b"&amp;F396+2)</f>
        <v>1.4499999999999999E+46</v>
      </c>
      <c r="F396" s="18">
        <f t="shared" si="32"/>
        <v>924</v>
      </c>
      <c r="G396" s="18"/>
      <c r="H396" s="18"/>
      <c r="I396" s="19">
        <v>394</v>
      </c>
      <c r="J396" s="19" cm="1">
        <f t="array" aca="1" ref="J396" ca="1">INDIRECT("b"&amp;K396+2)</f>
        <v>1.4499999999999999E+75</v>
      </c>
      <c r="K396" s="19">
        <f t="shared" si="36"/>
        <v>2124</v>
      </c>
      <c r="N396" s="18">
        <v>957</v>
      </c>
      <c r="O396" s="18"/>
      <c r="P396" s="2" cm="1">
        <f t="array" aca="1" ref="P396" ca="1">INDIRECT("b" &amp; (N396+2))</f>
        <v>8.8749999999999993E+46</v>
      </c>
      <c r="Q396" s="5">
        <f t="shared" ca="1" si="34"/>
        <v>7244897959.183672</v>
      </c>
      <c r="S396" s="18">
        <v>517</v>
      </c>
      <c r="T396" s="18"/>
      <c r="U396" s="2" cm="1">
        <f t="array" aca="1" ref="U396" ca="1">INDIRECT("d" &amp; (S396+2))</f>
        <v>517</v>
      </c>
      <c r="V396" s="5">
        <f t="shared" ca="1" si="33"/>
        <v>4.2032520325203251</v>
      </c>
      <c r="W396">
        <v>394</v>
      </c>
      <c r="X396" s="18">
        <v>957</v>
      </c>
      <c r="Y396" s="18"/>
      <c r="Z396" s="2" cm="1">
        <f t="array" aca="1" ref="Z396" ca="1">INDIRECT("b" &amp; (X396+2))</f>
        <v>8.8749999999999993E+46</v>
      </c>
      <c r="AA396" s="5">
        <f t="shared" ca="1" si="35"/>
        <v>7244897959.183672</v>
      </c>
    </row>
    <row r="397" spans="1:27">
      <c r="A397">
        <v>395</v>
      </c>
      <c r="B397">
        <v>6.5000000000000001E+28</v>
      </c>
      <c r="D397" s="18">
        <v>395</v>
      </c>
      <c r="E397" s="18" cm="1">
        <f t="array" aca="1" ref="E397" ca="1">INDIRECT("b"&amp;F397+2)</f>
        <v>1.675E+46</v>
      </c>
      <c r="F397" s="18">
        <f t="shared" si="32"/>
        <v>925</v>
      </c>
      <c r="G397" s="18"/>
      <c r="H397" s="18"/>
      <c r="I397" s="19">
        <v>395</v>
      </c>
      <c r="J397" s="19" cm="1">
        <f t="array" aca="1" ref="J397" ca="1">INDIRECT("b"&amp;K397+2)</f>
        <v>1.675E+75</v>
      </c>
      <c r="K397" s="19">
        <f t="shared" si="36"/>
        <v>2125</v>
      </c>
      <c r="N397" s="18">
        <v>958</v>
      </c>
      <c r="O397" s="18"/>
      <c r="P397" s="2" cm="1">
        <f t="array" aca="1" ref="P397" ca="1">INDIRECT("b" &amp; (N397+2))</f>
        <v>9.0999999999999987E+46</v>
      </c>
      <c r="Q397" s="5">
        <f t="shared" ca="1" si="34"/>
        <v>7428571428.5714273</v>
      </c>
      <c r="S397" s="18">
        <v>518</v>
      </c>
      <c r="T397" s="18"/>
      <c r="U397" s="2" cm="1">
        <f t="array" aca="1" ref="U397" ca="1">INDIRECT("d" &amp; (S397+2))</f>
        <v>518</v>
      </c>
      <c r="V397" s="5">
        <f t="shared" ca="1" si="33"/>
        <v>4.2113821138211378</v>
      </c>
      <c r="W397">
        <v>395</v>
      </c>
      <c r="X397" s="18">
        <v>958</v>
      </c>
      <c r="Y397" s="18"/>
      <c r="Z397" s="2" cm="1">
        <f t="array" aca="1" ref="Z397" ca="1">INDIRECT("b" &amp; (X397+2))</f>
        <v>9.0999999999999987E+46</v>
      </c>
      <c r="AA397" s="5">
        <f t="shared" ca="1" si="35"/>
        <v>7428571428.5714273</v>
      </c>
    </row>
    <row r="398" spans="1:27">
      <c r="A398">
        <v>396</v>
      </c>
      <c r="B398">
        <v>7.0000000000000008E+28</v>
      </c>
      <c r="D398" s="18">
        <v>396</v>
      </c>
      <c r="E398" s="18" cm="1">
        <f t="array" aca="1" ref="E398" ca="1">INDIRECT("b"&amp;F398+2)</f>
        <v>1.9000000000000002E+46</v>
      </c>
      <c r="F398" s="18">
        <f t="shared" si="32"/>
        <v>926</v>
      </c>
      <c r="G398" s="18"/>
      <c r="H398" s="18"/>
      <c r="I398" s="19">
        <v>396</v>
      </c>
      <c r="J398" s="19" cm="1">
        <f t="array" aca="1" ref="J398" ca="1">INDIRECT("b"&amp;K398+2)</f>
        <v>1.9000000000000001E+75</v>
      </c>
      <c r="K398" s="19">
        <f t="shared" si="36"/>
        <v>2126</v>
      </c>
      <c r="N398" s="18">
        <v>959</v>
      </c>
      <c r="O398" s="18"/>
      <c r="P398" s="2" cm="1">
        <f t="array" aca="1" ref="P398" ca="1">INDIRECT("b" &amp; (N398+2))</f>
        <v>9.3249999999999991E+46</v>
      </c>
      <c r="Q398" s="5">
        <f t="shared" ca="1" si="34"/>
        <v>7612244897.9591827</v>
      </c>
      <c r="S398" s="18">
        <v>519</v>
      </c>
      <c r="T398" s="18"/>
      <c r="U398" s="2" cm="1">
        <f t="array" aca="1" ref="U398" ca="1">INDIRECT("d" &amp; (S398+2))</f>
        <v>519</v>
      </c>
      <c r="V398" s="5">
        <f t="shared" ca="1" si="33"/>
        <v>4.2195121951219514</v>
      </c>
      <c r="W398">
        <v>396</v>
      </c>
      <c r="X398" s="18">
        <v>959</v>
      </c>
      <c r="Y398" s="18"/>
      <c r="Z398" s="2" cm="1">
        <f t="array" aca="1" ref="Z398" ca="1">INDIRECT("b" &amp; (X398+2))</f>
        <v>9.3249999999999991E+46</v>
      </c>
      <c r="AA398" s="5">
        <f t="shared" ca="1" si="35"/>
        <v>7612244897.9591827</v>
      </c>
    </row>
    <row r="399" spans="1:27">
      <c r="A399">
        <v>397</v>
      </c>
      <c r="B399">
        <v>7.4999999999999998E+28</v>
      </c>
      <c r="D399" s="18">
        <v>397</v>
      </c>
      <c r="E399" s="18" cm="1">
        <f t="array" aca="1" ref="E399" ca="1">INDIRECT("b"&amp;F399+2)</f>
        <v>2.3500000000000003E+46</v>
      </c>
      <c r="F399" s="18">
        <f t="shared" si="32"/>
        <v>928</v>
      </c>
      <c r="G399" s="18"/>
      <c r="H399" s="18"/>
      <c r="I399" s="19">
        <v>397</v>
      </c>
      <c r="J399" s="19" cm="1">
        <f t="array" aca="1" ref="J399" ca="1">INDIRECT("b"&amp;K399+2)</f>
        <v>2.3499999999999999E+75</v>
      </c>
      <c r="K399" s="19">
        <f t="shared" si="36"/>
        <v>2128</v>
      </c>
      <c r="N399" s="18">
        <v>960</v>
      </c>
      <c r="O399" s="18"/>
      <c r="P399" s="2" cm="1">
        <f t="array" aca="1" ref="P399" ca="1">INDIRECT("b" &amp; (N399+2))</f>
        <v>9.5499999999999996E+46</v>
      </c>
      <c r="Q399" s="5">
        <f t="shared" ca="1" si="34"/>
        <v>7795918367.3469381</v>
      </c>
      <c r="S399" s="18">
        <v>520</v>
      </c>
      <c r="T399" s="18"/>
      <c r="U399" s="2" cm="1">
        <f t="array" aca="1" ref="U399" ca="1">INDIRECT("d" &amp; (S399+2))</f>
        <v>520</v>
      </c>
      <c r="V399" s="5">
        <f t="shared" ca="1" si="33"/>
        <v>4.2276422764227641</v>
      </c>
      <c r="W399">
        <v>397</v>
      </c>
      <c r="X399" s="18">
        <v>960</v>
      </c>
      <c r="Y399" s="18"/>
      <c r="Z399" s="2" cm="1">
        <f t="array" aca="1" ref="Z399" ca="1">INDIRECT("b" &amp; (X399+2))</f>
        <v>9.5499999999999996E+46</v>
      </c>
      <c r="AA399" s="5">
        <f t="shared" ca="1" si="35"/>
        <v>7795918367.3469381</v>
      </c>
    </row>
    <row r="400" spans="1:27">
      <c r="A400">
        <v>398</v>
      </c>
      <c r="B400">
        <v>7.9999999999999997E+28</v>
      </c>
      <c r="D400" s="18">
        <v>398</v>
      </c>
      <c r="E400" s="18" cm="1">
        <f t="array" aca="1" ref="E400" ca="1">INDIRECT("b"&amp;F400+2)</f>
        <v>2.5749999999999997E+46</v>
      </c>
      <c r="F400" s="18">
        <f t="shared" si="32"/>
        <v>929</v>
      </c>
      <c r="G400" s="18"/>
      <c r="H400" s="18"/>
      <c r="I400" s="19">
        <v>398</v>
      </c>
      <c r="J400" s="19" cm="1">
        <f t="array" aca="1" ref="J400" ca="1">INDIRECT("b"&amp;K400+2)</f>
        <v>2.575E+75</v>
      </c>
      <c r="K400" s="19">
        <f t="shared" si="36"/>
        <v>2129</v>
      </c>
      <c r="N400" s="18">
        <v>961</v>
      </c>
      <c r="O400" s="18"/>
      <c r="P400" s="2" cm="1">
        <f t="array" aca="1" ref="P400" ca="1">INDIRECT("b" &amp; (N400+2))</f>
        <v>9.775E+46</v>
      </c>
      <c r="Q400" s="5">
        <f t="shared" ca="1" si="34"/>
        <v>7979591836.7346935</v>
      </c>
      <c r="S400" s="18">
        <v>521</v>
      </c>
      <c r="T400" s="18"/>
      <c r="U400" s="2" cm="1">
        <f t="array" aca="1" ref="U400" ca="1">INDIRECT("d" &amp; (S400+2))</f>
        <v>521</v>
      </c>
      <c r="V400" s="5">
        <f t="shared" ca="1" si="33"/>
        <v>4.2357723577235769</v>
      </c>
      <c r="W400">
        <v>398</v>
      </c>
      <c r="X400" s="18">
        <v>961</v>
      </c>
      <c r="Y400" s="18"/>
      <c r="Z400" s="2" cm="1">
        <f t="array" aca="1" ref="Z400" ca="1">INDIRECT("b" &amp; (X400+2))</f>
        <v>9.775E+46</v>
      </c>
      <c r="AA400" s="5">
        <f t="shared" ca="1" si="35"/>
        <v>7979591836.7346935</v>
      </c>
    </row>
    <row r="401" spans="1:27">
      <c r="A401">
        <v>399</v>
      </c>
      <c r="B401">
        <v>8.4999999999999995E+28</v>
      </c>
      <c r="D401" s="18">
        <v>399</v>
      </c>
      <c r="E401" s="18" cm="1">
        <f t="array" aca="1" ref="E401" ca="1">INDIRECT("b"&amp;F401+2)</f>
        <v>2.8000000000000002E+46</v>
      </c>
      <c r="F401" s="18">
        <f t="shared" si="32"/>
        <v>930</v>
      </c>
      <c r="G401" s="18"/>
      <c r="H401" s="18"/>
      <c r="I401" s="19">
        <v>399</v>
      </c>
      <c r="J401" s="19" cm="1">
        <f t="array" aca="1" ref="J401" ca="1">INDIRECT("b"&amp;K401+2)</f>
        <v>2.8000000000000001E+75</v>
      </c>
      <c r="K401" s="19">
        <f t="shared" si="36"/>
        <v>2130</v>
      </c>
      <c r="N401" s="18">
        <v>962</v>
      </c>
      <c r="O401" s="18"/>
      <c r="P401" s="2" cm="1">
        <f t="array" aca="1" ref="P401" ca="1">INDIRECT("b" &amp; (N401+2))</f>
        <v>1E+47</v>
      </c>
      <c r="Q401" s="5">
        <f t="shared" ca="1" si="34"/>
        <v>8163265306.1224489</v>
      </c>
      <c r="S401" s="18">
        <v>522</v>
      </c>
      <c r="T401" s="18"/>
      <c r="U401" s="2" cm="1">
        <f t="array" aca="1" ref="U401" ca="1">INDIRECT("d" &amp; (S401+2))</f>
        <v>522</v>
      </c>
      <c r="V401" s="5">
        <f t="shared" ca="1" si="33"/>
        <v>4.2439024390243905</v>
      </c>
      <c r="W401">
        <v>399</v>
      </c>
      <c r="X401" s="18">
        <v>962</v>
      </c>
      <c r="Y401" s="18"/>
      <c r="Z401" s="2" cm="1">
        <f t="array" aca="1" ref="Z401" ca="1">INDIRECT("b" &amp; (X401+2))</f>
        <v>1E+47</v>
      </c>
      <c r="AA401" s="5">
        <f t="shared" ca="1" si="35"/>
        <v>8163265306.1224489</v>
      </c>
    </row>
    <row r="402" spans="1:27">
      <c r="A402">
        <v>400</v>
      </c>
      <c r="B402">
        <v>9.0000000000000012E+28</v>
      </c>
      <c r="D402" s="18">
        <v>400</v>
      </c>
      <c r="E402" s="18" cm="1">
        <f t="array" aca="1" ref="E402" ca="1">INDIRECT("b"&amp;F402+2)</f>
        <v>3.2499999999999995E+46</v>
      </c>
      <c r="F402" s="18">
        <f t="shared" si="32"/>
        <v>932</v>
      </c>
      <c r="G402" s="18"/>
      <c r="H402" s="18"/>
      <c r="I402" s="19">
        <v>400</v>
      </c>
      <c r="J402" s="19" cm="1">
        <f t="array" aca="1" ref="J402" ca="1">INDIRECT("b"&amp;K402+2)</f>
        <v>3.2499999999999999E+75</v>
      </c>
      <c r="K402" s="19">
        <f t="shared" si="36"/>
        <v>2132</v>
      </c>
      <c r="N402" s="18">
        <v>963</v>
      </c>
      <c r="O402" s="18"/>
      <c r="P402" s="2" cm="1">
        <f t="array" aca="1" ref="P402" ca="1">INDIRECT("b" &amp; (N402+2))</f>
        <v>1.2250000000000001E+47</v>
      </c>
      <c r="Q402" s="5">
        <f t="shared" ca="1" si="34"/>
        <v>10000000000</v>
      </c>
      <c r="S402" s="18">
        <v>523</v>
      </c>
      <c r="T402" s="18"/>
      <c r="U402" s="2" cm="1">
        <f t="array" aca="1" ref="U402" ca="1">INDIRECT("d" &amp; (S402+2))</f>
        <v>523</v>
      </c>
      <c r="V402" s="5">
        <f t="shared" ca="1" si="33"/>
        <v>4.2520325203252032</v>
      </c>
      <c r="W402">
        <v>400</v>
      </c>
      <c r="X402" s="18">
        <v>963</v>
      </c>
      <c r="Y402" s="18"/>
      <c r="Z402" s="2" cm="1">
        <f t="array" aca="1" ref="Z402" ca="1">INDIRECT("b" &amp; (X402+2))</f>
        <v>1.2250000000000001E+47</v>
      </c>
      <c r="AA402" s="5">
        <f t="shared" ca="1" si="35"/>
        <v>10000000000</v>
      </c>
    </row>
    <row r="403" spans="1:27">
      <c r="A403">
        <v>401</v>
      </c>
      <c r="B403">
        <v>9.4999999999999993E+28</v>
      </c>
      <c r="D403" s="18">
        <v>401</v>
      </c>
      <c r="E403" s="18" cm="1">
        <f t="array" aca="1" ref="E403" ca="1">INDIRECT("b"&amp;F403+2)</f>
        <v>3.475E+46</v>
      </c>
      <c r="F403" s="18">
        <f t="shared" si="32"/>
        <v>933</v>
      </c>
      <c r="G403" s="18"/>
      <c r="H403" s="18"/>
      <c r="I403" s="19">
        <v>401</v>
      </c>
      <c r="J403" s="19" cm="1">
        <f t="array" aca="1" ref="J403" ca="1">INDIRECT("b"&amp;K403+2)</f>
        <v>3.475E+75</v>
      </c>
      <c r="K403" s="19">
        <f t="shared" si="36"/>
        <v>2133</v>
      </c>
      <c r="N403" s="18">
        <v>964</v>
      </c>
      <c r="O403" s="18"/>
      <c r="P403" s="2" cm="1">
        <f t="array" aca="1" ref="P403" ca="1">INDIRECT("b" &amp; (N403+2))</f>
        <v>1.4499999999999999E+47</v>
      </c>
      <c r="Q403" s="5">
        <f t="shared" ca="1" si="34"/>
        <v>11836734693.87755</v>
      </c>
      <c r="S403" s="18">
        <v>524</v>
      </c>
      <c r="T403" s="18"/>
      <c r="U403" s="2" cm="1">
        <f t="array" aca="1" ref="U403" ca="1">INDIRECT("d" &amp; (S403+2))</f>
        <v>524</v>
      </c>
      <c r="V403" s="5">
        <f t="shared" ca="1" si="33"/>
        <v>4.2601626016260159</v>
      </c>
      <c r="W403">
        <v>401</v>
      </c>
      <c r="X403" s="18">
        <v>964</v>
      </c>
      <c r="Y403" s="18"/>
      <c r="Z403" s="2" cm="1">
        <f t="array" aca="1" ref="Z403" ca="1">INDIRECT("b" &amp; (X403+2))</f>
        <v>1.4499999999999999E+47</v>
      </c>
      <c r="AA403" s="5">
        <f t="shared" ca="1" si="35"/>
        <v>11836734693.87755</v>
      </c>
    </row>
    <row r="404" spans="1:27">
      <c r="A404">
        <v>402</v>
      </c>
      <c r="B404">
        <v>9.9999999999999991E+28</v>
      </c>
      <c r="D404" s="18">
        <v>402</v>
      </c>
      <c r="E404" s="18" cm="1">
        <f t="array" aca="1" ref="E404" ca="1">INDIRECT("b"&amp;F404+2)</f>
        <v>3.6999999999999999E+46</v>
      </c>
      <c r="F404" s="18">
        <f t="shared" si="32"/>
        <v>934</v>
      </c>
      <c r="G404" s="18"/>
      <c r="H404" s="18"/>
      <c r="I404" s="19">
        <v>402</v>
      </c>
      <c r="J404" s="19" cm="1">
        <f t="array" aca="1" ref="J404" ca="1">INDIRECT("b"&amp;K404+2)</f>
        <v>3.7000000000000001E+75</v>
      </c>
      <c r="K404" s="19">
        <f t="shared" si="36"/>
        <v>2134</v>
      </c>
      <c r="N404" s="18">
        <v>965</v>
      </c>
      <c r="O404" s="18"/>
      <c r="P404" s="2" cm="1">
        <f t="array" aca="1" ref="P404" ca="1">INDIRECT("b" &amp; (N404+2))</f>
        <v>1.6750000000000001E+47</v>
      </c>
      <c r="Q404" s="5">
        <f t="shared" ca="1" si="34"/>
        <v>13673469387.755102</v>
      </c>
      <c r="S404" s="18">
        <v>525</v>
      </c>
      <c r="T404" s="18"/>
      <c r="U404" s="2" cm="1">
        <f t="array" aca="1" ref="U404" ca="1">INDIRECT("d" &amp; (S404+2))</f>
        <v>525</v>
      </c>
      <c r="V404" s="5">
        <f t="shared" ca="1" si="33"/>
        <v>4.2682926829268295</v>
      </c>
      <c r="W404">
        <v>402</v>
      </c>
      <c r="X404" s="18">
        <v>965</v>
      </c>
      <c r="Y404" s="18"/>
      <c r="Z404" s="2" cm="1">
        <f t="array" aca="1" ref="Z404" ca="1">INDIRECT("b" &amp; (X404+2))</f>
        <v>1.6750000000000001E+47</v>
      </c>
      <c r="AA404" s="5">
        <f t="shared" ca="1" si="35"/>
        <v>13673469387.755102</v>
      </c>
    </row>
    <row r="405" spans="1:27">
      <c r="A405">
        <v>403</v>
      </c>
      <c r="B405">
        <v>1.0500000000000001E+29</v>
      </c>
      <c r="D405" s="18">
        <v>403</v>
      </c>
      <c r="E405" s="18" cm="1">
        <f t="array" aca="1" ref="E405" ca="1">INDIRECT("b"&amp;F405+2)</f>
        <v>4.1500000000000003E+46</v>
      </c>
      <c r="F405" s="18">
        <f t="shared" si="32"/>
        <v>936</v>
      </c>
      <c r="G405" s="18"/>
      <c r="H405" s="18"/>
      <c r="I405" s="19">
        <v>403</v>
      </c>
      <c r="J405" s="19" cm="1">
        <f t="array" aca="1" ref="J405" ca="1">INDIRECT("b"&amp;K405+2)</f>
        <v>4.1500000000000003E+75</v>
      </c>
      <c r="K405" s="19">
        <f t="shared" si="36"/>
        <v>2136</v>
      </c>
      <c r="N405" s="18">
        <v>966</v>
      </c>
      <c r="O405" s="18"/>
      <c r="P405" s="2" cm="1">
        <f t="array" aca="1" ref="P405" ca="1">INDIRECT("b" &amp; (N405+2))</f>
        <v>1.9000000000000002E+47</v>
      </c>
      <c r="Q405" s="5">
        <f t="shared" ca="1" si="34"/>
        <v>15510204081.632652</v>
      </c>
      <c r="S405" s="18">
        <v>526</v>
      </c>
      <c r="T405" s="18"/>
      <c r="U405" s="2" cm="1">
        <f t="array" aca="1" ref="U405" ca="1">INDIRECT("d" &amp; (S405+2))</f>
        <v>526</v>
      </c>
      <c r="V405" s="5">
        <f t="shared" ca="1" si="33"/>
        <v>4.2764227642276422</v>
      </c>
      <c r="W405">
        <v>403</v>
      </c>
      <c r="X405" s="18">
        <v>966</v>
      </c>
      <c r="Y405" s="18"/>
      <c r="Z405" s="2" cm="1">
        <f t="array" aca="1" ref="Z405" ca="1">INDIRECT("b" &amp; (X405+2))</f>
        <v>1.9000000000000002E+47</v>
      </c>
      <c r="AA405" s="5">
        <f t="shared" ca="1" si="35"/>
        <v>15510204081.632652</v>
      </c>
    </row>
    <row r="406" spans="1:27">
      <c r="A406">
        <v>404</v>
      </c>
      <c r="B406">
        <v>1.1000000000000001E+29</v>
      </c>
      <c r="D406" s="18">
        <v>404</v>
      </c>
      <c r="E406" s="18" cm="1">
        <f t="array" aca="1" ref="E406" ca="1">INDIRECT("b"&amp;F406+2)</f>
        <v>4.3749999999999997E+46</v>
      </c>
      <c r="F406" s="18">
        <f t="shared" si="32"/>
        <v>937</v>
      </c>
      <c r="G406" s="18"/>
      <c r="H406" s="18"/>
      <c r="I406" s="19">
        <v>404</v>
      </c>
      <c r="J406" s="19" cm="1">
        <f t="array" aca="1" ref="J406" ca="1">INDIRECT("b"&amp;K406+2)</f>
        <v>4.375E+75</v>
      </c>
      <c r="K406" s="19">
        <f t="shared" si="36"/>
        <v>2137</v>
      </c>
      <c r="N406" s="18">
        <v>967</v>
      </c>
      <c r="O406" s="18"/>
      <c r="P406" s="2" cm="1">
        <f t="array" aca="1" ref="P406" ca="1">INDIRECT("b" &amp; (N406+2))</f>
        <v>2.1249999999999998E+47</v>
      </c>
      <c r="Q406" s="5">
        <f t="shared" ca="1" si="34"/>
        <v>17346938775.510201</v>
      </c>
      <c r="S406" s="18">
        <v>527</v>
      </c>
      <c r="T406" s="18"/>
      <c r="U406" s="2" cm="1">
        <f t="array" aca="1" ref="U406" ca="1">INDIRECT("d" &amp; (S406+2))</f>
        <v>527</v>
      </c>
      <c r="V406" s="5">
        <f t="shared" ca="1" si="33"/>
        <v>4.2845528455284549</v>
      </c>
      <c r="W406">
        <v>404</v>
      </c>
      <c r="X406" s="18">
        <v>967</v>
      </c>
      <c r="Y406" s="18"/>
      <c r="Z406" s="2" cm="1">
        <f t="array" aca="1" ref="Z406" ca="1">INDIRECT("b" &amp; (X406+2))</f>
        <v>2.1249999999999998E+47</v>
      </c>
      <c r="AA406" s="5">
        <f t="shared" ca="1" si="35"/>
        <v>17346938775.510201</v>
      </c>
    </row>
    <row r="407" spans="1:27">
      <c r="A407">
        <v>405</v>
      </c>
      <c r="B407">
        <v>1.5E+29</v>
      </c>
      <c r="D407" s="18">
        <v>405</v>
      </c>
      <c r="E407" s="18" cm="1">
        <f t="array" aca="1" ref="E407" ca="1">INDIRECT("b"&amp;F407+2)</f>
        <v>4.6000000000000001E+46</v>
      </c>
      <c r="F407" s="18">
        <f t="shared" si="32"/>
        <v>938</v>
      </c>
      <c r="G407" s="18"/>
      <c r="H407" s="18"/>
      <c r="I407" s="19">
        <v>405</v>
      </c>
      <c r="J407" s="19" cm="1">
        <f t="array" aca="1" ref="J407" ca="1">INDIRECT("b"&amp;K407+2)</f>
        <v>4.5999999999999997E+75</v>
      </c>
      <c r="K407" s="19">
        <f t="shared" si="36"/>
        <v>2138</v>
      </c>
      <c r="N407" s="18">
        <v>968</v>
      </c>
      <c r="O407" s="18"/>
      <c r="P407" s="2" cm="1">
        <f t="array" aca="1" ref="P407" ca="1">INDIRECT("b" &amp; (N407+2))</f>
        <v>2.3500000000000002E+47</v>
      </c>
      <c r="Q407" s="5">
        <f t="shared" ca="1" si="34"/>
        <v>19183673469.387756</v>
      </c>
      <c r="S407" s="18">
        <v>528</v>
      </c>
      <c r="T407" s="18"/>
      <c r="U407" s="2" cm="1">
        <f t="array" aca="1" ref="U407" ca="1">INDIRECT("d" &amp; (S407+2))</f>
        <v>528</v>
      </c>
      <c r="V407" s="5">
        <f t="shared" ca="1" si="33"/>
        <v>4.2926829268292686</v>
      </c>
      <c r="W407">
        <v>405</v>
      </c>
      <c r="X407" s="18">
        <v>968</v>
      </c>
      <c r="Y407" s="18"/>
      <c r="Z407" s="2" cm="1">
        <f t="array" aca="1" ref="Z407" ca="1">INDIRECT("b" &amp; (X407+2))</f>
        <v>2.3500000000000002E+47</v>
      </c>
      <c r="AA407" s="5">
        <f t="shared" ca="1" si="35"/>
        <v>19183673469.387756</v>
      </c>
    </row>
    <row r="408" spans="1:27">
      <c r="A408">
        <v>406</v>
      </c>
      <c r="B408">
        <v>1.9999999999999998E+29</v>
      </c>
      <c r="D408" s="18">
        <v>406</v>
      </c>
      <c r="E408" s="18" cm="1">
        <f t="array" aca="1" ref="E408" ca="1">INDIRECT("b"&amp;F408+2)</f>
        <v>5.05E+46</v>
      </c>
      <c r="F408" s="18">
        <f t="shared" si="32"/>
        <v>940</v>
      </c>
      <c r="G408" s="18"/>
      <c r="H408" s="18"/>
      <c r="I408" s="19">
        <v>406</v>
      </c>
      <c r="J408" s="19" cm="1">
        <f t="array" aca="1" ref="J408" ca="1">INDIRECT("b"&amp;K408+2)</f>
        <v>5.0499999999999999E+75</v>
      </c>
      <c r="K408" s="19">
        <f t="shared" si="36"/>
        <v>2140</v>
      </c>
      <c r="N408" s="18">
        <v>969</v>
      </c>
      <c r="O408" s="18"/>
      <c r="P408" s="2" cm="1">
        <f t="array" aca="1" ref="P408" ca="1">INDIRECT("b" &amp; (N408+2))</f>
        <v>2.5749999999999998E+47</v>
      </c>
      <c r="Q408" s="5">
        <f t="shared" ca="1" si="34"/>
        <v>21020408163.265305</v>
      </c>
      <c r="S408" s="18">
        <v>529</v>
      </c>
      <c r="T408" s="18"/>
      <c r="U408" s="2" cm="1">
        <f t="array" aca="1" ref="U408" ca="1">INDIRECT("d" &amp; (S408+2))</f>
        <v>529</v>
      </c>
      <c r="V408" s="5">
        <f t="shared" ca="1" si="33"/>
        <v>4.3008130081300813</v>
      </c>
      <c r="W408">
        <v>406</v>
      </c>
      <c r="X408" s="18">
        <v>969</v>
      </c>
      <c r="Y408" s="18"/>
      <c r="Z408" s="2" cm="1">
        <f t="array" aca="1" ref="Z408" ca="1">INDIRECT("b" &amp; (X408+2))</f>
        <v>2.5749999999999998E+47</v>
      </c>
      <c r="AA408" s="5">
        <f t="shared" ca="1" si="35"/>
        <v>21020408163.265305</v>
      </c>
    </row>
    <row r="409" spans="1:27">
      <c r="A409">
        <v>407</v>
      </c>
      <c r="B409">
        <v>2.5000000000000004E+29</v>
      </c>
      <c r="D409" s="18">
        <v>407</v>
      </c>
      <c r="E409" s="18" cm="1">
        <f t="array" aca="1" ref="E409" ca="1">INDIRECT("b"&amp;F409+2)</f>
        <v>5.2749999999999994E+46</v>
      </c>
      <c r="F409" s="18">
        <f t="shared" si="32"/>
        <v>941</v>
      </c>
      <c r="G409" s="18"/>
      <c r="H409" s="18"/>
      <c r="I409" s="19">
        <v>407</v>
      </c>
      <c r="J409" s="19" cm="1">
        <f t="array" aca="1" ref="J409" ca="1">INDIRECT("b"&amp;K409+2)</f>
        <v>5.2749999999999996E+75</v>
      </c>
      <c r="K409" s="19">
        <f t="shared" si="36"/>
        <v>2141</v>
      </c>
      <c r="N409" s="18">
        <v>970</v>
      </c>
      <c r="O409" s="18"/>
      <c r="P409" s="2" cm="1">
        <f t="array" aca="1" ref="P409" ca="1">INDIRECT("b" &amp; (N409+2))</f>
        <v>2.8000000000000003E+47</v>
      </c>
      <c r="Q409" s="5">
        <f t="shared" ca="1" si="34"/>
        <v>22857142857.142857</v>
      </c>
      <c r="S409" s="18">
        <v>530</v>
      </c>
      <c r="T409" s="18"/>
      <c r="U409" s="2" cm="1">
        <f t="array" aca="1" ref="U409" ca="1">INDIRECT("d" &amp; (S409+2))</f>
        <v>530</v>
      </c>
      <c r="V409" s="5">
        <f t="shared" ca="1" si="33"/>
        <v>4.308943089430894</v>
      </c>
      <c r="W409">
        <v>407</v>
      </c>
      <c r="X409" s="18">
        <v>970</v>
      </c>
      <c r="Y409" s="18"/>
      <c r="Z409" s="2" cm="1">
        <f t="array" aca="1" ref="Z409" ca="1">INDIRECT("b" &amp; (X409+2))</f>
        <v>2.8000000000000003E+47</v>
      </c>
      <c r="AA409" s="5">
        <f t="shared" ca="1" si="35"/>
        <v>22857142857.142857</v>
      </c>
    </row>
    <row r="410" spans="1:27">
      <c r="A410">
        <v>408</v>
      </c>
      <c r="B410">
        <v>2.9999999999999999E+29</v>
      </c>
      <c r="D410" s="18">
        <v>408</v>
      </c>
      <c r="E410" s="18" cm="1">
        <f t="array" aca="1" ref="E410" ca="1">INDIRECT("b"&amp;F410+2)</f>
        <v>5.4999999999999998E+46</v>
      </c>
      <c r="F410" s="18">
        <f t="shared" si="32"/>
        <v>942</v>
      </c>
      <c r="G410" s="18"/>
      <c r="H410" s="18"/>
      <c r="I410" s="19">
        <v>408</v>
      </c>
      <c r="J410" s="19" cm="1">
        <f t="array" aca="1" ref="J410" ca="1">INDIRECT("b"&amp;K410+2)</f>
        <v>5.5000000000000001E+75</v>
      </c>
      <c r="K410" s="19">
        <f t="shared" si="36"/>
        <v>2142</v>
      </c>
      <c r="N410" s="18">
        <v>971</v>
      </c>
      <c r="O410" s="18"/>
      <c r="P410" s="2" cm="1">
        <f t="array" aca="1" ref="P410" ca="1">INDIRECT("b" &amp; (N410+2))</f>
        <v>3.0249999999999999E+47</v>
      </c>
      <c r="Q410" s="5">
        <f t="shared" ca="1" si="34"/>
        <v>24693877551.020405</v>
      </c>
      <c r="S410" s="18">
        <v>531</v>
      </c>
      <c r="T410" s="18"/>
      <c r="U410" s="2" cm="1">
        <f t="array" aca="1" ref="U410" ca="1">INDIRECT("d" &amp; (S410+2))</f>
        <v>531</v>
      </c>
      <c r="V410" s="5">
        <f t="shared" ca="1" si="33"/>
        <v>4.3170731707317076</v>
      </c>
      <c r="W410">
        <v>408</v>
      </c>
      <c r="X410" s="18">
        <v>971</v>
      </c>
      <c r="Y410" s="18"/>
      <c r="Z410" s="2" cm="1">
        <f t="array" aca="1" ref="Z410" ca="1">INDIRECT("b" &amp; (X410+2))</f>
        <v>3.0249999999999999E+47</v>
      </c>
      <c r="AA410" s="5">
        <f t="shared" ca="1" si="35"/>
        <v>24693877551.020405</v>
      </c>
    </row>
    <row r="411" spans="1:27">
      <c r="A411">
        <v>409</v>
      </c>
      <c r="B411">
        <v>3.5000000000000005E+29</v>
      </c>
      <c r="D411" s="18">
        <v>409</v>
      </c>
      <c r="E411" s="18" cm="1">
        <f t="array" aca="1" ref="E411" ca="1">INDIRECT("b"&amp;F411+2)</f>
        <v>5.9500000000000007E+46</v>
      </c>
      <c r="F411" s="18">
        <f t="shared" si="32"/>
        <v>944</v>
      </c>
      <c r="G411" s="18"/>
      <c r="H411" s="18"/>
      <c r="I411" s="19">
        <v>409</v>
      </c>
      <c r="J411" s="19" cm="1">
        <f t="array" aca="1" ref="J411" ca="1">INDIRECT("b"&amp;K411+2)</f>
        <v>5.9500000000000003E+75</v>
      </c>
      <c r="K411" s="19">
        <f t="shared" si="36"/>
        <v>2144</v>
      </c>
      <c r="N411" s="18">
        <v>972</v>
      </c>
      <c r="O411" s="18"/>
      <c r="P411" s="2" cm="1">
        <f t="array" aca="1" ref="P411" ca="1">INDIRECT("b" &amp; (N411+2))</f>
        <v>3.2499999999999995E+47</v>
      </c>
      <c r="Q411" s="5">
        <f t="shared" ca="1" si="34"/>
        <v>26530612244.897953</v>
      </c>
      <c r="S411" s="18">
        <v>532</v>
      </c>
      <c r="T411" s="18"/>
      <c r="U411" s="2" cm="1">
        <f t="array" aca="1" ref="U411" ca="1">INDIRECT("d" &amp; (S411+2))</f>
        <v>532</v>
      </c>
      <c r="V411" s="5">
        <f t="shared" ca="1" si="33"/>
        <v>4.3252032520325203</v>
      </c>
      <c r="W411">
        <v>409</v>
      </c>
      <c r="X411" s="18">
        <v>972</v>
      </c>
      <c r="Y411" s="18"/>
      <c r="Z411" s="2" cm="1">
        <f t="array" aca="1" ref="Z411" ca="1">INDIRECT("b" &amp; (X411+2))</f>
        <v>3.2499999999999995E+47</v>
      </c>
      <c r="AA411" s="5">
        <f t="shared" ca="1" si="35"/>
        <v>26530612244.897953</v>
      </c>
    </row>
    <row r="412" spans="1:27">
      <c r="A412">
        <v>410</v>
      </c>
      <c r="B412">
        <v>3.9999999999999997E+29</v>
      </c>
      <c r="D412" s="18">
        <v>410</v>
      </c>
      <c r="E412" s="18" cm="1">
        <f t="array" aca="1" ref="E412" ca="1">INDIRECT("b"&amp;F412+2)</f>
        <v>6.1750000000000001E+46</v>
      </c>
      <c r="F412" s="18">
        <f t="shared" si="32"/>
        <v>945</v>
      </c>
      <c r="G412" s="18"/>
      <c r="H412" s="18"/>
      <c r="I412" s="19">
        <v>410</v>
      </c>
      <c r="J412" s="19" cm="1">
        <f t="array" aca="1" ref="J412" ca="1">INDIRECT("b"&amp;K412+2)</f>
        <v>6.175E+75</v>
      </c>
      <c r="K412" s="19">
        <f t="shared" si="36"/>
        <v>2145</v>
      </c>
      <c r="N412" s="18">
        <v>973</v>
      </c>
      <c r="O412" s="18"/>
      <c r="P412" s="2" cm="1">
        <f t="array" aca="1" ref="P412" ca="1">INDIRECT("b" &amp; (N412+2))</f>
        <v>3.475E+47</v>
      </c>
      <c r="Q412" s="5">
        <f t="shared" ca="1" si="34"/>
        <v>28367346938.775509</v>
      </c>
      <c r="S412" s="18">
        <v>533</v>
      </c>
      <c r="T412" s="18"/>
      <c r="U412" s="2" cm="1">
        <f t="array" aca="1" ref="U412" ca="1">INDIRECT("d" &amp; (S412+2))</f>
        <v>533</v>
      </c>
      <c r="V412" s="5">
        <f t="shared" ca="1" si="33"/>
        <v>4.333333333333333</v>
      </c>
      <c r="W412">
        <v>410</v>
      </c>
      <c r="X412" s="18">
        <v>973</v>
      </c>
      <c r="Y412" s="18"/>
      <c r="Z412" s="2" cm="1">
        <f t="array" aca="1" ref="Z412" ca="1">INDIRECT("b" &amp; (X412+2))</f>
        <v>3.475E+47</v>
      </c>
      <c r="AA412" s="5">
        <f t="shared" ca="1" si="35"/>
        <v>28367346938.775509</v>
      </c>
    </row>
    <row r="413" spans="1:27">
      <c r="A413">
        <v>411</v>
      </c>
      <c r="B413">
        <v>4.5000000000000002E+29</v>
      </c>
      <c r="D413" s="18">
        <v>411</v>
      </c>
      <c r="E413" s="18" cm="1">
        <f t="array" aca="1" ref="E413" ca="1">INDIRECT("b"&amp;F413+2)</f>
        <v>6.3999999999999996E+46</v>
      </c>
      <c r="F413" s="18">
        <f t="shared" si="32"/>
        <v>946</v>
      </c>
      <c r="G413" s="18"/>
      <c r="H413" s="18"/>
      <c r="I413" s="19">
        <v>411</v>
      </c>
      <c r="J413" s="19" cm="1">
        <f t="array" aca="1" ref="J413" ca="1">INDIRECT("b"&amp;K413+2)</f>
        <v>6.3999999999999997E+75</v>
      </c>
      <c r="K413" s="19">
        <f t="shared" si="36"/>
        <v>2146</v>
      </c>
      <c r="N413" s="18">
        <v>974</v>
      </c>
      <c r="O413" s="18"/>
      <c r="P413" s="2" cm="1">
        <f t="array" aca="1" ref="P413" ca="1">INDIRECT("b" &amp; (N413+2))</f>
        <v>3.7000000000000004E+47</v>
      </c>
      <c r="Q413" s="5">
        <f t="shared" ca="1" si="34"/>
        <v>30204081632.653061</v>
      </c>
      <c r="S413" s="18">
        <v>534</v>
      </c>
      <c r="T413" s="18"/>
      <c r="U413" s="2" cm="1">
        <f t="array" aca="1" ref="U413" ca="1">INDIRECT("d" &amp; (S413+2))</f>
        <v>534</v>
      </c>
      <c r="V413" s="5">
        <f t="shared" ca="1" si="33"/>
        <v>4.3414634146341466</v>
      </c>
      <c r="W413">
        <v>411</v>
      </c>
      <c r="X413" s="18">
        <v>974</v>
      </c>
      <c r="Y413" s="18"/>
      <c r="Z413" s="2" cm="1">
        <f t="array" aca="1" ref="Z413" ca="1">INDIRECT("b" &amp; (X413+2))</f>
        <v>3.7000000000000004E+47</v>
      </c>
      <c r="AA413" s="5">
        <f t="shared" ca="1" si="35"/>
        <v>30204081632.653061</v>
      </c>
    </row>
    <row r="414" spans="1:27">
      <c r="A414">
        <v>412</v>
      </c>
      <c r="B414">
        <v>5.0000000000000008E+29</v>
      </c>
      <c r="D414" s="18">
        <v>412</v>
      </c>
      <c r="E414" s="18" cm="1">
        <f t="array" aca="1" ref="E414" ca="1">INDIRECT("b"&amp;F414+2)</f>
        <v>6.8500000000000004E+46</v>
      </c>
      <c r="F414" s="18">
        <f t="shared" si="32"/>
        <v>948</v>
      </c>
      <c r="G414" s="18"/>
      <c r="H414" s="18"/>
      <c r="I414" s="19">
        <v>412</v>
      </c>
      <c r="J414" s="19" cm="1">
        <f t="array" aca="1" ref="J414" ca="1">INDIRECT("b"&amp;K414+2)</f>
        <v>6.8499999999999999E+75</v>
      </c>
      <c r="K414" s="19">
        <f t="shared" si="36"/>
        <v>2148</v>
      </c>
      <c r="N414" s="18">
        <v>975</v>
      </c>
      <c r="O414" s="18"/>
      <c r="P414" s="2" cm="1">
        <f t="array" aca="1" ref="P414" ca="1">INDIRECT("b" &amp; (N414+2))</f>
        <v>3.9249999999999996E+47</v>
      </c>
      <c r="Q414" s="5">
        <f t="shared" ca="1" si="34"/>
        <v>32040816326.530605</v>
      </c>
      <c r="S414" s="18">
        <v>535</v>
      </c>
      <c r="T414" s="18"/>
      <c r="U414" s="2" cm="1">
        <f t="array" aca="1" ref="U414" ca="1">INDIRECT("d" &amp; (S414+2))</f>
        <v>535</v>
      </c>
      <c r="V414" s="5">
        <f t="shared" ca="1" si="33"/>
        <v>4.3495934959349594</v>
      </c>
      <c r="W414">
        <v>412</v>
      </c>
      <c r="X414" s="18">
        <v>975</v>
      </c>
      <c r="Y414" s="18"/>
      <c r="Z414" s="2" cm="1">
        <f t="array" aca="1" ref="Z414" ca="1">INDIRECT("b" &amp; (X414+2))</f>
        <v>3.9249999999999996E+47</v>
      </c>
      <c r="AA414" s="5">
        <f t="shared" ca="1" si="35"/>
        <v>32040816326.530605</v>
      </c>
    </row>
    <row r="415" spans="1:27">
      <c r="A415">
        <v>413</v>
      </c>
      <c r="B415">
        <v>5.5E+29</v>
      </c>
      <c r="D415" s="18">
        <v>413</v>
      </c>
      <c r="E415" s="18" cm="1">
        <f t="array" aca="1" ref="E415" ca="1">INDIRECT("b"&amp;F415+2)</f>
        <v>7.0749999999999998E+46</v>
      </c>
      <c r="F415" s="18">
        <f t="shared" si="32"/>
        <v>949</v>
      </c>
      <c r="G415" s="18"/>
      <c r="H415" s="18"/>
      <c r="I415" s="19">
        <v>413</v>
      </c>
      <c r="J415" s="19" cm="1">
        <f t="array" aca="1" ref="J415" ca="1">INDIRECT("b"&amp;K415+2)</f>
        <v>7.0749999999999996E+75</v>
      </c>
      <c r="K415" s="19">
        <f t="shared" si="36"/>
        <v>2149</v>
      </c>
      <c r="N415" s="18">
        <v>976</v>
      </c>
      <c r="O415" s="18"/>
      <c r="P415" s="2" cm="1">
        <f t="array" aca="1" ref="P415" ca="1">INDIRECT("b" &amp; (N415+2))</f>
        <v>4.1500000000000005E+47</v>
      </c>
      <c r="Q415" s="5">
        <f t="shared" ca="1" si="34"/>
        <v>33877551020.408165</v>
      </c>
      <c r="S415" s="18">
        <v>536</v>
      </c>
      <c r="T415" s="18"/>
      <c r="U415" s="2" cm="1">
        <f t="array" aca="1" ref="U415" ca="1">INDIRECT("d" &amp; (S415+2))</f>
        <v>536</v>
      </c>
      <c r="V415" s="5">
        <f t="shared" ca="1" si="33"/>
        <v>4.3577235772357721</v>
      </c>
      <c r="W415">
        <v>413</v>
      </c>
      <c r="X415" s="18">
        <v>976</v>
      </c>
      <c r="Y415" s="18"/>
      <c r="Z415" s="2" cm="1">
        <f t="array" aca="1" ref="Z415" ca="1">INDIRECT("b" &amp; (X415+2))</f>
        <v>4.1500000000000005E+47</v>
      </c>
      <c r="AA415" s="5">
        <f t="shared" ca="1" si="35"/>
        <v>33877551020.408165</v>
      </c>
    </row>
    <row r="416" spans="1:27">
      <c r="A416">
        <v>414</v>
      </c>
      <c r="B416">
        <v>5.9999999999999998E+29</v>
      </c>
      <c r="D416" s="18">
        <v>414</v>
      </c>
      <c r="E416" s="18" cm="1">
        <f t="array" aca="1" ref="E416" ca="1">INDIRECT("b"&amp;F416+2)</f>
        <v>7.3000000000000003E+46</v>
      </c>
      <c r="F416" s="18">
        <f t="shared" si="32"/>
        <v>950</v>
      </c>
      <c r="G416" s="18"/>
      <c r="H416" s="18"/>
      <c r="I416" s="19">
        <v>414</v>
      </c>
      <c r="J416" s="19" cm="1">
        <f t="array" aca="1" ref="J416" ca="1">INDIRECT("b"&amp;K416+2)</f>
        <v>7.2999999999999993E+75</v>
      </c>
      <c r="K416" s="19">
        <f t="shared" si="36"/>
        <v>2150</v>
      </c>
      <c r="N416" s="18">
        <v>977</v>
      </c>
      <c r="O416" s="18"/>
      <c r="P416" s="2" cm="1">
        <f t="array" aca="1" ref="P416" ca="1">INDIRECT("b" &amp; (N416+2))</f>
        <v>4.3749999999999997E+47</v>
      </c>
      <c r="Q416" s="5">
        <f t="shared" ca="1" si="34"/>
        <v>35714285714.285706</v>
      </c>
      <c r="S416" s="18">
        <v>537</v>
      </c>
      <c r="T416" s="18"/>
      <c r="U416" s="2" cm="1">
        <f t="array" aca="1" ref="U416" ca="1">INDIRECT("d" &amp; (S416+2))</f>
        <v>537</v>
      </c>
      <c r="V416" s="5">
        <f t="shared" ca="1" si="33"/>
        <v>4.3658536585365857</v>
      </c>
      <c r="W416">
        <v>414</v>
      </c>
      <c r="X416" s="18">
        <v>977</v>
      </c>
      <c r="Y416" s="18"/>
      <c r="Z416" s="2" cm="1">
        <f t="array" aca="1" ref="Z416" ca="1">INDIRECT("b" &amp; (X416+2))</f>
        <v>4.3749999999999997E+47</v>
      </c>
      <c r="AA416" s="5">
        <f t="shared" ca="1" si="35"/>
        <v>35714285714.285706</v>
      </c>
    </row>
    <row r="417" spans="1:27">
      <c r="A417">
        <v>415</v>
      </c>
      <c r="B417">
        <v>6.4999999999999997E+29</v>
      </c>
      <c r="D417" s="18">
        <v>415</v>
      </c>
      <c r="E417" s="18" cm="1">
        <f t="array" aca="1" ref="E417" ca="1">INDIRECT("b"&amp;F417+2)</f>
        <v>7.7500000000000001E+46</v>
      </c>
      <c r="F417" s="18">
        <f t="shared" si="32"/>
        <v>952</v>
      </c>
      <c r="G417" s="18"/>
      <c r="H417" s="18"/>
      <c r="I417" s="19">
        <v>415</v>
      </c>
      <c r="J417" s="19" cm="1">
        <f t="array" aca="1" ref="J417" ca="1">INDIRECT("b"&amp;K417+2)</f>
        <v>7.7500000000000003E+75</v>
      </c>
      <c r="K417" s="19">
        <f t="shared" si="36"/>
        <v>2152</v>
      </c>
      <c r="N417" s="18">
        <v>978</v>
      </c>
      <c r="O417" s="18"/>
      <c r="P417" s="2" cm="1">
        <f t="array" aca="1" ref="P417" ca="1">INDIRECT("b" &amp; (N417+2))</f>
        <v>4.5999999999999997E+47</v>
      </c>
      <c r="Q417" s="5">
        <f t="shared" ca="1" si="34"/>
        <v>37551020408.163261</v>
      </c>
      <c r="S417" s="18">
        <v>538</v>
      </c>
      <c r="T417" s="18"/>
      <c r="U417" s="2" cm="1">
        <f t="array" aca="1" ref="U417" ca="1">INDIRECT("d" &amp; (S417+2))</f>
        <v>538</v>
      </c>
      <c r="V417" s="5">
        <f t="shared" ca="1" si="33"/>
        <v>4.3739837398373984</v>
      </c>
      <c r="W417">
        <v>415</v>
      </c>
      <c r="X417" s="18">
        <v>978</v>
      </c>
      <c r="Y417" s="18"/>
      <c r="Z417" s="2" cm="1">
        <f t="array" aca="1" ref="Z417" ca="1">INDIRECT("b" &amp; (X417+2))</f>
        <v>4.5999999999999997E+47</v>
      </c>
      <c r="AA417" s="5">
        <f t="shared" ca="1" si="35"/>
        <v>37551020408.163261</v>
      </c>
    </row>
    <row r="418" spans="1:27">
      <c r="A418">
        <v>416</v>
      </c>
      <c r="B418">
        <v>7.000000000000001E+29</v>
      </c>
      <c r="D418" s="18">
        <v>416</v>
      </c>
      <c r="E418" s="18" cm="1">
        <f t="array" aca="1" ref="E418" ca="1">INDIRECT("b"&amp;F418+2)</f>
        <v>7.9750000000000006E+46</v>
      </c>
      <c r="F418" s="18">
        <f t="shared" si="32"/>
        <v>953</v>
      </c>
      <c r="G418" s="18"/>
      <c r="H418" s="18"/>
      <c r="I418" s="19">
        <v>416</v>
      </c>
      <c r="J418" s="19" cm="1">
        <f t="array" aca="1" ref="J418" ca="1">INDIRECT("b"&amp;K418+2)</f>
        <v>7.9749999999999992E+75</v>
      </c>
      <c r="K418" s="19">
        <f t="shared" si="36"/>
        <v>2153</v>
      </c>
      <c r="N418" s="18">
        <v>979</v>
      </c>
      <c r="O418" s="18"/>
      <c r="P418" s="2" cm="1">
        <f t="array" aca="1" ref="P418" ca="1">INDIRECT("b" &amp; (N418+2))</f>
        <v>4.8250000000000006E+47</v>
      </c>
      <c r="Q418" s="5">
        <f t="shared" ca="1" si="34"/>
        <v>39387755102.040817</v>
      </c>
      <c r="S418" s="18">
        <v>539</v>
      </c>
      <c r="T418" s="18"/>
      <c r="U418" s="2" cm="1">
        <f t="array" aca="1" ref="U418" ca="1">INDIRECT("d" &amp; (S418+2))</f>
        <v>539</v>
      </c>
      <c r="V418" s="5">
        <f t="shared" ca="1" si="33"/>
        <v>4.3821138211382111</v>
      </c>
      <c r="W418">
        <v>416</v>
      </c>
      <c r="X418" s="18">
        <v>979</v>
      </c>
      <c r="Y418" s="18"/>
      <c r="Z418" s="2" cm="1">
        <f t="array" aca="1" ref="Z418" ca="1">INDIRECT("b" &amp; (X418+2))</f>
        <v>4.8250000000000006E+47</v>
      </c>
      <c r="AA418" s="5">
        <f t="shared" ca="1" si="35"/>
        <v>39387755102.040817</v>
      </c>
    </row>
    <row r="419" spans="1:27">
      <c r="A419">
        <v>417</v>
      </c>
      <c r="B419">
        <v>7.4999999999999994E+29</v>
      </c>
      <c r="D419" s="18">
        <v>417</v>
      </c>
      <c r="E419" s="18" cm="1">
        <f t="array" aca="1" ref="E419" ca="1">INDIRECT("b"&amp;F419+2)</f>
        <v>8.199999999999999E+46</v>
      </c>
      <c r="F419" s="18">
        <f t="shared" si="32"/>
        <v>954</v>
      </c>
      <c r="G419" s="18"/>
      <c r="H419" s="18"/>
      <c r="I419" s="19">
        <v>417</v>
      </c>
      <c r="J419" s="19" cm="1">
        <f t="array" aca="1" ref="J419" ca="1">INDIRECT("b"&amp;K419+2)</f>
        <v>8.1999999999999997E+75</v>
      </c>
      <c r="K419" s="19">
        <f t="shared" si="36"/>
        <v>2154</v>
      </c>
      <c r="N419" s="18">
        <v>980</v>
      </c>
      <c r="O419" s="18"/>
      <c r="P419" s="2" cm="1">
        <f t="array" aca="1" ref="P419" ca="1">INDIRECT("b" &amp; (N419+2))</f>
        <v>5.0499999999999998E+47</v>
      </c>
      <c r="Q419" s="5">
        <f t="shared" ca="1" si="34"/>
        <v>41224489795.918365</v>
      </c>
      <c r="S419" s="18">
        <v>540</v>
      </c>
      <c r="T419" s="18"/>
      <c r="U419" s="2" cm="1">
        <f t="array" aca="1" ref="U419" ca="1">INDIRECT("d" &amp; (S419+2))</f>
        <v>540</v>
      </c>
      <c r="V419" s="5">
        <f t="shared" ca="1" si="33"/>
        <v>4.3902439024390247</v>
      </c>
      <c r="W419">
        <v>417</v>
      </c>
      <c r="X419" s="18">
        <v>980</v>
      </c>
      <c r="Y419" s="18"/>
      <c r="Z419" s="2" cm="1">
        <f t="array" aca="1" ref="Z419" ca="1">INDIRECT("b" &amp; (X419+2))</f>
        <v>5.0499999999999998E+47</v>
      </c>
      <c r="AA419" s="5">
        <f t="shared" ca="1" si="35"/>
        <v>41224489795.918365</v>
      </c>
    </row>
    <row r="420" spans="1:27">
      <c r="A420">
        <v>418</v>
      </c>
      <c r="B420">
        <v>7.9999999999999993E+29</v>
      </c>
      <c r="D420" s="18">
        <v>418</v>
      </c>
      <c r="E420" s="18" cm="1">
        <f t="array" aca="1" ref="E420" ca="1">INDIRECT("b"&amp;F420+2)</f>
        <v>8.6499999999999988E+46</v>
      </c>
      <c r="F420" s="18">
        <f t="shared" si="32"/>
        <v>956</v>
      </c>
      <c r="G420" s="18"/>
      <c r="H420" s="18"/>
      <c r="I420" s="19">
        <v>418</v>
      </c>
      <c r="J420" s="19" cm="1">
        <f t="array" aca="1" ref="J420" ca="1">INDIRECT("b"&amp;K420+2)</f>
        <v>8.6499999999999991E+75</v>
      </c>
      <c r="K420" s="19">
        <f t="shared" si="36"/>
        <v>2156</v>
      </c>
      <c r="N420" s="18">
        <v>981</v>
      </c>
      <c r="O420" s="18"/>
      <c r="P420" s="2" cm="1">
        <f t="array" aca="1" ref="P420" ca="1">INDIRECT("b" &amp; (N420+2))</f>
        <v>5.2749999999999998E+47</v>
      </c>
      <c r="Q420" s="5">
        <f t="shared" ca="1" si="34"/>
        <v>43061224489.795914</v>
      </c>
      <c r="S420" s="18">
        <v>541</v>
      </c>
      <c r="T420" s="18"/>
      <c r="U420" s="2" cm="1">
        <f t="array" aca="1" ref="U420" ca="1">INDIRECT("d" &amp; (S420+2))</f>
        <v>541</v>
      </c>
      <c r="V420" s="5">
        <f t="shared" ca="1" si="33"/>
        <v>4.3983739837398375</v>
      </c>
      <c r="W420">
        <v>418</v>
      </c>
      <c r="X420" s="18">
        <v>981</v>
      </c>
      <c r="Y420" s="18"/>
      <c r="Z420" s="2" cm="1">
        <f t="array" aca="1" ref="Z420" ca="1">INDIRECT("b" &amp; (X420+2))</f>
        <v>5.2749999999999998E+47</v>
      </c>
      <c r="AA420" s="5">
        <f t="shared" ca="1" si="35"/>
        <v>43061224489.795914</v>
      </c>
    </row>
    <row r="421" spans="1:27">
      <c r="A421">
        <v>419</v>
      </c>
      <c r="B421">
        <v>8.4999999999999992E+29</v>
      </c>
      <c r="D421" s="18">
        <v>419</v>
      </c>
      <c r="E421" s="18" cm="1">
        <f t="array" aca="1" ref="E421" ca="1">INDIRECT("b"&amp;F421+2)</f>
        <v>8.8749999999999993E+46</v>
      </c>
      <c r="F421" s="18">
        <f t="shared" si="32"/>
        <v>957</v>
      </c>
      <c r="G421" s="18"/>
      <c r="H421" s="18"/>
      <c r="I421" s="19">
        <v>419</v>
      </c>
      <c r="J421" s="19" cm="1">
        <f t="array" aca="1" ref="J421" ca="1">INDIRECT("b"&amp;K421+2)</f>
        <v>8.8749999999999996E+75</v>
      </c>
      <c r="K421" s="19">
        <f t="shared" si="36"/>
        <v>2157</v>
      </c>
      <c r="N421" s="18">
        <v>982</v>
      </c>
      <c r="O421" s="18"/>
      <c r="P421" s="2" cm="1">
        <f t="array" aca="1" ref="P421" ca="1">INDIRECT("b" &amp; (N421+2))</f>
        <v>5.4999999999999998E+47</v>
      </c>
      <c r="Q421" s="5">
        <f t="shared" ca="1" si="34"/>
        <v>44897959183.673462</v>
      </c>
      <c r="S421" s="18">
        <v>542</v>
      </c>
      <c r="T421" s="18"/>
      <c r="U421" s="2" cm="1">
        <f t="array" aca="1" ref="U421" ca="1">INDIRECT("d" &amp; (S421+2))</f>
        <v>542</v>
      </c>
      <c r="V421" s="5">
        <f t="shared" ca="1" si="33"/>
        <v>4.4065040650406502</v>
      </c>
      <c r="W421">
        <v>419</v>
      </c>
      <c r="X421" s="18">
        <v>982</v>
      </c>
      <c r="Y421" s="18"/>
      <c r="Z421" s="2" cm="1">
        <f t="array" aca="1" ref="Z421" ca="1">INDIRECT("b" &amp; (X421+2))</f>
        <v>5.4999999999999998E+47</v>
      </c>
      <c r="AA421" s="5">
        <f t="shared" ca="1" si="35"/>
        <v>44897959183.673462</v>
      </c>
    </row>
    <row r="422" spans="1:27">
      <c r="A422">
        <v>420</v>
      </c>
      <c r="B422">
        <v>9.0000000000000005E+29</v>
      </c>
      <c r="D422" s="18">
        <v>420</v>
      </c>
      <c r="E422" s="18" cm="1">
        <f t="array" aca="1" ref="E422" ca="1">INDIRECT("b"&amp;F422+2)</f>
        <v>9.0999999999999987E+46</v>
      </c>
      <c r="F422" s="18">
        <f t="shared" si="32"/>
        <v>958</v>
      </c>
      <c r="G422" s="18"/>
      <c r="H422" s="18"/>
      <c r="I422" s="19">
        <v>420</v>
      </c>
      <c r="J422" s="19" cm="1">
        <f t="array" aca="1" ref="J422" ca="1">INDIRECT("b"&amp;K422+2)</f>
        <v>9.1000000000000001E+75</v>
      </c>
      <c r="K422" s="19">
        <f t="shared" si="36"/>
        <v>2158</v>
      </c>
      <c r="N422" s="18">
        <v>983</v>
      </c>
      <c r="O422" s="18"/>
      <c r="P422" s="2" cm="1">
        <f t="array" aca="1" ref="P422" ca="1">INDIRECT("b" &amp; (N422+2))</f>
        <v>5.7250000000000007E+47</v>
      </c>
      <c r="Q422" s="5">
        <f t="shared" ca="1" si="34"/>
        <v>46734693877.551025</v>
      </c>
      <c r="S422" s="18">
        <v>543</v>
      </c>
      <c r="T422" s="18"/>
      <c r="U422" s="2" cm="1">
        <f t="array" aca="1" ref="U422" ca="1">INDIRECT("d" &amp; (S422+2))</f>
        <v>543</v>
      </c>
      <c r="V422" s="5">
        <f t="shared" ca="1" si="33"/>
        <v>4.4146341463414638</v>
      </c>
      <c r="W422">
        <v>420</v>
      </c>
      <c r="X422" s="18">
        <v>983</v>
      </c>
      <c r="Y422" s="18"/>
      <c r="Z422" s="2" cm="1">
        <f t="array" aca="1" ref="Z422" ca="1">INDIRECT("b" &amp; (X422+2))</f>
        <v>5.7250000000000007E+47</v>
      </c>
      <c r="AA422" s="5">
        <f t="shared" ca="1" si="35"/>
        <v>46734693877.551025</v>
      </c>
    </row>
    <row r="423" spans="1:27">
      <c r="A423">
        <v>421</v>
      </c>
      <c r="B423">
        <v>9.5000000000000003E+29</v>
      </c>
      <c r="D423" s="18">
        <v>421</v>
      </c>
      <c r="E423" s="18" cm="1">
        <f t="array" aca="1" ref="E423" ca="1">INDIRECT("b"&amp;F423+2)</f>
        <v>9.5499999999999996E+46</v>
      </c>
      <c r="F423" s="18">
        <f t="shared" si="32"/>
        <v>960</v>
      </c>
      <c r="G423" s="18"/>
      <c r="H423" s="18"/>
      <c r="I423" s="19">
        <v>421</v>
      </c>
      <c r="J423" s="19" cm="1">
        <f t="array" aca="1" ref="J423" ca="1">INDIRECT("b"&amp;K423+2)</f>
        <v>9.5499999999999995E+75</v>
      </c>
      <c r="K423" s="19">
        <f t="shared" si="36"/>
        <v>2160</v>
      </c>
      <c r="N423" s="18">
        <v>984</v>
      </c>
      <c r="O423" s="18"/>
      <c r="P423" s="2" cm="1">
        <f t="array" aca="1" ref="P423" ca="1">INDIRECT("b" &amp; (N423+2))</f>
        <v>5.9500000000000007E+47</v>
      </c>
      <c r="Q423" s="5">
        <f t="shared" ca="1" si="34"/>
        <v>48571428571.428574</v>
      </c>
      <c r="S423" s="18">
        <v>544</v>
      </c>
      <c r="T423" s="18"/>
      <c r="U423" s="2" cm="1">
        <f t="array" aca="1" ref="U423" ca="1">INDIRECT("d" &amp; (S423+2))</f>
        <v>544</v>
      </c>
      <c r="V423" s="5">
        <f t="shared" ca="1" si="33"/>
        <v>4.4227642276422765</v>
      </c>
      <c r="W423">
        <v>421</v>
      </c>
      <c r="X423" s="18">
        <v>984</v>
      </c>
      <c r="Y423" s="18"/>
      <c r="Z423" s="2" cm="1">
        <f t="array" aca="1" ref="Z423" ca="1">INDIRECT("b" &amp; (X423+2))</f>
        <v>5.9500000000000007E+47</v>
      </c>
      <c r="AA423" s="5">
        <f t="shared" ca="1" si="35"/>
        <v>48571428571.428574</v>
      </c>
    </row>
    <row r="424" spans="1:27">
      <c r="A424">
        <v>422</v>
      </c>
      <c r="B424">
        <v>1E+30</v>
      </c>
      <c r="D424" s="18">
        <v>422</v>
      </c>
      <c r="E424" s="18" cm="1">
        <f t="array" aca="1" ref="E424" ca="1">INDIRECT("b"&amp;F424+2)</f>
        <v>9.775E+46</v>
      </c>
      <c r="F424" s="18">
        <f t="shared" si="32"/>
        <v>961</v>
      </c>
      <c r="G424" s="18"/>
      <c r="H424" s="18"/>
      <c r="I424" s="19">
        <v>422</v>
      </c>
      <c r="J424" s="19" cm="1">
        <f t="array" aca="1" ref="J424" ca="1">INDIRECT("b"&amp;K424+2)</f>
        <v>9.775E+75</v>
      </c>
      <c r="K424" s="19">
        <f t="shared" si="36"/>
        <v>2161</v>
      </c>
      <c r="N424" s="18">
        <v>985</v>
      </c>
      <c r="O424" s="18"/>
      <c r="P424" s="2" cm="1">
        <f t="array" aca="1" ref="P424" ca="1">INDIRECT("b" &amp; (N424+2))</f>
        <v>6.1749999999999999E+47</v>
      </c>
      <c r="Q424" s="5">
        <f t="shared" ca="1" si="34"/>
        <v>50408163265.306114</v>
      </c>
      <c r="S424" s="18">
        <v>545</v>
      </c>
      <c r="T424" s="18"/>
      <c r="U424" s="2" cm="1">
        <f t="array" aca="1" ref="U424" ca="1">INDIRECT("d" &amp; (S424+2))</f>
        <v>545</v>
      </c>
      <c r="V424" s="5">
        <f t="shared" ca="1" si="33"/>
        <v>4.4308943089430892</v>
      </c>
      <c r="W424">
        <v>422</v>
      </c>
      <c r="X424" s="18">
        <v>985</v>
      </c>
      <c r="Y424" s="18"/>
      <c r="Z424" s="2" cm="1">
        <f t="array" aca="1" ref="Z424" ca="1">INDIRECT("b" &amp; (X424+2))</f>
        <v>6.1749999999999999E+47</v>
      </c>
      <c r="AA424" s="5">
        <f t="shared" ca="1" si="35"/>
        <v>50408163265.306114</v>
      </c>
    </row>
    <row r="425" spans="1:27">
      <c r="A425">
        <v>423</v>
      </c>
      <c r="B425">
        <v>1.05E+30</v>
      </c>
      <c r="D425" s="18">
        <v>423</v>
      </c>
      <c r="E425" s="18" cm="1">
        <f t="array" aca="1" ref="E425" ca="1">INDIRECT("b"&amp;F425+2)</f>
        <v>1E+47</v>
      </c>
      <c r="F425" s="18">
        <f t="shared" si="32"/>
        <v>962</v>
      </c>
      <c r="G425" s="18"/>
      <c r="H425" s="18"/>
      <c r="I425" s="19">
        <v>423</v>
      </c>
      <c r="J425" s="19" cm="1">
        <f t="array" aca="1" ref="J425" ca="1">INDIRECT("b"&amp;K425+2)</f>
        <v>9.9999999999999989E+75</v>
      </c>
      <c r="K425" s="19">
        <f t="shared" si="36"/>
        <v>2162</v>
      </c>
      <c r="N425" s="18">
        <v>986</v>
      </c>
      <c r="O425" s="18"/>
      <c r="P425" s="2" cm="1">
        <f t="array" aca="1" ref="P425" ca="1">INDIRECT("b" &amp; (N425+2))</f>
        <v>6.4E+47</v>
      </c>
      <c r="Q425" s="5">
        <f t="shared" ca="1" si="34"/>
        <v>52244897959.18367</v>
      </c>
      <c r="S425" s="18">
        <v>546</v>
      </c>
      <c r="T425" s="18"/>
      <c r="U425" s="2" cm="1">
        <f t="array" aca="1" ref="U425" ca="1">INDIRECT("d" &amp; (S425+2))</f>
        <v>546</v>
      </c>
      <c r="V425" s="5">
        <f t="shared" ca="1" si="33"/>
        <v>4.4390243902439028</v>
      </c>
      <c r="W425">
        <v>423</v>
      </c>
      <c r="X425" s="18">
        <v>986</v>
      </c>
      <c r="Y425" s="18"/>
      <c r="Z425" s="2" cm="1">
        <f t="array" aca="1" ref="Z425" ca="1">INDIRECT("b" &amp; (X425+2))</f>
        <v>6.4E+47</v>
      </c>
      <c r="AA425" s="5">
        <f t="shared" ca="1" si="35"/>
        <v>52244897959.18367</v>
      </c>
    </row>
    <row r="426" spans="1:27">
      <c r="A426">
        <v>424</v>
      </c>
      <c r="B426">
        <v>1.1E+30</v>
      </c>
      <c r="D426" s="18">
        <v>424</v>
      </c>
      <c r="E426" s="18" cm="1">
        <f t="array" aca="1" ref="E426" ca="1">INDIRECT("b"&amp;F426+2)</f>
        <v>1.4499999999999999E+47</v>
      </c>
      <c r="F426" s="18">
        <f t="shared" si="32"/>
        <v>964</v>
      </c>
      <c r="G426" s="18"/>
      <c r="H426" s="18"/>
      <c r="I426" s="19">
        <v>424</v>
      </c>
      <c r="J426" s="19" cm="1">
        <f t="array" aca="1" ref="J426" ca="1">INDIRECT("b"&amp;K426+2)</f>
        <v>1.4500000000000001E+76</v>
      </c>
      <c r="K426" s="19">
        <f t="shared" si="36"/>
        <v>2164</v>
      </c>
      <c r="N426" s="18">
        <v>987</v>
      </c>
      <c r="O426" s="18"/>
      <c r="P426" s="2" cm="1">
        <f t="array" aca="1" ref="P426" ca="1">INDIRECT("b" &amp; (N426+2))</f>
        <v>6.6250000000000008E+47</v>
      </c>
      <c r="Q426" s="5">
        <f t="shared" ca="1" si="34"/>
        <v>54081632653.061226</v>
      </c>
      <c r="S426" s="18">
        <v>547</v>
      </c>
      <c r="T426" s="18"/>
      <c r="U426" s="2" cm="1">
        <f t="array" aca="1" ref="U426" ca="1">INDIRECT("d" &amp; (S426+2))</f>
        <v>547</v>
      </c>
      <c r="V426" s="5">
        <f t="shared" ca="1" si="33"/>
        <v>4.4471544715447155</v>
      </c>
      <c r="W426">
        <v>424</v>
      </c>
      <c r="X426" s="18">
        <v>987</v>
      </c>
      <c r="Y426" s="18"/>
      <c r="Z426" s="2" cm="1">
        <f t="array" aca="1" ref="Z426" ca="1">INDIRECT("b" &amp; (X426+2))</f>
        <v>6.6250000000000008E+47</v>
      </c>
      <c r="AA426" s="5">
        <f t="shared" ca="1" si="35"/>
        <v>54081632653.061226</v>
      </c>
    </row>
    <row r="427" spans="1:27">
      <c r="A427">
        <v>425</v>
      </c>
      <c r="B427">
        <v>1.4999999999999999E+30</v>
      </c>
      <c r="D427" s="18">
        <v>425</v>
      </c>
      <c r="E427" s="18" cm="1">
        <f t="array" aca="1" ref="E427" ca="1">INDIRECT("b"&amp;F427+2)</f>
        <v>1.6750000000000001E+47</v>
      </c>
      <c r="F427" s="18">
        <f t="shared" si="32"/>
        <v>965</v>
      </c>
      <c r="G427" s="18"/>
      <c r="H427" s="18"/>
      <c r="I427" s="19">
        <v>425</v>
      </c>
      <c r="J427" s="19" cm="1">
        <f t="array" aca="1" ref="J427" ca="1">INDIRECT("b"&amp;K427+2)</f>
        <v>1.6749999999999999E+76</v>
      </c>
      <c r="K427" s="19">
        <f t="shared" si="36"/>
        <v>2165</v>
      </c>
      <c r="N427" s="18">
        <v>988</v>
      </c>
      <c r="O427" s="18"/>
      <c r="P427" s="2" cm="1">
        <f t="array" aca="1" ref="P427" ca="1">INDIRECT("b" &amp; (N427+2))</f>
        <v>6.8500000000000008E+47</v>
      </c>
      <c r="Q427" s="5">
        <f t="shared" ca="1" si="34"/>
        <v>55918367346.938774</v>
      </c>
      <c r="S427" s="18">
        <v>548</v>
      </c>
      <c r="T427" s="18"/>
      <c r="U427" s="2" cm="1">
        <f t="array" aca="1" ref="U427" ca="1">INDIRECT("d" &amp; (S427+2))</f>
        <v>548</v>
      </c>
      <c r="V427" s="5">
        <f t="shared" ca="1" si="33"/>
        <v>4.4552845528455283</v>
      </c>
      <c r="W427">
        <v>425</v>
      </c>
      <c r="X427" s="18">
        <v>988</v>
      </c>
      <c r="Y427" s="18"/>
      <c r="Z427" s="2" cm="1">
        <f t="array" aca="1" ref="Z427" ca="1">INDIRECT("b" &amp; (X427+2))</f>
        <v>6.8500000000000008E+47</v>
      </c>
      <c r="AA427" s="5">
        <f t="shared" ca="1" si="35"/>
        <v>55918367346.938774</v>
      </c>
    </row>
    <row r="428" spans="1:27">
      <c r="A428">
        <v>426</v>
      </c>
      <c r="B428">
        <v>2E+30</v>
      </c>
      <c r="D428" s="18">
        <v>426</v>
      </c>
      <c r="E428" s="18" cm="1">
        <f t="array" aca="1" ref="E428" ca="1">INDIRECT("b"&amp;F428+2)</f>
        <v>1.9000000000000002E+47</v>
      </c>
      <c r="F428" s="18">
        <f t="shared" si="32"/>
        <v>966</v>
      </c>
      <c r="G428" s="18"/>
      <c r="H428" s="18"/>
      <c r="I428" s="19">
        <v>426</v>
      </c>
      <c r="J428" s="19" cm="1">
        <f t="array" aca="1" ref="J428" ca="1">INDIRECT("b"&amp;K428+2)</f>
        <v>1.8999999999999998E+76</v>
      </c>
      <c r="K428" s="19">
        <f t="shared" si="36"/>
        <v>2166</v>
      </c>
      <c r="N428" s="18">
        <v>989</v>
      </c>
      <c r="O428" s="18"/>
      <c r="P428" s="2" cm="1">
        <f t="array" aca="1" ref="P428" ca="1">INDIRECT("b" &amp; (N428+2))</f>
        <v>7.0749999999999992E+47</v>
      </c>
      <c r="Q428" s="5">
        <f t="shared" ca="1" si="34"/>
        <v>57755102040.816315</v>
      </c>
      <c r="S428" s="18">
        <v>549</v>
      </c>
      <c r="T428" s="18"/>
      <c r="U428" s="2" cm="1">
        <f t="array" aca="1" ref="U428" ca="1">INDIRECT("d" &amp; (S428+2))</f>
        <v>549</v>
      </c>
      <c r="V428" s="5">
        <f t="shared" ca="1" si="33"/>
        <v>4.4634146341463419</v>
      </c>
      <c r="W428">
        <v>426</v>
      </c>
      <c r="X428" s="18">
        <v>989</v>
      </c>
      <c r="Y428" s="18"/>
      <c r="Z428" s="2" cm="1">
        <f t="array" aca="1" ref="Z428" ca="1">INDIRECT("b" &amp; (X428+2))</f>
        <v>7.0749999999999992E+47</v>
      </c>
      <c r="AA428" s="5">
        <f t="shared" ca="1" si="35"/>
        <v>57755102040.816315</v>
      </c>
    </row>
    <row r="429" spans="1:27">
      <c r="A429">
        <v>427</v>
      </c>
      <c r="B429">
        <v>2.5000000000000002E+30</v>
      </c>
      <c r="D429" s="18">
        <v>427</v>
      </c>
      <c r="E429" s="18" cm="1">
        <f t="array" aca="1" ref="E429" ca="1">INDIRECT("b"&amp;F429+2)</f>
        <v>2.3500000000000002E+47</v>
      </c>
      <c r="F429" s="18">
        <f t="shared" si="32"/>
        <v>968</v>
      </c>
      <c r="G429" s="18"/>
      <c r="H429" s="18"/>
      <c r="I429" s="19">
        <v>427</v>
      </c>
      <c r="J429" s="19" cm="1">
        <f t="array" aca="1" ref="J429" ca="1">INDIRECT("b"&amp;K429+2)</f>
        <v>2.3499999999999998E+76</v>
      </c>
      <c r="K429" s="19">
        <f t="shared" si="36"/>
        <v>2168</v>
      </c>
      <c r="N429" s="18">
        <v>990</v>
      </c>
      <c r="O429" s="18"/>
      <c r="P429" s="2" cm="1">
        <f t="array" aca="1" ref="P429" ca="1">INDIRECT("b" &amp; (N429+2))</f>
        <v>7.3000000000000001E+47</v>
      </c>
      <c r="Q429" s="5">
        <f t="shared" ca="1" si="34"/>
        <v>59591836734.693871</v>
      </c>
      <c r="S429" s="18">
        <v>550</v>
      </c>
      <c r="T429" s="18"/>
      <c r="U429" s="2" cm="1">
        <f t="array" aca="1" ref="U429" ca="1">INDIRECT("d" &amp; (S429+2))</f>
        <v>550</v>
      </c>
      <c r="V429" s="5">
        <f t="shared" ca="1" si="33"/>
        <v>4.4715447154471546</v>
      </c>
      <c r="W429">
        <v>427</v>
      </c>
      <c r="X429" s="18">
        <v>990</v>
      </c>
      <c r="Y429" s="18"/>
      <c r="Z429" s="2" cm="1">
        <f t="array" aca="1" ref="Z429" ca="1">INDIRECT("b" &amp; (X429+2))</f>
        <v>7.3000000000000001E+47</v>
      </c>
      <c r="AA429" s="5">
        <f t="shared" ca="1" si="35"/>
        <v>59591836734.693871</v>
      </c>
    </row>
    <row r="430" spans="1:27">
      <c r="A430">
        <v>428</v>
      </c>
      <c r="B430">
        <v>2.9999999999999998E+30</v>
      </c>
      <c r="D430" s="18">
        <v>428</v>
      </c>
      <c r="E430" s="18" cm="1">
        <f t="array" aca="1" ref="E430" ca="1">INDIRECT("b"&amp;F430+2)</f>
        <v>2.5749999999999998E+47</v>
      </c>
      <c r="F430" s="18">
        <f t="shared" si="32"/>
        <v>969</v>
      </c>
      <c r="G430" s="18"/>
      <c r="H430" s="18"/>
      <c r="I430" s="19">
        <v>428</v>
      </c>
      <c r="J430" s="19" cm="1">
        <f t="array" aca="1" ref="J430" ca="1">INDIRECT("b"&amp;K430+2)</f>
        <v>2.575E+76</v>
      </c>
      <c r="K430" s="19">
        <f t="shared" si="36"/>
        <v>2169</v>
      </c>
      <c r="N430" s="18">
        <v>991</v>
      </c>
      <c r="O430" s="18"/>
      <c r="P430" s="2" cm="1">
        <f t="array" aca="1" ref="P430" ca="1">INDIRECT("b" &amp; (N430+2))</f>
        <v>7.5250000000000001E+47</v>
      </c>
      <c r="Q430" s="5">
        <f t="shared" ca="1" si="34"/>
        <v>61428571428.571426</v>
      </c>
      <c r="S430" s="18">
        <v>551</v>
      </c>
      <c r="T430" s="18"/>
      <c r="U430" s="2" cm="1">
        <f t="array" aca="1" ref="U430" ca="1">INDIRECT("d" &amp; (S430+2))</f>
        <v>551</v>
      </c>
      <c r="V430" s="5">
        <f t="shared" ca="1" si="33"/>
        <v>4.4796747967479673</v>
      </c>
      <c r="W430">
        <v>428</v>
      </c>
      <c r="X430" s="18">
        <v>991</v>
      </c>
      <c r="Y430" s="18"/>
      <c r="Z430" s="2" cm="1">
        <f t="array" aca="1" ref="Z430" ca="1">INDIRECT("b" &amp; (X430+2))</f>
        <v>7.5250000000000001E+47</v>
      </c>
      <c r="AA430" s="5">
        <f t="shared" ca="1" si="35"/>
        <v>61428571428.571426</v>
      </c>
    </row>
    <row r="431" spans="1:27">
      <c r="A431">
        <v>429</v>
      </c>
      <c r="B431">
        <v>3.5000000000000002E+30</v>
      </c>
      <c r="D431" s="18">
        <v>429</v>
      </c>
      <c r="E431" s="18" cm="1">
        <f t="array" aca="1" ref="E431" ca="1">INDIRECT("b"&amp;F431+2)</f>
        <v>2.8000000000000003E+47</v>
      </c>
      <c r="F431" s="18">
        <f t="shared" si="32"/>
        <v>970</v>
      </c>
      <c r="G431" s="18"/>
      <c r="H431" s="18"/>
      <c r="I431" s="19">
        <v>429</v>
      </c>
      <c r="J431" s="19" cm="1">
        <f t="array" aca="1" ref="J431" ca="1">INDIRECT("b"&amp;K431+2)</f>
        <v>2.7999999999999999E+76</v>
      </c>
      <c r="K431" s="19">
        <f t="shared" si="36"/>
        <v>2170</v>
      </c>
      <c r="N431" s="18">
        <v>992</v>
      </c>
      <c r="O431" s="18"/>
      <c r="P431" s="2" cm="1">
        <f t="array" aca="1" ref="P431" ca="1">INDIRECT("b" &amp; (N431+2))</f>
        <v>7.7500000000000001E+47</v>
      </c>
      <c r="Q431" s="5">
        <f t="shared" ca="1" si="34"/>
        <v>63265306122.448975</v>
      </c>
      <c r="S431" s="18">
        <v>552</v>
      </c>
      <c r="T431" s="18"/>
      <c r="U431" s="2" cm="1">
        <f t="array" aca="1" ref="U431" ca="1">INDIRECT("d" &amp; (S431+2))</f>
        <v>552</v>
      </c>
      <c r="V431" s="5">
        <f t="shared" ca="1" si="33"/>
        <v>4.4878048780487809</v>
      </c>
      <c r="W431">
        <v>429</v>
      </c>
      <c r="X431" s="18">
        <v>992</v>
      </c>
      <c r="Y431" s="18"/>
      <c r="Z431" s="2" cm="1">
        <f t="array" aca="1" ref="Z431" ca="1">INDIRECT("b" &amp; (X431+2))</f>
        <v>7.7500000000000001E+47</v>
      </c>
      <c r="AA431" s="5">
        <f t="shared" ca="1" si="35"/>
        <v>63265306122.448975</v>
      </c>
    </row>
    <row r="432" spans="1:27">
      <c r="A432">
        <v>430</v>
      </c>
      <c r="B432">
        <v>4.0000000000000001E+30</v>
      </c>
      <c r="D432" s="18">
        <v>430</v>
      </c>
      <c r="E432" s="18" cm="1">
        <f t="array" aca="1" ref="E432" ca="1">INDIRECT("b"&amp;F432+2)</f>
        <v>3.2499999999999995E+47</v>
      </c>
      <c r="F432" s="18">
        <f t="shared" si="32"/>
        <v>972</v>
      </c>
      <c r="G432" s="18"/>
      <c r="H432" s="18"/>
      <c r="I432" s="19">
        <v>430</v>
      </c>
      <c r="J432" s="19" cm="1">
        <f t="array" aca="1" ref="J432" ca="1">INDIRECT("b"&amp;K432+2)</f>
        <v>3.2499999999999996E+76</v>
      </c>
      <c r="K432" s="19">
        <f t="shared" si="36"/>
        <v>2172</v>
      </c>
      <c r="N432" s="18">
        <v>993</v>
      </c>
      <c r="O432" s="18"/>
      <c r="P432" s="2" cm="1">
        <f t="array" aca="1" ref="P432" ca="1">INDIRECT("b" &amp; (N432+2))</f>
        <v>7.9750000000000002E+47</v>
      </c>
      <c r="Q432" s="5">
        <f t="shared" ca="1" si="34"/>
        <v>65102040816.32653</v>
      </c>
      <c r="S432" s="18">
        <v>553</v>
      </c>
      <c r="T432" s="18"/>
      <c r="U432" s="2" cm="1">
        <f t="array" aca="1" ref="U432" ca="1">INDIRECT("d" &amp; (S432+2))</f>
        <v>553</v>
      </c>
      <c r="V432" s="5">
        <f t="shared" ca="1" si="33"/>
        <v>4.4959349593495936</v>
      </c>
      <c r="W432">
        <v>430</v>
      </c>
      <c r="X432" s="18">
        <v>993</v>
      </c>
      <c r="Y432" s="18"/>
      <c r="Z432" s="2" cm="1">
        <f t="array" aca="1" ref="Z432" ca="1">INDIRECT("b" &amp; (X432+2))</f>
        <v>7.9750000000000002E+47</v>
      </c>
      <c r="AA432" s="5">
        <f t="shared" ca="1" si="35"/>
        <v>65102040816.32653</v>
      </c>
    </row>
    <row r="433" spans="1:27">
      <c r="A433">
        <v>431</v>
      </c>
      <c r="B433">
        <v>4.4999999999999999E+30</v>
      </c>
      <c r="D433" s="18">
        <v>431</v>
      </c>
      <c r="E433" s="18" cm="1">
        <f t="array" aca="1" ref="E433" ca="1">INDIRECT("b"&amp;F433+2)</f>
        <v>3.475E+47</v>
      </c>
      <c r="F433" s="18">
        <f t="shared" si="32"/>
        <v>973</v>
      </c>
      <c r="G433" s="18"/>
      <c r="H433" s="18"/>
      <c r="I433" s="19">
        <v>431</v>
      </c>
      <c r="J433" s="19" cm="1">
        <f t="array" aca="1" ref="J433" ca="1">INDIRECT("b"&amp;K433+2)</f>
        <v>3.4750000000000001E+76</v>
      </c>
      <c r="K433" s="19">
        <f t="shared" si="36"/>
        <v>2173</v>
      </c>
      <c r="N433" s="18">
        <v>994</v>
      </c>
      <c r="O433" s="18"/>
      <c r="P433" s="2" cm="1">
        <f t="array" aca="1" ref="P433" ca="1">INDIRECT("b" &amp; (N433+2))</f>
        <v>8.1999999999999986E+47</v>
      </c>
      <c r="Q433" s="5">
        <f t="shared" ca="1" si="34"/>
        <v>66938775510.204063</v>
      </c>
      <c r="S433" s="18">
        <v>554</v>
      </c>
      <c r="T433" s="18"/>
      <c r="U433" s="2" cm="1">
        <f t="array" aca="1" ref="U433" ca="1">INDIRECT("d" &amp; (S433+2))</f>
        <v>554</v>
      </c>
      <c r="V433" s="5">
        <f t="shared" ca="1" si="33"/>
        <v>4.5040650406504064</v>
      </c>
      <c r="W433">
        <v>431</v>
      </c>
      <c r="X433" s="18">
        <v>994</v>
      </c>
      <c r="Y433" s="18"/>
      <c r="Z433" s="2" cm="1">
        <f t="array" aca="1" ref="Z433" ca="1">INDIRECT("b" &amp; (X433+2))</f>
        <v>8.1999999999999986E+47</v>
      </c>
      <c r="AA433" s="5">
        <f t="shared" ca="1" si="35"/>
        <v>66938775510.204063</v>
      </c>
    </row>
    <row r="434" spans="1:27">
      <c r="A434">
        <v>432</v>
      </c>
      <c r="B434">
        <v>5.0000000000000004E+30</v>
      </c>
      <c r="D434" s="18">
        <v>432</v>
      </c>
      <c r="E434" s="18" cm="1">
        <f t="array" aca="1" ref="E434" ca="1">INDIRECT("b"&amp;F434+2)</f>
        <v>3.7000000000000004E+47</v>
      </c>
      <c r="F434" s="18">
        <f t="shared" si="32"/>
        <v>974</v>
      </c>
      <c r="G434" s="18"/>
      <c r="H434" s="18"/>
      <c r="I434" s="19">
        <v>432</v>
      </c>
      <c r="J434" s="19" cm="1">
        <f t="array" aca="1" ref="J434" ca="1">INDIRECT("b"&amp;K434+2)</f>
        <v>3.6999999999999999E+76</v>
      </c>
      <c r="K434" s="19">
        <f t="shared" si="36"/>
        <v>2174</v>
      </c>
      <c r="N434" s="18">
        <v>995</v>
      </c>
      <c r="O434" s="18"/>
      <c r="P434" s="2" cm="1">
        <f t="array" aca="1" ref="P434" ca="1">INDIRECT("b" &amp; (N434+2))</f>
        <v>8.4250000000000002E+47</v>
      </c>
      <c r="Q434" s="5">
        <f t="shared" ca="1" si="34"/>
        <v>68775510204.081635</v>
      </c>
      <c r="S434" s="18">
        <v>555</v>
      </c>
      <c r="T434" s="18"/>
      <c r="U434" s="2" cm="1">
        <f t="array" aca="1" ref="U434" ca="1">INDIRECT("d" &amp; (S434+2))</f>
        <v>555</v>
      </c>
      <c r="V434" s="5">
        <f t="shared" ca="1" si="33"/>
        <v>4.5121951219512191</v>
      </c>
      <c r="W434">
        <v>432</v>
      </c>
      <c r="X434" s="18">
        <v>995</v>
      </c>
      <c r="Y434" s="18"/>
      <c r="Z434" s="2" cm="1">
        <f t="array" aca="1" ref="Z434" ca="1">INDIRECT("b" &amp; (X434+2))</f>
        <v>8.4250000000000002E+47</v>
      </c>
      <c r="AA434" s="5">
        <f t="shared" ca="1" si="35"/>
        <v>68775510204.081635</v>
      </c>
    </row>
    <row r="435" spans="1:27">
      <c r="A435">
        <v>433</v>
      </c>
      <c r="B435">
        <v>5.5000000000000003E+30</v>
      </c>
      <c r="D435" s="18">
        <v>433</v>
      </c>
      <c r="E435" s="18" cm="1">
        <f t="array" aca="1" ref="E435" ca="1">INDIRECT("b"&amp;F435+2)</f>
        <v>4.1500000000000005E+47</v>
      </c>
      <c r="F435" s="18">
        <f t="shared" si="32"/>
        <v>976</v>
      </c>
      <c r="G435" s="18"/>
      <c r="H435" s="18"/>
      <c r="I435" s="19">
        <v>433</v>
      </c>
      <c r="J435" s="19" cm="1">
        <f t="array" aca="1" ref="J435" ca="1">INDIRECT("b"&amp;K435+2)</f>
        <v>4.1499999999999997E+76</v>
      </c>
      <c r="K435" s="19">
        <f t="shared" si="36"/>
        <v>2176</v>
      </c>
      <c r="N435" s="18">
        <v>996</v>
      </c>
      <c r="O435" s="18"/>
      <c r="P435" s="2" cm="1">
        <f t="array" aca="1" ref="P435" ca="1">INDIRECT("b" &amp; (N435+2))</f>
        <v>8.6499999999999986E+47</v>
      </c>
      <c r="Q435" s="5">
        <f t="shared" ca="1" si="34"/>
        <v>70612244897.959167</v>
      </c>
      <c r="S435" s="18">
        <v>556</v>
      </c>
      <c r="T435" s="18"/>
      <c r="U435" s="2" cm="1">
        <f t="array" aca="1" ref="U435" ca="1">INDIRECT("d" &amp; (S435+2))</f>
        <v>556</v>
      </c>
      <c r="V435" s="5">
        <f t="shared" ca="1" si="33"/>
        <v>4.5203252032520327</v>
      </c>
      <c r="W435">
        <v>433</v>
      </c>
      <c r="X435" s="18">
        <v>996</v>
      </c>
      <c r="Y435" s="18"/>
      <c r="Z435" s="2" cm="1">
        <f t="array" aca="1" ref="Z435" ca="1">INDIRECT("b" &amp; (X435+2))</f>
        <v>8.6499999999999986E+47</v>
      </c>
      <c r="AA435" s="5">
        <f t="shared" ca="1" si="35"/>
        <v>70612244897.959167</v>
      </c>
    </row>
    <row r="436" spans="1:27">
      <c r="A436">
        <v>434</v>
      </c>
      <c r="B436">
        <v>5.9999999999999996E+30</v>
      </c>
      <c r="D436" s="18">
        <v>434</v>
      </c>
      <c r="E436" s="18" cm="1">
        <f t="array" aca="1" ref="E436" ca="1">INDIRECT("b"&amp;F436+2)</f>
        <v>4.3749999999999997E+47</v>
      </c>
      <c r="F436" s="18">
        <f t="shared" si="32"/>
        <v>977</v>
      </c>
      <c r="G436" s="18"/>
      <c r="H436" s="18"/>
      <c r="I436" s="19">
        <v>434</v>
      </c>
      <c r="J436" s="19" cm="1">
        <f t="array" aca="1" ref="J436" ca="1">INDIRECT("b"&amp;K436+2)</f>
        <v>4.3749999999999995E+76</v>
      </c>
      <c r="K436" s="19">
        <f t="shared" si="36"/>
        <v>2177</v>
      </c>
      <c r="N436" s="18">
        <v>997</v>
      </c>
      <c r="O436" s="18"/>
      <c r="P436" s="2" cm="1">
        <f t="array" aca="1" ref="P436" ca="1">INDIRECT("b" &amp; (N436+2))</f>
        <v>8.8749999999999987E+47</v>
      </c>
      <c r="Q436" s="5">
        <f t="shared" ca="1" si="34"/>
        <v>72448979591.836716</v>
      </c>
      <c r="S436" s="18">
        <v>557</v>
      </c>
      <c r="T436" s="18"/>
      <c r="U436" s="2" cm="1">
        <f t="array" aca="1" ref="U436" ca="1">INDIRECT("d" &amp; (S436+2))</f>
        <v>557</v>
      </c>
      <c r="V436" s="5">
        <f t="shared" ca="1" si="33"/>
        <v>4.5284552845528454</v>
      </c>
      <c r="W436">
        <v>434</v>
      </c>
      <c r="X436" s="18">
        <v>997</v>
      </c>
      <c r="Y436" s="18"/>
      <c r="Z436" s="2" cm="1">
        <f t="array" aca="1" ref="Z436" ca="1">INDIRECT("b" &amp; (X436+2))</f>
        <v>8.8749999999999987E+47</v>
      </c>
      <c r="AA436" s="5">
        <f t="shared" ca="1" si="35"/>
        <v>72448979591.836716</v>
      </c>
    </row>
    <row r="437" spans="1:27">
      <c r="A437">
        <v>435</v>
      </c>
      <c r="B437">
        <v>6.5E+30</v>
      </c>
      <c r="D437" s="18">
        <v>435</v>
      </c>
      <c r="E437" s="18" cm="1">
        <f t="array" aca="1" ref="E437" ca="1">INDIRECT("b"&amp;F437+2)</f>
        <v>4.5999999999999997E+47</v>
      </c>
      <c r="F437" s="18">
        <f t="shared" si="32"/>
        <v>978</v>
      </c>
      <c r="G437" s="18"/>
      <c r="H437" s="18"/>
      <c r="I437" s="19">
        <v>435</v>
      </c>
      <c r="J437" s="19" cm="1">
        <f t="array" aca="1" ref="J437" ca="1">INDIRECT("b"&amp;K437+2)</f>
        <v>4.6E+76</v>
      </c>
      <c r="K437" s="19">
        <f t="shared" si="36"/>
        <v>2178</v>
      </c>
      <c r="N437" s="18">
        <v>998</v>
      </c>
      <c r="O437" s="18"/>
      <c r="P437" s="2" cm="1">
        <f t="array" aca="1" ref="P437" ca="1">INDIRECT("b" &amp; (N437+2))</f>
        <v>9.0999999999999987E+47</v>
      </c>
      <c r="Q437" s="5">
        <f t="shared" ca="1" si="34"/>
        <v>74285714285.714264</v>
      </c>
      <c r="S437" s="18">
        <v>558</v>
      </c>
      <c r="T437" s="18"/>
      <c r="U437" s="2" cm="1">
        <f t="array" aca="1" ref="U437" ca="1">INDIRECT("d" &amp; (S437+2))</f>
        <v>558</v>
      </c>
      <c r="V437" s="5">
        <f t="shared" ca="1" si="33"/>
        <v>4.5365853658536581</v>
      </c>
      <c r="W437">
        <v>435</v>
      </c>
      <c r="X437" s="18">
        <v>998</v>
      </c>
      <c r="Y437" s="18"/>
      <c r="Z437" s="2" cm="1">
        <f t="array" aca="1" ref="Z437" ca="1">INDIRECT("b" &amp; (X437+2))</f>
        <v>9.0999999999999987E+47</v>
      </c>
      <c r="AA437" s="5">
        <f t="shared" ca="1" si="35"/>
        <v>74285714285.714264</v>
      </c>
    </row>
    <row r="438" spans="1:27">
      <c r="A438">
        <v>436</v>
      </c>
      <c r="B438">
        <v>7.0000000000000004E+30</v>
      </c>
      <c r="D438" s="18">
        <v>436</v>
      </c>
      <c r="E438" s="18" cm="1">
        <f t="array" aca="1" ref="E438" ca="1">INDIRECT("b"&amp;F438+2)</f>
        <v>5.0499999999999998E+47</v>
      </c>
      <c r="F438" s="18">
        <f t="shared" si="32"/>
        <v>980</v>
      </c>
      <c r="G438" s="18"/>
      <c r="H438" s="18"/>
      <c r="I438" s="19">
        <v>436</v>
      </c>
      <c r="J438" s="19" cm="1">
        <f t="array" aca="1" ref="J438" ca="1">INDIRECT("b"&amp;K438+2)</f>
        <v>5.0499999999999997E+76</v>
      </c>
      <c r="K438" s="19">
        <f t="shared" si="36"/>
        <v>2180</v>
      </c>
      <c r="N438" s="18">
        <v>999</v>
      </c>
      <c r="O438" s="2" t="s">
        <v>10</v>
      </c>
      <c r="P438" s="2" cm="1">
        <f t="array" aca="1" ref="P438" ca="1">INDIRECT("b" &amp; (N438+2))</f>
        <v>9.3249999999999987E+47</v>
      </c>
      <c r="Q438" s="5">
        <f t="shared" ca="1" si="34"/>
        <v>76122448979.591827</v>
      </c>
      <c r="S438" s="18">
        <v>559</v>
      </c>
      <c r="T438" s="2" t="s">
        <v>10</v>
      </c>
      <c r="U438" s="2" cm="1">
        <f t="array" aca="1" ref="U438" ca="1">INDIRECT("d" &amp; (S438+2))</f>
        <v>559</v>
      </c>
      <c r="V438" s="5">
        <f t="shared" ca="1" si="33"/>
        <v>4.5447154471544717</v>
      </c>
      <c r="W438">
        <v>436</v>
      </c>
      <c r="X438" s="18">
        <v>999</v>
      </c>
      <c r="Y438" s="2" t="s">
        <v>10</v>
      </c>
      <c r="Z438" s="2" cm="1">
        <f t="array" aca="1" ref="Z438" ca="1">INDIRECT("b" &amp; (X438+2))</f>
        <v>9.3249999999999987E+47</v>
      </c>
      <c r="AA438" s="5">
        <f t="shared" ca="1" si="35"/>
        <v>76122448979.591827</v>
      </c>
    </row>
    <row r="439" spans="1:27">
      <c r="A439">
        <v>437</v>
      </c>
      <c r="B439">
        <v>7.4999999999999997E+30</v>
      </c>
      <c r="D439" s="18">
        <v>437</v>
      </c>
      <c r="E439" s="18" cm="1">
        <f t="array" aca="1" ref="E439" ca="1">INDIRECT("b"&amp;F439+2)</f>
        <v>5.2749999999999998E+47</v>
      </c>
      <c r="F439" s="18">
        <f t="shared" si="32"/>
        <v>981</v>
      </c>
      <c r="G439" s="18"/>
      <c r="H439" s="18"/>
      <c r="I439" s="19">
        <v>437</v>
      </c>
      <c r="J439" s="19" cm="1">
        <f t="array" aca="1" ref="J439" ca="1">INDIRECT("b"&amp;K439+2)</f>
        <v>5.2749999999999996E+76</v>
      </c>
      <c r="K439" s="19">
        <f t="shared" si="36"/>
        <v>2181</v>
      </c>
      <c r="N439" s="18">
        <v>1000</v>
      </c>
      <c r="O439" s="18"/>
      <c r="P439" s="2" cm="1">
        <f t="array" aca="1" ref="P439" ca="1">INDIRECT("b" &amp; (N439+2))</f>
        <v>9.5500000000000004E+47</v>
      </c>
      <c r="Q439" s="5">
        <f t="shared" ca="1" si="34"/>
        <v>77959183673.469391</v>
      </c>
      <c r="S439" s="18">
        <v>560</v>
      </c>
      <c r="T439" s="18"/>
      <c r="U439" s="2" cm="1">
        <f t="array" aca="1" ref="U439" ca="1">INDIRECT("d" &amp; (S439+2))</f>
        <v>560</v>
      </c>
      <c r="V439" s="5">
        <f t="shared" ca="1" si="33"/>
        <v>4.5528455284552845</v>
      </c>
      <c r="W439">
        <v>437</v>
      </c>
      <c r="X439" s="18">
        <v>1000</v>
      </c>
      <c r="Y439" s="18"/>
      <c r="Z439" s="2" cm="1">
        <f t="array" aca="1" ref="Z439" ca="1">INDIRECT("b" &amp; (X439+2))</f>
        <v>9.5500000000000004E+47</v>
      </c>
      <c r="AA439" s="5">
        <f t="shared" ca="1" si="35"/>
        <v>77959183673.469391</v>
      </c>
    </row>
    <row r="440" spans="1:27">
      <c r="A440">
        <v>438</v>
      </c>
      <c r="B440">
        <v>8.0000000000000002E+30</v>
      </c>
      <c r="D440" s="18">
        <v>438</v>
      </c>
      <c r="E440" s="18" cm="1">
        <f t="array" aca="1" ref="E440" ca="1">INDIRECT("b"&amp;F440+2)</f>
        <v>5.4999999999999998E+47</v>
      </c>
      <c r="F440" s="18">
        <f t="shared" si="32"/>
        <v>982</v>
      </c>
      <c r="G440" s="18"/>
      <c r="H440" s="18"/>
      <c r="I440" s="19">
        <v>438</v>
      </c>
      <c r="J440" s="19" cm="1">
        <f t="array" aca="1" ref="J440" ca="1">INDIRECT("b"&amp;K440+2)</f>
        <v>5.4999999999999995E+76</v>
      </c>
      <c r="K440" s="19">
        <f t="shared" si="36"/>
        <v>2182</v>
      </c>
      <c r="N440" s="18">
        <v>1001</v>
      </c>
      <c r="O440" s="18"/>
      <c r="P440" s="2" cm="1">
        <f t="array" aca="1" ref="P440" ca="1">INDIRECT("b" &amp; (N440+2))</f>
        <v>9.7749999999999988E+47</v>
      </c>
      <c r="Q440" s="5">
        <f t="shared" ca="1" si="34"/>
        <v>79795918367.346924</v>
      </c>
      <c r="S440" s="18">
        <v>561</v>
      </c>
      <c r="T440" s="18"/>
      <c r="U440" s="2" cm="1">
        <f t="array" aca="1" ref="U440" ca="1">INDIRECT("d" &amp; (S440+2))</f>
        <v>561</v>
      </c>
      <c r="V440" s="5">
        <f t="shared" ca="1" si="33"/>
        <v>4.5609756097560972</v>
      </c>
      <c r="W440">
        <v>438</v>
      </c>
      <c r="X440" s="18">
        <v>1001</v>
      </c>
      <c r="Y440" s="18"/>
      <c r="Z440" s="2" cm="1">
        <f t="array" aca="1" ref="Z440" ca="1">INDIRECT("b" &amp; (X440+2))</f>
        <v>9.7749999999999988E+47</v>
      </c>
      <c r="AA440" s="5">
        <f t="shared" ca="1" si="35"/>
        <v>79795918367.346924</v>
      </c>
    </row>
    <row r="441" spans="1:27">
      <c r="A441">
        <v>439</v>
      </c>
      <c r="B441">
        <v>8.4999999999999995E+30</v>
      </c>
      <c r="D441" s="18">
        <v>439</v>
      </c>
      <c r="E441" s="18" cm="1">
        <f t="array" aca="1" ref="E441" ca="1">INDIRECT("b"&amp;F441+2)</f>
        <v>5.9500000000000007E+47</v>
      </c>
      <c r="F441" s="18">
        <f t="shared" si="32"/>
        <v>984</v>
      </c>
      <c r="G441" s="18"/>
      <c r="H441" s="18"/>
      <c r="I441" s="19">
        <v>439</v>
      </c>
      <c r="J441" s="19" cm="1">
        <f t="array" aca="1" ref="J441" ca="1">INDIRECT("b"&amp;K441+2)</f>
        <v>5.9499999999999998E+76</v>
      </c>
      <c r="K441" s="19">
        <f t="shared" si="36"/>
        <v>2184</v>
      </c>
    </row>
    <row r="442" spans="1:27">
      <c r="A442">
        <v>440</v>
      </c>
      <c r="B442">
        <v>8.9999999999999999E+30</v>
      </c>
      <c r="D442" s="18">
        <v>440</v>
      </c>
      <c r="E442" s="18" cm="1">
        <f t="array" aca="1" ref="E442" ca="1">INDIRECT("b"&amp;F442+2)</f>
        <v>6.1749999999999999E+47</v>
      </c>
      <c r="F442" s="18">
        <f t="shared" si="32"/>
        <v>985</v>
      </c>
      <c r="G442" s="18"/>
      <c r="H442" s="18"/>
      <c r="I442" s="19">
        <v>440</v>
      </c>
      <c r="J442" s="19" cm="1">
        <f t="array" aca="1" ref="J442" ca="1">INDIRECT("b"&amp;K442+2)</f>
        <v>6.1750000000000003E+76</v>
      </c>
      <c r="K442" s="19">
        <f t="shared" si="36"/>
        <v>2185</v>
      </c>
    </row>
    <row r="443" spans="1:27">
      <c r="A443">
        <v>441</v>
      </c>
      <c r="B443">
        <v>9.5000000000000003E+30</v>
      </c>
      <c r="D443" s="18">
        <v>441</v>
      </c>
      <c r="E443" s="18" cm="1">
        <f t="array" aca="1" ref="E443" ca="1">INDIRECT("b"&amp;F443+2)</f>
        <v>6.4E+47</v>
      </c>
      <c r="F443" s="18">
        <f t="shared" si="32"/>
        <v>986</v>
      </c>
      <c r="G443" s="18"/>
      <c r="H443" s="18"/>
      <c r="I443" s="19">
        <v>441</v>
      </c>
      <c r="J443" s="19" cm="1">
        <f t="array" aca="1" ref="J443" ca="1">INDIRECT("b"&amp;K443+2)</f>
        <v>6.3999999999999995E+76</v>
      </c>
      <c r="K443" s="19">
        <f t="shared" si="36"/>
        <v>2186</v>
      </c>
    </row>
    <row r="444" spans="1:27">
      <c r="A444">
        <v>442</v>
      </c>
      <c r="B444">
        <v>9.9999999999999996E+30</v>
      </c>
      <c r="D444" s="18">
        <v>442</v>
      </c>
      <c r="E444" s="18" cm="1">
        <f t="array" aca="1" ref="E444" ca="1">INDIRECT("b"&amp;F444+2)</f>
        <v>6.8500000000000008E+47</v>
      </c>
      <c r="F444" s="18">
        <f t="shared" si="32"/>
        <v>988</v>
      </c>
      <c r="G444" s="18"/>
      <c r="H444" s="18"/>
      <c r="I444" s="19">
        <v>442</v>
      </c>
      <c r="J444" s="19" cm="1">
        <f t="array" aca="1" ref="J444" ca="1">INDIRECT("b"&amp;K444+2)</f>
        <v>6.8499999999999992E+76</v>
      </c>
      <c r="K444" s="19">
        <f t="shared" si="36"/>
        <v>2188</v>
      </c>
    </row>
    <row r="445" spans="1:27">
      <c r="A445">
        <v>443</v>
      </c>
      <c r="B445">
        <v>1.0500000000000001E+31</v>
      </c>
      <c r="D445" s="18">
        <v>443</v>
      </c>
      <c r="E445" s="18" cm="1">
        <f t="array" aca="1" ref="E445" ca="1">INDIRECT("b"&amp;F445+2)</f>
        <v>7.0749999999999992E+47</v>
      </c>
      <c r="F445" s="18">
        <f t="shared" ref="F445:F508" si="37">INT((A445-123)*1.333333)+563</f>
        <v>989</v>
      </c>
      <c r="G445" s="18"/>
      <c r="H445" s="18"/>
      <c r="I445" s="19">
        <v>443</v>
      </c>
      <c r="J445" s="19" cm="1">
        <f t="array" aca="1" ref="J445" ca="1">INDIRECT("b"&amp;K445+2)</f>
        <v>7.0749999999999997E+76</v>
      </c>
      <c r="K445" s="19">
        <f t="shared" si="36"/>
        <v>2189</v>
      </c>
    </row>
    <row r="446" spans="1:27">
      <c r="A446">
        <v>444</v>
      </c>
      <c r="B446">
        <v>1.1000000000000001E+31</v>
      </c>
      <c r="D446" s="18">
        <v>444</v>
      </c>
      <c r="E446" s="18" cm="1">
        <f t="array" aca="1" ref="E446" ca="1">INDIRECT("b"&amp;F446+2)</f>
        <v>7.3000000000000001E+47</v>
      </c>
      <c r="F446" s="18">
        <f t="shared" si="37"/>
        <v>990</v>
      </c>
      <c r="G446" s="18"/>
      <c r="H446" s="18"/>
      <c r="I446" s="19">
        <v>444</v>
      </c>
      <c r="J446" s="19" cm="1">
        <f t="array" aca="1" ref="J446" ca="1">INDIRECT("b"&amp;K446+2)</f>
        <v>7.3000000000000002E+76</v>
      </c>
      <c r="K446" s="19">
        <f t="shared" si="36"/>
        <v>2190</v>
      </c>
    </row>
    <row r="447" spans="1:27">
      <c r="A447">
        <v>445</v>
      </c>
      <c r="B447">
        <v>1.4999999999999999E+31</v>
      </c>
      <c r="D447" s="18">
        <v>445</v>
      </c>
      <c r="E447" s="18" cm="1">
        <f t="array" aca="1" ref="E447" ca="1">INDIRECT("b"&amp;F447+2)</f>
        <v>7.7500000000000001E+47</v>
      </c>
      <c r="F447" s="18">
        <f t="shared" si="37"/>
        <v>992</v>
      </c>
      <c r="G447" s="18"/>
      <c r="H447" s="18"/>
      <c r="I447" s="19">
        <v>445</v>
      </c>
      <c r="J447" s="19" cm="1">
        <f t="array" aca="1" ref="J447" ca="1">INDIRECT("b"&amp;K447+2)</f>
        <v>7.75E+76</v>
      </c>
      <c r="K447" s="19">
        <f t="shared" si="36"/>
        <v>2192</v>
      </c>
    </row>
    <row r="448" spans="1:27">
      <c r="A448">
        <v>446</v>
      </c>
      <c r="B448">
        <v>1.9999999999999999E+31</v>
      </c>
      <c r="D448" s="18">
        <v>446</v>
      </c>
      <c r="E448" s="18" cm="1">
        <f t="array" aca="1" ref="E448" ca="1">INDIRECT("b"&amp;F448+2)</f>
        <v>7.9750000000000002E+47</v>
      </c>
      <c r="F448" s="18">
        <f t="shared" si="37"/>
        <v>993</v>
      </c>
      <c r="G448" s="18"/>
      <c r="H448" s="18"/>
      <c r="I448" s="19">
        <v>446</v>
      </c>
      <c r="J448" s="19" cm="1">
        <f t="array" aca="1" ref="J448" ca="1">INDIRECT("b"&amp;K448+2)</f>
        <v>7.9749999999999992E+76</v>
      </c>
      <c r="K448" s="19">
        <f t="shared" si="36"/>
        <v>2193</v>
      </c>
    </row>
    <row r="449" spans="1:11">
      <c r="A449">
        <v>447</v>
      </c>
      <c r="B449">
        <v>2.5000000000000001E+31</v>
      </c>
      <c r="D449" s="18">
        <v>447</v>
      </c>
      <c r="E449" s="18" cm="1">
        <f t="array" aca="1" ref="E449" ca="1">INDIRECT("b"&amp;F449+2)</f>
        <v>8.1999999999999986E+47</v>
      </c>
      <c r="F449" s="18">
        <f t="shared" si="37"/>
        <v>994</v>
      </c>
      <c r="G449" s="18"/>
      <c r="H449" s="18"/>
      <c r="I449" s="19">
        <v>447</v>
      </c>
      <c r="J449" s="19" cm="1">
        <f t="array" aca="1" ref="J449" ca="1">INDIRECT("b"&amp;K449+2)</f>
        <v>8.1999999999999997E+76</v>
      </c>
      <c r="K449" s="19">
        <f t="shared" si="36"/>
        <v>2194</v>
      </c>
    </row>
    <row r="450" spans="1:11">
      <c r="A450">
        <v>448</v>
      </c>
      <c r="B450">
        <v>2.9999999999999999E+31</v>
      </c>
      <c r="D450" s="18">
        <v>448</v>
      </c>
      <c r="E450" s="18" cm="1">
        <f t="array" aca="1" ref="E450" ca="1">INDIRECT("b"&amp;F450+2)</f>
        <v>8.6499999999999986E+47</v>
      </c>
      <c r="F450" s="18">
        <f t="shared" si="37"/>
        <v>996</v>
      </c>
      <c r="G450" s="18"/>
      <c r="H450" s="18"/>
      <c r="I450" s="19">
        <v>448</v>
      </c>
      <c r="J450" s="19" cm="1">
        <f t="array" aca="1" ref="J450" ca="1">INDIRECT("b"&amp;K450+2)</f>
        <v>8.6499999999999994E+76</v>
      </c>
      <c r="K450" s="19">
        <f t="shared" si="36"/>
        <v>2196</v>
      </c>
    </row>
    <row r="451" spans="1:11">
      <c r="A451">
        <v>449</v>
      </c>
      <c r="B451">
        <v>3.5000000000000001E+31</v>
      </c>
      <c r="D451" s="18">
        <v>449</v>
      </c>
      <c r="E451" s="18" cm="1">
        <f t="array" aca="1" ref="E451" ca="1">INDIRECT("b"&amp;F451+2)</f>
        <v>8.8749999999999987E+47</v>
      </c>
      <c r="F451" s="18">
        <f t="shared" si="37"/>
        <v>997</v>
      </c>
      <c r="G451" s="18"/>
      <c r="H451" s="18"/>
      <c r="I451" s="19">
        <v>449</v>
      </c>
      <c r="J451" s="19" cm="1">
        <f t="array" aca="1" ref="J451" ca="1">INDIRECT("b"&amp;K451+2)</f>
        <v>8.8749999999999999E+76</v>
      </c>
      <c r="K451" s="19">
        <f t="shared" si="36"/>
        <v>2197</v>
      </c>
    </row>
    <row r="452" spans="1:11">
      <c r="A452">
        <v>450</v>
      </c>
      <c r="B452">
        <v>3.9999999999999999E+31</v>
      </c>
      <c r="D452" s="18">
        <v>450</v>
      </c>
      <c r="E452" s="18" cm="1">
        <f t="array" aca="1" ref="E452" ca="1">INDIRECT("b"&amp;F452+2)</f>
        <v>9.0999999999999987E+47</v>
      </c>
      <c r="F452" s="18">
        <f t="shared" si="37"/>
        <v>998</v>
      </c>
      <c r="G452" s="18"/>
      <c r="H452" s="18"/>
      <c r="I452" s="19">
        <v>450</v>
      </c>
      <c r="J452" s="19" cm="1">
        <f t="array" aca="1" ref="J452" ca="1">INDIRECT("b"&amp;K452+2)</f>
        <v>9.0999999999999991E+76</v>
      </c>
      <c r="K452" s="19">
        <f t="shared" ref="K452:K515" si="38">INT((A452-1)*40/30+900*40/30)+400</f>
        <v>2198</v>
      </c>
    </row>
    <row r="453" spans="1:11">
      <c r="A453">
        <v>451</v>
      </c>
      <c r="B453">
        <v>4.5000000000000005E+31</v>
      </c>
      <c r="D453" s="18">
        <v>451</v>
      </c>
      <c r="E453" s="18" cm="1">
        <f t="array" aca="1" ref="E453" ca="1">INDIRECT("b"&amp;F453+2)</f>
        <v>9.5500000000000004E+47</v>
      </c>
      <c r="F453" s="18">
        <f t="shared" si="37"/>
        <v>1000</v>
      </c>
      <c r="G453" s="18"/>
      <c r="H453" s="18"/>
      <c r="I453" s="19">
        <v>451</v>
      </c>
      <c r="J453" s="19" cm="1">
        <f t="array" aca="1" ref="J453" ca="1">INDIRECT("b"&amp;K453+2)</f>
        <v>9.5500000000000001E+76</v>
      </c>
      <c r="K453" s="19">
        <f t="shared" si="38"/>
        <v>2200</v>
      </c>
    </row>
    <row r="454" spans="1:11">
      <c r="A454">
        <v>452</v>
      </c>
      <c r="B454">
        <v>5.0000000000000003E+31</v>
      </c>
      <c r="D454" s="18">
        <v>452</v>
      </c>
      <c r="E454" s="18" cm="1">
        <f t="array" aca="1" ref="E454" ca="1">INDIRECT("b"&amp;F454+2)</f>
        <v>9.7749999999999988E+47</v>
      </c>
      <c r="F454" s="18">
        <f t="shared" si="37"/>
        <v>1001</v>
      </c>
      <c r="G454" s="18"/>
      <c r="H454" s="18"/>
      <c r="I454" s="19">
        <v>452</v>
      </c>
      <c r="J454" s="19" cm="1">
        <f t="array" aca="1" ref="J454" ca="1">INDIRECT("b"&amp;K454+2)</f>
        <v>9.7749999999999993E+76</v>
      </c>
      <c r="K454" s="19">
        <f t="shared" si="38"/>
        <v>2201</v>
      </c>
    </row>
    <row r="455" spans="1:11">
      <c r="A455">
        <v>453</v>
      </c>
      <c r="B455">
        <v>5.5E+31</v>
      </c>
      <c r="D455" s="18">
        <v>453</v>
      </c>
      <c r="E455" s="18" cm="1">
        <f t="array" aca="1" ref="E455" ca="1">INDIRECT("b"&amp;F455+2)</f>
        <v>1E+48</v>
      </c>
      <c r="F455" s="18">
        <f t="shared" si="37"/>
        <v>1002</v>
      </c>
      <c r="G455" s="18"/>
      <c r="H455" s="18"/>
      <c r="I455" s="19">
        <v>453</v>
      </c>
      <c r="J455" s="19" cm="1">
        <f t="array" aca="1" ref="J455" ca="1">INDIRECT("b"&amp;K455+2)</f>
        <v>1.0000000000000001E+77</v>
      </c>
      <c r="K455" s="19">
        <f t="shared" si="38"/>
        <v>2202</v>
      </c>
    </row>
    <row r="456" spans="1:11">
      <c r="A456">
        <v>454</v>
      </c>
      <c r="B456">
        <v>5.9999999999999998E+31</v>
      </c>
      <c r="D456" s="18">
        <v>454</v>
      </c>
      <c r="E456" s="18" cm="1">
        <f t="array" aca="1" ref="E456" ca="1">INDIRECT("b"&amp;F456+2)</f>
        <v>1.4499999999999998E+48</v>
      </c>
      <c r="F456" s="18">
        <f t="shared" si="37"/>
        <v>1004</v>
      </c>
      <c r="G456" s="18"/>
      <c r="H456" s="18"/>
      <c r="I456" s="19">
        <v>454</v>
      </c>
      <c r="J456" s="19" cm="1">
        <f t="array" aca="1" ref="J456" ca="1">INDIRECT("b"&amp;K456+2)</f>
        <v>1.4500000000000001E+77</v>
      </c>
      <c r="K456" s="19">
        <f t="shared" si="38"/>
        <v>2204</v>
      </c>
    </row>
    <row r="457" spans="1:11">
      <c r="A457">
        <v>455</v>
      </c>
      <c r="B457">
        <v>6.4999999999999995E+31</v>
      </c>
      <c r="D457" s="18">
        <v>455</v>
      </c>
      <c r="E457" s="18" cm="1">
        <f t="array" aca="1" ref="E457" ca="1">INDIRECT("b"&amp;F457+2)</f>
        <v>1.675E+48</v>
      </c>
      <c r="F457" s="18">
        <f t="shared" si="37"/>
        <v>1005</v>
      </c>
      <c r="G457" s="18"/>
      <c r="H457" s="18"/>
      <c r="I457" s="19">
        <v>455</v>
      </c>
      <c r="J457" s="19" cm="1">
        <f t="array" aca="1" ref="J457" ca="1">INDIRECT("b"&amp;K457+2)</f>
        <v>1.6750000000000001E+77</v>
      </c>
      <c r="K457" s="19">
        <f t="shared" si="38"/>
        <v>2205</v>
      </c>
    </row>
    <row r="458" spans="1:11">
      <c r="A458">
        <v>456</v>
      </c>
      <c r="B458">
        <v>7.0000000000000002E+31</v>
      </c>
      <c r="D458" s="18">
        <v>456</v>
      </c>
      <c r="E458" s="18" cm="1">
        <f t="array" aca="1" ref="E458" ca="1">INDIRECT("b"&amp;F458+2)</f>
        <v>1.9000000000000003E+48</v>
      </c>
      <c r="F458" s="18">
        <f t="shared" si="37"/>
        <v>1006</v>
      </c>
      <c r="G458" s="18"/>
      <c r="H458" s="18"/>
      <c r="I458" s="19">
        <v>456</v>
      </c>
      <c r="J458" s="19" cm="1">
        <f t="array" aca="1" ref="J458" ca="1">INDIRECT("b"&amp;K458+2)</f>
        <v>1.9000000000000001E+77</v>
      </c>
      <c r="K458" s="19">
        <f t="shared" si="38"/>
        <v>2206</v>
      </c>
    </row>
    <row r="459" spans="1:11">
      <c r="A459">
        <v>457</v>
      </c>
      <c r="B459">
        <v>7.5E+31</v>
      </c>
      <c r="D459" s="18">
        <v>457</v>
      </c>
      <c r="E459" s="18" cm="1">
        <f t="array" aca="1" ref="E459" ca="1">INDIRECT("b"&amp;F459+2)</f>
        <v>2.3500000000000001E+48</v>
      </c>
      <c r="F459" s="18">
        <f t="shared" si="37"/>
        <v>1008</v>
      </c>
      <c r="G459" s="18"/>
      <c r="H459" s="18"/>
      <c r="I459" s="19">
        <v>457</v>
      </c>
      <c r="J459" s="19" cm="1">
        <f t="array" aca="1" ref="J459" ca="1">INDIRECT("b"&amp;K459+2)</f>
        <v>2.35E+77</v>
      </c>
      <c r="K459" s="19">
        <f t="shared" si="38"/>
        <v>2208</v>
      </c>
    </row>
    <row r="460" spans="1:11">
      <c r="A460">
        <v>458</v>
      </c>
      <c r="B460">
        <v>7.9999999999999997E+31</v>
      </c>
      <c r="D460" s="18">
        <v>458</v>
      </c>
      <c r="E460" s="18" cm="1">
        <f t="array" aca="1" ref="E460" ca="1">INDIRECT("b"&amp;F460+2)</f>
        <v>2.5749999999999998E+48</v>
      </c>
      <c r="F460" s="18">
        <f t="shared" si="37"/>
        <v>1009</v>
      </c>
      <c r="G460" s="18"/>
      <c r="H460" s="18"/>
      <c r="I460" s="19">
        <v>458</v>
      </c>
      <c r="J460" s="19" cm="1">
        <f t="array" aca="1" ref="J460" ca="1">INDIRECT("b"&amp;K460+2)</f>
        <v>2.5750000000000003E+77</v>
      </c>
      <c r="K460" s="19">
        <f t="shared" si="38"/>
        <v>2209</v>
      </c>
    </row>
    <row r="461" spans="1:11">
      <c r="A461">
        <v>459</v>
      </c>
      <c r="B461">
        <v>8.4999999999999995E+31</v>
      </c>
      <c r="D461" s="18">
        <v>459</v>
      </c>
      <c r="E461" s="18" cm="1">
        <f t="array" aca="1" ref="E461" ca="1">INDIRECT("b"&amp;F461+2)</f>
        <v>2.8000000000000001E+48</v>
      </c>
      <c r="F461" s="18">
        <f t="shared" si="37"/>
        <v>1010</v>
      </c>
      <c r="G461" s="18"/>
      <c r="H461" s="18"/>
      <c r="I461" s="19">
        <v>459</v>
      </c>
      <c r="J461" s="19" cm="1">
        <f t="array" aca="1" ref="J461" ca="1">INDIRECT("b"&amp;K461+2)</f>
        <v>2.8E+77</v>
      </c>
      <c r="K461" s="19">
        <f t="shared" si="38"/>
        <v>2210</v>
      </c>
    </row>
    <row r="462" spans="1:11">
      <c r="A462">
        <v>460</v>
      </c>
      <c r="B462">
        <v>9.000000000000001E+31</v>
      </c>
      <c r="D462" s="18">
        <v>460</v>
      </c>
      <c r="E462" s="18" cm="1">
        <f t="array" aca="1" ref="E462" ca="1">INDIRECT("b"&amp;F462+2)</f>
        <v>3.2499999999999999E+48</v>
      </c>
      <c r="F462" s="18">
        <f t="shared" si="37"/>
        <v>1012</v>
      </c>
      <c r="G462" s="18"/>
      <c r="H462" s="18"/>
      <c r="I462" s="19">
        <v>460</v>
      </c>
      <c r="J462" s="19" cm="1">
        <f t="array" aca="1" ref="J462" ca="1">INDIRECT("b"&amp;K462+2)</f>
        <v>3.2500000000000005E+77</v>
      </c>
      <c r="K462" s="19">
        <f t="shared" si="38"/>
        <v>2212</v>
      </c>
    </row>
    <row r="463" spans="1:11">
      <c r="A463">
        <v>461</v>
      </c>
      <c r="B463">
        <v>9.5000000000000008E+31</v>
      </c>
      <c r="D463" s="18">
        <v>461</v>
      </c>
      <c r="E463" s="18" cm="1">
        <f t="array" aca="1" ref="E463" ca="1">INDIRECT("b"&amp;F463+2)</f>
        <v>3.4750000000000002E+48</v>
      </c>
      <c r="F463" s="18">
        <f t="shared" si="37"/>
        <v>1013</v>
      </c>
      <c r="G463" s="18"/>
      <c r="H463" s="18"/>
      <c r="I463" s="19">
        <v>461</v>
      </c>
      <c r="J463" s="19" cm="1">
        <f t="array" aca="1" ref="J463" ca="1">INDIRECT("b"&amp;K463+2)</f>
        <v>3.4750000000000002E+77</v>
      </c>
      <c r="K463" s="19">
        <f t="shared" si="38"/>
        <v>2213</v>
      </c>
    </row>
    <row r="464" spans="1:11">
      <c r="A464">
        <v>462</v>
      </c>
      <c r="B464">
        <v>1.0000000000000001E+32</v>
      </c>
      <c r="D464" s="18">
        <v>462</v>
      </c>
      <c r="E464" s="18" cm="1">
        <f t="array" aca="1" ref="E464" ca="1">INDIRECT("b"&amp;F464+2)</f>
        <v>3.6999999999999999E+48</v>
      </c>
      <c r="F464" s="18">
        <f t="shared" si="37"/>
        <v>1014</v>
      </c>
      <c r="G464" s="18"/>
      <c r="H464" s="18"/>
      <c r="I464" s="19">
        <v>462</v>
      </c>
      <c r="J464" s="19" cm="1">
        <f t="array" aca="1" ref="J464" ca="1">INDIRECT("b"&amp;K464+2)</f>
        <v>3.7000000000000005E+77</v>
      </c>
      <c r="K464" s="19">
        <f t="shared" si="38"/>
        <v>2214</v>
      </c>
    </row>
    <row r="465" spans="1:11">
      <c r="A465">
        <v>463</v>
      </c>
      <c r="B465">
        <v>1.05E+32</v>
      </c>
      <c r="D465" s="18">
        <v>463</v>
      </c>
      <c r="E465" s="18" cm="1">
        <f t="array" aca="1" ref="E465" ca="1">INDIRECT("b"&amp;F465+2)</f>
        <v>4.1500000000000006E+48</v>
      </c>
      <c r="F465" s="18">
        <f t="shared" si="37"/>
        <v>1016</v>
      </c>
      <c r="G465" s="18"/>
      <c r="H465" s="18"/>
      <c r="I465" s="19">
        <v>463</v>
      </c>
      <c r="J465" s="19" cm="1">
        <f t="array" aca="1" ref="J465" ca="1">INDIRECT("b"&amp;K465+2)</f>
        <v>4.1500000000000004E+77</v>
      </c>
      <c r="K465" s="19">
        <f t="shared" si="38"/>
        <v>2216</v>
      </c>
    </row>
    <row r="466" spans="1:11">
      <c r="A466">
        <v>464</v>
      </c>
      <c r="B466">
        <v>1.1E+32</v>
      </c>
      <c r="D466" s="18">
        <v>464</v>
      </c>
      <c r="E466" s="18" cm="1">
        <f t="array" aca="1" ref="E466" ca="1">INDIRECT("b"&amp;F466+2)</f>
        <v>4.3749999999999997E+48</v>
      </c>
      <c r="F466" s="18">
        <f t="shared" si="37"/>
        <v>1017</v>
      </c>
      <c r="G466" s="18"/>
      <c r="H466" s="18"/>
      <c r="I466" s="19">
        <v>464</v>
      </c>
      <c r="J466" s="19" cm="1">
        <f t="array" aca="1" ref="J466" ca="1">INDIRECT("b"&amp;K466+2)</f>
        <v>4.3750000000000002E+77</v>
      </c>
      <c r="K466" s="19">
        <f t="shared" si="38"/>
        <v>2217</v>
      </c>
    </row>
    <row r="467" spans="1:11">
      <c r="A467">
        <v>465</v>
      </c>
      <c r="B467">
        <v>1.5E+32</v>
      </c>
      <c r="D467" s="18">
        <v>465</v>
      </c>
      <c r="E467" s="18" cm="1">
        <f t="array" aca="1" ref="E467" ca="1">INDIRECT("b"&amp;F467+2)</f>
        <v>4.6E+48</v>
      </c>
      <c r="F467" s="18">
        <f t="shared" si="37"/>
        <v>1018</v>
      </c>
      <c r="G467" s="18"/>
      <c r="H467" s="18"/>
      <c r="I467" s="19">
        <v>465</v>
      </c>
      <c r="J467" s="19" cm="1">
        <f t="array" aca="1" ref="J467" ca="1">INDIRECT("b"&amp;K467+2)</f>
        <v>4.6000000000000004E+77</v>
      </c>
      <c r="K467" s="19">
        <f t="shared" si="38"/>
        <v>2218</v>
      </c>
    </row>
    <row r="468" spans="1:11">
      <c r="A468">
        <v>466</v>
      </c>
      <c r="B468">
        <v>2.0000000000000001E+32</v>
      </c>
      <c r="D468" s="18">
        <v>466</v>
      </c>
      <c r="E468" s="18" cm="1">
        <f t="array" aca="1" ref="E468" ca="1">INDIRECT("b"&amp;F468+2)</f>
        <v>5.0500000000000001E+48</v>
      </c>
      <c r="F468" s="18">
        <f t="shared" si="37"/>
        <v>1020</v>
      </c>
      <c r="G468" s="18"/>
      <c r="H468" s="18"/>
      <c r="I468" s="19">
        <v>466</v>
      </c>
      <c r="J468" s="19" cm="1">
        <f t="array" aca="1" ref="J468" ca="1">INDIRECT("b"&amp;K468+2)</f>
        <v>5.0499999999999999E+77</v>
      </c>
      <c r="K468" s="19">
        <f t="shared" si="38"/>
        <v>2220</v>
      </c>
    </row>
    <row r="469" spans="1:11">
      <c r="A469">
        <v>467</v>
      </c>
      <c r="B469">
        <v>2.5000000000000002E+32</v>
      </c>
      <c r="D469" s="18">
        <v>467</v>
      </c>
      <c r="E469" s="18" cm="1">
        <f t="array" aca="1" ref="E469" ca="1">INDIRECT("b"&amp;F469+2)</f>
        <v>5.2749999999999998E+48</v>
      </c>
      <c r="F469" s="18">
        <f t="shared" si="37"/>
        <v>1021</v>
      </c>
      <c r="G469" s="18"/>
      <c r="H469" s="18"/>
      <c r="I469" s="19">
        <v>467</v>
      </c>
      <c r="J469" s="19" cm="1">
        <f t="array" aca="1" ref="J469" ca="1">INDIRECT("b"&amp;K469+2)</f>
        <v>5.2750000000000001E+77</v>
      </c>
      <c r="K469" s="19">
        <f t="shared" si="38"/>
        <v>2221</v>
      </c>
    </row>
    <row r="470" spans="1:11">
      <c r="A470">
        <v>468</v>
      </c>
      <c r="B470">
        <v>3E+32</v>
      </c>
      <c r="D470" s="18">
        <v>468</v>
      </c>
      <c r="E470" s="18" cm="1">
        <f t="array" aca="1" ref="E470" ca="1">INDIRECT("b"&amp;F470+2)</f>
        <v>5.4999999999999995E+48</v>
      </c>
      <c r="F470" s="18">
        <f t="shared" si="37"/>
        <v>1022</v>
      </c>
      <c r="G470" s="18"/>
      <c r="H470" s="18"/>
      <c r="I470" s="19">
        <v>468</v>
      </c>
      <c r="J470" s="19" cm="1">
        <f t="array" aca="1" ref="J470" ca="1">INDIRECT("b"&amp;K470+2)</f>
        <v>5.5000000000000004E+77</v>
      </c>
      <c r="K470" s="19">
        <f t="shared" si="38"/>
        <v>2222</v>
      </c>
    </row>
    <row r="471" spans="1:11">
      <c r="A471">
        <v>469</v>
      </c>
      <c r="B471">
        <v>3.5000000000000001E+32</v>
      </c>
      <c r="D471" s="18">
        <v>469</v>
      </c>
      <c r="E471" s="18" cm="1">
        <f t="array" aca="1" ref="E471" ca="1">INDIRECT("b"&amp;F471+2)</f>
        <v>5.9500000000000009E+48</v>
      </c>
      <c r="F471" s="18">
        <f t="shared" si="37"/>
        <v>1024</v>
      </c>
      <c r="G471" s="18"/>
      <c r="H471" s="18"/>
      <c r="I471" s="19">
        <v>469</v>
      </c>
      <c r="J471" s="19" cm="1">
        <f t="array" aca="1" ref="J471" ca="1">INDIRECT("b"&amp;K471+2)</f>
        <v>5.9500000000000008E+77</v>
      </c>
      <c r="K471" s="19">
        <f t="shared" si="38"/>
        <v>2224</v>
      </c>
    </row>
    <row r="472" spans="1:11">
      <c r="A472">
        <v>470</v>
      </c>
      <c r="B472">
        <v>4.0000000000000002E+32</v>
      </c>
      <c r="D472" s="18">
        <v>470</v>
      </c>
      <c r="E472" s="18" cm="1">
        <f t="array" aca="1" ref="E472" ca="1">INDIRECT("b"&amp;F472+2)</f>
        <v>6.1749999999999993E+48</v>
      </c>
      <c r="F472" s="18">
        <f t="shared" si="37"/>
        <v>1025</v>
      </c>
      <c r="G472" s="18"/>
      <c r="H472" s="18"/>
      <c r="I472" s="19">
        <v>470</v>
      </c>
      <c r="J472" s="19" cm="1">
        <f t="array" aca="1" ref="J472" ca="1">INDIRECT("b"&amp;K472+2)</f>
        <v>6.1750000000000001E+77</v>
      </c>
      <c r="K472" s="19">
        <f t="shared" si="38"/>
        <v>2225</v>
      </c>
    </row>
    <row r="473" spans="1:11">
      <c r="A473">
        <v>471</v>
      </c>
      <c r="B473">
        <v>4.5000000000000003E+32</v>
      </c>
      <c r="D473" s="18">
        <v>471</v>
      </c>
      <c r="E473" s="18" cm="1">
        <f t="array" aca="1" ref="E473" ca="1">INDIRECT("b"&amp;F473+2)</f>
        <v>6.399999999999999E+48</v>
      </c>
      <c r="F473" s="18">
        <f t="shared" si="37"/>
        <v>1026</v>
      </c>
      <c r="G473" s="18"/>
      <c r="H473" s="18"/>
      <c r="I473" s="19">
        <v>471</v>
      </c>
      <c r="J473" s="19" cm="1">
        <f t="array" aca="1" ref="J473" ca="1">INDIRECT("b"&amp;K473+2)</f>
        <v>6.4000000000000003E+77</v>
      </c>
      <c r="K473" s="19">
        <f t="shared" si="38"/>
        <v>2226</v>
      </c>
    </row>
    <row r="474" spans="1:11">
      <c r="A474">
        <v>472</v>
      </c>
      <c r="B474">
        <v>5.0000000000000004E+32</v>
      </c>
      <c r="D474" s="18">
        <v>472</v>
      </c>
      <c r="E474" s="18" cm="1">
        <f t="array" aca="1" ref="E474" ca="1">INDIRECT("b"&amp;F474+2)</f>
        <v>6.850000000000001E+48</v>
      </c>
      <c r="F474" s="18">
        <f t="shared" si="37"/>
        <v>1028</v>
      </c>
      <c r="G474" s="18"/>
      <c r="H474" s="18"/>
      <c r="I474" s="19">
        <v>472</v>
      </c>
      <c r="J474" s="19" cm="1">
        <f t="array" aca="1" ref="J474" ca="1">INDIRECT("b"&amp;K474+2)</f>
        <v>6.8500000000000008E+77</v>
      </c>
      <c r="K474" s="19">
        <f t="shared" si="38"/>
        <v>2228</v>
      </c>
    </row>
    <row r="475" spans="1:11">
      <c r="A475">
        <v>473</v>
      </c>
      <c r="B475">
        <v>5.4999999999999998E+32</v>
      </c>
      <c r="D475" s="18">
        <v>473</v>
      </c>
      <c r="E475" s="18" cm="1">
        <f t="array" aca="1" ref="E475" ca="1">INDIRECT("b"&amp;F475+2)</f>
        <v>7.0749999999999994E+48</v>
      </c>
      <c r="F475" s="18">
        <f t="shared" si="37"/>
        <v>1029</v>
      </c>
      <c r="G475" s="18"/>
      <c r="H475" s="18"/>
      <c r="I475" s="19">
        <v>473</v>
      </c>
      <c r="J475" s="19" cm="1">
        <f t="array" aca="1" ref="J475" ca="1">INDIRECT("b"&amp;K475+2)</f>
        <v>7.075E+77</v>
      </c>
      <c r="K475" s="19">
        <f t="shared" si="38"/>
        <v>2229</v>
      </c>
    </row>
    <row r="476" spans="1:11">
      <c r="A476">
        <v>474</v>
      </c>
      <c r="B476">
        <v>6E+32</v>
      </c>
      <c r="D476" s="18">
        <v>474</v>
      </c>
      <c r="E476" s="18" cm="1">
        <f t="array" aca="1" ref="E476" ca="1">INDIRECT("b"&amp;F476+2)</f>
        <v>7.3000000000000004E+48</v>
      </c>
      <c r="F476" s="18">
        <f t="shared" si="37"/>
        <v>1030</v>
      </c>
      <c r="G476" s="18"/>
      <c r="H476" s="18"/>
      <c r="I476" s="19">
        <v>474</v>
      </c>
      <c r="J476" s="19" cm="1">
        <f t="array" aca="1" ref="J476" ca="1">INDIRECT("b"&amp;K476+2)</f>
        <v>7.3000000000000002E+77</v>
      </c>
      <c r="K476" s="19">
        <f t="shared" si="38"/>
        <v>2230</v>
      </c>
    </row>
    <row r="477" spans="1:11">
      <c r="A477">
        <v>475</v>
      </c>
      <c r="B477">
        <v>6.4999999999999994E+32</v>
      </c>
      <c r="D477" s="18">
        <v>475</v>
      </c>
      <c r="E477" s="18" cm="1">
        <f t="array" aca="1" ref="E477" ca="1">INDIRECT("b"&amp;F477+2)</f>
        <v>7.7499999999999998E+48</v>
      </c>
      <c r="F477" s="18">
        <f t="shared" si="37"/>
        <v>1032</v>
      </c>
      <c r="G477" s="18"/>
      <c r="H477" s="18"/>
      <c r="I477" s="19">
        <v>475</v>
      </c>
      <c r="J477" s="19" cm="1">
        <f t="array" aca="1" ref="J477" ca="1">INDIRECT("b"&amp;K477+2)</f>
        <v>7.7500000000000007E+77</v>
      </c>
      <c r="K477" s="19">
        <f t="shared" si="38"/>
        <v>2232</v>
      </c>
    </row>
    <row r="478" spans="1:11">
      <c r="A478">
        <v>476</v>
      </c>
      <c r="B478">
        <v>7.0000000000000002E+32</v>
      </c>
      <c r="D478" s="18">
        <v>476</v>
      </c>
      <c r="E478" s="18" cm="1">
        <f t="array" aca="1" ref="E478" ca="1">INDIRECT("b"&amp;F478+2)</f>
        <v>7.9750000000000008E+48</v>
      </c>
      <c r="F478" s="18">
        <f t="shared" si="37"/>
        <v>1033</v>
      </c>
      <c r="G478" s="18"/>
      <c r="H478" s="18"/>
      <c r="I478" s="19">
        <v>476</v>
      </c>
      <c r="J478" s="19" cm="1">
        <f t="array" aca="1" ref="J478" ca="1">INDIRECT("b"&amp;K478+2)</f>
        <v>7.975000000000001E+77</v>
      </c>
      <c r="K478" s="19">
        <f t="shared" si="38"/>
        <v>2233</v>
      </c>
    </row>
    <row r="479" spans="1:11">
      <c r="A479">
        <v>477</v>
      </c>
      <c r="B479">
        <v>7.4999999999999996E+32</v>
      </c>
      <c r="D479" s="18">
        <v>477</v>
      </c>
      <c r="E479" s="18" cm="1">
        <f t="array" aca="1" ref="E479" ca="1">INDIRECT("b"&amp;F479+2)</f>
        <v>8.1999999999999992E+48</v>
      </c>
      <c r="F479" s="18">
        <f t="shared" si="37"/>
        <v>1034</v>
      </c>
      <c r="G479" s="18"/>
      <c r="H479" s="18"/>
      <c r="I479" s="19">
        <v>477</v>
      </c>
      <c r="J479" s="19" cm="1">
        <f t="array" aca="1" ref="J479" ca="1">INDIRECT("b"&amp;K479+2)</f>
        <v>8.2000000000000002E+77</v>
      </c>
      <c r="K479" s="19">
        <f t="shared" si="38"/>
        <v>2234</v>
      </c>
    </row>
    <row r="480" spans="1:11">
      <c r="A480">
        <v>478</v>
      </c>
      <c r="B480">
        <v>8.0000000000000004E+32</v>
      </c>
      <c r="D480" s="18">
        <v>478</v>
      </c>
      <c r="E480" s="18" cm="1">
        <f t="array" aca="1" ref="E480" ca="1">INDIRECT("b"&amp;F480+2)</f>
        <v>8.6499999999999999E+48</v>
      </c>
      <c r="F480" s="18">
        <f t="shared" si="37"/>
        <v>1036</v>
      </c>
      <c r="G480" s="18"/>
      <c r="H480" s="18"/>
      <c r="I480" s="19">
        <v>478</v>
      </c>
      <c r="J480" s="19" cm="1">
        <f t="array" aca="1" ref="J480" ca="1">INDIRECT("b"&amp;K480+2)</f>
        <v>8.6500000000000007E+77</v>
      </c>
      <c r="K480" s="19">
        <f t="shared" si="38"/>
        <v>2236</v>
      </c>
    </row>
    <row r="481" spans="1:11">
      <c r="A481">
        <v>479</v>
      </c>
      <c r="B481">
        <v>8.4999999999999998E+32</v>
      </c>
      <c r="D481" s="18">
        <v>479</v>
      </c>
      <c r="E481" s="18" cm="1">
        <f t="array" aca="1" ref="E481" ca="1">INDIRECT("b"&amp;F481+2)</f>
        <v>8.8749999999999996E+48</v>
      </c>
      <c r="F481" s="18">
        <f t="shared" si="37"/>
        <v>1037</v>
      </c>
      <c r="G481" s="18"/>
      <c r="H481" s="18"/>
      <c r="I481" s="19">
        <v>479</v>
      </c>
      <c r="J481" s="19" cm="1">
        <f t="array" aca="1" ref="J481" ca="1">INDIRECT("b"&amp;K481+2)</f>
        <v>8.8750000000000009E+77</v>
      </c>
      <c r="K481" s="19">
        <f t="shared" si="38"/>
        <v>2237</v>
      </c>
    </row>
    <row r="482" spans="1:11">
      <c r="A482">
        <v>480</v>
      </c>
      <c r="B482">
        <v>9.0000000000000007E+32</v>
      </c>
      <c r="D482" s="18">
        <v>480</v>
      </c>
      <c r="E482" s="18" cm="1">
        <f t="array" aca="1" ref="E482" ca="1">INDIRECT("b"&amp;F482+2)</f>
        <v>9.099999999999998E+48</v>
      </c>
      <c r="F482" s="18">
        <f t="shared" si="37"/>
        <v>1038</v>
      </c>
      <c r="G482" s="18"/>
      <c r="H482" s="18"/>
      <c r="I482" s="19">
        <v>480</v>
      </c>
      <c r="J482" s="19" cm="1">
        <f t="array" aca="1" ref="J482" ca="1">INDIRECT("b"&amp;K482+2)</f>
        <v>9.1000000000000012E+77</v>
      </c>
      <c r="K482" s="19">
        <f t="shared" si="38"/>
        <v>2238</v>
      </c>
    </row>
    <row r="483" spans="1:11">
      <c r="A483">
        <v>481</v>
      </c>
      <c r="B483">
        <v>9.5000000000000001E+32</v>
      </c>
      <c r="D483" s="18">
        <v>481</v>
      </c>
      <c r="E483" s="18" cm="1">
        <f t="array" aca="1" ref="E483" ca="1">INDIRECT("b"&amp;F483+2)</f>
        <v>9.5500000000000001E+48</v>
      </c>
      <c r="F483" s="18">
        <f t="shared" si="37"/>
        <v>1040</v>
      </c>
      <c r="G483" s="18"/>
      <c r="H483" s="18"/>
      <c r="I483" s="19">
        <v>481</v>
      </c>
      <c r="J483" s="19" cm="1">
        <f t="array" aca="1" ref="J483" ca="1">INDIRECT("b"&amp;K483+2)</f>
        <v>9.5500000000000017E+77</v>
      </c>
      <c r="K483" s="19">
        <f t="shared" si="38"/>
        <v>2240</v>
      </c>
    </row>
    <row r="484" spans="1:11">
      <c r="A484">
        <v>482</v>
      </c>
      <c r="B484">
        <v>1.0000000000000001E+33</v>
      </c>
      <c r="D484" s="18">
        <v>482</v>
      </c>
      <c r="E484" s="18" cm="1">
        <f t="array" aca="1" ref="E484" ca="1">INDIRECT("b"&amp;F484+2)</f>
        <v>9.7749999999999998E+48</v>
      </c>
      <c r="F484" s="18">
        <f t="shared" si="37"/>
        <v>1041</v>
      </c>
      <c r="G484" s="18"/>
      <c r="H484" s="18"/>
      <c r="I484" s="19">
        <v>482</v>
      </c>
      <c r="J484" s="19" cm="1">
        <f t="array" aca="1" ref="J484" ca="1">INDIRECT("b"&amp;K484+2)</f>
        <v>9.7749999999999998E+77</v>
      </c>
      <c r="K484" s="19">
        <f t="shared" si="38"/>
        <v>2241</v>
      </c>
    </row>
    <row r="485" spans="1:11">
      <c r="A485">
        <v>483</v>
      </c>
      <c r="B485">
        <v>1.05E+33</v>
      </c>
      <c r="D485" s="18">
        <v>483</v>
      </c>
      <c r="E485" s="18" cm="1">
        <f t="array" aca="1" ref="E485" ca="1">INDIRECT("b"&amp;F485+2)</f>
        <v>1.0000000000000001E+49</v>
      </c>
      <c r="F485" s="18">
        <f t="shared" si="37"/>
        <v>1042</v>
      </c>
      <c r="G485" s="18"/>
      <c r="H485" s="18"/>
      <c r="I485" s="19">
        <v>483</v>
      </c>
      <c r="J485" s="19" cm="1">
        <f t="array" aca="1" ref="J485" ca="1">INDIRECT("b"&amp;K485+2)</f>
        <v>1E+78</v>
      </c>
      <c r="K485" s="19">
        <f t="shared" si="38"/>
        <v>2242</v>
      </c>
    </row>
    <row r="486" spans="1:11">
      <c r="A486">
        <v>484</v>
      </c>
      <c r="B486">
        <v>1.1E+33</v>
      </c>
      <c r="D486" s="18">
        <v>484</v>
      </c>
      <c r="E486" s="18" cm="1">
        <f t="array" aca="1" ref="E486" ca="1">INDIRECT("b"&amp;F486+2)</f>
        <v>1.4499999999999997E+49</v>
      </c>
      <c r="F486" s="18">
        <f t="shared" si="37"/>
        <v>1044</v>
      </c>
      <c r="G486" s="18"/>
      <c r="H486" s="18"/>
      <c r="I486" s="19">
        <v>484</v>
      </c>
      <c r="J486" s="19" cm="1">
        <f t="array" aca="1" ref="J486" ca="1">INDIRECT("b"&amp;K486+2)</f>
        <v>1.4500000000000001E+78</v>
      </c>
      <c r="K486" s="19">
        <f t="shared" si="38"/>
        <v>2244</v>
      </c>
    </row>
    <row r="487" spans="1:11">
      <c r="A487">
        <v>485</v>
      </c>
      <c r="B487">
        <v>1.4999999999999999E+33</v>
      </c>
      <c r="D487" s="18">
        <v>485</v>
      </c>
      <c r="E487" s="18" cm="1">
        <f t="array" aca="1" ref="E487" ca="1">INDIRECT("b"&amp;F487+2)</f>
        <v>1.675E+49</v>
      </c>
      <c r="F487" s="18">
        <f t="shared" si="37"/>
        <v>1045</v>
      </c>
      <c r="G487" s="18"/>
      <c r="H487" s="18"/>
      <c r="I487" s="19">
        <v>485</v>
      </c>
      <c r="J487" s="19" cm="1">
        <f t="array" aca="1" ref="J487" ca="1">INDIRECT("b"&amp;K487+2)</f>
        <v>1.6750000000000001E+78</v>
      </c>
      <c r="K487" s="19">
        <f t="shared" si="38"/>
        <v>2245</v>
      </c>
    </row>
    <row r="488" spans="1:11">
      <c r="A488">
        <v>486</v>
      </c>
      <c r="B488">
        <v>2.0000000000000002E+33</v>
      </c>
      <c r="D488" s="18">
        <v>486</v>
      </c>
      <c r="E488" s="18" cm="1">
        <f t="array" aca="1" ref="E488" ca="1">INDIRECT("b"&amp;F488+2)</f>
        <v>1.9000000000000005E+49</v>
      </c>
      <c r="F488" s="18">
        <f t="shared" si="37"/>
        <v>1046</v>
      </c>
      <c r="G488" s="18"/>
      <c r="H488" s="18"/>
      <c r="I488" s="19">
        <v>486</v>
      </c>
      <c r="J488" s="19" cm="1">
        <f t="array" aca="1" ref="J488" ca="1">INDIRECT("b"&amp;K488+2)</f>
        <v>1.9E+78</v>
      </c>
      <c r="K488" s="19">
        <f t="shared" si="38"/>
        <v>2246</v>
      </c>
    </row>
    <row r="489" spans="1:11">
      <c r="A489">
        <v>487</v>
      </c>
      <c r="B489">
        <v>2.5000000000000002E+33</v>
      </c>
      <c r="D489" s="18">
        <v>487</v>
      </c>
      <c r="E489" s="18" cm="1">
        <f t="array" aca="1" ref="E489" ca="1">INDIRECT("b"&amp;F489+2)</f>
        <v>2.3499999999999999E+49</v>
      </c>
      <c r="F489" s="18">
        <f t="shared" si="37"/>
        <v>1048</v>
      </c>
      <c r="G489" s="18"/>
      <c r="H489" s="18"/>
      <c r="I489" s="19">
        <v>487</v>
      </c>
      <c r="J489" s="19" cm="1">
        <f t="array" aca="1" ref="J489" ca="1">INDIRECT("b"&amp;K489+2)</f>
        <v>2.35E+78</v>
      </c>
      <c r="K489" s="19">
        <f t="shared" si="38"/>
        <v>2248</v>
      </c>
    </row>
    <row r="490" spans="1:11">
      <c r="A490">
        <v>488</v>
      </c>
      <c r="B490">
        <v>2.9999999999999998E+33</v>
      </c>
      <c r="D490" s="18">
        <v>488</v>
      </c>
      <c r="E490" s="18" cm="1">
        <f t="array" aca="1" ref="E490" ca="1">INDIRECT("b"&amp;F490+2)</f>
        <v>2.5749999999999998E+49</v>
      </c>
      <c r="F490" s="18">
        <f t="shared" si="37"/>
        <v>1049</v>
      </c>
      <c r="G490" s="18"/>
      <c r="H490" s="18"/>
      <c r="I490" s="19">
        <v>488</v>
      </c>
      <c r="J490" s="19" cm="1">
        <f t="array" aca="1" ref="J490" ca="1">INDIRECT("b"&amp;K490+2)</f>
        <v>2.5750000000000003E+78</v>
      </c>
      <c r="K490" s="19">
        <f t="shared" si="38"/>
        <v>2249</v>
      </c>
    </row>
    <row r="491" spans="1:11">
      <c r="A491">
        <v>489</v>
      </c>
      <c r="B491">
        <v>3.5000000000000001E+33</v>
      </c>
      <c r="D491" s="18">
        <v>489</v>
      </c>
      <c r="E491" s="18" cm="1">
        <f t="array" aca="1" ref="E491" ca="1">INDIRECT("b"&amp;F491+2)</f>
        <v>2.8000000000000003E+49</v>
      </c>
      <c r="F491" s="18">
        <f t="shared" si="37"/>
        <v>1050</v>
      </c>
      <c r="G491" s="18"/>
      <c r="H491" s="18"/>
      <c r="I491" s="19">
        <v>489</v>
      </c>
      <c r="J491" s="19" cm="1">
        <f t="array" aca="1" ref="J491" ca="1">INDIRECT("b"&amp;K491+2)</f>
        <v>2.8000000000000001E+78</v>
      </c>
      <c r="K491" s="19">
        <f t="shared" si="38"/>
        <v>2250</v>
      </c>
    </row>
    <row r="492" spans="1:11">
      <c r="A492">
        <v>490</v>
      </c>
      <c r="B492">
        <v>4.0000000000000004E+33</v>
      </c>
      <c r="D492" s="18">
        <v>490</v>
      </c>
      <c r="E492" s="18" cm="1">
        <f t="array" aca="1" ref="E492" ca="1">INDIRECT("b"&amp;F492+2)</f>
        <v>3.2499999999999997E+49</v>
      </c>
      <c r="F492" s="18">
        <f t="shared" si="37"/>
        <v>1052</v>
      </c>
      <c r="G492" s="18"/>
      <c r="H492" s="18"/>
      <c r="I492" s="19">
        <v>490</v>
      </c>
      <c r="J492" s="19" cm="1">
        <f t="array" aca="1" ref="J492" ca="1">INDIRECT("b"&amp;K492+2)</f>
        <v>3.2500000000000002E+78</v>
      </c>
      <c r="K492" s="19">
        <f t="shared" si="38"/>
        <v>2252</v>
      </c>
    </row>
    <row r="493" spans="1:11">
      <c r="A493">
        <v>491</v>
      </c>
      <c r="B493">
        <v>4.5E+33</v>
      </c>
      <c r="D493" s="18">
        <v>491</v>
      </c>
      <c r="E493" s="18" cm="1">
        <f t="array" aca="1" ref="E493" ca="1">INDIRECT("b"&amp;F493+2)</f>
        <v>3.4750000000000002E+49</v>
      </c>
      <c r="F493" s="18">
        <f t="shared" si="37"/>
        <v>1053</v>
      </c>
      <c r="G493" s="18"/>
      <c r="H493" s="18"/>
      <c r="I493" s="19">
        <v>491</v>
      </c>
      <c r="J493" s="19" cm="1">
        <f t="array" aca="1" ref="J493" ca="1">INDIRECT("b"&amp;K493+2)</f>
        <v>3.4750000000000004E+78</v>
      </c>
      <c r="K493" s="19">
        <f t="shared" si="38"/>
        <v>2253</v>
      </c>
    </row>
    <row r="494" spans="1:11">
      <c r="A494">
        <v>492</v>
      </c>
      <c r="B494">
        <v>5.0000000000000003E+33</v>
      </c>
      <c r="D494" s="18">
        <v>492</v>
      </c>
      <c r="E494" s="18" cm="1">
        <f t="array" aca="1" ref="E494" ca="1">INDIRECT("b"&amp;F494+2)</f>
        <v>3.6999999999999997E+49</v>
      </c>
      <c r="F494" s="18">
        <f t="shared" si="37"/>
        <v>1054</v>
      </c>
      <c r="G494" s="18"/>
      <c r="H494" s="18"/>
      <c r="I494" s="19">
        <v>492</v>
      </c>
      <c r="J494" s="19" cm="1">
        <f t="array" aca="1" ref="J494" ca="1">INDIRECT("b"&amp;K494+2)</f>
        <v>3.7000000000000003E+78</v>
      </c>
      <c r="K494" s="19">
        <f t="shared" si="38"/>
        <v>2254</v>
      </c>
    </row>
    <row r="495" spans="1:11">
      <c r="A495">
        <v>493</v>
      </c>
      <c r="B495">
        <v>5.4999999999999994E+33</v>
      </c>
      <c r="D495" s="18">
        <v>493</v>
      </c>
      <c r="E495" s="18" cm="1">
        <f t="array" aca="1" ref="E495" ca="1">INDIRECT("b"&amp;F495+2)</f>
        <v>4.1500000000000006E+49</v>
      </c>
      <c r="F495" s="18">
        <f t="shared" si="37"/>
        <v>1056</v>
      </c>
      <c r="G495" s="18"/>
      <c r="H495" s="18"/>
      <c r="I495" s="19">
        <v>493</v>
      </c>
      <c r="J495" s="19" cm="1">
        <f t="array" aca="1" ref="J495" ca="1">INDIRECT("b"&amp;K495+2)</f>
        <v>4.1499999999999999E+78</v>
      </c>
      <c r="K495" s="19">
        <f t="shared" si="38"/>
        <v>2256</v>
      </c>
    </row>
    <row r="496" spans="1:11">
      <c r="A496">
        <v>494</v>
      </c>
      <c r="B496">
        <v>5.9999999999999997E+33</v>
      </c>
      <c r="D496" s="18">
        <v>494</v>
      </c>
      <c r="E496" s="18" cm="1">
        <f t="array" aca="1" ref="E496" ca="1">INDIRECT("b"&amp;F496+2)</f>
        <v>4.3749999999999996E+49</v>
      </c>
      <c r="F496" s="18">
        <f t="shared" si="37"/>
        <v>1057</v>
      </c>
      <c r="G496" s="18"/>
      <c r="H496" s="18"/>
      <c r="I496" s="19">
        <v>494</v>
      </c>
      <c r="J496" s="19" cm="1">
        <f t="array" aca="1" ref="J496" ca="1">INDIRECT("b"&amp;K496+2)</f>
        <v>4.3750000000000006E+78</v>
      </c>
      <c r="K496" s="19">
        <f t="shared" si="38"/>
        <v>2257</v>
      </c>
    </row>
    <row r="497" spans="1:11">
      <c r="A497">
        <v>495</v>
      </c>
      <c r="B497">
        <v>6.4999999999999988E+33</v>
      </c>
      <c r="D497" s="18">
        <v>495</v>
      </c>
      <c r="E497" s="18" cm="1">
        <f t="array" aca="1" ref="E497" ca="1">INDIRECT("b"&amp;F497+2)</f>
        <v>4.6E+49</v>
      </c>
      <c r="F497" s="18">
        <f t="shared" si="37"/>
        <v>1058</v>
      </c>
      <c r="G497" s="18"/>
      <c r="H497" s="18"/>
      <c r="I497" s="19">
        <v>495</v>
      </c>
      <c r="J497" s="19" cm="1">
        <f t="array" aca="1" ref="J497" ca="1">INDIRECT("b"&amp;K497+2)</f>
        <v>4.6000000000000004E+78</v>
      </c>
      <c r="K497" s="19">
        <f t="shared" si="38"/>
        <v>2258</v>
      </c>
    </row>
    <row r="498" spans="1:11">
      <c r="A498">
        <v>496</v>
      </c>
      <c r="B498">
        <v>7.0000000000000002E+33</v>
      </c>
      <c r="D498" s="18">
        <v>496</v>
      </c>
      <c r="E498" s="18" cm="1">
        <f t="array" aca="1" ref="E498" ca="1">INDIRECT("b"&amp;F498+2)</f>
        <v>5.0500000000000005E+49</v>
      </c>
      <c r="F498" s="18">
        <f t="shared" si="37"/>
        <v>1060</v>
      </c>
      <c r="G498" s="18"/>
      <c r="H498" s="18"/>
      <c r="I498" s="19">
        <v>496</v>
      </c>
      <c r="J498" s="19" cm="1">
        <f t="array" aca="1" ref="J498" ca="1">INDIRECT("b"&amp;K498+2)</f>
        <v>5.0500000000000001E+78</v>
      </c>
      <c r="K498" s="19">
        <f t="shared" si="38"/>
        <v>2260</v>
      </c>
    </row>
    <row r="499" spans="1:11">
      <c r="A499">
        <v>497</v>
      </c>
      <c r="B499">
        <v>7.4999999999999993E+33</v>
      </c>
      <c r="D499" s="18">
        <v>497</v>
      </c>
      <c r="E499" s="18" cm="1">
        <f t="array" aca="1" ref="E499" ca="1">INDIRECT("b"&amp;F499+2)</f>
        <v>5.2749999999999994E+49</v>
      </c>
      <c r="F499" s="18">
        <f t="shared" si="37"/>
        <v>1061</v>
      </c>
      <c r="G499" s="18"/>
      <c r="H499" s="18"/>
      <c r="I499" s="19">
        <v>497</v>
      </c>
      <c r="J499" s="19" cm="1">
        <f t="array" aca="1" ref="J499" ca="1">INDIRECT("b"&amp;K499+2)</f>
        <v>5.2750000000000007E+78</v>
      </c>
      <c r="K499" s="19">
        <f t="shared" si="38"/>
        <v>2261</v>
      </c>
    </row>
    <row r="500" spans="1:11">
      <c r="A500">
        <v>498</v>
      </c>
      <c r="B500">
        <v>8.0000000000000007E+33</v>
      </c>
      <c r="D500" s="18">
        <v>498</v>
      </c>
      <c r="E500" s="18" cm="1">
        <f t="array" aca="1" ref="E500" ca="1">INDIRECT("b"&amp;F500+2)</f>
        <v>5.4999999999999994E+49</v>
      </c>
      <c r="F500" s="18">
        <f t="shared" si="37"/>
        <v>1062</v>
      </c>
      <c r="G500" s="18"/>
      <c r="H500" s="18"/>
      <c r="I500" s="19">
        <v>498</v>
      </c>
      <c r="J500" s="19" cm="1">
        <f t="array" aca="1" ref="J500" ca="1">INDIRECT("b"&amp;K500+2)</f>
        <v>5.5000000000000006E+78</v>
      </c>
      <c r="K500" s="19">
        <f t="shared" si="38"/>
        <v>2262</v>
      </c>
    </row>
    <row r="501" spans="1:11">
      <c r="A501">
        <v>499</v>
      </c>
      <c r="B501">
        <v>8.4999999999999998E+33</v>
      </c>
      <c r="D501" s="18">
        <v>499</v>
      </c>
      <c r="E501" s="18" cm="1">
        <f t="array" aca="1" ref="E501" ca="1">INDIRECT("b"&amp;F501+2)</f>
        <v>5.9500000000000014E+49</v>
      </c>
      <c r="F501" s="18">
        <f t="shared" si="37"/>
        <v>1064</v>
      </c>
      <c r="G501" s="18"/>
      <c r="H501" s="18"/>
      <c r="I501" s="19">
        <v>499</v>
      </c>
      <c r="J501" s="19" cm="1">
        <f t="array" aca="1" ref="J501" ca="1">INDIRECT("b"&amp;K501+2)</f>
        <v>5.9500000000000002E+78</v>
      </c>
      <c r="K501" s="19">
        <f t="shared" si="38"/>
        <v>2264</v>
      </c>
    </row>
    <row r="502" spans="1:11">
      <c r="A502">
        <v>500</v>
      </c>
      <c r="B502">
        <v>9.0000000000000001E+33</v>
      </c>
      <c r="D502" s="18">
        <v>500</v>
      </c>
      <c r="E502" s="18" cm="1">
        <f t="array" aca="1" ref="E502" ca="1">INDIRECT("b"&amp;F502+2)</f>
        <v>6.1749999999999993E+49</v>
      </c>
      <c r="F502" s="18">
        <f t="shared" si="37"/>
        <v>1065</v>
      </c>
      <c r="G502" s="18"/>
      <c r="H502" s="18"/>
      <c r="I502" s="19">
        <v>500</v>
      </c>
      <c r="J502" s="19" cm="1">
        <f t="array" aca="1" ref="J502" ca="1">INDIRECT("b"&amp;K502+2)</f>
        <v>6.1750000000000001E+78</v>
      </c>
      <c r="K502" s="19">
        <f t="shared" si="38"/>
        <v>2265</v>
      </c>
    </row>
    <row r="503" spans="1:11">
      <c r="A503">
        <v>501</v>
      </c>
      <c r="B503">
        <v>9.5000000000000003E+33</v>
      </c>
      <c r="D503" s="18">
        <v>501</v>
      </c>
      <c r="E503" s="18" cm="1">
        <f t="array" aca="1" ref="E503" ca="1">INDIRECT("b"&amp;F503+2)</f>
        <v>6.3999999999999992E+49</v>
      </c>
      <c r="F503" s="18">
        <f t="shared" si="37"/>
        <v>1066</v>
      </c>
      <c r="G503" s="18"/>
      <c r="H503" s="18"/>
      <c r="I503" s="19">
        <v>501</v>
      </c>
      <c r="J503" s="19" cm="1">
        <f t="array" aca="1" ref="J503" ca="1">INDIRECT("b"&amp;K503+2)</f>
        <v>6.4000000000000007E+78</v>
      </c>
      <c r="K503" s="19">
        <f t="shared" si="38"/>
        <v>2266</v>
      </c>
    </row>
    <row r="504" spans="1:11">
      <c r="A504">
        <v>502</v>
      </c>
      <c r="B504">
        <v>1.0000000000000001E+34</v>
      </c>
      <c r="D504" s="18">
        <v>502</v>
      </c>
      <c r="E504" s="18" cm="1">
        <f t="array" aca="1" ref="E504" ca="1">INDIRECT("b"&amp;F504+2)</f>
        <v>6.8500000000000012E+49</v>
      </c>
      <c r="F504" s="18">
        <f t="shared" si="37"/>
        <v>1068</v>
      </c>
      <c r="G504" s="18"/>
      <c r="H504" s="18"/>
      <c r="I504" s="19">
        <v>502</v>
      </c>
      <c r="J504" s="19" cm="1">
        <f t="array" aca="1" ref="J504" ca="1">INDIRECT("b"&amp;K504+2)</f>
        <v>6.8500000000000004E+78</v>
      </c>
      <c r="K504" s="19">
        <f t="shared" si="38"/>
        <v>2268</v>
      </c>
    </row>
    <row r="505" spans="1:11">
      <c r="A505">
        <v>503</v>
      </c>
      <c r="B505">
        <v>1.0500000000000001E+34</v>
      </c>
      <c r="D505" s="18">
        <v>503</v>
      </c>
      <c r="E505" s="18" cm="1">
        <f t="array" aca="1" ref="E505" ca="1">INDIRECT("b"&amp;F505+2)</f>
        <v>7.0749999999999991E+49</v>
      </c>
      <c r="F505" s="18">
        <f t="shared" si="37"/>
        <v>1069</v>
      </c>
      <c r="G505" s="18"/>
      <c r="H505" s="18"/>
      <c r="I505" s="19">
        <v>503</v>
      </c>
      <c r="J505" s="19" cm="1">
        <f t="array" aca="1" ref="J505" ca="1">INDIRECT("b"&amp;K505+2)</f>
        <v>7.0750000000000002E+78</v>
      </c>
      <c r="K505" s="19">
        <f t="shared" si="38"/>
        <v>2269</v>
      </c>
    </row>
    <row r="506" spans="1:11">
      <c r="A506">
        <v>504</v>
      </c>
      <c r="B506">
        <v>1.1000000000000001E+34</v>
      </c>
      <c r="D506" s="18">
        <v>504</v>
      </c>
      <c r="E506" s="18" cm="1">
        <f t="array" aca="1" ref="E506" ca="1">INDIRECT("b"&amp;F506+2)</f>
        <v>7.3000000000000001E+49</v>
      </c>
      <c r="F506" s="18">
        <f t="shared" si="37"/>
        <v>1070</v>
      </c>
      <c r="G506" s="18"/>
      <c r="H506" s="18"/>
      <c r="I506" s="19">
        <v>504</v>
      </c>
      <c r="J506" s="19" cm="1">
        <f t="array" aca="1" ref="J506" ca="1">INDIRECT("b"&amp;K506+2)</f>
        <v>7.3000000000000009E+78</v>
      </c>
      <c r="K506" s="19">
        <f t="shared" si="38"/>
        <v>2270</v>
      </c>
    </row>
    <row r="507" spans="1:11">
      <c r="A507">
        <v>505</v>
      </c>
      <c r="B507">
        <v>1.5000000000000001E+34</v>
      </c>
      <c r="D507" s="18">
        <v>505</v>
      </c>
      <c r="E507" s="18" cm="1">
        <f t="array" aca="1" ref="E507" ca="1">INDIRECT("b"&amp;F507+2)</f>
        <v>7.7500000000000001E+49</v>
      </c>
      <c r="F507" s="18">
        <f t="shared" si="37"/>
        <v>1072</v>
      </c>
      <c r="G507" s="18"/>
      <c r="H507" s="18"/>
      <c r="I507" s="19">
        <v>505</v>
      </c>
      <c r="J507" s="19" cm="1">
        <f t="array" aca="1" ref="J507" ca="1">INDIRECT("b"&amp;K507+2)</f>
        <v>7.7500000000000014E+78</v>
      </c>
      <c r="K507" s="19">
        <f t="shared" si="38"/>
        <v>2272</v>
      </c>
    </row>
    <row r="508" spans="1:11">
      <c r="A508">
        <v>506</v>
      </c>
      <c r="B508">
        <v>2.0000000000000001E+34</v>
      </c>
      <c r="D508" s="18">
        <v>506</v>
      </c>
      <c r="E508" s="18" cm="1">
        <f t="array" aca="1" ref="E508" ca="1">INDIRECT("b"&amp;F508+2)</f>
        <v>7.9750000000000011E+49</v>
      </c>
      <c r="F508" s="18">
        <f t="shared" si="37"/>
        <v>1073</v>
      </c>
      <c r="G508" s="18"/>
      <c r="H508" s="18"/>
      <c r="I508" s="19">
        <v>506</v>
      </c>
      <c r="J508" s="19" cm="1">
        <f t="array" aca="1" ref="J508" ca="1">INDIRECT("b"&amp;K508+2)</f>
        <v>7.9750000000000012E+78</v>
      </c>
      <c r="K508" s="19">
        <f t="shared" si="38"/>
        <v>2273</v>
      </c>
    </row>
    <row r="509" spans="1:11">
      <c r="A509">
        <v>507</v>
      </c>
      <c r="B509">
        <v>2.5000000000000004E+34</v>
      </c>
      <c r="D509" s="18">
        <v>507</v>
      </c>
      <c r="E509" s="18" cm="1">
        <f t="array" aca="1" ref="E509" ca="1">INDIRECT("b"&amp;F509+2)</f>
        <v>8.199999999999999E+49</v>
      </c>
      <c r="F509" s="18">
        <f t="shared" ref="F509:F572" si="39">INT((A509-123)*1.333333)+563</f>
        <v>1074</v>
      </c>
      <c r="G509" s="18"/>
      <c r="H509" s="18"/>
      <c r="I509" s="19">
        <v>507</v>
      </c>
      <c r="J509" s="19" cm="1">
        <f t="array" aca="1" ref="J509" ca="1">INDIRECT("b"&amp;K509+2)</f>
        <v>8.200000000000001E+78</v>
      </c>
      <c r="K509" s="19">
        <f t="shared" si="38"/>
        <v>2274</v>
      </c>
    </row>
    <row r="510" spans="1:11">
      <c r="A510">
        <v>508</v>
      </c>
      <c r="B510">
        <v>3.0000000000000002E+34</v>
      </c>
      <c r="D510" s="18">
        <v>508</v>
      </c>
      <c r="E510" s="18" cm="1">
        <f t="array" aca="1" ref="E510" ca="1">INDIRECT("b"&amp;F510+2)</f>
        <v>8.6499999999999999E+49</v>
      </c>
      <c r="F510" s="18">
        <f t="shared" si="39"/>
        <v>1076</v>
      </c>
      <c r="G510" s="18"/>
      <c r="H510" s="18"/>
      <c r="I510" s="19">
        <v>508</v>
      </c>
      <c r="J510" s="19" cm="1">
        <f t="array" aca="1" ref="J510" ca="1">INDIRECT("b"&amp;K510+2)</f>
        <v>8.6500000000000007E+78</v>
      </c>
      <c r="K510" s="19">
        <f t="shared" si="38"/>
        <v>2276</v>
      </c>
    </row>
    <row r="511" spans="1:11">
      <c r="A511">
        <v>509</v>
      </c>
      <c r="B511">
        <v>3.5E+34</v>
      </c>
      <c r="D511" s="18">
        <v>509</v>
      </c>
      <c r="E511" s="18" cm="1">
        <f t="array" aca="1" ref="E511" ca="1">INDIRECT("b"&amp;F511+2)</f>
        <v>8.8749999999999999E+49</v>
      </c>
      <c r="F511" s="18">
        <f t="shared" si="39"/>
        <v>1077</v>
      </c>
      <c r="G511" s="18"/>
      <c r="H511" s="18"/>
      <c r="I511" s="19">
        <v>509</v>
      </c>
      <c r="J511" s="19" cm="1">
        <f t="array" aca="1" ref="J511" ca="1">INDIRECT("b"&amp;K511+2)</f>
        <v>8.8750000000000005E+78</v>
      </c>
      <c r="K511" s="19">
        <f t="shared" si="38"/>
        <v>2277</v>
      </c>
    </row>
    <row r="512" spans="1:11">
      <c r="A512">
        <v>510</v>
      </c>
      <c r="B512">
        <v>4.0000000000000002E+34</v>
      </c>
      <c r="D512" s="18">
        <v>510</v>
      </c>
      <c r="E512" s="18" cm="1">
        <f t="array" aca="1" ref="E512" ca="1">INDIRECT("b"&amp;F512+2)</f>
        <v>9.0999999999999978E+49</v>
      </c>
      <c r="F512" s="18">
        <f t="shared" si="39"/>
        <v>1078</v>
      </c>
      <c r="G512" s="18"/>
      <c r="H512" s="18"/>
      <c r="I512" s="19">
        <v>510</v>
      </c>
      <c r="J512" s="19" cm="1">
        <f t="array" aca="1" ref="J512" ca="1">INDIRECT("b"&amp;K512+2)</f>
        <v>9.1000000000000003E+78</v>
      </c>
      <c r="K512" s="19">
        <f t="shared" si="38"/>
        <v>2278</v>
      </c>
    </row>
    <row r="513" spans="1:11">
      <c r="A513">
        <v>511</v>
      </c>
      <c r="B513">
        <v>4.5E+34</v>
      </c>
      <c r="D513" s="18">
        <v>511</v>
      </c>
      <c r="E513" s="18" cm="1">
        <f t="array" aca="1" ref="E513" ca="1">INDIRECT("b"&amp;F513+2)</f>
        <v>9.5500000000000008E+49</v>
      </c>
      <c r="F513" s="18">
        <f t="shared" si="39"/>
        <v>1080</v>
      </c>
      <c r="G513" s="18"/>
      <c r="H513" s="18"/>
      <c r="I513" s="19">
        <v>511</v>
      </c>
      <c r="J513" s="19" cm="1">
        <f t="array" aca="1" ref="J513" ca="1">INDIRECT("b"&amp;K513+2)</f>
        <v>9.55E+78</v>
      </c>
      <c r="K513" s="19">
        <f t="shared" si="38"/>
        <v>2280</v>
      </c>
    </row>
    <row r="514" spans="1:11">
      <c r="A514">
        <v>512</v>
      </c>
      <c r="B514">
        <v>5.0000000000000008E+34</v>
      </c>
      <c r="D514" s="18">
        <v>512</v>
      </c>
      <c r="E514" s="18" cm="1">
        <f t="array" aca="1" ref="E514" ca="1">INDIRECT("b"&amp;F514+2)</f>
        <v>9.7750000000000008E+49</v>
      </c>
      <c r="F514" s="18">
        <f t="shared" si="39"/>
        <v>1081</v>
      </c>
      <c r="G514" s="18"/>
      <c r="H514" s="18"/>
      <c r="I514" s="19">
        <v>512</v>
      </c>
      <c r="J514" s="19" cm="1">
        <f t="array" aca="1" ref="J514" ca="1">INDIRECT("b"&amp;K514+2)</f>
        <v>9.7750000000000015E+78</v>
      </c>
      <c r="K514" s="19">
        <f t="shared" si="38"/>
        <v>2281</v>
      </c>
    </row>
    <row r="515" spans="1:11">
      <c r="A515">
        <v>513</v>
      </c>
      <c r="B515">
        <v>5.4999999999999996E+34</v>
      </c>
      <c r="D515" s="18">
        <v>513</v>
      </c>
      <c r="E515" s="18" cm="1">
        <f t="array" aca="1" ref="E515" ca="1">INDIRECT("b"&amp;F515+2)</f>
        <v>1.0000000000000001E+50</v>
      </c>
      <c r="F515" s="18">
        <f t="shared" si="39"/>
        <v>1082</v>
      </c>
      <c r="G515" s="18"/>
      <c r="H515" s="18"/>
      <c r="I515" s="19">
        <v>513</v>
      </c>
      <c r="J515" s="19" cm="1">
        <f t="array" aca="1" ref="J515" ca="1">INDIRECT("b"&amp;K515+2)</f>
        <v>9.9999999999999997E+78</v>
      </c>
      <c r="K515" s="19">
        <f t="shared" si="38"/>
        <v>2282</v>
      </c>
    </row>
    <row r="516" spans="1:11">
      <c r="A516">
        <v>514</v>
      </c>
      <c r="B516">
        <v>6.0000000000000004E+34</v>
      </c>
      <c r="D516" s="18">
        <v>514</v>
      </c>
      <c r="E516" s="18" cm="1">
        <f t="array" aca="1" ref="E516" ca="1">INDIRECT("b"&amp;F516+2)</f>
        <v>1.4499999999999998E+50</v>
      </c>
      <c r="F516" s="18">
        <f t="shared" si="39"/>
        <v>1084</v>
      </c>
      <c r="G516" s="18"/>
      <c r="H516" s="18"/>
      <c r="I516" s="19">
        <v>514</v>
      </c>
      <c r="J516" s="19" cm="1">
        <f t="array" aca="1" ref="J516" ca="1">INDIRECT("b"&amp;K516+2)</f>
        <v>1.4500000000000001E+79</v>
      </c>
      <c r="K516" s="19">
        <f t="shared" ref="K516:K579" si="40">INT((A516-1)*40/30+900*40/30)+400</f>
        <v>2284</v>
      </c>
    </row>
    <row r="517" spans="1:11">
      <c r="A517">
        <v>515</v>
      </c>
      <c r="B517">
        <v>6.4999999999999992E+34</v>
      </c>
      <c r="D517" s="18">
        <v>515</v>
      </c>
      <c r="E517" s="18" cm="1">
        <f t="array" aca="1" ref="E517" ca="1">INDIRECT("b"&amp;F517+2)</f>
        <v>1.675E+50</v>
      </c>
      <c r="F517" s="18">
        <f t="shared" si="39"/>
        <v>1085</v>
      </c>
      <c r="G517" s="18"/>
      <c r="H517" s="18"/>
      <c r="I517" s="19">
        <v>515</v>
      </c>
      <c r="J517" s="19" cm="1">
        <f t="array" aca="1" ref="J517" ca="1">INDIRECT("b"&amp;K517+2)</f>
        <v>1.675E+79</v>
      </c>
      <c r="K517" s="19">
        <f t="shared" si="40"/>
        <v>2285</v>
      </c>
    </row>
    <row r="518" spans="1:11">
      <c r="A518">
        <v>516</v>
      </c>
      <c r="B518">
        <v>7E+34</v>
      </c>
      <c r="D518" s="18">
        <v>516</v>
      </c>
      <c r="E518" s="18" cm="1">
        <f t="array" aca="1" ref="E518" ca="1">INDIRECT("b"&amp;F518+2)</f>
        <v>1.9000000000000004E+50</v>
      </c>
      <c r="F518" s="18">
        <f t="shared" si="39"/>
        <v>1086</v>
      </c>
      <c r="G518" s="18"/>
      <c r="H518" s="18"/>
      <c r="I518" s="19">
        <v>516</v>
      </c>
      <c r="J518" s="19" cm="1">
        <f t="array" aca="1" ref="J518" ca="1">INDIRECT("b"&amp;K518+2)</f>
        <v>1.9000000000000001E+79</v>
      </c>
      <c r="K518" s="19">
        <f t="shared" si="40"/>
        <v>2286</v>
      </c>
    </row>
    <row r="519" spans="1:11">
      <c r="A519">
        <v>517</v>
      </c>
      <c r="B519">
        <v>7.4999999999999998E+34</v>
      </c>
      <c r="D519" s="18">
        <v>517</v>
      </c>
      <c r="E519" s="18" cm="1">
        <f t="array" aca="1" ref="E519" ca="1">INDIRECT("b"&amp;F519+2)</f>
        <v>2.3499999999999999E+50</v>
      </c>
      <c r="F519" s="18">
        <f t="shared" si="39"/>
        <v>1088</v>
      </c>
      <c r="G519" s="18"/>
      <c r="H519" s="18"/>
      <c r="I519" s="19">
        <v>517</v>
      </c>
      <c r="J519" s="19" cm="1">
        <f t="array" aca="1" ref="J519" ca="1">INDIRECT("b"&amp;K519+2)</f>
        <v>2.3500000000000001E+79</v>
      </c>
      <c r="K519" s="19">
        <f t="shared" si="40"/>
        <v>2288</v>
      </c>
    </row>
    <row r="520" spans="1:11">
      <c r="A520">
        <v>518</v>
      </c>
      <c r="B520">
        <v>8.0000000000000005E+34</v>
      </c>
      <c r="D520" s="18">
        <v>518</v>
      </c>
      <c r="E520" s="18" cm="1">
        <f t="array" aca="1" ref="E520" ca="1">INDIRECT("b"&amp;F520+2)</f>
        <v>2.5749999999999998E+50</v>
      </c>
      <c r="F520" s="18">
        <f t="shared" si="39"/>
        <v>1089</v>
      </c>
      <c r="G520" s="18"/>
      <c r="H520" s="18"/>
      <c r="I520" s="19">
        <v>518</v>
      </c>
      <c r="J520" s="19" cm="1">
        <f t="array" aca="1" ref="J520" ca="1">INDIRECT("b"&amp;K520+2)</f>
        <v>2.5749999999999999E+79</v>
      </c>
      <c r="K520" s="19">
        <f t="shared" si="40"/>
        <v>2289</v>
      </c>
    </row>
    <row r="521" spans="1:11">
      <c r="A521">
        <v>519</v>
      </c>
      <c r="B521">
        <v>8.5000000000000003E+34</v>
      </c>
      <c r="D521" s="18">
        <v>519</v>
      </c>
      <c r="E521" s="18" cm="1">
        <f t="array" aca="1" ref="E521" ca="1">INDIRECT("b"&amp;F521+2)</f>
        <v>2.8000000000000002E+50</v>
      </c>
      <c r="F521" s="18">
        <f t="shared" si="39"/>
        <v>1090</v>
      </c>
      <c r="G521" s="18"/>
      <c r="H521" s="18"/>
      <c r="I521" s="19">
        <v>519</v>
      </c>
      <c r="J521" s="19" cm="1">
        <f t="array" aca="1" ref="J521" ca="1">INDIRECT("b"&amp;K521+2)</f>
        <v>2.8000000000000001E+79</v>
      </c>
      <c r="K521" s="19">
        <f t="shared" si="40"/>
        <v>2290</v>
      </c>
    </row>
    <row r="522" spans="1:11">
      <c r="A522">
        <v>520</v>
      </c>
      <c r="B522">
        <v>9.0000000000000001E+34</v>
      </c>
      <c r="D522" s="18">
        <v>520</v>
      </c>
      <c r="E522" s="18" cm="1">
        <f t="array" aca="1" ref="E522" ca="1">INDIRECT("b"&amp;F522+2)</f>
        <v>3.2499999999999997E+50</v>
      </c>
      <c r="F522" s="18">
        <f t="shared" si="39"/>
        <v>1092</v>
      </c>
      <c r="G522" s="18"/>
      <c r="H522" s="18"/>
      <c r="I522" s="19">
        <v>520</v>
      </c>
      <c r="J522" s="19" cm="1">
        <f t="array" aca="1" ref="J522" ca="1">INDIRECT("b"&amp;K522+2)</f>
        <v>3.2500000000000004E+79</v>
      </c>
      <c r="K522" s="19">
        <f t="shared" si="40"/>
        <v>2292</v>
      </c>
    </row>
    <row r="523" spans="1:11">
      <c r="A523">
        <v>521</v>
      </c>
      <c r="B523">
        <v>9.4999999999999999E+34</v>
      </c>
      <c r="D523" s="18">
        <v>521</v>
      </c>
      <c r="E523" s="18" cm="1">
        <f t="array" aca="1" ref="E523" ca="1">INDIRECT("b"&amp;F523+2)</f>
        <v>3.4750000000000001E+50</v>
      </c>
      <c r="F523" s="18">
        <f t="shared" si="39"/>
        <v>1093</v>
      </c>
      <c r="G523" s="18"/>
      <c r="H523" s="18"/>
      <c r="I523" s="19">
        <v>521</v>
      </c>
      <c r="J523" s="19" cm="1">
        <f t="array" aca="1" ref="J523" ca="1">INDIRECT("b"&amp;K523+2)</f>
        <v>3.4749999999999999E+79</v>
      </c>
      <c r="K523" s="19">
        <f t="shared" si="40"/>
        <v>2293</v>
      </c>
    </row>
    <row r="524" spans="1:11">
      <c r="A524">
        <v>522</v>
      </c>
      <c r="B524" s="4">
        <v>9.9999999999999997E+34</v>
      </c>
      <c r="C524" s="4"/>
      <c r="D524" s="18">
        <v>522</v>
      </c>
      <c r="E524" s="18" cm="1">
        <f t="array" aca="1" ref="E524" ca="1">INDIRECT("b"&amp;F524+2)</f>
        <v>3.7000000000000001E+50</v>
      </c>
      <c r="F524" s="18">
        <f t="shared" si="39"/>
        <v>1094</v>
      </c>
      <c r="G524" s="18"/>
      <c r="H524" s="18"/>
      <c r="I524" s="19">
        <v>522</v>
      </c>
      <c r="J524" s="19" cm="1">
        <f t="array" aca="1" ref="J524" ca="1">INDIRECT("b"&amp;K524+2)</f>
        <v>3.7000000000000001E+79</v>
      </c>
      <c r="K524" s="19">
        <f t="shared" si="40"/>
        <v>2294</v>
      </c>
    </row>
    <row r="525" spans="1:11">
      <c r="A525">
        <v>523</v>
      </c>
      <c r="B525">
        <v>1.0499999999999999E+35</v>
      </c>
      <c r="D525" s="18">
        <v>523</v>
      </c>
      <c r="E525" s="18" cm="1">
        <f t="array" aca="1" ref="E525" ca="1">INDIRECT("b"&amp;F525+2)</f>
        <v>4.1500000000000008E+50</v>
      </c>
      <c r="F525" s="18">
        <f t="shared" si="39"/>
        <v>1096</v>
      </c>
      <c r="G525" s="18"/>
      <c r="H525" s="18"/>
      <c r="I525" s="19">
        <v>523</v>
      </c>
      <c r="J525" s="19" cm="1">
        <f t="array" aca="1" ref="J525" ca="1">INDIRECT("b"&amp;K525+2)</f>
        <v>4.1500000000000004E+79</v>
      </c>
      <c r="K525" s="19">
        <f t="shared" si="40"/>
        <v>2296</v>
      </c>
    </row>
    <row r="526" spans="1:11">
      <c r="A526">
        <v>524</v>
      </c>
      <c r="B526">
        <v>1.0999999999999999E+35</v>
      </c>
      <c r="D526" s="18">
        <v>524</v>
      </c>
      <c r="E526" s="18" cm="1">
        <f t="array" aca="1" ref="E526" ca="1">INDIRECT("b"&amp;F526+2)</f>
        <v>4.375E+50</v>
      </c>
      <c r="F526" s="18">
        <f t="shared" si="39"/>
        <v>1097</v>
      </c>
      <c r="G526" s="18"/>
      <c r="H526" s="18"/>
      <c r="I526" s="19">
        <v>524</v>
      </c>
      <c r="J526" s="19" cm="1">
        <f t="array" aca="1" ref="J526" ca="1">INDIRECT("b"&amp;K526+2)</f>
        <v>4.3749999999999999E+79</v>
      </c>
      <c r="K526" s="19">
        <f t="shared" si="40"/>
        <v>2297</v>
      </c>
    </row>
    <row r="527" spans="1:11">
      <c r="A527">
        <v>525</v>
      </c>
      <c r="B527">
        <v>1.5E+35</v>
      </c>
      <c r="D527" s="18">
        <v>525</v>
      </c>
      <c r="E527" s="18" cm="1">
        <f t="array" aca="1" ref="E527" ca="1">INDIRECT("b"&amp;F527+2)</f>
        <v>4.5999999999999999E+50</v>
      </c>
      <c r="F527" s="18">
        <f t="shared" si="39"/>
        <v>1098</v>
      </c>
      <c r="G527" s="18"/>
      <c r="H527" s="18"/>
      <c r="I527" s="19">
        <v>525</v>
      </c>
      <c r="J527" s="19" cm="1">
        <f t="array" aca="1" ref="J527" ca="1">INDIRECT("b"&amp;K527+2)</f>
        <v>4.6000000000000001E+79</v>
      </c>
      <c r="K527" s="19">
        <f t="shared" si="40"/>
        <v>2298</v>
      </c>
    </row>
    <row r="528" spans="1:11">
      <c r="A528">
        <v>526</v>
      </c>
      <c r="B528">
        <v>1.9999999999999999E+35</v>
      </c>
      <c r="D528" s="18">
        <v>526</v>
      </c>
      <c r="E528" s="18" cm="1">
        <f t="array" aca="1" ref="E528" ca="1">INDIRECT("b"&amp;F528+2)</f>
        <v>5.0499999999999999E+50</v>
      </c>
      <c r="F528" s="18">
        <f t="shared" si="39"/>
        <v>1100</v>
      </c>
      <c r="G528" s="18"/>
      <c r="H528" s="18"/>
      <c r="I528" s="19">
        <v>526</v>
      </c>
      <c r="J528" s="19" cm="1">
        <f t="array" aca="1" ref="J528" ca="1">INDIRECT("b"&amp;K528+2)</f>
        <v>5.0500000000000004E+79</v>
      </c>
      <c r="K528" s="19">
        <f t="shared" si="40"/>
        <v>2300</v>
      </c>
    </row>
    <row r="529" spans="1:11">
      <c r="A529">
        <v>527</v>
      </c>
      <c r="B529">
        <v>2.5000000000000001E+35</v>
      </c>
      <c r="D529" s="18">
        <v>527</v>
      </c>
      <c r="E529" s="18" cm="1">
        <f t="array" aca="1" ref="E529" ca="1">INDIRECT("b"&amp;F529+2)</f>
        <v>5.2749999999999998E+50</v>
      </c>
      <c r="F529" s="18">
        <f t="shared" si="39"/>
        <v>1101</v>
      </c>
      <c r="G529" s="18"/>
      <c r="H529" s="18"/>
      <c r="I529" s="19">
        <v>527</v>
      </c>
      <c r="J529" s="19" cm="1">
        <f t="array" aca="1" ref="J529" ca="1">INDIRECT("b"&amp;K529+2)</f>
        <v>5.2749999999999999E+79</v>
      </c>
      <c r="K529" s="19">
        <f t="shared" si="40"/>
        <v>2301</v>
      </c>
    </row>
    <row r="530" spans="1:11">
      <c r="A530">
        <v>528</v>
      </c>
      <c r="B530">
        <v>2.9999999999999999E+35</v>
      </c>
      <c r="D530" s="18">
        <v>528</v>
      </c>
      <c r="E530" s="18" cm="1">
        <f t="array" aca="1" ref="E530" ca="1">INDIRECT("b"&amp;F530+2)</f>
        <v>5.4999999999999998E+50</v>
      </c>
      <c r="F530" s="18">
        <f t="shared" si="39"/>
        <v>1102</v>
      </c>
      <c r="G530" s="18"/>
      <c r="H530" s="18"/>
      <c r="I530" s="19">
        <v>528</v>
      </c>
      <c r="J530" s="19" cm="1">
        <f t="array" aca="1" ref="J530" ca="1">INDIRECT("b"&amp;K530+2)</f>
        <v>5.5000000000000001E+79</v>
      </c>
      <c r="K530" s="19">
        <f t="shared" si="40"/>
        <v>2302</v>
      </c>
    </row>
    <row r="531" spans="1:11">
      <c r="A531">
        <v>529</v>
      </c>
      <c r="B531">
        <v>3.5000000000000001E+35</v>
      </c>
      <c r="D531" s="18">
        <v>529</v>
      </c>
      <c r="E531" s="18" cm="1">
        <f t="array" aca="1" ref="E531" ca="1">INDIRECT("b"&amp;F531+2)</f>
        <v>5.9500000000000006E+50</v>
      </c>
      <c r="F531" s="18">
        <f t="shared" si="39"/>
        <v>1104</v>
      </c>
      <c r="G531" s="18"/>
      <c r="H531" s="18"/>
      <c r="I531" s="19">
        <v>529</v>
      </c>
      <c r="J531" s="19" cm="1">
        <f t="array" aca="1" ref="J531" ca="1">INDIRECT("b"&amp;K531+2)</f>
        <v>5.9499999999999997E+79</v>
      </c>
      <c r="K531" s="19">
        <f t="shared" si="40"/>
        <v>2304</v>
      </c>
    </row>
    <row r="532" spans="1:11">
      <c r="A532">
        <v>530</v>
      </c>
      <c r="B532">
        <v>3.9999999999999999E+35</v>
      </c>
      <c r="D532" s="18">
        <v>530</v>
      </c>
      <c r="E532" s="18" cm="1">
        <f t="array" aca="1" ref="E532" ca="1">INDIRECT("b"&amp;F532+2)</f>
        <v>6.1749999999999997E+50</v>
      </c>
      <c r="F532" s="18">
        <f t="shared" si="39"/>
        <v>1105</v>
      </c>
      <c r="G532" s="18"/>
      <c r="H532" s="18"/>
      <c r="I532" s="19">
        <v>530</v>
      </c>
      <c r="J532" s="19" cm="1">
        <f t="array" aca="1" ref="J532" ca="1">INDIRECT("b"&amp;K532+2)</f>
        <v>6.1750000000000006E+79</v>
      </c>
      <c r="K532" s="19">
        <f t="shared" si="40"/>
        <v>2305</v>
      </c>
    </row>
    <row r="533" spans="1:11">
      <c r="A533">
        <v>531</v>
      </c>
      <c r="B533">
        <v>4.5000000000000004E+35</v>
      </c>
      <c r="D533" s="18">
        <v>531</v>
      </c>
      <c r="E533" s="18" cm="1">
        <f t="array" aca="1" ref="E533" ca="1">INDIRECT("b"&amp;F533+2)</f>
        <v>6.3999999999999988E+50</v>
      </c>
      <c r="F533" s="18">
        <f t="shared" si="39"/>
        <v>1106</v>
      </c>
      <c r="G533" s="18"/>
      <c r="H533" s="18"/>
      <c r="I533" s="19">
        <v>531</v>
      </c>
      <c r="J533" s="19" cm="1">
        <f t="array" aca="1" ref="J533" ca="1">INDIRECT("b"&amp;K533+2)</f>
        <v>6.4000000000000001E+79</v>
      </c>
      <c r="K533" s="19">
        <f t="shared" si="40"/>
        <v>2306</v>
      </c>
    </row>
    <row r="534" spans="1:11">
      <c r="A534">
        <v>532</v>
      </c>
      <c r="B534">
        <v>5.0000000000000002E+35</v>
      </c>
      <c r="D534" s="18">
        <v>532</v>
      </c>
      <c r="E534" s="18" cm="1">
        <f t="array" aca="1" ref="E534" ca="1">INDIRECT("b"&amp;F534+2)</f>
        <v>6.8500000000000012E+50</v>
      </c>
      <c r="F534" s="18">
        <f t="shared" si="39"/>
        <v>1108</v>
      </c>
      <c r="G534" s="18"/>
      <c r="H534" s="18"/>
      <c r="I534" s="19">
        <v>532</v>
      </c>
      <c r="J534" s="19" cm="1">
        <f t="array" aca="1" ref="J534" ca="1">INDIRECT("b"&amp;K534+2)</f>
        <v>6.8500000000000004E+79</v>
      </c>
      <c r="K534" s="19">
        <f t="shared" si="40"/>
        <v>2308</v>
      </c>
    </row>
    <row r="535" spans="1:11">
      <c r="A535">
        <v>533</v>
      </c>
      <c r="B535">
        <v>5.5E+35</v>
      </c>
      <c r="D535" s="18">
        <v>533</v>
      </c>
      <c r="E535" s="18" cm="1">
        <f t="array" aca="1" ref="E535" ca="1">INDIRECT("b"&amp;F535+2)</f>
        <v>7.0749999999999996E+50</v>
      </c>
      <c r="F535" s="18">
        <f t="shared" si="39"/>
        <v>1109</v>
      </c>
      <c r="G535" s="18"/>
      <c r="H535" s="18"/>
      <c r="I535" s="19">
        <v>533</v>
      </c>
      <c r="J535" s="19" cm="1">
        <f t="array" aca="1" ref="J535" ca="1">INDIRECT("b"&amp;K535+2)</f>
        <v>7.0749999999999999E+79</v>
      </c>
      <c r="K535" s="19">
        <f t="shared" si="40"/>
        <v>2309</v>
      </c>
    </row>
    <row r="536" spans="1:11">
      <c r="A536">
        <v>534</v>
      </c>
      <c r="B536">
        <v>5.9999999999999998E+35</v>
      </c>
      <c r="D536" s="18">
        <v>534</v>
      </c>
      <c r="E536" s="18" cm="1">
        <f t="array" aca="1" ref="E536" ca="1">INDIRECT("b"&amp;F536+2)</f>
        <v>7.3000000000000003E+50</v>
      </c>
      <c r="F536" s="18">
        <f t="shared" si="39"/>
        <v>1110</v>
      </c>
      <c r="G536" s="18"/>
      <c r="H536" s="18"/>
      <c r="I536" s="19">
        <v>534</v>
      </c>
      <c r="J536" s="19" cm="1">
        <f t="array" aca="1" ref="J536" ca="1">INDIRECT("b"&amp;K536+2)</f>
        <v>7.3000000000000007E+79</v>
      </c>
      <c r="K536" s="19">
        <f t="shared" si="40"/>
        <v>2310</v>
      </c>
    </row>
    <row r="537" spans="1:11">
      <c r="A537">
        <v>535</v>
      </c>
      <c r="B537">
        <v>6.4999999999999996E+35</v>
      </c>
      <c r="D537" s="18">
        <v>535</v>
      </c>
      <c r="E537" s="18" cm="1">
        <f t="array" aca="1" ref="E537" ca="1">INDIRECT("b"&amp;F537+2)</f>
        <v>7.7500000000000003E+50</v>
      </c>
      <c r="F537" s="18">
        <f t="shared" si="39"/>
        <v>1112</v>
      </c>
      <c r="G537" s="18"/>
      <c r="H537" s="18"/>
      <c r="I537" s="19">
        <v>535</v>
      </c>
      <c r="J537" s="19" cm="1">
        <f t="array" aca="1" ref="J537" ca="1">INDIRECT("b"&amp;K537+2)</f>
        <v>7.7499999999999997E+79</v>
      </c>
      <c r="K537" s="19">
        <f t="shared" si="40"/>
        <v>2312</v>
      </c>
    </row>
    <row r="538" spans="1:11">
      <c r="A538">
        <v>536</v>
      </c>
      <c r="B538">
        <v>7.0000000000000001E+35</v>
      </c>
      <c r="D538" s="18">
        <v>536</v>
      </c>
      <c r="E538" s="18" cm="1">
        <f t="array" aca="1" ref="E538" ca="1">INDIRECT("b"&amp;F538+2)</f>
        <v>7.9750000000000011E+50</v>
      </c>
      <c r="F538" s="18">
        <f t="shared" si="39"/>
        <v>1113</v>
      </c>
      <c r="G538" s="18"/>
      <c r="H538" s="18"/>
      <c r="I538" s="19">
        <v>536</v>
      </c>
      <c r="J538" s="19" cm="1">
        <f t="array" aca="1" ref="J538" ca="1">INDIRECT("b"&amp;K538+2)</f>
        <v>7.9750000000000005E+79</v>
      </c>
      <c r="K538" s="19">
        <f t="shared" si="40"/>
        <v>2313</v>
      </c>
    </row>
    <row r="539" spans="1:11">
      <c r="A539">
        <v>537</v>
      </c>
      <c r="B539">
        <v>7.4999999999999999E+35</v>
      </c>
      <c r="D539" s="18">
        <v>537</v>
      </c>
      <c r="E539" s="18" cm="1">
        <f t="array" aca="1" ref="E539" ca="1">INDIRECT("b"&amp;F539+2)</f>
        <v>8.1999999999999985E+50</v>
      </c>
      <c r="F539" s="18">
        <f t="shared" si="39"/>
        <v>1114</v>
      </c>
      <c r="G539" s="18"/>
      <c r="H539" s="18"/>
      <c r="I539" s="19">
        <v>537</v>
      </c>
      <c r="J539" s="19" cm="1">
        <f t="array" aca="1" ref="J539" ca="1">INDIRECT("b"&amp;K539+2)</f>
        <v>8.2E+79</v>
      </c>
      <c r="K539" s="19">
        <f t="shared" si="40"/>
        <v>2314</v>
      </c>
    </row>
    <row r="540" spans="1:11">
      <c r="A540">
        <v>538</v>
      </c>
      <c r="B540">
        <v>7.9999999999999997E+35</v>
      </c>
      <c r="D540" s="18">
        <v>538</v>
      </c>
      <c r="E540" s="18" cm="1">
        <f t="array" aca="1" ref="E540" ca="1">INDIRECT("b"&amp;F540+2)</f>
        <v>8.6500000000000001E+50</v>
      </c>
      <c r="F540" s="18">
        <f t="shared" si="39"/>
        <v>1116</v>
      </c>
      <c r="G540" s="18"/>
      <c r="H540" s="18"/>
      <c r="I540" s="19">
        <v>538</v>
      </c>
      <c r="J540" s="19" cm="1">
        <f t="array" aca="1" ref="J540" ca="1">INDIRECT("b"&amp;K540+2)</f>
        <v>8.6500000000000004E+79</v>
      </c>
      <c r="K540" s="19">
        <f t="shared" si="40"/>
        <v>2316</v>
      </c>
    </row>
    <row r="541" spans="1:11">
      <c r="A541">
        <v>539</v>
      </c>
      <c r="B541">
        <v>8.4999999999999995E+35</v>
      </c>
      <c r="D541" s="18">
        <v>539</v>
      </c>
      <c r="E541" s="18" cm="1">
        <f t="array" aca="1" ref="E541" ca="1">INDIRECT("b"&amp;F541+2)</f>
        <v>8.8749999999999993E+50</v>
      </c>
      <c r="F541" s="18">
        <f t="shared" si="39"/>
        <v>1117</v>
      </c>
      <c r="G541" s="18"/>
      <c r="H541" s="18"/>
      <c r="I541" s="19">
        <v>539</v>
      </c>
      <c r="J541" s="19" cm="1">
        <f t="array" aca="1" ref="J541" ca="1">INDIRECT("b"&amp;K541+2)</f>
        <v>8.8749999999999999E+79</v>
      </c>
      <c r="K541" s="19">
        <f t="shared" si="40"/>
        <v>2317</v>
      </c>
    </row>
    <row r="542" spans="1:11">
      <c r="A542">
        <v>540</v>
      </c>
      <c r="B542">
        <v>9.0000000000000008E+35</v>
      </c>
      <c r="D542" s="18">
        <v>540</v>
      </c>
      <c r="E542" s="18" cm="1">
        <f t="array" aca="1" ref="E542" ca="1">INDIRECT("b"&amp;F542+2)</f>
        <v>9.0999999999999984E+50</v>
      </c>
      <c r="F542" s="18">
        <f t="shared" si="39"/>
        <v>1118</v>
      </c>
      <c r="G542" s="18"/>
      <c r="H542" s="18"/>
      <c r="I542" s="19">
        <v>540</v>
      </c>
      <c r="J542" s="19" cm="1">
        <f t="array" aca="1" ref="J542" ca="1">INDIRECT("b"&amp;K542+2)</f>
        <v>9.1000000000000007E+79</v>
      </c>
      <c r="K542" s="19">
        <f t="shared" si="40"/>
        <v>2318</v>
      </c>
    </row>
    <row r="543" spans="1:11">
      <c r="A543">
        <v>541</v>
      </c>
      <c r="B543">
        <v>9.5000000000000006E+35</v>
      </c>
      <c r="D543" s="18">
        <v>541</v>
      </c>
      <c r="E543" s="18" cm="1">
        <f t="array" aca="1" ref="E543" ca="1">INDIRECT("b"&amp;F543+2)</f>
        <v>9.55E+50</v>
      </c>
      <c r="F543" s="18">
        <f t="shared" si="39"/>
        <v>1120</v>
      </c>
      <c r="G543" s="18"/>
      <c r="H543" s="18"/>
      <c r="I543" s="19">
        <v>541</v>
      </c>
      <c r="J543" s="19" cm="1">
        <f t="array" aca="1" ref="J543" ca="1">INDIRECT("b"&amp;K543+2)</f>
        <v>9.550000000000001E+79</v>
      </c>
      <c r="K543" s="19">
        <f t="shared" si="40"/>
        <v>2320</v>
      </c>
    </row>
    <row r="544" spans="1:11">
      <c r="A544">
        <v>542</v>
      </c>
      <c r="B544" s="4">
        <v>1E+36</v>
      </c>
      <c r="C544" s="4"/>
      <c r="D544" s="18">
        <v>542</v>
      </c>
      <c r="E544" s="18" cm="1">
        <f t="array" aca="1" ref="E544" ca="1">INDIRECT("b"&amp;F544+2)</f>
        <v>9.7749999999999991E+50</v>
      </c>
      <c r="F544" s="18">
        <f t="shared" si="39"/>
        <v>1121</v>
      </c>
      <c r="G544" s="18"/>
      <c r="H544" s="18"/>
      <c r="I544" s="19">
        <v>542</v>
      </c>
      <c r="J544" s="19" cm="1">
        <f t="array" aca="1" ref="J544" ca="1">INDIRECT("b"&amp;K544+2)</f>
        <v>9.7750000000000005E+79</v>
      </c>
      <c r="K544" s="19">
        <f t="shared" si="40"/>
        <v>2321</v>
      </c>
    </row>
    <row r="545" spans="1:11">
      <c r="A545">
        <v>543</v>
      </c>
      <c r="B545">
        <v>1.05E+36</v>
      </c>
      <c r="D545" s="18">
        <v>543</v>
      </c>
      <c r="E545" s="18" cm="1">
        <f t="array" aca="1" ref="E545" ca="1">INDIRECT("b"&amp;F545+2)</f>
        <v>9.9999999999999999E+50</v>
      </c>
      <c r="F545" s="18">
        <f t="shared" si="39"/>
        <v>1122</v>
      </c>
      <c r="G545" s="18"/>
      <c r="H545" s="18"/>
      <c r="I545" s="19">
        <v>543</v>
      </c>
      <c r="J545" s="19" cm="1">
        <f t="array" aca="1" ref="J545" ca="1">INDIRECT("b"&amp;K545+2)</f>
        <v>1E+80</v>
      </c>
      <c r="K545" s="19">
        <f t="shared" si="40"/>
        <v>2322</v>
      </c>
    </row>
    <row r="546" spans="1:11">
      <c r="A546">
        <v>544</v>
      </c>
      <c r="B546">
        <v>1.1E+36</v>
      </c>
      <c r="D546" s="18">
        <v>544</v>
      </c>
      <c r="E546" s="18" cm="1">
        <f t="array" aca="1" ref="E546" ca="1">INDIRECT("b"&amp;F546+2)</f>
        <v>1.4499999999999998E+51</v>
      </c>
      <c r="F546" s="18">
        <f t="shared" si="39"/>
        <v>1124</v>
      </c>
      <c r="G546" s="18"/>
      <c r="H546" s="18"/>
      <c r="I546" s="19">
        <v>544</v>
      </c>
      <c r="J546" s="19" cm="1">
        <f t="array" aca="1" ref="J546" ca="1">INDIRECT("b"&amp;K546+2)</f>
        <v>1.4499999999999999E+80</v>
      </c>
      <c r="K546" s="19">
        <f t="shared" si="40"/>
        <v>2324</v>
      </c>
    </row>
    <row r="547" spans="1:11">
      <c r="A547">
        <v>545</v>
      </c>
      <c r="B547">
        <v>1.5E+36</v>
      </c>
      <c r="D547" s="18">
        <v>545</v>
      </c>
      <c r="E547" s="18" cm="1">
        <f t="array" aca="1" ref="E547" ca="1">INDIRECT("b"&amp;F547+2)</f>
        <v>1.6750000000000001E+51</v>
      </c>
      <c r="F547" s="18">
        <f t="shared" si="39"/>
        <v>1125</v>
      </c>
      <c r="G547" s="18"/>
      <c r="H547" s="18"/>
      <c r="I547" s="19">
        <v>545</v>
      </c>
      <c r="J547" s="19" cm="1">
        <f t="array" aca="1" ref="J547" ca="1">INDIRECT("b"&amp;K547+2)</f>
        <v>1.675E+80</v>
      </c>
      <c r="K547" s="19">
        <f t="shared" si="40"/>
        <v>2325</v>
      </c>
    </row>
    <row r="548" spans="1:11">
      <c r="A548">
        <v>546</v>
      </c>
      <c r="B548">
        <v>2.0000000000000001E+36</v>
      </c>
      <c r="D548" s="18">
        <v>546</v>
      </c>
      <c r="E548" s="18" cm="1">
        <f t="array" aca="1" ref="E548" ca="1">INDIRECT("b"&amp;F548+2)</f>
        <v>1.9000000000000002E+51</v>
      </c>
      <c r="F548" s="18">
        <f t="shared" si="39"/>
        <v>1126</v>
      </c>
      <c r="G548" s="18"/>
      <c r="H548" s="18"/>
      <c r="I548" s="19">
        <v>546</v>
      </c>
      <c r="J548" s="19" cm="1">
        <f t="array" aca="1" ref="J548" ca="1">INDIRECT("b"&amp;K548+2)</f>
        <v>1.9E+80</v>
      </c>
      <c r="K548" s="19">
        <f t="shared" si="40"/>
        <v>2326</v>
      </c>
    </row>
    <row r="549" spans="1:11">
      <c r="A549">
        <v>547</v>
      </c>
      <c r="B549">
        <v>2.5000000000000002E+36</v>
      </c>
      <c r="D549" s="18">
        <v>547</v>
      </c>
      <c r="E549" s="18" cm="1">
        <f t="array" aca="1" ref="E549" ca="1">INDIRECT("b"&amp;F549+2)</f>
        <v>2.3500000000000001E+51</v>
      </c>
      <c r="F549" s="18">
        <f t="shared" si="39"/>
        <v>1128</v>
      </c>
      <c r="G549" s="18"/>
      <c r="H549" s="18"/>
      <c r="I549" s="19">
        <v>547</v>
      </c>
      <c r="J549" s="19" cm="1">
        <f t="array" aca="1" ref="J549" ca="1">INDIRECT("b"&amp;K549+2)</f>
        <v>2.3499999999999998E+80</v>
      </c>
      <c r="K549" s="19">
        <f t="shared" si="40"/>
        <v>2328</v>
      </c>
    </row>
    <row r="550" spans="1:11">
      <c r="A550">
        <v>548</v>
      </c>
      <c r="B550">
        <v>3E+36</v>
      </c>
      <c r="D550" s="18">
        <v>548</v>
      </c>
      <c r="E550" s="18" cm="1">
        <f t="array" aca="1" ref="E550" ca="1">INDIRECT("b"&amp;F550+2)</f>
        <v>2.5749999999999999E+51</v>
      </c>
      <c r="F550" s="18">
        <f t="shared" si="39"/>
        <v>1129</v>
      </c>
      <c r="G550" s="18"/>
      <c r="H550" s="18"/>
      <c r="I550" s="19">
        <v>548</v>
      </c>
      <c r="J550" s="19" cm="1">
        <f t="array" aca="1" ref="J550" ca="1">INDIRECT("b"&amp;K550+2)</f>
        <v>2.5749999999999998E+80</v>
      </c>
      <c r="K550" s="19">
        <f t="shared" si="40"/>
        <v>2329</v>
      </c>
    </row>
    <row r="551" spans="1:11">
      <c r="A551">
        <v>549</v>
      </c>
      <c r="B551">
        <v>3.5000000000000004E+36</v>
      </c>
      <c r="D551" s="18">
        <v>549</v>
      </c>
      <c r="E551" s="18" cm="1">
        <f t="array" aca="1" ref="E551" ca="1">INDIRECT("b"&amp;F551+2)</f>
        <v>2.8E+51</v>
      </c>
      <c r="F551" s="18">
        <f t="shared" si="39"/>
        <v>1130</v>
      </c>
      <c r="G551" s="18"/>
      <c r="H551" s="18"/>
      <c r="I551" s="19">
        <v>549</v>
      </c>
      <c r="J551" s="19" cm="1">
        <f t="array" aca="1" ref="J551" ca="1">INDIRECT("b"&amp;K551+2)</f>
        <v>2.7999999999999998E+80</v>
      </c>
      <c r="K551" s="19">
        <f t="shared" si="40"/>
        <v>2330</v>
      </c>
    </row>
    <row r="552" spans="1:11">
      <c r="A552">
        <v>550</v>
      </c>
      <c r="B552">
        <v>4.0000000000000002E+36</v>
      </c>
      <c r="D552" s="18">
        <v>550</v>
      </c>
      <c r="E552" s="18" cm="1">
        <f t="array" aca="1" ref="E552" ca="1">INDIRECT("b"&amp;F552+2)</f>
        <v>3.25E+51</v>
      </c>
      <c r="F552" s="18">
        <f t="shared" si="39"/>
        <v>1132</v>
      </c>
      <c r="G552" s="18"/>
      <c r="H552" s="18"/>
      <c r="I552" s="19">
        <v>550</v>
      </c>
      <c r="J552" s="19" cm="1">
        <f t="array" aca="1" ref="J552" ca="1">INDIRECT("b"&amp;K552+2)</f>
        <v>3.2499999999999999E+80</v>
      </c>
      <c r="K552" s="19">
        <f t="shared" si="40"/>
        <v>2332</v>
      </c>
    </row>
    <row r="553" spans="1:11">
      <c r="A553">
        <v>551</v>
      </c>
      <c r="B553">
        <v>4.5000000000000006E+36</v>
      </c>
      <c r="D553" s="18">
        <v>551</v>
      </c>
      <c r="E553" s="18" cm="1">
        <f t="array" aca="1" ref="E553" ca="1">INDIRECT("b"&amp;F553+2)</f>
        <v>3.4750000000000001E+51</v>
      </c>
      <c r="F553" s="18">
        <f t="shared" si="39"/>
        <v>1133</v>
      </c>
      <c r="G553" s="18"/>
      <c r="H553" s="18"/>
      <c r="I553" s="19">
        <v>551</v>
      </c>
      <c r="J553" s="19" cm="1">
        <f t="array" aca="1" ref="J553" ca="1">INDIRECT("b"&amp;K553+2)</f>
        <v>3.4749999999999999E+80</v>
      </c>
      <c r="K553" s="19">
        <f t="shared" si="40"/>
        <v>2333</v>
      </c>
    </row>
    <row r="554" spans="1:11">
      <c r="A554">
        <v>552</v>
      </c>
      <c r="B554">
        <v>5.0000000000000004E+36</v>
      </c>
      <c r="D554" s="18">
        <v>552</v>
      </c>
      <c r="E554" s="18" cm="1">
        <f t="array" aca="1" ref="E554" ca="1">INDIRECT("b"&amp;F554+2)</f>
        <v>3.7000000000000002E+51</v>
      </c>
      <c r="F554" s="18">
        <f t="shared" si="39"/>
        <v>1134</v>
      </c>
      <c r="G554" s="18"/>
      <c r="H554" s="18"/>
      <c r="I554" s="19">
        <v>552</v>
      </c>
      <c r="J554" s="19" cm="1">
        <f t="array" aca="1" ref="J554" ca="1">INDIRECT("b"&amp;K554+2)</f>
        <v>3.7E+80</v>
      </c>
      <c r="K554" s="19">
        <f t="shared" si="40"/>
        <v>2334</v>
      </c>
    </row>
    <row r="555" spans="1:11">
      <c r="A555">
        <v>553</v>
      </c>
      <c r="B555">
        <v>5.5000000000000002E+36</v>
      </c>
      <c r="D555" s="18">
        <v>553</v>
      </c>
      <c r="E555" s="18" cm="1">
        <f t="array" aca="1" ref="E555" ca="1">INDIRECT("b"&amp;F555+2)</f>
        <v>4.1500000000000005E+51</v>
      </c>
      <c r="F555" s="18">
        <f t="shared" si="39"/>
        <v>1136</v>
      </c>
      <c r="G555" s="18"/>
      <c r="H555" s="18"/>
      <c r="I555" s="19">
        <v>553</v>
      </c>
      <c r="J555" s="19" cm="1">
        <f t="array" aca="1" ref="J555" ca="1">INDIRECT("b"&amp;K555+2)</f>
        <v>4.15E+80</v>
      </c>
      <c r="K555" s="19">
        <f t="shared" si="40"/>
        <v>2336</v>
      </c>
    </row>
    <row r="556" spans="1:11">
      <c r="A556">
        <v>554</v>
      </c>
      <c r="B556">
        <v>6E+36</v>
      </c>
      <c r="D556" s="18">
        <v>554</v>
      </c>
      <c r="E556" s="18" cm="1">
        <f t="array" aca="1" ref="E556" ca="1">INDIRECT("b"&amp;F556+2)</f>
        <v>4.375E+51</v>
      </c>
      <c r="F556" s="18">
        <f t="shared" si="39"/>
        <v>1137</v>
      </c>
      <c r="G556" s="18"/>
      <c r="H556" s="18"/>
      <c r="I556" s="19">
        <v>554</v>
      </c>
      <c r="J556" s="19" cm="1">
        <f t="array" aca="1" ref="J556" ca="1">INDIRECT("b"&amp;K556+2)</f>
        <v>4.3749999999999995E+80</v>
      </c>
      <c r="K556" s="19">
        <f t="shared" si="40"/>
        <v>2337</v>
      </c>
    </row>
    <row r="557" spans="1:11">
      <c r="A557">
        <v>555</v>
      </c>
      <c r="B557">
        <v>6.4999999999999998E+36</v>
      </c>
      <c r="D557" s="18">
        <v>555</v>
      </c>
      <c r="E557" s="18" cm="1">
        <f t="array" aca="1" ref="E557" ca="1">INDIRECT("b"&amp;F557+2)</f>
        <v>4.6000000000000001E+51</v>
      </c>
      <c r="F557" s="18">
        <f t="shared" si="39"/>
        <v>1138</v>
      </c>
      <c r="G557" s="18"/>
      <c r="H557" s="18"/>
      <c r="I557" s="19">
        <v>555</v>
      </c>
      <c r="J557" s="19" cm="1">
        <f t="array" aca="1" ref="J557" ca="1">INDIRECT("b"&amp;K557+2)</f>
        <v>4.5999999999999996E+80</v>
      </c>
      <c r="K557" s="19">
        <f t="shared" si="40"/>
        <v>2338</v>
      </c>
    </row>
    <row r="558" spans="1:11">
      <c r="A558">
        <v>556</v>
      </c>
      <c r="B558">
        <v>7.0000000000000007E+36</v>
      </c>
      <c r="D558" s="18">
        <v>556</v>
      </c>
      <c r="E558" s="18" cm="1">
        <f t="array" aca="1" ref="E558" ca="1">INDIRECT("b"&amp;F558+2)</f>
        <v>5.0500000000000004E+51</v>
      </c>
      <c r="F558" s="18">
        <f t="shared" si="39"/>
        <v>1140</v>
      </c>
      <c r="G558" s="18"/>
      <c r="H558" s="18"/>
      <c r="I558" s="19">
        <v>556</v>
      </c>
      <c r="J558" s="19" cm="1">
        <f t="array" aca="1" ref="J558" ca="1">INDIRECT("b"&amp;K558+2)</f>
        <v>5.0499999999999996E+80</v>
      </c>
      <c r="K558" s="19">
        <f t="shared" si="40"/>
        <v>2340</v>
      </c>
    </row>
    <row r="559" spans="1:11">
      <c r="A559">
        <v>557</v>
      </c>
      <c r="B559">
        <v>7.4999999999999994E+36</v>
      </c>
      <c r="D559" s="18">
        <v>557</v>
      </c>
      <c r="E559" s="18" cm="1">
        <f t="array" aca="1" ref="E559" ca="1">INDIRECT("b"&amp;F559+2)</f>
        <v>5.2749999999999998E+51</v>
      </c>
      <c r="F559" s="18">
        <f t="shared" si="39"/>
        <v>1141</v>
      </c>
      <c r="G559" s="18"/>
      <c r="H559" s="18"/>
      <c r="I559" s="19">
        <v>557</v>
      </c>
      <c r="J559" s="19" cm="1">
        <f t="array" aca="1" ref="J559" ca="1">INDIRECT("b"&amp;K559+2)</f>
        <v>5.2750000000000002E+80</v>
      </c>
      <c r="K559" s="19">
        <f t="shared" si="40"/>
        <v>2341</v>
      </c>
    </row>
    <row r="560" spans="1:11">
      <c r="A560">
        <v>558</v>
      </c>
      <c r="B560">
        <v>8.0000000000000003E+36</v>
      </c>
      <c r="D560" s="18">
        <v>558</v>
      </c>
      <c r="E560" s="18" cm="1">
        <f t="array" aca="1" ref="E560" ca="1">INDIRECT("b"&amp;F560+2)</f>
        <v>5.4999999999999993E+51</v>
      </c>
      <c r="F560" s="18">
        <f t="shared" si="39"/>
        <v>1142</v>
      </c>
      <c r="G560" s="18"/>
      <c r="H560" s="18"/>
      <c r="I560" s="19">
        <v>558</v>
      </c>
      <c r="J560" s="19" cm="1">
        <f t="array" aca="1" ref="J560" ca="1">INDIRECT("b"&amp;K560+2)</f>
        <v>5.4999999999999997E+80</v>
      </c>
      <c r="K560" s="19">
        <f t="shared" si="40"/>
        <v>2342</v>
      </c>
    </row>
    <row r="561" spans="1:11">
      <c r="A561">
        <v>559</v>
      </c>
      <c r="B561">
        <v>8.5000000000000001E+36</v>
      </c>
      <c r="D561" s="18">
        <v>559</v>
      </c>
      <c r="E561" s="18" cm="1">
        <f t="array" aca="1" ref="E561" ca="1">INDIRECT("b"&amp;F561+2)</f>
        <v>5.9500000000000009E+51</v>
      </c>
      <c r="F561" s="18">
        <f t="shared" si="39"/>
        <v>1144</v>
      </c>
      <c r="G561" s="18"/>
      <c r="H561" s="18"/>
      <c r="I561" s="19">
        <v>559</v>
      </c>
      <c r="J561" s="19" cm="1">
        <f t="array" aca="1" ref="J561" ca="1">INDIRECT("b"&amp;K561+2)</f>
        <v>5.9499999999999997E+80</v>
      </c>
      <c r="K561" s="19">
        <f t="shared" si="40"/>
        <v>2344</v>
      </c>
    </row>
    <row r="562" spans="1:11">
      <c r="A562">
        <v>560</v>
      </c>
      <c r="B562">
        <v>9.0000000000000011E+36</v>
      </c>
      <c r="D562" s="18">
        <v>560</v>
      </c>
      <c r="E562" s="18" cm="1">
        <f t="array" aca="1" ref="E562" ca="1">INDIRECT("b"&amp;F562+2)</f>
        <v>6.1749999999999997E+51</v>
      </c>
      <c r="F562" s="18">
        <f t="shared" si="39"/>
        <v>1145</v>
      </c>
      <c r="G562" s="18"/>
      <c r="H562" s="18"/>
      <c r="I562" s="19">
        <v>560</v>
      </c>
      <c r="J562" s="19" cm="1">
        <f t="array" aca="1" ref="J562" ca="1">INDIRECT("b"&amp;K562+2)</f>
        <v>6.1749999999999992E+80</v>
      </c>
      <c r="K562" s="19">
        <f t="shared" si="40"/>
        <v>2345</v>
      </c>
    </row>
    <row r="563" spans="1:11">
      <c r="A563">
        <v>561</v>
      </c>
      <c r="B563" s="4">
        <v>9.4999999999999997E+36</v>
      </c>
      <c r="C563" s="4"/>
      <c r="D563" s="18">
        <v>561</v>
      </c>
      <c r="E563" s="18" cm="1">
        <f t="array" aca="1" ref="E563" ca="1">INDIRECT("b"&amp;F563+2)</f>
        <v>6.3999999999999992E+51</v>
      </c>
      <c r="F563" s="18">
        <f t="shared" si="39"/>
        <v>1146</v>
      </c>
      <c r="G563" s="18"/>
      <c r="H563" s="18"/>
      <c r="I563" s="19">
        <v>561</v>
      </c>
      <c r="J563" s="19" cm="1">
        <f t="array" aca="1" ref="J563" ca="1">INDIRECT("b"&amp;K563+2)</f>
        <v>6.3999999999999998E+80</v>
      </c>
      <c r="K563" s="19">
        <f t="shared" si="40"/>
        <v>2346</v>
      </c>
    </row>
    <row r="564" spans="1:11">
      <c r="A564">
        <v>562</v>
      </c>
      <c r="B564">
        <v>1.0000000000000001E+37</v>
      </c>
      <c r="D564" s="18">
        <v>562</v>
      </c>
      <c r="E564" s="18" cm="1">
        <f t="array" aca="1" ref="E564" ca="1">INDIRECT("b"&amp;F564+2)</f>
        <v>6.8500000000000008E+51</v>
      </c>
      <c r="F564" s="18">
        <f t="shared" si="39"/>
        <v>1148</v>
      </c>
      <c r="G564" s="18"/>
      <c r="H564" s="18"/>
      <c r="I564" s="19">
        <v>562</v>
      </c>
      <c r="J564" s="19" cm="1">
        <f t="array" aca="1" ref="J564" ca="1">INDIRECT("b"&amp;K564+2)</f>
        <v>6.8499999999999999E+80</v>
      </c>
      <c r="K564" s="19">
        <f t="shared" si="40"/>
        <v>2348</v>
      </c>
    </row>
    <row r="565" spans="1:11">
      <c r="A565">
        <v>563</v>
      </c>
      <c r="B565">
        <v>1.2250000000000001E+37</v>
      </c>
      <c r="D565" s="18">
        <v>563</v>
      </c>
      <c r="E565" s="18" cm="1">
        <f t="array" aca="1" ref="E565" ca="1">INDIRECT("b"&amp;F565+2)</f>
        <v>7.0749999999999989E+51</v>
      </c>
      <c r="F565" s="18">
        <f t="shared" si="39"/>
        <v>1149</v>
      </c>
      <c r="G565" s="18"/>
      <c r="H565" s="18"/>
      <c r="I565" s="19">
        <v>563</v>
      </c>
      <c r="J565" s="19" cm="1">
        <f t="array" aca="1" ref="J565" ca="1">INDIRECT("b"&amp;K565+2)</f>
        <v>7.0749999999999994E+80</v>
      </c>
      <c r="K565" s="19">
        <f t="shared" si="40"/>
        <v>2349</v>
      </c>
    </row>
    <row r="566" spans="1:11">
      <c r="A566">
        <v>564</v>
      </c>
      <c r="B566">
        <v>1.4499999999999999E+37</v>
      </c>
      <c r="D566" s="18">
        <v>564</v>
      </c>
      <c r="E566" s="18" cm="1">
        <f t="array" aca="1" ref="E566" ca="1">INDIRECT("b"&amp;F566+2)</f>
        <v>7.300000000000001E+51</v>
      </c>
      <c r="F566" s="18">
        <f t="shared" si="39"/>
        <v>1150</v>
      </c>
      <c r="G566" s="18"/>
      <c r="H566" s="18"/>
      <c r="I566" s="19">
        <v>564</v>
      </c>
      <c r="J566" s="19" cm="1">
        <f t="array" aca="1" ref="J566" ca="1">INDIRECT("b"&amp;K566+2)</f>
        <v>7.2999999999999999E+80</v>
      </c>
      <c r="K566" s="19">
        <f t="shared" si="40"/>
        <v>2350</v>
      </c>
    </row>
    <row r="567" spans="1:11">
      <c r="A567">
        <v>565</v>
      </c>
      <c r="B567">
        <v>1.6749999999999999E+37</v>
      </c>
      <c r="D567" s="18">
        <v>565</v>
      </c>
      <c r="E567" s="18" cm="1">
        <f t="array" aca="1" ref="E567" ca="1">INDIRECT("b"&amp;F567+2)</f>
        <v>7.7499999999999999E+51</v>
      </c>
      <c r="F567" s="18">
        <f t="shared" si="39"/>
        <v>1152</v>
      </c>
      <c r="G567" s="18"/>
      <c r="H567" s="18"/>
      <c r="I567" s="19">
        <v>565</v>
      </c>
      <c r="J567" s="19" cm="1">
        <f t="array" aca="1" ref="J567" ca="1">INDIRECT("b"&amp;K567+2)</f>
        <v>7.75E+80</v>
      </c>
      <c r="K567" s="19">
        <f t="shared" si="40"/>
        <v>2352</v>
      </c>
    </row>
    <row r="568" spans="1:11">
      <c r="A568">
        <v>566</v>
      </c>
      <c r="B568">
        <v>1.9000000000000002E+37</v>
      </c>
      <c r="D568" s="18">
        <v>566</v>
      </c>
      <c r="E568" s="18" cm="1">
        <f t="array" aca="1" ref="E568" ca="1">INDIRECT("b"&amp;F568+2)</f>
        <v>7.9750000000000007E+51</v>
      </c>
      <c r="F568" s="18">
        <f t="shared" si="39"/>
        <v>1153</v>
      </c>
      <c r="G568" s="18"/>
      <c r="H568" s="18"/>
      <c r="I568" s="19">
        <v>566</v>
      </c>
      <c r="J568" s="19" cm="1">
        <f t="array" aca="1" ref="J568" ca="1">INDIRECT("b"&amp;K568+2)</f>
        <v>7.9749999999999995E+80</v>
      </c>
      <c r="K568" s="19">
        <f t="shared" si="40"/>
        <v>2353</v>
      </c>
    </row>
    <row r="569" spans="1:11">
      <c r="A569">
        <v>567</v>
      </c>
      <c r="B569">
        <v>2.125E+37</v>
      </c>
      <c r="D569" s="18">
        <v>567</v>
      </c>
      <c r="E569" s="18" cm="1">
        <f t="array" aca="1" ref="E569" ca="1">INDIRECT("b"&amp;F569+2)</f>
        <v>8.1999999999999989E+51</v>
      </c>
      <c r="F569" s="18">
        <f t="shared" si="39"/>
        <v>1154</v>
      </c>
      <c r="G569" s="18"/>
      <c r="H569" s="18"/>
      <c r="I569" s="19">
        <v>567</v>
      </c>
      <c r="J569" s="19" cm="1">
        <f t="array" aca="1" ref="J569" ca="1">INDIRECT("b"&amp;K569+2)</f>
        <v>8.2E+80</v>
      </c>
      <c r="K569" s="19">
        <f t="shared" si="40"/>
        <v>2354</v>
      </c>
    </row>
    <row r="570" spans="1:11">
      <c r="A570">
        <v>568</v>
      </c>
      <c r="B570">
        <v>2.3500000000000002E+37</v>
      </c>
      <c r="D570" s="18">
        <v>568</v>
      </c>
      <c r="E570" s="18" cm="1">
        <f t="array" aca="1" ref="E570" ca="1">INDIRECT("b"&amp;F570+2)</f>
        <v>8.6500000000000005E+51</v>
      </c>
      <c r="F570" s="18">
        <f t="shared" si="39"/>
        <v>1156</v>
      </c>
      <c r="G570" s="18"/>
      <c r="H570" s="18"/>
      <c r="I570" s="19">
        <v>568</v>
      </c>
      <c r="J570" s="19" cm="1">
        <f t="array" aca="1" ref="J570" ca="1">INDIRECT("b"&amp;K570+2)</f>
        <v>8.649999999999999E+80</v>
      </c>
      <c r="K570" s="19">
        <f t="shared" si="40"/>
        <v>2356</v>
      </c>
    </row>
    <row r="571" spans="1:11">
      <c r="A571">
        <v>569</v>
      </c>
      <c r="B571">
        <v>2.5749999999999998E+37</v>
      </c>
      <c r="D571" s="18">
        <v>569</v>
      </c>
      <c r="E571" s="18" cm="1">
        <f t="array" aca="1" ref="E571" ca="1">INDIRECT("b"&amp;F571+2)</f>
        <v>8.8749999999999999E+51</v>
      </c>
      <c r="F571" s="18">
        <f t="shared" si="39"/>
        <v>1157</v>
      </c>
      <c r="G571" s="18"/>
      <c r="H571" s="18"/>
      <c r="I571" s="19">
        <v>569</v>
      </c>
      <c r="J571" s="19" cm="1">
        <f t="array" aca="1" ref="J571" ca="1">INDIRECT("b"&amp;K571+2)</f>
        <v>8.8749999999999996E+80</v>
      </c>
      <c r="K571" s="19">
        <f t="shared" si="40"/>
        <v>2357</v>
      </c>
    </row>
    <row r="572" spans="1:11">
      <c r="A572">
        <v>570</v>
      </c>
      <c r="B572">
        <v>2.8000000000000003E+37</v>
      </c>
      <c r="D572" s="18">
        <v>570</v>
      </c>
      <c r="E572" s="18" cm="1">
        <f t="array" aca="1" ref="E572" ca="1">INDIRECT("b"&amp;F572+2)</f>
        <v>9.0999999999999981E+51</v>
      </c>
      <c r="F572" s="18">
        <f t="shared" si="39"/>
        <v>1158</v>
      </c>
      <c r="G572" s="18"/>
      <c r="H572" s="18"/>
      <c r="I572" s="19">
        <v>570</v>
      </c>
      <c r="J572" s="19" cm="1">
        <f t="array" aca="1" ref="J572" ca="1">INDIRECT("b"&amp;K572+2)</f>
        <v>9.0999999999999991E+80</v>
      </c>
      <c r="K572" s="19">
        <f t="shared" si="40"/>
        <v>2358</v>
      </c>
    </row>
    <row r="573" spans="1:11">
      <c r="A573">
        <v>571</v>
      </c>
      <c r="B573">
        <v>3.0249999999999999E+37</v>
      </c>
      <c r="D573" s="18">
        <v>571</v>
      </c>
      <c r="E573" s="18" cm="1">
        <f t="array" aca="1" ref="E573" ca="1">INDIRECT("b"&amp;F573+2)</f>
        <v>9.5499999999999997E+51</v>
      </c>
      <c r="F573" s="18">
        <f t="shared" ref="F573:F636" si="41">INT((A573-123)*1.333333)+563</f>
        <v>1160</v>
      </c>
      <c r="G573" s="18"/>
      <c r="H573" s="18"/>
      <c r="I573" s="19">
        <v>571</v>
      </c>
      <c r="J573" s="19" cm="1">
        <f t="array" aca="1" ref="J573" ca="1">INDIRECT("b"&amp;K573+2)</f>
        <v>9.5500000000000002E+80</v>
      </c>
      <c r="K573" s="19">
        <f t="shared" si="40"/>
        <v>2360</v>
      </c>
    </row>
    <row r="574" spans="1:11">
      <c r="A574">
        <v>572</v>
      </c>
      <c r="B574">
        <v>3.2499999999999999E+37</v>
      </c>
      <c r="D574" s="18">
        <v>572</v>
      </c>
      <c r="E574" s="18" cm="1">
        <f t="array" aca="1" ref="E574" ca="1">INDIRECT("b"&amp;F574+2)</f>
        <v>9.7749999999999991E+51</v>
      </c>
      <c r="F574" s="18">
        <f t="shared" si="41"/>
        <v>1161</v>
      </c>
      <c r="G574" s="18"/>
      <c r="H574" s="18"/>
      <c r="I574" s="19">
        <v>572</v>
      </c>
      <c r="J574" s="19" cm="1">
        <f t="array" aca="1" ref="J574" ca="1">INDIRECT("b"&amp;K574+2)</f>
        <v>9.7749999999999987E+80</v>
      </c>
      <c r="K574" s="19">
        <f t="shared" si="40"/>
        <v>2361</v>
      </c>
    </row>
    <row r="575" spans="1:11">
      <c r="A575">
        <v>573</v>
      </c>
      <c r="B575">
        <v>3.4750000000000004E+37</v>
      </c>
      <c r="D575" s="18">
        <v>573</v>
      </c>
      <c r="E575" s="18" cm="1">
        <f t="array" aca="1" ref="E575" ca="1">INDIRECT("b"&amp;F575+2)</f>
        <v>9.9999999999999999E+51</v>
      </c>
      <c r="F575" s="18">
        <f t="shared" si="41"/>
        <v>1162</v>
      </c>
      <c r="G575" s="18"/>
      <c r="H575" s="18"/>
      <c r="I575" s="19">
        <v>573</v>
      </c>
      <c r="J575" s="19" cm="1">
        <f t="array" aca="1" ref="J575" ca="1">INDIRECT("b"&amp;K575+2)</f>
        <v>9.9999999999999992E+80</v>
      </c>
      <c r="K575" s="19">
        <f t="shared" si="40"/>
        <v>2362</v>
      </c>
    </row>
    <row r="576" spans="1:11">
      <c r="A576">
        <v>574</v>
      </c>
      <c r="B576">
        <v>3.6999999999999999E+37</v>
      </c>
      <c r="D576" s="18">
        <v>574</v>
      </c>
      <c r="E576" s="18" cm="1">
        <f t="array" aca="1" ref="E576" ca="1">INDIRECT("b"&amp;F576+2)</f>
        <v>1.4499999999999997E+52</v>
      </c>
      <c r="F576" s="18">
        <f t="shared" si="41"/>
        <v>1164</v>
      </c>
      <c r="G576" s="18"/>
      <c r="H576" s="18"/>
      <c r="I576" s="19">
        <v>574</v>
      </c>
      <c r="J576" s="19" cm="1">
        <f t="array" aca="1" ref="J576" ca="1">INDIRECT("b"&amp;K576+2)</f>
        <v>1.45E+81</v>
      </c>
      <c r="K576" s="19">
        <f t="shared" si="40"/>
        <v>2364</v>
      </c>
    </row>
    <row r="577" spans="1:11">
      <c r="A577">
        <v>575</v>
      </c>
      <c r="B577">
        <v>3.925E+37</v>
      </c>
      <c r="D577" s="18">
        <v>575</v>
      </c>
      <c r="E577" s="18" cm="1">
        <f t="array" aca="1" ref="E577" ca="1">INDIRECT("b"&amp;F577+2)</f>
        <v>1.675E+52</v>
      </c>
      <c r="F577" s="18">
        <f t="shared" si="41"/>
        <v>1165</v>
      </c>
      <c r="G577" s="18"/>
      <c r="H577" s="18"/>
      <c r="I577" s="19">
        <v>575</v>
      </c>
      <c r="J577" s="19" cm="1">
        <f t="array" aca="1" ref="J577" ca="1">INDIRECT("b"&amp;K577+2)</f>
        <v>1.6749999999999999E+81</v>
      </c>
      <c r="K577" s="19">
        <f t="shared" si="40"/>
        <v>2365</v>
      </c>
    </row>
    <row r="578" spans="1:11">
      <c r="A578">
        <v>576</v>
      </c>
      <c r="B578">
        <v>4.1500000000000005E+37</v>
      </c>
      <c r="D578" s="18">
        <v>576</v>
      </c>
      <c r="E578" s="18" cm="1">
        <f t="array" aca="1" ref="E578" ca="1">INDIRECT("b"&amp;F578+2)</f>
        <v>1.9000000000000003E+52</v>
      </c>
      <c r="F578" s="18">
        <f t="shared" si="41"/>
        <v>1166</v>
      </c>
      <c r="G578" s="18"/>
      <c r="H578" s="18"/>
      <c r="I578" s="19">
        <v>576</v>
      </c>
      <c r="J578" s="19" cm="1">
        <f t="array" aca="1" ref="J578" ca="1">INDIRECT("b"&amp;K578+2)</f>
        <v>1.8999999999999998E+81</v>
      </c>
      <c r="K578" s="19">
        <f t="shared" si="40"/>
        <v>2366</v>
      </c>
    </row>
    <row r="579" spans="1:11">
      <c r="A579">
        <v>577</v>
      </c>
      <c r="B579">
        <v>4.375E+37</v>
      </c>
      <c r="D579" s="18">
        <v>577</v>
      </c>
      <c r="E579" s="18" cm="1">
        <f t="array" aca="1" ref="E579" ca="1">INDIRECT("b"&amp;F579+2)</f>
        <v>2.35E+52</v>
      </c>
      <c r="F579" s="18">
        <f t="shared" si="41"/>
        <v>1168</v>
      </c>
      <c r="G579" s="18"/>
      <c r="H579" s="18"/>
      <c r="I579" s="19">
        <v>577</v>
      </c>
      <c r="J579" s="19" cm="1">
        <f t="array" aca="1" ref="J579" ca="1">INDIRECT("b"&amp;K579+2)</f>
        <v>2.3500000000000001E+81</v>
      </c>
      <c r="K579" s="19">
        <f t="shared" si="40"/>
        <v>2368</v>
      </c>
    </row>
    <row r="580" spans="1:11">
      <c r="A580">
        <v>578</v>
      </c>
      <c r="B580">
        <v>4.6E+37</v>
      </c>
      <c r="D580" s="18">
        <v>578</v>
      </c>
      <c r="E580" s="18" cm="1">
        <f t="array" aca="1" ref="E580" ca="1">INDIRECT("b"&amp;F580+2)</f>
        <v>2.5749999999999997E+52</v>
      </c>
      <c r="F580" s="18">
        <f t="shared" si="41"/>
        <v>1169</v>
      </c>
      <c r="G580" s="18"/>
      <c r="H580" s="18"/>
      <c r="I580" s="19">
        <v>578</v>
      </c>
      <c r="J580" s="19" cm="1">
        <f t="array" aca="1" ref="J580" ca="1">INDIRECT("b"&amp;K580+2)</f>
        <v>2.5749999999999998E+81</v>
      </c>
      <c r="K580" s="19">
        <f t="shared" ref="K580:K643" si="42">INT((A580-1)*40/30+900*40/30)+400</f>
        <v>2369</v>
      </c>
    </row>
    <row r="581" spans="1:11">
      <c r="A581">
        <v>579</v>
      </c>
      <c r="B581">
        <v>4.8250000000000001E+37</v>
      </c>
      <c r="D581" s="18">
        <v>579</v>
      </c>
      <c r="E581" s="18" cm="1">
        <f t="array" aca="1" ref="E581" ca="1">INDIRECT("b"&amp;F581+2)</f>
        <v>2.8E+52</v>
      </c>
      <c r="F581" s="18">
        <f t="shared" si="41"/>
        <v>1170</v>
      </c>
      <c r="G581" s="18"/>
      <c r="H581" s="18"/>
      <c r="I581" s="19">
        <v>579</v>
      </c>
      <c r="J581" s="19" cm="1">
        <f t="array" aca="1" ref="J581" ca="1">INDIRECT("b"&amp;K581+2)</f>
        <v>2.7999999999999999E+81</v>
      </c>
      <c r="K581" s="19">
        <f t="shared" si="42"/>
        <v>2370</v>
      </c>
    </row>
    <row r="582" spans="1:11">
      <c r="A582">
        <v>580</v>
      </c>
      <c r="B582">
        <v>5.0500000000000001E+37</v>
      </c>
      <c r="D582" s="18">
        <v>580</v>
      </c>
      <c r="E582" s="18" cm="1">
        <f t="array" aca="1" ref="E582" ca="1">INDIRECT("b"&amp;F582+2)</f>
        <v>3.25E+52</v>
      </c>
      <c r="F582" s="18">
        <f t="shared" si="41"/>
        <v>1172</v>
      </c>
      <c r="G582" s="18"/>
      <c r="H582" s="18"/>
      <c r="I582" s="19">
        <v>580</v>
      </c>
      <c r="J582" s="19" cm="1">
        <f t="array" aca="1" ref="J582" ca="1">INDIRECT("b"&amp;K582+2)</f>
        <v>3.2499999999999998E+81</v>
      </c>
      <c r="K582" s="19">
        <f t="shared" si="42"/>
        <v>2372</v>
      </c>
    </row>
    <row r="583" spans="1:11">
      <c r="A583">
        <v>581</v>
      </c>
      <c r="B583">
        <v>5.2750000000000001E+37</v>
      </c>
      <c r="D583" s="18">
        <v>581</v>
      </c>
      <c r="E583" s="18" cm="1">
        <f t="array" aca="1" ref="E583" ca="1">INDIRECT("b"&amp;F583+2)</f>
        <v>3.4750000000000002E+52</v>
      </c>
      <c r="F583" s="18">
        <f t="shared" si="41"/>
        <v>1173</v>
      </c>
      <c r="G583" s="18"/>
      <c r="H583" s="18"/>
      <c r="I583" s="19">
        <v>581</v>
      </c>
      <c r="J583" s="19" cm="1">
        <f t="array" aca="1" ref="J583" ca="1">INDIRECT("b"&amp;K583+2)</f>
        <v>3.4749999999999999E+81</v>
      </c>
      <c r="K583" s="19">
        <f t="shared" si="42"/>
        <v>2373</v>
      </c>
    </row>
    <row r="584" spans="1:11">
      <c r="A584">
        <v>582</v>
      </c>
      <c r="B584">
        <v>5.5000000000000002E+37</v>
      </c>
      <c r="D584" s="18">
        <v>582</v>
      </c>
      <c r="E584" s="18" cm="1">
        <f t="array" aca="1" ref="E584" ca="1">INDIRECT("b"&amp;F584+2)</f>
        <v>3.7E+52</v>
      </c>
      <c r="F584" s="18">
        <f t="shared" si="41"/>
        <v>1174</v>
      </c>
      <c r="G584" s="18"/>
      <c r="H584" s="18"/>
      <c r="I584" s="19">
        <v>582</v>
      </c>
      <c r="J584" s="19" cm="1">
        <f t="array" aca="1" ref="J584" ca="1">INDIRECT("b"&amp;K584+2)</f>
        <v>3.7000000000000001E+81</v>
      </c>
      <c r="K584" s="19">
        <f t="shared" si="42"/>
        <v>2374</v>
      </c>
    </row>
    <row r="585" spans="1:11">
      <c r="A585">
        <v>583</v>
      </c>
      <c r="B585">
        <v>5.7250000000000002E+37</v>
      </c>
      <c r="D585" s="18">
        <v>583</v>
      </c>
      <c r="E585" s="18" cm="1">
        <f t="array" aca="1" ref="E585" ca="1">INDIRECT("b"&amp;F585+2)</f>
        <v>4.1500000000000005E+52</v>
      </c>
      <c r="F585" s="18">
        <f t="shared" si="41"/>
        <v>1176</v>
      </c>
      <c r="G585" s="18"/>
      <c r="H585" s="18"/>
      <c r="I585" s="19">
        <v>583</v>
      </c>
      <c r="J585" s="19" cm="1">
        <f t="array" aca="1" ref="J585" ca="1">INDIRECT("b"&amp;K585+2)</f>
        <v>4.1500000000000003E+81</v>
      </c>
      <c r="K585" s="19">
        <f t="shared" si="42"/>
        <v>2376</v>
      </c>
    </row>
    <row r="586" spans="1:11">
      <c r="A586">
        <v>584</v>
      </c>
      <c r="B586">
        <v>5.9500000000000002E+37</v>
      </c>
      <c r="D586" s="18">
        <v>584</v>
      </c>
      <c r="E586" s="18" cm="1">
        <f t="array" aca="1" ref="E586" ca="1">INDIRECT("b"&amp;F586+2)</f>
        <v>4.3749999999999997E+52</v>
      </c>
      <c r="F586" s="18">
        <f t="shared" si="41"/>
        <v>1177</v>
      </c>
      <c r="G586" s="18"/>
      <c r="H586" s="18"/>
      <c r="I586" s="19">
        <v>584</v>
      </c>
      <c r="J586" s="19" cm="1">
        <f t="array" aca="1" ref="J586" ca="1">INDIRECT("b"&amp;K586+2)</f>
        <v>4.3750000000000001E+81</v>
      </c>
      <c r="K586" s="19">
        <f t="shared" si="42"/>
        <v>2377</v>
      </c>
    </row>
    <row r="587" spans="1:11">
      <c r="A587">
        <v>585</v>
      </c>
      <c r="B587">
        <v>6.1750000000000002E+37</v>
      </c>
      <c r="D587" s="18">
        <v>585</v>
      </c>
      <c r="E587" s="18" cm="1">
        <f t="array" aca="1" ref="E587" ca="1">INDIRECT("b"&amp;F587+2)</f>
        <v>4.6E+52</v>
      </c>
      <c r="F587" s="18">
        <f t="shared" si="41"/>
        <v>1178</v>
      </c>
      <c r="G587" s="18"/>
      <c r="H587" s="18"/>
      <c r="I587" s="19">
        <v>585</v>
      </c>
      <c r="J587" s="19" cm="1">
        <f t="array" aca="1" ref="J587" ca="1">INDIRECT("b"&amp;K587+2)</f>
        <v>4.5999999999999998E+81</v>
      </c>
      <c r="K587" s="19">
        <f t="shared" si="42"/>
        <v>2378</v>
      </c>
    </row>
    <row r="588" spans="1:11">
      <c r="A588">
        <v>586</v>
      </c>
      <c r="B588">
        <v>6.3999999999999993E+37</v>
      </c>
      <c r="D588" s="18">
        <v>586</v>
      </c>
      <c r="E588" s="18" cm="1">
        <f t="array" aca="1" ref="E588" ca="1">INDIRECT("b"&amp;F588+2)</f>
        <v>5.0500000000000005E+52</v>
      </c>
      <c r="F588" s="18">
        <f t="shared" si="41"/>
        <v>1180</v>
      </c>
      <c r="G588" s="18"/>
      <c r="H588" s="18"/>
      <c r="I588" s="19">
        <v>586</v>
      </c>
      <c r="J588" s="19" cm="1">
        <f t="array" aca="1" ref="J588" ca="1">INDIRECT("b"&amp;K588+2)</f>
        <v>5.05E+81</v>
      </c>
      <c r="K588" s="19">
        <f t="shared" si="42"/>
        <v>2380</v>
      </c>
    </row>
    <row r="589" spans="1:11">
      <c r="A589">
        <v>587</v>
      </c>
      <c r="B589">
        <v>6.6250000000000003E+37</v>
      </c>
      <c r="D589" s="18">
        <v>587</v>
      </c>
      <c r="E589" s="18" cm="1">
        <f t="array" aca="1" ref="E589" ca="1">INDIRECT("b"&amp;F589+2)</f>
        <v>5.2749999999999997E+52</v>
      </c>
      <c r="F589" s="18">
        <f t="shared" si="41"/>
        <v>1181</v>
      </c>
      <c r="G589" s="18"/>
      <c r="H589" s="18"/>
      <c r="I589" s="19">
        <v>587</v>
      </c>
      <c r="J589" s="19" cm="1">
        <f t="array" aca="1" ref="J589" ca="1">INDIRECT("b"&amp;K589+2)</f>
        <v>5.2749999999999997E+81</v>
      </c>
      <c r="K589" s="19">
        <f t="shared" si="42"/>
        <v>2381</v>
      </c>
    </row>
    <row r="590" spans="1:11">
      <c r="A590">
        <v>588</v>
      </c>
      <c r="B590">
        <v>6.8500000000000013E+37</v>
      </c>
      <c r="D590" s="18">
        <v>588</v>
      </c>
      <c r="E590" s="18" cm="1">
        <f t="array" aca="1" ref="E590" ca="1">INDIRECT("b"&amp;F590+2)</f>
        <v>5.5E+52</v>
      </c>
      <c r="F590" s="18">
        <f t="shared" si="41"/>
        <v>1182</v>
      </c>
      <c r="G590" s="18"/>
      <c r="H590" s="18"/>
      <c r="I590" s="19">
        <v>588</v>
      </c>
      <c r="J590" s="19" cm="1">
        <f t="array" aca="1" ref="J590" ca="1">INDIRECT("b"&amp;K590+2)</f>
        <v>5.5000000000000003E+81</v>
      </c>
      <c r="K590" s="19">
        <f t="shared" si="42"/>
        <v>2382</v>
      </c>
    </row>
    <row r="591" spans="1:11">
      <c r="A591">
        <v>589</v>
      </c>
      <c r="B591">
        <v>7.0750000000000004E+37</v>
      </c>
      <c r="D591" s="18">
        <v>589</v>
      </c>
      <c r="E591" s="18" cm="1">
        <f t="array" aca="1" ref="E591" ca="1">INDIRECT("b"&amp;F591+2)</f>
        <v>5.9500000000000005E+52</v>
      </c>
      <c r="F591" s="18">
        <f t="shared" si="41"/>
        <v>1184</v>
      </c>
      <c r="G591" s="18"/>
      <c r="H591" s="18"/>
      <c r="I591" s="19">
        <v>589</v>
      </c>
      <c r="J591" s="19" cm="1">
        <f t="array" aca="1" ref="J591" ca="1">INDIRECT("b"&amp;K591+2)</f>
        <v>5.9499999999999997E+81</v>
      </c>
      <c r="K591" s="19">
        <f t="shared" si="42"/>
        <v>2384</v>
      </c>
    </row>
    <row r="592" spans="1:11">
      <c r="A592">
        <v>590</v>
      </c>
      <c r="B592">
        <v>7.3000000000000004E+37</v>
      </c>
      <c r="D592" s="18">
        <v>590</v>
      </c>
      <c r="E592" s="18" cm="1">
        <f t="array" aca="1" ref="E592" ca="1">INDIRECT("b"&amp;F592+2)</f>
        <v>6.1749999999999997E+52</v>
      </c>
      <c r="F592" s="18">
        <f t="shared" si="41"/>
        <v>1185</v>
      </c>
      <c r="G592" s="18"/>
      <c r="H592" s="18"/>
      <c r="I592" s="19">
        <v>590</v>
      </c>
      <c r="J592" s="19" cm="1">
        <f t="array" aca="1" ref="J592" ca="1">INDIRECT("b"&amp;K592+2)</f>
        <v>6.1750000000000003E+81</v>
      </c>
      <c r="K592" s="19">
        <f t="shared" si="42"/>
        <v>2385</v>
      </c>
    </row>
    <row r="593" spans="1:11">
      <c r="A593">
        <v>591</v>
      </c>
      <c r="B593">
        <v>7.5249999999999995E+37</v>
      </c>
      <c r="D593" s="18">
        <v>591</v>
      </c>
      <c r="E593" s="18" cm="1">
        <f t="array" aca="1" ref="E593" ca="1">INDIRECT("b"&amp;F593+2)</f>
        <v>6.3999999999999989E+52</v>
      </c>
      <c r="F593" s="18">
        <f t="shared" si="41"/>
        <v>1186</v>
      </c>
      <c r="G593" s="18"/>
      <c r="H593" s="18"/>
      <c r="I593" s="19">
        <v>591</v>
      </c>
      <c r="J593" s="19" cm="1">
        <f t="array" aca="1" ref="J593" ca="1">INDIRECT("b"&amp;K593+2)</f>
        <v>6.4E+81</v>
      </c>
      <c r="K593" s="19">
        <f t="shared" si="42"/>
        <v>2386</v>
      </c>
    </row>
    <row r="594" spans="1:11">
      <c r="A594">
        <v>592</v>
      </c>
      <c r="B594">
        <v>7.7500000000000004E+37</v>
      </c>
      <c r="D594" s="18">
        <v>592</v>
      </c>
      <c r="E594" s="18" cm="1">
        <f t="array" aca="1" ref="E594" ca="1">INDIRECT("b"&amp;F594+2)</f>
        <v>6.8500000000000005E+52</v>
      </c>
      <c r="F594" s="18">
        <f t="shared" si="41"/>
        <v>1188</v>
      </c>
      <c r="G594" s="18"/>
      <c r="H594" s="18"/>
      <c r="I594" s="19">
        <v>592</v>
      </c>
      <c r="J594" s="19" cm="1">
        <f t="array" aca="1" ref="J594" ca="1">INDIRECT("b"&amp;K594+2)</f>
        <v>6.8500000000000003E+81</v>
      </c>
      <c r="K594" s="19">
        <f t="shared" si="42"/>
        <v>2388</v>
      </c>
    </row>
    <row r="595" spans="1:11">
      <c r="A595">
        <v>593</v>
      </c>
      <c r="B595">
        <v>7.9750000000000005E+37</v>
      </c>
      <c r="D595" s="18">
        <v>593</v>
      </c>
      <c r="E595" s="18" cm="1">
        <f t="array" aca="1" ref="E595" ca="1">INDIRECT("b"&amp;F595+2)</f>
        <v>7.0749999999999997E+52</v>
      </c>
      <c r="F595" s="18">
        <f t="shared" si="41"/>
        <v>1189</v>
      </c>
      <c r="G595" s="18"/>
      <c r="H595" s="18"/>
      <c r="I595" s="19">
        <v>593</v>
      </c>
      <c r="J595" s="19" cm="1">
        <f t="array" aca="1" ref="J595" ca="1">INDIRECT("b"&amp;K595+2)</f>
        <v>7.075E+81</v>
      </c>
      <c r="K595" s="19">
        <f t="shared" si="42"/>
        <v>2389</v>
      </c>
    </row>
    <row r="596" spans="1:11">
      <c r="A596">
        <v>594</v>
      </c>
      <c r="B596">
        <v>8.1999999999999996E+37</v>
      </c>
      <c r="D596" s="18">
        <v>594</v>
      </c>
      <c r="E596" s="18" cm="1">
        <f t="array" aca="1" ref="E596" ca="1">INDIRECT("b"&amp;F596+2)</f>
        <v>7.3E+52</v>
      </c>
      <c r="F596" s="18">
        <f t="shared" si="41"/>
        <v>1190</v>
      </c>
      <c r="G596" s="18"/>
      <c r="H596" s="18"/>
      <c r="I596" s="19">
        <v>594</v>
      </c>
      <c r="J596" s="19" cm="1">
        <f t="array" aca="1" ref="J596" ca="1">INDIRECT("b"&amp;K596+2)</f>
        <v>7.2999999999999997E+81</v>
      </c>
      <c r="K596" s="19">
        <f t="shared" si="42"/>
        <v>2390</v>
      </c>
    </row>
    <row r="597" spans="1:11">
      <c r="A597">
        <v>595</v>
      </c>
      <c r="B597">
        <v>8.4250000000000005E+37</v>
      </c>
      <c r="D597" s="18">
        <v>595</v>
      </c>
      <c r="E597" s="18" cm="1">
        <f t="array" aca="1" ref="E597" ca="1">INDIRECT("b"&amp;F597+2)</f>
        <v>7.7499999999999994E+52</v>
      </c>
      <c r="F597" s="18">
        <f t="shared" si="41"/>
        <v>1192</v>
      </c>
      <c r="G597" s="18"/>
      <c r="H597" s="18"/>
      <c r="I597" s="19">
        <v>595</v>
      </c>
      <c r="J597" s="19" cm="1">
        <f t="array" aca="1" ref="J597" ca="1">INDIRECT("b"&amp;K597+2)</f>
        <v>7.7499999999999991E+81</v>
      </c>
      <c r="K597" s="19">
        <f t="shared" si="42"/>
        <v>2392</v>
      </c>
    </row>
    <row r="598" spans="1:11">
      <c r="A598">
        <v>596</v>
      </c>
      <c r="B598">
        <v>8.6499999999999996E+37</v>
      </c>
      <c r="D598" s="18">
        <v>596</v>
      </c>
      <c r="E598" s="18" cm="1">
        <f t="array" aca="1" ref="E598" ca="1">INDIRECT("b"&amp;F598+2)</f>
        <v>7.9750000000000007E+52</v>
      </c>
      <c r="F598" s="18">
        <f t="shared" si="41"/>
        <v>1193</v>
      </c>
      <c r="G598" s="18"/>
      <c r="H598" s="18"/>
      <c r="I598" s="19">
        <v>596</v>
      </c>
      <c r="J598" s="19" cm="1">
        <f t="array" aca="1" ref="J598" ca="1">INDIRECT("b"&amp;K598+2)</f>
        <v>7.9750000000000005E+81</v>
      </c>
      <c r="K598" s="19">
        <f t="shared" si="42"/>
        <v>2393</v>
      </c>
    </row>
    <row r="599" spans="1:11">
      <c r="A599">
        <v>597</v>
      </c>
      <c r="B599">
        <v>8.8749999999999996E+37</v>
      </c>
      <c r="D599" s="18">
        <v>597</v>
      </c>
      <c r="E599" s="18" cm="1">
        <f t="array" aca="1" ref="E599" ca="1">INDIRECT("b"&amp;F599+2)</f>
        <v>8.1999999999999989E+52</v>
      </c>
      <c r="F599" s="18">
        <f t="shared" si="41"/>
        <v>1194</v>
      </c>
      <c r="G599" s="18"/>
      <c r="H599" s="18"/>
      <c r="I599" s="19">
        <v>597</v>
      </c>
      <c r="J599" s="19" cm="1">
        <f t="array" aca="1" ref="J599" ca="1">INDIRECT("b"&amp;K599+2)</f>
        <v>8.2000000000000002E+81</v>
      </c>
      <c r="K599" s="19">
        <f t="shared" si="42"/>
        <v>2394</v>
      </c>
    </row>
    <row r="600" spans="1:11">
      <c r="A600">
        <v>598</v>
      </c>
      <c r="B600">
        <v>9.0999999999999997E+37</v>
      </c>
      <c r="D600" s="18">
        <v>598</v>
      </c>
      <c r="E600" s="18" cm="1">
        <f t="array" aca="1" ref="E600" ca="1">INDIRECT("b"&amp;F600+2)</f>
        <v>8.6499999999999994E+52</v>
      </c>
      <c r="F600" s="18">
        <f t="shared" si="41"/>
        <v>1196</v>
      </c>
      <c r="G600" s="18"/>
      <c r="H600" s="18"/>
      <c r="I600" s="19">
        <v>598</v>
      </c>
      <c r="J600" s="19" cm="1">
        <f t="array" aca="1" ref="J600" ca="1">INDIRECT("b"&amp;K600+2)</f>
        <v>8.6499999999999997E+81</v>
      </c>
      <c r="K600" s="19">
        <f t="shared" si="42"/>
        <v>2396</v>
      </c>
    </row>
    <row r="601" spans="1:11">
      <c r="A601">
        <v>599</v>
      </c>
      <c r="B601">
        <v>9.3249999999999997E+37</v>
      </c>
      <c r="D601" s="18">
        <v>599</v>
      </c>
      <c r="E601" s="18" cm="1">
        <f t="array" aca="1" ref="E601" ca="1">INDIRECT("b"&amp;F601+2)</f>
        <v>8.8749999999999997E+52</v>
      </c>
      <c r="F601" s="18">
        <f t="shared" si="41"/>
        <v>1197</v>
      </c>
      <c r="G601" s="18"/>
      <c r="H601" s="18"/>
      <c r="I601" s="19">
        <v>599</v>
      </c>
      <c r="J601" s="19" cm="1">
        <f t="array" aca="1" ref="J601" ca="1">INDIRECT("b"&amp;K601+2)</f>
        <v>8.8749999999999994E+81</v>
      </c>
      <c r="K601" s="19">
        <f t="shared" si="42"/>
        <v>2397</v>
      </c>
    </row>
    <row r="602" spans="1:11">
      <c r="A602">
        <v>600</v>
      </c>
      <c r="B602">
        <v>9.5499999999999997E+37</v>
      </c>
      <c r="D602" s="18">
        <v>600</v>
      </c>
      <c r="E602" s="18" cm="1">
        <f t="array" aca="1" ref="E602" ca="1">INDIRECT("b"&amp;F602+2)</f>
        <v>9.0999999999999978E+52</v>
      </c>
      <c r="F602" s="18">
        <f t="shared" si="41"/>
        <v>1198</v>
      </c>
      <c r="G602" s="18"/>
      <c r="H602" s="18"/>
      <c r="I602" s="19">
        <v>600</v>
      </c>
      <c r="J602" s="19" cm="1">
        <f t="array" aca="1" ref="J602" ca="1">INDIRECT("b"&amp;K602+2)</f>
        <v>9.0999999999999991E+81</v>
      </c>
      <c r="K602" s="19">
        <f t="shared" si="42"/>
        <v>2398</v>
      </c>
    </row>
    <row r="603" spans="1:11">
      <c r="A603">
        <v>601</v>
      </c>
      <c r="B603">
        <v>9.7749999999999997E+37</v>
      </c>
      <c r="D603" s="18">
        <v>601</v>
      </c>
      <c r="E603" s="18" cm="1">
        <f t="array" aca="1" ref="E603" ca="1">INDIRECT("b"&amp;F603+2)</f>
        <v>9.5500000000000005E+52</v>
      </c>
      <c r="F603" s="18">
        <f t="shared" si="41"/>
        <v>1200</v>
      </c>
      <c r="G603" s="18"/>
      <c r="H603" s="18"/>
      <c r="I603" s="19">
        <v>601</v>
      </c>
      <c r="J603" s="19" cm="1">
        <f t="array" aca="1" ref="J603" ca="1">INDIRECT("b"&amp;K603+2)</f>
        <v>9.5500000000000002E+81</v>
      </c>
      <c r="K603" s="19">
        <f t="shared" si="42"/>
        <v>2400</v>
      </c>
    </row>
    <row r="604" spans="1:11">
      <c r="A604">
        <v>602</v>
      </c>
      <c r="B604">
        <v>9.9999999999999998E+37</v>
      </c>
      <c r="D604" s="18">
        <v>602</v>
      </c>
      <c r="E604" s="18" cm="1">
        <f t="array" aca="1" ref="E604" ca="1">INDIRECT("b"&amp;F604+2)</f>
        <v>9.7749999999999997E+52</v>
      </c>
      <c r="F604" s="18">
        <f t="shared" si="41"/>
        <v>1201</v>
      </c>
      <c r="G604" s="18"/>
      <c r="H604" s="18"/>
      <c r="I604" s="19">
        <v>602</v>
      </c>
      <c r="J604" s="19" cm="1">
        <f t="array" aca="1" ref="J604" ca="1">INDIRECT("b"&amp;K604+2)</f>
        <v>9.7749999999999999E+81</v>
      </c>
      <c r="K604" s="19">
        <f t="shared" si="42"/>
        <v>2401</v>
      </c>
    </row>
    <row r="605" spans="1:11">
      <c r="A605">
        <v>603</v>
      </c>
      <c r="B605">
        <v>1.225E+38</v>
      </c>
      <c r="D605" s="18">
        <v>603</v>
      </c>
      <c r="E605" s="18" cm="1">
        <f t="array" aca="1" ref="E605" ca="1">INDIRECT("b"&amp;F605+2)</f>
        <v>9.9999999999999999E+52</v>
      </c>
      <c r="F605" s="18">
        <f t="shared" si="41"/>
        <v>1202</v>
      </c>
      <c r="G605" s="18"/>
      <c r="H605" s="18"/>
      <c r="I605" s="19">
        <v>603</v>
      </c>
      <c r="J605" s="19" cm="1">
        <f t="array" aca="1" ref="J605" ca="1">INDIRECT("b"&amp;K605+2)</f>
        <v>9.9999999999999996E+81</v>
      </c>
      <c r="K605" s="19">
        <f t="shared" si="42"/>
        <v>2402</v>
      </c>
    </row>
    <row r="606" spans="1:11">
      <c r="A606">
        <v>604</v>
      </c>
      <c r="B606">
        <v>1.4499999999999998E+38</v>
      </c>
      <c r="D606" s="18">
        <v>604</v>
      </c>
      <c r="E606" s="18" cm="1">
        <f t="array" aca="1" ref="E606" ca="1">INDIRECT("b"&amp;F606+2)</f>
        <v>1.4499999999999999E+53</v>
      </c>
      <c r="F606" s="18">
        <f t="shared" si="41"/>
        <v>1204</v>
      </c>
      <c r="G606" s="18"/>
      <c r="H606" s="18"/>
      <c r="I606" s="19">
        <v>604</v>
      </c>
      <c r="J606" s="19" cm="1">
        <f t="array" aca="1" ref="J606" ca="1">INDIRECT("b"&amp;K606+2)</f>
        <v>1.4499999999999999E+82</v>
      </c>
      <c r="K606" s="19">
        <f t="shared" si="42"/>
        <v>2404</v>
      </c>
    </row>
    <row r="607" spans="1:11">
      <c r="A607">
        <v>605</v>
      </c>
      <c r="B607">
        <v>1.6750000000000001E+38</v>
      </c>
      <c r="D607" s="18">
        <v>605</v>
      </c>
      <c r="E607" s="18" cm="1">
        <f t="array" aca="1" ref="E607" ca="1">INDIRECT("b"&amp;F607+2)</f>
        <v>1.6749999999999999E+53</v>
      </c>
      <c r="F607" s="18">
        <f t="shared" si="41"/>
        <v>1205</v>
      </c>
      <c r="G607" s="18"/>
      <c r="H607" s="18"/>
      <c r="I607" s="19">
        <v>605</v>
      </c>
      <c r="J607" s="19" cm="1">
        <f t="array" aca="1" ref="J607" ca="1">INDIRECT("b"&amp;K607+2)</f>
        <v>1.6749999999999998E+82</v>
      </c>
      <c r="K607" s="19">
        <f t="shared" si="42"/>
        <v>2405</v>
      </c>
    </row>
    <row r="608" spans="1:11">
      <c r="A608">
        <v>606</v>
      </c>
      <c r="B608">
        <v>1.9000000000000003E+38</v>
      </c>
      <c r="D608" s="18">
        <v>606</v>
      </c>
      <c r="E608" s="18" cm="1">
        <f t="array" aca="1" ref="E608" ca="1">INDIRECT("b"&amp;F608+2)</f>
        <v>1.9000000000000004E+53</v>
      </c>
      <c r="F608" s="18">
        <f t="shared" si="41"/>
        <v>1206</v>
      </c>
      <c r="G608" s="18"/>
      <c r="H608" s="18"/>
      <c r="I608" s="19">
        <v>606</v>
      </c>
      <c r="J608" s="19" cm="1">
        <f t="array" aca="1" ref="J608" ca="1">INDIRECT("b"&amp;K608+2)</f>
        <v>1.8999999999999998E+82</v>
      </c>
      <c r="K608" s="19">
        <f t="shared" si="42"/>
        <v>2406</v>
      </c>
    </row>
    <row r="609" spans="1:11">
      <c r="A609">
        <v>607</v>
      </c>
      <c r="B609">
        <v>2.1249999999999999E+38</v>
      </c>
      <c r="D609" s="18">
        <v>607</v>
      </c>
      <c r="E609" s="18" cm="1">
        <f t="array" aca="1" ref="E609" ca="1">INDIRECT("b"&amp;F609+2)</f>
        <v>2.3499999999999999E+53</v>
      </c>
      <c r="F609" s="18">
        <f t="shared" si="41"/>
        <v>1208</v>
      </c>
      <c r="G609" s="18"/>
      <c r="H609" s="18"/>
      <c r="I609" s="19">
        <v>607</v>
      </c>
      <c r="J609" s="19" cm="1">
        <f t="array" aca="1" ref="J609" ca="1">INDIRECT("b"&amp;K609+2)</f>
        <v>2.3499999999999999E+82</v>
      </c>
      <c r="K609" s="19">
        <f t="shared" si="42"/>
        <v>2408</v>
      </c>
    </row>
    <row r="610" spans="1:11">
      <c r="A610">
        <v>608</v>
      </c>
      <c r="B610">
        <v>2.35E+38</v>
      </c>
      <c r="D610" s="18">
        <v>608</v>
      </c>
      <c r="E610" s="18" cm="1">
        <f t="array" aca="1" ref="E610" ca="1">INDIRECT("b"&amp;F610+2)</f>
        <v>2.5749999999999997E+53</v>
      </c>
      <c r="F610" s="18">
        <f t="shared" si="41"/>
        <v>1209</v>
      </c>
      <c r="G610" s="18"/>
      <c r="H610" s="18"/>
      <c r="I610" s="19">
        <v>608</v>
      </c>
      <c r="J610" s="19" cm="1">
        <f t="array" aca="1" ref="J610" ca="1">INDIRECT("b"&amp;K610+2)</f>
        <v>2.575E+82</v>
      </c>
      <c r="K610" s="19">
        <f t="shared" si="42"/>
        <v>2409</v>
      </c>
    </row>
    <row r="611" spans="1:11">
      <c r="A611">
        <v>609</v>
      </c>
      <c r="B611">
        <v>2.575E+38</v>
      </c>
      <c r="D611" s="18">
        <v>609</v>
      </c>
      <c r="E611" s="18" cm="1">
        <f t="array" aca="1" ref="E611" ca="1">INDIRECT("b"&amp;F611+2)</f>
        <v>2.8E+53</v>
      </c>
      <c r="F611" s="18">
        <f t="shared" si="41"/>
        <v>1210</v>
      </c>
      <c r="G611" s="18"/>
      <c r="H611" s="18"/>
      <c r="I611" s="19">
        <v>609</v>
      </c>
      <c r="J611" s="19" cm="1">
        <f t="array" aca="1" ref="J611" ca="1">INDIRECT("b"&amp;K611+2)</f>
        <v>2.8E+82</v>
      </c>
      <c r="K611" s="19">
        <f t="shared" si="42"/>
        <v>2410</v>
      </c>
    </row>
    <row r="612" spans="1:11">
      <c r="A612">
        <v>610</v>
      </c>
      <c r="B612">
        <v>2.8E+38</v>
      </c>
      <c r="D612" s="18">
        <v>610</v>
      </c>
      <c r="E612" s="18" cm="1">
        <f t="array" aca="1" ref="E612" ca="1">INDIRECT("b"&amp;F612+2)</f>
        <v>3.2499999999999997E+53</v>
      </c>
      <c r="F612" s="18">
        <f t="shared" si="41"/>
        <v>1212</v>
      </c>
      <c r="G612" s="18"/>
      <c r="H612" s="18"/>
      <c r="I612" s="19">
        <v>610</v>
      </c>
      <c r="J612" s="19" cm="1">
        <f t="array" aca="1" ref="J612" ca="1">INDIRECT("b"&amp;K612+2)</f>
        <v>3.2500000000000001E+82</v>
      </c>
      <c r="K612" s="19">
        <f t="shared" si="42"/>
        <v>2412</v>
      </c>
    </row>
    <row r="613" spans="1:11">
      <c r="A613">
        <v>611</v>
      </c>
      <c r="B613">
        <v>3.025E+38</v>
      </c>
      <c r="D613" s="18">
        <v>611</v>
      </c>
      <c r="E613" s="18" cm="1">
        <f t="array" aca="1" ref="E613" ca="1">INDIRECT("b"&amp;F613+2)</f>
        <v>3.4750000000000003E+53</v>
      </c>
      <c r="F613" s="18">
        <f t="shared" si="41"/>
        <v>1213</v>
      </c>
      <c r="G613" s="18"/>
      <c r="H613" s="18"/>
      <c r="I613" s="19">
        <v>611</v>
      </c>
      <c r="J613" s="19" cm="1">
        <f t="array" aca="1" ref="J613" ca="1">INDIRECT("b"&amp;K613+2)</f>
        <v>3.4749999999999995E+82</v>
      </c>
      <c r="K613" s="19">
        <f t="shared" si="42"/>
        <v>2413</v>
      </c>
    </row>
    <row r="614" spans="1:11">
      <c r="A614">
        <v>612</v>
      </c>
      <c r="B614">
        <v>3.2499999999999997E+38</v>
      </c>
      <c r="D614" s="18">
        <v>612</v>
      </c>
      <c r="E614" s="18" cm="1">
        <f t="array" aca="1" ref="E614" ca="1">INDIRECT("b"&amp;F614+2)</f>
        <v>3.6999999999999998E+53</v>
      </c>
      <c r="F614" s="18">
        <f t="shared" si="41"/>
        <v>1214</v>
      </c>
      <c r="G614" s="18"/>
      <c r="H614" s="18"/>
      <c r="I614" s="19">
        <v>612</v>
      </c>
      <c r="J614" s="19" cm="1">
        <f t="array" aca="1" ref="J614" ca="1">INDIRECT("b"&amp;K614+2)</f>
        <v>3.6999999999999996E+82</v>
      </c>
      <c r="K614" s="19">
        <f t="shared" si="42"/>
        <v>2414</v>
      </c>
    </row>
    <row r="615" spans="1:11">
      <c r="A615">
        <v>613</v>
      </c>
      <c r="B615">
        <v>3.4750000000000001E+38</v>
      </c>
      <c r="D615" s="18">
        <v>613</v>
      </c>
      <c r="E615" s="18" cm="1">
        <f t="array" aca="1" ref="E615" ca="1">INDIRECT("b"&amp;F615+2)</f>
        <v>4.1500000000000007E+53</v>
      </c>
      <c r="F615" s="18">
        <f t="shared" si="41"/>
        <v>1216</v>
      </c>
      <c r="G615" s="18"/>
      <c r="H615" s="18"/>
      <c r="I615" s="19">
        <v>613</v>
      </c>
      <c r="J615" s="19" cm="1">
        <f t="array" aca="1" ref="J615" ca="1">INDIRECT("b"&amp;K615+2)</f>
        <v>4.1499999999999997E+82</v>
      </c>
      <c r="K615" s="19">
        <f t="shared" si="42"/>
        <v>2416</v>
      </c>
    </row>
    <row r="616" spans="1:11">
      <c r="A616">
        <v>614</v>
      </c>
      <c r="B616">
        <v>3.7000000000000001E+38</v>
      </c>
      <c r="D616" s="18">
        <v>614</v>
      </c>
      <c r="E616" s="18" cm="1">
        <f t="array" aca="1" ref="E616" ca="1">INDIRECT("b"&amp;F616+2)</f>
        <v>4.3749999999999993E+53</v>
      </c>
      <c r="F616" s="18">
        <f t="shared" si="41"/>
        <v>1217</v>
      </c>
      <c r="G616" s="18"/>
      <c r="H616" s="18"/>
      <c r="I616" s="19">
        <v>614</v>
      </c>
      <c r="J616" s="19" cm="1">
        <f t="array" aca="1" ref="J616" ca="1">INDIRECT("b"&amp;K616+2)</f>
        <v>4.3749999999999997E+82</v>
      </c>
      <c r="K616" s="19">
        <f t="shared" si="42"/>
        <v>2417</v>
      </c>
    </row>
    <row r="617" spans="1:11">
      <c r="A617">
        <v>615</v>
      </c>
      <c r="B617">
        <v>3.9250000000000002E+38</v>
      </c>
      <c r="D617" s="18">
        <v>615</v>
      </c>
      <c r="E617" s="18" cm="1">
        <f t="array" aca="1" ref="E617" ca="1">INDIRECT("b"&amp;F617+2)</f>
        <v>4.6000000000000004E+53</v>
      </c>
      <c r="F617" s="18">
        <f t="shared" si="41"/>
        <v>1218</v>
      </c>
      <c r="G617" s="18"/>
      <c r="H617" s="18"/>
      <c r="I617" s="19">
        <v>615</v>
      </c>
      <c r="J617" s="19" cm="1">
        <f t="array" aca="1" ref="J617" ca="1">INDIRECT("b"&amp;K617+2)</f>
        <v>4.5999999999999998E+82</v>
      </c>
      <c r="K617" s="19">
        <f t="shared" si="42"/>
        <v>2418</v>
      </c>
    </row>
    <row r="618" spans="1:11">
      <c r="A618">
        <v>616</v>
      </c>
      <c r="B618">
        <v>4.1500000000000002E+38</v>
      </c>
      <c r="D618" s="18">
        <v>616</v>
      </c>
      <c r="E618" s="18" cm="1">
        <f t="array" aca="1" ref="E618" ca="1">INDIRECT("b"&amp;F618+2)</f>
        <v>5.0500000000000001E+53</v>
      </c>
      <c r="F618" s="18">
        <f t="shared" si="41"/>
        <v>1220</v>
      </c>
      <c r="G618" s="18"/>
      <c r="H618" s="18"/>
      <c r="I618" s="19">
        <v>616</v>
      </c>
      <c r="J618" s="19" cm="1">
        <f t="array" aca="1" ref="J618" ca="1">INDIRECT("b"&amp;K618+2)</f>
        <v>5.0499999999999999E+82</v>
      </c>
      <c r="K618" s="19">
        <f t="shared" si="42"/>
        <v>2420</v>
      </c>
    </row>
    <row r="619" spans="1:11">
      <c r="A619">
        <v>617</v>
      </c>
      <c r="B619">
        <v>4.3750000000000002E+38</v>
      </c>
      <c r="D619" s="18">
        <v>617</v>
      </c>
      <c r="E619" s="18" cm="1">
        <f t="array" aca="1" ref="E619" ca="1">INDIRECT("b"&amp;F619+2)</f>
        <v>5.2749999999999995E+53</v>
      </c>
      <c r="F619" s="18">
        <f t="shared" si="41"/>
        <v>1221</v>
      </c>
      <c r="G619" s="18"/>
      <c r="H619" s="18"/>
      <c r="I619" s="19">
        <v>617</v>
      </c>
      <c r="J619" s="19" cm="1">
        <f t="array" aca="1" ref="J619" ca="1">INDIRECT("b"&amp;K619+2)</f>
        <v>5.2749999999999999E+82</v>
      </c>
      <c r="K619" s="19">
        <f t="shared" si="42"/>
        <v>2421</v>
      </c>
    </row>
    <row r="620" spans="1:11">
      <c r="A620">
        <v>618</v>
      </c>
      <c r="B620">
        <v>4.6000000000000002E+38</v>
      </c>
      <c r="D620" s="18">
        <v>618</v>
      </c>
      <c r="E620" s="18" cm="1">
        <f t="array" aca="1" ref="E620" ca="1">INDIRECT("b"&amp;F620+2)</f>
        <v>5.4999999999999998E+53</v>
      </c>
      <c r="F620" s="18">
        <f t="shared" si="41"/>
        <v>1222</v>
      </c>
      <c r="G620" s="18"/>
      <c r="H620" s="18"/>
      <c r="I620" s="19">
        <v>618</v>
      </c>
      <c r="J620" s="19" cm="1">
        <f t="array" aca="1" ref="J620" ca="1">INDIRECT("b"&amp;K620+2)</f>
        <v>5.5E+82</v>
      </c>
      <c r="K620" s="19">
        <f t="shared" si="42"/>
        <v>2422</v>
      </c>
    </row>
    <row r="621" spans="1:11">
      <c r="A621">
        <v>619</v>
      </c>
      <c r="B621">
        <v>4.8250000000000003E+38</v>
      </c>
      <c r="D621" s="18">
        <v>619</v>
      </c>
      <c r="E621" s="18" cm="1">
        <f t="array" aca="1" ref="E621" ca="1">INDIRECT("b"&amp;F621+2)</f>
        <v>5.9500000000000011E+53</v>
      </c>
      <c r="F621" s="18">
        <f t="shared" si="41"/>
        <v>1224</v>
      </c>
      <c r="G621" s="18"/>
      <c r="H621" s="18"/>
      <c r="I621" s="19">
        <v>619</v>
      </c>
      <c r="J621" s="19" cm="1">
        <f t="array" aca="1" ref="J621" ca="1">INDIRECT("b"&amp;K621+2)</f>
        <v>5.9499999999999994E+82</v>
      </c>
      <c r="K621" s="19">
        <f t="shared" si="42"/>
        <v>2424</v>
      </c>
    </row>
    <row r="622" spans="1:11">
      <c r="A622">
        <v>620</v>
      </c>
      <c r="B622">
        <v>5.0500000000000003E+38</v>
      </c>
      <c r="D622" s="18">
        <v>620</v>
      </c>
      <c r="E622" s="18" cm="1">
        <f t="array" aca="1" ref="E622" ca="1">INDIRECT("b"&amp;F622+2)</f>
        <v>6.1749999999999997E+53</v>
      </c>
      <c r="F622" s="18">
        <f t="shared" si="41"/>
        <v>1225</v>
      </c>
      <c r="G622" s="18"/>
      <c r="H622" s="18"/>
      <c r="I622" s="19">
        <v>620</v>
      </c>
      <c r="J622" s="19" cm="1">
        <f t="array" aca="1" ref="J622" ca="1">INDIRECT("b"&amp;K622+2)</f>
        <v>6.1749999999999994E+82</v>
      </c>
      <c r="K622" s="19">
        <f t="shared" si="42"/>
        <v>2425</v>
      </c>
    </row>
    <row r="623" spans="1:11">
      <c r="A623">
        <v>621</v>
      </c>
      <c r="B623">
        <v>5.2750000000000003E+38</v>
      </c>
      <c r="D623" s="18">
        <v>621</v>
      </c>
      <c r="E623" s="18" cm="1">
        <f t="array" aca="1" ref="E623" ca="1">INDIRECT("b"&amp;F623+2)</f>
        <v>6.3999999999999991E+53</v>
      </c>
      <c r="F623" s="18">
        <f t="shared" si="41"/>
        <v>1226</v>
      </c>
      <c r="G623" s="18"/>
      <c r="H623" s="18"/>
      <c r="I623" s="19">
        <v>621</v>
      </c>
      <c r="J623" s="19" cm="1">
        <f t="array" aca="1" ref="J623" ca="1">INDIRECT("b"&amp;K623+2)</f>
        <v>6.3999999999999995E+82</v>
      </c>
      <c r="K623" s="19">
        <f t="shared" si="42"/>
        <v>2426</v>
      </c>
    </row>
    <row r="624" spans="1:11">
      <c r="A624">
        <v>622</v>
      </c>
      <c r="B624">
        <v>5.4999999999999996E+38</v>
      </c>
      <c r="D624" s="18">
        <v>622</v>
      </c>
      <c r="E624" s="18" cm="1">
        <f t="array" aca="1" ref="E624" ca="1">INDIRECT("b"&amp;F624+2)</f>
        <v>6.8500000000000013E+53</v>
      </c>
      <c r="F624" s="18">
        <f t="shared" si="41"/>
        <v>1228</v>
      </c>
      <c r="G624" s="18"/>
      <c r="H624" s="18"/>
      <c r="I624" s="19">
        <v>622</v>
      </c>
      <c r="J624" s="19" cm="1">
        <f t="array" aca="1" ref="J624" ca="1">INDIRECT("b"&amp;K624+2)</f>
        <v>6.8499999999999996E+82</v>
      </c>
      <c r="K624" s="19">
        <f t="shared" si="42"/>
        <v>2428</v>
      </c>
    </row>
    <row r="625" spans="1:11">
      <c r="A625">
        <v>623</v>
      </c>
      <c r="B625">
        <v>5.7250000000000004E+38</v>
      </c>
      <c r="D625" s="18">
        <v>623</v>
      </c>
      <c r="E625" s="18" cm="1">
        <f t="array" aca="1" ref="E625" ca="1">INDIRECT("b"&amp;F625+2)</f>
        <v>7.074999999999999E+53</v>
      </c>
      <c r="F625" s="18">
        <f t="shared" si="41"/>
        <v>1229</v>
      </c>
      <c r="G625" s="18"/>
      <c r="H625" s="18"/>
      <c r="I625" s="19">
        <v>623</v>
      </c>
      <c r="J625" s="19" cm="1">
        <f t="array" aca="1" ref="J625" ca="1">INDIRECT("b"&amp;K625+2)</f>
        <v>7.0749999999999996E+82</v>
      </c>
      <c r="K625" s="19">
        <f t="shared" si="42"/>
        <v>2429</v>
      </c>
    </row>
    <row r="626" spans="1:11">
      <c r="A626">
        <v>624</v>
      </c>
      <c r="B626">
        <v>5.9500000000000004E+38</v>
      </c>
      <c r="D626" s="18">
        <v>624</v>
      </c>
      <c r="E626" s="18" cm="1">
        <f t="array" aca="1" ref="E626" ca="1">INDIRECT("b"&amp;F626+2)</f>
        <v>7.3000000000000002E+53</v>
      </c>
      <c r="F626" s="18">
        <f t="shared" si="41"/>
        <v>1230</v>
      </c>
      <c r="G626" s="18"/>
      <c r="H626" s="18"/>
      <c r="I626" s="19">
        <v>624</v>
      </c>
      <c r="J626" s="19" cm="1">
        <f t="array" aca="1" ref="J626" ca="1">INDIRECT("b"&amp;K626+2)</f>
        <v>7.2999999999999997E+82</v>
      </c>
      <c r="K626" s="19">
        <f t="shared" si="42"/>
        <v>2430</v>
      </c>
    </row>
    <row r="627" spans="1:11">
      <c r="A627">
        <v>625</v>
      </c>
      <c r="B627">
        <v>6.1749999999999997E+38</v>
      </c>
      <c r="D627" s="18">
        <v>625</v>
      </c>
      <c r="E627" s="18" cm="1">
        <f t="array" aca="1" ref="E627" ca="1">INDIRECT("b"&amp;F627+2)</f>
        <v>7.7499999999999998E+53</v>
      </c>
      <c r="F627" s="18">
        <f t="shared" si="41"/>
        <v>1232</v>
      </c>
      <c r="G627" s="18"/>
      <c r="H627" s="18"/>
      <c r="I627" s="19">
        <v>625</v>
      </c>
      <c r="J627" s="19" cm="1">
        <f t="array" aca="1" ref="J627" ca="1">INDIRECT("b"&amp;K627+2)</f>
        <v>7.7499999999999998E+82</v>
      </c>
      <c r="K627" s="19">
        <f t="shared" si="42"/>
        <v>2432</v>
      </c>
    </row>
    <row r="628" spans="1:11">
      <c r="A628">
        <v>626</v>
      </c>
      <c r="B628">
        <v>6.3999999999999997E+38</v>
      </c>
      <c r="D628" s="18">
        <v>626</v>
      </c>
      <c r="E628" s="18" cm="1">
        <f t="array" aca="1" ref="E628" ca="1">INDIRECT("b"&amp;F628+2)</f>
        <v>7.975000000000001E+53</v>
      </c>
      <c r="F628" s="18">
        <f t="shared" si="41"/>
        <v>1233</v>
      </c>
      <c r="G628" s="18"/>
      <c r="H628" s="18"/>
      <c r="I628" s="19">
        <v>626</v>
      </c>
      <c r="J628" s="19" cm="1">
        <f t="array" aca="1" ref="J628" ca="1">INDIRECT("b"&amp;K628+2)</f>
        <v>7.9749999999999999E+82</v>
      </c>
      <c r="K628" s="19">
        <f t="shared" si="42"/>
        <v>2433</v>
      </c>
    </row>
    <row r="629" spans="1:11">
      <c r="A629">
        <v>627</v>
      </c>
      <c r="B629">
        <v>6.6250000000000005E+38</v>
      </c>
      <c r="D629" s="18">
        <v>627</v>
      </c>
      <c r="E629" s="18" cm="1">
        <f t="array" aca="1" ref="E629" ca="1">INDIRECT("b"&amp;F629+2)</f>
        <v>8.1999999999999987E+53</v>
      </c>
      <c r="F629" s="18">
        <f t="shared" si="41"/>
        <v>1234</v>
      </c>
      <c r="G629" s="18"/>
      <c r="H629" s="18"/>
      <c r="I629" s="19">
        <v>627</v>
      </c>
      <c r="J629" s="19" cm="1">
        <f t="array" aca="1" ref="J629" ca="1">INDIRECT("b"&amp;K629+2)</f>
        <v>8.1999999999999999E+82</v>
      </c>
      <c r="K629" s="19">
        <f t="shared" si="42"/>
        <v>2434</v>
      </c>
    </row>
    <row r="630" spans="1:11">
      <c r="A630">
        <v>628</v>
      </c>
      <c r="B630">
        <v>6.8500000000000005E+38</v>
      </c>
      <c r="D630" s="18">
        <v>628</v>
      </c>
      <c r="E630" s="18" cm="1">
        <f t="array" aca="1" ref="E630" ca="1">INDIRECT("b"&amp;F630+2)</f>
        <v>8.6499999999999992E+53</v>
      </c>
      <c r="F630" s="18">
        <f t="shared" si="41"/>
        <v>1236</v>
      </c>
      <c r="G630" s="18"/>
      <c r="H630" s="18"/>
      <c r="I630" s="19">
        <v>628</v>
      </c>
      <c r="J630" s="19" cm="1">
        <f t="array" aca="1" ref="J630" ca="1">INDIRECT("b"&amp;K630+2)</f>
        <v>8.65E+82</v>
      </c>
      <c r="K630" s="19">
        <f t="shared" si="42"/>
        <v>2436</v>
      </c>
    </row>
    <row r="631" spans="1:11">
      <c r="A631">
        <v>629</v>
      </c>
      <c r="B631">
        <v>7.0750000000000005E+38</v>
      </c>
      <c r="D631" s="18">
        <v>629</v>
      </c>
      <c r="E631" s="18" cm="1">
        <f t="array" aca="1" ref="E631" ca="1">INDIRECT("b"&amp;F631+2)</f>
        <v>8.8750000000000003E+53</v>
      </c>
      <c r="F631" s="18">
        <f t="shared" si="41"/>
        <v>1237</v>
      </c>
      <c r="G631" s="18"/>
      <c r="H631" s="18"/>
      <c r="I631" s="19">
        <v>629</v>
      </c>
      <c r="J631" s="19" cm="1">
        <f t="array" aca="1" ref="J631" ca="1">INDIRECT("b"&amp;K631+2)</f>
        <v>8.8750000000000001E+82</v>
      </c>
      <c r="K631" s="19">
        <f t="shared" si="42"/>
        <v>2437</v>
      </c>
    </row>
    <row r="632" spans="1:11">
      <c r="A632">
        <v>630</v>
      </c>
      <c r="B632">
        <v>7.3000000000000006E+38</v>
      </c>
      <c r="D632" s="18">
        <v>630</v>
      </c>
      <c r="E632" s="18" cm="1">
        <f t="array" aca="1" ref="E632" ca="1">INDIRECT("b"&amp;F632+2)</f>
        <v>9.099999999999998E+53</v>
      </c>
      <c r="F632" s="18">
        <f t="shared" si="41"/>
        <v>1238</v>
      </c>
      <c r="G632" s="18"/>
      <c r="H632" s="18"/>
      <c r="I632" s="19">
        <v>630</v>
      </c>
      <c r="J632" s="19" cm="1">
        <f t="array" aca="1" ref="J632" ca="1">INDIRECT("b"&amp;K632+2)</f>
        <v>9.1000000000000001E+82</v>
      </c>
      <c r="K632" s="19">
        <f t="shared" si="42"/>
        <v>2438</v>
      </c>
    </row>
    <row r="633" spans="1:11">
      <c r="A633">
        <v>631</v>
      </c>
      <c r="B633">
        <v>7.5249999999999991E+38</v>
      </c>
      <c r="D633" s="18">
        <v>631</v>
      </c>
      <c r="E633" s="18" cm="1">
        <f t="array" aca="1" ref="E633" ca="1">INDIRECT("b"&amp;F633+2)</f>
        <v>9.5500000000000003E+53</v>
      </c>
      <c r="F633" s="18">
        <f t="shared" si="41"/>
        <v>1240</v>
      </c>
      <c r="G633" s="18"/>
      <c r="H633" s="18"/>
      <c r="I633" s="19">
        <v>631</v>
      </c>
      <c r="J633" s="19" cm="1">
        <f t="array" aca="1" ref="J633" ca="1">INDIRECT("b"&amp;K633+2)</f>
        <v>9.5500000000000002E+82</v>
      </c>
      <c r="K633" s="19">
        <f t="shared" si="42"/>
        <v>2440</v>
      </c>
    </row>
    <row r="634" spans="1:11">
      <c r="A634">
        <v>632</v>
      </c>
      <c r="B634">
        <v>7.7500000000000006E+38</v>
      </c>
      <c r="D634" s="18">
        <v>632</v>
      </c>
      <c r="E634" s="18" cm="1">
        <f t="array" aca="1" ref="E634" ca="1">INDIRECT("b"&amp;F634+2)</f>
        <v>9.7749999999999997E+53</v>
      </c>
      <c r="F634" s="18">
        <f t="shared" si="41"/>
        <v>1241</v>
      </c>
      <c r="G634" s="18"/>
      <c r="H634" s="18"/>
      <c r="I634" s="19">
        <v>632</v>
      </c>
      <c r="J634" s="19" cm="1">
        <f t="array" aca="1" ref="J634" ca="1">INDIRECT("b"&amp;K634+2)</f>
        <v>9.7749999999999989E+82</v>
      </c>
      <c r="K634" s="19">
        <f t="shared" si="42"/>
        <v>2441</v>
      </c>
    </row>
    <row r="635" spans="1:11">
      <c r="A635">
        <v>633</v>
      </c>
      <c r="B635">
        <v>7.9750000000000007E+38</v>
      </c>
      <c r="D635" s="18">
        <v>633</v>
      </c>
      <c r="E635" s="18" cm="1">
        <f t="array" aca="1" ref="E635" ca="1">INDIRECT("b"&amp;F635+2)</f>
        <v>1.0000000000000001E+54</v>
      </c>
      <c r="F635" s="18">
        <f t="shared" si="41"/>
        <v>1242</v>
      </c>
      <c r="G635" s="18"/>
      <c r="H635" s="18"/>
      <c r="I635" s="19">
        <v>633</v>
      </c>
      <c r="J635" s="19" cm="1">
        <f t="array" aca="1" ref="J635" ca="1">INDIRECT("b"&amp;K635+2)</f>
        <v>9.999999999999999E+82</v>
      </c>
      <c r="K635" s="19">
        <f t="shared" si="42"/>
        <v>2442</v>
      </c>
    </row>
    <row r="636" spans="1:11">
      <c r="A636">
        <v>634</v>
      </c>
      <c r="B636">
        <v>8.1999999999999992E+38</v>
      </c>
      <c r="D636" s="18">
        <v>634</v>
      </c>
      <c r="E636" s="18" cm="1">
        <f t="array" aca="1" ref="E636" ca="1">INDIRECT("b"&amp;F636+2)</f>
        <v>1.4499999999999998E+54</v>
      </c>
      <c r="F636" s="18">
        <f t="shared" si="41"/>
        <v>1244</v>
      </c>
      <c r="G636" s="18"/>
      <c r="H636" s="18"/>
      <c r="I636" s="19">
        <v>634</v>
      </c>
      <c r="J636" s="19" cm="1">
        <f t="array" aca="1" ref="J636" ca="1">INDIRECT("b"&amp;K636+2)</f>
        <v>1.45E+83</v>
      </c>
      <c r="K636" s="19">
        <f t="shared" si="42"/>
        <v>2444</v>
      </c>
    </row>
    <row r="637" spans="1:11">
      <c r="A637">
        <v>635</v>
      </c>
      <c r="B637">
        <v>8.4250000000000007E+38</v>
      </c>
      <c r="D637" s="18">
        <v>635</v>
      </c>
      <c r="E637" s="18" cm="1">
        <f t="array" aca="1" ref="E637" ca="1">INDIRECT("b"&amp;F637+2)</f>
        <v>1.675E+54</v>
      </c>
      <c r="F637" s="18">
        <f t="shared" ref="F637:F700" si="43">INT((A637-123)*1.333333)+563</f>
        <v>1245</v>
      </c>
      <c r="G637" s="18"/>
      <c r="H637" s="18"/>
      <c r="I637" s="19">
        <v>635</v>
      </c>
      <c r="J637" s="19" cm="1">
        <f t="array" aca="1" ref="J637" ca="1">INDIRECT("b"&amp;K637+2)</f>
        <v>1.6749999999999998E+83</v>
      </c>
      <c r="K637" s="19">
        <f t="shared" si="42"/>
        <v>2445</v>
      </c>
    </row>
    <row r="638" spans="1:11">
      <c r="A638">
        <v>636</v>
      </c>
      <c r="B638">
        <v>8.6499999999999992E+38</v>
      </c>
      <c r="D638" s="18">
        <v>636</v>
      </c>
      <c r="E638" s="18" cm="1">
        <f t="array" aca="1" ref="E638" ca="1">INDIRECT("b"&amp;F638+2)</f>
        <v>1.9000000000000005E+54</v>
      </c>
      <c r="F638" s="18">
        <f t="shared" si="43"/>
        <v>1246</v>
      </c>
      <c r="G638" s="18"/>
      <c r="H638" s="18"/>
      <c r="I638" s="19">
        <v>636</v>
      </c>
      <c r="J638" s="19" cm="1">
        <f t="array" aca="1" ref="J638" ca="1">INDIRECT("b"&amp;K638+2)</f>
        <v>1.8999999999999998E+83</v>
      </c>
      <c r="K638" s="19">
        <f t="shared" si="42"/>
        <v>2446</v>
      </c>
    </row>
    <row r="639" spans="1:11">
      <c r="A639">
        <v>637</v>
      </c>
      <c r="B639">
        <v>8.8749999999999993E+38</v>
      </c>
      <c r="D639" s="18">
        <v>637</v>
      </c>
      <c r="E639" s="18" cm="1">
        <f t="array" aca="1" ref="E639" ca="1">INDIRECT("b"&amp;F639+2)</f>
        <v>2.35E+54</v>
      </c>
      <c r="F639" s="18">
        <f t="shared" si="43"/>
        <v>1248</v>
      </c>
      <c r="G639" s="18"/>
      <c r="H639" s="18"/>
      <c r="I639" s="19">
        <v>637</v>
      </c>
      <c r="J639" s="19" cm="1">
        <f t="array" aca="1" ref="J639" ca="1">INDIRECT("b"&amp;K639+2)</f>
        <v>2.3499999999999999E+83</v>
      </c>
      <c r="K639" s="19">
        <f t="shared" si="42"/>
        <v>2448</v>
      </c>
    </row>
    <row r="640" spans="1:11">
      <c r="A640">
        <v>638</v>
      </c>
      <c r="B640">
        <v>9.0999999999999993E+38</v>
      </c>
      <c r="D640" s="18">
        <v>638</v>
      </c>
      <c r="E640" s="18" cm="1">
        <f t="array" aca="1" ref="E640" ca="1">INDIRECT("b"&amp;F640+2)</f>
        <v>2.5749999999999997E+54</v>
      </c>
      <c r="F640" s="18">
        <f t="shared" si="43"/>
        <v>1249</v>
      </c>
      <c r="G640" s="18"/>
      <c r="H640" s="18"/>
      <c r="I640" s="19">
        <v>638</v>
      </c>
      <c r="J640" s="19" cm="1">
        <f t="array" aca="1" ref="J640" ca="1">INDIRECT("b"&amp;K640+2)</f>
        <v>2.575E+83</v>
      </c>
      <c r="K640" s="19">
        <f t="shared" si="42"/>
        <v>2449</v>
      </c>
    </row>
    <row r="641" spans="1:11">
      <c r="A641">
        <v>639</v>
      </c>
      <c r="B641">
        <v>9.3249999999999993E+38</v>
      </c>
      <c r="D641" s="18">
        <v>639</v>
      </c>
      <c r="E641" s="18" cm="1">
        <f t="array" aca="1" ref="E641" ca="1">INDIRECT("b"&amp;F641+2)</f>
        <v>2.8000000000000002E+54</v>
      </c>
      <c r="F641" s="18">
        <f t="shared" si="43"/>
        <v>1250</v>
      </c>
      <c r="G641" s="18"/>
      <c r="H641" s="18"/>
      <c r="I641" s="19">
        <v>639</v>
      </c>
      <c r="J641" s="19" cm="1">
        <f t="array" aca="1" ref="J641" ca="1">INDIRECT("b"&amp;K641+2)</f>
        <v>2.8E+83</v>
      </c>
      <c r="K641" s="19">
        <f t="shared" si="42"/>
        <v>2450</v>
      </c>
    </row>
    <row r="642" spans="1:11">
      <c r="A642">
        <v>640</v>
      </c>
      <c r="B642">
        <v>9.5499999999999993E+38</v>
      </c>
      <c r="D642" s="18">
        <v>640</v>
      </c>
      <c r="E642" s="18" cm="1">
        <f t="array" aca="1" ref="E642" ca="1">INDIRECT("b"&amp;F642+2)</f>
        <v>3.25E+54</v>
      </c>
      <c r="F642" s="18">
        <f t="shared" si="43"/>
        <v>1252</v>
      </c>
      <c r="G642" s="18"/>
      <c r="H642" s="18"/>
      <c r="I642" s="19">
        <v>640</v>
      </c>
      <c r="J642" s="19" cm="1">
        <f t="array" aca="1" ref="J642" ca="1">INDIRECT("b"&amp;K642+2)</f>
        <v>3.2499999999999996E+83</v>
      </c>
      <c r="K642" s="19">
        <f t="shared" si="42"/>
        <v>2452</v>
      </c>
    </row>
    <row r="643" spans="1:11">
      <c r="A643">
        <v>641</v>
      </c>
      <c r="B643">
        <v>9.7749999999999994E+38</v>
      </c>
      <c r="D643" s="18">
        <v>641</v>
      </c>
      <c r="E643" s="18" cm="1">
        <f t="array" aca="1" ref="E643" ca="1">INDIRECT("b"&amp;F643+2)</f>
        <v>3.4750000000000004E+54</v>
      </c>
      <c r="F643" s="18">
        <f t="shared" si="43"/>
        <v>1253</v>
      </c>
      <c r="G643" s="18"/>
      <c r="H643" s="18"/>
      <c r="I643" s="19">
        <v>641</v>
      </c>
      <c r="J643" s="19" cm="1">
        <f t="array" aca="1" ref="J643" ca="1">INDIRECT("b"&amp;K643+2)</f>
        <v>3.4749999999999996E+83</v>
      </c>
      <c r="K643" s="19">
        <f t="shared" si="42"/>
        <v>2453</v>
      </c>
    </row>
    <row r="644" spans="1:11">
      <c r="A644">
        <v>642</v>
      </c>
      <c r="B644">
        <v>1.0000000000000001E+39</v>
      </c>
      <c r="D644" s="18">
        <v>642</v>
      </c>
      <c r="E644" s="18" cm="1">
        <f t="array" aca="1" ref="E644" ca="1">INDIRECT("b"&amp;F644+2)</f>
        <v>3.7000000000000002E+54</v>
      </c>
      <c r="F644" s="18">
        <f t="shared" si="43"/>
        <v>1254</v>
      </c>
      <c r="G644" s="18"/>
      <c r="H644" s="18"/>
      <c r="I644" s="19">
        <v>642</v>
      </c>
      <c r="J644" s="19" cm="1">
        <f t="array" aca="1" ref="J644" ca="1">INDIRECT("b"&amp;K644+2)</f>
        <v>3.6999999999999997E+83</v>
      </c>
      <c r="K644" s="19">
        <f t="shared" ref="K644:K707" si="44">INT((A644-1)*40/30+900*40/30)+400</f>
        <v>2454</v>
      </c>
    </row>
    <row r="645" spans="1:11">
      <c r="A645">
        <v>643</v>
      </c>
      <c r="B645">
        <v>1.225E+39</v>
      </c>
      <c r="D645" s="18">
        <v>643</v>
      </c>
      <c r="E645" s="18" cm="1">
        <f t="array" aca="1" ref="E645" ca="1">INDIRECT("b"&amp;F645+2)</f>
        <v>4.1500000000000004E+54</v>
      </c>
      <c r="F645" s="18">
        <f t="shared" si="43"/>
        <v>1256</v>
      </c>
      <c r="G645" s="18"/>
      <c r="H645" s="18"/>
      <c r="I645" s="19">
        <v>643</v>
      </c>
      <c r="J645" s="19" cm="1">
        <f t="array" aca="1" ref="J645" ca="1">INDIRECT("b"&amp;K645+2)</f>
        <v>4.1499999999999998E+83</v>
      </c>
      <c r="K645" s="19">
        <f t="shared" si="44"/>
        <v>2456</v>
      </c>
    </row>
    <row r="646" spans="1:11">
      <c r="A646">
        <v>644</v>
      </c>
      <c r="B646">
        <v>1.4499999999999998E+39</v>
      </c>
      <c r="D646" s="18">
        <v>644</v>
      </c>
      <c r="E646" s="18" cm="1">
        <f t="array" aca="1" ref="E646" ca="1">INDIRECT("b"&amp;F646+2)</f>
        <v>4.3749999999999994E+54</v>
      </c>
      <c r="F646" s="18">
        <f t="shared" si="43"/>
        <v>1257</v>
      </c>
      <c r="G646" s="18"/>
      <c r="H646" s="18"/>
      <c r="I646" s="19">
        <v>644</v>
      </c>
      <c r="J646" s="19" cm="1">
        <f t="array" aca="1" ref="J646" ca="1">INDIRECT("b"&amp;K646+2)</f>
        <v>4.3749999999999998E+83</v>
      </c>
      <c r="K646" s="19">
        <f t="shared" si="44"/>
        <v>2457</v>
      </c>
    </row>
    <row r="647" spans="1:11">
      <c r="A647">
        <v>645</v>
      </c>
      <c r="B647">
        <v>1.6749999999999999E+39</v>
      </c>
      <c r="D647" s="18">
        <v>645</v>
      </c>
      <c r="E647" s="18" cm="1">
        <f t="array" aca="1" ref="E647" ca="1">INDIRECT("b"&amp;F647+2)</f>
        <v>4.5999999999999999E+54</v>
      </c>
      <c r="F647" s="18">
        <f t="shared" si="43"/>
        <v>1258</v>
      </c>
      <c r="G647" s="18"/>
      <c r="H647" s="18"/>
      <c r="I647" s="19">
        <v>645</v>
      </c>
      <c r="J647" s="19" cm="1">
        <f t="array" aca="1" ref="J647" ca="1">INDIRECT("b"&amp;K647+2)</f>
        <v>4.5999999999999999E+83</v>
      </c>
      <c r="K647" s="19">
        <f t="shared" si="44"/>
        <v>2458</v>
      </c>
    </row>
    <row r="648" spans="1:11">
      <c r="A648">
        <v>646</v>
      </c>
      <c r="B648">
        <v>1.9000000000000002E+39</v>
      </c>
      <c r="D648" s="18">
        <v>646</v>
      </c>
      <c r="E648" s="18" cm="1">
        <f t="array" aca="1" ref="E648" ca="1">INDIRECT("b"&amp;F648+2)</f>
        <v>5.0500000000000001E+54</v>
      </c>
      <c r="F648" s="18">
        <f t="shared" si="43"/>
        <v>1260</v>
      </c>
      <c r="G648" s="18"/>
      <c r="H648" s="18"/>
      <c r="I648" s="19">
        <v>646</v>
      </c>
      <c r="J648" s="19" cm="1">
        <f t="array" aca="1" ref="J648" ca="1">INDIRECT("b"&amp;K648+2)</f>
        <v>5.0499999999999995E+83</v>
      </c>
      <c r="K648" s="19">
        <f t="shared" si="44"/>
        <v>2460</v>
      </c>
    </row>
    <row r="649" spans="1:11">
      <c r="A649">
        <v>647</v>
      </c>
      <c r="B649">
        <v>2.1249999999999999E+39</v>
      </c>
      <c r="D649" s="18">
        <v>647</v>
      </c>
      <c r="E649" s="18" cm="1">
        <f t="array" aca="1" ref="E649" ca="1">INDIRECT("b"&amp;F649+2)</f>
        <v>5.2749999999999998E+54</v>
      </c>
      <c r="F649" s="18">
        <f t="shared" si="43"/>
        <v>1261</v>
      </c>
      <c r="G649" s="18"/>
      <c r="H649" s="18"/>
      <c r="I649" s="19">
        <v>647</v>
      </c>
      <c r="J649" s="19" cm="1">
        <f t="array" aca="1" ref="J649" ca="1">INDIRECT("b"&amp;K649+2)</f>
        <v>5.2750000000000001E+83</v>
      </c>
      <c r="K649" s="19">
        <f t="shared" si="44"/>
        <v>2461</v>
      </c>
    </row>
    <row r="650" spans="1:11">
      <c r="A650">
        <v>648</v>
      </c>
      <c r="B650">
        <v>2.3500000000000003E+39</v>
      </c>
      <c r="D650" s="18">
        <v>648</v>
      </c>
      <c r="E650" s="18" cm="1">
        <f t="array" aca="1" ref="E650" ca="1">INDIRECT("b"&amp;F650+2)</f>
        <v>5.4999999999999996E+54</v>
      </c>
      <c r="F650" s="18">
        <f t="shared" si="43"/>
        <v>1262</v>
      </c>
      <c r="G650" s="18"/>
      <c r="H650" s="18"/>
      <c r="I650" s="19">
        <v>648</v>
      </c>
      <c r="J650" s="19" cm="1">
        <f t="array" aca="1" ref="J650" ca="1">INDIRECT("b"&amp;K650+2)</f>
        <v>5.4999999999999996E+83</v>
      </c>
      <c r="K650" s="19">
        <f t="shared" si="44"/>
        <v>2462</v>
      </c>
    </row>
    <row r="651" spans="1:11">
      <c r="A651">
        <v>649</v>
      </c>
      <c r="B651">
        <v>2.575E+39</v>
      </c>
      <c r="D651" s="18">
        <v>649</v>
      </c>
      <c r="E651" s="18" cm="1">
        <f t="array" aca="1" ref="E651" ca="1">INDIRECT("b"&amp;F651+2)</f>
        <v>5.9500000000000011E+54</v>
      </c>
      <c r="F651" s="18">
        <f t="shared" si="43"/>
        <v>1264</v>
      </c>
      <c r="G651" s="18"/>
      <c r="H651" s="18"/>
      <c r="I651" s="19">
        <v>649</v>
      </c>
      <c r="J651" s="19" cm="1">
        <f t="array" aca="1" ref="J651" ca="1">INDIRECT("b"&amp;K651+2)</f>
        <v>5.9499999999999997E+83</v>
      </c>
      <c r="K651" s="19">
        <f t="shared" si="44"/>
        <v>2464</v>
      </c>
    </row>
    <row r="652" spans="1:11">
      <c r="A652">
        <v>650</v>
      </c>
      <c r="B652">
        <v>2.8E+39</v>
      </c>
      <c r="D652" s="18">
        <v>650</v>
      </c>
      <c r="E652" s="18" cm="1">
        <f t="array" aca="1" ref="E652" ca="1">INDIRECT("b"&amp;F652+2)</f>
        <v>6.1749999999999988E+54</v>
      </c>
      <c r="F652" s="18">
        <f t="shared" si="43"/>
        <v>1265</v>
      </c>
      <c r="G652" s="18"/>
      <c r="H652" s="18"/>
      <c r="I652" s="19">
        <v>650</v>
      </c>
      <c r="J652" s="19" cm="1">
        <f t="array" aca="1" ref="J652" ca="1">INDIRECT("b"&amp;K652+2)</f>
        <v>6.1749999999999992E+83</v>
      </c>
      <c r="K652" s="19">
        <f t="shared" si="44"/>
        <v>2465</v>
      </c>
    </row>
    <row r="653" spans="1:11">
      <c r="A653">
        <v>651</v>
      </c>
      <c r="B653">
        <v>3.0249999999999997E+39</v>
      </c>
      <c r="D653" s="18">
        <v>651</v>
      </c>
      <c r="E653" s="18" cm="1">
        <f t="array" aca="1" ref="E653" ca="1">INDIRECT("b"&amp;F653+2)</f>
        <v>6.3999999999999986E+54</v>
      </c>
      <c r="F653" s="18">
        <f t="shared" si="43"/>
        <v>1266</v>
      </c>
      <c r="G653" s="18"/>
      <c r="H653" s="18"/>
      <c r="I653" s="19">
        <v>651</v>
      </c>
      <c r="J653" s="19" cm="1">
        <f t="array" aca="1" ref="J653" ca="1">INDIRECT("b"&amp;K653+2)</f>
        <v>6.3999999999999998E+83</v>
      </c>
      <c r="K653" s="19">
        <f t="shared" si="44"/>
        <v>2466</v>
      </c>
    </row>
    <row r="654" spans="1:11">
      <c r="A654">
        <v>652</v>
      </c>
      <c r="B654">
        <v>3.2499999999999995E+39</v>
      </c>
      <c r="D654" s="18">
        <v>652</v>
      </c>
      <c r="E654" s="18" cm="1">
        <f t="array" aca="1" ref="E654" ca="1">INDIRECT("b"&amp;F654+2)</f>
        <v>6.8500000000000008E+54</v>
      </c>
      <c r="F654" s="18">
        <f t="shared" si="43"/>
        <v>1268</v>
      </c>
      <c r="G654" s="18"/>
      <c r="H654" s="18"/>
      <c r="I654" s="19">
        <v>652</v>
      </c>
      <c r="J654" s="19" cm="1">
        <f t="array" aca="1" ref="J654" ca="1">INDIRECT("b"&amp;K654+2)</f>
        <v>6.8499999999999999E+83</v>
      </c>
      <c r="K654" s="19">
        <f t="shared" si="44"/>
        <v>2468</v>
      </c>
    </row>
    <row r="655" spans="1:11">
      <c r="A655">
        <v>653</v>
      </c>
      <c r="B655">
        <v>3.4750000000000004E+39</v>
      </c>
      <c r="D655" s="18">
        <v>653</v>
      </c>
      <c r="E655" s="18" cm="1">
        <f t="array" aca="1" ref="E655" ca="1">INDIRECT("b"&amp;F655+2)</f>
        <v>7.0749999999999992E+54</v>
      </c>
      <c r="F655" s="18">
        <f t="shared" si="43"/>
        <v>1269</v>
      </c>
      <c r="G655" s="18"/>
      <c r="H655" s="18"/>
      <c r="I655" s="19">
        <v>653</v>
      </c>
      <c r="J655" s="19" cm="1">
        <f t="array" aca="1" ref="J655" ca="1">INDIRECT("b"&amp;K655+2)</f>
        <v>7.0749999999999994E+83</v>
      </c>
      <c r="K655" s="19">
        <f t="shared" si="44"/>
        <v>2469</v>
      </c>
    </row>
    <row r="656" spans="1:11">
      <c r="A656">
        <v>654</v>
      </c>
      <c r="B656">
        <v>3.7000000000000001E+39</v>
      </c>
      <c r="D656" s="18">
        <v>654</v>
      </c>
      <c r="E656" s="18" cm="1">
        <f t="array" aca="1" ref="E656" ca="1">INDIRECT("b"&amp;F656+2)</f>
        <v>7.3000000000000003E+54</v>
      </c>
      <c r="F656" s="18">
        <f t="shared" si="43"/>
        <v>1270</v>
      </c>
      <c r="G656" s="18"/>
      <c r="H656" s="18"/>
      <c r="I656" s="19">
        <v>654</v>
      </c>
      <c r="J656" s="19" cm="1">
        <f t="array" aca="1" ref="J656" ca="1">INDIRECT("b"&amp;K656+2)</f>
        <v>7.3E+83</v>
      </c>
      <c r="K656" s="19">
        <f t="shared" si="44"/>
        <v>2470</v>
      </c>
    </row>
    <row r="657" spans="1:11">
      <c r="A657">
        <v>655</v>
      </c>
      <c r="B657">
        <v>3.9249999999999999E+39</v>
      </c>
      <c r="D657" s="18">
        <v>655</v>
      </c>
      <c r="E657" s="18" cm="1">
        <f t="array" aca="1" ref="E657" ca="1">INDIRECT("b"&amp;F657+2)</f>
        <v>7.7499999999999998E+54</v>
      </c>
      <c r="F657" s="18">
        <f t="shared" si="43"/>
        <v>1272</v>
      </c>
      <c r="G657" s="18"/>
      <c r="H657" s="18"/>
      <c r="I657" s="19">
        <v>655</v>
      </c>
      <c r="J657" s="19" cm="1">
        <f t="array" aca="1" ref="J657" ca="1">INDIRECT("b"&amp;K657+2)</f>
        <v>7.749999999999999E+83</v>
      </c>
      <c r="K657" s="19">
        <f t="shared" si="44"/>
        <v>2472</v>
      </c>
    </row>
    <row r="658" spans="1:11">
      <c r="A658">
        <v>656</v>
      </c>
      <c r="B658">
        <v>4.1500000000000002E+39</v>
      </c>
      <c r="D658" s="18">
        <v>656</v>
      </c>
      <c r="E658" s="18" cm="1">
        <f t="array" aca="1" ref="E658" ca="1">INDIRECT("b"&amp;F658+2)</f>
        <v>7.975000000000001E+54</v>
      </c>
      <c r="F658" s="18">
        <f t="shared" si="43"/>
        <v>1273</v>
      </c>
      <c r="G658" s="18"/>
      <c r="H658" s="18"/>
      <c r="I658" s="19">
        <v>656</v>
      </c>
      <c r="J658" s="19" cm="1">
        <f t="array" aca="1" ref="J658" ca="1">INDIRECT("b"&amp;K658+2)</f>
        <v>7.9749999999999996E+83</v>
      </c>
      <c r="K658" s="19">
        <f t="shared" si="44"/>
        <v>2473</v>
      </c>
    </row>
    <row r="659" spans="1:11">
      <c r="A659">
        <v>657</v>
      </c>
      <c r="B659">
        <v>4.3749999999999999E+39</v>
      </c>
      <c r="D659" s="18">
        <v>657</v>
      </c>
      <c r="E659" s="18" cm="1">
        <f t="array" aca="1" ref="E659" ca="1">INDIRECT("b"&amp;F659+2)</f>
        <v>8.1999999999999993E+54</v>
      </c>
      <c r="F659" s="18">
        <f t="shared" si="43"/>
        <v>1274</v>
      </c>
      <c r="G659" s="18"/>
      <c r="H659" s="18"/>
      <c r="I659" s="19">
        <v>657</v>
      </c>
      <c r="J659" s="19" cm="1">
        <f t="array" aca="1" ref="J659" ca="1">INDIRECT("b"&amp;K659+2)</f>
        <v>8.1999999999999991E+83</v>
      </c>
      <c r="K659" s="19">
        <f t="shared" si="44"/>
        <v>2474</v>
      </c>
    </row>
    <row r="660" spans="1:11">
      <c r="A660">
        <v>658</v>
      </c>
      <c r="B660">
        <v>4.5999999999999996E+39</v>
      </c>
      <c r="D660" s="18">
        <v>658</v>
      </c>
      <c r="E660" s="18" cm="1">
        <f t="array" aca="1" ref="E660" ca="1">INDIRECT("b"&amp;F660+2)</f>
        <v>8.6500000000000002E+54</v>
      </c>
      <c r="F660" s="18">
        <f t="shared" si="43"/>
        <v>1276</v>
      </c>
      <c r="G660" s="18"/>
      <c r="H660" s="18"/>
      <c r="I660" s="19">
        <v>658</v>
      </c>
      <c r="J660" s="19" cm="1">
        <f t="array" aca="1" ref="J660" ca="1">INDIRECT("b"&amp;K660+2)</f>
        <v>8.6499999999999992E+83</v>
      </c>
      <c r="K660" s="19">
        <f t="shared" si="44"/>
        <v>2476</v>
      </c>
    </row>
    <row r="661" spans="1:11">
      <c r="A661">
        <v>659</v>
      </c>
      <c r="B661">
        <v>4.8250000000000006E+39</v>
      </c>
      <c r="D661" s="18">
        <v>659</v>
      </c>
      <c r="E661" s="18" cm="1">
        <f t="array" aca="1" ref="E661" ca="1">INDIRECT("b"&amp;F661+2)</f>
        <v>8.875E+54</v>
      </c>
      <c r="F661" s="18">
        <f t="shared" si="43"/>
        <v>1277</v>
      </c>
      <c r="G661" s="18"/>
      <c r="H661" s="18"/>
      <c r="I661" s="19">
        <v>659</v>
      </c>
      <c r="J661" s="19" cm="1">
        <f t="array" aca="1" ref="J661" ca="1">INDIRECT("b"&amp;K661+2)</f>
        <v>8.8749999999999998E+83</v>
      </c>
      <c r="K661" s="19">
        <f t="shared" si="44"/>
        <v>2477</v>
      </c>
    </row>
    <row r="662" spans="1:11">
      <c r="A662">
        <v>660</v>
      </c>
      <c r="B662">
        <v>5.0500000000000003E+39</v>
      </c>
      <c r="D662" s="18">
        <v>660</v>
      </c>
      <c r="E662" s="18" cm="1">
        <f t="array" aca="1" ref="E662" ca="1">INDIRECT("b"&amp;F662+2)</f>
        <v>9.0999999999999984E+54</v>
      </c>
      <c r="F662" s="18">
        <f t="shared" si="43"/>
        <v>1278</v>
      </c>
      <c r="G662" s="18"/>
      <c r="H662" s="18"/>
      <c r="I662" s="19">
        <v>660</v>
      </c>
      <c r="J662" s="19" cm="1">
        <f t="array" aca="1" ref="J662" ca="1">INDIRECT("b"&amp;K662+2)</f>
        <v>9.0999999999999993E+83</v>
      </c>
      <c r="K662" s="19">
        <f t="shared" si="44"/>
        <v>2478</v>
      </c>
    </row>
    <row r="663" spans="1:11">
      <c r="A663">
        <v>661</v>
      </c>
      <c r="B663">
        <v>5.275E+39</v>
      </c>
      <c r="D663" s="18">
        <v>661</v>
      </c>
      <c r="E663" s="18" cm="1">
        <f t="array" aca="1" ref="E663" ca="1">INDIRECT("b"&amp;F663+2)</f>
        <v>9.5500000000000006E+54</v>
      </c>
      <c r="F663" s="18">
        <f t="shared" si="43"/>
        <v>1280</v>
      </c>
      <c r="G663" s="18"/>
      <c r="H663" s="18"/>
      <c r="I663" s="19">
        <v>661</v>
      </c>
      <c r="J663" s="19" cm="1">
        <f t="array" aca="1" ref="J663" ca="1">INDIRECT("b"&amp;K663+2)</f>
        <v>9.5499999999999994E+83</v>
      </c>
      <c r="K663" s="19">
        <f t="shared" si="44"/>
        <v>2480</v>
      </c>
    </row>
    <row r="664" spans="1:11">
      <c r="A664">
        <v>662</v>
      </c>
      <c r="B664">
        <v>5.4999999999999997E+39</v>
      </c>
      <c r="D664" s="18">
        <v>662</v>
      </c>
      <c r="E664" s="18" cm="1">
        <f t="array" aca="1" ref="E664" ca="1">INDIRECT("b"&amp;F664+2)</f>
        <v>9.7750000000000003E+54</v>
      </c>
      <c r="F664" s="18">
        <f t="shared" si="43"/>
        <v>1281</v>
      </c>
      <c r="G664" s="18"/>
      <c r="H664" s="18"/>
      <c r="I664" s="19">
        <v>662</v>
      </c>
      <c r="J664" s="19" cm="1">
        <f t="array" aca="1" ref="J664" ca="1">INDIRECT("b"&amp;K664+2)</f>
        <v>9.775E+83</v>
      </c>
      <c r="K664" s="19">
        <f t="shared" si="44"/>
        <v>2481</v>
      </c>
    </row>
    <row r="665" spans="1:11">
      <c r="A665">
        <v>663</v>
      </c>
      <c r="B665">
        <v>5.7250000000000007E+39</v>
      </c>
      <c r="D665" s="18">
        <v>663</v>
      </c>
      <c r="E665" s="18" cm="1">
        <f t="array" aca="1" ref="E665" ca="1">INDIRECT("b"&amp;F665+2)</f>
        <v>1E+55</v>
      </c>
      <c r="F665" s="18">
        <f t="shared" si="43"/>
        <v>1282</v>
      </c>
      <c r="G665" s="18"/>
      <c r="H665" s="18"/>
      <c r="I665" s="19">
        <v>663</v>
      </c>
      <c r="J665" s="19" cm="1">
        <f t="array" aca="1" ref="J665" ca="1">INDIRECT("b"&amp;K665+2)</f>
        <v>1.0000000000000001E+84</v>
      </c>
      <c r="K665" s="19">
        <f t="shared" si="44"/>
        <v>2482</v>
      </c>
    </row>
    <row r="666" spans="1:11">
      <c r="A666">
        <v>664</v>
      </c>
      <c r="B666">
        <v>5.9500000000000004E+39</v>
      </c>
      <c r="D666" s="18">
        <v>664</v>
      </c>
      <c r="E666" s="18" cm="1">
        <f t="array" aca="1" ref="E666" ca="1">INDIRECT("b"&amp;F666+2)</f>
        <v>1.4499999999999997E+55</v>
      </c>
      <c r="F666" s="18">
        <f t="shared" si="43"/>
        <v>1284</v>
      </c>
      <c r="G666" s="18"/>
      <c r="H666" s="18"/>
      <c r="I666" s="19">
        <v>664</v>
      </c>
      <c r="J666" s="19" cm="1">
        <f t="array" aca="1" ref="J666" ca="1">INDIRECT("b"&amp;K666+2)</f>
        <v>1.4500000000000002E+84</v>
      </c>
      <c r="K666" s="19">
        <f t="shared" si="44"/>
        <v>2484</v>
      </c>
    </row>
    <row r="667" spans="1:11">
      <c r="A667">
        <v>665</v>
      </c>
      <c r="B667">
        <v>6.1750000000000001E+39</v>
      </c>
      <c r="D667" s="18">
        <v>665</v>
      </c>
      <c r="E667" s="18" cm="1">
        <f t="array" aca="1" ref="E667" ca="1">INDIRECT("b"&amp;F667+2)</f>
        <v>1.675E+55</v>
      </c>
      <c r="F667" s="18">
        <f t="shared" si="43"/>
        <v>1285</v>
      </c>
      <c r="G667" s="18"/>
      <c r="H667" s="18"/>
      <c r="I667" s="19">
        <v>665</v>
      </c>
      <c r="J667" s="19" cm="1">
        <f t="array" aca="1" ref="J667" ca="1">INDIRECT("b"&amp;K667+2)</f>
        <v>1.6750000000000001E+84</v>
      </c>
      <c r="K667" s="19">
        <f t="shared" si="44"/>
        <v>2485</v>
      </c>
    </row>
    <row r="668" spans="1:11">
      <c r="A668">
        <v>666</v>
      </c>
      <c r="B668">
        <v>6.3999999999999999E+39</v>
      </c>
      <c r="D668" s="18">
        <v>666</v>
      </c>
      <c r="E668" s="18" cm="1">
        <f t="array" aca="1" ref="E668" ca="1">INDIRECT("b"&amp;F668+2)</f>
        <v>1.9000000000000003E+55</v>
      </c>
      <c r="F668" s="18">
        <f t="shared" si="43"/>
        <v>1286</v>
      </c>
      <c r="G668" s="18"/>
      <c r="H668" s="18"/>
      <c r="I668" s="19">
        <v>666</v>
      </c>
      <c r="J668" s="19" cm="1">
        <f t="array" aca="1" ref="J668" ca="1">INDIRECT("b"&amp;K668+2)</f>
        <v>1.9E+84</v>
      </c>
      <c r="K668" s="19">
        <f t="shared" si="44"/>
        <v>2486</v>
      </c>
    </row>
    <row r="669" spans="1:11">
      <c r="A669">
        <v>667</v>
      </c>
      <c r="B669">
        <v>6.6250000000000008E+39</v>
      </c>
      <c r="D669" s="18">
        <v>667</v>
      </c>
      <c r="E669" s="18" cm="1">
        <f t="array" aca="1" ref="E669" ca="1">INDIRECT("b"&amp;F669+2)</f>
        <v>2.35E+55</v>
      </c>
      <c r="F669" s="18">
        <f t="shared" si="43"/>
        <v>1288</v>
      </c>
      <c r="G669" s="18"/>
      <c r="H669" s="18"/>
      <c r="I669" s="19">
        <v>667</v>
      </c>
      <c r="J669" s="19" cm="1">
        <f t="array" aca="1" ref="J669" ca="1">INDIRECT("b"&amp;K669+2)</f>
        <v>2.3499999999999999E+84</v>
      </c>
      <c r="K669" s="19">
        <f t="shared" si="44"/>
        <v>2488</v>
      </c>
    </row>
    <row r="670" spans="1:11">
      <c r="A670">
        <v>668</v>
      </c>
      <c r="B670">
        <v>6.8500000000000005E+39</v>
      </c>
      <c r="D670" s="18">
        <v>668</v>
      </c>
      <c r="E670" s="18" cm="1">
        <f t="array" aca="1" ref="E670" ca="1">INDIRECT("b"&amp;F670+2)</f>
        <v>2.5749999999999998E+55</v>
      </c>
      <c r="F670" s="18">
        <f t="shared" si="43"/>
        <v>1289</v>
      </c>
      <c r="G670" s="18"/>
      <c r="H670" s="18"/>
      <c r="I670" s="19">
        <v>668</v>
      </c>
      <c r="J670" s="19" cm="1">
        <f t="array" aca="1" ref="J670" ca="1">INDIRECT("b"&amp;K670+2)</f>
        <v>2.5750000000000001E+84</v>
      </c>
      <c r="K670" s="19">
        <f t="shared" si="44"/>
        <v>2489</v>
      </c>
    </row>
    <row r="671" spans="1:11">
      <c r="A671">
        <v>669</v>
      </c>
      <c r="B671">
        <v>7.0750000000000002E+39</v>
      </c>
      <c r="D671" s="18">
        <v>669</v>
      </c>
      <c r="E671" s="18" cm="1">
        <f t="array" aca="1" ref="E671" ca="1">INDIRECT("b"&amp;F671+2)</f>
        <v>2.8000000000000001E+55</v>
      </c>
      <c r="F671" s="18">
        <f t="shared" si="43"/>
        <v>1290</v>
      </c>
      <c r="G671" s="18"/>
      <c r="H671" s="18"/>
      <c r="I671" s="19">
        <v>669</v>
      </c>
      <c r="J671" s="19" cm="1">
        <f t="array" aca="1" ref="J671" ca="1">INDIRECT("b"&amp;K671+2)</f>
        <v>2.8000000000000002E+84</v>
      </c>
      <c r="K671" s="19">
        <f t="shared" si="44"/>
        <v>2490</v>
      </c>
    </row>
    <row r="672" spans="1:11">
      <c r="A672">
        <v>670</v>
      </c>
      <c r="B672">
        <v>7.3E+39</v>
      </c>
      <c r="D672" s="18">
        <v>670</v>
      </c>
      <c r="E672" s="18" cm="1">
        <f t="array" aca="1" ref="E672" ca="1">INDIRECT("b"&amp;F672+2)</f>
        <v>3.2499999999999996E+55</v>
      </c>
      <c r="F672" s="18">
        <f t="shared" si="43"/>
        <v>1292</v>
      </c>
      <c r="G672" s="18"/>
      <c r="H672" s="18"/>
      <c r="I672" s="19">
        <v>670</v>
      </c>
      <c r="J672" s="19" cm="1">
        <f t="array" aca="1" ref="J672" ca="1">INDIRECT("b"&amp;K672+2)</f>
        <v>3.2500000000000001E+84</v>
      </c>
      <c r="K672" s="19">
        <f t="shared" si="44"/>
        <v>2492</v>
      </c>
    </row>
    <row r="673" spans="1:11">
      <c r="A673">
        <v>671</v>
      </c>
      <c r="B673">
        <v>7.5249999999999997E+39</v>
      </c>
      <c r="D673" s="18">
        <v>671</v>
      </c>
      <c r="E673" s="18" cm="1">
        <f t="array" aca="1" ref="E673" ca="1">INDIRECT("b"&amp;F673+2)</f>
        <v>3.4750000000000004E+55</v>
      </c>
      <c r="F673" s="18">
        <f t="shared" si="43"/>
        <v>1293</v>
      </c>
      <c r="G673" s="18"/>
      <c r="H673" s="18"/>
      <c r="I673" s="19">
        <v>671</v>
      </c>
      <c r="J673" s="19" cm="1">
        <f t="array" aca="1" ref="J673" ca="1">INDIRECT("b"&amp;K673+2)</f>
        <v>3.4750000000000003E+84</v>
      </c>
      <c r="K673" s="19">
        <f t="shared" si="44"/>
        <v>2493</v>
      </c>
    </row>
    <row r="674" spans="1:11">
      <c r="A674">
        <v>672</v>
      </c>
      <c r="B674">
        <v>7.7499999999999994E+39</v>
      </c>
      <c r="D674" s="18">
        <v>672</v>
      </c>
      <c r="E674" s="18" cm="1">
        <f t="array" aca="1" ref="E674" ca="1">INDIRECT("b"&amp;F674+2)</f>
        <v>3.7000000000000002E+55</v>
      </c>
      <c r="F674" s="18">
        <f t="shared" si="43"/>
        <v>1294</v>
      </c>
      <c r="G674" s="18"/>
      <c r="H674" s="18"/>
      <c r="I674" s="19">
        <v>672</v>
      </c>
      <c r="J674" s="19" cm="1">
        <f t="array" aca="1" ref="J674" ca="1">INDIRECT("b"&amp;K674+2)</f>
        <v>3.7E+84</v>
      </c>
      <c r="K674" s="19">
        <f t="shared" si="44"/>
        <v>2494</v>
      </c>
    </row>
    <row r="675" spans="1:11">
      <c r="A675">
        <v>673</v>
      </c>
      <c r="B675">
        <v>7.9750000000000004E+39</v>
      </c>
      <c r="D675" s="18">
        <v>673</v>
      </c>
      <c r="E675" s="18" cm="1">
        <f t="array" aca="1" ref="E675" ca="1">INDIRECT("b"&amp;F675+2)</f>
        <v>4.1500000000000008E+55</v>
      </c>
      <c r="F675" s="18">
        <f t="shared" si="43"/>
        <v>1296</v>
      </c>
      <c r="G675" s="18"/>
      <c r="H675" s="18"/>
      <c r="I675" s="19">
        <v>673</v>
      </c>
      <c r="J675" s="19" cm="1">
        <f t="array" aca="1" ref="J675" ca="1">INDIRECT("b"&amp;K675+2)</f>
        <v>4.1500000000000003E+84</v>
      </c>
      <c r="K675" s="19">
        <f t="shared" si="44"/>
        <v>2496</v>
      </c>
    </row>
    <row r="676" spans="1:11">
      <c r="A676">
        <v>674</v>
      </c>
      <c r="B676">
        <v>8.2000000000000001E+39</v>
      </c>
      <c r="D676" s="18">
        <v>674</v>
      </c>
      <c r="E676" s="18" cm="1">
        <f t="array" aca="1" ref="E676" ca="1">INDIRECT("b"&amp;F676+2)</f>
        <v>4.3749999999999994E+55</v>
      </c>
      <c r="F676" s="18">
        <f t="shared" si="43"/>
        <v>1297</v>
      </c>
      <c r="G676" s="18"/>
      <c r="H676" s="18"/>
      <c r="I676" s="19">
        <v>674</v>
      </c>
      <c r="J676" s="19" cm="1">
        <f t="array" aca="1" ref="J676" ca="1">INDIRECT("b"&amp;K676+2)</f>
        <v>4.3750000000000001E+84</v>
      </c>
      <c r="K676" s="19">
        <f t="shared" si="44"/>
        <v>2497</v>
      </c>
    </row>
    <row r="677" spans="1:11">
      <c r="A677">
        <v>675</v>
      </c>
      <c r="B677">
        <v>8.4249999999999998E+39</v>
      </c>
      <c r="D677" s="18">
        <v>675</v>
      </c>
      <c r="E677" s="18" cm="1">
        <f t="array" aca="1" ref="E677" ca="1">INDIRECT("b"&amp;F677+2)</f>
        <v>4.6000000000000003E+55</v>
      </c>
      <c r="F677" s="18">
        <f t="shared" si="43"/>
        <v>1298</v>
      </c>
      <c r="G677" s="18"/>
      <c r="H677" s="18"/>
      <c r="I677" s="19">
        <v>675</v>
      </c>
      <c r="J677" s="19" cm="1">
        <f t="array" aca="1" ref="J677" ca="1">INDIRECT("b"&amp;K677+2)</f>
        <v>4.5999999999999998E+84</v>
      </c>
      <c r="K677" s="19">
        <f t="shared" si="44"/>
        <v>2498</v>
      </c>
    </row>
    <row r="678" spans="1:11">
      <c r="A678">
        <v>676</v>
      </c>
      <c r="B678">
        <v>8.6499999999999995E+39</v>
      </c>
      <c r="D678" s="18">
        <v>676</v>
      </c>
      <c r="E678" s="18" cm="1">
        <f t="array" aca="1" ref="E678" ca="1">INDIRECT("b"&amp;F678+2)</f>
        <v>5.0499999999999998E+55</v>
      </c>
      <c r="F678" s="18">
        <f t="shared" si="43"/>
        <v>1300</v>
      </c>
      <c r="G678" s="18"/>
      <c r="H678" s="18"/>
      <c r="I678" s="19">
        <v>676</v>
      </c>
      <c r="J678" s="19" cm="1">
        <f t="array" aca="1" ref="J678" ca="1">INDIRECT("b"&amp;K678+2)</f>
        <v>5.0500000000000001E+84</v>
      </c>
      <c r="K678" s="19">
        <f t="shared" si="44"/>
        <v>2500</v>
      </c>
    </row>
    <row r="679" spans="1:11">
      <c r="A679">
        <v>677</v>
      </c>
      <c r="B679">
        <v>8.8749999999999993E+39</v>
      </c>
      <c r="D679" s="18">
        <v>677</v>
      </c>
      <c r="E679" s="18" cm="1">
        <f t="array" aca="1" ref="E679" ca="1">INDIRECT("b"&amp;F679+2)</f>
        <v>5.2749999999999996E+55</v>
      </c>
      <c r="F679" s="18">
        <f t="shared" si="43"/>
        <v>1301</v>
      </c>
      <c r="G679" s="18"/>
      <c r="H679" s="18"/>
      <c r="I679" s="19">
        <v>677</v>
      </c>
      <c r="J679" s="19" cm="1">
        <f t="array" aca="1" ref="J679" ca="1">INDIRECT("b"&amp;K679+2)</f>
        <v>5.2749999999999998E+84</v>
      </c>
      <c r="K679" s="19">
        <f t="shared" si="44"/>
        <v>2501</v>
      </c>
    </row>
    <row r="680" spans="1:11">
      <c r="A680">
        <v>678</v>
      </c>
      <c r="B680">
        <v>9.099999999999999E+39</v>
      </c>
      <c r="D680" s="18">
        <v>678</v>
      </c>
      <c r="E680" s="18" cm="1">
        <f t="array" aca="1" ref="E680" ca="1">INDIRECT("b"&amp;F680+2)</f>
        <v>5.4999999999999993E+55</v>
      </c>
      <c r="F680" s="18">
        <f t="shared" si="43"/>
        <v>1302</v>
      </c>
      <c r="G680" s="18"/>
      <c r="H680" s="18"/>
      <c r="I680" s="19">
        <v>678</v>
      </c>
      <c r="J680" s="19" cm="1">
        <f t="array" aca="1" ref="J680" ca="1">INDIRECT("b"&amp;K680+2)</f>
        <v>5.5000000000000004E+84</v>
      </c>
      <c r="K680" s="19">
        <f t="shared" si="44"/>
        <v>2502</v>
      </c>
    </row>
    <row r="681" spans="1:11">
      <c r="A681">
        <v>679</v>
      </c>
      <c r="B681">
        <v>9.3249999999999999E+39</v>
      </c>
      <c r="D681" s="18">
        <v>679</v>
      </c>
      <c r="E681" s="18" cm="1">
        <f t="array" aca="1" ref="E681" ca="1">INDIRECT("b"&amp;F681+2)</f>
        <v>5.950000000000001E+55</v>
      </c>
      <c r="F681" s="18">
        <f t="shared" si="43"/>
        <v>1304</v>
      </c>
      <c r="G681" s="18"/>
      <c r="H681" s="18"/>
      <c r="I681" s="19">
        <v>679</v>
      </c>
      <c r="J681" s="19" cm="1">
        <f t="array" aca="1" ref="J681" ca="1">INDIRECT("b"&amp;K681+2)</f>
        <v>5.9499999999999999E+84</v>
      </c>
      <c r="K681" s="19">
        <f t="shared" si="44"/>
        <v>2504</v>
      </c>
    </row>
    <row r="682" spans="1:11">
      <c r="A682">
        <v>680</v>
      </c>
      <c r="B682">
        <v>9.5499999999999996E+39</v>
      </c>
      <c r="D682" s="18">
        <v>680</v>
      </c>
      <c r="E682" s="18" cm="1">
        <f t="array" aca="1" ref="E682" ca="1">INDIRECT("b"&amp;F682+2)</f>
        <v>6.1749999999999997E+55</v>
      </c>
      <c r="F682" s="18">
        <f t="shared" si="43"/>
        <v>1305</v>
      </c>
      <c r="G682" s="18"/>
      <c r="H682" s="18"/>
      <c r="I682" s="19">
        <v>680</v>
      </c>
      <c r="J682" s="19" cm="1">
        <f t="array" aca="1" ref="J682" ca="1">INDIRECT("b"&amp;K682+2)</f>
        <v>6.1750000000000005E+84</v>
      </c>
      <c r="K682" s="19">
        <f t="shared" si="44"/>
        <v>2505</v>
      </c>
    </row>
    <row r="683" spans="1:11">
      <c r="A683">
        <v>681</v>
      </c>
      <c r="B683">
        <v>9.7749999999999994E+39</v>
      </c>
      <c r="D683" s="18">
        <v>681</v>
      </c>
      <c r="E683" s="18" cm="1">
        <f t="array" aca="1" ref="E683" ca="1">INDIRECT("b"&amp;F683+2)</f>
        <v>6.3999999999999994E+55</v>
      </c>
      <c r="F683" s="18">
        <f t="shared" si="43"/>
        <v>1306</v>
      </c>
      <c r="G683" s="18"/>
      <c r="H683" s="18"/>
      <c r="I683" s="19">
        <v>681</v>
      </c>
      <c r="J683" s="19" cm="1">
        <f t="array" aca="1" ref="J683" ca="1">INDIRECT("b"&amp;K683+2)</f>
        <v>6.4000000000000002E+84</v>
      </c>
      <c r="K683" s="19">
        <f t="shared" si="44"/>
        <v>2506</v>
      </c>
    </row>
    <row r="684" spans="1:11">
      <c r="A684">
        <v>682</v>
      </c>
      <c r="B684">
        <v>1E+40</v>
      </c>
      <c r="D684" s="18">
        <v>682</v>
      </c>
      <c r="E684" s="18" cm="1">
        <f t="array" aca="1" ref="E684" ca="1">INDIRECT("b"&amp;F684+2)</f>
        <v>6.8500000000000011E+55</v>
      </c>
      <c r="F684" s="18">
        <f t="shared" si="43"/>
        <v>1308</v>
      </c>
      <c r="G684" s="18"/>
      <c r="H684" s="18"/>
      <c r="I684" s="19">
        <v>682</v>
      </c>
      <c r="J684" s="19" cm="1">
        <f t="array" aca="1" ref="J684" ca="1">INDIRECT("b"&amp;K684+2)</f>
        <v>6.8500000000000005E+84</v>
      </c>
      <c r="K684" s="19">
        <f t="shared" si="44"/>
        <v>2508</v>
      </c>
    </row>
    <row r="685" spans="1:11">
      <c r="A685">
        <v>683</v>
      </c>
      <c r="B685">
        <v>1.2250000000000001E+40</v>
      </c>
      <c r="D685" s="18">
        <v>683</v>
      </c>
      <c r="E685" s="18" cm="1">
        <f t="array" aca="1" ref="E685" ca="1">INDIRECT("b"&amp;F685+2)</f>
        <v>7.0749999999999998E+55</v>
      </c>
      <c r="F685" s="18">
        <f t="shared" si="43"/>
        <v>1309</v>
      </c>
      <c r="G685" s="18"/>
      <c r="H685" s="18"/>
      <c r="I685" s="19">
        <v>683</v>
      </c>
      <c r="J685" s="19" cm="1">
        <f t="array" aca="1" ref="J685" ca="1">INDIRECT("b"&amp;K685+2)</f>
        <v>7.0750000000000002E+84</v>
      </c>
      <c r="K685" s="19">
        <f t="shared" si="44"/>
        <v>2509</v>
      </c>
    </row>
    <row r="686" spans="1:11">
      <c r="A686">
        <v>684</v>
      </c>
      <c r="B686">
        <v>1.4499999999999998E+40</v>
      </c>
      <c r="D686" s="18">
        <v>684</v>
      </c>
      <c r="E686" s="18" cm="1">
        <f t="array" aca="1" ref="E686" ca="1">INDIRECT("b"&amp;F686+2)</f>
        <v>7.3000000000000006E+55</v>
      </c>
      <c r="F686" s="18">
        <f t="shared" si="43"/>
        <v>1310</v>
      </c>
      <c r="G686" s="18"/>
      <c r="H686" s="18"/>
      <c r="I686" s="19">
        <v>684</v>
      </c>
      <c r="J686" s="19" cm="1">
        <f t="array" aca="1" ref="J686" ca="1">INDIRECT("b"&amp;K686+2)</f>
        <v>7.3E+84</v>
      </c>
      <c r="K686" s="19">
        <f t="shared" si="44"/>
        <v>2510</v>
      </c>
    </row>
    <row r="687" spans="1:11">
      <c r="A687">
        <v>685</v>
      </c>
      <c r="B687">
        <v>1.6750000000000001E+40</v>
      </c>
      <c r="D687" s="18">
        <v>685</v>
      </c>
      <c r="E687" s="18" cm="1">
        <f t="array" aca="1" ref="E687" ca="1">INDIRECT("b"&amp;F687+2)</f>
        <v>7.7500000000000001E+55</v>
      </c>
      <c r="F687" s="18">
        <f t="shared" si="43"/>
        <v>1312</v>
      </c>
      <c r="G687" s="18"/>
      <c r="H687" s="18"/>
      <c r="I687" s="19">
        <v>685</v>
      </c>
      <c r="J687" s="19" cm="1">
        <f t="array" aca="1" ref="J687" ca="1">INDIRECT("b"&amp;K687+2)</f>
        <v>7.7500000000000003E+84</v>
      </c>
      <c r="K687" s="19">
        <f t="shared" si="44"/>
        <v>2512</v>
      </c>
    </row>
    <row r="688" spans="1:11">
      <c r="A688">
        <v>686</v>
      </c>
      <c r="B688">
        <v>1.9000000000000003E+40</v>
      </c>
      <c r="D688" s="18">
        <v>686</v>
      </c>
      <c r="E688" s="18" cm="1">
        <f t="array" aca="1" ref="E688" ca="1">INDIRECT("b"&amp;F688+2)</f>
        <v>7.975000000000001E+55</v>
      </c>
      <c r="F688" s="18">
        <f t="shared" si="43"/>
        <v>1313</v>
      </c>
      <c r="G688" s="18"/>
      <c r="H688" s="18"/>
      <c r="I688" s="19">
        <v>686</v>
      </c>
      <c r="J688" s="19" cm="1">
        <f t="array" aca="1" ref="J688" ca="1">INDIRECT("b"&amp;K688+2)</f>
        <v>7.975E+84</v>
      </c>
      <c r="K688" s="19">
        <f t="shared" si="44"/>
        <v>2513</v>
      </c>
    </row>
    <row r="689" spans="1:11">
      <c r="A689">
        <v>687</v>
      </c>
      <c r="B689">
        <v>2.125E+40</v>
      </c>
      <c r="D689" s="18">
        <v>687</v>
      </c>
      <c r="E689" s="18" cm="1">
        <f t="array" aca="1" ref="E689" ca="1">INDIRECT("b"&amp;F689+2)</f>
        <v>8.1999999999999996E+55</v>
      </c>
      <c r="F689" s="18">
        <f t="shared" si="43"/>
        <v>1314</v>
      </c>
      <c r="G689" s="18"/>
      <c r="H689" s="18"/>
      <c r="I689" s="19">
        <v>687</v>
      </c>
      <c r="J689" s="19" cm="1">
        <f t="array" aca="1" ref="J689" ca="1">INDIRECT("b"&amp;K689+2)</f>
        <v>8.2000000000000006E+84</v>
      </c>
      <c r="K689" s="19">
        <f t="shared" si="44"/>
        <v>2514</v>
      </c>
    </row>
    <row r="690" spans="1:11">
      <c r="A690">
        <v>688</v>
      </c>
      <c r="B690">
        <v>2.3500000000000002E+40</v>
      </c>
      <c r="D690" s="18">
        <v>688</v>
      </c>
      <c r="E690" s="18" cm="1">
        <f t="array" aca="1" ref="E690" ca="1">INDIRECT("b"&amp;F690+2)</f>
        <v>8.6500000000000002E+55</v>
      </c>
      <c r="F690" s="18">
        <f t="shared" si="43"/>
        <v>1316</v>
      </c>
      <c r="G690" s="18"/>
      <c r="H690" s="18"/>
      <c r="I690" s="19">
        <v>688</v>
      </c>
      <c r="J690" s="19" cm="1">
        <f t="array" aca="1" ref="J690" ca="1">INDIRECT("b"&amp;K690+2)</f>
        <v>8.6500000000000001E+84</v>
      </c>
      <c r="K690" s="19">
        <f t="shared" si="44"/>
        <v>2516</v>
      </c>
    </row>
    <row r="691" spans="1:11">
      <c r="A691">
        <v>689</v>
      </c>
      <c r="B691">
        <v>2.5749999999999997E+40</v>
      </c>
      <c r="D691" s="18">
        <v>689</v>
      </c>
      <c r="E691" s="18" cm="1">
        <f t="array" aca="1" ref="E691" ca="1">INDIRECT("b"&amp;F691+2)</f>
        <v>8.875E+55</v>
      </c>
      <c r="F691" s="18">
        <f t="shared" si="43"/>
        <v>1317</v>
      </c>
      <c r="G691" s="18"/>
      <c r="H691" s="18"/>
      <c r="I691" s="19">
        <v>689</v>
      </c>
      <c r="J691" s="19" cm="1">
        <f t="array" aca="1" ref="J691" ca="1">INDIRECT("b"&amp;K691+2)</f>
        <v>8.8750000000000006E+84</v>
      </c>
      <c r="K691" s="19">
        <f t="shared" si="44"/>
        <v>2517</v>
      </c>
    </row>
    <row r="692" spans="1:11">
      <c r="A692">
        <v>690</v>
      </c>
      <c r="B692">
        <v>2.8000000000000001E+40</v>
      </c>
      <c r="D692" s="18">
        <v>690</v>
      </c>
      <c r="E692" s="18" cm="1">
        <f t="array" aca="1" ref="E692" ca="1">INDIRECT("b"&amp;F692+2)</f>
        <v>9.0999999999999975E+55</v>
      </c>
      <c r="F692" s="18">
        <f t="shared" si="43"/>
        <v>1318</v>
      </c>
      <c r="G692" s="18"/>
      <c r="H692" s="18"/>
      <c r="I692" s="19">
        <v>690</v>
      </c>
      <c r="J692" s="19" cm="1">
        <f t="array" aca="1" ref="J692" ca="1">INDIRECT("b"&amp;K692+2)</f>
        <v>9.1000000000000012E+84</v>
      </c>
      <c r="K692" s="19">
        <f t="shared" si="44"/>
        <v>2518</v>
      </c>
    </row>
    <row r="693" spans="1:11">
      <c r="A693">
        <v>691</v>
      </c>
      <c r="B693">
        <v>3.0250000000000001E+40</v>
      </c>
      <c r="D693" s="18">
        <v>691</v>
      </c>
      <c r="E693" s="18" cm="1">
        <f t="array" aca="1" ref="E693" ca="1">INDIRECT("b"&amp;F693+2)</f>
        <v>9.5500000000000003E+55</v>
      </c>
      <c r="F693" s="18">
        <f t="shared" si="43"/>
        <v>1320</v>
      </c>
      <c r="G693" s="18"/>
      <c r="H693" s="18"/>
      <c r="I693" s="19">
        <v>691</v>
      </c>
      <c r="J693" s="19" cm="1">
        <f t="array" aca="1" ref="J693" ca="1">INDIRECT("b"&amp;K693+2)</f>
        <v>9.5500000000000007E+84</v>
      </c>
      <c r="K693" s="19">
        <f t="shared" si="44"/>
        <v>2520</v>
      </c>
    </row>
    <row r="694" spans="1:11">
      <c r="A694">
        <v>692</v>
      </c>
      <c r="B694">
        <v>3.2499999999999996E+40</v>
      </c>
      <c r="D694" s="18">
        <v>692</v>
      </c>
      <c r="E694" s="18" cm="1">
        <f t="array" aca="1" ref="E694" ca="1">INDIRECT("b"&amp;F694+2)</f>
        <v>9.7750000000000001E+55</v>
      </c>
      <c r="F694" s="18">
        <f t="shared" si="43"/>
        <v>1321</v>
      </c>
      <c r="G694" s="18"/>
      <c r="H694" s="18"/>
      <c r="I694" s="19">
        <v>692</v>
      </c>
      <c r="J694" s="19" cm="1">
        <f t="array" aca="1" ref="J694" ca="1">INDIRECT("b"&amp;K694+2)</f>
        <v>9.7750000000000013E+84</v>
      </c>
      <c r="K694" s="19">
        <f t="shared" si="44"/>
        <v>2521</v>
      </c>
    </row>
    <row r="695" spans="1:11">
      <c r="A695">
        <v>693</v>
      </c>
      <c r="B695">
        <v>3.475E+40</v>
      </c>
      <c r="D695" s="18">
        <v>693</v>
      </c>
      <c r="E695" s="18" cm="1">
        <f t="array" aca="1" ref="E695" ca="1">INDIRECT("b"&amp;F695+2)</f>
        <v>1.0000000000000001E+56</v>
      </c>
      <c r="F695" s="18">
        <f t="shared" si="43"/>
        <v>1322</v>
      </c>
      <c r="G695" s="18"/>
      <c r="H695" s="18"/>
      <c r="I695" s="19">
        <v>693</v>
      </c>
      <c r="J695" s="19" cm="1">
        <f t="array" aca="1" ref="J695" ca="1">INDIRECT("b"&amp;K695+2)</f>
        <v>1E+85</v>
      </c>
      <c r="K695" s="19">
        <f t="shared" si="44"/>
        <v>2522</v>
      </c>
    </row>
    <row r="696" spans="1:11">
      <c r="A696">
        <v>694</v>
      </c>
      <c r="B696">
        <v>3.7E+40</v>
      </c>
      <c r="D696" s="18">
        <v>694</v>
      </c>
      <c r="E696" s="18" cm="1">
        <f t="array" aca="1" ref="E696" ca="1">INDIRECT("b"&amp;F696+2)</f>
        <v>1.4499999999999998E+56</v>
      </c>
      <c r="F696" s="18">
        <f t="shared" si="43"/>
        <v>1324</v>
      </c>
      <c r="G696" s="18"/>
      <c r="H696" s="18"/>
      <c r="I696" s="19">
        <v>694</v>
      </c>
      <c r="J696" s="19" cm="1">
        <f t="array" aca="1" ref="J696" ca="1">INDIRECT("b"&amp;K696+2)</f>
        <v>1.45E+85</v>
      </c>
      <c r="K696" s="19">
        <f t="shared" si="44"/>
        <v>2524</v>
      </c>
    </row>
    <row r="697" spans="1:11">
      <c r="A697">
        <v>695</v>
      </c>
      <c r="B697">
        <v>3.925E+40</v>
      </c>
      <c r="D697" s="18">
        <v>695</v>
      </c>
      <c r="E697" s="18" cm="1">
        <f t="array" aca="1" ref="E697" ca="1">INDIRECT("b"&amp;F697+2)</f>
        <v>1.675E+56</v>
      </c>
      <c r="F697" s="18">
        <f t="shared" si="43"/>
        <v>1325</v>
      </c>
      <c r="G697" s="18"/>
      <c r="H697" s="18"/>
      <c r="I697" s="19">
        <v>695</v>
      </c>
      <c r="J697" s="19" cm="1">
        <f t="array" aca="1" ref="J697" ca="1">INDIRECT("b"&amp;K697+2)</f>
        <v>1.6750000000000001E+85</v>
      </c>
      <c r="K697" s="19">
        <f t="shared" si="44"/>
        <v>2525</v>
      </c>
    </row>
    <row r="698" spans="1:11">
      <c r="A698">
        <v>696</v>
      </c>
      <c r="B698">
        <v>4.1500000000000004E+40</v>
      </c>
      <c r="D698" s="18">
        <v>696</v>
      </c>
      <c r="E698" s="18" cm="1">
        <f t="array" aca="1" ref="E698" ca="1">INDIRECT("b"&amp;F698+2)</f>
        <v>1.9000000000000004E+56</v>
      </c>
      <c r="F698" s="18">
        <f t="shared" si="43"/>
        <v>1326</v>
      </c>
      <c r="G698" s="18"/>
      <c r="H698" s="18"/>
      <c r="I698" s="19">
        <v>696</v>
      </c>
      <c r="J698" s="19" cm="1">
        <f t="array" aca="1" ref="J698" ca="1">INDIRECT("b"&amp;K698+2)</f>
        <v>1.9E+85</v>
      </c>
      <c r="K698" s="19">
        <f t="shared" si="44"/>
        <v>2526</v>
      </c>
    </row>
    <row r="699" spans="1:11">
      <c r="A699">
        <v>697</v>
      </c>
      <c r="B699">
        <v>4.3749999999999999E+40</v>
      </c>
      <c r="D699" s="18">
        <v>697</v>
      </c>
      <c r="E699" s="18" cm="1">
        <f t="array" aca="1" ref="E699" ca="1">INDIRECT("b"&amp;F699+2)</f>
        <v>2.3500000000000001E+56</v>
      </c>
      <c r="F699" s="18">
        <f t="shared" si="43"/>
        <v>1328</v>
      </c>
      <c r="G699" s="18"/>
      <c r="H699" s="18"/>
      <c r="I699" s="19">
        <v>697</v>
      </c>
      <c r="J699" s="19" cm="1">
        <f t="array" aca="1" ref="J699" ca="1">INDIRECT("b"&amp;K699+2)</f>
        <v>2.3500000000000001E+85</v>
      </c>
      <c r="K699" s="19">
        <f t="shared" si="44"/>
        <v>2528</v>
      </c>
    </row>
    <row r="700" spans="1:11">
      <c r="A700">
        <v>698</v>
      </c>
      <c r="B700">
        <v>4.5999999999999999E+40</v>
      </c>
      <c r="D700" s="18">
        <v>698</v>
      </c>
      <c r="E700" s="18" cm="1">
        <f t="array" aca="1" ref="E700" ca="1">INDIRECT("b"&amp;F700+2)</f>
        <v>2.5749999999999999E+56</v>
      </c>
      <c r="F700" s="18">
        <f t="shared" si="43"/>
        <v>1329</v>
      </c>
      <c r="G700" s="18"/>
      <c r="H700" s="18"/>
      <c r="I700" s="19">
        <v>698</v>
      </c>
      <c r="J700" s="19" cm="1">
        <f t="array" aca="1" ref="J700" ca="1">INDIRECT("b"&amp;K700+2)</f>
        <v>2.575E+85</v>
      </c>
      <c r="K700" s="19">
        <f t="shared" si="44"/>
        <v>2529</v>
      </c>
    </row>
    <row r="701" spans="1:11">
      <c r="A701">
        <v>699</v>
      </c>
      <c r="B701">
        <v>4.8250000000000008E+40</v>
      </c>
      <c r="D701" s="18">
        <v>699</v>
      </c>
      <c r="E701" s="18" cm="1">
        <f t="array" aca="1" ref="E701" ca="1">INDIRECT("b"&amp;F701+2)</f>
        <v>2.8000000000000001E+56</v>
      </c>
      <c r="F701" s="18">
        <f t="shared" ref="F701:F764" si="45">INT((A701-123)*1.333333)+563</f>
        <v>1330</v>
      </c>
      <c r="G701" s="18"/>
      <c r="H701" s="18"/>
      <c r="I701" s="19">
        <v>699</v>
      </c>
      <c r="J701" s="19" cm="1">
        <f t="array" aca="1" ref="J701" ca="1">INDIRECT("b"&amp;K701+2)</f>
        <v>2.7999999999999999E+85</v>
      </c>
      <c r="K701" s="19">
        <f t="shared" si="44"/>
        <v>2530</v>
      </c>
    </row>
    <row r="702" spans="1:11">
      <c r="A702">
        <v>700</v>
      </c>
      <c r="B702">
        <v>5.0499999999999998E+40</v>
      </c>
      <c r="D702" s="18">
        <v>700</v>
      </c>
      <c r="E702" s="18" cm="1">
        <f t="array" aca="1" ref="E702" ca="1">INDIRECT("b"&amp;F702+2)</f>
        <v>3.25E+56</v>
      </c>
      <c r="F702" s="18">
        <f t="shared" si="45"/>
        <v>1332</v>
      </c>
      <c r="G702" s="18"/>
      <c r="H702" s="18"/>
      <c r="I702" s="19">
        <v>700</v>
      </c>
      <c r="J702" s="19" cm="1">
        <f t="array" aca="1" ref="J702" ca="1">INDIRECT("b"&amp;K702+2)</f>
        <v>3.2499999999999997E+85</v>
      </c>
      <c r="K702" s="19">
        <f t="shared" si="44"/>
        <v>2532</v>
      </c>
    </row>
    <row r="703" spans="1:11">
      <c r="A703">
        <v>701</v>
      </c>
      <c r="B703">
        <v>5.2749999999999998E+40</v>
      </c>
      <c r="D703" s="18">
        <v>701</v>
      </c>
      <c r="E703" s="18" cm="1">
        <f t="array" aca="1" ref="E703" ca="1">INDIRECT("b"&amp;F703+2)</f>
        <v>3.4750000000000002E+56</v>
      </c>
      <c r="F703" s="18">
        <f t="shared" si="45"/>
        <v>1333</v>
      </c>
      <c r="G703" s="18"/>
      <c r="H703" s="18"/>
      <c r="I703" s="19">
        <v>701</v>
      </c>
      <c r="J703" s="19" cm="1">
        <f t="array" aca="1" ref="J703" ca="1">INDIRECT("b"&amp;K703+2)</f>
        <v>3.4749999999999999E+85</v>
      </c>
      <c r="K703" s="19">
        <f t="shared" si="44"/>
        <v>2533</v>
      </c>
    </row>
    <row r="704" spans="1:11">
      <c r="A704">
        <v>702</v>
      </c>
      <c r="B704">
        <v>5.4999999999999997E+40</v>
      </c>
      <c r="D704" s="18">
        <v>702</v>
      </c>
      <c r="E704" s="18" cm="1">
        <f t="array" aca="1" ref="E704" ca="1">INDIRECT("b"&amp;F704+2)</f>
        <v>3.7E+56</v>
      </c>
      <c r="F704" s="18">
        <f t="shared" si="45"/>
        <v>1334</v>
      </c>
      <c r="G704" s="18"/>
      <c r="H704" s="18"/>
      <c r="I704" s="19">
        <v>702</v>
      </c>
      <c r="J704" s="19" cm="1">
        <f t="array" aca="1" ref="J704" ca="1">INDIRECT("b"&amp;K704+2)</f>
        <v>3.7000000000000002E+85</v>
      </c>
      <c r="K704" s="19">
        <f t="shared" si="44"/>
        <v>2534</v>
      </c>
    </row>
    <row r="705" spans="1:11">
      <c r="A705">
        <v>703</v>
      </c>
      <c r="B705">
        <v>5.7250000000000007E+40</v>
      </c>
      <c r="D705" s="18">
        <v>703</v>
      </c>
      <c r="E705" s="18" cm="1">
        <f t="array" aca="1" ref="E705" ca="1">INDIRECT("b"&amp;F705+2)</f>
        <v>4.1500000000000008E+56</v>
      </c>
      <c r="F705" s="18">
        <f t="shared" si="45"/>
        <v>1336</v>
      </c>
      <c r="G705" s="18"/>
      <c r="H705" s="18"/>
      <c r="I705" s="19">
        <v>703</v>
      </c>
      <c r="J705" s="19" cm="1">
        <f t="array" aca="1" ref="J705" ca="1">INDIRECT("b"&amp;K705+2)</f>
        <v>4.15E+85</v>
      </c>
      <c r="K705" s="19">
        <f t="shared" si="44"/>
        <v>2536</v>
      </c>
    </row>
    <row r="706" spans="1:11">
      <c r="A706">
        <v>704</v>
      </c>
      <c r="B706">
        <v>5.9500000000000006E+40</v>
      </c>
      <c r="D706" s="18">
        <v>704</v>
      </c>
      <c r="E706" s="18" cm="1">
        <f t="array" aca="1" ref="E706" ca="1">INDIRECT("b"&amp;F706+2)</f>
        <v>4.3749999999999997E+56</v>
      </c>
      <c r="F706" s="18">
        <f t="shared" si="45"/>
        <v>1337</v>
      </c>
      <c r="G706" s="18"/>
      <c r="H706" s="18"/>
      <c r="I706" s="19">
        <v>704</v>
      </c>
      <c r="J706" s="19" cm="1">
        <f t="array" aca="1" ref="J706" ca="1">INDIRECT("b"&amp;K706+2)</f>
        <v>4.3750000000000002E+85</v>
      </c>
      <c r="K706" s="19">
        <f t="shared" si="44"/>
        <v>2537</v>
      </c>
    </row>
    <row r="707" spans="1:11">
      <c r="A707">
        <v>705</v>
      </c>
      <c r="B707">
        <v>6.1749999999999996E+40</v>
      </c>
      <c r="D707" s="18">
        <v>705</v>
      </c>
      <c r="E707" s="18" cm="1">
        <f t="array" aca="1" ref="E707" ca="1">INDIRECT("b"&amp;F707+2)</f>
        <v>4.6000000000000003E+56</v>
      </c>
      <c r="F707" s="18">
        <f t="shared" si="45"/>
        <v>1338</v>
      </c>
      <c r="G707" s="18"/>
      <c r="H707" s="18"/>
      <c r="I707" s="19">
        <v>705</v>
      </c>
      <c r="J707" s="19" cm="1">
        <f t="array" aca="1" ref="J707" ca="1">INDIRECT("b"&amp;K707+2)</f>
        <v>4.5999999999999998E+85</v>
      </c>
      <c r="K707" s="19">
        <f t="shared" si="44"/>
        <v>2538</v>
      </c>
    </row>
    <row r="708" spans="1:11">
      <c r="A708">
        <v>706</v>
      </c>
      <c r="B708">
        <v>6.3999999999999996E+40</v>
      </c>
      <c r="D708" s="18">
        <v>706</v>
      </c>
      <c r="E708" s="18" cm="1">
        <f t="array" aca="1" ref="E708" ca="1">INDIRECT("b"&amp;F708+2)</f>
        <v>5.0499999999999998E+56</v>
      </c>
      <c r="F708" s="18">
        <f t="shared" si="45"/>
        <v>1340</v>
      </c>
      <c r="G708" s="18"/>
      <c r="H708" s="18"/>
      <c r="I708" s="19">
        <v>706</v>
      </c>
      <c r="J708" s="19" cm="1">
        <f t="array" aca="1" ref="J708" ca="1">INDIRECT("b"&amp;K708+2)</f>
        <v>5.0499999999999996E+85</v>
      </c>
      <c r="K708" s="19">
        <f t="shared" ref="K708:K771" si="46">INT((A708-1)*40/30+900*40/30)+400</f>
        <v>2540</v>
      </c>
    </row>
    <row r="709" spans="1:11">
      <c r="A709">
        <v>707</v>
      </c>
      <c r="B709">
        <v>6.6250000000000005E+40</v>
      </c>
      <c r="D709" s="18">
        <v>707</v>
      </c>
      <c r="E709" s="18" cm="1">
        <f t="array" aca="1" ref="E709" ca="1">INDIRECT("b"&amp;F709+2)</f>
        <v>5.2749999999999996E+56</v>
      </c>
      <c r="F709" s="18">
        <f t="shared" si="45"/>
        <v>1341</v>
      </c>
      <c r="G709" s="18"/>
      <c r="H709" s="18"/>
      <c r="I709" s="19">
        <v>707</v>
      </c>
      <c r="J709" s="19" cm="1">
        <f t="array" aca="1" ref="J709" ca="1">INDIRECT("b"&amp;K709+2)</f>
        <v>5.2749999999999998E+85</v>
      </c>
      <c r="K709" s="19">
        <f t="shared" si="46"/>
        <v>2541</v>
      </c>
    </row>
    <row r="710" spans="1:11">
      <c r="A710">
        <v>708</v>
      </c>
      <c r="B710">
        <v>6.8500000000000005E+40</v>
      </c>
      <c r="D710" s="18">
        <v>708</v>
      </c>
      <c r="E710" s="18" cm="1">
        <f t="array" aca="1" ref="E710" ca="1">INDIRECT("b"&amp;F710+2)</f>
        <v>5.4999999999999993E+56</v>
      </c>
      <c r="F710" s="18">
        <f t="shared" si="45"/>
        <v>1342</v>
      </c>
      <c r="G710" s="18"/>
      <c r="H710" s="18"/>
      <c r="I710" s="19">
        <v>708</v>
      </c>
      <c r="J710" s="19" cm="1">
        <f t="array" aca="1" ref="J710" ca="1">INDIRECT("b"&amp;K710+2)</f>
        <v>5.5000000000000001E+85</v>
      </c>
      <c r="K710" s="19">
        <f t="shared" si="46"/>
        <v>2542</v>
      </c>
    </row>
    <row r="711" spans="1:11">
      <c r="A711">
        <v>709</v>
      </c>
      <c r="B711">
        <v>7.0749999999999995E+40</v>
      </c>
      <c r="D711" s="18">
        <v>709</v>
      </c>
      <c r="E711" s="18" cm="1">
        <f t="array" aca="1" ref="E711" ca="1">INDIRECT("b"&amp;F711+2)</f>
        <v>5.9500000000000006E+56</v>
      </c>
      <c r="F711" s="18">
        <f t="shared" si="45"/>
        <v>1344</v>
      </c>
      <c r="G711" s="18"/>
      <c r="H711" s="18"/>
      <c r="I711" s="19">
        <v>709</v>
      </c>
      <c r="J711" s="19" cm="1">
        <f t="array" aca="1" ref="J711" ca="1">INDIRECT("b"&amp;K711+2)</f>
        <v>5.9499999999999999E+85</v>
      </c>
      <c r="K711" s="19">
        <f t="shared" si="46"/>
        <v>2544</v>
      </c>
    </row>
    <row r="712" spans="1:11">
      <c r="A712">
        <v>710</v>
      </c>
      <c r="B712">
        <v>7.3000000000000005E+40</v>
      </c>
      <c r="D712" s="18">
        <v>710</v>
      </c>
      <c r="E712" s="18" cm="1">
        <f t="array" aca="1" ref="E712" ca="1">INDIRECT("b"&amp;F712+2)</f>
        <v>6.1749999999999994E+56</v>
      </c>
      <c r="F712" s="18">
        <f t="shared" si="45"/>
        <v>1345</v>
      </c>
      <c r="G712" s="18"/>
      <c r="H712" s="18"/>
      <c r="I712" s="19">
        <v>710</v>
      </c>
      <c r="J712" s="19" cm="1">
        <f t="array" aca="1" ref="J712" ca="1">INDIRECT("b"&amp;K712+2)</f>
        <v>6.1750000000000001E+85</v>
      </c>
      <c r="K712" s="19">
        <f t="shared" si="46"/>
        <v>2545</v>
      </c>
    </row>
    <row r="713" spans="1:11">
      <c r="A713">
        <v>711</v>
      </c>
      <c r="B713">
        <v>7.5249999999999995E+40</v>
      </c>
      <c r="D713" s="18">
        <v>711</v>
      </c>
      <c r="E713" s="18" cm="1">
        <f t="array" aca="1" ref="E713" ca="1">INDIRECT("b"&amp;F713+2)</f>
        <v>6.3999999999999992E+56</v>
      </c>
      <c r="F713" s="18">
        <f t="shared" si="45"/>
        <v>1346</v>
      </c>
      <c r="G713" s="18"/>
      <c r="H713" s="18"/>
      <c r="I713" s="19">
        <v>711</v>
      </c>
      <c r="J713" s="19" cm="1">
        <f t="array" aca="1" ref="J713" ca="1">INDIRECT("b"&amp;K713+2)</f>
        <v>6.4000000000000004E+85</v>
      </c>
      <c r="K713" s="19">
        <f t="shared" si="46"/>
        <v>2546</v>
      </c>
    </row>
    <row r="714" spans="1:11">
      <c r="A714">
        <v>712</v>
      </c>
      <c r="B714">
        <v>7.7500000000000004E+40</v>
      </c>
      <c r="D714" s="18">
        <v>712</v>
      </c>
      <c r="E714" s="18" cm="1">
        <f t="array" aca="1" ref="E714" ca="1">INDIRECT("b"&amp;F714+2)</f>
        <v>6.8500000000000013E+56</v>
      </c>
      <c r="F714" s="18">
        <f t="shared" si="45"/>
        <v>1348</v>
      </c>
      <c r="G714" s="18"/>
      <c r="H714" s="18"/>
      <c r="I714" s="19">
        <v>712</v>
      </c>
      <c r="J714" s="19" cm="1">
        <f t="array" aca="1" ref="J714" ca="1">INDIRECT("b"&amp;K714+2)</f>
        <v>6.8499999999999995E+85</v>
      </c>
      <c r="K714" s="19">
        <f t="shared" si="46"/>
        <v>2548</v>
      </c>
    </row>
    <row r="715" spans="1:11">
      <c r="A715">
        <v>713</v>
      </c>
      <c r="B715">
        <v>7.9750000000000004E+40</v>
      </c>
      <c r="D715" s="18">
        <v>713</v>
      </c>
      <c r="E715" s="18" cm="1">
        <f t="array" aca="1" ref="E715" ca="1">INDIRECT("b"&amp;F715+2)</f>
        <v>7.0749999999999993E+56</v>
      </c>
      <c r="F715" s="18">
        <f t="shared" si="45"/>
        <v>1349</v>
      </c>
      <c r="G715" s="18"/>
      <c r="H715" s="18"/>
      <c r="I715" s="19">
        <v>713</v>
      </c>
      <c r="J715" s="19" cm="1">
        <f t="array" aca="1" ref="J715" ca="1">INDIRECT("b"&amp;K715+2)</f>
        <v>7.0749999999999997E+85</v>
      </c>
      <c r="K715" s="19">
        <f t="shared" si="46"/>
        <v>2549</v>
      </c>
    </row>
    <row r="716" spans="1:11">
      <c r="A716">
        <v>714</v>
      </c>
      <c r="B716">
        <v>8.1999999999999994E+40</v>
      </c>
      <c r="D716" s="18">
        <v>714</v>
      </c>
      <c r="E716" s="18" cm="1">
        <f t="array" aca="1" ref="E716" ca="1">INDIRECT("b"&amp;F716+2)</f>
        <v>7.3000000000000008E+56</v>
      </c>
      <c r="F716" s="18">
        <f t="shared" si="45"/>
        <v>1350</v>
      </c>
      <c r="G716" s="18"/>
      <c r="H716" s="18"/>
      <c r="I716" s="19">
        <v>714</v>
      </c>
      <c r="J716" s="19" cm="1">
        <f t="array" aca="1" ref="J716" ca="1">INDIRECT("b"&amp;K716+2)</f>
        <v>7.3E+85</v>
      </c>
      <c r="K716" s="19">
        <f t="shared" si="46"/>
        <v>2550</v>
      </c>
    </row>
    <row r="717" spans="1:11">
      <c r="A717">
        <v>715</v>
      </c>
      <c r="B717">
        <v>8.4250000000000003E+40</v>
      </c>
      <c r="D717" s="18">
        <v>715</v>
      </c>
      <c r="E717" s="18" cm="1">
        <f t="array" aca="1" ref="E717" ca="1">INDIRECT("b"&amp;F717+2)</f>
        <v>7.7499999999999995E+56</v>
      </c>
      <c r="F717" s="18">
        <f t="shared" si="45"/>
        <v>1352</v>
      </c>
      <c r="G717" s="18"/>
      <c r="H717" s="18"/>
      <c r="I717" s="19">
        <v>715</v>
      </c>
      <c r="J717" s="19" cm="1">
        <f t="array" aca="1" ref="J717" ca="1">INDIRECT("b"&amp;K717+2)</f>
        <v>7.7500000000000005E+85</v>
      </c>
      <c r="K717" s="19">
        <f t="shared" si="46"/>
        <v>2552</v>
      </c>
    </row>
    <row r="718" spans="1:11">
      <c r="A718">
        <v>716</v>
      </c>
      <c r="B718">
        <v>8.6499999999999993E+40</v>
      </c>
      <c r="D718" s="18">
        <v>716</v>
      </c>
      <c r="E718" s="18" cm="1">
        <f t="array" aca="1" ref="E718" ca="1">INDIRECT("b"&amp;F718+2)</f>
        <v>7.975000000000001E+56</v>
      </c>
      <c r="F718" s="18">
        <f t="shared" si="45"/>
        <v>1353</v>
      </c>
      <c r="G718" s="18"/>
      <c r="H718" s="18"/>
      <c r="I718" s="19">
        <v>716</v>
      </c>
      <c r="J718" s="19" cm="1">
        <f t="array" aca="1" ref="J718" ca="1">INDIRECT("b"&amp;K718+2)</f>
        <v>7.9749999999999993E+85</v>
      </c>
      <c r="K718" s="19">
        <f t="shared" si="46"/>
        <v>2553</v>
      </c>
    </row>
    <row r="719" spans="1:11">
      <c r="A719">
        <v>717</v>
      </c>
      <c r="B719">
        <v>8.8749999999999993E+40</v>
      </c>
      <c r="D719" s="18">
        <v>717</v>
      </c>
      <c r="E719" s="18" cm="1">
        <f t="array" aca="1" ref="E719" ca="1">INDIRECT("b"&amp;F719+2)</f>
        <v>8.199999999999999E+56</v>
      </c>
      <c r="F719" s="18">
        <f t="shared" si="45"/>
        <v>1354</v>
      </c>
      <c r="G719" s="18"/>
      <c r="H719" s="18"/>
      <c r="I719" s="19">
        <v>717</v>
      </c>
      <c r="J719" s="19" cm="1">
        <f t="array" aca="1" ref="J719" ca="1">INDIRECT("b"&amp;K719+2)</f>
        <v>8.1999999999999996E+85</v>
      </c>
      <c r="K719" s="19">
        <f t="shared" si="46"/>
        <v>2554</v>
      </c>
    </row>
    <row r="720" spans="1:11">
      <c r="A720">
        <v>718</v>
      </c>
      <c r="B720">
        <v>9.0999999999999983E+40</v>
      </c>
      <c r="D720" s="18">
        <v>718</v>
      </c>
      <c r="E720" s="18" cm="1">
        <f t="array" aca="1" ref="E720" ca="1">INDIRECT("b"&amp;F720+2)</f>
        <v>8.6500000000000002E+56</v>
      </c>
      <c r="F720" s="18">
        <f t="shared" si="45"/>
        <v>1356</v>
      </c>
      <c r="G720" s="18"/>
      <c r="H720" s="18"/>
      <c r="I720" s="19">
        <v>718</v>
      </c>
      <c r="J720" s="19" cm="1">
        <f t="array" aca="1" ref="J720" ca="1">INDIRECT("b"&amp;K720+2)</f>
        <v>8.6500000000000001E+85</v>
      </c>
      <c r="K720" s="19">
        <f t="shared" si="46"/>
        <v>2556</v>
      </c>
    </row>
    <row r="721" spans="1:11">
      <c r="A721">
        <v>719</v>
      </c>
      <c r="B721">
        <v>9.3249999999999992E+40</v>
      </c>
      <c r="D721" s="18">
        <v>719</v>
      </c>
      <c r="E721" s="18" cm="1">
        <f t="array" aca="1" ref="E721" ca="1">INDIRECT("b"&amp;F721+2)</f>
        <v>8.875E+56</v>
      </c>
      <c r="F721" s="18">
        <f t="shared" si="45"/>
        <v>1357</v>
      </c>
      <c r="G721" s="18"/>
      <c r="H721" s="18"/>
      <c r="I721" s="19">
        <v>719</v>
      </c>
      <c r="J721" s="19" cm="1">
        <f t="array" aca="1" ref="J721" ca="1">INDIRECT("b"&amp;K721+2)</f>
        <v>8.8750000000000003E+85</v>
      </c>
      <c r="K721" s="19">
        <f t="shared" si="46"/>
        <v>2557</v>
      </c>
    </row>
    <row r="722" spans="1:11">
      <c r="A722">
        <v>720</v>
      </c>
      <c r="B722">
        <v>9.5500000000000001E+40</v>
      </c>
      <c r="D722" s="18">
        <v>720</v>
      </c>
      <c r="E722" s="18" cm="1">
        <f t="array" aca="1" ref="E722" ca="1">INDIRECT("b"&amp;F722+2)</f>
        <v>9.099999999999998E+56</v>
      </c>
      <c r="F722" s="18">
        <f t="shared" si="45"/>
        <v>1358</v>
      </c>
      <c r="G722" s="18"/>
      <c r="H722" s="18"/>
      <c r="I722" s="19">
        <v>720</v>
      </c>
      <c r="J722" s="19" cm="1">
        <f t="array" aca="1" ref="J722" ca="1">INDIRECT("b"&amp;K722+2)</f>
        <v>9.0999999999999992E+85</v>
      </c>
      <c r="K722" s="19">
        <f t="shared" si="46"/>
        <v>2558</v>
      </c>
    </row>
    <row r="723" spans="1:11">
      <c r="A723">
        <v>721</v>
      </c>
      <c r="B723">
        <v>9.7749999999999991E+40</v>
      </c>
      <c r="D723" s="18">
        <v>721</v>
      </c>
      <c r="E723" s="18" cm="1">
        <f t="array" aca="1" ref="E723" ca="1">INDIRECT("b"&amp;F723+2)</f>
        <v>9.5499999999999992E+56</v>
      </c>
      <c r="F723" s="18">
        <f t="shared" si="45"/>
        <v>1360</v>
      </c>
      <c r="G723" s="18"/>
      <c r="H723" s="18"/>
      <c r="I723" s="19">
        <v>721</v>
      </c>
      <c r="J723" s="19" cm="1">
        <f t="array" aca="1" ref="J723" ca="1">INDIRECT("b"&amp;K723+2)</f>
        <v>9.5499999999999997E+85</v>
      </c>
      <c r="K723" s="19">
        <f t="shared" si="46"/>
        <v>2560</v>
      </c>
    </row>
    <row r="724" spans="1:11">
      <c r="A724">
        <v>722</v>
      </c>
      <c r="B724">
        <v>1E+41</v>
      </c>
      <c r="D724" s="18">
        <v>722</v>
      </c>
      <c r="E724" s="18" cm="1">
        <f t="array" aca="1" ref="E724" ca="1">INDIRECT("b"&amp;F724+2)</f>
        <v>9.774999999999999E+56</v>
      </c>
      <c r="F724" s="18">
        <f t="shared" si="45"/>
        <v>1361</v>
      </c>
      <c r="G724" s="18"/>
      <c r="H724" s="18"/>
      <c r="I724" s="19">
        <v>722</v>
      </c>
      <c r="J724" s="19" cm="1">
        <f t="array" aca="1" ref="J724" ca="1">INDIRECT("b"&amp;K724+2)</f>
        <v>9.7749999999999999E+85</v>
      </c>
      <c r="K724" s="19">
        <f t="shared" si="46"/>
        <v>2561</v>
      </c>
    </row>
    <row r="725" spans="1:11">
      <c r="A725">
        <v>723</v>
      </c>
      <c r="B725">
        <v>1.2250000000000002E+41</v>
      </c>
      <c r="D725" s="18">
        <v>723</v>
      </c>
      <c r="E725" s="18" cm="1">
        <f t="array" aca="1" ref="E725" ca="1">INDIRECT("b"&amp;F725+2)</f>
        <v>1E+57</v>
      </c>
      <c r="F725" s="18">
        <f t="shared" si="45"/>
        <v>1362</v>
      </c>
      <c r="G725" s="18"/>
      <c r="H725" s="18"/>
      <c r="I725" s="19">
        <v>723</v>
      </c>
      <c r="J725" s="19" cm="1">
        <f t="array" aca="1" ref="J725" ca="1">INDIRECT("b"&amp;K725+2)</f>
        <v>1E+86</v>
      </c>
      <c r="K725" s="19">
        <f t="shared" si="46"/>
        <v>2562</v>
      </c>
    </row>
    <row r="726" spans="1:11">
      <c r="A726">
        <v>724</v>
      </c>
      <c r="B726">
        <v>1.4499999999999997E+41</v>
      </c>
      <c r="D726" s="18">
        <v>724</v>
      </c>
      <c r="E726" s="18" cm="1">
        <f t="array" aca="1" ref="E726" ca="1">INDIRECT("b"&amp;F726+2)</f>
        <v>1.4499999999999997E+57</v>
      </c>
      <c r="F726" s="18">
        <f t="shared" si="45"/>
        <v>1364</v>
      </c>
      <c r="G726" s="18"/>
      <c r="H726" s="18"/>
      <c r="I726" s="19">
        <v>724</v>
      </c>
      <c r="J726" s="19" cm="1">
        <f t="array" aca="1" ref="J726" ca="1">INDIRECT("b"&amp;K726+2)</f>
        <v>1.45E+86</v>
      </c>
      <c r="K726" s="19">
        <f t="shared" si="46"/>
        <v>2564</v>
      </c>
    </row>
    <row r="727" spans="1:11">
      <c r="A727">
        <v>725</v>
      </c>
      <c r="B727">
        <v>1.6750000000000001E+41</v>
      </c>
      <c r="D727" s="18">
        <v>725</v>
      </c>
      <c r="E727" s="18" cm="1">
        <f t="array" aca="1" ref="E727" ca="1">INDIRECT("b"&amp;F727+2)</f>
        <v>1.6749999999999998E+57</v>
      </c>
      <c r="F727" s="18">
        <f t="shared" si="45"/>
        <v>1365</v>
      </c>
      <c r="G727" s="18">
        <v>1.6000000000000001E+57</v>
      </c>
      <c r="H727" s="18"/>
      <c r="I727" s="19">
        <v>725</v>
      </c>
      <c r="J727" s="19" cm="1">
        <f t="array" aca="1" ref="J727" ca="1">INDIRECT("b"&amp;K727+2)</f>
        <v>1.6749999999999999E+86</v>
      </c>
      <c r="K727" s="19">
        <f t="shared" si="46"/>
        <v>2565</v>
      </c>
    </row>
    <row r="728" spans="1:11">
      <c r="A728">
        <v>726</v>
      </c>
      <c r="B728">
        <v>1.9000000000000001E+41</v>
      </c>
      <c r="D728" s="18">
        <v>726</v>
      </c>
      <c r="E728" s="18" cm="1">
        <f t="array" aca="1" ref="E728" ca="1">INDIRECT("b"&amp;F728+2)</f>
        <v>1.9000000000000003E+57</v>
      </c>
      <c r="F728" s="18">
        <f t="shared" si="45"/>
        <v>1366</v>
      </c>
      <c r="G728" s="18">
        <v>1.8999999999999999E+57</v>
      </c>
      <c r="H728" s="18"/>
      <c r="I728" s="19">
        <v>726</v>
      </c>
      <c r="J728" s="19" cm="1">
        <f t="array" aca="1" ref="J728" ca="1">INDIRECT("b"&amp;K728+2)</f>
        <v>1.8999999999999999E+86</v>
      </c>
      <c r="K728" s="19">
        <f t="shared" si="46"/>
        <v>2566</v>
      </c>
    </row>
    <row r="729" spans="1:11">
      <c r="A729">
        <v>727</v>
      </c>
      <c r="B729">
        <v>2.1249999999999998E+41</v>
      </c>
      <c r="D729" s="18">
        <v>727</v>
      </c>
      <c r="E729" s="18" cm="1">
        <f t="array" aca="1" ref="E729" ca="1">INDIRECT("b"&amp;F729+2)</f>
        <v>2.3500000000000001E+57</v>
      </c>
      <c r="F729" s="18">
        <f t="shared" si="45"/>
        <v>1368</v>
      </c>
      <c r="G729" s="18">
        <v>2.2000000000000001E+57</v>
      </c>
      <c r="H729" s="18"/>
      <c r="I729" s="19">
        <v>727</v>
      </c>
      <c r="J729" s="19" cm="1">
        <f t="array" aca="1" ref="J729" ca="1">INDIRECT("b"&amp;K729+2)</f>
        <v>2.3500000000000001E+86</v>
      </c>
      <c r="K729" s="19">
        <f t="shared" si="46"/>
        <v>2568</v>
      </c>
    </row>
    <row r="730" spans="1:11">
      <c r="A730">
        <v>728</v>
      </c>
      <c r="B730">
        <v>2.3500000000000004E+41</v>
      </c>
      <c r="D730" s="18">
        <v>728</v>
      </c>
      <c r="E730" s="18" cm="1">
        <f t="array" aca="1" ref="E730" ca="1">INDIRECT("b"&amp;F730+2)</f>
        <v>2.5749999999999999E+57</v>
      </c>
      <c r="F730" s="18">
        <f t="shared" si="45"/>
        <v>1369</v>
      </c>
      <c r="G730" s="18">
        <v>2.4999999999999999E+57</v>
      </c>
      <c r="H730" s="18"/>
      <c r="I730" s="19">
        <v>728</v>
      </c>
      <c r="J730" s="19" cm="1">
        <f t="array" aca="1" ref="J730" ca="1">INDIRECT("b"&amp;K730+2)</f>
        <v>2.5750000000000001E+86</v>
      </c>
      <c r="K730" s="19">
        <f t="shared" si="46"/>
        <v>2569</v>
      </c>
    </row>
    <row r="731" spans="1:11">
      <c r="A731">
        <v>729</v>
      </c>
      <c r="B731">
        <v>2.5749999999999998E+41</v>
      </c>
      <c r="D731" s="18">
        <v>729</v>
      </c>
      <c r="E731" s="18" cm="1">
        <f t="array" aca="1" ref="E731" ca="1">INDIRECT("b"&amp;F731+2)</f>
        <v>2.8E+57</v>
      </c>
      <c r="F731" s="18">
        <f t="shared" si="45"/>
        <v>1370</v>
      </c>
      <c r="G731" s="18">
        <v>2.8E+57</v>
      </c>
      <c r="H731" s="18"/>
      <c r="I731" s="19">
        <v>729</v>
      </c>
      <c r="J731" s="19" cm="1">
        <f t="array" aca="1" ref="J731" ca="1">INDIRECT("b"&amp;K731+2)</f>
        <v>2.8E+86</v>
      </c>
      <c r="K731" s="19">
        <f t="shared" si="46"/>
        <v>2570</v>
      </c>
    </row>
    <row r="732" spans="1:11">
      <c r="A732">
        <v>730</v>
      </c>
      <c r="B732">
        <v>2.7999999999999999E+41</v>
      </c>
      <c r="D732" s="18">
        <v>730</v>
      </c>
      <c r="E732" s="18" cm="1">
        <f t="array" aca="1" ref="E732" ca="1">INDIRECT("b"&amp;F732+2)</f>
        <v>3.2499999999999999E+57</v>
      </c>
      <c r="F732" s="18">
        <f t="shared" si="45"/>
        <v>1372</v>
      </c>
      <c r="G732" s="18">
        <v>3.1000000000000001E+57</v>
      </c>
      <c r="H732" s="18">
        <f>G732/G727</f>
        <v>1.9375</v>
      </c>
      <c r="I732" s="19">
        <v>730</v>
      </c>
      <c r="J732" s="19" cm="1">
        <f t="array" aca="1" ref="J732" ca="1">INDIRECT("b"&amp;K732+2)</f>
        <v>3.25E+86</v>
      </c>
      <c r="K732" s="19">
        <f t="shared" si="46"/>
        <v>2572</v>
      </c>
    </row>
    <row r="733" spans="1:11">
      <c r="A733">
        <v>731</v>
      </c>
      <c r="B733">
        <v>3.0250000000000001E+41</v>
      </c>
      <c r="D733" s="18">
        <v>731</v>
      </c>
      <c r="E733" s="18" cm="1">
        <f t="array" aca="1" ref="E733" ca="1">INDIRECT("b"&amp;F733+2)</f>
        <v>3.475E+57</v>
      </c>
      <c r="F733" s="18">
        <f t="shared" si="45"/>
        <v>1373</v>
      </c>
      <c r="G733" s="18"/>
      <c r="H733" s="18"/>
      <c r="I733" s="19">
        <v>731</v>
      </c>
      <c r="J733" s="19" cm="1">
        <f t="array" aca="1" ref="J733" ca="1">INDIRECT("b"&amp;K733+2)</f>
        <v>3.4749999999999999E+86</v>
      </c>
      <c r="K733" s="19">
        <f t="shared" si="46"/>
        <v>2573</v>
      </c>
    </row>
    <row r="734" spans="1:11">
      <c r="A734">
        <v>732</v>
      </c>
      <c r="B734">
        <v>3.2499999999999995E+41</v>
      </c>
      <c r="D734" s="18">
        <v>732</v>
      </c>
      <c r="E734" s="18" cm="1">
        <f t="array" aca="1" ref="E734" ca="1">INDIRECT("b"&amp;F734+2)</f>
        <v>3.7000000000000001E+57</v>
      </c>
      <c r="F734" s="18">
        <f t="shared" si="45"/>
        <v>1374</v>
      </c>
      <c r="G734" s="18"/>
      <c r="H734" s="18"/>
      <c r="I734" s="19">
        <v>732</v>
      </c>
      <c r="J734" s="19" cm="1">
        <f t="array" aca="1" ref="J734" ca="1">INDIRECT("b"&amp;K734+2)</f>
        <v>3.6999999999999999E+86</v>
      </c>
      <c r="K734" s="19">
        <f t="shared" si="46"/>
        <v>2574</v>
      </c>
    </row>
    <row r="735" spans="1:11">
      <c r="A735">
        <v>733</v>
      </c>
      <c r="B735">
        <v>3.475E+41</v>
      </c>
      <c r="D735" s="18">
        <v>733</v>
      </c>
      <c r="E735" s="18" cm="1">
        <f t="array" aca="1" ref="E735" ca="1">INDIRECT("b"&amp;F735+2)</f>
        <v>4.150000000000001E+57</v>
      </c>
      <c r="F735" s="18">
        <f t="shared" si="45"/>
        <v>1376</v>
      </c>
      <c r="G735" s="18"/>
      <c r="H735" s="18"/>
      <c r="I735" s="19">
        <v>733</v>
      </c>
      <c r="J735" s="19" cm="1">
        <f t="array" aca="1" ref="J735" ca="1">INDIRECT("b"&amp;K735+2)</f>
        <v>4.1499999999999999E+86</v>
      </c>
      <c r="K735" s="19">
        <f t="shared" si="46"/>
        <v>2576</v>
      </c>
    </row>
    <row r="736" spans="1:11">
      <c r="A736">
        <v>734</v>
      </c>
      <c r="B736">
        <v>3.6999999999999998E+41</v>
      </c>
      <c r="C736">
        <f>B736/B734</f>
        <v>1.1384615384615386</v>
      </c>
      <c r="D736" s="18">
        <v>734</v>
      </c>
      <c r="E736" s="18" cm="1">
        <f t="array" aca="1" ref="E736" ca="1">INDIRECT("b"&amp;F736+2)</f>
        <v>4.3749999999999997E+57</v>
      </c>
      <c r="F736" s="18">
        <f t="shared" si="45"/>
        <v>1377</v>
      </c>
      <c r="G736" s="18"/>
      <c r="H736" s="18"/>
      <c r="I736" s="19">
        <v>734</v>
      </c>
      <c r="J736" s="19" cm="1">
        <f t="array" aca="1" ref="J736" ca="1">INDIRECT("b"&amp;K736+2)</f>
        <v>4.3749999999999998E+86</v>
      </c>
      <c r="K736" s="19">
        <f t="shared" si="46"/>
        <v>2577</v>
      </c>
    </row>
    <row r="737" spans="1:11">
      <c r="A737">
        <v>735</v>
      </c>
      <c r="B737">
        <v>3.925E+41</v>
      </c>
      <c r="C737">
        <f>B737/B736</f>
        <v>1.060810810810811</v>
      </c>
      <c r="D737" s="18">
        <v>735</v>
      </c>
      <c r="E737" s="18" cm="1">
        <f t="array" aca="1" ref="E737" ca="1">INDIRECT("b"&amp;F737+2)</f>
        <v>4.6000000000000005E+57</v>
      </c>
      <c r="F737" s="18">
        <f t="shared" si="45"/>
        <v>1378</v>
      </c>
      <c r="I737" s="19">
        <v>735</v>
      </c>
      <c r="J737" s="19" cm="1">
        <f t="array" aca="1" ref="J737" ca="1">INDIRECT("b"&amp;K737+2)</f>
        <v>4.5999999999999998E+86</v>
      </c>
      <c r="K737" s="19">
        <f t="shared" si="46"/>
        <v>2578</v>
      </c>
    </row>
    <row r="738" spans="1:11">
      <c r="A738">
        <v>736</v>
      </c>
      <c r="B738">
        <v>4.1500000000000001E+41</v>
      </c>
      <c r="C738">
        <f>B738/B737</f>
        <v>1.0573248407643312</v>
      </c>
      <c r="D738" s="18">
        <v>736</v>
      </c>
      <c r="E738" s="18" cm="1">
        <f t="array" aca="1" ref="E738" ca="1">INDIRECT("b"&amp;F738+2)</f>
        <v>5.05E+57</v>
      </c>
      <c r="F738" s="18">
        <f t="shared" si="45"/>
        <v>1380</v>
      </c>
      <c r="G738" s="18">
        <v>4.8999999999999999E+57</v>
      </c>
      <c r="H738" s="18"/>
      <c r="I738" s="19">
        <v>736</v>
      </c>
      <c r="J738" s="19" cm="1">
        <f t="array" aca="1" ref="J738" ca="1">INDIRECT("b"&amp;K738+2)</f>
        <v>5.0500000000000003E+86</v>
      </c>
      <c r="K738" s="19">
        <f t="shared" si="46"/>
        <v>2580</v>
      </c>
    </row>
    <row r="739" spans="1:11">
      <c r="A739">
        <v>737</v>
      </c>
      <c r="B739">
        <v>4.3749999999999995E+41</v>
      </c>
      <c r="C739">
        <f t="shared" ref="C739:C753" si="47">B739/B738</f>
        <v>1.0542168674698793</v>
      </c>
      <c r="D739" s="18">
        <v>737</v>
      </c>
      <c r="E739" s="18" cm="1">
        <f t="array" aca="1" ref="E739" ca="1">INDIRECT("b"&amp;F739+2)</f>
        <v>5.2749999999999994E+57</v>
      </c>
      <c r="F739" s="18">
        <f t="shared" si="45"/>
        <v>1381</v>
      </c>
      <c r="G739" s="50">
        <v>5.2E+57</v>
      </c>
      <c r="H739" s="18">
        <f>G739/G732</f>
        <v>1.6774193548387095</v>
      </c>
      <c r="I739" s="19">
        <v>737</v>
      </c>
      <c r="J739" s="19" cm="1">
        <f t="array" aca="1" ref="J739" ca="1">INDIRECT("b"&amp;K739+2)</f>
        <v>5.2750000000000002E+86</v>
      </c>
      <c r="K739" s="19">
        <f t="shared" si="46"/>
        <v>2581</v>
      </c>
    </row>
    <row r="740" spans="1:11">
      <c r="A740">
        <v>738</v>
      </c>
      <c r="B740">
        <v>4.5999999999999997E+41</v>
      </c>
      <c r="C740">
        <f t="shared" si="47"/>
        <v>1.0514285714285714</v>
      </c>
      <c r="D740" s="18">
        <v>738</v>
      </c>
      <c r="E740" s="18" cm="1">
        <f t="array" aca="1" ref="E740" ca="1">INDIRECT("b"&amp;F740+2)</f>
        <v>5.4999999999999995E+57</v>
      </c>
      <c r="F740" s="18">
        <f t="shared" si="45"/>
        <v>1382</v>
      </c>
      <c r="G740" s="18"/>
      <c r="H740" s="18"/>
      <c r="I740" s="19">
        <v>738</v>
      </c>
      <c r="J740" s="19" cm="1">
        <f t="array" aca="1" ref="J740" ca="1">INDIRECT("b"&amp;K740+2)</f>
        <v>5.5000000000000002E+86</v>
      </c>
      <c r="K740" s="19">
        <f t="shared" si="46"/>
        <v>2582</v>
      </c>
    </row>
    <row r="741" spans="1:11">
      <c r="A741">
        <v>739</v>
      </c>
      <c r="B741">
        <v>4.8250000000000006E+41</v>
      </c>
      <c r="C741">
        <f t="shared" si="47"/>
        <v>1.048913043478261</v>
      </c>
      <c r="D741" s="18">
        <v>739</v>
      </c>
      <c r="E741" s="18" cm="1">
        <f t="array" aca="1" ref="E741" ca="1">INDIRECT("b"&amp;F741+2)</f>
        <v>5.9500000000000004E+57</v>
      </c>
      <c r="F741" s="18">
        <f t="shared" si="45"/>
        <v>1384</v>
      </c>
      <c r="G741" s="18"/>
      <c r="H741" s="18"/>
      <c r="I741" s="19">
        <v>739</v>
      </c>
      <c r="J741" s="19" cm="1">
        <f t="array" aca="1" ref="J741" ca="1">INDIRECT("b"&amp;K741+2)</f>
        <v>5.9500000000000002E+86</v>
      </c>
      <c r="K741" s="19">
        <f t="shared" si="46"/>
        <v>2584</v>
      </c>
    </row>
    <row r="742" spans="1:11">
      <c r="A742">
        <v>740</v>
      </c>
      <c r="B742">
        <v>5.05E+41</v>
      </c>
      <c r="C742">
        <f t="shared" si="47"/>
        <v>1.0466321243523315</v>
      </c>
      <c r="D742" s="18">
        <v>740</v>
      </c>
      <c r="E742" s="18" cm="1">
        <f t="array" aca="1" ref="E742" ca="1">INDIRECT("b"&amp;F742+2)</f>
        <v>6.1749999999999991E+57</v>
      </c>
      <c r="F742" s="18">
        <f t="shared" si="45"/>
        <v>1385</v>
      </c>
      <c r="G742" s="18"/>
      <c r="H742" s="18"/>
      <c r="I742" s="19">
        <v>740</v>
      </c>
      <c r="J742" s="19" cm="1">
        <f t="array" aca="1" ref="J742" ca="1">INDIRECT("b"&amp;K742+2)</f>
        <v>6.1750000000000001E+86</v>
      </c>
      <c r="K742" s="19">
        <f t="shared" si="46"/>
        <v>2585</v>
      </c>
    </row>
    <row r="743" spans="1:11">
      <c r="A743">
        <v>741</v>
      </c>
      <c r="B743">
        <v>5.2750000000000002E+41</v>
      </c>
      <c r="C743">
        <f t="shared" si="47"/>
        <v>1.0445544554455446</v>
      </c>
      <c r="D743" s="18">
        <v>741</v>
      </c>
      <c r="E743" s="18" cm="1">
        <f t="array" aca="1" ref="E743" ca="1">INDIRECT("b"&amp;F743+2)</f>
        <v>6.3999999999999992E+57</v>
      </c>
      <c r="F743" s="18">
        <f t="shared" si="45"/>
        <v>1386</v>
      </c>
      <c r="G743" s="18"/>
      <c r="H743" s="18"/>
      <c r="I743" s="19">
        <v>741</v>
      </c>
      <c r="J743" s="19" cm="1">
        <f t="array" aca="1" ref="J743" ca="1">INDIRECT("b"&amp;K743+2)</f>
        <v>6.4000000000000001E+86</v>
      </c>
      <c r="K743" s="19">
        <f t="shared" si="46"/>
        <v>2586</v>
      </c>
    </row>
    <row r="744" spans="1:11">
      <c r="A744">
        <v>742</v>
      </c>
      <c r="B744">
        <v>5.4999999999999996E+41</v>
      </c>
      <c r="C744">
        <f t="shared" si="47"/>
        <v>1.0426540284360188</v>
      </c>
      <c r="D744" s="18">
        <v>742</v>
      </c>
      <c r="E744" s="18" cm="1">
        <f t="array" aca="1" ref="E744" ca="1">INDIRECT("b"&amp;F744+2)</f>
        <v>6.8500000000000008E+57</v>
      </c>
      <c r="F744" s="18">
        <f t="shared" si="45"/>
        <v>1388</v>
      </c>
      <c r="G744" s="18">
        <f ca="1">E744/E739</f>
        <v>1.298578199052133</v>
      </c>
      <c r="H744" s="18"/>
      <c r="I744" s="19">
        <v>742</v>
      </c>
      <c r="J744" s="19" cm="1">
        <f t="array" aca="1" ref="J744" ca="1">INDIRECT("b"&amp;K744+2)</f>
        <v>6.85E+86</v>
      </c>
      <c r="K744" s="19">
        <f t="shared" si="46"/>
        <v>2588</v>
      </c>
    </row>
    <row r="745" spans="1:11">
      <c r="A745">
        <v>743</v>
      </c>
      <c r="B745">
        <v>5.7250000000000005E+41</v>
      </c>
      <c r="C745">
        <f t="shared" si="47"/>
        <v>1.040909090909091</v>
      </c>
      <c r="D745" s="18">
        <v>743</v>
      </c>
      <c r="E745" s="18" cm="1">
        <f t="array" aca="1" ref="E745" ca="1">INDIRECT("b"&amp;F745+2)</f>
        <v>7.0749999999999995E+57</v>
      </c>
      <c r="F745" s="18">
        <f t="shared" si="45"/>
        <v>1389</v>
      </c>
      <c r="G745" s="18"/>
      <c r="H745" s="18"/>
      <c r="I745" s="19">
        <v>743</v>
      </c>
      <c r="J745" s="19" cm="1">
        <f t="array" aca="1" ref="J745" ca="1">INDIRECT("b"&amp;K745+2)</f>
        <v>7.075E+86</v>
      </c>
      <c r="K745" s="19">
        <f t="shared" si="46"/>
        <v>2589</v>
      </c>
    </row>
    <row r="746" spans="1:11">
      <c r="A746">
        <v>744</v>
      </c>
      <c r="B746">
        <v>5.9500000000000006E+41</v>
      </c>
      <c r="C746">
        <f t="shared" si="47"/>
        <v>1.0393013100436681</v>
      </c>
      <c r="D746" s="18">
        <v>744</v>
      </c>
      <c r="E746" s="18" cm="1">
        <f t="array" aca="1" ref="E746" ca="1">INDIRECT("b"&amp;F746+2)</f>
        <v>7.300000000000001E+57</v>
      </c>
      <c r="F746" s="18">
        <f t="shared" si="45"/>
        <v>1390</v>
      </c>
      <c r="G746" s="18"/>
      <c r="H746" s="18"/>
      <c r="I746" s="19">
        <v>744</v>
      </c>
      <c r="J746" s="19" cm="1">
        <f t="array" aca="1" ref="J746" ca="1">INDIRECT("b"&amp;K746+2)</f>
        <v>7.3E+86</v>
      </c>
      <c r="K746" s="19">
        <f t="shared" si="46"/>
        <v>2590</v>
      </c>
    </row>
    <row r="747" spans="1:11">
      <c r="A747">
        <v>745</v>
      </c>
      <c r="B747">
        <v>6.1749999999999993E+41</v>
      </c>
      <c r="C747">
        <f t="shared" si="47"/>
        <v>1.03781512605042</v>
      </c>
      <c r="D747" s="18">
        <v>745</v>
      </c>
      <c r="E747" s="18" cm="1">
        <f t="array" aca="1" ref="E747" ca="1">INDIRECT("b"&amp;F747+2)</f>
        <v>7.7499999999999998E+57</v>
      </c>
      <c r="F747" s="18">
        <f t="shared" si="45"/>
        <v>1392</v>
      </c>
      <c r="G747" s="18"/>
      <c r="H747" s="18"/>
      <c r="I747" s="19">
        <v>745</v>
      </c>
      <c r="J747" s="19" cm="1">
        <f t="array" aca="1" ref="J747" ca="1">INDIRECT("b"&amp;K747+2)</f>
        <v>7.7499999999999999E+86</v>
      </c>
      <c r="K747" s="19">
        <f t="shared" si="46"/>
        <v>2592</v>
      </c>
    </row>
    <row r="748" spans="1:11">
      <c r="A748">
        <v>746</v>
      </c>
      <c r="B748">
        <v>6.3999999999999994E+41</v>
      </c>
      <c r="C748">
        <f t="shared" si="47"/>
        <v>1.0364372469635628</v>
      </c>
      <c r="D748" s="18">
        <v>746</v>
      </c>
      <c r="E748" s="18" cm="1">
        <f t="array" aca="1" ref="E748" ca="1">INDIRECT("b"&amp;F748+2)</f>
        <v>7.9750000000000013E+57</v>
      </c>
      <c r="F748" s="18">
        <f t="shared" si="45"/>
        <v>1393</v>
      </c>
      <c r="G748" s="18"/>
      <c r="H748" s="18"/>
      <c r="I748" s="19">
        <v>746</v>
      </c>
      <c r="J748" s="19" cm="1">
        <f t="array" aca="1" ref="J748" ca="1">INDIRECT("b"&amp;K748+2)</f>
        <v>7.9749999999999999E+86</v>
      </c>
      <c r="K748" s="19">
        <f t="shared" si="46"/>
        <v>2593</v>
      </c>
    </row>
    <row r="749" spans="1:11">
      <c r="A749">
        <v>747</v>
      </c>
      <c r="B749">
        <v>6.6250000000000004E+41</v>
      </c>
      <c r="C749">
        <f t="shared" si="47"/>
        <v>1.0351562500000002</v>
      </c>
      <c r="D749" s="18">
        <v>747</v>
      </c>
      <c r="E749" s="18" cm="1">
        <f t="array" aca="1" ref="E749" ca="1">INDIRECT("b"&amp;F749+2)</f>
        <v>8.1999999999999986E+57</v>
      </c>
      <c r="F749" s="18">
        <f t="shared" si="45"/>
        <v>1394</v>
      </c>
      <c r="G749" s="18">
        <f ca="1">E749/E744</f>
        <v>1.1970802919708026</v>
      </c>
      <c r="H749" s="18"/>
      <c r="I749" s="19">
        <v>747</v>
      </c>
      <c r="J749" s="19" cm="1">
        <f t="array" aca="1" ref="J749" ca="1">INDIRECT("b"&amp;K749+2)</f>
        <v>8.1999999999999998E+86</v>
      </c>
      <c r="K749" s="19">
        <f t="shared" si="46"/>
        <v>2594</v>
      </c>
    </row>
    <row r="750" spans="1:11">
      <c r="A750">
        <v>748</v>
      </c>
      <c r="B750">
        <v>6.8500000000000005E+41</v>
      </c>
      <c r="C750">
        <f t="shared" si="47"/>
        <v>1.0339622641509434</v>
      </c>
      <c r="D750" s="18">
        <v>748</v>
      </c>
      <c r="E750" s="18" cm="1">
        <f t="array" aca="1" ref="E750" ca="1">INDIRECT("b"&amp;F750+2)</f>
        <v>8.6500000000000002E+57</v>
      </c>
      <c r="F750" s="18">
        <f t="shared" si="45"/>
        <v>1396</v>
      </c>
      <c r="G750" s="18"/>
      <c r="H750" s="18"/>
      <c r="I750" s="19">
        <v>748</v>
      </c>
      <c r="J750" s="19" cm="1">
        <f t="array" aca="1" ref="J750" ca="1">INDIRECT("b"&amp;K750+2)</f>
        <v>8.6499999999999998E+86</v>
      </c>
      <c r="K750" s="19">
        <f t="shared" si="46"/>
        <v>2596</v>
      </c>
    </row>
    <row r="751" spans="1:11">
      <c r="A751">
        <v>749</v>
      </c>
      <c r="B751">
        <v>7.0749999999999999E+41</v>
      </c>
      <c r="C751">
        <f t="shared" si="47"/>
        <v>1.0328467153284671</v>
      </c>
      <c r="D751" s="18">
        <v>749</v>
      </c>
      <c r="E751" s="18" cm="1">
        <f t="array" aca="1" ref="E751" ca="1">INDIRECT("b"&amp;F751+2)</f>
        <v>8.8750000000000003E+57</v>
      </c>
      <c r="F751" s="18">
        <f t="shared" si="45"/>
        <v>1397</v>
      </c>
      <c r="G751" s="18"/>
      <c r="H751" s="18"/>
      <c r="I751" s="19">
        <v>749</v>
      </c>
      <c r="J751" s="19" cm="1">
        <f t="array" aca="1" ref="J751" ca="1">INDIRECT("b"&amp;K751+2)</f>
        <v>8.8749999999999998E+86</v>
      </c>
      <c r="K751" s="19">
        <f t="shared" si="46"/>
        <v>2597</v>
      </c>
    </row>
    <row r="752" spans="1:11">
      <c r="A752">
        <v>750</v>
      </c>
      <c r="B752">
        <v>7.3000000000000001E+41</v>
      </c>
      <c r="C752">
        <f t="shared" si="47"/>
        <v>1.0318021201413428</v>
      </c>
      <c r="D752" s="18">
        <v>750</v>
      </c>
      <c r="E752" s="18" cm="1">
        <f t="array" aca="1" ref="E752" ca="1">INDIRECT("b"&amp;F752+2)</f>
        <v>9.0999999999999976E+57</v>
      </c>
      <c r="F752" s="18">
        <f t="shared" si="45"/>
        <v>1398</v>
      </c>
      <c r="G752" s="18"/>
      <c r="H752" s="18"/>
      <c r="I752" s="19">
        <v>750</v>
      </c>
      <c r="J752" s="19" cm="1">
        <f t="array" aca="1" ref="J752" ca="1">INDIRECT("b"&amp;K752+2)</f>
        <v>9.0999999999999997E+86</v>
      </c>
      <c r="K752" s="19">
        <f t="shared" si="46"/>
        <v>2598</v>
      </c>
    </row>
    <row r="753" spans="1:13">
      <c r="A753">
        <v>751</v>
      </c>
      <c r="B753">
        <v>7.5249999999999987E+41</v>
      </c>
      <c r="C753">
        <f t="shared" si="47"/>
        <v>1.030821917808219</v>
      </c>
      <c r="D753" s="18">
        <v>751</v>
      </c>
      <c r="E753" s="18" cm="1">
        <f t="array" aca="1" ref="E753" ca="1">INDIRECT("b"&amp;F753+2)</f>
        <v>9.5499999999999992E+57</v>
      </c>
      <c r="F753" s="18">
        <f t="shared" si="45"/>
        <v>1400</v>
      </c>
      <c r="G753" s="18"/>
      <c r="H753" s="18"/>
      <c r="I753" s="19">
        <v>751</v>
      </c>
      <c r="J753" s="19" cm="1">
        <f t="array" aca="1" ref="J753" ca="1">INDIRECT("b"&amp;K753+2)</f>
        <v>9.5499999999999997E+86</v>
      </c>
      <c r="K753" s="19">
        <f t="shared" si="46"/>
        <v>2600</v>
      </c>
      <c r="M753" t="e">
        <f>#REF!/#REF!</f>
        <v>#REF!</v>
      </c>
    </row>
    <row r="754" spans="1:13">
      <c r="A754">
        <v>752</v>
      </c>
      <c r="B754">
        <v>7.7500000000000004E+41</v>
      </c>
      <c r="D754" s="18">
        <v>752</v>
      </c>
      <c r="E754" s="18" cm="1">
        <f t="array" aca="1" ref="E754" ca="1">INDIRECT("b"&amp;F754+2)</f>
        <v>9.7749999999999993E+57</v>
      </c>
      <c r="F754" s="18">
        <f t="shared" si="45"/>
        <v>1401</v>
      </c>
      <c r="G754" s="18">
        <f ca="1">E754/E749</f>
        <v>1.1920731707317074</v>
      </c>
      <c r="H754" s="18"/>
      <c r="I754" s="19">
        <v>752</v>
      </c>
      <c r="J754" s="19" cm="1">
        <f t="array" aca="1" ref="J754" ca="1">INDIRECT("b"&amp;K754+2)</f>
        <v>9.7749999999999996E+86</v>
      </c>
      <c r="K754" s="19">
        <f t="shared" si="46"/>
        <v>2601</v>
      </c>
      <c r="M754" t="e">
        <f>#REF!/#REF!</f>
        <v>#REF!</v>
      </c>
    </row>
    <row r="755" spans="1:13">
      <c r="A755">
        <v>753</v>
      </c>
      <c r="B755">
        <v>7.9750000000000005E+41</v>
      </c>
      <c r="D755" s="18">
        <v>753</v>
      </c>
      <c r="E755" s="18" cm="1">
        <f t="array" aca="1" ref="E755" ca="1">INDIRECT("b"&amp;F755+2)</f>
        <v>1.0000000000000001E+58</v>
      </c>
      <c r="F755" s="18">
        <f t="shared" si="45"/>
        <v>1402</v>
      </c>
      <c r="G755" s="4"/>
      <c r="H755" s="18"/>
      <c r="I755" s="19">
        <v>753</v>
      </c>
      <c r="J755" s="19" cm="1">
        <f t="array" aca="1" ref="J755" ca="1">INDIRECT("b"&amp;K755+2)</f>
        <v>9.9999999999999996E+86</v>
      </c>
      <c r="K755" s="19">
        <f t="shared" si="46"/>
        <v>2602</v>
      </c>
      <c r="M755" t="e">
        <f>#REF!/#REF!</f>
        <v>#REF!</v>
      </c>
    </row>
    <row r="756" spans="1:13">
      <c r="A756">
        <v>754</v>
      </c>
      <c r="B756">
        <v>8.1999999999999992E+41</v>
      </c>
      <c r="D756" s="18">
        <v>754</v>
      </c>
      <c r="E756" s="18" cm="1">
        <f t="array" aca="1" ref="E756" ca="1">INDIRECT("b"&amp;F756+2)</f>
        <v>1.4499999999999997E+58</v>
      </c>
      <c r="F756" s="18">
        <f t="shared" si="45"/>
        <v>1404</v>
      </c>
      <c r="G756" s="18"/>
      <c r="H756" s="18"/>
      <c r="I756" s="19">
        <v>754</v>
      </c>
      <c r="J756" s="19" cm="1">
        <f t="array" aca="1" ref="J756" ca="1">INDIRECT("b"&amp;K756+2)</f>
        <v>1.4499999999999999E+87</v>
      </c>
      <c r="K756" s="19">
        <f t="shared" si="46"/>
        <v>2604</v>
      </c>
      <c r="M756" t="e">
        <f>#REF!/#REF!</f>
        <v>#REF!</v>
      </c>
    </row>
    <row r="757" spans="1:13">
      <c r="A757">
        <v>755</v>
      </c>
      <c r="B757">
        <v>8.4250000000000009E+41</v>
      </c>
      <c r="D757" s="18">
        <v>755</v>
      </c>
      <c r="E757" s="18" cm="1">
        <f t="array" aca="1" ref="E757" ca="1">INDIRECT("b"&amp;F757+2)</f>
        <v>1.6750000000000001E+58</v>
      </c>
      <c r="F757" s="18">
        <f t="shared" si="45"/>
        <v>1405</v>
      </c>
      <c r="G757" s="18"/>
      <c r="H757" s="18"/>
      <c r="I757" s="19">
        <v>755</v>
      </c>
      <c r="J757" s="19" cm="1">
        <f t="array" aca="1" ref="J757" ca="1">INDIRECT("b"&amp;K757+2)</f>
        <v>1.6749999999999999E+87</v>
      </c>
      <c r="K757" s="19">
        <f t="shared" si="46"/>
        <v>2605</v>
      </c>
      <c r="M757" t="e">
        <f>#REF!/#REF!</f>
        <v>#REF!</v>
      </c>
    </row>
    <row r="758" spans="1:13">
      <c r="A758">
        <v>756</v>
      </c>
      <c r="B758">
        <v>8.6499999999999995E+41</v>
      </c>
      <c r="D758" s="18">
        <v>756</v>
      </c>
      <c r="E758" s="18" cm="1">
        <f t="array" aca="1" ref="E758" ca="1">INDIRECT("b"&amp;F758+2)</f>
        <v>1.9000000000000005E+58</v>
      </c>
      <c r="F758" s="18">
        <f t="shared" si="45"/>
        <v>1406</v>
      </c>
      <c r="G758" s="18"/>
      <c r="H758" s="18"/>
      <c r="I758" s="19">
        <v>756</v>
      </c>
      <c r="J758" s="19" cm="1">
        <f t="array" aca="1" ref="J758" ca="1">INDIRECT("b"&amp;K758+2)</f>
        <v>1.8999999999999998E+87</v>
      </c>
      <c r="K758" s="19">
        <f t="shared" si="46"/>
        <v>2606</v>
      </c>
      <c r="M758" t="e">
        <f>#REF!/#REF!</f>
        <v>#REF!</v>
      </c>
    </row>
    <row r="759" spans="1:13">
      <c r="A759">
        <v>757</v>
      </c>
      <c r="B759">
        <v>8.8749999999999996E+41</v>
      </c>
      <c r="D759" s="18">
        <v>757</v>
      </c>
      <c r="E759" s="18" cm="1">
        <f t="array" aca="1" ref="E759" ca="1">INDIRECT("b"&amp;F759+2)</f>
        <v>2.3500000000000001E+58</v>
      </c>
      <c r="F759" s="18">
        <f t="shared" si="45"/>
        <v>1408</v>
      </c>
      <c r="G759" s="18">
        <f t="shared" ref="G759" ca="1" si="48">E759/E754</f>
        <v>2.4040920716112537</v>
      </c>
      <c r="H759" s="18"/>
      <c r="I759" s="19">
        <v>757</v>
      </c>
      <c r="J759" s="19" cm="1">
        <f t="array" aca="1" ref="J759" ca="1">INDIRECT("b"&amp;K759+2)</f>
        <v>2.3499999999999998E+87</v>
      </c>
      <c r="K759" s="19">
        <f t="shared" si="46"/>
        <v>2608</v>
      </c>
      <c r="M759" t="e">
        <f>#REF!/#REF!</f>
        <v>#REF!</v>
      </c>
    </row>
    <row r="760" spans="1:13">
      <c r="A760">
        <v>758</v>
      </c>
      <c r="B760">
        <v>9.0999999999999983E+41</v>
      </c>
      <c r="D760" s="18">
        <v>758</v>
      </c>
      <c r="E760" s="18" cm="1">
        <f t="array" aca="1" ref="E760" ca="1">INDIRECT("b"&amp;F760+2)</f>
        <v>2.575E+58</v>
      </c>
      <c r="F760" s="18">
        <f t="shared" si="45"/>
        <v>1409</v>
      </c>
      <c r="G760" s="18"/>
      <c r="H760" s="18"/>
      <c r="I760" s="19">
        <v>758</v>
      </c>
      <c r="J760" s="19" cm="1">
        <f t="array" aca="1" ref="J760" ca="1">INDIRECT("b"&amp;K760+2)</f>
        <v>2.575E+87</v>
      </c>
      <c r="K760" s="19">
        <f t="shared" si="46"/>
        <v>2609</v>
      </c>
      <c r="M760" t="e">
        <f>#REF!/#REF!</f>
        <v>#REF!</v>
      </c>
    </row>
    <row r="761" spans="1:13">
      <c r="A761">
        <v>759</v>
      </c>
      <c r="B761">
        <v>9.325E+41</v>
      </c>
      <c r="D761" s="18">
        <v>759</v>
      </c>
      <c r="E761" s="18" cm="1">
        <f t="array" aca="1" ref="E761" ca="1">INDIRECT("b"&amp;F761+2)</f>
        <v>2.8000000000000003E+58</v>
      </c>
      <c r="F761" s="18">
        <f t="shared" si="45"/>
        <v>1410</v>
      </c>
      <c r="G761" s="18"/>
      <c r="H761" s="18"/>
      <c r="I761" s="19">
        <v>759</v>
      </c>
      <c r="J761" s="19" cm="1">
        <f t="array" aca="1" ref="J761" ca="1">INDIRECT("b"&amp;K761+2)</f>
        <v>2.7999999999999997E+87</v>
      </c>
      <c r="K761" s="19">
        <f t="shared" si="46"/>
        <v>2610</v>
      </c>
      <c r="M761" t="e">
        <f>#REF!/#REF!</f>
        <v>#REF!</v>
      </c>
    </row>
    <row r="762" spans="1:13">
      <c r="A762">
        <v>760</v>
      </c>
      <c r="B762">
        <v>9.5500000000000001E+41</v>
      </c>
      <c r="D762" s="18">
        <v>760</v>
      </c>
      <c r="E762" s="18" cm="1">
        <f t="array" aca="1" ref="E762" ca="1">INDIRECT("b"&amp;F762+2)</f>
        <v>3.25E+58</v>
      </c>
      <c r="F762" s="18">
        <f t="shared" si="45"/>
        <v>1412</v>
      </c>
      <c r="G762" s="18"/>
      <c r="H762" s="18"/>
      <c r="I762" s="19">
        <v>760</v>
      </c>
      <c r="J762" s="19" cm="1">
        <f t="array" aca="1" ref="J762" ca="1">INDIRECT("b"&amp;K762+2)</f>
        <v>3.2500000000000001E+87</v>
      </c>
      <c r="K762" s="19">
        <f t="shared" si="46"/>
        <v>2612</v>
      </c>
      <c r="M762" t="e">
        <f>#REF!/#REF!</f>
        <v>#REF!</v>
      </c>
    </row>
    <row r="763" spans="1:13">
      <c r="A763">
        <v>761</v>
      </c>
      <c r="B763">
        <v>9.7749999999999987E+41</v>
      </c>
      <c r="D763" s="18">
        <v>761</v>
      </c>
      <c r="E763" s="18" cm="1">
        <f t="array" aca="1" ref="E763" ca="1">INDIRECT("b"&amp;F763+2)</f>
        <v>3.4750000000000004E+58</v>
      </c>
      <c r="F763" s="18">
        <f t="shared" si="45"/>
        <v>1413</v>
      </c>
      <c r="G763" s="18"/>
      <c r="H763" s="18"/>
      <c r="I763" s="19">
        <v>761</v>
      </c>
      <c r="J763" s="19" cm="1">
        <f t="array" aca="1" ref="J763" ca="1">INDIRECT("b"&amp;K763+2)</f>
        <v>3.4749999999999998E+87</v>
      </c>
      <c r="K763" s="19">
        <f t="shared" si="46"/>
        <v>2613</v>
      </c>
      <c r="M763" t="e">
        <f>#REF!/#REF!</f>
        <v>#REF!</v>
      </c>
    </row>
    <row r="764" spans="1:13">
      <c r="A764">
        <v>762</v>
      </c>
      <c r="B764">
        <v>1E+42</v>
      </c>
      <c r="D764" s="18">
        <v>762</v>
      </c>
      <c r="E764" s="18" cm="1">
        <f t="array" aca="1" ref="E764" ca="1">INDIRECT("b"&amp;F764+2)</f>
        <v>3.7000000000000002E+58</v>
      </c>
      <c r="F764" s="18">
        <f t="shared" si="45"/>
        <v>1414</v>
      </c>
      <c r="G764" s="18">
        <f t="shared" ref="G764" ca="1" si="49">E764/E759</f>
        <v>1.574468085106383</v>
      </c>
      <c r="H764" s="18"/>
      <c r="I764" s="19">
        <v>762</v>
      </c>
      <c r="J764" s="19" cm="1">
        <f t="array" aca="1" ref="J764" ca="1">INDIRECT("b"&amp;K764+2)</f>
        <v>3.7E+87</v>
      </c>
      <c r="K764" s="19">
        <f t="shared" si="46"/>
        <v>2614</v>
      </c>
      <c r="M764" t="e">
        <f>#REF!/#REF!</f>
        <v>#REF!</v>
      </c>
    </row>
    <row r="765" spans="1:13">
      <c r="A765">
        <v>763</v>
      </c>
      <c r="B765">
        <v>1.2250000000000001E+42</v>
      </c>
      <c r="D765" s="18">
        <v>763</v>
      </c>
      <c r="E765" s="18" cm="1">
        <f t="array" aca="1" ref="E765" ca="1">INDIRECT("b"&amp;F765+2)</f>
        <v>4.150000000000001E+58</v>
      </c>
      <c r="F765" s="18">
        <f t="shared" ref="F765:F828" si="50">INT((A765-123)*1.333333)+563</f>
        <v>1416</v>
      </c>
      <c r="G765" s="18"/>
      <c r="H765" s="18"/>
      <c r="I765" s="19">
        <v>763</v>
      </c>
      <c r="J765" s="19" cm="1">
        <f t="array" aca="1" ref="J765" ca="1">INDIRECT("b"&amp;K765+2)</f>
        <v>4.15E+87</v>
      </c>
      <c r="K765" s="19">
        <f t="shared" si="46"/>
        <v>2616</v>
      </c>
      <c r="M765" t="e">
        <f>#REF!/#REF!</f>
        <v>#REF!</v>
      </c>
    </row>
    <row r="766" spans="1:13">
      <c r="A766">
        <v>764</v>
      </c>
      <c r="B766">
        <v>1.4499999999999999E+42</v>
      </c>
      <c r="D766" s="18">
        <v>764</v>
      </c>
      <c r="E766" s="18" cm="1">
        <f t="array" aca="1" ref="E766" ca="1">INDIRECT("b"&amp;F766+2)</f>
        <v>4.3749999999999997E+58</v>
      </c>
      <c r="F766" s="18">
        <f t="shared" si="50"/>
        <v>1417</v>
      </c>
      <c r="G766" s="18"/>
      <c r="H766" s="18"/>
      <c r="I766" s="19">
        <v>764</v>
      </c>
      <c r="J766" s="19" cm="1">
        <f t="array" aca="1" ref="J766" ca="1">INDIRECT("b"&amp;K766+2)</f>
        <v>4.3749999999999997E+87</v>
      </c>
      <c r="K766" s="19">
        <f t="shared" si="46"/>
        <v>2617</v>
      </c>
      <c r="M766" t="e">
        <f>#REF!/#REF!</f>
        <v>#REF!</v>
      </c>
    </row>
    <row r="767" spans="1:13">
      <c r="A767">
        <v>765</v>
      </c>
      <c r="B767">
        <v>1.6750000000000001E+42</v>
      </c>
      <c r="D767" s="18">
        <v>765</v>
      </c>
      <c r="E767" s="18" cm="1">
        <f t="array" aca="1" ref="E767" ca="1">INDIRECT("b"&amp;F767+2)</f>
        <v>4.6E+58</v>
      </c>
      <c r="F767" s="18">
        <f t="shared" si="50"/>
        <v>1418</v>
      </c>
      <c r="G767" s="18"/>
      <c r="H767" s="18"/>
      <c r="I767" s="19">
        <v>765</v>
      </c>
      <c r="J767" s="19" cm="1">
        <f t="array" aca="1" ref="J767" ca="1">INDIRECT("b"&amp;K767+2)</f>
        <v>4.5999999999999995E+87</v>
      </c>
      <c r="K767" s="19">
        <f t="shared" si="46"/>
        <v>2618</v>
      </c>
      <c r="L767">
        <v>43</v>
      </c>
      <c r="M767" t="e">
        <f>#REF!/#REF!</f>
        <v>#REF!</v>
      </c>
    </row>
    <row r="768" spans="1:13">
      <c r="A768">
        <v>766</v>
      </c>
      <c r="B768">
        <v>1.9000000000000002E+42</v>
      </c>
      <c r="D768" s="18">
        <v>766</v>
      </c>
      <c r="E768" s="18" cm="1">
        <f t="array" aca="1" ref="E768" ca="1">INDIRECT("b"&amp;F768+2)</f>
        <v>5.0500000000000003E+58</v>
      </c>
      <c r="F768" s="18">
        <f t="shared" si="50"/>
        <v>1420</v>
      </c>
      <c r="G768" s="18"/>
      <c r="H768" s="18"/>
      <c r="I768" s="19">
        <v>766</v>
      </c>
      <c r="J768" s="19" cm="1">
        <f t="array" aca="1" ref="J768" ca="1">INDIRECT("b"&amp;K768+2)</f>
        <v>5.0499999999999998E+87</v>
      </c>
      <c r="K768" s="19">
        <f t="shared" si="46"/>
        <v>2620</v>
      </c>
      <c r="M768" t="e">
        <f>#REF!/#REF!</f>
        <v>#REF!</v>
      </c>
    </row>
    <row r="769" spans="1:15">
      <c r="A769">
        <v>767</v>
      </c>
      <c r="B769">
        <v>2.1250000000000001E+42</v>
      </c>
      <c r="D769" s="18">
        <v>767</v>
      </c>
      <c r="E769" s="18" cm="1">
        <f t="array" aca="1" ref="E769" ca="1">INDIRECT("b"&amp;F769+2)</f>
        <v>5.2749999999999995E+58</v>
      </c>
      <c r="F769" s="18">
        <f t="shared" si="50"/>
        <v>1421</v>
      </c>
      <c r="G769" s="18">
        <f t="shared" ref="G769" ca="1" si="51">E769/E764</f>
        <v>1.4256756756756754</v>
      </c>
      <c r="H769" s="18"/>
      <c r="I769" s="19">
        <v>767</v>
      </c>
      <c r="J769" s="19" cm="1">
        <f t="array" aca="1" ref="J769" ca="1">INDIRECT("b"&amp;K769+2)</f>
        <v>5.2749999999999996E+87</v>
      </c>
      <c r="K769" s="19">
        <f t="shared" si="46"/>
        <v>2621</v>
      </c>
      <c r="M769" t="e">
        <f>#REF!/#REF!</f>
        <v>#REF!</v>
      </c>
    </row>
    <row r="770" spans="1:15">
      <c r="A770">
        <v>768</v>
      </c>
      <c r="B770">
        <v>2.3500000000000002E+42</v>
      </c>
      <c r="D770" s="18">
        <v>768</v>
      </c>
      <c r="E770" s="18" cm="1">
        <f t="array" aca="1" ref="E770" ca="1">INDIRECT("b"&amp;F770+2)</f>
        <v>5.4999999999999988E+58</v>
      </c>
      <c r="F770" s="18">
        <f t="shared" si="50"/>
        <v>1422</v>
      </c>
      <c r="G770" s="18"/>
      <c r="H770" s="18"/>
      <c r="I770" s="19">
        <v>768</v>
      </c>
      <c r="J770" s="19" cm="1">
        <f t="array" aca="1" ref="J770" ca="1">INDIRECT("b"&amp;K770+2)</f>
        <v>5.5000000000000002E+87</v>
      </c>
      <c r="K770" s="19">
        <f t="shared" si="46"/>
        <v>2622</v>
      </c>
    </row>
    <row r="771" spans="1:15">
      <c r="A771">
        <v>769</v>
      </c>
      <c r="B771">
        <v>2.5749999999999998E+42</v>
      </c>
      <c r="D771" s="18">
        <v>769</v>
      </c>
      <c r="E771" s="18" cm="1">
        <f t="array" aca="1" ref="E771" ca="1">INDIRECT("b"&amp;F771+2)</f>
        <v>5.9500000000000007E+58</v>
      </c>
      <c r="F771" s="18">
        <f t="shared" si="50"/>
        <v>1424</v>
      </c>
      <c r="G771" s="18"/>
      <c r="H771" s="18"/>
      <c r="I771" s="19">
        <v>769</v>
      </c>
      <c r="J771" s="19" cm="1">
        <f t="array" aca="1" ref="J771" ca="1">INDIRECT("b"&amp;K771+2)</f>
        <v>5.9499999999999997E+87</v>
      </c>
      <c r="K771" s="19">
        <f t="shared" si="46"/>
        <v>2624</v>
      </c>
    </row>
    <row r="772" spans="1:15">
      <c r="A772">
        <v>770</v>
      </c>
      <c r="B772">
        <v>2.7999999999999999E+42</v>
      </c>
      <c r="D772" s="18">
        <v>770</v>
      </c>
      <c r="E772" s="18" cm="1">
        <f t="array" aca="1" ref="E772" ca="1">INDIRECT("b"&amp;F772+2)</f>
        <v>6.1749999999999999E+58</v>
      </c>
      <c r="F772" s="18">
        <f t="shared" si="50"/>
        <v>1425</v>
      </c>
      <c r="G772" s="18"/>
      <c r="H772" s="18"/>
      <c r="I772" s="19">
        <v>770</v>
      </c>
      <c r="J772" s="19" cm="1">
        <f t="array" aca="1" ref="J772" ca="1">INDIRECT("b"&amp;K772+2)</f>
        <v>6.1749999999999995E+87</v>
      </c>
      <c r="K772" s="19">
        <f t="shared" ref="K772:K835" si="52">INT((A772-1)*40/30+900*40/30)+400</f>
        <v>2625</v>
      </c>
    </row>
    <row r="773" spans="1:15">
      <c r="A773">
        <v>771</v>
      </c>
      <c r="B773">
        <v>3.0249999999999998E+42</v>
      </c>
      <c r="D773" s="18">
        <v>771</v>
      </c>
      <c r="E773" s="18" cm="1">
        <f t="array" aca="1" ref="E773" ca="1">INDIRECT("b"&amp;F773+2)</f>
        <v>6.3999999999999992E+58</v>
      </c>
      <c r="F773" s="18">
        <f t="shared" si="50"/>
        <v>1426</v>
      </c>
      <c r="G773" s="18"/>
      <c r="H773" s="18"/>
      <c r="I773" s="19">
        <v>771</v>
      </c>
      <c r="J773" s="19" cm="1">
        <f t="array" aca="1" ref="J773" ca="1">INDIRECT("b"&amp;K773+2)</f>
        <v>6.4000000000000001E+87</v>
      </c>
      <c r="K773" s="19">
        <f t="shared" si="52"/>
        <v>2626</v>
      </c>
    </row>
    <row r="774" spans="1:15">
      <c r="A774">
        <v>772</v>
      </c>
      <c r="B774">
        <v>3.2499999999999996E+42</v>
      </c>
      <c r="D774" s="18">
        <v>772</v>
      </c>
      <c r="E774" s="18" cm="1">
        <f t="array" aca="1" ref="E774" ca="1">INDIRECT("b"&amp;F774+2)</f>
        <v>6.8500000000000011E+58</v>
      </c>
      <c r="F774" s="18">
        <f t="shared" si="50"/>
        <v>1428</v>
      </c>
      <c r="G774" s="18">
        <f t="shared" ref="G774" ca="1" si="53">E774/E769</f>
        <v>1.298578199052133</v>
      </c>
      <c r="H774" s="18"/>
      <c r="I774" s="19">
        <v>772</v>
      </c>
      <c r="J774" s="19" cm="1">
        <f t="array" aca="1" ref="J774" ca="1">INDIRECT("b"&amp;K774+2)</f>
        <v>6.8499999999999996E+87</v>
      </c>
      <c r="K774" s="19">
        <f t="shared" si="52"/>
        <v>2628</v>
      </c>
    </row>
    <row r="775" spans="1:15">
      <c r="A775">
        <v>773</v>
      </c>
      <c r="B775">
        <v>3.4750000000000001E+42</v>
      </c>
      <c r="D775" s="18">
        <v>773</v>
      </c>
      <c r="E775" s="18" cm="1">
        <f t="array" aca="1" ref="E775" ca="1">INDIRECT("b"&amp;F775+2)</f>
        <v>7.0749999999999992E+58</v>
      </c>
      <c r="F775" s="18">
        <f t="shared" si="50"/>
        <v>1429</v>
      </c>
      <c r="G775" s="18"/>
      <c r="H775" s="18"/>
      <c r="I775" s="19">
        <v>773</v>
      </c>
      <c r="J775" s="19" cm="1">
        <f t="array" aca="1" ref="J775" ca="1">INDIRECT("b"&amp;K775+2)</f>
        <v>7.0749999999999993E+87</v>
      </c>
      <c r="K775" s="19">
        <f t="shared" si="52"/>
        <v>2629</v>
      </c>
    </row>
    <row r="776" spans="1:15">
      <c r="A776">
        <v>774</v>
      </c>
      <c r="B776">
        <v>3.7E+42</v>
      </c>
      <c r="D776" s="18">
        <v>774</v>
      </c>
      <c r="E776" s="18" cm="1">
        <f t="array" aca="1" ref="E776" ca="1">INDIRECT("b"&amp;F776+2)</f>
        <v>7.3000000000000007E+58</v>
      </c>
      <c r="F776" s="18">
        <f t="shared" si="50"/>
        <v>1430</v>
      </c>
      <c r="G776" s="18"/>
      <c r="H776" s="18"/>
      <c r="I776" s="19">
        <v>774</v>
      </c>
      <c r="J776" s="19" cm="1">
        <f t="array" aca="1" ref="J776" ca="1">INDIRECT("b"&amp;K776+2)</f>
        <v>7.3E+87</v>
      </c>
      <c r="K776" s="19">
        <f t="shared" si="52"/>
        <v>2630</v>
      </c>
    </row>
    <row r="777" spans="1:15">
      <c r="A777">
        <v>775</v>
      </c>
      <c r="B777">
        <v>3.9249999999999998E+42</v>
      </c>
      <c r="D777" s="18">
        <v>775</v>
      </c>
      <c r="E777" s="18" cm="1">
        <f t="array" aca="1" ref="E777" ca="1">INDIRECT("b"&amp;F777+2)</f>
        <v>7.7499999999999993E+58</v>
      </c>
      <c r="F777" s="18">
        <f t="shared" si="50"/>
        <v>1432</v>
      </c>
      <c r="G777" s="18"/>
      <c r="H777" s="18"/>
      <c r="I777" s="19">
        <v>775</v>
      </c>
      <c r="J777" s="19" cm="1">
        <f t="array" aca="1" ref="J777" ca="1">INDIRECT("b"&amp;K777+2)</f>
        <v>7.7499999999999995E+87</v>
      </c>
      <c r="K777" s="19">
        <f t="shared" si="52"/>
        <v>2632</v>
      </c>
    </row>
    <row r="778" spans="1:15">
      <c r="A778">
        <v>776</v>
      </c>
      <c r="B778">
        <v>4.1500000000000003E+42</v>
      </c>
      <c r="D778" s="18">
        <v>776</v>
      </c>
      <c r="E778" s="18" cm="1">
        <f t="array" aca="1" ref="E778" ca="1">INDIRECT("b"&amp;F778+2)</f>
        <v>7.9750000000000007E+58</v>
      </c>
      <c r="F778" s="18">
        <f t="shared" si="50"/>
        <v>1433</v>
      </c>
      <c r="G778" s="18"/>
      <c r="H778" s="18"/>
      <c r="I778" s="19">
        <v>776</v>
      </c>
      <c r="J778" s="19" cm="1">
        <f t="array" aca="1" ref="J778" ca="1">INDIRECT("b"&amp;K778+2)</f>
        <v>7.9749999999999992E+87</v>
      </c>
      <c r="K778" s="19">
        <f t="shared" si="52"/>
        <v>2633</v>
      </c>
      <c r="O778" t="s">
        <v>15</v>
      </c>
    </row>
    <row r="779" spans="1:15">
      <c r="A779">
        <v>777</v>
      </c>
      <c r="B779">
        <v>4.3750000000000001E+42</v>
      </c>
      <c r="D779" s="18">
        <v>777</v>
      </c>
      <c r="E779" s="18" cm="1">
        <f t="array" aca="1" ref="E779" ca="1">INDIRECT("b"&amp;F779+2)</f>
        <v>8.1999999999999989E+58</v>
      </c>
      <c r="F779" s="18">
        <f t="shared" si="50"/>
        <v>1434</v>
      </c>
      <c r="G779" s="18">
        <f t="shared" ref="G779" ca="1" si="54">E779/E774</f>
        <v>1.1970802919708026</v>
      </c>
      <c r="H779" s="18"/>
      <c r="I779" s="19">
        <v>777</v>
      </c>
      <c r="J779" s="19" cm="1">
        <f t="array" aca="1" ref="J779" ca="1">INDIRECT("b"&amp;K779+2)</f>
        <v>8.1999999999999998E+87</v>
      </c>
      <c r="K779" s="19">
        <f t="shared" si="52"/>
        <v>2634</v>
      </c>
      <c r="O779" t="s">
        <v>13</v>
      </c>
    </row>
    <row r="780" spans="1:15">
      <c r="A780">
        <v>778</v>
      </c>
      <c r="B780">
        <v>4.6E+42</v>
      </c>
      <c r="D780" s="18">
        <v>778</v>
      </c>
      <c r="E780" s="18" cm="1">
        <f t="array" aca="1" ref="E780" ca="1">INDIRECT("b"&amp;F780+2)</f>
        <v>8.6500000000000008E+58</v>
      </c>
      <c r="F780" s="18">
        <f t="shared" si="50"/>
        <v>1436</v>
      </c>
      <c r="G780" s="18"/>
      <c r="H780" s="18"/>
      <c r="I780" s="19">
        <v>778</v>
      </c>
      <c r="J780" s="19" cm="1">
        <f t="array" aca="1" ref="J780" ca="1">INDIRECT("b"&amp;K780+2)</f>
        <v>8.6499999999999993E+87</v>
      </c>
      <c r="K780" s="19">
        <f t="shared" si="52"/>
        <v>2636</v>
      </c>
      <c r="N780" t="s">
        <v>12</v>
      </c>
    </row>
    <row r="781" spans="1:15">
      <c r="A781">
        <v>779</v>
      </c>
      <c r="B781">
        <v>4.8250000000000011E+42</v>
      </c>
      <c r="D781" s="18">
        <v>779</v>
      </c>
      <c r="E781" s="18" cm="1">
        <f t="array" aca="1" ref="E781" ca="1">INDIRECT("b"&amp;F781+2)</f>
        <v>8.875E+58</v>
      </c>
      <c r="F781" s="18">
        <f t="shared" si="50"/>
        <v>1437</v>
      </c>
      <c r="G781" s="18"/>
      <c r="H781" s="18"/>
      <c r="I781" s="19">
        <v>779</v>
      </c>
      <c r="J781" s="19" cm="1">
        <f t="array" aca="1" ref="J781" ca="1">INDIRECT("b"&amp;K781+2)</f>
        <v>8.875E+87</v>
      </c>
      <c r="K781" s="19">
        <f t="shared" si="52"/>
        <v>2637</v>
      </c>
      <c r="N781" t="e" cm="1">
        <f t="array" ref="N781">INDEX(#REF!,#REF!+ 2) / INDEX(#REF!,#REF!+ 1)</f>
        <v>#REF!</v>
      </c>
      <c r="O781" t="e" cm="1">
        <f t="array" ref="O781">INDEX(#REF!,#REF!+ 1) / INDEX(#REF!,#REF!+ 1)</f>
        <v>#REF!</v>
      </c>
    </row>
    <row r="782" spans="1:15">
      <c r="A782">
        <v>780</v>
      </c>
      <c r="B782">
        <v>5.0499999999999997E+42</v>
      </c>
      <c r="D782" s="18">
        <v>780</v>
      </c>
      <c r="E782" s="18" cm="1">
        <f t="array" aca="1" ref="E782" ca="1">INDIRECT("b"&amp;F782+2)</f>
        <v>9.0999999999999982E+58</v>
      </c>
      <c r="F782" s="18">
        <f t="shared" si="50"/>
        <v>1438</v>
      </c>
      <c r="G782" s="4"/>
      <c r="H782" s="18"/>
      <c r="I782" s="19">
        <v>780</v>
      </c>
      <c r="J782" s="19" cm="1">
        <f t="array" aca="1" ref="J782" ca="1">INDIRECT("b"&amp;K782+2)</f>
        <v>9.0999999999999988E+87</v>
      </c>
      <c r="K782" s="19">
        <f t="shared" si="52"/>
        <v>2638</v>
      </c>
    </row>
    <row r="783" spans="1:15">
      <c r="A783">
        <v>781</v>
      </c>
      <c r="B783">
        <v>5.2749999999999995E+42</v>
      </c>
      <c r="D783" s="18">
        <v>781</v>
      </c>
      <c r="E783" s="18" cm="1">
        <f t="array" aca="1" ref="E783" ca="1">INDIRECT("b"&amp;F783+2)</f>
        <v>9.549999999999999E+58</v>
      </c>
      <c r="F783" s="18">
        <f t="shared" si="50"/>
        <v>1440</v>
      </c>
      <c r="G783" s="18"/>
      <c r="H783" s="18"/>
      <c r="I783" s="19">
        <v>781</v>
      </c>
      <c r="J783" s="19" cm="1">
        <f t="array" aca="1" ref="J783" ca="1">INDIRECT("b"&amp;K783+2)</f>
        <v>9.5500000000000001E+87</v>
      </c>
      <c r="K783" s="19">
        <f t="shared" si="52"/>
        <v>2640</v>
      </c>
    </row>
    <row r="784" spans="1:15">
      <c r="A784">
        <v>782</v>
      </c>
      <c r="B784">
        <v>5.5E+42</v>
      </c>
      <c r="D784" s="18">
        <v>782</v>
      </c>
      <c r="E784" s="18" cm="1">
        <f t="array" aca="1" ref="E784" ca="1">INDIRECT("b"&amp;F784+2)</f>
        <v>9.7749999999999993E+58</v>
      </c>
      <c r="F784" s="18">
        <f t="shared" si="50"/>
        <v>1441</v>
      </c>
      <c r="G784" s="18">
        <f t="shared" ref="G784" ca="1" si="55">E784/E779</f>
        <v>1.1920731707317074</v>
      </c>
      <c r="H784" s="18"/>
      <c r="I784" s="19">
        <v>782</v>
      </c>
      <c r="J784" s="19" cm="1">
        <f t="array" aca="1" ref="J784" ca="1">INDIRECT("b"&amp;K784+2)</f>
        <v>9.774999999999999E+87</v>
      </c>
      <c r="K784" s="19">
        <f t="shared" si="52"/>
        <v>2641</v>
      </c>
    </row>
    <row r="785" spans="1:12">
      <c r="A785">
        <v>783</v>
      </c>
      <c r="B785">
        <v>5.7250000000000005E+42</v>
      </c>
      <c r="D785" s="18">
        <v>783</v>
      </c>
      <c r="E785" s="18" cm="1">
        <f t="array" aca="1" ref="E785" ca="1">INDIRECT("b"&amp;F785+2)</f>
        <v>1.0000000000000001E+59</v>
      </c>
      <c r="F785" s="18">
        <f t="shared" si="50"/>
        <v>1442</v>
      </c>
      <c r="G785" s="18"/>
      <c r="H785" s="18"/>
      <c r="I785" s="19">
        <v>783</v>
      </c>
      <c r="J785" s="19" cm="1">
        <f t="array" aca="1" ref="J785" ca="1">INDIRECT("b"&amp;K785+2)</f>
        <v>9.9999999999999996E+87</v>
      </c>
      <c r="K785" s="19">
        <f t="shared" si="52"/>
        <v>2642</v>
      </c>
    </row>
    <row r="786" spans="1:12">
      <c r="A786">
        <v>784</v>
      </c>
      <c r="B786">
        <v>5.9500000000000003E+42</v>
      </c>
      <c r="D786" s="18">
        <v>784</v>
      </c>
      <c r="E786" s="18" cm="1">
        <f t="array" aca="1" ref="E786" ca="1">INDIRECT("b"&amp;F786+2)</f>
        <v>1.4499999999999997E+59</v>
      </c>
      <c r="F786" s="18">
        <f t="shared" si="50"/>
        <v>1444</v>
      </c>
      <c r="G786" s="18"/>
      <c r="H786" s="18"/>
      <c r="I786" s="19">
        <v>784</v>
      </c>
      <c r="J786" s="19" cm="1">
        <f t="array" aca="1" ref="J786" ca="1">INDIRECT("b"&amp;K786+2)</f>
        <v>1.45E+88</v>
      </c>
      <c r="K786" s="19">
        <f t="shared" si="52"/>
        <v>2644</v>
      </c>
    </row>
    <row r="787" spans="1:12">
      <c r="A787">
        <v>785</v>
      </c>
      <c r="B787">
        <v>6.1750000000000002E+42</v>
      </c>
      <c r="D787" s="18">
        <v>785</v>
      </c>
      <c r="E787" s="18" cm="1">
        <f t="array" aca="1" ref="E787" ca="1">INDIRECT("b"&amp;F787+2)</f>
        <v>1.6750000000000001E+59</v>
      </c>
      <c r="F787" s="18">
        <f t="shared" si="50"/>
        <v>1445</v>
      </c>
      <c r="G787" s="18"/>
      <c r="H787" s="18"/>
      <c r="I787" s="19">
        <v>785</v>
      </c>
      <c r="J787" s="19" cm="1">
        <f t="array" aca="1" ref="J787" ca="1">INDIRECT("b"&amp;K787+2)</f>
        <v>1.6749999999999999E+88</v>
      </c>
      <c r="K787" s="19">
        <f t="shared" si="52"/>
        <v>2645</v>
      </c>
    </row>
    <row r="788" spans="1:12">
      <c r="A788">
        <v>786</v>
      </c>
      <c r="B788">
        <v>6.4E+42</v>
      </c>
      <c r="D788" s="18">
        <v>786</v>
      </c>
      <c r="E788" s="18" cm="1">
        <f t="array" aca="1" ref="E788" ca="1">INDIRECT("b"&amp;F788+2)</f>
        <v>1.9000000000000005E+59</v>
      </c>
      <c r="F788" s="18">
        <f t="shared" si="50"/>
        <v>1446</v>
      </c>
      <c r="G788" s="18"/>
      <c r="H788" s="18"/>
      <c r="I788" s="19">
        <v>786</v>
      </c>
      <c r="J788" s="19" cm="1">
        <f t="array" aca="1" ref="J788" ca="1">INDIRECT("b"&amp;K788+2)</f>
        <v>1.8999999999999998E+88</v>
      </c>
      <c r="K788" s="19">
        <f t="shared" si="52"/>
        <v>2646</v>
      </c>
    </row>
    <row r="789" spans="1:12">
      <c r="A789">
        <v>787</v>
      </c>
      <c r="B789">
        <v>6.6250000000000011E+42</v>
      </c>
      <c r="D789" s="18">
        <v>787</v>
      </c>
      <c r="E789" s="18" cm="1">
        <f t="array" aca="1" ref="E789" ca="1">INDIRECT("b"&amp;F789+2)</f>
        <v>2.3499999999999999E+59</v>
      </c>
      <c r="F789" s="18">
        <f t="shared" si="50"/>
        <v>1448</v>
      </c>
      <c r="G789" s="18">
        <f t="shared" ref="G789" ca="1" si="56">E789/E784</f>
        <v>2.4040920716112533</v>
      </c>
      <c r="H789" s="18"/>
      <c r="I789" s="19">
        <v>787</v>
      </c>
      <c r="J789" s="19" cm="1">
        <f t="array" aca="1" ref="J789" ca="1">INDIRECT("b"&amp;K789+2)</f>
        <v>2.35E+88</v>
      </c>
      <c r="K789" s="19">
        <f t="shared" si="52"/>
        <v>2648</v>
      </c>
    </row>
    <row r="790" spans="1:12">
      <c r="A790">
        <v>788</v>
      </c>
      <c r="B790">
        <v>6.850000000000001E+42</v>
      </c>
      <c r="D790" s="18">
        <v>788</v>
      </c>
      <c r="E790" s="18" cm="1">
        <f t="array" aca="1" ref="E790" ca="1">INDIRECT("b"&amp;F790+2)</f>
        <v>2.5749999999999999E+59</v>
      </c>
      <c r="F790" s="18">
        <f t="shared" si="50"/>
        <v>1449</v>
      </c>
      <c r="G790" s="18"/>
      <c r="H790" s="18"/>
      <c r="I790" s="19">
        <v>788</v>
      </c>
      <c r="J790" s="19" cm="1">
        <f t="array" aca="1" ref="J790" ca="1">INDIRECT("b"&amp;K790+2)</f>
        <v>2.575E+88</v>
      </c>
      <c r="K790" s="19">
        <f t="shared" si="52"/>
        <v>2649</v>
      </c>
    </row>
    <row r="791" spans="1:12">
      <c r="A791">
        <v>789</v>
      </c>
      <c r="B791">
        <v>7.0749999999999996E+42</v>
      </c>
      <c r="D791" s="18">
        <v>789</v>
      </c>
      <c r="E791" s="18" cm="1">
        <f t="array" aca="1" ref="E791" ca="1">INDIRECT("b"&amp;F791+2)</f>
        <v>2.8000000000000002E+59</v>
      </c>
      <c r="F791" s="18">
        <f t="shared" si="50"/>
        <v>1450</v>
      </c>
      <c r="G791" s="18"/>
      <c r="H791" s="18"/>
      <c r="I791" s="19">
        <v>789</v>
      </c>
      <c r="J791" s="19" cm="1">
        <f t="array" aca="1" ref="J791" ca="1">INDIRECT("b"&amp;K791+2)</f>
        <v>2.7999999999999999E+88</v>
      </c>
      <c r="K791" s="19">
        <f t="shared" si="52"/>
        <v>2650</v>
      </c>
    </row>
    <row r="792" spans="1:12">
      <c r="A792">
        <v>790</v>
      </c>
      <c r="B792">
        <v>7.3000000000000007E+42</v>
      </c>
      <c r="D792" s="18">
        <v>790</v>
      </c>
      <c r="E792" s="18" cm="1">
        <f t="array" aca="1" ref="E792" ca="1">INDIRECT("b"&amp;F792+2)</f>
        <v>3.2500000000000001E+59</v>
      </c>
      <c r="F792" s="18">
        <f t="shared" si="50"/>
        <v>1452</v>
      </c>
      <c r="G792" s="18"/>
      <c r="H792" s="18"/>
      <c r="I792" s="19">
        <v>790</v>
      </c>
      <c r="J792" s="19" cm="1">
        <f t="array" aca="1" ref="J792" ca="1">INDIRECT("b"&amp;K792+2)</f>
        <v>3.2500000000000001E+88</v>
      </c>
      <c r="K792" s="19">
        <f t="shared" si="52"/>
        <v>2652</v>
      </c>
    </row>
    <row r="793" spans="1:12">
      <c r="A793">
        <v>791</v>
      </c>
      <c r="B793">
        <v>7.5249999999999993E+42</v>
      </c>
      <c r="D793" s="18">
        <v>791</v>
      </c>
      <c r="E793" s="18" cm="1">
        <f t="array" aca="1" ref="E793" ca="1">INDIRECT("b"&amp;F793+2)</f>
        <v>3.475E+59</v>
      </c>
      <c r="F793" s="18">
        <f t="shared" si="50"/>
        <v>1453</v>
      </c>
      <c r="G793" s="18"/>
      <c r="H793" s="18"/>
      <c r="I793" s="19">
        <v>791</v>
      </c>
      <c r="J793" s="19" cm="1">
        <f t="array" aca="1" ref="J793" ca="1">INDIRECT("b"&amp;K793+2)</f>
        <v>3.4749999999999997E+88</v>
      </c>
      <c r="K793" s="19">
        <f t="shared" si="52"/>
        <v>2653</v>
      </c>
    </row>
    <row r="794" spans="1:12">
      <c r="A794">
        <v>792</v>
      </c>
      <c r="B794">
        <v>7.7500000000000004E+42</v>
      </c>
      <c r="D794" s="18">
        <v>792</v>
      </c>
      <c r="E794" s="18" cm="1">
        <f t="array" aca="1" ref="E794" ca="1">INDIRECT("b"&amp;F794+2)</f>
        <v>3.7E+59</v>
      </c>
      <c r="F794" s="18">
        <f t="shared" si="50"/>
        <v>1454</v>
      </c>
      <c r="G794" s="18">
        <f t="shared" ref="G794" ca="1" si="57">E794/E789</f>
        <v>1.574468085106383</v>
      </c>
      <c r="H794" s="18"/>
      <c r="I794" s="19">
        <v>792</v>
      </c>
      <c r="J794" s="19" cm="1">
        <f t="array" aca="1" ref="J794" ca="1">INDIRECT("b"&amp;K794+2)</f>
        <v>3.6999999999999999E+88</v>
      </c>
      <c r="K794" s="19">
        <f t="shared" si="52"/>
        <v>2654</v>
      </c>
    </row>
    <row r="795" spans="1:12">
      <c r="A795">
        <v>793</v>
      </c>
      <c r="B795">
        <v>7.9750000000000002E+42</v>
      </c>
      <c r="D795" s="18">
        <v>793</v>
      </c>
      <c r="E795" s="18" cm="1">
        <f t="array" aca="1" ref="E795" ca="1">INDIRECT("b"&amp;F795+2)</f>
        <v>4.1500000000000012E+59</v>
      </c>
      <c r="F795" s="18">
        <f t="shared" si="50"/>
        <v>1456</v>
      </c>
      <c r="G795" s="18"/>
      <c r="H795" s="18"/>
      <c r="I795" s="19">
        <v>793</v>
      </c>
      <c r="J795" s="19" cm="1">
        <f t="array" aca="1" ref="J795" ca="1">INDIRECT("b"&amp;K795+2)</f>
        <v>4.1499999999999998E+88</v>
      </c>
      <c r="K795" s="19">
        <f t="shared" si="52"/>
        <v>2656</v>
      </c>
    </row>
    <row r="796" spans="1:12">
      <c r="A796">
        <v>794</v>
      </c>
      <c r="B796">
        <v>8.1999999999999989E+42</v>
      </c>
      <c r="D796" s="18">
        <v>794</v>
      </c>
      <c r="E796" s="18" cm="1">
        <f t="array" aca="1" ref="E796" ca="1">INDIRECT("b"&amp;F796+2)</f>
        <v>4.3749999999999993E+59</v>
      </c>
      <c r="F796" s="18">
        <f t="shared" si="50"/>
        <v>1457</v>
      </c>
      <c r="G796" s="18"/>
      <c r="H796" s="18"/>
      <c r="I796" s="19">
        <v>794</v>
      </c>
      <c r="J796" s="19" cm="1">
        <f t="array" aca="1" ref="J796" ca="1">INDIRECT("b"&amp;K796+2)</f>
        <v>4.3750000000000001E+88</v>
      </c>
      <c r="K796" s="19">
        <f t="shared" si="52"/>
        <v>2657</v>
      </c>
      <c r="L796" t="s">
        <v>17</v>
      </c>
    </row>
    <row r="797" spans="1:12">
      <c r="A797">
        <v>795</v>
      </c>
      <c r="B797">
        <v>8.4249999999999999E+42</v>
      </c>
      <c r="D797" s="18">
        <v>795</v>
      </c>
      <c r="E797" s="18" cm="1">
        <f t="array" aca="1" ref="E797" ca="1">INDIRECT("b"&amp;F797+2)</f>
        <v>4.6000000000000002E+59</v>
      </c>
      <c r="F797" s="18">
        <f t="shared" si="50"/>
        <v>1458</v>
      </c>
      <c r="G797" s="18"/>
      <c r="H797" s="18"/>
      <c r="I797" s="19">
        <v>795</v>
      </c>
      <c r="J797" s="19" cm="1">
        <f t="array" aca="1" ref="J797" ca="1">INDIRECT("b"&amp;K797+2)</f>
        <v>4.6000000000000003E+88</v>
      </c>
      <c r="K797" s="19">
        <f t="shared" si="52"/>
        <v>2658</v>
      </c>
      <c r="L797" t="e">
        <f>#REF!*#REF!</f>
        <v>#REF!</v>
      </c>
    </row>
    <row r="798" spans="1:12">
      <c r="A798">
        <v>796</v>
      </c>
      <c r="B798">
        <v>8.6499999999999998E+42</v>
      </c>
      <c r="D798" s="18">
        <v>796</v>
      </c>
      <c r="E798" s="18" cm="1">
        <f t="array" aca="1" ref="E798" ca="1">INDIRECT("b"&amp;F798+2)</f>
        <v>5.05E+59</v>
      </c>
      <c r="F798" s="18">
        <f t="shared" si="50"/>
        <v>1460</v>
      </c>
      <c r="G798" s="18"/>
      <c r="H798" s="18"/>
      <c r="I798" s="19">
        <v>796</v>
      </c>
      <c r="J798" s="19" cm="1">
        <f t="array" aca="1" ref="J798" ca="1">INDIRECT("b"&amp;K798+2)</f>
        <v>5.0500000000000002E+88</v>
      </c>
      <c r="K798" s="19">
        <f t="shared" si="52"/>
        <v>2660</v>
      </c>
    </row>
    <row r="799" spans="1:12">
      <c r="A799">
        <v>797</v>
      </c>
      <c r="B799">
        <v>8.8749999999999996E+42</v>
      </c>
      <c r="D799" s="18">
        <v>797</v>
      </c>
      <c r="E799" s="18" cm="1">
        <f t="array" aca="1" ref="E799" ca="1">INDIRECT("b"&amp;F799+2)</f>
        <v>5.275E+59</v>
      </c>
      <c r="F799" s="18">
        <f t="shared" si="50"/>
        <v>1461</v>
      </c>
      <c r="G799" s="18">
        <f t="shared" ref="G799" ca="1" si="58">E799/E794</f>
        <v>1.4256756756756757</v>
      </c>
      <c r="H799" s="18"/>
      <c r="I799" s="19">
        <v>797</v>
      </c>
      <c r="J799" s="19" cm="1">
        <f t="array" aca="1" ref="J799" ca="1">INDIRECT("b"&amp;K799+2)</f>
        <v>5.2749999999999998E+88</v>
      </c>
      <c r="K799" s="19">
        <f t="shared" si="52"/>
        <v>2661</v>
      </c>
      <c r="L799" t="s">
        <v>14</v>
      </c>
    </row>
    <row r="800" spans="1:12">
      <c r="A800">
        <v>798</v>
      </c>
      <c r="B800">
        <v>9.0999999999999983E+42</v>
      </c>
      <c r="D800" s="18">
        <v>798</v>
      </c>
      <c r="E800" s="18" cm="1">
        <f t="array" aca="1" ref="E800" ca="1">INDIRECT("b"&amp;F800+2)</f>
        <v>5.499999999999999E+59</v>
      </c>
      <c r="F800" s="18">
        <f t="shared" si="50"/>
        <v>1462</v>
      </c>
      <c r="G800" s="18"/>
      <c r="H800" s="18"/>
      <c r="I800" s="19">
        <v>798</v>
      </c>
      <c r="J800" s="19" cm="1">
        <f t="array" aca="1" ref="J800" ca="1">INDIRECT("b"&amp;K800+2)</f>
        <v>5.5E+88</v>
      </c>
      <c r="K800" s="19">
        <f t="shared" si="52"/>
        <v>2662</v>
      </c>
    </row>
    <row r="801" spans="1:12">
      <c r="A801">
        <v>799</v>
      </c>
      <c r="B801">
        <v>9.3249999999999993E+42</v>
      </c>
      <c r="D801" s="18">
        <v>799</v>
      </c>
      <c r="E801" s="18" cm="1">
        <f t="array" aca="1" ref="E801" ca="1">INDIRECT("b"&amp;F801+2)</f>
        <v>5.9500000000000007E+59</v>
      </c>
      <c r="F801" s="18">
        <f t="shared" si="50"/>
        <v>1464</v>
      </c>
      <c r="G801" s="18"/>
      <c r="H801" s="18"/>
      <c r="I801" s="19">
        <v>799</v>
      </c>
      <c r="J801" s="19" cm="1">
        <f t="array" aca="1" ref="J801" ca="1">INDIRECT("b"&amp;K801+2)</f>
        <v>5.9499999999999999E+88</v>
      </c>
      <c r="K801" s="19">
        <f t="shared" si="52"/>
        <v>2664</v>
      </c>
      <c r="L801">
        <v>801</v>
      </c>
    </row>
    <row r="802" spans="1:12">
      <c r="A802">
        <v>800</v>
      </c>
      <c r="B802">
        <v>9.5500000000000004E+42</v>
      </c>
      <c r="D802" s="18">
        <v>800</v>
      </c>
      <c r="E802" s="18" cm="1">
        <f t="array" aca="1" ref="E802" ca="1">INDIRECT("b"&amp;F802+2)</f>
        <v>6.1749999999999997E+59</v>
      </c>
      <c r="F802" s="18">
        <f t="shared" si="50"/>
        <v>1465</v>
      </c>
      <c r="G802" s="18"/>
      <c r="H802" s="18"/>
      <c r="I802" s="19">
        <v>800</v>
      </c>
      <c r="J802" s="19" cm="1">
        <f t="array" aca="1" ref="J802" ca="1">INDIRECT("b"&amp;K802+2)</f>
        <v>6.1750000000000002E+88</v>
      </c>
      <c r="K802" s="19">
        <f t="shared" si="52"/>
        <v>2665</v>
      </c>
      <c r="L802">
        <v>1</v>
      </c>
    </row>
    <row r="803" spans="1:12">
      <c r="A803">
        <v>801</v>
      </c>
      <c r="B803">
        <v>9.774999999999999E+42</v>
      </c>
      <c r="D803" s="18">
        <v>801</v>
      </c>
      <c r="E803" s="18" cm="1">
        <f t="array" aca="1" ref="E803" ca="1">INDIRECT("b"&amp;F803+2)</f>
        <v>6.3999999999999987E+59</v>
      </c>
      <c r="F803" s="18">
        <f t="shared" si="50"/>
        <v>1466</v>
      </c>
      <c r="G803" s="18"/>
      <c r="H803" s="18"/>
      <c r="I803" s="19">
        <v>801</v>
      </c>
      <c r="J803" s="19" cm="1">
        <f t="array" aca="1" ref="J803" ca="1">INDIRECT("b"&amp;K803+2)</f>
        <v>6.3999999999999997E+88</v>
      </c>
      <c r="K803" s="19">
        <f t="shared" si="52"/>
        <v>2666</v>
      </c>
      <c r="L803">
        <v>2</v>
      </c>
    </row>
    <row r="804" spans="1:12">
      <c r="A804">
        <v>802</v>
      </c>
      <c r="B804">
        <v>1E+43</v>
      </c>
      <c r="D804" s="18">
        <v>802</v>
      </c>
      <c r="E804" s="18" cm="1">
        <f t="array" aca="1" ref="E804" ca="1">INDIRECT("b"&amp;F804+2)</f>
        <v>6.8500000000000013E+59</v>
      </c>
      <c r="F804" s="18">
        <f t="shared" si="50"/>
        <v>1468</v>
      </c>
      <c r="G804" s="18">
        <f t="shared" ref="G804" ca="1" si="59">E804/E799</f>
        <v>1.298578199052133</v>
      </c>
      <c r="H804" s="18"/>
      <c r="I804" s="19">
        <v>802</v>
      </c>
      <c r="J804" s="19" cm="1">
        <f t="array" aca="1" ref="J804" ca="1">INDIRECT("b"&amp;K804+2)</f>
        <v>6.8500000000000003E+88</v>
      </c>
      <c r="K804" s="19">
        <f t="shared" si="52"/>
        <v>2668</v>
      </c>
      <c r="L804">
        <v>3</v>
      </c>
    </row>
    <row r="805" spans="1:12">
      <c r="A805">
        <v>803</v>
      </c>
      <c r="B805">
        <v>1.2250000000000002E+43</v>
      </c>
      <c r="D805" s="18">
        <v>803</v>
      </c>
      <c r="E805" s="18" cm="1">
        <f t="array" aca="1" ref="E805" ca="1">INDIRECT("b"&amp;F805+2)</f>
        <v>7.0749999999999994E+59</v>
      </c>
      <c r="F805" s="18">
        <f t="shared" si="50"/>
        <v>1469</v>
      </c>
      <c r="G805" s="18"/>
      <c r="H805" s="18"/>
      <c r="I805" s="19">
        <v>803</v>
      </c>
      <c r="J805" s="19" cm="1">
        <f t="array" aca="1" ref="J805" ca="1">INDIRECT("b"&amp;K805+2)</f>
        <v>7.0750000000000006E+88</v>
      </c>
      <c r="K805" s="19">
        <f t="shared" si="52"/>
        <v>2669</v>
      </c>
      <c r="L805">
        <v>4</v>
      </c>
    </row>
    <row r="806" spans="1:12">
      <c r="A806">
        <v>804</v>
      </c>
      <c r="B806">
        <v>1.4499999999999998E+43</v>
      </c>
      <c r="D806" s="18">
        <v>804</v>
      </c>
      <c r="E806" s="18" cm="1">
        <f t="array" aca="1" ref="E806" ca="1">INDIRECT("b"&amp;F806+2)</f>
        <v>7.3000000000000012E+59</v>
      </c>
      <c r="F806" s="18">
        <f t="shared" si="50"/>
        <v>1470</v>
      </c>
      <c r="G806" s="18"/>
      <c r="H806" s="18"/>
      <c r="I806" s="19">
        <v>804</v>
      </c>
      <c r="J806" s="19" cm="1">
        <f t="array" aca="1" ref="J806" ca="1">INDIRECT("b"&amp;K806+2)</f>
        <v>7.2999999999999994E+88</v>
      </c>
      <c r="K806" s="19">
        <f t="shared" si="52"/>
        <v>2670</v>
      </c>
      <c r="L806">
        <v>5</v>
      </c>
    </row>
    <row r="807" spans="1:12">
      <c r="A807">
        <v>805</v>
      </c>
      <c r="B807">
        <v>1.6749999999999999E+43</v>
      </c>
      <c r="D807" s="18">
        <v>805</v>
      </c>
      <c r="E807" s="18" cm="1">
        <f t="array" aca="1" ref="E807" ca="1">INDIRECT("b"&amp;F807+2)</f>
        <v>7.7499999999999993E+59</v>
      </c>
      <c r="F807" s="18">
        <f t="shared" si="50"/>
        <v>1472</v>
      </c>
      <c r="G807" s="18"/>
      <c r="H807" s="18"/>
      <c r="I807" s="19">
        <v>805</v>
      </c>
      <c r="J807" s="19" cm="1">
        <f t="array" aca="1" ref="J807" ca="1">INDIRECT("b"&amp;K807+2)</f>
        <v>7.75E+88</v>
      </c>
      <c r="K807" s="19">
        <f t="shared" si="52"/>
        <v>2672</v>
      </c>
      <c r="L807">
        <v>6</v>
      </c>
    </row>
    <row r="808" spans="1:12">
      <c r="A808">
        <v>806</v>
      </c>
      <c r="B808">
        <v>1.9000000000000003E+43</v>
      </c>
      <c r="D808" s="18">
        <v>806</v>
      </c>
      <c r="E808" s="18" cm="1">
        <f t="array" aca="1" ref="E808" ca="1">INDIRECT("b"&amp;F808+2)</f>
        <v>7.975000000000001E+59</v>
      </c>
      <c r="F808" s="18">
        <f t="shared" si="50"/>
        <v>1473</v>
      </c>
      <c r="G808" s="18"/>
      <c r="H808" s="18"/>
      <c r="I808" s="19">
        <v>806</v>
      </c>
      <c r="J808" s="19" cm="1">
        <f t="array" aca="1" ref="J808" ca="1">INDIRECT("b"&amp;K808+2)</f>
        <v>7.9750000000000003E+88</v>
      </c>
      <c r="K808" s="19">
        <f t="shared" si="52"/>
        <v>2673</v>
      </c>
      <c r="L808">
        <v>7</v>
      </c>
    </row>
    <row r="809" spans="1:12">
      <c r="A809">
        <v>807</v>
      </c>
      <c r="B809">
        <v>2.1249999999999999E+43</v>
      </c>
      <c r="D809" s="18">
        <v>807</v>
      </c>
      <c r="E809" s="18" cm="1">
        <f t="array" aca="1" ref="E809" ca="1">INDIRECT("b"&amp;F809+2)</f>
        <v>8.1999999999999982E+59</v>
      </c>
      <c r="F809" s="18">
        <f t="shared" si="50"/>
        <v>1474</v>
      </c>
      <c r="G809" s="18">
        <f t="shared" ref="G809" ca="1" si="60">E809/E804</f>
        <v>1.1970802919708023</v>
      </c>
      <c r="H809" s="18"/>
      <c r="I809" s="19">
        <v>807</v>
      </c>
      <c r="J809" s="19" cm="1">
        <f t="array" aca="1" ref="J809" ca="1">INDIRECT("b"&amp;K809+2)</f>
        <v>8.2000000000000006E+88</v>
      </c>
      <c r="K809" s="19">
        <f t="shared" si="52"/>
        <v>2674</v>
      </c>
      <c r="L809">
        <v>8</v>
      </c>
    </row>
    <row r="810" spans="1:12">
      <c r="A810">
        <v>808</v>
      </c>
      <c r="B810">
        <v>2.35E+43</v>
      </c>
      <c r="D810" s="18">
        <v>808</v>
      </c>
      <c r="E810" s="18" cm="1">
        <f t="array" aca="1" ref="E810" ca="1">INDIRECT("b"&amp;F810+2)</f>
        <v>8.6499999999999999E+59</v>
      </c>
      <c r="F810" s="18">
        <f t="shared" si="50"/>
        <v>1476</v>
      </c>
      <c r="G810" s="18"/>
      <c r="H810" s="18"/>
      <c r="I810" s="19">
        <v>808</v>
      </c>
      <c r="J810" s="19" cm="1">
        <f t="array" aca="1" ref="J810" ca="1">INDIRECT("b"&amp;K810+2)</f>
        <v>8.6499999999999997E+88</v>
      </c>
      <c r="K810" s="19">
        <f t="shared" si="52"/>
        <v>2676</v>
      </c>
      <c r="L810">
        <v>9</v>
      </c>
    </row>
    <row r="811" spans="1:12">
      <c r="A811">
        <v>809</v>
      </c>
      <c r="B811">
        <v>2.5749999999999996E+43</v>
      </c>
      <c r="D811" s="18">
        <v>809</v>
      </c>
      <c r="E811" s="18" cm="1">
        <f t="array" aca="1" ref="E811" ca="1">INDIRECT("b"&amp;F811+2)</f>
        <v>8.8750000000000007E+59</v>
      </c>
      <c r="F811" s="18">
        <f t="shared" si="50"/>
        <v>1477</v>
      </c>
      <c r="G811" s="18"/>
      <c r="H811" s="18"/>
      <c r="I811" s="19">
        <v>809</v>
      </c>
      <c r="J811" s="19" cm="1">
        <f t="array" aca="1" ref="J811" ca="1">INDIRECT("b"&amp;K811+2)</f>
        <v>8.875E+88</v>
      </c>
      <c r="K811" s="19">
        <f t="shared" si="52"/>
        <v>2677</v>
      </c>
      <c r="L811">
        <v>10</v>
      </c>
    </row>
    <row r="812" spans="1:12">
      <c r="A812">
        <v>810</v>
      </c>
      <c r="B812">
        <v>2.8000000000000002E+43</v>
      </c>
      <c r="D812" s="18">
        <v>810</v>
      </c>
      <c r="E812" s="18" cm="1">
        <f t="array" aca="1" ref="E812" ca="1">INDIRECT("b"&amp;F812+2)</f>
        <v>9.099999999999998E+59</v>
      </c>
      <c r="F812" s="18">
        <f t="shared" si="50"/>
        <v>1478</v>
      </c>
      <c r="G812" s="18"/>
      <c r="H812" s="18"/>
      <c r="I812" s="19">
        <v>810</v>
      </c>
      <c r="J812" s="19" cm="1">
        <f t="array" aca="1" ref="J812" ca="1">INDIRECT("b"&amp;K812+2)</f>
        <v>9.1000000000000002E+88</v>
      </c>
      <c r="K812" s="19">
        <f t="shared" si="52"/>
        <v>2678</v>
      </c>
      <c r="L812">
        <v>11</v>
      </c>
    </row>
    <row r="813" spans="1:12">
      <c r="A813">
        <v>811</v>
      </c>
      <c r="B813">
        <v>3.0250000000000003E+43</v>
      </c>
      <c r="D813" s="18">
        <v>811</v>
      </c>
      <c r="E813" s="18" cm="1">
        <f t="array" aca="1" ref="E813" ca="1">INDIRECT("b"&amp;F813+2)</f>
        <v>9.5499999999999996E+59</v>
      </c>
      <c r="F813" s="18">
        <f t="shared" si="50"/>
        <v>1480</v>
      </c>
      <c r="G813" s="18"/>
      <c r="H813" s="18"/>
      <c r="I813" s="19">
        <v>811</v>
      </c>
      <c r="J813" s="19" cm="1">
        <f t="array" aca="1" ref="J813" ca="1">INDIRECT("b"&amp;K813+2)</f>
        <v>9.5499999999999994E+88</v>
      </c>
      <c r="K813" s="19">
        <f t="shared" si="52"/>
        <v>2680</v>
      </c>
      <c r="L813">
        <v>12</v>
      </c>
    </row>
    <row r="814" spans="1:12">
      <c r="A814">
        <v>812</v>
      </c>
      <c r="B814">
        <v>3.2499999999999994E+43</v>
      </c>
      <c r="D814" s="18">
        <v>812</v>
      </c>
      <c r="E814" s="18" cm="1">
        <f t="array" aca="1" ref="E814" ca="1">INDIRECT("b"&amp;F814+2)</f>
        <v>9.7749999999999987E+59</v>
      </c>
      <c r="F814" s="18">
        <f t="shared" si="50"/>
        <v>1481</v>
      </c>
      <c r="G814" s="18">
        <f t="shared" ref="G814" ca="1" si="61">E814/E809</f>
        <v>1.1920731707317074</v>
      </c>
      <c r="H814" s="18"/>
      <c r="I814" s="19">
        <v>812</v>
      </c>
      <c r="J814" s="19" cm="1">
        <f t="array" aca="1" ref="J814" ca="1">INDIRECT("b"&amp;K814+2)</f>
        <v>9.7749999999999997E+88</v>
      </c>
      <c r="K814" s="19">
        <f t="shared" si="52"/>
        <v>2681</v>
      </c>
      <c r="L814">
        <v>13</v>
      </c>
    </row>
    <row r="815" spans="1:12">
      <c r="A815">
        <v>813</v>
      </c>
      <c r="B815">
        <v>3.475E+43</v>
      </c>
      <c r="D815" s="18">
        <v>813</v>
      </c>
      <c r="E815" s="18" cm="1">
        <f t="array" aca="1" ref="E815" ca="1">INDIRECT("b"&amp;F815+2)</f>
        <v>1.0000000000000001E+60</v>
      </c>
      <c r="F815" s="18">
        <f t="shared" si="50"/>
        <v>1482</v>
      </c>
      <c r="G815" s="18"/>
      <c r="H815" s="18"/>
      <c r="I815" s="19">
        <v>813</v>
      </c>
      <c r="J815" s="19" cm="1">
        <f t="array" aca="1" ref="J815" ca="1">INDIRECT("b"&amp;K815+2)</f>
        <v>9.9999999999999985E+88</v>
      </c>
      <c r="K815" s="19">
        <f t="shared" si="52"/>
        <v>2682</v>
      </c>
      <c r="L815">
        <v>14</v>
      </c>
    </row>
    <row r="816" spans="1:12">
      <c r="A816">
        <v>814</v>
      </c>
      <c r="B816">
        <v>3.7000000000000001E+43</v>
      </c>
      <c r="D816" s="18">
        <v>814</v>
      </c>
      <c r="E816" s="18" cm="1">
        <f t="array" aca="1" ref="E816" ca="1">INDIRECT("b"&amp;F816+2)</f>
        <v>1.4499999999999998E+60</v>
      </c>
      <c r="F816" s="18">
        <f t="shared" si="50"/>
        <v>1484</v>
      </c>
      <c r="G816" s="18"/>
      <c r="H816" s="18"/>
      <c r="I816" s="19">
        <v>814</v>
      </c>
      <c r="J816" s="19" cm="1">
        <f t="array" aca="1" ref="J816" ca="1">INDIRECT("b"&amp;K816+2)</f>
        <v>1.4499999999999998E+89</v>
      </c>
      <c r="K816" s="19">
        <f t="shared" si="52"/>
        <v>2684</v>
      </c>
      <c r="L816">
        <v>15</v>
      </c>
    </row>
    <row r="817" spans="1:12">
      <c r="A817">
        <v>815</v>
      </c>
      <c r="B817">
        <v>3.9250000000000002E+43</v>
      </c>
      <c r="D817" s="18">
        <v>815</v>
      </c>
      <c r="E817" s="18" cm="1">
        <f t="array" aca="1" ref="E817" ca="1">INDIRECT("b"&amp;F817+2)</f>
        <v>1.6749999999999999E+60</v>
      </c>
      <c r="F817" s="18">
        <f t="shared" si="50"/>
        <v>1485</v>
      </c>
      <c r="G817" s="18"/>
      <c r="H817" s="18"/>
      <c r="I817" s="19">
        <v>815</v>
      </c>
      <c r="J817" s="19" cm="1">
        <f t="array" aca="1" ref="J817" ca="1">INDIRECT("b"&amp;K817+2)</f>
        <v>1.6749999999999998E+89</v>
      </c>
      <c r="K817" s="19">
        <f t="shared" si="52"/>
        <v>2685</v>
      </c>
      <c r="L817">
        <v>16</v>
      </c>
    </row>
    <row r="818" spans="1:12">
      <c r="A818">
        <v>816</v>
      </c>
      <c r="B818">
        <v>4.1500000000000003E+43</v>
      </c>
      <c r="D818" s="18">
        <v>816</v>
      </c>
      <c r="E818" s="18" cm="1">
        <f t="array" aca="1" ref="E818" ca="1">INDIRECT("b"&amp;F818+2)</f>
        <v>1.9000000000000004E+60</v>
      </c>
      <c r="F818" s="18">
        <f t="shared" si="50"/>
        <v>1486</v>
      </c>
      <c r="G818" s="18"/>
      <c r="H818" s="18"/>
      <c r="I818" s="19">
        <v>816</v>
      </c>
      <c r="J818" s="19" cm="1">
        <f t="array" aca="1" ref="J818" ca="1">INDIRECT("b"&amp;K818+2)</f>
        <v>1.8999999999999998E+89</v>
      </c>
      <c r="K818" s="19">
        <f t="shared" si="52"/>
        <v>2686</v>
      </c>
      <c r="L818">
        <v>17</v>
      </c>
    </row>
    <row r="819" spans="1:12">
      <c r="A819">
        <v>817</v>
      </c>
      <c r="B819">
        <v>4.3749999999999999E+43</v>
      </c>
      <c r="D819" s="18">
        <v>817</v>
      </c>
      <c r="E819" s="18" cm="1">
        <f t="array" aca="1" ref="E819" ca="1">INDIRECT("b"&amp;F819+2)</f>
        <v>2.3500000000000003E+60</v>
      </c>
      <c r="F819" s="18">
        <f t="shared" si="50"/>
        <v>1488</v>
      </c>
      <c r="G819" s="18">
        <f t="shared" ref="G819" ca="1" si="62">E819/E814</f>
        <v>2.4040920716112537</v>
      </c>
      <c r="H819" s="18"/>
      <c r="I819" s="19">
        <v>817</v>
      </c>
      <c r="J819" s="19" cm="1">
        <f t="array" aca="1" ref="J819" ca="1">INDIRECT("b"&amp;K819+2)</f>
        <v>2.3499999999999998E+89</v>
      </c>
      <c r="K819" s="19">
        <f t="shared" si="52"/>
        <v>2688</v>
      </c>
      <c r="L819">
        <v>18</v>
      </c>
    </row>
    <row r="820" spans="1:12">
      <c r="A820">
        <v>818</v>
      </c>
      <c r="B820">
        <v>4.5999999999999995E+43</v>
      </c>
      <c r="D820" s="18">
        <v>818</v>
      </c>
      <c r="E820" s="18" cm="1">
        <f t="array" aca="1" ref="E820" ca="1">INDIRECT("b"&amp;F820+2)</f>
        <v>2.575E+60</v>
      </c>
      <c r="F820" s="18">
        <f t="shared" si="50"/>
        <v>1489</v>
      </c>
      <c r="G820" s="18"/>
      <c r="H820" s="18"/>
      <c r="I820" s="19">
        <v>818</v>
      </c>
      <c r="J820" s="19" cm="1">
        <f t="array" aca="1" ref="J820" ca="1">INDIRECT("b"&amp;K820+2)</f>
        <v>2.5749999999999998E+89</v>
      </c>
      <c r="K820" s="19">
        <f t="shared" si="52"/>
        <v>2689</v>
      </c>
      <c r="L820">
        <v>19</v>
      </c>
    </row>
    <row r="821" spans="1:12">
      <c r="A821">
        <v>819</v>
      </c>
      <c r="B821">
        <v>4.8250000000000011E+43</v>
      </c>
      <c r="D821" s="18">
        <v>819</v>
      </c>
      <c r="E821" s="18" cm="1">
        <f t="array" aca="1" ref="E821" ca="1">INDIRECT("b"&amp;F821+2)</f>
        <v>2.8000000000000001E+60</v>
      </c>
      <c r="F821" s="18">
        <f t="shared" si="50"/>
        <v>1490</v>
      </c>
      <c r="G821" s="18"/>
      <c r="H821" s="18"/>
      <c r="I821" s="19">
        <v>819</v>
      </c>
      <c r="J821" s="19" cm="1">
        <f t="array" aca="1" ref="J821" ca="1">INDIRECT("b"&amp;K821+2)</f>
        <v>2.7999999999999998E+89</v>
      </c>
      <c r="K821" s="19">
        <f t="shared" si="52"/>
        <v>2690</v>
      </c>
      <c r="L821">
        <v>20</v>
      </c>
    </row>
    <row r="822" spans="1:12">
      <c r="A822">
        <v>820</v>
      </c>
      <c r="B822">
        <v>5.0499999999999997E+43</v>
      </c>
      <c r="D822" s="18">
        <v>820</v>
      </c>
      <c r="E822" s="18" cm="1">
        <f t="array" aca="1" ref="E822" ca="1">INDIRECT("b"&amp;F822+2)</f>
        <v>3.2500000000000004E+60</v>
      </c>
      <c r="F822" s="18">
        <f t="shared" si="50"/>
        <v>1492</v>
      </c>
      <c r="G822" s="18"/>
      <c r="H822" s="18"/>
      <c r="I822" s="19">
        <v>820</v>
      </c>
      <c r="J822" s="19" cm="1">
        <f t="array" aca="1" ref="J822" ca="1">INDIRECT("b"&amp;K822+2)</f>
        <v>3.2499999999999998E+89</v>
      </c>
      <c r="K822" s="19">
        <f t="shared" si="52"/>
        <v>2692</v>
      </c>
      <c r="L822">
        <v>21</v>
      </c>
    </row>
    <row r="823" spans="1:12">
      <c r="A823">
        <v>821</v>
      </c>
      <c r="B823">
        <v>5.2749999999999993E+43</v>
      </c>
      <c r="D823" s="18">
        <v>821</v>
      </c>
      <c r="E823" s="18" cm="1">
        <f t="array" aca="1" ref="E823" ca="1">INDIRECT("b"&amp;F823+2)</f>
        <v>3.4750000000000005E+60</v>
      </c>
      <c r="F823" s="18">
        <f t="shared" si="50"/>
        <v>1493</v>
      </c>
      <c r="G823" s="18"/>
      <c r="H823" s="18"/>
      <c r="I823" s="19">
        <v>821</v>
      </c>
      <c r="J823" s="19" cm="1">
        <f t="array" aca="1" ref="J823" ca="1">INDIRECT("b"&amp;K823+2)</f>
        <v>3.4749999999999998E+89</v>
      </c>
      <c r="K823" s="19">
        <f t="shared" si="52"/>
        <v>2693</v>
      </c>
      <c r="L823">
        <v>22</v>
      </c>
    </row>
    <row r="824" spans="1:12">
      <c r="A824">
        <v>822</v>
      </c>
      <c r="B824" s="2">
        <v>5.4999999999999999E+43</v>
      </c>
      <c r="C824" s="2"/>
      <c r="D824" s="18">
        <v>822</v>
      </c>
      <c r="E824" s="18" cm="1">
        <f t="array" aca="1" ref="E824" ca="1">INDIRECT("b"&amp;F824+2)</f>
        <v>3.6999999999999999E+60</v>
      </c>
      <c r="F824" s="18">
        <f t="shared" si="50"/>
        <v>1494</v>
      </c>
      <c r="G824" s="18">
        <f t="shared" ref="G824" ca="1" si="63">E824/E819</f>
        <v>1.5744680851063828</v>
      </c>
      <c r="H824" s="18"/>
      <c r="I824" s="19">
        <v>822</v>
      </c>
      <c r="J824" s="19" cm="1">
        <f t="array" aca="1" ref="J824" ca="1">INDIRECT("b"&amp;K824+2)</f>
        <v>3.6999999999999998E+89</v>
      </c>
      <c r="K824" s="19">
        <f t="shared" si="52"/>
        <v>2694</v>
      </c>
      <c r="L824">
        <v>23</v>
      </c>
    </row>
    <row r="825" spans="1:12">
      <c r="A825">
        <v>823</v>
      </c>
      <c r="B825">
        <v>5.7250000000000005E+43</v>
      </c>
      <c r="D825" s="18">
        <v>823</v>
      </c>
      <c r="E825" s="18" cm="1">
        <f t="array" aca="1" ref="E825" ca="1">INDIRECT("b"&amp;F825+2)</f>
        <v>4.1500000000000008E+60</v>
      </c>
      <c r="F825" s="18">
        <f t="shared" si="50"/>
        <v>1496</v>
      </c>
      <c r="G825" s="18"/>
      <c r="H825" s="18"/>
      <c r="I825" s="19">
        <v>823</v>
      </c>
      <c r="J825" s="19" cm="1">
        <f t="array" aca="1" ref="J825" ca="1">INDIRECT("b"&amp;K825+2)</f>
        <v>4.1499999999999998E+89</v>
      </c>
      <c r="K825" s="19">
        <f t="shared" si="52"/>
        <v>2696</v>
      </c>
      <c r="L825">
        <v>24</v>
      </c>
    </row>
    <row r="826" spans="1:12">
      <c r="A826">
        <v>824</v>
      </c>
      <c r="B826">
        <v>5.9500000000000011E+43</v>
      </c>
      <c r="D826" s="18">
        <v>824</v>
      </c>
      <c r="E826" s="18" cm="1">
        <f t="array" aca="1" ref="E826" ca="1">INDIRECT("b"&amp;F826+2)</f>
        <v>4.3749999999999995E+60</v>
      </c>
      <c r="F826" s="18">
        <f t="shared" si="50"/>
        <v>1497</v>
      </c>
      <c r="G826" s="18"/>
      <c r="H826" s="18"/>
      <c r="I826" s="19">
        <v>824</v>
      </c>
      <c r="J826" s="19" cm="1">
        <f t="array" aca="1" ref="J826" ca="1">INDIRECT("b"&amp;K826+2)</f>
        <v>4.3749999999999998E+89</v>
      </c>
      <c r="K826" s="19">
        <f t="shared" si="52"/>
        <v>2697</v>
      </c>
      <c r="L826">
        <v>25</v>
      </c>
    </row>
    <row r="827" spans="1:12">
      <c r="A827">
        <v>825</v>
      </c>
      <c r="B827">
        <v>6.1749999999999997E+43</v>
      </c>
      <c r="D827" s="18">
        <v>825</v>
      </c>
      <c r="E827" s="18" cm="1">
        <f t="array" aca="1" ref="E827" ca="1">INDIRECT("b"&amp;F827+2)</f>
        <v>4.6000000000000003E+60</v>
      </c>
      <c r="F827" s="18">
        <f t="shared" si="50"/>
        <v>1498</v>
      </c>
      <c r="G827" s="18"/>
      <c r="H827" s="18"/>
      <c r="I827" s="19">
        <v>825</v>
      </c>
      <c r="J827" s="19" cm="1">
        <f t="array" aca="1" ref="J827" ca="1">INDIRECT("b"&amp;K827+2)</f>
        <v>4.5999999999999998E+89</v>
      </c>
      <c r="K827" s="19">
        <f t="shared" si="52"/>
        <v>2698</v>
      </c>
      <c r="L827">
        <v>26</v>
      </c>
    </row>
    <row r="828" spans="1:12">
      <c r="A828">
        <v>826</v>
      </c>
      <c r="B828">
        <v>6.3999999999999993E+43</v>
      </c>
      <c r="D828" s="18">
        <v>826</v>
      </c>
      <c r="E828" s="18" cm="1">
        <f t="array" aca="1" ref="E828" ca="1">INDIRECT("b"&amp;F828+2)</f>
        <v>5.0499999999999999E+60</v>
      </c>
      <c r="F828" s="18">
        <f t="shared" si="50"/>
        <v>1500</v>
      </c>
      <c r="G828" s="18"/>
      <c r="H828" s="18"/>
      <c r="I828" s="19">
        <v>826</v>
      </c>
      <c r="J828" s="19" cm="1">
        <f t="array" aca="1" ref="J828" ca="1">INDIRECT("b"&amp;K828+2)</f>
        <v>5.0499999999999998E+89</v>
      </c>
      <c r="K828" s="19">
        <f t="shared" si="52"/>
        <v>2700</v>
      </c>
      <c r="L828">
        <v>27</v>
      </c>
    </row>
    <row r="829" spans="1:12">
      <c r="A829">
        <v>827</v>
      </c>
      <c r="B829">
        <v>6.6250000000000009E+43</v>
      </c>
      <c r="D829" s="18">
        <v>827</v>
      </c>
      <c r="E829" s="18" cm="1">
        <f t="array" aca="1" ref="E829" ca="1">INDIRECT("b"&amp;F829+2)</f>
        <v>5.2749999999999993E+60</v>
      </c>
      <c r="F829" s="18">
        <f t="shared" ref="F829:F892" si="64">INT((A829-123)*1.333333)+563</f>
        <v>1501</v>
      </c>
      <c r="G829" s="18">
        <f t="shared" ref="G829" ca="1" si="65">E829/E824</f>
        <v>1.4256756756756754</v>
      </c>
      <c r="H829" s="18"/>
      <c r="I829" s="19">
        <v>827</v>
      </c>
      <c r="J829" s="19" cm="1">
        <f t="array" aca="1" ref="J829" ca="1">INDIRECT("b"&amp;K829+2)</f>
        <v>5.2749999999999998E+89</v>
      </c>
      <c r="K829" s="19">
        <f t="shared" si="52"/>
        <v>2701</v>
      </c>
      <c r="L829">
        <v>28</v>
      </c>
    </row>
    <row r="830" spans="1:12">
      <c r="A830">
        <v>828</v>
      </c>
      <c r="B830">
        <v>6.8500000000000005E+43</v>
      </c>
      <c r="D830" s="18">
        <v>828</v>
      </c>
      <c r="E830" s="18" cm="1">
        <f t="array" aca="1" ref="E830" ca="1">INDIRECT("b"&amp;F830+2)</f>
        <v>5.4999999999999994E+60</v>
      </c>
      <c r="F830" s="18">
        <f t="shared" si="64"/>
        <v>1502</v>
      </c>
      <c r="G830" s="18"/>
      <c r="H830" s="18"/>
      <c r="I830" s="19">
        <v>828</v>
      </c>
      <c r="J830" s="19" cm="1">
        <f t="array" aca="1" ref="J830" ca="1">INDIRECT("b"&amp;K830+2)</f>
        <v>5.4999999999999998E+89</v>
      </c>
      <c r="K830" s="19">
        <f t="shared" si="52"/>
        <v>2702</v>
      </c>
      <c r="L830">
        <v>29</v>
      </c>
    </row>
    <row r="831" spans="1:12">
      <c r="A831">
        <v>829</v>
      </c>
      <c r="B831">
        <v>7.0749999999999991E+43</v>
      </c>
      <c r="D831" s="18">
        <v>829</v>
      </c>
      <c r="E831" s="18" cm="1">
        <f t="array" aca="1" ref="E831" ca="1">INDIRECT("b"&amp;F831+2)</f>
        <v>5.9500000000000003E+60</v>
      </c>
      <c r="F831" s="18">
        <f t="shared" si="64"/>
        <v>1504</v>
      </c>
      <c r="G831" s="18"/>
      <c r="H831" s="18"/>
      <c r="I831" s="19">
        <v>829</v>
      </c>
      <c r="J831" s="19" cm="1">
        <f t="array" aca="1" ref="J831" ca="1">INDIRECT("b"&amp;K831+2)</f>
        <v>5.9499999999999997E+89</v>
      </c>
      <c r="K831" s="19">
        <f t="shared" si="52"/>
        <v>2704</v>
      </c>
      <c r="L831">
        <v>30</v>
      </c>
    </row>
    <row r="832" spans="1:12">
      <c r="A832">
        <v>830</v>
      </c>
      <c r="B832">
        <v>7.3000000000000007E+43</v>
      </c>
      <c r="D832" s="18">
        <v>830</v>
      </c>
      <c r="E832" s="18" cm="1">
        <f t="array" aca="1" ref="E832" ca="1">INDIRECT("b"&amp;F832+2)</f>
        <v>6.1749999999999997E+60</v>
      </c>
      <c r="F832" s="18">
        <f t="shared" si="64"/>
        <v>1505</v>
      </c>
      <c r="G832" s="18"/>
      <c r="H832" s="18"/>
      <c r="I832" s="19">
        <v>830</v>
      </c>
      <c r="J832" s="19" cm="1">
        <f t="array" aca="1" ref="J832" ca="1">INDIRECT("b"&amp;K832+2)</f>
        <v>6.1749999999999997E+89</v>
      </c>
      <c r="K832" s="19">
        <f t="shared" si="52"/>
        <v>2705</v>
      </c>
      <c r="L832">
        <v>31</v>
      </c>
    </row>
    <row r="833" spans="1:12">
      <c r="A833">
        <v>831</v>
      </c>
      <c r="B833">
        <v>7.5249999999999993E+43</v>
      </c>
      <c r="D833" s="18">
        <v>831</v>
      </c>
      <c r="E833" s="18" cm="1">
        <f t="array" aca="1" ref="E833" ca="1">INDIRECT("b"&amp;F833+2)</f>
        <v>6.3999999999999991E+60</v>
      </c>
      <c r="F833" s="18">
        <f t="shared" si="64"/>
        <v>1506</v>
      </c>
      <c r="G833" s="18"/>
      <c r="H833" s="18"/>
      <c r="I833" s="19">
        <v>831</v>
      </c>
      <c r="J833" s="19" cm="1">
        <f t="array" aca="1" ref="J833" ca="1">INDIRECT("b"&amp;K833+2)</f>
        <v>6.3999999999999997E+89</v>
      </c>
      <c r="K833" s="19">
        <f t="shared" si="52"/>
        <v>2706</v>
      </c>
      <c r="L833">
        <v>32</v>
      </c>
    </row>
    <row r="834" spans="1:12">
      <c r="A834">
        <v>832</v>
      </c>
      <c r="B834">
        <v>7.7500000000000009E+43</v>
      </c>
      <c r="D834" s="18">
        <v>832</v>
      </c>
      <c r="E834" s="18" cm="1">
        <f t="array" aca="1" ref="E834" ca="1">INDIRECT("b"&amp;F834+2)</f>
        <v>6.8500000000000008E+60</v>
      </c>
      <c r="F834" s="18">
        <f t="shared" si="64"/>
        <v>1508</v>
      </c>
      <c r="G834" s="18">
        <f t="shared" ref="G834" ca="1" si="66">E834/E829</f>
        <v>1.298578199052133</v>
      </c>
      <c r="H834" s="18"/>
      <c r="I834" s="19">
        <v>832</v>
      </c>
      <c r="J834" s="19" cm="1">
        <f t="array" aca="1" ref="J834" ca="1">INDIRECT("b"&amp;K834+2)</f>
        <v>6.8499999999999997E+89</v>
      </c>
      <c r="K834" s="19">
        <f t="shared" si="52"/>
        <v>2708</v>
      </c>
      <c r="L834">
        <v>33</v>
      </c>
    </row>
    <row r="835" spans="1:12">
      <c r="A835">
        <v>833</v>
      </c>
      <c r="B835">
        <v>7.9750000000000005E+43</v>
      </c>
      <c r="D835" s="18">
        <v>833</v>
      </c>
      <c r="E835" s="18" cm="1">
        <f t="array" aca="1" ref="E835" ca="1">INDIRECT("b"&amp;F835+2)</f>
        <v>7.0749999999999994E+60</v>
      </c>
      <c r="F835" s="18">
        <f t="shared" si="64"/>
        <v>1509</v>
      </c>
      <c r="G835" s="18"/>
      <c r="H835" s="18"/>
      <c r="I835" s="19">
        <v>833</v>
      </c>
      <c r="J835" s="19" cm="1">
        <f t="array" aca="1" ref="J835" ca="1">INDIRECT("b"&amp;K835+2)</f>
        <v>7.0749999999999997E+89</v>
      </c>
      <c r="K835" s="19">
        <f t="shared" si="52"/>
        <v>2709</v>
      </c>
      <c r="L835">
        <v>34</v>
      </c>
    </row>
    <row r="836" spans="1:12">
      <c r="A836">
        <v>834</v>
      </c>
      <c r="B836">
        <v>8.1999999999999991E+43</v>
      </c>
      <c r="D836" s="18">
        <v>834</v>
      </c>
      <c r="E836" s="18" cm="1">
        <f t="array" aca="1" ref="E836" ca="1">INDIRECT("b"&amp;F836+2)</f>
        <v>7.300000000000001E+60</v>
      </c>
      <c r="F836" s="18">
        <f t="shared" si="64"/>
        <v>1510</v>
      </c>
      <c r="G836" s="18"/>
      <c r="H836" s="18"/>
      <c r="I836" s="19">
        <v>834</v>
      </c>
      <c r="J836" s="19" cm="1">
        <f t="array" aca="1" ref="J836" ca="1">INDIRECT("b"&amp;K836+2)</f>
        <v>7.2999999999999997E+89</v>
      </c>
      <c r="K836" s="19">
        <f t="shared" ref="K836:K899" si="67">INT((A836-1)*40/30+900*40/30)+400</f>
        <v>2710</v>
      </c>
      <c r="L836">
        <v>35</v>
      </c>
    </row>
    <row r="837" spans="1:12">
      <c r="A837">
        <v>835</v>
      </c>
      <c r="B837">
        <v>8.4250000000000007E+43</v>
      </c>
      <c r="D837" s="18">
        <v>835</v>
      </c>
      <c r="E837" s="18" cm="1">
        <f t="array" aca="1" ref="E837" ca="1">INDIRECT("b"&amp;F837+2)</f>
        <v>7.7499999999999998E+60</v>
      </c>
      <c r="F837" s="18">
        <f t="shared" si="64"/>
        <v>1512</v>
      </c>
      <c r="G837" s="18"/>
      <c r="H837" s="18"/>
      <c r="I837" s="19">
        <v>835</v>
      </c>
      <c r="J837" s="19" cm="1">
        <f t="array" aca="1" ref="J837" ca="1">INDIRECT("b"&amp;K837+2)</f>
        <v>7.7499999999999997E+89</v>
      </c>
      <c r="K837" s="19">
        <f t="shared" si="67"/>
        <v>2712</v>
      </c>
      <c r="L837">
        <v>36</v>
      </c>
    </row>
    <row r="838" spans="1:12">
      <c r="A838">
        <v>836</v>
      </c>
      <c r="B838">
        <v>8.6499999999999993E+43</v>
      </c>
      <c r="D838" s="18">
        <v>836</v>
      </c>
      <c r="E838" s="18" cm="1">
        <f t="array" aca="1" ref="E838" ca="1">INDIRECT("b"&amp;F838+2)</f>
        <v>7.9750000000000013E+60</v>
      </c>
      <c r="F838" s="18">
        <f t="shared" si="64"/>
        <v>1513</v>
      </c>
      <c r="G838" s="18"/>
      <c r="H838" s="18"/>
      <c r="I838" s="19">
        <v>836</v>
      </c>
      <c r="J838" s="19" cm="1">
        <f t="array" aca="1" ref="J838" ca="1">INDIRECT("b"&amp;K838+2)</f>
        <v>7.9749999999999997E+89</v>
      </c>
      <c r="K838" s="19">
        <f t="shared" si="67"/>
        <v>2713</v>
      </c>
      <c r="L838">
        <v>37</v>
      </c>
    </row>
    <row r="839" spans="1:12">
      <c r="A839">
        <v>837</v>
      </c>
      <c r="B839">
        <v>8.8749999999999989E+43</v>
      </c>
      <c r="D839" s="18">
        <v>837</v>
      </c>
      <c r="E839" s="18" cm="1">
        <f t="array" aca="1" ref="E839" ca="1">INDIRECT("b"&amp;F839+2)</f>
        <v>8.1999999999999986E+60</v>
      </c>
      <c r="F839" s="18">
        <f t="shared" si="64"/>
        <v>1514</v>
      </c>
      <c r="G839" s="18">
        <f t="shared" ref="G839" ca="1" si="68">E839/E834</f>
        <v>1.1970802919708026</v>
      </c>
      <c r="H839" s="18"/>
      <c r="I839" s="19">
        <v>837</v>
      </c>
      <c r="J839" s="19" cm="1">
        <f t="array" aca="1" ref="J839" ca="1">INDIRECT("b"&amp;K839+2)</f>
        <v>8.1999999999999997E+89</v>
      </c>
      <c r="K839" s="19">
        <f t="shared" si="67"/>
        <v>2714</v>
      </c>
      <c r="L839">
        <v>38</v>
      </c>
    </row>
    <row r="840" spans="1:12">
      <c r="A840">
        <v>838</v>
      </c>
      <c r="B840">
        <v>9.0999999999999985E+43</v>
      </c>
      <c r="D840" s="18">
        <v>838</v>
      </c>
      <c r="E840" s="18" cm="1">
        <f t="array" aca="1" ref="E840" ca="1">INDIRECT("b"&amp;F840+2)</f>
        <v>8.6500000000000002E+60</v>
      </c>
      <c r="F840" s="18">
        <f t="shared" si="64"/>
        <v>1516</v>
      </c>
      <c r="G840" s="18"/>
      <c r="H840" s="18"/>
      <c r="I840" s="19">
        <v>838</v>
      </c>
      <c r="J840" s="19" cm="1">
        <f t="array" aca="1" ref="J840" ca="1">INDIRECT("b"&amp;K840+2)</f>
        <v>8.6499999999999997E+89</v>
      </c>
      <c r="K840" s="19">
        <f t="shared" si="67"/>
        <v>2716</v>
      </c>
      <c r="L840">
        <v>39</v>
      </c>
    </row>
    <row r="841" spans="1:12">
      <c r="A841">
        <v>839</v>
      </c>
      <c r="B841">
        <v>9.3249999999999991E+43</v>
      </c>
      <c r="D841" s="18">
        <v>839</v>
      </c>
      <c r="E841" s="18" cm="1">
        <f t="array" aca="1" ref="E841" ca="1">INDIRECT("b"&amp;F841+2)</f>
        <v>8.8750000000000004E+60</v>
      </c>
      <c r="F841" s="18">
        <f t="shared" si="64"/>
        <v>1517</v>
      </c>
      <c r="G841" s="18"/>
      <c r="H841" s="18"/>
      <c r="I841" s="19">
        <v>839</v>
      </c>
      <c r="J841" s="19" cm="1">
        <f t="array" aca="1" ref="J841" ca="1">INDIRECT("b"&amp;K841+2)</f>
        <v>8.8749999999999997E+89</v>
      </c>
      <c r="K841" s="19">
        <f t="shared" si="67"/>
        <v>2717</v>
      </c>
      <c r="L841">
        <v>40</v>
      </c>
    </row>
    <row r="842" spans="1:12">
      <c r="A842">
        <v>840</v>
      </c>
      <c r="B842">
        <v>9.5499999999999997E+43</v>
      </c>
      <c r="D842" s="18">
        <v>840</v>
      </c>
      <c r="E842" s="18" cm="1">
        <f t="array" aca="1" ref="E842" ca="1">INDIRECT("b"&amp;F842+2)</f>
        <v>9.0999999999999976E+60</v>
      </c>
      <c r="F842" s="18">
        <f t="shared" si="64"/>
        <v>1518</v>
      </c>
      <c r="G842" s="18"/>
      <c r="H842" s="18"/>
      <c r="I842" s="19">
        <v>840</v>
      </c>
      <c r="J842" s="19" cm="1">
        <f t="array" aca="1" ref="J842" ca="1">INDIRECT("b"&amp;K842+2)</f>
        <v>9.0999999999999997E+89</v>
      </c>
      <c r="K842" s="19">
        <f t="shared" si="67"/>
        <v>2718</v>
      </c>
      <c r="L842">
        <v>41</v>
      </c>
    </row>
    <row r="843" spans="1:12">
      <c r="A843">
        <v>841</v>
      </c>
      <c r="B843">
        <v>9.7749999999999983E+43</v>
      </c>
      <c r="D843" s="18">
        <v>841</v>
      </c>
      <c r="E843" s="18" cm="1">
        <f t="array" aca="1" ref="E843" ca="1">INDIRECT("b"&amp;F843+2)</f>
        <v>9.5499999999999993E+60</v>
      </c>
      <c r="F843" s="18">
        <f t="shared" si="64"/>
        <v>1520</v>
      </c>
      <c r="G843" s="18"/>
      <c r="H843" s="18"/>
      <c r="I843" s="19">
        <v>841</v>
      </c>
      <c r="J843" s="19" cm="1">
        <f t="array" aca="1" ref="J843" ca="1">INDIRECT("b"&amp;K843+2)</f>
        <v>9.5499999999999997E+89</v>
      </c>
      <c r="K843" s="19">
        <f t="shared" si="67"/>
        <v>2720</v>
      </c>
      <c r="L843">
        <v>42</v>
      </c>
    </row>
    <row r="844" spans="1:12">
      <c r="A844">
        <v>842</v>
      </c>
      <c r="B844">
        <v>1.0000000000000001E+44</v>
      </c>
      <c r="D844" s="18">
        <v>842</v>
      </c>
      <c r="E844" s="18" cm="1">
        <f t="array" aca="1" ref="E844" ca="1">INDIRECT("b"&amp;F844+2)</f>
        <v>9.774999999999998E+60</v>
      </c>
      <c r="F844" s="18">
        <f t="shared" si="64"/>
        <v>1521</v>
      </c>
      <c r="G844" s="18">
        <f t="shared" ref="G844" ca="1" si="69">E844/E839</f>
        <v>1.1920731707317074</v>
      </c>
      <c r="H844" s="18"/>
      <c r="I844" s="19">
        <v>842</v>
      </c>
      <c r="J844" s="19" cm="1">
        <f t="array" aca="1" ref="J844" ca="1">INDIRECT("b"&amp;K844+2)</f>
        <v>9.7749999999999997E+89</v>
      </c>
      <c r="K844" s="19">
        <f t="shared" si="67"/>
        <v>2721</v>
      </c>
      <c r="L844">
        <v>43</v>
      </c>
    </row>
    <row r="845" spans="1:12">
      <c r="A845">
        <v>843</v>
      </c>
      <c r="B845">
        <v>1.2250000000000001E+44</v>
      </c>
      <c r="D845" s="18">
        <v>843</v>
      </c>
      <c r="E845" s="18" cm="1">
        <f t="array" aca="1" ref="E845" ca="1">INDIRECT("b"&amp;F845+2)</f>
        <v>9.9999999999999995E+59</v>
      </c>
      <c r="F845" s="18">
        <f t="shared" si="64"/>
        <v>1522</v>
      </c>
      <c r="G845" s="18"/>
      <c r="H845" s="18"/>
      <c r="I845" s="19">
        <v>843</v>
      </c>
      <c r="J845" s="19" cm="1">
        <f t="array" aca="1" ref="J845" ca="1">INDIRECT("b"&amp;K845+2)</f>
        <v>9.9999999999999997E+89</v>
      </c>
      <c r="K845" s="19">
        <f t="shared" si="67"/>
        <v>2722</v>
      </c>
      <c r="L845">
        <v>44</v>
      </c>
    </row>
    <row r="846" spans="1:12">
      <c r="A846">
        <v>844</v>
      </c>
      <c r="B846">
        <v>1.4499999999999999E+44</v>
      </c>
      <c r="D846" s="18">
        <v>844</v>
      </c>
      <c r="E846" s="18" cm="1">
        <f t="array" aca="1" ref="E846" ca="1">INDIRECT("b"&amp;F846+2)</f>
        <v>1.45E+60</v>
      </c>
      <c r="F846" s="18">
        <f t="shared" si="64"/>
        <v>1524</v>
      </c>
      <c r="G846" s="18"/>
      <c r="H846" s="18"/>
      <c r="I846" s="19">
        <v>844</v>
      </c>
      <c r="J846" s="19" cm="1">
        <f t="array" aca="1" ref="J846" ca="1">INDIRECT("b"&amp;K846+2)</f>
        <v>1.4499999999999998E+90</v>
      </c>
      <c r="K846" s="19">
        <f t="shared" si="67"/>
        <v>2724</v>
      </c>
      <c r="L846">
        <v>45</v>
      </c>
    </row>
    <row r="847" spans="1:12">
      <c r="A847">
        <v>845</v>
      </c>
      <c r="B847">
        <v>1.6750000000000001E+44</v>
      </c>
      <c r="D847" s="18">
        <v>845</v>
      </c>
      <c r="E847" s="18" cm="1">
        <f t="array" aca="1" ref="E847" ca="1">INDIRECT("b"&amp;F847+2)</f>
        <v>1.6749999999999999E+60</v>
      </c>
      <c r="F847" s="18">
        <f t="shared" si="64"/>
        <v>1525</v>
      </c>
      <c r="G847" s="18"/>
      <c r="H847" s="18"/>
      <c r="I847" s="19">
        <v>845</v>
      </c>
      <c r="J847" s="19" cm="1">
        <f t="array" aca="1" ref="J847" ca="1">INDIRECT("b"&amp;K847+2)</f>
        <v>1.6749999999999998E+90</v>
      </c>
      <c r="K847" s="19">
        <f t="shared" si="67"/>
        <v>2725</v>
      </c>
      <c r="L847">
        <v>46</v>
      </c>
    </row>
    <row r="848" spans="1:12">
      <c r="A848">
        <v>846</v>
      </c>
      <c r="B848">
        <v>1.9000000000000001E+44</v>
      </c>
      <c r="D848" s="18">
        <v>846</v>
      </c>
      <c r="E848" s="18" cm="1">
        <f t="array" aca="1" ref="E848" ca="1">INDIRECT("b"&amp;F848+2)</f>
        <v>1.9E+60</v>
      </c>
      <c r="F848" s="18">
        <f t="shared" si="64"/>
        <v>1526</v>
      </c>
      <c r="G848" s="18"/>
      <c r="H848" s="18"/>
      <c r="I848" s="19">
        <v>846</v>
      </c>
      <c r="J848" s="19" cm="1">
        <f t="array" aca="1" ref="J848" ca="1">INDIRECT("b"&amp;K848+2)</f>
        <v>1.8999999999999998E+90</v>
      </c>
      <c r="K848" s="19">
        <f t="shared" si="67"/>
        <v>2726</v>
      </c>
      <c r="L848">
        <v>47</v>
      </c>
    </row>
    <row r="849" spans="1:12">
      <c r="A849">
        <v>847</v>
      </c>
      <c r="B849">
        <v>2.1249999999999999E+44</v>
      </c>
      <c r="D849" s="18">
        <v>847</v>
      </c>
      <c r="E849" s="18" cm="1">
        <f t="array" aca="1" ref="E849" ca="1">INDIRECT("b"&amp;F849+2)</f>
        <v>2.3499999999999999E+60</v>
      </c>
      <c r="F849" s="18">
        <f t="shared" si="64"/>
        <v>1528</v>
      </c>
      <c r="G849" s="18">
        <f t="shared" ref="G849" ca="1" si="70">E849/E844</f>
        <v>0.24040920716112535</v>
      </c>
      <c r="H849" s="18"/>
      <c r="I849" s="19">
        <v>847</v>
      </c>
      <c r="J849" s="19" cm="1">
        <f t="array" aca="1" ref="J849" ca="1">INDIRECT("b"&amp;K849+2)</f>
        <v>2.3500000000000001E+90</v>
      </c>
      <c r="K849" s="19">
        <f t="shared" si="67"/>
        <v>2728</v>
      </c>
      <c r="L849">
        <v>48</v>
      </c>
    </row>
    <row r="850" spans="1:12">
      <c r="A850">
        <v>848</v>
      </c>
      <c r="B850">
        <v>2.3500000000000001E+44</v>
      </c>
      <c r="D850" s="18">
        <v>848</v>
      </c>
      <c r="E850" s="18" cm="1">
        <f t="array" aca="1" ref="E850" ca="1">INDIRECT("b"&amp;F850+2)</f>
        <v>2.575E+60</v>
      </c>
      <c r="F850" s="18">
        <f t="shared" si="64"/>
        <v>1529</v>
      </c>
      <c r="G850" s="18"/>
      <c r="H850" s="18"/>
      <c r="I850" s="19">
        <v>848</v>
      </c>
      <c r="J850" s="19" cm="1">
        <f t="array" aca="1" ref="J850" ca="1">INDIRECT("b"&amp;K850+2)</f>
        <v>2.575E+90</v>
      </c>
      <c r="K850" s="19">
        <f t="shared" si="67"/>
        <v>2729</v>
      </c>
      <c r="L850">
        <v>49</v>
      </c>
    </row>
    <row r="851" spans="1:12">
      <c r="A851">
        <v>849</v>
      </c>
      <c r="B851">
        <v>2.5749999999999995E+44</v>
      </c>
      <c r="D851" s="18">
        <v>849</v>
      </c>
      <c r="E851" s="18" cm="1">
        <f t="array" aca="1" ref="E851" ca="1">INDIRECT("b"&amp;F851+2)</f>
        <v>2.8000000000000001E+60</v>
      </c>
      <c r="F851" s="18">
        <f t="shared" si="64"/>
        <v>1530</v>
      </c>
      <c r="G851" s="18"/>
      <c r="H851" s="18"/>
      <c r="I851" s="19">
        <v>849</v>
      </c>
      <c r="J851" s="19" cm="1">
        <f t="array" aca="1" ref="J851" ca="1">INDIRECT("b"&amp;K851+2)</f>
        <v>2.8E+90</v>
      </c>
      <c r="K851" s="19">
        <f t="shared" si="67"/>
        <v>2730</v>
      </c>
      <c r="L851">
        <v>50</v>
      </c>
    </row>
    <row r="852" spans="1:12">
      <c r="A852">
        <v>850</v>
      </c>
      <c r="B852">
        <v>2.8000000000000001E+44</v>
      </c>
      <c r="D852" s="18">
        <v>850</v>
      </c>
      <c r="E852" s="18" cm="1">
        <f t="array" aca="1" ref="E852" ca="1">INDIRECT("b"&amp;F852+2)</f>
        <v>3.2499999999999997E+60</v>
      </c>
      <c r="F852" s="18">
        <f t="shared" si="64"/>
        <v>1532</v>
      </c>
      <c r="G852" s="18"/>
      <c r="H852" s="18"/>
      <c r="I852" s="19">
        <v>850</v>
      </c>
      <c r="J852" s="19" cm="1">
        <f t="array" aca="1" ref="J852" ca="1">INDIRECT("b"&amp;K852+2)</f>
        <v>3.25E+90</v>
      </c>
      <c r="K852" s="19">
        <f t="shared" si="67"/>
        <v>2732</v>
      </c>
      <c r="L852">
        <v>51</v>
      </c>
    </row>
    <row r="853" spans="1:12">
      <c r="A853">
        <v>851</v>
      </c>
      <c r="B853">
        <v>3.0250000000000003E+44</v>
      </c>
      <c r="D853" s="18">
        <v>851</v>
      </c>
      <c r="E853" s="18" cm="1">
        <f t="array" aca="1" ref="E853" ca="1">INDIRECT("b"&amp;F853+2)</f>
        <v>3.4749999999999998E+60</v>
      </c>
      <c r="F853" s="18">
        <f t="shared" si="64"/>
        <v>1533</v>
      </c>
      <c r="G853" s="18"/>
      <c r="H853" s="18"/>
      <c r="I853" s="19">
        <v>851</v>
      </c>
      <c r="J853" s="19" cm="1">
        <f t="array" aca="1" ref="J853" ca="1">INDIRECT("b"&amp;K853+2)</f>
        <v>3.475E+90</v>
      </c>
      <c r="K853" s="19">
        <f t="shared" si="67"/>
        <v>2733</v>
      </c>
      <c r="L853">
        <v>52</v>
      </c>
    </row>
    <row r="854" spans="1:12">
      <c r="A854">
        <v>852</v>
      </c>
      <c r="B854">
        <v>3.2499999999999997E+44</v>
      </c>
      <c r="D854" s="18">
        <v>852</v>
      </c>
      <c r="E854" s="18" cm="1">
        <f t="array" aca="1" ref="E854" ca="1">INDIRECT("b"&amp;F854+2)</f>
        <v>3.6999999999999999E+60</v>
      </c>
      <c r="F854" s="18">
        <f t="shared" si="64"/>
        <v>1534</v>
      </c>
      <c r="G854" s="18">
        <f t="shared" ref="G854" ca="1" si="71">E854/E849</f>
        <v>1.574468085106383</v>
      </c>
      <c r="H854" s="18"/>
      <c r="I854" s="19">
        <v>852</v>
      </c>
      <c r="J854" s="19" cm="1">
        <f t="array" aca="1" ref="J854" ca="1">INDIRECT("b"&amp;K854+2)</f>
        <v>3.7E+90</v>
      </c>
      <c r="K854" s="19">
        <f t="shared" si="67"/>
        <v>2734</v>
      </c>
      <c r="L854">
        <v>53</v>
      </c>
    </row>
    <row r="855" spans="1:12">
      <c r="A855">
        <v>853</v>
      </c>
      <c r="B855">
        <v>3.4749999999999999E+44</v>
      </c>
      <c r="D855" s="18">
        <v>853</v>
      </c>
      <c r="E855" s="18" cm="1">
        <f t="array" aca="1" ref="E855" ca="1">INDIRECT("b"&amp;F855+2)</f>
        <v>4.1500000000000001E+60</v>
      </c>
      <c r="F855" s="18">
        <f t="shared" si="64"/>
        <v>1536</v>
      </c>
      <c r="G855" s="18"/>
      <c r="H855" s="18"/>
      <c r="I855" s="19">
        <v>853</v>
      </c>
      <c r="J855" s="19" cm="1">
        <f t="array" aca="1" ref="J855" ca="1">INDIRECT("b"&amp;K855+2)</f>
        <v>4.15E+90</v>
      </c>
      <c r="K855" s="19">
        <f t="shared" si="67"/>
        <v>2736</v>
      </c>
      <c r="L855">
        <v>54</v>
      </c>
    </row>
    <row r="856" spans="1:12">
      <c r="A856">
        <v>854</v>
      </c>
      <c r="B856">
        <v>3.7000000000000001E+44</v>
      </c>
      <c r="D856" s="18">
        <v>854</v>
      </c>
      <c r="E856" s="18" cm="1">
        <f t="array" aca="1" ref="E856" ca="1">INDIRECT("b"&amp;F856+2)</f>
        <v>4.3750000000000002E+60</v>
      </c>
      <c r="F856" s="18">
        <f t="shared" si="64"/>
        <v>1537</v>
      </c>
      <c r="G856" s="18"/>
      <c r="H856" s="18"/>
      <c r="I856" s="19">
        <v>854</v>
      </c>
      <c r="J856" s="19" cm="1">
        <f t="array" aca="1" ref="J856" ca="1">INDIRECT("b"&amp;K856+2)</f>
        <v>4.375E+90</v>
      </c>
      <c r="K856" s="19">
        <f t="shared" si="67"/>
        <v>2737</v>
      </c>
      <c r="L856">
        <v>55</v>
      </c>
    </row>
    <row r="857" spans="1:12">
      <c r="A857">
        <v>855</v>
      </c>
      <c r="B857">
        <v>3.9249999999999999E+44</v>
      </c>
      <c r="D857" s="18">
        <v>855</v>
      </c>
      <c r="E857" s="18" cm="1">
        <f t="array" aca="1" ref="E857" ca="1">INDIRECT("b"&amp;F857+2)</f>
        <v>4.5999999999999996E+60</v>
      </c>
      <c r="F857" s="18">
        <f t="shared" si="64"/>
        <v>1538</v>
      </c>
      <c r="G857" s="18"/>
      <c r="H857" s="18"/>
      <c r="I857" s="19">
        <v>855</v>
      </c>
      <c r="J857" s="19" cm="1">
        <f t="array" aca="1" ref="J857" ca="1">INDIRECT("b"&amp;K857+2)</f>
        <v>4.6E+90</v>
      </c>
      <c r="K857" s="19">
        <f t="shared" si="67"/>
        <v>2738</v>
      </c>
      <c r="L857">
        <v>56</v>
      </c>
    </row>
    <row r="858" spans="1:12">
      <c r="A858">
        <v>856</v>
      </c>
      <c r="B858">
        <v>4.1500000000000005E+44</v>
      </c>
      <c r="D858" s="18">
        <v>856</v>
      </c>
      <c r="E858" s="18" cm="1">
        <f t="array" aca="1" ref="E858" ca="1">INDIRECT("b"&amp;F858+2)</f>
        <v>5.0499999999999999E+60</v>
      </c>
      <c r="F858" s="18">
        <f t="shared" si="64"/>
        <v>1540</v>
      </c>
      <c r="G858" s="18"/>
      <c r="H858" s="18"/>
      <c r="I858" s="19">
        <v>856</v>
      </c>
      <c r="J858" s="19" cm="1">
        <f t="array" aca="1" ref="J858" ca="1">INDIRECT("b"&amp;K858+2)</f>
        <v>5.05E+90</v>
      </c>
      <c r="K858" s="19">
        <f t="shared" si="67"/>
        <v>2740</v>
      </c>
      <c r="L858">
        <v>57</v>
      </c>
    </row>
    <row r="859" spans="1:12">
      <c r="A859">
        <v>857</v>
      </c>
      <c r="B859">
        <v>4.3750000000000003E+44</v>
      </c>
      <c r="D859" s="18">
        <v>857</v>
      </c>
      <c r="E859" s="18" cm="1">
        <f t="array" aca="1" ref="E859" ca="1">INDIRECT("b"&amp;F859+2)</f>
        <v>5.275E+60</v>
      </c>
      <c r="F859" s="18">
        <f t="shared" si="64"/>
        <v>1541</v>
      </c>
      <c r="G859" s="18">
        <f t="shared" ref="G859" ca="1" si="72">E859/E854</f>
        <v>1.4256756756756757</v>
      </c>
      <c r="H859" s="18"/>
      <c r="I859" s="19">
        <v>857</v>
      </c>
      <c r="J859" s="19" cm="1">
        <f t="array" aca="1" ref="J859" ca="1">INDIRECT("b"&amp;K859+2)</f>
        <v>5.275E+90</v>
      </c>
      <c r="K859" s="19">
        <f t="shared" si="67"/>
        <v>2741</v>
      </c>
      <c r="L859">
        <v>58</v>
      </c>
    </row>
    <row r="860" spans="1:12">
      <c r="A860">
        <v>858</v>
      </c>
      <c r="B860">
        <v>4.6000000000000001E+44</v>
      </c>
      <c r="D860" s="18">
        <v>858</v>
      </c>
      <c r="E860" s="18" cm="1">
        <f t="array" aca="1" ref="E860" ca="1">INDIRECT("b"&amp;F860+2)</f>
        <v>5.5000000000000001E+60</v>
      </c>
      <c r="F860" s="18">
        <f t="shared" si="64"/>
        <v>1542</v>
      </c>
      <c r="G860" s="18"/>
      <c r="H860" s="18"/>
      <c r="I860" s="19">
        <v>858</v>
      </c>
      <c r="J860" s="19" cm="1">
        <f t="array" aca="1" ref="J860" ca="1">INDIRECT("b"&amp;K860+2)</f>
        <v>5.5E+90</v>
      </c>
      <c r="K860" s="19">
        <f t="shared" si="67"/>
        <v>2742</v>
      </c>
      <c r="L860">
        <v>59</v>
      </c>
    </row>
    <row r="861" spans="1:12">
      <c r="A861">
        <v>859</v>
      </c>
      <c r="B861">
        <v>4.8250000000000007E+44</v>
      </c>
      <c r="D861" s="18">
        <v>859</v>
      </c>
      <c r="E861" s="18" cm="1">
        <f t="array" aca="1" ref="E861" ca="1">INDIRECT("b"&amp;F861+2)</f>
        <v>5.9500000000000003E+60</v>
      </c>
      <c r="F861" s="18">
        <f t="shared" si="64"/>
        <v>1544</v>
      </c>
      <c r="G861" s="18"/>
      <c r="H861" s="18"/>
      <c r="I861" s="19">
        <v>859</v>
      </c>
      <c r="J861" s="19" cm="1">
        <f t="array" aca="1" ref="J861" ca="1">INDIRECT("b"&amp;K861+2)</f>
        <v>5.95E+90</v>
      </c>
      <c r="K861" s="19">
        <f t="shared" si="67"/>
        <v>2744</v>
      </c>
      <c r="L861">
        <v>60</v>
      </c>
    </row>
    <row r="862" spans="1:12">
      <c r="A862">
        <v>860</v>
      </c>
      <c r="B862">
        <v>5.0499999999999997E+44</v>
      </c>
      <c r="D862" s="18">
        <v>860</v>
      </c>
      <c r="E862" s="18" cm="1">
        <f t="array" aca="1" ref="E862" ca="1">INDIRECT("b"&amp;F862+2)</f>
        <v>6.1749999999999997E+60</v>
      </c>
      <c r="F862" s="18">
        <f t="shared" si="64"/>
        <v>1545</v>
      </c>
      <c r="G862" s="18"/>
      <c r="H862" s="18"/>
      <c r="I862" s="19">
        <v>860</v>
      </c>
      <c r="J862" s="19" cm="1">
        <f t="array" aca="1" ref="J862" ca="1">INDIRECT("b"&amp;K862+2)</f>
        <v>6.175E+90</v>
      </c>
      <c r="K862" s="19">
        <f t="shared" si="67"/>
        <v>2745</v>
      </c>
      <c r="L862">
        <v>61</v>
      </c>
    </row>
    <row r="863" spans="1:12">
      <c r="A863">
        <v>861</v>
      </c>
      <c r="B863">
        <v>5.2749999999999995E+44</v>
      </c>
      <c r="D863" s="18">
        <v>861</v>
      </c>
      <c r="E863" s="18" cm="1">
        <f t="array" aca="1" ref="E863" ca="1">INDIRECT("b"&amp;F863+2)</f>
        <v>6.3999999999999998E+60</v>
      </c>
      <c r="F863" s="18">
        <f t="shared" si="64"/>
        <v>1546</v>
      </c>
      <c r="G863" s="18"/>
      <c r="H863" s="18"/>
      <c r="I863" s="19">
        <v>861</v>
      </c>
      <c r="J863" s="19" cm="1">
        <f t="array" aca="1" ref="J863" ca="1">INDIRECT("b"&amp;K863+2)</f>
        <v>6.4E+90</v>
      </c>
      <c r="K863" s="19">
        <f t="shared" si="67"/>
        <v>2746</v>
      </c>
      <c r="L863">
        <v>62</v>
      </c>
    </row>
    <row r="864" spans="1:12">
      <c r="A864">
        <v>862</v>
      </c>
      <c r="B864">
        <v>5.5000000000000001E+44</v>
      </c>
      <c r="D864" s="18">
        <v>862</v>
      </c>
      <c r="E864" s="18" cm="1">
        <f t="array" aca="1" ref="E864" ca="1">INDIRECT("b"&amp;F864+2)</f>
        <v>6.8499999999999993E+60</v>
      </c>
      <c r="F864" s="18">
        <f t="shared" si="64"/>
        <v>1548</v>
      </c>
      <c r="G864" s="18">
        <f t="shared" ref="G864" ca="1" si="73">E864/E859</f>
        <v>1.2985781990521326</v>
      </c>
      <c r="H864" s="18"/>
      <c r="I864" s="19">
        <v>862</v>
      </c>
      <c r="J864" s="19" cm="1">
        <f t="array" aca="1" ref="J864" ca="1">INDIRECT("b"&amp;K864+2)</f>
        <v>6.85E+90</v>
      </c>
      <c r="K864" s="19">
        <f t="shared" si="67"/>
        <v>2748</v>
      </c>
      <c r="L864">
        <v>63</v>
      </c>
    </row>
    <row r="865" spans="1:12">
      <c r="A865">
        <v>863</v>
      </c>
      <c r="B865">
        <v>5.7250000000000007E+44</v>
      </c>
      <c r="D865" s="18">
        <v>863</v>
      </c>
      <c r="E865" s="18" cm="1">
        <f t="array" aca="1" ref="E865" ca="1">INDIRECT("b"&amp;F865+2)</f>
        <v>7.0749999999999994E+60</v>
      </c>
      <c r="F865" s="18">
        <f t="shared" si="64"/>
        <v>1549</v>
      </c>
      <c r="G865" s="18"/>
      <c r="H865" s="18"/>
      <c r="I865" s="19">
        <v>863</v>
      </c>
      <c r="J865" s="19" cm="1">
        <f t="array" aca="1" ref="J865" ca="1">INDIRECT("b"&amp;K865+2)</f>
        <v>7.075E+90</v>
      </c>
      <c r="K865" s="19">
        <f t="shared" si="67"/>
        <v>2749</v>
      </c>
      <c r="L865">
        <v>64</v>
      </c>
    </row>
    <row r="866" spans="1:12">
      <c r="A866">
        <v>864</v>
      </c>
      <c r="B866">
        <v>5.9500000000000005E+44</v>
      </c>
      <c r="D866" s="18">
        <v>864</v>
      </c>
      <c r="E866" s="18" cm="1">
        <f t="array" aca="1" ref="E866" ca="1">INDIRECT("b"&amp;F866+2)</f>
        <v>7.2999999999999996E+60</v>
      </c>
      <c r="F866" s="18">
        <f t="shared" si="64"/>
        <v>1550</v>
      </c>
      <c r="G866" s="18"/>
      <c r="H866" s="18"/>
      <c r="I866" s="19">
        <v>864</v>
      </c>
      <c r="J866" s="19" cm="1">
        <f t="array" aca="1" ref="J866" ca="1">INDIRECT("b"&amp;K866+2)</f>
        <v>7.2999999999999999E+90</v>
      </c>
      <c r="K866" s="19">
        <f t="shared" si="67"/>
        <v>2750</v>
      </c>
      <c r="L866">
        <v>65</v>
      </c>
    </row>
    <row r="867" spans="1:12">
      <c r="A867">
        <v>865</v>
      </c>
      <c r="B867">
        <v>6.1749999999999995E+44</v>
      </c>
      <c r="D867" s="18">
        <v>865</v>
      </c>
      <c r="E867" s="18" cm="1">
        <f t="array" aca="1" ref="E867" ca="1">INDIRECT("b"&amp;F867+2)</f>
        <v>7.7499999999999998E+60</v>
      </c>
      <c r="F867" s="18">
        <f t="shared" si="64"/>
        <v>1552</v>
      </c>
      <c r="G867" s="18"/>
      <c r="H867" s="18"/>
      <c r="I867" s="19">
        <v>865</v>
      </c>
      <c r="J867" s="19" cm="1">
        <f t="array" aca="1" ref="J867" ca="1">INDIRECT("b"&amp;K867+2)</f>
        <v>7.7499999999999999E+90</v>
      </c>
      <c r="K867" s="19">
        <f t="shared" si="67"/>
        <v>2752</v>
      </c>
      <c r="L867">
        <v>66</v>
      </c>
    </row>
    <row r="868" spans="1:12">
      <c r="A868">
        <v>866</v>
      </c>
      <c r="B868">
        <v>6.3999999999999993E+44</v>
      </c>
      <c r="D868" s="18">
        <v>866</v>
      </c>
      <c r="E868" s="18" cm="1">
        <f t="array" aca="1" ref="E868" ca="1">INDIRECT("b"&amp;F868+2)</f>
        <v>7.9749999999999999E+60</v>
      </c>
      <c r="F868" s="18">
        <f t="shared" si="64"/>
        <v>1553</v>
      </c>
      <c r="G868" s="18"/>
      <c r="H868" s="18"/>
      <c r="I868" s="19">
        <v>866</v>
      </c>
      <c r="J868" s="19" cm="1">
        <f t="array" aca="1" ref="J868" ca="1">INDIRECT("b"&amp;K868+2)</f>
        <v>7.9749999999999999E+90</v>
      </c>
      <c r="K868" s="19">
        <f t="shared" si="67"/>
        <v>2753</v>
      </c>
      <c r="L868">
        <v>67</v>
      </c>
    </row>
    <row r="869" spans="1:12">
      <c r="A869">
        <v>867</v>
      </c>
      <c r="B869">
        <v>6.6250000000000007E+44</v>
      </c>
      <c r="D869" s="18">
        <v>867</v>
      </c>
      <c r="E869" s="18" cm="1">
        <f t="array" aca="1" ref="E869" ca="1">INDIRECT("b"&amp;F869+2)</f>
        <v>8.2E+60</v>
      </c>
      <c r="F869" s="18">
        <f t="shared" si="64"/>
        <v>1554</v>
      </c>
      <c r="G869" s="18">
        <f t="shared" ref="G869" ca="1" si="74">E869/E864</f>
        <v>1.197080291970803</v>
      </c>
      <c r="H869" s="18"/>
      <c r="I869" s="19">
        <v>867</v>
      </c>
      <c r="J869" s="19" cm="1">
        <f t="array" aca="1" ref="J869" ca="1">INDIRECT("b"&amp;K869+2)</f>
        <v>8.199999999999999E+90</v>
      </c>
      <c r="K869" s="19">
        <f t="shared" si="67"/>
        <v>2754</v>
      </c>
      <c r="L869">
        <v>68</v>
      </c>
    </row>
    <row r="870" spans="1:12">
      <c r="A870">
        <v>868</v>
      </c>
      <c r="B870">
        <v>6.8500000000000005E+44</v>
      </c>
      <c r="D870" s="18">
        <v>868</v>
      </c>
      <c r="E870" s="18" cm="1">
        <f t="array" aca="1" ref="E870" ca="1">INDIRECT("b"&amp;F870+2)</f>
        <v>8.6500000000000002E+60</v>
      </c>
      <c r="F870" s="18">
        <f t="shared" si="64"/>
        <v>1556</v>
      </c>
      <c r="G870" s="18"/>
      <c r="H870" s="18"/>
      <c r="I870" s="19">
        <v>868</v>
      </c>
      <c r="J870" s="19" cm="1">
        <f t="array" aca="1" ref="J870" ca="1">INDIRECT("b"&amp;K870+2)</f>
        <v>8.649999999999999E+90</v>
      </c>
      <c r="K870" s="19">
        <f t="shared" si="67"/>
        <v>2756</v>
      </c>
      <c r="L870">
        <v>69</v>
      </c>
    </row>
    <row r="871" spans="1:12">
      <c r="A871">
        <v>869</v>
      </c>
      <c r="B871">
        <v>7.0749999999999995E+44</v>
      </c>
      <c r="D871" s="18">
        <v>869</v>
      </c>
      <c r="E871" s="18" cm="1">
        <f t="array" aca="1" ref="E871" ca="1">INDIRECT("b"&amp;F871+2)</f>
        <v>8.8750000000000004E+60</v>
      </c>
      <c r="F871" s="18">
        <f t="shared" si="64"/>
        <v>1557</v>
      </c>
      <c r="G871" s="18"/>
      <c r="H871" s="18"/>
      <c r="I871" s="19">
        <v>869</v>
      </c>
      <c r="J871" s="19" cm="1">
        <f t="array" aca="1" ref="J871" ca="1">INDIRECT("b"&amp;K871+2)</f>
        <v>8.874999999999999E+90</v>
      </c>
      <c r="K871" s="19">
        <f t="shared" si="67"/>
        <v>2757</v>
      </c>
      <c r="L871">
        <v>70</v>
      </c>
    </row>
    <row r="872" spans="1:12">
      <c r="A872">
        <v>870</v>
      </c>
      <c r="B872">
        <v>7.3000000000000001E+44</v>
      </c>
      <c r="D872" s="18">
        <v>870</v>
      </c>
      <c r="E872" s="18" cm="1">
        <f t="array" aca="1" ref="E872" ca="1">INDIRECT("b"&amp;F872+2)</f>
        <v>9.1000000000000005E+60</v>
      </c>
      <c r="F872" s="18">
        <f t="shared" si="64"/>
        <v>1558</v>
      </c>
      <c r="G872" s="18"/>
      <c r="H872" s="18"/>
      <c r="I872" s="19">
        <v>870</v>
      </c>
      <c r="J872" s="19" cm="1">
        <f t="array" aca="1" ref="J872" ca="1">INDIRECT("b"&amp;K872+2)</f>
        <v>9.099999999999999E+90</v>
      </c>
      <c r="K872" s="19">
        <f t="shared" si="67"/>
        <v>2758</v>
      </c>
      <c r="L872">
        <v>71</v>
      </c>
    </row>
    <row r="873" spans="1:12">
      <c r="A873">
        <v>871</v>
      </c>
      <c r="B873">
        <v>7.5249999999999999E+44</v>
      </c>
      <c r="D873" s="18">
        <v>871</v>
      </c>
      <c r="E873" s="18" cm="1">
        <f t="array" aca="1" ref="E873" ca="1">INDIRECT("b"&amp;F873+2)</f>
        <v>9.5499999999999993E+60</v>
      </c>
      <c r="F873" s="18">
        <f t="shared" si="64"/>
        <v>1560</v>
      </c>
      <c r="G873" s="18"/>
      <c r="H873" s="18"/>
      <c r="I873" s="19">
        <v>871</v>
      </c>
      <c r="J873" s="19" cm="1">
        <f t="array" aca="1" ref="J873" ca="1">INDIRECT("b"&amp;K873+2)</f>
        <v>9.549999999999999E+90</v>
      </c>
      <c r="K873" s="19">
        <f t="shared" si="67"/>
        <v>2760</v>
      </c>
      <c r="L873">
        <v>72</v>
      </c>
    </row>
    <row r="874" spans="1:12">
      <c r="A874">
        <v>872</v>
      </c>
      <c r="B874">
        <v>7.7499999999999997E+44</v>
      </c>
      <c r="D874" s="18">
        <v>872</v>
      </c>
      <c r="E874" s="18" cm="1">
        <f t="array" aca="1" ref="E874" ca="1">INDIRECT("b"&amp;F874+2)</f>
        <v>9.7749999999999994E+60</v>
      </c>
      <c r="F874" s="18">
        <f t="shared" si="64"/>
        <v>1561</v>
      </c>
      <c r="G874" s="18">
        <f t="shared" ref="G874" ca="1" si="75">E874/E869</f>
        <v>1.1920731707317072</v>
      </c>
      <c r="H874" s="18"/>
      <c r="I874" s="19">
        <v>872</v>
      </c>
      <c r="J874" s="19" cm="1">
        <f t="array" aca="1" ref="J874" ca="1">INDIRECT("b"&amp;K874+2)</f>
        <v>9.774999999999999E+90</v>
      </c>
      <c r="K874" s="19">
        <f t="shared" si="67"/>
        <v>2761</v>
      </c>
      <c r="L874">
        <v>73</v>
      </c>
    </row>
    <row r="875" spans="1:12">
      <c r="A875">
        <v>873</v>
      </c>
      <c r="B875">
        <v>7.9750000000000011E+44</v>
      </c>
      <c r="D875" s="18">
        <v>873</v>
      </c>
      <c r="E875" s="18" cm="1">
        <f t="array" aca="1" ref="E875" ca="1">INDIRECT("b"&amp;F875+2)</f>
        <v>9.9999999999999995E+60</v>
      </c>
      <c r="F875" s="18">
        <f t="shared" si="64"/>
        <v>1562</v>
      </c>
      <c r="G875" s="18"/>
      <c r="H875" s="18"/>
      <c r="I875" s="19">
        <v>873</v>
      </c>
      <c r="J875" s="19" cm="1">
        <f t="array" aca="1" ref="J875" ca="1">INDIRECT("b"&amp;K875+2)</f>
        <v>1.0000000000000001E+91</v>
      </c>
      <c r="K875" s="19">
        <f t="shared" si="67"/>
        <v>2762</v>
      </c>
      <c r="L875">
        <v>74</v>
      </c>
    </row>
    <row r="876" spans="1:12">
      <c r="A876">
        <v>874</v>
      </c>
      <c r="B876">
        <v>8.1999999999999993E+44</v>
      </c>
      <c r="D876" s="18">
        <v>874</v>
      </c>
      <c r="E876" s="18" cm="1">
        <f t="array" aca="1" ref="E876" ca="1">INDIRECT("b"&amp;F876+2)</f>
        <v>1.45E+61</v>
      </c>
      <c r="F876" s="18">
        <f t="shared" si="64"/>
        <v>1564</v>
      </c>
      <c r="G876" s="18"/>
      <c r="H876" s="18"/>
      <c r="I876" s="19">
        <v>874</v>
      </c>
      <c r="J876" s="19" cm="1">
        <f t="array" aca="1" ref="J876" ca="1">INDIRECT("b"&amp;K876+2)</f>
        <v>1.4500000000000001E+91</v>
      </c>
      <c r="K876" s="19">
        <f t="shared" si="67"/>
        <v>2764</v>
      </c>
      <c r="L876">
        <v>75</v>
      </c>
    </row>
    <row r="877" spans="1:12">
      <c r="A877">
        <v>875</v>
      </c>
      <c r="B877">
        <v>8.4250000000000007E+44</v>
      </c>
      <c r="D877" s="18">
        <v>875</v>
      </c>
      <c r="E877" s="18" cm="1">
        <f t="array" aca="1" ref="E877" ca="1">INDIRECT("b"&amp;F877+2)</f>
        <v>1.6749999999999999E+61</v>
      </c>
      <c r="F877" s="18">
        <f t="shared" si="64"/>
        <v>1565</v>
      </c>
      <c r="G877" s="18"/>
      <c r="H877" s="18"/>
      <c r="I877" s="19">
        <v>875</v>
      </c>
      <c r="J877" s="19" cm="1">
        <f t="array" aca="1" ref="J877" ca="1">INDIRECT("b"&amp;K877+2)</f>
        <v>1.6749999999999999E+91</v>
      </c>
      <c r="K877" s="19">
        <f t="shared" si="67"/>
        <v>2765</v>
      </c>
      <c r="L877">
        <v>76</v>
      </c>
    </row>
    <row r="878" spans="1:12">
      <c r="A878">
        <v>876</v>
      </c>
      <c r="B878">
        <v>8.6499999999999989E+44</v>
      </c>
      <c r="D878" s="18">
        <v>876</v>
      </c>
      <c r="E878" s="18" cm="1">
        <f t="array" aca="1" ref="E878" ca="1">INDIRECT("b"&amp;F878+2)</f>
        <v>1.9E+61</v>
      </c>
      <c r="F878" s="18">
        <f t="shared" si="64"/>
        <v>1566</v>
      </c>
      <c r="G878" s="18"/>
      <c r="H878" s="18"/>
      <c r="I878" s="19">
        <v>876</v>
      </c>
      <c r="J878" s="19" cm="1">
        <f t="array" aca="1" ref="J878" ca="1">INDIRECT("b"&amp;K878+2)</f>
        <v>1.8999999999999999E+91</v>
      </c>
      <c r="K878" s="19">
        <f t="shared" si="67"/>
        <v>2766</v>
      </c>
      <c r="L878">
        <v>77</v>
      </c>
    </row>
    <row r="879" spans="1:12">
      <c r="A879">
        <v>877</v>
      </c>
      <c r="B879">
        <v>8.8749999999999987E+44</v>
      </c>
      <c r="D879" s="18">
        <v>877</v>
      </c>
      <c r="E879" s="18" cm="1">
        <f t="array" aca="1" ref="E879" ca="1">INDIRECT("b"&amp;F879+2)</f>
        <v>2.3499999999999999E+61</v>
      </c>
      <c r="F879" s="18">
        <f t="shared" si="64"/>
        <v>1568</v>
      </c>
      <c r="G879" s="18">
        <f t="shared" ref="G879" ca="1" si="76">E879/E874</f>
        <v>2.4040920716112533</v>
      </c>
      <c r="H879" s="18"/>
      <c r="I879" s="19">
        <v>877</v>
      </c>
      <c r="J879" s="19" cm="1">
        <f t="array" aca="1" ref="J879" ca="1">INDIRECT("b"&amp;K879+2)</f>
        <v>2.3500000000000002E+91</v>
      </c>
      <c r="K879" s="19">
        <f t="shared" si="67"/>
        <v>2768</v>
      </c>
      <c r="L879">
        <v>78</v>
      </c>
    </row>
    <row r="880" spans="1:12">
      <c r="A880">
        <v>878</v>
      </c>
      <c r="B880">
        <v>9.0999999999999985E+44</v>
      </c>
      <c r="D880" s="18">
        <v>878</v>
      </c>
      <c r="E880" s="18" cm="1">
        <f t="array" aca="1" ref="E880" ca="1">INDIRECT("b"&amp;F880+2)</f>
        <v>2.575E+61</v>
      </c>
      <c r="F880" s="18">
        <f t="shared" si="64"/>
        <v>1569</v>
      </c>
      <c r="G880" s="18"/>
      <c r="H880" s="18"/>
      <c r="I880" s="19">
        <v>878</v>
      </c>
      <c r="J880" s="19" cm="1">
        <f t="array" aca="1" ref="J880" ca="1">INDIRECT("b"&amp;K880+2)</f>
        <v>2.5750000000000002E+91</v>
      </c>
      <c r="K880" s="19">
        <f t="shared" si="67"/>
        <v>2769</v>
      </c>
      <c r="L880">
        <v>79</v>
      </c>
    </row>
    <row r="881" spans="1:16">
      <c r="A881">
        <v>879</v>
      </c>
      <c r="B881">
        <v>9.3249999999999999E+44</v>
      </c>
      <c r="D881" s="18">
        <v>879</v>
      </c>
      <c r="E881" s="18" cm="1">
        <f t="array" aca="1" ref="E881" ca="1">INDIRECT("b"&amp;F881+2)</f>
        <v>2.8000000000000001E+61</v>
      </c>
      <c r="F881" s="18">
        <f t="shared" si="64"/>
        <v>1570</v>
      </c>
      <c r="G881" s="18"/>
      <c r="H881" s="18"/>
      <c r="I881" s="19">
        <v>879</v>
      </c>
      <c r="J881" s="19" cm="1">
        <f t="array" aca="1" ref="J881" ca="1">INDIRECT("b"&amp;K881+2)</f>
        <v>2.8000000000000002E+91</v>
      </c>
      <c r="K881" s="19">
        <f t="shared" si="67"/>
        <v>2770</v>
      </c>
      <c r="L881">
        <v>80</v>
      </c>
    </row>
    <row r="882" spans="1:16">
      <c r="A882">
        <v>880</v>
      </c>
      <c r="B882">
        <v>9.5499999999999997E+44</v>
      </c>
      <c r="D882" s="18">
        <v>880</v>
      </c>
      <c r="E882" s="18" cm="1">
        <f t="array" aca="1" ref="E882" ca="1">INDIRECT("b"&amp;F882+2)</f>
        <v>3.2499999999999998E+61</v>
      </c>
      <c r="F882" s="18">
        <f t="shared" si="64"/>
        <v>1572</v>
      </c>
      <c r="G882" s="18"/>
      <c r="H882" s="18"/>
      <c r="I882" s="19">
        <v>880</v>
      </c>
      <c r="J882" s="19" cm="1">
        <f t="array" aca="1" ref="J882" ca="1">INDIRECT("b"&amp;K882+2)</f>
        <v>3.2500000000000002E+91</v>
      </c>
      <c r="K882" s="19">
        <f t="shared" si="67"/>
        <v>2772</v>
      </c>
      <c r="L882">
        <v>81</v>
      </c>
    </row>
    <row r="883" spans="1:16">
      <c r="A883">
        <v>881</v>
      </c>
      <c r="B883">
        <v>9.7749999999999995E+44</v>
      </c>
      <c r="D883" s="18">
        <v>881</v>
      </c>
      <c r="E883" s="18" cm="1">
        <f t="array" aca="1" ref="E883" ca="1">INDIRECT("b"&amp;F883+2)</f>
        <v>3.4749999999999999E+61</v>
      </c>
      <c r="F883" s="18">
        <f t="shared" si="64"/>
        <v>1573</v>
      </c>
      <c r="G883" s="18"/>
      <c r="H883" s="18"/>
      <c r="I883" s="19">
        <v>881</v>
      </c>
      <c r="J883" s="19" cm="1">
        <f t="array" aca="1" ref="J883" ca="1">INDIRECT("b"&amp;K883+2)</f>
        <v>3.4749999999999998E+91</v>
      </c>
      <c r="K883" s="19">
        <f t="shared" si="67"/>
        <v>2773</v>
      </c>
      <c r="L883">
        <v>82</v>
      </c>
      <c r="P883" t="s">
        <v>11</v>
      </c>
    </row>
    <row r="884" spans="1:16">
      <c r="A884">
        <v>882</v>
      </c>
      <c r="B884">
        <v>1.0000000000000001E+45</v>
      </c>
      <c r="D884" s="18">
        <v>882</v>
      </c>
      <c r="E884" s="18" cm="1">
        <f t="array" aca="1" ref="E884" ca="1">INDIRECT("b"&amp;F884+2)</f>
        <v>3.7E+61</v>
      </c>
      <c r="F884" s="18">
        <f t="shared" si="64"/>
        <v>1574</v>
      </c>
      <c r="G884" s="18">
        <f t="shared" ref="G884" ca="1" si="77">E884/E879</f>
        <v>1.574468085106383</v>
      </c>
      <c r="H884" s="18"/>
      <c r="I884" s="19">
        <v>882</v>
      </c>
      <c r="J884" s="19" cm="1">
        <f t="array" aca="1" ref="J884" ca="1">INDIRECT("b"&amp;K884+2)</f>
        <v>3.6999999999999998E+91</v>
      </c>
      <c r="K884" s="19">
        <f t="shared" si="67"/>
        <v>2774</v>
      </c>
      <c r="L884">
        <v>83</v>
      </c>
      <c r="P884">
        <v>794</v>
      </c>
    </row>
    <row r="885" spans="1:16">
      <c r="A885">
        <v>883</v>
      </c>
      <c r="B885">
        <v>1.225E+45</v>
      </c>
      <c r="D885" s="18">
        <v>883</v>
      </c>
      <c r="E885" s="18" cm="1">
        <f t="array" aca="1" ref="E885" ca="1">INDIRECT("b"&amp;F885+2)</f>
        <v>4.1500000000000003E+61</v>
      </c>
      <c r="F885" s="18">
        <f t="shared" si="64"/>
        <v>1576</v>
      </c>
      <c r="G885" s="18"/>
      <c r="H885" s="18"/>
      <c r="I885" s="19">
        <v>883</v>
      </c>
      <c r="J885" s="19" cm="1">
        <f t="array" aca="1" ref="J885" ca="1">INDIRECT("b"&amp;K885+2)</f>
        <v>4.1499999999999998E+91</v>
      </c>
      <c r="K885" s="19">
        <f t="shared" si="67"/>
        <v>2776</v>
      </c>
      <c r="L885">
        <v>84</v>
      </c>
    </row>
    <row r="886" spans="1:16">
      <c r="A886">
        <v>884</v>
      </c>
      <c r="B886">
        <v>1.4499999999999999E+45</v>
      </c>
      <c r="D886" s="18">
        <v>884</v>
      </c>
      <c r="E886" s="18" cm="1">
        <f t="array" aca="1" ref="E886" ca="1">INDIRECT("b"&amp;F886+2)</f>
        <v>4.3749999999999998E+61</v>
      </c>
      <c r="F886" s="18">
        <f t="shared" si="64"/>
        <v>1577</v>
      </c>
      <c r="G886" s="18"/>
      <c r="H886" s="18"/>
      <c r="I886" s="19">
        <v>884</v>
      </c>
      <c r="J886" s="19" cm="1">
        <f t="array" aca="1" ref="J886" ca="1">INDIRECT("b"&amp;K886+2)</f>
        <v>4.3749999999999998E+91</v>
      </c>
      <c r="K886" s="19">
        <f t="shared" si="67"/>
        <v>2777</v>
      </c>
      <c r="L886">
        <v>85</v>
      </c>
    </row>
    <row r="887" spans="1:16">
      <c r="A887">
        <v>885</v>
      </c>
      <c r="B887">
        <v>1.675E+45</v>
      </c>
      <c r="D887" s="18">
        <v>885</v>
      </c>
      <c r="E887" s="18" cm="1">
        <f t="array" aca="1" ref="E887" ca="1">INDIRECT("b"&amp;F887+2)</f>
        <v>4.5999999999999999E+61</v>
      </c>
      <c r="F887" s="18">
        <f t="shared" si="64"/>
        <v>1578</v>
      </c>
      <c r="G887" s="18"/>
      <c r="H887" s="18"/>
      <c r="I887" s="19">
        <v>885</v>
      </c>
      <c r="J887" s="19" cm="1">
        <f t="array" aca="1" ref="J887" ca="1">INDIRECT("b"&amp;K887+2)</f>
        <v>4.5999999999999998E+91</v>
      </c>
      <c r="K887" s="19">
        <f t="shared" si="67"/>
        <v>2778</v>
      </c>
      <c r="L887">
        <v>86</v>
      </c>
    </row>
    <row r="888" spans="1:16">
      <c r="A888">
        <v>886</v>
      </c>
      <c r="B888">
        <v>1.9000000000000004E+45</v>
      </c>
      <c r="D888" s="18">
        <v>886</v>
      </c>
      <c r="E888" s="18" cm="1">
        <f t="array" aca="1" ref="E888" ca="1">INDIRECT("b"&amp;F888+2)</f>
        <v>5.0500000000000001E+61</v>
      </c>
      <c r="F888" s="18">
        <f t="shared" si="64"/>
        <v>1580</v>
      </c>
      <c r="G888" s="18"/>
      <c r="H888" s="18"/>
      <c r="I888" s="19">
        <v>886</v>
      </c>
      <c r="J888" s="19" cm="1">
        <f t="array" aca="1" ref="J888" ca="1">INDIRECT("b"&amp;K888+2)</f>
        <v>5.0499999999999998E+91</v>
      </c>
      <c r="K888" s="19">
        <f t="shared" si="67"/>
        <v>2780</v>
      </c>
      <c r="L888">
        <v>87</v>
      </c>
    </row>
    <row r="889" spans="1:16">
      <c r="A889">
        <v>887</v>
      </c>
      <c r="B889">
        <v>2.1249999999999999E+45</v>
      </c>
      <c r="D889" s="18">
        <v>887</v>
      </c>
      <c r="E889" s="18" cm="1">
        <f t="array" aca="1" ref="E889" ca="1">INDIRECT("b"&amp;F889+2)</f>
        <v>5.2749999999999997E+61</v>
      </c>
      <c r="F889" s="18">
        <f t="shared" si="64"/>
        <v>1581</v>
      </c>
      <c r="G889" s="18">
        <f t="shared" ref="G889" ca="1" si="78">E889/E884</f>
        <v>1.4256756756756757</v>
      </c>
      <c r="H889" s="18"/>
      <c r="I889" s="19">
        <v>887</v>
      </c>
      <c r="J889" s="19" cm="1">
        <f t="array" aca="1" ref="J889" ca="1">INDIRECT("b"&amp;K889+2)</f>
        <v>5.2749999999999998E+91</v>
      </c>
      <c r="K889" s="19">
        <f t="shared" si="67"/>
        <v>2781</v>
      </c>
      <c r="L889">
        <v>88</v>
      </c>
    </row>
    <row r="890" spans="1:16">
      <c r="A890">
        <v>888</v>
      </c>
      <c r="B890">
        <v>2.3500000000000003E+45</v>
      </c>
      <c r="D890" s="18">
        <v>888</v>
      </c>
      <c r="E890" s="18" cm="1">
        <f t="array" aca="1" ref="E890" ca="1">INDIRECT("b"&amp;F890+2)</f>
        <v>5.5000000000000004E+61</v>
      </c>
      <c r="F890" s="18">
        <f t="shared" si="64"/>
        <v>1582</v>
      </c>
      <c r="G890" s="18"/>
      <c r="H890" s="18"/>
      <c r="I890" s="19">
        <v>888</v>
      </c>
      <c r="J890" s="19" cm="1">
        <f t="array" aca="1" ref="J890" ca="1">INDIRECT("b"&amp;K890+2)</f>
        <v>5.5000000000000005E+91</v>
      </c>
      <c r="K890" s="19">
        <f t="shared" si="67"/>
        <v>2782</v>
      </c>
      <c r="L890">
        <v>89</v>
      </c>
    </row>
    <row r="891" spans="1:16">
      <c r="A891">
        <v>889</v>
      </c>
      <c r="B891">
        <v>2.5749999999999998E+45</v>
      </c>
      <c r="D891" s="18">
        <v>889</v>
      </c>
      <c r="E891" s="18" cm="1">
        <f t="array" aca="1" ref="E891" ca="1">INDIRECT("b"&amp;F891+2)</f>
        <v>5.9499999999999994E+61</v>
      </c>
      <c r="F891" s="18">
        <f t="shared" si="64"/>
        <v>1584</v>
      </c>
      <c r="G891" s="18"/>
      <c r="H891" s="18"/>
      <c r="I891" s="19">
        <v>889</v>
      </c>
      <c r="J891" s="19" cm="1">
        <f t="array" aca="1" ref="J891" ca="1">INDIRECT("b"&amp;K891+2)</f>
        <v>5.9500000000000005E+91</v>
      </c>
      <c r="K891" s="19">
        <f t="shared" si="67"/>
        <v>2784</v>
      </c>
      <c r="L891">
        <v>90</v>
      </c>
    </row>
    <row r="892" spans="1:16">
      <c r="A892">
        <v>890</v>
      </c>
      <c r="B892">
        <v>2.8000000000000002E+45</v>
      </c>
      <c r="D892" s="18">
        <v>890</v>
      </c>
      <c r="E892" s="18" cm="1">
        <f t="array" aca="1" ref="E892" ca="1">INDIRECT("b"&amp;F892+2)</f>
        <v>6.1750000000000001E+61</v>
      </c>
      <c r="F892" s="18">
        <f t="shared" si="64"/>
        <v>1585</v>
      </c>
      <c r="G892" s="18"/>
      <c r="H892" s="18"/>
      <c r="I892" s="19">
        <v>890</v>
      </c>
      <c r="J892" s="19" cm="1">
        <f t="array" aca="1" ref="J892" ca="1">INDIRECT("b"&amp;K892+2)</f>
        <v>6.1750000000000005E+91</v>
      </c>
      <c r="K892" s="19">
        <f t="shared" si="67"/>
        <v>2785</v>
      </c>
      <c r="L892">
        <v>91</v>
      </c>
    </row>
    <row r="893" spans="1:16">
      <c r="A893">
        <v>891</v>
      </c>
      <c r="B893">
        <v>3.0250000000000004E+45</v>
      </c>
      <c r="D893" s="18">
        <v>891</v>
      </c>
      <c r="E893" s="18" cm="1">
        <f t="array" aca="1" ref="E893" ca="1">INDIRECT("b"&amp;F893+2)</f>
        <v>6.3999999999999997E+61</v>
      </c>
      <c r="F893" s="18">
        <f t="shared" ref="F893:F956" si="79">INT((A893-123)*1.333333)+563</f>
        <v>1586</v>
      </c>
      <c r="G893" s="18"/>
      <c r="H893" s="18"/>
      <c r="I893" s="19">
        <v>891</v>
      </c>
      <c r="J893" s="19" cm="1">
        <f t="array" aca="1" ref="J893" ca="1">INDIRECT("b"&amp;K893+2)</f>
        <v>6.4000000000000005E+91</v>
      </c>
      <c r="K893" s="19">
        <f t="shared" si="67"/>
        <v>2786</v>
      </c>
      <c r="L893">
        <v>92</v>
      </c>
    </row>
    <row r="894" spans="1:16">
      <c r="A894">
        <v>892</v>
      </c>
      <c r="B894">
        <v>3.2499999999999995E+45</v>
      </c>
      <c r="D894" s="18">
        <v>892</v>
      </c>
      <c r="E894" s="18" cm="1">
        <f t="array" aca="1" ref="E894" ca="1">INDIRECT("b"&amp;F894+2)</f>
        <v>6.8499999999999999E+61</v>
      </c>
      <c r="F894" s="18">
        <f t="shared" si="79"/>
        <v>1588</v>
      </c>
      <c r="G894" s="18">
        <f t="shared" ref="G894" ca="1" si="80">E894/E889</f>
        <v>1.2985781990521328</v>
      </c>
      <c r="H894" s="18"/>
      <c r="I894" s="19">
        <v>892</v>
      </c>
      <c r="J894" s="19" cm="1">
        <f t="array" aca="1" ref="J894" ca="1">INDIRECT("b"&amp;K894+2)</f>
        <v>6.8500000000000005E+91</v>
      </c>
      <c r="K894" s="19">
        <f t="shared" si="67"/>
        <v>2788</v>
      </c>
      <c r="L894">
        <v>93</v>
      </c>
    </row>
    <row r="895" spans="1:16">
      <c r="A895">
        <v>893</v>
      </c>
      <c r="B895">
        <v>3.475E+45</v>
      </c>
      <c r="D895" s="18">
        <v>893</v>
      </c>
      <c r="E895" s="18" cm="1">
        <f t="array" aca="1" ref="E895" ca="1">INDIRECT("b"&amp;F895+2)</f>
        <v>7.0749999999999994E+61</v>
      </c>
      <c r="F895" s="18">
        <f t="shared" si="79"/>
        <v>1589</v>
      </c>
      <c r="G895" s="18"/>
      <c r="H895" s="18"/>
      <c r="I895" s="19">
        <v>893</v>
      </c>
      <c r="J895" s="19" cm="1">
        <f t="array" aca="1" ref="J895" ca="1">INDIRECT("b"&amp;K895+2)</f>
        <v>7.0750000000000005E+91</v>
      </c>
      <c r="K895" s="19">
        <f t="shared" si="67"/>
        <v>2789</v>
      </c>
      <c r="L895">
        <v>94</v>
      </c>
    </row>
    <row r="896" spans="1:16">
      <c r="A896">
        <v>894</v>
      </c>
      <c r="B896">
        <v>3.6999999999999998E+45</v>
      </c>
      <c r="D896" s="18">
        <v>894</v>
      </c>
      <c r="E896" s="18" cm="1">
        <f t="array" aca="1" ref="E896" ca="1">INDIRECT("b"&amp;F896+2)</f>
        <v>7.3000000000000001E+61</v>
      </c>
      <c r="F896" s="18">
        <f t="shared" si="79"/>
        <v>1590</v>
      </c>
      <c r="G896" s="18"/>
      <c r="H896" s="18"/>
      <c r="I896" s="19">
        <v>894</v>
      </c>
      <c r="J896" s="19" cm="1">
        <f t="array" aca="1" ref="J896" ca="1">INDIRECT("b"&amp;K896+2)</f>
        <v>7.3000000000000005E+91</v>
      </c>
      <c r="K896" s="19">
        <f t="shared" si="67"/>
        <v>2790</v>
      </c>
      <c r="L896">
        <v>95</v>
      </c>
    </row>
    <row r="897" spans="1:13">
      <c r="A897">
        <v>895</v>
      </c>
      <c r="B897">
        <v>3.9250000000000002E+45</v>
      </c>
      <c r="D897" s="18">
        <v>895</v>
      </c>
      <c r="E897" s="18" cm="1">
        <f t="array" aca="1" ref="E897" ca="1">INDIRECT("b"&amp;F897+2)</f>
        <v>7.7500000000000004E+61</v>
      </c>
      <c r="F897" s="18">
        <f t="shared" si="79"/>
        <v>1592</v>
      </c>
      <c r="G897" s="18"/>
      <c r="H897" s="18"/>
      <c r="I897" s="19">
        <v>895</v>
      </c>
      <c r="J897" s="19" cm="1">
        <f t="array" aca="1" ref="J897" ca="1">INDIRECT("b"&amp;K897+2)</f>
        <v>7.7500000000000005E+91</v>
      </c>
      <c r="K897" s="19">
        <f t="shared" si="67"/>
        <v>2792</v>
      </c>
      <c r="L897">
        <v>96</v>
      </c>
    </row>
    <row r="898" spans="1:13">
      <c r="A898">
        <v>896</v>
      </c>
      <c r="B898">
        <v>4.1500000000000006E+45</v>
      </c>
      <c r="D898" s="18">
        <v>896</v>
      </c>
      <c r="E898" s="18" cm="1">
        <f t="array" aca="1" ref="E898" ca="1">INDIRECT("b"&amp;F898+2)</f>
        <v>7.9749999999999999E+61</v>
      </c>
      <c r="F898" s="18">
        <f t="shared" si="79"/>
        <v>1593</v>
      </c>
      <c r="G898" s="18"/>
      <c r="H898" s="18"/>
      <c r="I898" s="19">
        <v>896</v>
      </c>
      <c r="J898" s="19" cm="1">
        <f t="array" aca="1" ref="J898" ca="1">INDIRECT("b"&amp;K898+2)</f>
        <v>7.9750000000000005E+91</v>
      </c>
      <c r="K898" s="19">
        <f t="shared" si="67"/>
        <v>2793</v>
      </c>
      <c r="L898">
        <v>97</v>
      </c>
    </row>
    <row r="899" spans="1:13">
      <c r="A899">
        <v>897</v>
      </c>
      <c r="B899">
        <v>4.3749999999999998E+45</v>
      </c>
      <c r="D899" s="18">
        <v>897</v>
      </c>
      <c r="E899" s="18" cm="1">
        <f t="array" aca="1" ref="E899" ca="1">INDIRECT("b"&amp;F899+2)</f>
        <v>8.1999999999999994E+61</v>
      </c>
      <c r="F899" s="18">
        <f t="shared" si="79"/>
        <v>1594</v>
      </c>
      <c r="G899" s="18">
        <f t="shared" ref="G899" ca="1" si="81">E899/E894</f>
        <v>1.1970802919708028</v>
      </c>
      <c r="H899" s="18"/>
      <c r="I899" s="19">
        <v>897</v>
      </c>
      <c r="J899" s="19" cm="1">
        <f t="array" aca="1" ref="J899" ca="1">INDIRECT("b"&amp;K899+2)</f>
        <v>8.2000000000000005E+91</v>
      </c>
      <c r="K899" s="19">
        <f t="shared" si="67"/>
        <v>2794</v>
      </c>
      <c r="L899">
        <v>98</v>
      </c>
    </row>
    <row r="900" spans="1:13">
      <c r="A900">
        <v>898</v>
      </c>
      <c r="B900">
        <v>4.5999999999999996E+45</v>
      </c>
      <c r="D900" s="18">
        <v>898</v>
      </c>
      <c r="E900" s="18" cm="1">
        <f t="array" aca="1" ref="E900" ca="1">INDIRECT("b"&amp;F900+2)</f>
        <v>8.6499999999999997E+61</v>
      </c>
      <c r="F900" s="18">
        <f t="shared" si="79"/>
        <v>1596</v>
      </c>
      <c r="G900" s="18"/>
      <c r="H900" s="18"/>
      <c r="I900" s="19">
        <v>898</v>
      </c>
      <c r="J900" s="19" cm="1">
        <f t="array" aca="1" ref="J900" ca="1">INDIRECT("b"&amp;K900+2)</f>
        <v>8.6500000000000005E+91</v>
      </c>
      <c r="K900" s="19">
        <f t="shared" ref="K900:K963" si="82">INT((A900-1)*40/30+900*40/30)+400</f>
        <v>2796</v>
      </c>
      <c r="L900">
        <v>99</v>
      </c>
    </row>
    <row r="901" spans="1:13">
      <c r="A901">
        <v>899</v>
      </c>
      <c r="B901">
        <v>4.8250000000000007E+45</v>
      </c>
      <c r="D901" s="18">
        <v>899</v>
      </c>
      <c r="E901" s="18" cm="1">
        <f t="array" aca="1" ref="E901" ca="1">INDIRECT("b"&amp;F901+2)</f>
        <v>8.8750000000000004E+61</v>
      </c>
      <c r="F901" s="18">
        <f t="shared" si="79"/>
        <v>1597</v>
      </c>
      <c r="G901" s="18"/>
      <c r="H901" s="18"/>
      <c r="I901" s="19">
        <v>899</v>
      </c>
      <c r="J901" s="19" cm="1">
        <f t="array" aca="1" ref="J901" ca="1">INDIRECT("b"&amp;K901+2)</f>
        <v>8.8750000000000005E+91</v>
      </c>
      <c r="K901" s="19">
        <f t="shared" si="82"/>
        <v>2797</v>
      </c>
      <c r="L901">
        <v>100</v>
      </c>
    </row>
    <row r="902" spans="1:13">
      <c r="A902">
        <v>900</v>
      </c>
      <c r="B902">
        <v>5.0499999999999999E+45</v>
      </c>
      <c r="D902" s="18">
        <v>900</v>
      </c>
      <c r="E902" s="18" cm="1">
        <f t="array" aca="1" ref="E902" ca="1">INDIRECT("b"&amp;F902+2)</f>
        <v>9.0999999999999999E+61</v>
      </c>
      <c r="F902" s="18">
        <f t="shared" si="79"/>
        <v>1598</v>
      </c>
      <c r="G902" s="18"/>
      <c r="H902" s="18"/>
      <c r="I902" s="19">
        <v>900</v>
      </c>
      <c r="J902" s="19" cm="1">
        <f t="array" aca="1" ref="J902" ca="1">INDIRECT("b"&amp;K902+2)</f>
        <v>9.1000000000000005E+91</v>
      </c>
      <c r="K902" s="19">
        <f t="shared" si="82"/>
        <v>2798</v>
      </c>
      <c r="L902">
        <v>1</v>
      </c>
      <c r="M902" t="e">
        <f>#REF!/#REF!</f>
        <v>#REF!</v>
      </c>
    </row>
    <row r="903" spans="1:13">
      <c r="A903">
        <v>901</v>
      </c>
      <c r="B903">
        <v>5.2749999999999997E+45</v>
      </c>
      <c r="D903" s="18">
        <v>901</v>
      </c>
      <c r="E903" s="18" cm="1">
        <f t="array" aca="1" ref="E903" ca="1">INDIRECT("b"&amp;F903+2)</f>
        <v>9.5500000000000001E+61</v>
      </c>
      <c r="F903" s="18">
        <f t="shared" si="79"/>
        <v>1600</v>
      </c>
      <c r="G903" s="18"/>
      <c r="H903" s="18"/>
      <c r="I903" s="19">
        <v>901</v>
      </c>
      <c r="J903" s="19" cm="1">
        <f t="array" aca="1" ref="J903" ca="1">INDIRECT("b"&amp;K903+2)</f>
        <v>9.5500000000000004E+91</v>
      </c>
      <c r="K903" s="19">
        <f t="shared" si="82"/>
        <v>2800</v>
      </c>
      <c r="L903">
        <v>2</v>
      </c>
    </row>
    <row r="904" spans="1:13">
      <c r="A904">
        <v>902</v>
      </c>
      <c r="B904">
        <v>5.4999999999999995E+45</v>
      </c>
      <c r="D904" s="18">
        <v>902</v>
      </c>
      <c r="E904" s="18" cm="1">
        <f t="array" aca="1" ref="E904" ca="1">INDIRECT("b"&amp;F904+2)</f>
        <v>9.7749999999999997E+61</v>
      </c>
      <c r="F904" s="18">
        <f t="shared" si="79"/>
        <v>1601</v>
      </c>
      <c r="G904" s="18">
        <f t="shared" ref="G904" ca="1" si="83">E904/E899</f>
        <v>1.1920731707317074</v>
      </c>
      <c r="H904" s="18"/>
      <c r="I904" s="19">
        <v>902</v>
      </c>
      <c r="J904" s="19" cm="1">
        <f t="array" aca="1" ref="J904" ca="1">INDIRECT("b"&amp;K904+2)</f>
        <v>9.7750000000000004E+91</v>
      </c>
      <c r="K904" s="19">
        <f t="shared" si="82"/>
        <v>2801</v>
      </c>
      <c r="L904">
        <v>3</v>
      </c>
    </row>
    <row r="905" spans="1:13">
      <c r="A905">
        <v>903</v>
      </c>
      <c r="B905">
        <v>5.7250000000000005E+45</v>
      </c>
      <c r="D905" s="18">
        <v>903</v>
      </c>
      <c r="E905" s="18" cm="1">
        <f t="array" aca="1" ref="E905" ca="1">INDIRECT("b"&amp;F905+2)</f>
        <v>1E+62</v>
      </c>
      <c r="F905" s="18">
        <f t="shared" si="79"/>
        <v>1602</v>
      </c>
      <c r="G905" s="18"/>
      <c r="H905" s="18"/>
      <c r="I905" s="19">
        <v>903</v>
      </c>
      <c r="J905" s="19" cm="1">
        <f t="array" aca="1" ref="J905" ca="1">INDIRECT("b"&amp;K905+2)</f>
        <v>1E+92</v>
      </c>
      <c r="K905" s="19">
        <f t="shared" si="82"/>
        <v>2802</v>
      </c>
      <c r="L905">
        <v>4</v>
      </c>
    </row>
    <row r="906" spans="1:13">
      <c r="A906">
        <v>904</v>
      </c>
      <c r="B906">
        <v>5.950000000000001E+45</v>
      </c>
      <c r="D906" s="18">
        <v>904</v>
      </c>
      <c r="E906" s="18" cm="1">
        <f t="array" aca="1" ref="E906" ca="1">INDIRECT("b"&amp;F906+2)</f>
        <v>1.4500000000000001E+62</v>
      </c>
      <c r="F906" s="18">
        <f t="shared" si="79"/>
        <v>1604</v>
      </c>
      <c r="G906" s="18"/>
      <c r="H906" s="18"/>
      <c r="I906" s="19">
        <v>904</v>
      </c>
      <c r="J906" s="19" cm="1">
        <f t="array" aca="1" ref="J906" ca="1">INDIRECT("b"&amp;K906+2)</f>
        <v>1.45E+92</v>
      </c>
      <c r="K906" s="19">
        <f t="shared" si="82"/>
        <v>2804</v>
      </c>
      <c r="L906">
        <v>5</v>
      </c>
    </row>
    <row r="907" spans="1:13">
      <c r="A907">
        <v>905</v>
      </c>
      <c r="B907">
        <v>6.1750000000000001E+45</v>
      </c>
      <c r="D907" s="18">
        <v>905</v>
      </c>
      <c r="E907" s="18" cm="1">
        <f t="array" aca="1" ref="E907" ca="1">INDIRECT("b"&amp;F907+2)</f>
        <v>1.6750000000000001E+62</v>
      </c>
      <c r="F907" s="18">
        <f t="shared" si="79"/>
        <v>1605</v>
      </c>
      <c r="G907" s="18"/>
      <c r="H907" s="18"/>
      <c r="I907" s="19">
        <v>905</v>
      </c>
      <c r="J907" s="19" cm="1">
        <f t="array" aca="1" ref="J907" ca="1">INDIRECT("b"&amp;K907+2)</f>
        <v>1.675E+92</v>
      </c>
      <c r="K907" s="19">
        <f t="shared" si="82"/>
        <v>2805</v>
      </c>
      <c r="L907">
        <v>6</v>
      </c>
    </row>
    <row r="908" spans="1:13">
      <c r="A908">
        <v>906</v>
      </c>
      <c r="B908">
        <v>6.3999999999999993E+45</v>
      </c>
      <c r="D908" s="18">
        <v>906</v>
      </c>
      <c r="E908" s="18" cm="1">
        <f t="array" aca="1" ref="E908" ca="1">INDIRECT("b"&amp;F908+2)</f>
        <v>1.9000000000000001E+62</v>
      </c>
      <c r="F908" s="18">
        <f t="shared" si="79"/>
        <v>1606</v>
      </c>
      <c r="G908" s="18"/>
      <c r="H908" s="18"/>
      <c r="I908" s="19">
        <v>906</v>
      </c>
      <c r="J908" s="19" cm="1">
        <f t="array" aca="1" ref="J908" ca="1">INDIRECT("b"&amp;K908+2)</f>
        <v>1.9E+92</v>
      </c>
      <c r="K908" s="19">
        <f t="shared" si="82"/>
        <v>2806</v>
      </c>
      <c r="L908">
        <v>7</v>
      </c>
    </row>
    <row r="909" spans="1:13">
      <c r="A909">
        <v>907</v>
      </c>
      <c r="B909">
        <v>6.625000000000001E+45</v>
      </c>
      <c r="D909" s="18">
        <v>907</v>
      </c>
      <c r="E909" s="18" cm="1">
        <f t="array" aca="1" ref="E909" ca="1">INDIRECT("b"&amp;F909+2)</f>
        <v>2.3500000000000001E+62</v>
      </c>
      <c r="F909" s="18">
        <f t="shared" si="79"/>
        <v>1608</v>
      </c>
      <c r="G909" s="18">
        <f t="shared" ref="G909" ca="1" si="84">E909/E904</f>
        <v>2.4040920716112533</v>
      </c>
      <c r="H909" s="18"/>
      <c r="I909" s="19">
        <v>907</v>
      </c>
      <c r="J909" s="19" cm="1">
        <f t="array" aca="1" ref="J909" ca="1">INDIRECT("b"&amp;K909+2)</f>
        <v>2.35E+92</v>
      </c>
      <c r="K909" s="19">
        <f t="shared" si="82"/>
        <v>2808</v>
      </c>
      <c r="L909">
        <v>8</v>
      </c>
    </row>
    <row r="910" spans="1:13">
      <c r="A910">
        <v>908</v>
      </c>
      <c r="B910">
        <v>6.8500000000000002E+45</v>
      </c>
      <c r="D910" s="18">
        <v>908</v>
      </c>
      <c r="E910" s="18" cm="1">
        <f t="array" aca="1" ref="E910" ca="1">INDIRECT("b"&amp;F910+2)</f>
        <v>2.5750000000000004E+62</v>
      </c>
      <c r="F910" s="18">
        <f t="shared" si="79"/>
        <v>1609</v>
      </c>
      <c r="G910" s="18"/>
      <c r="H910" s="18"/>
      <c r="I910" s="19">
        <v>908</v>
      </c>
      <c r="J910" s="19" cm="1">
        <f t="array" aca="1" ref="J910" ca="1">INDIRECT("b"&amp;K910+2)</f>
        <v>2.575E+92</v>
      </c>
      <c r="K910" s="19">
        <f t="shared" si="82"/>
        <v>2809</v>
      </c>
      <c r="L910">
        <v>9</v>
      </c>
    </row>
    <row r="911" spans="1:13">
      <c r="A911">
        <v>909</v>
      </c>
      <c r="B911">
        <v>7.0749999999999993E+45</v>
      </c>
      <c r="D911" s="18">
        <v>909</v>
      </c>
      <c r="E911" s="18" cm="1">
        <f t="array" aca="1" ref="E911" ca="1">INDIRECT("b"&amp;F911+2)</f>
        <v>2.8000000000000001E+62</v>
      </c>
      <c r="F911" s="18">
        <f t="shared" si="79"/>
        <v>1610</v>
      </c>
      <c r="G911" s="18"/>
      <c r="H911" s="18"/>
      <c r="I911" s="19">
        <v>909</v>
      </c>
      <c r="J911" s="19" cm="1">
        <f t="array" aca="1" ref="J911" ca="1">INDIRECT("b"&amp;K911+2)</f>
        <v>2.8E+92</v>
      </c>
      <c r="K911" s="19">
        <f t="shared" si="82"/>
        <v>2810</v>
      </c>
      <c r="L911">
        <v>10</v>
      </c>
    </row>
    <row r="912" spans="1:13">
      <c r="A912">
        <v>910</v>
      </c>
      <c r="B912">
        <v>7.300000000000001E+45</v>
      </c>
      <c r="D912" s="18">
        <v>910</v>
      </c>
      <c r="E912" s="18" cm="1">
        <f t="array" aca="1" ref="E912" ca="1">INDIRECT("b"&amp;F912+2)</f>
        <v>3.2500000000000001E+62</v>
      </c>
      <c r="F912" s="18">
        <f t="shared" si="79"/>
        <v>1612</v>
      </c>
      <c r="G912" s="18"/>
      <c r="H912" s="18"/>
      <c r="I912" s="19">
        <v>910</v>
      </c>
      <c r="J912" s="19" cm="1">
        <f t="array" aca="1" ref="J912" ca="1">INDIRECT("b"&amp;K912+2)</f>
        <v>3.25E+92</v>
      </c>
      <c r="K912" s="19">
        <f t="shared" si="82"/>
        <v>2812</v>
      </c>
      <c r="L912">
        <v>11</v>
      </c>
    </row>
    <row r="913" spans="1:12">
      <c r="A913">
        <v>911</v>
      </c>
      <c r="B913">
        <v>7.5249999999999989E+45</v>
      </c>
      <c r="D913" s="18">
        <v>911</v>
      </c>
      <c r="E913" s="18" cm="1">
        <f t="array" aca="1" ref="E913" ca="1">INDIRECT("b"&amp;F913+2)</f>
        <v>3.4750000000000004E+62</v>
      </c>
      <c r="F913" s="18">
        <f t="shared" si="79"/>
        <v>1613</v>
      </c>
      <c r="G913" s="18"/>
      <c r="H913" s="18"/>
      <c r="I913" s="19">
        <v>911</v>
      </c>
      <c r="J913" s="19" cm="1">
        <f t="array" aca="1" ref="J913" ca="1">INDIRECT("b"&amp;K913+2)</f>
        <v>3.475E+92</v>
      </c>
      <c r="K913" s="19">
        <f t="shared" si="82"/>
        <v>2813</v>
      </c>
      <c r="L913">
        <v>12</v>
      </c>
    </row>
    <row r="914" spans="1:12">
      <c r="A914">
        <v>912</v>
      </c>
      <c r="B914">
        <v>7.7500000000000006E+45</v>
      </c>
      <c r="D914" s="18">
        <v>912</v>
      </c>
      <c r="E914" s="18" cm="1">
        <f t="array" aca="1" ref="E914" ca="1">INDIRECT("b"&amp;F914+2)</f>
        <v>3.7000000000000001E+62</v>
      </c>
      <c r="F914" s="18">
        <f t="shared" si="79"/>
        <v>1614</v>
      </c>
      <c r="G914" s="18">
        <f t="shared" ref="G914" ca="1" si="85">E914/E909</f>
        <v>1.574468085106383</v>
      </c>
      <c r="H914" s="18"/>
      <c r="I914" s="19">
        <v>912</v>
      </c>
      <c r="J914" s="19" cm="1">
        <f t="array" aca="1" ref="J914" ca="1">INDIRECT("b"&amp;K914+2)</f>
        <v>3.7E+92</v>
      </c>
      <c r="K914" s="19">
        <f t="shared" si="82"/>
        <v>2814</v>
      </c>
      <c r="L914">
        <v>13</v>
      </c>
    </row>
    <row r="915" spans="1:12">
      <c r="A915">
        <v>913</v>
      </c>
      <c r="B915">
        <v>7.9749999999999998E+45</v>
      </c>
      <c r="D915" s="18">
        <v>913</v>
      </c>
      <c r="E915" s="18" cm="1">
        <f t="array" aca="1" ref="E915" ca="1">INDIRECT("b"&amp;F915+2)</f>
        <v>4.1500000000000001E+62</v>
      </c>
      <c r="F915" s="18">
        <f t="shared" si="79"/>
        <v>1616</v>
      </c>
      <c r="G915" s="18"/>
      <c r="H915" s="18"/>
      <c r="I915" s="19">
        <v>913</v>
      </c>
      <c r="J915" s="19" cm="1">
        <f t="array" aca="1" ref="J915" ca="1">INDIRECT("b"&amp;K915+2)</f>
        <v>4.15E+92</v>
      </c>
      <c r="K915" s="19">
        <f t="shared" si="82"/>
        <v>2816</v>
      </c>
      <c r="L915">
        <v>14</v>
      </c>
    </row>
    <row r="916" spans="1:12">
      <c r="A916">
        <v>914</v>
      </c>
      <c r="B916">
        <v>8.199999999999999E+45</v>
      </c>
      <c r="D916" s="18">
        <v>914</v>
      </c>
      <c r="E916" s="18" cm="1">
        <f t="array" aca="1" ref="E916" ca="1">INDIRECT("b"&amp;F916+2)</f>
        <v>4.3750000000000004E+62</v>
      </c>
      <c r="F916" s="18">
        <f t="shared" si="79"/>
        <v>1617</v>
      </c>
      <c r="G916" s="18"/>
      <c r="H916" s="18"/>
      <c r="I916" s="19">
        <v>914</v>
      </c>
      <c r="J916" s="19" cm="1">
        <f t="array" aca="1" ref="J916" ca="1">INDIRECT("b"&amp;K916+2)</f>
        <v>4.375E+92</v>
      </c>
      <c r="K916" s="19">
        <f t="shared" si="82"/>
        <v>2817</v>
      </c>
      <c r="L916">
        <v>15</v>
      </c>
    </row>
    <row r="917" spans="1:12">
      <c r="A917">
        <v>915</v>
      </c>
      <c r="B917">
        <v>8.4250000000000007E+45</v>
      </c>
      <c r="D917" s="18">
        <v>915</v>
      </c>
      <c r="E917" s="18" cm="1">
        <f t="array" aca="1" ref="E917" ca="1">INDIRECT("b"&amp;F917+2)</f>
        <v>4.6000000000000006E+62</v>
      </c>
      <c r="F917" s="18">
        <f t="shared" si="79"/>
        <v>1618</v>
      </c>
      <c r="G917" s="18"/>
      <c r="H917" s="18"/>
      <c r="I917" s="19">
        <v>915</v>
      </c>
      <c r="J917" s="19" cm="1">
        <f t="array" aca="1" ref="J917" ca="1">INDIRECT("b"&amp;K917+2)</f>
        <v>4.6000000000000005E+92</v>
      </c>
      <c r="K917" s="19">
        <f t="shared" si="82"/>
        <v>2818</v>
      </c>
      <c r="L917">
        <v>16</v>
      </c>
    </row>
    <row r="918" spans="1:12">
      <c r="A918">
        <v>916</v>
      </c>
      <c r="B918">
        <v>8.6499999999999999E+45</v>
      </c>
      <c r="D918" s="18">
        <v>916</v>
      </c>
      <c r="E918" s="18" cm="1">
        <f t="array" aca="1" ref="E918" ca="1">INDIRECT("b"&amp;F918+2)</f>
        <v>5.0500000000000001E+62</v>
      </c>
      <c r="F918" s="18">
        <f t="shared" si="79"/>
        <v>1620</v>
      </c>
      <c r="G918" s="18"/>
      <c r="H918" s="18"/>
      <c r="I918" s="19">
        <v>916</v>
      </c>
      <c r="J918" s="19" cm="1">
        <f t="array" aca="1" ref="J918" ca="1">INDIRECT("b"&amp;K918+2)</f>
        <v>5.0500000000000005E+92</v>
      </c>
      <c r="K918" s="19">
        <f t="shared" si="82"/>
        <v>2820</v>
      </c>
      <c r="L918">
        <v>17</v>
      </c>
    </row>
    <row r="919" spans="1:12">
      <c r="A919">
        <v>917</v>
      </c>
      <c r="B919">
        <v>8.874999999999999E+45</v>
      </c>
      <c r="D919" s="18">
        <v>917</v>
      </c>
      <c r="E919" s="18" cm="1">
        <f t="array" aca="1" ref="E919" ca="1">INDIRECT("b"&amp;F919+2)</f>
        <v>5.2750000000000004E+62</v>
      </c>
      <c r="F919" s="18">
        <f t="shared" si="79"/>
        <v>1621</v>
      </c>
      <c r="G919" s="18">
        <f t="shared" ref="G919" ca="1" si="86">E919/E914</f>
        <v>1.4256756756756757</v>
      </c>
      <c r="H919" s="18"/>
      <c r="I919" s="19">
        <v>917</v>
      </c>
      <c r="J919" s="19" cm="1">
        <f t="array" aca="1" ref="J919" ca="1">INDIRECT("b"&amp;K919+2)</f>
        <v>5.2750000000000005E+92</v>
      </c>
      <c r="K919" s="19">
        <f t="shared" si="82"/>
        <v>2821</v>
      </c>
      <c r="L919">
        <v>18</v>
      </c>
    </row>
    <row r="920" spans="1:12">
      <c r="A920">
        <v>918</v>
      </c>
      <c r="B920">
        <v>9.0999999999999982E+45</v>
      </c>
      <c r="D920" s="18">
        <v>918</v>
      </c>
      <c r="E920" s="18" cm="1">
        <f t="array" aca="1" ref="E920" ca="1">INDIRECT("b"&amp;F920+2)</f>
        <v>5.5000000000000006E+62</v>
      </c>
      <c r="F920" s="18">
        <f t="shared" si="79"/>
        <v>1622</v>
      </c>
      <c r="G920" s="18"/>
      <c r="H920" s="18"/>
      <c r="I920" s="19">
        <v>918</v>
      </c>
      <c r="J920" s="19" cm="1">
        <f t="array" aca="1" ref="J920" ca="1">INDIRECT("b"&amp;K920+2)</f>
        <v>5.5000000000000005E+92</v>
      </c>
      <c r="K920" s="19">
        <f t="shared" si="82"/>
        <v>2822</v>
      </c>
      <c r="L920">
        <v>19</v>
      </c>
    </row>
    <row r="921" spans="1:12">
      <c r="A921">
        <v>919</v>
      </c>
      <c r="B921">
        <v>9.3249999999999986E+45</v>
      </c>
      <c r="D921" s="18">
        <v>919</v>
      </c>
      <c r="E921" s="18" cm="1">
        <f t="array" aca="1" ref="E921" ca="1">INDIRECT("b"&amp;F921+2)</f>
        <v>5.9500000000000001E+62</v>
      </c>
      <c r="F921" s="18">
        <f t="shared" si="79"/>
        <v>1624</v>
      </c>
      <c r="G921" s="18"/>
      <c r="H921" s="18"/>
      <c r="I921" s="19">
        <v>919</v>
      </c>
      <c r="J921" s="19" cm="1">
        <f t="array" aca="1" ref="J921" ca="1">INDIRECT("b"&amp;K921+2)</f>
        <v>5.9500000000000005E+92</v>
      </c>
      <c r="K921" s="19">
        <f t="shared" si="82"/>
        <v>2824</v>
      </c>
      <c r="L921">
        <v>20</v>
      </c>
    </row>
    <row r="922" spans="1:12">
      <c r="A922">
        <v>920</v>
      </c>
      <c r="B922">
        <v>9.5500000000000003E+45</v>
      </c>
      <c r="D922" s="18">
        <v>920</v>
      </c>
      <c r="E922" s="18" cm="1">
        <f t="array" aca="1" ref="E922" ca="1">INDIRECT("b"&amp;F922+2)</f>
        <v>6.1750000000000004E+62</v>
      </c>
      <c r="F922" s="18">
        <f t="shared" si="79"/>
        <v>1625</v>
      </c>
      <c r="G922" s="18"/>
      <c r="H922" s="18"/>
      <c r="I922" s="19">
        <v>920</v>
      </c>
      <c r="J922" s="19" cm="1">
        <f t="array" aca="1" ref="J922" ca="1">INDIRECT("b"&amp;K922+2)</f>
        <v>6.1750000000000005E+92</v>
      </c>
      <c r="K922" s="19">
        <f t="shared" si="82"/>
        <v>2825</v>
      </c>
      <c r="L922">
        <v>21</v>
      </c>
    </row>
    <row r="923" spans="1:12">
      <c r="A923">
        <v>921</v>
      </c>
      <c r="B923">
        <v>9.7749999999999995E+45</v>
      </c>
      <c r="D923" s="18">
        <v>921</v>
      </c>
      <c r="E923" s="18" cm="1">
        <f t="array" aca="1" ref="E923" ca="1">INDIRECT("b"&amp;F923+2)</f>
        <v>6.4000000000000006E+62</v>
      </c>
      <c r="F923" s="18">
        <f t="shared" si="79"/>
        <v>1626</v>
      </c>
      <c r="G923" s="18"/>
      <c r="H923" s="18"/>
      <c r="I923" s="19">
        <v>921</v>
      </c>
      <c r="J923" s="19" cm="1">
        <f t="array" aca="1" ref="J923" ca="1">INDIRECT("b"&amp;K923+2)</f>
        <v>6.4000000000000005E+92</v>
      </c>
      <c r="K923" s="19">
        <f t="shared" si="82"/>
        <v>2826</v>
      </c>
      <c r="L923">
        <v>22</v>
      </c>
    </row>
    <row r="924" spans="1:12">
      <c r="A924">
        <v>922</v>
      </c>
      <c r="B924">
        <v>9.9999999999999999E+45</v>
      </c>
      <c r="D924" s="18">
        <v>922</v>
      </c>
      <c r="E924" s="18" cm="1">
        <f t="array" aca="1" ref="E924" ca="1">INDIRECT("b"&amp;F924+2)</f>
        <v>6.8500000000000001E+62</v>
      </c>
      <c r="F924" s="18">
        <f t="shared" si="79"/>
        <v>1628</v>
      </c>
      <c r="G924" s="18">
        <f t="shared" ref="G924" ca="1" si="87">E924/E919</f>
        <v>1.2985781990521326</v>
      </c>
      <c r="H924" s="18"/>
      <c r="I924" s="19">
        <v>922</v>
      </c>
      <c r="J924" s="19" cm="1">
        <f t="array" aca="1" ref="J924" ca="1">INDIRECT("b"&amp;K924+2)</f>
        <v>6.8500000000000005E+92</v>
      </c>
      <c r="K924" s="19">
        <f t="shared" si="82"/>
        <v>2828</v>
      </c>
      <c r="L924">
        <v>23</v>
      </c>
    </row>
    <row r="925" spans="1:12">
      <c r="A925">
        <v>923</v>
      </c>
      <c r="B925">
        <v>1.2250000000000002E+46</v>
      </c>
      <c r="D925" s="18">
        <v>923</v>
      </c>
      <c r="E925" s="18" cm="1">
        <f t="array" aca="1" ref="E925" ca="1">INDIRECT("b"&amp;F925+2)</f>
        <v>7.0750000000000004E+62</v>
      </c>
      <c r="F925" s="18">
        <f t="shared" si="79"/>
        <v>1629</v>
      </c>
      <c r="G925" s="18"/>
      <c r="H925" s="18"/>
      <c r="I925" s="19">
        <v>923</v>
      </c>
      <c r="J925" s="19" cm="1">
        <f t="array" aca="1" ref="J925" ca="1">INDIRECT("b"&amp;K925+2)</f>
        <v>7.0750000000000005E+92</v>
      </c>
      <c r="K925" s="19">
        <f t="shared" si="82"/>
        <v>2829</v>
      </c>
      <c r="L925">
        <v>24</v>
      </c>
    </row>
    <row r="926" spans="1:12">
      <c r="A926">
        <v>924</v>
      </c>
      <c r="B926">
        <v>1.4499999999999999E+46</v>
      </c>
      <c r="D926" s="18">
        <v>924</v>
      </c>
      <c r="E926" s="18" cm="1">
        <f t="array" aca="1" ref="E926" ca="1">INDIRECT("b"&amp;F926+2)</f>
        <v>7.3000000000000006E+62</v>
      </c>
      <c r="F926" s="18">
        <f t="shared" si="79"/>
        <v>1630</v>
      </c>
      <c r="G926" s="18"/>
      <c r="H926" s="18"/>
      <c r="I926" s="19">
        <v>924</v>
      </c>
      <c r="J926" s="19" cm="1">
        <f t="array" aca="1" ref="J926" ca="1">INDIRECT("b"&amp;K926+2)</f>
        <v>7.3000000000000005E+92</v>
      </c>
      <c r="K926" s="19">
        <f t="shared" si="82"/>
        <v>2830</v>
      </c>
      <c r="L926">
        <v>25</v>
      </c>
    </row>
    <row r="927" spans="1:12">
      <c r="A927">
        <v>925</v>
      </c>
      <c r="B927">
        <v>1.675E+46</v>
      </c>
      <c r="D927" s="18">
        <v>925</v>
      </c>
      <c r="E927" s="18" cm="1">
        <f t="array" aca="1" ref="E927" ca="1">INDIRECT("b"&amp;F927+2)</f>
        <v>7.750000000000001E+62</v>
      </c>
      <c r="F927" s="18">
        <f t="shared" si="79"/>
        <v>1632</v>
      </c>
      <c r="G927" s="18"/>
      <c r="H927" s="18"/>
      <c r="I927" s="19">
        <v>925</v>
      </c>
      <c r="J927" s="19" cm="1">
        <f t="array" aca="1" ref="J927" ca="1">INDIRECT("b"&amp;K927+2)</f>
        <v>7.7500000000000005E+92</v>
      </c>
      <c r="K927" s="19">
        <f t="shared" si="82"/>
        <v>2832</v>
      </c>
      <c r="L927">
        <v>26</v>
      </c>
    </row>
    <row r="928" spans="1:12">
      <c r="A928">
        <v>926</v>
      </c>
      <c r="B928">
        <v>1.9000000000000002E+46</v>
      </c>
      <c r="D928" s="18">
        <v>926</v>
      </c>
      <c r="E928" s="18" cm="1">
        <f t="array" aca="1" ref="E928" ca="1">INDIRECT("b"&amp;F928+2)</f>
        <v>7.9750000000000004E+62</v>
      </c>
      <c r="F928" s="18">
        <f t="shared" si="79"/>
        <v>1633</v>
      </c>
      <c r="G928" s="18"/>
      <c r="H928" s="18"/>
      <c r="I928" s="19">
        <v>926</v>
      </c>
      <c r="J928" s="19" cm="1">
        <f t="array" aca="1" ref="J928" ca="1">INDIRECT("b"&amp;K928+2)</f>
        <v>7.9750000000000005E+92</v>
      </c>
      <c r="K928" s="19">
        <f t="shared" si="82"/>
        <v>2833</v>
      </c>
      <c r="L928">
        <v>27</v>
      </c>
    </row>
    <row r="929" spans="1:12">
      <c r="A929">
        <v>927</v>
      </c>
      <c r="B929">
        <v>2.1249999999999999E+46</v>
      </c>
      <c r="D929" s="18">
        <v>927</v>
      </c>
      <c r="E929" s="18" cm="1">
        <f t="array" aca="1" ref="E929" ca="1">INDIRECT("b"&amp;F929+2)</f>
        <v>8.2000000000000006E+62</v>
      </c>
      <c r="F929" s="18">
        <f t="shared" si="79"/>
        <v>1634</v>
      </c>
      <c r="G929" s="18">
        <f t="shared" ref="G929" ca="1" si="88">E929/E924</f>
        <v>1.197080291970803</v>
      </c>
      <c r="H929" s="18"/>
      <c r="I929" s="19">
        <v>927</v>
      </c>
      <c r="J929" s="19" cm="1">
        <f t="array" aca="1" ref="J929" ca="1">INDIRECT("b"&amp;K929+2)</f>
        <v>8.2000000000000005E+92</v>
      </c>
      <c r="K929" s="19">
        <f t="shared" si="82"/>
        <v>2834</v>
      </c>
      <c r="L929">
        <v>28</v>
      </c>
    </row>
    <row r="930" spans="1:12">
      <c r="A930">
        <v>928</v>
      </c>
      <c r="B930">
        <v>2.3500000000000003E+46</v>
      </c>
      <c r="D930" s="18">
        <v>928</v>
      </c>
      <c r="E930" s="18" cm="1">
        <f t="array" aca="1" ref="E930" ca="1">INDIRECT("b"&amp;F930+2)</f>
        <v>8.650000000000001E+62</v>
      </c>
      <c r="F930" s="18">
        <f t="shared" si="79"/>
        <v>1636</v>
      </c>
      <c r="G930" s="18"/>
      <c r="H930" s="18"/>
      <c r="I930" s="19">
        <v>928</v>
      </c>
      <c r="J930" s="19" cm="1">
        <f t="array" aca="1" ref="J930" ca="1">INDIRECT("b"&amp;K930+2)</f>
        <v>8.6500000000000005E+92</v>
      </c>
      <c r="K930" s="19">
        <f t="shared" si="82"/>
        <v>2836</v>
      </c>
      <c r="L930">
        <v>29</v>
      </c>
    </row>
    <row r="931" spans="1:12">
      <c r="A931">
        <v>929</v>
      </c>
      <c r="B931">
        <v>2.5749999999999997E+46</v>
      </c>
      <c r="D931" s="18">
        <v>929</v>
      </c>
      <c r="E931" s="18" cm="1">
        <f t="array" aca="1" ref="E931" ca="1">INDIRECT("b"&amp;F931+2)</f>
        <v>8.8750000000000004E+62</v>
      </c>
      <c r="F931" s="18">
        <f t="shared" si="79"/>
        <v>1637</v>
      </c>
      <c r="G931" s="18"/>
      <c r="H931" s="18"/>
      <c r="I931" s="19">
        <v>929</v>
      </c>
      <c r="J931" s="19" cm="1">
        <f t="array" aca="1" ref="J931" ca="1">INDIRECT("b"&amp;K931+2)</f>
        <v>8.8750000000000005E+92</v>
      </c>
      <c r="K931" s="19">
        <f t="shared" si="82"/>
        <v>2837</v>
      </c>
    </row>
    <row r="932" spans="1:12">
      <c r="A932">
        <v>930</v>
      </c>
      <c r="B932">
        <v>2.8000000000000002E+46</v>
      </c>
      <c r="D932" s="18">
        <v>930</v>
      </c>
      <c r="E932" s="18" cm="1">
        <f t="array" aca="1" ref="E932" ca="1">INDIRECT("b"&amp;F932+2)</f>
        <v>9.1000000000000015E+62</v>
      </c>
      <c r="F932" s="18">
        <f t="shared" si="79"/>
        <v>1638</v>
      </c>
      <c r="G932" s="18"/>
      <c r="H932" s="18"/>
      <c r="I932" s="19">
        <v>930</v>
      </c>
      <c r="J932" s="19" cm="1">
        <f t="array" aca="1" ref="J932" ca="1">INDIRECT("b"&amp;K932+2)</f>
        <v>9.1000000000000005E+92</v>
      </c>
      <c r="K932" s="19">
        <f t="shared" si="82"/>
        <v>2838</v>
      </c>
    </row>
    <row r="933" spans="1:12">
      <c r="A933">
        <v>931</v>
      </c>
      <c r="B933">
        <v>3.0250000000000001E+46</v>
      </c>
      <c r="D933" s="18">
        <v>931</v>
      </c>
      <c r="E933" s="18" cm="1">
        <f t="array" aca="1" ref="E933" ca="1">INDIRECT("b"&amp;F933+2)</f>
        <v>9.5500000000000001E+62</v>
      </c>
      <c r="F933" s="18">
        <f t="shared" si="79"/>
        <v>1640</v>
      </c>
      <c r="G933" s="18"/>
      <c r="H933" s="18"/>
      <c r="I933" s="19">
        <v>931</v>
      </c>
      <c r="J933" s="19" cm="1">
        <f t="array" aca="1" ref="J933" ca="1">INDIRECT("b"&amp;K933+2)</f>
        <v>9.5500000000000004E+92</v>
      </c>
      <c r="K933" s="19">
        <f t="shared" si="82"/>
        <v>2840</v>
      </c>
    </row>
    <row r="934" spans="1:12">
      <c r="A934">
        <v>932</v>
      </c>
      <c r="B934">
        <v>3.2499999999999995E+46</v>
      </c>
      <c r="D934" s="18">
        <v>932</v>
      </c>
      <c r="E934" s="18" cm="1">
        <f t="array" aca="1" ref="E934" ca="1">INDIRECT("b"&amp;F934+2)</f>
        <v>9.7750000000000013E+62</v>
      </c>
      <c r="F934" s="18">
        <f t="shared" si="79"/>
        <v>1641</v>
      </c>
      <c r="G934" s="18">
        <f t="shared" ref="G934" ca="1" si="89">E934/E929</f>
        <v>1.1920731707317074</v>
      </c>
      <c r="H934" s="18"/>
      <c r="I934" s="19">
        <v>932</v>
      </c>
      <c r="J934" s="19" cm="1">
        <f t="array" aca="1" ref="J934" ca="1">INDIRECT("b"&amp;K934+2)</f>
        <v>9.7750000000000004E+92</v>
      </c>
      <c r="K934" s="19">
        <f t="shared" si="82"/>
        <v>2841</v>
      </c>
    </row>
    <row r="935" spans="1:12">
      <c r="A935">
        <v>933</v>
      </c>
      <c r="B935">
        <v>3.475E+46</v>
      </c>
      <c r="D935" s="18">
        <v>933</v>
      </c>
      <c r="E935" s="18" cm="1">
        <f t="array" aca="1" ref="E935" ca="1">INDIRECT("b"&amp;F935+2)</f>
        <v>1.0000000000000001E+63</v>
      </c>
      <c r="F935" s="18">
        <f t="shared" si="79"/>
        <v>1642</v>
      </c>
      <c r="G935" s="18"/>
      <c r="H935" s="18"/>
      <c r="I935" s="19">
        <v>933</v>
      </c>
      <c r="J935" s="19" cm="1">
        <f t="array" aca="1" ref="J935" ca="1">INDIRECT("b"&amp;K935+2)</f>
        <v>1E+93</v>
      </c>
      <c r="K935" s="19">
        <f t="shared" si="82"/>
        <v>2842</v>
      </c>
    </row>
    <row r="936" spans="1:12">
      <c r="A936">
        <v>934</v>
      </c>
      <c r="B936">
        <v>3.6999999999999999E+46</v>
      </c>
      <c r="D936" s="18">
        <v>934</v>
      </c>
      <c r="E936" s="18" cm="1">
        <f t="array" aca="1" ref="E936" ca="1">INDIRECT("b"&amp;F936+2)</f>
        <v>1.45E+63</v>
      </c>
      <c r="F936" s="18">
        <f t="shared" si="79"/>
        <v>1644</v>
      </c>
      <c r="G936" s="18">
        <f t="shared" ref="G936" ca="1" si="90">E936/E931</f>
        <v>1.6338028169014083</v>
      </c>
      <c r="H936" s="18"/>
      <c r="I936" s="19">
        <v>934</v>
      </c>
      <c r="J936" s="19" cm="1">
        <f t="array" aca="1" ref="J936" ca="1">INDIRECT("b"&amp;K936+2)</f>
        <v>1.4499999999999999E+93</v>
      </c>
      <c r="K936" s="19">
        <f t="shared" si="82"/>
        <v>2844</v>
      </c>
    </row>
    <row r="937" spans="1:12">
      <c r="A937">
        <v>935</v>
      </c>
      <c r="B937">
        <v>3.9249999999999998E+46</v>
      </c>
      <c r="D937" s="18">
        <v>935</v>
      </c>
      <c r="E937" s="18" cm="1">
        <f t="array" aca="1" ref="E937" ca="1">INDIRECT("b"&amp;F937+2)</f>
        <v>1.675E+63</v>
      </c>
      <c r="F937" s="18">
        <f t="shared" si="79"/>
        <v>1645</v>
      </c>
      <c r="G937" s="18"/>
      <c r="H937" s="18"/>
      <c r="I937" s="19">
        <v>935</v>
      </c>
      <c r="J937" s="19" cm="1">
        <f t="array" aca="1" ref="J937" ca="1">INDIRECT("b"&amp;K937+2)</f>
        <v>1.6749999999999999E+93</v>
      </c>
      <c r="K937" s="19">
        <f t="shared" si="82"/>
        <v>2845</v>
      </c>
    </row>
    <row r="938" spans="1:12">
      <c r="A938">
        <v>936</v>
      </c>
      <c r="B938">
        <v>4.1500000000000003E+46</v>
      </c>
      <c r="D938" s="18">
        <v>936</v>
      </c>
      <c r="E938" s="18" cm="1">
        <f t="array" aca="1" ref="E938" ca="1">INDIRECT("b"&amp;F938+2)</f>
        <v>1.9000000000000001E+63</v>
      </c>
      <c r="F938" s="18">
        <f t="shared" si="79"/>
        <v>1646</v>
      </c>
      <c r="G938" s="18"/>
      <c r="H938" s="18"/>
      <c r="I938" s="19">
        <v>936</v>
      </c>
      <c r="J938" s="19" cm="1">
        <f t="array" aca="1" ref="J938" ca="1">INDIRECT("b"&amp;K938+2)</f>
        <v>1.9000000000000001E+93</v>
      </c>
      <c r="K938" s="19">
        <f t="shared" si="82"/>
        <v>2846</v>
      </c>
    </row>
    <row r="939" spans="1:12">
      <c r="A939">
        <v>937</v>
      </c>
      <c r="B939">
        <v>4.3749999999999997E+46</v>
      </c>
      <c r="D939" s="18">
        <v>937</v>
      </c>
      <c r="E939" s="18" cm="1">
        <f t="array" aca="1" ref="E939" ca="1">INDIRECT("b"&amp;F939+2)</f>
        <v>2.3500000000000001E+63</v>
      </c>
      <c r="F939" s="18">
        <f t="shared" si="79"/>
        <v>1648</v>
      </c>
      <c r="G939" s="18"/>
      <c r="H939" s="18"/>
      <c r="I939" s="19">
        <v>937</v>
      </c>
      <c r="J939" s="19" cm="1">
        <f t="array" aca="1" ref="J939" ca="1">INDIRECT("b"&amp;K939+2)</f>
        <v>2.3499999999999999E+93</v>
      </c>
      <c r="K939" s="19">
        <f t="shared" si="82"/>
        <v>2848</v>
      </c>
    </row>
    <row r="940" spans="1:12">
      <c r="A940">
        <v>938</v>
      </c>
      <c r="B940">
        <v>4.6000000000000001E+46</v>
      </c>
      <c r="D940" s="18">
        <v>938</v>
      </c>
      <c r="E940" s="18" cm="1">
        <f t="array" aca="1" ref="E940" ca="1">INDIRECT("b"&amp;F940+2)</f>
        <v>2.5750000000000002E+63</v>
      </c>
      <c r="F940" s="18">
        <f t="shared" si="79"/>
        <v>1649</v>
      </c>
      <c r="G940" s="18"/>
      <c r="H940" s="18"/>
      <c r="I940" s="19">
        <v>938</v>
      </c>
      <c r="J940" s="19" cm="1">
        <f t="array" aca="1" ref="J940" ca="1">INDIRECT("b"&amp;K940+2)</f>
        <v>2.5750000000000001E+93</v>
      </c>
      <c r="K940" s="19">
        <f t="shared" si="82"/>
        <v>2849</v>
      </c>
    </row>
    <row r="941" spans="1:12">
      <c r="A941">
        <v>939</v>
      </c>
      <c r="B941">
        <v>4.8250000000000006E+46</v>
      </c>
      <c r="D941" s="18">
        <v>939</v>
      </c>
      <c r="E941" s="18" cm="1">
        <f t="array" aca="1" ref="E941" ca="1">INDIRECT("b"&amp;F941+2)</f>
        <v>2.7999999999999999E+63</v>
      </c>
      <c r="F941" s="18">
        <f t="shared" si="79"/>
        <v>1650</v>
      </c>
      <c r="G941" s="18">
        <f t="shared" ref="G941" ca="1" si="91">E941/E936</f>
        <v>1.9310344827586206</v>
      </c>
      <c r="H941" s="18"/>
      <c r="I941" s="19">
        <v>939</v>
      </c>
      <c r="J941" s="19" cm="1">
        <f t="array" aca="1" ref="J941" ca="1">INDIRECT("b"&amp;K941+2)</f>
        <v>2.7999999999999999E+93</v>
      </c>
      <c r="K941" s="19">
        <f t="shared" si="82"/>
        <v>2850</v>
      </c>
    </row>
    <row r="942" spans="1:12">
      <c r="A942">
        <v>940</v>
      </c>
      <c r="B942">
        <v>5.05E+46</v>
      </c>
      <c r="D942" s="18">
        <v>940</v>
      </c>
      <c r="E942" s="18" cm="1">
        <f t="array" aca="1" ref="E942" ca="1">INDIRECT("b"&amp;F942+2)</f>
        <v>3.25E+63</v>
      </c>
      <c r="F942" s="18">
        <f t="shared" si="79"/>
        <v>1652</v>
      </c>
      <c r="G942" s="18"/>
      <c r="H942" s="18"/>
      <c r="I942" s="19">
        <v>940</v>
      </c>
      <c r="J942" s="19" cm="1">
        <f t="array" aca="1" ref="J942" ca="1">INDIRECT("b"&amp;K942+2)</f>
        <v>3.2499999999999999E+93</v>
      </c>
      <c r="K942" s="19">
        <f t="shared" si="82"/>
        <v>2852</v>
      </c>
    </row>
    <row r="943" spans="1:12">
      <c r="A943">
        <v>941</v>
      </c>
      <c r="B943">
        <v>5.2749999999999994E+46</v>
      </c>
      <c r="D943" s="18">
        <v>941</v>
      </c>
      <c r="E943" s="18" cm="1">
        <f t="array" aca="1" ref="E943" ca="1">INDIRECT("b"&amp;F943+2)</f>
        <v>3.4750000000000004E+63</v>
      </c>
      <c r="F943" s="18">
        <f t="shared" si="79"/>
        <v>1653</v>
      </c>
      <c r="G943" s="18"/>
      <c r="H943" s="18"/>
      <c r="I943" s="19">
        <v>941</v>
      </c>
      <c r="J943" s="19" cm="1">
        <f t="array" aca="1" ref="J943" ca="1">INDIRECT("b"&amp;K943+2)</f>
        <v>3.4750000000000001E+93</v>
      </c>
      <c r="K943" s="19">
        <f t="shared" si="82"/>
        <v>2853</v>
      </c>
    </row>
    <row r="944" spans="1:12">
      <c r="A944">
        <v>942</v>
      </c>
      <c r="B944">
        <v>5.4999999999999998E+46</v>
      </c>
      <c r="D944" s="18">
        <v>942</v>
      </c>
      <c r="E944" s="18" cm="1">
        <f t="array" aca="1" ref="E944" ca="1">INDIRECT("b"&amp;F944+2)</f>
        <v>3.6999999999999997E+63</v>
      </c>
      <c r="F944" s="18">
        <f t="shared" si="79"/>
        <v>1654</v>
      </c>
      <c r="G944" s="18"/>
      <c r="H944" s="18"/>
      <c r="I944" s="19">
        <v>942</v>
      </c>
      <c r="J944" s="19" cm="1">
        <f t="array" aca="1" ref="J944" ca="1">INDIRECT("b"&amp;K944+2)</f>
        <v>3.6999999999999999E+93</v>
      </c>
      <c r="K944" s="19">
        <f t="shared" si="82"/>
        <v>2854</v>
      </c>
    </row>
    <row r="945" spans="1:11">
      <c r="A945">
        <v>943</v>
      </c>
      <c r="B945">
        <v>5.7250000000000003E+46</v>
      </c>
      <c r="D945" s="18">
        <v>943</v>
      </c>
      <c r="E945" s="18" cm="1">
        <f t="array" aca="1" ref="E945" ca="1">INDIRECT("b"&amp;F945+2)</f>
        <v>4.1499999999999998E+63</v>
      </c>
      <c r="F945" s="18">
        <f t="shared" si="79"/>
        <v>1656</v>
      </c>
      <c r="G945" s="18"/>
      <c r="H945" s="18"/>
      <c r="I945" s="19">
        <v>943</v>
      </c>
      <c r="J945" s="19" cm="1">
        <f t="array" aca="1" ref="J945" ca="1">INDIRECT("b"&amp;K945+2)</f>
        <v>4.1499999999999999E+93</v>
      </c>
      <c r="K945" s="19">
        <f t="shared" si="82"/>
        <v>2856</v>
      </c>
    </row>
    <row r="946" spans="1:11">
      <c r="A946">
        <v>944</v>
      </c>
      <c r="B946">
        <v>5.9500000000000007E+46</v>
      </c>
      <c r="D946" s="18">
        <v>944</v>
      </c>
      <c r="E946" s="18" cm="1">
        <f t="array" aca="1" ref="E946" ca="1">INDIRECT("b"&amp;F946+2)</f>
        <v>4.3749999999999998E+63</v>
      </c>
      <c r="F946" s="18">
        <f t="shared" si="79"/>
        <v>1657</v>
      </c>
      <c r="G946" s="18">
        <f t="shared" ref="G946" ca="1" si="92">E946/E941</f>
        <v>1.5625</v>
      </c>
      <c r="H946" s="18"/>
      <c r="I946" s="19">
        <v>944</v>
      </c>
      <c r="J946" s="19" cm="1">
        <f t="array" aca="1" ref="J946" ca="1">INDIRECT("b"&amp;K946+2)</f>
        <v>4.3749999999999996E+93</v>
      </c>
      <c r="K946" s="19">
        <f t="shared" si="82"/>
        <v>2857</v>
      </c>
    </row>
    <row r="947" spans="1:11">
      <c r="A947">
        <v>945</v>
      </c>
      <c r="B947">
        <v>6.1750000000000001E+46</v>
      </c>
      <c r="D947" s="18">
        <v>945</v>
      </c>
      <c r="E947" s="18" cm="1">
        <f t="array" aca="1" ref="E947" ca="1">INDIRECT("b"&amp;F947+2)</f>
        <v>4.5999999999999999E+63</v>
      </c>
      <c r="F947" s="18">
        <f t="shared" si="79"/>
        <v>1658</v>
      </c>
      <c r="G947" s="18"/>
      <c r="H947" s="18"/>
      <c r="I947" s="19">
        <v>945</v>
      </c>
      <c r="J947" s="19" cm="1">
        <f t="array" aca="1" ref="J947" ca="1">INDIRECT("b"&amp;K947+2)</f>
        <v>4.6000000000000003E+93</v>
      </c>
      <c r="K947" s="19">
        <f t="shared" si="82"/>
        <v>2858</v>
      </c>
    </row>
    <row r="948" spans="1:11">
      <c r="A948">
        <v>946</v>
      </c>
      <c r="B948">
        <v>6.3999999999999996E+46</v>
      </c>
      <c r="D948" s="18">
        <v>946</v>
      </c>
      <c r="E948" s="18" cm="1">
        <f t="array" aca="1" ref="E948" ca="1">INDIRECT("b"&amp;F948+2)</f>
        <v>5.05E+63</v>
      </c>
      <c r="F948" s="18">
        <f t="shared" si="79"/>
        <v>1660</v>
      </c>
      <c r="G948" s="18"/>
      <c r="H948" s="18"/>
      <c r="I948" s="19">
        <v>946</v>
      </c>
      <c r="J948" s="19" cm="1">
        <f t="array" aca="1" ref="J948" ca="1">INDIRECT("b"&amp;K948+2)</f>
        <v>5.0499999999999998E+93</v>
      </c>
      <c r="K948" s="19">
        <f t="shared" si="82"/>
        <v>2860</v>
      </c>
    </row>
    <row r="949" spans="1:11">
      <c r="A949">
        <v>947</v>
      </c>
      <c r="B949">
        <v>6.625000000000001E+46</v>
      </c>
      <c r="D949" s="18">
        <v>947</v>
      </c>
      <c r="E949" s="18" cm="1">
        <f t="array" aca="1" ref="E949" ca="1">INDIRECT("b"&amp;F949+2)</f>
        <v>5.275E+63</v>
      </c>
      <c r="F949" s="18">
        <f t="shared" si="79"/>
        <v>1661</v>
      </c>
      <c r="G949" s="18"/>
      <c r="H949" s="18"/>
      <c r="I949" s="19">
        <v>947</v>
      </c>
      <c r="J949" s="19" cm="1">
        <f t="array" aca="1" ref="J949" ca="1">INDIRECT("b"&amp;K949+2)</f>
        <v>5.2750000000000005E+93</v>
      </c>
      <c r="K949" s="19">
        <f t="shared" si="82"/>
        <v>2861</v>
      </c>
    </row>
    <row r="950" spans="1:11">
      <c r="A950">
        <v>948</v>
      </c>
      <c r="B950">
        <v>6.8500000000000004E+46</v>
      </c>
      <c r="D950" s="18">
        <v>948</v>
      </c>
      <c r="E950" s="18" cm="1">
        <f t="array" aca="1" ref="E950" ca="1">INDIRECT("b"&amp;F950+2)</f>
        <v>5.5E+63</v>
      </c>
      <c r="F950" s="18">
        <f t="shared" si="79"/>
        <v>1662</v>
      </c>
      <c r="G950" s="18"/>
      <c r="H950" s="18"/>
      <c r="I950" s="19">
        <v>948</v>
      </c>
      <c r="J950" s="19" cm="1">
        <f t="array" aca="1" ref="J950" ca="1">INDIRECT("b"&amp;K950+2)</f>
        <v>5.5000000000000003E+93</v>
      </c>
      <c r="K950" s="19">
        <f t="shared" si="82"/>
        <v>2862</v>
      </c>
    </row>
    <row r="951" spans="1:11">
      <c r="A951">
        <v>949</v>
      </c>
      <c r="B951">
        <v>7.0749999999999998E+46</v>
      </c>
      <c r="D951" s="18">
        <v>949</v>
      </c>
      <c r="E951" s="18" cm="1">
        <f t="array" aca="1" ref="E951" ca="1">INDIRECT("b"&amp;F951+2)</f>
        <v>5.9500000000000001E+63</v>
      </c>
      <c r="F951" s="18">
        <f t="shared" si="79"/>
        <v>1664</v>
      </c>
      <c r="G951" s="18">
        <f t="shared" ref="G951" ca="1" si="93">E951/E946</f>
        <v>1.36</v>
      </c>
      <c r="H951" s="18"/>
      <c r="I951" s="19">
        <v>949</v>
      </c>
      <c r="J951" s="19" cm="1">
        <f t="array" aca="1" ref="J951" ca="1">INDIRECT("b"&amp;K951+2)</f>
        <v>5.9499999999999998E+93</v>
      </c>
      <c r="K951" s="19">
        <f t="shared" si="82"/>
        <v>2864</v>
      </c>
    </row>
    <row r="952" spans="1:11">
      <c r="A952">
        <v>950</v>
      </c>
      <c r="B952">
        <v>7.3000000000000003E+46</v>
      </c>
      <c r="D952" s="18">
        <v>950</v>
      </c>
      <c r="E952" s="18" cm="1">
        <f t="array" aca="1" ref="E952" ca="1">INDIRECT("b"&amp;F952+2)</f>
        <v>6.1750000000000002E+63</v>
      </c>
      <c r="F952" s="18">
        <f t="shared" si="79"/>
        <v>1665</v>
      </c>
      <c r="G952" s="18"/>
      <c r="H952" s="18"/>
      <c r="I952" s="19">
        <v>950</v>
      </c>
      <c r="J952" s="19" cm="1">
        <f t="array" aca="1" ref="J952" ca="1">INDIRECT("b"&amp;K952+2)</f>
        <v>6.1750000000000005E+93</v>
      </c>
      <c r="K952" s="19">
        <f t="shared" si="82"/>
        <v>2865</v>
      </c>
    </row>
    <row r="953" spans="1:11">
      <c r="A953">
        <v>951</v>
      </c>
      <c r="B953">
        <v>7.5249999999999997E+46</v>
      </c>
      <c r="D953" s="18">
        <v>951</v>
      </c>
      <c r="E953" s="18" cm="1">
        <f t="array" aca="1" ref="E953" ca="1">INDIRECT("b"&amp;F953+2)</f>
        <v>6.4000000000000002E+63</v>
      </c>
      <c r="F953" s="18">
        <f t="shared" si="79"/>
        <v>1666</v>
      </c>
      <c r="G953" s="18"/>
      <c r="H953" s="18"/>
      <c r="I953" s="19">
        <v>951</v>
      </c>
      <c r="J953" s="19" cm="1">
        <f t="array" aca="1" ref="J953" ca="1">INDIRECT("b"&amp;K953+2)</f>
        <v>6.4000000000000003E+93</v>
      </c>
      <c r="K953" s="19">
        <f t="shared" si="82"/>
        <v>2866</v>
      </c>
    </row>
    <row r="954" spans="1:11">
      <c r="A954">
        <v>952</v>
      </c>
      <c r="B954">
        <v>7.7500000000000001E+46</v>
      </c>
      <c r="D954" s="18">
        <v>952</v>
      </c>
      <c r="E954" s="18" cm="1">
        <f t="array" aca="1" ref="E954" ca="1">INDIRECT("b"&amp;F954+2)</f>
        <v>6.8499999999999996E+63</v>
      </c>
      <c r="F954" s="18">
        <f t="shared" si="79"/>
        <v>1668</v>
      </c>
      <c r="G954" s="18"/>
      <c r="H954" s="18"/>
      <c r="I954" s="19">
        <v>952</v>
      </c>
      <c r="J954" s="19" cm="1">
        <f t="array" aca="1" ref="J954" ca="1">INDIRECT("b"&amp;K954+2)</f>
        <v>6.8499999999999998E+93</v>
      </c>
      <c r="K954" s="19">
        <f t="shared" si="82"/>
        <v>2868</v>
      </c>
    </row>
    <row r="955" spans="1:11">
      <c r="A955">
        <v>953</v>
      </c>
      <c r="B955">
        <v>7.9750000000000006E+46</v>
      </c>
      <c r="D955" s="18">
        <v>953</v>
      </c>
      <c r="E955" s="18" cm="1">
        <f t="array" aca="1" ref="E955" ca="1">INDIRECT("b"&amp;F955+2)</f>
        <v>7.0750000000000004E+63</v>
      </c>
      <c r="F955" s="18">
        <f t="shared" si="79"/>
        <v>1669</v>
      </c>
      <c r="G955" s="18"/>
      <c r="H955" s="18"/>
      <c r="I955" s="19">
        <v>953</v>
      </c>
      <c r="J955" s="19" cm="1">
        <f t="array" aca="1" ref="J955" ca="1">INDIRECT("b"&amp;K955+2)</f>
        <v>7.0750000000000005E+93</v>
      </c>
      <c r="K955" s="19">
        <f t="shared" si="82"/>
        <v>2869</v>
      </c>
    </row>
    <row r="956" spans="1:11">
      <c r="A956">
        <v>954</v>
      </c>
      <c r="B956">
        <v>8.199999999999999E+46</v>
      </c>
      <c r="D956" s="18">
        <v>954</v>
      </c>
      <c r="E956" s="18" cm="1">
        <f t="array" aca="1" ref="E956" ca="1">INDIRECT("b"&amp;F956+2)</f>
        <v>7.2999999999999997E+63</v>
      </c>
      <c r="F956" s="18">
        <f t="shared" si="79"/>
        <v>1670</v>
      </c>
      <c r="G956" s="18">
        <f t="shared" ref="G956" ca="1" si="94">E956/E951</f>
        <v>1.2268907563025209</v>
      </c>
      <c r="H956" s="18"/>
      <c r="I956" s="19">
        <v>954</v>
      </c>
      <c r="J956" s="19" cm="1">
        <f t="array" aca="1" ref="J956" ca="1">INDIRECT("b"&amp;K956+2)</f>
        <v>7.3000000000000003E+93</v>
      </c>
      <c r="K956" s="19">
        <f t="shared" si="82"/>
        <v>2870</v>
      </c>
    </row>
    <row r="957" spans="1:11">
      <c r="A957">
        <v>955</v>
      </c>
      <c r="B957">
        <v>8.4250000000000004E+46</v>
      </c>
      <c r="D957" s="18">
        <v>955</v>
      </c>
      <c r="E957" s="18" cm="1">
        <f t="array" aca="1" ref="E957" ca="1">INDIRECT("b"&amp;F957+2)</f>
        <v>7.7499999999999998E+63</v>
      </c>
      <c r="F957" s="18">
        <f t="shared" ref="F957:F1020" si="95">INT((A957-123)*1.333333)+563</f>
        <v>1672</v>
      </c>
      <c r="G957" s="18"/>
      <c r="H957" s="18"/>
      <c r="I957" s="19">
        <v>955</v>
      </c>
      <c r="J957" s="19" cm="1">
        <f t="array" aca="1" ref="J957" ca="1">INDIRECT("b"&amp;K957+2)</f>
        <v>7.7499999999999998E+93</v>
      </c>
      <c r="K957" s="19">
        <f t="shared" si="82"/>
        <v>2872</v>
      </c>
    </row>
    <row r="958" spans="1:11">
      <c r="A958">
        <v>956</v>
      </c>
      <c r="B958">
        <v>8.6499999999999988E+46</v>
      </c>
      <c r="D958" s="18">
        <v>956</v>
      </c>
      <c r="E958" s="18" cm="1">
        <f t="array" aca="1" ref="E958" ca="1">INDIRECT("b"&amp;F958+2)</f>
        <v>7.9750000000000005E+63</v>
      </c>
      <c r="F958" s="18">
        <f t="shared" si="95"/>
        <v>1673</v>
      </c>
      <c r="G958" s="18"/>
      <c r="H958" s="18"/>
      <c r="I958" s="19">
        <v>956</v>
      </c>
      <c r="J958" s="19" cm="1">
        <f t="array" aca="1" ref="J958" ca="1">INDIRECT("b"&amp;K958+2)</f>
        <v>7.9750000000000005E+93</v>
      </c>
      <c r="K958" s="19">
        <f t="shared" si="82"/>
        <v>2873</v>
      </c>
    </row>
    <row r="959" spans="1:11">
      <c r="A959">
        <v>957</v>
      </c>
      <c r="B959">
        <v>8.8749999999999993E+46</v>
      </c>
      <c r="D959" s="18">
        <v>957</v>
      </c>
      <c r="E959" s="18" cm="1">
        <f t="array" aca="1" ref="E959" ca="1">INDIRECT("b"&amp;F959+2)</f>
        <v>8.1999999999999999E+63</v>
      </c>
      <c r="F959" s="18">
        <f t="shared" si="95"/>
        <v>1674</v>
      </c>
      <c r="G959" s="18"/>
      <c r="H959" s="18"/>
      <c r="I959" s="19">
        <v>957</v>
      </c>
      <c r="J959" s="19" cm="1">
        <f t="array" aca="1" ref="J959" ca="1">INDIRECT("b"&amp;K959+2)</f>
        <v>8.2000000000000002E+93</v>
      </c>
      <c r="K959" s="19">
        <f t="shared" si="82"/>
        <v>2874</v>
      </c>
    </row>
    <row r="960" spans="1:11">
      <c r="A960">
        <v>958</v>
      </c>
      <c r="B960">
        <v>9.0999999999999987E+46</v>
      </c>
      <c r="D960" s="18">
        <v>958</v>
      </c>
      <c r="E960" s="18" cm="1">
        <f t="array" aca="1" ref="E960" ca="1">INDIRECT("b"&amp;F960+2)</f>
        <v>8.6499999999999999E+63</v>
      </c>
      <c r="F960" s="18">
        <f t="shared" si="95"/>
        <v>1676</v>
      </c>
      <c r="G960" s="18"/>
      <c r="H960" s="18"/>
      <c r="I960" s="19">
        <v>958</v>
      </c>
      <c r="J960" s="19" cm="1">
        <f t="array" aca="1" ref="J960" ca="1">INDIRECT("b"&amp;K960+2)</f>
        <v>8.6499999999999998E+93</v>
      </c>
      <c r="K960" s="19">
        <f t="shared" si="82"/>
        <v>2876</v>
      </c>
    </row>
    <row r="961" spans="1:11">
      <c r="A961">
        <v>959</v>
      </c>
      <c r="B961">
        <v>9.3249999999999991E+46</v>
      </c>
      <c r="D961" s="18">
        <v>959</v>
      </c>
      <c r="E961" s="18" cm="1">
        <f t="array" aca="1" ref="E961" ca="1">INDIRECT("b"&amp;F961+2)</f>
        <v>8.8750000000000007E+63</v>
      </c>
      <c r="F961" s="18">
        <f t="shared" si="95"/>
        <v>1677</v>
      </c>
      <c r="G961" s="18">
        <f t="shared" ref="G961" ca="1" si="96">E961/E956</f>
        <v>1.2157534246575343</v>
      </c>
      <c r="H961" s="18"/>
      <c r="I961" s="19">
        <v>959</v>
      </c>
      <c r="J961" s="19" cm="1">
        <f t="array" aca="1" ref="J961" ca="1">INDIRECT("b"&amp;K961+2)</f>
        <v>8.8750000000000005E+93</v>
      </c>
      <c r="K961" s="19">
        <f t="shared" si="82"/>
        <v>2877</v>
      </c>
    </row>
    <row r="962" spans="1:11">
      <c r="A962">
        <v>960</v>
      </c>
      <c r="B962">
        <v>9.5499999999999996E+46</v>
      </c>
      <c r="D962" s="18">
        <v>960</v>
      </c>
      <c r="E962" s="18" cm="1">
        <f t="array" aca="1" ref="E962" ca="1">INDIRECT("b"&amp;F962+2)</f>
        <v>9.1E+63</v>
      </c>
      <c r="F962" s="18">
        <f t="shared" si="95"/>
        <v>1678</v>
      </c>
      <c r="G962" s="18"/>
      <c r="H962" s="18"/>
      <c r="I962" s="19">
        <v>960</v>
      </c>
      <c r="J962" s="19" cm="1">
        <f t="array" aca="1" ref="J962" ca="1">INDIRECT("b"&amp;K962+2)</f>
        <v>9.0999999999999993E+93</v>
      </c>
      <c r="K962" s="19">
        <f t="shared" si="82"/>
        <v>2878</v>
      </c>
    </row>
    <row r="963" spans="1:11">
      <c r="A963">
        <v>961</v>
      </c>
      <c r="B963">
        <v>9.775E+46</v>
      </c>
      <c r="D963" s="18">
        <v>961</v>
      </c>
      <c r="E963" s="18" cm="1">
        <f t="array" aca="1" ref="E963" ca="1">INDIRECT("b"&amp;F963+2)</f>
        <v>9.5500000000000001E+63</v>
      </c>
      <c r="F963" s="18">
        <f t="shared" si="95"/>
        <v>1680</v>
      </c>
      <c r="G963" s="18"/>
      <c r="H963" s="18"/>
      <c r="I963" s="19">
        <v>961</v>
      </c>
      <c r="J963" s="19" cm="1">
        <f t="array" aca="1" ref="J963" ca="1">INDIRECT("b"&amp;K963+2)</f>
        <v>9.5500000000000007E+93</v>
      </c>
      <c r="K963" s="19">
        <f t="shared" si="82"/>
        <v>2880</v>
      </c>
    </row>
    <row r="964" spans="1:11">
      <c r="A964">
        <v>962</v>
      </c>
      <c r="B964">
        <v>1E+47</v>
      </c>
      <c r="D964" s="18">
        <v>962</v>
      </c>
      <c r="E964" s="18" cm="1">
        <f t="array" aca="1" ref="E964" ca="1">INDIRECT("b"&amp;F964+2)</f>
        <v>9.7749999999999994E+63</v>
      </c>
      <c r="F964" s="18">
        <f t="shared" si="95"/>
        <v>1681</v>
      </c>
      <c r="G964" s="18"/>
      <c r="H964" s="18"/>
      <c r="I964" s="19">
        <v>962</v>
      </c>
      <c r="J964" s="19" cm="1">
        <f t="array" aca="1" ref="J964" ca="1">INDIRECT("b"&amp;K964+2)</f>
        <v>9.7749999999999995E+93</v>
      </c>
      <c r="K964" s="19">
        <f t="shared" ref="K964:K1027" si="97">INT((A964-1)*40/30+900*40/30)+400</f>
        <v>2881</v>
      </c>
    </row>
    <row r="965" spans="1:11">
      <c r="A965">
        <v>963</v>
      </c>
      <c r="B965">
        <v>1.2250000000000001E+47</v>
      </c>
      <c r="D965" s="18">
        <v>963</v>
      </c>
      <c r="E965" s="18" cm="1">
        <f t="array" aca="1" ref="E965" ca="1">INDIRECT("b"&amp;F965+2)</f>
        <v>1E+64</v>
      </c>
      <c r="F965" s="18">
        <f t="shared" si="95"/>
        <v>1682</v>
      </c>
      <c r="G965" s="18"/>
      <c r="H965" s="18"/>
      <c r="I965" s="19">
        <v>963</v>
      </c>
      <c r="J965" s="19" cm="1">
        <f t="array" aca="1" ref="J965" ca="1">INDIRECT("b"&amp;K965+2)</f>
        <v>1E+94</v>
      </c>
      <c r="K965" s="19">
        <f t="shared" si="97"/>
        <v>2882</v>
      </c>
    </row>
    <row r="966" spans="1:11">
      <c r="A966">
        <v>964</v>
      </c>
      <c r="B966">
        <v>1.4499999999999999E+47</v>
      </c>
      <c r="D966" s="18">
        <v>964</v>
      </c>
      <c r="E966" s="18" cm="1">
        <f t="array" aca="1" ref="E966" ca="1">INDIRECT("b"&amp;F966+2)</f>
        <v>1.4500000000000003E+64</v>
      </c>
      <c r="F966" s="18">
        <f t="shared" si="95"/>
        <v>1684</v>
      </c>
      <c r="G966" s="18">
        <f t="shared" ref="G966" ca="1" si="98">E966/E961</f>
        <v>1.6338028169014087</v>
      </c>
      <c r="H966" s="18"/>
      <c r="I966" s="19">
        <v>964</v>
      </c>
      <c r="J966" s="19" cm="1">
        <f t="array" aca="1" ref="J966" ca="1">INDIRECT("b"&amp;K966+2)</f>
        <v>1.4500000000000001E+94</v>
      </c>
      <c r="K966" s="19">
        <f t="shared" si="97"/>
        <v>2884</v>
      </c>
    </row>
    <row r="967" spans="1:11">
      <c r="A967">
        <v>965</v>
      </c>
      <c r="B967">
        <v>1.6750000000000001E+47</v>
      </c>
      <c r="D967" s="18">
        <v>965</v>
      </c>
      <c r="E967" s="18" cm="1">
        <f t="array" aca="1" ref="E967" ca="1">INDIRECT("b"&amp;F967+2)</f>
        <v>1.6750000000000002E+64</v>
      </c>
      <c r="F967" s="18">
        <f t="shared" si="95"/>
        <v>1685</v>
      </c>
      <c r="G967" s="18"/>
      <c r="H967" s="18"/>
      <c r="I967" s="19">
        <v>965</v>
      </c>
      <c r="J967" s="19" cm="1">
        <f t="array" aca="1" ref="J967" ca="1">INDIRECT("b"&amp;K967+2)</f>
        <v>1.6749999999999999E+94</v>
      </c>
      <c r="K967" s="19">
        <f t="shared" si="97"/>
        <v>2885</v>
      </c>
    </row>
    <row r="968" spans="1:11">
      <c r="A968">
        <v>966</v>
      </c>
      <c r="B968">
        <v>1.9000000000000002E+47</v>
      </c>
      <c r="D968" s="18">
        <v>966</v>
      </c>
      <c r="E968" s="18" cm="1">
        <f t="array" aca="1" ref="E968" ca="1">INDIRECT("b"&amp;F968+2)</f>
        <v>1.9000000000000001E+64</v>
      </c>
      <c r="F968" s="18">
        <f t="shared" si="95"/>
        <v>1686</v>
      </c>
      <c r="G968" s="18"/>
      <c r="H968" s="18"/>
      <c r="I968" s="19">
        <v>966</v>
      </c>
      <c r="J968" s="19" cm="1">
        <f t="array" aca="1" ref="J968" ca="1">INDIRECT("b"&amp;K968+2)</f>
        <v>1.9000000000000002E+94</v>
      </c>
      <c r="K968" s="19">
        <f t="shared" si="97"/>
        <v>2886</v>
      </c>
    </row>
    <row r="969" spans="1:11">
      <c r="A969">
        <v>967</v>
      </c>
      <c r="B969">
        <v>2.1249999999999998E+47</v>
      </c>
      <c r="D969" s="18">
        <v>967</v>
      </c>
      <c r="E969" s="18" cm="1">
        <f t="array" aca="1" ref="E969" ca="1">INDIRECT("b"&amp;F969+2)</f>
        <v>2.3500000000000001E+64</v>
      </c>
      <c r="F969" s="18">
        <f t="shared" si="95"/>
        <v>1688</v>
      </c>
      <c r="G969" s="18"/>
      <c r="H969" s="18"/>
      <c r="I969" s="19">
        <v>967</v>
      </c>
      <c r="J969" s="19" cm="1">
        <f t="array" aca="1" ref="J969" ca="1">INDIRECT("b"&amp;K969+2)</f>
        <v>2.3500000000000001E+94</v>
      </c>
      <c r="K969" s="19">
        <f t="shared" si="97"/>
        <v>2888</v>
      </c>
    </row>
    <row r="970" spans="1:11">
      <c r="A970">
        <v>968</v>
      </c>
      <c r="B970">
        <v>2.3500000000000002E+47</v>
      </c>
      <c r="D970" s="18">
        <v>968</v>
      </c>
      <c r="E970" s="18" cm="1">
        <f t="array" aca="1" ref="E970" ca="1">INDIRECT("b"&amp;F970+2)</f>
        <v>2.5750000000000003E+64</v>
      </c>
      <c r="F970" s="18">
        <f t="shared" si="95"/>
        <v>1689</v>
      </c>
      <c r="G970" s="18"/>
      <c r="H970" s="18"/>
      <c r="I970" s="19">
        <v>968</v>
      </c>
      <c r="J970" s="19" cm="1">
        <f t="array" aca="1" ref="J970" ca="1">INDIRECT("b"&amp;K970+2)</f>
        <v>2.575E+94</v>
      </c>
      <c r="K970" s="19">
        <f t="shared" si="97"/>
        <v>2889</v>
      </c>
    </row>
    <row r="971" spans="1:11">
      <c r="A971">
        <v>969</v>
      </c>
      <c r="B971">
        <v>2.5749999999999998E+47</v>
      </c>
      <c r="D971" s="18">
        <v>969</v>
      </c>
      <c r="E971" s="18" cm="1">
        <f t="array" aca="1" ref="E971" ca="1">INDIRECT("b"&amp;F971+2)</f>
        <v>2.8000000000000002E+64</v>
      </c>
      <c r="F971" s="18">
        <f t="shared" si="95"/>
        <v>1690</v>
      </c>
      <c r="G971" s="18">
        <f t="shared" ref="G971" ca="1" si="99">E971/E966</f>
        <v>1.9310344827586206</v>
      </c>
      <c r="H971" s="18"/>
      <c r="I971" s="19">
        <v>969</v>
      </c>
      <c r="J971" s="19" cm="1">
        <f t="array" aca="1" ref="J971" ca="1">INDIRECT("b"&amp;K971+2)</f>
        <v>2.8E+94</v>
      </c>
      <c r="K971" s="19">
        <f t="shared" si="97"/>
        <v>2890</v>
      </c>
    </row>
    <row r="972" spans="1:11">
      <c r="A972">
        <v>970</v>
      </c>
      <c r="B972">
        <v>2.8000000000000003E+47</v>
      </c>
      <c r="D972" s="18">
        <v>970</v>
      </c>
      <c r="E972" s="18" cm="1">
        <f t="array" aca="1" ref="E972" ca="1">INDIRECT("b"&amp;F972+2)</f>
        <v>3.25E+64</v>
      </c>
      <c r="F972" s="18">
        <f t="shared" si="95"/>
        <v>1692</v>
      </c>
      <c r="G972" s="18"/>
      <c r="H972" s="18"/>
      <c r="I972" s="19">
        <v>970</v>
      </c>
      <c r="J972" s="19" cm="1">
        <f t="array" aca="1" ref="J972" ca="1">INDIRECT("b"&amp;K972+2)</f>
        <v>3.2499999999999999E+94</v>
      </c>
      <c r="K972" s="19">
        <f t="shared" si="97"/>
        <v>2892</v>
      </c>
    </row>
    <row r="973" spans="1:11">
      <c r="A973">
        <v>971</v>
      </c>
      <c r="B973">
        <v>3.0249999999999999E+47</v>
      </c>
      <c r="D973" s="18">
        <v>971</v>
      </c>
      <c r="E973" s="18" cm="1">
        <f t="array" aca="1" ref="E973" ca="1">INDIRECT("b"&amp;F973+2)</f>
        <v>3.4750000000000005E+64</v>
      </c>
      <c r="F973" s="18">
        <f t="shared" si="95"/>
        <v>1693</v>
      </c>
      <c r="G973" s="18"/>
      <c r="H973" s="18"/>
      <c r="I973" s="19">
        <v>971</v>
      </c>
      <c r="J973" s="19" cm="1">
        <f t="array" aca="1" ref="J973" ca="1">INDIRECT("b"&amp;K973+2)</f>
        <v>3.4750000000000002E+94</v>
      </c>
      <c r="K973" s="19">
        <f t="shared" si="97"/>
        <v>2893</v>
      </c>
    </row>
    <row r="974" spans="1:11">
      <c r="A974">
        <v>972</v>
      </c>
      <c r="B974">
        <v>3.2499999999999995E+47</v>
      </c>
      <c r="D974" s="18">
        <v>972</v>
      </c>
      <c r="E974" s="18" cm="1">
        <f t="array" aca="1" ref="E974" ca="1">INDIRECT("b"&amp;F974+2)</f>
        <v>3.7000000000000004E+64</v>
      </c>
      <c r="F974" s="18">
        <f t="shared" si="95"/>
        <v>1694</v>
      </c>
      <c r="G974" s="18"/>
      <c r="H974" s="18"/>
      <c r="I974" s="19">
        <v>972</v>
      </c>
      <c r="J974" s="19" cm="1">
        <f t="array" aca="1" ref="J974" ca="1">INDIRECT("b"&amp;K974+2)</f>
        <v>3.7000000000000001E+94</v>
      </c>
      <c r="K974" s="19">
        <f t="shared" si="97"/>
        <v>2894</v>
      </c>
    </row>
    <row r="975" spans="1:11">
      <c r="A975">
        <v>973</v>
      </c>
      <c r="B975">
        <v>3.475E+47</v>
      </c>
      <c r="D975" s="18">
        <v>973</v>
      </c>
      <c r="E975" s="18" cm="1">
        <f t="array" aca="1" ref="E975" ca="1">INDIRECT("b"&amp;F975+2)</f>
        <v>4.1500000000000002E+64</v>
      </c>
      <c r="F975" s="18">
        <f t="shared" si="95"/>
        <v>1696</v>
      </c>
      <c r="G975" s="18"/>
      <c r="H975" s="18"/>
      <c r="I975" s="19">
        <v>973</v>
      </c>
      <c r="J975" s="19" cm="1">
        <f t="array" aca="1" ref="J975" ca="1">INDIRECT("b"&amp;K975+2)</f>
        <v>4.15E+94</v>
      </c>
      <c r="K975" s="19">
        <f t="shared" si="97"/>
        <v>2896</v>
      </c>
    </row>
    <row r="976" spans="1:11">
      <c r="A976">
        <v>974</v>
      </c>
      <c r="B976">
        <v>3.7000000000000004E+47</v>
      </c>
      <c r="D976" s="18">
        <v>974</v>
      </c>
      <c r="E976" s="18" cm="1">
        <f t="array" aca="1" ref="E976" ca="1">INDIRECT("b"&amp;F976+2)</f>
        <v>4.3750000000000001E+64</v>
      </c>
      <c r="F976" s="18">
        <f t="shared" si="95"/>
        <v>1697</v>
      </c>
      <c r="G976" s="18">
        <f t="shared" ref="G976" ca="1" si="100">E976/E971</f>
        <v>1.5625</v>
      </c>
      <c r="H976" s="18"/>
      <c r="I976" s="19">
        <v>974</v>
      </c>
      <c r="J976" s="19" cm="1">
        <f t="array" aca="1" ref="J976" ca="1">INDIRECT("b"&amp;K976+2)</f>
        <v>4.375E+94</v>
      </c>
      <c r="K976" s="19">
        <f t="shared" si="97"/>
        <v>2897</v>
      </c>
    </row>
    <row r="977" spans="1:11">
      <c r="A977">
        <v>975</v>
      </c>
      <c r="B977">
        <v>3.9249999999999996E+47</v>
      </c>
      <c r="D977" s="18">
        <v>975</v>
      </c>
      <c r="E977" s="18" cm="1">
        <f t="array" aca="1" ref="E977" ca="1">INDIRECT("b"&amp;F977+2)</f>
        <v>4.6000000000000006E+64</v>
      </c>
      <c r="F977" s="18">
        <f t="shared" si="95"/>
        <v>1698</v>
      </c>
      <c r="G977" s="18"/>
      <c r="H977" s="18"/>
      <c r="I977" s="19">
        <v>975</v>
      </c>
      <c r="J977" s="19" cm="1">
        <f t="array" aca="1" ref="J977" ca="1">INDIRECT("b"&amp;K977+2)</f>
        <v>4.5999999999999999E+94</v>
      </c>
      <c r="K977" s="19">
        <f t="shared" si="97"/>
        <v>2898</v>
      </c>
    </row>
    <row r="978" spans="1:11">
      <c r="A978">
        <v>976</v>
      </c>
      <c r="B978">
        <v>4.1500000000000005E+47</v>
      </c>
      <c r="D978" s="18">
        <v>976</v>
      </c>
      <c r="E978" s="18" cm="1">
        <f t="array" aca="1" ref="E978" ca="1">INDIRECT("b"&amp;F978+2)</f>
        <v>5.0500000000000004E+64</v>
      </c>
      <c r="F978" s="18">
        <f t="shared" si="95"/>
        <v>1700</v>
      </c>
      <c r="G978" s="18"/>
      <c r="H978" s="18"/>
      <c r="I978" s="19">
        <v>976</v>
      </c>
      <c r="J978" s="19" cm="1">
        <f t="array" aca="1" ref="J978" ca="1">INDIRECT("b"&amp;K978+2)</f>
        <v>5.0499999999999998E+94</v>
      </c>
      <c r="K978" s="19">
        <f t="shared" si="97"/>
        <v>2900</v>
      </c>
    </row>
    <row r="979" spans="1:11">
      <c r="A979">
        <v>977</v>
      </c>
      <c r="B979">
        <v>4.3749999999999997E+47</v>
      </c>
      <c r="D979" s="18">
        <v>977</v>
      </c>
      <c r="E979" s="18" cm="1">
        <f t="array" aca="1" ref="E979" ca="1">INDIRECT("b"&amp;F979+2)</f>
        <v>5.2750000000000009E+64</v>
      </c>
      <c r="F979" s="18">
        <f t="shared" si="95"/>
        <v>1701</v>
      </c>
      <c r="G979" s="18"/>
      <c r="H979" s="18"/>
      <c r="I979" s="19">
        <v>977</v>
      </c>
      <c r="J979" s="19" cm="1">
        <f t="array" aca="1" ref="J979" ca="1">INDIRECT("b"&amp;K979+2)</f>
        <v>5.2749999999999998E+94</v>
      </c>
      <c r="K979" s="19">
        <f t="shared" si="97"/>
        <v>2901</v>
      </c>
    </row>
    <row r="980" spans="1:11">
      <c r="A980">
        <v>978</v>
      </c>
      <c r="B980">
        <v>4.5999999999999997E+47</v>
      </c>
      <c r="D980" s="18">
        <v>978</v>
      </c>
      <c r="E980" s="18" cm="1">
        <f t="array" aca="1" ref="E980" ca="1">INDIRECT("b"&amp;F980+2)</f>
        <v>5.5000000000000008E+64</v>
      </c>
      <c r="F980" s="18">
        <f t="shared" si="95"/>
        <v>1702</v>
      </c>
      <c r="G980" s="18"/>
      <c r="H980" s="18"/>
      <c r="I980" s="19">
        <v>978</v>
      </c>
      <c r="J980" s="19" cm="1">
        <f t="array" aca="1" ref="J980" ca="1">INDIRECT("b"&amp;K980+2)</f>
        <v>5.4999999999999997E+94</v>
      </c>
      <c r="K980" s="19">
        <f t="shared" si="97"/>
        <v>2902</v>
      </c>
    </row>
    <row r="981" spans="1:11">
      <c r="A981">
        <v>979</v>
      </c>
      <c r="B981">
        <v>4.8250000000000006E+47</v>
      </c>
      <c r="D981" s="18">
        <v>979</v>
      </c>
      <c r="E981" s="18" cm="1">
        <f t="array" aca="1" ref="E981" ca="1">INDIRECT("b"&amp;F981+2)</f>
        <v>5.9500000000000006E+64</v>
      </c>
      <c r="F981" s="18">
        <f t="shared" si="95"/>
        <v>1704</v>
      </c>
      <c r="G981" s="18">
        <f t="shared" ref="G981" ca="1" si="101">E981/E976</f>
        <v>1.36</v>
      </c>
      <c r="H981" s="18"/>
      <c r="I981" s="19">
        <v>979</v>
      </c>
      <c r="J981" s="19" cm="1">
        <f t="array" aca="1" ref="J981" ca="1">INDIRECT("b"&amp;K981+2)</f>
        <v>5.9500000000000004E+94</v>
      </c>
      <c r="K981" s="19">
        <f t="shared" si="97"/>
        <v>2904</v>
      </c>
    </row>
    <row r="982" spans="1:11">
      <c r="A982">
        <v>980</v>
      </c>
      <c r="B982">
        <v>5.0499999999999998E+47</v>
      </c>
      <c r="D982" s="18">
        <v>980</v>
      </c>
      <c r="E982" s="18" cm="1">
        <f t="array" aca="1" ref="E982" ca="1">INDIRECT("b"&amp;F982+2)</f>
        <v>6.1750000000000005E+64</v>
      </c>
      <c r="F982" s="18">
        <f t="shared" si="95"/>
        <v>1705</v>
      </c>
      <c r="G982" s="18"/>
      <c r="H982" s="18"/>
      <c r="I982" s="19">
        <v>980</v>
      </c>
      <c r="J982" s="19" cm="1">
        <f t="array" aca="1" ref="J982" ca="1">INDIRECT("b"&amp;K982+2)</f>
        <v>6.1750000000000003E+94</v>
      </c>
      <c r="K982" s="19">
        <f t="shared" si="97"/>
        <v>2905</v>
      </c>
    </row>
    <row r="983" spans="1:11">
      <c r="A983">
        <v>981</v>
      </c>
      <c r="B983">
        <v>5.2749999999999998E+47</v>
      </c>
      <c r="D983" s="18">
        <v>981</v>
      </c>
      <c r="E983" s="18" cm="1">
        <f t="array" aca="1" ref="E983" ca="1">INDIRECT("b"&amp;F983+2)</f>
        <v>6.4000000000000004E+64</v>
      </c>
      <c r="F983" s="18">
        <f t="shared" si="95"/>
        <v>1706</v>
      </c>
      <c r="G983" s="18"/>
      <c r="H983" s="18"/>
      <c r="I983" s="19">
        <v>981</v>
      </c>
      <c r="J983" s="19" cm="1">
        <f t="array" aca="1" ref="J983" ca="1">INDIRECT("b"&amp;K983+2)</f>
        <v>6.4000000000000003E+94</v>
      </c>
      <c r="K983" s="19">
        <f t="shared" si="97"/>
        <v>2906</v>
      </c>
    </row>
    <row r="984" spans="1:11">
      <c r="A984">
        <v>982</v>
      </c>
      <c r="B984">
        <v>5.4999999999999998E+47</v>
      </c>
      <c r="D984" s="18">
        <v>982</v>
      </c>
      <c r="E984" s="18" cm="1">
        <f t="array" aca="1" ref="E984" ca="1">INDIRECT("b"&amp;F984+2)</f>
        <v>6.8500000000000002E+64</v>
      </c>
      <c r="F984" s="18">
        <f t="shared" si="95"/>
        <v>1708</v>
      </c>
      <c r="G984" s="18"/>
      <c r="H984" s="18"/>
      <c r="I984" s="19">
        <v>982</v>
      </c>
      <c r="J984" s="19" cm="1">
        <f t="array" aca="1" ref="J984" ca="1">INDIRECT("b"&amp;K984+2)</f>
        <v>6.8499999999999994E+94</v>
      </c>
      <c r="K984" s="19">
        <f t="shared" si="97"/>
        <v>2908</v>
      </c>
    </row>
    <row r="985" spans="1:11">
      <c r="A985">
        <v>983</v>
      </c>
      <c r="B985">
        <v>5.7250000000000007E+47</v>
      </c>
      <c r="D985" s="18">
        <v>983</v>
      </c>
      <c r="E985" s="18" cm="1">
        <f t="array" aca="1" ref="E985" ca="1">INDIRECT("b"&amp;F985+2)</f>
        <v>7.0750000000000001E+64</v>
      </c>
      <c r="F985" s="18">
        <f t="shared" si="95"/>
        <v>1709</v>
      </c>
      <c r="G985" s="18"/>
      <c r="H985" s="18"/>
      <c r="I985" s="19">
        <v>983</v>
      </c>
      <c r="J985" s="19" cm="1">
        <f t="array" aca="1" ref="J985" ca="1">INDIRECT("b"&amp;K985+2)</f>
        <v>7.0750000000000001E+94</v>
      </c>
      <c r="K985" s="19">
        <f t="shared" si="97"/>
        <v>2909</v>
      </c>
    </row>
    <row r="986" spans="1:11">
      <c r="A986">
        <v>984</v>
      </c>
      <c r="B986">
        <v>5.9500000000000007E+47</v>
      </c>
      <c r="D986" s="18">
        <v>984</v>
      </c>
      <c r="E986" s="18" cm="1">
        <f t="array" aca="1" ref="E986" ca="1">INDIRECT("b"&amp;F986+2)</f>
        <v>7.3000000000000011E+64</v>
      </c>
      <c r="F986" s="18">
        <f t="shared" si="95"/>
        <v>1710</v>
      </c>
      <c r="G986" s="18">
        <f t="shared" ref="G986" ca="1" si="102">E986/E981</f>
        <v>1.2268907563025211</v>
      </c>
      <c r="H986" s="18"/>
      <c r="I986" s="19">
        <v>984</v>
      </c>
      <c r="J986" s="19" cm="1">
        <f t="array" aca="1" ref="J986" ca="1">INDIRECT("b"&amp;K986+2)</f>
        <v>7.3000000000000008E+94</v>
      </c>
      <c r="K986" s="19">
        <f t="shared" si="97"/>
        <v>2910</v>
      </c>
    </row>
    <row r="987" spans="1:11">
      <c r="A987">
        <v>985</v>
      </c>
      <c r="B987">
        <v>6.1749999999999999E+47</v>
      </c>
      <c r="D987" s="18">
        <v>985</v>
      </c>
      <c r="E987" s="18" cm="1">
        <f t="array" aca="1" ref="E987" ca="1">INDIRECT("b"&amp;F987+2)</f>
        <v>7.7500000000000009E+64</v>
      </c>
      <c r="F987" s="18">
        <f t="shared" si="95"/>
        <v>1712</v>
      </c>
      <c r="G987" s="18"/>
      <c r="H987" s="18"/>
      <c r="I987" s="19">
        <v>985</v>
      </c>
      <c r="J987" s="19" cm="1">
        <f t="array" aca="1" ref="J987" ca="1">INDIRECT("b"&amp;K987+2)</f>
        <v>7.7500000000000007E+94</v>
      </c>
      <c r="K987" s="19">
        <f t="shared" si="97"/>
        <v>2912</v>
      </c>
    </row>
    <row r="988" spans="1:11">
      <c r="A988">
        <v>986</v>
      </c>
      <c r="B988">
        <v>6.4E+47</v>
      </c>
      <c r="D988" s="18">
        <v>986</v>
      </c>
      <c r="E988" s="18" cm="1">
        <f t="array" aca="1" ref="E988" ca="1">INDIRECT("b"&amp;F988+2)</f>
        <v>7.9750000000000008E+64</v>
      </c>
      <c r="F988" s="18">
        <f t="shared" si="95"/>
        <v>1713</v>
      </c>
      <c r="G988" s="18"/>
      <c r="H988" s="18"/>
      <c r="I988" s="19">
        <v>986</v>
      </c>
      <c r="J988" s="19" cm="1">
        <f t="array" aca="1" ref="J988" ca="1">INDIRECT("b"&amp;K988+2)</f>
        <v>7.9749999999999999E+94</v>
      </c>
      <c r="K988" s="19">
        <f t="shared" si="97"/>
        <v>2913</v>
      </c>
    </row>
    <row r="989" spans="1:11">
      <c r="A989">
        <v>987</v>
      </c>
      <c r="B989">
        <v>6.6250000000000008E+47</v>
      </c>
      <c r="D989" s="18">
        <v>987</v>
      </c>
      <c r="E989" s="18" cm="1">
        <f t="array" aca="1" ref="E989" ca="1">INDIRECT("b"&amp;F989+2)</f>
        <v>8.2000000000000007E+64</v>
      </c>
      <c r="F989" s="18">
        <f t="shared" si="95"/>
        <v>1714</v>
      </c>
      <c r="G989" s="18"/>
      <c r="H989" s="18"/>
      <c r="I989" s="19">
        <v>987</v>
      </c>
      <c r="J989" s="19" cm="1">
        <f t="array" aca="1" ref="J989" ca="1">INDIRECT("b"&amp;K989+2)</f>
        <v>8.2000000000000006E+94</v>
      </c>
      <c r="K989" s="19">
        <f t="shared" si="97"/>
        <v>2914</v>
      </c>
    </row>
    <row r="990" spans="1:11">
      <c r="A990">
        <v>988</v>
      </c>
      <c r="B990">
        <v>6.8500000000000008E+47</v>
      </c>
      <c r="D990" s="18">
        <v>988</v>
      </c>
      <c r="E990" s="18" cm="1">
        <f t="array" aca="1" ref="E990" ca="1">INDIRECT("b"&amp;F990+2)</f>
        <v>8.6500000000000005E+64</v>
      </c>
      <c r="F990" s="18">
        <f t="shared" si="95"/>
        <v>1716</v>
      </c>
      <c r="G990" s="18"/>
      <c r="H990" s="18"/>
      <c r="I990" s="19">
        <v>988</v>
      </c>
      <c r="J990" s="19" cm="1">
        <f t="array" aca="1" ref="J990" ca="1">INDIRECT("b"&amp;K990+2)</f>
        <v>8.6500000000000005E+94</v>
      </c>
      <c r="K990" s="19">
        <f t="shared" si="97"/>
        <v>2916</v>
      </c>
    </row>
    <row r="991" spans="1:11">
      <c r="A991">
        <v>989</v>
      </c>
      <c r="B991">
        <v>7.0749999999999992E+47</v>
      </c>
      <c r="D991" s="18">
        <v>989</v>
      </c>
      <c r="E991" s="18" cm="1">
        <f t="array" aca="1" ref="E991" ca="1">INDIRECT("b"&amp;F991+2)</f>
        <v>8.8750000000000004E+64</v>
      </c>
      <c r="F991" s="18">
        <f t="shared" si="95"/>
        <v>1717</v>
      </c>
      <c r="G991" s="18">
        <f t="shared" ref="G991" ca="1" si="103">E991/E986</f>
        <v>1.2157534246575341</v>
      </c>
      <c r="H991" s="18"/>
      <c r="I991" s="19">
        <v>989</v>
      </c>
      <c r="J991" s="19" cm="1">
        <f t="array" aca="1" ref="J991" ca="1">INDIRECT("b"&amp;K991+2)</f>
        <v>8.8749999999999997E+94</v>
      </c>
      <c r="K991" s="19">
        <f t="shared" si="97"/>
        <v>2917</v>
      </c>
    </row>
    <row r="992" spans="1:11">
      <c r="A992">
        <v>990</v>
      </c>
      <c r="B992">
        <v>7.3000000000000001E+47</v>
      </c>
      <c r="D992" s="18">
        <v>990</v>
      </c>
      <c r="E992" s="18" cm="1">
        <f t="array" aca="1" ref="E992" ca="1">INDIRECT("b"&amp;F992+2)</f>
        <v>9.1000000000000003E+64</v>
      </c>
      <c r="F992" s="18">
        <f t="shared" si="95"/>
        <v>1718</v>
      </c>
      <c r="G992" s="18"/>
      <c r="H992" s="18"/>
      <c r="I992" s="19">
        <v>990</v>
      </c>
      <c r="J992" s="19" cm="1">
        <f t="array" aca="1" ref="J992" ca="1">INDIRECT("b"&amp;K992+2)</f>
        <v>9.1000000000000004E+94</v>
      </c>
      <c r="K992" s="19">
        <f t="shared" si="97"/>
        <v>2918</v>
      </c>
    </row>
    <row r="993" spans="1:11">
      <c r="A993">
        <v>991</v>
      </c>
      <c r="B993">
        <v>7.5250000000000001E+47</v>
      </c>
      <c r="D993" s="18">
        <v>991</v>
      </c>
      <c r="E993" s="18" cm="1">
        <f t="array" aca="1" ref="E993" ca="1">INDIRECT("b"&amp;F993+2)</f>
        <v>9.5500000000000013E+64</v>
      </c>
      <c r="F993" s="18">
        <f t="shared" si="95"/>
        <v>1720</v>
      </c>
      <c r="G993" s="18"/>
      <c r="H993" s="18"/>
      <c r="I993" s="19">
        <v>991</v>
      </c>
      <c r="J993" s="19" cm="1">
        <f t="array" aca="1" ref="J993" ca="1">INDIRECT("b"&amp;K993+2)</f>
        <v>9.5500000000000003E+94</v>
      </c>
      <c r="K993" s="19">
        <f t="shared" si="97"/>
        <v>2920</v>
      </c>
    </row>
    <row r="994" spans="1:11">
      <c r="A994">
        <v>992</v>
      </c>
      <c r="B994">
        <v>7.7500000000000001E+47</v>
      </c>
      <c r="D994" s="18">
        <v>992</v>
      </c>
      <c r="E994" s="18" cm="1">
        <f t="array" aca="1" ref="E994" ca="1">INDIRECT("b"&amp;F994+2)</f>
        <v>9.7750000000000012E+64</v>
      </c>
      <c r="F994" s="18">
        <f t="shared" si="95"/>
        <v>1721</v>
      </c>
      <c r="G994" s="18"/>
      <c r="H994" s="18"/>
      <c r="I994" s="19">
        <v>992</v>
      </c>
      <c r="J994" s="19" cm="1">
        <f t="array" aca="1" ref="J994" ca="1">INDIRECT("b"&amp;K994+2)</f>
        <v>9.7749999999999995E+94</v>
      </c>
      <c r="K994" s="19">
        <f t="shared" si="97"/>
        <v>2921</v>
      </c>
    </row>
    <row r="995" spans="1:11">
      <c r="A995">
        <v>993</v>
      </c>
      <c r="B995">
        <v>7.9750000000000002E+47</v>
      </c>
      <c r="D995" s="18">
        <v>993</v>
      </c>
      <c r="E995" s="18" cm="1">
        <f t="array" aca="1" ref="E995" ca="1">INDIRECT("b"&amp;F995+2)</f>
        <v>9.9999999999999999E+64</v>
      </c>
      <c r="F995" s="18">
        <f t="shared" si="95"/>
        <v>1722</v>
      </c>
      <c r="G995" s="18"/>
      <c r="H995" s="18"/>
      <c r="I995" s="19">
        <v>993</v>
      </c>
      <c r="J995" s="19" cm="1">
        <f t="array" aca="1" ref="J995" ca="1">INDIRECT("b"&amp;K995+2)</f>
        <v>1E+95</v>
      </c>
      <c r="K995" s="19">
        <f t="shared" si="97"/>
        <v>2922</v>
      </c>
    </row>
    <row r="996" spans="1:11">
      <c r="A996">
        <v>994</v>
      </c>
      <c r="B996">
        <v>8.1999999999999986E+47</v>
      </c>
      <c r="D996" s="18">
        <v>994</v>
      </c>
      <c r="E996" s="18" cm="1">
        <f t="array" aca="1" ref="E996" ca="1">INDIRECT("b"&amp;F996+2)</f>
        <v>1.45E+65</v>
      </c>
      <c r="F996" s="18">
        <f t="shared" si="95"/>
        <v>1724</v>
      </c>
      <c r="G996" s="18">
        <f t="shared" ref="G996" ca="1" si="104">E996/E991</f>
        <v>1.6338028169014085</v>
      </c>
      <c r="H996" s="18"/>
      <c r="I996" s="19">
        <v>994</v>
      </c>
      <c r="J996" s="19" cm="1">
        <f t="array" aca="1" ref="J996" ca="1">INDIRECT("b"&amp;K996+2)</f>
        <v>1.4500000000000001E+95</v>
      </c>
      <c r="K996" s="19">
        <f t="shared" si="97"/>
        <v>2924</v>
      </c>
    </row>
    <row r="997" spans="1:11">
      <c r="A997">
        <v>995</v>
      </c>
      <c r="B997">
        <v>8.4250000000000002E+47</v>
      </c>
      <c r="D997" s="18">
        <v>995</v>
      </c>
      <c r="E997" s="18" cm="1">
        <f t="array" aca="1" ref="E997" ca="1">INDIRECT("b"&amp;F997+2)</f>
        <v>1.6750000000000002E+65</v>
      </c>
      <c r="F997" s="18">
        <f t="shared" si="95"/>
        <v>1725</v>
      </c>
      <c r="G997" s="18"/>
      <c r="H997" s="18"/>
      <c r="I997" s="19">
        <v>995</v>
      </c>
      <c r="J997" s="19" cm="1">
        <f t="array" aca="1" ref="J997" ca="1">INDIRECT("b"&amp;K997+2)</f>
        <v>1.6749999999999999E+95</v>
      </c>
      <c r="K997" s="19">
        <f t="shared" si="97"/>
        <v>2925</v>
      </c>
    </row>
    <row r="998" spans="1:11">
      <c r="A998">
        <v>996</v>
      </c>
      <c r="B998">
        <v>8.6499999999999986E+47</v>
      </c>
      <c r="D998" s="18">
        <v>996</v>
      </c>
      <c r="E998" s="18" cm="1">
        <f t="array" aca="1" ref="E998" ca="1">INDIRECT("b"&amp;F998+2)</f>
        <v>1.9000000000000001E+65</v>
      </c>
      <c r="F998" s="18">
        <f t="shared" si="95"/>
        <v>1726</v>
      </c>
      <c r="G998" s="18"/>
      <c r="H998" s="18"/>
      <c r="I998" s="19">
        <v>996</v>
      </c>
      <c r="J998" s="19" cm="1">
        <f t="array" aca="1" ref="J998" ca="1">INDIRECT("b"&amp;K998+2)</f>
        <v>1.9E+95</v>
      </c>
      <c r="K998" s="19">
        <f t="shared" si="97"/>
        <v>2926</v>
      </c>
    </row>
    <row r="999" spans="1:11">
      <c r="A999">
        <v>997</v>
      </c>
      <c r="B999">
        <v>8.8749999999999987E+47</v>
      </c>
      <c r="D999" s="18">
        <v>997</v>
      </c>
      <c r="E999" s="18" cm="1">
        <f t="array" aca="1" ref="E999" ca="1">INDIRECT("b"&amp;F999+2)</f>
        <v>2.3500000000000001E+65</v>
      </c>
      <c r="F999" s="18">
        <f t="shared" si="95"/>
        <v>1728</v>
      </c>
      <c r="G999" s="18"/>
      <c r="H999" s="18"/>
      <c r="I999" s="19">
        <v>997</v>
      </c>
      <c r="J999" s="19" cm="1">
        <f t="array" aca="1" ref="J999" ca="1">INDIRECT("b"&amp;K999+2)</f>
        <v>2.3499999999999999E+95</v>
      </c>
      <c r="K999" s="19">
        <f t="shared" si="97"/>
        <v>2928</v>
      </c>
    </row>
    <row r="1000" spans="1:11">
      <c r="A1000">
        <v>998</v>
      </c>
      <c r="B1000">
        <v>9.0999999999999987E+47</v>
      </c>
      <c r="D1000" s="18">
        <v>998</v>
      </c>
      <c r="E1000" s="18" cm="1">
        <f t="array" aca="1" ref="E1000" ca="1">INDIRECT("b"&amp;F1000+2)</f>
        <v>2.575E+65</v>
      </c>
      <c r="F1000" s="18">
        <f t="shared" si="95"/>
        <v>1729</v>
      </c>
      <c r="G1000" s="18"/>
      <c r="H1000" s="18"/>
      <c r="I1000" s="19">
        <v>998</v>
      </c>
      <c r="J1000" s="19" cm="1">
        <f t="array" aca="1" ref="J1000" ca="1">INDIRECT("b"&amp;K1000+2)</f>
        <v>2.575E+95</v>
      </c>
      <c r="K1000" s="19">
        <f t="shared" si="97"/>
        <v>2929</v>
      </c>
    </row>
    <row r="1001" spans="1:11">
      <c r="A1001">
        <v>999</v>
      </c>
      <c r="B1001">
        <v>9.3249999999999987E+47</v>
      </c>
      <c r="D1001" s="18">
        <v>999</v>
      </c>
      <c r="E1001" s="18" cm="1">
        <f t="array" aca="1" ref="E1001" ca="1">INDIRECT("b"&amp;F1001+2)</f>
        <v>2.8000000000000004E+65</v>
      </c>
      <c r="F1001" s="18">
        <f t="shared" si="95"/>
        <v>1730</v>
      </c>
      <c r="G1001" s="18">
        <f t="shared" ref="G1001" ca="1" si="105">E1001/E996</f>
        <v>1.931034482758621</v>
      </c>
      <c r="H1001" s="18"/>
      <c r="I1001" s="19">
        <v>999</v>
      </c>
      <c r="J1001" s="19" cm="1">
        <f t="array" aca="1" ref="J1001" ca="1">INDIRECT("b"&amp;K1001+2)</f>
        <v>2.7999999999999998E+95</v>
      </c>
      <c r="K1001" s="19">
        <f t="shared" si="97"/>
        <v>2930</v>
      </c>
    </row>
    <row r="1002" spans="1:11">
      <c r="A1002">
        <v>1000</v>
      </c>
      <c r="B1002">
        <v>9.5500000000000004E+47</v>
      </c>
      <c r="D1002" s="18">
        <v>1000</v>
      </c>
      <c r="E1002" s="18" cm="1">
        <f t="array" aca="1" ref="E1002" ca="1">INDIRECT("b"&amp;F1002+2)</f>
        <v>3.2500000000000001E+65</v>
      </c>
      <c r="F1002" s="18">
        <f t="shared" si="95"/>
        <v>1732</v>
      </c>
      <c r="G1002" s="18"/>
      <c r="H1002" s="18"/>
      <c r="I1002" s="19">
        <v>1000</v>
      </c>
      <c r="J1002" s="19" cm="1">
        <f t="array" aca="1" ref="J1002" ca="1">INDIRECT("b"&amp;K1002+2)</f>
        <v>3.25E+95</v>
      </c>
      <c r="K1002" s="19">
        <f t="shared" si="97"/>
        <v>2932</v>
      </c>
    </row>
    <row r="1003" spans="1:11">
      <c r="A1003">
        <v>1001</v>
      </c>
      <c r="B1003">
        <v>9.7749999999999988E+47</v>
      </c>
      <c r="D1003" s="18">
        <v>1001</v>
      </c>
      <c r="E1003" s="18" cm="1">
        <f t="array" aca="1" ref="E1003" ca="1">INDIRECT("b"&amp;F1003+2)</f>
        <v>3.475E+65</v>
      </c>
      <c r="F1003" s="18">
        <f t="shared" si="95"/>
        <v>1733</v>
      </c>
      <c r="G1003" s="18"/>
      <c r="H1003" s="18"/>
      <c r="I1003" s="19">
        <v>1001</v>
      </c>
      <c r="J1003" s="19" cm="1">
        <f t="array" aca="1" ref="J1003" ca="1">INDIRECT("b"&amp;K1003+2)</f>
        <v>3.4750000000000001E+95</v>
      </c>
      <c r="K1003" s="19">
        <f t="shared" si="97"/>
        <v>2933</v>
      </c>
    </row>
    <row r="1004" spans="1:11">
      <c r="A1004">
        <v>1002</v>
      </c>
      <c r="B1004">
        <v>1E+48</v>
      </c>
      <c r="D1004" s="18">
        <v>1002</v>
      </c>
      <c r="E1004" s="18" cm="1">
        <f t="array" aca="1" ref="E1004" ca="1">INDIRECT("b"&amp;F1004+2)</f>
        <v>3.6999999999999999E+65</v>
      </c>
      <c r="F1004" s="18">
        <f t="shared" si="95"/>
        <v>1734</v>
      </c>
      <c r="G1004" s="18"/>
      <c r="H1004" s="18"/>
      <c r="I1004" s="19">
        <v>1002</v>
      </c>
      <c r="J1004" s="19" cm="1">
        <f t="array" aca="1" ref="J1004" ca="1">INDIRECT("b"&amp;K1004+2)</f>
        <v>3.6999999999999996E+95</v>
      </c>
      <c r="K1004" s="19">
        <f t="shared" si="97"/>
        <v>2934</v>
      </c>
    </row>
    <row r="1005" spans="1:11">
      <c r="A1005">
        <v>1003</v>
      </c>
      <c r="B1005">
        <v>1.2250000000000001E+48</v>
      </c>
      <c r="D1005" s="18">
        <v>1003</v>
      </c>
      <c r="E1005" s="18" cm="1">
        <f t="array" aca="1" ref="E1005" ca="1">INDIRECT("b"&amp;F1005+2)</f>
        <v>4.1500000000000002E+65</v>
      </c>
      <c r="F1005" s="18">
        <f t="shared" si="95"/>
        <v>1736</v>
      </c>
      <c r="G1005" s="18"/>
      <c r="H1005" s="18"/>
      <c r="I1005" s="19">
        <v>1003</v>
      </c>
      <c r="J1005" s="19" cm="1">
        <f t="array" aca="1" ref="J1005" ca="1">INDIRECT("b"&amp;K1005+2)</f>
        <v>4.1499999999999998E+95</v>
      </c>
      <c r="K1005" s="19">
        <f t="shared" si="97"/>
        <v>2936</v>
      </c>
    </row>
    <row r="1006" spans="1:11">
      <c r="A1006">
        <v>1004</v>
      </c>
      <c r="B1006">
        <v>1.4499999999999998E+48</v>
      </c>
      <c r="D1006" s="18">
        <v>1004</v>
      </c>
      <c r="E1006" s="18" cm="1">
        <f t="array" aca="1" ref="E1006" ca="1">INDIRECT("b"&amp;F1006+2)</f>
        <v>4.3750000000000006E+65</v>
      </c>
      <c r="F1006" s="18">
        <f t="shared" si="95"/>
        <v>1737</v>
      </c>
      <c r="G1006" s="18">
        <f t="shared" ref="G1006" ca="1" si="106">E1006/E1001</f>
        <v>1.5625</v>
      </c>
      <c r="H1006" s="18"/>
      <c r="I1006" s="19">
        <v>1004</v>
      </c>
      <c r="J1006" s="19" cm="1">
        <f t="array" aca="1" ref="J1006" ca="1">INDIRECT("b"&amp;K1006+2)</f>
        <v>4.3749999999999998E+95</v>
      </c>
      <c r="K1006" s="19">
        <f t="shared" si="97"/>
        <v>2937</v>
      </c>
    </row>
    <row r="1007" spans="1:11">
      <c r="A1007">
        <v>1005</v>
      </c>
      <c r="B1007">
        <v>1.675E+48</v>
      </c>
      <c r="D1007" s="18">
        <v>1005</v>
      </c>
      <c r="E1007" s="18" cm="1">
        <f t="array" aca="1" ref="E1007" ca="1">INDIRECT("b"&amp;F1007+2)</f>
        <v>4.6E+65</v>
      </c>
      <c r="F1007" s="18">
        <f t="shared" si="95"/>
        <v>1738</v>
      </c>
      <c r="G1007" s="18"/>
      <c r="H1007" s="18"/>
      <c r="I1007" s="19">
        <v>1005</v>
      </c>
      <c r="J1007" s="19" cm="1">
        <f t="array" aca="1" ref="J1007" ca="1">INDIRECT("b"&amp;K1007+2)</f>
        <v>4.5999999999999999E+95</v>
      </c>
      <c r="K1007" s="19">
        <f t="shared" si="97"/>
        <v>2938</v>
      </c>
    </row>
    <row r="1008" spans="1:11">
      <c r="A1008">
        <v>1006</v>
      </c>
      <c r="B1008">
        <v>1.9000000000000003E+48</v>
      </c>
      <c r="D1008" s="18">
        <v>1006</v>
      </c>
      <c r="E1008" s="18" cm="1">
        <f t="array" aca="1" ref="E1008" ca="1">INDIRECT("b"&amp;F1008+2)</f>
        <v>5.0499999999999998E+65</v>
      </c>
      <c r="F1008" s="18">
        <f t="shared" si="95"/>
        <v>1740</v>
      </c>
      <c r="G1008" s="18"/>
      <c r="H1008" s="18"/>
      <c r="I1008" s="19">
        <v>1006</v>
      </c>
      <c r="J1008" s="19" cm="1">
        <f t="array" aca="1" ref="J1008" ca="1">INDIRECT("b"&amp;K1008+2)</f>
        <v>5.0499999999999995E+95</v>
      </c>
      <c r="K1008" s="19">
        <f t="shared" si="97"/>
        <v>2940</v>
      </c>
    </row>
    <row r="1009" spans="1:11">
      <c r="A1009">
        <v>1007</v>
      </c>
      <c r="B1009">
        <v>2.125E+48</v>
      </c>
      <c r="D1009" s="18">
        <v>1007</v>
      </c>
      <c r="E1009" s="18" cm="1">
        <f t="array" aca="1" ref="E1009" ca="1">INDIRECT("b"&amp;F1009+2)</f>
        <v>5.2750000000000002E+65</v>
      </c>
      <c r="F1009" s="18">
        <f t="shared" si="95"/>
        <v>1741</v>
      </c>
      <c r="G1009" s="18"/>
      <c r="H1009" s="18"/>
      <c r="I1009" s="19">
        <v>1007</v>
      </c>
      <c r="J1009" s="19" cm="1">
        <f t="array" aca="1" ref="J1009" ca="1">INDIRECT("b"&amp;K1009+2)</f>
        <v>5.2749999999999996E+95</v>
      </c>
      <c r="K1009" s="19">
        <f t="shared" si="97"/>
        <v>2941</v>
      </c>
    </row>
    <row r="1010" spans="1:11">
      <c r="A1010">
        <v>1008</v>
      </c>
      <c r="B1010">
        <v>2.3500000000000001E+48</v>
      </c>
      <c r="D1010" s="18">
        <v>1008</v>
      </c>
      <c r="E1010" s="18" cm="1">
        <f t="array" aca="1" ref="E1010" ca="1">INDIRECT("b"&amp;F1010+2)</f>
        <v>5.5000000000000005E+65</v>
      </c>
      <c r="F1010" s="18">
        <f t="shared" si="95"/>
        <v>1742</v>
      </c>
      <c r="G1010" s="18"/>
      <c r="H1010" s="18"/>
      <c r="I1010" s="19">
        <v>1008</v>
      </c>
      <c r="J1010" s="19" cm="1">
        <f t="array" aca="1" ref="J1010" ca="1">INDIRECT("b"&amp;K1010+2)</f>
        <v>5.4999999999999997E+95</v>
      </c>
      <c r="K1010" s="19">
        <f t="shared" si="97"/>
        <v>2942</v>
      </c>
    </row>
    <row r="1011" spans="1:11">
      <c r="A1011">
        <v>1009</v>
      </c>
      <c r="B1011">
        <v>2.5749999999999998E+48</v>
      </c>
      <c r="D1011" s="18">
        <v>1009</v>
      </c>
      <c r="E1011" s="18" cm="1">
        <f t="array" aca="1" ref="E1011" ca="1">INDIRECT("b"&amp;F1011+2)</f>
        <v>5.9500000000000003E+65</v>
      </c>
      <c r="F1011" s="18">
        <f t="shared" si="95"/>
        <v>1744</v>
      </c>
      <c r="G1011" s="18">
        <f t="shared" ref="G1011" ca="1" si="107">E1011/E1006</f>
        <v>1.3599999999999999</v>
      </c>
      <c r="H1011" s="18"/>
      <c r="I1011" s="19">
        <v>1009</v>
      </c>
      <c r="J1011" s="19" cm="1">
        <f t="array" aca="1" ref="J1011" ca="1">INDIRECT("b"&amp;K1011+2)</f>
        <v>5.9499999999999999E+95</v>
      </c>
      <c r="K1011" s="19">
        <f t="shared" si="97"/>
        <v>2944</v>
      </c>
    </row>
    <row r="1012" spans="1:11">
      <c r="A1012">
        <v>1010</v>
      </c>
      <c r="B1012">
        <v>2.8000000000000001E+48</v>
      </c>
      <c r="D1012" s="18">
        <v>1010</v>
      </c>
      <c r="E1012" s="18" cm="1">
        <f t="array" aca="1" ref="E1012" ca="1">INDIRECT("b"&amp;F1012+2)</f>
        <v>6.1750000000000007E+65</v>
      </c>
      <c r="F1012" s="18">
        <f t="shared" si="95"/>
        <v>1745</v>
      </c>
      <c r="G1012" s="18"/>
      <c r="H1012" s="18"/>
      <c r="I1012" s="19">
        <v>1010</v>
      </c>
      <c r="J1012" s="19" cm="1">
        <f t="array" aca="1" ref="J1012" ca="1">INDIRECT("b"&amp;K1012+2)</f>
        <v>6.1749999999999994E+95</v>
      </c>
      <c r="K1012" s="19">
        <f t="shared" si="97"/>
        <v>2945</v>
      </c>
    </row>
    <row r="1013" spans="1:11">
      <c r="A1013">
        <v>1011</v>
      </c>
      <c r="B1013">
        <v>3.0250000000000002E+48</v>
      </c>
      <c r="D1013" s="18">
        <v>1011</v>
      </c>
      <c r="E1013" s="18" cm="1">
        <f t="array" aca="1" ref="E1013" ca="1">INDIRECT("b"&amp;F1013+2)</f>
        <v>6.4000000000000001E+65</v>
      </c>
      <c r="F1013" s="18">
        <f t="shared" si="95"/>
        <v>1746</v>
      </c>
      <c r="G1013" s="18"/>
      <c r="H1013" s="18"/>
      <c r="I1013" s="19">
        <v>1011</v>
      </c>
      <c r="J1013" s="19" cm="1">
        <f t="array" aca="1" ref="J1013" ca="1">INDIRECT("b"&amp;K1013+2)</f>
        <v>6.4000000000000001E+95</v>
      </c>
      <c r="K1013" s="19">
        <f t="shared" si="97"/>
        <v>2946</v>
      </c>
    </row>
    <row r="1014" spans="1:11">
      <c r="A1014">
        <v>1012</v>
      </c>
      <c r="B1014">
        <v>3.2499999999999999E+48</v>
      </c>
      <c r="D1014" s="18">
        <v>1012</v>
      </c>
      <c r="E1014" s="18" cm="1">
        <f t="array" aca="1" ref="E1014" ca="1">INDIRECT("b"&amp;F1014+2)</f>
        <v>6.8499999999999999E+65</v>
      </c>
      <c r="F1014" s="18">
        <f t="shared" si="95"/>
        <v>1748</v>
      </c>
      <c r="G1014" s="18"/>
      <c r="H1014" s="18"/>
      <c r="I1014" s="19">
        <v>1012</v>
      </c>
      <c r="J1014" s="19" cm="1">
        <f t="array" aca="1" ref="J1014" ca="1">INDIRECT("b"&amp;K1014+2)</f>
        <v>6.8499999999999991E+95</v>
      </c>
      <c r="K1014" s="19">
        <f t="shared" si="97"/>
        <v>2948</v>
      </c>
    </row>
    <row r="1015" spans="1:11">
      <c r="A1015">
        <v>1013</v>
      </c>
      <c r="B1015">
        <v>3.4750000000000002E+48</v>
      </c>
      <c r="D1015" s="18">
        <v>1013</v>
      </c>
      <c r="E1015" s="18" cm="1">
        <f t="array" aca="1" ref="E1015" ca="1">INDIRECT("b"&amp;F1015+2)</f>
        <v>7.0750000000000003E+65</v>
      </c>
      <c r="F1015" s="18">
        <f t="shared" si="95"/>
        <v>1749</v>
      </c>
      <c r="G1015" s="18"/>
      <c r="H1015" s="18"/>
      <c r="I1015" s="19">
        <v>1013</v>
      </c>
      <c r="J1015" s="19" cm="1">
        <f t="array" aca="1" ref="J1015" ca="1">INDIRECT("b"&amp;K1015+2)</f>
        <v>7.0749999999999998E+95</v>
      </c>
      <c r="K1015" s="19">
        <f t="shared" si="97"/>
        <v>2949</v>
      </c>
    </row>
    <row r="1016" spans="1:11">
      <c r="A1016">
        <v>1014</v>
      </c>
      <c r="B1016">
        <v>3.6999999999999999E+48</v>
      </c>
      <c r="D1016" s="18">
        <v>1014</v>
      </c>
      <c r="E1016" s="18" cm="1">
        <f t="array" aca="1" ref="E1016" ca="1">INDIRECT("b"&amp;F1016+2)</f>
        <v>7.3000000000000007E+65</v>
      </c>
      <c r="F1016" s="18">
        <f t="shared" si="95"/>
        <v>1750</v>
      </c>
      <c r="G1016" s="18">
        <f t="shared" ref="G1016" ca="1" si="108">E1016/E1011</f>
        <v>1.2268907563025211</v>
      </c>
      <c r="H1016" s="18"/>
      <c r="I1016" s="19">
        <v>1014</v>
      </c>
      <c r="J1016" s="19" cm="1">
        <f t="array" aca="1" ref="J1016" ca="1">INDIRECT("b"&amp;K1016+2)</f>
        <v>7.2999999999999993E+95</v>
      </c>
      <c r="K1016" s="19">
        <f t="shared" si="97"/>
        <v>2950</v>
      </c>
    </row>
    <row r="1017" spans="1:11">
      <c r="A1017">
        <v>1015</v>
      </c>
      <c r="B1017">
        <v>3.9250000000000003E+48</v>
      </c>
      <c r="D1017" s="18">
        <v>1015</v>
      </c>
      <c r="E1017" s="18" cm="1">
        <f t="array" aca="1" ref="E1017" ca="1">INDIRECT("b"&amp;F1017+2)</f>
        <v>7.7500000000000005E+65</v>
      </c>
      <c r="F1017" s="18">
        <f t="shared" si="95"/>
        <v>1752</v>
      </c>
      <c r="G1017" s="18"/>
      <c r="H1017" s="18"/>
      <c r="I1017" s="19">
        <v>1015</v>
      </c>
      <c r="J1017" s="19" cm="1">
        <f t="array" aca="1" ref="J1017" ca="1">INDIRECT("b"&amp;K1017+2)</f>
        <v>7.7499999999999995E+95</v>
      </c>
      <c r="K1017" s="19">
        <f t="shared" si="97"/>
        <v>2952</v>
      </c>
    </row>
    <row r="1018" spans="1:11">
      <c r="A1018">
        <v>1016</v>
      </c>
      <c r="B1018">
        <v>4.1500000000000006E+48</v>
      </c>
      <c r="D1018" s="18">
        <v>1016</v>
      </c>
      <c r="E1018" s="18" cm="1">
        <f t="array" aca="1" ref="E1018" ca="1">INDIRECT("b"&amp;F1018+2)</f>
        <v>7.9750000000000008E+65</v>
      </c>
      <c r="F1018" s="18">
        <f t="shared" si="95"/>
        <v>1753</v>
      </c>
      <c r="G1018" s="18"/>
      <c r="H1018" s="18"/>
      <c r="I1018" s="19">
        <v>1016</v>
      </c>
      <c r="J1018" s="19" cm="1">
        <f t="array" aca="1" ref="J1018" ca="1">INDIRECT("b"&amp;K1018+2)</f>
        <v>7.9750000000000002E+95</v>
      </c>
      <c r="K1018" s="19">
        <f t="shared" si="97"/>
        <v>2953</v>
      </c>
    </row>
    <row r="1019" spans="1:11">
      <c r="A1019">
        <v>1017</v>
      </c>
      <c r="B1019">
        <v>4.3749999999999997E+48</v>
      </c>
      <c r="D1019" s="18">
        <v>1017</v>
      </c>
      <c r="E1019" s="18" cm="1">
        <f t="array" aca="1" ref="E1019" ca="1">INDIRECT("b"&amp;F1019+2)</f>
        <v>8.2000000000000003E+65</v>
      </c>
      <c r="F1019" s="18">
        <f t="shared" si="95"/>
        <v>1754</v>
      </c>
      <c r="G1019" s="18"/>
      <c r="H1019" s="18"/>
      <c r="I1019" s="19">
        <v>1017</v>
      </c>
      <c r="J1019" s="19" cm="1">
        <f t="array" aca="1" ref="J1019" ca="1">INDIRECT("b"&amp;K1019+2)</f>
        <v>8.1999999999999997E+95</v>
      </c>
      <c r="K1019" s="19">
        <f t="shared" si="97"/>
        <v>2954</v>
      </c>
    </row>
    <row r="1020" spans="1:11">
      <c r="A1020">
        <v>1018</v>
      </c>
      <c r="B1020">
        <v>4.6E+48</v>
      </c>
      <c r="D1020" s="18">
        <v>1018</v>
      </c>
      <c r="E1020" s="18" cm="1">
        <f t="array" aca="1" ref="E1020" ca="1">INDIRECT("b"&amp;F1020+2)</f>
        <v>8.650000000000001E+65</v>
      </c>
      <c r="F1020" s="18">
        <f t="shared" si="95"/>
        <v>1756</v>
      </c>
      <c r="G1020" s="18"/>
      <c r="H1020" s="18"/>
      <c r="I1020" s="19">
        <v>1018</v>
      </c>
      <c r="J1020" s="19" cm="1">
        <f t="array" aca="1" ref="J1020" ca="1">INDIRECT("b"&amp;K1020+2)</f>
        <v>8.6499999999999999E+95</v>
      </c>
      <c r="K1020" s="19">
        <f t="shared" si="97"/>
        <v>2956</v>
      </c>
    </row>
    <row r="1021" spans="1:11">
      <c r="A1021">
        <v>1019</v>
      </c>
      <c r="B1021">
        <v>4.825000000000001E+48</v>
      </c>
      <c r="D1021" s="18">
        <v>1019</v>
      </c>
      <c r="E1021" s="18" cm="1">
        <f t="array" aca="1" ref="E1021" ca="1">INDIRECT("b"&amp;F1021+2)</f>
        <v>8.8750000000000014E+65</v>
      </c>
      <c r="F1021" s="18">
        <f t="shared" ref="F1021:F1084" si="109">INT((A1021-123)*1.333333)+563</f>
        <v>1757</v>
      </c>
      <c r="G1021" s="18">
        <f t="shared" ref="G1021" ca="1" si="110">E1021/E1016</f>
        <v>1.2157534246575343</v>
      </c>
      <c r="H1021" s="18"/>
      <c r="I1021" s="19">
        <v>1019</v>
      </c>
      <c r="J1021" s="19" cm="1">
        <f t="array" aca="1" ref="J1021" ca="1">INDIRECT("b"&amp;K1021+2)</f>
        <v>8.8749999999999994E+95</v>
      </c>
      <c r="K1021" s="19">
        <f t="shared" si="97"/>
        <v>2957</v>
      </c>
    </row>
    <row r="1022" spans="1:11">
      <c r="A1022">
        <v>1020</v>
      </c>
      <c r="B1022">
        <v>5.0500000000000001E+48</v>
      </c>
      <c r="D1022" s="18">
        <v>1020</v>
      </c>
      <c r="E1022" s="18" cm="1">
        <f t="array" aca="1" ref="E1022" ca="1">INDIRECT("b"&amp;F1022+2)</f>
        <v>9.0999999999999999E+65</v>
      </c>
      <c r="F1022" s="18">
        <f t="shared" si="109"/>
        <v>1758</v>
      </c>
      <c r="G1022" s="18"/>
      <c r="H1022" s="18"/>
      <c r="I1022" s="19">
        <v>1020</v>
      </c>
      <c r="J1022" s="19" cm="1">
        <f t="array" aca="1" ref="J1022" ca="1">INDIRECT("b"&amp;K1022+2)</f>
        <v>9.1000000000000001E+95</v>
      </c>
      <c r="K1022" s="19">
        <f t="shared" si="97"/>
        <v>2958</v>
      </c>
    </row>
    <row r="1023" spans="1:11">
      <c r="A1023">
        <v>1021</v>
      </c>
      <c r="B1023">
        <v>5.2749999999999998E+48</v>
      </c>
      <c r="D1023" s="18">
        <v>1021</v>
      </c>
      <c r="E1023" s="18" cm="1">
        <f t="array" aca="1" ref="E1023" ca="1">INDIRECT("b"&amp;F1023+2)</f>
        <v>9.5500000000000006E+65</v>
      </c>
      <c r="F1023" s="18">
        <f t="shared" si="109"/>
        <v>1760</v>
      </c>
      <c r="G1023" s="18"/>
      <c r="H1023" s="18"/>
      <c r="I1023" s="19">
        <v>1021</v>
      </c>
      <c r="J1023" s="19" cm="1">
        <f t="array" aca="1" ref="J1023" ca="1">INDIRECT("b"&amp;K1023+2)</f>
        <v>9.5499999999999991E+95</v>
      </c>
      <c r="K1023" s="19">
        <f t="shared" si="97"/>
        <v>2960</v>
      </c>
    </row>
    <row r="1024" spans="1:11">
      <c r="A1024">
        <v>1022</v>
      </c>
      <c r="B1024">
        <v>5.4999999999999995E+48</v>
      </c>
      <c r="D1024" s="18">
        <v>1022</v>
      </c>
      <c r="E1024" s="18" cm="1">
        <f t="array" aca="1" ref="E1024" ca="1">INDIRECT("b"&amp;F1024+2)</f>
        <v>9.775000000000001E+65</v>
      </c>
      <c r="F1024" s="18">
        <f t="shared" si="109"/>
        <v>1761</v>
      </c>
      <c r="G1024" s="18"/>
      <c r="H1024" s="18"/>
      <c r="I1024" s="19">
        <v>1022</v>
      </c>
      <c r="J1024" s="19" cm="1">
        <f t="array" aca="1" ref="J1024" ca="1">INDIRECT("b"&amp;K1024+2)</f>
        <v>9.7749999999999998E+95</v>
      </c>
      <c r="K1024" s="19">
        <f t="shared" si="97"/>
        <v>2961</v>
      </c>
    </row>
    <row r="1025" spans="1:11">
      <c r="A1025">
        <v>1023</v>
      </c>
      <c r="B1025">
        <v>5.7250000000000005E+48</v>
      </c>
      <c r="D1025" s="18">
        <v>1023</v>
      </c>
      <c r="E1025" s="18" cm="1">
        <f t="array" aca="1" ref="E1025" ca="1">INDIRECT("b"&amp;F1025+2)</f>
        <v>9.9999999999999995E+65</v>
      </c>
      <c r="F1025" s="18">
        <f t="shared" si="109"/>
        <v>1762</v>
      </c>
      <c r="G1025" s="18"/>
      <c r="H1025" s="18"/>
      <c r="I1025" s="19">
        <v>1023</v>
      </c>
      <c r="J1025" s="19" cm="1">
        <f t="array" aca="1" ref="J1025" ca="1">INDIRECT("b"&amp;K1025+2)</f>
        <v>9.9999999999999993E+95</v>
      </c>
      <c r="K1025" s="19">
        <f t="shared" si="97"/>
        <v>2962</v>
      </c>
    </row>
    <row r="1026" spans="1:11">
      <c r="A1026">
        <v>1024</v>
      </c>
      <c r="B1026">
        <v>5.9500000000000009E+48</v>
      </c>
      <c r="D1026" s="18">
        <v>1024</v>
      </c>
      <c r="E1026" s="18" cm="1">
        <f t="array" aca="1" ref="E1026" ca="1">INDIRECT("b"&amp;F1026+2)</f>
        <v>1.4499999999999999E+66</v>
      </c>
      <c r="F1026" s="18">
        <f t="shared" si="109"/>
        <v>1764</v>
      </c>
      <c r="G1026" s="18">
        <f t="shared" ref="G1026" ca="1" si="111">E1026/E1021</f>
        <v>1.6338028169014081</v>
      </c>
      <c r="H1026" s="18"/>
      <c r="I1026" s="19">
        <v>1024</v>
      </c>
      <c r="J1026" s="19" cm="1">
        <f t="array" aca="1" ref="J1026" ca="1">INDIRECT("b"&amp;K1026+2)</f>
        <v>1.4499999999999999E+96</v>
      </c>
      <c r="K1026" s="19">
        <f t="shared" si="97"/>
        <v>2964</v>
      </c>
    </row>
    <row r="1027" spans="1:11">
      <c r="A1027">
        <v>1025</v>
      </c>
      <c r="B1027">
        <v>6.1749999999999993E+48</v>
      </c>
      <c r="D1027" s="18">
        <v>1025</v>
      </c>
      <c r="E1027" s="18" cm="1">
        <f t="array" aca="1" ref="E1027" ca="1">INDIRECT("b"&amp;F1027+2)</f>
        <v>1.6749999999999999E+66</v>
      </c>
      <c r="F1027" s="18">
        <f t="shared" si="109"/>
        <v>1765</v>
      </c>
      <c r="G1027" s="18"/>
      <c r="H1027" s="18"/>
      <c r="I1027" s="19">
        <v>1025</v>
      </c>
      <c r="J1027" s="19" cm="1">
        <f t="array" aca="1" ref="J1027" ca="1">INDIRECT("b"&amp;K1027+2)</f>
        <v>1.6749999999999999E+96</v>
      </c>
      <c r="K1027" s="19">
        <f t="shared" si="97"/>
        <v>2965</v>
      </c>
    </row>
    <row r="1028" spans="1:11">
      <c r="A1028">
        <v>1026</v>
      </c>
      <c r="B1028">
        <v>6.399999999999999E+48</v>
      </c>
      <c r="D1028" s="18">
        <v>1026</v>
      </c>
      <c r="E1028" s="18" cm="1">
        <f t="array" aca="1" ref="E1028" ca="1">INDIRECT("b"&amp;F1028+2)</f>
        <v>1.8999999999999997E+66</v>
      </c>
      <c r="F1028" s="18">
        <f t="shared" si="109"/>
        <v>1766</v>
      </c>
      <c r="G1028" s="18"/>
      <c r="H1028" s="18"/>
      <c r="I1028" s="19">
        <v>1026</v>
      </c>
      <c r="J1028" s="19" cm="1">
        <f t="array" aca="1" ref="J1028" ca="1">INDIRECT("b"&amp;K1028+2)</f>
        <v>1.8999999999999998E+96</v>
      </c>
      <c r="K1028" s="19">
        <f t="shared" ref="K1028:K1091" si="112">INT((A1028-1)*40/30+900*40/30)+400</f>
        <v>2966</v>
      </c>
    </row>
    <row r="1029" spans="1:11">
      <c r="A1029">
        <v>1027</v>
      </c>
      <c r="B1029">
        <v>6.625E+48</v>
      </c>
      <c r="D1029" s="18">
        <v>1027</v>
      </c>
      <c r="E1029" s="18" cm="1">
        <f t="array" aca="1" ref="E1029" ca="1">INDIRECT("b"&amp;F1029+2)</f>
        <v>2.3499999999999997E+66</v>
      </c>
      <c r="F1029" s="18">
        <f t="shared" si="109"/>
        <v>1768</v>
      </c>
      <c r="G1029" s="18"/>
      <c r="H1029" s="18"/>
      <c r="I1029" s="19">
        <v>1027</v>
      </c>
      <c r="J1029" s="19" cm="1">
        <f t="array" aca="1" ref="J1029" ca="1">INDIRECT("b"&amp;K1029+2)</f>
        <v>2.35E+96</v>
      </c>
      <c r="K1029" s="19">
        <f t="shared" si="112"/>
        <v>2968</v>
      </c>
    </row>
    <row r="1030" spans="1:11">
      <c r="A1030">
        <v>1028</v>
      </c>
      <c r="B1030">
        <v>6.850000000000001E+48</v>
      </c>
      <c r="D1030" s="18">
        <v>1028</v>
      </c>
      <c r="E1030" s="18" cm="1">
        <f t="array" aca="1" ref="E1030" ca="1">INDIRECT("b"&amp;F1030+2)</f>
        <v>2.5749999999999997E+66</v>
      </c>
      <c r="F1030" s="18">
        <f t="shared" si="109"/>
        <v>1769</v>
      </c>
      <c r="G1030" s="18"/>
      <c r="H1030" s="18"/>
      <c r="I1030" s="19">
        <v>1028</v>
      </c>
      <c r="J1030" s="19" cm="1">
        <f t="array" aca="1" ref="J1030" ca="1">INDIRECT("b"&amp;K1030+2)</f>
        <v>2.5749999999999998E+96</v>
      </c>
      <c r="K1030" s="19">
        <f t="shared" si="112"/>
        <v>2969</v>
      </c>
    </row>
    <row r="1031" spans="1:11">
      <c r="A1031">
        <v>1029</v>
      </c>
      <c r="B1031">
        <v>7.0749999999999994E+48</v>
      </c>
      <c r="D1031" s="18">
        <v>1029</v>
      </c>
      <c r="E1031" s="18" cm="1">
        <f t="array" aca="1" ref="E1031" ca="1">INDIRECT("b"&amp;F1031+2)</f>
        <v>2.7999999999999997E+66</v>
      </c>
      <c r="F1031" s="18">
        <f t="shared" si="109"/>
        <v>1770</v>
      </c>
      <c r="G1031" s="18">
        <f t="shared" ref="G1031" ca="1" si="113">E1031/E1026</f>
        <v>1.9310344827586206</v>
      </c>
      <c r="H1031" s="18"/>
      <c r="I1031" s="19">
        <v>1029</v>
      </c>
      <c r="J1031" s="19" cm="1">
        <f t="array" aca="1" ref="J1031" ca="1">INDIRECT("b"&amp;K1031+2)</f>
        <v>2.8E+96</v>
      </c>
      <c r="K1031" s="19">
        <f t="shared" si="112"/>
        <v>2970</v>
      </c>
    </row>
    <row r="1032" spans="1:11">
      <c r="A1032">
        <v>1030</v>
      </c>
      <c r="B1032">
        <v>7.3000000000000004E+48</v>
      </c>
      <c r="D1032" s="18">
        <v>1030</v>
      </c>
      <c r="E1032" s="18" cm="1">
        <f t="array" aca="1" ref="E1032" ca="1">INDIRECT("b"&amp;F1032+2)</f>
        <v>3.2499999999999997E+66</v>
      </c>
      <c r="F1032" s="18">
        <f t="shared" si="109"/>
        <v>1772</v>
      </c>
      <c r="G1032" s="18"/>
      <c r="H1032" s="18"/>
      <c r="I1032" s="19">
        <v>1030</v>
      </c>
      <c r="J1032" s="19" cm="1">
        <f t="array" aca="1" ref="J1032" ca="1">INDIRECT("b"&amp;K1032+2)</f>
        <v>3.25E+96</v>
      </c>
      <c r="K1032" s="19">
        <f t="shared" si="112"/>
        <v>2972</v>
      </c>
    </row>
    <row r="1033" spans="1:11">
      <c r="A1033">
        <v>1031</v>
      </c>
      <c r="B1033">
        <v>7.5249999999999988E+48</v>
      </c>
      <c r="D1033" s="18">
        <v>1031</v>
      </c>
      <c r="E1033" s="18" cm="1">
        <f t="array" aca="1" ref="E1033" ca="1">INDIRECT("b"&amp;F1033+2)</f>
        <v>3.475E+66</v>
      </c>
      <c r="F1033" s="18">
        <f t="shared" si="109"/>
        <v>1773</v>
      </c>
      <c r="G1033" s="18"/>
      <c r="H1033" s="18"/>
      <c r="I1033" s="19">
        <v>1031</v>
      </c>
      <c r="J1033" s="19" cm="1">
        <f t="array" aca="1" ref="J1033" ca="1">INDIRECT("b"&amp;K1033+2)</f>
        <v>3.4749999999999997E+96</v>
      </c>
      <c r="K1033" s="19">
        <f t="shared" si="112"/>
        <v>2973</v>
      </c>
    </row>
    <row r="1034" spans="1:11">
      <c r="A1034">
        <v>1032</v>
      </c>
      <c r="B1034">
        <v>7.7499999999999998E+48</v>
      </c>
      <c r="D1034" s="18">
        <v>1032</v>
      </c>
      <c r="E1034" s="18" cm="1">
        <f t="array" aca="1" ref="E1034" ca="1">INDIRECT("b"&amp;F1034+2)</f>
        <v>3.7E+66</v>
      </c>
      <c r="F1034" s="18">
        <f t="shared" si="109"/>
        <v>1774</v>
      </c>
      <c r="G1034" s="18"/>
      <c r="H1034" s="18"/>
      <c r="I1034" s="19">
        <v>1032</v>
      </c>
      <c r="J1034" s="19" cm="1">
        <f t="array" aca="1" ref="J1034" ca="1">INDIRECT("b"&amp;K1034+2)</f>
        <v>3.6999999999999999E+96</v>
      </c>
      <c r="K1034" s="19">
        <f t="shared" si="112"/>
        <v>2974</v>
      </c>
    </row>
    <row r="1035" spans="1:11">
      <c r="A1035">
        <v>1033</v>
      </c>
      <c r="B1035">
        <v>7.9750000000000008E+48</v>
      </c>
      <c r="D1035" s="18">
        <v>1033</v>
      </c>
      <c r="E1035" s="18" cm="1">
        <f t="array" aca="1" ref="E1035" ca="1">INDIRECT("b"&amp;F1035+2)</f>
        <v>4.15E+66</v>
      </c>
      <c r="F1035" s="18">
        <f t="shared" si="109"/>
        <v>1776</v>
      </c>
      <c r="G1035" s="18"/>
      <c r="H1035" s="18"/>
      <c r="I1035" s="19">
        <v>1033</v>
      </c>
      <c r="J1035" s="19" cm="1">
        <f t="array" aca="1" ref="J1035" ca="1">INDIRECT("b"&amp;K1035+2)</f>
        <v>4.1499999999999999E+96</v>
      </c>
      <c r="K1035" s="19">
        <f t="shared" si="112"/>
        <v>2976</v>
      </c>
    </row>
    <row r="1036" spans="1:11">
      <c r="A1036">
        <v>1034</v>
      </c>
      <c r="B1036">
        <v>8.1999999999999992E+48</v>
      </c>
      <c r="D1036" s="18">
        <v>1034</v>
      </c>
      <c r="E1036" s="18" cm="1">
        <f t="array" aca="1" ref="E1036" ca="1">INDIRECT("b"&amp;F1036+2)</f>
        <v>4.375E+66</v>
      </c>
      <c r="F1036" s="18">
        <f t="shared" si="109"/>
        <v>1777</v>
      </c>
      <c r="G1036" s="18">
        <f t="shared" ref="G1036" ca="1" si="114">E1036/E1031</f>
        <v>1.5625000000000002</v>
      </c>
      <c r="H1036" s="18"/>
      <c r="I1036" s="19">
        <v>1034</v>
      </c>
      <c r="J1036" s="19" cm="1">
        <f t="array" aca="1" ref="J1036" ca="1">INDIRECT("b"&amp;K1036+2)</f>
        <v>4.3750000000000001E+96</v>
      </c>
      <c r="K1036" s="19">
        <f t="shared" si="112"/>
        <v>2977</v>
      </c>
    </row>
    <row r="1037" spans="1:11">
      <c r="A1037">
        <v>1035</v>
      </c>
      <c r="B1037">
        <v>8.4250000000000002E+48</v>
      </c>
      <c r="D1037" s="18">
        <v>1035</v>
      </c>
      <c r="E1037" s="18" cm="1">
        <f t="array" aca="1" ref="E1037" ca="1">INDIRECT("b"&amp;F1037+2)</f>
        <v>4.6E+66</v>
      </c>
      <c r="F1037" s="18">
        <f t="shared" si="109"/>
        <v>1778</v>
      </c>
      <c r="G1037" s="18"/>
      <c r="H1037" s="18"/>
      <c r="I1037" s="19">
        <v>1035</v>
      </c>
      <c r="J1037" s="19" cm="1">
        <f t="array" aca="1" ref="J1037" ca="1">INDIRECT("b"&amp;K1037+2)</f>
        <v>4.5999999999999994E+96</v>
      </c>
      <c r="K1037" s="19">
        <f t="shared" si="112"/>
        <v>2978</v>
      </c>
    </row>
    <row r="1038" spans="1:11">
      <c r="A1038">
        <v>1036</v>
      </c>
      <c r="B1038">
        <v>8.6499999999999999E+48</v>
      </c>
      <c r="D1038" s="18">
        <v>1036</v>
      </c>
      <c r="E1038" s="18" cm="1">
        <f t="array" aca="1" ref="E1038" ca="1">INDIRECT("b"&amp;F1038+2)</f>
        <v>5.05E+66</v>
      </c>
      <c r="F1038" s="18">
        <f t="shared" si="109"/>
        <v>1780</v>
      </c>
      <c r="G1038" s="18"/>
      <c r="H1038" s="18"/>
      <c r="I1038" s="19">
        <v>1036</v>
      </c>
      <c r="J1038" s="19" cm="1">
        <f t="array" aca="1" ref="J1038" ca="1">INDIRECT("b"&amp;K1038+2)</f>
        <v>5.0499999999999998E+96</v>
      </c>
      <c r="K1038" s="19">
        <f t="shared" si="112"/>
        <v>2980</v>
      </c>
    </row>
    <row r="1039" spans="1:11">
      <c r="A1039">
        <v>1037</v>
      </c>
      <c r="B1039">
        <v>8.8749999999999996E+48</v>
      </c>
      <c r="D1039" s="18">
        <v>1037</v>
      </c>
      <c r="E1039" s="18" cm="1">
        <f t="array" aca="1" ref="E1039" ca="1">INDIRECT("b"&amp;F1039+2)</f>
        <v>5.275E+66</v>
      </c>
      <c r="F1039" s="18">
        <f t="shared" si="109"/>
        <v>1781</v>
      </c>
      <c r="G1039" s="18"/>
      <c r="H1039" s="18"/>
      <c r="I1039" s="19">
        <v>1037</v>
      </c>
      <c r="J1039" s="19" cm="1">
        <f t="array" aca="1" ref="J1039" ca="1">INDIRECT("b"&amp;K1039+2)</f>
        <v>5.275E+96</v>
      </c>
      <c r="K1039" s="19">
        <f t="shared" si="112"/>
        <v>2981</v>
      </c>
    </row>
    <row r="1040" spans="1:11">
      <c r="A1040">
        <v>1038</v>
      </c>
      <c r="B1040">
        <v>9.099999999999998E+48</v>
      </c>
      <c r="D1040" s="18">
        <v>1038</v>
      </c>
      <c r="E1040" s="18" cm="1">
        <f t="array" aca="1" ref="E1040" ca="1">INDIRECT("b"&amp;F1040+2)</f>
        <v>5.5E+66</v>
      </c>
      <c r="F1040" s="18">
        <f t="shared" si="109"/>
        <v>1782</v>
      </c>
      <c r="G1040" s="18"/>
      <c r="H1040" s="18"/>
      <c r="I1040" s="19">
        <v>1038</v>
      </c>
      <c r="J1040" s="19" cm="1">
        <f t="array" aca="1" ref="J1040" ca="1">INDIRECT("b"&amp;K1040+2)</f>
        <v>5.5000000000000002E+96</v>
      </c>
      <c r="K1040" s="19">
        <f t="shared" si="112"/>
        <v>2982</v>
      </c>
    </row>
    <row r="1041" spans="1:11">
      <c r="A1041">
        <v>1039</v>
      </c>
      <c r="B1041">
        <v>9.324999999999999E+48</v>
      </c>
      <c r="D1041" s="18">
        <v>1039</v>
      </c>
      <c r="E1041" s="18" cm="1">
        <f t="array" aca="1" ref="E1041" ca="1">INDIRECT("b"&amp;F1041+2)</f>
        <v>5.95E+66</v>
      </c>
      <c r="F1041" s="18">
        <f t="shared" si="109"/>
        <v>1784</v>
      </c>
      <c r="G1041" s="18">
        <f t="shared" ref="G1041" ca="1" si="115">E1041/E1036</f>
        <v>1.3599999999999999</v>
      </c>
      <c r="H1041" s="18"/>
      <c r="I1041" s="19">
        <v>1039</v>
      </c>
      <c r="J1041" s="19" cm="1">
        <f t="array" aca="1" ref="J1041" ca="1">INDIRECT("b"&amp;K1041+2)</f>
        <v>5.9499999999999997E+96</v>
      </c>
      <c r="K1041" s="19">
        <f t="shared" si="112"/>
        <v>2984</v>
      </c>
    </row>
    <row r="1042" spans="1:11">
      <c r="A1042">
        <v>1040</v>
      </c>
      <c r="B1042">
        <v>9.5500000000000001E+48</v>
      </c>
      <c r="D1042" s="18">
        <v>1040</v>
      </c>
      <c r="E1042" s="18" cm="1">
        <f t="array" aca="1" ref="E1042" ca="1">INDIRECT("b"&amp;F1042+2)</f>
        <v>6.175E+66</v>
      </c>
      <c r="F1042" s="18">
        <f t="shared" si="109"/>
        <v>1785</v>
      </c>
      <c r="G1042" s="18"/>
      <c r="H1042" s="18"/>
      <c r="I1042" s="19">
        <v>1040</v>
      </c>
      <c r="J1042" s="19" cm="1">
        <f t="array" aca="1" ref="J1042" ca="1">INDIRECT("b"&amp;K1042+2)</f>
        <v>6.1749999999999999E+96</v>
      </c>
      <c r="K1042" s="19">
        <f t="shared" si="112"/>
        <v>2985</v>
      </c>
    </row>
    <row r="1043" spans="1:11">
      <c r="A1043">
        <v>1041</v>
      </c>
      <c r="B1043">
        <v>9.7749999999999998E+48</v>
      </c>
      <c r="D1043" s="18">
        <v>1041</v>
      </c>
      <c r="E1043" s="18" cm="1">
        <f t="array" aca="1" ref="E1043" ca="1">INDIRECT("b"&amp;F1043+2)</f>
        <v>6.3999999999999999E+66</v>
      </c>
      <c r="F1043" s="18">
        <f t="shared" si="109"/>
        <v>1786</v>
      </c>
      <c r="G1043" s="18"/>
      <c r="H1043" s="18"/>
      <c r="I1043" s="19">
        <v>1041</v>
      </c>
      <c r="J1043" s="19" cm="1">
        <f t="array" aca="1" ref="J1043" ca="1">INDIRECT("b"&amp;K1043+2)</f>
        <v>6.4000000000000001E+96</v>
      </c>
      <c r="K1043" s="19">
        <f t="shared" si="112"/>
        <v>2986</v>
      </c>
    </row>
    <row r="1044" spans="1:11">
      <c r="A1044">
        <v>1042</v>
      </c>
      <c r="B1044">
        <v>1.0000000000000001E+49</v>
      </c>
      <c r="D1044" s="18">
        <v>1042</v>
      </c>
      <c r="E1044" s="18" cm="1">
        <f t="array" aca="1" ref="E1044" ca="1">INDIRECT("b"&amp;F1044+2)</f>
        <v>6.8499999999999999E+66</v>
      </c>
      <c r="F1044" s="18">
        <f t="shared" si="109"/>
        <v>1788</v>
      </c>
      <c r="G1044" s="18"/>
      <c r="H1044" s="18"/>
      <c r="I1044" s="19">
        <v>1042</v>
      </c>
      <c r="J1044" s="19" cm="1">
        <f t="array" aca="1" ref="J1044" ca="1">INDIRECT("b"&amp;K1044+2)</f>
        <v>6.8499999999999996E+96</v>
      </c>
      <c r="K1044" s="19">
        <f t="shared" si="112"/>
        <v>2988</v>
      </c>
    </row>
    <row r="1045" spans="1:11">
      <c r="A1045">
        <v>1043</v>
      </c>
      <c r="B1045">
        <v>1.225E+49</v>
      </c>
      <c r="D1045" s="18">
        <v>1043</v>
      </c>
      <c r="E1045" s="18" cm="1">
        <f t="array" aca="1" ref="E1045" ca="1">INDIRECT("b"&amp;F1045+2)</f>
        <v>7.0749999999999999E+66</v>
      </c>
      <c r="F1045" s="18">
        <f t="shared" si="109"/>
        <v>1789</v>
      </c>
      <c r="G1045" s="18"/>
      <c r="H1045" s="18"/>
      <c r="I1045" s="19">
        <v>1043</v>
      </c>
      <c r="J1045" s="19" cm="1">
        <f t="array" aca="1" ref="J1045" ca="1">INDIRECT("b"&amp;K1045+2)</f>
        <v>7.0749999999999998E+96</v>
      </c>
      <c r="K1045" s="19">
        <f t="shared" si="112"/>
        <v>2989</v>
      </c>
    </row>
    <row r="1046" spans="1:11">
      <c r="A1046">
        <v>1044</v>
      </c>
      <c r="B1046">
        <v>1.4499999999999997E+49</v>
      </c>
      <c r="D1046" s="18">
        <v>1044</v>
      </c>
      <c r="E1046" s="18" cm="1">
        <f t="array" aca="1" ref="E1046" ca="1">INDIRECT("b"&amp;F1046+2)</f>
        <v>7.2999999999999999E+66</v>
      </c>
      <c r="F1046" s="18">
        <f t="shared" si="109"/>
        <v>1790</v>
      </c>
      <c r="G1046" s="18">
        <f t="shared" ref="G1046" ca="1" si="116">E1046/E1041</f>
        <v>1.2268907563025211</v>
      </c>
      <c r="H1046" s="18"/>
      <c r="I1046" s="19">
        <v>1044</v>
      </c>
      <c r="J1046" s="19" cm="1">
        <f t="array" aca="1" ref="J1046" ca="1">INDIRECT("b"&amp;K1046+2)</f>
        <v>7.3E+96</v>
      </c>
      <c r="K1046" s="19">
        <f t="shared" si="112"/>
        <v>2990</v>
      </c>
    </row>
    <row r="1047" spans="1:11">
      <c r="A1047">
        <v>1045</v>
      </c>
      <c r="B1047">
        <v>1.675E+49</v>
      </c>
      <c r="D1047" s="18">
        <v>1045</v>
      </c>
      <c r="E1047" s="18" cm="1">
        <f t="array" aca="1" ref="E1047" ca="1">INDIRECT("b"&amp;F1047+2)</f>
        <v>7.7499999999999999E+66</v>
      </c>
      <c r="F1047" s="18">
        <f t="shared" si="109"/>
        <v>1792</v>
      </c>
      <c r="G1047" s="18"/>
      <c r="H1047" s="18"/>
      <c r="I1047" s="19">
        <v>1045</v>
      </c>
      <c r="J1047" s="19" cm="1">
        <f t="array" aca="1" ref="J1047" ca="1">INDIRECT("b"&amp;K1047+2)</f>
        <v>7.7499999999999995E+96</v>
      </c>
      <c r="K1047" s="19">
        <f t="shared" si="112"/>
        <v>2992</v>
      </c>
    </row>
    <row r="1048" spans="1:11">
      <c r="A1048">
        <v>1046</v>
      </c>
      <c r="B1048">
        <v>1.9000000000000005E+49</v>
      </c>
      <c r="D1048" s="18">
        <v>1046</v>
      </c>
      <c r="E1048" s="18" cm="1">
        <f t="array" aca="1" ref="E1048" ca="1">INDIRECT("b"&amp;F1048+2)</f>
        <v>7.9749999999999999E+66</v>
      </c>
      <c r="F1048" s="18">
        <f t="shared" si="109"/>
        <v>1793</v>
      </c>
      <c r="G1048" s="18"/>
      <c r="H1048" s="18"/>
      <c r="I1048" s="19">
        <v>1046</v>
      </c>
      <c r="J1048" s="19" cm="1">
        <f t="array" aca="1" ref="J1048" ca="1">INDIRECT("b"&amp;K1048+2)</f>
        <v>7.9749999999999997E+96</v>
      </c>
      <c r="K1048" s="19">
        <f t="shared" si="112"/>
        <v>2993</v>
      </c>
    </row>
    <row r="1049" spans="1:11">
      <c r="A1049">
        <v>1047</v>
      </c>
      <c r="B1049">
        <v>2.1249999999999999E+49</v>
      </c>
      <c r="D1049" s="18">
        <v>1047</v>
      </c>
      <c r="E1049" s="18" cm="1">
        <f t="array" aca="1" ref="E1049" ca="1">INDIRECT("b"&amp;F1049+2)</f>
        <v>8.1999999999999999E+66</v>
      </c>
      <c r="F1049" s="18">
        <f t="shared" si="109"/>
        <v>1794</v>
      </c>
      <c r="G1049" s="18"/>
      <c r="H1049" s="18"/>
      <c r="I1049" s="19">
        <v>1047</v>
      </c>
      <c r="J1049" s="19" cm="1">
        <f t="array" aca="1" ref="J1049" ca="1">INDIRECT("b"&amp;K1049+2)</f>
        <v>8.2E+96</v>
      </c>
      <c r="K1049" s="19">
        <f t="shared" si="112"/>
        <v>2994</v>
      </c>
    </row>
    <row r="1050" spans="1:11">
      <c r="A1050">
        <v>1048</v>
      </c>
      <c r="B1050">
        <v>2.3499999999999999E+49</v>
      </c>
      <c r="D1050" s="18">
        <v>1048</v>
      </c>
      <c r="E1050" s="18" cm="1">
        <f t="array" aca="1" ref="E1050" ca="1">INDIRECT("b"&amp;F1050+2)</f>
        <v>8.6499999999999999E+66</v>
      </c>
      <c r="F1050" s="18">
        <f t="shared" si="109"/>
        <v>1796</v>
      </c>
      <c r="G1050" s="18"/>
      <c r="H1050" s="18"/>
      <c r="I1050" s="19">
        <v>1048</v>
      </c>
      <c r="J1050" s="19" cm="1">
        <f t="array" aca="1" ref="J1050" ca="1">INDIRECT("b"&amp;K1050+2)</f>
        <v>8.6499999999999994E+96</v>
      </c>
      <c r="K1050" s="19">
        <f t="shared" si="112"/>
        <v>2996</v>
      </c>
    </row>
    <row r="1051" spans="1:11">
      <c r="A1051">
        <v>1049</v>
      </c>
      <c r="B1051">
        <v>2.5749999999999998E+49</v>
      </c>
      <c r="D1051" s="18">
        <v>1049</v>
      </c>
      <c r="E1051" s="18" cm="1">
        <f t="array" aca="1" ref="E1051" ca="1">INDIRECT("b"&amp;F1051+2)</f>
        <v>8.8749999999999999E+66</v>
      </c>
      <c r="F1051" s="18">
        <f t="shared" si="109"/>
        <v>1797</v>
      </c>
      <c r="G1051" s="18">
        <f t="shared" ref="G1051" ca="1" si="117">E1051/E1046</f>
        <v>1.2157534246575343</v>
      </c>
      <c r="H1051" s="18"/>
      <c r="I1051" s="19">
        <v>1049</v>
      </c>
      <c r="J1051" s="19" cm="1">
        <f t="array" aca="1" ref="J1051" ca="1">INDIRECT("b"&amp;K1051+2)</f>
        <v>8.8749999999999987E+96</v>
      </c>
      <c r="K1051" s="19">
        <f t="shared" si="112"/>
        <v>2997</v>
      </c>
    </row>
    <row r="1052" spans="1:11">
      <c r="A1052">
        <v>1050</v>
      </c>
      <c r="B1052">
        <v>2.8000000000000003E+49</v>
      </c>
      <c r="D1052" s="18">
        <v>1050</v>
      </c>
      <c r="E1052" s="18" cm="1">
        <f t="array" aca="1" ref="E1052" ca="1">INDIRECT("b"&amp;F1052+2)</f>
        <v>9.0999999999999999E+66</v>
      </c>
      <c r="F1052" s="18">
        <f t="shared" si="109"/>
        <v>1798</v>
      </c>
      <c r="G1052" s="18"/>
      <c r="H1052" s="18"/>
      <c r="I1052" s="19">
        <v>1050</v>
      </c>
      <c r="J1052" s="19" cm="1">
        <f t="array" aca="1" ref="J1052" ca="1">INDIRECT("b"&amp;K1052+2)</f>
        <v>9.0999999999999999E+96</v>
      </c>
      <c r="K1052" s="19">
        <f t="shared" si="112"/>
        <v>2998</v>
      </c>
    </row>
    <row r="1053" spans="1:11">
      <c r="A1053">
        <v>1051</v>
      </c>
      <c r="B1053">
        <v>3.0250000000000003E+49</v>
      </c>
      <c r="D1053" s="18">
        <v>1051</v>
      </c>
      <c r="E1053" s="18" cm="1">
        <f t="array" aca="1" ref="E1053" ca="1">INDIRECT("b"&amp;F1053+2)</f>
        <v>9.5499999999999998E+66</v>
      </c>
      <c r="F1053" s="18">
        <f t="shared" si="109"/>
        <v>1800</v>
      </c>
      <c r="G1053" s="18"/>
      <c r="H1053" s="18"/>
      <c r="I1053" s="19">
        <v>1051</v>
      </c>
      <c r="J1053" s="19" cm="1">
        <f t="array" aca="1" ref="J1053" ca="1">INDIRECT("b"&amp;K1053+2)</f>
        <v>9.5500000000000003E+96</v>
      </c>
      <c r="K1053" s="19">
        <f t="shared" si="112"/>
        <v>3000</v>
      </c>
    </row>
    <row r="1054" spans="1:11">
      <c r="A1054">
        <v>1052</v>
      </c>
      <c r="B1054">
        <v>3.2499999999999997E+49</v>
      </c>
      <c r="D1054" s="18">
        <v>1052</v>
      </c>
      <c r="E1054" s="18" cm="1">
        <f t="array" aca="1" ref="E1054" ca="1">INDIRECT("b"&amp;F1054+2)</f>
        <v>9.7749999999999998E+66</v>
      </c>
      <c r="F1054" s="18">
        <f t="shared" si="109"/>
        <v>1801</v>
      </c>
      <c r="G1054" s="18"/>
      <c r="H1054" s="18"/>
      <c r="I1054" s="19">
        <v>1052</v>
      </c>
      <c r="J1054" s="19" cm="1">
        <f t="array" aca="1" ref="J1054" ca="1">INDIRECT("b"&amp;K1054+2)</f>
        <v>9.7749999999999996E+96</v>
      </c>
      <c r="K1054" s="19">
        <f t="shared" si="112"/>
        <v>3001</v>
      </c>
    </row>
    <row r="1055" spans="1:11">
      <c r="A1055">
        <v>1053</v>
      </c>
      <c r="B1055">
        <v>3.4750000000000002E+49</v>
      </c>
      <c r="D1055" s="18">
        <v>1053</v>
      </c>
      <c r="E1055" s="18" cm="1">
        <f t="array" aca="1" ref="E1055" ca="1">INDIRECT("b"&amp;F1055+2)</f>
        <v>9.9999999999999998E+66</v>
      </c>
      <c r="F1055" s="18">
        <f t="shared" si="109"/>
        <v>1802</v>
      </c>
      <c r="G1055" s="18"/>
      <c r="H1055" s="18"/>
      <c r="I1055" s="19">
        <v>1053</v>
      </c>
      <c r="J1055" s="19" cm="1">
        <f t="array" aca="1" ref="J1055" ca="1">INDIRECT("b"&amp;K1055+2)</f>
        <v>1.0000000000000001E+97</v>
      </c>
      <c r="K1055" s="19">
        <f t="shared" si="112"/>
        <v>3002</v>
      </c>
    </row>
    <row r="1056" spans="1:11">
      <c r="A1056">
        <v>1054</v>
      </c>
      <c r="B1056">
        <v>3.6999999999999997E+49</v>
      </c>
      <c r="D1056" s="18">
        <v>1054</v>
      </c>
      <c r="E1056" s="18" cm="1">
        <f t="array" aca="1" ref="E1056" ca="1">INDIRECT("b"&amp;F1056+2)</f>
        <v>1.4499999999999998E+67</v>
      </c>
      <c r="F1056" s="18">
        <f t="shared" si="109"/>
        <v>1804</v>
      </c>
      <c r="G1056" s="18">
        <f t="shared" ref="G1056" ca="1" si="118">E1056/E1051</f>
        <v>1.6338028169014083</v>
      </c>
      <c r="H1056" s="18"/>
      <c r="I1056" s="19">
        <v>1054</v>
      </c>
      <c r="J1056" s="19" cm="1">
        <f t="array" aca="1" ref="J1056" ca="1">INDIRECT("b"&amp;K1056+2)</f>
        <v>1.4499999999999999E+97</v>
      </c>
      <c r="K1056" s="19">
        <f t="shared" si="112"/>
        <v>3004</v>
      </c>
    </row>
    <row r="1057" spans="1:11">
      <c r="A1057">
        <v>1055</v>
      </c>
      <c r="B1057">
        <v>3.9250000000000001E+49</v>
      </c>
      <c r="D1057" s="18">
        <v>1055</v>
      </c>
      <c r="E1057" s="18" cm="1">
        <f t="array" aca="1" ref="E1057" ca="1">INDIRECT("b"&amp;F1057+2)</f>
        <v>1.6749999999999998E+67</v>
      </c>
      <c r="F1057" s="18">
        <f t="shared" si="109"/>
        <v>1805</v>
      </c>
      <c r="G1057" s="18"/>
      <c r="H1057" s="18"/>
      <c r="I1057" s="19">
        <v>1055</v>
      </c>
      <c r="J1057" s="19" cm="1">
        <f t="array" aca="1" ref="J1057" ca="1">INDIRECT("b"&amp;K1057+2)</f>
        <v>1.675E+97</v>
      </c>
      <c r="K1057" s="19">
        <f t="shared" si="112"/>
        <v>3005</v>
      </c>
    </row>
    <row r="1058" spans="1:11">
      <c r="A1058">
        <v>1056</v>
      </c>
      <c r="B1058">
        <v>4.1500000000000006E+49</v>
      </c>
      <c r="D1058" s="18">
        <v>1056</v>
      </c>
      <c r="E1058" s="18" cm="1">
        <f t="array" aca="1" ref="E1058" ca="1">INDIRECT("b"&amp;F1058+2)</f>
        <v>1.8999999999999998E+67</v>
      </c>
      <c r="F1058" s="18">
        <f t="shared" si="109"/>
        <v>1806</v>
      </c>
      <c r="G1058" s="18"/>
      <c r="H1058" s="18"/>
      <c r="I1058" s="19">
        <v>1056</v>
      </c>
      <c r="J1058" s="19" cm="1">
        <f t="array" aca="1" ref="J1058" ca="1">INDIRECT("b"&amp;K1058+2)</f>
        <v>1.9000000000000002E+97</v>
      </c>
      <c r="K1058" s="19">
        <f t="shared" si="112"/>
        <v>3006</v>
      </c>
    </row>
    <row r="1059" spans="1:11">
      <c r="A1059">
        <v>1057</v>
      </c>
      <c r="B1059">
        <v>4.3749999999999996E+49</v>
      </c>
      <c r="D1059" s="18">
        <v>1057</v>
      </c>
      <c r="E1059" s="18" cm="1">
        <f t="array" aca="1" ref="E1059" ca="1">INDIRECT("b"&amp;F1059+2)</f>
        <v>2.3499999999999998E+67</v>
      </c>
      <c r="F1059" s="18">
        <f t="shared" si="109"/>
        <v>1808</v>
      </c>
      <c r="G1059" s="18"/>
      <c r="H1059" s="18"/>
      <c r="I1059" s="19">
        <v>1057</v>
      </c>
      <c r="J1059" s="19" cm="1">
        <f t="array" aca="1" ref="J1059" ca="1">INDIRECT("b"&amp;K1059+2)</f>
        <v>2.3499999999999999E+97</v>
      </c>
      <c r="K1059" s="19">
        <f t="shared" si="112"/>
        <v>3008</v>
      </c>
    </row>
    <row r="1060" spans="1:11">
      <c r="A1060">
        <v>1058</v>
      </c>
      <c r="B1060">
        <v>4.6E+49</v>
      </c>
      <c r="D1060" s="18">
        <v>1058</v>
      </c>
      <c r="E1060" s="18" cm="1">
        <f t="array" aca="1" ref="E1060" ca="1">INDIRECT("b"&amp;F1060+2)</f>
        <v>2.5749999999999998E+67</v>
      </c>
      <c r="F1060" s="18">
        <f t="shared" si="109"/>
        <v>1809</v>
      </c>
      <c r="G1060" s="18"/>
      <c r="H1060" s="18"/>
      <c r="I1060" s="19">
        <v>1058</v>
      </c>
      <c r="J1060" s="19" cm="1">
        <f t="array" aca="1" ref="J1060" ca="1">INDIRECT("b"&amp;K1060+2)</f>
        <v>2.5749999999999999E+97</v>
      </c>
      <c r="K1060" s="19">
        <f t="shared" si="112"/>
        <v>3009</v>
      </c>
    </row>
    <row r="1061" spans="1:11">
      <c r="A1061">
        <v>1059</v>
      </c>
      <c r="B1061">
        <v>4.8250000000000016E+49</v>
      </c>
      <c r="D1061" s="18">
        <v>1059</v>
      </c>
      <c r="E1061" s="18" cm="1">
        <f t="array" aca="1" ref="E1061" ca="1">INDIRECT("b"&amp;F1061+2)</f>
        <v>2.7999999999999998E+67</v>
      </c>
      <c r="F1061" s="18">
        <f t="shared" si="109"/>
        <v>1810</v>
      </c>
      <c r="G1061" s="18">
        <f t="shared" ref="G1061" ca="1" si="119">E1061/E1056</f>
        <v>1.9310344827586208</v>
      </c>
      <c r="H1061" s="18"/>
      <c r="I1061" s="19">
        <v>1059</v>
      </c>
      <c r="J1061" s="19" cm="1">
        <f t="array" aca="1" ref="J1061" ca="1">INDIRECT("b"&amp;K1061+2)</f>
        <v>2.7999999999999999E+97</v>
      </c>
      <c r="K1061" s="19">
        <f t="shared" si="112"/>
        <v>3010</v>
      </c>
    </row>
    <row r="1062" spans="1:11">
      <c r="A1062">
        <v>1060</v>
      </c>
      <c r="B1062">
        <v>5.0500000000000005E+49</v>
      </c>
      <c r="D1062" s="18">
        <v>1060</v>
      </c>
      <c r="E1062" s="18" cm="1">
        <f t="array" aca="1" ref="E1062" ca="1">INDIRECT("b"&amp;F1062+2)</f>
        <v>3.2499999999999998E+67</v>
      </c>
      <c r="F1062" s="18">
        <f t="shared" si="109"/>
        <v>1812</v>
      </c>
      <c r="G1062" s="18"/>
      <c r="H1062" s="18"/>
      <c r="I1062" s="19">
        <v>1060</v>
      </c>
      <c r="J1062" s="19" cm="1">
        <f t="array" aca="1" ref="J1062" ca="1">INDIRECT("b"&amp;K1062+2)</f>
        <v>3.25E+97</v>
      </c>
      <c r="K1062" s="19">
        <f t="shared" si="112"/>
        <v>3012</v>
      </c>
    </row>
    <row r="1063" spans="1:11">
      <c r="A1063">
        <v>1061</v>
      </c>
      <c r="B1063">
        <v>5.2749999999999994E+49</v>
      </c>
      <c r="D1063" s="18">
        <v>1061</v>
      </c>
      <c r="E1063" s="18" cm="1">
        <f t="array" aca="1" ref="E1063" ca="1">INDIRECT("b"&amp;F1063+2)</f>
        <v>3.4749999999999997E+67</v>
      </c>
      <c r="F1063" s="18">
        <f t="shared" si="109"/>
        <v>1813</v>
      </c>
      <c r="G1063" s="18"/>
      <c r="H1063" s="18"/>
      <c r="I1063" s="19">
        <v>1061</v>
      </c>
      <c r="J1063" s="19" cm="1">
        <f t="array" aca="1" ref="J1063" ca="1">INDIRECT("b"&amp;K1063+2)</f>
        <v>3.4750000000000004E+97</v>
      </c>
      <c r="K1063" s="19">
        <f t="shared" si="112"/>
        <v>3013</v>
      </c>
    </row>
    <row r="1064" spans="1:11">
      <c r="A1064">
        <v>1062</v>
      </c>
      <c r="B1064">
        <v>5.4999999999999994E+49</v>
      </c>
      <c r="D1064" s="18">
        <v>1062</v>
      </c>
      <c r="E1064" s="18" cm="1">
        <f t="array" aca="1" ref="E1064" ca="1">INDIRECT("b"&amp;F1064+2)</f>
        <v>3.6999999999999997E+67</v>
      </c>
      <c r="F1064" s="18">
        <f t="shared" si="109"/>
        <v>1814</v>
      </c>
      <c r="G1064" s="18"/>
      <c r="H1064" s="18"/>
      <c r="I1064" s="19">
        <v>1062</v>
      </c>
      <c r="J1064" s="19" cm="1">
        <f t="array" aca="1" ref="J1064" ca="1">INDIRECT("b"&amp;K1064+2)</f>
        <v>3.7E+97</v>
      </c>
      <c r="K1064" s="19">
        <f t="shared" si="112"/>
        <v>3014</v>
      </c>
    </row>
    <row r="1065" spans="1:11">
      <c r="A1065">
        <v>1063</v>
      </c>
      <c r="B1065">
        <v>5.7250000000000004E+49</v>
      </c>
      <c r="D1065" s="18">
        <v>1063</v>
      </c>
      <c r="E1065" s="18" cm="1">
        <f t="array" aca="1" ref="E1065" ca="1">INDIRECT("b"&amp;F1065+2)</f>
        <v>4.1499999999999997E+67</v>
      </c>
      <c r="F1065" s="18">
        <f t="shared" si="109"/>
        <v>1816</v>
      </c>
      <c r="G1065" s="18"/>
      <c r="H1065" s="18"/>
      <c r="I1065" s="19">
        <v>1063</v>
      </c>
      <c r="J1065" s="19" cm="1">
        <f t="array" aca="1" ref="J1065" ca="1">INDIRECT("b"&amp;K1065+2)</f>
        <v>4.1500000000000001E+97</v>
      </c>
      <c r="K1065" s="19">
        <f t="shared" si="112"/>
        <v>3016</v>
      </c>
    </row>
    <row r="1066" spans="1:11">
      <c r="A1066">
        <v>1064</v>
      </c>
      <c r="B1066">
        <v>5.9500000000000014E+49</v>
      </c>
      <c r="D1066" s="18">
        <v>1064</v>
      </c>
      <c r="E1066" s="18" cm="1">
        <f t="array" aca="1" ref="E1066" ca="1">INDIRECT("b"&amp;F1066+2)</f>
        <v>4.3749999999999997E+67</v>
      </c>
      <c r="F1066" s="18">
        <f t="shared" si="109"/>
        <v>1817</v>
      </c>
      <c r="G1066" s="18">
        <f t="shared" ref="G1066" ca="1" si="120">E1066/E1061</f>
        <v>1.5625</v>
      </c>
      <c r="H1066" s="18"/>
      <c r="I1066" s="19">
        <v>1064</v>
      </c>
      <c r="J1066" s="19" cm="1">
        <f t="array" aca="1" ref="J1066" ca="1">INDIRECT("b"&amp;K1066+2)</f>
        <v>4.3749999999999997E+97</v>
      </c>
      <c r="K1066" s="19">
        <f t="shared" si="112"/>
        <v>3017</v>
      </c>
    </row>
    <row r="1067" spans="1:11">
      <c r="A1067">
        <v>1065</v>
      </c>
      <c r="B1067">
        <v>6.1749999999999993E+49</v>
      </c>
      <c r="D1067" s="18">
        <v>1065</v>
      </c>
      <c r="E1067" s="18" cm="1">
        <f t="array" aca="1" ref="E1067" ca="1">INDIRECT("b"&amp;F1067+2)</f>
        <v>4.5999999999999997E+67</v>
      </c>
      <c r="F1067" s="18">
        <f t="shared" si="109"/>
        <v>1818</v>
      </c>
      <c r="G1067" s="18"/>
      <c r="H1067" s="18"/>
      <c r="I1067" s="19">
        <v>1065</v>
      </c>
      <c r="J1067" s="19" cm="1">
        <f t="array" aca="1" ref="J1067" ca="1">INDIRECT("b"&amp;K1067+2)</f>
        <v>4.6000000000000001E+97</v>
      </c>
      <c r="K1067" s="19">
        <f t="shared" si="112"/>
        <v>3018</v>
      </c>
    </row>
    <row r="1068" spans="1:11">
      <c r="A1068">
        <v>1066</v>
      </c>
      <c r="B1068">
        <v>6.3999999999999992E+49</v>
      </c>
      <c r="D1068" s="18">
        <v>1066</v>
      </c>
      <c r="E1068" s="18" cm="1">
        <f t="array" aca="1" ref="E1068" ca="1">INDIRECT("b"&amp;F1068+2)</f>
        <v>5.0499999999999997E+67</v>
      </c>
      <c r="F1068" s="18">
        <f t="shared" si="109"/>
        <v>1820</v>
      </c>
      <c r="G1068" s="18"/>
      <c r="H1068" s="18"/>
      <c r="I1068" s="19">
        <v>1066</v>
      </c>
      <c r="J1068" s="19" cm="1">
        <f t="array" aca="1" ref="J1068" ca="1">INDIRECT("b"&amp;K1068+2)</f>
        <v>5.0500000000000002E+97</v>
      </c>
      <c r="K1068" s="19">
        <f t="shared" si="112"/>
        <v>3020</v>
      </c>
    </row>
    <row r="1069" spans="1:11">
      <c r="A1069">
        <v>1067</v>
      </c>
      <c r="B1069">
        <v>6.6250000000000002E+49</v>
      </c>
      <c r="D1069" s="18">
        <v>1067</v>
      </c>
      <c r="E1069" s="18" cm="1">
        <f t="array" aca="1" ref="E1069" ca="1">INDIRECT("b"&amp;F1069+2)</f>
        <v>5.2749999999999997E+67</v>
      </c>
      <c r="F1069" s="18">
        <f t="shared" si="109"/>
        <v>1821</v>
      </c>
      <c r="G1069" s="18"/>
      <c r="H1069" s="18"/>
      <c r="I1069" s="19">
        <v>1067</v>
      </c>
      <c r="J1069" s="19" cm="1">
        <f t="array" aca="1" ref="J1069" ca="1">INDIRECT("b"&amp;K1069+2)</f>
        <v>5.2749999999999998E+97</v>
      </c>
      <c r="K1069" s="19">
        <f t="shared" si="112"/>
        <v>3021</v>
      </c>
    </row>
    <row r="1070" spans="1:11">
      <c r="A1070">
        <v>1068</v>
      </c>
      <c r="B1070">
        <v>6.8500000000000012E+49</v>
      </c>
      <c r="D1070" s="18">
        <v>1068</v>
      </c>
      <c r="E1070" s="18" cm="1">
        <f t="array" aca="1" ref="E1070" ca="1">INDIRECT("b"&amp;F1070+2)</f>
        <v>5.4999999999999997E+67</v>
      </c>
      <c r="F1070" s="18">
        <f t="shared" si="109"/>
        <v>1822</v>
      </c>
      <c r="G1070" s="18"/>
      <c r="H1070" s="18"/>
      <c r="I1070" s="19">
        <v>1068</v>
      </c>
      <c r="J1070" s="19" cm="1">
        <f t="array" aca="1" ref="J1070" ca="1">INDIRECT("b"&amp;K1070+2)</f>
        <v>5.5000000000000002E+97</v>
      </c>
      <c r="K1070" s="19">
        <f t="shared" si="112"/>
        <v>3022</v>
      </c>
    </row>
    <row r="1071" spans="1:11">
      <c r="A1071">
        <v>1069</v>
      </c>
      <c r="B1071">
        <v>7.0749999999999991E+49</v>
      </c>
      <c r="D1071" s="18">
        <v>1069</v>
      </c>
      <c r="E1071" s="18" cm="1">
        <f t="array" aca="1" ref="E1071" ca="1">INDIRECT("b"&amp;F1071+2)</f>
        <v>5.9499999999999997E+67</v>
      </c>
      <c r="F1071" s="18">
        <f t="shared" si="109"/>
        <v>1824</v>
      </c>
      <c r="G1071" s="18">
        <f t="shared" ref="G1071" ca="1" si="121">E1071/E1066</f>
        <v>1.36</v>
      </c>
      <c r="H1071" s="18"/>
      <c r="I1071" s="19">
        <v>1069</v>
      </c>
      <c r="J1071" s="19" cm="1">
        <f t="array" aca="1" ref="J1071" ca="1">INDIRECT("b"&amp;K1071+2)</f>
        <v>5.9500000000000003E+97</v>
      </c>
      <c r="K1071" s="19">
        <f t="shared" si="112"/>
        <v>3024</v>
      </c>
    </row>
    <row r="1072" spans="1:11">
      <c r="A1072">
        <v>1070</v>
      </c>
      <c r="B1072">
        <v>7.3000000000000001E+49</v>
      </c>
      <c r="D1072" s="18">
        <v>1070</v>
      </c>
      <c r="E1072" s="18" cm="1">
        <f t="array" aca="1" ref="E1072" ca="1">INDIRECT("b"&amp;F1072+2)</f>
        <v>6.1750000000000003E+67</v>
      </c>
      <c r="F1072" s="18">
        <f t="shared" si="109"/>
        <v>1825</v>
      </c>
      <c r="G1072" s="18"/>
      <c r="H1072" s="18"/>
      <c r="I1072" s="19">
        <v>1070</v>
      </c>
      <c r="J1072" s="19" cm="1">
        <f t="array" aca="1" ref="J1072" ca="1">INDIRECT("b"&amp;K1072+2)</f>
        <v>6.1749999999999999E+97</v>
      </c>
      <c r="K1072" s="19">
        <f t="shared" si="112"/>
        <v>3025</v>
      </c>
    </row>
    <row r="1073" spans="1:11">
      <c r="A1073">
        <v>1071</v>
      </c>
      <c r="B1073">
        <v>7.5249999999999991E+49</v>
      </c>
      <c r="D1073" s="18">
        <v>1071</v>
      </c>
      <c r="E1073" s="18" cm="1">
        <f t="array" aca="1" ref="E1073" ca="1">INDIRECT("b"&amp;F1073+2)</f>
        <v>6.3999999999999997E+67</v>
      </c>
      <c r="F1073" s="18">
        <f t="shared" si="109"/>
        <v>1826</v>
      </c>
      <c r="G1073" s="18"/>
      <c r="H1073" s="18"/>
      <c r="I1073" s="19">
        <v>1071</v>
      </c>
      <c r="J1073" s="19" cm="1">
        <f t="array" aca="1" ref="J1073" ca="1">INDIRECT("b"&amp;K1073+2)</f>
        <v>6.4000000000000003E+97</v>
      </c>
      <c r="K1073" s="19">
        <f t="shared" si="112"/>
        <v>3026</v>
      </c>
    </row>
    <row r="1074" spans="1:11">
      <c r="A1074">
        <v>1072</v>
      </c>
      <c r="B1074">
        <v>7.7500000000000001E+49</v>
      </c>
      <c r="D1074" s="18">
        <v>1072</v>
      </c>
      <c r="E1074" s="18" cm="1">
        <f t="array" aca="1" ref="E1074" ca="1">INDIRECT("b"&amp;F1074+2)</f>
        <v>6.8499999999999996E+67</v>
      </c>
      <c r="F1074" s="18">
        <f t="shared" si="109"/>
        <v>1828</v>
      </c>
      <c r="G1074" s="18"/>
      <c r="H1074" s="18"/>
      <c r="I1074" s="19">
        <v>1072</v>
      </c>
      <c r="J1074" s="19" cm="1">
        <f t="array" aca="1" ref="J1074" ca="1">INDIRECT("b"&amp;K1074+2)</f>
        <v>6.8500000000000004E+97</v>
      </c>
      <c r="K1074" s="19">
        <f t="shared" si="112"/>
        <v>3028</v>
      </c>
    </row>
    <row r="1075" spans="1:11">
      <c r="A1075">
        <v>1073</v>
      </c>
      <c r="B1075">
        <v>7.9750000000000011E+49</v>
      </c>
      <c r="D1075" s="18">
        <v>1073</v>
      </c>
      <c r="E1075" s="18" cm="1">
        <f t="array" aca="1" ref="E1075" ca="1">INDIRECT("b"&amp;F1075+2)</f>
        <v>7.0750000000000002E+67</v>
      </c>
      <c r="F1075" s="18">
        <f t="shared" si="109"/>
        <v>1829</v>
      </c>
      <c r="G1075" s="18"/>
      <c r="H1075" s="18"/>
      <c r="I1075" s="19">
        <v>1073</v>
      </c>
      <c r="J1075" s="19" cm="1">
        <f t="array" aca="1" ref="J1075" ca="1">INDIRECT("b"&amp;K1075+2)</f>
        <v>7.075E+97</v>
      </c>
      <c r="K1075" s="19">
        <f t="shared" si="112"/>
        <v>3029</v>
      </c>
    </row>
    <row r="1076" spans="1:11">
      <c r="A1076">
        <v>1074</v>
      </c>
      <c r="B1076">
        <v>8.199999999999999E+49</v>
      </c>
      <c r="D1076" s="18">
        <v>1074</v>
      </c>
      <c r="E1076" s="18" cm="1">
        <f t="array" aca="1" ref="E1076" ca="1">INDIRECT("b"&amp;F1076+2)</f>
        <v>7.2999999999999996E+67</v>
      </c>
      <c r="F1076" s="18">
        <f t="shared" si="109"/>
        <v>1830</v>
      </c>
      <c r="G1076" s="18">
        <f t="shared" ref="G1076" ca="1" si="122">E1076/E1071</f>
        <v>1.2268907563025211</v>
      </c>
      <c r="H1076" s="18"/>
      <c r="I1076" s="19">
        <v>1074</v>
      </c>
      <c r="J1076" s="19" cm="1">
        <f t="array" aca="1" ref="J1076" ca="1">INDIRECT("b"&amp;K1076+2)</f>
        <v>7.2999999999999997E+97</v>
      </c>
      <c r="K1076" s="19">
        <f t="shared" si="112"/>
        <v>3030</v>
      </c>
    </row>
    <row r="1077" spans="1:11">
      <c r="A1077">
        <v>1075</v>
      </c>
      <c r="B1077">
        <v>8.425E+49</v>
      </c>
      <c r="D1077" s="18">
        <v>1075</v>
      </c>
      <c r="E1077" s="18" cm="1">
        <f t="array" aca="1" ref="E1077" ca="1">INDIRECT("b"&amp;F1077+2)</f>
        <v>7.7499999999999996E+67</v>
      </c>
      <c r="F1077" s="18">
        <f t="shared" si="109"/>
        <v>1832</v>
      </c>
      <c r="G1077" s="18"/>
      <c r="H1077" s="18"/>
      <c r="I1077" s="19">
        <v>1075</v>
      </c>
      <c r="J1077" s="19" cm="1">
        <f t="array" aca="1" ref="J1077" ca="1">INDIRECT("b"&amp;K1077+2)</f>
        <v>7.7500000000000005E+97</v>
      </c>
      <c r="K1077" s="19">
        <f t="shared" si="112"/>
        <v>3032</v>
      </c>
    </row>
    <row r="1078" spans="1:11">
      <c r="A1078">
        <v>1076</v>
      </c>
      <c r="B1078">
        <v>8.6499999999999999E+49</v>
      </c>
      <c r="D1078" s="18">
        <v>1076</v>
      </c>
      <c r="E1078" s="18" cm="1">
        <f t="array" aca="1" ref="E1078" ca="1">INDIRECT("b"&amp;F1078+2)</f>
        <v>7.9750000000000002E+67</v>
      </c>
      <c r="F1078" s="18">
        <f t="shared" si="109"/>
        <v>1833</v>
      </c>
      <c r="G1078" s="18"/>
      <c r="H1078" s="18"/>
      <c r="I1078" s="19">
        <v>1076</v>
      </c>
      <c r="J1078" s="19" cm="1">
        <f t="array" aca="1" ref="J1078" ca="1">INDIRECT("b"&amp;K1078+2)</f>
        <v>7.9750000000000001E+97</v>
      </c>
      <c r="K1078" s="19">
        <f t="shared" si="112"/>
        <v>3033</v>
      </c>
    </row>
    <row r="1079" spans="1:11">
      <c r="A1079">
        <v>1077</v>
      </c>
      <c r="B1079">
        <v>8.8749999999999999E+49</v>
      </c>
      <c r="D1079" s="18">
        <v>1077</v>
      </c>
      <c r="E1079" s="18" cm="1">
        <f t="array" aca="1" ref="E1079" ca="1">INDIRECT("b"&amp;F1079+2)</f>
        <v>8.1999999999999996E+67</v>
      </c>
      <c r="F1079" s="18">
        <f t="shared" si="109"/>
        <v>1834</v>
      </c>
      <c r="G1079" s="18"/>
      <c r="H1079" s="18"/>
      <c r="I1079" s="19">
        <v>1077</v>
      </c>
      <c r="J1079" s="19" cm="1">
        <f t="array" aca="1" ref="J1079" ca="1">INDIRECT("b"&amp;K1079+2)</f>
        <v>8.1999999999999998E+97</v>
      </c>
      <c r="K1079" s="19">
        <f t="shared" si="112"/>
        <v>3034</v>
      </c>
    </row>
    <row r="1080" spans="1:11">
      <c r="A1080">
        <v>1078</v>
      </c>
      <c r="B1080">
        <v>9.0999999999999978E+49</v>
      </c>
      <c r="D1080" s="18">
        <v>1078</v>
      </c>
      <c r="E1080" s="18" cm="1">
        <f t="array" aca="1" ref="E1080" ca="1">INDIRECT("b"&amp;F1080+2)</f>
        <v>8.6499999999999996E+67</v>
      </c>
      <c r="F1080" s="18">
        <f t="shared" si="109"/>
        <v>1836</v>
      </c>
      <c r="G1080" s="18"/>
      <c r="H1080" s="18"/>
      <c r="I1080" s="19">
        <v>1078</v>
      </c>
      <c r="J1080" s="19" cm="1">
        <f t="array" aca="1" ref="J1080" ca="1">INDIRECT("b"&amp;K1080+2)</f>
        <v>8.6500000000000006E+97</v>
      </c>
      <c r="K1080" s="19">
        <f t="shared" si="112"/>
        <v>3036</v>
      </c>
    </row>
    <row r="1081" spans="1:11">
      <c r="A1081">
        <v>1079</v>
      </c>
      <c r="B1081">
        <v>9.3249999999999988E+49</v>
      </c>
      <c r="D1081" s="18">
        <v>1079</v>
      </c>
      <c r="E1081" s="18" cm="1">
        <f t="array" aca="1" ref="E1081" ca="1">INDIRECT("b"&amp;F1081+2)</f>
        <v>8.8750000000000002E+67</v>
      </c>
      <c r="F1081" s="18">
        <f t="shared" si="109"/>
        <v>1837</v>
      </c>
      <c r="G1081" s="18">
        <f t="shared" ref="G1081" ca="1" si="123">E1081/E1076</f>
        <v>1.2157534246575343</v>
      </c>
      <c r="H1081" s="18"/>
      <c r="I1081" s="19">
        <v>1079</v>
      </c>
      <c r="J1081" s="19" cm="1">
        <f t="array" aca="1" ref="J1081" ca="1">INDIRECT("b"&amp;K1081+2)</f>
        <v>8.8750000000000002E+97</v>
      </c>
      <c r="K1081" s="19">
        <f t="shared" si="112"/>
        <v>3037</v>
      </c>
    </row>
    <row r="1082" spans="1:11">
      <c r="A1082">
        <v>1080</v>
      </c>
      <c r="B1082">
        <v>9.5500000000000008E+49</v>
      </c>
      <c r="D1082" s="18">
        <v>1080</v>
      </c>
      <c r="E1082" s="18" cm="1">
        <f t="array" aca="1" ref="E1082" ca="1">INDIRECT("b"&amp;F1082+2)</f>
        <v>9.0999999999999996E+67</v>
      </c>
      <c r="F1082" s="18">
        <f t="shared" si="109"/>
        <v>1838</v>
      </c>
      <c r="G1082" s="18"/>
      <c r="H1082" s="18"/>
      <c r="I1082" s="19">
        <v>1080</v>
      </c>
      <c r="J1082" s="19" cm="1">
        <f t="array" aca="1" ref="J1082" ca="1">INDIRECT("b"&amp;K1082+2)</f>
        <v>9.0999999999999999E+97</v>
      </c>
      <c r="K1082" s="19">
        <f t="shared" si="112"/>
        <v>3038</v>
      </c>
    </row>
    <row r="1083" spans="1:11">
      <c r="A1083">
        <v>1081</v>
      </c>
      <c r="B1083">
        <v>9.7750000000000008E+49</v>
      </c>
      <c r="D1083" s="18">
        <v>1081</v>
      </c>
      <c r="E1083" s="18" cm="1">
        <f t="array" aca="1" ref="E1083" ca="1">INDIRECT("b"&amp;F1083+2)</f>
        <v>9.5499999999999995E+67</v>
      </c>
      <c r="F1083" s="18">
        <f t="shared" si="109"/>
        <v>1840</v>
      </c>
      <c r="G1083" s="18"/>
      <c r="H1083" s="18"/>
      <c r="I1083" s="19">
        <v>1081</v>
      </c>
      <c r="J1083" s="19" cm="1">
        <f t="array" aca="1" ref="J1083" ca="1">INDIRECT("b"&amp;K1083+2)</f>
        <v>9.5500000000000007E+97</v>
      </c>
      <c r="K1083" s="19">
        <f t="shared" si="112"/>
        <v>3040</v>
      </c>
    </row>
    <row r="1084" spans="1:11">
      <c r="A1084">
        <v>1082</v>
      </c>
      <c r="B1084">
        <v>1.0000000000000001E+50</v>
      </c>
      <c r="D1084" s="18">
        <v>1082</v>
      </c>
      <c r="E1084" s="18" cm="1">
        <f t="array" aca="1" ref="E1084" ca="1">INDIRECT("b"&amp;F1084+2)</f>
        <v>9.7750000000000001E+67</v>
      </c>
      <c r="F1084" s="18">
        <f t="shared" si="109"/>
        <v>1841</v>
      </c>
      <c r="G1084" s="18"/>
      <c r="H1084" s="18"/>
      <c r="I1084" s="19">
        <v>1082</v>
      </c>
      <c r="J1084" s="19" cm="1">
        <f t="array" aca="1" ref="J1084" ca="1">INDIRECT("b"&amp;K1084+2)</f>
        <v>9.7750000000000003E+97</v>
      </c>
      <c r="K1084" s="19">
        <f t="shared" si="112"/>
        <v>3041</v>
      </c>
    </row>
    <row r="1085" spans="1:11">
      <c r="A1085">
        <v>1083</v>
      </c>
      <c r="B1085">
        <v>1.225E+50</v>
      </c>
      <c r="D1085" s="18">
        <v>1083</v>
      </c>
      <c r="E1085" s="18" cm="1">
        <f t="array" aca="1" ref="E1085" ca="1">INDIRECT("b"&amp;F1085+2)</f>
        <v>9.9999999999999995E+67</v>
      </c>
      <c r="F1085" s="18">
        <f t="shared" ref="F1085:F1148" si="124">INT((A1085-123)*1.333333)+563</f>
        <v>1842</v>
      </c>
      <c r="G1085" s="18"/>
      <c r="H1085" s="18"/>
      <c r="I1085" s="19">
        <v>1083</v>
      </c>
      <c r="J1085" s="19" cm="1">
        <f t="array" aca="1" ref="J1085" ca="1">INDIRECT("b"&amp;K1085+2)</f>
        <v>1E+98</v>
      </c>
      <c r="K1085" s="19">
        <f t="shared" si="112"/>
        <v>3042</v>
      </c>
    </row>
    <row r="1086" spans="1:11">
      <c r="A1086">
        <v>1084</v>
      </c>
      <c r="B1086">
        <v>1.4499999999999998E+50</v>
      </c>
      <c r="D1086" s="18">
        <v>1084</v>
      </c>
      <c r="E1086" s="18" cm="1">
        <f t="array" aca="1" ref="E1086" ca="1">INDIRECT("b"&amp;F1086+2)</f>
        <v>1.4499999999999998E+68</v>
      </c>
      <c r="F1086" s="18">
        <f t="shared" si="124"/>
        <v>1844</v>
      </c>
      <c r="G1086" s="18">
        <f t="shared" ref="G1086" ca="1" si="125">E1086/E1081</f>
        <v>1.6338028169014083</v>
      </c>
      <c r="H1086" s="18"/>
      <c r="I1086" s="19">
        <v>1084</v>
      </c>
      <c r="J1086" s="19" cm="1">
        <f t="array" aca="1" ref="J1086" ca="1">INDIRECT("b"&amp;K1086+2)</f>
        <v>1.45E+98</v>
      </c>
      <c r="K1086" s="19">
        <f t="shared" si="112"/>
        <v>3044</v>
      </c>
    </row>
    <row r="1087" spans="1:11">
      <c r="A1087">
        <v>1085</v>
      </c>
      <c r="B1087">
        <v>1.675E+50</v>
      </c>
      <c r="D1087" s="18">
        <v>1085</v>
      </c>
      <c r="E1087" s="18" cm="1">
        <f t="array" aca="1" ref="E1087" ca="1">INDIRECT("b"&amp;F1087+2)</f>
        <v>1.6749999999999999E+68</v>
      </c>
      <c r="F1087" s="18">
        <f t="shared" si="124"/>
        <v>1845</v>
      </c>
      <c r="G1087" s="18"/>
      <c r="H1087" s="18"/>
      <c r="I1087" s="19">
        <v>1085</v>
      </c>
      <c r="J1087" s="19" cm="1">
        <f t="array" aca="1" ref="J1087" ca="1">INDIRECT("b"&amp;K1087+2)</f>
        <v>1.675E+98</v>
      </c>
      <c r="K1087" s="19">
        <f t="shared" si="112"/>
        <v>3045</v>
      </c>
    </row>
    <row r="1088" spans="1:11">
      <c r="A1088">
        <v>1086</v>
      </c>
      <c r="B1088">
        <v>1.9000000000000004E+50</v>
      </c>
      <c r="D1088" s="18">
        <v>1086</v>
      </c>
      <c r="E1088" s="18" cm="1">
        <f t="array" aca="1" ref="E1088" ca="1">INDIRECT("b"&amp;F1088+2)</f>
        <v>1.8999999999999998E+68</v>
      </c>
      <c r="F1088" s="18">
        <f t="shared" si="124"/>
        <v>1846</v>
      </c>
      <c r="G1088" s="18"/>
      <c r="H1088" s="18"/>
      <c r="I1088" s="19">
        <v>1086</v>
      </c>
      <c r="J1088" s="19" cm="1">
        <f t="array" aca="1" ref="J1088" ca="1">INDIRECT("b"&amp;K1088+2)</f>
        <v>1.9E+98</v>
      </c>
      <c r="K1088" s="19">
        <f t="shared" si="112"/>
        <v>3046</v>
      </c>
    </row>
    <row r="1089" spans="1:11">
      <c r="A1089">
        <v>1087</v>
      </c>
      <c r="B1089">
        <v>2.1249999999999999E+50</v>
      </c>
      <c r="D1089" s="18">
        <v>1087</v>
      </c>
      <c r="E1089" s="18" cm="1">
        <f t="array" aca="1" ref="E1089" ca="1">INDIRECT("b"&amp;F1089+2)</f>
        <v>2.3499999999999998E+68</v>
      </c>
      <c r="F1089" s="18">
        <f t="shared" si="124"/>
        <v>1848</v>
      </c>
      <c r="G1089" s="18"/>
      <c r="H1089" s="18"/>
      <c r="I1089" s="19">
        <v>1087</v>
      </c>
      <c r="J1089" s="19" cm="1">
        <f t="array" aca="1" ref="J1089" ca="1">INDIRECT("b"&amp;K1089+2)</f>
        <v>2.3499999999999999E+98</v>
      </c>
      <c r="K1089" s="19">
        <f t="shared" si="112"/>
        <v>3048</v>
      </c>
    </row>
    <row r="1090" spans="1:11">
      <c r="A1090">
        <v>1088</v>
      </c>
      <c r="B1090">
        <v>2.3499999999999999E+50</v>
      </c>
      <c r="D1090" s="18">
        <v>1088</v>
      </c>
      <c r="E1090" s="18" cm="1">
        <f t="array" aca="1" ref="E1090" ca="1">INDIRECT("b"&amp;F1090+2)</f>
        <v>2.5749999999999999E+68</v>
      </c>
      <c r="F1090" s="18">
        <f t="shared" si="124"/>
        <v>1849</v>
      </c>
      <c r="G1090" s="18"/>
      <c r="H1090" s="18"/>
      <c r="I1090" s="19">
        <v>1088</v>
      </c>
      <c r="J1090" s="19" cm="1">
        <f t="array" aca="1" ref="J1090" ca="1">INDIRECT("b"&amp;K1090+2)</f>
        <v>2.5749999999999998E+98</v>
      </c>
      <c r="K1090" s="19">
        <f t="shared" si="112"/>
        <v>3049</v>
      </c>
    </row>
    <row r="1091" spans="1:11">
      <c r="A1091">
        <v>1089</v>
      </c>
      <c r="B1091">
        <v>2.5749999999999998E+50</v>
      </c>
      <c r="D1091" s="18">
        <v>1089</v>
      </c>
      <c r="E1091" s="18" cm="1">
        <f t="array" aca="1" ref="E1091" ca="1">INDIRECT("b"&amp;F1091+2)</f>
        <v>2.8E+68</v>
      </c>
      <c r="F1091" s="18">
        <f t="shared" si="124"/>
        <v>1850</v>
      </c>
      <c r="G1091" s="18">
        <f t="shared" ref="G1091" ca="1" si="126">E1091/E1086</f>
        <v>1.931034482758621</v>
      </c>
      <c r="H1091" s="18"/>
      <c r="I1091" s="19">
        <v>1089</v>
      </c>
      <c r="J1091" s="19" cm="1">
        <f t="array" aca="1" ref="J1091" ca="1">INDIRECT("b"&amp;K1091+2)</f>
        <v>2.8000000000000001E+98</v>
      </c>
      <c r="K1091" s="19">
        <f t="shared" si="112"/>
        <v>3050</v>
      </c>
    </row>
    <row r="1092" spans="1:11">
      <c r="A1092">
        <v>1090</v>
      </c>
      <c r="B1092">
        <v>2.8000000000000002E+50</v>
      </c>
      <c r="D1092" s="18">
        <v>1090</v>
      </c>
      <c r="E1092" s="18" cm="1">
        <f t="array" aca="1" ref="E1092" ca="1">INDIRECT("b"&amp;F1092+2)</f>
        <v>3.2499999999999998E+68</v>
      </c>
      <c r="F1092" s="18">
        <f t="shared" si="124"/>
        <v>1852</v>
      </c>
      <c r="G1092" s="18"/>
      <c r="H1092" s="18"/>
      <c r="I1092" s="19">
        <v>1090</v>
      </c>
      <c r="J1092" s="19" cm="1">
        <f t="array" aca="1" ref="J1092" ca="1">INDIRECT("b"&amp;K1092+2)</f>
        <v>3.25E+98</v>
      </c>
      <c r="K1092" s="19">
        <f t="shared" ref="K1092:K1155" si="127">INT((A1092-1)*40/30+900*40/30)+400</f>
        <v>3052</v>
      </c>
    </row>
    <row r="1093" spans="1:11">
      <c r="A1093">
        <v>1091</v>
      </c>
      <c r="B1093">
        <v>3.0250000000000002E+50</v>
      </c>
      <c r="D1093" s="18">
        <v>1091</v>
      </c>
      <c r="E1093" s="18" cm="1">
        <f t="array" aca="1" ref="E1093" ca="1">INDIRECT("b"&amp;F1093+2)</f>
        <v>3.4749999999999999E+68</v>
      </c>
      <c r="F1093" s="18">
        <f t="shared" si="124"/>
        <v>1853</v>
      </c>
      <c r="G1093" s="18"/>
      <c r="H1093" s="18"/>
      <c r="I1093" s="19">
        <v>1091</v>
      </c>
      <c r="J1093" s="19" cm="1">
        <f t="array" aca="1" ref="J1093" ca="1">INDIRECT("b"&amp;K1093+2)</f>
        <v>3.4749999999999999E+98</v>
      </c>
      <c r="K1093" s="19">
        <f t="shared" si="127"/>
        <v>3053</v>
      </c>
    </row>
    <row r="1094" spans="1:11">
      <c r="A1094">
        <v>1092</v>
      </c>
      <c r="B1094">
        <v>3.2499999999999997E+50</v>
      </c>
      <c r="D1094" s="18">
        <v>1092</v>
      </c>
      <c r="E1094" s="18" cm="1">
        <f t="array" aca="1" ref="E1094" ca="1">INDIRECT("b"&amp;F1094+2)</f>
        <v>3.7E+68</v>
      </c>
      <c r="F1094" s="18">
        <f t="shared" si="124"/>
        <v>1854</v>
      </c>
      <c r="G1094" s="18"/>
      <c r="H1094" s="18"/>
      <c r="I1094" s="19">
        <v>1092</v>
      </c>
      <c r="J1094" s="19" cm="1">
        <f t="array" aca="1" ref="J1094" ca="1">INDIRECT("b"&amp;K1094+2)</f>
        <v>3.6999999999999999E+98</v>
      </c>
      <c r="K1094" s="19">
        <f t="shared" si="127"/>
        <v>3054</v>
      </c>
    </row>
    <row r="1095" spans="1:11">
      <c r="A1095">
        <v>1093</v>
      </c>
      <c r="B1095">
        <v>3.4750000000000001E+50</v>
      </c>
      <c r="D1095" s="18">
        <v>1093</v>
      </c>
      <c r="E1095" s="18" cm="1">
        <f t="array" aca="1" ref="E1095" ca="1">INDIRECT("b"&amp;F1095+2)</f>
        <v>4.1499999999999997E+68</v>
      </c>
      <c r="F1095" s="18">
        <f t="shared" si="124"/>
        <v>1856</v>
      </c>
      <c r="G1095" s="18"/>
      <c r="H1095" s="18"/>
      <c r="I1095" s="19">
        <v>1093</v>
      </c>
      <c r="J1095" s="19" cm="1">
        <f t="array" aca="1" ref="J1095" ca="1">INDIRECT("b"&amp;K1095+2)</f>
        <v>4.1499999999999998E+98</v>
      </c>
      <c r="K1095" s="19">
        <f t="shared" si="127"/>
        <v>3056</v>
      </c>
    </row>
    <row r="1096" spans="1:11">
      <c r="A1096">
        <v>1094</v>
      </c>
      <c r="B1096">
        <v>3.7000000000000001E+50</v>
      </c>
      <c r="D1096" s="18">
        <v>1094</v>
      </c>
      <c r="E1096" s="18" cm="1">
        <f t="array" aca="1" ref="E1096" ca="1">INDIRECT("b"&amp;F1096+2)</f>
        <v>4.3749999999999998E+68</v>
      </c>
      <c r="F1096" s="18">
        <f t="shared" si="124"/>
        <v>1857</v>
      </c>
      <c r="G1096" s="18">
        <f t="shared" ref="G1096" ca="1" si="128">E1096/E1091</f>
        <v>1.5625</v>
      </c>
      <c r="H1096" s="18"/>
      <c r="I1096" s="19">
        <v>1094</v>
      </c>
      <c r="J1096" s="19" cm="1">
        <f t="array" aca="1" ref="J1096" ca="1">INDIRECT("b"&amp;K1096+2)</f>
        <v>4.3749999999999997E+98</v>
      </c>
      <c r="K1096" s="19">
        <f t="shared" si="127"/>
        <v>3057</v>
      </c>
    </row>
    <row r="1097" spans="1:11">
      <c r="A1097">
        <v>1095</v>
      </c>
      <c r="B1097">
        <v>3.925E+50</v>
      </c>
      <c r="D1097" s="18">
        <v>1095</v>
      </c>
      <c r="E1097" s="18" cm="1">
        <f t="array" aca="1" ref="E1097" ca="1">INDIRECT("b"&amp;F1097+2)</f>
        <v>4.6E+68</v>
      </c>
      <c r="F1097" s="18">
        <f t="shared" si="124"/>
        <v>1858</v>
      </c>
      <c r="G1097" s="18"/>
      <c r="H1097" s="18"/>
      <c r="I1097" s="19">
        <v>1095</v>
      </c>
      <c r="J1097" s="19" cm="1">
        <f t="array" aca="1" ref="J1097" ca="1">INDIRECT("b"&amp;K1097+2)</f>
        <v>4.5999999999999997E+98</v>
      </c>
      <c r="K1097" s="19">
        <f t="shared" si="127"/>
        <v>3058</v>
      </c>
    </row>
    <row r="1098" spans="1:11">
      <c r="A1098">
        <v>1096</v>
      </c>
      <c r="B1098">
        <v>4.1500000000000008E+50</v>
      </c>
      <c r="D1098" s="18">
        <v>1096</v>
      </c>
      <c r="E1098" s="18" cm="1">
        <f t="array" aca="1" ref="E1098" ca="1">INDIRECT("b"&amp;F1098+2)</f>
        <v>5.0500000000000002E+68</v>
      </c>
      <c r="F1098" s="18">
        <f t="shared" si="124"/>
        <v>1860</v>
      </c>
      <c r="G1098" s="18"/>
      <c r="H1098" s="18"/>
      <c r="I1098" s="19">
        <v>1096</v>
      </c>
      <c r="J1098" s="19" cm="1">
        <f t="array" aca="1" ref="J1098" ca="1">INDIRECT("b"&amp;K1098+2)</f>
        <v>5.0499999999999996E+98</v>
      </c>
      <c r="K1098" s="19">
        <f t="shared" si="127"/>
        <v>3060</v>
      </c>
    </row>
    <row r="1099" spans="1:11">
      <c r="A1099">
        <v>1097</v>
      </c>
      <c r="B1099">
        <v>4.375E+50</v>
      </c>
      <c r="D1099" s="18">
        <v>1097</v>
      </c>
      <c r="E1099" s="18" cm="1">
        <f t="array" aca="1" ref="E1099" ca="1">INDIRECT("b"&amp;F1099+2)</f>
        <v>5.2749999999999993E+68</v>
      </c>
      <c r="F1099" s="18">
        <f t="shared" si="124"/>
        <v>1861</v>
      </c>
      <c r="G1099" s="18"/>
      <c r="H1099" s="18"/>
      <c r="I1099" s="19">
        <v>1097</v>
      </c>
      <c r="J1099" s="19" cm="1">
        <f t="array" aca="1" ref="J1099" ca="1">INDIRECT("b"&amp;K1099+2)</f>
        <v>5.2750000000000001E+98</v>
      </c>
      <c r="K1099" s="19">
        <f t="shared" si="127"/>
        <v>3061</v>
      </c>
    </row>
    <row r="1100" spans="1:11">
      <c r="A1100">
        <v>1098</v>
      </c>
      <c r="B1100">
        <v>4.5999999999999999E+50</v>
      </c>
      <c r="D1100" s="18">
        <v>1098</v>
      </c>
      <c r="E1100" s="18" cm="1">
        <f t="array" aca="1" ref="E1100" ca="1">INDIRECT("b"&amp;F1100+2)</f>
        <v>5.4999999999999994E+68</v>
      </c>
      <c r="F1100" s="18">
        <f t="shared" si="124"/>
        <v>1862</v>
      </c>
      <c r="G1100" s="18"/>
      <c r="H1100" s="18"/>
      <c r="I1100" s="19">
        <v>1098</v>
      </c>
      <c r="J1100" s="19" cm="1">
        <f t="array" aca="1" ref="J1100" ca="1">INDIRECT("b"&amp;K1100+2)</f>
        <v>5.4999999999999995E+98</v>
      </c>
      <c r="K1100" s="19">
        <f t="shared" si="127"/>
        <v>3062</v>
      </c>
    </row>
    <row r="1101" spans="1:11">
      <c r="A1101">
        <v>1099</v>
      </c>
      <c r="B1101">
        <v>4.8250000000000007E+50</v>
      </c>
      <c r="D1101" s="18">
        <v>1099</v>
      </c>
      <c r="E1101" s="18" cm="1">
        <f t="array" aca="1" ref="E1101" ca="1">INDIRECT("b"&amp;F1101+2)</f>
        <v>5.9499999999999997E+68</v>
      </c>
      <c r="F1101" s="18">
        <f t="shared" si="124"/>
        <v>1864</v>
      </c>
      <c r="G1101" s="18">
        <f t="shared" ref="G1101" ca="1" si="129">E1101/E1096</f>
        <v>1.3599999999999999</v>
      </c>
      <c r="H1101" s="18"/>
      <c r="I1101" s="19">
        <v>1099</v>
      </c>
      <c r="J1101" s="19" cm="1">
        <f t="array" aca="1" ref="J1101" ca="1">INDIRECT("b"&amp;K1101+2)</f>
        <v>5.9499999999999994E+98</v>
      </c>
      <c r="K1101" s="19">
        <f t="shared" si="127"/>
        <v>3064</v>
      </c>
    </row>
    <row r="1102" spans="1:11">
      <c r="A1102">
        <v>1100</v>
      </c>
      <c r="B1102">
        <v>5.0499999999999999E+50</v>
      </c>
      <c r="D1102" s="18">
        <v>1100</v>
      </c>
      <c r="E1102" s="18" cm="1">
        <f t="array" aca="1" ref="E1102" ca="1">INDIRECT("b"&amp;F1102+2)</f>
        <v>6.1749999999999998E+68</v>
      </c>
      <c r="F1102" s="18">
        <f t="shared" si="124"/>
        <v>1865</v>
      </c>
      <c r="G1102" s="18"/>
      <c r="H1102" s="18"/>
      <c r="I1102" s="19">
        <v>1100</v>
      </c>
      <c r="J1102" s="19" cm="1">
        <f t="array" aca="1" ref="J1102" ca="1">INDIRECT("b"&amp;K1102+2)</f>
        <v>6.1749999999999993E+98</v>
      </c>
      <c r="K1102" s="19">
        <f t="shared" si="127"/>
        <v>3065</v>
      </c>
    </row>
    <row r="1103" spans="1:11">
      <c r="A1103">
        <v>1101</v>
      </c>
      <c r="B1103">
        <v>5.2749999999999998E+50</v>
      </c>
      <c r="D1103" s="18">
        <v>1101</v>
      </c>
      <c r="E1103" s="18" cm="1">
        <f t="array" aca="1" ref="E1103" ca="1">INDIRECT("b"&amp;F1103+2)</f>
        <v>6.3999999999999999E+68</v>
      </c>
      <c r="F1103" s="18">
        <f t="shared" si="124"/>
        <v>1866</v>
      </c>
      <c r="G1103" s="18"/>
      <c r="H1103" s="18"/>
      <c r="I1103" s="19">
        <v>1101</v>
      </c>
      <c r="J1103" s="19" cm="1">
        <f t="array" aca="1" ref="J1103" ca="1">INDIRECT("b"&amp;K1103+2)</f>
        <v>6.3999999999999993E+98</v>
      </c>
      <c r="K1103" s="19">
        <f t="shared" si="127"/>
        <v>3066</v>
      </c>
    </row>
    <row r="1104" spans="1:11">
      <c r="A1104">
        <v>1102</v>
      </c>
      <c r="B1104">
        <v>5.4999999999999998E+50</v>
      </c>
      <c r="D1104" s="18">
        <v>1102</v>
      </c>
      <c r="E1104" s="18" cm="1">
        <f t="array" aca="1" ref="E1104" ca="1">INDIRECT("b"&amp;F1104+2)</f>
        <v>6.8500000000000001E+68</v>
      </c>
      <c r="F1104" s="18">
        <f t="shared" si="124"/>
        <v>1868</v>
      </c>
      <c r="G1104" s="18"/>
      <c r="H1104" s="18"/>
      <c r="I1104" s="19">
        <v>1102</v>
      </c>
      <c r="J1104" s="19" cm="1">
        <f t="array" aca="1" ref="J1104" ca="1">INDIRECT("b"&amp;K1104+2)</f>
        <v>6.8500000000000004E+98</v>
      </c>
      <c r="K1104" s="19">
        <f t="shared" si="127"/>
        <v>3068</v>
      </c>
    </row>
    <row r="1105" spans="1:11">
      <c r="A1105">
        <v>1103</v>
      </c>
      <c r="B1105">
        <v>5.7250000000000006E+50</v>
      </c>
      <c r="D1105" s="18">
        <v>1103</v>
      </c>
      <c r="E1105" s="18" cm="1">
        <f t="array" aca="1" ref="E1105" ca="1">INDIRECT("b"&amp;F1105+2)</f>
        <v>7.0749999999999993E+68</v>
      </c>
      <c r="F1105" s="18">
        <f t="shared" si="124"/>
        <v>1869</v>
      </c>
      <c r="G1105" s="18"/>
      <c r="H1105" s="18"/>
      <c r="I1105" s="19">
        <v>1103</v>
      </c>
      <c r="J1105" s="19" cm="1">
        <f t="array" aca="1" ref="J1105" ca="1">INDIRECT("b"&amp;K1105+2)</f>
        <v>7.0750000000000003E+98</v>
      </c>
      <c r="K1105" s="19">
        <f t="shared" si="127"/>
        <v>3069</v>
      </c>
    </row>
    <row r="1106" spans="1:11">
      <c r="A1106">
        <v>1104</v>
      </c>
      <c r="B1106">
        <v>5.9500000000000006E+50</v>
      </c>
      <c r="D1106" s="18">
        <v>1104</v>
      </c>
      <c r="E1106" s="18" cm="1">
        <f t="array" aca="1" ref="E1106" ca="1">INDIRECT("b"&amp;F1106+2)</f>
        <v>7.2999999999999994E+68</v>
      </c>
      <c r="F1106" s="18">
        <f t="shared" si="124"/>
        <v>1870</v>
      </c>
      <c r="G1106" s="18">
        <f t="shared" ref="G1106" ca="1" si="130">E1106/E1101</f>
        <v>1.2268907563025209</v>
      </c>
      <c r="H1106" s="18"/>
      <c r="I1106" s="19">
        <v>1104</v>
      </c>
      <c r="J1106" s="19" cm="1">
        <f t="array" aca="1" ref="J1106" ca="1">INDIRECT("b"&amp;K1106+2)</f>
        <v>7.3000000000000003E+98</v>
      </c>
      <c r="K1106" s="19">
        <f t="shared" si="127"/>
        <v>3070</v>
      </c>
    </row>
    <row r="1107" spans="1:11">
      <c r="A1107">
        <v>1105</v>
      </c>
      <c r="B1107">
        <v>6.1749999999999997E+50</v>
      </c>
      <c r="D1107" s="18">
        <v>1105</v>
      </c>
      <c r="E1107" s="18" cm="1">
        <f t="array" aca="1" ref="E1107" ca="1">INDIRECT("b"&amp;F1107+2)</f>
        <v>7.7499999999999996E+68</v>
      </c>
      <c r="F1107" s="18">
        <f t="shared" si="124"/>
        <v>1872</v>
      </c>
      <c r="G1107" s="18"/>
      <c r="H1107" s="18"/>
      <c r="I1107" s="19">
        <v>1105</v>
      </c>
      <c r="J1107" s="19" cm="1">
        <f t="array" aca="1" ref="J1107" ca="1">INDIRECT("b"&amp;K1107+2)</f>
        <v>7.7500000000000002E+98</v>
      </c>
      <c r="K1107" s="19">
        <f t="shared" si="127"/>
        <v>3072</v>
      </c>
    </row>
    <row r="1108" spans="1:11">
      <c r="A1108">
        <v>1106</v>
      </c>
      <c r="B1108">
        <v>6.3999999999999988E+50</v>
      </c>
      <c r="D1108" s="18">
        <v>1106</v>
      </c>
      <c r="E1108" s="18" cm="1">
        <f t="array" aca="1" ref="E1108" ca="1">INDIRECT("b"&amp;F1108+2)</f>
        <v>7.9749999999999997E+68</v>
      </c>
      <c r="F1108" s="18">
        <f t="shared" si="124"/>
        <v>1873</v>
      </c>
      <c r="G1108" s="18"/>
      <c r="H1108" s="18"/>
      <c r="I1108" s="19">
        <v>1106</v>
      </c>
      <c r="J1108" s="19" cm="1">
        <f t="array" aca="1" ref="J1108" ca="1">INDIRECT("b"&amp;K1108+2)</f>
        <v>7.9750000000000001E+98</v>
      </c>
      <c r="K1108" s="19">
        <f t="shared" si="127"/>
        <v>3073</v>
      </c>
    </row>
    <row r="1109" spans="1:11">
      <c r="A1109">
        <v>1107</v>
      </c>
      <c r="B1109">
        <v>6.6249999999999996E+50</v>
      </c>
      <c r="D1109" s="18">
        <v>1107</v>
      </c>
      <c r="E1109" s="18" cm="1">
        <f t="array" aca="1" ref="E1109" ca="1">INDIRECT("b"&amp;F1109+2)</f>
        <v>8.1999999999999998E+68</v>
      </c>
      <c r="F1109" s="18">
        <f t="shared" si="124"/>
        <v>1874</v>
      </c>
      <c r="G1109" s="18"/>
      <c r="H1109" s="18"/>
      <c r="I1109" s="19">
        <v>1107</v>
      </c>
      <c r="J1109" s="19" cm="1">
        <f t="array" aca="1" ref="J1109" ca="1">INDIRECT("b"&amp;K1109+2)</f>
        <v>8.2000000000000001E+98</v>
      </c>
      <c r="K1109" s="19">
        <f t="shared" si="127"/>
        <v>3074</v>
      </c>
    </row>
    <row r="1110" spans="1:11">
      <c r="A1110">
        <v>1108</v>
      </c>
      <c r="B1110">
        <v>6.8500000000000012E+50</v>
      </c>
      <c r="D1110" s="18">
        <v>1108</v>
      </c>
      <c r="E1110" s="18" cm="1">
        <f t="array" aca="1" ref="E1110" ca="1">INDIRECT("b"&amp;F1110+2)</f>
        <v>8.6500000000000001E+68</v>
      </c>
      <c r="F1110" s="18">
        <f t="shared" si="124"/>
        <v>1876</v>
      </c>
      <c r="G1110" s="18"/>
      <c r="H1110" s="18"/>
      <c r="I1110" s="19">
        <v>1108</v>
      </c>
      <c r="J1110" s="19" cm="1">
        <f t="array" aca="1" ref="J1110" ca="1">INDIRECT("b"&amp;K1110+2)</f>
        <v>8.65E+98</v>
      </c>
      <c r="K1110" s="19">
        <f t="shared" si="127"/>
        <v>3076</v>
      </c>
    </row>
    <row r="1111" spans="1:11">
      <c r="A1111">
        <v>1109</v>
      </c>
      <c r="B1111">
        <v>7.0749999999999996E+50</v>
      </c>
      <c r="D1111" s="18">
        <v>1109</v>
      </c>
      <c r="E1111" s="18" cm="1">
        <f t="array" aca="1" ref="E1111" ca="1">INDIRECT("b"&amp;F1111+2)</f>
        <v>8.8749999999999992E+68</v>
      </c>
      <c r="F1111" s="18">
        <f t="shared" si="124"/>
        <v>1877</v>
      </c>
      <c r="G1111" s="18">
        <f t="shared" ref="G1111" ca="1" si="131">E1111/E1106</f>
        <v>1.2157534246575343</v>
      </c>
      <c r="H1111" s="18"/>
      <c r="I1111" s="19">
        <v>1109</v>
      </c>
      <c r="J1111" s="19" cm="1">
        <f t="array" aca="1" ref="J1111" ca="1">INDIRECT("b"&amp;K1111+2)</f>
        <v>8.8749999999999999E+98</v>
      </c>
      <c r="K1111" s="19">
        <f t="shared" si="127"/>
        <v>3077</v>
      </c>
    </row>
    <row r="1112" spans="1:11">
      <c r="A1112">
        <v>1110</v>
      </c>
      <c r="B1112">
        <v>7.3000000000000003E+50</v>
      </c>
      <c r="D1112" s="18">
        <v>1110</v>
      </c>
      <c r="E1112" s="18" cm="1">
        <f t="array" aca="1" ref="E1112" ca="1">INDIRECT("b"&amp;F1112+2)</f>
        <v>9.1000000000000003E+68</v>
      </c>
      <c r="F1112" s="18">
        <f t="shared" si="124"/>
        <v>1878</v>
      </c>
      <c r="G1112" s="18"/>
      <c r="H1112" s="18"/>
      <c r="I1112" s="19">
        <v>1110</v>
      </c>
      <c r="J1112" s="19" cm="1">
        <f t="array" aca="1" ref="J1112" ca="1">INDIRECT("b"&amp;K1112+2)</f>
        <v>9.0999999999999999E+98</v>
      </c>
      <c r="K1112" s="19">
        <f t="shared" si="127"/>
        <v>3078</v>
      </c>
    </row>
    <row r="1113" spans="1:11">
      <c r="A1113">
        <v>1111</v>
      </c>
      <c r="B1113">
        <v>7.5249999999999995E+50</v>
      </c>
      <c r="D1113" s="18">
        <v>1111</v>
      </c>
      <c r="E1113" s="18" cm="1">
        <f t="array" aca="1" ref="E1113" ca="1">INDIRECT("b"&amp;F1113+2)</f>
        <v>9.5499999999999986E+68</v>
      </c>
      <c r="F1113" s="18">
        <f t="shared" si="124"/>
        <v>1880</v>
      </c>
      <c r="G1113" s="18"/>
      <c r="H1113" s="18"/>
      <c r="I1113" s="19">
        <v>1111</v>
      </c>
      <c r="J1113" s="19" cm="1">
        <f t="array" aca="1" ref="J1113" ca="1">INDIRECT("b"&amp;K1113+2)</f>
        <v>9.5499999999999998E+98</v>
      </c>
      <c r="K1113" s="19">
        <f t="shared" si="127"/>
        <v>3080</v>
      </c>
    </row>
    <row r="1114" spans="1:11">
      <c r="A1114">
        <v>1112</v>
      </c>
      <c r="B1114">
        <v>7.7500000000000003E+50</v>
      </c>
      <c r="D1114" s="18">
        <v>1112</v>
      </c>
      <c r="E1114" s="18" cm="1">
        <f t="array" aca="1" ref="E1114" ca="1">INDIRECT("b"&amp;F1114+2)</f>
        <v>9.7749999999999997E+68</v>
      </c>
      <c r="F1114" s="18">
        <f t="shared" si="124"/>
        <v>1881</v>
      </c>
      <c r="G1114" s="18"/>
      <c r="H1114" s="18"/>
      <c r="I1114" s="19">
        <v>1112</v>
      </c>
      <c r="J1114" s="19" cm="1">
        <f t="array" aca="1" ref="J1114" ca="1">INDIRECT("b"&amp;K1114+2)</f>
        <v>9.7749999999999997E+98</v>
      </c>
      <c r="K1114" s="19">
        <f t="shared" si="127"/>
        <v>3081</v>
      </c>
    </row>
    <row r="1115" spans="1:11">
      <c r="A1115">
        <v>1113</v>
      </c>
      <c r="B1115">
        <v>7.9750000000000011E+50</v>
      </c>
      <c r="D1115" s="18">
        <v>1113</v>
      </c>
      <c r="E1115" s="18" cm="1">
        <f t="array" aca="1" ref="E1115" ca="1">INDIRECT("b"&amp;F1115+2)</f>
        <v>9.9999999999999988E+68</v>
      </c>
      <c r="F1115" s="18">
        <f t="shared" si="124"/>
        <v>1882</v>
      </c>
      <c r="G1115" s="18"/>
      <c r="H1115" s="18"/>
      <c r="I1115" s="19">
        <v>1113</v>
      </c>
      <c r="J1115" s="19" cm="1">
        <f t="array" aca="1" ref="J1115" ca="1">INDIRECT("b"&amp;K1115+2)</f>
        <v>1.0000000000000001E+99</v>
      </c>
      <c r="K1115" s="19">
        <f t="shared" si="127"/>
        <v>3082</v>
      </c>
    </row>
    <row r="1116" spans="1:11">
      <c r="A1116">
        <v>1114</v>
      </c>
      <c r="B1116">
        <v>8.1999999999999985E+50</v>
      </c>
      <c r="D1116" s="18">
        <v>1114</v>
      </c>
      <c r="E1116" s="18" cm="1">
        <f t="array" aca="1" ref="E1116" ca="1">INDIRECT("b"&amp;F1116+2)</f>
        <v>1.4499999999999999E+69</v>
      </c>
      <c r="F1116" s="18">
        <f t="shared" si="124"/>
        <v>1884</v>
      </c>
      <c r="G1116" s="18">
        <f t="shared" ref="G1116" ca="1" si="132">E1116/E1111</f>
        <v>1.6338028169014085</v>
      </c>
      <c r="H1116" s="18"/>
      <c r="I1116" s="19">
        <v>1114</v>
      </c>
      <c r="J1116" s="19" cm="1">
        <f t="array" aca="1" ref="J1116" ca="1">INDIRECT("b"&amp;K1116+2)</f>
        <v>1.4500000000000001E+99</v>
      </c>
      <c r="K1116" s="19">
        <f t="shared" si="127"/>
        <v>3084</v>
      </c>
    </row>
    <row r="1117" spans="1:11">
      <c r="A1117">
        <v>1115</v>
      </c>
      <c r="B1117">
        <v>8.425000000000001E+50</v>
      </c>
      <c r="D1117" s="18">
        <v>1115</v>
      </c>
      <c r="E1117" s="18" cm="1">
        <f t="array" aca="1" ref="E1117" ca="1">INDIRECT("b"&amp;F1117+2)</f>
        <v>1.6749999999999998E+69</v>
      </c>
      <c r="F1117" s="18">
        <f t="shared" si="124"/>
        <v>1885</v>
      </c>
      <c r="G1117" s="18"/>
      <c r="H1117" s="18"/>
      <c r="I1117" s="19">
        <v>1115</v>
      </c>
      <c r="J1117" s="19" cm="1">
        <f t="array" aca="1" ref="J1117" ca="1">INDIRECT("b"&amp;K1117+2)</f>
        <v>1.6750000000000001E+99</v>
      </c>
      <c r="K1117" s="19">
        <f t="shared" si="127"/>
        <v>3085</v>
      </c>
    </row>
    <row r="1118" spans="1:11">
      <c r="A1118">
        <v>1116</v>
      </c>
      <c r="B1118">
        <v>8.6500000000000001E+50</v>
      </c>
      <c r="D1118" s="18">
        <v>1116</v>
      </c>
      <c r="E1118" s="18" cm="1">
        <f t="array" aca="1" ref="E1118" ca="1">INDIRECT("b"&amp;F1118+2)</f>
        <v>1.8999999999999998E+69</v>
      </c>
      <c r="F1118" s="18">
        <f t="shared" si="124"/>
        <v>1886</v>
      </c>
      <c r="G1118" s="18">
        <f t="shared" ref="G1118" ca="1" si="133">E1118/E1113</f>
        <v>1.9895287958115184</v>
      </c>
      <c r="H1118" s="18"/>
      <c r="I1118" s="19">
        <v>1116</v>
      </c>
      <c r="J1118" s="19" cm="1">
        <f t="array" aca="1" ref="J1118" ca="1">INDIRECT("b"&amp;K1118+2)</f>
        <v>1.9000000000000003E+99</v>
      </c>
      <c r="K1118" s="19">
        <f t="shared" si="127"/>
        <v>3086</v>
      </c>
    </row>
    <row r="1119" spans="1:11">
      <c r="A1119">
        <v>1117</v>
      </c>
      <c r="B1119">
        <v>8.8749999999999993E+50</v>
      </c>
      <c r="D1119" s="18">
        <v>1117</v>
      </c>
      <c r="E1119" s="18" cm="1">
        <f t="array" aca="1" ref="E1119" ca="1">INDIRECT("b"&amp;F1119+2)</f>
        <v>2.35E+69</v>
      </c>
      <c r="F1119" s="18">
        <f t="shared" si="124"/>
        <v>1888</v>
      </c>
      <c r="G1119" s="18"/>
      <c r="H1119" s="18"/>
      <c r="I1119" s="19">
        <v>1117</v>
      </c>
      <c r="J1119" s="19" cm="1">
        <f t="array" aca="1" ref="J1119" ca="1">INDIRECT("b"&amp;K1119+2)</f>
        <v>2.3500000000000004E+99</v>
      </c>
      <c r="K1119" s="19">
        <f t="shared" si="127"/>
        <v>3088</v>
      </c>
    </row>
    <row r="1120" spans="1:11">
      <c r="A1120">
        <v>1118</v>
      </c>
      <c r="B1120">
        <v>9.0999999999999984E+50</v>
      </c>
      <c r="D1120" s="18">
        <v>1118</v>
      </c>
      <c r="E1120" s="18" cm="1">
        <f t="array" aca="1" ref="E1120" ca="1">INDIRECT("b"&amp;F1120+2)</f>
        <v>2.5749999999999999E+69</v>
      </c>
      <c r="F1120" s="18">
        <f t="shared" si="124"/>
        <v>1889</v>
      </c>
      <c r="G1120" s="18"/>
      <c r="H1120" s="18"/>
      <c r="I1120" s="19">
        <v>1118</v>
      </c>
      <c r="J1120" s="19" cm="1">
        <f t="array" aca="1" ref="J1120" ca="1">INDIRECT("b"&amp;K1120+2)</f>
        <v>2.5750000000000001E+99</v>
      </c>
      <c r="K1120" s="19">
        <f t="shared" si="127"/>
        <v>3089</v>
      </c>
    </row>
    <row r="1121" spans="1:11">
      <c r="A1121">
        <v>1119</v>
      </c>
      <c r="B1121">
        <v>9.3249999999999992E+50</v>
      </c>
      <c r="D1121" s="18">
        <v>1119</v>
      </c>
      <c r="E1121" s="18" cm="1">
        <f t="array" aca="1" ref="E1121" ca="1">INDIRECT("b"&amp;F1121+2)</f>
        <v>2.7999999999999998E+69</v>
      </c>
      <c r="F1121" s="18">
        <f t="shared" si="124"/>
        <v>1890</v>
      </c>
      <c r="G1121" s="18"/>
      <c r="H1121" s="18"/>
      <c r="I1121" s="19">
        <v>1119</v>
      </c>
      <c r="J1121" s="19" cm="1">
        <f t="array" aca="1" ref="J1121" ca="1">INDIRECT("b"&amp;K1121+2)</f>
        <v>2.8000000000000003E+99</v>
      </c>
      <c r="K1121" s="19">
        <f t="shared" si="127"/>
        <v>3090</v>
      </c>
    </row>
    <row r="1122" spans="1:11">
      <c r="A1122">
        <v>1120</v>
      </c>
      <c r="B1122">
        <v>9.55E+50</v>
      </c>
      <c r="D1122" s="18">
        <v>1120</v>
      </c>
      <c r="E1122" s="18" cm="1">
        <f t="array" aca="1" ref="E1122" ca="1">INDIRECT("b"&amp;F1122+2)</f>
        <v>3.2499999999999997E+69</v>
      </c>
      <c r="F1122" s="18">
        <f t="shared" si="124"/>
        <v>1892</v>
      </c>
      <c r="G1122" s="18"/>
      <c r="H1122" s="18"/>
      <c r="I1122" s="19">
        <v>1120</v>
      </c>
      <c r="J1122" s="19" cm="1">
        <f t="array" aca="1" ref="J1122" ca="1">INDIRECT("b"&amp;K1122+2)</f>
        <v>3.2500000000000002E+99</v>
      </c>
      <c r="K1122" s="19">
        <f t="shared" si="127"/>
        <v>3092</v>
      </c>
    </row>
    <row r="1123" spans="1:11">
      <c r="A1123">
        <v>1121</v>
      </c>
      <c r="B1123">
        <v>9.7749999999999991E+50</v>
      </c>
      <c r="D1123" s="18">
        <v>1121</v>
      </c>
      <c r="E1123" s="18" cm="1">
        <f t="array" aca="1" ref="E1123" ca="1">INDIRECT("b"&amp;F1123+2)</f>
        <v>3.4749999999999996E+69</v>
      </c>
      <c r="F1123" s="18">
        <f t="shared" si="124"/>
        <v>1893</v>
      </c>
      <c r="G1123" s="18">
        <f t="shared" ref="G1123" ca="1" si="134">E1123/E1118</f>
        <v>1.8289473684210527</v>
      </c>
      <c r="H1123" s="18"/>
      <c r="I1123" s="19">
        <v>1121</v>
      </c>
      <c r="J1123" s="19" cm="1">
        <f t="array" aca="1" ref="J1123" ca="1">INDIRECT("b"&amp;K1123+2)</f>
        <v>3.4750000000000004E+99</v>
      </c>
      <c r="K1123" s="19">
        <f t="shared" si="127"/>
        <v>3093</v>
      </c>
    </row>
    <row r="1124" spans="1:11">
      <c r="A1124">
        <v>1122</v>
      </c>
      <c r="B1124">
        <v>9.9999999999999999E+50</v>
      </c>
      <c r="D1124" s="18">
        <v>1122</v>
      </c>
      <c r="E1124" s="18" cm="1">
        <f t="array" aca="1" ref="E1124" ca="1">INDIRECT("b"&amp;F1124+2)</f>
        <v>3.6999999999999999E+69</v>
      </c>
      <c r="F1124" s="18">
        <f t="shared" si="124"/>
        <v>1894</v>
      </c>
      <c r="G1124" s="18"/>
      <c r="H1124" s="18"/>
      <c r="I1124" s="19">
        <v>1122</v>
      </c>
      <c r="J1124" s="19" cm="1">
        <f t="array" aca="1" ref="J1124" ca="1">INDIRECT("b"&amp;K1124+2)</f>
        <v>3.7000000000000001E+99</v>
      </c>
      <c r="K1124" s="19">
        <f t="shared" si="127"/>
        <v>3094</v>
      </c>
    </row>
    <row r="1125" spans="1:11">
      <c r="A1125">
        <v>1123</v>
      </c>
      <c r="B1125">
        <v>1.2250000000000001E+51</v>
      </c>
      <c r="D1125" s="18">
        <v>1123</v>
      </c>
      <c r="E1125" s="18" cm="1">
        <f t="array" aca="1" ref="E1125" ca="1">INDIRECT("b"&amp;F1125+2)</f>
        <v>4.1499999999999997E+69</v>
      </c>
      <c r="F1125" s="18">
        <f t="shared" si="124"/>
        <v>1896</v>
      </c>
      <c r="G1125" s="18"/>
      <c r="H1125" s="18"/>
      <c r="I1125" s="19">
        <v>1123</v>
      </c>
      <c r="J1125" s="19" cm="1">
        <f t="array" aca="1" ref="J1125" ca="1">INDIRECT("b"&amp;K1125+2)</f>
        <v>4.1500000000000005E+99</v>
      </c>
      <c r="K1125" s="19">
        <f t="shared" si="127"/>
        <v>3096</v>
      </c>
    </row>
    <row r="1126" spans="1:11">
      <c r="A1126">
        <v>1124</v>
      </c>
      <c r="B1126">
        <v>1.4499999999999998E+51</v>
      </c>
      <c r="D1126" s="18">
        <v>1124</v>
      </c>
      <c r="E1126" s="18" cm="1">
        <f t="array" aca="1" ref="E1126" ca="1">INDIRECT("b"&amp;F1126+2)</f>
        <v>4.375E+69</v>
      </c>
      <c r="F1126" s="18">
        <f t="shared" si="124"/>
        <v>1897</v>
      </c>
      <c r="G1126" s="18"/>
      <c r="H1126" s="18"/>
      <c r="I1126" s="19">
        <v>1124</v>
      </c>
      <c r="J1126" s="19" cm="1">
        <f t="array" aca="1" ref="J1126" ca="1">INDIRECT("b"&amp;K1126+2)</f>
        <v>4.3750000000000007E+99</v>
      </c>
      <c r="K1126" s="19">
        <f t="shared" si="127"/>
        <v>3097</v>
      </c>
    </row>
    <row r="1127" spans="1:11">
      <c r="A1127">
        <v>1125</v>
      </c>
      <c r="B1127">
        <v>1.6750000000000001E+51</v>
      </c>
      <c r="D1127" s="18">
        <v>1125</v>
      </c>
      <c r="E1127" s="18" cm="1">
        <f t="array" aca="1" ref="E1127" ca="1">INDIRECT("b"&amp;F1127+2)</f>
        <v>4.5999999999999996E+69</v>
      </c>
      <c r="F1127" s="18">
        <f t="shared" si="124"/>
        <v>1898</v>
      </c>
      <c r="G1127" s="18"/>
      <c r="H1127" s="18"/>
      <c r="I1127" s="19">
        <v>1125</v>
      </c>
      <c r="J1127" s="19" cm="1">
        <f t="array" aca="1" ref="J1127" ca="1">INDIRECT("b"&amp;K1127+2)</f>
        <v>4.6000000000000004E+99</v>
      </c>
      <c r="K1127" s="19">
        <f t="shared" si="127"/>
        <v>3098</v>
      </c>
    </row>
    <row r="1128" spans="1:11">
      <c r="A1128">
        <v>1126</v>
      </c>
      <c r="B1128">
        <v>1.9000000000000002E+51</v>
      </c>
      <c r="D1128" s="18">
        <v>1126</v>
      </c>
      <c r="E1128" s="18" cm="1">
        <f t="array" aca="1" ref="E1128" ca="1">INDIRECT("b"&amp;F1128+2)</f>
        <v>5.0499999999999994E+69</v>
      </c>
      <c r="F1128" s="18">
        <f t="shared" si="124"/>
        <v>1900</v>
      </c>
      <c r="G1128" s="18">
        <f t="shared" ref="G1128" ca="1" si="135">E1128/E1123</f>
        <v>1.4532374100719425</v>
      </c>
      <c r="H1128" s="18"/>
      <c r="I1128" s="19">
        <v>1126</v>
      </c>
      <c r="J1128" s="19" cm="1">
        <f t="array" aca="1" ref="J1128" ca="1">INDIRECT("b"&amp;K1128+2)</f>
        <v>5.0500000000000008E+99</v>
      </c>
      <c r="K1128" s="19">
        <f t="shared" si="127"/>
        <v>3100</v>
      </c>
    </row>
    <row r="1129" spans="1:11">
      <c r="A1129">
        <v>1127</v>
      </c>
      <c r="B1129">
        <v>2.125E+51</v>
      </c>
      <c r="D1129" s="18">
        <v>1127</v>
      </c>
      <c r="E1129" s="18" cm="1">
        <f t="array" aca="1" ref="E1129" ca="1">INDIRECT("b"&amp;F1129+2)</f>
        <v>5.2749999999999997E+69</v>
      </c>
      <c r="F1129" s="18">
        <f t="shared" si="124"/>
        <v>1901</v>
      </c>
      <c r="G1129" s="18"/>
      <c r="H1129" s="18"/>
      <c r="I1129" s="19">
        <v>1127</v>
      </c>
      <c r="J1129" s="19" cm="1">
        <f t="array" aca="1" ref="J1129" ca="1">INDIRECT("b"&amp;K1129+2)</f>
        <v>5.2750000000000005E+99</v>
      </c>
      <c r="K1129" s="19">
        <f t="shared" si="127"/>
        <v>3101</v>
      </c>
    </row>
    <row r="1130" spans="1:11">
      <c r="A1130">
        <v>1128</v>
      </c>
      <c r="B1130">
        <v>2.3500000000000001E+51</v>
      </c>
      <c r="D1130" s="18">
        <v>1128</v>
      </c>
      <c r="E1130" s="18" cm="1">
        <f t="array" aca="1" ref="E1130" ca="1">INDIRECT("b"&amp;F1130+2)</f>
        <v>5.5E+69</v>
      </c>
      <c r="F1130" s="18">
        <f t="shared" si="124"/>
        <v>1902</v>
      </c>
      <c r="G1130" s="18"/>
      <c r="H1130" s="18"/>
      <c r="I1130" s="19">
        <v>1128</v>
      </c>
      <c r="J1130" s="19" cm="1">
        <f t="array" aca="1" ref="J1130" ca="1">INDIRECT("b"&amp;K1130+2)</f>
        <v>5.5000000000000002E+99</v>
      </c>
      <c r="K1130" s="19">
        <f t="shared" si="127"/>
        <v>3102</v>
      </c>
    </row>
    <row r="1131" spans="1:11">
      <c r="A1131">
        <v>1129</v>
      </c>
      <c r="B1131">
        <v>2.5749999999999999E+51</v>
      </c>
      <c r="D1131" s="18">
        <v>1129</v>
      </c>
      <c r="E1131" s="18" cm="1">
        <f t="array" aca="1" ref="E1131" ca="1">INDIRECT("b"&amp;F1131+2)</f>
        <v>5.9499999999999999E+69</v>
      </c>
      <c r="F1131" s="18">
        <f t="shared" si="124"/>
        <v>1904</v>
      </c>
      <c r="G1131" s="18"/>
      <c r="H1131" s="18"/>
      <c r="I1131" s="19">
        <v>1129</v>
      </c>
      <c r="J1131" s="19" cm="1">
        <f t="array" aca="1" ref="J1131" ca="1">INDIRECT("b"&amp;K1131+2)</f>
        <v>5.9500000000000006E+99</v>
      </c>
      <c r="K1131" s="19">
        <f t="shared" si="127"/>
        <v>3104</v>
      </c>
    </row>
    <row r="1132" spans="1:11">
      <c r="A1132">
        <v>1130</v>
      </c>
      <c r="B1132">
        <v>2.8E+51</v>
      </c>
      <c r="D1132" s="18">
        <v>1130</v>
      </c>
      <c r="E1132" s="18" cm="1">
        <f t="array" aca="1" ref="E1132" ca="1">INDIRECT("b"&amp;F1132+2)</f>
        <v>6.1749999999999994E+69</v>
      </c>
      <c r="F1132" s="18">
        <f t="shared" si="124"/>
        <v>1905</v>
      </c>
      <c r="G1132" s="18"/>
      <c r="H1132" s="18"/>
      <c r="I1132" s="19">
        <v>1130</v>
      </c>
      <c r="J1132" s="19" cm="1">
        <f t="array" aca="1" ref="J1132" ca="1">INDIRECT("b"&amp;K1132+2)</f>
        <v>6.1750000000000003E+99</v>
      </c>
      <c r="K1132" s="19">
        <f t="shared" si="127"/>
        <v>3105</v>
      </c>
    </row>
    <row r="1133" spans="1:11">
      <c r="A1133">
        <v>1131</v>
      </c>
      <c r="B1133">
        <v>3.0249999999999998E+51</v>
      </c>
      <c r="D1133" s="18">
        <v>1131</v>
      </c>
      <c r="E1133" s="18" cm="1">
        <f t="array" aca="1" ref="E1133" ca="1">INDIRECT("b"&amp;F1133+2)</f>
        <v>6.3999999999999997E+69</v>
      </c>
      <c r="F1133" s="18">
        <f t="shared" si="124"/>
        <v>1906</v>
      </c>
      <c r="G1133" s="18">
        <f t="shared" ref="G1133" ca="1" si="136">E1133/E1128</f>
        <v>1.2673267326732673</v>
      </c>
      <c r="H1133" s="18"/>
      <c r="I1133" s="19">
        <v>1131</v>
      </c>
      <c r="J1133" s="19" cm="1">
        <f t="array" aca="1" ref="J1133" ca="1">INDIRECT("b"&amp;K1133+2)</f>
        <v>6.400000000000001E+99</v>
      </c>
      <c r="K1133" s="19">
        <f t="shared" si="127"/>
        <v>3106</v>
      </c>
    </row>
    <row r="1134" spans="1:11">
      <c r="A1134">
        <v>1132</v>
      </c>
      <c r="B1134">
        <v>3.25E+51</v>
      </c>
      <c r="D1134" s="18">
        <v>1132</v>
      </c>
      <c r="E1134" s="18" cm="1">
        <f t="array" aca="1" ref="E1134" ca="1">INDIRECT("b"&amp;F1134+2)</f>
        <v>6.8499999999999995E+69</v>
      </c>
      <c r="F1134" s="18">
        <f t="shared" si="124"/>
        <v>1908</v>
      </c>
      <c r="G1134" s="18"/>
      <c r="H1134" s="18"/>
      <c r="I1134" s="19">
        <v>1132</v>
      </c>
      <c r="J1134" s="19" cm="1">
        <f t="array" aca="1" ref="J1134" ca="1">INDIRECT("b"&amp;K1134+2)</f>
        <v>6.8500000000000004E+99</v>
      </c>
      <c r="K1134" s="19">
        <f t="shared" si="127"/>
        <v>3108</v>
      </c>
    </row>
    <row r="1135" spans="1:11">
      <c r="A1135">
        <v>1133</v>
      </c>
      <c r="B1135">
        <v>3.4750000000000001E+51</v>
      </c>
      <c r="D1135" s="18">
        <v>1133</v>
      </c>
      <c r="E1135" s="18" cm="1">
        <f t="array" aca="1" ref="E1135" ca="1">INDIRECT("b"&amp;F1135+2)</f>
        <v>7.0749999999999998E+69</v>
      </c>
      <c r="F1135" s="18">
        <f t="shared" si="124"/>
        <v>1909</v>
      </c>
      <c r="G1135" s="18"/>
      <c r="H1135" s="18"/>
      <c r="I1135" s="19">
        <v>1133</v>
      </c>
      <c r="J1135" s="19" cm="1">
        <f t="array" aca="1" ref="J1135" ca="1">INDIRECT("b"&amp;K1135+2)</f>
        <v>7.0750000000000001E+99</v>
      </c>
      <c r="K1135" s="19">
        <f t="shared" si="127"/>
        <v>3109</v>
      </c>
    </row>
    <row r="1136" spans="1:11">
      <c r="A1136">
        <v>1134</v>
      </c>
      <c r="B1136">
        <v>3.7000000000000002E+51</v>
      </c>
      <c r="D1136" s="18">
        <v>1134</v>
      </c>
      <c r="E1136" s="18" cm="1">
        <f t="array" aca="1" ref="E1136" ca="1">INDIRECT("b"&amp;F1136+2)</f>
        <v>7.3000000000000001E+69</v>
      </c>
      <c r="F1136" s="18">
        <f t="shared" si="124"/>
        <v>1910</v>
      </c>
      <c r="G1136" s="18"/>
      <c r="H1136" s="18"/>
      <c r="I1136" s="19">
        <v>1134</v>
      </c>
      <c r="J1136" s="19" cm="1">
        <f t="array" aca="1" ref="J1136" ca="1">INDIRECT("b"&amp;K1136+2)</f>
        <v>7.3000000000000008E+99</v>
      </c>
      <c r="K1136" s="19">
        <f t="shared" si="127"/>
        <v>3110</v>
      </c>
    </row>
    <row r="1137" spans="1:11">
      <c r="A1137">
        <v>1135</v>
      </c>
      <c r="B1137">
        <v>3.9250000000000004E+51</v>
      </c>
      <c r="D1137" s="18">
        <v>1135</v>
      </c>
      <c r="E1137" s="18" cm="1">
        <f t="array" aca="1" ref="E1137" ca="1">INDIRECT("b"&amp;F1137+2)</f>
        <v>7.7499999999999992E+69</v>
      </c>
      <c r="F1137" s="18">
        <f t="shared" si="124"/>
        <v>1912</v>
      </c>
      <c r="G1137" s="18"/>
      <c r="H1137" s="18"/>
      <c r="I1137" s="19">
        <v>1135</v>
      </c>
      <c r="J1137" s="19" cm="1">
        <f t="array" aca="1" ref="J1137" ca="1">INDIRECT("b"&amp;K1137+2)</f>
        <v>7.7500000000000002E+99</v>
      </c>
      <c r="K1137" s="19">
        <f t="shared" si="127"/>
        <v>3112</v>
      </c>
    </row>
    <row r="1138" spans="1:11">
      <c r="A1138">
        <v>1136</v>
      </c>
      <c r="B1138">
        <v>4.1500000000000005E+51</v>
      </c>
      <c r="D1138" s="18">
        <v>1136</v>
      </c>
      <c r="E1138" s="18" cm="1">
        <f t="array" aca="1" ref="E1138" ca="1">INDIRECT("b"&amp;F1138+2)</f>
        <v>7.9749999999999995E+69</v>
      </c>
      <c r="F1138" s="18">
        <f t="shared" si="124"/>
        <v>1913</v>
      </c>
      <c r="G1138" s="18">
        <f t="shared" ref="G1138" ca="1" si="137">E1138/E1133</f>
        <v>1.24609375</v>
      </c>
      <c r="H1138" s="18"/>
      <c r="I1138" s="19">
        <v>1136</v>
      </c>
      <c r="J1138" s="19" cm="1">
        <f t="array" aca="1" ref="J1138" ca="1">INDIRECT("b"&amp;K1138+2)</f>
        <v>7.9750000000000009E+99</v>
      </c>
      <c r="K1138" s="19">
        <f t="shared" si="127"/>
        <v>3113</v>
      </c>
    </row>
    <row r="1139" spans="1:11">
      <c r="A1139">
        <v>1137</v>
      </c>
      <c r="B1139">
        <v>4.375E+51</v>
      </c>
      <c r="D1139" s="18">
        <v>1137</v>
      </c>
      <c r="E1139" s="18" cm="1">
        <f t="array" aca="1" ref="E1139" ca="1">INDIRECT("b"&amp;F1139+2)</f>
        <v>8.1999999999999998E+69</v>
      </c>
      <c r="F1139" s="18">
        <f t="shared" si="124"/>
        <v>1914</v>
      </c>
      <c r="G1139" s="18"/>
      <c r="H1139" s="18"/>
      <c r="I1139" s="19">
        <v>1137</v>
      </c>
      <c r="J1139" s="19" cm="1">
        <f t="array" aca="1" ref="J1139" ca="1">INDIRECT("b"&amp;K1139+2)</f>
        <v>8.2000000000000006E+99</v>
      </c>
      <c r="K1139" s="19">
        <f t="shared" si="127"/>
        <v>3114</v>
      </c>
    </row>
    <row r="1140" spans="1:11">
      <c r="A1140">
        <v>1138</v>
      </c>
      <c r="B1140">
        <v>4.6000000000000001E+51</v>
      </c>
      <c r="D1140" s="18">
        <v>1138</v>
      </c>
      <c r="E1140" s="18" cm="1">
        <f t="array" aca="1" ref="E1140" ca="1">INDIRECT("b"&amp;F1140+2)</f>
        <v>8.6499999999999989E+69</v>
      </c>
      <c r="F1140" s="18">
        <f t="shared" si="124"/>
        <v>1916</v>
      </c>
      <c r="G1140" s="18"/>
      <c r="H1140" s="18"/>
      <c r="I1140" s="19">
        <v>1138</v>
      </c>
      <c r="J1140" s="19" cm="1">
        <f t="array" aca="1" ref="J1140" ca="1">INDIRECT("b"&amp;K1140+2)</f>
        <v>8.6500000000000009E+99</v>
      </c>
      <c r="K1140" s="19">
        <f t="shared" si="127"/>
        <v>3116</v>
      </c>
    </row>
    <row r="1141" spans="1:11">
      <c r="A1141">
        <v>1139</v>
      </c>
      <c r="B1141">
        <v>4.8250000000000009E+51</v>
      </c>
      <c r="D1141" s="18">
        <v>1139</v>
      </c>
      <c r="E1141" s="18" cm="1">
        <f t="array" aca="1" ref="E1141" ca="1">INDIRECT("b"&amp;F1141+2)</f>
        <v>8.8749999999999992E+69</v>
      </c>
      <c r="F1141" s="18">
        <f t="shared" si="124"/>
        <v>1917</v>
      </c>
      <c r="G1141" s="18"/>
      <c r="H1141" s="18"/>
      <c r="I1141" s="19">
        <v>1139</v>
      </c>
      <c r="J1141" s="19" cm="1">
        <f t="array" aca="1" ref="J1141" ca="1">INDIRECT("b"&amp;K1141+2)</f>
        <v>8.8750000000000007E+99</v>
      </c>
      <c r="K1141" s="19">
        <f t="shared" si="127"/>
        <v>3117</v>
      </c>
    </row>
    <row r="1142" spans="1:11">
      <c r="A1142">
        <v>1140</v>
      </c>
      <c r="B1142">
        <v>5.0500000000000004E+51</v>
      </c>
      <c r="D1142" s="18">
        <v>1140</v>
      </c>
      <c r="E1142" s="18" cm="1">
        <f t="array" aca="1" ref="E1142" ca="1">INDIRECT("b"&amp;F1142+2)</f>
        <v>9.0999999999999995E+69</v>
      </c>
      <c r="F1142" s="18">
        <f t="shared" si="124"/>
        <v>1918</v>
      </c>
      <c r="G1142" s="18"/>
      <c r="H1142" s="18"/>
      <c r="I1142" s="19">
        <v>1140</v>
      </c>
      <c r="J1142" s="19" cm="1">
        <f t="array" aca="1" ref="J1142" ca="1">INDIRECT("b"&amp;K1142+2)</f>
        <v>9.1000000000000013E+99</v>
      </c>
      <c r="K1142" s="19">
        <f t="shared" si="127"/>
        <v>3118</v>
      </c>
    </row>
    <row r="1143" spans="1:11">
      <c r="A1143">
        <v>1141</v>
      </c>
      <c r="B1143">
        <v>5.2749999999999998E+51</v>
      </c>
      <c r="D1143" s="18">
        <v>1141</v>
      </c>
      <c r="E1143" s="18" cm="1">
        <f t="array" aca="1" ref="E1143" ca="1">INDIRECT("b"&amp;F1143+2)</f>
        <v>9.5500000000000001E+69</v>
      </c>
      <c r="F1143" s="18">
        <f t="shared" si="124"/>
        <v>1920</v>
      </c>
      <c r="G1143" s="18">
        <f t="shared" ref="G1143" ca="1" si="138">E1143/E1138</f>
        <v>1.1974921630094044</v>
      </c>
      <c r="H1143" s="18"/>
      <c r="I1143" s="19">
        <v>1141</v>
      </c>
      <c r="J1143" s="19" cm="1">
        <f t="array" aca="1" ref="J1143" ca="1">INDIRECT("b"&amp;K1143+2)</f>
        <v>9.5500000000000007E+99</v>
      </c>
      <c r="K1143" s="19">
        <f t="shared" si="127"/>
        <v>3120</v>
      </c>
    </row>
    <row r="1144" spans="1:11">
      <c r="A1144">
        <v>1142</v>
      </c>
      <c r="B1144">
        <v>5.4999999999999993E+51</v>
      </c>
      <c r="D1144" s="18">
        <v>1142</v>
      </c>
      <c r="E1144" s="18" cm="1">
        <f t="array" aca="1" ref="E1144" ca="1">INDIRECT("b"&amp;F1144+2)</f>
        <v>9.7749999999999989E+69</v>
      </c>
      <c r="F1144" s="18">
        <f t="shared" si="124"/>
        <v>1921</v>
      </c>
      <c r="G1144" s="18"/>
      <c r="H1144" s="18"/>
      <c r="I1144" s="19">
        <v>1142</v>
      </c>
      <c r="J1144" s="19" cm="1">
        <f t="array" aca="1" ref="J1144" ca="1">INDIRECT("b"&amp;K1144+2)</f>
        <v>9.7750000000000014E+99</v>
      </c>
      <c r="K1144" s="19">
        <f t="shared" si="127"/>
        <v>3121</v>
      </c>
    </row>
    <row r="1145" spans="1:11">
      <c r="A1145">
        <v>1143</v>
      </c>
      <c r="B1145">
        <v>5.7250000000000008E+51</v>
      </c>
      <c r="D1145" s="18">
        <v>1143</v>
      </c>
      <c r="E1145" s="18" cm="1">
        <f t="array" aca="1" ref="E1145" ca="1">INDIRECT("b"&amp;F1145+2)</f>
        <v>1.0000000000000001E+70</v>
      </c>
      <c r="F1145" s="18">
        <f t="shared" si="124"/>
        <v>1922</v>
      </c>
      <c r="G1145" s="18"/>
      <c r="H1145" s="18"/>
      <c r="I1145" s="19">
        <v>1143</v>
      </c>
      <c r="J1145" s="19" cm="1">
        <f t="array" aca="1" ref="J1145" ca="1">INDIRECT("b"&amp;K1145+2)</f>
        <v>1E+100</v>
      </c>
      <c r="K1145" s="19">
        <f t="shared" si="127"/>
        <v>3122</v>
      </c>
    </row>
    <row r="1146" spans="1:11">
      <c r="A1146">
        <v>1144</v>
      </c>
      <c r="B1146">
        <v>5.9500000000000009E+51</v>
      </c>
      <c r="D1146" s="18">
        <v>1144</v>
      </c>
      <c r="E1146" s="18" cm="1">
        <f t="array" aca="1" ref="E1146" ca="1">INDIRECT("b"&amp;F1146+2)</f>
        <v>1.4499999999999999E+70</v>
      </c>
      <c r="F1146" s="18">
        <f t="shared" si="124"/>
        <v>1924</v>
      </c>
      <c r="G1146" s="18"/>
      <c r="H1146" s="18"/>
      <c r="I1146" s="19">
        <v>1144</v>
      </c>
      <c r="J1146" s="19" cm="1">
        <f t="array" aca="1" ref="J1146" ca="1">INDIRECT("b"&amp;K1146+2)</f>
        <v>1.45E+100</v>
      </c>
      <c r="K1146" s="19">
        <f t="shared" si="127"/>
        <v>3124</v>
      </c>
    </row>
    <row r="1147" spans="1:11">
      <c r="A1147">
        <v>1145</v>
      </c>
      <c r="B1147">
        <v>6.1749999999999997E+51</v>
      </c>
      <c r="D1147" s="18">
        <v>1145</v>
      </c>
      <c r="E1147" s="18" cm="1">
        <f t="array" aca="1" ref="E1147" ca="1">INDIRECT("b"&amp;F1147+2)</f>
        <v>1.6749999999999999E+70</v>
      </c>
      <c r="F1147" s="18">
        <f t="shared" si="124"/>
        <v>1925</v>
      </c>
      <c r="G1147" s="18"/>
      <c r="H1147" s="18"/>
      <c r="I1147" s="19">
        <v>1145</v>
      </c>
      <c r="J1147" s="19" cm="1">
        <f t="array" aca="1" ref="J1147" ca="1">INDIRECT("b"&amp;K1147+2)</f>
        <v>1.6750000000000001E+100</v>
      </c>
      <c r="K1147" s="19">
        <f t="shared" si="127"/>
        <v>3125</v>
      </c>
    </row>
    <row r="1148" spans="1:11">
      <c r="A1148">
        <v>1146</v>
      </c>
      <c r="B1148">
        <v>6.3999999999999992E+51</v>
      </c>
      <c r="D1148" s="18">
        <v>1146</v>
      </c>
      <c r="E1148" s="18" cm="1">
        <f t="array" aca="1" ref="E1148" ca="1">INDIRECT("b"&amp;F1148+2)</f>
        <v>1.9000000000000002E+70</v>
      </c>
      <c r="F1148" s="18">
        <f t="shared" si="124"/>
        <v>1926</v>
      </c>
      <c r="G1148" s="18">
        <f t="shared" ref="G1148" ca="1" si="139">E1148/E1143</f>
        <v>1.9895287958115184</v>
      </c>
      <c r="H1148" s="18"/>
      <c r="I1148" s="19">
        <v>1146</v>
      </c>
      <c r="J1148" s="19" cm="1">
        <f t="array" aca="1" ref="J1148" ca="1">INDIRECT("b"&amp;K1148+2)</f>
        <v>1.9000000000000002E+100</v>
      </c>
      <c r="K1148" s="19">
        <f t="shared" si="127"/>
        <v>3126</v>
      </c>
    </row>
    <row r="1149" spans="1:11">
      <c r="A1149">
        <v>1147</v>
      </c>
      <c r="B1149">
        <v>6.625E+51</v>
      </c>
      <c r="D1149" s="18">
        <v>1147</v>
      </c>
      <c r="E1149" s="18" cm="1">
        <f t="array" aca="1" ref="E1149" ca="1">INDIRECT("b"&amp;F1149+2)</f>
        <v>2.3500000000000002E+70</v>
      </c>
      <c r="F1149" s="18">
        <f t="shared" ref="F1149:F1212" si="140">INT((A1149-123)*1.333333)+563</f>
        <v>1928</v>
      </c>
      <c r="G1149" s="18"/>
      <c r="H1149" s="18"/>
      <c r="I1149" s="19">
        <v>1147</v>
      </c>
      <c r="J1149" s="19" cm="1">
        <f t="array" aca="1" ref="J1149" ca="1">INDIRECT("b"&amp;K1149+2)</f>
        <v>2.35E+100</v>
      </c>
      <c r="K1149" s="19">
        <f t="shared" si="127"/>
        <v>3128</v>
      </c>
    </row>
    <row r="1150" spans="1:11">
      <c r="A1150">
        <v>1148</v>
      </c>
      <c r="B1150">
        <v>6.8500000000000008E+51</v>
      </c>
      <c r="D1150" s="18">
        <v>1148</v>
      </c>
      <c r="E1150" s="18" cm="1">
        <f t="array" aca="1" ref="E1150" ca="1">INDIRECT("b"&amp;F1150+2)</f>
        <v>2.5750000000000002E+70</v>
      </c>
      <c r="F1150" s="18">
        <f t="shared" si="140"/>
        <v>1929</v>
      </c>
      <c r="G1150" s="18"/>
      <c r="H1150" s="18"/>
      <c r="I1150" s="19">
        <v>1148</v>
      </c>
      <c r="J1150" s="19" cm="1">
        <f t="array" aca="1" ref="J1150" ca="1">INDIRECT("b"&amp;K1150+2)</f>
        <v>2.5750000000000003E+100</v>
      </c>
      <c r="K1150" s="19">
        <f t="shared" si="127"/>
        <v>3129</v>
      </c>
    </row>
    <row r="1151" spans="1:11">
      <c r="A1151">
        <v>1149</v>
      </c>
      <c r="B1151">
        <v>7.0749999999999989E+51</v>
      </c>
      <c r="D1151" s="18">
        <v>1149</v>
      </c>
      <c r="E1151" s="18" cm="1">
        <f t="array" aca="1" ref="E1151" ca="1">INDIRECT("b"&amp;F1151+2)</f>
        <v>2.7999999999999999E+70</v>
      </c>
      <c r="F1151" s="18">
        <f t="shared" si="140"/>
        <v>1930</v>
      </c>
      <c r="G1151" s="18"/>
      <c r="H1151" s="18"/>
      <c r="I1151" s="19">
        <v>1149</v>
      </c>
      <c r="J1151" s="19" cm="1">
        <f t="array" aca="1" ref="J1151" ca="1">INDIRECT("b"&amp;K1151+2)</f>
        <v>2.8000000000000002E+100</v>
      </c>
      <c r="K1151" s="19">
        <f t="shared" si="127"/>
        <v>3130</v>
      </c>
    </row>
    <row r="1152" spans="1:11">
      <c r="A1152">
        <v>1150</v>
      </c>
      <c r="B1152">
        <v>7.300000000000001E+51</v>
      </c>
      <c r="D1152" s="18">
        <v>1150</v>
      </c>
      <c r="E1152" s="18" cm="1">
        <f t="array" aca="1" ref="E1152" ca="1">INDIRECT("b"&amp;F1152+2)</f>
        <v>3.2499999999999999E+70</v>
      </c>
      <c r="F1152" s="18">
        <f t="shared" si="140"/>
        <v>1932</v>
      </c>
      <c r="G1152" s="18"/>
      <c r="H1152" s="18"/>
      <c r="I1152" s="19">
        <v>1150</v>
      </c>
      <c r="J1152" s="19" cm="1">
        <f t="array" aca="1" ref="J1152" ca="1">INDIRECT("b"&amp;K1152+2)</f>
        <v>3.25E+100</v>
      </c>
      <c r="K1152" s="19">
        <f t="shared" si="127"/>
        <v>3132</v>
      </c>
    </row>
    <row r="1153" spans="1:11">
      <c r="A1153">
        <v>1151</v>
      </c>
      <c r="B1153">
        <v>7.5249999999999992E+51</v>
      </c>
      <c r="D1153" s="18">
        <v>1151</v>
      </c>
      <c r="E1153" s="18" cm="1">
        <f t="array" aca="1" ref="E1153" ca="1">INDIRECT("b"&amp;F1153+2)</f>
        <v>3.4749999999999999E+70</v>
      </c>
      <c r="F1153" s="18">
        <f t="shared" si="140"/>
        <v>1933</v>
      </c>
      <c r="G1153" s="18">
        <f t="shared" ref="G1153" ca="1" si="141">E1153/E1148</f>
        <v>1.8289473684210524</v>
      </c>
      <c r="H1153" s="18"/>
      <c r="I1153" s="19">
        <v>1151</v>
      </c>
      <c r="J1153" s="19" cm="1">
        <f t="array" aca="1" ref="J1153" ca="1">INDIRECT("b"&amp;K1153+2)</f>
        <v>3.4750000000000003E+100</v>
      </c>
      <c r="K1153" s="19">
        <f t="shared" si="127"/>
        <v>3133</v>
      </c>
    </row>
    <row r="1154" spans="1:11">
      <c r="A1154">
        <v>1152</v>
      </c>
      <c r="B1154">
        <v>7.7499999999999999E+51</v>
      </c>
      <c r="D1154" s="18">
        <v>1152</v>
      </c>
      <c r="E1154" s="18" cm="1">
        <f t="array" aca="1" ref="E1154" ca="1">INDIRECT("b"&amp;F1154+2)</f>
        <v>3.6999999999999999E+70</v>
      </c>
      <c r="F1154" s="18">
        <f t="shared" si="140"/>
        <v>1934</v>
      </c>
      <c r="G1154" s="18"/>
      <c r="H1154" s="18"/>
      <c r="I1154" s="19">
        <v>1152</v>
      </c>
      <c r="J1154" s="19" cm="1">
        <f t="array" aca="1" ref="J1154" ca="1">INDIRECT("b"&amp;K1154+2)</f>
        <v>3.7000000000000002E+100</v>
      </c>
      <c r="K1154" s="19">
        <f t="shared" si="127"/>
        <v>3134</v>
      </c>
    </row>
    <row r="1155" spans="1:11">
      <c r="A1155">
        <v>1153</v>
      </c>
      <c r="B1155">
        <v>7.9750000000000007E+51</v>
      </c>
      <c r="D1155" s="18">
        <v>1153</v>
      </c>
      <c r="E1155" s="18" cm="1">
        <f t="array" aca="1" ref="E1155" ca="1">INDIRECT("b"&amp;F1155+2)</f>
        <v>4.1499999999999999E+70</v>
      </c>
      <c r="F1155" s="18">
        <f t="shared" si="140"/>
        <v>1936</v>
      </c>
      <c r="G1155" s="18"/>
      <c r="H1155" s="18"/>
      <c r="I1155" s="19">
        <v>1153</v>
      </c>
      <c r="J1155" s="19" cm="1">
        <f t="array" aca="1" ref="J1155" ca="1">INDIRECT("b"&amp;K1155+2)</f>
        <v>4.15E+100</v>
      </c>
      <c r="K1155" s="19">
        <f t="shared" si="127"/>
        <v>3136</v>
      </c>
    </row>
    <row r="1156" spans="1:11">
      <c r="A1156">
        <v>1154</v>
      </c>
      <c r="B1156">
        <v>8.1999999999999989E+51</v>
      </c>
      <c r="D1156" s="18">
        <v>1154</v>
      </c>
      <c r="E1156" s="18" cm="1">
        <f t="array" aca="1" ref="E1156" ca="1">INDIRECT("b"&amp;F1156+2)</f>
        <v>4.3749999999999999E+70</v>
      </c>
      <c r="F1156" s="18">
        <f t="shared" si="140"/>
        <v>1937</v>
      </c>
      <c r="G1156" s="18"/>
      <c r="H1156" s="18"/>
      <c r="I1156" s="19">
        <v>1154</v>
      </c>
      <c r="J1156" s="19" cm="1">
        <f t="array" aca="1" ref="J1156" ca="1">INDIRECT("b"&amp;K1156+2)</f>
        <v>4.3750000000000003E+100</v>
      </c>
      <c r="K1156" s="19">
        <f t="shared" ref="K1156:K1219" si="142">INT((A1156-1)*40/30+900*40/30)+400</f>
        <v>3137</v>
      </c>
    </row>
    <row r="1157" spans="1:11">
      <c r="A1157">
        <v>1155</v>
      </c>
      <c r="B1157">
        <v>8.4249999999999997E+51</v>
      </c>
      <c r="D1157" s="18">
        <v>1155</v>
      </c>
      <c r="E1157" s="18" cm="1">
        <f t="array" aca="1" ref="E1157" ca="1">INDIRECT("b"&amp;F1157+2)</f>
        <v>4.5999999999999999E+70</v>
      </c>
      <c r="F1157" s="18">
        <f t="shared" si="140"/>
        <v>1938</v>
      </c>
      <c r="G1157" s="18"/>
      <c r="H1157" s="18"/>
      <c r="I1157" s="19">
        <v>1155</v>
      </c>
      <c r="J1157" s="19" cm="1">
        <f t="array" aca="1" ref="J1157" ca="1">INDIRECT("b"&amp;K1157+2)</f>
        <v>4.6000000000000006E+100</v>
      </c>
      <c r="K1157" s="19">
        <f t="shared" si="142"/>
        <v>3138</v>
      </c>
    </row>
    <row r="1158" spans="1:11">
      <c r="A1158">
        <v>1156</v>
      </c>
      <c r="B1158">
        <v>8.6500000000000005E+51</v>
      </c>
      <c r="D1158" s="18">
        <v>1156</v>
      </c>
      <c r="E1158" s="18" cm="1">
        <f t="array" aca="1" ref="E1158" ca="1">INDIRECT("b"&amp;F1158+2)</f>
        <v>5.0500000000000005E+70</v>
      </c>
      <c r="F1158" s="18">
        <f t="shared" si="140"/>
        <v>1940</v>
      </c>
      <c r="G1158" s="18">
        <f t="shared" ref="G1158" ca="1" si="143">E1158/E1153</f>
        <v>1.4532374100719427</v>
      </c>
      <c r="H1158" s="18"/>
      <c r="I1158" s="19">
        <v>1156</v>
      </c>
      <c r="J1158" s="19" cm="1">
        <f t="array" aca="1" ref="J1158" ca="1">INDIRECT("b"&amp;K1158+2)</f>
        <v>5.0500000000000004E+100</v>
      </c>
      <c r="K1158" s="19">
        <f t="shared" si="142"/>
        <v>3140</v>
      </c>
    </row>
    <row r="1159" spans="1:11">
      <c r="A1159">
        <v>1157</v>
      </c>
      <c r="B1159">
        <v>8.8749999999999999E+51</v>
      </c>
      <c r="D1159" s="18">
        <v>1157</v>
      </c>
      <c r="E1159" s="18" cm="1">
        <f t="array" aca="1" ref="E1159" ca="1">INDIRECT("b"&amp;F1159+2)</f>
        <v>5.2750000000000005E+70</v>
      </c>
      <c r="F1159" s="18">
        <f t="shared" si="140"/>
        <v>1941</v>
      </c>
      <c r="G1159" s="18"/>
      <c r="H1159" s="18"/>
      <c r="I1159" s="19">
        <v>1157</v>
      </c>
      <c r="J1159" s="19" cm="1">
        <f t="array" aca="1" ref="J1159" ca="1">INDIRECT("b"&amp;K1159+2)</f>
        <v>5.2749999999999999E+100</v>
      </c>
      <c r="K1159" s="19">
        <f t="shared" si="142"/>
        <v>3141</v>
      </c>
    </row>
    <row r="1160" spans="1:11">
      <c r="A1160">
        <v>1158</v>
      </c>
      <c r="B1160">
        <v>9.0999999999999981E+51</v>
      </c>
      <c r="D1160" s="18">
        <v>1158</v>
      </c>
      <c r="E1160" s="18" cm="1">
        <f t="array" aca="1" ref="E1160" ca="1">INDIRECT("b"&amp;F1160+2)</f>
        <v>5.5000000000000005E+70</v>
      </c>
      <c r="F1160" s="18">
        <f t="shared" si="140"/>
        <v>1942</v>
      </c>
      <c r="G1160" s="18"/>
      <c r="H1160" s="18"/>
      <c r="I1160" s="19">
        <v>1158</v>
      </c>
      <c r="J1160" s="19" cm="1">
        <f t="array" aca="1" ref="J1160" ca="1">INDIRECT("b"&amp;K1160+2)</f>
        <v>5.5000000000000002E+100</v>
      </c>
      <c r="K1160" s="19">
        <f t="shared" si="142"/>
        <v>3142</v>
      </c>
    </row>
    <row r="1161" spans="1:11">
      <c r="A1161">
        <v>1159</v>
      </c>
      <c r="B1161">
        <v>9.3249999999999989E+51</v>
      </c>
      <c r="D1161" s="18">
        <v>1159</v>
      </c>
      <c r="E1161" s="18" cm="1">
        <f t="array" aca="1" ref="E1161" ca="1">INDIRECT("b"&amp;F1161+2)</f>
        <v>5.9500000000000005E+70</v>
      </c>
      <c r="F1161" s="18">
        <f t="shared" si="140"/>
        <v>1944</v>
      </c>
      <c r="G1161" s="18"/>
      <c r="H1161" s="18"/>
      <c r="I1161" s="19">
        <v>1159</v>
      </c>
      <c r="J1161" s="19" cm="1">
        <f t="array" aca="1" ref="J1161" ca="1">INDIRECT("b"&amp;K1161+2)</f>
        <v>5.95E+100</v>
      </c>
      <c r="K1161" s="19">
        <f t="shared" si="142"/>
        <v>3144</v>
      </c>
    </row>
    <row r="1162" spans="1:11">
      <c r="A1162">
        <v>1160</v>
      </c>
      <c r="B1162">
        <v>9.5499999999999997E+51</v>
      </c>
      <c r="D1162" s="18">
        <v>1160</v>
      </c>
      <c r="E1162" s="18" cm="1">
        <f t="array" aca="1" ref="E1162" ca="1">INDIRECT("b"&amp;F1162+2)</f>
        <v>6.1749999999999999E+70</v>
      </c>
      <c r="F1162" s="18">
        <f t="shared" si="140"/>
        <v>1945</v>
      </c>
      <c r="G1162" s="18"/>
      <c r="H1162" s="18"/>
      <c r="I1162" s="19">
        <v>1160</v>
      </c>
      <c r="J1162" s="19" cm="1">
        <f t="array" aca="1" ref="J1162" ca="1">INDIRECT("b"&amp;K1162+2)</f>
        <v>6.1750000000000003E+100</v>
      </c>
      <c r="K1162" s="19">
        <f t="shared" si="142"/>
        <v>3145</v>
      </c>
    </row>
    <row r="1163" spans="1:11">
      <c r="A1163">
        <v>1161</v>
      </c>
      <c r="B1163">
        <v>9.7749999999999991E+51</v>
      </c>
      <c r="D1163" s="18">
        <v>1161</v>
      </c>
      <c r="E1163" s="18" cm="1">
        <f t="array" aca="1" ref="E1163" ca="1">INDIRECT("b"&amp;F1163+2)</f>
        <v>6.4000000000000005E+70</v>
      </c>
      <c r="F1163" s="18">
        <f t="shared" si="140"/>
        <v>1946</v>
      </c>
      <c r="G1163" s="18">
        <f t="shared" ref="G1163" ca="1" si="144">E1163/E1158</f>
        <v>1.2673267326732673</v>
      </c>
      <c r="H1163" s="18"/>
      <c r="I1163" s="19">
        <v>1161</v>
      </c>
      <c r="J1163" s="19" cm="1">
        <f t="array" aca="1" ref="J1163" ca="1">INDIRECT("b"&amp;K1163+2)</f>
        <v>6.4000000000000006E+100</v>
      </c>
      <c r="K1163" s="19">
        <f t="shared" si="142"/>
        <v>3146</v>
      </c>
    </row>
    <row r="1164" spans="1:11">
      <c r="A1164">
        <v>1162</v>
      </c>
      <c r="B1164">
        <v>9.9999999999999999E+51</v>
      </c>
      <c r="D1164" s="18">
        <v>1162</v>
      </c>
      <c r="E1164" s="18" cm="1">
        <f t="array" aca="1" ref="E1164" ca="1">INDIRECT("b"&amp;F1164+2)</f>
        <v>6.8500000000000005E+70</v>
      </c>
      <c r="F1164" s="18">
        <f t="shared" si="140"/>
        <v>1948</v>
      </c>
      <c r="G1164" s="18"/>
      <c r="H1164" s="18"/>
      <c r="I1164" s="19">
        <v>1162</v>
      </c>
      <c r="J1164" s="19" cm="1">
        <f t="array" aca="1" ref="J1164" ca="1">INDIRECT("b"&amp;K1164+2)</f>
        <v>6.8500000000000004E+100</v>
      </c>
      <c r="K1164" s="19">
        <f t="shared" si="142"/>
        <v>3148</v>
      </c>
    </row>
    <row r="1165" spans="1:11">
      <c r="A1165">
        <v>1163</v>
      </c>
      <c r="B1165">
        <v>1.225E+52</v>
      </c>
      <c r="D1165" s="18">
        <v>1163</v>
      </c>
      <c r="E1165" s="18" cm="1">
        <f t="array" aca="1" ref="E1165" ca="1">INDIRECT("b"&amp;F1165+2)</f>
        <v>7.0749999999999998E+70</v>
      </c>
      <c r="F1165" s="18">
        <f t="shared" si="140"/>
        <v>1949</v>
      </c>
      <c r="G1165" s="18"/>
      <c r="H1165" s="18"/>
      <c r="I1165" s="19">
        <v>1163</v>
      </c>
      <c r="J1165" s="19" cm="1">
        <f t="array" aca="1" ref="J1165" ca="1">INDIRECT("b"&amp;K1165+2)</f>
        <v>7.0749999999999999E+100</v>
      </c>
      <c r="K1165" s="19">
        <f t="shared" si="142"/>
        <v>3149</v>
      </c>
    </row>
    <row r="1166" spans="1:11">
      <c r="A1166">
        <v>1164</v>
      </c>
      <c r="B1166">
        <v>1.4499999999999997E+52</v>
      </c>
      <c r="D1166" s="18">
        <v>1164</v>
      </c>
      <c r="E1166" s="18" cm="1">
        <f t="array" aca="1" ref="E1166" ca="1">INDIRECT("b"&amp;F1166+2)</f>
        <v>7.3000000000000005E+70</v>
      </c>
      <c r="F1166" s="18">
        <f t="shared" si="140"/>
        <v>1950</v>
      </c>
      <c r="G1166" s="18"/>
      <c r="H1166" s="18"/>
      <c r="I1166" s="19">
        <v>1164</v>
      </c>
      <c r="J1166" s="19" cm="1">
        <f t="array" aca="1" ref="J1166" ca="1">INDIRECT("b"&amp;K1166+2)</f>
        <v>7.300000000000001E+100</v>
      </c>
      <c r="K1166" s="19">
        <f t="shared" si="142"/>
        <v>3150</v>
      </c>
    </row>
    <row r="1167" spans="1:11">
      <c r="A1167">
        <v>1165</v>
      </c>
      <c r="B1167">
        <v>1.675E+52</v>
      </c>
      <c r="D1167" s="18">
        <v>1165</v>
      </c>
      <c r="E1167" s="18" cm="1">
        <f t="array" aca="1" ref="E1167" ca="1">INDIRECT("b"&amp;F1167+2)</f>
        <v>7.7500000000000004E+70</v>
      </c>
      <c r="F1167" s="18">
        <f t="shared" si="140"/>
        <v>1952</v>
      </c>
      <c r="G1167" s="18"/>
      <c r="H1167" s="18"/>
      <c r="I1167" s="19">
        <v>1165</v>
      </c>
      <c r="J1167" s="19" cm="1">
        <f t="array" aca="1" ref="J1167" ca="1">INDIRECT("b"&amp;K1167+2)</f>
        <v>7.75E+100</v>
      </c>
      <c r="K1167" s="19">
        <f t="shared" si="142"/>
        <v>3152</v>
      </c>
    </row>
    <row r="1168" spans="1:11">
      <c r="A1168">
        <v>1166</v>
      </c>
      <c r="B1168">
        <v>1.9000000000000003E+52</v>
      </c>
      <c r="D1168" s="18">
        <v>1166</v>
      </c>
      <c r="E1168" s="18" cm="1">
        <f t="array" aca="1" ref="E1168" ca="1">INDIRECT("b"&amp;F1168+2)</f>
        <v>7.9749999999999998E+70</v>
      </c>
      <c r="F1168" s="18">
        <f t="shared" si="140"/>
        <v>1953</v>
      </c>
      <c r="G1168" s="18">
        <f t="shared" ref="G1168" ca="1" si="145">E1168/E1163</f>
        <v>1.2460937499999998</v>
      </c>
      <c r="H1168" s="18"/>
      <c r="I1168" s="19">
        <v>1166</v>
      </c>
      <c r="J1168" s="19" cm="1">
        <f t="array" aca="1" ref="J1168" ca="1">INDIRECT("b"&amp;K1168+2)</f>
        <v>7.975000000000001E+100</v>
      </c>
      <c r="K1168" s="19">
        <f t="shared" si="142"/>
        <v>3153</v>
      </c>
    </row>
    <row r="1169" spans="1:11">
      <c r="A1169">
        <v>1167</v>
      </c>
      <c r="B1169">
        <v>2.125E+52</v>
      </c>
      <c r="D1169" s="18">
        <v>1167</v>
      </c>
      <c r="E1169" s="18" cm="1">
        <f t="array" aca="1" ref="E1169" ca="1">INDIRECT("b"&amp;F1169+2)</f>
        <v>8.2000000000000004E+70</v>
      </c>
      <c r="F1169" s="18">
        <f t="shared" si="140"/>
        <v>1954</v>
      </c>
      <c r="G1169" s="18"/>
      <c r="H1169" s="18"/>
      <c r="I1169" s="19">
        <v>1167</v>
      </c>
      <c r="J1169" s="19" cm="1">
        <f t="array" aca="1" ref="J1169" ca="1">INDIRECT("b"&amp;K1169+2)</f>
        <v>8.2000000000000006E+100</v>
      </c>
      <c r="K1169" s="19">
        <f t="shared" si="142"/>
        <v>3154</v>
      </c>
    </row>
    <row r="1170" spans="1:11">
      <c r="A1170">
        <v>1168</v>
      </c>
      <c r="B1170">
        <v>2.35E+52</v>
      </c>
      <c r="D1170" s="18">
        <v>1168</v>
      </c>
      <c r="E1170" s="18" cm="1">
        <f t="array" aca="1" ref="E1170" ca="1">INDIRECT("b"&amp;F1170+2)</f>
        <v>8.6500000000000004E+70</v>
      </c>
      <c r="F1170" s="18">
        <f t="shared" si="140"/>
        <v>1956</v>
      </c>
      <c r="G1170" s="18"/>
      <c r="H1170" s="18"/>
      <c r="I1170" s="19">
        <v>1168</v>
      </c>
      <c r="J1170" s="19" cm="1">
        <f t="array" aca="1" ref="J1170" ca="1">INDIRECT("b"&amp;K1170+2)</f>
        <v>8.6500000000000011E+100</v>
      </c>
      <c r="K1170" s="19">
        <f t="shared" si="142"/>
        <v>3156</v>
      </c>
    </row>
    <row r="1171" spans="1:11">
      <c r="A1171">
        <v>1169</v>
      </c>
      <c r="B1171">
        <v>2.5749999999999997E+52</v>
      </c>
      <c r="D1171" s="18">
        <v>1169</v>
      </c>
      <c r="E1171" s="18" cm="1">
        <f t="array" aca="1" ref="E1171" ca="1">INDIRECT("b"&amp;F1171+2)</f>
        <v>8.8749999999999998E+70</v>
      </c>
      <c r="F1171" s="18">
        <f t="shared" si="140"/>
        <v>1957</v>
      </c>
      <c r="G1171" s="18"/>
      <c r="H1171" s="18"/>
      <c r="I1171" s="19">
        <v>1169</v>
      </c>
      <c r="J1171" s="19" cm="1">
        <f t="array" aca="1" ref="J1171" ca="1">INDIRECT("b"&amp;K1171+2)</f>
        <v>8.8750000000000007E+100</v>
      </c>
      <c r="K1171" s="19">
        <f t="shared" si="142"/>
        <v>3157</v>
      </c>
    </row>
    <row r="1172" spans="1:11">
      <c r="A1172">
        <v>1170</v>
      </c>
      <c r="B1172">
        <v>2.8E+52</v>
      </c>
      <c r="D1172" s="18">
        <v>1170</v>
      </c>
      <c r="E1172" s="18" cm="1">
        <f t="array" aca="1" ref="E1172" ca="1">INDIRECT("b"&amp;F1172+2)</f>
        <v>9.1000000000000004E+70</v>
      </c>
      <c r="F1172" s="18">
        <f t="shared" si="140"/>
        <v>1958</v>
      </c>
      <c r="G1172" s="18"/>
      <c r="H1172" s="18"/>
      <c r="I1172" s="19">
        <v>1170</v>
      </c>
      <c r="J1172" s="19" cm="1">
        <f t="array" aca="1" ref="J1172" ca="1">INDIRECT("b"&amp;K1172+2)</f>
        <v>9.1000000000000002E+100</v>
      </c>
      <c r="K1172" s="19">
        <f t="shared" si="142"/>
        <v>3158</v>
      </c>
    </row>
    <row r="1173" spans="1:11">
      <c r="A1173">
        <v>1171</v>
      </c>
      <c r="B1173">
        <v>3.0250000000000002E+52</v>
      </c>
      <c r="D1173" s="18">
        <v>1171</v>
      </c>
      <c r="E1173" s="18" cm="1">
        <f t="array" aca="1" ref="E1173" ca="1">INDIRECT("b"&amp;F1173+2)</f>
        <v>9.5500000000000004E+70</v>
      </c>
      <c r="F1173" s="18">
        <f t="shared" si="140"/>
        <v>1960</v>
      </c>
      <c r="G1173" s="18">
        <f t="shared" ref="G1173" ca="1" si="146">E1173/E1168</f>
        <v>1.1974921630094044</v>
      </c>
      <c r="H1173" s="18"/>
      <c r="I1173" s="19">
        <v>1171</v>
      </c>
      <c r="J1173" s="19" cm="1">
        <f t="array" aca="1" ref="J1173" ca="1">INDIRECT("b"&amp;K1173+2)</f>
        <v>9.5500000000000007E+100</v>
      </c>
      <c r="K1173" s="19">
        <f t="shared" si="142"/>
        <v>3160</v>
      </c>
    </row>
    <row r="1174" spans="1:11">
      <c r="A1174">
        <v>1172</v>
      </c>
      <c r="B1174">
        <v>3.25E+52</v>
      </c>
      <c r="D1174" s="18">
        <v>1172</v>
      </c>
      <c r="E1174" s="18" cm="1">
        <f t="array" aca="1" ref="E1174" ca="1">INDIRECT("b"&amp;F1174+2)</f>
        <v>9.7749999999999998E+70</v>
      </c>
      <c r="F1174" s="18">
        <f t="shared" si="140"/>
        <v>1961</v>
      </c>
      <c r="G1174" s="18"/>
      <c r="H1174" s="18"/>
      <c r="I1174" s="19">
        <v>1172</v>
      </c>
      <c r="J1174" s="19" cm="1">
        <f t="array" aca="1" ref="J1174" ca="1">INDIRECT("b"&amp;K1174+2)</f>
        <v>9.7750000000000003E+100</v>
      </c>
      <c r="K1174" s="19">
        <f t="shared" si="142"/>
        <v>3161</v>
      </c>
    </row>
    <row r="1175" spans="1:11">
      <c r="A1175">
        <v>1173</v>
      </c>
      <c r="B1175">
        <v>3.4750000000000002E+52</v>
      </c>
      <c r="D1175" s="18">
        <v>1173</v>
      </c>
      <c r="E1175" s="18" cm="1">
        <f t="array" aca="1" ref="E1175" ca="1">INDIRECT("b"&amp;F1175+2)</f>
        <v>1E+71</v>
      </c>
      <c r="F1175" s="18">
        <f t="shared" si="140"/>
        <v>1962</v>
      </c>
      <c r="G1175" s="18"/>
      <c r="H1175" s="18"/>
      <c r="I1175" s="19">
        <v>1173</v>
      </c>
      <c r="J1175" s="19" cm="1">
        <f t="array" aca="1" ref="J1175" ca="1">INDIRECT("b"&amp;K1175+2)</f>
        <v>9.9999999999999998E+100</v>
      </c>
      <c r="K1175" s="19">
        <f t="shared" si="142"/>
        <v>3162</v>
      </c>
    </row>
    <row r="1176" spans="1:11">
      <c r="A1176">
        <v>1174</v>
      </c>
      <c r="B1176">
        <v>3.7E+52</v>
      </c>
      <c r="D1176" s="18">
        <v>1174</v>
      </c>
      <c r="E1176" s="18" cm="1">
        <f t="array" aca="1" ref="E1176" ca="1">INDIRECT("b"&amp;F1176+2)</f>
        <v>1.45E+71</v>
      </c>
      <c r="F1176" s="18">
        <f t="shared" si="140"/>
        <v>1964</v>
      </c>
      <c r="G1176" s="18"/>
      <c r="H1176" s="18"/>
      <c r="I1176" s="19">
        <v>1174</v>
      </c>
      <c r="J1176" s="19" cm="1">
        <f t="array" aca="1" ref="J1176" ca="1">INDIRECT("b"&amp;K1176+2)</f>
        <v>1.4499999999999999E+101</v>
      </c>
      <c r="K1176" s="19">
        <f t="shared" si="142"/>
        <v>3164</v>
      </c>
    </row>
    <row r="1177" spans="1:11">
      <c r="A1177">
        <v>1175</v>
      </c>
      <c r="B1177">
        <v>3.9250000000000002E+52</v>
      </c>
      <c r="D1177" s="18">
        <v>1175</v>
      </c>
      <c r="E1177" s="18" cm="1">
        <f t="array" aca="1" ref="E1177" ca="1">INDIRECT("b"&amp;F1177+2)</f>
        <v>1.6750000000000002E+71</v>
      </c>
      <c r="F1177" s="18">
        <f t="shared" si="140"/>
        <v>1965</v>
      </c>
      <c r="G1177" s="18"/>
      <c r="H1177" s="18"/>
      <c r="I1177" s="19">
        <v>1175</v>
      </c>
      <c r="J1177" s="19" cm="1">
        <f t="array" aca="1" ref="J1177" ca="1">INDIRECT("b"&amp;K1177+2)</f>
        <v>1.6750000000000001E+101</v>
      </c>
      <c r="K1177" s="19">
        <f t="shared" si="142"/>
        <v>3165</v>
      </c>
    </row>
    <row r="1178" spans="1:11">
      <c r="A1178">
        <v>1176</v>
      </c>
      <c r="B1178">
        <v>4.1500000000000005E+52</v>
      </c>
      <c r="D1178" s="18">
        <v>1176</v>
      </c>
      <c r="E1178" s="18" cm="1">
        <f t="array" aca="1" ref="E1178" ca="1">INDIRECT("b"&amp;F1178+2)</f>
        <v>1.9E+71</v>
      </c>
      <c r="F1178" s="18">
        <f t="shared" si="140"/>
        <v>1966</v>
      </c>
      <c r="G1178" s="18">
        <f t="shared" ref="G1178" ca="1" si="147">E1178/E1173</f>
        <v>1.9895287958115182</v>
      </c>
      <c r="H1178" s="18"/>
      <c r="I1178" s="19">
        <v>1176</v>
      </c>
      <c r="J1178" s="19" cm="1">
        <f t="array" aca="1" ref="J1178" ca="1">INDIRECT("b"&amp;K1178+2)</f>
        <v>1.9000000000000002E+101</v>
      </c>
      <c r="K1178" s="19">
        <f t="shared" si="142"/>
        <v>3166</v>
      </c>
    </row>
    <row r="1179" spans="1:11">
      <c r="A1179">
        <v>1177</v>
      </c>
      <c r="B1179">
        <v>4.3749999999999997E+52</v>
      </c>
      <c r="D1179" s="18">
        <v>1177</v>
      </c>
      <c r="E1179" s="18" cm="1">
        <f t="array" aca="1" ref="E1179" ca="1">INDIRECT("b"&amp;F1179+2)</f>
        <v>2.3500000000000003E+71</v>
      </c>
      <c r="F1179" s="18">
        <f t="shared" si="140"/>
        <v>1968</v>
      </c>
      <c r="G1179" s="18"/>
      <c r="H1179" s="18"/>
      <c r="I1179" s="19">
        <v>1177</v>
      </c>
      <c r="J1179" s="19" cm="1">
        <f t="array" aca="1" ref="J1179" ca="1">INDIRECT("b"&amp;K1179+2)</f>
        <v>2.3500000000000002E+101</v>
      </c>
      <c r="K1179" s="19">
        <f t="shared" si="142"/>
        <v>3168</v>
      </c>
    </row>
    <row r="1180" spans="1:11">
      <c r="A1180">
        <v>1178</v>
      </c>
      <c r="B1180">
        <v>4.6E+52</v>
      </c>
      <c r="D1180" s="18">
        <v>1178</v>
      </c>
      <c r="E1180" s="18" cm="1">
        <f t="array" aca="1" ref="E1180" ca="1">INDIRECT("b"&amp;F1180+2)</f>
        <v>2.5750000000000001E+71</v>
      </c>
      <c r="F1180" s="18">
        <f t="shared" si="140"/>
        <v>1969</v>
      </c>
      <c r="G1180" s="18"/>
      <c r="H1180" s="18"/>
      <c r="I1180" s="19">
        <v>1178</v>
      </c>
      <c r="J1180" s="19" cm="1">
        <f t="array" aca="1" ref="J1180" ca="1">INDIRECT("b"&amp;K1180+2)</f>
        <v>2.575E+101</v>
      </c>
      <c r="K1180" s="19">
        <f t="shared" si="142"/>
        <v>3169</v>
      </c>
    </row>
    <row r="1181" spans="1:11">
      <c r="A1181">
        <v>1179</v>
      </c>
      <c r="B1181">
        <v>4.8250000000000013E+52</v>
      </c>
      <c r="D1181" s="18">
        <v>1179</v>
      </c>
      <c r="E1181" s="18" cm="1">
        <f t="array" aca="1" ref="E1181" ca="1">INDIRECT("b"&amp;F1181+2)</f>
        <v>2.8E+71</v>
      </c>
      <c r="F1181" s="18">
        <f t="shared" si="140"/>
        <v>1970</v>
      </c>
      <c r="G1181" s="18"/>
      <c r="H1181" s="18"/>
      <c r="I1181" s="19">
        <v>1179</v>
      </c>
      <c r="J1181" s="19" cm="1">
        <f t="array" aca="1" ref="J1181" ca="1">INDIRECT("b"&amp;K1181+2)</f>
        <v>2.7999999999999998E+101</v>
      </c>
      <c r="K1181" s="19">
        <f t="shared" si="142"/>
        <v>3170</v>
      </c>
    </row>
    <row r="1182" spans="1:11">
      <c r="A1182">
        <v>1180</v>
      </c>
      <c r="B1182">
        <v>5.0500000000000005E+52</v>
      </c>
      <c r="D1182" s="18">
        <v>1180</v>
      </c>
      <c r="E1182" s="18" cm="1">
        <f t="array" aca="1" ref="E1182" ca="1">INDIRECT("b"&amp;F1182+2)</f>
        <v>3.2500000000000003E+71</v>
      </c>
      <c r="F1182" s="18">
        <f t="shared" si="140"/>
        <v>1972</v>
      </c>
      <c r="G1182" s="18"/>
      <c r="H1182" s="18"/>
      <c r="I1182" s="19">
        <v>1180</v>
      </c>
      <c r="J1182" s="19" cm="1">
        <f t="array" aca="1" ref="J1182" ca="1">INDIRECT("b"&amp;K1182+2)</f>
        <v>3.2500000000000001E+101</v>
      </c>
      <c r="K1182" s="19">
        <f t="shared" si="142"/>
        <v>3172</v>
      </c>
    </row>
    <row r="1183" spans="1:11">
      <c r="A1183">
        <v>1181</v>
      </c>
      <c r="B1183">
        <v>5.2749999999999997E+52</v>
      </c>
      <c r="D1183" s="18">
        <v>1181</v>
      </c>
      <c r="E1183" s="18" cm="1">
        <f t="array" aca="1" ref="E1183" ca="1">INDIRECT("b"&amp;F1183+2)</f>
        <v>3.4750000000000001E+71</v>
      </c>
      <c r="F1183" s="18">
        <f t="shared" si="140"/>
        <v>1973</v>
      </c>
      <c r="G1183" s="18">
        <f t="shared" ref="G1183" ca="1" si="148">E1183/E1178</f>
        <v>1.8289473684210527</v>
      </c>
      <c r="H1183" s="18"/>
      <c r="I1183" s="19">
        <v>1181</v>
      </c>
      <c r="J1183" s="19" cm="1">
        <f t="array" aca="1" ref="J1183" ca="1">INDIRECT("b"&amp;K1183+2)</f>
        <v>3.4750000000000002E+101</v>
      </c>
      <c r="K1183" s="19">
        <f t="shared" si="142"/>
        <v>3173</v>
      </c>
    </row>
    <row r="1184" spans="1:11">
      <c r="A1184">
        <v>1182</v>
      </c>
      <c r="B1184">
        <v>5.5E+52</v>
      </c>
      <c r="D1184" s="18">
        <v>1182</v>
      </c>
      <c r="E1184" s="18" cm="1">
        <f t="array" aca="1" ref="E1184" ca="1">INDIRECT("b"&amp;F1184+2)</f>
        <v>3.7E+71</v>
      </c>
      <c r="F1184" s="18">
        <f t="shared" si="140"/>
        <v>1974</v>
      </c>
      <c r="G1184" s="18"/>
      <c r="H1184" s="18"/>
      <c r="I1184" s="19">
        <v>1182</v>
      </c>
      <c r="J1184" s="19" cm="1">
        <f t="array" aca="1" ref="J1184" ca="1">INDIRECT("b"&amp;K1184+2)</f>
        <v>3.7000000000000004E+101</v>
      </c>
      <c r="K1184" s="19">
        <f t="shared" si="142"/>
        <v>3174</v>
      </c>
    </row>
    <row r="1185" spans="1:11">
      <c r="A1185">
        <v>1183</v>
      </c>
      <c r="B1185">
        <v>5.7250000000000002E+52</v>
      </c>
      <c r="D1185" s="18">
        <v>1183</v>
      </c>
      <c r="E1185" s="18" cm="1">
        <f t="array" aca="1" ref="E1185" ca="1">INDIRECT("b"&amp;F1185+2)</f>
        <v>4.1500000000000002E+71</v>
      </c>
      <c r="F1185" s="18">
        <f t="shared" si="140"/>
        <v>1976</v>
      </c>
      <c r="G1185" s="18"/>
      <c r="H1185" s="18"/>
      <c r="I1185" s="19">
        <v>1183</v>
      </c>
      <c r="J1185" s="19" cm="1">
        <f t="array" aca="1" ref="J1185" ca="1">INDIRECT("b"&amp;K1185+2)</f>
        <v>4.15E+101</v>
      </c>
      <c r="K1185" s="19">
        <f t="shared" si="142"/>
        <v>3176</v>
      </c>
    </row>
    <row r="1186" spans="1:11">
      <c r="A1186">
        <v>1184</v>
      </c>
      <c r="B1186">
        <v>5.9500000000000005E+52</v>
      </c>
      <c r="D1186" s="18">
        <v>1184</v>
      </c>
      <c r="E1186" s="18" cm="1">
        <f t="array" aca="1" ref="E1186" ca="1">INDIRECT("b"&amp;F1186+2)</f>
        <v>4.3750000000000001E+71</v>
      </c>
      <c r="F1186" s="18">
        <f t="shared" si="140"/>
        <v>1977</v>
      </c>
      <c r="G1186" s="18"/>
      <c r="H1186" s="18"/>
      <c r="I1186" s="19">
        <v>1184</v>
      </c>
      <c r="J1186" s="19" cm="1">
        <f t="array" aca="1" ref="J1186" ca="1">INDIRECT("b"&amp;K1186+2)</f>
        <v>4.3750000000000001E+101</v>
      </c>
      <c r="K1186" s="19">
        <f t="shared" si="142"/>
        <v>3177</v>
      </c>
    </row>
    <row r="1187" spans="1:11">
      <c r="A1187">
        <v>1185</v>
      </c>
      <c r="B1187">
        <v>6.1749999999999997E+52</v>
      </c>
      <c r="D1187" s="18">
        <v>1185</v>
      </c>
      <c r="E1187" s="18" cm="1">
        <f t="array" aca="1" ref="E1187" ca="1">INDIRECT("b"&amp;F1187+2)</f>
        <v>4.6000000000000005E+71</v>
      </c>
      <c r="F1187" s="18">
        <f t="shared" si="140"/>
        <v>1978</v>
      </c>
      <c r="G1187" s="18"/>
      <c r="H1187" s="18"/>
      <c r="I1187" s="19">
        <v>1185</v>
      </c>
      <c r="J1187" s="19" cm="1">
        <f t="array" aca="1" ref="J1187" ca="1">INDIRECT("b"&amp;K1187+2)</f>
        <v>4.6000000000000003E+101</v>
      </c>
      <c r="K1187" s="19">
        <f t="shared" si="142"/>
        <v>3178</v>
      </c>
    </row>
    <row r="1188" spans="1:11">
      <c r="A1188">
        <v>1186</v>
      </c>
      <c r="B1188">
        <v>6.3999999999999989E+52</v>
      </c>
      <c r="D1188" s="18">
        <v>1186</v>
      </c>
      <c r="E1188" s="18" cm="1">
        <f t="array" aca="1" ref="E1188" ca="1">INDIRECT("b"&amp;F1188+2)</f>
        <v>5.0500000000000002E+71</v>
      </c>
      <c r="F1188" s="18">
        <f t="shared" si="140"/>
        <v>1980</v>
      </c>
      <c r="G1188" s="18">
        <f t="shared" ref="G1188" ca="1" si="149">E1188/E1183</f>
        <v>1.4532374100719425</v>
      </c>
      <c r="H1188" s="18"/>
      <c r="I1188" s="19">
        <v>1186</v>
      </c>
      <c r="J1188" s="19" cm="1">
        <f t="array" aca="1" ref="J1188" ca="1">INDIRECT("b"&amp;K1188+2)</f>
        <v>5.0499999999999999E+101</v>
      </c>
      <c r="K1188" s="19">
        <f t="shared" si="142"/>
        <v>3180</v>
      </c>
    </row>
    <row r="1189" spans="1:11">
      <c r="A1189">
        <v>1187</v>
      </c>
      <c r="B1189">
        <v>6.6250000000000002E+52</v>
      </c>
      <c r="D1189" s="18">
        <v>1187</v>
      </c>
      <c r="E1189" s="18" cm="1">
        <f t="array" aca="1" ref="E1189" ca="1">INDIRECT("b"&amp;F1189+2)</f>
        <v>5.2750000000000001E+71</v>
      </c>
      <c r="F1189" s="18">
        <f t="shared" si="140"/>
        <v>1981</v>
      </c>
      <c r="G1189" s="18"/>
      <c r="H1189" s="18"/>
      <c r="I1189" s="19">
        <v>1187</v>
      </c>
      <c r="J1189" s="19" cm="1">
        <f t="array" aca="1" ref="J1189" ca="1">INDIRECT("b"&amp;K1189+2)</f>
        <v>5.275E+101</v>
      </c>
      <c r="K1189" s="19">
        <f t="shared" si="142"/>
        <v>3181</v>
      </c>
    </row>
    <row r="1190" spans="1:11">
      <c r="A1190">
        <v>1188</v>
      </c>
      <c r="B1190">
        <v>6.8500000000000005E+52</v>
      </c>
      <c r="D1190" s="18">
        <v>1188</v>
      </c>
      <c r="E1190" s="18" cm="1">
        <f t="array" aca="1" ref="E1190" ca="1">INDIRECT("b"&amp;F1190+2)</f>
        <v>5.5E+71</v>
      </c>
      <c r="F1190" s="18">
        <f t="shared" si="140"/>
        <v>1982</v>
      </c>
      <c r="G1190" s="18"/>
      <c r="H1190" s="18"/>
      <c r="I1190" s="19">
        <v>1188</v>
      </c>
      <c r="J1190" s="19" cm="1">
        <f t="array" aca="1" ref="J1190" ca="1">INDIRECT("b"&amp;K1190+2)</f>
        <v>5.5000000000000002E+101</v>
      </c>
      <c r="K1190" s="19">
        <f t="shared" si="142"/>
        <v>3182</v>
      </c>
    </row>
    <row r="1191" spans="1:11">
      <c r="A1191">
        <v>1189</v>
      </c>
      <c r="B1191">
        <v>7.0749999999999997E+52</v>
      </c>
      <c r="D1191" s="18">
        <v>1189</v>
      </c>
      <c r="E1191" s="18" cm="1">
        <f t="array" aca="1" ref="E1191" ca="1">INDIRECT("b"&amp;F1191+2)</f>
        <v>5.9500000000000007E+71</v>
      </c>
      <c r="F1191" s="18">
        <f t="shared" si="140"/>
        <v>1984</v>
      </c>
      <c r="G1191" s="18"/>
      <c r="H1191" s="18"/>
      <c r="I1191" s="19">
        <v>1189</v>
      </c>
      <c r="J1191" s="19" cm="1">
        <f t="array" aca="1" ref="J1191" ca="1">INDIRECT("b"&amp;K1191+2)</f>
        <v>5.9499999999999998E+101</v>
      </c>
      <c r="K1191" s="19">
        <f t="shared" si="142"/>
        <v>3184</v>
      </c>
    </row>
    <row r="1192" spans="1:11">
      <c r="A1192">
        <v>1190</v>
      </c>
      <c r="B1192">
        <v>7.3E+52</v>
      </c>
      <c r="D1192" s="18">
        <v>1190</v>
      </c>
      <c r="E1192" s="18" cm="1">
        <f t="array" aca="1" ref="E1192" ca="1">INDIRECT("b"&amp;F1192+2)</f>
        <v>6.1750000000000006E+71</v>
      </c>
      <c r="F1192" s="18">
        <f t="shared" si="140"/>
        <v>1985</v>
      </c>
      <c r="G1192" s="18"/>
      <c r="H1192" s="18"/>
      <c r="I1192" s="19">
        <v>1190</v>
      </c>
      <c r="J1192" s="19" cm="1">
        <f t="array" aca="1" ref="J1192" ca="1">INDIRECT("b"&amp;K1192+2)</f>
        <v>6.1750000000000006E+101</v>
      </c>
      <c r="K1192" s="19">
        <f t="shared" si="142"/>
        <v>3185</v>
      </c>
    </row>
    <row r="1193" spans="1:11">
      <c r="A1193">
        <v>1191</v>
      </c>
      <c r="B1193">
        <v>7.5249999999999992E+52</v>
      </c>
      <c r="D1193" s="18">
        <v>1191</v>
      </c>
      <c r="E1193" s="18" cm="1">
        <f t="array" aca="1" ref="E1193" ca="1">INDIRECT("b"&amp;F1193+2)</f>
        <v>6.4000000000000005E+71</v>
      </c>
      <c r="F1193" s="18">
        <f t="shared" si="140"/>
        <v>1986</v>
      </c>
      <c r="G1193" s="18">
        <f t="shared" ref="G1193" ca="1" si="150">E1193/E1188</f>
        <v>1.2673267326732673</v>
      </c>
      <c r="H1193" s="18"/>
      <c r="I1193" s="19">
        <v>1191</v>
      </c>
      <c r="J1193" s="19" cm="1">
        <f t="array" aca="1" ref="J1193" ca="1">INDIRECT("b"&amp;K1193+2)</f>
        <v>6.4000000000000001E+101</v>
      </c>
      <c r="K1193" s="19">
        <f t="shared" si="142"/>
        <v>3186</v>
      </c>
    </row>
    <row r="1194" spans="1:11">
      <c r="A1194">
        <v>1192</v>
      </c>
      <c r="B1194">
        <v>7.7499999999999994E+52</v>
      </c>
      <c r="D1194" s="18">
        <v>1192</v>
      </c>
      <c r="E1194" s="18" cm="1">
        <f t="array" aca="1" ref="E1194" ca="1">INDIRECT("b"&amp;F1194+2)</f>
        <v>6.8500000000000002E+71</v>
      </c>
      <c r="F1194" s="18">
        <f t="shared" si="140"/>
        <v>1988</v>
      </c>
      <c r="G1194" s="18"/>
      <c r="H1194" s="18"/>
      <c r="I1194" s="19">
        <v>1192</v>
      </c>
      <c r="J1194" s="19" cm="1">
        <f t="array" aca="1" ref="J1194" ca="1">INDIRECT("b"&amp;K1194+2)</f>
        <v>6.8500000000000004E+101</v>
      </c>
      <c r="K1194" s="19">
        <f t="shared" si="142"/>
        <v>3188</v>
      </c>
    </row>
    <row r="1195" spans="1:11">
      <c r="A1195">
        <v>1193</v>
      </c>
      <c r="B1195">
        <v>7.9750000000000007E+52</v>
      </c>
      <c r="D1195" s="18">
        <v>1193</v>
      </c>
      <c r="E1195" s="18" cm="1">
        <f t="array" aca="1" ref="E1195" ca="1">INDIRECT("b"&amp;F1195+2)</f>
        <v>7.0750000000000001E+71</v>
      </c>
      <c r="F1195" s="18">
        <f t="shared" si="140"/>
        <v>1989</v>
      </c>
      <c r="G1195" s="18"/>
      <c r="H1195" s="18"/>
      <c r="I1195" s="19">
        <v>1193</v>
      </c>
      <c r="J1195" s="19" cm="1">
        <f t="array" aca="1" ref="J1195" ca="1">INDIRECT("b"&amp;K1195+2)</f>
        <v>7.0749999999999999E+101</v>
      </c>
      <c r="K1195" s="19">
        <f t="shared" si="142"/>
        <v>3189</v>
      </c>
    </row>
    <row r="1196" spans="1:11">
      <c r="A1196">
        <v>1194</v>
      </c>
      <c r="B1196">
        <v>8.1999999999999989E+52</v>
      </c>
      <c r="D1196" s="18">
        <v>1194</v>
      </c>
      <c r="E1196" s="18" cm="1">
        <f t="array" aca="1" ref="E1196" ca="1">INDIRECT("b"&amp;F1196+2)</f>
        <v>7.3E+71</v>
      </c>
      <c r="F1196" s="18">
        <f t="shared" si="140"/>
        <v>1990</v>
      </c>
      <c r="G1196" s="18"/>
      <c r="H1196" s="18"/>
      <c r="I1196" s="19">
        <v>1194</v>
      </c>
      <c r="J1196" s="19" cm="1">
        <f t="array" aca="1" ref="J1196" ca="1">INDIRECT("b"&amp;K1196+2)</f>
        <v>7.3000000000000006E+101</v>
      </c>
      <c r="K1196" s="19">
        <f t="shared" si="142"/>
        <v>3190</v>
      </c>
    </row>
    <row r="1197" spans="1:11">
      <c r="A1197">
        <v>1195</v>
      </c>
      <c r="B1197">
        <v>8.4250000000000002E+52</v>
      </c>
      <c r="D1197" s="18">
        <v>1195</v>
      </c>
      <c r="E1197" s="18" cm="1">
        <f t="array" aca="1" ref="E1197" ca="1">INDIRECT("b"&amp;F1197+2)</f>
        <v>7.7500000000000007E+71</v>
      </c>
      <c r="F1197" s="18">
        <f t="shared" si="140"/>
        <v>1992</v>
      </c>
      <c r="G1197" s="18"/>
      <c r="H1197" s="18"/>
      <c r="I1197" s="19">
        <v>1195</v>
      </c>
      <c r="J1197" s="19" cm="1">
        <f t="array" aca="1" ref="J1197" ca="1">INDIRECT("b"&amp;K1197+2)</f>
        <v>7.7500000000000009E+101</v>
      </c>
      <c r="K1197" s="19">
        <f t="shared" si="142"/>
        <v>3192</v>
      </c>
    </row>
    <row r="1198" spans="1:11">
      <c r="A1198">
        <v>1196</v>
      </c>
      <c r="B1198">
        <v>8.6499999999999994E+52</v>
      </c>
      <c r="D1198" s="18">
        <v>1196</v>
      </c>
      <c r="E1198" s="18" cm="1">
        <f t="array" aca="1" ref="E1198" ca="1">INDIRECT("b"&amp;F1198+2)</f>
        <v>7.9750000000000006E+71</v>
      </c>
      <c r="F1198" s="18">
        <f t="shared" si="140"/>
        <v>1993</v>
      </c>
      <c r="G1198" s="18">
        <f t="shared" ref="G1198" ca="1" si="151">E1198/E1193</f>
        <v>1.24609375</v>
      </c>
      <c r="H1198" s="18"/>
      <c r="I1198" s="19">
        <v>1196</v>
      </c>
      <c r="J1198" s="19" cm="1">
        <f t="array" aca="1" ref="J1198" ca="1">INDIRECT("b"&amp;K1198+2)</f>
        <v>7.9750000000000004E+101</v>
      </c>
      <c r="K1198" s="19">
        <f t="shared" si="142"/>
        <v>3193</v>
      </c>
    </row>
    <row r="1199" spans="1:11">
      <c r="A1199">
        <v>1197</v>
      </c>
      <c r="B1199">
        <v>8.8749999999999997E+52</v>
      </c>
      <c r="D1199" s="18">
        <v>1197</v>
      </c>
      <c r="E1199" s="18" cm="1">
        <f t="array" aca="1" ref="E1199" ca="1">INDIRECT("b"&amp;F1199+2)</f>
        <v>8.2000000000000004E+71</v>
      </c>
      <c r="F1199" s="18">
        <f t="shared" si="140"/>
        <v>1994</v>
      </c>
      <c r="G1199" s="18"/>
      <c r="H1199" s="18"/>
      <c r="I1199" s="19">
        <v>1197</v>
      </c>
      <c r="J1199" s="19" cm="1">
        <f t="array" aca="1" ref="J1199" ca="1">INDIRECT("b"&amp;K1199+2)</f>
        <v>8.1999999999999999E+101</v>
      </c>
      <c r="K1199" s="19">
        <f t="shared" si="142"/>
        <v>3194</v>
      </c>
    </row>
    <row r="1200" spans="1:11">
      <c r="A1200">
        <v>1198</v>
      </c>
      <c r="B1200">
        <v>9.0999999999999978E+52</v>
      </c>
      <c r="D1200" s="18">
        <v>1198</v>
      </c>
      <c r="E1200" s="18" cm="1">
        <f t="array" aca="1" ref="E1200" ca="1">INDIRECT("b"&amp;F1200+2)</f>
        <v>8.6500000000000002E+71</v>
      </c>
      <c r="F1200" s="18">
        <f t="shared" si="140"/>
        <v>1996</v>
      </c>
      <c r="G1200" s="18"/>
      <c r="H1200" s="18"/>
      <c r="I1200" s="19">
        <v>1198</v>
      </c>
      <c r="J1200" s="19" cm="1">
        <f t="array" aca="1" ref="J1200" ca="1">INDIRECT("b"&amp;K1200+2)</f>
        <v>8.6500000000000002E+101</v>
      </c>
      <c r="K1200" s="19">
        <f t="shared" si="142"/>
        <v>3196</v>
      </c>
    </row>
    <row r="1201" spans="1:11">
      <c r="A1201">
        <v>1199</v>
      </c>
      <c r="B1201">
        <v>9.3249999999999991E+52</v>
      </c>
      <c r="D1201" s="18">
        <v>1199</v>
      </c>
      <c r="E1201" s="18" cm="1">
        <f t="array" aca="1" ref="E1201" ca="1">INDIRECT("b"&amp;F1201+2)</f>
        <v>8.875000000000001E+71</v>
      </c>
      <c r="F1201" s="18">
        <f t="shared" si="140"/>
        <v>1997</v>
      </c>
      <c r="G1201" s="18"/>
      <c r="H1201" s="18"/>
      <c r="I1201" s="19">
        <v>1199</v>
      </c>
      <c r="J1201" s="19" cm="1">
        <f t="array" aca="1" ref="J1201" ca="1">INDIRECT("b"&amp;K1201+2)</f>
        <v>8.875000000000001E+101</v>
      </c>
      <c r="K1201" s="19">
        <f t="shared" si="142"/>
        <v>3197</v>
      </c>
    </row>
    <row r="1202" spans="1:11">
      <c r="A1202">
        <v>1200</v>
      </c>
      <c r="B1202">
        <v>9.5500000000000005E+52</v>
      </c>
      <c r="D1202" s="18">
        <v>1200</v>
      </c>
      <c r="E1202" s="18" cm="1">
        <f t="array" aca="1" ref="E1202" ca="1">INDIRECT("b"&amp;F1202+2)</f>
        <v>9.0999999999999999E+71</v>
      </c>
      <c r="F1202" s="18">
        <f t="shared" si="140"/>
        <v>1998</v>
      </c>
      <c r="G1202" s="18"/>
      <c r="H1202" s="18"/>
      <c r="I1202" s="19">
        <v>1200</v>
      </c>
      <c r="J1202" s="19" cm="1">
        <f t="array" aca="1" ref="J1202" ca="1">INDIRECT("b"&amp;K1202+2)</f>
        <v>9.1000000000000005E+101</v>
      </c>
      <c r="K1202" s="19">
        <f t="shared" si="142"/>
        <v>3198</v>
      </c>
    </row>
    <row r="1203" spans="1:11">
      <c r="A1203">
        <v>1201</v>
      </c>
      <c r="B1203">
        <v>9.7749999999999997E+52</v>
      </c>
      <c r="D1203" s="18">
        <v>1201</v>
      </c>
      <c r="E1203" s="18" cm="1">
        <f t="array" aca="1" ref="E1203" ca="1">INDIRECT("b"&amp;F1203+2)</f>
        <v>9.5499999999999997E+71</v>
      </c>
      <c r="F1203" s="18">
        <f t="shared" si="140"/>
        <v>2000</v>
      </c>
      <c r="G1203" s="18">
        <f t="shared" ref="G1203" ca="1" si="152">E1203/E1198</f>
        <v>1.1974921630094042</v>
      </c>
      <c r="H1203" s="18"/>
      <c r="I1203" s="19">
        <v>1201</v>
      </c>
      <c r="J1203" s="19" cm="1">
        <f t="array" aca="1" ref="J1203" ca="1">INDIRECT("b"&amp;K1203+2)</f>
        <v>9.5500000000000007E+101</v>
      </c>
      <c r="K1203" s="19">
        <f t="shared" si="142"/>
        <v>3200</v>
      </c>
    </row>
    <row r="1204" spans="1:11">
      <c r="A1204">
        <v>1202</v>
      </c>
      <c r="B1204">
        <v>9.9999999999999999E+52</v>
      </c>
      <c r="D1204" s="18">
        <v>1202</v>
      </c>
      <c r="E1204" s="18" cm="1">
        <f t="array" aca="1" ref="E1204" ca="1">INDIRECT("b"&amp;F1204+2)</f>
        <v>9.7750000000000005E+71</v>
      </c>
      <c r="F1204" s="18">
        <f t="shared" si="140"/>
        <v>2001</v>
      </c>
      <c r="G1204" s="18"/>
      <c r="H1204" s="18"/>
      <c r="I1204" s="19">
        <v>1202</v>
      </c>
      <c r="J1204" s="19" cm="1">
        <f t="array" aca="1" ref="J1204" ca="1">INDIRECT("b"&amp;K1204+2)</f>
        <v>9.7750000000000003E+101</v>
      </c>
      <c r="K1204" s="19">
        <f t="shared" si="142"/>
        <v>3201</v>
      </c>
    </row>
    <row r="1205" spans="1:11">
      <c r="A1205">
        <v>1203</v>
      </c>
      <c r="B1205">
        <v>1.225E+53</v>
      </c>
      <c r="D1205" s="18">
        <v>1203</v>
      </c>
      <c r="E1205" s="18" cm="1">
        <f t="array" aca="1" ref="E1205" ca="1">INDIRECT("b"&amp;F1205+2)</f>
        <v>9.9999999999999994E+71</v>
      </c>
      <c r="F1205" s="18">
        <f t="shared" si="140"/>
        <v>2002</v>
      </c>
      <c r="G1205" s="18"/>
      <c r="H1205" s="18"/>
      <c r="I1205" s="19">
        <v>1203</v>
      </c>
      <c r="J1205" s="19" cm="1">
        <f t="array" aca="1" ref="J1205" ca="1">INDIRECT("b"&amp;K1205+2)</f>
        <v>9.9999999999999998E+101</v>
      </c>
      <c r="K1205" s="19">
        <f t="shared" si="142"/>
        <v>3202</v>
      </c>
    </row>
    <row r="1206" spans="1:11">
      <c r="A1206">
        <v>1204</v>
      </c>
      <c r="B1206">
        <v>1.4499999999999999E+53</v>
      </c>
      <c r="D1206" s="18">
        <v>1204</v>
      </c>
      <c r="E1206" s="18" cm="1">
        <f t="array" aca="1" ref="E1206" ca="1">INDIRECT("b"&amp;F1206+2)</f>
        <v>1.4500000000000001E+72</v>
      </c>
      <c r="F1206" s="18">
        <f t="shared" si="140"/>
        <v>2004</v>
      </c>
      <c r="G1206" s="18"/>
      <c r="H1206" s="18"/>
      <c r="I1206" s="19">
        <v>1204</v>
      </c>
      <c r="J1206" s="19" cm="1">
        <f t="array" aca="1" ref="J1206" ca="1">INDIRECT("b"&amp;K1206+2)</f>
        <v>1.4500000000000001E+102</v>
      </c>
      <c r="K1206" s="19">
        <f t="shared" si="142"/>
        <v>3204</v>
      </c>
    </row>
    <row r="1207" spans="1:11">
      <c r="A1207">
        <v>1205</v>
      </c>
      <c r="B1207">
        <v>1.6749999999999999E+53</v>
      </c>
      <c r="D1207" s="18">
        <v>1205</v>
      </c>
      <c r="E1207" s="18" cm="1">
        <f t="array" aca="1" ref="E1207" ca="1">INDIRECT("b"&amp;F1207+2)</f>
        <v>1.675E+72</v>
      </c>
      <c r="F1207" s="18">
        <f t="shared" si="140"/>
        <v>2005</v>
      </c>
      <c r="G1207" s="18"/>
      <c r="H1207" s="18"/>
      <c r="I1207" s="19">
        <v>1205</v>
      </c>
      <c r="J1207" s="19" cm="1">
        <f t="array" aca="1" ref="J1207" ca="1">INDIRECT("b"&amp;K1207+2)</f>
        <v>1.6750000000000001E+102</v>
      </c>
      <c r="K1207" s="19">
        <f t="shared" si="142"/>
        <v>3205</v>
      </c>
    </row>
    <row r="1208" spans="1:11">
      <c r="A1208">
        <v>1206</v>
      </c>
      <c r="B1208">
        <v>1.9000000000000004E+53</v>
      </c>
      <c r="D1208" s="18">
        <v>1206</v>
      </c>
      <c r="E1208" s="18" cm="1">
        <f t="array" aca="1" ref="E1208" ca="1">INDIRECT("b"&amp;F1208+2)</f>
        <v>1.9E+72</v>
      </c>
      <c r="F1208" s="18">
        <f t="shared" si="140"/>
        <v>2006</v>
      </c>
      <c r="G1208" s="18">
        <f t="shared" ref="G1208" ca="1" si="153">E1208/E1203</f>
        <v>1.9895287958115184</v>
      </c>
      <c r="H1208" s="18"/>
      <c r="I1208" s="19">
        <v>1206</v>
      </c>
      <c r="J1208" s="19" cm="1">
        <f t="array" aca="1" ref="J1208" ca="1">INDIRECT("b"&amp;K1208+2)</f>
        <v>1.9000000000000001E+102</v>
      </c>
      <c r="K1208" s="19">
        <f t="shared" si="142"/>
        <v>3206</v>
      </c>
    </row>
    <row r="1209" spans="1:11">
      <c r="A1209">
        <v>1207</v>
      </c>
      <c r="B1209">
        <v>2.125E+53</v>
      </c>
      <c r="D1209" s="18">
        <v>1207</v>
      </c>
      <c r="E1209" s="18" cm="1">
        <f t="array" aca="1" ref="E1209" ca="1">INDIRECT("b"&amp;F1209+2)</f>
        <v>2.3500000000000002E+72</v>
      </c>
      <c r="F1209" s="18">
        <f t="shared" si="140"/>
        <v>2008</v>
      </c>
      <c r="G1209" s="18"/>
      <c r="H1209" s="18"/>
      <c r="I1209" s="19">
        <v>1207</v>
      </c>
      <c r="J1209" s="19" cm="1">
        <f t="array" aca="1" ref="J1209" ca="1">INDIRECT("b"&amp;K1209+2)</f>
        <v>2.3500000000000002E+102</v>
      </c>
      <c r="K1209" s="19">
        <f t="shared" si="142"/>
        <v>3208</v>
      </c>
    </row>
    <row r="1210" spans="1:11">
      <c r="A1210">
        <v>1208</v>
      </c>
      <c r="B1210">
        <v>2.3499999999999999E+53</v>
      </c>
      <c r="D1210" s="18">
        <v>1208</v>
      </c>
      <c r="E1210" s="18" cm="1">
        <f t="array" aca="1" ref="E1210" ca="1">INDIRECT("b"&amp;F1210+2)</f>
        <v>2.5750000000000002E+72</v>
      </c>
      <c r="F1210" s="18">
        <f t="shared" si="140"/>
        <v>2009</v>
      </c>
      <c r="G1210" s="18"/>
      <c r="H1210" s="18"/>
      <c r="I1210" s="19">
        <v>1208</v>
      </c>
      <c r="J1210" s="19" cm="1">
        <f t="array" aca="1" ref="J1210" ca="1">INDIRECT("b"&amp;K1210+2)</f>
        <v>2.5749999999999999E+102</v>
      </c>
      <c r="K1210" s="19">
        <f t="shared" si="142"/>
        <v>3209</v>
      </c>
    </row>
    <row r="1211" spans="1:11">
      <c r="A1211">
        <v>1209</v>
      </c>
      <c r="B1211">
        <v>2.5749999999999997E+53</v>
      </c>
      <c r="D1211" s="18">
        <v>1209</v>
      </c>
      <c r="E1211" s="18" cm="1">
        <f t="array" aca="1" ref="E1211" ca="1">INDIRECT("b"&amp;F1211+2)</f>
        <v>2.7999999999999999E+72</v>
      </c>
      <c r="F1211" s="18">
        <f t="shared" si="140"/>
        <v>2010</v>
      </c>
      <c r="G1211" s="18"/>
      <c r="H1211" s="18"/>
      <c r="I1211" s="19">
        <v>1209</v>
      </c>
      <c r="J1211" s="19" cm="1">
        <f t="array" aca="1" ref="J1211" ca="1">INDIRECT("b"&amp;K1211+2)</f>
        <v>2.8000000000000002E+102</v>
      </c>
      <c r="K1211" s="19">
        <f t="shared" si="142"/>
        <v>3210</v>
      </c>
    </row>
    <row r="1212" spans="1:11">
      <c r="A1212">
        <v>1210</v>
      </c>
      <c r="B1212">
        <v>2.8E+53</v>
      </c>
      <c r="D1212" s="18">
        <v>1210</v>
      </c>
      <c r="E1212" s="18" cm="1">
        <f t="array" aca="1" ref="E1212" ca="1">INDIRECT("b"&amp;F1212+2)</f>
        <v>3.2500000000000001E+72</v>
      </c>
      <c r="F1212" s="18">
        <f t="shared" si="140"/>
        <v>2012</v>
      </c>
      <c r="G1212" s="18"/>
      <c r="H1212" s="18"/>
      <c r="I1212" s="19">
        <v>1210</v>
      </c>
      <c r="J1212" s="19" cm="1">
        <f t="array" aca="1" ref="J1212" ca="1">INDIRECT("b"&amp;K1212+2)</f>
        <v>3.2500000000000002E+102</v>
      </c>
      <c r="K1212" s="19">
        <f t="shared" si="142"/>
        <v>3212</v>
      </c>
    </row>
    <row r="1213" spans="1:11">
      <c r="A1213">
        <v>1211</v>
      </c>
      <c r="B1213">
        <v>3.0250000000000002E+53</v>
      </c>
      <c r="D1213" s="18">
        <v>1211</v>
      </c>
      <c r="E1213" s="18" cm="1">
        <f t="array" aca="1" ref="E1213" ca="1">INDIRECT("b"&amp;F1213+2)</f>
        <v>3.4750000000000001E+72</v>
      </c>
      <c r="F1213" s="18">
        <f t="shared" ref="F1213:F1276" si="154">INT((A1213-123)*1.333333)+563</f>
        <v>2013</v>
      </c>
      <c r="G1213" s="18">
        <f t="shared" ref="G1213" ca="1" si="155">E1213/E1208</f>
        <v>1.8289473684210527</v>
      </c>
      <c r="H1213" s="18"/>
      <c r="I1213" s="19">
        <v>1211</v>
      </c>
      <c r="J1213" s="19" cm="1">
        <f t="array" aca="1" ref="J1213" ca="1">INDIRECT("b"&amp;K1213+2)</f>
        <v>3.475E+102</v>
      </c>
      <c r="K1213" s="19">
        <f t="shared" si="142"/>
        <v>3213</v>
      </c>
    </row>
    <row r="1214" spans="1:11">
      <c r="A1214">
        <v>1212</v>
      </c>
      <c r="B1214">
        <v>3.2499999999999997E+53</v>
      </c>
      <c r="D1214" s="18">
        <v>1212</v>
      </c>
      <c r="E1214" s="18" cm="1">
        <f t="array" aca="1" ref="E1214" ca="1">INDIRECT("b"&amp;F1214+2)</f>
        <v>3.7000000000000002E+72</v>
      </c>
      <c r="F1214" s="18">
        <f t="shared" si="154"/>
        <v>2014</v>
      </c>
      <c r="G1214" s="18"/>
      <c r="H1214" s="18"/>
      <c r="I1214" s="19">
        <v>1212</v>
      </c>
      <c r="J1214" s="19" cm="1">
        <f t="array" aca="1" ref="J1214" ca="1">INDIRECT("b"&amp;K1214+2)</f>
        <v>3.7000000000000002E+102</v>
      </c>
      <c r="K1214" s="19">
        <f t="shared" si="142"/>
        <v>3214</v>
      </c>
    </row>
    <row r="1215" spans="1:11">
      <c r="A1215">
        <v>1213</v>
      </c>
      <c r="B1215">
        <v>3.4750000000000003E+53</v>
      </c>
      <c r="D1215" s="18">
        <v>1213</v>
      </c>
      <c r="E1215" s="18" cm="1">
        <f t="array" aca="1" ref="E1215" ca="1">INDIRECT("b"&amp;F1215+2)</f>
        <v>4.1500000000000003E+72</v>
      </c>
      <c r="F1215" s="18">
        <f t="shared" si="154"/>
        <v>2016</v>
      </c>
      <c r="G1215" s="18"/>
      <c r="H1215" s="18"/>
      <c r="I1215" s="19">
        <v>1213</v>
      </c>
      <c r="J1215" s="19" cm="1">
        <f t="array" aca="1" ref="J1215" ca="1">INDIRECT("b"&amp;K1215+2)</f>
        <v>4.1500000000000002E+102</v>
      </c>
      <c r="K1215" s="19">
        <f t="shared" si="142"/>
        <v>3216</v>
      </c>
    </row>
    <row r="1216" spans="1:11">
      <c r="A1216">
        <v>1214</v>
      </c>
      <c r="B1216">
        <v>3.6999999999999998E+53</v>
      </c>
      <c r="D1216" s="18">
        <v>1214</v>
      </c>
      <c r="E1216" s="18" cm="1">
        <f t="array" aca="1" ref="E1216" ca="1">INDIRECT("b"&amp;F1216+2)</f>
        <v>4.375E+72</v>
      </c>
      <c r="F1216" s="18">
        <f t="shared" si="154"/>
        <v>2017</v>
      </c>
      <c r="G1216" s="18"/>
      <c r="H1216" s="18"/>
      <c r="I1216" s="19">
        <v>1214</v>
      </c>
      <c r="J1216" s="19" cm="1">
        <f t="array" aca="1" ref="J1216" ca="1">INDIRECT("b"&amp;K1216+2)</f>
        <v>4.375E+102</v>
      </c>
      <c r="K1216" s="19">
        <f t="shared" si="142"/>
        <v>3217</v>
      </c>
    </row>
    <row r="1217" spans="1:11">
      <c r="A1217">
        <v>1215</v>
      </c>
      <c r="B1217">
        <v>3.9250000000000005E+53</v>
      </c>
      <c r="D1217" s="18">
        <v>1215</v>
      </c>
      <c r="E1217" s="18" cm="1">
        <f t="array" aca="1" ref="E1217" ca="1">INDIRECT("b"&amp;F1217+2)</f>
        <v>4.6000000000000005E+72</v>
      </c>
      <c r="F1217" s="18">
        <f t="shared" si="154"/>
        <v>2018</v>
      </c>
      <c r="G1217" s="18"/>
      <c r="H1217" s="18"/>
      <c r="I1217" s="19">
        <v>1215</v>
      </c>
      <c r="J1217" s="19" cm="1">
        <f t="array" aca="1" ref="J1217" ca="1">INDIRECT("b"&amp;K1217+2)</f>
        <v>4.5999999999999998E+102</v>
      </c>
      <c r="K1217" s="19">
        <f t="shared" si="142"/>
        <v>3218</v>
      </c>
    </row>
    <row r="1218" spans="1:11">
      <c r="A1218">
        <v>1216</v>
      </c>
      <c r="B1218">
        <v>4.1500000000000007E+53</v>
      </c>
      <c r="D1218" s="18">
        <v>1216</v>
      </c>
      <c r="E1218" s="18" cm="1">
        <f t="array" aca="1" ref="E1218" ca="1">INDIRECT("b"&amp;F1218+2)</f>
        <v>5.0499999999999998E+72</v>
      </c>
      <c r="F1218" s="18">
        <f t="shared" si="154"/>
        <v>2020</v>
      </c>
      <c r="G1218" s="18">
        <f t="shared" ref="G1218" ca="1" si="156">E1218/E1213</f>
        <v>1.4532374100719423</v>
      </c>
      <c r="H1218" s="18"/>
      <c r="I1218" s="19">
        <v>1216</v>
      </c>
      <c r="J1218" s="19" cm="1">
        <f t="array" aca="1" ref="J1218" ca="1">INDIRECT("b"&amp;K1218+2)</f>
        <v>5.0500000000000003E+102</v>
      </c>
      <c r="K1218" s="19">
        <f t="shared" si="142"/>
        <v>3220</v>
      </c>
    </row>
    <row r="1219" spans="1:11">
      <c r="A1219">
        <v>1217</v>
      </c>
      <c r="B1219">
        <v>4.3749999999999993E+53</v>
      </c>
      <c r="D1219" s="18">
        <v>1217</v>
      </c>
      <c r="E1219" s="18" cm="1">
        <f t="array" aca="1" ref="E1219" ca="1">INDIRECT("b"&amp;F1219+2)</f>
        <v>5.2750000000000003E+72</v>
      </c>
      <c r="F1219" s="18">
        <f t="shared" si="154"/>
        <v>2021</v>
      </c>
      <c r="G1219" s="18"/>
      <c r="H1219" s="18"/>
      <c r="I1219" s="19">
        <v>1217</v>
      </c>
      <c r="J1219" s="19" cm="1">
        <f t="array" aca="1" ref="J1219" ca="1">INDIRECT("b"&amp;K1219+2)</f>
        <v>5.275E+102</v>
      </c>
      <c r="K1219" s="19">
        <f t="shared" si="142"/>
        <v>3221</v>
      </c>
    </row>
    <row r="1220" spans="1:11">
      <c r="A1220">
        <v>1218</v>
      </c>
      <c r="B1220">
        <v>4.6000000000000004E+53</v>
      </c>
      <c r="D1220" s="18">
        <v>1218</v>
      </c>
      <c r="E1220" s="18" cm="1">
        <f t="array" aca="1" ref="E1220" ca="1">INDIRECT("b"&amp;F1220+2)</f>
        <v>5.5E+72</v>
      </c>
      <c r="F1220" s="18">
        <f t="shared" si="154"/>
        <v>2022</v>
      </c>
      <c r="G1220" s="18"/>
      <c r="H1220" s="18"/>
      <c r="I1220" s="19">
        <v>1218</v>
      </c>
      <c r="J1220" s="19" cm="1">
        <f t="array" aca="1" ref="J1220" ca="1">INDIRECT("b"&amp;K1220+2)</f>
        <v>5.4999999999999998E+102</v>
      </c>
      <c r="K1220" s="19">
        <f t="shared" ref="K1220:K1283" si="157">INT((A1220-1)*40/30+900*40/30)+400</f>
        <v>3222</v>
      </c>
    </row>
    <row r="1221" spans="1:11">
      <c r="A1221">
        <v>1219</v>
      </c>
      <c r="B1221">
        <v>4.8250000000000007E+53</v>
      </c>
      <c r="D1221" s="18">
        <v>1219</v>
      </c>
      <c r="E1221" s="18" cm="1">
        <f t="array" aca="1" ref="E1221" ca="1">INDIRECT("b"&amp;F1221+2)</f>
        <v>5.9500000000000001E+72</v>
      </c>
      <c r="F1221" s="18">
        <f t="shared" si="154"/>
        <v>2024</v>
      </c>
      <c r="G1221" s="18"/>
      <c r="H1221" s="18"/>
      <c r="I1221" s="19">
        <v>1219</v>
      </c>
      <c r="J1221" s="19" cm="1">
        <f t="array" aca="1" ref="J1221" ca="1">INDIRECT("b"&amp;K1221+2)</f>
        <v>5.9500000000000003E+102</v>
      </c>
      <c r="K1221" s="19">
        <f t="shared" si="157"/>
        <v>3224</v>
      </c>
    </row>
    <row r="1222" spans="1:11">
      <c r="A1222">
        <v>1220</v>
      </c>
      <c r="B1222">
        <v>5.0500000000000001E+53</v>
      </c>
      <c r="D1222" s="18">
        <v>1220</v>
      </c>
      <c r="E1222" s="18" cm="1">
        <f t="array" aca="1" ref="E1222" ca="1">INDIRECT("b"&amp;F1222+2)</f>
        <v>6.1749999999999998E+72</v>
      </c>
      <c r="F1222" s="18">
        <f t="shared" si="154"/>
        <v>2025</v>
      </c>
      <c r="G1222" s="18"/>
      <c r="H1222" s="18"/>
      <c r="I1222" s="19">
        <v>1220</v>
      </c>
      <c r="J1222" s="19" cm="1">
        <f t="array" aca="1" ref="J1222" ca="1">INDIRECT("b"&amp;K1222+2)</f>
        <v>6.1750000000000001E+102</v>
      </c>
      <c r="K1222" s="19">
        <f t="shared" si="157"/>
        <v>3225</v>
      </c>
    </row>
    <row r="1223" spans="1:11">
      <c r="A1223">
        <v>1221</v>
      </c>
      <c r="B1223">
        <v>5.2749999999999995E+53</v>
      </c>
      <c r="D1223" s="18">
        <v>1221</v>
      </c>
      <c r="E1223" s="18" cm="1">
        <f t="array" aca="1" ref="E1223" ca="1">INDIRECT("b"&amp;F1223+2)</f>
        <v>6.4000000000000003E+72</v>
      </c>
      <c r="F1223" s="18">
        <f t="shared" si="154"/>
        <v>2026</v>
      </c>
      <c r="G1223" s="18">
        <f t="shared" ref="G1223" ca="1" si="158">E1223/E1218</f>
        <v>1.2673267326732673</v>
      </c>
      <c r="H1223" s="18"/>
      <c r="I1223" s="19">
        <v>1221</v>
      </c>
      <c r="J1223" s="19" cm="1">
        <f t="array" aca="1" ref="J1223" ca="1">INDIRECT("b"&amp;K1223+2)</f>
        <v>6.3999999999999999E+102</v>
      </c>
      <c r="K1223" s="19">
        <f t="shared" si="157"/>
        <v>3226</v>
      </c>
    </row>
    <row r="1224" spans="1:11">
      <c r="A1224">
        <v>1222</v>
      </c>
      <c r="B1224">
        <v>5.4999999999999998E+53</v>
      </c>
      <c r="D1224" s="18">
        <v>1222</v>
      </c>
      <c r="E1224" s="18" cm="1">
        <f t="array" aca="1" ref="E1224" ca="1">INDIRECT("b"&amp;F1224+2)</f>
        <v>6.8500000000000004E+72</v>
      </c>
      <c r="F1224" s="18">
        <f t="shared" si="154"/>
        <v>2028</v>
      </c>
      <c r="G1224" s="18"/>
      <c r="H1224" s="18"/>
      <c r="I1224" s="19">
        <v>1222</v>
      </c>
      <c r="J1224" s="19" cm="1">
        <f t="array" aca="1" ref="J1224" ca="1">INDIRECT("b"&amp;K1224+2)</f>
        <v>6.8500000000000004E+102</v>
      </c>
      <c r="K1224" s="19">
        <f t="shared" si="157"/>
        <v>3228</v>
      </c>
    </row>
    <row r="1225" spans="1:11">
      <c r="A1225">
        <v>1223</v>
      </c>
      <c r="B1225">
        <v>5.7250000000000009E+53</v>
      </c>
      <c r="D1225" s="18">
        <v>1223</v>
      </c>
      <c r="E1225" s="18" cm="1">
        <f t="array" aca="1" ref="E1225" ca="1">INDIRECT("b"&amp;F1225+2)</f>
        <v>7.0750000000000001E+72</v>
      </c>
      <c r="F1225" s="18">
        <f t="shared" si="154"/>
        <v>2029</v>
      </c>
      <c r="G1225" s="18"/>
      <c r="H1225" s="18"/>
      <c r="I1225" s="19">
        <v>1223</v>
      </c>
      <c r="J1225" s="19" cm="1">
        <f t="array" aca="1" ref="J1225" ca="1">INDIRECT("b"&amp;K1225+2)</f>
        <v>7.0750000000000001E+102</v>
      </c>
      <c r="K1225" s="19">
        <f t="shared" si="157"/>
        <v>3229</v>
      </c>
    </row>
    <row r="1226" spans="1:11">
      <c r="A1226">
        <v>1224</v>
      </c>
      <c r="B1226">
        <v>5.9500000000000011E+53</v>
      </c>
      <c r="D1226" s="18">
        <v>1224</v>
      </c>
      <c r="E1226" s="18" cm="1">
        <f t="array" aca="1" ref="E1226" ca="1">INDIRECT("b"&amp;F1226+2)</f>
        <v>7.3000000000000006E+72</v>
      </c>
      <c r="F1226" s="18">
        <f t="shared" si="154"/>
        <v>2030</v>
      </c>
      <c r="G1226" s="18"/>
      <c r="H1226" s="18"/>
      <c r="I1226" s="19">
        <v>1224</v>
      </c>
      <c r="J1226" s="19" cm="1">
        <f t="array" aca="1" ref="J1226" ca="1">INDIRECT("b"&amp;K1226+2)</f>
        <v>7.2999999999999999E+102</v>
      </c>
      <c r="K1226" s="19">
        <f t="shared" si="157"/>
        <v>3230</v>
      </c>
    </row>
    <row r="1227" spans="1:11">
      <c r="A1227">
        <v>1225</v>
      </c>
      <c r="B1227">
        <v>6.1749999999999997E+53</v>
      </c>
      <c r="D1227" s="18">
        <v>1225</v>
      </c>
      <c r="E1227" s="18" cm="1">
        <f t="array" aca="1" ref="E1227" ca="1">INDIRECT("b"&amp;F1227+2)</f>
        <v>7.7499999999999999E+72</v>
      </c>
      <c r="F1227" s="18">
        <f t="shared" si="154"/>
        <v>2032</v>
      </c>
      <c r="G1227" s="18"/>
      <c r="H1227" s="18"/>
      <c r="I1227" s="19">
        <v>1225</v>
      </c>
      <c r="J1227" s="19" cm="1">
        <f t="array" aca="1" ref="J1227" ca="1">INDIRECT("b"&amp;K1227+2)</f>
        <v>7.7500000000000004E+102</v>
      </c>
      <c r="K1227" s="19">
        <f t="shared" si="157"/>
        <v>3232</v>
      </c>
    </row>
    <row r="1228" spans="1:11">
      <c r="A1228">
        <v>1226</v>
      </c>
      <c r="B1228">
        <v>6.3999999999999991E+53</v>
      </c>
      <c r="D1228" s="18">
        <v>1226</v>
      </c>
      <c r="E1228" s="18" cm="1">
        <f t="array" aca="1" ref="E1228" ca="1">INDIRECT("b"&amp;F1228+2)</f>
        <v>7.9750000000000004E+72</v>
      </c>
      <c r="F1228" s="18">
        <f t="shared" si="154"/>
        <v>2033</v>
      </c>
      <c r="G1228" s="18">
        <f t="shared" ref="G1228" ca="1" si="159">E1228/E1223</f>
        <v>1.24609375</v>
      </c>
      <c r="H1228" s="18"/>
      <c r="I1228" s="19">
        <v>1226</v>
      </c>
      <c r="J1228" s="19" cm="1">
        <f t="array" aca="1" ref="J1228" ca="1">INDIRECT("b"&amp;K1228+2)</f>
        <v>7.9750000000000002E+102</v>
      </c>
      <c r="K1228" s="19">
        <f t="shared" si="157"/>
        <v>3233</v>
      </c>
    </row>
    <row r="1229" spans="1:11">
      <c r="A1229">
        <v>1227</v>
      </c>
      <c r="B1229">
        <v>6.6250000000000002E+53</v>
      </c>
      <c r="D1229" s="18">
        <v>1227</v>
      </c>
      <c r="E1229" s="18" cm="1">
        <f t="array" aca="1" ref="E1229" ca="1">INDIRECT("b"&amp;F1229+2)</f>
        <v>8.2000000000000008E+72</v>
      </c>
      <c r="F1229" s="18">
        <f t="shared" si="154"/>
        <v>2034</v>
      </c>
      <c r="G1229" s="18"/>
      <c r="H1229" s="18"/>
      <c r="I1229" s="19">
        <v>1227</v>
      </c>
      <c r="J1229" s="19" cm="1">
        <f t="array" aca="1" ref="J1229" ca="1">INDIRECT("b"&amp;K1229+2)</f>
        <v>8.1999999999999999E+102</v>
      </c>
      <c r="K1229" s="19">
        <f t="shared" si="157"/>
        <v>3234</v>
      </c>
    </row>
    <row r="1230" spans="1:11">
      <c r="A1230">
        <v>1228</v>
      </c>
      <c r="B1230">
        <v>6.8500000000000013E+53</v>
      </c>
      <c r="D1230" s="18">
        <v>1228</v>
      </c>
      <c r="E1230" s="18" cm="1">
        <f t="array" aca="1" ref="E1230" ca="1">INDIRECT("b"&amp;F1230+2)</f>
        <v>8.6500000000000002E+72</v>
      </c>
      <c r="F1230" s="18">
        <f t="shared" si="154"/>
        <v>2036</v>
      </c>
      <c r="G1230" s="18"/>
      <c r="H1230" s="18"/>
      <c r="I1230" s="19">
        <v>1228</v>
      </c>
      <c r="J1230" s="19" cm="1">
        <f t="array" aca="1" ref="J1230" ca="1">INDIRECT("b"&amp;K1230+2)</f>
        <v>8.6500000000000005E+102</v>
      </c>
      <c r="K1230" s="19">
        <f t="shared" si="157"/>
        <v>3236</v>
      </c>
    </row>
    <row r="1231" spans="1:11">
      <c r="A1231">
        <v>1229</v>
      </c>
      <c r="B1231">
        <v>7.074999999999999E+53</v>
      </c>
      <c r="D1231" s="18">
        <v>1229</v>
      </c>
      <c r="E1231" s="18" cm="1">
        <f t="array" aca="1" ref="E1231" ca="1">INDIRECT("b"&amp;F1231+2)</f>
        <v>8.8750000000000007E+72</v>
      </c>
      <c r="F1231" s="18">
        <f t="shared" si="154"/>
        <v>2037</v>
      </c>
      <c r="G1231" s="18"/>
      <c r="H1231" s="18"/>
      <c r="I1231" s="19">
        <v>1229</v>
      </c>
      <c r="J1231" s="19" cm="1">
        <f t="array" aca="1" ref="J1231" ca="1">INDIRECT("b"&amp;K1231+2)</f>
        <v>8.8750000000000002E+102</v>
      </c>
      <c r="K1231" s="19">
        <f t="shared" si="157"/>
        <v>3237</v>
      </c>
    </row>
    <row r="1232" spans="1:11">
      <c r="A1232">
        <v>1230</v>
      </c>
      <c r="B1232">
        <v>7.3000000000000002E+53</v>
      </c>
      <c r="D1232" s="18">
        <v>1230</v>
      </c>
      <c r="E1232" s="18" cm="1">
        <f t="array" aca="1" ref="E1232" ca="1">INDIRECT("b"&amp;F1232+2)</f>
        <v>9.0999999999999995E+72</v>
      </c>
      <c r="F1232" s="18">
        <f t="shared" si="154"/>
        <v>2038</v>
      </c>
      <c r="G1232" s="18"/>
      <c r="H1232" s="18"/>
      <c r="I1232" s="19">
        <v>1230</v>
      </c>
      <c r="J1232" s="19" cm="1">
        <f t="array" aca="1" ref="J1232" ca="1">INDIRECT("b"&amp;K1232+2)</f>
        <v>9.100000000000001E+102</v>
      </c>
      <c r="K1232" s="19">
        <f t="shared" si="157"/>
        <v>3238</v>
      </c>
    </row>
    <row r="1233" spans="1:11">
      <c r="A1233">
        <v>1231</v>
      </c>
      <c r="B1233">
        <v>7.5249999999999987E+53</v>
      </c>
      <c r="D1233" s="18">
        <v>1231</v>
      </c>
      <c r="E1233" s="18" cm="1">
        <f t="array" aca="1" ref="E1233" ca="1">INDIRECT("b"&amp;F1233+2)</f>
        <v>9.5500000000000005E+72</v>
      </c>
      <c r="F1233" s="18">
        <f t="shared" si="154"/>
        <v>2040</v>
      </c>
      <c r="G1233" s="18">
        <f t="shared" ref="G1233" ca="1" si="160">E1233/E1228</f>
        <v>1.1974921630094044</v>
      </c>
      <c r="H1233" s="18"/>
      <c r="I1233" s="19">
        <v>1231</v>
      </c>
      <c r="J1233" s="19" cm="1">
        <f t="array" aca="1" ref="J1233" ca="1">INDIRECT("b"&amp;K1233+2)</f>
        <v>9.5500000000000005E+102</v>
      </c>
      <c r="K1233" s="19">
        <f t="shared" si="157"/>
        <v>3240</v>
      </c>
    </row>
    <row r="1234" spans="1:11">
      <c r="A1234">
        <v>1232</v>
      </c>
      <c r="B1234">
        <v>7.7499999999999998E+53</v>
      </c>
      <c r="D1234" s="18">
        <v>1232</v>
      </c>
      <c r="E1234" s="18" cm="1">
        <f t="array" aca="1" ref="E1234" ca="1">INDIRECT("b"&amp;F1234+2)</f>
        <v>9.7750000000000009E+72</v>
      </c>
      <c r="F1234" s="18">
        <f t="shared" si="154"/>
        <v>2041</v>
      </c>
      <c r="G1234" s="18"/>
      <c r="H1234" s="18"/>
      <c r="I1234" s="19">
        <v>1232</v>
      </c>
      <c r="J1234" s="19" cm="1">
        <f t="array" aca="1" ref="J1234" ca="1">INDIRECT("b"&amp;K1234+2)</f>
        <v>9.7749999999999993E+102</v>
      </c>
      <c r="K1234" s="19">
        <f t="shared" si="157"/>
        <v>3241</v>
      </c>
    </row>
    <row r="1235" spans="1:11">
      <c r="A1235">
        <v>1233</v>
      </c>
      <c r="B1235">
        <v>7.975000000000001E+53</v>
      </c>
      <c r="D1235" s="18">
        <v>1233</v>
      </c>
      <c r="E1235" s="18" cm="1">
        <f t="array" aca="1" ref="E1235" ca="1">INDIRECT("b"&amp;F1235+2)</f>
        <v>9.9999999999999998E+72</v>
      </c>
      <c r="F1235" s="18">
        <f t="shared" si="154"/>
        <v>2042</v>
      </c>
      <c r="G1235" s="18"/>
      <c r="H1235" s="18"/>
      <c r="I1235" s="19">
        <v>1233</v>
      </c>
      <c r="J1235" s="19" cm="1">
        <f t="array" aca="1" ref="J1235" ca="1">INDIRECT("b"&amp;K1235+2)</f>
        <v>1E+103</v>
      </c>
      <c r="K1235" s="19">
        <f t="shared" si="157"/>
        <v>3242</v>
      </c>
    </row>
    <row r="1236" spans="1:11">
      <c r="A1236">
        <v>1234</v>
      </c>
      <c r="B1236">
        <v>8.1999999999999987E+53</v>
      </c>
      <c r="D1236" s="18">
        <v>1234</v>
      </c>
      <c r="E1236" s="18" cm="1">
        <f t="array" aca="1" ref="E1236" ca="1">INDIRECT("b"&amp;F1236+2)</f>
        <v>1.4500000000000001E+73</v>
      </c>
      <c r="F1236" s="18">
        <f t="shared" si="154"/>
        <v>2044</v>
      </c>
      <c r="G1236" s="18"/>
      <c r="H1236" s="18"/>
      <c r="I1236" s="19">
        <v>1234</v>
      </c>
      <c r="J1236" s="19" cm="1">
        <f t="array" aca="1" ref="J1236" ca="1">INDIRECT("b"&amp;K1236+2)</f>
        <v>1.4500000000000001E+103</v>
      </c>
      <c r="K1236" s="19">
        <f t="shared" si="157"/>
        <v>3244</v>
      </c>
    </row>
    <row r="1237" spans="1:11">
      <c r="A1237">
        <v>1235</v>
      </c>
      <c r="B1237">
        <v>8.4249999999999998E+53</v>
      </c>
      <c r="D1237" s="18">
        <v>1235</v>
      </c>
      <c r="E1237" s="18" cm="1">
        <f t="array" aca="1" ref="E1237" ca="1">INDIRECT("b"&amp;F1237+2)</f>
        <v>1.675E+73</v>
      </c>
      <c r="F1237" s="18">
        <f t="shared" si="154"/>
        <v>2045</v>
      </c>
      <c r="G1237" s="18"/>
      <c r="H1237" s="18"/>
      <c r="I1237" s="19">
        <v>1235</v>
      </c>
      <c r="J1237" s="19" cm="1">
        <f t="array" aca="1" ref="J1237" ca="1">INDIRECT("b"&amp;K1237+2)</f>
        <v>1.6750000000000001E+103</v>
      </c>
      <c r="K1237" s="19">
        <f t="shared" si="157"/>
        <v>3245</v>
      </c>
    </row>
    <row r="1238" spans="1:11">
      <c r="A1238">
        <v>1236</v>
      </c>
      <c r="B1238">
        <v>8.6499999999999992E+53</v>
      </c>
      <c r="D1238" s="18">
        <v>1236</v>
      </c>
      <c r="E1238" s="18" cm="1">
        <f t="array" aca="1" ref="E1238" ca="1">INDIRECT("b"&amp;F1238+2)</f>
        <v>1.9000000000000001E+73</v>
      </c>
      <c r="F1238" s="18">
        <f t="shared" si="154"/>
        <v>2046</v>
      </c>
      <c r="G1238" s="18">
        <f t="shared" ref="G1238" ca="1" si="161">E1238/E1233</f>
        <v>1.9895287958115184</v>
      </c>
      <c r="H1238" s="18"/>
      <c r="I1238" s="19">
        <v>1236</v>
      </c>
      <c r="J1238" s="19" cm="1">
        <f t="array" aca="1" ref="J1238" ca="1">INDIRECT("b"&amp;K1238+2)</f>
        <v>1.8999999999999998E+103</v>
      </c>
      <c r="K1238" s="19">
        <f t="shared" si="157"/>
        <v>3246</v>
      </c>
    </row>
    <row r="1239" spans="1:11">
      <c r="A1239">
        <v>1237</v>
      </c>
      <c r="B1239">
        <v>8.8750000000000003E+53</v>
      </c>
      <c r="D1239" s="18">
        <v>1237</v>
      </c>
      <c r="E1239" s="18" cm="1">
        <f t="array" aca="1" ref="E1239" ca="1">INDIRECT("b"&amp;F1239+2)</f>
        <v>2.3500000000000001E+73</v>
      </c>
      <c r="F1239" s="18">
        <f t="shared" si="154"/>
        <v>2048</v>
      </c>
      <c r="G1239" s="18"/>
      <c r="H1239" s="18"/>
      <c r="I1239" s="19">
        <v>1237</v>
      </c>
      <c r="J1239" s="19" cm="1">
        <f t="array" aca="1" ref="J1239" ca="1">INDIRECT("b"&amp;K1239+2)</f>
        <v>2.3500000000000002E+103</v>
      </c>
      <c r="K1239" s="19">
        <f t="shared" si="157"/>
        <v>3248</v>
      </c>
    </row>
    <row r="1240" spans="1:11">
      <c r="A1240">
        <v>1238</v>
      </c>
      <c r="B1240">
        <v>9.099999999999998E+53</v>
      </c>
      <c r="D1240" s="18">
        <v>1238</v>
      </c>
      <c r="E1240" s="18" cm="1">
        <f t="array" aca="1" ref="E1240" ca="1">INDIRECT("b"&amp;F1240+2)</f>
        <v>2.5749999999999999E+73</v>
      </c>
      <c r="F1240" s="18">
        <f t="shared" si="154"/>
        <v>2049</v>
      </c>
      <c r="G1240" s="18"/>
      <c r="H1240" s="18"/>
      <c r="I1240" s="19">
        <v>1238</v>
      </c>
      <c r="J1240" s="19" cm="1">
        <f t="array" aca="1" ref="J1240" ca="1">INDIRECT("b"&amp;K1240+2)</f>
        <v>2.5750000000000001E+103</v>
      </c>
      <c r="K1240" s="19">
        <f t="shared" si="157"/>
        <v>3249</v>
      </c>
    </row>
    <row r="1241" spans="1:11">
      <c r="A1241">
        <v>1239</v>
      </c>
      <c r="B1241">
        <v>9.3249999999999991E+53</v>
      </c>
      <c r="D1241" s="18">
        <v>1239</v>
      </c>
      <c r="E1241" s="18" cm="1">
        <f t="array" aca="1" ref="E1241" ca="1">INDIRECT("b"&amp;F1241+2)</f>
        <v>2.8000000000000001E+73</v>
      </c>
      <c r="F1241" s="18">
        <f t="shared" si="154"/>
        <v>2050</v>
      </c>
      <c r="G1241" s="18"/>
      <c r="H1241" s="18"/>
      <c r="I1241" s="19">
        <v>1239</v>
      </c>
      <c r="J1241" s="19" cm="1">
        <f t="array" aca="1" ref="J1241" ca="1">INDIRECT("b"&amp;K1241+2)</f>
        <v>2.8000000000000001E+103</v>
      </c>
      <c r="K1241" s="19">
        <f t="shared" si="157"/>
        <v>3250</v>
      </c>
    </row>
    <row r="1242" spans="1:11">
      <c r="A1242">
        <v>1240</v>
      </c>
      <c r="B1242">
        <v>9.5500000000000003E+53</v>
      </c>
      <c r="D1242" s="18">
        <v>1240</v>
      </c>
      <c r="E1242" s="18" cm="1">
        <f t="array" aca="1" ref="E1242" ca="1">INDIRECT("b"&amp;F1242+2)</f>
        <v>3.2500000000000001E+73</v>
      </c>
      <c r="F1242" s="18">
        <f t="shared" si="154"/>
        <v>2052</v>
      </c>
      <c r="G1242" s="18"/>
      <c r="H1242" s="18"/>
      <c r="I1242" s="19">
        <v>1240</v>
      </c>
      <c r="J1242" s="19" cm="1">
        <f t="array" aca="1" ref="J1242" ca="1">INDIRECT("b"&amp;K1242+2)</f>
        <v>3.25E+103</v>
      </c>
      <c r="K1242" s="19">
        <f t="shared" si="157"/>
        <v>3252</v>
      </c>
    </row>
    <row r="1243" spans="1:11">
      <c r="A1243">
        <v>1241</v>
      </c>
      <c r="B1243">
        <v>9.7749999999999997E+53</v>
      </c>
      <c r="D1243" s="18">
        <v>1241</v>
      </c>
      <c r="E1243" s="18" cm="1">
        <f t="array" aca="1" ref="E1243" ca="1">INDIRECT("b"&amp;F1243+2)</f>
        <v>3.4750000000000002E+73</v>
      </c>
      <c r="F1243" s="18">
        <f t="shared" si="154"/>
        <v>2053</v>
      </c>
      <c r="G1243" s="18">
        <f t="shared" ref="G1243" ca="1" si="162">E1243/E1238</f>
        <v>1.8289473684210527</v>
      </c>
      <c r="H1243" s="18"/>
      <c r="I1243" s="19">
        <v>1241</v>
      </c>
      <c r="J1243" s="19" cm="1">
        <f t="array" aca="1" ref="J1243" ca="1">INDIRECT("b"&amp;K1243+2)</f>
        <v>3.475E+103</v>
      </c>
      <c r="K1243" s="19">
        <f t="shared" si="157"/>
        <v>3253</v>
      </c>
    </row>
    <row r="1244" spans="1:11">
      <c r="A1244">
        <v>1242</v>
      </c>
      <c r="B1244">
        <v>1.0000000000000001E+54</v>
      </c>
      <c r="D1244" s="18">
        <v>1242</v>
      </c>
      <c r="E1244" s="18" cm="1">
        <f t="array" aca="1" ref="E1244" ca="1">INDIRECT("b"&amp;F1244+2)</f>
        <v>3.6999999999999997E+73</v>
      </c>
      <c r="F1244" s="18">
        <f t="shared" si="154"/>
        <v>2054</v>
      </c>
      <c r="G1244" s="18"/>
      <c r="H1244" s="18"/>
      <c r="I1244" s="19">
        <v>1242</v>
      </c>
      <c r="J1244" s="19" cm="1">
        <f t="array" aca="1" ref="J1244" ca="1">INDIRECT("b"&amp;K1244+2)</f>
        <v>3.7000000000000003E+103</v>
      </c>
      <c r="K1244" s="19">
        <f t="shared" si="157"/>
        <v>3254</v>
      </c>
    </row>
    <row r="1245" spans="1:11">
      <c r="A1245">
        <v>1243</v>
      </c>
      <c r="B1245">
        <v>1.225E+54</v>
      </c>
      <c r="D1245" s="18">
        <v>1243</v>
      </c>
      <c r="E1245" s="18" cm="1">
        <f t="array" aca="1" ref="E1245" ca="1">INDIRECT("b"&amp;F1245+2)</f>
        <v>4.15E+73</v>
      </c>
      <c r="F1245" s="18">
        <f t="shared" si="154"/>
        <v>2056</v>
      </c>
      <c r="G1245" s="18"/>
      <c r="H1245" s="18"/>
      <c r="I1245" s="19">
        <v>1243</v>
      </c>
      <c r="J1245" s="19" cm="1">
        <f t="array" aca="1" ref="J1245" ca="1">INDIRECT("b"&amp;K1245+2)</f>
        <v>4.1500000000000002E+103</v>
      </c>
      <c r="K1245" s="19">
        <f t="shared" si="157"/>
        <v>3256</v>
      </c>
    </row>
    <row r="1246" spans="1:11">
      <c r="A1246">
        <v>1244</v>
      </c>
      <c r="B1246">
        <v>1.4499999999999998E+54</v>
      </c>
      <c r="D1246" s="18">
        <v>1244</v>
      </c>
      <c r="E1246" s="18" cm="1">
        <f t="array" aca="1" ref="E1246" ca="1">INDIRECT("b"&amp;F1246+2)</f>
        <v>4.3750000000000002E+73</v>
      </c>
      <c r="F1246" s="18">
        <f t="shared" si="154"/>
        <v>2057</v>
      </c>
      <c r="G1246" s="18"/>
      <c r="H1246" s="18"/>
      <c r="I1246" s="19">
        <v>1244</v>
      </c>
      <c r="J1246" s="19" cm="1">
        <f t="array" aca="1" ref="J1246" ca="1">INDIRECT("b"&amp;K1246+2)</f>
        <v>4.3750000000000002E+103</v>
      </c>
      <c r="K1246" s="19">
        <f t="shared" si="157"/>
        <v>3257</v>
      </c>
    </row>
    <row r="1247" spans="1:11">
      <c r="A1247">
        <v>1245</v>
      </c>
      <c r="B1247">
        <v>1.675E+54</v>
      </c>
      <c r="D1247" s="18">
        <v>1245</v>
      </c>
      <c r="E1247" s="18" cm="1">
        <f t="array" aca="1" ref="E1247" ca="1">INDIRECT("b"&amp;F1247+2)</f>
        <v>4.5999999999999997E+73</v>
      </c>
      <c r="F1247" s="18">
        <f t="shared" si="154"/>
        <v>2058</v>
      </c>
      <c r="G1247" s="18"/>
      <c r="H1247" s="18"/>
      <c r="I1247" s="19">
        <v>1245</v>
      </c>
      <c r="J1247" s="19" cm="1">
        <f t="array" aca="1" ref="J1247" ca="1">INDIRECT("b"&amp;K1247+2)</f>
        <v>4.6000000000000002E+103</v>
      </c>
      <c r="K1247" s="19">
        <f t="shared" si="157"/>
        <v>3258</v>
      </c>
    </row>
    <row r="1248" spans="1:11">
      <c r="A1248">
        <v>1246</v>
      </c>
      <c r="B1248">
        <v>1.9000000000000005E+54</v>
      </c>
      <c r="D1248" s="18">
        <v>1246</v>
      </c>
      <c r="E1248" s="18" cm="1">
        <f t="array" aca="1" ref="E1248" ca="1">INDIRECT("b"&amp;F1248+2)</f>
        <v>5.05E+73</v>
      </c>
      <c r="F1248" s="18">
        <f t="shared" si="154"/>
        <v>2060</v>
      </c>
      <c r="G1248" s="18">
        <f t="shared" ref="G1248" ca="1" si="163">E1248/E1243</f>
        <v>1.4532374100719423</v>
      </c>
      <c r="H1248" s="18"/>
      <c r="I1248" s="19">
        <v>1246</v>
      </c>
      <c r="J1248" s="19" cm="1">
        <f t="array" aca="1" ref="J1248" ca="1">INDIRECT("b"&amp;K1248+2)</f>
        <v>5.0500000000000001E+103</v>
      </c>
      <c r="K1248" s="19">
        <f t="shared" si="157"/>
        <v>3260</v>
      </c>
    </row>
    <row r="1249" spans="1:11">
      <c r="A1249">
        <v>1247</v>
      </c>
      <c r="B1249">
        <v>2.1249999999999999E+54</v>
      </c>
      <c r="D1249" s="18">
        <v>1247</v>
      </c>
      <c r="E1249" s="18" cm="1">
        <f t="array" aca="1" ref="E1249" ca="1">INDIRECT("b"&amp;F1249+2)</f>
        <v>5.2750000000000001E+73</v>
      </c>
      <c r="F1249" s="18">
        <f t="shared" si="154"/>
        <v>2061</v>
      </c>
      <c r="G1249" s="18"/>
      <c r="H1249" s="18"/>
      <c r="I1249" s="19">
        <v>1247</v>
      </c>
      <c r="J1249" s="19" cm="1">
        <f t="array" aca="1" ref="J1249" ca="1">INDIRECT("b"&amp;K1249+2)</f>
        <v>5.275E+103</v>
      </c>
      <c r="K1249" s="19">
        <f t="shared" si="157"/>
        <v>3261</v>
      </c>
    </row>
    <row r="1250" spans="1:11">
      <c r="A1250">
        <v>1248</v>
      </c>
      <c r="B1250">
        <v>2.35E+54</v>
      </c>
      <c r="D1250" s="18">
        <v>1248</v>
      </c>
      <c r="E1250" s="18" cm="1">
        <f t="array" aca="1" ref="E1250" ca="1">INDIRECT("b"&amp;F1250+2)</f>
        <v>5.4999999999999997E+73</v>
      </c>
      <c r="F1250" s="18">
        <f t="shared" si="154"/>
        <v>2062</v>
      </c>
      <c r="G1250" s="18"/>
      <c r="H1250" s="18"/>
      <c r="I1250" s="19">
        <v>1248</v>
      </c>
      <c r="J1250" s="19" cm="1">
        <f t="array" aca="1" ref="J1250" ca="1">INDIRECT("b"&amp;K1250+2)</f>
        <v>5.5E+103</v>
      </c>
      <c r="K1250" s="19">
        <f t="shared" si="157"/>
        <v>3262</v>
      </c>
    </row>
    <row r="1251" spans="1:11">
      <c r="A1251">
        <v>1249</v>
      </c>
      <c r="B1251">
        <v>2.5749999999999997E+54</v>
      </c>
      <c r="D1251" s="18">
        <v>1249</v>
      </c>
      <c r="E1251" s="18" cm="1">
        <f t="array" aca="1" ref="E1251" ca="1">INDIRECT("b"&amp;F1251+2)</f>
        <v>5.9499999999999993E+73</v>
      </c>
      <c r="F1251" s="18">
        <f t="shared" si="154"/>
        <v>2064</v>
      </c>
      <c r="G1251" s="18"/>
      <c r="H1251" s="18"/>
      <c r="I1251" s="19">
        <v>1249</v>
      </c>
      <c r="J1251" s="19" cm="1">
        <f t="array" aca="1" ref="J1251" ca="1">INDIRECT("b"&amp;K1251+2)</f>
        <v>5.9499999999999999E+103</v>
      </c>
      <c r="K1251" s="19">
        <f t="shared" si="157"/>
        <v>3264</v>
      </c>
    </row>
    <row r="1252" spans="1:11">
      <c r="A1252">
        <v>1250</v>
      </c>
      <c r="B1252">
        <v>2.8000000000000002E+54</v>
      </c>
      <c r="D1252" s="18">
        <v>1250</v>
      </c>
      <c r="E1252" s="18" cm="1">
        <f t="array" aca="1" ref="E1252" ca="1">INDIRECT("b"&amp;F1252+2)</f>
        <v>6.1749999999999995E+73</v>
      </c>
      <c r="F1252" s="18">
        <f t="shared" si="154"/>
        <v>2065</v>
      </c>
      <c r="G1252" s="18"/>
      <c r="H1252" s="18"/>
      <c r="I1252" s="19">
        <v>1250</v>
      </c>
      <c r="J1252" s="19" cm="1">
        <f t="array" aca="1" ref="J1252" ca="1">INDIRECT("b"&amp;K1252+2)</f>
        <v>6.1749999999999999E+103</v>
      </c>
      <c r="K1252" s="19">
        <f t="shared" si="157"/>
        <v>3265</v>
      </c>
    </row>
    <row r="1253" spans="1:11">
      <c r="A1253">
        <v>1251</v>
      </c>
      <c r="B1253">
        <v>3.0250000000000002E+54</v>
      </c>
      <c r="D1253" s="18">
        <v>1251</v>
      </c>
      <c r="E1253" s="18" cm="1">
        <f t="array" aca="1" ref="E1253" ca="1">INDIRECT("b"&amp;F1253+2)</f>
        <v>6.3999999999999996E+73</v>
      </c>
      <c r="F1253" s="18">
        <f t="shared" si="154"/>
        <v>2066</v>
      </c>
      <c r="G1253" s="18">
        <f t="shared" ref="G1253" ca="1" si="164">E1253/E1248</f>
        <v>1.2673267326732673</v>
      </c>
      <c r="H1253" s="18"/>
      <c r="I1253" s="19">
        <v>1251</v>
      </c>
      <c r="J1253" s="19" cm="1">
        <f t="array" aca="1" ref="J1253" ca="1">INDIRECT("b"&amp;K1253+2)</f>
        <v>6.3999999999999999E+103</v>
      </c>
      <c r="K1253" s="19">
        <f t="shared" si="157"/>
        <v>3266</v>
      </c>
    </row>
    <row r="1254" spans="1:11">
      <c r="A1254">
        <v>1252</v>
      </c>
      <c r="B1254">
        <v>3.25E+54</v>
      </c>
      <c r="D1254" s="18">
        <v>1252</v>
      </c>
      <c r="E1254" s="18" cm="1">
        <f t="array" aca="1" ref="E1254" ca="1">INDIRECT("b"&amp;F1254+2)</f>
        <v>6.8499999999999999E+73</v>
      </c>
      <c r="F1254" s="18">
        <f t="shared" si="154"/>
        <v>2068</v>
      </c>
      <c r="G1254" s="18"/>
      <c r="H1254" s="18"/>
      <c r="I1254" s="19">
        <v>1252</v>
      </c>
      <c r="J1254" s="19" cm="1">
        <f t="array" aca="1" ref="J1254" ca="1">INDIRECT("b"&amp;K1254+2)</f>
        <v>6.8499999999999998E+103</v>
      </c>
      <c r="K1254" s="19">
        <f t="shared" si="157"/>
        <v>3268</v>
      </c>
    </row>
    <row r="1255" spans="1:11">
      <c r="A1255">
        <v>1253</v>
      </c>
      <c r="B1255">
        <v>3.4750000000000004E+54</v>
      </c>
      <c r="D1255" s="18">
        <v>1253</v>
      </c>
      <c r="E1255" s="18" cm="1">
        <f t="array" aca="1" ref="E1255" ca="1">INDIRECT("b"&amp;F1255+2)</f>
        <v>7.0750000000000001E+73</v>
      </c>
      <c r="F1255" s="18">
        <f t="shared" si="154"/>
        <v>2069</v>
      </c>
      <c r="G1255" s="18"/>
      <c r="H1255" s="18"/>
      <c r="I1255" s="19">
        <v>1253</v>
      </c>
      <c r="J1255" s="19" cm="1">
        <f t="array" aca="1" ref="J1255" ca="1">INDIRECT("b"&amp;K1255+2)</f>
        <v>7.0750000000000005E+103</v>
      </c>
      <c r="K1255" s="19">
        <f t="shared" si="157"/>
        <v>3269</v>
      </c>
    </row>
    <row r="1256" spans="1:11">
      <c r="A1256">
        <v>1254</v>
      </c>
      <c r="B1256">
        <v>3.7000000000000002E+54</v>
      </c>
      <c r="D1256" s="18">
        <v>1254</v>
      </c>
      <c r="E1256" s="18" cm="1">
        <f t="array" aca="1" ref="E1256" ca="1">INDIRECT("b"&amp;F1256+2)</f>
        <v>7.3000000000000002E+73</v>
      </c>
      <c r="F1256" s="18">
        <f t="shared" si="154"/>
        <v>2070</v>
      </c>
      <c r="G1256" s="18"/>
      <c r="H1256" s="18"/>
      <c r="I1256" s="19">
        <v>1254</v>
      </c>
      <c r="J1256" s="19" cm="1">
        <f t="array" aca="1" ref="J1256" ca="1">INDIRECT("b"&amp;K1256+2)</f>
        <v>7.3000000000000005E+103</v>
      </c>
      <c r="K1256" s="19">
        <f t="shared" si="157"/>
        <v>3270</v>
      </c>
    </row>
    <row r="1257" spans="1:11">
      <c r="A1257">
        <v>1255</v>
      </c>
      <c r="B1257">
        <v>3.9249999999999999E+54</v>
      </c>
      <c r="D1257" s="18">
        <v>1255</v>
      </c>
      <c r="E1257" s="18" cm="1">
        <f t="array" aca="1" ref="E1257" ca="1">INDIRECT("b"&amp;F1257+2)</f>
        <v>7.7500000000000005E+73</v>
      </c>
      <c r="F1257" s="18">
        <f t="shared" si="154"/>
        <v>2072</v>
      </c>
      <c r="G1257" s="18"/>
      <c r="H1257" s="18"/>
      <c r="I1257" s="19">
        <v>1255</v>
      </c>
      <c r="J1257" s="19" cm="1">
        <f t="array" aca="1" ref="J1257" ca="1">INDIRECT("b"&amp;K1257+2)</f>
        <v>7.7500000000000004E+103</v>
      </c>
      <c r="K1257" s="19">
        <f t="shared" si="157"/>
        <v>3272</v>
      </c>
    </row>
    <row r="1258" spans="1:11">
      <c r="A1258">
        <v>1256</v>
      </c>
      <c r="B1258">
        <v>4.1500000000000004E+54</v>
      </c>
      <c r="D1258" s="18">
        <v>1256</v>
      </c>
      <c r="E1258" s="18" cm="1">
        <f t="array" aca="1" ref="E1258" ca="1">INDIRECT("b"&amp;F1258+2)</f>
        <v>7.9749999999999994E+73</v>
      </c>
      <c r="F1258" s="18">
        <f t="shared" si="154"/>
        <v>2073</v>
      </c>
      <c r="G1258" s="18">
        <f t="shared" ref="G1258" ca="1" si="165">E1258/E1253</f>
        <v>1.24609375</v>
      </c>
      <c r="H1258" s="18"/>
      <c r="I1258" s="19">
        <v>1256</v>
      </c>
      <c r="J1258" s="19" cm="1">
        <f t="array" aca="1" ref="J1258" ca="1">INDIRECT("b"&amp;K1258+2)</f>
        <v>7.9749999999999996E+103</v>
      </c>
      <c r="K1258" s="19">
        <f t="shared" si="157"/>
        <v>3273</v>
      </c>
    </row>
    <row r="1259" spans="1:11">
      <c r="A1259">
        <v>1257</v>
      </c>
      <c r="B1259">
        <v>4.3749999999999994E+54</v>
      </c>
      <c r="D1259" s="18">
        <v>1257</v>
      </c>
      <c r="E1259" s="18" cm="1">
        <f t="array" aca="1" ref="E1259" ca="1">INDIRECT("b"&amp;F1259+2)</f>
        <v>8.1999999999999996E+73</v>
      </c>
      <c r="F1259" s="18">
        <f t="shared" si="154"/>
        <v>2074</v>
      </c>
      <c r="G1259" s="18"/>
      <c r="H1259" s="18"/>
      <c r="I1259" s="19">
        <v>1257</v>
      </c>
      <c r="J1259" s="19" cm="1">
        <f t="array" aca="1" ref="J1259" ca="1">INDIRECT("b"&amp;K1259+2)</f>
        <v>8.2000000000000003E+103</v>
      </c>
      <c r="K1259" s="19">
        <f t="shared" si="157"/>
        <v>3274</v>
      </c>
    </row>
    <row r="1260" spans="1:11">
      <c r="A1260">
        <v>1258</v>
      </c>
      <c r="B1260">
        <v>4.5999999999999999E+54</v>
      </c>
      <c r="D1260" s="18">
        <v>1258</v>
      </c>
      <c r="E1260" s="18" cm="1">
        <f t="array" aca="1" ref="E1260" ca="1">INDIRECT("b"&amp;F1260+2)</f>
        <v>8.6499999999999999E+73</v>
      </c>
      <c r="F1260" s="18">
        <f t="shared" si="154"/>
        <v>2076</v>
      </c>
      <c r="G1260" s="18"/>
      <c r="H1260" s="18"/>
      <c r="I1260" s="19">
        <v>1258</v>
      </c>
      <c r="J1260" s="19" cm="1">
        <f t="array" aca="1" ref="J1260" ca="1">INDIRECT("b"&amp;K1260+2)</f>
        <v>8.6500000000000003E+103</v>
      </c>
      <c r="K1260" s="19">
        <f t="shared" si="157"/>
        <v>3276</v>
      </c>
    </row>
    <row r="1261" spans="1:11">
      <c r="A1261">
        <v>1259</v>
      </c>
      <c r="B1261">
        <v>4.825000000000001E+54</v>
      </c>
      <c r="D1261" s="18">
        <v>1259</v>
      </c>
      <c r="E1261" s="18" cm="1">
        <f t="array" aca="1" ref="E1261" ca="1">INDIRECT("b"&amp;F1261+2)</f>
        <v>8.875E+73</v>
      </c>
      <c r="F1261" s="18">
        <f t="shared" si="154"/>
        <v>2077</v>
      </c>
      <c r="G1261" s="18"/>
      <c r="H1261" s="18"/>
      <c r="I1261" s="19">
        <v>1259</v>
      </c>
      <c r="J1261" s="19" cm="1">
        <f t="array" aca="1" ref="J1261" ca="1">INDIRECT("b"&amp;K1261+2)</f>
        <v>8.8749999999999994E+103</v>
      </c>
      <c r="K1261" s="19">
        <f t="shared" si="157"/>
        <v>3277</v>
      </c>
    </row>
    <row r="1262" spans="1:11">
      <c r="A1262">
        <v>1260</v>
      </c>
      <c r="B1262">
        <v>5.0500000000000001E+54</v>
      </c>
      <c r="D1262" s="18">
        <v>1260</v>
      </c>
      <c r="E1262" s="18" cm="1">
        <f t="array" aca="1" ref="E1262" ca="1">INDIRECT("b"&amp;F1262+2)</f>
        <v>9.1000000000000002E+73</v>
      </c>
      <c r="F1262" s="18">
        <f t="shared" si="154"/>
        <v>2078</v>
      </c>
      <c r="G1262" s="18"/>
      <c r="H1262" s="18"/>
      <c r="I1262" s="19">
        <v>1260</v>
      </c>
      <c r="J1262" s="19" cm="1">
        <f t="array" aca="1" ref="J1262" ca="1">INDIRECT("b"&amp;K1262+2)</f>
        <v>9.1000000000000002E+103</v>
      </c>
      <c r="K1262" s="19">
        <f t="shared" si="157"/>
        <v>3278</v>
      </c>
    </row>
    <row r="1263" spans="1:11">
      <c r="A1263">
        <v>1261</v>
      </c>
      <c r="B1263">
        <v>5.2749999999999998E+54</v>
      </c>
      <c r="D1263" s="18">
        <v>1261</v>
      </c>
      <c r="E1263" s="18" cm="1">
        <f t="array" aca="1" ref="E1263" ca="1">INDIRECT("b"&amp;F1263+2)</f>
        <v>9.5500000000000005E+73</v>
      </c>
      <c r="F1263" s="18">
        <f t="shared" si="154"/>
        <v>2080</v>
      </c>
      <c r="G1263" s="18">
        <f t="shared" ref="G1263" ca="1" si="166">E1263/E1258</f>
        <v>1.1974921630094046</v>
      </c>
      <c r="H1263" s="18"/>
      <c r="I1263" s="19">
        <v>1261</v>
      </c>
      <c r="J1263" s="19" cm="1">
        <f t="array" aca="1" ref="J1263" ca="1">INDIRECT("b"&amp;K1263+2)</f>
        <v>9.5500000000000001E+103</v>
      </c>
      <c r="K1263" s="19">
        <f t="shared" si="157"/>
        <v>3280</v>
      </c>
    </row>
    <row r="1264" spans="1:11">
      <c r="A1264">
        <v>1262</v>
      </c>
      <c r="B1264">
        <v>5.4999999999999996E+54</v>
      </c>
      <c r="D1264" s="18">
        <v>1262</v>
      </c>
      <c r="E1264" s="18" cm="1">
        <f t="array" aca="1" ref="E1264" ca="1">INDIRECT("b"&amp;F1264+2)</f>
        <v>9.7749999999999994E+73</v>
      </c>
      <c r="F1264" s="18">
        <f t="shared" si="154"/>
        <v>2081</v>
      </c>
      <c r="G1264" s="18"/>
      <c r="H1264" s="18"/>
      <c r="I1264" s="19">
        <v>1262</v>
      </c>
      <c r="J1264" s="19" cm="1">
        <f t="array" aca="1" ref="J1264" ca="1">INDIRECT("b"&amp;K1264+2)</f>
        <v>9.7750000000000009E+103</v>
      </c>
      <c r="K1264" s="19">
        <f t="shared" si="157"/>
        <v>3281</v>
      </c>
    </row>
    <row r="1265" spans="1:11">
      <c r="A1265">
        <v>1263</v>
      </c>
      <c r="B1265">
        <v>5.7250000000000007E+54</v>
      </c>
      <c r="D1265" s="18">
        <v>1263</v>
      </c>
      <c r="E1265" s="18" cm="1">
        <f t="array" aca="1" ref="E1265" ca="1">INDIRECT("b"&amp;F1265+2)</f>
        <v>9.9999999999999995E+73</v>
      </c>
      <c r="F1265" s="18">
        <f t="shared" si="154"/>
        <v>2082</v>
      </c>
      <c r="G1265" s="18"/>
      <c r="H1265" s="18"/>
      <c r="I1265" s="19">
        <v>1263</v>
      </c>
      <c r="J1265" s="19" cm="1">
        <f t="array" aca="1" ref="J1265" ca="1">INDIRECT("b"&amp;K1265+2)</f>
        <v>1E+104</v>
      </c>
      <c r="K1265" s="19">
        <f t="shared" si="157"/>
        <v>3282</v>
      </c>
    </row>
    <row r="1266" spans="1:11">
      <c r="A1266">
        <v>1264</v>
      </c>
      <c r="B1266">
        <v>5.9500000000000011E+54</v>
      </c>
      <c r="D1266" s="18">
        <v>1264</v>
      </c>
      <c r="E1266" s="18" cm="1">
        <f t="array" aca="1" ref="E1266" ca="1">INDIRECT("b"&amp;F1266+2)</f>
        <v>1.4499999999999999E+74</v>
      </c>
      <c r="F1266" s="18">
        <f t="shared" si="154"/>
        <v>2084</v>
      </c>
      <c r="G1266" s="18"/>
      <c r="H1266" s="18"/>
      <c r="I1266" s="19">
        <v>1264</v>
      </c>
      <c r="J1266" s="19" cm="1">
        <f t="array" aca="1" ref="J1266" ca="1">INDIRECT("b"&amp;K1266+2)</f>
        <v>1.4499999999999999E+104</v>
      </c>
      <c r="K1266" s="19">
        <f t="shared" si="157"/>
        <v>3284</v>
      </c>
    </row>
    <row r="1267" spans="1:11">
      <c r="A1267">
        <v>1265</v>
      </c>
      <c r="B1267">
        <v>6.1749999999999988E+54</v>
      </c>
      <c r="D1267" s="18">
        <v>1265</v>
      </c>
      <c r="E1267" s="18" cm="1">
        <f t="array" aca="1" ref="E1267" ca="1">INDIRECT("b"&amp;F1267+2)</f>
        <v>1.675E+74</v>
      </c>
      <c r="F1267" s="18">
        <f t="shared" si="154"/>
        <v>2085</v>
      </c>
      <c r="G1267" s="18"/>
      <c r="H1267" s="18"/>
      <c r="I1267" s="19">
        <v>1265</v>
      </c>
      <c r="J1267" s="19" cm="1">
        <f t="array" aca="1" ref="J1267" ca="1">INDIRECT("b"&amp;K1267+2)</f>
        <v>1.675E+104</v>
      </c>
      <c r="K1267" s="19">
        <f t="shared" si="157"/>
        <v>3285</v>
      </c>
    </row>
    <row r="1268" spans="1:11">
      <c r="A1268">
        <v>1266</v>
      </c>
      <c r="B1268">
        <v>6.3999999999999986E+54</v>
      </c>
      <c r="D1268" s="18">
        <v>1266</v>
      </c>
      <c r="E1268" s="18" cm="1">
        <f t="array" aca="1" ref="E1268" ca="1">INDIRECT("b"&amp;F1268+2)</f>
        <v>1.8999999999999999E+74</v>
      </c>
      <c r="F1268" s="18">
        <f t="shared" si="154"/>
        <v>2086</v>
      </c>
      <c r="G1268" s="18">
        <f t="shared" ref="G1268" ca="1" si="167">E1268/E1263</f>
        <v>1.9895287958115182</v>
      </c>
      <c r="H1268" s="18"/>
      <c r="I1268" s="19">
        <v>1266</v>
      </c>
      <c r="J1268" s="19" cm="1">
        <f t="array" aca="1" ref="J1268" ca="1">INDIRECT("b"&amp;K1268+2)</f>
        <v>1.9000000000000002E+104</v>
      </c>
      <c r="K1268" s="19">
        <f t="shared" si="157"/>
        <v>3286</v>
      </c>
    </row>
    <row r="1269" spans="1:11">
      <c r="A1269">
        <v>1267</v>
      </c>
      <c r="B1269">
        <v>6.6249999999999997E+54</v>
      </c>
      <c r="D1269" s="18">
        <v>1267</v>
      </c>
      <c r="E1269" s="18" cm="1">
        <f t="array" aca="1" ref="E1269" ca="1">INDIRECT("b"&amp;F1269+2)</f>
        <v>2.3499999999999997E+74</v>
      </c>
      <c r="F1269" s="18">
        <f t="shared" si="154"/>
        <v>2088</v>
      </c>
      <c r="G1269" s="18"/>
      <c r="H1269" s="18"/>
      <c r="I1269" s="19">
        <v>1267</v>
      </c>
      <c r="J1269" s="19" cm="1">
        <f t="array" aca="1" ref="J1269" ca="1">INDIRECT("b"&amp;K1269+2)</f>
        <v>2.3500000000000001E+104</v>
      </c>
      <c r="K1269" s="19">
        <f t="shared" si="157"/>
        <v>3288</v>
      </c>
    </row>
    <row r="1270" spans="1:11">
      <c r="A1270">
        <v>1268</v>
      </c>
      <c r="B1270">
        <v>6.8500000000000008E+54</v>
      </c>
      <c r="D1270" s="18">
        <v>1268</v>
      </c>
      <c r="E1270" s="18" cm="1">
        <f t="array" aca="1" ref="E1270" ca="1">INDIRECT("b"&amp;F1270+2)</f>
        <v>2.5749999999999996E+74</v>
      </c>
      <c r="F1270" s="18">
        <f t="shared" si="154"/>
        <v>2089</v>
      </c>
      <c r="G1270" s="18"/>
      <c r="H1270" s="18"/>
      <c r="I1270" s="19">
        <v>1268</v>
      </c>
      <c r="J1270" s="19" cm="1">
        <f t="array" aca="1" ref="J1270" ca="1">INDIRECT("b"&amp;K1270+2)</f>
        <v>2.5750000000000002E+104</v>
      </c>
      <c r="K1270" s="19">
        <f t="shared" si="157"/>
        <v>3289</v>
      </c>
    </row>
    <row r="1271" spans="1:11">
      <c r="A1271">
        <v>1269</v>
      </c>
      <c r="B1271">
        <v>7.0749999999999992E+54</v>
      </c>
      <c r="D1271" s="18">
        <v>1269</v>
      </c>
      <c r="E1271" s="18" cm="1">
        <f t="array" aca="1" ref="E1271" ca="1">INDIRECT("b"&amp;F1271+2)</f>
        <v>2.8E+74</v>
      </c>
      <c r="F1271" s="18">
        <f t="shared" si="154"/>
        <v>2090</v>
      </c>
      <c r="G1271" s="18"/>
      <c r="H1271" s="18"/>
      <c r="I1271" s="19">
        <v>1269</v>
      </c>
      <c r="J1271" s="19" cm="1">
        <f t="array" aca="1" ref="J1271" ca="1">INDIRECT("b"&amp;K1271+2)</f>
        <v>2.8E+104</v>
      </c>
      <c r="K1271" s="19">
        <f t="shared" si="157"/>
        <v>3290</v>
      </c>
    </row>
    <row r="1272" spans="1:11">
      <c r="A1272">
        <v>1270</v>
      </c>
      <c r="B1272">
        <v>7.3000000000000003E+54</v>
      </c>
      <c r="D1272" s="18">
        <v>1270</v>
      </c>
      <c r="E1272" s="18" cm="1">
        <f t="array" aca="1" ref="E1272" ca="1">INDIRECT("b"&amp;F1272+2)</f>
        <v>3.2499999999999998E+74</v>
      </c>
      <c r="F1272" s="18">
        <f t="shared" si="154"/>
        <v>2092</v>
      </c>
      <c r="G1272" s="18"/>
      <c r="H1272" s="18"/>
      <c r="I1272" s="19">
        <v>1270</v>
      </c>
      <c r="J1272" s="19" cm="1">
        <f t="array" aca="1" ref="J1272" ca="1">INDIRECT("b"&amp;K1272+2)</f>
        <v>3.2500000000000002E+104</v>
      </c>
      <c r="K1272" s="19">
        <f t="shared" si="157"/>
        <v>3292</v>
      </c>
    </row>
    <row r="1273" spans="1:11">
      <c r="A1273">
        <v>1271</v>
      </c>
      <c r="B1273">
        <v>7.5249999999999987E+54</v>
      </c>
      <c r="D1273" s="18">
        <v>1271</v>
      </c>
      <c r="E1273" s="18" cm="1">
        <f t="array" aca="1" ref="E1273" ca="1">INDIRECT("b"&amp;F1273+2)</f>
        <v>3.4749999999999997E+74</v>
      </c>
      <c r="F1273" s="18">
        <f t="shared" si="154"/>
        <v>2093</v>
      </c>
      <c r="G1273" s="18">
        <f t="shared" ref="G1273" ca="1" si="168">E1273/E1268</f>
        <v>1.8289473684210527</v>
      </c>
      <c r="H1273" s="18"/>
      <c r="I1273" s="19">
        <v>1271</v>
      </c>
      <c r="J1273" s="19" cm="1">
        <f t="array" aca="1" ref="J1273" ca="1">INDIRECT("b"&amp;K1273+2)</f>
        <v>3.475E+104</v>
      </c>
      <c r="K1273" s="19">
        <f t="shared" si="157"/>
        <v>3293</v>
      </c>
    </row>
    <row r="1274" spans="1:11">
      <c r="A1274">
        <v>1272</v>
      </c>
      <c r="B1274">
        <v>7.7499999999999998E+54</v>
      </c>
      <c r="D1274" s="18">
        <v>1272</v>
      </c>
      <c r="E1274" s="18" cm="1">
        <f t="array" aca="1" ref="E1274" ca="1">INDIRECT("b"&amp;F1274+2)</f>
        <v>3.6999999999999996E+74</v>
      </c>
      <c r="F1274" s="18">
        <f t="shared" si="154"/>
        <v>2094</v>
      </c>
      <c r="G1274" s="18"/>
      <c r="H1274" s="18"/>
      <c r="I1274" s="19">
        <v>1272</v>
      </c>
      <c r="J1274" s="19" cm="1">
        <f t="array" aca="1" ref="J1274" ca="1">INDIRECT("b"&amp;K1274+2)</f>
        <v>3.7000000000000005E+104</v>
      </c>
      <c r="K1274" s="19">
        <f t="shared" si="157"/>
        <v>3294</v>
      </c>
    </row>
    <row r="1275" spans="1:11">
      <c r="A1275">
        <v>1273</v>
      </c>
      <c r="B1275">
        <v>7.975000000000001E+54</v>
      </c>
      <c r="D1275" s="18">
        <v>1273</v>
      </c>
      <c r="E1275" s="18" cm="1">
        <f t="array" aca="1" ref="E1275" ca="1">INDIRECT("b"&amp;F1275+2)</f>
        <v>4.1499999999999999E+74</v>
      </c>
      <c r="F1275" s="18">
        <f t="shared" si="154"/>
        <v>2096</v>
      </c>
      <c r="G1275" s="18"/>
      <c r="H1275" s="18"/>
      <c r="I1275" s="19">
        <v>1273</v>
      </c>
      <c r="J1275" s="19" cm="1">
        <f t="array" aca="1" ref="J1275" ca="1">INDIRECT("b"&amp;K1275+2)</f>
        <v>4.1500000000000001E+104</v>
      </c>
      <c r="K1275" s="19">
        <f t="shared" si="157"/>
        <v>3296</v>
      </c>
    </row>
    <row r="1276" spans="1:11">
      <c r="A1276">
        <v>1274</v>
      </c>
      <c r="B1276">
        <v>8.1999999999999993E+54</v>
      </c>
      <c r="D1276" s="18">
        <v>1274</v>
      </c>
      <c r="E1276" s="18" cm="1">
        <f t="array" aca="1" ref="E1276" ca="1">INDIRECT("b"&amp;F1276+2)</f>
        <v>4.3749999999999998E+74</v>
      </c>
      <c r="F1276" s="18">
        <f t="shared" si="154"/>
        <v>2097</v>
      </c>
      <c r="G1276" s="18"/>
      <c r="H1276" s="18"/>
      <c r="I1276" s="19">
        <v>1274</v>
      </c>
      <c r="J1276" s="19" cm="1">
        <f t="array" aca="1" ref="J1276" ca="1">INDIRECT("b"&amp;K1276+2)</f>
        <v>4.3750000000000005E+104</v>
      </c>
      <c r="K1276" s="19">
        <f t="shared" si="157"/>
        <v>3297</v>
      </c>
    </row>
    <row r="1277" spans="1:11">
      <c r="A1277">
        <v>1275</v>
      </c>
      <c r="B1277">
        <v>8.4250000000000005E+54</v>
      </c>
      <c r="D1277" s="18">
        <v>1275</v>
      </c>
      <c r="E1277" s="18" cm="1">
        <f t="array" aca="1" ref="E1277" ca="1">INDIRECT("b"&amp;F1277+2)</f>
        <v>4.5999999999999997E+74</v>
      </c>
      <c r="F1277" s="18">
        <f t="shared" ref="F1277:F1340" si="169">INT((A1277-123)*1.333333)+563</f>
        <v>2098</v>
      </c>
      <c r="G1277" s="18"/>
      <c r="H1277" s="18"/>
      <c r="I1277" s="19">
        <v>1275</v>
      </c>
      <c r="J1277" s="19" cm="1">
        <f t="array" aca="1" ref="J1277" ca="1">INDIRECT("b"&amp;K1277+2)</f>
        <v>4.6000000000000003E+104</v>
      </c>
      <c r="K1277" s="19">
        <f t="shared" si="157"/>
        <v>3298</v>
      </c>
    </row>
    <row r="1278" spans="1:11">
      <c r="A1278">
        <v>1276</v>
      </c>
      <c r="B1278">
        <v>8.6500000000000002E+54</v>
      </c>
      <c r="D1278" s="18">
        <v>1276</v>
      </c>
      <c r="E1278" s="18" cm="1">
        <f t="array" aca="1" ref="E1278" ca="1">INDIRECT("b"&amp;F1278+2)</f>
        <v>5.0499999999999995E+74</v>
      </c>
      <c r="F1278" s="18">
        <f t="shared" si="169"/>
        <v>2100</v>
      </c>
      <c r="G1278" s="18">
        <f t="shared" ref="G1278" ca="1" si="170">E1278/E1273</f>
        <v>1.4532374100719425</v>
      </c>
      <c r="H1278" s="18"/>
      <c r="I1278" s="19">
        <v>1276</v>
      </c>
      <c r="J1278" s="19" cm="1">
        <f t="array" aca="1" ref="J1278" ca="1">INDIRECT("b"&amp;K1278+2)</f>
        <v>5.0500000000000006E+104</v>
      </c>
      <c r="K1278" s="19">
        <f t="shared" si="157"/>
        <v>3300</v>
      </c>
    </row>
    <row r="1279" spans="1:11">
      <c r="A1279">
        <v>1277</v>
      </c>
      <c r="B1279">
        <v>8.875E+54</v>
      </c>
      <c r="D1279" s="18">
        <v>1277</v>
      </c>
      <c r="E1279" s="18" cm="1">
        <f t="array" aca="1" ref="E1279" ca="1">INDIRECT("b"&amp;F1279+2)</f>
        <v>5.2749999999999994E+74</v>
      </c>
      <c r="F1279" s="18">
        <f t="shared" si="169"/>
        <v>2101</v>
      </c>
      <c r="G1279" s="18"/>
      <c r="H1279" s="18"/>
      <c r="I1279" s="19">
        <v>1277</v>
      </c>
      <c r="J1279" s="19" cm="1">
        <f t="array" aca="1" ref="J1279" ca="1">INDIRECT("b"&amp;K1279+2)</f>
        <v>5.2750000000000004E+104</v>
      </c>
      <c r="K1279" s="19">
        <f t="shared" si="157"/>
        <v>3301</v>
      </c>
    </row>
    <row r="1280" spans="1:11">
      <c r="A1280">
        <v>1278</v>
      </c>
      <c r="B1280">
        <v>9.0999999999999984E+54</v>
      </c>
      <c r="D1280" s="18">
        <v>1278</v>
      </c>
      <c r="E1280" s="18" cm="1">
        <f t="array" aca="1" ref="E1280" ca="1">INDIRECT("b"&amp;F1280+2)</f>
        <v>5.4999999999999993E+74</v>
      </c>
      <c r="F1280" s="18">
        <f t="shared" si="169"/>
        <v>2102</v>
      </c>
      <c r="G1280" s="18"/>
      <c r="H1280" s="18"/>
      <c r="I1280" s="19">
        <v>1278</v>
      </c>
      <c r="J1280" s="19" cm="1">
        <f t="array" aca="1" ref="J1280" ca="1">INDIRECT("b"&amp;K1280+2)</f>
        <v>5.5000000000000002E+104</v>
      </c>
      <c r="K1280" s="19">
        <f t="shared" si="157"/>
        <v>3302</v>
      </c>
    </row>
    <row r="1281" spans="1:11">
      <c r="A1281">
        <v>1279</v>
      </c>
      <c r="B1281">
        <v>9.3249999999999995E+54</v>
      </c>
      <c r="D1281" s="18">
        <v>1279</v>
      </c>
      <c r="E1281" s="18" cm="1">
        <f t="array" aca="1" ref="E1281" ca="1">INDIRECT("b"&amp;F1281+2)</f>
        <v>5.9500000000000001E+74</v>
      </c>
      <c r="F1281" s="18">
        <f t="shared" si="169"/>
        <v>2104</v>
      </c>
      <c r="G1281" s="18"/>
      <c r="H1281" s="18"/>
      <c r="I1281" s="19">
        <v>1279</v>
      </c>
      <c r="J1281" s="19" cm="1">
        <f t="array" aca="1" ref="J1281" ca="1">INDIRECT("b"&amp;K1281+2)</f>
        <v>5.9500000000000004E+104</v>
      </c>
      <c r="K1281" s="19">
        <f t="shared" si="157"/>
        <v>3304</v>
      </c>
    </row>
    <row r="1282" spans="1:11">
      <c r="A1282">
        <v>1280</v>
      </c>
      <c r="B1282">
        <v>9.5500000000000006E+54</v>
      </c>
      <c r="D1282" s="18">
        <v>1280</v>
      </c>
      <c r="E1282" s="18" cm="1">
        <f t="array" aca="1" ref="E1282" ca="1">INDIRECT("b"&amp;F1282+2)</f>
        <v>6.175E+74</v>
      </c>
      <c r="F1282" s="18">
        <f t="shared" si="169"/>
        <v>2105</v>
      </c>
      <c r="G1282" s="18"/>
      <c r="H1282" s="18"/>
      <c r="I1282" s="19">
        <v>1280</v>
      </c>
      <c r="J1282" s="19" cm="1">
        <f t="array" aca="1" ref="J1282" ca="1">INDIRECT("b"&amp;K1282+2)</f>
        <v>6.1750000000000002E+104</v>
      </c>
      <c r="K1282" s="19">
        <f t="shared" si="157"/>
        <v>3305</v>
      </c>
    </row>
    <row r="1283" spans="1:11">
      <c r="A1283">
        <v>1281</v>
      </c>
      <c r="B1283">
        <v>9.7750000000000003E+54</v>
      </c>
      <c r="D1283" s="18">
        <v>1281</v>
      </c>
      <c r="E1283" s="18" cm="1">
        <f t="array" aca="1" ref="E1283" ca="1">INDIRECT("b"&amp;F1283+2)</f>
        <v>6.3999999999999999E+74</v>
      </c>
      <c r="F1283" s="18">
        <f t="shared" si="169"/>
        <v>2106</v>
      </c>
      <c r="G1283" s="18">
        <f t="shared" ref="G1283" ca="1" si="171">E1283/E1278</f>
        <v>1.2673267326732673</v>
      </c>
      <c r="H1283" s="18"/>
      <c r="I1283" s="19">
        <v>1281</v>
      </c>
      <c r="J1283" s="19" cm="1">
        <f t="array" aca="1" ref="J1283" ca="1">INDIRECT("b"&amp;K1283+2)</f>
        <v>6.4E+104</v>
      </c>
      <c r="K1283" s="19">
        <f t="shared" si="157"/>
        <v>3306</v>
      </c>
    </row>
    <row r="1284" spans="1:11">
      <c r="A1284">
        <v>1282</v>
      </c>
      <c r="B1284">
        <v>1E+55</v>
      </c>
      <c r="D1284" s="18">
        <v>1282</v>
      </c>
      <c r="E1284" s="18" cm="1">
        <f t="array" aca="1" ref="E1284" ca="1">INDIRECT("b"&amp;F1284+2)</f>
        <v>6.8499999999999997E+74</v>
      </c>
      <c r="F1284" s="18">
        <f t="shared" si="169"/>
        <v>2108</v>
      </c>
      <c r="G1284" s="18"/>
      <c r="H1284" s="18"/>
      <c r="I1284" s="19">
        <v>1282</v>
      </c>
      <c r="J1284" s="19" cm="1">
        <f t="array" aca="1" ref="J1284" ca="1">INDIRECT("b"&amp;K1284+2)</f>
        <v>6.8500000000000009E+104</v>
      </c>
      <c r="K1284" s="19">
        <f t="shared" ref="K1284:K1347" si="172">INT((A1284-1)*40/30+900*40/30)+400</f>
        <v>3308</v>
      </c>
    </row>
    <row r="1285" spans="1:11">
      <c r="A1285">
        <v>1283</v>
      </c>
      <c r="B1285">
        <v>1.225E+55</v>
      </c>
      <c r="D1285" s="18">
        <v>1283</v>
      </c>
      <c r="E1285" s="18" cm="1">
        <f t="array" aca="1" ref="E1285" ca="1">INDIRECT("b"&amp;F1285+2)</f>
        <v>7.0749999999999996E+74</v>
      </c>
      <c r="F1285" s="18">
        <f t="shared" si="169"/>
        <v>2109</v>
      </c>
      <c r="G1285" s="18"/>
      <c r="H1285" s="18"/>
      <c r="I1285" s="19">
        <v>1283</v>
      </c>
      <c r="J1285" s="19" cm="1">
        <f t="array" aca="1" ref="J1285" ca="1">INDIRECT("b"&amp;K1285+2)</f>
        <v>7.0750000000000007E+104</v>
      </c>
      <c r="K1285" s="19">
        <f t="shared" si="172"/>
        <v>3309</v>
      </c>
    </row>
    <row r="1286" spans="1:11">
      <c r="A1286">
        <v>1284</v>
      </c>
      <c r="B1286">
        <v>1.4499999999999997E+55</v>
      </c>
      <c r="D1286" s="18">
        <v>1284</v>
      </c>
      <c r="E1286" s="18" cm="1">
        <f t="array" aca="1" ref="E1286" ca="1">INDIRECT("b"&amp;F1286+2)</f>
        <v>7.2999999999999995E+74</v>
      </c>
      <c r="F1286" s="18">
        <f t="shared" si="169"/>
        <v>2110</v>
      </c>
      <c r="G1286" s="18"/>
      <c r="H1286" s="18"/>
      <c r="I1286" s="19">
        <v>1284</v>
      </c>
      <c r="J1286" s="19" cm="1">
        <f t="array" aca="1" ref="J1286" ca="1">INDIRECT("b"&amp;K1286+2)</f>
        <v>7.3000000000000005E+104</v>
      </c>
      <c r="K1286" s="19">
        <f t="shared" si="172"/>
        <v>3310</v>
      </c>
    </row>
    <row r="1287" spans="1:11">
      <c r="A1287">
        <v>1285</v>
      </c>
      <c r="B1287">
        <v>1.675E+55</v>
      </c>
      <c r="D1287" s="18">
        <v>1285</v>
      </c>
      <c r="E1287" s="18" cm="1">
        <f t="array" aca="1" ref="E1287" ca="1">INDIRECT("b"&amp;F1287+2)</f>
        <v>7.7499999999999993E+74</v>
      </c>
      <c r="F1287" s="18">
        <f t="shared" si="169"/>
        <v>2112</v>
      </c>
      <c r="G1287" s="18"/>
      <c r="H1287" s="18"/>
      <c r="I1287" s="19">
        <v>1285</v>
      </c>
      <c r="J1287" s="19" cm="1">
        <f t="array" aca="1" ref="J1287" ca="1">INDIRECT("b"&amp;K1287+2)</f>
        <v>7.7500000000000001E+104</v>
      </c>
      <c r="K1287" s="19">
        <f t="shared" si="172"/>
        <v>3312</v>
      </c>
    </row>
    <row r="1288" spans="1:11">
      <c r="A1288">
        <v>1286</v>
      </c>
      <c r="B1288">
        <v>1.9000000000000003E+55</v>
      </c>
      <c r="D1288" s="18">
        <v>1286</v>
      </c>
      <c r="E1288" s="18" cm="1">
        <f t="array" aca="1" ref="E1288" ca="1">INDIRECT("b"&amp;F1288+2)</f>
        <v>7.9749999999999992E+74</v>
      </c>
      <c r="F1288" s="18">
        <f t="shared" si="169"/>
        <v>2113</v>
      </c>
      <c r="G1288" s="18">
        <f t="shared" ref="G1288" ca="1" si="173">E1288/E1283</f>
        <v>1.24609375</v>
      </c>
      <c r="H1288" s="18"/>
      <c r="I1288" s="19">
        <v>1286</v>
      </c>
      <c r="J1288" s="19" cm="1">
        <f t="array" aca="1" ref="J1288" ca="1">INDIRECT("b"&amp;K1288+2)</f>
        <v>7.9749999999999999E+104</v>
      </c>
      <c r="K1288" s="19">
        <f t="shared" si="172"/>
        <v>3313</v>
      </c>
    </row>
    <row r="1289" spans="1:11">
      <c r="A1289">
        <v>1287</v>
      </c>
      <c r="B1289">
        <v>2.125E+55</v>
      </c>
      <c r="D1289" s="18">
        <v>1287</v>
      </c>
      <c r="E1289" s="18" cm="1">
        <f t="array" aca="1" ref="E1289" ca="1">INDIRECT("b"&amp;F1289+2)</f>
        <v>8.1999999999999991E+74</v>
      </c>
      <c r="F1289" s="18">
        <f t="shared" si="169"/>
        <v>2114</v>
      </c>
      <c r="G1289" s="18"/>
      <c r="H1289" s="18"/>
      <c r="I1289" s="19">
        <v>1287</v>
      </c>
      <c r="J1289" s="19" cm="1">
        <f t="array" aca="1" ref="J1289" ca="1">INDIRECT("b"&amp;K1289+2)</f>
        <v>8.200000000000001E+104</v>
      </c>
      <c r="K1289" s="19">
        <f t="shared" si="172"/>
        <v>3314</v>
      </c>
    </row>
    <row r="1290" spans="1:11">
      <c r="A1290">
        <v>1288</v>
      </c>
      <c r="B1290">
        <v>2.35E+55</v>
      </c>
      <c r="D1290" s="18">
        <v>1288</v>
      </c>
      <c r="E1290" s="18" cm="1">
        <f t="array" aca="1" ref="E1290" ca="1">INDIRECT("b"&amp;F1290+2)</f>
        <v>8.6499999999999999E+74</v>
      </c>
      <c r="F1290" s="18">
        <f t="shared" si="169"/>
        <v>2116</v>
      </c>
      <c r="G1290" s="18"/>
      <c r="H1290" s="18"/>
      <c r="I1290" s="19">
        <v>1288</v>
      </c>
      <c r="J1290" s="19" cm="1">
        <f t="array" aca="1" ref="J1290" ca="1">INDIRECT("b"&amp;K1290+2)</f>
        <v>8.6500000000000006E+104</v>
      </c>
      <c r="K1290" s="19">
        <f t="shared" si="172"/>
        <v>3316</v>
      </c>
    </row>
    <row r="1291" spans="1:11">
      <c r="A1291">
        <v>1289</v>
      </c>
      <c r="B1291">
        <v>2.5749999999999998E+55</v>
      </c>
      <c r="D1291" s="18">
        <v>1289</v>
      </c>
      <c r="E1291" s="18" cm="1">
        <f t="array" aca="1" ref="E1291" ca="1">INDIRECT("b"&amp;F1291+2)</f>
        <v>8.8749999999999998E+74</v>
      </c>
      <c r="F1291" s="18">
        <f t="shared" si="169"/>
        <v>2117</v>
      </c>
      <c r="G1291" s="18"/>
      <c r="H1291" s="18"/>
      <c r="I1291" s="19">
        <v>1289</v>
      </c>
      <c r="J1291" s="19" cm="1">
        <f t="array" aca="1" ref="J1291" ca="1">INDIRECT("b"&amp;K1291+2)</f>
        <v>8.8750000000000004E+104</v>
      </c>
      <c r="K1291" s="19">
        <f t="shared" si="172"/>
        <v>3317</v>
      </c>
    </row>
    <row r="1292" spans="1:11">
      <c r="A1292">
        <v>1290</v>
      </c>
      <c r="B1292">
        <v>2.8000000000000001E+55</v>
      </c>
      <c r="D1292" s="18">
        <v>1290</v>
      </c>
      <c r="E1292" s="18" cm="1">
        <f t="array" aca="1" ref="E1292" ca="1">INDIRECT("b"&amp;F1292+2)</f>
        <v>9.0999999999999997E+74</v>
      </c>
      <c r="F1292" s="18">
        <f t="shared" si="169"/>
        <v>2118</v>
      </c>
      <c r="G1292" s="18"/>
      <c r="H1292" s="18"/>
      <c r="I1292" s="19">
        <v>1290</v>
      </c>
      <c r="J1292" s="19" cm="1">
        <f t="array" aca="1" ref="J1292" ca="1">INDIRECT("b"&amp;K1292+2)</f>
        <v>9.1000000000000002E+104</v>
      </c>
      <c r="K1292" s="19">
        <f t="shared" si="172"/>
        <v>3318</v>
      </c>
    </row>
    <row r="1293" spans="1:11">
      <c r="A1293">
        <v>1291</v>
      </c>
      <c r="B1293">
        <v>3.0250000000000004E+55</v>
      </c>
      <c r="D1293" s="18">
        <v>1291</v>
      </c>
      <c r="E1293" s="18" cm="1">
        <f t="array" aca="1" ref="E1293" ca="1">INDIRECT("b"&amp;F1293+2)</f>
        <v>9.5499999999999995E+74</v>
      </c>
      <c r="F1293" s="18">
        <f t="shared" si="169"/>
        <v>2120</v>
      </c>
      <c r="G1293" s="18">
        <f t="shared" ref="G1293" ca="1" si="174">E1293/E1288</f>
        <v>1.1974921630094044</v>
      </c>
      <c r="H1293" s="18"/>
      <c r="I1293" s="19">
        <v>1291</v>
      </c>
      <c r="J1293" s="19" cm="1">
        <f t="array" aca="1" ref="J1293" ca="1">INDIRECT("b"&amp;K1293+2)</f>
        <v>9.5500000000000011E+104</v>
      </c>
      <c r="K1293" s="19">
        <f t="shared" si="172"/>
        <v>3320</v>
      </c>
    </row>
    <row r="1294" spans="1:11">
      <c r="A1294">
        <v>1292</v>
      </c>
      <c r="B1294">
        <v>3.2499999999999996E+55</v>
      </c>
      <c r="D1294" s="18">
        <v>1292</v>
      </c>
      <c r="E1294" s="18" cm="1">
        <f t="array" aca="1" ref="E1294" ca="1">INDIRECT("b"&amp;F1294+2)</f>
        <v>9.7750000000000004E+74</v>
      </c>
      <c r="F1294" s="18">
        <f t="shared" si="169"/>
        <v>2121</v>
      </c>
      <c r="G1294" s="18"/>
      <c r="H1294" s="18"/>
      <c r="I1294" s="19">
        <v>1292</v>
      </c>
      <c r="J1294" s="19" cm="1">
        <f t="array" aca="1" ref="J1294" ca="1">INDIRECT("b"&amp;K1294+2)</f>
        <v>9.7750000000000009E+104</v>
      </c>
      <c r="K1294" s="19">
        <f t="shared" si="172"/>
        <v>3321</v>
      </c>
    </row>
    <row r="1295" spans="1:11">
      <c r="A1295">
        <v>1293</v>
      </c>
      <c r="B1295">
        <v>3.4750000000000004E+55</v>
      </c>
      <c r="D1295" s="18">
        <v>1293</v>
      </c>
      <c r="E1295" s="18" cm="1">
        <f t="array" aca="1" ref="E1295" ca="1">INDIRECT("b"&amp;F1295+2)</f>
        <v>9.9999999999999993E+74</v>
      </c>
      <c r="F1295" s="18">
        <f t="shared" si="169"/>
        <v>2122</v>
      </c>
      <c r="G1295" s="18"/>
      <c r="H1295" s="18"/>
      <c r="I1295" s="19">
        <v>1293</v>
      </c>
      <c r="J1295" s="19" cm="1">
        <f t="array" aca="1" ref="J1295" ca="1">INDIRECT("b"&amp;K1295+2)</f>
        <v>1.0000000000000001E+105</v>
      </c>
      <c r="K1295" s="19">
        <f t="shared" si="172"/>
        <v>3322</v>
      </c>
    </row>
    <row r="1296" spans="1:11">
      <c r="A1296">
        <v>1294</v>
      </c>
      <c r="B1296">
        <v>3.7000000000000002E+55</v>
      </c>
      <c r="D1296" s="18">
        <v>1294</v>
      </c>
      <c r="E1296" s="18" cm="1">
        <f t="array" aca="1" ref="E1296" ca="1">INDIRECT("b"&amp;F1296+2)</f>
        <v>1.4499999999999999E+75</v>
      </c>
      <c r="F1296" s="18">
        <f t="shared" si="169"/>
        <v>2124</v>
      </c>
      <c r="G1296" s="18"/>
      <c r="H1296" s="18"/>
      <c r="I1296" s="19">
        <v>1294</v>
      </c>
      <c r="J1296" s="19" cm="1">
        <f t="array" aca="1" ref="J1296" ca="1">INDIRECT("b"&amp;K1296+2)</f>
        <v>1.4500000000000001E+105</v>
      </c>
      <c r="K1296" s="19">
        <f t="shared" si="172"/>
        <v>3324</v>
      </c>
    </row>
    <row r="1297" spans="1:11">
      <c r="A1297">
        <v>1295</v>
      </c>
      <c r="B1297">
        <v>3.9250000000000005E+55</v>
      </c>
      <c r="D1297" s="18">
        <v>1295</v>
      </c>
      <c r="E1297" s="18" cm="1">
        <f t="array" aca="1" ref="E1297" ca="1">INDIRECT("b"&amp;F1297+2)</f>
        <v>1.675E+75</v>
      </c>
      <c r="F1297" s="18">
        <f t="shared" si="169"/>
        <v>2125</v>
      </c>
      <c r="G1297" s="18"/>
      <c r="H1297" s="18"/>
      <c r="I1297" s="19">
        <v>1295</v>
      </c>
      <c r="J1297" s="19" cm="1">
        <f t="array" aca="1" ref="J1297" ca="1">INDIRECT("b"&amp;K1297+2)</f>
        <v>1.6750000000000001E+105</v>
      </c>
      <c r="K1297" s="19">
        <f t="shared" si="172"/>
        <v>3325</v>
      </c>
    </row>
    <row r="1298" spans="1:11">
      <c r="A1298">
        <v>1296</v>
      </c>
      <c r="B1298">
        <v>4.1500000000000008E+55</v>
      </c>
      <c r="D1298" s="18">
        <v>1296</v>
      </c>
      <c r="E1298" s="18" cm="1">
        <f t="array" aca="1" ref="E1298" ca="1">INDIRECT("b"&amp;F1298+2)</f>
        <v>1.9000000000000001E+75</v>
      </c>
      <c r="F1298" s="18">
        <f t="shared" si="169"/>
        <v>2126</v>
      </c>
      <c r="G1298" s="18">
        <f t="shared" ref="G1298" ca="1" si="175">E1298/E1293</f>
        <v>1.9895287958115186</v>
      </c>
      <c r="H1298" s="18"/>
      <c r="I1298" s="19">
        <v>1296</v>
      </c>
      <c r="J1298" s="19" cm="1">
        <f t="array" aca="1" ref="J1298" ca="1">INDIRECT("b"&amp;K1298+2)</f>
        <v>1.9000000000000002E+105</v>
      </c>
      <c r="K1298" s="19">
        <f t="shared" si="172"/>
        <v>3326</v>
      </c>
    </row>
    <row r="1299" spans="1:11">
      <c r="A1299">
        <v>1297</v>
      </c>
      <c r="B1299">
        <v>4.3749999999999994E+55</v>
      </c>
      <c r="D1299" s="18">
        <v>1297</v>
      </c>
      <c r="E1299" s="18" cm="1">
        <f t="array" aca="1" ref="E1299" ca="1">INDIRECT("b"&amp;F1299+2)</f>
        <v>2.3499999999999999E+75</v>
      </c>
      <c r="F1299" s="18">
        <f t="shared" si="169"/>
        <v>2128</v>
      </c>
      <c r="G1299" s="18"/>
      <c r="H1299" s="18"/>
      <c r="I1299" s="19">
        <v>1297</v>
      </c>
      <c r="J1299" s="19" cm="1">
        <f t="array" aca="1" ref="J1299" ca="1">INDIRECT("b"&amp;K1299+2)</f>
        <v>2.35E+105</v>
      </c>
      <c r="K1299" s="19">
        <f t="shared" si="172"/>
        <v>3328</v>
      </c>
    </row>
    <row r="1300" spans="1:11">
      <c r="A1300">
        <v>1298</v>
      </c>
      <c r="B1300">
        <v>4.6000000000000003E+55</v>
      </c>
      <c r="D1300" s="18">
        <v>1298</v>
      </c>
      <c r="E1300" s="18" cm="1">
        <f t="array" aca="1" ref="E1300" ca="1">INDIRECT("b"&amp;F1300+2)</f>
        <v>2.575E+75</v>
      </c>
      <c r="F1300" s="18">
        <f t="shared" si="169"/>
        <v>2129</v>
      </c>
      <c r="G1300" s="18">
        <f t="shared" ref="G1300" ca="1" si="176">E1300/E1295</f>
        <v>2.5750000000000002</v>
      </c>
      <c r="H1300" s="18"/>
      <c r="I1300" s="19">
        <v>1298</v>
      </c>
      <c r="J1300" s="19" cm="1">
        <f t="array" aca="1" ref="J1300" ca="1">INDIRECT("b"&amp;K1300+2)</f>
        <v>2.5750000000000003E+105</v>
      </c>
      <c r="K1300" s="19">
        <f t="shared" si="172"/>
        <v>3329</v>
      </c>
    </row>
    <row r="1301" spans="1:11">
      <c r="A1301">
        <v>1299</v>
      </c>
      <c r="B1301">
        <v>4.8250000000000011E+55</v>
      </c>
      <c r="D1301" s="18">
        <v>1299</v>
      </c>
      <c r="E1301" s="18" cm="1">
        <f t="array" aca="1" ref="E1301" ca="1">INDIRECT("b"&amp;F1301+2)</f>
        <v>2.8000000000000001E+75</v>
      </c>
      <c r="F1301" s="18">
        <f t="shared" si="169"/>
        <v>2130</v>
      </c>
      <c r="G1301" s="18"/>
      <c r="H1301" s="18"/>
      <c r="I1301" s="19">
        <v>1299</v>
      </c>
      <c r="J1301" s="19" cm="1">
        <f t="array" aca="1" ref="J1301" ca="1">INDIRECT("b"&amp;K1301+2)</f>
        <v>2.8000000000000001E+105</v>
      </c>
      <c r="K1301" s="19">
        <f t="shared" si="172"/>
        <v>3330</v>
      </c>
    </row>
    <row r="1302" spans="1:11">
      <c r="A1302">
        <v>1300</v>
      </c>
      <c r="B1302">
        <v>5.0499999999999998E+55</v>
      </c>
      <c r="D1302" s="18">
        <v>1300</v>
      </c>
      <c r="E1302" s="18" cm="1">
        <f t="array" aca="1" ref="E1302" ca="1">INDIRECT("b"&amp;F1302+2)</f>
        <v>3.2499999999999999E+75</v>
      </c>
      <c r="F1302" s="18">
        <f t="shared" si="169"/>
        <v>2132</v>
      </c>
      <c r="G1302" s="18"/>
      <c r="H1302" s="18"/>
      <c r="I1302" s="19">
        <v>1300</v>
      </c>
      <c r="J1302" s="19" cm="1">
        <f t="array" aca="1" ref="J1302" ca="1">INDIRECT("b"&amp;K1302+2)</f>
        <v>3.2500000000000002E+105</v>
      </c>
      <c r="K1302" s="19">
        <f t="shared" si="172"/>
        <v>3332</v>
      </c>
    </row>
    <row r="1303" spans="1:11">
      <c r="A1303">
        <v>1301</v>
      </c>
      <c r="B1303">
        <v>5.2749999999999996E+55</v>
      </c>
      <c r="D1303" s="18">
        <v>1301</v>
      </c>
      <c r="E1303" s="18" cm="1">
        <f t="array" aca="1" ref="E1303" ca="1">INDIRECT("b"&amp;F1303+2)</f>
        <v>3.475E+75</v>
      </c>
      <c r="F1303" s="18">
        <f t="shared" si="169"/>
        <v>2133</v>
      </c>
      <c r="G1303" s="18"/>
      <c r="H1303" s="18"/>
      <c r="I1303" s="19">
        <v>1301</v>
      </c>
      <c r="J1303" s="19" cm="1">
        <f t="array" aca="1" ref="J1303" ca="1">INDIRECT("b"&amp;K1303+2)</f>
        <v>3.475E+105</v>
      </c>
      <c r="K1303" s="19">
        <f t="shared" si="172"/>
        <v>3333</v>
      </c>
    </row>
    <row r="1304" spans="1:11">
      <c r="A1304">
        <v>1302</v>
      </c>
      <c r="B1304">
        <v>5.4999999999999993E+55</v>
      </c>
      <c r="D1304" s="18">
        <v>1302</v>
      </c>
      <c r="E1304" s="18" cm="1">
        <f t="array" aca="1" ref="E1304" ca="1">INDIRECT("b"&amp;F1304+2)</f>
        <v>3.7000000000000001E+75</v>
      </c>
      <c r="F1304" s="18">
        <f t="shared" si="169"/>
        <v>2134</v>
      </c>
      <c r="G1304" s="18"/>
      <c r="H1304" s="18"/>
      <c r="I1304" s="19">
        <v>1302</v>
      </c>
      <c r="J1304" s="19" cm="1">
        <f t="array" aca="1" ref="J1304" ca="1">INDIRECT("b"&amp;K1304+2)</f>
        <v>3.7000000000000004E+105</v>
      </c>
      <c r="K1304" s="19">
        <f t="shared" si="172"/>
        <v>3334</v>
      </c>
    </row>
    <row r="1305" spans="1:11">
      <c r="A1305">
        <v>1303</v>
      </c>
      <c r="B1305">
        <v>5.7250000000000002E+55</v>
      </c>
      <c r="D1305" s="18">
        <v>1303</v>
      </c>
      <c r="E1305" s="18" cm="1">
        <f t="array" aca="1" ref="E1305" ca="1">INDIRECT("b"&amp;F1305+2)</f>
        <v>4.1500000000000003E+75</v>
      </c>
      <c r="F1305" s="18">
        <f t="shared" si="169"/>
        <v>2136</v>
      </c>
      <c r="G1305" s="18">
        <f t="shared" ref="G1305" ca="1" si="177">E1305/E1300</f>
        <v>1.6116504854368934</v>
      </c>
      <c r="H1305" s="18"/>
      <c r="I1305" s="19">
        <v>1303</v>
      </c>
      <c r="J1305" s="19" cm="1">
        <f t="array" aca="1" ref="J1305" ca="1">INDIRECT("b"&amp;K1305+2)</f>
        <v>4.1500000000000005E+105</v>
      </c>
      <c r="K1305" s="19">
        <f t="shared" si="172"/>
        <v>3336</v>
      </c>
    </row>
    <row r="1306" spans="1:11">
      <c r="A1306">
        <v>1304</v>
      </c>
      <c r="B1306">
        <v>5.950000000000001E+55</v>
      </c>
      <c r="D1306" s="18">
        <v>1304</v>
      </c>
      <c r="E1306" s="18" cm="1">
        <f t="array" aca="1" ref="E1306" ca="1">INDIRECT("b"&amp;F1306+2)</f>
        <v>4.375E+75</v>
      </c>
      <c r="F1306" s="18">
        <f t="shared" si="169"/>
        <v>2137</v>
      </c>
      <c r="G1306" s="18"/>
      <c r="H1306" s="18"/>
      <c r="I1306" s="19">
        <v>1304</v>
      </c>
      <c r="J1306" s="19" cm="1">
        <f t="array" aca="1" ref="J1306" ca="1">INDIRECT("b"&amp;K1306+2)</f>
        <v>4.3750000000000003E+105</v>
      </c>
      <c r="K1306" s="19">
        <f t="shared" si="172"/>
        <v>3337</v>
      </c>
    </row>
    <row r="1307" spans="1:11">
      <c r="A1307">
        <v>1305</v>
      </c>
      <c r="B1307">
        <v>6.1749999999999997E+55</v>
      </c>
      <c r="D1307" s="18">
        <v>1305</v>
      </c>
      <c r="E1307" s="18" cm="1">
        <f t="array" aca="1" ref="E1307" ca="1">INDIRECT("b"&amp;F1307+2)</f>
        <v>4.5999999999999997E+75</v>
      </c>
      <c r="F1307" s="18">
        <f t="shared" si="169"/>
        <v>2138</v>
      </c>
      <c r="G1307" s="18"/>
      <c r="H1307" s="18"/>
      <c r="I1307" s="19">
        <v>1305</v>
      </c>
      <c r="J1307" s="19" cm="1">
        <f t="array" aca="1" ref="J1307" ca="1">INDIRECT("b"&amp;K1307+2)</f>
        <v>4.6000000000000006E+105</v>
      </c>
      <c r="K1307" s="19">
        <f t="shared" si="172"/>
        <v>3338</v>
      </c>
    </row>
    <row r="1308" spans="1:11">
      <c r="A1308">
        <v>1306</v>
      </c>
      <c r="B1308">
        <v>6.3999999999999994E+55</v>
      </c>
      <c r="D1308" s="18">
        <v>1306</v>
      </c>
      <c r="E1308" s="18" cm="1">
        <f t="array" aca="1" ref="E1308" ca="1">INDIRECT("b"&amp;F1308+2)</f>
        <v>5.0499999999999999E+75</v>
      </c>
      <c r="F1308" s="18">
        <f t="shared" si="169"/>
        <v>2140</v>
      </c>
      <c r="G1308" s="18"/>
      <c r="H1308" s="18"/>
      <c r="I1308" s="19">
        <v>1306</v>
      </c>
      <c r="J1308" s="19" cm="1">
        <f t="array" aca="1" ref="J1308" ca="1">INDIRECT("b"&amp;K1308+2)</f>
        <v>5.0500000000000002E+105</v>
      </c>
      <c r="K1308" s="19">
        <f t="shared" si="172"/>
        <v>3340</v>
      </c>
    </row>
    <row r="1309" spans="1:11">
      <c r="A1309">
        <v>1307</v>
      </c>
      <c r="B1309">
        <v>6.6250000000000003E+55</v>
      </c>
      <c r="D1309" s="18">
        <v>1307</v>
      </c>
      <c r="E1309" s="18" cm="1">
        <f t="array" aca="1" ref="E1309" ca="1">INDIRECT("b"&amp;F1309+2)</f>
        <v>5.2749999999999996E+75</v>
      </c>
      <c r="F1309" s="18">
        <f t="shared" si="169"/>
        <v>2141</v>
      </c>
      <c r="G1309" s="18"/>
      <c r="H1309" s="18"/>
      <c r="I1309" s="19">
        <v>1307</v>
      </c>
      <c r="J1309" s="19" cm="1">
        <f t="array" aca="1" ref="J1309" ca="1">INDIRECT("b"&amp;K1309+2)</f>
        <v>5.2750000000000005E+105</v>
      </c>
      <c r="K1309" s="19">
        <f t="shared" si="172"/>
        <v>3341</v>
      </c>
    </row>
    <row r="1310" spans="1:11">
      <c r="A1310">
        <v>1308</v>
      </c>
      <c r="B1310">
        <v>6.8500000000000011E+55</v>
      </c>
      <c r="D1310" s="18">
        <v>1308</v>
      </c>
      <c r="E1310" s="18" cm="1">
        <f t="array" aca="1" ref="E1310" ca="1">INDIRECT("b"&amp;F1310+2)</f>
        <v>5.5000000000000001E+75</v>
      </c>
      <c r="F1310" s="18">
        <f t="shared" si="169"/>
        <v>2142</v>
      </c>
      <c r="G1310" s="18">
        <f t="shared" ref="G1310" ca="1" si="178">E1310/E1305</f>
        <v>1.3253012048192769</v>
      </c>
      <c r="H1310" s="18"/>
      <c r="I1310" s="19">
        <v>1308</v>
      </c>
      <c r="J1310" s="19" cm="1">
        <f t="array" aca="1" ref="J1310" ca="1">INDIRECT("b"&amp;K1310+2)</f>
        <v>5.5000000000000008E+105</v>
      </c>
      <c r="K1310" s="19">
        <f t="shared" si="172"/>
        <v>3342</v>
      </c>
    </row>
    <row r="1311" spans="1:11">
      <c r="A1311">
        <v>1309</v>
      </c>
      <c r="B1311">
        <v>7.0749999999999998E+55</v>
      </c>
      <c r="D1311" s="18">
        <v>1309</v>
      </c>
      <c r="E1311" s="18" cm="1">
        <f t="array" aca="1" ref="E1311" ca="1">INDIRECT("b"&amp;F1311+2)</f>
        <v>5.9500000000000003E+75</v>
      </c>
      <c r="F1311" s="18">
        <f t="shared" si="169"/>
        <v>2144</v>
      </c>
      <c r="G1311" s="18"/>
      <c r="H1311" s="18"/>
      <c r="I1311" s="19">
        <v>1309</v>
      </c>
      <c r="J1311" s="19" cm="1">
        <f t="array" aca="1" ref="J1311" ca="1">INDIRECT("b"&amp;K1311+2)</f>
        <v>5.9500000000000004E+105</v>
      </c>
      <c r="K1311" s="19">
        <f t="shared" si="172"/>
        <v>3344</v>
      </c>
    </row>
    <row r="1312" spans="1:11">
      <c r="A1312">
        <v>1310</v>
      </c>
      <c r="B1312">
        <v>7.3000000000000006E+55</v>
      </c>
      <c r="D1312" s="18">
        <v>1310</v>
      </c>
      <c r="E1312" s="18" cm="1">
        <f t="array" aca="1" ref="E1312" ca="1">INDIRECT("b"&amp;F1312+2)</f>
        <v>6.175E+75</v>
      </c>
      <c r="F1312" s="18">
        <f t="shared" si="169"/>
        <v>2145</v>
      </c>
      <c r="G1312" s="18"/>
      <c r="H1312" s="18"/>
      <c r="I1312" s="19">
        <v>1310</v>
      </c>
      <c r="J1312" s="19" cm="1">
        <f t="array" aca="1" ref="J1312" ca="1">INDIRECT("b"&amp;K1312+2)</f>
        <v>6.1750000000000007E+105</v>
      </c>
      <c r="K1312" s="19">
        <f t="shared" si="172"/>
        <v>3345</v>
      </c>
    </row>
    <row r="1313" spans="1:11">
      <c r="A1313">
        <v>1311</v>
      </c>
      <c r="B1313">
        <v>7.5249999999999993E+55</v>
      </c>
      <c r="D1313" s="18">
        <v>1311</v>
      </c>
      <c r="E1313" s="18" cm="1">
        <f t="array" aca="1" ref="E1313" ca="1">INDIRECT("b"&amp;F1313+2)</f>
        <v>6.3999999999999997E+75</v>
      </c>
      <c r="F1313" s="18">
        <f t="shared" si="169"/>
        <v>2146</v>
      </c>
      <c r="G1313" s="18"/>
      <c r="H1313" s="18"/>
      <c r="I1313" s="19">
        <v>1311</v>
      </c>
      <c r="J1313" s="19" cm="1">
        <f t="array" aca="1" ref="J1313" ca="1">INDIRECT("b"&amp;K1313+2)</f>
        <v>6.4E+105</v>
      </c>
      <c r="K1313" s="19">
        <f t="shared" si="172"/>
        <v>3346</v>
      </c>
    </row>
    <row r="1314" spans="1:11">
      <c r="A1314">
        <v>1312</v>
      </c>
      <c r="B1314">
        <v>7.7500000000000001E+55</v>
      </c>
      <c r="D1314" s="18">
        <v>1312</v>
      </c>
      <c r="E1314" s="18" cm="1">
        <f t="array" aca="1" ref="E1314" ca="1">INDIRECT("b"&amp;F1314+2)</f>
        <v>6.8499999999999999E+75</v>
      </c>
      <c r="F1314" s="18">
        <f t="shared" si="169"/>
        <v>2148</v>
      </c>
      <c r="G1314" s="18"/>
      <c r="H1314" s="18"/>
      <c r="I1314" s="19">
        <v>1312</v>
      </c>
      <c r="J1314" s="19" cm="1">
        <f t="array" aca="1" ref="J1314" ca="1">INDIRECT("b"&amp;K1314+2)</f>
        <v>6.8500000000000006E+105</v>
      </c>
      <c r="K1314" s="19">
        <f t="shared" si="172"/>
        <v>3348</v>
      </c>
    </row>
    <row r="1315" spans="1:11">
      <c r="A1315">
        <v>1313</v>
      </c>
      <c r="B1315">
        <v>7.975000000000001E+55</v>
      </c>
      <c r="D1315" s="18">
        <v>1313</v>
      </c>
      <c r="E1315" s="18" cm="1">
        <f t="array" aca="1" ref="E1315" ca="1">INDIRECT("b"&amp;F1315+2)</f>
        <v>7.0749999999999996E+75</v>
      </c>
      <c r="F1315" s="18">
        <f t="shared" si="169"/>
        <v>2149</v>
      </c>
      <c r="G1315" s="18">
        <f t="shared" ref="G1315" ca="1" si="179">E1315/E1310</f>
        <v>1.2863636363636364</v>
      </c>
      <c r="H1315" s="18"/>
      <c r="I1315" s="19">
        <v>1313</v>
      </c>
      <c r="J1315" s="19" cm="1">
        <f t="array" aca="1" ref="J1315" ca="1">INDIRECT("b"&amp;K1315+2)</f>
        <v>7.0750000000000009E+105</v>
      </c>
      <c r="K1315" s="19">
        <f t="shared" si="172"/>
        <v>3349</v>
      </c>
    </row>
    <row r="1316" spans="1:11">
      <c r="A1316">
        <v>1314</v>
      </c>
      <c r="B1316">
        <v>8.1999999999999996E+55</v>
      </c>
      <c r="D1316" s="18">
        <v>1314</v>
      </c>
      <c r="E1316" s="18" cm="1">
        <f t="array" aca="1" ref="E1316" ca="1">INDIRECT("b"&amp;F1316+2)</f>
        <v>7.2999999999999993E+75</v>
      </c>
      <c r="F1316" s="18">
        <f t="shared" si="169"/>
        <v>2150</v>
      </c>
      <c r="G1316" s="18"/>
      <c r="H1316" s="18"/>
      <c r="I1316" s="19">
        <v>1314</v>
      </c>
      <c r="J1316" s="19" cm="1">
        <f t="array" aca="1" ref="J1316" ca="1">INDIRECT("b"&amp;K1316+2)</f>
        <v>7.3000000000000002E+105</v>
      </c>
      <c r="K1316" s="19">
        <f t="shared" si="172"/>
        <v>3350</v>
      </c>
    </row>
    <row r="1317" spans="1:11">
      <c r="A1317">
        <v>1315</v>
      </c>
      <c r="B1317">
        <v>8.4250000000000005E+55</v>
      </c>
      <c r="D1317" s="18">
        <v>1315</v>
      </c>
      <c r="E1317" s="18" cm="1">
        <f t="array" aca="1" ref="E1317" ca="1">INDIRECT("b"&amp;F1317+2)</f>
        <v>7.7500000000000003E+75</v>
      </c>
      <c r="F1317" s="18">
        <f t="shared" si="169"/>
        <v>2152</v>
      </c>
      <c r="G1317" s="18"/>
      <c r="H1317" s="18"/>
      <c r="I1317" s="19">
        <v>1315</v>
      </c>
      <c r="J1317" s="19" cm="1">
        <f t="array" aca="1" ref="J1317" ca="1">INDIRECT("b"&amp;K1317+2)</f>
        <v>7.7500000000000009E+105</v>
      </c>
      <c r="K1317" s="19">
        <f t="shared" si="172"/>
        <v>3352</v>
      </c>
    </row>
    <row r="1318" spans="1:11">
      <c r="A1318">
        <v>1316</v>
      </c>
      <c r="B1318">
        <v>8.6500000000000002E+55</v>
      </c>
      <c r="D1318" s="18">
        <v>1316</v>
      </c>
      <c r="E1318" s="18" cm="1">
        <f t="array" aca="1" ref="E1318" ca="1">INDIRECT("b"&amp;F1318+2)</f>
        <v>7.9749999999999992E+75</v>
      </c>
      <c r="F1318" s="18">
        <f t="shared" si="169"/>
        <v>2153</v>
      </c>
      <c r="G1318" s="18"/>
      <c r="H1318" s="18"/>
      <c r="I1318" s="19">
        <v>1316</v>
      </c>
      <c r="J1318" s="19" cm="1">
        <f t="array" aca="1" ref="J1318" ca="1">INDIRECT("b"&amp;K1318+2)</f>
        <v>7.9750000000000002E+105</v>
      </c>
      <c r="K1318" s="19">
        <f t="shared" si="172"/>
        <v>3353</v>
      </c>
    </row>
    <row r="1319" spans="1:11">
      <c r="A1319">
        <v>1317</v>
      </c>
      <c r="B1319">
        <v>8.875E+55</v>
      </c>
      <c r="D1319" s="18">
        <v>1317</v>
      </c>
      <c r="E1319" s="18" cm="1">
        <f t="array" aca="1" ref="E1319" ca="1">INDIRECT("b"&amp;F1319+2)</f>
        <v>8.1999999999999997E+75</v>
      </c>
      <c r="F1319" s="18">
        <f t="shared" si="169"/>
        <v>2154</v>
      </c>
      <c r="G1319" s="18"/>
      <c r="H1319" s="18"/>
      <c r="I1319" s="19">
        <v>1317</v>
      </c>
      <c r="J1319" s="19" cm="1">
        <f t="array" aca="1" ref="J1319" ca="1">INDIRECT("b"&amp;K1319+2)</f>
        <v>8.2000000000000005E+105</v>
      </c>
      <c r="K1319" s="19">
        <f t="shared" si="172"/>
        <v>3354</v>
      </c>
    </row>
    <row r="1320" spans="1:11">
      <c r="A1320">
        <v>1318</v>
      </c>
      <c r="B1320">
        <v>9.0999999999999975E+55</v>
      </c>
      <c r="D1320" s="18">
        <v>1318</v>
      </c>
      <c r="E1320" s="18" cm="1">
        <f t="array" aca="1" ref="E1320" ca="1">INDIRECT("b"&amp;F1320+2)</f>
        <v>8.6499999999999991E+75</v>
      </c>
      <c r="F1320" s="18">
        <f t="shared" si="169"/>
        <v>2156</v>
      </c>
      <c r="G1320" s="18">
        <f t="shared" ref="G1320" ca="1" si="180">E1320/E1315</f>
        <v>1.2226148409893993</v>
      </c>
      <c r="H1320" s="18"/>
      <c r="I1320" s="19">
        <v>1318</v>
      </c>
      <c r="J1320" s="19" cm="1">
        <f t="array" aca="1" ref="J1320" ca="1">INDIRECT("b"&amp;K1320+2)</f>
        <v>8.6500000000000011E+105</v>
      </c>
      <c r="K1320" s="19">
        <f t="shared" si="172"/>
        <v>3356</v>
      </c>
    </row>
    <row r="1321" spans="1:11">
      <c r="A1321">
        <v>1319</v>
      </c>
      <c r="B1321">
        <v>9.3249999999999995E+55</v>
      </c>
      <c r="D1321" s="18">
        <v>1319</v>
      </c>
      <c r="E1321" s="18" cm="1">
        <f t="array" aca="1" ref="E1321" ca="1">INDIRECT("b"&amp;F1321+2)</f>
        <v>8.8749999999999996E+75</v>
      </c>
      <c r="F1321" s="18">
        <f t="shared" si="169"/>
        <v>2157</v>
      </c>
      <c r="G1321" s="18"/>
      <c r="H1321" s="18"/>
      <c r="I1321" s="19">
        <v>1319</v>
      </c>
      <c r="J1321" s="19" cm="1">
        <f t="array" aca="1" ref="J1321" ca="1">INDIRECT("b"&amp;K1321+2)</f>
        <v>8.8750000000000004E+105</v>
      </c>
      <c r="K1321" s="19">
        <f t="shared" si="172"/>
        <v>3357</v>
      </c>
    </row>
    <row r="1322" spans="1:11">
      <c r="A1322">
        <v>1320</v>
      </c>
      <c r="B1322">
        <v>9.5500000000000003E+55</v>
      </c>
      <c r="D1322" s="18">
        <v>1320</v>
      </c>
      <c r="E1322" s="18" cm="1">
        <f t="array" aca="1" ref="E1322" ca="1">INDIRECT("b"&amp;F1322+2)</f>
        <v>9.1000000000000001E+75</v>
      </c>
      <c r="F1322" s="18">
        <f t="shared" si="169"/>
        <v>2158</v>
      </c>
      <c r="G1322" s="18"/>
      <c r="H1322" s="18"/>
      <c r="I1322" s="19">
        <v>1320</v>
      </c>
      <c r="J1322" s="19" cm="1">
        <f t="array" aca="1" ref="J1322" ca="1">INDIRECT("b"&amp;K1322+2)</f>
        <v>9.1000000000000007E+105</v>
      </c>
      <c r="K1322" s="19">
        <f t="shared" si="172"/>
        <v>3358</v>
      </c>
    </row>
    <row r="1323" spans="1:11">
      <c r="A1323">
        <v>1321</v>
      </c>
      <c r="B1323">
        <v>9.7750000000000001E+55</v>
      </c>
      <c r="D1323" s="18">
        <v>1321</v>
      </c>
      <c r="E1323" s="18" cm="1">
        <f t="array" aca="1" ref="E1323" ca="1">INDIRECT("b"&amp;F1323+2)</f>
        <v>9.5499999999999995E+75</v>
      </c>
      <c r="F1323" s="18">
        <f t="shared" si="169"/>
        <v>2160</v>
      </c>
      <c r="G1323" s="18"/>
      <c r="H1323" s="18"/>
      <c r="I1323" s="19">
        <v>1321</v>
      </c>
      <c r="J1323" s="19" cm="1">
        <f t="array" aca="1" ref="J1323" ca="1">INDIRECT("b"&amp;K1323+2)</f>
        <v>9.5500000000000003E+105</v>
      </c>
      <c r="K1323" s="19">
        <f t="shared" si="172"/>
        <v>3360</v>
      </c>
    </row>
    <row r="1324" spans="1:11">
      <c r="A1324">
        <v>1322</v>
      </c>
      <c r="B1324">
        <v>1.0000000000000001E+56</v>
      </c>
      <c r="D1324" s="18">
        <v>1322</v>
      </c>
      <c r="E1324" s="18" cm="1">
        <f t="array" aca="1" ref="E1324" ca="1">INDIRECT("b"&amp;F1324+2)</f>
        <v>9.775E+75</v>
      </c>
      <c r="F1324" s="18">
        <f t="shared" si="169"/>
        <v>2161</v>
      </c>
      <c r="G1324" s="18"/>
      <c r="H1324" s="18"/>
      <c r="I1324" s="19">
        <v>1322</v>
      </c>
      <c r="J1324" s="19" cm="1">
        <f t="array" aca="1" ref="J1324" ca="1">INDIRECT("b"&amp;K1324+2)</f>
        <v>9.7750000000000006E+105</v>
      </c>
      <c r="K1324" s="19">
        <f t="shared" si="172"/>
        <v>3361</v>
      </c>
    </row>
    <row r="1325" spans="1:11">
      <c r="A1325">
        <v>1323</v>
      </c>
      <c r="B1325">
        <v>1.2250000000000001E+56</v>
      </c>
      <c r="D1325" s="18">
        <v>1323</v>
      </c>
      <c r="E1325" s="18" cm="1">
        <f t="array" aca="1" ref="E1325" ca="1">INDIRECT("b"&amp;F1325+2)</f>
        <v>9.9999999999999989E+75</v>
      </c>
      <c r="F1325" s="18">
        <f t="shared" si="169"/>
        <v>2162</v>
      </c>
      <c r="G1325" s="18">
        <f t="shared" ref="G1325" ca="1" si="181">E1325/E1320</f>
        <v>1.1560693641618498</v>
      </c>
      <c r="H1325" s="18"/>
      <c r="I1325" s="19">
        <v>1323</v>
      </c>
      <c r="J1325" s="19" cm="1">
        <f t="array" aca="1" ref="J1325" ca="1">INDIRECT("b"&amp;K1325+2)</f>
        <v>1.0000000000000001E+106</v>
      </c>
      <c r="K1325" s="19">
        <f t="shared" si="172"/>
        <v>3362</v>
      </c>
    </row>
    <row r="1326" spans="1:11">
      <c r="A1326">
        <v>1324</v>
      </c>
      <c r="B1326">
        <v>1.4499999999999998E+56</v>
      </c>
      <c r="D1326" s="18">
        <v>1324</v>
      </c>
      <c r="E1326" s="18" cm="1">
        <f t="array" aca="1" ref="E1326" ca="1">INDIRECT("b"&amp;F1326+2)</f>
        <v>1.4500000000000001E+76</v>
      </c>
      <c r="F1326" s="18">
        <f t="shared" si="169"/>
        <v>2164</v>
      </c>
      <c r="G1326" s="18"/>
      <c r="H1326" s="18"/>
      <c r="I1326" s="19">
        <v>1324</v>
      </c>
      <c r="J1326" s="19" cm="1">
        <f t="array" aca="1" ref="J1326" ca="1">INDIRECT("b"&amp;K1326+2)</f>
        <v>1.4499999999999999E+106</v>
      </c>
      <c r="K1326" s="19">
        <f t="shared" si="172"/>
        <v>3364</v>
      </c>
    </row>
    <row r="1327" spans="1:11">
      <c r="A1327">
        <v>1325</v>
      </c>
      <c r="B1327">
        <v>1.675E+56</v>
      </c>
      <c r="D1327" s="18">
        <v>1325</v>
      </c>
      <c r="E1327" s="18" cm="1">
        <f t="array" aca="1" ref="E1327" ca="1">INDIRECT("b"&amp;F1327+2)</f>
        <v>1.6749999999999999E+76</v>
      </c>
      <c r="F1327" s="18">
        <f t="shared" si="169"/>
        <v>2165</v>
      </c>
      <c r="G1327" s="18"/>
      <c r="H1327" s="18"/>
      <c r="I1327" s="19">
        <v>1325</v>
      </c>
      <c r="J1327" s="19" cm="1">
        <f t="array" aca="1" ref="J1327" ca="1">INDIRECT("b"&amp;K1327+2)</f>
        <v>1.675E+106</v>
      </c>
      <c r="K1327" s="19">
        <f t="shared" si="172"/>
        <v>3365</v>
      </c>
    </row>
    <row r="1328" spans="1:11">
      <c r="A1328">
        <v>1326</v>
      </c>
      <c r="B1328">
        <v>1.9000000000000004E+56</v>
      </c>
      <c r="D1328" s="18">
        <v>1326</v>
      </c>
      <c r="E1328" s="18" cm="1">
        <f t="array" aca="1" ref="E1328" ca="1">INDIRECT("b"&amp;F1328+2)</f>
        <v>1.8999999999999998E+76</v>
      </c>
      <c r="F1328" s="18">
        <f t="shared" si="169"/>
        <v>2166</v>
      </c>
      <c r="G1328" s="18"/>
      <c r="H1328" s="18"/>
      <c r="I1328" s="19">
        <v>1326</v>
      </c>
      <c r="J1328" s="19" cm="1">
        <f t="array" aca="1" ref="J1328" ca="1">INDIRECT("b"&amp;K1328+2)</f>
        <v>1.8999999999999999E+106</v>
      </c>
      <c r="K1328" s="19">
        <f t="shared" si="172"/>
        <v>3366</v>
      </c>
    </row>
    <row r="1329" spans="1:11">
      <c r="A1329">
        <v>1327</v>
      </c>
      <c r="B1329">
        <v>2.125E+56</v>
      </c>
      <c r="D1329" s="18">
        <v>1327</v>
      </c>
      <c r="E1329" s="18" cm="1">
        <f t="array" aca="1" ref="E1329" ca="1">INDIRECT("b"&amp;F1329+2)</f>
        <v>2.3499999999999998E+76</v>
      </c>
      <c r="F1329" s="18">
        <f t="shared" si="169"/>
        <v>2168</v>
      </c>
      <c r="G1329" s="18"/>
      <c r="H1329" s="18"/>
      <c r="I1329" s="19">
        <v>1327</v>
      </c>
      <c r="J1329" s="19" cm="1">
        <f t="array" aca="1" ref="J1329" ca="1">INDIRECT("b"&amp;K1329+2)</f>
        <v>2.3500000000000001E+106</v>
      </c>
      <c r="K1329" s="19">
        <f t="shared" si="172"/>
        <v>3368</v>
      </c>
    </row>
    <row r="1330" spans="1:11">
      <c r="A1330">
        <v>1328</v>
      </c>
      <c r="B1330">
        <v>2.3500000000000001E+56</v>
      </c>
      <c r="D1330" s="18">
        <v>1328</v>
      </c>
      <c r="E1330" s="18" cm="1">
        <f t="array" aca="1" ref="E1330" ca="1">INDIRECT("b"&amp;F1330+2)</f>
        <v>2.575E+76</v>
      </c>
      <c r="F1330" s="18">
        <f t="shared" si="169"/>
        <v>2169</v>
      </c>
      <c r="G1330" s="18">
        <f t="shared" ref="G1330" ca="1" si="182">E1330/E1325</f>
        <v>2.5750000000000002</v>
      </c>
      <c r="H1330" s="18"/>
      <c r="I1330" s="19">
        <v>1328</v>
      </c>
      <c r="J1330" s="19" cm="1">
        <f t="array" aca="1" ref="J1330" ca="1">INDIRECT("b"&amp;K1330+2)</f>
        <v>2.575E+106</v>
      </c>
      <c r="K1330" s="19">
        <f t="shared" si="172"/>
        <v>3369</v>
      </c>
    </row>
    <row r="1331" spans="1:11">
      <c r="A1331">
        <v>1329</v>
      </c>
      <c r="B1331">
        <v>2.5749999999999999E+56</v>
      </c>
      <c r="D1331" s="18">
        <v>1329</v>
      </c>
      <c r="E1331" s="18" cm="1">
        <f t="array" aca="1" ref="E1331" ca="1">INDIRECT("b"&amp;F1331+2)</f>
        <v>2.7999999999999999E+76</v>
      </c>
      <c r="F1331" s="18">
        <f t="shared" si="169"/>
        <v>2170</v>
      </c>
      <c r="G1331" s="18"/>
      <c r="H1331" s="18"/>
      <c r="I1331" s="19">
        <v>1329</v>
      </c>
      <c r="J1331" s="19" cm="1">
        <f t="array" aca="1" ref="J1331" ca="1">INDIRECT("b"&amp;K1331+2)</f>
        <v>2.7999999999999999E+106</v>
      </c>
      <c r="K1331" s="19">
        <f t="shared" si="172"/>
        <v>3370</v>
      </c>
    </row>
    <row r="1332" spans="1:11">
      <c r="A1332">
        <v>1330</v>
      </c>
      <c r="B1332">
        <v>2.8000000000000001E+56</v>
      </c>
      <c r="D1332" s="18">
        <v>1330</v>
      </c>
      <c r="E1332" s="18" cm="1">
        <f t="array" aca="1" ref="E1332" ca="1">INDIRECT("b"&amp;F1332+2)</f>
        <v>3.2499999999999996E+76</v>
      </c>
      <c r="F1332" s="18">
        <f t="shared" si="169"/>
        <v>2172</v>
      </c>
      <c r="G1332" s="18"/>
      <c r="H1332" s="18"/>
      <c r="I1332" s="19">
        <v>1330</v>
      </c>
      <c r="J1332" s="19" cm="1">
        <f t="array" aca="1" ref="J1332" ca="1">INDIRECT("b"&amp;K1332+2)</f>
        <v>3.2500000000000001E+106</v>
      </c>
      <c r="K1332" s="19">
        <f t="shared" si="172"/>
        <v>3372</v>
      </c>
    </row>
    <row r="1333" spans="1:11">
      <c r="A1333">
        <v>1331</v>
      </c>
      <c r="B1333">
        <v>3.0250000000000003E+56</v>
      </c>
      <c r="D1333" s="18">
        <v>1331</v>
      </c>
      <c r="E1333" s="18" cm="1">
        <f t="array" aca="1" ref="E1333" ca="1">INDIRECT("b"&amp;F1333+2)</f>
        <v>3.4750000000000001E+76</v>
      </c>
      <c r="F1333" s="18">
        <f t="shared" si="169"/>
        <v>2173</v>
      </c>
      <c r="G1333" s="18"/>
      <c r="H1333" s="18"/>
      <c r="I1333" s="19">
        <v>1331</v>
      </c>
      <c r="J1333" s="19" cm="1">
        <f t="array" aca="1" ref="J1333" ca="1">INDIRECT("b"&amp;K1333+2)</f>
        <v>3.475E+106</v>
      </c>
      <c r="K1333" s="19">
        <f t="shared" si="172"/>
        <v>3373</v>
      </c>
    </row>
    <row r="1334" spans="1:11">
      <c r="A1334">
        <v>1332</v>
      </c>
      <c r="B1334">
        <v>3.25E+56</v>
      </c>
      <c r="D1334" s="18">
        <v>1332</v>
      </c>
      <c r="E1334" s="18" cm="1">
        <f t="array" aca="1" ref="E1334" ca="1">INDIRECT("b"&amp;F1334+2)</f>
        <v>3.6999999999999999E+76</v>
      </c>
      <c r="F1334" s="18">
        <f t="shared" si="169"/>
        <v>2174</v>
      </c>
      <c r="G1334" s="18"/>
      <c r="H1334" s="18"/>
      <c r="I1334" s="19">
        <v>1332</v>
      </c>
      <c r="J1334" s="19" cm="1">
        <f t="array" aca="1" ref="J1334" ca="1">INDIRECT("b"&amp;K1334+2)</f>
        <v>3.6999999999999999E+106</v>
      </c>
      <c r="K1334" s="19">
        <f t="shared" si="172"/>
        <v>3374</v>
      </c>
    </row>
    <row r="1335" spans="1:11">
      <c r="A1335">
        <v>1333</v>
      </c>
      <c r="B1335">
        <v>3.4750000000000002E+56</v>
      </c>
      <c r="D1335" s="18">
        <v>1333</v>
      </c>
      <c r="E1335" s="18" cm="1">
        <f t="array" aca="1" ref="E1335" ca="1">INDIRECT("b"&amp;F1335+2)</f>
        <v>4.1499999999999997E+76</v>
      </c>
      <c r="F1335" s="18">
        <f t="shared" si="169"/>
        <v>2176</v>
      </c>
      <c r="G1335" s="18">
        <f t="shared" ref="G1335" ca="1" si="183">E1335/E1330</f>
        <v>1.6116504854368932</v>
      </c>
      <c r="H1335" s="18"/>
      <c r="I1335" s="19">
        <v>1333</v>
      </c>
      <c r="J1335" s="19" cm="1">
        <f t="array" aca="1" ref="J1335" ca="1">INDIRECT("b"&amp;K1335+2)</f>
        <v>4.1499999999999998E+106</v>
      </c>
      <c r="K1335" s="19">
        <f t="shared" si="172"/>
        <v>3376</v>
      </c>
    </row>
    <row r="1336" spans="1:11">
      <c r="A1336">
        <v>1334</v>
      </c>
      <c r="B1336">
        <v>3.7E+56</v>
      </c>
      <c r="D1336" s="18">
        <v>1334</v>
      </c>
      <c r="E1336" s="18" cm="1">
        <f t="array" aca="1" ref="E1336" ca="1">INDIRECT("b"&amp;F1336+2)</f>
        <v>4.3749999999999995E+76</v>
      </c>
      <c r="F1336" s="18">
        <f t="shared" si="169"/>
        <v>2177</v>
      </c>
      <c r="G1336" s="18"/>
      <c r="H1336" s="18"/>
      <c r="I1336" s="19">
        <v>1334</v>
      </c>
      <c r="J1336" s="19" cm="1">
        <f t="array" aca="1" ref="J1336" ca="1">INDIRECT("b"&amp;K1336+2)</f>
        <v>4.3749999999999997E+106</v>
      </c>
      <c r="K1336" s="19">
        <f t="shared" si="172"/>
        <v>3377</v>
      </c>
    </row>
    <row r="1337" spans="1:11">
      <c r="A1337">
        <v>1335</v>
      </c>
      <c r="B1337">
        <v>3.9250000000000002E+56</v>
      </c>
      <c r="D1337" s="18">
        <v>1335</v>
      </c>
      <c r="E1337" s="18" cm="1">
        <f t="array" aca="1" ref="E1337" ca="1">INDIRECT("b"&amp;F1337+2)</f>
        <v>4.6E+76</v>
      </c>
      <c r="F1337" s="18">
        <f t="shared" si="169"/>
        <v>2178</v>
      </c>
      <c r="G1337" s="18"/>
      <c r="H1337" s="18"/>
      <c r="I1337" s="19">
        <v>1335</v>
      </c>
      <c r="J1337" s="19" cm="1">
        <f t="array" aca="1" ref="J1337" ca="1">INDIRECT("b"&amp;K1337+2)</f>
        <v>4.6000000000000004E+106</v>
      </c>
      <c r="K1337" s="19">
        <f t="shared" si="172"/>
        <v>3378</v>
      </c>
    </row>
    <row r="1338" spans="1:11">
      <c r="A1338">
        <v>1336</v>
      </c>
      <c r="B1338">
        <v>4.1500000000000008E+56</v>
      </c>
      <c r="D1338" s="18">
        <v>1336</v>
      </c>
      <c r="E1338" s="18" cm="1">
        <f t="array" aca="1" ref="E1338" ca="1">INDIRECT("b"&amp;F1338+2)</f>
        <v>5.0499999999999997E+76</v>
      </c>
      <c r="F1338" s="18">
        <f t="shared" si="169"/>
        <v>2180</v>
      </c>
      <c r="G1338" s="18"/>
      <c r="H1338" s="18"/>
      <c r="I1338" s="19">
        <v>1336</v>
      </c>
      <c r="J1338" s="19" cm="1">
        <f t="array" aca="1" ref="J1338" ca="1">INDIRECT("b"&amp;K1338+2)</f>
        <v>5.0500000000000002E+106</v>
      </c>
      <c r="K1338" s="19">
        <f t="shared" si="172"/>
        <v>3380</v>
      </c>
    </row>
    <row r="1339" spans="1:11">
      <c r="A1339">
        <v>1337</v>
      </c>
      <c r="B1339">
        <v>4.3749999999999997E+56</v>
      </c>
      <c r="D1339" s="18">
        <v>1337</v>
      </c>
      <c r="E1339" s="18" cm="1">
        <f t="array" aca="1" ref="E1339" ca="1">INDIRECT("b"&amp;F1339+2)</f>
        <v>5.2749999999999996E+76</v>
      </c>
      <c r="F1339" s="18">
        <f t="shared" si="169"/>
        <v>2181</v>
      </c>
      <c r="G1339" s="18"/>
      <c r="H1339" s="18"/>
      <c r="I1339" s="19">
        <v>1337</v>
      </c>
      <c r="J1339" s="19" cm="1">
        <f t="array" aca="1" ref="J1339" ca="1">INDIRECT("b"&amp;K1339+2)</f>
        <v>5.2750000000000001E+106</v>
      </c>
      <c r="K1339" s="19">
        <f t="shared" si="172"/>
        <v>3381</v>
      </c>
    </row>
    <row r="1340" spans="1:11">
      <c r="A1340">
        <v>1338</v>
      </c>
      <c r="B1340">
        <v>4.6000000000000003E+56</v>
      </c>
      <c r="D1340" s="18">
        <v>1338</v>
      </c>
      <c r="E1340" s="18" cm="1">
        <f t="array" aca="1" ref="E1340" ca="1">INDIRECT("b"&amp;F1340+2)</f>
        <v>5.4999999999999995E+76</v>
      </c>
      <c r="F1340" s="18">
        <f t="shared" si="169"/>
        <v>2182</v>
      </c>
      <c r="G1340" s="18">
        <f t="shared" ref="G1340" ca="1" si="184">E1340/E1335</f>
        <v>1.3253012048192772</v>
      </c>
      <c r="H1340" s="18"/>
      <c r="I1340" s="19">
        <v>1338</v>
      </c>
      <c r="J1340" s="19" cm="1">
        <f t="array" aca="1" ref="J1340" ca="1">INDIRECT("b"&amp;K1340+2)</f>
        <v>5.5E+106</v>
      </c>
      <c r="K1340" s="19">
        <f t="shared" si="172"/>
        <v>3382</v>
      </c>
    </row>
    <row r="1341" spans="1:11">
      <c r="A1341">
        <v>1339</v>
      </c>
      <c r="B1341">
        <v>4.8250000000000009E+56</v>
      </c>
      <c r="D1341" s="18">
        <v>1339</v>
      </c>
      <c r="E1341" s="18" cm="1">
        <f t="array" aca="1" ref="E1341" ca="1">INDIRECT("b"&amp;F1341+2)</f>
        <v>5.9499999999999998E+76</v>
      </c>
      <c r="F1341" s="18">
        <f t="shared" ref="F1341:F1404" si="185">INT((A1341-123)*1.333333)+563</f>
        <v>2184</v>
      </c>
      <c r="G1341" s="18"/>
      <c r="H1341" s="18"/>
      <c r="I1341" s="19">
        <v>1339</v>
      </c>
      <c r="J1341" s="19" cm="1">
        <f t="array" aca="1" ref="J1341" ca="1">INDIRECT("b"&amp;K1341+2)</f>
        <v>5.9499999999999998E+106</v>
      </c>
      <c r="K1341" s="19">
        <f t="shared" si="172"/>
        <v>3384</v>
      </c>
    </row>
    <row r="1342" spans="1:11">
      <c r="A1342">
        <v>1340</v>
      </c>
      <c r="B1342">
        <v>5.0499999999999998E+56</v>
      </c>
      <c r="D1342" s="18">
        <v>1340</v>
      </c>
      <c r="E1342" s="18" cm="1">
        <f t="array" aca="1" ref="E1342" ca="1">INDIRECT("b"&amp;F1342+2)</f>
        <v>6.1750000000000003E+76</v>
      </c>
      <c r="F1342" s="18">
        <f t="shared" si="185"/>
        <v>2185</v>
      </c>
      <c r="G1342" s="18"/>
      <c r="H1342" s="18"/>
      <c r="I1342" s="19">
        <v>1340</v>
      </c>
      <c r="J1342" s="19" cm="1">
        <f t="array" aca="1" ref="J1342" ca="1">INDIRECT("b"&amp;K1342+2)</f>
        <v>6.1749999999999997E+106</v>
      </c>
      <c r="K1342" s="19">
        <f t="shared" si="172"/>
        <v>3385</v>
      </c>
    </row>
    <row r="1343" spans="1:11">
      <c r="A1343">
        <v>1341</v>
      </c>
      <c r="B1343">
        <v>5.2749999999999996E+56</v>
      </c>
      <c r="D1343" s="18">
        <v>1341</v>
      </c>
      <c r="E1343" s="18" cm="1">
        <f t="array" aca="1" ref="E1343" ca="1">INDIRECT("b"&amp;F1343+2)</f>
        <v>6.3999999999999995E+76</v>
      </c>
      <c r="F1343" s="18">
        <f t="shared" si="185"/>
        <v>2186</v>
      </c>
      <c r="G1343" s="18"/>
      <c r="H1343" s="18"/>
      <c r="I1343" s="19">
        <v>1341</v>
      </c>
      <c r="J1343" s="19" cm="1">
        <f t="array" aca="1" ref="J1343" ca="1">INDIRECT("b"&amp;K1343+2)</f>
        <v>6.3999999999999996E+106</v>
      </c>
      <c r="K1343" s="19">
        <f t="shared" si="172"/>
        <v>3386</v>
      </c>
    </row>
    <row r="1344" spans="1:11">
      <c r="A1344">
        <v>1342</v>
      </c>
      <c r="B1344">
        <v>5.4999999999999993E+56</v>
      </c>
      <c r="D1344" s="18">
        <v>1342</v>
      </c>
      <c r="E1344" s="18" cm="1">
        <f t="array" aca="1" ref="E1344" ca="1">INDIRECT("b"&amp;F1344+2)</f>
        <v>6.8499999999999992E+76</v>
      </c>
      <c r="F1344" s="18">
        <f t="shared" si="185"/>
        <v>2188</v>
      </c>
      <c r="G1344" s="18"/>
      <c r="H1344" s="18"/>
      <c r="I1344" s="19">
        <v>1342</v>
      </c>
      <c r="J1344" s="19" cm="1">
        <f t="array" aca="1" ref="J1344" ca="1">INDIRECT("b"&amp;K1344+2)</f>
        <v>6.8500000000000002E+106</v>
      </c>
      <c r="K1344" s="19">
        <f t="shared" si="172"/>
        <v>3388</v>
      </c>
    </row>
    <row r="1345" spans="1:11">
      <c r="A1345">
        <v>1343</v>
      </c>
      <c r="B1345">
        <v>5.7250000000000008E+56</v>
      </c>
      <c r="D1345" s="18">
        <v>1343</v>
      </c>
      <c r="E1345" s="18" cm="1">
        <f t="array" aca="1" ref="E1345" ca="1">INDIRECT("b"&amp;F1345+2)</f>
        <v>7.0749999999999997E+76</v>
      </c>
      <c r="F1345" s="18">
        <f t="shared" si="185"/>
        <v>2189</v>
      </c>
      <c r="G1345" s="18">
        <f t="shared" ref="G1345" ca="1" si="186">E1345/E1340</f>
        <v>1.2863636363636364</v>
      </c>
      <c r="H1345" s="18"/>
      <c r="I1345" s="19">
        <v>1343</v>
      </c>
      <c r="J1345" s="19" cm="1">
        <f t="array" aca="1" ref="J1345" ca="1">INDIRECT("b"&amp;K1345+2)</f>
        <v>7.0750000000000001E+106</v>
      </c>
      <c r="K1345" s="19">
        <f t="shared" si="172"/>
        <v>3389</v>
      </c>
    </row>
    <row r="1346" spans="1:11">
      <c r="A1346">
        <v>1344</v>
      </c>
      <c r="B1346">
        <v>5.9500000000000006E+56</v>
      </c>
      <c r="D1346" s="18">
        <v>1344</v>
      </c>
      <c r="E1346" s="18" cm="1">
        <f t="array" aca="1" ref="E1346" ca="1">INDIRECT("b"&amp;F1346+2)</f>
        <v>7.3000000000000002E+76</v>
      </c>
      <c r="F1346" s="18">
        <f t="shared" si="185"/>
        <v>2190</v>
      </c>
      <c r="G1346" s="18"/>
      <c r="H1346" s="18"/>
      <c r="I1346" s="19">
        <v>1344</v>
      </c>
      <c r="J1346" s="19" cm="1">
        <f t="array" aca="1" ref="J1346" ca="1">INDIRECT("b"&amp;K1346+2)</f>
        <v>7.3E+106</v>
      </c>
      <c r="K1346" s="19">
        <f t="shared" si="172"/>
        <v>3390</v>
      </c>
    </row>
    <row r="1347" spans="1:11">
      <c r="A1347">
        <v>1345</v>
      </c>
      <c r="B1347">
        <v>6.1749999999999994E+56</v>
      </c>
      <c r="D1347" s="18">
        <v>1345</v>
      </c>
      <c r="E1347" s="18" cm="1">
        <f t="array" aca="1" ref="E1347" ca="1">INDIRECT("b"&amp;F1347+2)</f>
        <v>7.75E+76</v>
      </c>
      <c r="F1347" s="18">
        <f t="shared" si="185"/>
        <v>2192</v>
      </c>
      <c r="G1347" s="18"/>
      <c r="H1347" s="18"/>
      <c r="I1347" s="19">
        <v>1345</v>
      </c>
      <c r="J1347" s="19" cm="1">
        <f t="array" aca="1" ref="J1347" ca="1">INDIRECT("b"&amp;K1347+2)</f>
        <v>7.7500000000000007E+106</v>
      </c>
      <c r="K1347" s="19">
        <f t="shared" si="172"/>
        <v>3392</v>
      </c>
    </row>
    <row r="1348" spans="1:11">
      <c r="A1348">
        <v>1346</v>
      </c>
      <c r="B1348">
        <v>6.3999999999999992E+56</v>
      </c>
      <c r="D1348" s="18">
        <v>1346</v>
      </c>
      <c r="E1348" s="18" cm="1">
        <f t="array" aca="1" ref="E1348" ca="1">INDIRECT("b"&amp;F1348+2)</f>
        <v>7.9749999999999992E+76</v>
      </c>
      <c r="F1348" s="18">
        <f t="shared" si="185"/>
        <v>2193</v>
      </c>
      <c r="G1348" s="18"/>
      <c r="H1348" s="18"/>
      <c r="I1348" s="19">
        <v>1346</v>
      </c>
      <c r="J1348" s="19" cm="1">
        <f t="array" aca="1" ref="J1348" ca="1">INDIRECT("b"&amp;K1348+2)</f>
        <v>7.9749999999999997E+106</v>
      </c>
      <c r="K1348" s="19">
        <f t="shared" ref="K1348:K1411" si="187">INT((A1348-1)*40/30+900*40/30)+400</f>
        <v>3393</v>
      </c>
    </row>
    <row r="1349" spans="1:11">
      <c r="A1349">
        <v>1347</v>
      </c>
      <c r="B1349">
        <v>6.6249999999999998E+56</v>
      </c>
      <c r="D1349" s="18">
        <v>1347</v>
      </c>
      <c r="E1349" s="18" cm="1">
        <f t="array" aca="1" ref="E1349" ca="1">INDIRECT("b"&amp;F1349+2)</f>
        <v>8.1999999999999997E+76</v>
      </c>
      <c r="F1349" s="18">
        <f t="shared" si="185"/>
        <v>2194</v>
      </c>
      <c r="G1349" s="18"/>
      <c r="H1349" s="18"/>
      <c r="I1349" s="19">
        <v>1347</v>
      </c>
      <c r="J1349" s="19" cm="1">
        <f t="array" aca="1" ref="J1349" ca="1">INDIRECT("b"&amp;K1349+2)</f>
        <v>8.2000000000000005E+106</v>
      </c>
      <c r="K1349" s="19">
        <f t="shared" si="187"/>
        <v>3394</v>
      </c>
    </row>
    <row r="1350" spans="1:11">
      <c r="A1350">
        <v>1348</v>
      </c>
      <c r="B1350">
        <v>6.8500000000000013E+56</v>
      </c>
      <c r="D1350" s="18">
        <v>1348</v>
      </c>
      <c r="E1350" s="18" cm="1">
        <f t="array" aca="1" ref="E1350" ca="1">INDIRECT("b"&amp;F1350+2)</f>
        <v>8.6499999999999994E+76</v>
      </c>
      <c r="F1350" s="18">
        <f t="shared" si="185"/>
        <v>2196</v>
      </c>
      <c r="G1350" s="18">
        <f t="shared" ref="G1350" ca="1" si="188">E1350/E1345</f>
        <v>1.2226148409893993</v>
      </c>
      <c r="H1350" s="18"/>
      <c r="I1350" s="19">
        <v>1348</v>
      </c>
      <c r="J1350" s="19" cm="1">
        <f t="array" aca="1" ref="J1350" ca="1">INDIRECT("b"&amp;K1350+2)</f>
        <v>8.6500000000000003E+106</v>
      </c>
      <c r="K1350" s="19">
        <f t="shared" si="187"/>
        <v>3396</v>
      </c>
    </row>
    <row r="1351" spans="1:11">
      <c r="A1351">
        <v>1349</v>
      </c>
      <c r="B1351">
        <v>7.0749999999999993E+56</v>
      </c>
      <c r="D1351" s="18">
        <v>1349</v>
      </c>
      <c r="E1351" s="18" cm="1">
        <f t="array" aca="1" ref="E1351" ca="1">INDIRECT("b"&amp;F1351+2)</f>
        <v>8.8749999999999999E+76</v>
      </c>
      <c r="F1351" s="18">
        <f t="shared" si="185"/>
        <v>2197</v>
      </c>
      <c r="G1351" s="18"/>
      <c r="H1351" s="18"/>
      <c r="I1351" s="19">
        <v>1349</v>
      </c>
      <c r="J1351" s="19" cm="1">
        <f t="array" aca="1" ref="J1351" ca="1">INDIRECT("b"&amp;K1351+2)</f>
        <v>8.8749999999999994E+106</v>
      </c>
      <c r="K1351" s="19">
        <f t="shared" si="187"/>
        <v>3397</v>
      </c>
    </row>
    <row r="1352" spans="1:11">
      <c r="A1352">
        <v>1350</v>
      </c>
      <c r="B1352">
        <v>7.3000000000000008E+56</v>
      </c>
      <c r="D1352" s="18">
        <v>1350</v>
      </c>
      <c r="E1352" s="18" cm="1">
        <f t="array" aca="1" ref="E1352" ca="1">INDIRECT("b"&amp;F1352+2)</f>
        <v>9.0999999999999991E+76</v>
      </c>
      <c r="F1352" s="18">
        <f t="shared" si="185"/>
        <v>2198</v>
      </c>
      <c r="G1352" s="18"/>
      <c r="H1352" s="18"/>
      <c r="I1352" s="19">
        <v>1350</v>
      </c>
      <c r="J1352" s="19" cm="1">
        <f t="array" aca="1" ref="J1352" ca="1">INDIRECT("b"&amp;K1352+2)</f>
        <v>9.1000000000000001E+106</v>
      </c>
      <c r="K1352" s="19">
        <f t="shared" si="187"/>
        <v>3398</v>
      </c>
    </row>
    <row r="1353" spans="1:11">
      <c r="A1353">
        <v>1351</v>
      </c>
      <c r="B1353">
        <v>7.5249999999999988E+56</v>
      </c>
      <c r="D1353" s="18">
        <v>1351</v>
      </c>
      <c r="E1353" s="18" cm="1">
        <f t="array" aca="1" ref="E1353" ca="1">INDIRECT("b"&amp;F1353+2)</f>
        <v>9.5500000000000001E+76</v>
      </c>
      <c r="F1353" s="18">
        <f t="shared" si="185"/>
        <v>2200</v>
      </c>
      <c r="G1353" s="18"/>
      <c r="H1353" s="18"/>
      <c r="I1353" s="19">
        <v>1351</v>
      </c>
      <c r="J1353" s="19" cm="1">
        <f t="array" aca="1" ref="J1353" ca="1">INDIRECT("b"&amp;K1353+2)</f>
        <v>9.5499999999999999E+106</v>
      </c>
      <c r="K1353" s="19">
        <f t="shared" si="187"/>
        <v>3400</v>
      </c>
    </row>
    <row r="1354" spans="1:11">
      <c r="A1354">
        <v>1352</v>
      </c>
      <c r="B1354">
        <v>7.7499999999999995E+56</v>
      </c>
      <c r="D1354" s="18">
        <v>1352</v>
      </c>
      <c r="E1354" s="18" cm="1">
        <f t="array" aca="1" ref="E1354" ca="1">INDIRECT("b"&amp;F1354+2)</f>
        <v>9.7749999999999993E+76</v>
      </c>
      <c r="F1354" s="18">
        <f t="shared" si="185"/>
        <v>2201</v>
      </c>
      <c r="G1354" s="18"/>
      <c r="H1354" s="18"/>
      <c r="I1354" s="19">
        <v>1352</v>
      </c>
      <c r="J1354" s="19" cm="1">
        <f t="array" aca="1" ref="J1354" ca="1">INDIRECT("b"&amp;K1354+2)</f>
        <v>9.7750000000000006E+106</v>
      </c>
      <c r="K1354" s="19">
        <f t="shared" si="187"/>
        <v>3401</v>
      </c>
    </row>
    <row r="1355" spans="1:11">
      <c r="A1355">
        <v>1353</v>
      </c>
      <c r="B1355">
        <v>7.975000000000001E+56</v>
      </c>
      <c r="D1355" s="18">
        <v>1353</v>
      </c>
      <c r="E1355" s="18" cm="1">
        <f t="array" aca="1" ref="E1355" ca="1">INDIRECT("b"&amp;F1355+2)</f>
        <v>1.0000000000000001E+77</v>
      </c>
      <c r="F1355" s="18">
        <f t="shared" si="185"/>
        <v>2202</v>
      </c>
      <c r="G1355" s="18">
        <f t="shared" ref="G1355" ca="1" si="189">E1355/E1350</f>
        <v>1.15606936416185</v>
      </c>
      <c r="H1355" s="18"/>
      <c r="I1355" s="19">
        <v>1353</v>
      </c>
      <c r="J1355" s="19" cm="1">
        <f t="array" aca="1" ref="J1355" ca="1">INDIRECT("b"&amp;K1355+2)</f>
        <v>9.9999999999999997E+106</v>
      </c>
      <c r="K1355" s="19">
        <f t="shared" si="187"/>
        <v>3402</v>
      </c>
    </row>
    <row r="1356" spans="1:11">
      <c r="A1356">
        <v>1354</v>
      </c>
      <c r="B1356">
        <v>8.199999999999999E+56</v>
      </c>
      <c r="D1356" s="18">
        <v>1354</v>
      </c>
      <c r="E1356" s="18" cm="1">
        <f t="array" aca="1" ref="E1356" ca="1">INDIRECT("b"&amp;F1356+2)</f>
        <v>1.4500000000000001E+77</v>
      </c>
      <c r="F1356" s="18">
        <f t="shared" si="185"/>
        <v>2204</v>
      </c>
      <c r="G1356" s="18"/>
      <c r="H1356" s="18"/>
      <c r="I1356" s="19">
        <v>1354</v>
      </c>
      <c r="J1356" s="19" cm="1">
        <f t="array" aca="1" ref="J1356" ca="1">INDIRECT("b"&amp;K1356+2)</f>
        <v>1.4499999999999999E+107</v>
      </c>
      <c r="K1356" s="19">
        <f t="shared" si="187"/>
        <v>3404</v>
      </c>
    </row>
    <row r="1357" spans="1:11">
      <c r="A1357">
        <v>1355</v>
      </c>
      <c r="B1357">
        <v>8.4250000000000005E+56</v>
      </c>
      <c r="D1357" s="18">
        <v>1355</v>
      </c>
      <c r="E1357" s="18" cm="1">
        <f t="array" aca="1" ref="E1357" ca="1">INDIRECT("b"&amp;F1357+2)</f>
        <v>1.6750000000000001E+77</v>
      </c>
      <c r="F1357" s="18">
        <f t="shared" si="185"/>
        <v>2205</v>
      </c>
      <c r="G1357" s="18"/>
      <c r="H1357" s="18"/>
      <c r="I1357" s="19">
        <v>1355</v>
      </c>
      <c r="J1357" s="19" cm="1">
        <f t="array" aca="1" ref="J1357" ca="1">INDIRECT("b"&amp;K1357+2)</f>
        <v>1.6749999999999998E+107</v>
      </c>
      <c r="K1357" s="19">
        <f t="shared" si="187"/>
        <v>3405</v>
      </c>
    </row>
    <row r="1358" spans="1:11">
      <c r="A1358">
        <v>1356</v>
      </c>
      <c r="B1358">
        <v>8.6500000000000002E+56</v>
      </c>
      <c r="D1358" s="18">
        <v>1356</v>
      </c>
      <c r="E1358" s="18" cm="1">
        <f t="array" aca="1" ref="E1358" ca="1">INDIRECT("b"&amp;F1358+2)</f>
        <v>1.9000000000000001E+77</v>
      </c>
      <c r="F1358" s="18">
        <f t="shared" si="185"/>
        <v>2206</v>
      </c>
      <c r="G1358" s="18"/>
      <c r="H1358" s="18"/>
      <c r="I1358" s="19">
        <v>1356</v>
      </c>
      <c r="J1358" s="19" cm="1">
        <f t="array" aca="1" ref="J1358" ca="1">INDIRECT("b"&amp;K1358+2)</f>
        <v>1.8999999999999999E+107</v>
      </c>
      <c r="K1358" s="19">
        <f t="shared" si="187"/>
        <v>3406</v>
      </c>
    </row>
    <row r="1359" spans="1:11">
      <c r="A1359">
        <v>1357</v>
      </c>
      <c r="B1359">
        <v>8.875E+56</v>
      </c>
      <c r="D1359" s="18">
        <v>1357</v>
      </c>
      <c r="E1359" s="18" cm="1">
        <f t="array" aca="1" ref="E1359" ca="1">INDIRECT("b"&amp;F1359+2)</f>
        <v>2.35E+77</v>
      </c>
      <c r="F1359" s="18">
        <f t="shared" si="185"/>
        <v>2208</v>
      </c>
      <c r="G1359" s="18"/>
      <c r="H1359" s="18"/>
      <c r="I1359" s="19">
        <v>1357</v>
      </c>
      <c r="J1359" s="19" cm="1">
        <f t="array" aca="1" ref="J1359" ca="1">INDIRECT("b"&amp;K1359+2)</f>
        <v>2.35E+107</v>
      </c>
      <c r="K1359" s="19">
        <f t="shared" si="187"/>
        <v>3408</v>
      </c>
    </row>
    <row r="1360" spans="1:11">
      <c r="A1360">
        <v>1358</v>
      </c>
      <c r="B1360">
        <v>9.099999999999998E+56</v>
      </c>
      <c r="D1360" s="18">
        <v>1358</v>
      </c>
      <c r="E1360" s="18" cm="1">
        <f t="array" aca="1" ref="E1360" ca="1">INDIRECT("b"&amp;F1360+2)</f>
        <v>2.5750000000000003E+77</v>
      </c>
      <c r="F1360" s="18">
        <f t="shared" si="185"/>
        <v>2209</v>
      </c>
      <c r="G1360" s="18">
        <f t="shared" ref="G1360" ca="1" si="190">E1360/E1355</f>
        <v>2.5750000000000002</v>
      </c>
      <c r="H1360" s="18"/>
      <c r="I1360" s="19">
        <v>1358</v>
      </c>
      <c r="J1360" s="19" cm="1">
        <f t="array" aca="1" ref="J1360" ca="1">INDIRECT("b"&amp;K1360+2)</f>
        <v>2.5749999999999998E+107</v>
      </c>
      <c r="K1360" s="19">
        <f t="shared" si="187"/>
        <v>3409</v>
      </c>
    </row>
    <row r="1361" spans="1:11">
      <c r="A1361">
        <v>1359</v>
      </c>
      <c r="B1361">
        <v>9.3249999999999995E+56</v>
      </c>
      <c r="D1361" s="18">
        <v>1359</v>
      </c>
      <c r="E1361" s="18" cm="1">
        <f t="array" aca="1" ref="E1361" ca="1">INDIRECT("b"&amp;F1361+2)</f>
        <v>2.8E+77</v>
      </c>
      <c r="F1361" s="18">
        <f t="shared" si="185"/>
        <v>2210</v>
      </c>
      <c r="G1361" s="18"/>
      <c r="H1361" s="18"/>
      <c r="I1361" s="19">
        <v>1359</v>
      </c>
      <c r="J1361" s="19" cm="1">
        <f t="array" aca="1" ref="J1361" ca="1">INDIRECT("b"&amp;K1361+2)</f>
        <v>2.7999999999999998E+107</v>
      </c>
      <c r="K1361" s="19">
        <f t="shared" si="187"/>
        <v>3410</v>
      </c>
    </row>
    <row r="1362" spans="1:11">
      <c r="A1362">
        <v>1360</v>
      </c>
      <c r="B1362">
        <v>9.5499999999999992E+56</v>
      </c>
      <c r="D1362" s="18">
        <v>1360</v>
      </c>
      <c r="E1362" s="18" cm="1">
        <f t="array" aca="1" ref="E1362" ca="1">INDIRECT("b"&amp;F1362+2)</f>
        <v>3.2500000000000005E+77</v>
      </c>
      <c r="F1362" s="18">
        <f t="shared" si="185"/>
        <v>2212</v>
      </c>
      <c r="G1362" s="18"/>
      <c r="H1362" s="18"/>
      <c r="I1362" s="19">
        <v>1360</v>
      </c>
      <c r="J1362" s="19" cm="1">
        <f t="array" aca="1" ref="J1362" ca="1">INDIRECT("b"&amp;K1362+2)</f>
        <v>3.2499999999999997E+107</v>
      </c>
      <c r="K1362" s="19">
        <f t="shared" si="187"/>
        <v>3412</v>
      </c>
    </row>
    <row r="1363" spans="1:11">
      <c r="A1363">
        <v>1361</v>
      </c>
      <c r="B1363">
        <v>9.774999999999999E+56</v>
      </c>
      <c r="D1363" s="18">
        <v>1361</v>
      </c>
      <c r="E1363" s="18" cm="1">
        <f t="array" aca="1" ref="E1363" ca="1">INDIRECT("b"&amp;F1363+2)</f>
        <v>3.4750000000000002E+77</v>
      </c>
      <c r="F1363" s="18">
        <f t="shared" si="185"/>
        <v>2213</v>
      </c>
      <c r="G1363" s="18"/>
      <c r="H1363" s="18"/>
      <c r="I1363" s="19">
        <v>1361</v>
      </c>
      <c r="J1363" s="19" cm="1">
        <f t="array" aca="1" ref="J1363" ca="1">INDIRECT("b"&amp;K1363+2)</f>
        <v>3.475E+107</v>
      </c>
      <c r="K1363" s="19">
        <f t="shared" si="187"/>
        <v>3413</v>
      </c>
    </row>
    <row r="1364" spans="1:11">
      <c r="A1364">
        <v>1362</v>
      </c>
      <c r="B1364">
        <v>1E+57</v>
      </c>
      <c r="D1364" s="18">
        <v>1362</v>
      </c>
      <c r="E1364" s="18" cm="1">
        <f t="array" aca="1" ref="E1364" ca="1">INDIRECT("b"&amp;F1364+2)</f>
        <v>3.7000000000000005E+77</v>
      </c>
      <c r="F1364" s="18">
        <f t="shared" si="185"/>
        <v>2214</v>
      </c>
      <c r="G1364" s="18"/>
      <c r="H1364" s="18"/>
      <c r="I1364" s="19">
        <v>1362</v>
      </c>
      <c r="J1364" s="19" cm="1">
        <f t="array" aca="1" ref="J1364" ca="1">INDIRECT("b"&amp;K1364+2)</f>
        <v>3.6999999999999998E+107</v>
      </c>
      <c r="K1364" s="19">
        <f t="shared" si="187"/>
        <v>3414</v>
      </c>
    </row>
    <row r="1365" spans="1:11">
      <c r="A1365">
        <v>1363</v>
      </c>
      <c r="B1365">
        <v>1.225E+57</v>
      </c>
      <c r="D1365" s="18">
        <v>1363</v>
      </c>
      <c r="E1365" s="18" cm="1">
        <f t="array" aca="1" ref="E1365" ca="1">INDIRECT("b"&amp;F1365+2)</f>
        <v>4.1500000000000004E+77</v>
      </c>
      <c r="F1365" s="18">
        <f t="shared" si="185"/>
        <v>2216</v>
      </c>
      <c r="G1365" s="18">
        <f t="shared" ref="G1365" ca="1" si="191">E1365/E1360</f>
        <v>1.6116504854368932</v>
      </c>
      <c r="H1365" s="18"/>
      <c r="I1365" s="19">
        <v>1363</v>
      </c>
      <c r="J1365" s="19" cm="1">
        <f t="array" aca="1" ref="J1365" ca="1">INDIRECT("b"&amp;K1365+2)</f>
        <v>4.1499999999999999E+107</v>
      </c>
      <c r="K1365" s="19">
        <f t="shared" si="187"/>
        <v>3416</v>
      </c>
    </row>
    <row r="1366" spans="1:11">
      <c r="A1366">
        <v>1364</v>
      </c>
      <c r="B1366">
        <v>1.4499999999999997E+57</v>
      </c>
      <c r="D1366" s="18">
        <v>1364</v>
      </c>
      <c r="E1366" s="18" cm="1">
        <f t="array" aca="1" ref="E1366" ca="1">INDIRECT("b"&amp;F1366+2)</f>
        <v>4.3750000000000002E+77</v>
      </c>
      <c r="F1366" s="18">
        <f t="shared" si="185"/>
        <v>2217</v>
      </c>
      <c r="G1366" s="18"/>
      <c r="H1366" s="18"/>
      <c r="I1366" s="19">
        <v>1364</v>
      </c>
      <c r="J1366" s="19" cm="1">
        <f t="array" aca="1" ref="J1366" ca="1">INDIRECT("b"&amp;K1366+2)</f>
        <v>4.3749999999999997E+107</v>
      </c>
      <c r="K1366" s="19">
        <f t="shared" si="187"/>
        <v>3417</v>
      </c>
    </row>
    <row r="1367" spans="1:11">
      <c r="A1367">
        <v>1365</v>
      </c>
      <c r="B1367">
        <v>1.6749999999999998E+57</v>
      </c>
      <c r="D1367" s="18">
        <v>1365</v>
      </c>
      <c r="E1367" s="18" cm="1">
        <f t="array" aca="1" ref="E1367" ca="1">INDIRECT("b"&amp;F1367+2)</f>
        <v>4.6000000000000004E+77</v>
      </c>
      <c r="F1367" s="18">
        <f t="shared" si="185"/>
        <v>2218</v>
      </c>
      <c r="G1367" s="18"/>
      <c r="H1367" s="18"/>
      <c r="I1367" s="19">
        <v>1365</v>
      </c>
      <c r="J1367" s="19" cm="1">
        <f t="array" aca="1" ref="J1367" ca="1">INDIRECT("b"&amp;K1367+2)</f>
        <v>4.6000000000000001E+107</v>
      </c>
      <c r="K1367" s="19">
        <f t="shared" si="187"/>
        <v>3418</v>
      </c>
    </row>
    <row r="1368" spans="1:11">
      <c r="A1368">
        <v>1366</v>
      </c>
      <c r="B1368">
        <v>1.9000000000000003E+57</v>
      </c>
      <c r="D1368" s="18">
        <v>1366</v>
      </c>
      <c r="E1368" s="18" cm="1">
        <f t="array" aca="1" ref="E1368" ca="1">INDIRECT("b"&amp;F1368+2)</f>
        <v>5.0499999999999999E+77</v>
      </c>
      <c r="F1368" s="18">
        <f t="shared" si="185"/>
        <v>2220</v>
      </c>
      <c r="G1368" s="18"/>
      <c r="H1368" s="18"/>
      <c r="I1368" s="19">
        <v>1366</v>
      </c>
      <c r="J1368" s="19" cm="1">
        <f t="array" aca="1" ref="J1368" ca="1">INDIRECT("b"&amp;K1368+2)</f>
        <v>5.0499999999999995E+107</v>
      </c>
      <c r="K1368" s="19">
        <f t="shared" si="187"/>
        <v>3420</v>
      </c>
    </row>
    <row r="1369" spans="1:11">
      <c r="A1369">
        <v>1367</v>
      </c>
      <c r="B1369">
        <v>2.125E+57</v>
      </c>
      <c r="D1369" s="18">
        <v>1367</v>
      </c>
      <c r="E1369" s="18" cm="1">
        <f t="array" aca="1" ref="E1369" ca="1">INDIRECT("b"&amp;F1369+2)</f>
        <v>5.2750000000000001E+77</v>
      </c>
      <c r="F1369" s="18">
        <f t="shared" si="185"/>
        <v>2221</v>
      </c>
      <c r="G1369" s="18"/>
      <c r="H1369" s="18"/>
      <c r="I1369" s="19">
        <v>1367</v>
      </c>
      <c r="J1369" s="19" cm="1">
        <f t="array" aca="1" ref="J1369" ca="1">INDIRECT("b"&amp;K1369+2)</f>
        <v>5.2749999999999999E+107</v>
      </c>
      <c r="K1369" s="19">
        <f t="shared" si="187"/>
        <v>3421</v>
      </c>
    </row>
    <row r="1370" spans="1:11">
      <c r="A1370">
        <v>1368</v>
      </c>
      <c r="B1370">
        <v>2.3500000000000001E+57</v>
      </c>
      <c r="D1370" s="18">
        <v>1368</v>
      </c>
      <c r="E1370" s="18" cm="1">
        <f t="array" aca="1" ref="E1370" ca="1">INDIRECT("b"&amp;F1370+2)</f>
        <v>5.5000000000000004E+77</v>
      </c>
      <c r="F1370" s="18">
        <f t="shared" si="185"/>
        <v>2222</v>
      </c>
      <c r="G1370" s="18">
        <f t="shared" ref="G1370" ca="1" si="192">E1370/E1365</f>
        <v>1.3253012048192772</v>
      </c>
      <c r="H1370" s="18"/>
      <c r="I1370" s="19">
        <v>1368</v>
      </c>
      <c r="J1370" s="19" cm="1">
        <f t="array" aca="1" ref="J1370" ca="1">INDIRECT("b"&amp;K1370+2)</f>
        <v>5.4999999999999997E+107</v>
      </c>
      <c r="K1370" s="19">
        <f t="shared" si="187"/>
        <v>3422</v>
      </c>
    </row>
    <row r="1371" spans="1:11">
      <c r="A1371">
        <v>1369</v>
      </c>
      <c r="B1371">
        <v>2.5749999999999999E+57</v>
      </c>
      <c r="D1371" s="18">
        <v>1369</v>
      </c>
      <c r="E1371" s="18" cm="1">
        <f t="array" aca="1" ref="E1371" ca="1">INDIRECT("b"&amp;F1371+2)</f>
        <v>5.9500000000000008E+77</v>
      </c>
      <c r="F1371" s="18">
        <f t="shared" si="185"/>
        <v>2224</v>
      </c>
      <c r="G1371" s="18"/>
      <c r="H1371" s="18"/>
      <c r="I1371" s="19">
        <v>1369</v>
      </c>
      <c r="J1371" s="19" cm="1">
        <f t="array" aca="1" ref="J1371" ca="1">INDIRECT("b"&amp;K1371+2)</f>
        <v>5.9499999999999998E+107</v>
      </c>
      <c r="K1371" s="19">
        <f t="shared" si="187"/>
        <v>3424</v>
      </c>
    </row>
    <row r="1372" spans="1:11">
      <c r="A1372">
        <v>1370</v>
      </c>
      <c r="B1372">
        <v>2.8E+57</v>
      </c>
      <c r="D1372" s="18">
        <v>1370</v>
      </c>
      <c r="E1372" s="18" cm="1">
        <f t="array" aca="1" ref="E1372" ca="1">INDIRECT("b"&amp;F1372+2)</f>
        <v>6.1750000000000001E+77</v>
      </c>
      <c r="F1372" s="18">
        <f t="shared" si="185"/>
        <v>2225</v>
      </c>
      <c r="G1372" s="18"/>
      <c r="H1372" s="18"/>
      <c r="I1372" s="19">
        <v>1370</v>
      </c>
      <c r="J1372" s="19" cm="1">
        <f t="array" aca="1" ref="J1372" ca="1">INDIRECT("b"&amp;K1372+2)</f>
        <v>6.1749999999999995E+107</v>
      </c>
      <c r="K1372" s="19">
        <f t="shared" si="187"/>
        <v>3425</v>
      </c>
    </row>
    <row r="1373" spans="1:11">
      <c r="A1373">
        <v>1371</v>
      </c>
      <c r="B1373">
        <v>3.0250000000000004E+57</v>
      </c>
      <c r="D1373" s="18">
        <v>1371</v>
      </c>
      <c r="E1373" s="18" cm="1">
        <f t="array" aca="1" ref="E1373" ca="1">INDIRECT("b"&amp;F1373+2)</f>
        <v>6.4000000000000003E+77</v>
      </c>
      <c r="F1373" s="18">
        <f t="shared" si="185"/>
        <v>2226</v>
      </c>
      <c r="G1373" s="18"/>
      <c r="H1373" s="18"/>
      <c r="I1373" s="19">
        <v>1371</v>
      </c>
      <c r="J1373" s="19" cm="1">
        <f t="array" aca="1" ref="J1373" ca="1">INDIRECT("b"&amp;K1373+2)</f>
        <v>6.3999999999999993E+107</v>
      </c>
      <c r="K1373" s="19">
        <f t="shared" si="187"/>
        <v>3426</v>
      </c>
    </row>
    <row r="1374" spans="1:11">
      <c r="A1374">
        <v>1372</v>
      </c>
      <c r="B1374">
        <v>3.2499999999999999E+57</v>
      </c>
      <c r="D1374" s="18">
        <v>1372</v>
      </c>
      <c r="E1374" s="18" cm="1">
        <f t="array" aca="1" ref="E1374" ca="1">INDIRECT("b"&amp;F1374+2)</f>
        <v>6.8500000000000008E+77</v>
      </c>
      <c r="F1374" s="18">
        <f t="shared" si="185"/>
        <v>2228</v>
      </c>
      <c r="G1374" s="18"/>
      <c r="H1374" s="18"/>
      <c r="I1374" s="19">
        <v>1372</v>
      </c>
      <c r="J1374" s="19" cm="1">
        <f t="array" aca="1" ref="J1374" ca="1">INDIRECT("b"&amp;K1374+2)</f>
        <v>6.8500000000000001E+107</v>
      </c>
      <c r="K1374" s="19">
        <f t="shared" si="187"/>
        <v>3428</v>
      </c>
    </row>
    <row r="1375" spans="1:11">
      <c r="A1375">
        <v>1373</v>
      </c>
      <c r="B1375">
        <v>3.475E+57</v>
      </c>
      <c r="D1375" s="18">
        <v>1373</v>
      </c>
      <c r="E1375" s="18" cm="1">
        <f t="array" aca="1" ref="E1375" ca="1">INDIRECT("b"&amp;F1375+2)</f>
        <v>7.075E+77</v>
      </c>
      <c r="F1375" s="18">
        <f t="shared" si="185"/>
        <v>2229</v>
      </c>
      <c r="G1375" s="18">
        <f t="shared" ref="G1375" ca="1" si="193">E1375/E1370</f>
        <v>1.2863636363636364</v>
      </c>
      <c r="H1375" s="18"/>
      <c r="I1375" s="19">
        <v>1373</v>
      </c>
      <c r="J1375" s="19" cm="1">
        <f t="array" aca="1" ref="J1375" ca="1">INDIRECT("b"&amp;K1375+2)</f>
        <v>7.0749999999999998E+107</v>
      </c>
      <c r="K1375" s="19">
        <f t="shared" si="187"/>
        <v>3429</v>
      </c>
    </row>
    <row r="1376" spans="1:11">
      <c r="A1376">
        <v>1374</v>
      </c>
      <c r="B1376">
        <v>3.7000000000000001E+57</v>
      </c>
      <c r="D1376" s="18">
        <v>1374</v>
      </c>
      <c r="E1376" s="18" cm="1">
        <f t="array" aca="1" ref="E1376" ca="1">INDIRECT("b"&amp;F1376+2)</f>
        <v>7.3000000000000002E+77</v>
      </c>
      <c r="F1376" s="18">
        <f t="shared" si="185"/>
        <v>2230</v>
      </c>
      <c r="G1376" s="18"/>
      <c r="H1376" s="18"/>
      <c r="I1376" s="19">
        <v>1374</v>
      </c>
      <c r="J1376" s="19" cm="1">
        <f t="array" aca="1" ref="J1376" ca="1">INDIRECT("b"&amp;K1376+2)</f>
        <v>7.2999999999999995E+107</v>
      </c>
      <c r="K1376" s="19">
        <f t="shared" si="187"/>
        <v>3430</v>
      </c>
    </row>
    <row r="1377" spans="1:11">
      <c r="A1377">
        <v>1375</v>
      </c>
      <c r="B1377">
        <v>3.9250000000000002E+57</v>
      </c>
      <c r="D1377" s="18">
        <v>1375</v>
      </c>
      <c r="E1377" s="18" cm="1">
        <f t="array" aca="1" ref="E1377" ca="1">INDIRECT("b"&amp;F1377+2)</f>
        <v>7.7500000000000007E+77</v>
      </c>
      <c r="F1377" s="18">
        <f t="shared" si="185"/>
        <v>2232</v>
      </c>
      <c r="G1377" s="18"/>
      <c r="H1377" s="18"/>
      <c r="I1377" s="19">
        <v>1375</v>
      </c>
      <c r="J1377" s="19" cm="1">
        <f t="array" aca="1" ref="J1377" ca="1">INDIRECT("b"&amp;K1377+2)</f>
        <v>7.7500000000000003E+107</v>
      </c>
      <c r="K1377" s="19">
        <f t="shared" si="187"/>
        <v>3432</v>
      </c>
    </row>
    <row r="1378" spans="1:11">
      <c r="A1378">
        <v>1376</v>
      </c>
      <c r="B1378">
        <v>4.150000000000001E+57</v>
      </c>
      <c r="D1378" s="18">
        <v>1376</v>
      </c>
      <c r="E1378" s="18" cm="1">
        <f t="array" aca="1" ref="E1378" ca="1">INDIRECT("b"&amp;F1378+2)</f>
        <v>7.975000000000001E+77</v>
      </c>
      <c r="F1378" s="18">
        <f t="shared" si="185"/>
        <v>2233</v>
      </c>
      <c r="G1378" s="18"/>
      <c r="H1378" s="18"/>
      <c r="I1378" s="19">
        <v>1376</v>
      </c>
      <c r="J1378" s="19" cm="1">
        <f t="array" aca="1" ref="J1378" ca="1">INDIRECT("b"&amp;K1378+2)</f>
        <v>7.9750000000000001E+107</v>
      </c>
      <c r="K1378" s="19">
        <f t="shared" si="187"/>
        <v>3433</v>
      </c>
    </row>
    <row r="1379" spans="1:11">
      <c r="A1379">
        <v>1377</v>
      </c>
      <c r="B1379">
        <v>4.3749999999999997E+57</v>
      </c>
      <c r="D1379" s="18">
        <v>1377</v>
      </c>
      <c r="E1379" s="18" cm="1">
        <f t="array" aca="1" ref="E1379" ca="1">INDIRECT("b"&amp;F1379+2)</f>
        <v>8.2000000000000002E+77</v>
      </c>
      <c r="F1379" s="18">
        <f t="shared" si="185"/>
        <v>2234</v>
      </c>
      <c r="G1379" s="18"/>
      <c r="H1379" s="18"/>
      <c r="I1379" s="19">
        <v>1377</v>
      </c>
      <c r="J1379" s="19" cm="1">
        <f t="array" aca="1" ref="J1379" ca="1">INDIRECT("b"&amp;K1379+2)</f>
        <v>8.1999999999999998E+107</v>
      </c>
      <c r="K1379" s="19">
        <f t="shared" si="187"/>
        <v>3434</v>
      </c>
    </row>
    <row r="1380" spans="1:11">
      <c r="A1380">
        <v>1378</v>
      </c>
      <c r="B1380">
        <v>4.6000000000000005E+57</v>
      </c>
      <c r="D1380" s="18">
        <v>1378</v>
      </c>
      <c r="E1380" s="18" cm="1">
        <f t="array" aca="1" ref="E1380" ca="1">INDIRECT("b"&amp;F1380+2)</f>
        <v>8.6500000000000007E+77</v>
      </c>
      <c r="F1380" s="18">
        <f t="shared" si="185"/>
        <v>2236</v>
      </c>
      <c r="G1380" s="18">
        <f t="shared" ref="G1380" ca="1" si="194">E1380/E1375</f>
        <v>1.2226148409893993</v>
      </c>
      <c r="H1380" s="18"/>
      <c r="I1380" s="19">
        <v>1378</v>
      </c>
      <c r="J1380" s="19" cm="1">
        <f t="array" aca="1" ref="J1380" ca="1">INDIRECT("b"&amp;K1380+2)</f>
        <v>8.6499999999999993E+107</v>
      </c>
      <c r="K1380" s="19">
        <f t="shared" si="187"/>
        <v>3436</v>
      </c>
    </row>
    <row r="1381" spans="1:11">
      <c r="A1381">
        <v>1379</v>
      </c>
      <c r="B1381">
        <v>4.8250000000000013E+57</v>
      </c>
      <c r="D1381" s="18">
        <v>1379</v>
      </c>
      <c r="E1381" s="18" cm="1">
        <f t="array" aca="1" ref="E1381" ca="1">INDIRECT("b"&amp;F1381+2)</f>
        <v>8.8750000000000009E+77</v>
      </c>
      <c r="F1381" s="18">
        <f t="shared" si="185"/>
        <v>2237</v>
      </c>
      <c r="G1381" s="18"/>
      <c r="H1381" s="18"/>
      <c r="I1381" s="19">
        <v>1379</v>
      </c>
      <c r="J1381" s="19" cm="1">
        <f t="array" aca="1" ref="J1381" ca="1">INDIRECT("b"&amp;K1381+2)</f>
        <v>8.8750000000000003E+107</v>
      </c>
      <c r="K1381" s="19">
        <f t="shared" si="187"/>
        <v>3437</v>
      </c>
    </row>
    <row r="1382" spans="1:11">
      <c r="A1382">
        <v>1380</v>
      </c>
      <c r="B1382">
        <v>5.05E+57</v>
      </c>
      <c r="D1382" s="18">
        <v>1380</v>
      </c>
      <c r="E1382" s="18" cm="1">
        <f t="array" aca="1" ref="E1382" ca="1">INDIRECT("b"&amp;F1382+2)</f>
        <v>9.1000000000000012E+77</v>
      </c>
      <c r="F1382" s="18">
        <f t="shared" si="185"/>
        <v>2238</v>
      </c>
      <c r="G1382" s="18"/>
      <c r="H1382" s="18"/>
      <c r="I1382" s="19">
        <v>1380</v>
      </c>
      <c r="J1382" s="19" cm="1">
        <f t="array" aca="1" ref="J1382" ca="1">INDIRECT("b"&amp;K1382+2)</f>
        <v>9.1000000000000001E+107</v>
      </c>
      <c r="K1382" s="19">
        <f t="shared" si="187"/>
        <v>3438</v>
      </c>
    </row>
    <row r="1383" spans="1:11">
      <c r="A1383">
        <v>1381</v>
      </c>
      <c r="B1383">
        <v>5.2749999999999994E+57</v>
      </c>
      <c r="D1383" s="18">
        <v>1381</v>
      </c>
      <c r="E1383" s="18" cm="1">
        <f t="array" aca="1" ref="E1383" ca="1">INDIRECT("b"&amp;F1383+2)</f>
        <v>9.5500000000000017E+77</v>
      </c>
      <c r="F1383" s="18">
        <f t="shared" si="185"/>
        <v>2240</v>
      </c>
      <c r="G1383" s="18"/>
      <c r="H1383" s="18"/>
      <c r="I1383" s="19">
        <v>1381</v>
      </c>
      <c r="J1383" s="19" cm="1">
        <f t="array" aca="1" ref="J1383" ca="1">INDIRECT("b"&amp;K1383+2)</f>
        <v>9.5499999999999996E+107</v>
      </c>
      <c r="K1383" s="19">
        <f t="shared" si="187"/>
        <v>3440</v>
      </c>
    </row>
    <row r="1384" spans="1:11">
      <c r="A1384">
        <v>1382</v>
      </c>
      <c r="B1384">
        <v>5.4999999999999995E+57</v>
      </c>
      <c r="D1384" s="18">
        <v>1382</v>
      </c>
      <c r="E1384" s="18" cm="1">
        <f t="array" aca="1" ref="E1384" ca="1">INDIRECT("b"&amp;F1384+2)</f>
        <v>9.7749999999999998E+77</v>
      </c>
      <c r="F1384" s="18">
        <f t="shared" si="185"/>
        <v>2241</v>
      </c>
      <c r="G1384" s="18"/>
      <c r="H1384" s="18"/>
      <c r="I1384" s="19">
        <v>1382</v>
      </c>
      <c r="J1384" s="19" cm="1">
        <f t="array" aca="1" ref="J1384" ca="1">INDIRECT("b"&amp;K1384+2)</f>
        <v>9.7749999999999993E+107</v>
      </c>
      <c r="K1384" s="19">
        <f t="shared" si="187"/>
        <v>3441</v>
      </c>
    </row>
    <row r="1385" spans="1:11">
      <c r="A1385">
        <v>1383</v>
      </c>
      <c r="B1385">
        <v>5.725000000000001E+57</v>
      </c>
      <c r="D1385" s="18">
        <v>1383</v>
      </c>
      <c r="E1385" s="18" cm="1">
        <f t="array" aca="1" ref="E1385" ca="1">INDIRECT("b"&amp;F1385+2)</f>
        <v>1E+78</v>
      </c>
      <c r="F1385" s="18">
        <f t="shared" si="185"/>
        <v>2242</v>
      </c>
      <c r="G1385" s="18">
        <f t="shared" ref="G1385" ca="1" si="195">E1385/E1380</f>
        <v>1.1560693641618496</v>
      </c>
      <c r="H1385" s="18"/>
      <c r="I1385" s="19">
        <v>1383</v>
      </c>
      <c r="J1385" s="19" cm="1">
        <f t="array" aca="1" ref="J1385" ca="1">INDIRECT("b"&amp;K1385+2)</f>
        <v>1E+108</v>
      </c>
      <c r="K1385" s="19">
        <f t="shared" si="187"/>
        <v>3442</v>
      </c>
    </row>
    <row r="1386" spans="1:11">
      <c r="A1386">
        <v>1384</v>
      </c>
      <c r="B1386">
        <v>5.9500000000000004E+57</v>
      </c>
      <c r="D1386" s="18">
        <v>1384</v>
      </c>
      <c r="E1386" s="18" cm="1">
        <f t="array" aca="1" ref="E1386" ca="1">INDIRECT("b"&amp;F1386+2)</f>
        <v>1.4500000000000001E+78</v>
      </c>
      <c r="F1386" s="18">
        <f t="shared" si="185"/>
        <v>2244</v>
      </c>
      <c r="G1386" s="18"/>
      <c r="H1386" s="18"/>
      <c r="I1386" s="19">
        <v>1384</v>
      </c>
      <c r="J1386" s="19" cm="1">
        <f t="array" aca="1" ref="J1386" ca="1">INDIRECT("b"&amp;K1386+2)</f>
        <v>1.45E+108</v>
      </c>
      <c r="K1386" s="19">
        <f t="shared" si="187"/>
        <v>3444</v>
      </c>
    </row>
    <row r="1387" spans="1:11">
      <c r="A1387">
        <v>1385</v>
      </c>
      <c r="B1387">
        <v>6.1749999999999991E+57</v>
      </c>
      <c r="D1387" s="18">
        <v>1385</v>
      </c>
      <c r="E1387" s="18" cm="1">
        <f t="array" aca="1" ref="E1387" ca="1">INDIRECT("b"&amp;F1387+2)</f>
        <v>1.6750000000000001E+78</v>
      </c>
      <c r="F1387" s="18">
        <f t="shared" si="185"/>
        <v>2245</v>
      </c>
      <c r="G1387" s="18"/>
      <c r="H1387" s="18"/>
      <c r="I1387" s="19">
        <v>1385</v>
      </c>
      <c r="J1387" s="19" cm="1">
        <f t="array" aca="1" ref="J1387" ca="1">INDIRECT("b"&amp;K1387+2)</f>
        <v>1.675E+108</v>
      </c>
      <c r="K1387" s="19">
        <f t="shared" si="187"/>
        <v>3445</v>
      </c>
    </row>
    <row r="1388" spans="1:11">
      <c r="A1388">
        <v>1386</v>
      </c>
      <c r="B1388">
        <v>6.3999999999999992E+57</v>
      </c>
      <c r="D1388" s="18">
        <v>1386</v>
      </c>
      <c r="E1388" s="18" cm="1">
        <f t="array" aca="1" ref="E1388" ca="1">INDIRECT("b"&amp;F1388+2)</f>
        <v>1.9E+78</v>
      </c>
      <c r="F1388" s="18">
        <f t="shared" si="185"/>
        <v>2246</v>
      </c>
      <c r="G1388" s="18"/>
      <c r="H1388" s="18"/>
      <c r="I1388" s="19">
        <v>1386</v>
      </c>
      <c r="J1388" s="19" cm="1">
        <f t="array" aca="1" ref="J1388" ca="1">INDIRECT("b"&amp;K1388+2)</f>
        <v>1.9E+108</v>
      </c>
      <c r="K1388" s="19">
        <f t="shared" si="187"/>
        <v>3446</v>
      </c>
    </row>
    <row r="1389" spans="1:11">
      <c r="A1389">
        <v>1387</v>
      </c>
      <c r="B1389">
        <v>6.6249999999999993E+57</v>
      </c>
      <c r="D1389" s="18">
        <v>1387</v>
      </c>
      <c r="E1389" s="18" cm="1">
        <f t="array" aca="1" ref="E1389" ca="1">INDIRECT("b"&amp;F1389+2)</f>
        <v>2.35E+78</v>
      </c>
      <c r="F1389" s="18">
        <f t="shared" si="185"/>
        <v>2248</v>
      </c>
      <c r="G1389" s="18"/>
      <c r="H1389" s="18"/>
      <c r="I1389" s="19">
        <v>1387</v>
      </c>
      <c r="J1389" s="19" cm="1">
        <f t="array" aca="1" ref="J1389" ca="1">INDIRECT("b"&amp;K1389+2)</f>
        <v>2.3499999999999998E+108</v>
      </c>
      <c r="K1389" s="19">
        <f t="shared" si="187"/>
        <v>3448</v>
      </c>
    </row>
    <row r="1390" spans="1:11">
      <c r="A1390">
        <v>1388</v>
      </c>
      <c r="B1390">
        <v>6.8500000000000008E+57</v>
      </c>
      <c r="D1390" s="18">
        <v>1388</v>
      </c>
      <c r="E1390" s="18" cm="1">
        <f t="array" aca="1" ref="E1390" ca="1">INDIRECT("b"&amp;F1390+2)</f>
        <v>2.5750000000000003E+78</v>
      </c>
      <c r="F1390" s="18">
        <f t="shared" si="185"/>
        <v>2249</v>
      </c>
      <c r="G1390" s="18">
        <f t="shared" ref="G1390" ca="1" si="196">E1390/E1385</f>
        <v>2.5750000000000002</v>
      </c>
      <c r="H1390" s="18"/>
      <c r="I1390" s="19">
        <v>1388</v>
      </c>
      <c r="J1390" s="19" cm="1">
        <f t="array" aca="1" ref="J1390" ca="1">INDIRECT("b"&amp;K1390+2)</f>
        <v>2.5749999999999998E+108</v>
      </c>
      <c r="K1390" s="19">
        <f t="shared" si="187"/>
        <v>3449</v>
      </c>
    </row>
    <row r="1391" spans="1:11">
      <c r="A1391">
        <v>1389</v>
      </c>
      <c r="B1391">
        <v>7.0749999999999995E+57</v>
      </c>
      <c r="D1391" s="18">
        <v>1389</v>
      </c>
      <c r="E1391" s="18" cm="1">
        <f t="array" aca="1" ref="E1391" ca="1">INDIRECT("b"&amp;F1391+2)</f>
        <v>2.8000000000000001E+78</v>
      </c>
      <c r="F1391" s="18">
        <f t="shared" si="185"/>
        <v>2250</v>
      </c>
      <c r="G1391" s="18"/>
      <c r="H1391" s="18"/>
      <c r="I1391" s="19">
        <v>1389</v>
      </c>
      <c r="J1391" s="19" cm="1">
        <f t="array" aca="1" ref="J1391" ca="1">INDIRECT("b"&amp;K1391+2)</f>
        <v>2.8000000000000003E+108</v>
      </c>
      <c r="K1391" s="19">
        <f t="shared" si="187"/>
        <v>3450</v>
      </c>
    </row>
    <row r="1392" spans="1:11">
      <c r="A1392">
        <v>1390</v>
      </c>
      <c r="B1392">
        <v>7.300000000000001E+57</v>
      </c>
      <c r="D1392" s="18">
        <v>1390</v>
      </c>
      <c r="E1392" s="18" cm="1">
        <f t="array" aca="1" ref="E1392" ca="1">INDIRECT("b"&amp;F1392+2)</f>
        <v>3.2500000000000002E+78</v>
      </c>
      <c r="F1392" s="18">
        <f t="shared" si="185"/>
        <v>2252</v>
      </c>
      <c r="G1392" s="18"/>
      <c r="H1392" s="18"/>
      <c r="I1392" s="19">
        <v>1390</v>
      </c>
      <c r="J1392" s="19" cm="1">
        <f t="array" aca="1" ref="J1392" ca="1">INDIRECT("b"&amp;K1392+2)</f>
        <v>3.2500000000000003E+108</v>
      </c>
      <c r="K1392" s="19">
        <f t="shared" si="187"/>
        <v>3452</v>
      </c>
    </row>
    <row r="1393" spans="1:11">
      <c r="A1393">
        <v>1391</v>
      </c>
      <c r="B1393">
        <v>7.5249999999999983E+57</v>
      </c>
      <c r="D1393" s="18">
        <v>1391</v>
      </c>
      <c r="E1393" s="18" cm="1">
        <f t="array" aca="1" ref="E1393" ca="1">INDIRECT("b"&amp;F1393+2)</f>
        <v>3.4750000000000004E+78</v>
      </c>
      <c r="F1393" s="18">
        <f t="shared" si="185"/>
        <v>2253</v>
      </c>
      <c r="G1393" s="18"/>
      <c r="H1393" s="18"/>
      <c r="I1393" s="19">
        <v>1391</v>
      </c>
      <c r="J1393" s="19" cm="1">
        <f t="array" aca="1" ref="J1393" ca="1">INDIRECT("b"&amp;K1393+2)</f>
        <v>3.4750000000000003E+108</v>
      </c>
      <c r="K1393" s="19">
        <f t="shared" si="187"/>
        <v>3453</v>
      </c>
    </row>
    <row r="1394" spans="1:11">
      <c r="A1394">
        <v>1392</v>
      </c>
      <c r="B1394">
        <v>7.7499999999999998E+57</v>
      </c>
      <c r="D1394" s="18">
        <v>1392</v>
      </c>
      <c r="E1394" s="18" cm="1">
        <f t="array" aca="1" ref="E1394" ca="1">INDIRECT("b"&amp;F1394+2)</f>
        <v>3.7000000000000003E+78</v>
      </c>
      <c r="F1394" s="18">
        <f t="shared" si="185"/>
        <v>2254</v>
      </c>
      <c r="G1394" s="18"/>
      <c r="H1394" s="18"/>
      <c r="I1394" s="19">
        <v>1392</v>
      </c>
      <c r="J1394" s="19" cm="1">
        <f t="array" aca="1" ref="J1394" ca="1">INDIRECT("b"&amp;K1394+2)</f>
        <v>3.7000000000000003E+108</v>
      </c>
      <c r="K1394" s="19">
        <f t="shared" si="187"/>
        <v>3454</v>
      </c>
    </row>
    <row r="1395" spans="1:11">
      <c r="A1395">
        <v>1393</v>
      </c>
      <c r="B1395">
        <v>7.9750000000000013E+57</v>
      </c>
      <c r="D1395" s="18">
        <v>1393</v>
      </c>
      <c r="E1395" s="18" cm="1">
        <f t="array" aca="1" ref="E1395" ca="1">INDIRECT("b"&amp;F1395+2)</f>
        <v>4.1499999999999999E+78</v>
      </c>
      <c r="F1395" s="18">
        <f t="shared" si="185"/>
        <v>2256</v>
      </c>
      <c r="G1395" s="18">
        <f t="shared" ref="G1395" ca="1" si="197">E1395/E1390</f>
        <v>1.6116504854368929</v>
      </c>
      <c r="H1395" s="18"/>
      <c r="I1395" s="19">
        <v>1393</v>
      </c>
      <c r="J1395" s="19" cm="1">
        <f t="array" aca="1" ref="J1395" ca="1">INDIRECT("b"&amp;K1395+2)</f>
        <v>4.1500000000000003E+108</v>
      </c>
      <c r="K1395" s="19">
        <f t="shared" si="187"/>
        <v>3456</v>
      </c>
    </row>
    <row r="1396" spans="1:11">
      <c r="A1396">
        <v>1394</v>
      </c>
      <c r="B1396">
        <v>8.1999999999999986E+57</v>
      </c>
      <c r="D1396" s="18">
        <v>1394</v>
      </c>
      <c r="E1396" s="18" cm="1">
        <f t="array" aca="1" ref="E1396" ca="1">INDIRECT("b"&amp;F1396+2)</f>
        <v>4.3750000000000006E+78</v>
      </c>
      <c r="F1396" s="18">
        <f t="shared" si="185"/>
        <v>2257</v>
      </c>
      <c r="G1396" s="18"/>
      <c r="H1396" s="18"/>
      <c r="I1396" s="19">
        <v>1394</v>
      </c>
      <c r="J1396" s="19" cm="1">
        <f t="array" aca="1" ref="J1396" ca="1">INDIRECT("b"&amp;K1396+2)</f>
        <v>4.3750000000000003E+108</v>
      </c>
      <c r="K1396" s="19">
        <f t="shared" si="187"/>
        <v>3457</v>
      </c>
    </row>
    <row r="1397" spans="1:11">
      <c r="A1397">
        <v>1395</v>
      </c>
      <c r="B1397">
        <v>8.4250000000000001E+57</v>
      </c>
      <c r="D1397" s="18">
        <v>1395</v>
      </c>
      <c r="E1397" s="18" cm="1">
        <f t="array" aca="1" ref="E1397" ca="1">INDIRECT("b"&amp;F1397+2)</f>
        <v>4.6000000000000004E+78</v>
      </c>
      <c r="F1397" s="18">
        <f t="shared" si="185"/>
        <v>2258</v>
      </c>
      <c r="G1397" s="18"/>
      <c r="H1397" s="18"/>
      <c r="I1397" s="19">
        <v>1395</v>
      </c>
      <c r="J1397" s="19" cm="1">
        <f t="array" aca="1" ref="J1397" ca="1">INDIRECT("b"&amp;K1397+2)</f>
        <v>4.6000000000000003E+108</v>
      </c>
      <c r="K1397" s="19">
        <f t="shared" si="187"/>
        <v>3458</v>
      </c>
    </row>
    <row r="1398" spans="1:11">
      <c r="A1398">
        <v>1396</v>
      </c>
      <c r="B1398">
        <v>8.6500000000000002E+57</v>
      </c>
      <c r="D1398" s="18">
        <v>1396</v>
      </c>
      <c r="E1398" s="18" cm="1">
        <f t="array" aca="1" ref="E1398" ca="1">INDIRECT("b"&amp;F1398+2)</f>
        <v>5.0500000000000001E+78</v>
      </c>
      <c r="F1398" s="18">
        <f t="shared" si="185"/>
        <v>2260</v>
      </c>
      <c r="G1398" s="18"/>
      <c r="H1398" s="18"/>
      <c r="I1398" s="19">
        <v>1396</v>
      </c>
      <c r="J1398" s="19" cm="1">
        <f t="array" aca="1" ref="J1398" ca="1">INDIRECT("b"&amp;K1398+2)</f>
        <v>5.0499999999999998E+108</v>
      </c>
      <c r="K1398" s="19">
        <f t="shared" si="187"/>
        <v>3460</v>
      </c>
    </row>
    <row r="1399" spans="1:11">
      <c r="A1399">
        <v>1397</v>
      </c>
      <c r="B1399">
        <v>8.8750000000000003E+57</v>
      </c>
      <c r="D1399" s="18">
        <v>1397</v>
      </c>
      <c r="E1399" s="18" cm="1">
        <f t="array" aca="1" ref="E1399" ca="1">INDIRECT("b"&amp;F1399+2)</f>
        <v>5.2750000000000007E+78</v>
      </c>
      <c r="F1399" s="18">
        <f t="shared" si="185"/>
        <v>2261</v>
      </c>
      <c r="G1399" s="18"/>
      <c r="H1399" s="18"/>
      <c r="I1399" s="19">
        <v>1397</v>
      </c>
      <c r="J1399" s="19" cm="1">
        <f t="array" aca="1" ref="J1399" ca="1">INDIRECT("b"&amp;K1399+2)</f>
        <v>5.2750000000000003E+108</v>
      </c>
      <c r="K1399" s="19">
        <f t="shared" si="187"/>
        <v>3461</v>
      </c>
    </row>
    <row r="1400" spans="1:11">
      <c r="A1400">
        <v>1398</v>
      </c>
      <c r="B1400">
        <v>9.0999999999999976E+57</v>
      </c>
      <c r="D1400" s="18">
        <v>1398</v>
      </c>
      <c r="E1400" s="18" cm="1">
        <f t="array" aca="1" ref="E1400" ca="1">INDIRECT("b"&amp;F1400+2)</f>
        <v>5.5000000000000006E+78</v>
      </c>
      <c r="F1400" s="18">
        <f t="shared" si="185"/>
        <v>2262</v>
      </c>
      <c r="G1400" s="18">
        <f t="shared" ref="G1400" ca="1" si="198">E1400/E1395</f>
        <v>1.3253012048192774</v>
      </c>
      <c r="H1400" s="18"/>
      <c r="I1400" s="19">
        <v>1398</v>
      </c>
      <c r="J1400" s="19" cm="1">
        <f t="array" aca="1" ref="J1400" ca="1">INDIRECT("b"&amp;K1400+2)</f>
        <v>5.4999999999999998E+108</v>
      </c>
      <c r="K1400" s="19">
        <f t="shared" si="187"/>
        <v>3462</v>
      </c>
    </row>
    <row r="1401" spans="1:11">
      <c r="A1401">
        <v>1399</v>
      </c>
      <c r="B1401">
        <v>9.3249999999999991E+57</v>
      </c>
      <c r="D1401" s="18">
        <v>1399</v>
      </c>
      <c r="E1401" s="18" cm="1">
        <f t="array" aca="1" ref="E1401" ca="1">INDIRECT("b"&amp;F1401+2)</f>
        <v>5.9500000000000002E+78</v>
      </c>
      <c r="F1401" s="18">
        <f t="shared" si="185"/>
        <v>2264</v>
      </c>
      <c r="G1401" s="18"/>
      <c r="H1401" s="18"/>
      <c r="I1401" s="19">
        <v>1399</v>
      </c>
      <c r="J1401" s="19" cm="1">
        <f t="array" aca="1" ref="J1401" ca="1">INDIRECT("b"&amp;K1401+2)</f>
        <v>5.9499999999999998E+108</v>
      </c>
      <c r="K1401" s="19">
        <f t="shared" si="187"/>
        <v>3464</v>
      </c>
    </row>
    <row r="1402" spans="1:11">
      <c r="A1402">
        <v>1400</v>
      </c>
      <c r="B1402">
        <v>9.5499999999999992E+57</v>
      </c>
      <c r="D1402" s="18">
        <v>1400</v>
      </c>
      <c r="E1402" s="18" cm="1">
        <f t="array" aca="1" ref="E1402" ca="1">INDIRECT("b"&amp;F1402+2)</f>
        <v>6.1750000000000001E+78</v>
      </c>
      <c r="F1402" s="18">
        <f t="shared" si="185"/>
        <v>2265</v>
      </c>
      <c r="G1402" s="18"/>
      <c r="H1402" s="18"/>
      <c r="I1402" s="19">
        <v>1400</v>
      </c>
      <c r="J1402" s="19" cm="1">
        <f t="array" aca="1" ref="J1402" ca="1">INDIRECT("b"&amp;K1402+2)</f>
        <v>6.1750000000000003E+108</v>
      </c>
      <c r="K1402" s="19">
        <f t="shared" si="187"/>
        <v>3465</v>
      </c>
    </row>
    <row r="1403" spans="1:11">
      <c r="A1403">
        <v>1401</v>
      </c>
      <c r="B1403">
        <v>9.7749999999999993E+57</v>
      </c>
      <c r="D1403" s="18">
        <v>1401</v>
      </c>
      <c r="E1403" s="18" cm="1">
        <f t="array" aca="1" ref="E1403" ca="1">INDIRECT("b"&amp;F1403+2)</f>
        <v>6.4000000000000007E+78</v>
      </c>
      <c r="F1403" s="18">
        <f t="shared" si="185"/>
        <v>2266</v>
      </c>
      <c r="G1403" s="18"/>
      <c r="H1403" s="18"/>
      <c r="I1403" s="19">
        <v>1401</v>
      </c>
      <c r="J1403" s="19" cm="1">
        <f t="array" aca="1" ref="J1403" ca="1">INDIRECT("b"&amp;K1403+2)</f>
        <v>6.3999999999999998E+108</v>
      </c>
      <c r="K1403" s="19">
        <f t="shared" si="187"/>
        <v>3466</v>
      </c>
    </row>
    <row r="1404" spans="1:11">
      <c r="A1404">
        <v>1402</v>
      </c>
      <c r="B1404">
        <v>1.0000000000000001E+58</v>
      </c>
      <c r="D1404" s="18">
        <v>1402</v>
      </c>
      <c r="E1404" s="18" cm="1">
        <f t="array" aca="1" ref="E1404" ca="1">INDIRECT("b"&amp;F1404+2)</f>
        <v>6.8500000000000004E+78</v>
      </c>
      <c r="F1404" s="18">
        <f t="shared" si="185"/>
        <v>2268</v>
      </c>
      <c r="G1404" s="18"/>
      <c r="H1404" s="18"/>
      <c r="I1404" s="19">
        <v>1402</v>
      </c>
      <c r="J1404" s="19" cm="1">
        <f t="array" aca="1" ref="J1404" ca="1">INDIRECT("b"&amp;K1404+2)</f>
        <v>6.8499999999999998E+108</v>
      </c>
      <c r="K1404" s="19">
        <f t="shared" si="187"/>
        <v>3468</v>
      </c>
    </row>
    <row r="1405" spans="1:11">
      <c r="A1405">
        <v>1403</v>
      </c>
      <c r="B1405">
        <v>1.225E+58</v>
      </c>
      <c r="D1405" s="18">
        <v>1403</v>
      </c>
      <c r="E1405" s="18" cm="1">
        <f t="array" aca="1" ref="E1405" ca="1">INDIRECT("b"&amp;F1405+2)</f>
        <v>7.0750000000000002E+78</v>
      </c>
      <c r="F1405" s="18">
        <f t="shared" ref="F1405:F1468" si="199">INT((A1405-123)*1.333333)+563</f>
        <v>2269</v>
      </c>
      <c r="G1405" s="18">
        <f t="shared" ref="G1405" ca="1" si="200">E1405/E1400</f>
        <v>1.2863636363636364</v>
      </c>
      <c r="H1405" s="18"/>
      <c r="I1405" s="19">
        <v>1403</v>
      </c>
      <c r="J1405" s="19" cm="1">
        <f t="array" aca="1" ref="J1405" ca="1">INDIRECT("b"&amp;K1405+2)</f>
        <v>7.0750000000000003E+108</v>
      </c>
      <c r="K1405" s="19">
        <f t="shared" si="187"/>
        <v>3469</v>
      </c>
    </row>
    <row r="1406" spans="1:11">
      <c r="A1406">
        <v>1404</v>
      </c>
      <c r="B1406">
        <v>1.4499999999999997E+58</v>
      </c>
      <c r="D1406" s="18">
        <v>1404</v>
      </c>
      <c r="E1406" s="18" cm="1">
        <f t="array" aca="1" ref="E1406" ca="1">INDIRECT("b"&amp;F1406+2)</f>
        <v>7.3000000000000009E+78</v>
      </c>
      <c r="F1406" s="18">
        <f t="shared" si="199"/>
        <v>2270</v>
      </c>
      <c r="G1406" s="18"/>
      <c r="H1406" s="18"/>
      <c r="I1406" s="19">
        <v>1404</v>
      </c>
      <c r="J1406" s="19" cm="1">
        <f t="array" aca="1" ref="J1406" ca="1">INDIRECT("b"&amp;K1406+2)</f>
        <v>7.2999999999999998E+108</v>
      </c>
      <c r="K1406" s="19">
        <f t="shared" si="187"/>
        <v>3470</v>
      </c>
    </row>
    <row r="1407" spans="1:11">
      <c r="A1407">
        <v>1405</v>
      </c>
      <c r="B1407">
        <v>1.6750000000000001E+58</v>
      </c>
      <c r="D1407" s="18">
        <v>1405</v>
      </c>
      <c r="E1407" s="18" cm="1">
        <f t="array" aca="1" ref="E1407" ca="1">INDIRECT("b"&amp;F1407+2)</f>
        <v>7.7500000000000014E+78</v>
      </c>
      <c r="F1407" s="18">
        <f t="shared" si="199"/>
        <v>2272</v>
      </c>
      <c r="G1407" s="18"/>
      <c r="H1407" s="18"/>
      <c r="I1407" s="19">
        <v>1405</v>
      </c>
      <c r="J1407" s="19" cm="1">
        <f t="array" aca="1" ref="J1407" ca="1">INDIRECT("b"&amp;K1407+2)</f>
        <v>7.7499999999999998E+108</v>
      </c>
      <c r="K1407" s="19">
        <f t="shared" si="187"/>
        <v>3472</v>
      </c>
    </row>
    <row r="1408" spans="1:11">
      <c r="A1408">
        <v>1406</v>
      </c>
      <c r="B1408">
        <v>1.9000000000000005E+58</v>
      </c>
      <c r="D1408" s="18">
        <v>1406</v>
      </c>
      <c r="E1408" s="18" cm="1">
        <f t="array" aca="1" ref="E1408" ca="1">INDIRECT("b"&amp;F1408+2)</f>
        <v>7.9750000000000012E+78</v>
      </c>
      <c r="F1408" s="18">
        <f t="shared" si="199"/>
        <v>2273</v>
      </c>
      <c r="G1408" s="18"/>
      <c r="H1408" s="18"/>
      <c r="I1408" s="19">
        <v>1406</v>
      </c>
      <c r="J1408" s="19" cm="1">
        <f t="array" aca="1" ref="J1408" ca="1">INDIRECT("b"&amp;K1408+2)</f>
        <v>7.9750000000000003E+108</v>
      </c>
      <c r="K1408" s="19">
        <f t="shared" si="187"/>
        <v>3473</v>
      </c>
    </row>
    <row r="1409" spans="1:12">
      <c r="A1409">
        <v>1407</v>
      </c>
      <c r="B1409">
        <v>2.125E+58</v>
      </c>
      <c r="D1409" s="18">
        <v>1407</v>
      </c>
      <c r="E1409" s="18" cm="1">
        <f t="array" aca="1" ref="E1409" ca="1">INDIRECT("b"&amp;F1409+2)</f>
        <v>8.200000000000001E+78</v>
      </c>
      <c r="F1409" s="18">
        <f t="shared" si="199"/>
        <v>2274</v>
      </c>
      <c r="G1409" s="18"/>
      <c r="H1409" s="18"/>
      <c r="I1409" s="19">
        <v>1407</v>
      </c>
      <c r="J1409" s="19" cm="1">
        <f t="array" aca="1" ref="J1409" ca="1">INDIRECT("b"&amp;K1409+2)</f>
        <v>8.1999999999999998E+108</v>
      </c>
      <c r="K1409" s="19">
        <f t="shared" si="187"/>
        <v>3474</v>
      </c>
    </row>
    <row r="1410" spans="1:12">
      <c r="A1410">
        <v>1408</v>
      </c>
      <c r="B1410">
        <v>2.3500000000000001E+58</v>
      </c>
      <c r="D1410" s="18">
        <v>1408</v>
      </c>
      <c r="E1410" s="18" cm="1">
        <f t="array" aca="1" ref="E1410" ca="1">INDIRECT("b"&amp;F1410+2)</f>
        <v>8.6500000000000007E+78</v>
      </c>
      <c r="F1410" s="18">
        <f t="shared" si="199"/>
        <v>2276</v>
      </c>
      <c r="G1410" s="18">
        <f t="shared" ref="G1410" ca="1" si="201">E1410/E1405</f>
        <v>1.2226148409893993</v>
      </c>
      <c r="H1410" s="18"/>
      <c r="I1410" s="19">
        <v>1408</v>
      </c>
      <c r="J1410" s="19" cm="1">
        <f t="array" aca="1" ref="J1410" ca="1">INDIRECT("b"&amp;K1410+2)</f>
        <v>8.6499999999999998E+108</v>
      </c>
      <c r="K1410" s="19">
        <f t="shared" si="187"/>
        <v>3476</v>
      </c>
    </row>
    <row r="1411" spans="1:12">
      <c r="A1411">
        <v>1409</v>
      </c>
      <c r="B1411">
        <v>2.575E+58</v>
      </c>
      <c r="D1411" s="18">
        <v>1409</v>
      </c>
      <c r="E1411" s="18" cm="1">
        <f t="array" aca="1" ref="E1411" ca="1">INDIRECT("b"&amp;F1411+2)</f>
        <v>8.8750000000000005E+78</v>
      </c>
      <c r="F1411" s="18">
        <f t="shared" si="199"/>
        <v>2277</v>
      </c>
      <c r="G1411" s="18"/>
      <c r="H1411" s="18"/>
      <c r="I1411" s="19">
        <v>1409</v>
      </c>
      <c r="J1411" s="19" cm="1">
        <f t="array" aca="1" ref="J1411" ca="1">INDIRECT("b"&amp;K1411+2)</f>
        <v>8.8750000000000003E+108</v>
      </c>
      <c r="K1411" s="19">
        <f t="shared" si="187"/>
        <v>3477</v>
      </c>
    </row>
    <row r="1412" spans="1:12">
      <c r="A1412">
        <v>1410</v>
      </c>
      <c r="B1412">
        <v>2.8000000000000003E+58</v>
      </c>
      <c r="D1412" s="18">
        <v>1410</v>
      </c>
      <c r="E1412" s="18" cm="1">
        <f t="array" aca="1" ref="E1412" ca="1">INDIRECT("b"&amp;F1412+2)</f>
        <v>9.1000000000000003E+78</v>
      </c>
      <c r="F1412" s="18">
        <f t="shared" si="199"/>
        <v>2278</v>
      </c>
      <c r="G1412" s="18"/>
      <c r="H1412" s="18"/>
      <c r="I1412" s="19">
        <v>1410</v>
      </c>
      <c r="J1412" s="19" cm="1">
        <f t="array" aca="1" ref="J1412" ca="1">INDIRECT("b"&amp;K1412+2)</f>
        <v>9.0999999999999998E+108</v>
      </c>
      <c r="K1412" s="19">
        <f t="shared" ref="K1412:K1475" si="202">INT((A1412-1)*40/30+900*40/30)+400</f>
        <v>3478</v>
      </c>
      <c r="L1412" s="1"/>
    </row>
    <row r="1413" spans="1:12">
      <c r="A1413">
        <v>1411</v>
      </c>
      <c r="B1413">
        <v>3.0250000000000002E+58</v>
      </c>
      <c r="D1413" s="18">
        <v>1411</v>
      </c>
      <c r="E1413" s="18" cm="1">
        <f t="array" aca="1" ref="E1413" ca="1">INDIRECT("b"&amp;F1413+2)</f>
        <v>9.55E+78</v>
      </c>
      <c r="F1413" s="18">
        <f t="shared" si="199"/>
        <v>2280</v>
      </c>
      <c r="G1413" s="18"/>
      <c r="H1413" s="18"/>
      <c r="I1413" s="19">
        <v>1411</v>
      </c>
      <c r="J1413" s="19" cm="1">
        <f t="array" aca="1" ref="J1413" ca="1">INDIRECT("b"&amp;K1413+2)</f>
        <v>9.5500000000000009E+108</v>
      </c>
      <c r="K1413" s="19">
        <f t="shared" si="202"/>
        <v>3480</v>
      </c>
    </row>
    <row r="1414" spans="1:12">
      <c r="A1414">
        <v>1412</v>
      </c>
      <c r="B1414">
        <v>3.25E+58</v>
      </c>
      <c r="D1414" s="18">
        <v>1412</v>
      </c>
      <c r="E1414" s="18" cm="1">
        <f t="array" aca="1" ref="E1414" ca="1">INDIRECT("b"&amp;F1414+2)</f>
        <v>9.7750000000000015E+78</v>
      </c>
      <c r="F1414" s="18">
        <f t="shared" si="199"/>
        <v>2281</v>
      </c>
      <c r="G1414" s="18"/>
      <c r="H1414" s="18"/>
      <c r="I1414" s="19">
        <v>1412</v>
      </c>
      <c r="J1414" s="19" cm="1">
        <f t="array" aca="1" ref="J1414" ca="1">INDIRECT("b"&amp;K1414+2)</f>
        <v>9.7750000000000003E+108</v>
      </c>
      <c r="K1414" s="19">
        <f t="shared" si="202"/>
        <v>3481</v>
      </c>
    </row>
    <row r="1415" spans="1:12">
      <c r="A1415">
        <v>1413</v>
      </c>
      <c r="B1415">
        <v>3.4750000000000004E+58</v>
      </c>
      <c r="D1415" s="18">
        <v>1413</v>
      </c>
      <c r="E1415" s="18" cm="1">
        <f t="array" aca="1" ref="E1415" ca="1">INDIRECT("b"&amp;F1415+2)</f>
        <v>9.9999999999999997E+78</v>
      </c>
      <c r="F1415" s="18">
        <f t="shared" si="199"/>
        <v>2282</v>
      </c>
      <c r="G1415" s="18">
        <f t="shared" ref="G1415" ca="1" si="203">E1415/E1410</f>
        <v>1.1560693641618496</v>
      </c>
      <c r="H1415" s="18"/>
      <c r="I1415" s="19">
        <v>1413</v>
      </c>
      <c r="J1415" s="19" cm="1">
        <f t="array" aca="1" ref="J1415" ca="1">INDIRECT("b"&amp;K1415+2)</f>
        <v>9.9999999999999998E+108</v>
      </c>
      <c r="K1415" s="19">
        <f t="shared" si="202"/>
        <v>3482</v>
      </c>
    </row>
    <row r="1416" spans="1:12">
      <c r="A1416">
        <v>1414</v>
      </c>
      <c r="B1416">
        <v>3.7000000000000002E+58</v>
      </c>
      <c r="D1416" s="18">
        <v>1414</v>
      </c>
      <c r="E1416" s="18" cm="1">
        <f t="array" aca="1" ref="E1416" ca="1">INDIRECT("b"&amp;F1416+2)</f>
        <v>1.4500000000000001E+79</v>
      </c>
      <c r="F1416" s="18">
        <f t="shared" si="199"/>
        <v>2284</v>
      </c>
      <c r="G1416" s="18"/>
      <c r="H1416" s="18"/>
      <c r="I1416" s="19">
        <v>1414</v>
      </c>
      <c r="J1416" s="19" cm="1">
        <f t="array" aca="1" ref="J1416" ca="1">INDIRECT("b"&amp;K1416+2)</f>
        <v>1.45E+109</v>
      </c>
      <c r="K1416" s="19">
        <f t="shared" si="202"/>
        <v>3484</v>
      </c>
    </row>
    <row r="1417" spans="1:12">
      <c r="A1417">
        <v>1415</v>
      </c>
      <c r="B1417">
        <v>3.925E+58</v>
      </c>
      <c r="D1417" s="18">
        <v>1415</v>
      </c>
      <c r="E1417" s="18" cm="1">
        <f t="array" aca="1" ref="E1417" ca="1">INDIRECT("b"&amp;F1417+2)</f>
        <v>1.675E+79</v>
      </c>
      <c r="F1417" s="18">
        <f t="shared" si="199"/>
        <v>2285</v>
      </c>
      <c r="G1417" s="18"/>
      <c r="H1417" s="18"/>
      <c r="I1417" s="19">
        <v>1415</v>
      </c>
      <c r="J1417" s="19" cm="1">
        <f t="array" aca="1" ref="J1417" ca="1">INDIRECT("b"&amp;K1417+2)</f>
        <v>1.6749999999999999E+109</v>
      </c>
      <c r="K1417" s="19">
        <f t="shared" si="202"/>
        <v>3485</v>
      </c>
    </row>
    <row r="1418" spans="1:12">
      <c r="A1418">
        <v>1416</v>
      </c>
      <c r="B1418">
        <v>4.150000000000001E+58</v>
      </c>
      <c r="D1418" s="18">
        <v>1416</v>
      </c>
      <c r="E1418" s="18" cm="1">
        <f t="array" aca="1" ref="E1418" ca="1">INDIRECT("b"&amp;F1418+2)</f>
        <v>1.9000000000000001E+79</v>
      </c>
      <c r="F1418" s="18">
        <f t="shared" si="199"/>
        <v>2286</v>
      </c>
      <c r="G1418" s="18"/>
      <c r="H1418" s="18"/>
      <c r="I1418" s="19">
        <v>1416</v>
      </c>
      <c r="J1418" s="19" cm="1">
        <f t="array" aca="1" ref="J1418" ca="1">INDIRECT("b"&amp;K1418+2)</f>
        <v>1.8999999999999998E+109</v>
      </c>
      <c r="K1418" s="19">
        <f t="shared" si="202"/>
        <v>3486</v>
      </c>
    </row>
    <row r="1419" spans="1:12">
      <c r="A1419">
        <v>1417</v>
      </c>
      <c r="B1419">
        <v>4.3749999999999997E+58</v>
      </c>
      <c r="D1419" s="18">
        <v>1417</v>
      </c>
      <c r="E1419" s="18" cm="1">
        <f t="array" aca="1" ref="E1419" ca="1">INDIRECT("b"&amp;F1419+2)</f>
        <v>2.3500000000000001E+79</v>
      </c>
      <c r="F1419" s="18">
        <f t="shared" si="199"/>
        <v>2288</v>
      </c>
      <c r="G1419" s="18"/>
      <c r="H1419" s="18"/>
      <c r="I1419" s="19">
        <v>1417</v>
      </c>
      <c r="J1419" s="19" cm="1">
        <f t="array" aca="1" ref="J1419" ca="1">INDIRECT("b"&amp;K1419+2)</f>
        <v>2.35E+109</v>
      </c>
      <c r="K1419" s="19">
        <f t="shared" si="202"/>
        <v>3488</v>
      </c>
    </row>
    <row r="1420" spans="1:12">
      <c r="A1420">
        <v>1418</v>
      </c>
      <c r="B1420">
        <v>4.6E+58</v>
      </c>
      <c r="D1420" s="18">
        <v>1418</v>
      </c>
      <c r="E1420" s="18" cm="1">
        <f t="array" aca="1" ref="E1420" ca="1">INDIRECT("b"&amp;F1420+2)</f>
        <v>2.5749999999999999E+79</v>
      </c>
      <c r="F1420" s="18">
        <f t="shared" si="199"/>
        <v>2289</v>
      </c>
      <c r="G1420" s="18">
        <f t="shared" ref="G1420" ca="1" si="204">E1420/E1415</f>
        <v>2.5750000000000002</v>
      </c>
      <c r="H1420" s="18"/>
      <c r="I1420" s="19">
        <v>1418</v>
      </c>
      <c r="J1420" s="19" cm="1">
        <f t="array" aca="1" ref="J1420" ca="1">INDIRECT("b"&amp;K1420+2)</f>
        <v>2.5749999999999999E+109</v>
      </c>
      <c r="K1420" s="19">
        <f t="shared" si="202"/>
        <v>3489</v>
      </c>
    </row>
    <row r="1421" spans="1:12">
      <c r="A1421">
        <v>1419</v>
      </c>
      <c r="B1421">
        <v>4.825000000000001E+58</v>
      </c>
      <c r="D1421" s="18">
        <v>1419</v>
      </c>
      <c r="E1421" s="18" cm="1">
        <f t="array" aca="1" ref="E1421" ca="1">INDIRECT("b"&amp;F1421+2)</f>
        <v>2.8000000000000001E+79</v>
      </c>
      <c r="F1421" s="18">
        <f t="shared" si="199"/>
        <v>2290</v>
      </c>
      <c r="G1421" s="18"/>
      <c r="H1421" s="18"/>
      <c r="I1421" s="19">
        <v>1419</v>
      </c>
      <c r="J1421" s="19" cm="1">
        <f t="array" aca="1" ref="J1421" ca="1">INDIRECT("b"&amp;K1421+2)</f>
        <v>2.7999999999999998E+109</v>
      </c>
      <c r="K1421" s="19">
        <f t="shared" si="202"/>
        <v>3490</v>
      </c>
    </row>
    <row r="1422" spans="1:12">
      <c r="A1422">
        <v>1420</v>
      </c>
      <c r="B1422">
        <v>5.0500000000000003E+58</v>
      </c>
      <c r="D1422" s="18">
        <v>1420</v>
      </c>
      <c r="E1422" s="18" cm="1">
        <f t="array" aca="1" ref="E1422" ca="1">INDIRECT("b"&amp;F1422+2)</f>
        <v>3.2500000000000004E+79</v>
      </c>
      <c r="F1422" s="18">
        <f t="shared" si="199"/>
        <v>2292</v>
      </c>
      <c r="G1422" s="18"/>
      <c r="H1422" s="18"/>
      <c r="I1422" s="19">
        <v>1420</v>
      </c>
      <c r="J1422" s="19" cm="1">
        <f t="array" aca="1" ref="J1422" ca="1">INDIRECT("b"&amp;K1422+2)</f>
        <v>3.25E+109</v>
      </c>
      <c r="K1422" s="19">
        <f t="shared" si="202"/>
        <v>3492</v>
      </c>
    </row>
    <row r="1423" spans="1:12">
      <c r="A1423">
        <v>1421</v>
      </c>
      <c r="B1423">
        <v>5.2749999999999995E+58</v>
      </c>
      <c r="D1423" s="18">
        <v>1421</v>
      </c>
      <c r="E1423" s="18" cm="1">
        <f t="array" aca="1" ref="E1423" ca="1">INDIRECT("b"&amp;F1423+2)</f>
        <v>3.4749999999999999E+79</v>
      </c>
      <c r="F1423" s="18">
        <f t="shared" si="199"/>
        <v>2293</v>
      </c>
      <c r="G1423" s="18"/>
      <c r="H1423" s="18"/>
      <c r="I1423" s="19">
        <v>1421</v>
      </c>
      <c r="J1423" s="19" cm="1">
        <f t="array" aca="1" ref="J1423" ca="1">INDIRECT("b"&amp;K1423+2)</f>
        <v>3.4749999999999999E+109</v>
      </c>
      <c r="K1423" s="19">
        <f t="shared" si="202"/>
        <v>3493</v>
      </c>
    </row>
    <row r="1424" spans="1:12">
      <c r="A1424">
        <v>1422</v>
      </c>
      <c r="B1424">
        <v>5.4999999999999988E+58</v>
      </c>
      <c r="D1424" s="18">
        <v>1422</v>
      </c>
      <c r="E1424" s="18" cm="1">
        <f t="array" aca="1" ref="E1424" ca="1">INDIRECT("b"&amp;F1424+2)</f>
        <v>3.7000000000000001E+79</v>
      </c>
      <c r="F1424" s="18">
        <f t="shared" si="199"/>
        <v>2294</v>
      </c>
      <c r="G1424" s="18"/>
      <c r="H1424" s="18"/>
      <c r="I1424" s="19">
        <v>1422</v>
      </c>
      <c r="J1424" s="19" cm="1">
        <f t="array" aca="1" ref="J1424" ca="1">INDIRECT("b"&amp;K1424+2)</f>
        <v>3.6999999999999998E+109</v>
      </c>
      <c r="K1424" s="19">
        <f t="shared" si="202"/>
        <v>3494</v>
      </c>
    </row>
    <row r="1425" spans="1:11">
      <c r="A1425">
        <v>1423</v>
      </c>
      <c r="B1425">
        <v>5.7250000000000003E+58</v>
      </c>
      <c r="D1425" s="18">
        <v>1423</v>
      </c>
      <c r="E1425" s="18" cm="1">
        <f t="array" aca="1" ref="E1425" ca="1">INDIRECT("b"&amp;F1425+2)</f>
        <v>4.1500000000000004E+79</v>
      </c>
      <c r="F1425" s="18">
        <f t="shared" si="199"/>
        <v>2296</v>
      </c>
      <c r="G1425" s="18">
        <f t="shared" ref="G1425" ca="1" si="205">E1425/E1420</f>
        <v>1.6116504854368934</v>
      </c>
      <c r="H1425" s="18"/>
      <c r="I1425" s="19">
        <v>1423</v>
      </c>
      <c r="J1425" s="19" cm="1">
        <f t="array" aca="1" ref="J1425" ca="1">INDIRECT("b"&amp;K1425+2)</f>
        <v>4.1499999999999996E+109</v>
      </c>
      <c r="K1425" s="19">
        <f t="shared" si="202"/>
        <v>3496</v>
      </c>
    </row>
    <row r="1426" spans="1:11">
      <c r="A1426">
        <v>1424</v>
      </c>
      <c r="B1426">
        <v>5.9500000000000007E+58</v>
      </c>
      <c r="D1426" s="18">
        <v>1424</v>
      </c>
      <c r="E1426" s="18" cm="1">
        <f t="array" aca="1" ref="E1426" ca="1">INDIRECT("b"&amp;F1426+2)</f>
        <v>4.3749999999999999E+79</v>
      </c>
      <c r="F1426" s="18">
        <f t="shared" si="199"/>
        <v>2297</v>
      </c>
      <c r="G1426" s="18"/>
      <c r="H1426" s="18"/>
      <c r="I1426" s="19">
        <v>1424</v>
      </c>
      <c r="J1426" s="19" cm="1">
        <f t="array" aca="1" ref="J1426" ca="1">INDIRECT("b"&amp;K1426+2)</f>
        <v>4.3749999999999999E+109</v>
      </c>
      <c r="K1426" s="19">
        <f t="shared" si="202"/>
        <v>3497</v>
      </c>
    </row>
    <row r="1427" spans="1:11">
      <c r="A1427">
        <v>1425</v>
      </c>
      <c r="B1427">
        <v>6.1749999999999999E+58</v>
      </c>
      <c r="D1427" s="18">
        <v>1425</v>
      </c>
      <c r="E1427" s="18" cm="1">
        <f t="array" aca="1" ref="E1427" ca="1">INDIRECT("b"&amp;F1427+2)</f>
        <v>4.6000000000000001E+79</v>
      </c>
      <c r="F1427" s="18">
        <f t="shared" si="199"/>
        <v>2298</v>
      </c>
      <c r="G1427" s="18"/>
      <c r="H1427" s="18"/>
      <c r="I1427" s="19">
        <v>1425</v>
      </c>
      <c r="J1427" s="19" cm="1">
        <f t="array" aca="1" ref="J1427" ca="1">INDIRECT("b"&amp;K1427+2)</f>
        <v>4.6000000000000002E+109</v>
      </c>
      <c r="K1427" s="19">
        <f t="shared" si="202"/>
        <v>3498</v>
      </c>
    </row>
    <row r="1428" spans="1:11">
      <c r="A1428">
        <v>1426</v>
      </c>
      <c r="B1428">
        <v>6.3999999999999992E+58</v>
      </c>
      <c r="D1428" s="18">
        <v>1426</v>
      </c>
      <c r="E1428" s="18" cm="1">
        <f t="array" aca="1" ref="E1428" ca="1">INDIRECT("b"&amp;F1428+2)</f>
        <v>5.0500000000000004E+79</v>
      </c>
      <c r="F1428" s="18">
        <f t="shared" si="199"/>
        <v>2300</v>
      </c>
      <c r="G1428" s="18"/>
      <c r="H1428" s="18"/>
      <c r="I1428" s="19">
        <v>1426</v>
      </c>
      <c r="J1428" s="19" cm="1">
        <f t="array" aca="1" ref="J1428" ca="1">INDIRECT("b"&amp;K1428+2)</f>
        <v>5.05E+109</v>
      </c>
      <c r="K1428" s="19">
        <f t="shared" si="202"/>
        <v>3500</v>
      </c>
    </row>
    <row r="1429" spans="1:11">
      <c r="A1429">
        <v>1427</v>
      </c>
      <c r="B1429">
        <v>6.6249999999999996E+58</v>
      </c>
      <c r="D1429" s="18">
        <v>1427</v>
      </c>
      <c r="E1429" s="18" cm="1">
        <f t="array" aca="1" ref="E1429" ca="1">INDIRECT("b"&amp;F1429+2)</f>
        <v>5.2749999999999999E+79</v>
      </c>
      <c r="F1429" s="18">
        <f t="shared" si="199"/>
        <v>2301</v>
      </c>
      <c r="G1429" s="18"/>
      <c r="H1429" s="18"/>
      <c r="I1429" s="19">
        <v>1427</v>
      </c>
      <c r="J1429" s="19" cm="1">
        <f t="array" aca="1" ref="J1429" ca="1">INDIRECT("b"&amp;K1429+2)</f>
        <v>5.2749999999999995E+109</v>
      </c>
      <c r="K1429" s="19">
        <f t="shared" si="202"/>
        <v>3501</v>
      </c>
    </row>
    <row r="1430" spans="1:11">
      <c r="A1430">
        <v>1428</v>
      </c>
      <c r="B1430">
        <v>6.8500000000000011E+58</v>
      </c>
      <c r="D1430" s="18">
        <v>1428</v>
      </c>
      <c r="E1430" s="18" cm="1">
        <f t="array" aca="1" ref="E1430" ca="1">INDIRECT("b"&amp;F1430+2)</f>
        <v>5.5000000000000001E+79</v>
      </c>
      <c r="F1430" s="18">
        <f t="shared" si="199"/>
        <v>2302</v>
      </c>
      <c r="G1430" s="18">
        <f t="shared" ref="G1430" ca="1" si="206">E1430/E1425</f>
        <v>1.3253012048192769</v>
      </c>
      <c r="H1430" s="18"/>
      <c r="I1430" s="19">
        <v>1428</v>
      </c>
      <c r="J1430" s="19" cm="1">
        <f t="array" aca="1" ref="J1430" ca="1">INDIRECT("b"&amp;K1430+2)</f>
        <v>5.4999999999999998E+109</v>
      </c>
      <c r="K1430" s="19">
        <f t="shared" si="202"/>
        <v>3502</v>
      </c>
    </row>
    <row r="1431" spans="1:11">
      <c r="A1431">
        <v>1429</v>
      </c>
      <c r="B1431">
        <v>7.0749999999999992E+58</v>
      </c>
      <c r="D1431" s="18">
        <v>1429</v>
      </c>
      <c r="E1431" s="18" cm="1">
        <f t="array" aca="1" ref="E1431" ca="1">INDIRECT("b"&amp;F1431+2)</f>
        <v>5.9499999999999997E+79</v>
      </c>
      <c r="F1431" s="18">
        <f t="shared" si="199"/>
        <v>2304</v>
      </c>
      <c r="G1431" s="18"/>
      <c r="H1431" s="18"/>
      <c r="I1431" s="19">
        <v>1429</v>
      </c>
      <c r="J1431" s="19" cm="1">
        <f t="array" aca="1" ref="J1431" ca="1">INDIRECT("b"&amp;K1431+2)</f>
        <v>5.9499999999999996E+109</v>
      </c>
      <c r="K1431" s="19">
        <f t="shared" si="202"/>
        <v>3504</v>
      </c>
    </row>
    <row r="1432" spans="1:11">
      <c r="A1432">
        <v>1430</v>
      </c>
      <c r="B1432">
        <v>7.3000000000000007E+58</v>
      </c>
      <c r="D1432" s="18">
        <v>1430</v>
      </c>
      <c r="E1432" s="18" cm="1">
        <f t="array" aca="1" ref="E1432" ca="1">INDIRECT("b"&amp;F1432+2)</f>
        <v>6.1750000000000006E+79</v>
      </c>
      <c r="F1432" s="18">
        <f t="shared" si="199"/>
        <v>2305</v>
      </c>
      <c r="G1432" s="18"/>
      <c r="H1432" s="18"/>
      <c r="I1432" s="19">
        <v>1430</v>
      </c>
      <c r="J1432" s="19" cm="1">
        <f t="array" aca="1" ref="J1432" ca="1">INDIRECT("b"&amp;K1432+2)</f>
        <v>6.1749999999999999E+109</v>
      </c>
      <c r="K1432" s="19">
        <f t="shared" si="202"/>
        <v>3505</v>
      </c>
    </row>
    <row r="1433" spans="1:11">
      <c r="A1433">
        <v>1431</v>
      </c>
      <c r="B1433">
        <v>7.5249999999999989E+58</v>
      </c>
      <c r="D1433" s="18">
        <v>1431</v>
      </c>
      <c r="E1433" s="18" cm="1">
        <f t="array" aca="1" ref="E1433" ca="1">INDIRECT("b"&amp;F1433+2)</f>
        <v>6.4000000000000001E+79</v>
      </c>
      <c r="F1433" s="18">
        <f t="shared" si="199"/>
        <v>2306</v>
      </c>
      <c r="G1433" s="18"/>
      <c r="H1433" s="18"/>
      <c r="I1433" s="19">
        <v>1431</v>
      </c>
      <c r="J1433" s="19" cm="1">
        <f t="array" aca="1" ref="J1433" ca="1">INDIRECT("b"&amp;K1433+2)</f>
        <v>6.4000000000000002E+109</v>
      </c>
      <c r="K1433" s="19">
        <f t="shared" si="202"/>
        <v>3506</v>
      </c>
    </row>
    <row r="1434" spans="1:11">
      <c r="A1434">
        <v>1432</v>
      </c>
      <c r="B1434">
        <v>7.7499999999999993E+58</v>
      </c>
      <c r="D1434" s="18">
        <v>1432</v>
      </c>
      <c r="E1434" s="18" cm="1">
        <f t="array" aca="1" ref="E1434" ca="1">INDIRECT("b"&amp;F1434+2)</f>
        <v>6.8500000000000004E+79</v>
      </c>
      <c r="F1434" s="18">
        <f t="shared" si="199"/>
        <v>2308</v>
      </c>
      <c r="G1434" s="18"/>
      <c r="H1434" s="18"/>
      <c r="I1434" s="19">
        <v>1432</v>
      </c>
      <c r="J1434" s="19" cm="1">
        <f t="array" aca="1" ref="J1434" ca="1">INDIRECT("b"&amp;K1434+2)</f>
        <v>6.85E+109</v>
      </c>
      <c r="K1434" s="19">
        <f t="shared" si="202"/>
        <v>3508</v>
      </c>
    </row>
    <row r="1435" spans="1:11">
      <c r="A1435">
        <v>1433</v>
      </c>
      <c r="B1435">
        <v>7.9750000000000007E+58</v>
      </c>
      <c r="D1435" s="18">
        <v>1433</v>
      </c>
      <c r="E1435" s="18" cm="1">
        <f t="array" aca="1" ref="E1435" ca="1">INDIRECT("b"&amp;F1435+2)</f>
        <v>7.0749999999999999E+79</v>
      </c>
      <c r="F1435" s="18">
        <f t="shared" si="199"/>
        <v>2309</v>
      </c>
      <c r="G1435" s="18">
        <f t="shared" ref="G1435" ca="1" si="207">E1435/E1430</f>
        <v>1.2863636363636364</v>
      </c>
      <c r="H1435" s="18"/>
      <c r="I1435" s="19">
        <v>1433</v>
      </c>
      <c r="J1435" s="19" cm="1">
        <f t="array" aca="1" ref="J1435" ca="1">INDIRECT("b"&amp;K1435+2)</f>
        <v>7.0749999999999995E+109</v>
      </c>
      <c r="K1435" s="19">
        <f t="shared" si="202"/>
        <v>3509</v>
      </c>
    </row>
    <row r="1436" spans="1:11">
      <c r="A1436">
        <v>1434</v>
      </c>
      <c r="B1436">
        <v>8.1999999999999989E+58</v>
      </c>
      <c r="D1436" s="18">
        <v>1434</v>
      </c>
      <c r="E1436" s="18" cm="1">
        <f t="array" aca="1" ref="E1436" ca="1">INDIRECT("b"&amp;F1436+2)</f>
        <v>7.3000000000000007E+79</v>
      </c>
      <c r="F1436" s="18">
        <f t="shared" si="199"/>
        <v>2310</v>
      </c>
      <c r="G1436" s="18"/>
      <c r="H1436" s="18"/>
      <c r="I1436" s="19">
        <v>1434</v>
      </c>
      <c r="J1436" s="19" cm="1">
        <f t="array" aca="1" ref="J1436" ca="1">INDIRECT("b"&amp;K1436+2)</f>
        <v>7.2999999999999998E+109</v>
      </c>
      <c r="K1436" s="19">
        <f t="shared" si="202"/>
        <v>3510</v>
      </c>
    </row>
    <row r="1437" spans="1:11">
      <c r="A1437">
        <v>1435</v>
      </c>
      <c r="B1437">
        <v>8.4250000000000004E+58</v>
      </c>
      <c r="D1437" s="18">
        <v>1435</v>
      </c>
      <c r="E1437" s="18" cm="1">
        <f t="array" aca="1" ref="E1437" ca="1">INDIRECT("b"&amp;F1437+2)</f>
        <v>7.7499999999999997E+79</v>
      </c>
      <c r="F1437" s="18">
        <f t="shared" si="199"/>
        <v>2312</v>
      </c>
      <c r="G1437" s="18"/>
      <c r="H1437" s="18"/>
      <c r="I1437" s="19">
        <v>1435</v>
      </c>
      <c r="J1437" s="19" cm="1">
        <f t="array" aca="1" ref="J1437" ca="1">INDIRECT("b"&amp;K1437+2)</f>
        <v>7.7500000000000004E+109</v>
      </c>
      <c r="K1437" s="19">
        <f t="shared" si="202"/>
        <v>3512</v>
      </c>
    </row>
    <row r="1438" spans="1:11">
      <c r="A1438">
        <v>1436</v>
      </c>
      <c r="B1438">
        <v>8.6500000000000008E+58</v>
      </c>
      <c r="D1438" s="18">
        <v>1436</v>
      </c>
      <c r="E1438" s="18" cm="1">
        <f t="array" aca="1" ref="E1438" ca="1">INDIRECT("b"&amp;F1438+2)</f>
        <v>7.9750000000000005E+79</v>
      </c>
      <c r="F1438" s="18">
        <f t="shared" si="199"/>
        <v>2313</v>
      </c>
      <c r="G1438" s="18"/>
      <c r="H1438" s="18"/>
      <c r="I1438" s="19">
        <v>1436</v>
      </c>
      <c r="J1438" s="19" cm="1">
        <f t="array" aca="1" ref="J1438" ca="1">INDIRECT("b"&amp;K1438+2)</f>
        <v>7.9749999999999999E+109</v>
      </c>
      <c r="K1438" s="19">
        <f t="shared" si="202"/>
        <v>3513</v>
      </c>
    </row>
    <row r="1439" spans="1:11">
      <c r="A1439">
        <v>1437</v>
      </c>
      <c r="B1439">
        <v>8.875E+58</v>
      </c>
      <c r="D1439" s="18">
        <v>1437</v>
      </c>
      <c r="E1439" s="18" cm="1">
        <f t="array" aca="1" ref="E1439" ca="1">INDIRECT("b"&amp;F1439+2)</f>
        <v>8.2E+79</v>
      </c>
      <c r="F1439" s="18">
        <f t="shared" si="199"/>
        <v>2314</v>
      </c>
      <c r="G1439" s="18"/>
      <c r="H1439" s="18"/>
      <c r="I1439" s="19">
        <v>1437</v>
      </c>
      <c r="J1439" s="19" cm="1">
        <f t="array" aca="1" ref="J1439" ca="1">INDIRECT("b"&amp;K1439+2)</f>
        <v>8.1999999999999994E+109</v>
      </c>
      <c r="K1439" s="19">
        <f t="shared" si="202"/>
        <v>3514</v>
      </c>
    </row>
    <row r="1440" spans="1:11">
      <c r="A1440">
        <v>1438</v>
      </c>
      <c r="B1440">
        <v>9.0999999999999982E+58</v>
      </c>
      <c r="D1440" s="18">
        <v>1438</v>
      </c>
      <c r="E1440" s="18" cm="1">
        <f t="array" aca="1" ref="E1440" ca="1">INDIRECT("b"&amp;F1440+2)</f>
        <v>8.6500000000000004E+79</v>
      </c>
      <c r="F1440" s="18">
        <f t="shared" si="199"/>
        <v>2316</v>
      </c>
      <c r="G1440" s="18">
        <f t="shared" ref="G1440" ca="1" si="208">E1440/E1435</f>
        <v>1.2226148409893993</v>
      </c>
      <c r="H1440" s="18"/>
      <c r="I1440" s="19">
        <v>1438</v>
      </c>
      <c r="J1440" s="19" cm="1">
        <f t="array" aca="1" ref="J1440" ca="1">INDIRECT("b"&amp;K1440+2)</f>
        <v>8.65E+109</v>
      </c>
      <c r="K1440" s="19">
        <f t="shared" si="202"/>
        <v>3516</v>
      </c>
    </row>
    <row r="1441" spans="1:11">
      <c r="A1441">
        <v>1439</v>
      </c>
      <c r="B1441">
        <v>9.3249999999999997E+58</v>
      </c>
      <c r="D1441" s="18">
        <v>1439</v>
      </c>
      <c r="E1441" s="18" cm="1">
        <f t="array" aca="1" ref="E1441" ca="1">INDIRECT("b"&amp;F1441+2)</f>
        <v>8.8749999999999999E+79</v>
      </c>
      <c r="F1441" s="18">
        <f t="shared" si="199"/>
        <v>2317</v>
      </c>
      <c r="G1441" s="18"/>
      <c r="H1441" s="18"/>
      <c r="I1441" s="19">
        <v>1439</v>
      </c>
      <c r="J1441" s="19" cm="1">
        <f t="array" aca="1" ref="J1441" ca="1">INDIRECT("b"&amp;K1441+2)</f>
        <v>8.8749999999999995E+109</v>
      </c>
      <c r="K1441" s="19">
        <f t="shared" si="202"/>
        <v>3517</v>
      </c>
    </row>
    <row r="1442" spans="1:11">
      <c r="A1442">
        <v>1440</v>
      </c>
      <c r="B1442">
        <v>9.549999999999999E+58</v>
      </c>
      <c r="D1442" s="18">
        <v>1440</v>
      </c>
      <c r="E1442" s="18" cm="1">
        <f t="array" aca="1" ref="E1442" ca="1">INDIRECT("b"&amp;F1442+2)</f>
        <v>9.1000000000000007E+79</v>
      </c>
      <c r="F1442" s="18">
        <f t="shared" si="199"/>
        <v>2318</v>
      </c>
      <c r="G1442" s="18"/>
      <c r="H1442" s="18"/>
      <c r="I1442" s="19">
        <v>1440</v>
      </c>
      <c r="J1442" s="19" cm="1">
        <f t="array" aca="1" ref="J1442" ca="1">INDIRECT("b"&amp;K1442+2)</f>
        <v>9.099999999999999E+109</v>
      </c>
      <c r="K1442" s="19">
        <f t="shared" si="202"/>
        <v>3518</v>
      </c>
    </row>
    <row r="1443" spans="1:11">
      <c r="A1443">
        <v>1441</v>
      </c>
      <c r="B1443">
        <v>9.7749999999999993E+58</v>
      </c>
      <c r="D1443" s="18">
        <v>1441</v>
      </c>
      <c r="E1443" s="18" cm="1">
        <f t="array" aca="1" ref="E1443" ca="1">INDIRECT("b"&amp;F1443+2)</f>
        <v>9.550000000000001E+79</v>
      </c>
      <c r="F1443" s="18">
        <f t="shared" si="199"/>
        <v>2320</v>
      </c>
      <c r="G1443" s="18"/>
      <c r="H1443" s="18"/>
      <c r="I1443" s="19">
        <v>1441</v>
      </c>
      <c r="J1443" s="19" cm="1">
        <f t="array" aca="1" ref="J1443" ca="1">INDIRECT("b"&amp;K1443+2)</f>
        <v>9.5499999999999996E+109</v>
      </c>
      <c r="K1443" s="19">
        <f t="shared" si="202"/>
        <v>3520</v>
      </c>
    </row>
    <row r="1444" spans="1:11">
      <c r="A1444">
        <v>1442</v>
      </c>
      <c r="B1444">
        <v>1.0000000000000001E+59</v>
      </c>
      <c r="D1444" s="18">
        <v>1442</v>
      </c>
      <c r="E1444" s="18" cm="1">
        <f t="array" aca="1" ref="E1444" ca="1">INDIRECT("b"&amp;F1444+2)</f>
        <v>9.7750000000000005E+79</v>
      </c>
      <c r="F1444" s="18">
        <f t="shared" si="199"/>
        <v>2321</v>
      </c>
      <c r="G1444" s="18"/>
      <c r="H1444" s="18"/>
      <c r="I1444" s="19">
        <v>1442</v>
      </c>
      <c r="J1444" s="19" cm="1">
        <f t="array" aca="1" ref="J1444" ca="1">INDIRECT("b"&amp;K1444+2)</f>
        <v>9.7749999999999991E+109</v>
      </c>
      <c r="K1444" s="19">
        <f t="shared" si="202"/>
        <v>3521</v>
      </c>
    </row>
    <row r="1445" spans="1:11">
      <c r="A1445">
        <v>1443</v>
      </c>
      <c r="B1445">
        <v>1.225E+59</v>
      </c>
      <c r="D1445" s="18">
        <v>1443</v>
      </c>
      <c r="E1445" s="18" cm="1">
        <f t="array" aca="1" ref="E1445" ca="1">INDIRECT("b"&amp;F1445+2)</f>
        <v>1E+80</v>
      </c>
      <c r="F1445" s="18">
        <f t="shared" si="199"/>
        <v>2322</v>
      </c>
      <c r="G1445" s="18">
        <f t="shared" ref="G1445" ca="1" si="209">E1445/E1440</f>
        <v>1.1560693641618496</v>
      </c>
      <c r="H1445" s="18"/>
      <c r="I1445" s="19">
        <v>1443</v>
      </c>
      <c r="J1445" s="19" cm="1">
        <f t="array" aca="1" ref="J1445" ca="1">INDIRECT("b"&amp;K1445+2)</f>
        <v>1E+110</v>
      </c>
      <c r="K1445" s="19">
        <f t="shared" si="202"/>
        <v>3522</v>
      </c>
    </row>
    <row r="1446" spans="1:11">
      <c r="A1446">
        <v>1444</v>
      </c>
      <c r="B1446">
        <v>1.4499999999999997E+59</v>
      </c>
      <c r="D1446" s="18">
        <v>1444</v>
      </c>
      <c r="E1446" s="18" cm="1">
        <f t="array" aca="1" ref="E1446" ca="1">INDIRECT("b"&amp;F1446+2)</f>
        <v>1.4499999999999999E+80</v>
      </c>
      <c r="F1446" s="18">
        <f t="shared" si="199"/>
        <v>2324</v>
      </c>
      <c r="G1446" s="18"/>
      <c r="H1446" s="18"/>
      <c r="I1446" s="19">
        <v>1444</v>
      </c>
      <c r="J1446" s="19" cm="1">
        <f t="array" aca="1" ref="J1446" ca="1">INDIRECT("b"&amp;K1446+2)</f>
        <v>1.45E+110</v>
      </c>
      <c r="K1446" s="19">
        <f t="shared" si="202"/>
        <v>3524</v>
      </c>
    </row>
    <row r="1447" spans="1:11">
      <c r="A1447">
        <v>1445</v>
      </c>
      <c r="B1447">
        <v>1.6750000000000001E+59</v>
      </c>
      <c r="D1447" s="18">
        <v>1445</v>
      </c>
      <c r="E1447" s="18" cm="1">
        <f t="array" aca="1" ref="E1447" ca="1">INDIRECT("b"&amp;F1447+2)</f>
        <v>1.675E+80</v>
      </c>
      <c r="F1447" s="18">
        <f t="shared" si="199"/>
        <v>2325</v>
      </c>
      <c r="G1447" s="18"/>
      <c r="H1447" s="18"/>
      <c r="I1447" s="19">
        <v>1445</v>
      </c>
      <c r="J1447" s="19" cm="1">
        <f t="array" aca="1" ref="J1447" ca="1">INDIRECT("b"&amp;K1447+2)</f>
        <v>1.6749999999999998E+110</v>
      </c>
      <c r="K1447" s="19">
        <f t="shared" si="202"/>
        <v>3525</v>
      </c>
    </row>
    <row r="1448" spans="1:11">
      <c r="A1448">
        <v>1446</v>
      </c>
      <c r="B1448">
        <v>1.9000000000000005E+59</v>
      </c>
      <c r="D1448" s="18">
        <v>1446</v>
      </c>
      <c r="E1448" s="18" cm="1">
        <f t="array" aca="1" ref="E1448" ca="1">INDIRECT("b"&amp;F1448+2)</f>
        <v>1.9E+80</v>
      </c>
      <c r="F1448" s="18">
        <f t="shared" si="199"/>
        <v>2326</v>
      </c>
      <c r="G1448" s="18"/>
      <c r="H1448" s="18"/>
      <c r="I1448" s="19">
        <v>1446</v>
      </c>
      <c r="J1448" s="19" cm="1">
        <f t="array" aca="1" ref="J1448" ca="1">INDIRECT("b"&amp;K1448+2)</f>
        <v>1.8999999999999999E+110</v>
      </c>
      <c r="K1448" s="19">
        <f t="shared" si="202"/>
        <v>3526</v>
      </c>
    </row>
    <row r="1449" spans="1:11">
      <c r="A1449">
        <v>1447</v>
      </c>
      <c r="B1449">
        <v>2.125E+59</v>
      </c>
      <c r="D1449" s="18">
        <v>1447</v>
      </c>
      <c r="E1449" s="18" cm="1">
        <f t="array" aca="1" ref="E1449" ca="1">INDIRECT("b"&amp;F1449+2)</f>
        <v>2.3499999999999998E+80</v>
      </c>
      <c r="F1449" s="18">
        <f t="shared" si="199"/>
        <v>2328</v>
      </c>
      <c r="G1449" s="18"/>
      <c r="H1449" s="18"/>
      <c r="I1449" s="19">
        <v>1447</v>
      </c>
      <c r="J1449" s="19" cm="1">
        <f t="array" aca="1" ref="J1449" ca="1">INDIRECT("b"&amp;K1449+2)</f>
        <v>2.3499999999999999E+110</v>
      </c>
      <c r="K1449" s="19">
        <f t="shared" si="202"/>
        <v>3528</v>
      </c>
    </row>
    <row r="1450" spans="1:11">
      <c r="A1450">
        <v>1448</v>
      </c>
      <c r="B1450">
        <v>2.3499999999999999E+59</v>
      </c>
      <c r="D1450" s="18">
        <v>1448</v>
      </c>
      <c r="E1450" s="18" cm="1">
        <f t="array" aca="1" ref="E1450" ca="1">INDIRECT("b"&amp;F1450+2)</f>
        <v>2.5749999999999998E+80</v>
      </c>
      <c r="F1450" s="18">
        <f t="shared" si="199"/>
        <v>2329</v>
      </c>
      <c r="G1450" s="18">
        <f t="shared" ref="G1450" ca="1" si="210">E1450/E1445</f>
        <v>2.5749999999999997</v>
      </c>
      <c r="H1450" s="18"/>
      <c r="I1450" s="19">
        <v>1448</v>
      </c>
      <c r="J1450" s="19" cm="1">
        <f t="array" aca="1" ref="J1450" ca="1">INDIRECT("b"&amp;K1450+2)</f>
        <v>2.5750000000000001E+110</v>
      </c>
      <c r="K1450" s="19">
        <f t="shared" si="202"/>
        <v>3529</v>
      </c>
    </row>
    <row r="1451" spans="1:11">
      <c r="A1451">
        <v>1449</v>
      </c>
      <c r="B1451">
        <v>2.5749999999999999E+59</v>
      </c>
      <c r="D1451" s="18">
        <v>1449</v>
      </c>
      <c r="E1451" s="18" cm="1">
        <f t="array" aca="1" ref="E1451" ca="1">INDIRECT("b"&amp;F1451+2)</f>
        <v>2.7999999999999998E+80</v>
      </c>
      <c r="F1451" s="18">
        <f t="shared" si="199"/>
        <v>2330</v>
      </c>
      <c r="G1451" s="18"/>
      <c r="H1451" s="18"/>
      <c r="I1451" s="19">
        <v>1449</v>
      </c>
      <c r="J1451" s="19" cm="1">
        <f t="array" aca="1" ref="J1451" ca="1">INDIRECT("b"&amp;K1451+2)</f>
        <v>2.7999999999999999E+110</v>
      </c>
      <c r="K1451" s="19">
        <f t="shared" si="202"/>
        <v>3530</v>
      </c>
    </row>
    <row r="1452" spans="1:11">
      <c r="A1452">
        <v>1450</v>
      </c>
      <c r="B1452">
        <v>2.8000000000000002E+59</v>
      </c>
      <c r="D1452" s="18">
        <v>1450</v>
      </c>
      <c r="E1452" s="18" cm="1">
        <f t="array" aca="1" ref="E1452" ca="1">INDIRECT("b"&amp;F1452+2)</f>
        <v>3.2499999999999999E+80</v>
      </c>
      <c r="F1452" s="18">
        <f t="shared" si="199"/>
        <v>2332</v>
      </c>
      <c r="G1452" s="18"/>
      <c r="H1452" s="18"/>
      <c r="I1452" s="19">
        <v>1450</v>
      </c>
      <c r="J1452" s="19" cm="1">
        <f t="array" aca="1" ref="J1452" ca="1">INDIRECT("b"&amp;K1452+2)</f>
        <v>3.2499999999999998E+110</v>
      </c>
      <c r="K1452" s="19">
        <f t="shared" si="202"/>
        <v>3532</v>
      </c>
    </row>
    <row r="1453" spans="1:11">
      <c r="A1453">
        <v>1451</v>
      </c>
      <c r="B1453">
        <v>3.0250000000000002E+59</v>
      </c>
      <c r="D1453" s="18">
        <v>1451</v>
      </c>
      <c r="E1453" s="18" cm="1">
        <f t="array" aca="1" ref="E1453" ca="1">INDIRECT("b"&amp;F1453+2)</f>
        <v>3.4749999999999999E+80</v>
      </c>
      <c r="F1453" s="18">
        <f t="shared" si="199"/>
        <v>2333</v>
      </c>
      <c r="G1453" s="18"/>
      <c r="H1453" s="18"/>
      <c r="I1453" s="19">
        <v>1451</v>
      </c>
      <c r="J1453" s="19" cm="1">
        <f t="array" aca="1" ref="J1453" ca="1">INDIRECT("b"&amp;K1453+2)</f>
        <v>3.4749999999999996E+110</v>
      </c>
      <c r="K1453" s="19">
        <f t="shared" si="202"/>
        <v>3533</v>
      </c>
    </row>
    <row r="1454" spans="1:11">
      <c r="A1454">
        <v>1452</v>
      </c>
      <c r="B1454">
        <v>3.2500000000000001E+59</v>
      </c>
      <c r="D1454" s="18">
        <v>1452</v>
      </c>
      <c r="E1454" s="18" cm="1">
        <f t="array" aca="1" ref="E1454" ca="1">INDIRECT("b"&amp;F1454+2)</f>
        <v>3.7E+80</v>
      </c>
      <c r="F1454" s="18">
        <f t="shared" si="199"/>
        <v>2334</v>
      </c>
      <c r="G1454" s="18"/>
      <c r="H1454" s="18"/>
      <c r="I1454" s="19">
        <v>1452</v>
      </c>
      <c r="J1454" s="19" cm="1">
        <f t="array" aca="1" ref="J1454" ca="1">INDIRECT("b"&amp;K1454+2)</f>
        <v>3.7000000000000001E+110</v>
      </c>
      <c r="K1454" s="19">
        <f t="shared" si="202"/>
        <v>3534</v>
      </c>
    </row>
    <row r="1455" spans="1:11">
      <c r="A1455">
        <v>1453</v>
      </c>
      <c r="B1455">
        <v>3.475E+59</v>
      </c>
      <c r="D1455" s="18">
        <v>1453</v>
      </c>
      <c r="E1455" s="18" cm="1">
        <f t="array" aca="1" ref="E1455" ca="1">INDIRECT("b"&amp;F1455+2)</f>
        <v>4.15E+80</v>
      </c>
      <c r="F1455" s="18">
        <f t="shared" si="199"/>
        <v>2336</v>
      </c>
      <c r="G1455" s="18">
        <f t="shared" ref="G1455" ca="1" si="211">E1455/E1450</f>
        <v>1.6116504854368934</v>
      </c>
      <c r="H1455" s="18"/>
      <c r="I1455" s="19">
        <v>1453</v>
      </c>
      <c r="J1455" s="19" cm="1">
        <f t="array" aca="1" ref="J1455" ca="1">INDIRECT("b"&amp;K1455+2)</f>
        <v>4.1499999999999997E+110</v>
      </c>
      <c r="K1455" s="19">
        <f t="shared" si="202"/>
        <v>3536</v>
      </c>
    </row>
    <row r="1456" spans="1:11">
      <c r="A1456">
        <v>1454</v>
      </c>
      <c r="B1456">
        <v>3.7E+59</v>
      </c>
      <c r="D1456" s="18">
        <v>1454</v>
      </c>
      <c r="E1456" s="18" cm="1">
        <f t="array" aca="1" ref="E1456" ca="1">INDIRECT("b"&amp;F1456+2)</f>
        <v>4.3749999999999995E+80</v>
      </c>
      <c r="F1456" s="18">
        <f t="shared" si="199"/>
        <v>2337</v>
      </c>
      <c r="G1456" s="18"/>
      <c r="H1456" s="18"/>
      <c r="I1456" s="19">
        <v>1454</v>
      </c>
      <c r="J1456" s="19" cm="1">
        <f t="array" aca="1" ref="J1456" ca="1">INDIRECT("b"&amp;K1456+2)</f>
        <v>4.3750000000000002E+110</v>
      </c>
      <c r="K1456" s="19">
        <f t="shared" si="202"/>
        <v>3537</v>
      </c>
    </row>
    <row r="1457" spans="1:11">
      <c r="A1457">
        <v>1455</v>
      </c>
      <c r="B1457">
        <v>3.9250000000000004E+59</v>
      </c>
      <c r="D1457" s="18">
        <v>1455</v>
      </c>
      <c r="E1457" s="18" cm="1">
        <f t="array" aca="1" ref="E1457" ca="1">INDIRECT("b"&amp;F1457+2)</f>
        <v>4.5999999999999996E+80</v>
      </c>
      <c r="F1457" s="18">
        <f t="shared" si="199"/>
        <v>2338</v>
      </c>
      <c r="G1457" s="18"/>
      <c r="H1457" s="18"/>
      <c r="I1457" s="19">
        <v>1455</v>
      </c>
      <c r="J1457" s="19" cm="1">
        <f t="array" aca="1" ref="J1457" ca="1">INDIRECT("b"&amp;K1457+2)</f>
        <v>4.6E+110</v>
      </c>
      <c r="K1457" s="19">
        <f t="shared" si="202"/>
        <v>3538</v>
      </c>
    </row>
    <row r="1458" spans="1:11">
      <c r="A1458">
        <v>1456</v>
      </c>
      <c r="B1458">
        <v>4.1500000000000012E+59</v>
      </c>
      <c r="D1458" s="18">
        <v>1456</v>
      </c>
      <c r="E1458" s="18" cm="1">
        <f t="array" aca="1" ref="E1458" ca="1">INDIRECT("b"&amp;F1458+2)</f>
        <v>5.0499999999999996E+80</v>
      </c>
      <c r="F1458" s="18">
        <f t="shared" si="199"/>
        <v>2340</v>
      </c>
      <c r="G1458" s="18"/>
      <c r="H1458" s="18"/>
      <c r="I1458" s="19">
        <v>1456</v>
      </c>
      <c r="J1458" s="19" cm="1">
        <f t="array" aca="1" ref="J1458" ca="1">INDIRECT("b"&amp;K1458+2)</f>
        <v>5.0499999999999997E+110</v>
      </c>
      <c r="K1458" s="19">
        <f t="shared" si="202"/>
        <v>3540</v>
      </c>
    </row>
    <row r="1459" spans="1:11">
      <c r="A1459">
        <v>1457</v>
      </c>
      <c r="B1459">
        <v>4.3749999999999993E+59</v>
      </c>
      <c r="D1459" s="18">
        <v>1457</v>
      </c>
      <c r="E1459" s="18" cm="1">
        <f t="array" aca="1" ref="E1459" ca="1">INDIRECT("b"&amp;F1459+2)</f>
        <v>5.2750000000000002E+80</v>
      </c>
      <c r="F1459" s="18">
        <f t="shared" si="199"/>
        <v>2341</v>
      </c>
      <c r="G1459" s="18"/>
      <c r="H1459" s="18"/>
      <c r="I1459" s="19">
        <v>1457</v>
      </c>
      <c r="J1459" s="19" cm="1">
        <f t="array" aca="1" ref="J1459" ca="1">INDIRECT("b"&amp;K1459+2)</f>
        <v>5.2750000000000001E+110</v>
      </c>
      <c r="K1459" s="19">
        <f t="shared" si="202"/>
        <v>3541</v>
      </c>
    </row>
    <row r="1460" spans="1:11">
      <c r="A1460">
        <v>1458</v>
      </c>
      <c r="B1460">
        <v>4.6000000000000002E+59</v>
      </c>
      <c r="D1460" s="18">
        <v>1458</v>
      </c>
      <c r="E1460" s="18" cm="1">
        <f t="array" aca="1" ref="E1460" ca="1">INDIRECT("b"&amp;F1460+2)</f>
        <v>5.4999999999999997E+80</v>
      </c>
      <c r="F1460" s="18">
        <f t="shared" si="199"/>
        <v>2342</v>
      </c>
      <c r="G1460" s="18">
        <f t="shared" ref="G1460" ca="1" si="212">E1460/E1455</f>
        <v>1.3253012048192769</v>
      </c>
      <c r="H1460" s="18"/>
      <c r="I1460" s="19">
        <v>1458</v>
      </c>
      <c r="J1460" s="19" cm="1">
        <f t="array" aca="1" ref="J1460" ca="1">INDIRECT("b"&amp;K1460+2)</f>
        <v>5.5E+110</v>
      </c>
      <c r="K1460" s="19">
        <f t="shared" si="202"/>
        <v>3542</v>
      </c>
    </row>
    <row r="1461" spans="1:11">
      <c r="A1461">
        <v>1459</v>
      </c>
      <c r="B1461">
        <v>4.825000000000001E+59</v>
      </c>
      <c r="D1461" s="18">
        <v>1459</v>
      </c>
      <c r="E1461" s="18" cm="1">
        <f t="array" aca="1" ref="E1461" ca="1">INDIRECT("b"&amp;F1461+2)</f>
        <v>5.9499999999999997E+80</v>
      </c>
      <c r="F1461" s="18">
        <f t="shared" si="199"/>
        <v>2344</v>
      </c>
      <c r="G1461" s="18"/>
      <c r="H1461" s="18"/>
      <c r="I1461" s="19">
        <v>1459</v>
      </c>
      <c r="J1461" s="19" cm="1">
        <f t="array" aca="1" ref="J1461" ca="1">INDIRECT("b"&amp;K1461+2)</f>
        <v>5.9499999999999996E+110</v>
      </c>
      <c r="K1461" s="19">
        <f t="shared" si="202"/>
        <v>3544</v>
      </c>
    </row>
    <row r="1462" spans="1:11">
      <c r="A1462">
        <v>1460</v>
      </c>
      <c r="B1462">
        <v>5.05E+59</v>
      </c>
      <c r="D1462" s="18">
        <v>1460</v>
      </c>
      <c r="E1462" s="18" cm="1">
        <f t="array" aca="1" ref="E1462" ca="1">INDIRECT("b"&amp;F1462+2)</f>
        <v>6.1749999999999992E+80</v>
      </c>
      <c r="F1462" s="18">
        <f t="shared" si="199"/>
        <v>2345</v>
      </c>
      <c r="G1462" s="18"/>
      <c r="H1462" s="18"/>
      <c r="I1462" s="19">
        <v>1460</v>
      </c>
      <c r="J1462" s="19" cm="1">
        <f t="array" aca="1" ref="J1462" ca="1">INDIRECT("b"&amp;K1462+2)</f>
        <v>6.1750000000000001E+110</v>
      </c>
      <c r="K1462" s="19">
        <f t="shared" si="202"/>
        <v>3545</v>
      </c>
    </row>
    <row r="1463" spans="1:11">
      <c r="A1463">
        <v>1461</v>
      </c>
      <c r="B1463">
        <v>5.275E+59</v>
      </c>
      <c r="D1463" s="18">
        <v>1461</v>
      </c>
      <c r="E1463" s="18" cm="1">
        <f t="array" aca="1" ref="E1463" ca="1">INDIRECT("b"&amp;F1463+2)</f>
        <v>6.3999999999999998E+80</v>
      </c>
      <c r="F1463" s="18">
        <f t="shared" si="199"/>
        <v>2346</v>
      </c>
      <c r="G1463" s="18"/>
      <c r="H1463" s="18"/>
      <c r="I1463" s="19">
        <v>1461</v>
      </c>
      <c r="J1463" s="19" cm="1">
        <f t="array" aca="1" ref="J1463" ca="1">INDIRECT("b"&amp;K1463+2)</f>
        <v>6.3999999999999999E+110</v>
      </c>
      <c r="K1463" s="19">
        <f t="shared" si="202"/>
        <v>3546</v>
      </c>
    </row>
    <row r="1464" spans="1:11">
      <c r="A1464">
        <v>1462</v>
      </c>
      <c r="B1464">
        <v>5.499999999999999E+59</v>
      </c>
      <c r="D1464" s="18">
        <v>1462</v>
      </c>
      <c r="E1464" s="18" cm="1">
        <f t="array" aca="1" ref="E1464" ca="1">INDIRECT("b"&amp;F1464+2)</f>
        <v>6.8499999999999999E+80</v>
      </c>
      <c r="F1464" s="18">
        <f t="shared" si="199"/>
        <v>2348</v>
      </c>
      <c r="G1464" s="18"/>
      <c r="H1464" s="18"/>
      <c r="I1464" s="19">
        <v>1462</v>
      </c>
      <c r="J1464" s="19" cm="1">
        <f t="array" aca="1" ref="J1464" ca="1">INDIRECT("b"&amp;K1464+2)</f>
        <v>6.8499999999999995E+110</v>
      </c>
      <c r="K1464" s="19">
        <f t="shared" si="202"/>
        <v>3548</v>
      </c>
    </row>
    <row r="1465" spans="1:11">
      <c r="A1465">
        <v>1463</v>
      </c>
      <c r="B1465">
        <v>5.7250000000000007E+59</v>
      </c>
      <c r="D1465" s="18">
        <v>1463</v>
      </c>
      <c r="E1465" s="18" cm="1">
        <f t="array" aca="1" ref="E1465" ca="1">INDIRECT("b"&amp;F1465+2)</f>
        <v>7.0749999999999994E+80</v>
      </c>
      <c r="F1465" s="18">
        <f t="shared" si="199"/>
        <v>2349</v>
      </c>
      <c r="G1465" s="18">
        <f t="shared" ref="G1465" ca="1" si="213">E1465/E1460</f>
        <v>1.2863636363636364</v>
      </c>
      <c r="H1465" s="18"/>
      <c r="I1465" s="19">
        <v>1463</v>
      </c>
      <c r="J1465" s="19" cm="1">
        <f t="array" aca="1" ref="J1465" ca="1">INDIRECT("b"&amp;K1465+2)</f>
        <v>7.0749999999999993E+110</v>
      </c>
      <c r="K1465" s="19">
        <f t="shared" si="202"/>
        <v>3549</v>
      </c>
    </row>
    <row r="1466" spans="1:11">
      <c r="A1466">
        <v>1464</v>
      </c>
      <c r="B1466">
        <v>5.9500000000000007E+59</v>
      </c>
      <c r="D1466" s="18">
        <v>1464</v>
      </c>
      <c r="E1466" s="18" cm="1">
        <f t="array" aca="1" ref="E1466" ca="1">INDIRECT("b"&amp;F1466+2)</f>
        <v>7.2999999999999999E+80</v>
      </c>
      <c r="F1466" s="18">
        <f t="shared" si="199"/>
        <v>2350</v>
      </c>
      <c r="G1466" s="18"/>
      <c r="H1466" s="18"/>
      <c r="I1466" s="19">
        <v>1464</v>
      </c>
      <c r="J1466" s="19" cm="1">
        <f t="array" aca="1" ref="J1466" ca="1">INDIRECT("b"&amp;K1466+2)</f>
        <v>7.3000000000000005E+110</v>
      </c>
      <c r="K1466" s="19">
        <f t="shared" si="202"/>
        <v>3550</v>
      </c>
    </row>
    <row r="1467" spans="1:11">
      <c r="A1467">
        <v>1465</v>
      </c>
      <c r="B1467">
        <v>6.1749999999999997E+59</v>
      </c>
      <c r="D1467" s="18">
        <v>1465</v>
      </c>
      <c r="E1467" s="18" cm="1">
        <f t="array" aca="1" ref="E1467" ca="1">INDIRECT("b"&amp;F1467+2)</f>
        <v>7.75E+80</v>
      </c>
      <c r="F1467" s="18">
        <f t="shared" si="199"/>
        <v>2352</v>
      </c>
      <c r="G1467" s="18"/>
      <c r="H1467" s="18"/>
      <c r="I1467" s="19">
        <v>1465</v>
      </c>
      <c r="J1467" s="19" cm="1">
        <f t="array" aca="1" ref="J1467" ca="1">INDIRECT("b"&amp;K1467+2)</f>
        <v>7.7500000000000001E+110</v>
      </c>
      <c r="K1467" s="19">
        <f t="shared" si="202"/>
        <v>3552</v>
      </c>
    </row>
    <row r="1468" spans="1:11">
      <c r="A1468">
        <v>1466</v>
      </c>
      <c r="B1468">
        <v>6.3999999999999987E+59</v>
      </c>
      <c r="D1468" s="18">
        <v>1466</v>
      </c>
      <c r="E1468" s="18" cm="1">
        <f t="array" aca="1" ref="E1468" ca="1">INDIRECT("b"&amp;F1468+2)</f>
        <v>7.9749999999999995E+80</v>
      </c>
      <c r="F1468" s="18">
        <f t="shared" si="199"/>
        <v>2353</v>
      </c>
      <c r="G1468" s="18"/>
      <c r="H1468" s="18"/>
      <c r="I1468" s="19">
        <v>1466</v>
      </c>
      <c r="J1468" s="19" cm="1">
        <f t="array" aca="1" ref="J1468" ca="1">INDIRECT("b"&amp;K1468+2)</f>
        <v>7.9749999999999999E+110</v>
      </c>
      <c r="K1468" s="19">
        <f t="shared" si="202"/>
        <v>3553</v>
      </c>
    </row>
    <row r="1469" spans="1:11">
      <c r="A1469">
        <v>1467</v>
      </c>
      <c r="B1469">
        <v>6.6249999999999996E+59</v>
      </c>
      <c r="D1469" s="18">
        <v>1467</v>
      </c>
      <c r="E1469" s="18" cm="1">
        <f t="array" aca="1" ref="E1469" ca="1">INDIRECT("b"&amp;F1469+2)</f>
        <v>8.2E+80</v>
      </c>
      <c r="F1469" s="18">
        <f t="shared" ref="F1469:F1532" si="214">INT((A1469-123)*1.333333)+563</f>
        <v>2354</v>
      </c>
      <c r="G1469" s="18"/>
      <c r="H1469" s="18"/>
      <c r="I1469" s="19">
        <v>1467</v>
      </c>
      <c r="J1469" s="19" cm="1">
        <f t="array" aca="1" ref="J1469" ca="1">INDIRECT("b"&amp;K1469+2)</f>
        <v>8.1999999999999997E+110</v>
      </c>
      <c r="K1469" s="19">
        <f t="shared" si="202"/>
        <v>3554</v>
      </c>
    </row>
    <row r="1470" spans="1:11">
      <c r="A1470">
        <v>1468</v>
      </c>
      <c r="B1470">
        <v>6.8500000000000013E+59</v>
      </c>
      <c r="D1470" s="18">
        <v>1468</v>
      </c>
      <c r="E1470" s="18" cm="1">
        <f t="array" aca="1" ref="E1470" ca="1">INDIRECT("b"&amp;F1470+2)</f>
        <v>8.649999999999999E+80</v>
      </c>
      <c r="F1470" s="18">
        <f t="shared" si="214"/>
        <v>2356</v>
      </c>
      <c r="G1470" s="18">
        <f t="shared" ref="G1470" ca="1" si="215">E1470/E1465</f>
        <v>1.2226148409893993</v>
      </c>
      <c r="H1470" s="18"/>
      <c r="I1470" s="19">
        <v>1468</v>
      </c>
      <c r="J1470" s="19" cm="1">
        <f t="array" aca="1" ref="J1470" ca="1">INDIRECT("b"&amp;K1470+2)</f>
        <v>8.6499999999999994E+110</v>
      </c>
      <c r="K1470" s="19">
        <f t="shared" si="202"/>
        <v>3556</v>
      </c>
    </row>
    <row r="1471" spans="1:11">
      <c r="A1471">
        <v>1469</v>
      </c>
      <c r="B1471">
        <v>7.0749999999999994E+59</v>
      </c>
      <c r="D1471" s="18">
        <v>1469</v>
      </c>
      <c r="E1471" s="18" cm="1">
        <f t="array" aca="1" ref="E1471" ca="1">INDIRECT("b"&amp;F1471+2)</f>
        <v>8.8749999999999996E+80</v>
      </c>
      <c r="F1471" s="18">
        <f t="shared" si="214"/>
        <v>2357</v>
      </c>
      <c r="G1471" s="18"/>
      <c r="H1471" s="18"/>
      <c r="I1471" s="19">
        <v>1469</v>
      </c>
      <c r="J1471" s="19" cm="1">
        <f t="array" aca="1" ref="J1471" ca="1">INDIRECT("b"&amp;K1471+2)</f>
        <v>8.8749999999999992E+110</v>
      </c>
      <c r="K1471" s="19">
        <f t="shared" si="202"/>
        <v>3557</v>
      </c>
    </row>
    <row r="1472" spans="1:11">
      <c r="A1472">
        <v>1470</v>
      </c>
      <c r="B1472">
        <v>7.3000000000000012E+59</v>
      </c>
      <c r="D1472" s="18">
        <v>1470</v>
      </c>
      <c r="E1472" s="18" cm="1">
        <f t="array" aca="1" ref="E1472" ca="1">INDIRECT("b"&amp;F1472+2)</f>
        <v>9.0999999999999991E+80</v>
      </c>
      <c r="F1472" s="18">
        <f t="shared" si="214"/>
        <v>2358</v>
      </c>
      <c r="G1472" s="18"/>
      <c r="H1472" s="18"/>
      <c r="I1472" s="19">
        <v>1470</v>
      </c>
      <c r="J1472" s="19" cm="1">
        <f t="array" aca="1" ref="J1472" ca="1">INDIRECT("b"&amp;K1472+2)</f>
        <v>9.1000000000000003E+110</v>
      </c>
      <c r="K1472" s="19">
        <f t="shared" si="202"/>
        <v>3558</v>
      </c>
    </row>
    <row r="1473" spans="1:11">
      <c r="A1473">
        <v>1471</v>
      </c>
      <c r="B1473">
        <v>7.5249999999999984E+59</v>
      </c>
      <c r="D1473" s="18">
        <v>1471</v>
      </c>
      <c r="E1473" s="18" cm="1">
        <f t="array" aca="1" ref="E1473" ca="1">INDIRECT("b"&amp;F1473+2)</f>
        <v>9.5500000000000002E+80</v>
      </c>
      <c r="F1473" s="18">
        <f t="shared" si="214"/>
        <v>2360</v>
      </c>
      <c r="G1473" s="18"/>
      <c r="H1473" s="18"/>
      <c r="I1473" s="19">
        <v>1471</v>
      </c>
      <c r="J1473" s="19" cm="1">
        <f t="array" aca="1" ref="J1473" ca="1">INDIRECT("b"&amp;K1473+2)</f>
        <v>9.5499999999999999E+110</v>
      </c>
      <c r="K1473" s="19">
        <f t="shared" si="202"/>
        <v>3560</v>
      </c>
    </row>
    <row r="1474" spans="1:11">
      <c r="A1474">
        <v>1472</v>
      </c>
      <c r="B1474">
        <v>7.7499999999999993E+59</v>
      </c>
      <c r="D1474" s="18">
        <v>1472</v>
      </c>
      <c r="E1474" s="18" cm="1">
        <f t="array" aca="1" ref="E1474" ca="1">INDIRECT("b"&amp;F1474+2)</f>
        <v>9.7749999999999987E+80</v>
      </c>
      <c r="F1474" s="18">
        <f t="shared" si="214"/>
        <v>2361</v>
      </c>
      <c r="G1474" s="18"/>
      <c r="H1474" s="18"/>
      <c r="I1474" s="19">
        <v>1472</v>
      </c>
      <c r="J1474" s="19" cm="1">
        <f t="array" aca="1" ref="J1474" ca="1">INDIRECT("b"&amp;K1474+2)</f>
        <v>9.7749999999999998E+110</v>
      </c>
      <c r="K1474" s="19">
        <f t="shared" si="202"/>
        <v>3561</v>
      </c>
    </row>
    <row r="1475" spans="1:11">
      <c r="A1475">
        <v>1473</v>
      </c>
      <c r="B1475">
        <v>7.975000000000001E+59</v>
      </c>
      <c r="D1475" s="18">
        <v>1473</v>
      </c>
      <c r="E1475" s="18" cm="1">
        <f t="array" aca="1" ref="E1475" ca="1">INDIRECT("b"&amp;F1475+2)</f>
        <v>9.9999999999999992E+80</v>
      </c>
      <c r="F1475" s="18">
        <f t="shared" si="214"/>
        <v>2362</v>
      </c>
      <c r="G1475" s="18">
        <f t="shared" ref="G1475" ca="1" si="216">E1475/E1470</f>
        <v>1.1560693641618498</v>
      </c>
      <c r="H1475" s="18"/>
      <c r="I1475" s="19">
        <v>1473</v>
      </c>
      <c r="J1475" s="19" cm="1">
        <f t="array" aca="1" ref="J1475" ca="1">INDIRECT("b"&amp;K1475+2)</f>
        <v>9.9999999999999996E+110</v>
      </c>
      <c r="K1475" s="19">
        <f t="shared" si="202"/>
        <v>3562</v>
      </c>
    </row>
    <row r="1476" spans="1:11">
      <c r="A1476">
        <v>1474</v>
      </c>
      <c r="B1476">
        <v>8.1999999999999982E+59</v>
      </c>
      <c r="D1476" s="18">
        <v>1474</v>
      </c>
      <c r="E1476" s="18" cm="1">
        <f t="array" aca="1" ref="E1476" ca="1">INDIRECT("b"&amp;F1476+2)</f>
        <v>1.45E+81</v>
      </c>
      <c r="F1476" s="18">
        <f t="shared" si="214"/>
        <v>2364</v>
      </c>
      <c r="G1476" s="18"/>
      <c r="H1476" s="18"/>
      <c r="I1476" s="19">
        <v>1474</v>
      </c>
      <c r="J1476" s="19" cm="1">
        <f t="array" aca="1" ref="J1476" ca="1">INDIRECT("b"&amp;K1476+2)</f>
        <v>1.45E+111</v>
      </c>
      <c r="K1476" s="19">
        <f t="shared" ref="K1476:K1539" si="217">INT((A1476-1)*40/30+900*40/30)+400</f>
        <v>3564</v>
      </c>
    </row>
    <row r="1477" spans="1:11">
      <c r="A1477">
        <v>1475</v>
      </c>
      <c r="B1477">
        <v>8.4250000000000008E+59</v>
      </c>
      <c r="D1477" s="18">
        <v>1475</v>
      </c>
      <c r="E1477" s="18" cm="1">
        <f t="array" aca="1" ref="E1477" ca="1">INDIRECT("b"&amp;F1477+2)</f>
        <v>1.6749999999999999E+81</v>
      </c>
      <c r="F1477" s="18">
        <f t="shared" si="214"/>
        <v>2365</v>
      </c>
      <c r="G1477" s="18"/>
      <c r="H1477" s="18"/>
      <c r="I1477" s="19">
        <v>1475</v>
      </c>
      <c r="J1477" s="19" cm="1">
        <f t="array" aca="1" ref="J1477" ca="1">INDIRECT("b"&amp;K1477+2)</f>
        <v>1.6750000000000001E+111</v>
      </c>
      <c r="K1477" s="19">
        <f t="shared" si="217"/>
        <v>3565</v>
      </c>
    </row>
    <row r="1478" spans="1:11">
      <c r="A1478">
        <v>1476</v>
      </c>
      <c r="B1478">
        <v>8.6499999999999999E+59</v>
      </c>
      <c r="D1478" s="18">
        <v>1476</v>
      </c>
      <c r="E1478" s="18" cm="1">
        <f t="array" aca="1" ref="E1478" ca="1">INDIRECT("b"&amp;F1478+2)</f>
        <v>1.8999999999999998E+81</v>
      </c>
      <c r="F1478" s="18">
        <f t="shared" si="214"/>
        <v>2366</v>
      </c>
      <c r="G1478" s="18"/>
      <c r="H1478" s="18"/>
      <c r="I1478" s="19">
        <v>1476</v>
      </c>
      <c r="J1478" s="19" cm="1">
        <f t="array" aca="1" ref="J1478" ca="1">INDIRECT("b"&amp;K1478+2)</f>
        <v>1.8999999999999999E+111</v>
      </c>
      <c r="K1478" s="19">
        <f t="shared" si="217"/>
        <v>3566</v>
      </c>
    </row>
    <row r="1479" spans="1:11">
      <c r="A1479">
        <v>1477</v>
      </c>
      <c r="B1479">
        <v>8.8750000000000007E+59</v>
      </c>
      <c r="D1479" s="18">
        <v>1477</v>
      </c>
      <c r="E1479" s="18" cm="1">
        <f t="array" aca="1" ref="E1479" ca="1">INDIRECT("b"&amp;F1479+2)</f>
        <v>2.3500000000000001E+81</v>
      </c>
      <c r="F1479" s="18">
        <f t="shared" si="214"/>
        <v>2368</v>
      </c>
      <c r="G1479" s="18"/>
      <c r="H1479" s="18"/>
      <c r="I1479" s="19">
        <v>1477</v>
      </c>
      <c r="J1479" s="19" cm="1">
        <f t="array" aca="1" ref="J1479" ca="1">INDIRECT("b"&amp;K1479+2)</f>
        <v>2.35E+111</v>
      </c>
      <c r="K1479" s="19">
        <f t="shared" si="217"/>
        <v>3568</v>
      </c>
    </row>
    <row r="1480" spans="1:11">
      <c r="A1480">
        <v>1478</v>
      </c>
      <c r="B1480">
        <v>9.099999999999998E+59</v>
      </c>
      <c r="D1480" s="18">
        <v>1478</v>
      </c>
      <c r="E1480" s="18" cm="1">
        <f t="array" aca="1" ref="E1480" ca="1">INDIRECT("b"&amp;F1480+2)</f>
        <v>2.5749999999999998E+81</v>
      </c>
      <c r="F1480" s="18">
        <f t="shared" si="214"/>
        <v>2369</v>
      </c>
      <c r="G1480" s="18">
        <f t="shared" ref="G1480" ca="1" si="218">E1480/E1475</f>
        <v>2.5750000000000002</v>
      </c>
      <c r="H1480" s="18"/>
      <c r="I1480" s="19">
        <v>1478</v>
      </c>
      <c r="J1480" s="19" cm="1">
        <f t="array" aca="1" ref="J1480" ca="1">INDIRECT("b"&amp;K1480+2)</f>
        <v>2.5749999999999999E+111</v>
      </c>
      <c r="K1480" s="19">
        <f t="shared" si="217"/>
        <v>3569</v>
      </c>
    </row>
    <row r="1481" spans="1:11">
      <c r="A1481">
        <v>1479</v>
      </c>
      <c r="B1481">
        <v>9.3249999999999988E+59</v>
      </c>
      <c r="D1481" s="18">
        <v>1479</v>
      </c>
      <c r="E1481" s="18" cm="1">
        <f t="array" aca="1" ref="E1481" ca="1">INDIRECT("b"&amp;F1481+2)</f>
        <v>2.7999999999999999E+81</v>
      </c>
      <c r="F1481" s="18">
        <f t="shared" si="214"/>
        <v>2370</v>
      </c>
      <c r="G1481" s="18"/>
      <c r="H1481" s="18"/>
      <c r="I1481" s="19">
        <v>1479</v>
      </c>
      <c r="J1481" s="19" cm="1">
        <f t="array" aca="1" ref="J1481" ca="1">INDIRECT("b"&amp;K1481+2)</f>
        <v>2.7999999999999999E+111</v>
      </c>
      <c r="K1481" s="19">
        <f t="shared" si="217"/>
        <v>3570</v>
      </c>
    </row>
    <row r="1482" spans="1:11">
      <c r="A1482">
        <v>1480</v>
      </c>
      <c r="B1482">
        <v>9.5499999999999996E+59</v>
      </c>
      <c r="D1482" s="18">
        <v>1480</v>
      </c>
      <c r="E1482" s="18" cm="1">
        <f t="array" aca="1" ref="E1482" ca="1">INDIRECT("b"&amp;F1482+2)</f>
        <v>3.2499999999999998E+81</v>
      </c>
      <c r="F1482" s="18">
        <f t="shared" si="214"/>
        <v>2372</v>
      </c>
      <c r="G1482" s="18">
        <f t="shared" ref="G1482" ca="1" si="219">E1482/E1477</f>
        <v>1.9402985074626866</v>
      </c>
      <c r="H1482" s="18"/>
      <c r="I1482" s="19">
        <v>1480</v>
      </c>
      <c r="J1482" s="19" cm="1">
        <f t="array" aca="1" ref="J1482" ca="1">INDIRECT("b"&amp;K1482+2)</f>
        <v>3.2500000000000001E+111</v>
      </c>
      <c r="K1482" s="19">
        <f t="shared" si="217"/>
        <v>3572</v>
      </c>
    </row>
    <row r="1483" spans="1:11">
      <c r="A1483">
        <v>1481</v>
      </c>
      <c r="B1483">
        <v>9.7749999999999987E+59</v>
      </c>
      <c r="D1483" s="18">
        <v>1481</v>
      </c>
      <c r="E1483" s="18" cm="1">
        <f t="array" aca="1" ref="E1483" ca="1">INDIRECT("b"&amp;F1483+2)</f>
        <v>3.4749999999999999E+81</v>
      </c>
      <c r="F1483" s="18">
        <f t="shared" si="214"/>
        <v>2373</v>
      </c>
      <c r="G1483" s="18"/>
      <c r="H1483" s="18"/>
      <c r="I1483" s="19">
        <v>1481</v>
      </c>
      <c r="J1483" s="19" cm="1">
        <f t="array" aca="1" ref="J1483" ca="1">INDIRECT("b"&amp;K1483+2)</f>
        <v>3.4750000000000002E+111</v>
      </c>
      <c r="K1483" s="19">
        <f t="shared" si="217"/>
        <v>3573</v>
      </c>
    </row>
    <row r="1484" spans="1:11">
      <c r="A1484">
        <v>1482</v>
      </c>
      <c r="B1484">
        <v>1.0000000000000001E+60</v>
      </c>
      <c r="D1484" s="18">
        <v>1482</v>
      </c>
      <c r="E1484" s="18" cm="1">
        <f t="array" aca="1" ref="E1484" ca="1">INDIRECT("b"&amp;F1484+2)</f>
        <v>3.7000000000000001E+81</v>
      </c>
      <c r="F1484" s="18">
        <f t="shared" si="214"/>
        <v>2374</v>
      </c>
      <c r="G1484" s="18"/>
      <c r="H1484" s="18"/>
      <c r="I1484" s="19">
        <v>1482</v>
      </c>
      <c r="J1484" s="19" cm="1">
        <f t="array" aca="1" ref="J1484" ca="1">INDIRECT("b"&amp;K1484+2)</f>
        <v>3.7000000000000003E+111</v>
      </c>
      <c r="K1484" s="19">
        <f t="shared" si="217"/>
        <v>3574</v>
      </c>
    </row>
    <row r="1485" spans="1:11">
      <c r="A1485">
        <v>1483</v>
      </c>
      <c r="B1485">
        <v>1.2250000000000001E+60</v>
      </c>
      <c r="D1485" s="18">
        <v>1483</v>
      </c>
      <c r="E1485" s="18" cm="1">
        <f t="array" aca="1" ref="E1485" ca="1">INDIRECT("b"&amp;F1485+2)</f>
        <v>4.1500000000000003E+81</v>
      </c>
      <c r="F1485" s="18">
        <f t="shared" si="214"/>
        <v>2376</v>
      </c>
      <c r="G1485" s="18"/>
      <c r="H1485" s="18"/>
      <c r="I1485" s="19">
        <v>1483</v>
      </c>
      <c r="J1485" s="19" cm="1">
        <f t="array" aca="1" ref="J1485" ca="1">INDIRECT("b"&amp;K1485+2)</f>
        <v>4.1499999999999999E+111</v>
      </c>
      <c r="K1485" s="19">
        <f t="shared" si="217"/>
        <v>3576</v>
      </c>
    </row>
    <row r="1486" spans="1:11">
      <c r="A1486">
        <v>1484</v>
      </c>
      <c r="B1486">
        <v>1.4499999999999998E+60</v>
      </c>
      <c r="D1486" s="18">
        <v>1484</v>
      </c>
      <c r="E1486" s="18" cm="1">
        <f t="array" aca="1" ref="E1486" ca="1">INDIRECT("b"&amp;F1486+2)</f>
        <v>4.3750000000000001E+81</v>
      </c>
      <c r="F1486" s="18">
        <f t="shared" si="214"/>
        <v>2377</v>
      </c>
      <c r="G1486" s="18"/>
      <c r="H1486" s="18"/>
      <c r="I1486" s="19">
        <v>1484</v>
      </c>
      <c r="J1486" s="19" cm="1">
        <f t="array" aca="1" ref="J1486" ca="1">INDIRECT("b"&amp;K1486+2)</f>
        <v>4.375E+111</v>
      </c>
      <c r="K1486" s="19">
        <f t="shared" si="217"/>
        <v>3577</v>
      </c>
    </row>
    <row r="1487" spans="1:11">
      <c r="A1487">
        <v>1485</v>
      </c>
      <c r="B1487">
        <v>1.6749999999999999E+60</v>
      </c>
      <c r="D1487" s="18">
        <v>1485</v>
      </c>
      <c r="E1487" s="18" cm="1">
        <f t="array" aca="1" ref="E1487" ca="1">INDIRECT("b"&amp;F1487+2)</f>
        <v>4.5999999999999998E+81</v>
      </c>
      <c r="F1487" s="18">
        <f t="shared" si="214"/>
        <v>2378</v>
      </c>
      <c r="G1487" s="18">
        <f t="shared" ref="G1487" ca="1" si="220">E1487/E1482</f>
        <v>1.4153846153846155</v>
      </c>
      <c r="H1487" s="18"/>
      <c r="I1487" s="19">
        <v>1485</v>
      </c>
      <c r="J1487" s="19" cm="1">
        <f t="array" aca="1" ref="J1487" ca="1">INDIRECT("b"&amp;K1487+2)</f>
        <v>4.6E+111</v>
      </c>
      <c r="K1487" s="19">
        <f t="shared" si="217"/>
        <v>3578</v>
      </c>
    </row>
    <row r="1488" spans="1:11">
      <c r="A1488">
        <v>1486</v>
      </c>
      <c r="B1488">
        <v>1.9000000000000004E+60</v>
      </c>
      <c r="D1488" s="18">
        <v>1486</v>
      </c>
      <c r="E1488" s="18" cm="1">
        <f t="array" aca="1" ref="E1488" ca="1">INDIRECT("b"&amp;F1488+2)</f>
        <v>5.05E+81</v>
      </c>
      <c r="F1488" s="18">
        <f t="shared" si="214"/>
        <v>2380</v>
      </c>
      <c r="G1488" s="18"/>
      <c r="H1488" s="18"/>
      <c r="I1488" s="19">
        <v>1486</v>
      </c>
      <c r="J1488" s="19" cm="1">
        <f t="array" aca="1" ref="J1488" ca="1">INDIRECT("b"&amp;K1488+2)</f>
        <v>5.0499999999999997E+111</v>
      </c>
      <c r="K1488" s="19">
        <f t="shared" si="217"/>
        <v>3580</v>
      </c>
    </row>
    <row r="1489" spans="1:11">
      <c r="A1489">
        <v>1487</v>
      </c>
      <c r="B1489">
        <v>2.1249999999999998E+60</v>
      </c>
      <c r="D1489" s="18">
        <v>1487</v>
      </c>
      <c r="E1489" s="18" cm="1">
        <f t="array" aca="1" ref="E1489" ca="1">INDIRECT("b"&amp;F1489+2)</f>
        <v>5.2749999999999997E+81</v>
      </c>
      <c r="F1489" s="18">
        <f t="shared" si="214"/>
        <v>2381</v>
      </c>
      <c r="G1489" s="18"/>
      <c r="H1489" s="18"/>
      <c r="I1489" s="19">
        <v>1487</v>
      </c>
      <c r="J1489" s="19" cm="1">
        <f t="array" aca="1" ref="J1489" ca="1">INDIRECT("b"&amp;K1489+2)</f>
        <v>5.2749999999999997E+111</v>
      </c>
      <c r="K1489" s="19">
        <f t="shared" si="217"/>
        <v>3581</v>
      </c>
    </row>
    <row r="1490" spans="1:11">
      <c r="A1490">
        <v>1488</v>
      </c>
      <c r="B1490">
        <v>2.3500000000000003E+60</v>
      </c>
      <c r="D1490" s="18">
        <v>1488</v>
      </c>
      <c r="E1490" s="18" cm="1">
        <f t="array" aca="1" ref="E1490" ca="1">INDIRECT("b"&amp;F1490+2)</f>
        <v>5.5000000000000003E+81</v>
      </c>
      <c r="F1490" s="18">
        <f t="shared" si="214"/>
        <v>2382</v>
      </c>
      <c r="G1490" s="18"/>
      <c r="H1490" s="18"/>
      <c r="I1490" s="19">
        <v>1488</v>
      </c>
      <c r="J1490" s="19" cm="1">
        <f t="array" aca="1" ref="J1490" ca="1">INDIRECT("b"&amp;K1490+2)</f>
        <v>5.4999999999999998E+111</v>
      </c>
      <c r="K1490" s="19">
        <f t="shared" si="217"/>
        <v>3582</v>
      </c>
    </row>
    <row r="1491" spans="1:11">
      <c r="A1491">
        <v>1489</v>
      </c>
      <c r="B1491">
        <v>2.575E+60</v>
      </c>
      <c r="D1491" s="18">
        <v>1489</v>
      </c>
      <c r="E1491" s="18" cm="1">
        <f t="array" aca="1" ref="E1491" ca="1">INDIRECT("b"&amp;F1491+2)</f>
        <v>5.9499999999999997E+81</v>
      </c>
      <c r="F1491" s="18">
        <f t="shared" si="214"/>
        <v>2384</v>
      </c>
      <c r="G1491" s="18"/>
      <c r="H1491" s="18"/>
      <c r="I1491" s="19">
        <v>1489</v>
      </c>
      <c r="J1491" s="19" cm="1">
        <f t="array" aca="1" ref="J1491" ca="1">INDIRECT("b"&amp;K1491+2)</f>
        <v>5.95E+111</v>
      </c>
      <c r="K1491" s="19">
        <f t="shared" si="217"/>
        <v>3584</v>
      </c>
    </row>
    <row r="1492" spans="1:11">
      <c r="A1492">
        <v>1490</v>
      </c>
      <c r="B1492">
        <v>2.8000000000000001E+60</v>
      </c>
      <c r="D1492" s="18">
        <v>1490</v>
      </c>
      <c r="E1492" s="18" cm="1">
        <f t="array" aca="1" ref="E1492" ca="1">INDIRECT("b"&amp;F1492+2)</f>
        <v>6.1750000000000003E+81</v>
      </c>
      <c r="F1492" s="18">
        <f t="shared" si="214"/>
        <v>2385</v>
      </c>
      <c r="G1492" s="18">
        <f t="shared" ref="G1492" ca="1" si="221">E1492/E1487</f>
        <v>1.3423913043478262</v>
      </c>
      <c r="H1492" s="18"/>
      <c r="I1492" s="19">
        <v>1490</v>
      </c>
      <c r="J1492" s="19" cm="1">
        <f t="array" aca="1" ref="J1492" ca="1">INDIRECT("b"&amp;K1492+2)</f>
        <v>6.1750000000000001E+111</v>
      </c>
      <c r="K1492" s="19">
        <f t="shared" si="217"/>
        <v>3585</v>
      </c>
    </row>
    <row r="1493" spans="1:11">
      <c r="A1493">
        <v>1491</v>
      </c>
      <c r="B1493">
        <v>3.0250000000000003E+60</v>
      </c>
      <c r="D1493" s="18">
        <v>1491</v>
      </c>
      <c r="E1493" s="18" cm="1">
        <f t="array" aca="1" ref="E1493" ca="1">INDIRECT("b"&amp;F1493+2)</f>
        <v>6.4E+81</v>
      </c>
      <c r="F1493" s="18">
        <f t="shared" si="214"/>
        <v>2386</v>
      </c>
      <c r="G1493" s="18"/>
      <c r="H1493" s="18"/>
      <c r="I1493" s="19">
        <v>1491</v>
      </c>
      <c r="J1493" s="19" cm="1">
        <f t="array" aca="1" ref="J1493" ca="1">INDIRECT("b"&amp;K1493+2)</f>
        <v>6.4000000000000002E+111</v>
      </c>
      <c r="K1493" s="19">
        <f t="shared" si="217"/>
        <v>3586</v>
      </c>
    </row>
    <row r="1494" spans="1:11">
      <c r="A1494">
        <v>1492</v>
      </c>
      <c r="B1494">
        <v>3.2500000000000004E+60</v>
      </c>
      <c r="D1494" s="18">
        <v>1492</v>
      </c>
      <c r="E1494" s="18" cm="1">
        <f t="array" aca="1" ref="E1494" ca="1">INDIRECT("b"&amp;F1494+2)</f>
        <v>6.8500000000000003E+81</v>
      </c>
      <c r="F1494" s="18">
        <f t="shared" si="214"/>
        <v>2388</v>
      </c>
      <c r="G1494" s="18"/>
      <c r="H1494" s="18"/>
      <c r="I1494" s="19">
        <v>1492</v>
      </c>
      <c r="J1494" s="19" cm="1">
        <f t="array" aca="1" ref="J1494" ca="1">INDIRECT("b"&amp;K1494+2)</f>
        <v>6.8500000000000003E+111</v>
      </c>
      <c r="K1494" s="19">
        <f t="shared" si="217"/>
        <v>3588</v>
      </c>
    </row>
    <row r="1495" spans="1:11">
      <c r="A1495">
        <v>1493</v>
      </c>
      <c r="B1495">
        <v>3.4750000000000005E+60</v>
      </c>
      <c r="D1495" s="18">
        <v>1493</v>
      </c>
      <c r="E1495" s="18" cm="1">
        <f t="array" aca="1" ref="E1495" ca="1">INDIRECT("b"&amp;F1495+2)</f>
        <v>7.075E+81</v>
      </c>
      <c r="F1495" s="18">
        <f t="shared" si="214"/>
        <v>2389</v>
      </c>
      <c r="G1495" s="18"/>
      <c r="H1495" s="18"/>
      <c r="I1495" s="19">
        <v>1493</v>
      </c>
      <c r="J1495" s="19" cm="1">
        <f t="array" aca="1" ref="J1495" ca="1">INDIRECT("b"&amp;K1495+2)</f>
        <v>7.0750000000000004E+111</v>
      </c>
      <c r="K1495" s="19">
        <f t="shared" si="217"/>
        <v>3589</v>
      </c>
    </row>
    <row r="1496" spans="1:11">
      <c r="A1496">
        <v>1494</v>
      </c>
      <c r="B1496">
        <v>3.6999999999999999E+60</v>
      </c>
      <c r="D1496" s="18">
        <v>1494</v>
      </c>
      <c r="E1496" s="18" cm="1">
        <f t="array" aca="1" ref="E1496" ca="1">INDIRECT("b"&amp;F1496+2)</f>
        <v>7.2999999999999997E+81</v>
      </c>
      <c r="F1496" s="18">
        <f t="shared" si="214"/>
        <v>2390</v>
      </c>
      <c r="G1496" s="18"/>
      <c r="H1496" s="18"/>
      <c r="I1496" s="19">
        <v>1494</v>
      </c>
      <c r="J1496" s="19" cm="1">
        <f t="array" aca="1" ref="J1496" ca="1">INDIRECT("b"&amp;K1496+2)</f>
        <v>7.3000000000000005E+111</v>
      </c>
      <c r="K1496" s="19">
        <f t="shared" si="217"/>
        <v>3590</v>
      </c>
    </row>
    <row r="1497" spans="1:11">
      <c r="A1497">
        <v>1495</v>
      </c>
      <c r="B1497">
        <v>3.925E+60</v>
      </c>
      <c r="D1497" s="18">
        <v>1495</v>
      </c>
      <c r="E1497" s="18" cm="1">
        <f t="array" aca="1" ref="E1497" ca="1">INDIRECT("b"&amp;F1497+2)</f>
        <v>7.7499999999999991E+81</v>
      </c>
      <c r="F1497" s="18">
        <f t="shared" si="214"/>
        <v>2392</v>
      </c>
      <c r="G1497" s="18">
        <f t="shared" ref="G1497" ca="1" si="222">E1497/E1492</f>
        <v>1.2550607287449391</v>
      </c>
      <c r="H1497" s="18"/>
      <c r="I1497" s="19">
        <v>1495</v>
      </c>
      <c r="J1497" s="19" cm="1">
        <f t="array" aca="1" ref="J1497" ca="1">INDIRECT("b"&amp;K1497+2)</f>
        <v>7.7499999999999996E+111</v>
      </c>
      <c r="K1497" s="19">
        <f t="shared" si="217"/>
        <v>3592</v>
      </c>
    </row>
    <row r="1498" spans="1:11">
      <c r="A1498">
        <v>1496</v>
      </c>
      <c r="B1498">
        <v>4.1500000000000008E+60</v>
      </c>
      <c r="D1498" s="18">
        <v>1496</v>
      </c>
      <c r="E1498" s="18" cm="1">
        <f t="array" aca="1" ref="E1498" ca="1">INDIRECT("b"&amp;F1498+2)</f>
        <v>7.9750000000000005E+81</v>
      </c>
      <c r="F1498" s="18">
        <f t="shared" si="214"/>
        <v>2393</v>
      </c>
      <c r="G1498" s="18"/>
      <c r="H1498" s="18"/>
      <c r="I1498" s="19">
        <v>1496</v>
      </c>
      <c r="J1498" s="19" cm="1">
        <f t="array" aca="1" ref="J1498" ca="1">INDIRECT("b"&amp;K1498+2)</f>
        <v>7.9749999999999996E+111</v>
      </c>
      <c r="K1498" s="19">
        <f t="shared" si="217"/>
        <v>3593</v>
      </c>
    </row>
    <row r="1499" spans="1:11">
      <c r="A1499">
        <v>1497</v>
      </c>
      <c r="B1499">
        <v>4.3749999999999995E+60</v>
      </c>
      <c r="D1499" s="18">
        <v>1497</v>
      </c>
      <c r="E1499" s="18" cm="1">
        <f t="array" aca="1" ref="E1499" ca="1">INDIRECT("b"&amp;F1499+2)</f>
        <v>8.2000000000000002E+81</v>
      </c>
      <c r="F1499" s="18">
        <f t="shared" si="214"/>
        <v>2394</v>
      </c>
      <c r="G1499" s="18"/>
      <c r="H1499" s="18"/>
      <c r="I1499" s="19">
        <v>1497</v>
      </c>
      <c r="J1499" s="19" cm="1">
        <f t="array" aca="1" ref="J1499" ca="1">INDIRECT("b"&amp;K1499+2)</f>
        <v>8.1999999999999997E+111</v>
      </c>
      <c r="K1499" s="19">
        <f t="shared" si="217"/>
        <v>3594</v>
      </c>
    </row>
    <row r="1500" spans="1:11">
      <c r="A1500">
        <v>1498</v>
      </c>
      <c r="B1500">
        <v>4.6000000000000003E+60</v>
      </c>
      <c r="D1500" s="18">
        <v>1498</v>
      </c>
      <c r="E1500" s="18" cm="1">
        <f t="array" aca="1" ref="E1500" ca="1">INDIRECT("b"&amp;F1500+2)</f>
        <v>8.6499999999999997E+81</v>
      </c>
      <c r="F1500" s="18">
        <f t="shared" si="214"/>
        <v>2396</v>
      </c>
      <c r="G1500" s="18"/>
      <c r="H1500" s="18"/>
      <c r="I1500" s="19">
        <v>1498</v>
      </c>
      <c r="J1500" s="19" cm="1">
        <f t="array" aca="1" ref="J1500" ca="1">INDIRECT("b"&amp;K1500+2)</f>
        <v>8.6499999999999999E+111</v>
      </c>
      <c r="K1500" s="19">
        <f t="shared" si="217"/>
        <v>3596</v>
      </c>
    </row>
    <row r="1501" spans="1:11">
      <c r="A1501">
        <v>1499</v>
      </c>
      <c r="B1501">
        <v>4.8250000000000012E+60</v>
      </c>
      <c r="D1501" s="18">
        <v>1499</v>
      </c>
      <c r="E1501" s="18" cm="1">
        <f t="array" aca="1" ref="E1501" ca="1">INDIRECT("b"&amp;F1501+2)</f>
        <v>8.8749999999999994E+81</v>
      </c>
      <c r="F1501" s="18">
        <f t="shared" si="214"/>
        <v>2397</v>
      </c>
      <c r="G1501" s="18"/>
      <c r="H1501" s="18"/>
      <c r="I1501" s="19">
        <v>1499</v>
      </c>
      <c r="J1501" s="19" cm="1">
        <f t="array" aca="1" ref="J1501" ca="1">INDIRECT("b"&amp;K1501+2)</f>
        <v>8.875E+111</v>
      </c>
      <c r="K1501" s="19">
        <f t="shared" si="217"/>
        <v>3597</v>
      </c>
    </row>
    <row r="1502" spans="1:11">
      <c r="A1502">
        <v>1500</v>
      </c>
      <c r="B1502">
        <v>5.0499999999999999E+60</v>
      </c>
      <c r="D1502" s="18">
        <v>1500</v>
      </c>
      <c r="E1502" s="18" cm="1">
        <f t="array" aca="1" ref="E1502" ca="1">INDIRECT("b"&amp;F1502+2)</f>
        <v>9.0999999999999991E+81</v>
      </c>
      <c r="F1502" s="18">
        <f t="shared" si="214"/>
        <v>2398</v>
      </c>
      <c r="G1502" s="18">
        <f t="shared" ref="G1502" ca="1" si="223">E1502/E1497</f>
        <v>1.1741935483870969</v>
      </c>
      <c r="H1502" s="18"/>
      <c r="I1502" s="19">
        <v>1500</v>
      </c>
      <c r="J1502" s="19" cm="1">
        <f t="array" aca="1" ref="J1502" ca="1">INDIRECT("b"&amp;K1502+2)</f>
        <v>9.1E+111</v>
      </c>
      <c r="K1502" s="19">
        <f t="shared" si="217"/>
        <v>3598</v>
      </c>
    </row>
    <row r="1503" spans="1:11">
      <c r="A1503">
        <v>1501</v>
      </c>
      <c r="B1503">
        <v>5.2749999999999993E+60</v>
      </c>
      <c r="D1503" s="18">
        <v>1501</v>
      </c>
      <c r="E1503" s="18" cm="1">
        <f t="array" aca="1" ref="E1503" ca="1">INDIRECT("b"&amp;F1503+2)</f>
        <v>9.5500000000000002E+81</v>
      </c>
      <c r="F1503" s="18">
        <f t="shared" si="214"/>
        <v>2400</v>
      </c>
      <c r="G1503" s="18"/>
      <c r="H1503" s="18"/>
      <c r="I1503" s="19">
        <v>1501</v>
      </c>
      <c r="J1503" s="19" cm="1">
        <f t="array" aca="1" ref="J1503" ca="1">INDIRECT("b"&amp;K1503+2)</f>
        <v>9.5500000000000002E+111</v>
      </c>
      <c r="K1503" s="19">
        <f t="shared" si="217"/>
        <v>3600</v>
      </c>
    </row>
    <row r="1504" spans="1:11">
      <c r="A1504">
        <v>1502</v>
      </c>
      <c r="B1504">
        <v>5.4999999999999994E+60</v>
      </c>
      <c r="D1504" s="18">
        <v>1502</v>
      </c>
      <c r="E1504" s="18" cm="1">
        <f t="array" aca="1" ref="E1504" ca="1">INDIRECT("b"&amp;F1504+2)</f>
        <v>9.7749999999999999E+81</v>
      </c>
      <c r="F1504" s="18">
        <f t="shared" si="214"/>
        <v>2401</v>
      </c>
      <c r="G1504" s="18"/>
      <c r="H1504" s="18"/>
      <c r="I1504" s="19">
        <v>1502</v>
      </c>
      <c r="J1504" s="19" cm="1">
        <f t="array" aca="1" ref="J1504" ca="1">INDIRECT("b"&amp;K1504+2)</f>
        <v>9.7750000000000003E+111</v>
      </c>
      <c r="K1504" s="19">
        <f t="shared" si="217"/>
        <v>3601</v>
      </c>
    </row>
    <row r="1505" spans="1:11">
      <c r="A1505">
        <v>1503</v>
      </c>
      <c r="B1505">
        <v>5.7250000000000009E+60</v>
      </c>
      <c r="D1505" s="18">
        <v>1503</v>
      </c>
      <c r="E1505" s="18" cm="1">
        <f t="array" aca="1" ref="E1505" ca="1">INDIRECT("b"&amp;F1505+2)</f>
        <v>9.9999999999999996E+81</v>
      </c>
      <c r="F1505" s="18">
        <f t="shared" si="214"/>
        <v>2402</v>
      </c>
      <c r="G1505" s="18"/>
      <c r="H1505" s="18"/>
      <c r="I1505" s="19">
        <v>1503</v>
      </c>
      <c r="J1505" s="19" cm="1">
        <f t="array" aca="1" ref="J1505" ca="1">INDIRECT("b"&amp;K1505+2)</f>
        <v>9.9999999999999993E+111</v>
      </c>
      <c r="K1505" s="19">
        <f t="shared" si="217"/>
        <v>3602</v>
      </c>
    </row>
    <row r="1506" spans="1:11">
      <c r="A1506">
        <v>1504</v>
      </c>
      <c r="B1506">
        <v>5.9500000000000003E+60</v>
      </c>
      <c r="D1506" s="18">
        <v>1504</v>
      </c>
      <c r="E1506" s="18" cm="1">
        <f t="array" aca="1" ref="E1506" ca="1">INDIRECT("b"&amp;F1506+2)</f>
        <v>1.4499999999999999E+82</v>
      </c>
      <c r="F1506" s="18">
        <f t="shared" si="214"/>
        <v>2404</v>
      </c>
      <c r="G1506" s="18"/>
      <c r="H1506" s="18"/>
      <c r="I1506" s="19">
        <v>1504</v>
      </c>
      <c r="J1506" s="19" cm="1">
        <f t="array" aca="1" ref="J1506" ca="1">INDIRECT("b"&amp;K1506+2)</f>
        <v>1.4500000000000001E+112</v>
      </c>
      <c r="K1506" s="19">
        <f t="shared" si="217"/>
        <v>3604</v>
      </c>
    </row>
    <row r="1507" spans="1:11">
      <c r="A1507">
        <v>1505</v>
      </c>
      <c r="B1507">
        <v>6.1749999999999997E+60</v>
      </c>
      <c r="D1507" s="18">
        <v>1505</v>
      </c>
      <c r="E1507" s="18" cm="1">
        <f t="array" aca="1" ref="E1507" ca="1">INDIRECT("b"&amp;F1507+2)</f>
        <v>1.6749999999999998E+82</v>
      </c>
      <c r="F1507" s="18">
        <f t="shared" si="214"/>
        <v>2405</v>
      </c>
      <c r="G1507" s="18">
        <f t="shared" ref="G1507" ca="1" si="224">E1507/E1502</f>
        <v>1.8406593406593406</v>
      </c>
      <c r="H1507" s="18"/>
      <c r="I1507" s="19">
        <v>1505</v>
      </c>
      <c r="J1507" s="19" cm="1">
        <f t="array" aca="1" ref="J1507" ca="1">INDIRECT("b"&amp;K1507+2)</f>
        <v>1.675E+112</v>
      </c>
      <c r="K1507" s="19">
        <f t="shared" si="217"/>
        <v>3605</v>
      </c>
    </row>
    <row r="1508" spans="1:11">
      <c r="A1508">
        <v>1506</v>
      </c>
      <c r="B1508">
        <v>6.3999999999999991E+60</v>
      </c>
      <c r="D1508" s="18">
        <v>1506</v>
      </c>
      <c r="E1508" s="18" cm="1">
        <f t="array" aca="1" ref="E1508" ca="1">INDIRECT("b"&amp;F1508+2)</f>
        <v>1.8999999999999998E+82</v>
      </c>
      <c r="F1508" s="18">
        <f t="shared" si="214"/>
        <v>2406</v>
      </c>
      <c r="G1508" s="18"/>
      <c r="H1508" s="18"/>
      <c r="I1508" s="19">
        <v>1506</v>
      </c>
      <c r="J1508" s="19" cm="1">
        <f t="array" aca="1" ref="J1508" ca="1">INDIRECT("b"&amp;K1508+2)</f>
        <v>1.9E+112</v>
      </c>
      <c r="K1508" s="19">
        <f t="shared" si="217"/>
        <v>3606</v>
      </c>
    </row>
    <row r="1509" spans="1:11">
      <c r="A1509">
        <v>1507</v>
      </c>
      <c r="B1509">
        <v>6.6249999999999992E+60</v>
      </c>
      <c r="D1509" s="18">
        <v>1507</v>
      </c>
      <c r="E1509" s="18" cm="1">
        <f t="array" aca="1" ref="E1509" ca="1">INDIRECT("b"&amp;F1509+2)</f>
        <v>2.3499999999999999E+82</v>
      </c>
      <c r="F1509" s="18">
        <f t="shared" si="214"/>
        <v>2408</v>
      </c>
      <c r="G1509" s="18"/>
      <c r="H1509" s="18"/>
      <c r="I1509" s="19">
        <v>1507</v>
      </c>
      <c r="J1509" s="19" cm="1">
        <f t="array" aca="1" ref="J1509" ca="1">INDIRECT("b"&amp;K1509+2)</f>
        <v>2.35E+112</v>
      </c>
      <c r="K1509" s="19">
        <f t="shared" si="217"/>
        <v>3608</v>
      </c>
    </row>
    <row r="1510" spans="1:11">
      <c r="A1510">
        <v>1508</v>
      </c>
      <c r="B1510">
        <v>6.8500000000000008E+60</v>
      </c>
      <c r="D1510" s="18">
        <v>1508</v>
      </c>
      <c r="E1510" s="18" cm="1">
        <f t="array" aca="1" ref="E1510" ca="1">INDIRECT("b"&amp;F1510+2)</f>
        <v>2.575E+82</v>
      </c>
      <c r="F1510" s="18">
        <f t="shared" si="214"/>
        <v>2409</v>
      </c>
      <c r="G1510" s="18"/>
      <c r="H1510" s="18"/>
      <c r="I1510" s="19">
        <v>1508</v>
      </c>
      <c r="J1510" s="19" cm="1">
        <f t="array" aca="1" ref="J1510" ca="1">INDIRECT("b"&amp;K1510+2)</f>
        <v>2.5749999999999999E+112</v>
      </c>
      <c r="K1510" s="19">
        <f t="shared" si="217"/>
        <v>3609</v>
      </c>
    </row>
    <row r="1511" spans="1:11">
      <c r="A1511">
        <v>1509</v>
      </c>
      <c r="B1511">
        <v>7.0749999999999994E+60</v>
      </c>
      <c r="D1511" s="18">
        <v>1509</v>
      </c>
      <c r="E1511" s="18" cm="1">
        <f t="array" aca="1" ref="E1511" ca="1">INDIRECT("b"&amp;F1511+2)</f>
        <v>2.8E+82</v>
      </c>
      <c r="F1511" s="18">
        <f t="shared" si="214"/>
        <v>2410</v>
      </c>
      <c r="G1511" s="18"/>
      <c r="H1511" s="18"/>
      <c r="I1511" s="19">
        <v>1509</v>
      </c>
      <c r="J1511" s="19" cm="1">
        <f t="array" aca="1" ref="J1511" ca="1">INDIRECT("b"&amp;K1511+2)</f>
        <v>2.8000000000000001E+112</v>
      </c>
      <c r="K1511" s="19">
        <f t="shared" si="217"/>
        <v>3610</v>
      </c>
    </row>
    <row r="1512" spans="1:11">
      <c r="A1512">
        <v>1510</v>
      </c>
      <c r="B1512">
        <v>7.300000000000001E+60</v>
      </c>
      <c r="D1512" s="18">
        <v>1510</v>
      </c>
      <c r="E1512" s="18" cm="1">
        <f t="array" aca="1" ref="E1512" ca="1">INDIRECT("b"&amp;F1512+2)</f>
        <v>3.2500000000000001E+82</v>
      </c>
      <c r="F1512" s="18">
        <f t="shared" si="214"/>
        <v>2412</v>
      </c>
      <c r="G1512" s="18">
        <f t="shared" ref="G1512" ca="1" si="225">E1512/E1507</f>
        <v>1.9402985074626868</v>
      </c>
      <c r="H1512" s="18"/>
      <c r="I1512" s="19">
        <v>1510</v>
      </c>
      <c r="J1512" s="19" cm="1">
        <f t="array" aca="1" ref="J1512" ca="1">INDIRECT("b"&amp;K1512+2)</f>
        <v>3.2499999999999999E+112</v>
      </c>
      <c r="K1512" s="19">
        <f t="shared" si="217"/>
        <v>3612</v>
      </c>
    </row>
    <row r="1513" spans="1:11">
      <c r="A1513">
        <v>1511</v>
      </c>
      <c r="B1513">
        <v>7.5249999999999982E+60</v>
      </c>
      <c r="D1513" s="18">
        <v>1511</v>
      </c>
      <c r="E1513" s="18" cm="1">
        <f t="array" aca="1" ref="E1513" ca="1">INDIRECT("b"&amp;F1513+2)</f>
        <v>3.4749999999999995E+82</v>
      </c>
      <c r="F1513" s="18">
        <f t="shared" si="214"/>
        <v>2413</v>
      </c>
      <c r="G1513" s="18"/>
      <c r="H1513" s="18"/>
      <c r="I1513" s="19">
        <v>1511</v>
      </c>
      <c r="J1513" s="19" cm="1">
        <f t="array" aca="1" ref="J1513" ca="1">INDIRECT("b"&amp;K1513+2)</f>
        <v>3.4750000000000002E+112</v>
      </c>
      <c r="K1513" s="19">
        <f t="shared" si="217"/>
        <v>3613</v>
      </c>
    </row>
    <row r="1514" spans="1:11">
      <c r="A1514">
        <v>1512</v>
      </c>
      <c r="B1514">
        <v>7.7499999999999998E+60</v>
      </c>
      <c r="D1514" s="18">
        <v>1512</v>
      </c>
      <c r="E1514" s="18" cm="1">
        <f t="array" aca="1" ref="E1514" ca="1">INDIRECT("b"&amp;F1514+2)</f>
        <v>3.6999999999999996E+82</v>
      </c>
      <c r="F1514" s="18">
        <f t="shared" si="214"/>
        <v>2414</v>
      </c>
      <c r="G1514" s="18"/>
      <c r="H1514" s="18"/>
      <c r="I1514" s="19">
        <v>1512</v>
      </c>
      <c r="J1514" s="19" cm="1">
        <f t="array" aca="1" ref="J1514" ca="1">INDIRECT("b"&amp;K1514+2)</f>
        <v>3.7E+112</v>
      </c>
      <c r="K1514" s="19">
        <f t="shared" si="217"/>
        <v>3614</v>
      </c>
    </row>
    <row r="1515" spans="1:11">
      <c r="A1515">
        <v>1513</v>
      </c>
      <c r="B1515">
        <v>7.9750000000000013E+60</v>
      </c>
      <c r="D1515" s="18">
        <v>1513</v>
      </c>
      <c r="E1515" s="18" cm="1">
        <f t="array" aca="1" ref="E1515" ca="1">INDIRECT("b"&amp;F1515+2)</f>
        <v>4.1499999999999997E+82</v>
      </c>
      <c r="F1515" s="18">
        <f t="shared" si="214"/>
        <v>2416</v>
      </c>
      <c r="G1515" s="18"/>
      <c r="H1515" s="18"/>
      <c r="I1515" s="19">
        <v>1513</v>
      </c>
      <c r="J1515" s="19" cm="1">
        <f t="array" aca="1" ref="J1515" ca="1">INDIRECT("b"&amp;K1515+2)</f>
        <v>4.1500000000000002E+112</v>
      </c>
      <c r="K1515" s="19">
        <f t="shared" si="217"/>
        <v>3616</v>
      </c>
    </row>
    <row r="1516" spans="1:11">
      <c r="A1516">
        <v>1514</v>
      </c>
      <c r="B1516">
        <v>8.1999999999999986E+60</v>
      </c>
      <c r="D1516" s="18">
        <v>1514</v>
      </c>
      <c r="E1516" s="18" cm="1">
        <f t="array" aca="1" ref="E1516" ca="1">INDIRECT("b"&amp;F1516+2)</f>
        <v>4.3749999999999997E+82</v>
      </c>
      <c r="F1516" s="18">
        <f t="shared" si="214"/>
        <v>2417</v>
      </c>
      <c r="G1516" s="18"/>
      <c r="H1516" s="18"/>
      <c r="I1516" s="19">
        <v>1514</v>
      </c>
      <c r="J1516" s="19" cm="1">
        <f t="array" aca="1" ref="J1516" ca="1">INDIRECT("b"&amp;K1516+2)</f>
        <v>4.3750000000000001E+112</v>
      </c>
      <c r="K1516" s="19">
        <f t="shared" si="217"/>
        <v>3617</v>
      </c>
    </row>
    <row r="1517" spans="1:11">
      <c r="A1517">
        <v>1515</v>
      </c>
      <c r="B1517">
        <v>8.4250000000000001E+60</v>
      </c>
      <c r="D1517" s="18">
        <v>1515</v>
      </c>
      <c r="E1517" s="18" cm="1">
        <f t="array" aca="1" ref="E1517" ca="1">INDIRECT("b"&amp;F1517+2)</f>
        <v>4.5999999999999998E+82</v>
      </c>
      <c r="F1517" s="18">
        <f t="shared" si="214"/>
        <v>2418</v>
      </c>
      <c r="G1517" s="18">
        <f t="shared" ref="G1517" ca="1" si="226">E1517/E1512</f>
        <v>1.4153846153846152</v>
      </c>
      <c r="H1517" s="18"/>
      <c r="I1517" s="19">
        <v>1515</v>
      </c>
      <c r="J1517" s="19" cm="1">
        <f t="array" aca="1" ref="J1517" ca="1">INDIRECT("b"&amp;K1517+2)</f>
        <v>4.5999999999999999E+112</v>
      </c>
      <c r="K1517" s="19">
        <f t="shared" si="217"/>
        <v>3618</v>
      </c>
    </row>
    <row r="1518" spans="1:11">
      <c r="A1518">
        <v>1516</v>
      </c>
      <c r="B1518">
        <v>8.6500000000000002E+60</v>
      </c>
      <c r="D1518" s="18">
        <v>1516</v>
      </c>
      <c r="E1518" s="18" cm="1">
        <f t="array" aca="1" ref="E1518" ca="1">INDIRECT("b"&amp;F1518+2)</f>
        <v>5.0499999999999999E+82</v>
      </c>
      <c r="F1518" s="18">
        <f t="shared" si="214"/>
        <v>2420</v>
      </c>
      <c r="G1518" s="18"/>
      <c r="H1518" s="18"/>
      <c r="I1518" s="19">
        <v>1516</v>
      </c>
      <c r="J1518" s="19" cm="1">
        <f t="array" aca="1" ref="J1518" ca="1">INDIRECT("b"&amp;K1518+2)</f>
        <v>5.0499999999999997E+112</v>
      </c>
      <c r="K1518" s="19">
        <f t="shared" si="217"/>
        <v>3620</v>
      </c>
    </row>
    <row r="1519" spans="1:11">
      <c r="A1519">
        <v>1517</v>
      </c>
      <c r="B1519">
        <v>8.8750000000000004E+60</v>
      </c>
      <c r="D1519" s="18">
        <v>1517</v>
      </c>
      <c r="E1519" s="18" cm="1">
        <f t="array" aca="1" ref="E1519" ca="1">INDIRECT("b"&amp;F1519+2)</f>
        <v>5.2749999999999999E+82</v>
      </c>
      <c r="F1519" s="18">
        <f t="shared" si="214"/>
        <v>2421</v>
      </c>
      <c r="G1519" s="18"/>
      <c r="H1519" s="18"/>
      <c r="I1519" s="19">
        <v>1517</v>
      </c>
      <c r="J1519" s="19" cm="1">
        <f t="array" aca="1" ref="J1519" ca="1">INDIRECT("b"&amp;K1519+2)</f>
        <v>5.2750000000000004E+112</v>
      </c>
      <c r="K1519" s="19">
        <f t="shared" si="217"/>
        <v>3621</v>
      </c>
    </row>
    <row r="1520" spans="1:11">
      <c r="A1520">
        <v>1518</v>
      </c>
      <c r="B1520">
        <v>9.0999999999999976E+60</v>
      </c>
      <c r="D1520" s="18">
        <v>1518</v>
      </c>
      <c r="E1520" s="18" cm="1">
        <f t="array" aca="1" ref="E1520" ca="1">INDIRECT("b"&amp;F1520+2)</f>
        <v>5.5E+82</v>
      </c>
      <c r="F1520" s="18">
        <f t="shared" si="214"/>
        <v>2422</v>
      </c>
      <c r="G1520" s="18"/>
      <c r="H1520" s="18"/>
      <c r="I1520" s="19">
        <v>1518</v>
      </c>
      <c r="J1520" s="19" cm="1">
        <f t="array" aca="1" ref="J1520" ca="1">INDIRECT("b"&amp;K1520+2)</f>
        <v>5.5000000000000003E+112</v>
      </c>
      <c r="K1520" s="19">
        <f t="shared" si="217"/>
        <v>3622</v>
      </c>
    </row>
    <row r="1521" spans="1:11">
      <c r="A1521">
        <v>1519</v>
      </c>
      <c r="B1521">
        <v>9.3249999999999992E+60</v>
      </c>
      <c r="D1521" s="18">
        <v>1519</v>
      </c>
      <c r="E1521" s="18" cm="1">
        <f t="array" aca="1" ref="E1521" ca="1">INDIRECT("b"&amp;F1521+2)</f>
        <v>5.9499999999999994E+82</v>
      </c>
      <c r="F1521" s="18">
        <f t="shared" si="214"/>
        <v>2424</v>
      </c>
      <c r="G1521" s="18"/>
      <c r="H1521" s="18"/>
      <c r="I1521" s="19">
        <v>1519</v>
      </c>
      <c r="J1521" s="19" cm="1">
        <f t="array" aca="1" ref="J1521" ca="1">INDIRECT("b"&amp;K1521+2)</f>
        <v>5.95E+112</v>
      </c>
      <c r="K1521" s="19">
        <f t="shared" si="217"/>
        <v>3624</v>
      </c>
    </row>
    <row r="1522" spans="1:11">
      <c r="A1522">
        <v>1520</v>
      </c>
      <c r="B1522">
        <v>9.5499999999999993E+60</v>
      </c>
      <c r="D1522" s="18">
        <v>1520</v>
      </c>
      <c r="E1522" s="18" cm="1">
        <f t="array" aca="1" ref="E1522" ca="1">INDIRECT("b"&amp;F1522+2)</f>
        <v>6.1749999999999994E+82</v>
      </c>
      <c r="F1522" s="18">
        <f t="shared" si="214"/>
        <v>2425</v>
      </c>
      <c r="G1522" s="18">
        <f t="shared" ref="G1522" ca="1" si="227">E1522/E1517</f>
        <v>1.3423913043478259</v>
      </c>
      <c r="H1522" s="18"/>
      <c r="I1522" s="19">
        <v>1520</v>
      </c>
      <c r="J1522" s="19" cm="1">
        <f t="array" aca="1" ref="J1522" ca="1">INDIRECT("b"&amp;K1522+2)</f>
        <v>6.1749999999999999E+112</v>
      </c>
      <c r="K1522" s="19">
        <f t="shared" si="217"/>
        <v>3625</v>
      </c>
    </row>
    <row r="1523" spans="1:11">
      <c r="A1523">
        <v>1521</v>
      </c>
      <c r="B1523">
        <v>9.774999999999998E+60</v>
      </c>
      <c r="D1523" s="18">
        <v>1521</v>
      </c>
      <c r="E1523" s="18" cm="1">
        <f t="array" aca="1" ref="E1523" ca="1">INDIRECT("b"&amp;F1523+2)</f>
        <v>6.3999999999999995E+82</v>
      </c>
      <c r="F1523" s="18">
        <f t="shared" si="214"/>
        <v>2426</v>
      </c>
      <c r="G1523" s="18"/>
      <c r="H1523" s="18"/>
      <c r="I1523" s="19">
        <v>1521</v>
      </c>
      <c r="J1523" s="19" cm="1">
        <f t="array" aca="1" ref="J1523" ca="1">INDIRECT("b"&amp;K1523+2)</f>
        <v>6.3999999999999997E+112</v>
      </c>
      <c r="K1523" s="19">
        <f t="shared" si="217"/>
        <v>3626</v>
      </c>
    </row>
    <row r="1524" spans="1:11">
      <c r="A1524">
        <v>1522</v>
      </c>
      <c r="B1524">
        <v>9.9999999999999995E+59</v>
      </c>
      <c r="D1524" s="18">
        <v>1522</v>
      </c>
      <c r="E1524" s="18" cm="1">
        <f t="array" aca="1" ref="E1524" ca="1">INDIRECT("b"&amp;F1524+2)</f>
        <v>6.8499999999999996E+82</v>
      </c>
      <c r="F1524" s="18">
        <f t="shared" si="214"/>
        <v>2428</v>
      </c>
      <c r="G1524" s="18"/>
      <c r="H1524" s="18"/>
      <c r="I1524" s="19">
        <v>1522</v>
      </c>
      <c r="J1524" s="19" cm="1">
        <f t="array" aca="1" ref="J1524" ca="1">INDIRECT("b"&amp;K1524+2)</f>
        <v>6.8500000000000003E+112</v>
      </c>
      <c r="K1524" s="19">
        <f t="shared" si="217"/>
        <v>3628</v>
      </c>
    </row>
    <row r="1525" spans="1:11">
      <c r="A1525">
        <v>1523</v>
      </c>
      <c r="B1525">
        <v>1.2250000000000001E+60</v>
      </c>
      <c r="D1525" s="18">
        <v>1523</v>
      </c>
      <c r="E1525" s="18" cm="1">
        <f t="array" aca="1" ref="E1525" ca="1">INDIRECT("b"&amp;F1525+2)</f>
        <v>7.0749999999999996E+82</v>
      </c>
      <c r="F1525" s="18">
        <f t="shared" si="214"/>
        <v>2429</v>
      </c>
      <c r="G1525" s="18"/>
      <c r="H1525" s="18"/>
      <c r="I1525" s="19">
        <v>1523</v>
      </c>
      <c r="J1525" s="19" cm="1">
        <f t="array" aca="1" ref="J1525" ca="1">INDIRECT("b"&amp;K1525+2)</f>
        <v>7.0750000000000002E+112</v>
      </c>
      <c r="K1525" s="19">
        <f t="shared" si="217"/>
        <v>3629</v>
      </c>
    </row>
    <row r="1526" spans="1:11">
      <c r="A1526">
        <v>1524</v>
      </c>
      <c r="B1526">
        <v>1.45E+60</v>
      </c>
      <c r="D1526" s="18">
        <v>1524</v>
      </c>
      <c r="E1526" s="18" cm="1">
        <f t="array" aca="1" ref="E1526" ca="1">INDIRECT("b"&amp;F1526+2)</f>
        <v>7.2999999999999997E+82</v>
      </c>
      <c r="F1526" s="18">
        <f t="shared" si="214"/>
        <v>2430</v>
      </c>
      <c r="G1526" s="18"/>
      <c r="H1526" s="18"/>
      <c r="I1526" s="19">
        <v>1524</v>
      </c>
      <c r="J1526" s="19" cm="1">
        <f t="array" aca="1" ref="J1526" ca="1">INDIRECT("b"&amp;K1526+2)</f>
        <v>7.3E+112</v>
      </c>
      <c r="K1526" s="19">
        <f t="shared" si="217"/>
        <v>3630</v>
      </c>
    </row>
    <row r="1527" spans="1:11">
      <c r="A1527">
        <v>1525</v>
      </c>
      <c r="B1527">
        <v>1.6749999999999999E+60</v>
      </c>
      <c r="D1527" s="18">
        <v>1525</v>
      </c>
      <c r="E1527" s="18" cm="1">
        <f t="array" aca="1" ref="E1527" ca="1">INDIRECT("b"&amp;F1527+2)</f>
        <v>7.7499999999999998E+82</v>
      </c>
      <c r="F1527" s="18">
        <f t="shared" si="214"/>
        <v>2432</v>
      </c>
      <c r="G1527" s="18">
        <f t="shared" ref="G1527" ca="1" si="228">E1527/E1522</f>
        <v>1.2550607287449393</v>
      </c>
      <c r="H1527" s="18"/>
      <c r="I1527" s="19">
        <v>1525</v>
      </c>
      <c r="J1527" s="19" cm="1">
        <f t="array" aca="1" ref="J1527" ca="1">INDIRECT("b"&amp;K1527+2)</f>
        <v>7.7499999999999998E+112</v>
      </c>
      <c r="K1527" s="19">
        <f t="shared" si="217"/>
        <v>3632</v>
      </c>
    </row>
    <row r="1528" spans="1:11">
      <c r="A1528">
        <v>1526</v>
      </c>
      <c r="B1528">
        <v>1.9E+60</v>
      </c>
      <c r="D1528" s="18">
        <v>1526</v>
      </c>
      <c r="E1528" s="18" cm="1">
        <f t="array" aca="1" ref="E1528" ca="1">INDIRECT("b"&amp;F1528+2)</f>
        <v>7.9749999999999999E+82</v>
      </c>
      <c r="F1528" s="18">
        <f t="shared" si="214"/>
        <v>2433</v>
      </c>
      <c r="G1528" s="18"/>
      <c r="H1528" s="18"/>
      <c r="I1528" s="19">
        <v>1526</v>
      </c>
      <c r="J1528" s="19" cm="1">
        <f t="array" aca="1" ref="J1528" ca="1">INDIRECT("b"&amp;K1528+2)</f>
        <v>7.9749999999999996E+112</v>
      </c>
      <c r="K1528" s="19">
        <f t="shared" si="217"/>
        <v>3633</v>
      </c>
    </row>
    <row r="1529" spans="1:11">
      <c r="A1529">
        <v>1527</v>
      </c>
      <c r="B1529">
        <v>2.1250000000000002E+60</v>
      </c>
      <c r="D1529" s="18">
        <v>1527</v>
      </c>
      <c r="E1529" s="18" cm="1">
        <f t="array" aca="1" ref="E1529" ca="1">INDIRECT("b"&amp;F1529+2)</f>
        <v>8.1999999999999999E+82</v>
      </c>
      <c r="F1529" s="18">
        <f t="shared" si="214"/>
        <v>2434</v>
      </c>
      <c r="G1529" s="18"/>
      <c r="H1529" s="18"/>
      <c r="I1529" s="19">
        <v>1527</v>
      </c>
      <c r="J1529" s="19" cm="1">
        <f t="array" aca="1" ref="J1529" ca="1">INDIRECT("b"&amp;K1529+2)</f>
        <v>8.1999999999999995E+112</v>
      </c>
      <c r="K1529" s="19">
        <f t="shared" si="217"/>
        <v>3634</v>
      </c>
    </row>
    <row r="1530" spans="1:11">
      <c r="A1530">
        <v>1528</v>
      </c>
      <c r="B1530">
        <v>2.3499999999999999E+60</v>
      </c>
      <c r="D1530" s="18">
        <v>1528</v>
      </c>
      <c r="E1530" s="18" cm="1">
        <f t="array" aca="1" ref="E1530" ca="1">INDIRECT("b"&amp;F1530+2)</f>
        <v>8.65E+82</v>
      </c>
      <c r="F1530" s="18">
        <f t="shared" si="214"/>
        <v>2436</v>
      </c>
      <c r="G1530" s="18"/>
      <c r="H1530" s="18"/>
      <c r="I1530" s="19">
        <v>1528</v>
      </c>
      <c r="J1530" s="19" cm="1">
        <f t="array" aca="1" ref="J1530" ca="1">INDIRECT("b"&amp;K1530+2)</f>
        <v>8.6499999999999992E+112</v>
      </c>
      <c r="K1530" s="19">
        <f t="shared" si="217"/>
        <v>3636</v>
      </c>
    </row>
    <row r="1531" spans="1:11">
      <c r="A1531">
        <v>1529</v>
      </c>
      <c r="B1531">
        <v>2.575E+60</v>
      </c>
      <c r="D1531" s="18">
        <v>1529</v>
      </c>
      <c r="E1531" s="18" cm="1">
        <f t="array" aca="1" ref="E1531" ca="1">INDIRECT("b"&amp;F1531+2)</f>
        <v>8.8750000000000001E+82</v>
      </c>
      <c r="F1531" s="18">
        <f t="shared" si="214"/>
        <v>2437</v>
      </c>
      <c r="G1531" s="18"/>
      <c r="H1531" s="18"/>
      <c r="I1531" s="19">
        <v>1529</v>
      </c>
      <c r="J1531" s="19" cm="1">
        <f t="array" aca="1" ref="J1531" ca="1">INDIRECT("b"&amp;K1531+2)</f>
        <v>8.8750000000000008E+112</v>
      </c>
      <c r="K1531" s="19">
        <f t="shared" si="217"/>
        <v>3637</v>
      </c>
    </row>
    <row r="1532" spans="1:11">
      <c r="A1532">
        <v>1530</v>
      </c>
      <c r="B1532">
        <v>2.8000000000000001E+60</v>
      </c>
      <c r="D1532" s="18">
        <v>1530</v>
      </c>
      <c r="E1532" s="18" cm="1">
        <f t="array" aca="1" ref="E1532" ca="1">INDIRECT("b"&amp;F1532+2)</f>
        <v>9.1000000000000001E+82</v>
      </c>
      <c r="F1532" s="18">
        <f t="shared" si="214"/>
        <v>2438</v>
      </c>
      <c r="G1532" s="18">
        <f t="shared" ref="G1532" ca="1" si="229">E1532/E1527</f>
        <v>1.1741935483870969</v>
      </c>
      <c r="H1532" s="18"/>
      <c r="I1532" s="19">
        <v>1530</v>
      </c>
      <c r="J1532" s="19" cm="1">
        <f t="array" aca="1" ref="J1532" ca="1">INDIRECT("b"&amp;K1532+2)</f>
        <v>9.1000000000000007E+112</v>
      </c>
      <c r="K1532" s="19">
        <f t="shared" si="217"/>
        <v>3638</v>
      </c>
    </row>
    <row r="1533" spans="1:11">
      <c r="A1533">
        <v>1531</v>
      </c>
      <c r="B1533">
        <v>3.0249999999999999E+60</v>
      </c>
      <c r="D1533" s="18">
        <v>1531</v>
      </c>
      <c r="E1533" s="18" cm="1">
        <f t="array" aca="1" ref="E1533" ca="1">INDIRECT("b"&amp;F1533+2)</f>
        <v>9.5500000000000002E+82</v>
      </c>
      <c r="F1533" s="18">
        <f t="shared" ref="F1533:F1554" si="230">INT((A1533-123)*1.333333)+563</f>
        <v>2440</v>
      </c>
      <c r="G1533" s="18"/>
      <c r="H1533" s="18"/>
      <c r="I1533" s="19">
        <v>1531</v>
      </c>
      <c r="J1533" s="19" cm="1">
        <f t="array" aca="1" ref="J1533" ca="1">INDIRECT("b"&amp;K1533+2)</f>
        <v>9.5500000000000004E+112</v>
      </c>
      <c r="K1533" s="19">
        <f t="shared" si="217"/>
        <v>3640</v>
      </c>
    </row>
    <row r="1534" spans="1:11">
      <c r="A1534">
        <v>1532</v>
      </c>
      <c r="B1534">
        <v>3.2499999999999997E+60</v>
      </c>
      <c r="D1534" s="18">
        <v>1532</v>
      </c>
      <c r="E1534" s="18" cm="1">
        <f t="array" aca="1" ref="E1534" ca="1">INDIRECT("b"&amp;F1534+2)</f>
        <v>9.7749999999999989E+82</v>
      </c>
      <c r="F1534" s="18">
        <f t="shared" si="230"/>
        <v>2441</v>
      </c>
      <c r="G1534" s="18"/>
      <c r="H1534" s="18"/>
      <c r="I1534" s="19">
        <v>1532</v>
      </c>
      <c r="J1534" s="19" cm="1">
        <f t="array" aca="1" ref="J1534" ca="1">INDIRECT("b"&amp;K1534+2)</f>
        <v>9.7750000000000003E+112</v>
      </c>
      <c r="K1534" s="19">
        <f t="shared" si="217"/>
        <v>3641</v>
      </c>
    </row>
    <row r="1535" spans="1:11">
      <c r="A1535">
        <v>1533</v>
      </c>
      <c r="B1535">
        <v>3.4749999999999998E+60</v>
      </c>
      <c r="D1535" s="18">
        <v>1533</v>
      </c>
      <c r="E1535" s="18" cm="1">
        <f t="array" aca="1" ref="E1535" ca="1">INDIRECT("b"&amp;F1535+2)</f>
        <v>9.999999999999999E+82</v>
      </c>
      <c r="F1535" s="18">
        <f t="shared" si="230"/>
        <v>2442</v>
      </c>
      <c r="G1535" s="18"/>
      <c r="H1535" s="18"/>
      <c r="I1535" s="19">
        <v>1533</v>
      </c>
      <c r="J1535" s="19" cm="1">
        <f t="array" aca="1" ref="J1535" ca="1">INDIRECT("b"&amp;K1535+2)</f>
        <v>1E+113</v>
      </c>
      <c r="K1535" s="19">
        <f t="shared" si="217"/>
        <v>3642</v>
      </c>
    </row>
    <row r="1536" spans="1:11">
      <c r="A1536">
        <v>1534</v>
      </c>
      <c r="B1536">
        <v>3.6999999999999999E+60</v>
      </c>
      <c r="D1536" s="18">
        <v>1534</v>
      </c>
      <c r="E1536" s="18" cm="1">
        <f t="array" aca="1" ref="E1536" ca="1">INDIRECT("b"&amp;F1536+2)</f>
        <v>1.45E+83</v>
      </c>
      <c r="F1536" s="18">
        <f t="shared" si="230"/>
        <v>2444</v>
      </c>
      <c r="G1536" s="18"/>
      <c r="H1536" s="18"/>
      <c r="I1536" s="19">
        <v>1534</v>
      </c>
      <c r="J1536" s="19" cm="1">
        <f t="array" aca="1" ref="J1536" ca="1">INDIRECT("b"&amp;K1536+2)</f>
        <v>1.4499999999999999E+113</v>
      </c>
      <c r="K1536" s="19">
        <f t="shared" si="217"/>
        <v>3644</v>
      </c>
    </row>
    <row r="1537" spans="1:11">
      <c r="A1537">
        <v>1535</v>
      </c>
      <c r="B1537">
        <v>3.925E+60</v>
      </c>
      <c r="D1537" s="18">
        <v>1535</v>
      </c>
      <c r="E1537" s="18" cm="1">
        <f t="array" aca="1" ref="E1537" ca="1">INDIRECT("b"&amp;F1537+2)</f>
        <v>1.6749999999999998E+83</v>
      </c>
      <c r="F1537" s="18">
        <f t="shared" si="230"/>
        <v>2445</v>
      </c>
      <c r="G1537" s="18">
        <f t="shared" ref="G1537" ca="1" si="231">E1537/E1532</f>
        <v>1.8406593406593403</v>
      </c>
      <c r="H1537" s="18"/>
      <c r="I1537" s="19">
        <v>1535</v>
      </c>
      <c r="J1537" s="19" cm="1">
        <f t="array" aca="1" ref="J1537" ca="1">INDIRECT("b"&amp;K1537+2)</f>
        <v>1.675E+113</v>
      </c>
      <c r="K1537" s="19">
        <f t="shared" si="217"/>
        <v>3645</v>
      </c>
    </row>
    <row r="1538" spans="1:11">
      <c r="A1538">
        <v>1536</v>
      </c>
      <c r="B1538">
        <v>4.1500000000000001E+60</v>
      </c>
      <c r="D1538" s="18">
        <v>1536</v>
      </c>
      <c r="E1538" s="18" cm="1">
        <f t="array" aca="1" ref="E1538" ca="1">INDIRECT("b"&amp;F1538+2)</f>
        <v>1.8999999999999998E+83</v>
      </c>
      <c r="F1538" s="18">
        <f t="shared" si="230"/>
        <v>2446</v>
      </c>
      <c r="G1538" s="18"/>
      <c r="H1538" s="18"/>
      <c r="I1538" s="19">
        <v>1536</v>
      </c>
      <c r="J1538" s="19" cm="1">
        <f t="array" aca="1" ref="J1538" ca="1">INDIRECT("b"&amp;K1538+2)</f>
        <v>1.8999999999999998E+113</v>
      </c>
      <c r="K1538" s="19">
        <f t="shared" si="217"/>
        <v>3646</v>
      </c>
    </row>
    <row r="1539" spans="1:11">
      <c r="A1539">
        <v>1537</v>
      </c>
      <c r="B1539">
        <v>4.3750000000000002E+60</v>
      </c>
      <c r="D1539" s="18">
        <v>1537</v>
      </c>
      <c r="E1539" s="18" cm="1">
        <f t="array" aca="1" ref="E1539" ca="1">INDIRECT("b"&amp;F1539+2)</f>
        <v>2.3499999999999999E+83</v>
      </c>
      <c r="F1539" s="18">
        <f t="shared" si="230"/>
        <v>2448</v>
      </c>
      <c r="G1539" s="18"/>
      <c r="H1539" s="18"/>
      <c r="I1539" s="19">
        <v>1537</v>
      </c>
      <c r="J1539" s="19" cm="1">
        <f t="array" aca="1" ref="J1539" ca="1">INDIRECT("b"&amp;K1539+2)</f>
        <v>2.3499999999999999E+113</v>
      </c>
      <c r="K1539" s="19">
        <f t="shared" si="217"/>
        <v>3648</v>
      </c>
    </row>
    <row r="1540" spans="1:11">
      <c r="A1540">
        <v>1538</v>
      </c>
      <c r="B1540">
        <v>4.5999999999999996E+60</v>
      </c>
      <c r="D1540" s="18">
        <v>1538</v>
      </c>
      <c r="E1540" s="18" cm="1">
        <f t="array" aca="1" ref="E1540" ca="1">INDIRECT("b"&amp;F1540+2)</f>
        <v>2.575E+83</v>
      </c>
      <c r="F1540" s="18">
        <f t="shared" si="230"/>
        <v>2449</v>
      </c>
      <c r="G1540" s="18"/>
      <c r="H1540" s="18"/>
      <c r="I1540" s="19">
        <v>1538</v>
      </c>
      <c r="J1540" s="19" cm="1">
        <f t="array" aca="1" ref="J1540" ca="1">INDIRECT("b"&amp;K1540+2)</f>
        <v>2.5749999999999998E+113</v>
      </c>
      <c r="K1540" s="19">
        <f t="shared" ref="K1540:K1603" si="232">INT((A1540-1)*40/30+900*40/30)+400</f>
        <v>3649</v>
      </c>
    </row>
    <row r="1541" spans="1:11">
      <c r="A1541">
        <v>1539</v>
      </c>
      <c r="B1541">
        <v>4.8249999999999997E+60</v>
      </c>
      <c r="D1541" s="18">
        <v>1539</v>
      </c>
      <c r="E1541" s="18" cm="1">
        <f t="array" aca="1" ref="E1541" ca="1">INDIRECT("b"&amp;F1541+2)</f>
        <v>2.8E+83</v>
      </c>
      <c r="F1541" s="18">
        <f t="shared" si="230"/>
        <v>2450</v>
      </c>
      <c r="G1541" s="18"/>
      <c r="H1541" s="18"/>
      <c r="I1541" s="19">
        <v>1539</v>
      </c>
      <c r="J1541" s="19" cm="1">
        <f t="array" aca="1" ref="J1541" ca="1">INDIRECT("b"&amp;K1541+2)</f>
        <v>2.8E+113</v>
      </c>
      <c r="K1541" s="19">
        <f t="shared" si="232"/>
        <v>3650</v>
      </c>
    </row>
    <row r="1542" spans="1:11">
      <c r="A1542">
        <v>1540</v>
      </c>
      <c r="B1542">
        <v>5.0499999999999999E+60</v>
      </c>
      <c r="D1542" s="18">
        <v>1540</v>
      </c>
      <c r="E1542" s="18" cm="1">
        <f t="array" aca="1" ref="E1542" ca="1">INDIRECT("b"&amp;F1542+2)</f>
        <v>3.2499999999999996E+83</v>
      </c>
      <c r="F1542" s="18">
        <f t="shared" si="230"/>
        <v>2452</v>
      </c>
      <c r="G1542" s="18">
        <f t="shared" ref="G1542" ca="1" si="233">E1542/E1537</f>
        <v>1.9402985074626866</v>
      </c>
      <c r="H1542" s="18"/>
      <c r="I1542" s="19">
        <v>1540</v>
      </c>
      <c r="J1542" s="19" cm="1">
        <f t="array" aca="1" ref="J1542" ca="1">INDIRECT("b"&amp;K1542+2)</f>
        <v>3.2500000000000001E+113</v>
      </c>
      <c r="K1542" s="19">
        <f t="shared" si="232"/>
        <v>3652</v>
      </c>
    </row>
    <row r="1543" spans="1:11">
      <c r="A1543">
        <v>1541</v>
      </c>
      <c r="B1543">
        <v>5.275E+60</v>
      </c>
      <c r="D1543" s="18">
        <v>1541</v>
      </c>
      <c r="E1543" s="18" cm="1">
        <f t="array" aca="1" ref="E1543" ca="1">INDIRECT("b"&amp;F1543+2)</f>
        <v>3.4749999999999996E+83</v>
      </c>
      <c r="F1543" s="18">
        <f t="shared" si="230"/>
        <v>2453</v>
      </c>
      <c r="G1543" s="18"/>
      <c r="H1543" s="18"/>
      <c r="I1543" s="19">
        <v>1541</v>
      </c>
      <c r="J1543" s="19" cm="1">
        <f t="array" aca="1" ref="J1543" ca="1">INDIRECT("b"&amp;K1543+2)</f>
        <v>3.4749999999999999E+113</v>
      </c>
      <c r="K1543" s="19">
        <f t="shared" si="232"/>
        <v>3653</v>
      </c>
    </row>
    <row r="1544" spans="1:11">
      <c r="A1544">
        <v>1542</v>
      </c>
      <c r="B1544">
        <v>5.5000000000000001E+60</v>
      </c>
      <c r="D1544" s="18">
        <v>1542</v>
      </c>
      <c r="E1544" s="18" cm="1">
        <f t="array" aca="1" ref="E1544" ca="1">INDIRECT("b"&amp;F1544+2)</f>
        <v>3.6999999999999997E+83</v>
      </c>
      <c r="F1544" s="18">
        <f t="shared" si="230"/>
        <v>2454</v>
      </c>
      <c r="G1544" s="18"/>
      <c r="H1544" s="18"/>
      <c r="I1544" s="19">
        <v>1542</v>
      </c>
      <c r="J1544" s="19" cm="1">
        <f t="array" aca="1" ref="J1544" ca="1">INDIRECT("b"&amp;K1544+2)</f>
        <v>3.6999999999999998E+113</v>
      </c>
      <c r="K1544" s="19">
        <f t="shared" si="232"/>
        <v>3654</v>
      </c>
    </row>
    <row r="1545" spans="1:11">
      <c r="A1545">
        <v>1543</v>
      </c>
      <c r="B1545">
        <v>5.7250000000000002E+60</v>
      </c>
      <c r="D1545" s="18">
        <v>1543</v>
      </c>
      <c r="E1545" s="18" cm="1">
        <f t="array" aca="1" ref="E1545" ca="1">INDIRECT("b"&amp;F1545+2)</f>
        <v>4.1499999999999998E+83</v>
      </c>
      <c r="F1545" s="18">
        <f t="shared" si="230"/>
        <v>2456</v>
      </c>
      <c r="G1545" s="18"/>
      <c r="H1545" s="18"/>
      <c r="I1545" s="19">
        <v>1543</v>
      </c>
      <c r="J1545" s="19" cm="1">
        <f t="array" aca="1" ref="J1545" ca="1">INDIRECT("b"&amp;K1545+2)</f>
        <v>4.1499999999999995E+113</v>
      </c>
      <c r="K1545" s="19">
        <f t="shared" si="232"/>
        <v>3656</v>
      </c>
    </row>
    <row r="1546" spans="1:11">
      <c r="A1546">
        <v>1544</v>
      </c>
      <c r="B1546">
        <v>5.9500000000000003E+60</v>
      </c>
      <c r="D1546" s="18">
        <v>1544</v>
      </c>
      <c r="E1546" s="18" cm="1">
        <f t="array" aca="1" ref="E1546" ca="1">INDIRECT("b"&amp;F1546+2)</f>
        <v>4.3749999999999998E+83</v>
      </c>
      <c r="F1546" s="18">
        <f t="shared" si="230"/>
        <v>2457</v>
      </c>
      <c r="G1546" s="18"/>
      <c r="H1546" s="18"/>
      <c r="I1546" s="19">
        <v>1544</v>
      </c>
      <c r="J1546" s="19" cm="1">
        <f t="array" aca="1" ref="J1546" ca="1">INDIRECT("b"&amp;K1546+2)</f>
        <v>4.3750000000000001E+113</v>
      </c>
      <c r="K1546" s="19">
        <f t="shared" si="232"/>
        <v>3657</v>
      </c>
    </row>
    <row r="1547" spans="1:11">
      <c r="A1547">
        <v>1545</v>
      </c>
      <c r="B1547">
        <v>6.1749999999999997E+60</v>
      </c>
      <c r="D1547" s="18">
        <v>1545</v>
      </c>
      <c r="E1547" s="18" cm="1">
        <f t="array" aca="1" ref="E1547" ca="1">INDIRECT("b"&amp;F1547+2)</f>
        <v>4.5999999999999999E+83</v>
      </c>
      <c r="F1547" s="18">
        <f t="shared" si="230"/>
        <v>2458</v>
      </c>
      <c r="G1547" s="18">
        <f t="shared" ref="G1547" ca="1" si="234">E1547/E1542</f>
        <v>1.4153846153846155</v>
      </c>
      <c r="H1547" s="18"/>
      <c r="I1547" s="19">
        <v>1545</v>
      </c>
      <c r="J1547" s="19" cm="1">
        <f t="array" aca="1" ref="J1547" ca="1">INDIRECT("b"&amp;K1547+2)</f>
        <v>4.5999999999999999E+113</v>
      </c>
      <c r="K1547" s="19">
        <f t="shared" si="232"/>
        <v>3658</v>
      </c>
    </row>
    <row r="1548" spans="1:11">
      <c r="A1548">
        <v>1546</v>
      </c>
      <c r="B1548">
        <v>6.3999999999999998E+60</v>
      </c>
      <c r="D1548" s="18">
        <v>1546</v>
      </c>
      <c r="E1548" s="18" cm="1">
        <f t="array" aca="1" ref="E1548" ca="1">INDIRECT("b"&amp;F1548+2)</f>
        <v>5.0499999999999995E+83</v>
      </c>
      <c r="F1548" s="18">
        <f t="shared" si="230"/>
        <v>2460</v>
      </c>
      <c r="G1548" s="18"/>
      <c r="H1548" s="18"/>
      <c r="I1548" s="19">
        <v>1546</v>
      </c>
      <c r="J1548" s="19" cm="1">
        <f t="array" aca="1" ref="J1548" ca="1">INDIRECT("b"&amp;K1548+2)</f>
        <v>5.0499999999999997E+113</v>
      </c>
      <c r="K1548" s="19">
        <f t="shared" si="232"/>
        <v>3660</v>
      </c>
    </row>
    <row r="1549" spans="1:11">
      <c r="A1549">
        <v>1547</v>
      </c>
      <c r="B1549">
        <v>6.6250000000000006E+60</v>
      </c>
      <c r="D1549" s="18">
        <v>1547</v>
      </c>
      <c r="E1549" s="18" cm="1">
        <f t="array" aca="1" ref="E1549" ca="1">INDIRECT("b"&amp;F1549+2)</f>
        <v>5.2750000000000001E+83</v>
      </c>
      <c r="F1549" s="18">
        <f t="shared" si="230"/>
        <v>2461</v>
      </c>
      <c r="G1549" s="18"/>
      <c r="H1549" s="18"/>
      <c r="I1549" s="19">
        <v>1547</v>
      </c>
      <c r="J1549" s="19" cm="1">
        <f t="array" aca="1" ref="J1549" ca="1">INDIRECT("b"&amp;K1549+2)</f>
        <v>5.2749999999999995E+113</v>
      </c>
      <c r="K1549" s="19">
        <f t="shared" si="232"/>
        <v>3661</v>
      </c>
    </row>
    <row r="1550" spans="1:11">
      <c r="A1550">
        <v>1548</v>
      </c>
      <c r="B1550">
        <v>6.8499999999999993E+60</v>
      </c>
      <c r="D1550" s="18">
        <v>1548</v>
      </c>
      <c r="E1550" s="18" cm="1">
        <f t="array" aca="1" ref="E1550" ca="1">INDIRECT("b"&amp;F1550+2)</f>
        <v>5.4999999999999996E+83</v>
      </c>
      <c r="F1550" s="18">
        <f t="shared" si="230"/>
        <v>2462</v>
      </c>
      <c r="G1550" s="18"/>
      <c r="H1550" s="18"/>
      <c r="I1550" s="19">
        <v>1548</v>
      </c>
      <c r="J1550" s="19" cm="1">
        <f t="array" aca="1" ref="J1550" ca="1">INDIRECT("b"&amp;K1550+2)</f>
        <v>5.4999999999999994E+113</v>
      </c>
      <c r="K1550" s="19">
        <f t="shared" si="232"/>
        <v>3662</v>
      </c>
    </row>
    <row r="1551" spans="1:11">
      <c r="A1551">
        <v>1549</v>
      </c>
      <c r="B1551">
        <v>7.0749999999999994E+60</v>
      </c>
      <c r="D1551" s="18">
        <v>1549</v>
      </c>
      <c r="E1551" s="18" cm="1">
        <f t="array" aca="1" ref="E1551" ca="1">INDIRECT("b"&amp;F1551+2)</f>
        <v>5.9499999999999997E+83</v>
      </c>
      <c r="F1551" s="18">
        <f t="shared" si="230"/>
        <v>2464</v>
      </c>
      <c r="G1551" s="18"/>
      <c r="H1551" s="18"/>
      <c r="I1551" s="19">
        <v>1549</v>
      </c>
      <c r="J1551" s="19" cm="1">
        <f t="array" aca="1" ref="J1551" ca="1">INDIRECT("b"&amp;K1551+2)</f>
        <v>5.9499999999999998E+113</v>
      </c>
      <c r="K1551" s="19">
        <f t="shared" si="232"/>
        <v>3664</v>
      </c>
    </row>
    <row r="1552" spans="1:11">
      <c r="A1552">
        <v>1550</v>
      </c>
      <c r="B1552">
        <v>7.2999999999999996E+60</v>
      </c>
      <c r="D1552" s="18">
        <v>1550</v>
      </c>
      <c r="E1552" s="18" cm="1">
        <f t="array" aca="1" ref="E1552" ca="1">INDIRECT("b"&amp;F1552+2)</f>
        <v>6.1749999999999992E+83</v>
      </c>
      <c r="F1552" s="18">
        <f t="shared" si="230"/>
        <v>2465</v>
      </c>
      <c r="G1552" s="18">
        <f t="shared" ref="G1552" ca="1" si="235">E1552/E1547</f>
        <v>1.3423913043478259</v>
      </c>
      <c r="H1552" s="18"/>
      <c r="I1552" s="19">
        <v>1550</v>
      </c>
      <c r="J1552" s="19" cm="1">
        <f t="array" aca="1" ref="J1552" ca="1">INDIRECT("b"&amp;K1552+2)</f>
        <v>6.174999999999999E+113</v>
      </c>
      <c r="K1552" s="19">
        <f t="shared" si="232"/>
        <v>3665</v>
      </c>
    </row>
    <row r="1553" spans="1:11">
      <c r="A1553">
        <v>1551</v>
      </c>
      <c r="B1553">
        <v>7.5249999999999997E+60</v>
      </c>
      <c r="D1553" s="18">
        <v>1551</v>
      </c>
      <c r="E1553" s="18" cm="1">
        <f t="array" aca="1" ref="E1553" ca="1">INDIRECT("b"&amp;F1553+2)</f>
        <v>6.3999999999999998E+83</v>
      </c>
      <c r="F1553" s="18">
        <f t="shared" si="230"/>
        <v>2466</v>
      </c>
      <c r="G1553" s="18"/>
      <c r="H1553" s="18"/>
      <c r="I1553" s="19">
        <v>1551</v>
      </c>
      <c r="J1553" s="19" cm="1">
        <f t="array" aca="1" ref="J1553" ca="1">INDIRECT("b"&amp;K1553+2)</f>
        <v>6.3999999999999996E+113</v>
      </c>
      <c r="K1553" s="19">
        <f t="shared" si="232"/>
        <v>3666</v>
      </c>
    </row>
    <row r="1554" spans="1:11">
      <c r="A1554">
        <v>1552</v>
      </c>
      <c r="B1554">
        <v>7.7499999999999998E+60</v>
      </c>
      <c r="D1554" s="18">
        <v>1552</v>
      </c>
      <c r="E1554" s="18" cm="1">
        <f t="array" aca="1" ref="E1554" ca="1">INDIRECT("b"&amp;F1554+2)</f>
        <v>6.8499999999999999E+83</v>
      </c>
      <c r="F1554" s="18">
        <f t="shared" si="230"/>
        <v>2468</v>
      </c>
      <c r="G1554" s="18"/>
      <c r="H1554" s="18"/>
      <c r="I1554" s="19">
        <v>1552</v>
      </c>
      <c r="J1554" s="19" cm="1">
        <f t="array" aca="1" ref="J1554" ca="1">INDIRECT("b"&amp;K1554+2)</f>
        <v>6.8499999999999993E+113</v>
      </c>
      <c r="K1554" s="19">
        <f t="shared" si="232"/>
        <v>3668</v>
      </c>
    </row>
    <row r="1555" spans="1:11">
      <c r="A1555">
        <v>1553</v>
      </c>
      <c r="B1555">
        <v>7.9749999999999999E+60</v>
      </c>
      <c r="D1555" s="18">
        <v>1553</v>
      </c>
      <c r="E1555" s="18" cm="1">
        <f t="array" aca="1" ref="E1555" ca="1">INDIRECT("b"&amp;F1555+2)</f>
        <v>7.0749999999999994E+83</v>
      </c>
      <c r="F1555" s="18">
        <f t="shared" ref="F1555:F1618" si="236">INT((A1555-123)*1.333333)+563</f>
        <v>2469</v>
      </c>
      <c r="G1555" s="18"/>
      <c r="H1555" s="18"/>
      <c r="I1555" s="19">
        <v>1553</v>
      </c>
      <c r="J1555" s="19" cm="1">
        <f t="array" aca="1" ref="J1555" ca="1">INDIRECT("b"&amp;K1555+2)</f>
        <v>7.0749999999999998E+113</v>
      </c>
      <c r="K1555" s="19">
        <f t="shared" si="232"/>
        <v>3669</v>
      </c>
    </row>
    <row r="1556" spans="1:11">
      <c r="A1556">
        <v>1554</v>
      </c>
      <c r="B1556">
        <v>8.2E+60</v>
      </c>
      <c r="D1556" s="18">
        <v>1554</v>
      </c>
      <c r="E1556" s="18" cm="1">
        <f t="array" aca="1" ref="E1556" ca="1">INDIRECT("b"&amp;F1556+2)</f>
        <v>7.3E+83</v>
      </c>
      <c r="F1556" s="18">
        <f t="shared" si="236"/>
        <v>2470</v>
      </c>
      <c r="G1556" s="18"/>
      <c r="H1556" s="18"/>
      <c r="I1556" s="19">
        <v>1554</v>
      </c>
      <c r="J1556" s="19" cm="1">
        <f t="array" aca="1" ref="J1556" ca="1">INDIRECT("b"&amp;K1556+2)</f>
        <v>7.299999999999999E+113</v>
      </c>
      <c r="K1556" s="19">
        <f t="shared" si="232"/>
        <v>3670</v>
      </c>
    </row>
    <row r="1557" spans="1:11">
      <c r="A1557">
        <v>1555</v>
      </c>
      <c r="B1557">
        <v>8.4250000000000001E+60</v>
      </c>
      <c r="D1557" s="18">
        <v>1555</v>
      </c>
      <c r="E1557" s="18" cm="1">
        <f t="array" aca="1" ref="E1557" ca="1">INDIRECT("b"&amp;F1557+2)</f>
        <v>7.749999999999999E+83</v>
      </c>
      <c r="F1557" s="18">
        <f t="shared" si="236"/>
        <v>2472</v>
      </c>
      <c r="G1557" s="18">
        <f t="shared" ref="G1557" ca="1" si="237">E1557/E1552</f>
        <v>1.2550607287449393</v>
      </c>
      <c r="H1557" s="18"/>
      <c r="I1557" s="19">
        <v>1555</v>
      </c>
      <c r="J1557" s="19" cm="1">
        <f t="array" aca="1" ref="J1557" ca="1">INDIRECT("b"&amp;K1557+2)</f>
        <v>7.7500000000000001E+113</v>
      </c>
      <c r="K1557" s="19">
        <f t="shared" si="232"/>
        <v>3672</v>
      </c>
    </row>
    <row r="1558" spans="1:11">
      <c r="A1558">
        <v>1556</v>
      </c>
      <c r="B1558">
        <v>8.6500000000000002E+60</v>
      </c>
      <c r="D1558" s="18">
        <v>1556</v>
      </c>
      <c r="E1558" s="18" cm="1">
        <f t="array" aca="1" ref="E1558" ca="1">INDIRECT("b"&amp;F1558+2)</f>
        <v>7.9749999999999996E+83</v>
      </c>
      <c r="F1558" s="18">
        <f t="shared" si="236"/>
        <v>2473</v>
      </c>
      <c r="G1558" s="18"/>
      <c r="H1558" s="18"/>
      <c r="I1558" s="19">
        <v>1556</v>
      </c>
      <c r="J1558" s="19" cm="1">
        <f t="array" aca="1" ref="J1558" ca="1">INDIRECT("b"&amp;K1558+2)</f>
        <v>7.9749999999999993E+113</v>
      </c>
      <c r="K1558" s="19">
        <f t="shared" si="232"/>
        <v>3673</v>
      </c>
    </row>
    <row r="1559" spans="1:11">
      <c r="A1559">
        <v>1557</v>
      </c>
      <c r="B1559">
        <v>8.8750000000000004E+60</v>
      </c>
      <c r="D1559" s="18">
        <v>1557</v>
      </c>
      <c r="E1559" s="18" cm="1">
        <f t="array" aca="1" ref="E1559" ca="1">INDIRECT("b"&amp;F1559+2)</f>
        <v>8.1999999999999991E+83</v>
      </c>
      <c r="F1559" s="18">
        <f t="shared" si="236"/>
        <v>2474</v>
      </c>
      <c r="G1559" s="18"/>
      <c r="H1559" s="18"/>
      <c r="I1559" s="19">
        <v>1557</v>
      </c>
      <c r="J1559" s="19" cm="1">
        <f t="array" aca="1" ref="J1559" ca="1">INDIRECT("b"&amp;K1559+2)</f>
        <v>8.1999999999999999E+113</v>
      </c>
      <c r="K1559" s="19">
        <f t="shared" si="232"/>
        <v>3674</v>
      </c>
    </row>
    <row r="1560" spans="1:11">
      <c r="A1560">
        <v>1558</v>
      </c>
      <c r="B1560">
        <v>9.1000000000000005E+60</v>
      </c>
      <c r="D1560" s="18">
        <v>1558</v>
      </c>
      <c r="E1560" s="18" cm="1">
        <f t="array" aca="1" ref="E1560" ca="1">INDIRECT("b"&amp;F1560+2)</f>
        <v>8.6499999999999992E+83</v>
      </c>
      <c r="F1560" s="18">
        <f t="shared" si="236"/>
        <v>2476</v>
      </c>
      <c r="G1560" s="18"/>
      <c r="H1560" s="18"/>
      <c r="I1560" s="19">
        <v>1558</v>
      </c>
      <c r="J1560" s="19" cm="1">
        <f t="array" aca="1" ref="J1560" ca="1">INDIRECT("b"&amp;K1560+2)</f>
        <v>8.6499999999999996E+113</v>
      </c>
      <c r="K1560" s="19">
        <f t="shared" si="232"/>
        <v>3676</v>
      </c>
    </row>
    <row r="1561" spans="1:11">
      <c r="A1561">
        <v>1559</v>
      </c>
      <c r="B1561">
        <v>9.3250000000000006E+60</v>
      </c>
      <c r="D1561" s="18">
        <v>1559</v>
      </c>
      <c r="E1561" s="18" cm="1">
        <f t="array" aca="1" ref="E1561" ca="1">INDIRECT("b"&amp;F1561+2)</f>
        <v>8.8749999999999998E+83</v>
      </c>
      <c r="F1561" s="18">
        <f t="shared" si="236"/>
        <v>2477</v>
      </c>
      <c r="G1561" s="18"/>
      <c r="H1561" s="18"/>
      <c r="I1561" s="19">
        <v>1559</v>
      </c>
      <c r="J1561" s="19" cm="1">
        <f t="array" aca="1" ref="J1561" ca="1">INDIRECT("b"&amp;K1561+2)</f>
        <v>8.8749999999999988E+113</v>
      </c>
      <c r="K1561" s="19">
        <f t="shared" si="232"/>
        <v>3677</v>
      </c>
    </row>
    <row r="1562" spans="1:11">
      <c r="A1562">
        <v>1560</v>
      </c>
      <c r="B1562">
        <v>9.5499999999999993E+60</v>
      </c>
      <c r="D1562" s="18">
        <v>1560</v>
      </c>
      <c r="E1562" s="18" cm="1">
        <f t="array" aca="1" ref="E1562" ca="1">INDIRECT("b"&amp;F1562+2)</f>
        <v>9.0999999999999993E+83</v>
      </c>
      <c r="F1562" s="18">
        <f t="shared" si="236"/>
        <v>2478</v>
      </c>
      <c r="G1562" s="18">
        <f t="shared" ref="G1562" ca="1" si="238">E1562/E1557</f>
        <v>1.1741935483870969</v>
      </c>
      <c r="H1562" s="18"/>
      <c r="I1562" s="19">
        <v>1560</v>
      </c>
      <c r="J1562" s="19" cm="1">
        <f t="array" aca="1" ref="J1562" ca="1">INDIRECT("b"&amp;K1562+2)</f>
        <v>9.0999999999999993E+113</v>
      </c>
      <c r="K1562" s="19">
        <f t="shared" si="232"/>
        <v>3678</v>
      </c>
    </row>
    <row r="1563" spans="1:11">
      <c r="A1563">
        <v>1561</v>
      </c>
      <c r="B1563">
        <v>9.7749999999999994E+60</v>
      </c>
      <c r="D1563" s="18">
        <v>1561</v>
      </c>
      <c r="E1563" s="18" cm="1">
        <f t="array" aca="1" ref="E1563" ca="1">INDIRECT("b"&amp;F1563+2)</f>
        <v>9.5499999999999994E+83</v>
      </c>
      <c r="F1563" s="18">
        <f t="shared" si="236"/>
        <v>2480</v>
      </c>
      <c r="G1563" s="18"/>
      <c r="H1563" s="18"/>
      <c r="I1563" s="19">
        <v>1561</v>
      </c>
      <c r="J1563" s="19" cm="1">
        <f t="array" aca="1" ref="J1563" ca="1">INDIRECT("b"&amp;K1563+2)</f>
        <v>9.5499999999999991E+113</v>
      </c>
      <c r="K1563" s="19">
        <f t="shared" si="232"/>
        <v>3680</v>
      </c>
    </row>
    <row r="1564" spans="1:11">
      <c r="A1564">
        <v>1562</v>
      </c>
      <c r="B1564">
        <v>9.9999999999999995E+60</v>
      </c>
      <c r="D1564" s="18">
        <v>1562</v>
      </c>
      <c r="E1564" s="18" cm="1">
        <f t="array" aca="1" ref="E1564" ca="1">INDIRECT("b"&amp;F1564+2)</f>
        <v>9.775E+83</v>
      </c>
      <c r="F1564" s="18">
        <f t="shared" si="236"/>
        <v>2481</v>
      </c>
      <c r="G1564" s="18"/>
      <c r="H1564" s="18"/>
      <c r="I1564" s="19">
        <v>1562</v>
      </c>
      <c r="J1564" s="19" cm="1">
        <f t="array" aca="1" ref="J1564" ca="1">INDIRECT("b"&amp;K1564+2)</f>
        <v>9.7749999999999996E+113</v>
      </c>
      <c r="K1564" s="19">
        <f t="shared" si="232"/>
        <v>3681</v>
      </c>
    </row>
    <row r="1565" spans="1:11">
      <c r="A1565">
        <v>1563</v>
      </c>
      <c r="B1565">
        <v>1.2250000000000001E+61</v>
      </c>
      <c r="D1565" s="18">
        <v>1563</v>
      </c>
      <c r="E1565" s="18" cm="1">
        <f t="array" aca="1" ref="E1565" ca="1">INDIRECT("b"&amp;F1565+2)</f>
        <v>1.0000000000000001E+84</v>
      </c>
      <c r="F1565" s="18">
        <f t="shared" si="236"/>
        <v>2482</v>
      </c>
      <c r="G1565" s="18"/>
      <c r="H1565" s="18"/>
      <c r="I1565" s="19">
        <v>1563</v>
      </c>
      <c r="J1565" s="19" cm="1">
        <f t="array" aca="1" ref="J1565" ca="1">INDIRECT("b"&amp;K1565+2)</f>
        <v>1.0000000000000002E+114</v>
      </c>
      <c r="K1565" s="19">
        <f t="shared" si="232"/>
        <v>3682</v>
      </c>
    </row>
    <row r="1566" spans="1:11">
      <c r="A1566">
        <v>1564</v>
      </c>
      <c r="B1566">
        <v>1.45E+61</v>
      </c>
      <c r="D1566" s="18">
        <v>1564</v>
      </c>
      <c r="E1566" s="18" cm="1">
        <f t="array" aca="1" ref="E1566" ca="1">INDIRECT("b"&amp;F1566+2)</f>
        <v>1.4500000000000002E+84</v>
      </c>
      <c r="F1566" s="18">
        <f t="shared" si="236"/>
        <v>2484</v>
      </c>
      <c r="G1566" s="18"/>
      <c r="H1566" s="18"/>
      <c r="I1566" s="19">
        <v>1564</v>
      </c>
      <c r="J1566" s="19" cm="1">
        <f t="array" aca="1" ref="J1566" ca="1">INDIRECT("b"&amp;K1566+2)</f>
        <v>1.45E+114</v>
      </c>
      <c r="K1566" s="19">
        <f t="shared" si="232"/>
        <v>3684</v>
      </c>
    </row>
    <row r="1567" spans="1:11">
      <c r="A1567">
        <v>1565</v>
      </c>
      <c r="B1567">
        <v>1.6749999999999999E+61</v>
      </c>
      <c r="D1567" s="18">
        <v>1565</v>
      </c>
      <c r="E1567" s="18" cm="1">
        <f t="array" aca="1" ref="E1567" ca="1">INDIRECT("b"&amp;F1567+2)</f>
        <v>1.6750000000000001E+84</v>
      </c>
      <c r="F1567" s="18">
        <f t="shared" si="236"/>
        <v>2485</v>
      </c>
      <c r="G1567" s="18">
        <f t="shared" ref="G1567" ca="1" si="239">E1567/E1562</f>
        <v>1.840659340659341</v>
      </c>
      <c r="H1567" s="18"/>
      <c r="I1567" s="19">
        <v>1565</v>
      </c>
      <c r="J1567" s="19" cm="1">
        <f t="array" aca="1" ref="J1567" ca="1">INDIRECT("b"&amp;K1567+2)</f>
        <v>1.675E+114</v>
      </c>
      <c r="K1567" s="19">
        <f t="shared" si="232"/>
        <v>3685</v>
      </c>
    </row>
    <row r="1568" spans="1:11">
      <c r="A1568">
        <v>1566</v>
      </c>
      <c r="B1568">
        <v>1.9E+61</v>
      </c>
      <c r="D1568" s="18">
        <v>1566</v>
      </c>
      <c r="E1568" s="18" cm="1">
        <f t="array" aca="1" ref="E1568" ca="1">INDIRECT("b"&amp;F1568+2)</f>
        <v>1.9E+84</v>
      </c>
      <c r="F1568" s="18">
        <f t="shared" si="236"/>
        <v>2486</v>
      </c>
      <c r="G1568" s="18"/>
      <c r="H1568" s="18"/>
      <c r="I1568" s="19">
        <v>1566</v>
      </c>
      <c r="J1568" s="19" cm="1">
        <f t="array" aca="1" ref="J1568" ca="1">INDIRECT("b"&amp;K1568+2)</f>
        <v>1.9000000000000003E+114</v>
      </c>
      <c r="K1568" s="19">
        <f t="shared" si="232"/>
        <v>3686</v>
      </c>
    </row>
    <row r="1569" spans="1:11">
      <c r="A1569">
        <v>1567</v>
      </c>
      <c r="B1569">
        <v>2.1250000000000001E+61</v>
      </c>
      <c r="D1569" s="18">
        <v>1567</v>
      </c>
      <c r="E1569" s="18" cm="1">
        <f t="array" aca="1" ref="E1569" ca="1">INDIRECT("b"&amp;F1569+2)</f>
        <v>2.3499999999999999E+84</v>
      </c>
      <c r="F1569" s="18">
        <f t="shared" si="236"/>
        <v>2488</v>
      </c>
      <c r="G1569" s="18"/>
      <c r="H1569" s="18"/>
      <c r="I1569" s="19">
        <v>1567</v>
      </c>
      <c r="J1569" s="19" cm="1">
        <f t="array" aca="1" ref="J1569" ca="1">INDIRECT("b"&amp;K1569+2)</f>
        <v>2.3500000000000003E+114</v>
      </c>
      <c r="K1569" s="19">
        <f t="shared" si="232"/>
        <v>3688</v>
      </c>
    </row>
    <row r="1570" spans="1:11">
      <c r="A1570">
        <v>1568</v>
      </c>
      <c r="B1570">
        <v>2.3499999999999999E+61</v>
      </c>
      <c r="D1570" s="18">
        <v>1568</v>
      </c>
      <c r="E1570" s="18" cm="1">
        <f t="array" aca="1" ref="E1570" ca="1">INDIRECT("b"&amp;F1570+2)</f>
        <v>2.5750000000000001E+84</v>
      </c>
      <c r="F1570" s="18">
        <f t="shared" si="236"/>
        <v>2489</v>
      </c>
      <c r="G1570" s="18"/>
      <c r="H1570" s="18"/>
      <c r="I1570" s="19">
        <v>1568</v>
      </c>
      <c r="J1570" s="19" cm="1">
        <f t="array" aca="1" ref="J1570" ca="1">INDIRECT("b"&amp;K1570+2)</f>
        <v>2.575E+114</v>
      </c>
      <c r="K1570" s="19">
        <f t="shared" si="232"/>
        <v>3689</v>
      </c>
    </row>
    <row r="1571" spans="1:11">
      <c r="A1571">
        <v>1569</v>
      </c>
      <c r="B1571">
        <v>2.575E+61</v>
      </c>
      <c r="D1571" s="18">
        <v>1569</v>
      </c>
      <c r="E1571" s="18" cm="1">
        <f t="array" aca="1" ref="E1571" ca="1">INDIRECT("b"&amp;F1571+2)</f>
        <v>2.8000000000000002E+84</v>
      </c>
      <c r="F1571" s="18">
        <f t="shared" si="236"/>
        <v>2490</v>
      </c>
      <c r="G1571" s="18"/>
      <c r="H1571" s="18"/>
      <c r="I1571" s="19">
        <v>1569</v>
      </c>
      <c r="J1571" s="19" cm="1">
        <f t="array" aca="1" ref="J1571" ca="1">INDIRECT("b"&amp;K1571+2)</f>
        <v>2.8E+114</v>
      </c>
      <c r="K1571" s="19">
        <f t="shared" si="232"/>
        <v>3690</v>
      </c>
    </row>
    <row r="1572" spans="1:11">
      <c r="A1572">
        <v>1570</v>
      </c>
      <c r="B1572">
        <v>2.8000000000000001E+61</v>
      </c>
      <c r="D1572" s="18">
        <v>1570</v>
      </c>
      <c r="E1572" s="18" cm="1">
        <f t="array" aca="1" ref="E1572" ca="1">INDIRECT("b"&amp;F1572+2)</f>
        <v>3.2500000000000001E+84</v>
      </c>
      <c r="F1572" s="18">
        <f t="shared" si="236"/>
        <v>2492</v>
      </c>
      <c r="G1572" s="18">
        <f t="shared" ref="G1572" ca="1" si="240">E1572/E1567</f>
        <v>1.9402985074626866</v>
      </c>
      <c r="H1572" s="18"/>
      <c r="I1572" s="19">
        <v>1570</v>
      </c>
      <c r="J1572" s="19" cm="1">
        <f t="array" aca="1" ref="J1572" ca="1">INDIRECT("b"&amp;K1572+2)</f>
        <v>3.2500000000000001E+114</v>
      </c>
      <c r="K1572" s="19">
        <f t="shared" si="232"/>
        <v>3692</v>
      </c>
    </row>
    <row r="1573" spans="1:11">
      <c r="A1573">
        <v>1571</v>
      </c>
      <c r="B1573">
        <v>3.0250000000000003E+61</v>
      </c>
      <c r="D1573" s="18">
        <v>1571</v>
      </c>
      <c r="E1573" s="18" cm="1">
        <f t="array" aca="1" ref="E1573" ca="1">INDIRECT("b"&amp;F1573+2)</f>
        <v>3.4750000000000003E+84</v>
      </c>
      <c r="F1573" s="18">
        <f t="shared" si="236"/>
        <v>2493</v>
      </c>
      <c r="G1573" s="18"/>
      <c r="H1573" s="18"/>
      <c r="I1573" s="19">
        <v>1571</v>
      </c>
      <c r="J1573" s="19" cm="1">
        <f t="array" aca="1" ref="J1573" ca="1">INDIRECT("b"&amp;K1573+2)</f>
        <v>3.4750000000000001E+114</v>
      </c>
      <c r="K1573" s="19">
        <f t="shared" si="232"/>
        <v>3693</v>
      </c>
    </row>
    <row r="1574" spans="1:11">
      <c r="A1574">
        <v>1572</v>
      </c>
      <c r="B1574">
        <v>3.2499999999999998E+61</v>
      </c>
      <c r="D1574" s="18">
        <v>1572</v>
      </c>
      <c r="E1574" s="18" cm="1">
        <f t="array" aca="1" ref="E1574" ca="1">INDIRECT("b"&amp;F1574+2)</f>
        <v>3.7E+84</v>
      </c>
      <c r="F1574" s="18">
        <f t="shared" si="236"/>
        <v>2494</v>
      </c>
      <c r="G1574" s="18"/>
      <c r="H1574" s="18"/>
      <c r="I1574" s="19">
        <v>1572</v>
      </c>
      <c r="J1574" s="19" cm="1">
        <f t="array" aca="1" ref="J1574" ca="1">INDIRECT("b"&amp;K1574+2)</f>
        <v>3.7000000000000006E+114</v>
      </c>
      <c r="K1574" s="19">
        <f t="shared" si="232"/>
        <v>3694</v>
      </c>
    </row>
    <row r="1575" spans="1:11">
      <c r="A1575">
        <v>1573</v>
      </c>
      <c r="B1575">
        <v>3.4749999999999999E+61</v>
      </c>
      <c r="D1575" s="18">
        <v>1573</v>
      </c>
      <c r="E1575" s="18" cm="1">
        <f t="array" aca="1" ref="E1575" ca="1">INDIRECT("b"&amp;F1575+2)</f>
        <v>4.1500000000000003E+84</v>
      </c>
      <c r="F1575" s="18">
        <f t="shared" si="236"/>
        <v>2496</v>
      </c>
      <c r="G1575" s="18"/>
      <c r="H1575" s="18"/>
      <c r="I1575" s="19">
        <v>1573</v>
      </c>
      <c r="J1575" s="19" cm="1">
        <f t="array" aca="1" ref="J1575" ca="1">INDIRECT("b"&amp;K1575+2)</f>
        <v>4.1500000000000006E+114</v>
      </c>
      <c r="K1575" s="19">
        <f t="shared" si="232"/>
        <v>3696</v>
      </c>
    </row>
    <row r="1576" spans="1:11">
      <c r="A1576">
        <v>1574</v>
      </c>
      <c r="B1576">
        <v>3.7E+61</v>
      </c>
      <c r="D1576" s="18">
        <v>1574</v>
      </c>
      <c r="E1576" s="18" cm="1">
        <f t="array" aca="1" ref="E1576" ca="1">INDIRECT("b"&amp;F1576+2)</f>
        <v>4.3750000000000001E+84</v>
      </c>
      <c r="F1576" s="18">
        <f t="shared" si="236"/>
        <v>2497</v>
      </c>
      <c r="G1576" s="18"/>
      <c r="H1576" s="18"/>
      <c r="I1576" s="19">
        <v>1574</v>
      </c>
      <c r="J1576" s="19" cm="1">
        <f t="array" aca="1" ref="J1576" ca="1">INDIRECT("b"&amp;K1576+2)</f>
        <v>4.3750000000000006E+114</v>
      </c>
      <c r="K1576" s="19">
        <f t="shared" si="232"/>
        <v>3697</v>
      </c>
    </row>
    <row r="1577" spans="1:11">
      <c r="A1577">
        <v>1575</v>
      </c>
      <c r="B1577">
        <v>3.9250000000000001E+61</v>
      </c>
      <c r="D1577" s="18">
        <v>1575</v>
      </c>
      <c r="E1577" s="18" cm="1">
        <f t="array" aca="1" ref="E1577" ca="1">INDIRECT("b"&amp;F1577+2)</f>
        <v>4.5999999999999998E+84</v>
      </c>
      <c r="F1577" s="18">
        <f t="shared" si="236"/>
        <v>2498</v>
      </c>
      <c r="G1577" s="18">
        <f t="shared" ref="G1577" ca="1" si="241">E1577/E1572</f>
        <v>1.4153846153846152</v>
      </c>
      <c r="H1577" s="18"/>
      <c r="I1577" s="19">
        <v>1575</v>
      </c>
      <c r="J1577" s="19" cm="1">
        <f t="array" aca="1" ref="J1577" ca="1">INDIRECT("b"&amp;K1577+2)</f>
        <v>4.6000000000000006E+114</v>
      </c>
      <c r="K1577" s="19">
        <f t="shared" si="232"/>
        <v>3698</v>
      </c>
    </row>
    <row r="1578" spans="1:11">
      <c r="A1578">
        <v>1576</v>
      </c>
      <c r="B1578">
        <v>4.1500000000000003E+61</v>
      </c>
      <c r="D1578" s="18">
        <v>1576</v>
      </c>
      <c r="E1578" s="18" cm="1">
        <f t="array" aca="1" ref="E1578" ca="1">INDIRECT("b"&amp;F1578+2)</f>
        <v>5.0500000000000001E+84</v>
      </c>
      <c r="F1578" s="18">
        <f t="shared" si="236"/>
        <v>2500</v>
      </c>
      <c r="G1578" s="18"/>
      <c r="H1578" s="18"/>
      <c r="I1578" s="19">
        <v>1576</v>
      </c>
      <c r="J1578" s="19" cm="1">
        <f t="array" aca="1" ref="J1578" ca="1">INDIRECT("b"&amp;K1578+2)</f>
        <v>5.0500000000000001E+114</v>
      </c>
      <c r="K1578" s="19">
        <f t="shared" si="232"/>
        <v>3700</v>
      </c>
    </row>
    <row r="1579" spans="1:11">
      <c r="A1579">
        <v>1577</v>
      </c>
      <c r="B1579">
        <v>4.3749999999999998E+61</v>
      </c>
      <c r="D1579" s="18">
        <v>1577</v>
      </c>
      <c r="E1579" s="18" cm="1">
        <f t="array" aca="1" ref="E1579" ca="1">INDIRECT("b"&amp;F1579+2)</f>
        <v>5.2749999999999998E+84</v>
      </c>
      <c r="F1579" s="18">
        <f t="shared" si="236"/>
        <v>2501</v>
      </c>
      <c r="G1579" s="18"/>
      <c r="H1579" s="18"/>
      <c r="I1579" s="19">
        <v>1577</v>
      </c>
      <c r="J1579" s="19" cm="1">
        <f t="array" aca="1" ref="J1579" ca="1">INDIRECT("b"&amp;K1579+2)</f>
        <v>5.2750000000000006E+114</v>
      </c>
      <c r="K1579" s="19">
        <f t="shared" si="232"/>
        <v>3701</v>
      </c>
    </row>
    <row r="1580" spans="1:11">
      <c r="A1580">
        <v>1578</v>
      </c>
      <c r="B1580">
        <v>4.5999999999999999E+61</v>
      </c>
      <c r="D1580" s="18">
        <v>1578</v>
      </c>
      <c r="E1580" s="18" cm="1">
        <f t="array" aca="1" ref="E1580" ca="1">INDIRECT("b"&amp;F1580+2)</f>
        <v>5.5000000000000004E+84</v>
      </c>
      <c r="F1580" s="18">
        <f t="shared" si="236"/>
        <v>2502</v>
      </c>
      <c r="G1580" s="18"/>
      <c r="H1580" s="18"/>
      <c r="I1580" s="19">
        <v>1578</v>
      </c>
      <c r="J1580" s="19" cm="1">
        <f t="array" aca="1" ref="J1580" ca="1">INDIRECT("b"&amp;K1580+2)</f>
        <v>5.5000000000000001E+114</v>
      </c>
      <c r="K1580" s="19">
        <f t="shared" si="232"/>
        <v>3702</v>
      </c>
    </row>
    <row r="1581" spans="1:11">
      <c r="A1581">
        <v>1579</v>
      </c>
      <c r="B1581">
        <v>4.825E+61</v>
      </c>
      <c r="D1581" s="18">
        <v>1579</v>
      </c>
      <c r="E1581" s="18" cm="1">
        <f t="array" aca="1" ref="E1581" ca="1">INDIRECT("b"&amp;F1581+2)</f>
        <v>5.9499999999999999E+84</v>
      </c>
      <c r="F1581" s="18">
        <f t="shared" si="236"/>
        <v>2504</v>
      </c>
      <c r="G1581" s="18"/>
      <c r="H1581" s="18"/>
      <c r="I1581" s="19">
        <v>1579</v>
      </c>
      <c r="J1581" s="19" cm="1">
        <f t="array" aca="1" ref="J1581" ca="1">INDIRECT("b"&amp;K1581+2)</f>
        <v>5.9500000000000001E+114</v>
      </c>
      <c r="K1581" s="19">
        <f t="shared" si="232"/>
        <v>3704</v>
      </c>
    </row>
    <row r="1582" spans="1:11">
      <c r="A1582">
        <v>1580</v>
      </c>
      <c r="B1582">
        <v>5.0500000000000001E+61</v>
      </c>
      <c r="D1582" s="18">
        <v>1580</v>
      </c>
      <c r="E1582" s="18" cm="1">
        <f t="array" aca="1" ref="E1582" ca="1">INDIRECT("b"&amp;F1582+2)</f>
        <v>6.1750000000000005E+84</v>
      </c>
      <c r="F1582" s="18">
        <f t="shared" si="236"/>
        <v>2505</v>
      </c>
      <c r="G1582" s="18">
        <f t="shared" ref="G1582" ca="1" si="242">E1582/E1577</f>
        <v>1.3423913043478262</v>
      </c>
      <c r="H1582" s="18"/>
      <c r="I1582" s="19">
        <v>1580</v>
      </c>
      <c r="J1582" s="19" cm="1">
        <f t="array" aca="1" ref="J1582" ca="1">INDIRECT("b"&amp;K1582+2)</f>
        <v>6.1750000000000006E+114</v>
      </c>
      <c r="K1582" s="19">
        <f t="shared" si="232"/>
        <v>3705</v>
      </c>
    </row>
    <row r="1583" spans="1:11">
      <c r="A1583">
        <v>1581</v>
      </c>
      <c r="B1583">
        <v>5.2749999999999997E+61</v>
      </c>
      <c r="D1583" s="18">
        <v>1581</v>
      </c>
      <c r="E1583" s="18" cm="1">
        <f t="array" aca="1" ref="E1583" ca="1">INDIRECT("b"&amp;F1583+2)</f>
        <v>6.4000000000000002E+84</v>
      </c>
      <c r="F1583" s="18">
        <f t="shared" si="236"/>
        <v>2506</v>
      </c>
      <c r="G1583" s="18"/>
      <c r="H1583" s="18"/>
      <c r="I1583" s="19">
        <v>1581</v>
      </c>
      <c r="J1583" s="19" cm="1">
        <f t="array" aca="1" ref="J1583" ca="1">INDIRECT("b"&amp;K1583+2)</f>
        <v>6.4000000000000001E+114</v>
      </c>
      <c r="K1583" s="19">
        <f t="shared" si="232"/>
        <v>3706</v>
      </c>
    </row>
    <row r="1584" spans="1:11">
      <c r="A1584">
        <v>1582</v>
      </c>
      <c r="B1584">
        <v>5.5000000000000004E+61</v>
      </c>
      <c r="D1584" s="18">
        <v>1582</v>
      </c>
      <c r="E1584" s="18" cm="1">
        <f t="array" aca="1" ref="E1584" ca="1">INDIRECT("b"&amp;F1584+2)</f>
        <v>6.8500000000000005E+84</v>
      </c>
      <c r="F1584" s="18">
        <f t="shared" si="236"/>
        <v>2508</v>
      </c>
      <c r="G1584" s="18"/>
      <c r="H1584" s="18"/>
      <c r="I1584" s="19">
        <v>1582</v>
      </c>
      <c r="J1584" s="19" cm="1">
        <f t="array" aca="1" ref="J1584" ca="1">INDIRECT("b"&amp;K1584+2)</f>
        <v>6.8500000000000001E+114</v>
      </c>
      <c r="K1584" s="19">
        <f t="shared" si="232"/>
        <v>3708</v>
      </c>
    </row>
    <row r="1585" spans="1:11">
      <c r="A1585">
        <v>1583</v>
      </c>
      <c r="B1585">
        <v>5.7249999999999999E+61</v>
      </c>
      <c r="D1585" s="18">
        <v>1583</v>
      </c>
      <c r="E1585" s="18" cm="1">
        <f t="array" aca="1" ref="E1585" ca="1">INDIRECT("b"&amp;F1585+2)</f>
        <v>7.0750000000000002E+84</v>
      </c>
      <c r="F1585" s="18">
        <f t="shared" si="236"/>
        <v>2509</v>
      </c>
      <c r="G1585" s="18"/>
      <c r="H1585" s="18"/>
      <c r="I1585" s="19">
        <v>1583</v>
      </c>
      <c r="J1585" s="19" cm="1">
        <f t="array" aca="1" ref="J1585" ca="1">INDIRECT("b"&amp;K1585+2)</f>
        <v>7.0750000000000007E+114</v>
      </c>
      <c r="K1585" s="19">
        <f t="shared" si="232"/>
        <v>3709</v>
      </c>
    </row>
    <row r="1586" spans="1:11">
      <c r="A1586">
        <v>1584</v>
      </c>
      <c r="B1586">
        <v>5.9499999999999994E+61</v>
      </c>
      <c r="D1586" s="18">
        <v>1584</v>
      </c>
      <c r="E1586" s="18" cm="1">
        <f t="array" aca="1" ref="E1586" ca="1">INDIRECT("b"&amp;F1586+2)</f>
        <v>7.3E+84</v>
      </c>
      <c r="F1586" s="18">
        <f t="shared" si="236"/>
        <v>2510</v>
      </c>
      <c r="G1586" s="18"/>
      <c r="H1586" s="18"/>
      <c r="I1586" s="19">
        <v>1584</v>
      </c>
      <c r="J1586" s="19" cm="1">
        <f t="array" aca="1" ref="J1586" ca="1">INDIRECT("b"&amp;K1586+2)</f>
        <v>7.3000000000000012E+114</v>
      </c>
      <c r="K1586" s="19">
        <f t="shared" si="232"/>
        <v>3710</v>
      </c>
    </row>
    <row r="1587" spans="1:11">
      <c r="A1587">
        <v>1585</v>
      </c>
      <c r="B1587">
        <v>6.1750000000000001E+61</v>
      </c>
      <c r="D1587" s="18">
        <v>1585</v>
      </c>
      <c r="E1587" s="18" cm="1">
        <f t="array" aca="1" ref="E1587" ca="1">INDIRECT("b"&amp;F1587+2)</f>
        <v>7.7500000000000003E+84</v>
      </c>
      <c r="F1587" s="18">
        <f t="shared" si="236"/>
        <v>2512</v>
      </c>
      <c r="G1587" s="18">
        <f t="shared" ref="G1587" ca="1" si="243">E1587/E1582</f>
        <v>1.2550607287449391</v>
      </c>
      <c r="H1587" s="18"/>
      <c r="I1587" s="19">
        <v>1585</v>
      </c>
      <c r="J1587" s="19" cm="1">
        <f t="array" aca="1" ref="J1587" ca="1">INDIRECT("b"&amp;K1587+2)</f>
        <v>7.7500000000000012E+114</v>
      </c>
      <c r="K1587" s="19">
        <f t="shared" si="232"/>
        <v>3712</v>
      </c>
    </row>
    <row r="1588" spans="1:11">
      <c r="A1588">
        <v>1586</v>
      </c>
      <c r="B1588">
        <v>6.3999999999999997E+61</v>
      </c>
      <c r="D1588" s="18">
        <v>1586</v>
      </c>
      <c r="E1588" s="18" cm="1">
        <f t="array" aca="1" ref="E1588" ca="1">INDIRECT("b"&amp;F1588+2)</f>
        <v>7.975E+84</v>
      </c>
      <c r="F1588" s="18">
        <f t="shared" si="236"/>
        <v>2513</v>
      </c>
      <c r="G1588" s="18"/>
      <c r="H1588" s="18"/>
      <c r="I1588" s="19">
        <v>1586</v>
      </c>
      <c r="J1588" s="19" cm="1">
        <f t="array" aca="1" ref="J1588" ca="1">INDIRECT("b"&amp;K1588+2)</f>
        <v>7.9750000000000007E+114</v>
      </c>
      <c r="K1588" s="19">
        <f t="shared" si="232"/>
        <v>3713</v>
      </c>
    </row>
    <row r="1589" spans="1:11">
      <c r="A1589">
        <v>1587</v>
      </c>
      <c r="B1589">
        <v>6.6250000000000004E+61</v>
      </c>
      <c r="D1589" s="18">
        <v>1587</v>
      </c>
      <c r="E1589" s="18" cm="1">
        <f t="array" aca="1" ref="E1589" ca="1">INDIRECT("b"&amp;F1589+2)</f>
        <v>8.2000000000000006E+84</v>
      </c>
      <c r="F1589" s="18">
        <f t="shared" si="236"/>
        <v>2514</v>
      </c>
      <c r="G1589" s="18"/>
      <c r="H1589" s="18"/>
      <c r="I1589" s="19">
        <v>1587</v>
      </c>
      <c r="J1589" s="19" cm="1">
        <f t="array" aca="1" ref="J1589" ca="1">INDIRECT("b"&amp;K1589+2)</f>
        <v>8.2000000000000012E+114</v>
      </c>
      <c r="K1589" s="19">
        <f t="shared" si="232"/>
        <v>3714</v>
      </c>
    </row>
    <row r="1590" spans="1:11">
      <c r="A1590">
        <v>1588</v>
      </c>
      <c r="B1590">
        <v>6.8499999999999999E+61</v>
      </c>
      <c r="D1590" s="18">
        <v>1588</v>
      </c>
      <c r="E1590" s="18" cm="1">
        <f t="array" aca="1" ref="E1590" ca="1">INDIRECT("b"&amp;F1590+2)</f>
        <v>8.6500000000000001E+84</v>
      </c>
      <c r="F1590" s="18">
        <f t="shared" si="236"/>
        <v>2516</v>
      </c>
      <c r="G1590" s="18"/>
      <c r="H1590" s="18"/>
      <c r="I1590" s="19">
        <v>1588</v>
      </c>
      <c r="J1590" s="19" cm="1">
        <f t="array" aca="1" ref="J1590" ca="1">INDIRECT("b"&amp;K1590+2)</f>
        <v>8.6500000000000012E+114</v>
      </c>
      <c r="K1590" s="19">
        <f t="shared" si="232"/>
        <v>3716</v>
      </c>
    </row>
    <row r="1591" spans="1:11">
      <c r="A1591">
        <v>1589</v>
      </c>
      <c r="B1591">
        <v>7.0749999999999994E+61</v>
      </c>
      <c r="D1591" s="18">
        <v>1589</v>
      </c>
      <c r="E1591" s="18" cm="1">
        <f t="array" aca="1" ref="E1591" ca="1">INDIRECT("b"&amp;F1591+2)</f>
        <v>8.8750000000000006E+84</v>
      </c>
      <c r="F1591" s="18">
        <f t="shared" si="236"/>
        <v>2517</v>
      </c>
      <c r="G1591" s="18"/>
      <c r="H1591" s="18"/>
      <c r="I1591" s="19">
        <v>1589</v>
      </c>
      <c r="J1591" s="19" cm="1">
        <f t="array" aca="1" ref="J1591" ca="1">INDIRECT("b"&amp;K1591+2)</f>
        <v>8.8750000000000007E+114</v>
      </c>
      <c r="K1591" s="19">
        <f t="shared" si="232"/>
        <v>3717</v>
      </c>
    </row>
    <row r="1592" spans="1:11">
      <c r="A1592">
        <v>1590</v>
      </c>
      <c r="B1592">
        <v>7.3000000000000001E+61</v>
      </c>
      <c r="D1592" s="18">
        <v>1590</v>
      </c>
      <c r="E1592" s="18" cm="1">
        <f t="array" aca="1" ref="E1592" ca="1">INDIRECT("b"&amp;F1592+2)</f>
        <v>9.1000000000000012E+84</v>
      </c>
      <c r="F1592" s="18">
        <f t="shared" si="236"/>
        <v>2518</v>
      </c>
      <c r="G1592" s="18">
        <f t="shared" ref="G1592" ca="1" si="244">E1592/E1587</f>
        <v>1.1741935483870969</v>
      </c>
      <c r="H1592" s="18"/>
      <c r="I1592" s="19">
        <v>1590</v>
      </c>
      <c r="J1592" s="19" cm="1">
        <f t="array" aca="1" ref="J1592" ca="1">INDIRECT("b"&amp;K1592+2)</f>
        <v>9.1000000000000012E+114</v>
      </c>
      <c r="K1592" s="19">
        <f t="shared" si="232"/>
        <v>3718</v>
      </c>
    </row>
    <row r="1593" spans="1:11">
      <c r="A1593">
        <v>1591</v>
      </c>
      <c r="B1593">
        <v>7.5249999999999997E+61</v>
      </c>
      <c r="D1593" s="18">
        <v>1591</v>
      </c>
      <c r="E1593" s="18" cm="1">
        <f t="array" aca="1" ref="E1593" ca="1">INDIRECT("b"&amp;F1593+2)</f>
        <v>9.5500000000000007E+84</v>
      </c>
      <c r="F1593" s="18">
        <f t="shared" si="236"/>
        <v>2520</v>
      </c>
      <c r="G1593" s="18"/>
      <c r="H1593" s="18"/>
      <c r="I1593" s="19">
        <v>1591</v>
      </c>
      <c r="J1593" s="19" cm="1">
        <f t="array" aca="1" ref="J1593" ca="1">INDIRECT("b"&amp;K1593+2)</f>
        <v>9.5500000000000012E+114</v>
      </c>
      <c r="K1593" s="19">
        <f t="shared" si="232"/>
        <v>3720</v>
      </c>
    </row>
    <row r="1594" spans="1:11">
      <c r="A1594">
        <v>1592</v>
      </c>
      <c r="B1594">
        <v>7.7500000000000004E+61</v>
      </c>
      <c r="D1594" s="18">
        <v>1592</v>
      </c>
      <c r="E1594" s="18" cm="1">
        <f t="array" aca="1" ref="E1594" ca="1">INDIRECT("b"&amp;F1594+2)</f>
        <v>9.7750000000000013E+84</v>
      </c>
      <c r="F1594" s="18">
        <f t="shared" si="236"/>
        <v>2521</v>
      </c>
      <c r="G1594" s="18"/>
      <c r="H1594" s="18"/>
      <c r="I1594" s="19">
        <v>1592</v>
      </c>
      <c r="J1594" s="19" cm="1">
        <f t="array" aca="1" ref="J1594" ca="1">INDIRECT("b"&amp;K1594+2)</f>
        <v>9.7750000000000007E+114</v>
      </c>
      <c r="K1594" s="19">
        <f t="shared" si="232"/>
        <v>3721</v>
      </c>
    </row>
    <row r="1595" spans="1:11">
      <c r="A1595">
        <v>1593</v>
      </c>
      <c r="B1595">
        <v>7.9749999999999999E+61</v>
      </c>
      <c r="D1595" s="18">
        <v>1593</v>
      </c>
      <c r="E1595" s="18" cm="1">
        <f t="array" aca="1" ref="E1595" ca="1">INDIRECT("b"&amp;F1595+2)</f>
        <v>1E+85</v>
      </c>
      <c r="F1595" s="18">
        <f t="shared" si="236"/>
        <v>2522</v>
      </c>
      <c r="G1595" s="18"/>
      <c r="H1595" s="18"/>
      <c r="I1595" s="19">
        <v>1593</v>
      </c>
      <c r="J1595" s="19" cm="1">
        <f t="array" aca="1" ref="J1595" ca="1">INDIRECT("b"&amp;K1595+2)</f>
        <v>1E+115</v>
      </c>
      <c r="K1595" s="19">
        <f t="shared" si="232"/>
        <v>3722</v>
      </c>
    </row>
    <row r="1596" spans="1:11">
      <c r="A1596">
        <v>1594</v>
      </c>
      <c r="B1596">
        <v>8.1999999999999994E+61</v>
      </c>
      <c r="D1596" s="18">
        <v>1594</v>
      </c>
      <c r="E1596" s="18" cm="1">
        <f t="array" aca="1" ref="E1596" ca="1">INDIRECT("b"&amp;F1596+2)</f>
        <v>1.45E+85</v>
      </c>
      <c r="F1596" s="18">
        <f t="shared" si="236"/>
        <v>2524</v>
      </c>
      <c r="G1596" s="18"/>
      <c r="H1596" s="18"/>
      <c r="I1596" s="19">
        <v>1594</v>
      </c>
      <c r="J1596" s="19" cm="1">
        <f t="array" aca="1" ref="J1596" ca="1">INDIRECT("b"&amp;K1596+2)</f>
        <v>1.45E+115</v>
      </c>
      <c r="K1596" s="19">
        <f t="shared" si="232"/>
        <v>3724</v>
      </c>
    </row>
    <row r="1597" spans="1:11">
      <c r="A1597">
        <v>1595</v>
      </c>
      <c r="B1597">
        <v>8.4250000000000001E+61</v>
      </c>
      <c r="D1597" s="18">
        <v>1595</v>
      </c>
      <c r="E1597" s="18" cm="1">
        <f t="array" aca="1" ref="E1597" ca="1">INDIRECT("b"&amp;F1597+2)</f>
        <v>1.6750000000000001E+85</v>
      </c>
      <c r="F1597" s="18">
        <f t="shared" si="236"/>
        <v>2525</v>
      </c>
      <c r="G1597" s="18">
        <f t="shared" ref="G1597" ca="1" si="245">E1597/E1592</f>
        <v>1.8406593406593406</v>
      </c>
      <c r="H1597" s="18"/>
      <c r="I1597" s="19">
        <v>1595</v>
      </c>
      <c r="J1597" s="19" cm="1">
        <f t="array" aca="1" ref="J1597" ca="1">INDIRECT("b"&amp;K1597+2)</f>
        <v>1.6749999999999999E+115</v>
      </c>
      <c r="K1597" s="19">
        <f t="shared" si="232"/>
        <v>3725</v>
      </c>
    </row>
    <row r="1598" spans="1:11">
      <c r="A1598">
        <v>1596</v>
      </c>
      <c r="B1598">
        <v>8.6499999999999997E+61</v>
      </c>
      <c r="D1598" s="18">
        <v>1596</v>
      </c>
      <c r="E1598" s="18" cm="1">
        <f t="array" aca="1" ref="E1598" ca="1">INDIRECT("b"&amp;F1598+2)</f>
        <v>1.9E+85</v>
      </c>
      <c r="F1598" s="18">
        <f t="shared" si="236"/>
        <v>2526</v>
      </c>
      <c r="G1598" s="18"/>
      <c r="H1598" s="18"/>
      <c r="I1598" s="19">
        <v>1596</v>
      </c>
      <c r="J1598" s="19" cm="1">
        <f t="array" aca="1" ref="J1598" ca="1">INDIRECT("b"&amp;K1598+2)</f>
        <v>1.9E+115</v>
      </c>
      <c r="K1598" s="19">
        <f t="shared" si="232"/>
        <v>3726</v>
      </c>
    </row>
    <row r="1599" spans="1:11">
      <c r="A1599">
        <v>1597</v>
      </c>
      <c r="B1599">
        <v>8.8750000000000004E+61</v>
      </c>
      <c r="D1599" s="18">
        <v>1597</v>
      </c>
      <c r="E1599" s="18" cm="1">
        <f t="array" aca="1" ref="E1599" ca="1">INDIRECT("b"&amp;F1599+2)</f>
        <v>2.3500000000000001E+85</v>
      </c>
      <c r="F1599" s="18">
        <f t="shared" si="236"/>
        <v>2528</v>
      </c>
      <c r="G1599" s="18"/>
      <c r="H1599" s="18"/>
      <c r="I1599" s="19">
        <v>1597</v>
      </c>
      <c r="J1599" s="19" cm="1">
        <f t="array" aca="1" ref="J1599" ca="1">INDIRECT("b"&amp;K1599+2)</f>
        <v>2.3499999999999998E+115</v>
      </c>
      <c r="K1599" s="19">
        <f t="shared" si="232"/>
        <v>3728</v>
      </c>
    </row>
    <row r="1600" spans="1:11">
      <c r="A1600">
        <v>1598</v>
      </c>
      <c r="B1600">
        <v>9.0999999999999999E+61</v>
      </c>
      <c r="D1600" s="18">
        <v>1598</v>
      </c>
      <c r="E1600" s="18" cm="1">
        <f t="array" aca="1" ref="E1600" ca="1">INDIRECT("b"&amp;F1600+2)</f>
        <v>2.575E+85</v>
      </c>
      <c r="F1600" s="18">
        <f t="shared" si="236"/>
        <v>2529</v>
      </c>
      <c r="G1600" s="18"/>
      <c r="H1600" s="18"/>
      <c r="I1600" s="19">
        <v>1598</v>
      </c>
      <c r="J1600" s="19" cm="1">
        <f t="array" aca="1" ref="J1600" ca="1">INDIRECT("b"&amp;K1600+2)</f>
        <v>2.5749999999999999E+115</v>
      </c>
      <c r="K1600" s="19">
        <f t="shared" si="232"/>
        <v>3729</v>
      </c>
    </row>
    <row r="1601" spans="1:11">
      <c r="A1601">
        <v>1599</v>
      </c>
      <c r="B1601">
        <v>9.3249999999999994E+61</v>
      </c>
      <c r="D1601" s="18">
        <v>1599</v>
      </c>
      <c r="E1601" s="18" cm="1">
        <f t="array" aca="1" ref="E1601" ca="1">INDIRECT("b"&amp;F1601+2)</f>
        <v>2.7999999999999999E+85</v>
      </c>
      <c r="F1601" s="18">
        <f t="shared" si="236"/>
        <v>2530</v>
      </c>
      <c r="G1601" s="18"/>
      <c r="H1601" s="18"/>
      <c r="I1601" s="19">
        <v>1599</v>
      </c>
      <c r="J1601" s="19" cm="1">
        <f t="array" aca="1" ref="J1601" ca="1">INDIRECT("b"&amp;K1601+2)</f>
        <v>2.8E+115</v>
      </c>
      <c r="K1601" s="19">
        <f t="shared" si="232"/>
        <v>3730</v>
      </c>
    </row>
    <row r="1602" spans="1:11">
      <c r="A1602">
        <v>1600</v>
      </c>
      <c r="B1602">
        <v>9.5500000000000001E+61</v>
      </c>
      <c r="D1602" s="18">
        <v>1600</v>
      </c>
      <c r="E1602" s="18" cm="1">
        <f t="array" aca="1" ref="E1602" ca="1">INDIRECT("b"&amp;F1602+2)</f>
        <v>3.2499999999999997E+85</v>
      </c>
      <c r="F1602" s="18">
        <f t="shared" si="236"/>
        <v>2532</v>
      </c>
      <c r="G1602" s="18">
        <f t="shared" ref="G1602" ca="1" si="246">E1602/E1597</f>
        <v>1.9402985074626864</v>
      </c>
      <c r="H1602" s="18"/>
      <c r="I1602" s="19">
        <v>1600</v>
      </c>
      <c r="J1602" s="19" cm="1">
        <f t="array" aca="1" ref="J1602" ca="1">INDIRECT("b"&amp;K1602+2)</f>
        <v>3.2499999999999998E+115</v>
      </c>
      <c r="K1602" s="19">
        <f t="shared" si="232"/>
        <v>3732</v>
      </c>
    </row>
    <row r="1603" spans="1:11">
      <c r="A1603">
        <v>1601</v>
      </c>
      <c r="B1603">
        <v>9.7749999999999997E+61</v>
      </c>
      <c r="D1603" s="18">
        <v>1601</v>
      </c>
      <c r="E1603" s="18" cm="1">
        <f t="array" aca="1" ref="E1603" ca="1">INDIRECT("b"&amp;F1603+2)</f>
        <v>3.4749999999999999E+85</v>
      </c>
      <c r="F1603" s="18">
        <f t="shared" si="236"/>
        <v>2533</v>
      </c>
      <c r="G1603" s="18"/>
      <c r="H1603" s="18"/>
      <c r="I1603" s="19">
        <v>1601</v>
      </c>
      <c r="J1603" s="19" cm="1">
        <f t="array" aca="1" ref="J1603" ca="1">INDIRECT("b"&amp;K1603+2)</f>
        <v>3.4749999999999999E+115</v>
      </c>
      <c r="K1603" s="19">
        <f t="shared" si="232"/>
        <v>3733</v>
      </c>
    </row>
    <row r="1604" spans="1:11">
      <c r="A1604">
        <v>1602</v>
      </c>
      <c r="B1604">
        <v>1E+62</v>
      </c>
      <c r="D1604" s="18">
        <v>1602</v>
      </c>
      <c r="E1604" s="18" cm="1">
        <f t="array" aca="1" ref="E1604" ca="1">INDIRECT("b"&amp;F1604+2)</f>
        <v>3.7000000000000002E+85</v>
      </c>
      <c r="F1604" s="18">
        <f t="shared" si="236"/>
        <v>2534</v>
      </c>
      <c r="G1604" s="18"/>
      <c r="H1604" s="18"/>
      <c r="I1604" s="19">
        <v>1602</v>
      </c>
      <c r="J1604" s="19" cm="1">
        <f t="array" aca="1" ref="J1604" ca="1">INDIRECT("b"&amp;K1604+2)</f>
        <v>3.7000000000000001E+115</v>
      </c>
      <c r="K1604" s="19">
        <f t="shared" ref="K1604:K1667" si="247">INT((A1604-1)*40/30+900*40/30)+400</f>
        <v>3734</v>
      </c>
    </row>
    <row r="1605" spans="1:11">
      <c r="A1605">
        <v>1603</v>
      </c>
      <c r="B1605">
        <v>1.2250000000000001E+62</v>
      </c>
      <c r="D1605" s="18">
        <v>1603</v>
      </c>
      <c r="E1605" s="18" cm="1">
        <f t="array" aca="1" ref="E1605" ca="1">INDIRECT("b"&amp;F1605+2)</f>
        <v>4.15E+85</v>
      </c>
      <c r="F1605" s="18">
        <f t="shared" si="236"/>
        <v>2536</v>
      </c>
      <c r="G1605" s="18"/>
      <c r="H1605" s="18"/>
      <c r="I1605" s="19">
        <v>1603</v>
      </c>
      <c r="J1605" s="19" cm="1">
        <f t="array" aca="1" ref="J1605" ca="1">INDIRECT("b"&amp;K1605+2)</f>
        <v>4.1499999999999998E+115</v>
      </c>
      <c r="K1605" s="19">
        <f t="shared" si="247"/>
        <v>3736</v>
      </c>
    </row>
    <row r="1606" spans="1:11">
      <c r="A1606">
        <v>1604</v>
      </c>
      <c r="B1606">
        <v>1.4500000000000001E+62</v>
      </c>
      <c r="D1606" s="18">
        <v>1604</v>
      </c>
      <c r="E1606" s="18" cm="1">
        <f t="array" aca="1" ref="E1606" ca="1">INDIRECT("b"&amp;F1606+2)</f>
        <v>4.3750000000000002E+85</v>
      </c>
      <c r="F1606" s="18">
        <f t="shared" si="236"/>
        <v>2537</v>
      </c>
      <c r="G1606" s="18"/>
      <c r="H1606" s="18"/>
      <c r="I1606" s="19">
        <v>1604</v>
      </c>
      <c r="J1606" s="19" cm="1">
        <f t="array" aca="1" ref="J1606" ca="1">INDIRECT("b"&amp;K1606+2)</f>
        <v>4.375E+115</v>
      </c>
      <c r="K1606" s="19">
        <f t="shared" si="247"/>
        <v>3737</v>
      </c>
    </row>
    <row r="1607" spans="1:11">
      <c r="A1607">
        <v>1605</v>
      </c>
      <c r="B1607">
        <v>1.6750000000000001E+62</v>
      </c>
      <c r="D1607" s="18">
        <v>1605</v>
      </c>
      <c r="E1607" s="18" cm="1">
        <f t="array" aca="1" ref="E1607" ca="1">INDIRECT("b"&amp;F1607+2)</f>
        <v>4.5999999999999998E+85</v>
      </c>
      <c r="F1607" s="18">
        <f t="shared" si="236"/>
        <v>2538</v>
      </c>
      <c r="G1607" s="18">
        <f t="shared" ref="G1607" ca="1" si="248">E1607/E1602</f>
        <v>1.4153846153846155</v>
      </c>
      <c r="H1607" s="18"/>
      <c r="I1607" s="19">
        <v>1605</v>
      </c>
      <c r="J1607" s="19" cm="1">
        <f t="array" aca="1" ref="J1607" ca="1">INDIRECT("b"&amp;K1607+2)</f>
        <v>4.6000000000000001E+115</v>
      </c>
      <c r="K1607" s="19">
        <f t="shared" si="247"/>
        <v>3738</v>
      </c>
    </row>
    <row r="1608" spans="1:11">
      <c r="A1608">
        <v>1606</v>
      </c>
      <c r="B1608">
        <v>1.9000000000000001E+62</v>
      </c>
      <c r="D1608" s="18">
        <v>1606</v>
      </c>
      <c r="E1608" s="18" cm="1">
        <f t="array" aca="1" ref="E1608" ca="1">INDIRECT("b"&amp;F1608+2)</f>
        <v>5.0499999999999996E+85</v>
      </c>
      <c r="F1608" s="18">
        <f t="shared" si="236"/>
        <v>2540</v>
      </c>
      <c r="G1608" s="18"/>
      <c r="H1608" s="18"/>
      <c r="I1608" s="19">
        <v>1606</v>
      </c>
      <c r="J1608" s="19" cm="1">
        <f t="array" aca="1" ref="J1608" ca="1">INDIRECT("b"&amp;K1608+2)</f>
        <v>5.0499999999999994E+115</v>
      </c>
      <c r="K1608" s="19">
        <f t="shared" si="247"/>
        <v>3740</v>
      </c>
    </row>
    <row r="1609" spans="1:11">
      <c r="A1609">
        <v>1607</v>
      </c>
      <c r="B1609">
        <v>2.1250000000000004E+62</v>
      </c>
      <c r="D1609" s="18">
        <v>1607</v>
      </c>
      <c r="E1609" s="18" cm="1">
        <f t="array" aca="1" ref="E1609" ca="1">INDIRECT("b"&amp;F1609+2)</f>
        <v>5.2749999999999998E+85</v>
      </c>
      <c r="F1609" s="18">
        <f t="shared" si="236"/>
        <v>2541</v>
      </c>
      <c r="G1609" s="18"/>
      <c r="H1609" s="18"/>
      <c r="I1609" s="19">
        <v>1607</v>
      </c>
      <c r="J1609" s="19" cm="1">
        <f t="array" aca="1" ref="J1609" ca="1">INDIRECT("b"&amp;K1609+2)</f>
        <v>5.2749999999999995E+115</v>
      </c>
      <c r="K1609" s="19">
        <f t="shared" si="247"/>
        <v>3741</v>
      </c>
    </row>
    <row r="1610" spans="1:11">
      <c r="A1610">
        <v>1608</v>
      </c>
      <c r="B1610">
        <v>2.3500000000000001E+62</v>
      </c>
      <c r="D1610" s="18">
        <v>1608</v>
      </c>
      <c r="E1610" s="18" cm="1">
        <f t="array" aca="1" ref="E1610" ca="1">INDIRECT("b"&amp;F1610+2)</f>
        <v>5.5000000000000001E+85</v>
      </c>
      <c r="F1610" s="18">
        <f t="shared" si="236"/>
        <v>2542</v>
      </c>
      <c r="G1610" s="18"/>
      <c r="H1610" s="18"/>
      <c r="I1610" s="19">
        <v>1608</v>
      </c>
      <c r="J1610" s="19" cm="1">
        <f t="array" aca="1" ref="J1610" ca="1">INDIRECT("b"&amp;K1610+2)</f>
        <v>5.4999999999999996E+115</v>
      </c>
      <c r="K1610" s="19">
        <f t="shared" si="247"/>
        <v>3742</v>
      </c>
    </row>
    <row r="1611" spans="1:11">
      <c r="A1611">
        <v>1609</v>
      </c>
      <c r="B1611">
        <v>2.5750000000000004E+62</v>
      </c>
      <c r="D1611" s="18">
        <v>1609</v>
      </c>
      <c r="E1611" s="18" cm="1">
        <f t="array" aca="1" ref="E1611" ca="1">INDIRECT("b"&amp;F1611+2)</f>
        <v>5.9499999999999999E+85</v>
      </c>
      <c r="F1611" s="18">
        <f t="shared" si="236"/>
        <v>2544</v>
      </c>
      <c r="G1611" s="18"/>
      <c r="H1611" s="18"/>
      <c r="I1611" s="19">
        <v>1609</v>
      </c>
      <c r="J1611" s="19" cm="1">
        <f t="array" aca="1" ref="J1611" ca="1">INDIRECT("b"&amp;K1611+2)</f>
        <v>5.9499999999999999E+115</v>
      </c>
      <c r="K1611" s="19">
        <f t="shared" si="247"/>
        <v>3744</v>
      </c>
    </row>
    <row r="1612" spans="1:11">
      <c r="A1612">
        <v>1610</v>
      </c>
      <c r="B1612">
        <v>2.8000000000000001E+62</v>
      </c>
      <c r="D1612" s="18">
        <v>1610</v>
      </c>
      <c r="E1612" s="18" cm="1">
        <f t="array" aca="1" ref="E1612" ca="1">INDIRECT("b"&amp;F1612+2)</f>
        <v>6.1750000000000001E+85</v>
      </c>
      <c r="F1612" s="18">
        <f t="shared" si="236"/>
        <v>2545</v>
      </c>
      <c r="G1612" s="18">
        <f t="shared" ref="G1612" ca="1" si="249">E1612/E1607</f>
        <v>1.3423913043478262</v>
      </c>
      <c r="H1612" s="18"/>
      <c r="I1612" s="19">
        <v>1610</v>
      </c>
      <c r="J1612" s="19" cm="1">
        <f t="array" aca="1" ref="J1612" ca="1">INDIRECT("b"&amp;K1612+2)</f>
        <v>6.175E+115</v>
      </c>
      <c r="K1612" s="19">
        <f t="shared" si="247"/>
        <v>3745</v>
      </c>
    </row>
    <row r="1613" spans="1:11">
      <c r="A1613">
        <v>1611</v>
      </c>
      <c r="B1613">
        <v>3.0250000000000004E+62</v>
      </c>
      <c r="D1613" s="18">
        <v>1611</v>
      </c>
      <c r="E1613" s="18" cm="1">
        <f t="array" aca="1" ref="E1613" ca="1">INDIRECT("b"&amp;F1613+2)</f>
        <v>6.4000000000000004E+85</v>
      </c>
      <c r="F1613" s="18">
        <f t="shared" si="236"/>
        <v>2546</v>
      </c>
      <c r="G1613" s="18"/>
      <c r="H1613" s="18"/>
      <c r="I1613" s="19">
        <v>1611</v>
      </c>
      <c r="J1613" s="19" cm="1">
        <f t="array" aca="1" ref="J1613" ca="1">INDIRECT("b"&amp;K1613+2)</f>
        <v>6.4000000000000001E+115</v>
      </c>
      <c r="K1613" s="19">
        <f t="shared" si="247"/>
        <v>3746</v>
      </c>
    </row>
    <row r="1614" spans="1:11">
      <c r="A1614">
        <v>1612</v>
      </c>
      <c r="B1614">
        <v>3.2500000000000001E+62</v>
      </c>
      <c r="D1614" s="18">
        <v>1612</v>
      </c>
      <c r="E1614" s="18" cm="1">
        <f t="array" aca="1" ref="E1614" ca="1">INDIRECT("b"&amp;F1614+2)</f>
        <v>6.8499999999999995E+85</v>
      </c>
      <c r="F1614" s="18">
        <f t="shared" si="236"/>
        <v>2548</v>
      </c>
      <c r="G1614" s="18"/>
      <c r="H1614" s="18"/>
      <c r="I1614" s="19">
        <v>1612</v>
      </c>
      <c r="J1614" s="19" cm="1">
        <f t="array" aca="1" ref="J1614" ca="1">INDIRECT("b"&amp;K1614+2)</f>
        <v>6.8499999999999995E+115</v>
      </c>
      <c r="K1614" s="19">
        <f t="shared" si="247"/>
        <v>3748</v>
      </c>
    </row>
    <row r="1615" spans="1:11">
      <c r="A1615">
        <v>1613</v>
      </c>
      <c r="B1615">
        <v>3.4750000000000004E+62</v>
      </c>
      <c r="D1615" s="18">
        <v>1613</v>
      </c>
      <c r="E1615" s="18" cm="1">
        <f t="array" aca="1" ref="E1615" ca="1">INDIRECT("b"&amp;F1615+2)</f>
        <v>7.0749999999999997E+85</v>
      </c>
      <c r="F1615" s="18">
        <f t="shared" si="236"/>
        <v>2549</v>
      </c>
      <c r="G1615" s="18"/>
      <c r="H1615" s="18"/>
      <c r="I1615" s="19">
        <v>1613</v>
      </c>
      <c r="J1615" s="19" cm="1">
        <f t="array" aca="1" ref="J1615" ca="1">INDIRECT("b"&amp;K1615+2)</f>
        <v>7.0749999999999996E+115</v>
      </c>
      <c r="K1615" s="19">
        <f t="shared" si="247"/>
        <v>3749</v>
      </c>
    </row>
    <row r="1616" spans="1:11">
      <c r="A1616">
        <v>1614</v>
      </c>
      <c r="B1616">
        <v>3.7000000000000001E+62</v>
      </c>
      <c r="D1616" s="18">
        <v>1614</v>
      </c>
      <c r="E1616" s="18" cm="1">
        <f t="array" aca="1" ref="E1616" ca="1">INDIRECT("b"&amp;F1616+2)</f>
        <v>7.3E+85</v>
      </c>
      <c r="F1616" s="18">
        <f t="shared" si="236"/>
        <v>2550</v>
      </c>
      <c r="G1616" s="18"/>
      <c r="H1616" s="18"/>
      <c r="I1616" s="19">
        <v>1614</v>
      </c>
      <c r="J1616" s="19" cm="1">
        <f t="array" aca="1" ref="J1616" ca="1">INDIRECT("b"&amp;K1616+2)</f>
        <v>7.2999999999999997E+115</v>
      </c>
      <c r="K1616" s="19">
        <f t="shared" si="247"/>
        <v>3750</v>
      </c>
    </row>
    <row r="1617" spans="1:11">
      <c r="A1617">
        <v>1615</v>
      </c>
      <c r="B1617">
        <v>3.9250000000000004E+62</v>
      </c>
      <c r="D1617" s="18">
        <v>1615</v>
      </c>
      <c r="E1617" s="18" cm="1">
        <f t="array" aca="1" ref="E1617" ca="1">INDIRECT("b"&amp;F1617+2)</f>
        <v>7.7500000000000005E+85</v>
      </c>
      <c r="F1617" s="18">
        <f t="shared" si="236"/>
        <v>2552</v>
      </c>
      <c r="G1617" s="18">
        <f t="shared" ref="G1617" ca="1" si="250">E1617/E1612</f>
        <v>1.2550607287449393</v>
      </c>
      <c r="H1617" s="18"/>
      <c r="I1617" s="19">
        <v>1615</v>
      </c>
      <c r="J1617" s="19" cm="1">
        <f t="array" aca="1" ref="J1617" ca="1">INDIRECT("b"&amp;K1617+2)</f>
        <v>7.7499999999999999E+115</v>
      </c>
      <c r="K1617" s="19">
        <f t="shared" si="247"/>
        <v>3752</v>
      </c>
    </row>
    <row r="1618" spans="1:11">
      <c r="A1618">
        <v>1616</v>
      </c>
      <c r="B1618">
        <v>4.1500000000000001E+62</v>
      </c>
      <c r="D1618" s="18">
        <v>1616</v>
      </c>
      <c r="E1618" s="18" cm="1">
        <f t="array" aca="1" ref="E1618" ca="1">INDIRECT("b"&amp;F1618+2)</f>
        <v>7.9749999999999993E+85</v>
      </c>
      <c r="F1618" s="18">
        <f t="shared" si="236"/>
        <v>2553</v>
      </c>
      <c r="G1618" s="18"/>
      <c r="H1618" s="18"/>
      <c r="I1618" s="19">
        <v>1616</v>
      </c>
      <c r="J1618" s="19" cm="1">
        <f t="array" aca="1" ref="J1618" ca="1">INDIRECT("b"&amp;K1618+2)</f>
        <v>7.9749999999999991E+115</v>
      </c>
      <c r="K1618" s="19">
        <f t="shared" si="247"/>
        <v>3753</v>
      </c>
    </row>
    <row r="1619" spans="1:11">
      <c r="A1619">
        <v>1617</v>
      </c>
      <c r="B1619">
        <v>4.3750000000000004E+62</v>
      </c>
      <c r="D1619" s="18">
        <v>1617</v>
      </c>
      <c r="E1619" s="18" cm="1">
        <f t="array" aca="1" ref="E1619" ca="1">INDIRECT("b"&amp;F1619+2)</f>
        <v>8.1999999999999996E+85</v>
      </c>
      <c r="F1619" s="18">
        <f t="shared" ref="F1619:F1682" si="251">INT((A1619-123)*1.333333)+563</f>
        <v>2554</v>
      </c>
      <c r="G1619" s="18"/>
      <c r="H1619" s="18"/>
      <c r="I1619" s="19">
        <v>1617</v>
      </c>
      <c r="J1619" s="19" cm="1">
        <f t="array" aca="1" ref="J1619" ca="1">INDIRECT("b"&amp;K1619+2)</f>
        <v>8.1999999999999993E+115</v>
      </c>
      <c r="K1619" s="19">
        <f t="shared" si="247"/>
        <v>3754</v>
      </c>
    </row>
    <row r="1620" spans="1:11">
      <c r="A1620">
        <v>1618</v>
      </c>
      <c r="B1620">
        <v>4.6000000000000006E+62</v>
      </c>
      <c r="D1620" s="18">
        <v>1618</v>
      </c>
      <c r="E1620" s="18" cm="1">
        <f t="array" aca="1" ref="E1620" ca="1">INDIRECT("b"&amp;F1620+2)</f>
        <v>8.6500000000000001E+85</v>
      </c>
      <c r="F1620" s="18">
        <f t="shared" si="251"/>
        <v>2556</v>
      </c>
      <c r="G1620" s="18"/>
      <c r="H1620" s="18"/>
      <c r="I1620" s="19">
        <v>1618</v>
      </c>
      <c r="J1620" s="19" cm="1">
        <f t="array" aca="1" ref="J1620" ca="1">INDIRECT("b"&amp;K1620+2)</f>
        <v>8.6499999999999995E+115</v>
      </c>
      <c r="K1620" s="19">
        <f t="shared" si="247"/>
        <v>3756</v>
      </c>
    </row>
    <row r="1621" spans="1:11">
      <c r="A1621">
        <v>1619</v>
      </c>
      <c r="B1621">
        <v>4.8250000000000008E+62</v>
      </c>
      <c r="D1621" s="18">
        <v>1619</v>
      </c>
      <c r="E1621" s="18" cm="1">
        <f t="array" aca="1" ref="E1621" ca="1">INDIRECT("b"&amp;F1621+2)</f>
        <v>8.8750000000000003E+85</v>
      </c>
      <c r="F1621" s="18">
        <f t="shared" si="251"/>
        <v>2557</v>
      </c>
      <c r="G1621" s="18"/>
      <c r="H1621" s="18"/>
      <c r="I1621" s="19">
        <v>1619</v>
      </c>
      <c r="J1621" s="19" cm="1">
        <f t="array" aca="1" ref="J1621" ca="1">INDIRECT("b"&amp;K1621+2)</f>
        <v>8.8749999999999996E+115</v>
      </c>
      <c r="K1621" s="19">
        <f t="shared" si="247"/>
        <v>3757</v>
      </c>
    </row>
    <row r="1622" spans="1:11">
      <c r="A1622">
        <v>1620</v>
      </c>
      <c r="B1622">
        <v>5.0500000000000001E+62</v>
      </c>
      <c r="D1622" s="18">
        <v>1620</v>
      </c>
      <c r="E1622" s="18" cm="1">
        <f t="array" aca="1" ref="E1622" ca="1">INDIRECT("b"&amp;F1622+2)</f>
        <v>9.0999999999999992E+85</v>
      </c>
      <c r="F1622" s="18">
        <f t="shared" si="251"/>
        <v>2558</v>
      </c>
      <c r="G1622" s="18">
        <f t="shared" ref="G1622" ca="1" si="252">E1622/E1617</f>
        <v>1.1741935483870967</v>
      </c>
      <c r="H1622" s="18"/>
      <c r="I1622" s="19">
        <v>1620</v>
      </c>
      <c r="J1622" s="19" cm="1">
        <f t="array" aca="1" ref="J1622" ca="1">INDIRECT("b"&amp;K1622+2)</f>
        <v>9.0999999999999997E+115</v>
      </c>
      <c r="K1622" s="19">
        <f t="shared" si="247"/>
        <v>3758</v>
      </c>
    </row>
    <row r="1623" spans="1:11">
      <c r="A1623">
        <v>1621</v>
      </c>
      <c r="B1623">
        <v>5.2750000000000004E+62</v>
      </c>
      <c r="D1623" s="18">
        <v>1621</v>
      </c>
      <c r="E1623" s="18" cm="1">
        <f t="array" aca="1" ref="E1623" ca="1">INDIRECT("b"&amp;F1623+2)</f>
        <v>9.5499999999999997E+85</v>
      </c>
      <c r="F1623" s="18">
        <f t="shared" si="251"/>
        <v>2560</v>
      </c>
      <c r="G1623" s="18"/>
      <c r="H1623" s="18"/>
      <c r="I1623" s="19">
        <v>1621</v>
      </c>
      <c r="J1623" s="19" cm="1">
        <f t="array" aca="1" ref="J1623" ca="1">INDIRECT("b"&amp;K1623+2)</f>
        <v>9.5499999999999999E+115</v>
      </c>
      <c r="K1623" s="19">
        <f t="shared" si="247"/>
        <v>3760</v>
      </c>
    </row>
    <row r="1624" spans="1:11">
      <c r="A1624">
        <v>1622</v>
      </c>
      <c r="B1624">
        <v>5.5000000000000006E+62</v>
      </c>
      <c r="D1624" s="18">
        <v>1622</v>
      </c>
      <c r="E1624" s="18" cm="1">
        <f t="array" aca="1" ref="E1624" ca="1">INDIRECT("b"&amp;F1624+2)</f>
        <v>9.7749999999999999E+85</v>
      </c>
      <c r="F1624" s="18">
        <f t="shared" si="251"/>
        <v>2561</v>
      </c>
      <c r="G1624" s="18"/>
      <c r="H1624" s="18"/>
      <c r="I1624" s="19">
        <v>1622</v>
      </c>
      <c r="J1624" s="19" cm="1">
        <f t="array" aca="1" ref="J1624" ca="1">INDIRECT("b"&amp;K1624+2)</f>
        <v>9.775E+115</v>
      </c>
      <c r="K1624" s="19">
        <f t="shared" si="247"/>
        <v>3761</v>
      </c>
    </row>
    <row r="1625" spans="1:11">
      <c r="A1625">
        <v>1623</v>
      </c>
      <c r="B1625">
        <v>5.7250000000000008E+62</v>
      </c>
      <c r="D1625" s="18">
        <v>1623</v>
      </c>
      <c r="E1625" s="18" cm="1">
        <f t="array" aca="1" ref="E1625" ca="1">INDIRECT("b"&amp;F1625+2)</f>
        <v>1E+86</v>
      </c>
      <c r="F1625" s="18">
        <f t="shared" si="251"/>
        <v>2562</v>
      </c>
      <c r="G1625" s="18"/>
      <c r="H1625" s="18"/>
      <c r="I1625" s="19">
        <v>1623</v>
      </c>
      <c r="J1625" s="19" cm="1">
        <f t="array" aca="1" ref="J1625" ca="1">INDIRECT("b"&amp;K1625+2)</f>
        <v>1E+116</v>
      </c>
      <c r="K1625" s="19">
        <f t="shared" si="247"/>
        <v>3762</v>
      </c>
    </row>
    <row r="1626" spans="1:11">
      <c r="A1626">
        <v>1624</v>
      </c>
      <c r="B1626">
        <v>5.9500000000000001E+62</v>
      </c>
      <c r="D1626" s="18">
        <v>1624</v>
      </c>
      <c r="E1626" s="18" cm="1">
        <f t="array" aca="1" ref="E1626" ca="1">INDIRECT("b"&amp;F1626+2)</f>
        <v>1.45E+86</v>
      </c>
      <c r="F1626" s="18">
        <f t="shared" si="251"/>
        <v>2564</v>
      </c>
      <c r="G1626" s="18"/>
      <c r="H1626" s="18"/>
      <c r="I1626" s="19">
        <v>1624</v>
      </c>
      <c r="J1626" s="19" cm="1">
        <f t="array" aca="1" ref="J1626" ca="1">INDIRECT("b"&amp;K1626+2)</f>
        <v>1.4500000000000001E+116</v>
      </c>
      <c r="K1626" s="19">
        <f t="shared" si="247"/>
        <v>3764</v>
      </c>
    </row>
    <row r="1627" spans="1:11">
      <c r="A1627">
        <v>1625</v>
      </c>
      <c r="B1627">
        <v>6.1750000000000004E+62</v>
      </c>
      <c r="D1627" s="18">
        <v>1625</v>
      </c>
      <c r="E1627" s="18" cm="1">
        <f t="array" aca="1" ref="E1627" ca="1">INDIRECT("b"&amp;F1627+2)</f>
        <v>1.6749999999999999E+86</v>
      </c>
      <c r="F1627" s="18">
        <f t="shared" si="251"/>
        <v>2565</v>
      </c>
      <c r="G1627" s="18">
        <f t="shared" ref="G1627" ca="1" si="253">E1627/E1622</f>
        <v>1.8406593406593408</v>
      </c>
      <c r="H1627" s="18"/>
      <c r="I1627" s="19">
        <v>1625</v>
      </c>
      <c r="J1627" s="19" cm="1">
        <f t="array" aca="1" ref="J1627" ca="1">INDIRECT("b"&amp;K1627+2)</f>
        <v>1.6750000000000002E+116</v>
      </c>
      <c r="K1627" s="19">
        <f t="shared" si="247"/>
        <v>3765</v>
      </c>
    </row>
    <row r="1628" spans="1:11">
      <c r="A1628">
        <v>1626</v>
      </c>
      <c r="B1628">
        <v>6.4000000000000006E+62</v>
      </c>
      <c r="D1628" s="18">
        <v>1626</v>
      </c>
      <c r="E1628" s="18" cm="1">
        <f t="array" aca="1" ref="E1628" ca="1">INDIRECT("b"&amp;F1628+2)</f>
        <v>1.8999999999999999E+86</v>
      </c>
      <c r="F1628" s="18">
        <f t="shared" si="251"/>
        <v>2566</v>
      </c>
      <c r="G1628" s="18"/>
      <c r="H1628" s="18"/>
      <c r="I1628" s="19">
        <v>1626</v>
      </c>
      <c r="J1628" s="19" cm="1">
        <f t="array" aca="1" ref="J1628" ca="1">INDIRECT("b"&amp;K1628+2)</f>
        <v>1.8999999999999999E+116</v>
      </c>
      <c r="K1628" s="19">
        <f t="shared" si="247"/>
        <v>3766</v>
      </c>
    </row>
    <row r="1629" spans="1:11">
      <c r="A1629">
        <v>1627</v>
      </c>
      <c r="B1629">
        <v>6.6250000000000008E+62</v>
      </c>
      <c r="D1629" s="18">
        <v>1627</v>
      </c>
      <c r="E1629" s="18" cm="1">
        <f t="array" aca="1" ref="E1629" ca="1">INDIRECT("b"&amp;F1629+2)</f>
        <v>2.3500000000000001E+86</v>
      </c>
      <c r="F1629" s="18">
        <f t="shared" si="251"/>
        <v>2568</v>
      </c>
      <c r="G1629" s="18"/>
      <c r="H1629" s="18"/>
      <c r="I1629" s="19">
        <v>1627</v>
      </c>
      <c r="J1629" s="19" cm="1">
        <f t="array" aca="1" ref="J1629" ca="1">INDIRECT("b"&amp;K1629+2)</f>
        <v>2.3500000000000002E+116</v>
      </c>
      <c r="K1629" s="19">
        <f t="shared" si="247"/>
        <v>3768</v>
      </c>
    </row>
    <row r="1630" spans="1:11">
      <c r="A1630">
        <v>1628</v>
      </c>
      <c r="B1630">
        <v>6.8500000000000001E+62</v>
      </c>
      <c r="D1630" s="18">
        <v>1628</v>
      </c>
      <c r="E1630" s="18" cm="1">
        <f t="array" aca="1" ref="E1630" ca="1">INDIRECT("b"&amp;F1630+2)</f>
        <v>2.5750000000000001E+86</v>
      </c>
      <c r="F1630" s="18">
        <f t="shared" si="251"/>
        <v>2569</v>
      </c>
      <c r="G1630" s="18"/>
      <c r="H1630" s="18"/>
      <c r="I1630" s="19">
        <v>1628</v>
      </c>
      <c r="J1630" s="19" cm="1">
        <f t="array" aca="1" ref="J1630" ca="1">INDIRECT("b"&amp;K1630+2)</f>
        <v>2.5749999999999999E+116</v>
      </c>
      <c r="K1630" s="19">
        <f t="shared" si="247"/>
        <v>3769</v>
      </c>
    </row>
    <row r="1631" spans="1:11">
      <c r="A1631">
        <v>1629</v>
      </c>
      <c r="B1631">
        <v>7.0750000000000004E+62</v>
      </c>
      <c r="D1631" s="18">
        <v>1629</v>
      </c>
      <c r="E1631" s="18" cm="1">
        <f t="array" aca="1" ref="E1631" ca="1">INDIRECT("b"&amp;F1631+2)</f>
        <v>2.8E+86</v>
      </c>
      <c r="F1631" s="18">
        <f t="shared" si="251"/>
        <v>2570</v>
      </c>
      <c r="G1631" s="18"/>
      <c r="H1631" s="18"/>
      <c r="I1631" s="19">
        <v>1629</v>
      </c>
      <c r="J1631" s="19" cm="1">
        <f t="array" aca="1" ref="J1631" ca="1">INDIRECT("b"&amp;K1631+2)</f>
        <v>2.8E+116</v>
      </c>
      <c r="K1631" s="19">
        <f t="shared" si="247"/>
        <v>3770</v>
      </c>
    </row>
    <row r="1632" spans="1:11">
      <c r="A1632">
        <v>1630</v>
      </c>
      <c r="B1632">
        <v>7.3000000000000006E+62</v>
      </c>
      <c r="D1632" s="18">
        <v>1630</v>
      </c>
      <c r="E1632" s="18" cm="1">
        <f t="array" aca="1" ref="E1632" ca="1">INDIRECT("b"&amp;F1632+2)</f>
        <v>3.25E+86</v>
      </c>
      <c r="F1632" s="18">
        <f t="shared" si="251"/>
        <v>2572</v>
      </c>
      <c r="G1632" s="18">
        <f t="shared" ref="G1632" ca="1" si="254">E1632/E1627</f>
        <v>1.9402985074626866</v>
      </c>
      <c r="H1632" s="18"/>
      <c r="I1632" s="19">
        <v>1630</v>
      </c>
      <c r="J1632" s="19" cm="1">
        <f t="array" aca="1" ref="J1632" ca="1">INDIRECT("b"&amp;K1632+2)</f>
        <v>3.2499999999999999E+116</v>
      </c>
      <c r="K1632" s="19">
        <f t="shared" si="247"/>
        <v>3772</v>
      </c>
    </row>
    <row r="1633" spans="1:11">
      <c r="A1633">
        <v>1631</v>
      </c>
      <c r="B1633">
        <v>7.5250000000000008E+62</v>
      </c>
      <c r="D1633" s="18">
        <v>1631</v>
      </c>
      <c r="E1633" s="18" cm="1">
        <f t="array" aca="1" ref="E1633" ca="1">INDIRECT("b"&amp;F1633+2)</f>
        <v>3.4749999999999999E+86</v>
      </c>
      <c r="F1633" s="18">
        <f t="shared" si="251"/>
        <v>2573</v>
      </c>
      <c r="G1633" s="18"/>
      <c r="H1633" s="18"/>
      <c r="I1633" s="19">
        <v>1631</v>
      </c>
      <c r="J1633" s="19" cm="1">
        <f t="array" aca="1" ref="J1633" ca="1">INDIRECT("b"&amp;K1633+2)</f>
        <v>3.475E+116</v>
      </c>
      <c r="K1633" s="19">
        <f t="shared" si="247"/>
        <v>3773</v>
      </c>
    </row>
    <row r="1634" spans="1:11">
      <c r="A1634">
        <v>1632</v>
      </c>
      <c r="B1634">
        <v>7.750000000000001E+62</v>
      </c>
      <c r="D1634" s="18">
        <v>1632</v>
      </c>
      <c r="E1634" s="18" cm="1">
        <f t="array" aca="1" ref="E1634" ca="1">INDIRECT("b"&amp;F1634+2)</f>
        <v>3.6999999999999999E+86</v>
      </c>
      <c r="F1634" s="18">
        <f t="shared" si="251"/>
        <v>2574</v>
      </c>
      <c r="G1634" s="18"/>
      <c r="H1634" s="18"/>
      <c r="I1634" s="19">
        <v>1632</v>
      </c>
      <c r="J1634" s="19" cm="1">
        <f t="array" aca="1" ref="J1634" ca="1">INDIRECT("b"&amp;K1634+2)</f>
        <v>3.7000000000000001E+116</v>
      </c>
      <c r="K1634" s="19">
        <f t="shared" si="247"/>
        <v>3774</v>
      </c>
    </row>
    <row r="1635" spans="1:11">
      <c r="A1635">
        <v>1633</v>
      </c>
      <c r="B1635">
        <v>7.9750000000000004E+62</v>
      </c>
      <c r="D1635" s="18">
        <v>1633</v>
      </c>
      <c r="E1635" s="18" cm="1">
        <f t="array" aca="1" ref="E1635" ca="1">INDIRECT("b"&amp;F1635+2)</f>
        <v>4.1499999999999999E+86</v>
      </c>
      <c r="F1635" s="18">
        <f t="shared" si="251"/>
        <v>2576</v>
      </c>
      <c r="G1635" s="18"/>
      <c r="H1635" s="18"/>
      <c r="I1635" s="19">
        <v>1633</v>
      </c>
      <c r="J1635" s="19" cm="1">
        <f t="array" aca="1" ref="J1635" ca="1">INDIRECT("b"&amp;K1635+2)</f>
        <v>4.1500000000000004E+116</v>
      </c>
      <c r="K1635" s="19">
        <f t="shared" si="247"/>
        <v>3776</v>
      </c>
    </row>
    <row r="1636" spans="1:11">
      <c r="A1636">
        <v>1634</v>
      </c>
      <c r="B1636">
        <v>8.2000000000000006E+62</v>
      </c>
      <c r="D1636" s="18">
        <v>1634</v>
      </c>
      <c r="E1636" s="18" cm="1">
        <f t="array" aca="1" ref="E1636" ca="1">INDIRECT("b"&amp;F1636+2)</f>
        <v>4.3749999999999998E+86</v>
      </c>
      <c r="F1636" s="18">
        <f t="shared" si="251"/>
        <v>2577</v>
      </c>
      <c r="G1636" s="18"/>
      <c r="H1636" s="18"/>
      <c r="I1636" s="19">
        <v>1634</v>
      </c>
      <c r="J1636" s="19" cm="1">
        <f t="array" aca="1" ref="J1636" ca="1">INDIRECT("b"&amp;K1636+2)</f>
        <v>4.3750000000000005E+116</v>
      </c>
      <c r="K1636" s="19">
        <f t="shared" si="247"/>
        <v>3777</v>
      </c>
    </row>
    <row r="1637" spans="1:11">
      <c r="A1637">
        <v>1635</v>
      </c>
      <c r="B1637">
        <v>8.4249999999999999E+62</v>
      </c>
      <c r="D1637" s="18">
        <v>1635</v>
      </c>
      <c r="E1637" s="18" cm="1">
        <f t="array" aca="1" ref="E1637" ca="1">INDIRECT("b"&amp;F1637+2)</f>
        <v>4.5999999999999998E+86</v>
      </c>
      <c r="F1637" s="18">
        <f t="shared" si="251"/>
        <v>2578</v>
      </c>
      <c r="G1637" s="18">
        <f t="shared" ref="G1637" ca="1" si="255">E1637/E1632</f>
        <v>1.4153846153846152</v>
      </c>
      <c r="H1637" s="18"/>
      <c r="I1637" s="19">
        <v>1635</v>
      </c>
      <c r="J1637" s="19" cm="1">
        <f t="array" aca="1" ref="J1637" ca="1">INDIRECT("b"&amp;K1637+2)</f>
        <v>4.5999999999999999E+116</v>
      </c>
      <c r="K1637" s="19">
        <f t="shared" si="247"/>
        <v>3778</v>
      </c>
    </row>
    <row r="1638" spans="1:11">
      <c r="A1638">
        <v>1636</v>
      </c>
      <c r="B1638">
        <v>8.650000000000001E+62</v>
      </c>
      <c r="D1638" s="18">
        <v>1636</v>
      </c>
      <c r="E1638" s="18" cm="1">
        <f t="array" aca="1" ref="E1638" ca="1">INDIRECT("b"&amp;F1638+2)</f>
        <v>5.0500000000000003E+86</v>
      </c>
      <c r="F1638" s="18">
        <f t="shared" si="251"/>
        <v>2580</v>
      </c>
      <c r="G1638" s="18"/>
      <c r="H1638" s="18"/>
      <c r="I1638" s="19">
        <v>1636</v>
      </c>
      <c r="J1638" s="19" cm="1">
        <f t="array" aca="1" ref="J1638" ca="1">INDIRECT("b"&amp;K1638+2)</f>
        <v>5.0500000000000001E+116</v>
      </c>
      <c r="K1638" s="19">
        <f t="shared" si="247"/>
        <v>3780</v>
      </c>
    </row>
    <row r="1639" spans="1:11">
      <c r="A1639">
        <v>1637</v>
      </c>
      <c r="B1639">
        <v>8.8750000000000004E+62</v>
      </c>
      <c r="D1639" s="18">
        <v>1637</v>
      </c>
      <c r="E1639" s="18" cm="1">
        <f t="array" aca="1" ref="E1639" ca="1">INDIRECT("b"&amp;F1639+2)</f>
        <v>5.2750000000000002E+86</v>
      </c>
      <c r="F1639" s="18">
        <f t="shared" si="251"/>
        <v>2581</v>
      </c>
      <c r="G1639" s="18"/>
      <c r="H1639" s="18"/>
      <c r="I1639" s="19">
        <v>1637</v>
      </c>
      <c r="J1639" s="19" cm="1">
        <f t="array" aca="1" ref="J1639" ca="1">INDIRECT("b"&amp;K1639+2)</f>
        <v>5.2750000000000002E+116</v>
      </c>
      <c r="K1639" s="19">
        <f t="shared" si="247"/>
        <v>3781</v>
      </c>
    </row>
    <row r="1640" spans="1:11">
      <c r="A1640">
        <v>1638</v>
      </c>
      <c r="B1640">
        <v>9.1000000000000015E+62</v>
      </c>
      <c r="D1640" s="18">
        <v>1638</v>
      </c>
      <c r="E1640" s="18" cm="1">
        <f t="array" aca="1" ref="E1640" ca="1">INDIRECT("b"&amp;F1640+2)</f>
        <v>5.5000000000000002E+86</v>
      </c>
      <c r="F1640" s="18">
        <f t="shared" si="251"/>
        <v>2582</v>
      </c>
      <c r="G1640" s="18"/>
      <c r="H1640" s="18"/>
      <c r="I1640" s="19">
        <v>1638</v>
      </c>
      <c r="J1640" s="19" cm="1">
        <f t="array" aca="1" ref="J1640" ca="1">INDIRECT("b"&amp;K1640+2)</f>
        <v>5.5000000000000003E+116</v>
      </c>
      <c r="K1640" s="19">
        <f t="shared" si="247"/>
        <v>3782</v>
      </c>
    </row>
    <row r="1641" spans="1:11">
      <c r="A1641">
        <v>1639</v>
      </c>
      <c r="B1641">
        <v>9.3250000000000008E+62</v>
      </c>
      <c r="D1641" s="18">
        <v>1639</v>
      </c>
      <c r="E1641" s="18" cm="1">
        <f t="array" aca="1" ref="E1641" ca="1">INDIRECT("b"&amp;F1641+2)</f>
        <v>5.9500000000000002E+86</v>
      </c>
      <c r="F1641" s="18">
        <f t="shared" si="251"/>
        <v>2584</v>
      </c>
      <c r="G1641" s="18"/>
      <c r="H1641" s="18"/>
      <c r="I1641" s="19">
        <v>1639</v>
      </c>
      <c r="J1641" s="19" cm="1">
        <f t="array" aca="1" ref="J1641" ca="1">INDIRECT("b"&amp;K1641+2)</f>
        <v>5.9499999999999999E+116</v>
      </c>
      <c r="K1641" s="19">
        <f t="shared" si="247"/>
        <v>3784</v>
      </c>
    </row>
    <row r="1642" spans="1:11">
      <c r="A1642">
        <v>1640</v>
      </c>
      <c r="B1642">
        <v>9.5500000000000001E+62</v>
      </c>
      <c r="D1642" s="18">
        <v>1640</v>
      </c>
      <c r="E1642" s="18" cm="1">
        <f t="array" aca="1" ref="E1642" ca="1">INDIRECT("b"&amp;F1642+2)</f>
        <v>6.1750000000000001E+86</v>
      </c>
      <c r="F1642" s="18">
        <f t="shared" si="251"/>
        <v>2585</v>
      </c>
      <c r="G1642" s="18">
        <f t="shared" ref="G1642" ca="1" si="256">E1642/E1637</f>
        <v>1.3423913043478262</v>
      </c>
      <c r="H1642" s="18"/>
      <c r="I1642" s="19">
        <v>1640</v>
      </c>
      <c r="J1642" s="19" cm="1">
        <f t="array" aca="1" ref="J1642" ca="1">INDIRECT("b"&amp;K1642+2)</f>
        <v>6.175E+116</v>
      </c>
      <c r="K1642" s="19">
        <f t="shared" si="247"/>
        <v>3785</v>
      </c>
    </row>
    <row r="1643" spans="1:11">
      <c r="A1643">
        <v>1641</v>
      </c>
      <c r="B1643">
        <v>9.7750000000000013E+62</v>
      </c>
      <c r="D1643" s="18">
        <v>1641</v>
      </c>
      <c r="E1643" s="18" cm="1">
        <f t="array" aca="1" ref="E1643" ca="1">INDIRECT("b"&amp;F1643+2)</f>
        <v>6.4000000000000001E+86</v>
      </c>
      <c r="F1643" s="18">
        <f t="shared" si="251"/>
        <v>2586</v>
      </c>
      <c r="G1643" s="18"/>
      <c r="H1643" s="18"/>
      <c r="I1643" s="19">
        <v>1641</v>
      </c>
      <c r="J1643" s="19" cm="1">
        <f t="array" aca="1" ref="J1643" ca="1">INDIRECT("b"&amp;K1643+2)</f>
        <v>6.4000000000000001E+116</v>
      </c>
      <c r="K1643" s="19">
        <f t="shared" si="247"/>
        <v>3786</v>
      </c>
    </row>
    <row r="1644" spans="1:11">
      <c r="A1644">
        <v>1642</v>
      </c>
      <c r="B1644">
        <v>1.0000000000000001E+63</v>
      </c>
      <c r="D1644" s="18">
        <v>1642</v>
      </c>
      <c r="E1644" s="18" cm="1">
        <f t="array" aca="1" ref="E1644" ca="1">INDIRECT("b"&amp;F1644+2)</f>
        <v>6.85E+86</v>
      </c>
      <c r="F1644" s="18">
        <f t="shared" si="251"/>
        <v>2588</v>
      </c>
      <c r="G1644" s="18"/>
      <c r="H1644" s="18"/>
      <c r="I1644" s="19">
        <v>1642</v>
      </c>
      <c r="J1644" s="19" cm="1">
        <f t="array" aca="1" ref="J1644" ca="1">INDIRECT("b"&amp;K1644+2)</f>
        <v>6.8500000000000003E+116</v>
      </c>
      <c r="K1644" s="19">
        <f t="shared" si="247"/>
        <v>3788</v>
      </c>
    </row>
    <row r="1645" spans="1:11">
      <c r="A1645">
        <v>1643</v>
      </c>
      <c r="B1645">
        <v>1.2250000000000001E+63</v>
      </c>
      <c r="D1645" s="18">
        <v>1643</v>
      </c>
      <c r="E1645" s="18" cm="1">
        <f t="array" aca="1" ref="E1645" ca="1">INDIRECT("b"&amp;F1645+2)</f>
        <v>7.075E+86</v>
      </c>
      <c r="F1645" s="18">
        <f t="shared" si="251"/>
        <v>2589</v>
      </c>
      <c r="G1645" s="18"/>
      <c r="H1645" s="18"/>
      <c r="I1645" s="19">
        <v>1643</v>
      </c>
      <c r="J1645" s="19" cm="1">
        <f t="array" aca="1" ref="J1645" ca="1">INDIRECT("b"&amp;K1645+2)</f>
        <v>7.0750000000000004E+116</v>
      </c>
      <c r="K1645" s="19">
        <f t="shared" si="247"/>
        <v>3789</v>
      </c>
    </row>
    <row r="1646" spans="1:11">
      <c r="A1646">
        <v>1644</v>
      </c>
      <c r="B1646">
        <v>1.45E+63</v>
      </c>
      <c r="D1646" s="18">
        <v>1644</v>
      </c>
      <c r="E1646" s="18" cm="1">
        <f t="array" aca="1" ref="E1646" ca="1">INDIRECT("b"&amp;F1646+2)</f>
        <v>7.3E+86</v>
      </c>
      <c r="F1646" s="18">
        <f t="shared" si="251"/>
        <v>2590</v>
      </c>
      <c r="G1646" s="18"/>
      <c r="H1646" s="18"/>
      <c r="I1646" s="19">
        <v>1644</v>
      </c>
      <c r="J1646" s="19" cm="1">
        <f t="array" aca="1" ref="J1646" ca="1">INDIRECT("b"&amp;K1646+2)</f>
        <v>7.3000000000000006E+116</v>
      </c>
      <c r="K1646" s="19">
        <f t="shared" si="247"/>
        <v>3790</v>
      </c>
    </row>
    <row r="1647" spans="1:11">
      <c r="A1647">
        <v>1645</v>
      </c>
      <c r="B1647">
        <v>1.675E+63</v>
      </c>
      <c r="D1647" s="18">
        <v>1645</v>
      </c>
      <c r="E1647" s="18" cm="1">
        <f t="array" aca="1" ref="E1647" ca="1">INDIRECT("b"&amp;F1647+2)</f>
        <v>7.7499999999999999E+86</v>
      </c>
      <c r="F1647" s="18">
        <f t="shared" si="251"/>
        <v>2592</v>
      </c>
      <c r="G1647" s="18">
        <f t="shared" ref="G1647" ca="1" si="257">E1647/E1642</f>
        <v>1.2550607287449391</v>
      </c>
      <c r="H1647" s="18"/>
      <c r="I1647" s="19">
        <v>1645</v>
      </c>
      <c r="J1647" s="19" cm="1">
        <f t="array" aca="1" ref="J1647" ca="1">INDIRECT("b"&amp;K1647+2)</f>
        <v>7.7500000000000008E+116</v>
      </c>
      <c r="K1647" s="19">
        <f t="shared" si="247"/>
        <v>3792</v>
      </c>
    </row>
    <row r="1648" spans="1:11">
      <c r="A1648">
        <v>1646</v>
      </c>
      <c r="B1648">
        <v>1.9000000000000001E+63</v>
      </c>
      <c r="D1648" s="18">
        <v>1646</v>
      </c>
      <c r="E1648" s="18" cm="1">
        <f t="array" aca="1" ref="E1648" ca="1">INDIRECT("b"&amp;F1648+2)</f>
        <v>7.9749999999999999E+86</v>
      </c>
      <c r="F1648" s="18">
        <f t="shared" si="251"/>
        <v>2593</v>
      </c>
      <c r="G1648" s="18"/>
      <c r="H1648" s="18"/>
      <c r="I1648" s="19">
        <v>1646</v>
      </c>
      <c r="J1648" s="19" cm="1">
        <f t="array" aca="1" ref="J1648" ca="1">INDIRECT("b"&amp;K1648+2)</f>
        <v>7.9750000000000009E+116</v>
      </c>
      <c r="K1648" s="19">
        <f t="shared" si="247"/>
        <v>3793</v>
      </c>
    </row>
    <row r="1649" spans="1:11">
      <c r="A1649">
        <v>1647</v>
      </c>
      <c r="B1649">
        <v>2.1250000000000001E+63</v>
      </c>
      <c r="D1649" s="18">
        <v>1647</v>
      </c>
      <c r="E1649" s="18" cm="1">
        <f t="array" aca="1" ref="E1649" ca="1">INDIRECT("b"&amp;F1649+2)</f>
        <v>8.1999999999999998E+86</v>
      </c>
      <c r="F1649" s="18">
        <f t="shared" si="251"/>
        <v>2594</v>
      </c>
      <c r="G1649" s="18"/>
      <c r="H1649" s="18"/>
      <c r="I1649" s="19">
        <v>1647</v>
      </c>
      <c r="J1649" s="19" cm="1">
        <f t="array" aca="1" ref="J1649" ca="1">INDIRECT("b"&amp;K1649+2)</f>
        <v>8.1999999999999996E+116</v>
      </c>
      <c r="K1649" s="19">
        <f t="shared" si="247"/>
        <v>3794</v>
      </c>
    </row>
    <row r="1650" spans="1:11">
      <c r="A1650">
        <v>1648</v>
      </c>
      <c r="B1650">
        <v>2.3500000000000001E+63</v>
      </c>
      <c r="D1650" s="18">
        <v>1648</v>
      </c>
      <c r="E1650" s="18" cm="1">
        <f t="array" aca="1" ref="E1650" ca="1">INDIRECT("b"&amp;F1650+2)</f>
        <v>8.6499999999999998E+86</v>
      </c>
      <c r="F1650" s="18">
        <f t="shared" si="251"/>
        <v>2596</v>
      </c>
      <c r="G1650" s="18"/>
      <c r="H1650" s="18"/>
      <c r="I1650" s="19">
        <v>1648</v>
      </c>
      <c r="J1650" s="19" cm="1">
        <f t="array" aca="1" ref="J1650" ca="1">INDIRECT("b"&amp;K1650+2)</f>
        <v>8.6499999999999998E+116</v>
      </c>
      <c r="K1650" s="19">
        <f t="shared" si="247"/>
        <v>3796</v>
      </c>
    </row>
    <row r="1651" spans="1:11">
      <c r="A1651">
        <v>1649</v>
      </c>
      <c r="B1651">
        <v>2.5750000000000002E+63</v>
      </c>
      <c r="D1651" s="18">
        <v>1649</v>
      </c>
      <c r="E1651" s="18" cm="1">
        <f t="array" aca="1" ref="E1651" ca="1">INDIRECT("b"&amp;F1651+2)</f>
        <v>8.8749999999999998E+86</v>
      </c>
      <c r="F1651" s="18">
        <f t="shared" si="251"/>
        <v>2597</v>
      </c>
      <c r="G1651" s="18"/>
      <c r="H1651" s="18"/>
      <c r="I1651" s="19">
        <v>1649</v>
      </c>
      <c r="J1651" s="19" cm="1">
        <f t="array" aca="1" ref="J1651" ca="1">INDIRECT("b"&amp;K1651+2)</f>
        <v>8.8749999999999999E+116</v>
      </c>
      <c r="K1651" s="19">
        <f t="shared" si="247"/>
        <v>3797</v>
      </c>
    </row>
    <row r="1652" spans="1:11">
      <c r="A1652">
        <v>1650</v>
      </c>
      <c r="B1652">
        <v>2.7999999999999999E+63</v>
      </c>
      <c r="D1652" s="18">
        <v>1650</v>
      </c>
      <c r="E1652" s="18" cm="1">
        <f t="array" aca="1" ref="E1652" ca="1">INDIRECT("b"&amp;F1652+2)</f>
        <v>9.0999999999999997E+86</v>
      </c>
      <c r="F1652" s="18">
        <f t="shared" si="251"/>
        <v>2598</v>
      </c>
      <c r="G1652" s="18">
        <f t="shared" ref="G1652" ca="1" si="258">E1652/E1647</f>
        <v>1.1741935483870967</v>
      </c>
      <c r="H1652" s="18"/>
      <c r="I1652" s="19">
        <v>1650</v>
      </c>
      <c r="J1652" s="19" cm="1">
        <f t="array" aca="1" ref="J1652" ca="1">INDIRECT("b"&amp;K1652+2)</f>
        <v>9.1000000000000001E+116</v>
      </c>
      <c r="K1652" s="19">
        <f t="shared" si="247"/>
        <v>3798</v>
      </c>
    </row>
    <row r="1653" spans="1:11">
      <c r="A1653">
        <v>1651</v>
      </c>
      <c r="B1653">
        <v>3.0249999999999999E+63</v>
      </c>
      <c r="D1653" s="18">
        <v>1651</v>
      </c>
      <c r="E1653" s="18" cm="1">
        <f t="array" aca="1" ref="E1653" ca="1">INDIRECT("b"&amp;F1653+2)</f>
        <v>9.5499999999999997E+86</v>
      </c>
      <c r="F1653" s="18">
        <f t="shared" si="251"/>
        <v>2600</v>
      </c>
      <c r="G1653" s="18"/>
      <c r="H1653" s="18"/>
      <c r="I1653" s="19">
        <v>1651</v>
      </c>
      <c r="J1653" s="19" cm="1">
        <f t="array" aca="1" ref="J1653" ca="1">INDIRECT("b"&amp;K1653+2)</f>
        <v>9.5500000000000003E+116</v>
      </c>
      <c r="K1653" s="19">
        <f t="shared" si="247"/>
        <v>3800</v>
      </c>
    </row>
    <row r="1654" spans="1:11">
      <c r="A1654">
        <v>1652</v>
      </c>
      <c r="B1654">
        <v>3.25E+63</v>
      </c>
      <c r="D1654" s="18">
        <v>1652</v>
      </c>
      <c r="E1654" s="18" cm="1">
        <f t="array" aca="1" ref="E1654" ca="1">INDIRECT("b"&amp;F1654+2)</f>
        <v>9.7749999999999996E+86</v>
      </c>
      <c r="F1654" s="18">
        <f t="shared" si="251"/>
        <v>2601</v>
      </c>
      <c r="G1654" s="18"/>
      <c r="H1654" s="18"/>
      <c r="I1654" s="19">
        <v>1652</v>
      </c>
      <c r="J1654" s="19" cm="1">
        <f t="array" aca="1" ref="J1654" ca="1">INDIRECT("b"&amp;K1654+2)</f>
        <v>9.7750000000000004E+116</v>
      </c>
      <c r="K1654" s="19">
        <f t="shared" si="247"/>
        <v>3801</v>
      </c>
    </row>
    <row r="1655" spans="1:11">
      <c r="A1655">
        <v>1653</v>
      </c>
      <c r="B1655">
        <v>3.4750000000000004E+63</v>
      </c>
      <c r="D1655" s="18">
        <v>1653</v>
      </c>
      <c r="E1655" s="18" cm="1">
        <f t="array" aca="1" ref="E1655" ca="1">INDIRECT("b"&amp;F1655+2)</f>
        <v>9.9999999999999996E+86</v>
      </c>
      <c r="F1655" s="18">
        <f t="shared" si="251"/>
        <v>2602</v>
      </c>
      <c r="G1655" s="18"/>
      <c r="H1655" s="18"/>
      <c r="I1655" s="19">
        <v>1653</v>
      </c>
      <c r="J1655" s="19" cm="1">
        <f t="array" aca="1" ref="J1655" ca="1">INDIRECT("b"&amp;K1655+2)</f>
        <v>1.0000000000000001E+117</v>
      </c>
      <c r="K1655" s="19">
        <f t="shared" si="247"/>
        <v>3802</v>
      </c>
    </row>
    <row r="1656" spans="1:11">
      <c r="A1656">
        <v>1654</v>
      </c>
      <c r="B1656">
        <v>3.6999999999999997E+63</v>
      </c>
      <c r="D1656" s="18">
        <v>1654</v>
      </c>
      <c r="E1656" s="18" cm="1">
        <f t="array" aca="1" ref="E1656" ca="1">INDIRECT("b"&amp;F1656+2)</f>
        <v>1.4499999999999999E+87</v>
      </c>
      <c r="F1656" s="18">
        <f t="shared" si="251"/>
        <v>2604</v>
      </c>
      <c r="G1656" s="18"/>
      <c r="H1656" s="18"/>
      <c r="I1656" s="19">
        <v>1654</v>
      </c>
      <c r="J1656" s="19" cm="1">
        <f t="array" aca="1" ref="J1656" ca="1">INDIRECT("b"&amp;K1656+2)</f>
        <v>1.4499999999999999E+117</v>
      </c>
      <c r="K1656" s="19">
        <f t="shared" si="247"/>
        <v>3804</v>
      </c>
    </row>
    <row r="1657" spans="1:11">
      <c r="A1657">
        <v>1655</v>
      </c>
      <c r="B1657">
        <v>3.9249999999999997E+63</v>
      </c>
      <c r="D1657" s="18">
        <v>1655</v>
      </c>
      <c r="E1657" s="18" cm="1">
        <f t="array" aca="1" ref="E1657" ca="1">INDIRECT("b"&amp;F1657+2)</f>
        <v>1.6749999999999999E+87</v>
      </c>
      <c r="F1657" s="18">
        <f t="shared" si="251"/>
        <v>2605</v>
      </c>
      <c r="G1657" s="18">
        <f t="shared" ref="G1657" ca="1" si="259">E1657/E1652</f>
        <v>1.8406593406593406</v>
      </c>
      <c r="H1657" s="18"/>
      <c r="I1657" s="19">
        <v>1655</v>
      </c>
      <c r="J1657" s="19" cm="1">
        <f t="array" aca="1" ref="J1657" ca="1">INDIRECT("b"&amp;K1657+2)</f>
        <v>1.675E+117</v>
      </c>
      <c r="K1657" s="19">
        <f t="shared" si="247"/>
        <v>3805</v>
      </c>
    </row>
    <row r="1658" spans="1:11">
      <c r="A1658">
        <v>1656</v>
      </c>
      <c r="B1658">
        <v>4.1499999999999998E+63</v>
      </c>
      <c r="D1658" s="18">
        <v>1656</v>
      </c>
      <c r="E1658" s="18" cm="1">
        <f t="array" aca="1" ref="E1658" ca="1">INDIRECT("b"&amp;F1658+2)</f>
        <v>1.8999999999999998E+87</v>
      </c>
      <c r="F1658" s="18">
        <f t="shared" si="251"/>
        <v>2606</v>
      </c>
      <c r="G1658" s="18"/>
      <c r="H1658" s="18"/>
      <c r="I1658" s="19">
        <v>1656</v>
      </c>
      <c r="J1658" s="19" cm="1">
        <f t="array" aca="1" ref="J1658" ca="1">INDIRECT("b"&amp;K1658+2)</f>
        <v>1.9000000000000001E+117</v>
      </c>
      <c r="K1658" s="19">
        <f t="shared" si="247"/>
        <v>3806</v>
      </c>
    </row>
    <row r="1659" spans="1:11">
      <c r="A1659">
        <v>1657</v>
      </c>
      <c r="B1659">
        <v>4.3749999999999998E+63</v>
      </c>
      <c r="D1659" s="18">
        <v>1657</v>
      </c>
      <c r="E1659" s="18" cm="1">
        <f t="array" aca="1" ref="E1659" ca="1">INDIRECT("b"&amp;F1659+2)</f>
        <v>2.3499999999999998E+87</v>
      </c>
      <c r="F1659" s="18">
        <f t="shared" si="251"/>
        <v>2608</v>
      </c>
      <c r="G1659" s="18"/>
      <c r="H1659" s="18"/>
      <c r="I1659" s="19">
        <v>1657</v>
      </c>
      <c r="J1659" s="19" cm="1">
        <f t="array" aca="1" ref="J1659" ca="1">INDIRECT("b"&amp;K1659+2)</f>
        <v>2.35E+117</v>
      </c>
      <c r="K1659" s="19">
        <f t="shared" si="247"/>
        <v>3808</v>
      </c>
    </row>
    <row r="1660" spans="1:11">
      <c r="A1660">
        <v>1658</v>
      </c>
      <c r="B1660">
        <v>4.5999999999999999E+63</v>
      </c>
      <c r="D1660" s="18">
        <v>1658</v>
      </c>
      <c r="E1660" s="18" cm="1">
        <f t="array" aca="1" ref="E1660" ca="1">INDIRECT("b"&amp;F1660+2)</f>
        <v>2.575E+87</v>
      </c>
      <c r="F1660" s="18">
        <f t="shared" si="251"/>
        <v>2609</v>
      </c>
      <c r="G1660" s="18"/>
      <c r="H1660" s="18"/>
      <c r="I1660" s="19">
        <v>1658</v>
      </c>
      <c r="J1660" s="19" cm="1">
        <f t="array" aca="1" ref="J1660" ca="1">INDIRECT("b"&amp;K1660+2)</f>
        <v>2.5749999999999999E+117</v>
      </c>
      <c r="K1660" s="19">
        <f t="shared" si="247"/>
        <v>3809</v>
      </c>
    </row>
    <row r="1661" spans="1:11">
      <c r="A1661">
        <v>1659</v>
      </c>
      <c r="B1661">
        <v>4.8249999999999999E+63</v>
      </c>
      <c r="D1661" s="18">
        <v>1659</v>
      </c>
      <c r="E1661" s="18" cm="1">
        <f t="array" aca="1" ref="E1661" ca="1">INDIRECT("b"&amp;F1661+2)</f>
        <v>2.7999999999999997E+87</v>
      </c>
      <c r="F1661" s="18">
        <f t="shared" si="251"/>
        <v>2610</v>
      </c>
      <c r="G1661" s="18"/>
      <c r="H1661" s="18"/>
      <c r="I1661" s="19">
        <v>1659</v>
      </c>
      <c r="J1661" s="19" cm="1">
        <f t="array" aca="1" ref="J1661" ca="1">INDIRECT("b"&amp;K1661+2)</f>
        <v>2.8E+117</v>
      </c>
      <c r="K1661" s="19">
        <f t="shared" si="247"/>
        <v>3810</v>
      </c>
    </row>
    <row r="1662" spans="1:11">
      <c r="A1662">
        <v>1660</v>
      </c>
      <c r="B1662">
        <v>5.05E+63</v>
      </c>
      <c r="D1662" s="18">
        <v>1660</v>
      </c>
      <c r="E1662" s="18" cm="1">
        <f t="array" aca="1" ref="E1662" ca="1">INDIRECT("b"&amp;F1662+2)</f>
        <v>3.2500000000000001E+87</v>
      </c>
      <c r="F1662" s="18">
        <f t="shared" si="251"/>
        <v>2612</v>
      </c>
      <c r="G1662" s="18">
        <f t="shared" ref="G1662" ca="1" si="260">E1662/E1657</f>
        <v>1.9402985074626868</v>
      </c>
      <c r="H1662" s="18"/>
      <c r="I1662" s="19">
        <v>1660</v>
      </c>
      <c r="J1662" s="19" cm="1">
        <f t="array" aca="1" ref="J1662" ca="1">INDIRECT("b"&amp;K1662+2)</f>
        <v>3.2500000000000002E+117</v>
      </c>
      <c r="K1662" s="19">
        <f t="shared" si="247"/>
        <v>3812</v>
      </c>
    </row>
    <row r="1663" spans="1:11">
      <c r="A1663">
        <v>1661</v>
      </c>
      <c r="B1663">
        <v>5.275E+63</v>
      </c>
      <c r="D1663" s="18">
        <v>1661</v>
      </c>
      <c r="E1663" s="18" cm="1">
        <f t="array" aca="1" ref="E1663" ca="1">INDIRECT("b"&amp;F1663+2)</f>
        <v>3.4749999999999998E+87</v>
      </c>
      <c r="F1663" s="18">
        <f t="shared" si="251"/>
        <v>2613</v>
      </c>
      <c r="G1663" s="18"/>
      <c r="H1663" s="18"/>
      <c r="I1663" s="19">
        <v>1661</v>
      </c>
      <c r="J1663" s="19" cm="1">
        <f t="array" aca="1" ref="J1663" ca="1">INDIRECT("b"&amp;K1663+2)</f>
        <v>3.4749999999999998E+117</v>
      </c>
      <c r="K1663" s="19">
        <f t="shared" si="247"/>
        <v>3813</v>
      </c>
    </row>
    <row r="1664" spans="1:11">
      <c r="A1664">
        <v>1662</v>
      </c>
      <c r="B1664">
        <v>5.5E+63</v>
      </c>
      <c r="D1664" s="18">
        <v>1662</v>
      </c>
      <c r="E1664" s="18" cm="1">
        <f t="array" aca="1" ref="E1664" ca="1">INDIRECT("b"&amp;F1664+2)</f>
        <v>3.7E+87</v>
      </c>
      <c r="F1664" s="18">
        <f t="shared" si="251"/>
        <v>2614</v>
      </c>
      <c r="G1664" s="18">
        <f t="shared" ref="G1664" ca="1" si="261">E1664/E1659</f>
        <v>1.5744680851063833</v>
      </c>
      <c r="H1664" s="18"/>
      <c r="I1664" s="19">
        <v>1662</v>
      </c>
      <c r="J1664" s="19" cm="1">
        <f t="array" aca="1" ref="J1664" ca="1">INDIRECT("b"&amp;K1664+2)</f>
        <v>3.6999999999999999E+117</v>
      </c>
      <c r="K1664" s="19">
        <f t="shared" si="247"/>
        <v>3814</v>
      </c>
    </row>
    <row r="1665" spans="1:11">
      <c r="A1665">
        <v>1663</v>
      </c>
      <c r="B1665">
        <v>5.7250000000000001E+63</v>
      </c>
      <c r="D1665" s="18">
        <v>1663</v>
      </c>
      <c r="E1665" s="18" cm="1">
        <f t="array" aca="1" ref="E1665" ca="1">INDIRECT("b"&amp;F1665+2)</f>
        <v>4.15E+87</v>
      </c>
      <c r="F1665" s="18">
        <f t="shared" si="251"/>
        <v>2616</v>
      </c>
      <c r="G1665" s="18"/>
      <c r="H1665" s="18"/>
      <c r="I1665" s="19">
        <v>1663</v>
      </c>
      <c r="J1665" s="19" cm="1">
        <f t="array" aca="1" ref="J1665" ca="1">INDIRECT("b"&amp;K1665+2)</f>
        <v>4.1500000000000001E+117</v>
      </c>
      <c r="K1665" s="19">
        <f t="shared" si="247"/>
        <v>3816</v>
      </c>
    </row>
    <row r="1666" spans="1:11">
      <c r="A1666">
        <v>1664</v>
      </c>
      <c r="B1666">
        <v>5.9500000000000001E+63</v>
      </c>
      <c r="D1666" s="18">
        <v>1664</v>
      </c>
      <c r="E1666" s="18" cm="1">
        <f t="array" aca="1" ref="E1666" ca="1">INDIRECT("b"&amp;F1666+2)</f>
        <v>4.3749999999999997E+87</v>
      </c>
      <c r="F1666" s="18">
        <f t="shared" si="251"/>
        <v>2617</v>
      </c>
      <c r="G1666" s="18"/>
      <c r="H1666" s="18"/>
      <c r="I1666" s="19">
        <v>1664</v>
      </c>
      <c r="J1666" s="19" cm="1">
        <f t="array" aca="1" ref="J1666" ca="1">INDIRECT("b"&amp;K1666+2)</f>
        <v>4.3749999999999996E+117</v>
      </c>
      <c r="K1666" s="19">
        <f t="shared" si="247"/>
        <v>3817</v>
      </c>
    </row>
    <row r="1667" spans="1:11">
      <c r="A1667">
        <v>1665</v>
      </c>
      <c r="B1667">
        <v>6.1750000000000002E+63</v>
      </c>
      <c r="D1667" s="18">
        <v>1665</v>
      </c>
      <c r="E1667" s="18" cm="1">
        <f t="array" aca="1" ref="E1667" ca="1">INDIRECT("b"&amp;F1667+2)</f>
        <v>4.5999999999999995E+87</v>
      </c>
      <c r="F1667" s="18">
        <f t="shared" si="251"/>
        <v>2618</v>
      </c>
      <c r="G1667" s="18"/>
      <c r="H1667" s="18"/>
      <c r="I1667" s="19">
        <v>1665</v>
      </c>
      <c r="J1667" s="19" cm="1">
        <f t="array" aca="1" ref="J1667" ca="1">INDIRECT("b"&amp;K1667+2)</f>
        <v>4.5999999999999998E+117</v>
      </c>
      <c r="K1667" s="19">
        <f t="shared" si="247"/>
        <v>3818</v>
      </c>
    </row>
    <row r="1668" spans="1:11">
      <c r="A1668">
        <v>1666</v>
      </c>
      <c r="B1668">
        <v>6.4000000000000002E+63</v>
      </c>
      <c r="D1668" s="18">
        <v>1666</v>
      </c>
      <c r="E1668" s="18" cm="1">
        <f t="array" aca="1" ref="E1668" ca="1">INDIRECT("b"&amp;F1668+2)</f>
        <v>5.0499999999999998E+87</v>
      </c>
      <c r="F1668" s="18">
        <f t="shared" si="251"/>
        <v>2620</v>
      </c>
      <c r="G1668" s="18"/>
      <c r="H1668" s="18"/>
      <c r="I1668" s="19">
        <v>1666</v>
      </c>
      <c r="J1668" s="19" cm="1">
        <f t="array" aca="1" ref="J1668" ca="1">INDIRECT("b"&amp;K1668+2)</f>
        <v>5.0499999999999994E+117</v>
      </c>
      <c r="K1668" s="19">
        <f t="shared" ref="K1668:K1731" si="262">INT((A1668-1)*40/30+900*40/30)+400</f>
        <v>3820</v>
      </c>
    </row>
    <row r="1669" spans="1:11">
      <c r="A1669">
        <v>1667</v>
      </c>
      <c r="B1669">
        <v>6.6250000000000003E+63</v>
      </c>
      <c r="D1669" s="18">
        <v>1667</v>
      </c>
      <c r="E1669" s="18" cm="1">
        <f t="array" aca="1" ref="E1669" ca="1">INDIRECT("b"&amp;F1669+2)</f>
        <v>5.2749999999999996E+87</v>
      </c>
      <c r="F1669" s="18">
        <f t="shared" si="251"/>
        <v>2621</v>
      </c>
      <c r="G1669" s="18">
        <f t="shared" ref="G1669" ca="1" si="263">E1669/E1664</f>
        <v>1.4256756756756757</v>
      </c>
      <c r="H1669" s="18"/>
      <c r="I1669" s="19">
        <v>1667</v>
      </c>
      <c r="J1669" s="19" cm="1">
        <f t="array" aca="1" ref="J1669" ca="1">INDIRECT("b"&amp;K1669+2)</f>
        <v>5.2750000000000001E+117</v>
      </c>
      <c r="K1669" s="19">
        <f t="shared" si="262"/>
        <v>3821</v>
      </c>
    </row>
    <row r="1670" spans="1:11">
      <c r="A1670">
        <v>1668</v>
      </c>
      <c r="B1670">
        <v>6.8499999999999996E+63</v>
      </c>
      <c r="D1670" s="18">
        <v>1668</v>
      </c>
      <c r="E1670" s="18" cm="1">
        <f t="array" aca="1" ref="E1670" ca="1">INDIRECT("b"&amp;F1670+2)</f>
        <v>5.5000000000000002E+87</v>
      </c>
      <c r="F1670" s="18">
        <f t="shared" si="251"/>
        <v>2622</v>
      </c>
      <c r="G1670" s="18"/>
      <c r="H1670" s="18"/>
      <c r="I1670" s="19">
        <v>1668</v>
      </c>
      <c r="J1670" s="19" cm="1">
        <f t="array" aca="1" ref="J1670" ca="1">INDIRECT("b"&amp;K1670+2)</f>
        <v>5.4999999999999996E+117</v>
      </c>
      <c r="K1670" s="19">
        <f t="shared" si="262"/>
        <v>3822</v>
      </c>
    </row>
    <row r="1671" spans="1:11">
      <c r="A1671">
        <v>1669</v>
      </c>
      <c r="B1671">
        <v>7.0750000000000004E+63</v>
      </c>
      <c r="D1671" s="18">
        <v>1669</v>
      </c>
      <c r="E1671" s="18" cm="1">
        <f t="array" aca="1" ref="E1671" ca="1">INDIRECT("b"&amp;F1671+2)</f>
        <v>5.9499999999999997E+87</v>
      </c>
      <c r="F1671" s="18">
        <f t="shared" si="251"/>
        <v>2624</v>
      </c>
      <c r="G1671" s="18"/>
      <c r="H1671" s="18"/>
      <c r="I1671" s="19">
        <v>1669</v>
      </c>
      <c r="J1671" s="19" cm="1">
        <f t="array" aca="1" ref="J1671" ca="1">INDIRECT("b"&amp;K1671+2)</f>
        <v>5.9499999999999999E+117</v>
      </c>
      <c r="K1671" s="19">
        <f t="shared" si="262"/>
        <v>3824</v>
      </c>
    </row>
    <row r="1672" spans="1:11">
      <c r="A1672">
        <v>1670</v>
      </c>
      <c r="B1672">
        <v>7.2999999999999997E+63</v>
      </c>
      <c r="D1672" s="18">
        <v>1670</v>
      </c>
      <c r="E1672" s="18" cm="1">
        <f t="array" aca="1" ref="E1672" ca="1">INDIRECT("b"&amp;F1672+2)</f>
        <v>6.1749999999999995E+87</v>
      </c>
      <c r="F1672" s="18">
        <f t="shared" si="251"/>
        <v>2625</v>
      </c>
      <c r="G1672" s="18"/>
      <c r="H1672" s="18"/>
      <c r="I1672" s="19">
        <v>1670</v>
      </c>
      <c r="J1672" s="19" cm="1">
        <f t="array" aca="1" ref="J1672" ca="1">INDIRECT("b"&amp;K1672+2)</f>
        <v>6.1749999999999994E+117</v>
      </c>
      <c r="K1672" s="19">
        <f t="shared" si="262"/>
        <v>3825</v>
      </c>
    </row>
    <row r="1673" spans="1:11">
      <c r="A1673">
        <v>1671</v>
      </c>
      <c r="B1673">
        <v>7.5250000000000004E+63</v>
      </c>
      <c r="D1673" s="18">
        <v>1671</v>
      </c>
      <c r="E1673" s="18" cm="1">
        <f t="array" aca="1" ref="E1673" ca="1">INDIRECT("b"&amp;F1673+2)</f>
        <v>6.4000000000000001E+87</v>
      </c>
      <c r="F1673" s="18">
        <f t="shared" si="251"/>
        <v>2626</v>
      </c>
      <c r="G1673" s="18"/>
      <c r="H1673" s="18"/>
      <c r="I1673" s="19">
        <v>1671</v>
      </c>
      <c r="J1673" s="19" cm="1">
        <f t="array" aca="1" ref="J1673" ca="1">INDIRECT("b"&amp;K1673+2)</f>
        <v>6.4000000000000001E+117</v>
      </c>
      <c r="K1673" s="19">
        <f t="shared" si="262"/>
        <v>3826</v>
      </c>
    </row>
    <row r="1674" spans="1:11">
      <c r="A1674">
        <v>1672</v>
      </c>
      <c r="B1674">
        <v>7.7499999999999998E+63</v>
      </c>
      <c r="D1674" s="18">
        <v>1672</v>
      </c>
      <c r="E1674" s="18" cm="1">
        <f t="array" aca="1" ref="E1674" ca="1">INDIRECT("b"&amp;F1674+2)</f>
        <v>6.8499999999999996E+87</v>
      </c>
      <c r="F1674" s="18">
        <f t="shared" si="251"/>
        <v>2628</v>
      </c>
      <c r="G1674" s="18">
        <f t="shared" ref="G1674" ca="1" si="264">E1674/E1669</f>
        <v>1.2985781990521328</v>
      </c>
      <c r="H1674" s="18"/>
      <c r="I1674" s="19">
        <v>1672</v>
      </c>
      <c r="J1674" s="19" cm="1">
        <f t="array" aca="1" ref="J1674" ca="1">INDIRECT("b"&amp;K1674+2)</f>
        <v>6.8500000000000003E+117</v>
      </c>
      <c r="K1674" s="19">
        <f t="shared" si="262"/>
        <v>3828</v>
      </c>
    </row>
    <row r="1675" spans="1:11">
      <c r="A1675">
        <v>1673</v>
      </c>
      <c r="B1675">
        <v>7.9750000000000005E+63</v>
      </c>
      <c r="D1675" s="18">
        <v>1673</v>
      </c>
      <c r="E1675" s="18" cm="1">
        <f t="array" aca="1" ref="E1675" ca="1">INDIRECT("b"&amp;F1675+2)</f>
        <v>7.0749999999999993E+87</v>
      </c>
      <c r="F1675" s="18">
        <f t="shared" si="251"/>
        <v>2629</v>
      </c>
      <c r="G1675" s="18"/>
      <c r="H1675" s="18"/>
      <c r="I1675" s="19">
        <v>1673</v>
      </c>
      <c r="J1675" s="19" cm="1">
        <f t="array" aca="1" ref="J1675" ca="1">INDIRECT("b"&amp;K1675+2)</f>
        <v>7.0749999999999999E+117</v>
      </c>
      <c r="K1675" s="19">
        <f t="shared" si="262"/>
        <v>3829</v>
      </c>
    </row>
    <row r="1676" spans="1:11">
      <c r="A1676">
        <v>1674</v>
      </c>
      <c r="B1676">
        <v>8.1999999999999999E+63</v>
      </c>
      <c r="D1676" s="18">
        <v>1674</v>
      </c>
      <c r="E1676" s="18" cm="1">
        <f t="array" aca="1" ref="E1676" ca="1">INDIRECT("b"&amp;F1676+2)</f>
        <v>7.3E+87</v>
      </c>
      <c r="F1676" s="18">
        <f t="shared" si="251"/>
        <v>2630</v>
      </c>
      <c r="G1676" s="18"/>
      <c r="H1676" s="18"/>
      <c r="I1676" s="19">
        <v>1674</v>
      </c>
      <c r="J1676" s="19" cm="1">
        <f t="array" aca="1" ref="J1676" ca="1">INDIRECT("b"&amp;K1676+2)</f>
        <v>7.2999999999999994E+117</v>
      </c>
      <c r="K1676" s="19">
        <f t="shared" si="262"/>
        <v>3830</v>
      </c>
    </row>
    <row r="1677" spans="1:11">
      <c r="A1677">
        <v>1675</v>
      </c>
      <c r="B1677">
        <v>8.4250000000000006E+63</v>
      </c>
      <c r="D1677" s="18">
        <v>1675</v>
      </c>
      <c r="E1677" s="18" cm="1">
        <f t="array" aca="1" ref="E1677" ca="1">INDIRECT("b"&amp;F1677+2)</f>
        <v>7.7499999999999995E+87</v>
      </c>
      <c r="F1677" s="18">
        <f t="shared" si="251"/>
        <v>2632</v>
      </c>
      <c r="G1677" s="18"/>
      <c r="H1677" s="18"/>
      <c r="I1677" s="19">
        <v>1675</v>
      </c>
      <c r="J1677" s="19" cm="1">
        <f t="array" aca="1" ref="J1677" ca="1">INDIRECT("b"&amp;K1677+2)</f>
        <v>7.7499999999999997E+117</v>
      </c>
      <c r="K1677" s="19">
        <f t="shared" si="262"/>
        <v>3832</v>
      </c>
    </row>
    <row r="1678" spans="1:11">
      <c r="A1678">
        <v>1676</v>
      </c>
      <c r="B1678">
        <v>8.6499999999999999E+63</v>
      </c>
      <c r="D1678" s="18">
        <v>1676</v>
      </c>
      <c r="E1678" s="18" cm="1">
        <f t="array" aca="1" ref="E1678" ca="1">INDIRECT("b"&amp;F1678+2)</f>
        <v>7.9749999999999992E+87</v>
      </c>
      <c r="F1678" s="18">
        <f t="shared" si="251"/>
        <v>2633</v>
      </c>
      <c r="G1678" s="18"/>
      <c r="H1678" s="18"/>
      <c r="I1678" s="19">
        <v>1676</v>
      </c>
      <c r="J1678" s="19" cm="1">
        <f t="array" aca="1" ref="J1678" ca="1">INDIRECT("b"&amp;K1678+2)</f>
        <v>7.9750000000000003E+117</v>
      </c>
      <c r="K1678" s="19">
        <f t="shared" si="262"/>
        <v>3833</v>
      </c>
    </row>
    <row r="1679" spans="1:11">
      <c r="A1679">
        <v>1677</v>
      </c>
      <c r="B1679">
        <v>8.8750000000000007E+63</v>
      </c>
      <c r="D1679" s="18">
        <v>1677</v>
      </c>
      <c r="E1679" s="18" cm="1">
        <f t="array" aca="1" ref="E1679" ca="1">INDIRECT("b"&amp;F1679+2)</f>
        <v>8.1999999999999998E+87</v>
      </c>
      <c r="F1679" s="18">
        <f t="shared" si="251"/>
        <v>2634</v>
      </c>
      <c r="G1679" s="18">
        <f t="shared" ref="G1679" ca="1" si="265">E1679/E1674</f>
        <v>1.197080291970803</v>
      </c>
      <c r="H1679" s="18"/>
      <c r="I1679" s="19">
        <v>1677</v>
      </c>
      <c r="J1679" s="19" cm="1">
        <f t="array" aca="1" ref="J1679" ca="1">INDIRECT("b"&amp;K1679+2)</f>
        <v>8.1999999999999999E+117</v>
      </c>
      <c r="K1679" s="19">
        <f t="shared" si="262"/>
        <v>3834</v>
      </c>
    </row>
    <row r="1680" spans="1:11">
      <c r="A1680">
        <v>1678</v>
      </c>
      <c r="B1680">
        <v>9.1E+63</v>
      </c>
      <c r="D1680" s="18">
        <v>1678</v>
      </c>
      <c r="E1680" s="18" cm="1">
        <f t="array" aca="1" ref="E1680" ca="1">INDIRECT("b"&amp;F1680+2)</f>
        <v>8.6499999999999993E+87</v>
      </c>
      <c r="F1680" s="18">
        <f t="shared" si="251"/>
        <v>2636</v>
      </c>
      <c r="G1680" s="18"/>
      <c r="H1680" s="18"/>
      <c r="I1680" s="19">
        <v>1678</v>
      </c>
      <c r="J1680" s="19" cm="1">
        <f t="array" aca="1" ref="J1680" ca="1">INDIRECT("b"&amp;K1680+2)</f>
        <v>8.6500000000000001E+117</v>
      </c>
      <c r="K1680" s="19">
        <f t="shared" si="262"/>
        <v>3836</v>
      </c>
    </row>
    <row r="1681" spans="1:11">
      <c r="A1681">
        <v>1679</v>
      </c>
      <c r="B1681">
        <v>9.3250000000000008E+63</v>
      </c>
      <c r="D1681" s="18">
        <v>1679</v>
      </c>
      <c r="E1681" s="18" cm="1">
        <f t="array" aca="1" ref="E1681" ca="1">INDIRECT("b"&amp;F1681+2)</f>
        <v>8.875E+87</v>
      </c>
      <c r="F1681" s="18">
        <f t="shared" si="251"/>
        <v>2637</v>
      </c>
      <c r="G1681" s="18"/>
      <c r="H1681" s="18"/>
      <c r="I1681" s="19">
        <v>1679</v>
      </c>
      <c r="J1681" s="19" cm="1">
        <f t="array" aca="1" ref="J1681" ca="1">INDIRECT("b"&amp;K1681+2)</f>
        <v>8.8749999999999997E+117</v>
      </c>
      <c r="K1681" s="19">
        <f t="shared" si="262"/>
        <v>3837</v>
      </c>
    </row>
    <row r="1682" spans="1:11">
      <c r="A1682">
        <v>1680</v>
      </c>
      <c r="B1682">
        <v>9.5500000000000001E+63</v>
      </c>
      <c r="D1682" s="18">
        <v>1680</v>
      </c>
      <c r="E1682" s="18" cm="1">
        <f t="array" aca="1" ref="E1682" ca="1">INDIRECT("b"&amp;F1682+2)</f>
        <v>9.0999999999999988E+87</v>
      </c>
      <c r="F1682" s="18">
        <f t="shared" si="251"/>
        <v>2638</v>
      </c>
      <c r="G1682" s="18"/>
      <c r="H1682" s="18"/>
      <c r="I1682" s="19">
        <v>1680</v>
      </c>
      <c r="J1682" s="19" cm="1">
        <f t="array" aca="1" ref="J1682" ca="1">INDIRECT("b"&amp;K1682+2)</f>
        <v>9.1000000000000003E+117</v>
      </c>
      <c r="K1682" s="19">
        <f t="shared" si="262"/>
        <v>3838</v>
      </c>
    </row>
    <row r="1683" spans="1:11">
      <c r="A1683">
        <v>1681</v>
      </c>
      <c r="B1683">
        <v>9.7749999999999994E+63</v>
      </c>
      <c r="D1683" s="18">
        <v>1681</v>
      </c>
      <c r="E1683" s="18" cm="1">
        <f t="array" aca="1" ref="E1683" ca="1">INDIRECT("b"&amp;F1683+2)</f>
        <v>9.5500000000000001E+87</v>
      </c>
      <c r="F1683" s="18">
        <f t="shared" ref="F1683:F1746" si="266">INT((A1683-123)*1.333333)+563</f>
        <v>2640</v>
      </c>
      <c r="G1683" s="18"/>
      <c r="H1683" s="18"/>
      <c r="I1683" s="19">
        <v>1681</v>
      </c>
      <c r="J1683" s="19" cm="1">
        <f t="array" aca="1" ref="J1683" ca="1">INDIRECT("b"&amp;K1683+2)</f>
        <v>9.5499999999999994E+117</v>
      </c>
      <c r="K1683" s="19">
        <f t="shared" si="262"/>
        <v>3840</v>
      </c>
    </row>
    <row r="1684" spans="1:11">
      <c r="A1684">
        <v>1682</v>
      </c>
      <c r="B1684">
        <v>1E+64</v>
      </c>
      <c r="D1684" s="18">
        <v>1682</v>
      </c>
      <c r="E1684" s="18" cm="1">
        <f t="array" aca="1" ref="E1684" ca="1">INDIRECT("b"&amp;F1684+2)</f>
        <v>9.774999999999999E+87</v>
      </c>
      <c r="F1684" s="18">
        <f t="shared" si="266"/>
        <v>2641</v>
      </c>
      <c r="G1684" s="18">
        <f t="shared" ref="G1684" ca="1" si="267">E1684/E1679</f>
        <v>1.1920731707317072</v>
      </c>
      <c r="H1684" s="18"/>
      <c r="I1684" s="19">
        <v>1682</v>
      </c>
      <c r="J1684" s="19" cm="1">
        <f t="array" aca="1" ref="J1684" ca="1">INDIRECT("b"&amp;K1684+2)</f>
        <v>9.7750000000000001E+117</v>
      </c>
      <c r="K1684" s="19">
        <f t="shared" si="262"/>
        <v>3841</v>
      </c>
    </row>
    <row r="1685" spans="1:11">
      <c r="A1685">
        <v>1683</v>
      </c>
      <c r="B1685">
        <v>1.2250000000000001E+64</v>
      </c>
      <c r="D1685" s="18">
        <v>1683</v>
      </c>
      <c r="E1685" s="18" cm="1">
        <f t="array" aca="1" ref="E1685" ca="1">INDIRECT("b"&amp;F1685+2)</f>
        <v>9.9999999999999996E+87</v>
      </c>
      <c r="F1685" s="18">
        <f t="shared" si="266"/>
        <v>2642</v>
      </c>
      <c r="G1685" s="18"/>
      <c r="H1685" s="18"/>
      <c r="I1685" s="19">
        <v>1683</v>
      </c>
      <c r="J1685" s="19" cm="1">
        <f t="array" aca="1" ref="J1685" ca="1">INDIRECT("b"&amp;K1685+2)</f>
        <v>1.0000000000000001E+118</v>
      </c>
      <c r="K1685" s="19">
        <f t="shared" si="262"/>
        <v>3842</v>
      </c>
    </row>
    <row r="1686" spans="1:11">
      <c r="A1686">
        <v>1684</v>
      </c>
      <c r="B1686">
        <v>1.4500000000000003E+64</v>
      </c>
      <c r="D1686" s="18">
        <v>1684</v>
      </c>
      <c r="E1686" s="18" cm="1">
        <f t="array" aca="1" ref="E1686" ca="1">INDIRECT("b"&amp;F1686+2)</f>
        <v>1.45E+88</v>
      </c>
      <c r="F1686" s="18">
        <f t="shared" si="266"/>
        <v>2644</v>
      </c>
      <c r="G1686" s="18"/>
      <c r="H1686" s="18"/>
      <c r="I1686" s="19">
        <v>1684</v>
      </c>
      <c r="J1686" s="19" cm="1">
        <f t="array" aca="1" ref="J1686" ca="1">INDIRECT("b"&amp;K1686+2)</f>
        <v>1.4500000000000001E+118</v>
      </c>
      <c r="K1686" s="19">
        <f t="shared" si="262"/>
        <v>3844</v>
      </c>
    </row>
    <row r="1687" spans="1:11">
      <c r="A1687">
        <v>1685</v>
      </c>
      <c r="B1687">
        <v>1.6750000000000002E+64</v>
      </c>
      <c r="D1687" s="18">
        <v>1685</v>
      </c>
      <c r="E1687" s="18" cm="1">
        <f t="array" aca="1" ref="E1687" ca="1">INDIRECT("b"&amp;F1687+2)</f>
        <v>1.6749999999999999E+88</v>
      </c>
      <c r="F1687" s="18">
        <f t="shared" si="266"/>
        <v>2645</v>
      </c>
      <c r="G1687" s="18"/>
      <c r="H1687" s="18"/>
      <c r="I1687" s="19">
        <v>1685</v>
      </c>
      <c r="J1687" s="19" cm="1">
        <f t="array" aca="1" ref="J1687" ca="1">INDIRECT("b"&amp;K1687+2)</f>
        <v>1.6750000000000001E+118</v>
      </c>
      <c r="K1687" s="19">
        <f t="shared" si="262"/>
        <v>3845</v>
      </c>
    </row>
    <row r="1688" spans="1:11">
      <c r="A1688">
        <v>1686</v>
      </c>
      <c r="B1688">
        <v>1.9000000000000001E+64</v>
      </c>
      <c r="D1688" s="18">
        <v>1686</v>
      </c>
      <c r="E1688" s="18" cm="1">
        <f t="array" aca="1" ref="E1688" ca="1">INDIRECT("b"&amp;F1688+2)</f>
        <v>1.8999999999999998E+88</v>
      </c>
      <c r="F1688" s="18">
        <f t="shared" si="266"/>
        <v>2646</v>
      </c>
      <c r="G1688" s="18"/>
      <c r="H1688" s="18"/>
      <c r="I1688" s="19">
        <v>1686</v>
      </c>
      <c r="J1688" s="19" cm="1">
        <f t="array" aca="1" ref="J1688" ca="1">INDIRECT("b"&amp;K1688+2)</f>
        <v>1.9000000000000001E+118</v>
      </c>
      <c r="K1688" s="19">
        <f t="shared" si="262"/>
        <v>3846</v>
      </c>
    </row>
    <row r="1689" spans="1:11">
      <c r="A1689">
        <v>1687</v>
      </c>
      <c r="B1689">
        <v>2.1250000000000002E+64</v>
      </c>
      <c r="D1689" s="18">
        <v>1687</v>
      </c>
      <c r="E1689" s="18" cm="1">
        <f t="array" aca="1" ref="E1689" ca="1">INDIRECT("b"&amp;F1689+2)</f>
        <v>2.35E+88</v>
      </c>
      <c r="F1689" s="18">
        <f t="shared" si="266"/>
        <v>2648</v>
      </c>
      <c r="G1689" s="18">
        <f t="shared" ref="G1689" ca="1" si="268">E1689/E1684</f>
        <v>2.4040920716112537</v>
      </c>
      <c r="H1689" s="18"/>
      <c r="I1689" s="19">
        <v>1687</v>
      </c>
      <c r="J1689" s="19" cm="1">
        <f t="array" aca="1" ref="J1689" ca="1">INDIRECT("b"&amp;K1689+2)</f>
        <v>2.3499999999999999E+118</v>
      </c>
      <c r="K1689" s="19">
        <f t="shared" si="262"/>
        <v>3848</v>
      </c>
    </row>
    <row r="1690" spans="1:11">
      <c r="A1690">
        <v>1688</v>
      </c>
      <c r="B1690">
        <v>2.3500000000000001E+64</v>
      </c>
      <c r="D1690" s="18">
        <v>1688</v>
      </c>
      <c r="E1690" s="18" cm="1">
        <f t="array" aca="1" ref="E1690" ca="1">INDIRECT("b"&amp;F1690+2)</f>
        <v>2.575E+88</v>
      </c>
      <c r="F1690" s="18">
        <f t="shared" si="266"/>
        <v>2649</v>
      </c>
      <c r="G1690" s="18"/>
      <c r="H1690" s="18"/>
      <c r="I1690" s="19">
        <v>1688</v>
      </c>
      <c r="J1690" s="19" cm="1">
        <f t="array" aca="1" ref="J1690" ca="1">INDIRECT("b"&amp;K1690+2)</f>
        <v>2.5750000000000001E+118</v>
      </c>
      <c r="K1690" s="19">
        <f t="shared" si="262"/>
        <v>3849</v>
      </c>
    </row>
    <row r="1691" spans="1:11">
      <c r="A1691">
        <v>1689</v>
      </c>
      <c r="B1691">
        <v>2.5750000000000003E+64</v>
      </c>
      <c r="D1691" s="18">
        <v>1689</v>
      </c>
      <c r="E1691" s="18" cm="1">
        <f t="array" aca="1" ref="E1691" ca="1">INDIRECT("b"&amp;F1691+2)</f>
        <v>2.7999999999999999E+88</v>
      </c>
      <c r="F1691" s="18">
        <f t="shared" si="266"/>
        <v>2650</v>
      </c>
      <c r="G1691" s="18"/>
      <c r="H1691" s="18"/>
      <c r="I1691" s="19">
        <v>1689</v>
      </c>
      <c r="J1691" s="19" cm="1">
        <f t="array" aca="1" ref="J1691" ca="1">INDIRECT("b"&amp;K1691+2)</f>
        <v>2.7999999999999999E+118</v>
      </c>
      <c r="K1691" s="19">
        <f t="shared" si="262"/>
        <v>3850</v>
      </c>
    </row>
    <row r="1692" spans="1:11">
      <c r="A1692">
        <v>1690</v>
      </c>
      <c r="B1692">
        <v>2.8000000000000002E+64</v>
      </c>
      <c r="D1692" s="18">
        <v>1690</v>
      </c>
      <c r="E1692" s="18" cm="1">
        <f t="array" aca="1" ref="E1692" ca="1">INDIRECT("b"&amp;F1692+2)</f>
        <v>3.2500000000000001E+88</v>
      </c>
      <c r="F1692" s="18">
        <f t="shared" si="266"/>
        <v>2652</v>
      </c>
      <c r="G1692" s="18"/>
      <c r="H1692" s="18"/>
      <c r="I1692" s="19">
        <v>1690</v>
      </c>
      <c r="J1692" s="19" cm="1">
        <f t="array" aca="1" ref="J1692" ca="1">INDIRECT("b"&amp;K1692+2)</f>
        <v>3.2499999999999999E+118</v>
      </c>
      <c r="K1692" s="19">
        <f t="shared" si="262"/>
        <v>3852</v>
      </c>
    </row>
    <row r="1693" spans="1:11">
      <c r="A1693">
        <v>1691</v>
      </c>
      <c r="B1693">
        <v>3.0250000000000001E+64</v>
      </c>
      <c r="D1693" s="18">
        <v>1691</v>
      </c>
      <c r="E1693" s="18" cm="1">
        <f t="array" aca="1" ref="E1693" ca="1">INDIRECT("b"&amp;F1693+2)</f>
        <v>3.4749999999999997E+88</v>
      </c>
      <c r="F1693" s="18">
        <f t="shared" si="266"/>
        <v>2653</v>
      </c>
      <c r="G1693" s="18"/>
      <c r="H1693" s="18"/>
      <c r="I1693" s="19">
        <v>1691</v>
      </c>
      <c r="J1693" s="19" cm="1">
        <f t="array" aca="1" ref="J1693" ca="1">INDIRECT("b"&amp;K1693+2)</f>
        <v>3.4750000000000001E+118</v>
      </c>
      <c r="K1693" s="19">
        <f t="shared" si="262"/>
        <v>3853</v>
      </c>
    </row>
    <row r="1694" spans="1:11">
      <c r="A1694">
        <v>1692</v>
      </c>
      <c r="B1694">
        <v>3.25E+64</v>
      </c>
      <c r="D1694" s="18">
        <v>1692</v>
      </c>
      <c r="E1694" s="18" cm="1">
        <f t="array" aca="1" ref="E1694" ca="1">INDIRECT("b"&amp;F1694+2)</f>
        <v>3.6999999999999999E+88</v>
      </c>
      <c r="F1694" s="18">
        <f t="shared" si="266"/>
        <v>2654</v>
      </c>
      <c r="G1694" s="18">
        <f t="shared" ref="G1694" ca="1" si="269">E1694/E1689</f>
        <v>1.574468085106383</v>
      </c>
      <c r="H1694" s="18"/>
      <c r="I1694" s="19">
        <v>1692</v>
      </c>
      <c r="J1694" s="19" cm="1">
        <f t="array" aca="1" ref="J1694" ca="1">INDIRECT("b"&amp;K1694+2)</f>
        <v>3.6999999999999999E+118</v>
      </c>
      <c r="K1694" s="19">
        <f t="shared" si="262"/>
        <v>3854</v>
      </c>
    </row>
    <row r="1695" spans="1:11">
      <c r="A1695">
        <v>1693</v>
      </c>
      <c r="B1695">
        <v>3.4750000000000005E+64</v>
      </c>
      <c r="D1695" s="18">
        <v>1693</v>
      </c>
      <c r="E1695" s="18" cm="1">
        <f t="array" aca="1" ref="E1695" ca="1">INDIRECT("b"&amp;F1695+2)</f>
        <v>4.1499999999999998E+88</v>
      </c>
      <c r="F1695" s="18">
        <f t="shared" si="266"/>
        <v>2656</v>
      </c>
      <c r="G1695" s="18"/>
      <c r="H1695" s="18"/>
      <c r="I1695" s="19">
        <v>1693</v>
      </c>
      <c r="J1695" s="19" cm="1">
        <f t="array" aca="1" ref="J1695" ca="1">INDIRECT("b"&amp;K1695+2)</f>
        <v>4.1499999999999999E+118</v>
      </c>
      <c r="K1695" s="19">
        <f t="shared" si="262"/>
        <v>3856</v>
      </c>
    </row>
    <row r="1696" spans="1:11">
      <c r="A1696">
        <v>1694</v>
      </c>
      <c r="B1696">
        <v>3.7000000000000004E+64</v>
      </c>
      <c r="D1696" s="18">
        <v>1694</v>
      </c>
      <c r="E1696" s="18" cm="1">
        <f t="array" aca="1" ref="E1696" ca="1">INDIRECT("b"&amp;F1696+2)</f>
        <v>4.3750000000000001E+88</v>
      </c>
      <c r="F1696" s="18">
        <f t="shared" si="266"/>
        <v>2657</v>
      </c>
      <c r="G1696" s="18"/>
      <c r="H1696" s="18"/>
      <c r="I1696" s="19">
        <v>1694</v>
      </c>
      <c r="J1696" s="19" cm="1">
        <f t="array" aca="1" ref="J1696" ca="1">INDIRECT("b"&amp;K1696+2)</f>
        <v>4.3750000000000001E+118</v>
      </c>
      <c r="K1696" s="19">
        <f t="shared" si="262"/>
        <v>3857</v>
      </c>
    </row>
    <row r="1697" spans="1:11">
      <c r="A1697">
        <v>1695</v>
      </c>
      <c r="B1697">
        <v>3.9250000000000003E+64</v>
      </c>
      <c r="D1697" s="18">
        <v>1695</v>
      </c>
      <c r="E1697" s="18" cm="1">
        <f t="array" aca="1" ref="E1697" ca="1">INDIRECT("b"&amp;F1697+2)</f>
        <v>4.6000000000000003E+88</v>
      </c>
      <c r="F1697" s="18">
        <f t="shared" si="266"/>
        <v>2658</v>
      </c>
      <c r="G1697" s="18"/>
      <c r="H1697" s="18"/>
      <c r="I1697" s="19">
        <v>1695</v>
      </c>
      <c r="J1697" s="19" cm="1">
        <f t="array" aca="1" ref="J1697" ca="1">INDIRECT("b"&amp;K1697+2)</f>
        <v>4.6000000000000003E+118</v>
      </c>
      <c r="K1697" s="19">
        <f t="shared" si="262"/>
        <v>3858</v>
      </c>
    </row>
    <row r="1698" spans="1:11">
      <c r="A1698">
        <v>1696</v>
      </c>
      <c r="B1698">
        <v>4.1500000000000002E+64</v>
      </c>
      <c r="D1698" s="18">
        <v>1696</v>
      </c>
      <c r="E1698" s="18" cm="1">
        <f t="array" aca="1" ref="E1698" ca="1">INDIRECT("b"&amp;F1698+2)</f>
        <v>5.0500000000000002E+88</v>
      </c>
      <c r="F1698" s="18">
        <f t="shared" si="266"/>
        <v>2660</v>
      </c>
      <c r="G1698" s="18"/>
      <c r="H1698" s="18"/>
      <c r="I1698" s="19">
        <v>1696</v>
      </c>
      <c r="J1698" s="19" cm="1">
        <f t="array" aca="1" ref="J1698" ca="1">INDIRECT("b"&amp;K1698+2)</f>
        <v>5.0499999999999999E+118</v>
      </c>
      <c r="K1698" s="19">
        <f t="shared" si="262"/>
        <v>3860</v>
      </c>
    </row>
    <row r="1699" spans="1:11">
      <c r="A1699">
        <v>1697</v>
      </c>
      <c r="B1699">
        <v>4.3750000000000001E+64</v>
      </c>
      <c r="D1699" s="18">
        <v>1697</v>
      </c>
      <c r="E1699" s="18" cm="1">
        <f t="array" aca="1" ref="E1699" ca="1">INDIRECT("b"&amp;F1699+2)</f>
        <v>5.2749999999999998E+88</v>
      </c>
      <c r="F1699" s="18">
        <f t="shared" si="266"/>
        <v>2661</v>
      </c>
      <c r="G1699" s="18">
        <f t="shared" ref="G1699" ca="1" si="270">E1699/E1694</f>
        <v>1.4256756756756757</v>
      </c>
      <c r="H1699" s="18"/>
      <c r="I1699" s="19">
        <v>1697</v>
      </c>
      <c r="J1699" s="19" cm="1">
        <f t="array" aca="1" ref="J1699" ca="1">INDIRECT("b"&amp;K1699+2)</f>
        <v>5.2750000000000001E+118</v>
      </c>
      <c r="K1699" s="19">
        <f t="shared" si="262"/>
        <v>3861</v>
      </c>
    </row>
    <row r="1700" spans="1:11">
      <c r="A1700">
        <v>1698</v>
      </c>
      <c r="B1700">
        <v>4.6000000000000006E+64</v>
      </c>
      <c r="D1700" s="18">
        <v>1698</v>
      </c>
      <c r="E1700" s="18" cm="1">
        <f t="array" aca="1" ref="E1700" ca="1">INDIRECT("b"&amp;F1700+2)</f>
        <v>5.5E+88</v>
      </c>
      <c r="F1700" s="18">
        <f t="shared" si="266"/>
        <v>2662</v>
      </c>
      <c r="G1700" s="18"/>
      <c r="H1700" s="18"/>
      <c r="I1700" s="19">
        <v>1698</v>
      </c>
      <c r="J1700" s="19" cm="1">
        <f t="array" aca="1" ref="J1700" ca="1">INDIRECT("b"&amp;K1700+2)</f>
        <v>5.5000000000000003E+118</v>
      </c>
      <c r="K1700" s="19">
        <f t="shared" si="262"/>
        <v>3862</v>
      </c>
    </row>
    <row r="1701" spans="1:11">
      <c r="A1701">
        <v>1699</v>
      </c>
      <c r="B1701">
        <v>4.8250000000000005E+64</v>
      </c>
      <c r="D1701" s="18">
        <v>1699</v>
      </c>
      <c r="E1701" s="18" cm="1">
        <f t="array" aca="1" ref="E1701" ca="1">INDIRECT("b"&amp;F1701+2)</f>
        <v>5.9499999999999999E+88</v>
      </c>
      <c r="F1701" s="18">
        <f t="shared" si="266"/>
        <v>2664</v>
      </c>
      <c r="G1701" s="18"/>
      <c r="H1701" s="18"/>
      <c r="I1701" s="19">
        <v>1699</v>
      </c>
      <c r="J1701" s="19" cm="1">
        <f t="array" aca="1" ref="J1701" ca="1">INDIRECT("b"&amp;K1701+2)</f>
        <v>5.9499999999999999E+118</v>
      </c>
      <c r="K1701" s="19">
        <f t="shared" si="262"/>
        <v>3864</v>
      </c>
    </row>
    <row r="1702" spans="1:11">
      <c r="A1702">
        <v>1700</v>
      </c>
      <c r="B1702">
        <v>5.0500000000000004E+64</v>
      </c>
      <c r="D1702" s="18">
        <v>1700</v>
      </c>
      <c r="E1702" s="18" cm="1">
        <f t="array" aca="1" ref="E1702" ca="1">INDIRECT("b"&amp;F1702+2)</f>
        <v>6.1750000000000002E+88</v>
      </c>
      <c r="F1702" s="18">
        <f t="shared" si="266"/>
        <v>2665</v>
      </c>
      <c r="G1702" s="18"/>
      <c r="H1702" s="18"/>
      <c r="I1702" s="19">
        <v>1700</v>
      </c>
      <c r="J1702" s="19" cm="1">
        <f t="array" aca="1" ref="J1702" ca="1">INDIRECT("b"&amp;K1702+2)</f>
        <v>6.1750000000000001E+118</v>
      </c>
      <c r="K1702" s="19">
        <f t="shared" si="262"/>
        <v>3865</v>
      </c>
    </row>
    <row r="1703" spans="1:11">
      <c r="A1703">
        <v>1701</v>
      </c>
      <c r="B1703">
        <v>5.2750000000000009E+64</v>
      </c>
      <c r="D1703" s="18">
        <v>1701</v>
      </c>
      <c r="E1703" s="18" cm="1">
        <f t="array" aca="1" ref="E1703" ca="1">INDIRECT("b"&amp;F1703+2)</f>
        <v>6.3999999999999997E+88</v>
      </c>
      <c r="F1703" s="18">
        <f t="shared" si="266"/>
        <v>2666</v>
      </c>
      <c r="G1703" s="18"/>
      <c r="H1703" s="18"/>
      <c r="I1703" s="19">
        <v>1701</v>
      </c>
      <c r="J1703" s="19" cm="1">
        <f t="array" aca="1" ref="J1703" ca="1">INDIRECT("b"&amp;K1703+2)</f>
        <v>6.4000000000000003E+118</v>
      </c>
      <c r="K1703" s="19">
        <f t="shared" si="262"/>
        <v>3866</v>
      </c>
    </row>
    <row r="1704" spans="1:11">
      <c r="A1704">
        <v>1702</v>
      </c>
      <c r="B1704">
        <v>5.5000000000000008E+64</v>
      </c>
      <c r="D1704" s="18">
        <v>1702</v>
      </c>
      <c r="E1704" s="18" cm="1">
        <f t="array" aca="1" ref="E1704" ca="1">INDIRECT("b"&amp;F1704+2)</f>
        <v>6.8500000000000003E+88</v>
      </c>
      <c r="F1704" s="18">
        <f t="shared" si="266"/>
        <v>2668</v>
      </c>
      <c r="G1704" s="18">
        <f t="shared" ref="G1704" ca="1" si="271">E1704/E1699</f>
        <v>1.2985781990521328</v>
      </c>
      <c r="H1704" s="18"/>
      <c r="I1704" s="19">
        <v>1702</v>
      </c>
      <c r="J1704" s="19" cm="1">
        <f t="array" aca="1" ref="J1704" ca="1">INDIRECT("b"&amp;K1704+2)</f>
        <v>6.8499999999999999E+118</v>
      </c>
      <c r="K1704" s="19">
        <f t="shared" si="262"/>
        <v>3868</v>
      </c>
    </row>
    <row r="1705" spans="1:11">
      <c r="A1705">
        <v>1703</v>
      </c>
      <c r="B1705">
        <v>5.7250000000000007E+64</v>
      </c>
      <c r="D1705" s="18">
        <v>1703</v>
      </c>
      <c r="E1705" s="18" cm="1">
        <f t="array" aca="1" ref="E1705" ca="1">INDIRECT("b"&amp;F1705+2)</f>
        <v>7.0750000000000006E+88</v>
      </c>
      <c r="F1705" s="18">
        <f t="shared" si="266"/>
        <v>2669</v>
      </c>
      <c r="G1705" s="18"/>
      <c r="H1705" s="18"/>
      <c r="I1705" s="19">
        <v>1703</v>
      </c>
      <c r="J1705" s="19" cm="1">
        <f t="array" aca="1" ref="J1705" ca="1">INDIRECT("b"&amp;K1705+2)</f>
        <v>7.0750000000000001E+118</v>
      </c>
      <c r="K1705" s="19">
        <f t="shared" si="262"/>
        <v>3869</v>
      </c>
    </row>
    <row r="1706" spans="1:11">
      <c r="A1706">
        <v>1704</v>
      </c>
      <c r="B1706">
        <v>5.9500000000000006E+64</v>
      </c>
      <c r="D1706" s="18">
        <v>1704</v>
      </c>
      <c r="E1706" s="18" cm="1">
        <f t="array" aca="1" ref="E1706" ca="1">INDIRECT("b"&amp;F1706+2)</f>
        <v>7.2999999999999994E+88</v>
      </c>
      <c r="F1706" s="18">
        <f t="shared" si="266"/>
        <v>2670</v>
      </c>
      <c r="G1706" s="18"/>
      <c r="H1706" s="18"/>
      <c r="I1706" s="19">
        <v>1704</v>
      </c>
      <c r="J1706" s="19" cm="1">
        <f t="array" aca="1" ref="J1706" ca="1">INDIRECT("b"&amp;K1706+2)</f>
        <v>7.3000000000000003E+118</v>
      </c>
      <c r="K1706" s="19">
        <f t="shared" si="262"/>
        <v>3870</v>
      </c>
    </row>
    <row r="1707" spans="1:11">
      <c r="A1707">
        <v>1705</v>
      </c>
      <c r="B1707">
        <v>6.1750000000000005E+64</v>
      </c>
      <c r="D1707" s="18">
        <v>1705</v>
      </c>
      <c r="E1707" s="18" cm="1">
        <f t="array" aca="1" ref="E1707" ca="1">INDIRECT("b"&amp;F1707+2)</f>
        <v>7.75E+88</v>
      </c>
      <c r="F1707" s="18">
        <f t="shared" si="266"/>
        <v>2672</v>
      </c>
      <c r="G1707" s="18"/>
      <c r="H1707" s="18"/>
      <c r="I1707" s="19">
        <v>1705</v>
      </c>
      <c r="J1707" s="19" cm="1">
        <f t="array" aca="1" ref="J1707" ca="1">INDIRECT("b"&amp;K1707+2)</f>
        <v>7.7499999999999999E+118</v>
      </c>
      <c r="K1707" s="19">
        <f t="shared" si="262"/>
        <v>3872</v>
      </c>
    </row>
    <row r="1708" spans="1:11">
      <c r="A1708">
        <v>1706</v>
      </c>
      <c r="B1708">
        <v>6.4000000000000004E+64</v>
      </c>
      <c r="D1708" s="18">
        <v>1706</v>
      </c>
      <c r="E1708" s="18" cm="1">
        <f t="array" aca="1" ref="E1708" ca="1">INDIRECT("b"&amp;F1708+2)</f>
        <v>7.9750000000000003E+88</v>
      </c>
      <c r="F1708" s="18">
        <f t="shared" si="266"/>
        <v>2673</v>
      </c>
      <c r="G1708" s="18"/>
      <c r="H1708" s="18"/>
      <c r="I1708" s="19">
        <v>1706</v>
      </c>
      <c r="J1708" s="19" cm="1">
        <f t="array" aca="1" ref="J1708" ca="1">INDIRECT("b"&amp;K1708+2)</f>
        <v>7.9750000000000001E+118</v>
      </c>
      <c r="K1708" s="19">
        <f t="shared" si="262"/>
        <v>3873</v>
      </c>
    </row>
    <row r="1709" spans="1:11">
      <c r="A1709">
        <v>1707</v>
      </c>
      <c r="B1709">
        <v>6.6250000000000003E+64</v>
      </c>
      <c r="D1709" s="18">
        <v>1707</v>
      </c>
      <c r="E1709" s="18" cm="1">
        <f t="array" aca="1" ref="E1709" ca="1">INDIRECT("b"&amp;F1709+2)</f>
        <v>8.2000000000000006E+88</v>
      </c>
      <c r="F1709" s="18">
        <f t="shared" si="266"/>
        <v>2674</v>
      </c>
      <c r="G1709" s="18">
        <f t="shared" ref="G1709" ca="1" si="272">E1709/E1704</f>
        <v>1.197080291970803</v>
      </c>
      <c r="H1709" s="18"/>
      <c r="I1709" s="19">
        <v>1707</v>
      </c>
      <c r="J1709" s="19" cm="1">
        <f t="array" aca="1" ref="J1709" ca="1">INDIRECT("b"&amp;K1709+2)</f>
        <v>8.1999999999999994E+118</v>
      </c>
      <c r="K1709" s="19">
        <f t="shared" si="262"/>
        <v>3874</v>
      </c>
    </row>
    <row r="1710" spans="1:11">
      <c r="A1710">
        <v>1708</v>
      </c>
      <c r="B1710">
        <v>6.8500000000000002E+64</v>
      </c>
      <c r="D1710" s="18">
        <v>1708</v>
      </c>
      <c r="E1710" s="18" cm="1">
        <f t="array" aca="1" ref="E1710" ca="1">INDIRECT("b"&amp;F1710+2)</f>
        <v>8.6499999999999997E+88</v>
      </c>
      <c r="F1710" s="18">
        <f t="shared" si="266"/>
        <v>2676</v>
      </c>
      <c r="G1710" s="18"/>
      <c r="H1710" s="18"/>
      <c r="I1710" s="19">
        <v>1708</v>
      </c>
      <c r="J1710" s="19" cm="1">
        <f t="array" aca="1" ref="J1710" ca="1">INDIRECT("b"&amp;K1710+2)</f>
        <v>8.6499999999999999E+118</v>
      </c>
      <c r="K1710" s="19">
        <f t="shared" si="262"/>
        <v>3876</v>
      </c>
    </row>
    <row r="1711" spans="1:11">
      <c r="A1711">
        <v>1709</v>
      </c>
      <c r="B1711">
        <v>7.0750000000000001E+64</v>
      </c>
      <c r="D1711" s="18">
        <v>1709</v>
      </c>
      <c r="E1711" s="18" cm="1">
        <f t="array" aca="1" ref="E1711" ca="1">INDIRECT("b"&amp;F1711+2)</f>
        <v>8.875E+88</v>
      </c>
      <c r="F1711" s="18">
        <f t="shared" si="266"/>
        <v>2677</v>
      </c>
      <c r="G1711" s="18"/>
      <c r="H1711" s="18"/>
      <c r="I1711" s="19">
        <v>1709</v>
      </c>
      <c r="J1711" s="19" cm="1">
        <f t="array" aca="1" ref="J1711" ca="1">INDIRECT("b"&amp;K1711+2)</f>
        <v>8.875000000000001E+118</v>
      </c>
      <c r="K1711" s="19">
        <f t="shared" si="262"/>
        <v>3877</v>
      </c>
    </row>
    <row r="1712" spans="1:11">
      <c r="A1712">
        <v>1710</v>
      </c>
      <c r="B1712">
        <v>7.3000000000000011E+64</v>
      </c>
      <c r="D1712" s="18">
        <v>1710</v>
      </c>
      <c r="E1712" s="18" cm="1">
        <f t="array" aca="1" ref="E1712" ca="1">INDIRECT("b"&amp;F1712+2)</f>
        <v>9.1000000000000002E+88</v>
      </c>
      <c r="F1712" s="18">
        <f t="shared" si="266"/>
        <v>2678</v>
      </c>
      <c r="G1712" s="18"/>
      <c r="H1712" s="18"/>
      <c r="I1712" s="19">
        <v>1710</v>
      </c>
      <c r="J1712" s="19" cm="1">
        <f t="array" aca="1" ref="J1712" ca="1">INDIRECT("b"&amp;K1712+2)</f>
        <v>9.1000000000000003E+118</v>
      </c>
      <c r="K1712" s="19">
        <f t="shared" si="262"/>
        <v>3878</v>
      </c>
    </row>
    <row r="1713" spans="1:11">
      <c r="A1713">
        <v>1711</v>
      </c>
      <c r="B1713">
        <v>7.525000000000001E+64</v>
      </c>
      <c r="D1713" s="18">
        <v>1711</v>
      </c>
      <c r="E1713" s="18" cm="1">
        <f t="array" aca="1" ref="E1713" ca="1">INDIRECT("b"&amp;F1713+2)</f>
        <v>9.5499999999999994E+88</v>
      </c>
      <c r="F1713" s="18">
        <f t="shared" si="266"/>
        <v>2680</v>
      </c>
      <c r="G1713" s="18"/>
      <c r="H1713" s="18"/>
      <c r="I1713" s="19">
        <v>1711</v>
      </c>
      <c r="J1713" s="19" cm="1">
        <f t="array" aca="1" ref="J1713" ca="1">INDIRECT("b"&amp;K1713+2)</f>
        <v>9.5500000000000008E+118</v>
      </c>
      <c r="K1713" s="19">
        <f t="shared" si="262"/>
        <v>3880</v>
      </c>
    </row>
    <row r="1714" spans="1:11">
      <c r="A1714">
        <v>1712</v>
      </c>
      <c r="B1714">
        <v>7.7500000000000009E+64</v>
      </c>
      <c r="D1714" s="18">
        <v>1712</v>
      </c>
      <c r="E1714" s="18" cm="1">
        <f t="array" aca="1" ref="E1714" ca="1">INDIRECT("b"&amp;F1714+2)</f>
        <v>9.7749999999999997E+88</v>
      </c>
      <c r="F1714" s="18">
        <f t="shared" si="266"/>
        <v>2681</v>
      </c>
      <c r="G1714" s="18">
        <f t="shared" ref="G1714" ca="1" si="273">E1714/E1709</f>
        <v>1.1920731707317072</v>
      </c>
      <c r="H1714" s="18"/>
      <c r="I1714" s="19">
        <v>1712</v>
      </c>
      <c r="J1714" s="19" cm="1">
        <f t="array" aca="1" ref="J1714" ca="1">INDIRECT("b"&amp;K1714+2)</f>
        <v>9.7750000000000001E+118</v>
      </c>
      <c r="K1714" s="19">
        <f t="shared" si="262"/>
        <v>3881</v>
      </c>
    </row>
    <row r="1715" spans="1:11">
      <c r="A1715">
        <v>1713</v>
      </c>
      <c r="B1715">
        <v>7.9750000000000008E+64</v>
      </c>
      <c r="D1715" s="18">
        <v>1713</v>
      </c>
      <c r="E1715" s="18" cm="1">
        <f t="array" aca="1" ref="E1715" ca="1">INDIRECT("b"&amp;F1715+2)</f>
        <v>9.9999999999999985E+88</v>
      </c>
      <c r="F1715" s="18">
        <f t="shared" si="266"/>
        <v>2682</v>
      </c>
      <c r="G1715" s="18"/>
      <c r="H1715" s="18"/>
      <c r="I1715" s="19">
        <v>1713</v>
      </c>
      <c r="J1715" s="19" cm="1">
        <f t="array" aca="1" ref="J1715" ca="1">INDIRECT("b"&amp;K1715+2)</f>
        <v>9.9999999999999994E+118</v>
      </c>
      <c r="K1715" s="19">
        <f t="shared" si="262"/>
        <v>3882</v>
      </c>
    </row>
    <row r="1716" spans="1:11">
      <c r="A1716">
        <v>1714</v>
      </c>
      <c r="B1716">
        <v>8.2000000000000007E+64</v>
      </c>
      <c r="D1716" s="18">
        <v>1714</v>
      </c>
      <c r="E1716" s="18" cm="1">
        <f t="array" aca="1" ref="E1716" ca="1">INDIRECT("b"&amp;F1716+2)</f>
        <v>1.4499999999999998E+89</v>
      </c>
      <c r="F1716" s="18">
        <f t="shared" si="266"/>
        <v>2684</v>
      </c>
      <c r="G1716" s="18"/>
      <c r="H1716" s="18"/>
      <c r="I1716" s="19">
        <v>1714</v>
      </c>
      <c r="J1716" s="19" cm="1">
        <f t="array" aca="1" ref="J1716" ca="1">INDIRECT("b"&amp;K1716+2)</f>
        <v>1.4499999999999999E+119</v>
      </c>
      <c r="K1716" s="19">
        <f t="shared" si="262"/>
        <v>3884</v>
      </c>
    </row>
    <row r="1717" spans="1:11">
      <c r="A1717">
        <v>1715</v>
      </c>
      <c r="B1717">
        <v>8.4250000000000006E+64</v>
      </c>
      <c r="D1717" s="18">
        <v>1715</v>
      </c>
      <c r="E1717" s="18" cm="1">
        <f t="array" aca="1" ref="E1717" ca="1">INDIRECT("b"&amp;F1717+2)</f>
        <v>1.6749999999999998E+89</v>
      </c>
      <c r="F1717" s="18">
        <f t="shared" si="266"/>
        <v>2685</v>
      </c>
      <c r="G1717" s="18"/>
      <c r="H1717" s="18"/>
      <c r="I1717" s="19">
        <v>1715</v>
      </c>
      <c r="J1717" s="19" cm="1">
        <f t="array" aca="1" ref="J1717" ca="1">INDIRECT("b"&amp;K1717+2)</f>
        <v>1.6749999999999999E+119</v>
      </c>
      <c r="K1717" s="19">
        <f t="shared" si="262"/>
        <v>3885</v>
      </c>
    </row>
    <row r="1718" spans="1:11">
      <c r="A1718">
        <v>1716</v>
      </c>
      <c r="B1718">
        <v>8.6500000000000005E+64</v>
      </c>
      <c r="D1718" s="18">
        <v>1716</v>
      </c>
      <c r="E1718" s="18" cm="1">
        <f t="array" aca="1" ref="E1718" ca="1">INDIRECT("b"&amp;F1718+2)</f>
        <v>1.8999999999999998E+89</v>
      </c>
      <c r="F1718" s="18">
        <f t="shared" si="266"/>
        <v>2686</v>
      </c>
      <c r="G1718" s="18"/>
      <c r="H1718" s="18"/>
      <c r="I1718" s="19">
        <v>1716</v>
      </c>
      <c r="J1718" s="19" cm="1">
        <f t="array" aca="1" ref="J1718" ca="1">INDIRECT("b"&amp;K1718+2)</f>
        <v>1.8999999999999999E+119</v>
      </c>
      <c r="K1718" s="19">
        <f t="shared" si="262"/>
        <v>3886</v>
      </c>
    </row>
    <row r="1719" spans="1:11">
      <c r="A1719">
        <v>1717</v>
      </c>
      <c r="B1719">
        <v>8.8750000000000004E+64</v>
      </c>
      <c r="D1719" s="18">
        <v>1717</v>
      </c>
      <c r="E1719" s="18" cm="1">
        <f t="array" aca="1" ref="E1719" ca="1">INDIRECT("b"&amp;F1719+2)</f>
        <v>2.3499999999999998E+89</v>
      </c>
      <c r="F1719" s="18">
        <f t="shared" si="266"/>
        <v>2688</v>
      </c>
      <c r="G1719" s="18">
        <f t="shared" ref="G1719" ca="1" si="274">E1719/E1714</f>
        <v>2.4040920716112533</v>
      </c>
      <c r="H1719" s="18"/>
      <c r="I1719" s="19">
        <v>1717</v>
      </c>
      <c r="J1719" s="19" cm="1">
        <f t="array" aca="1" ref="J1719" ca="1">INDIRECT("b"&amp;K1719+2)</f>
        <v>2.35E+119</v>
      </c>
      <c r="K1719" s="19">
        <f t="shared" si="262"/>
        <v>3888</v>
      </c>
    </row>
    <row r="1720" spans="1:11">
      <c r="A1720">
        <v>1718</v>
      </c>
      <c r="B1720">
        <v>9.1000000000000003E+64</v>
      </c>
      <c r="D1720" s="18">
        <v>1718</v>
      </c>
      <c r="E1720" s="18" cm="1">
        <f t="array" aca="1" ref="E1720" ca="1">INDIRECT("b"&amp;F1720+2)</f>
        <v>2.5749999999999998E+89</v>
      </c>
      <c r="F1720" s="18">
        <f t="shared" si="266"/>
        <v>2689</v>
      </c>
      <c r="G1720" s="18"/>
      <c r="H1720" s="18"/>
      <c r="I1720" s="19">
        <v>1718</v>
      </c>
      <c r="J1720" s="19" cm="1">
        <f t="array" aca="1" ref="J1720" ca="1">INDIRECT("b"&amp;K1720+2)</f>
        <v>2.5749999999999997E+119</v>
      </c>
      <c r="K1720" s="19">
        <f t="shared" si="262"/>
        <v>3889</v>
      </c>
    </row>
    <row r="1721" spans="1:11">
      <c r="A1721">
        <v>1719</v>
      </c>
      <c r="B1721">
        <v>9.3250000000000014E+64</v>
      </c>
      <c r="D1721" s="18">
        <v>1719</v>
      </c>
      <c r="E1721" s="18" cm="1">
        <f t="array" aca="1" ref="E1721" ca="1">INDIRECT("b"&amp;F1721+2)</f>
        <v>2.7999999999999998E+89</v>
      </c>
      <c r="F1721" s="18">
        <f t="shared" si="266"/>
        <v>2690</v>
      </c>
      <c r="G1721" s="18"/>
      <c r="H1721" s="18"/>
      <c r="I1721" s="19">
        <v>1719</v>
      </c>
      <c r="J1721" s="19" cm="1">
        <f t="array" aca="1" ref="J1721" ca="1">INDIRECT("b"&amp;K1721+2)</f>
        <v>2.7999999999999998E+119</v>
      </c>
      <c r="K1721" s="19">
        <f t="shared" si="262"/>
        <v>3890</v>
      </c>
    </row>
    <row r="1722" spans="1:11">
      <c r="A1722">
        <v>1720</v>
      </c>
      <c r="B1722">
        <v>9.5500000000000013E+64</v>
      </c>
      <c r="D1722" s="18">
        <v>1720</v>
      </c>
      <c r="E1722" s="18" cm="1">
        <f t="array" aca="1" ref="E1722" ca="1">INDIRECT("b"&amp;F1722+2)</f>
        <v>3.2499999999999998E+89</v>
      </c>
      <c r="F1722" s="18">
        <f t="shared" si="266"/>
        <v>2692</v>
      </c>
      <c r="G1722" s="18"/>
      <c r="H1722" s="18"/>
      <c r="I1722" s="19">
        <v>1720</v>
      </c>
      <c r="J1722" s="19" cm="1">
        <f t="array" aca="1" ref="J1722" ca="1">INDIRECT("b"&amp;K1722+2)</f>
        <v>3.2499999999999999E+119</v>
      </c>
      <c r="K1722" s="19">
        <f t="shared" si="262"/>
        <v>3892</v>
      </c>
    </row>
    <row r="1723" spans="1:11">
      <c r="A1723">
        <v>1721</v>
      </c>
      <c r="B1723">
        <v>9.7750000000000012E+64</v>
      </c>
      <c r="D1723" s="18">
        <v>1721</v>
      </c>
      <c r="E1723" s="18" cm="1">
        <f t="array" aca="1" ref="E1723" ca="1">INDIRECT("b"&amp;F1723+2)</f>
        <v>3.4749999999999998E+89</v>
      </c>
      <c r="F1723" s="18">
        <f t="shared" si="266"/>
        <v>2693</v>
      </c>
      <c r="G1723" s="18"/>
      <c r="H1723" s="18"/>
      <c r="I1723" s="19">
        <v>1721</v>
      </c>
      <c r="J1723" s="19" cm="1">
        <f t="array" aca="1" ref="J1723" ca="1">INDIRECT("b"&amp;K1723+2)</f>
        <v>3.4749999999999999E+119</v>
      </c>
      <c r="K1723" s="19">
        <f t="shared" si="262"/>
        <v>3893</v>
      </c>
    </row>
    <row r="1724" spans="1:11">
      <c r="A1724">
        <v>1722</v>
      </c>
      <c r="B1724">
        <v>9.9999999999999999E+64</v>
      </c>
      <c r="D1724" s="18">
        <v>1722</v>
      </c>
      <c r="E1724" s="18" cm="1">
        <f t="array" aca="1" ref="E1724" ca="1">INDIRECT("b"&amp;F1724+2)</f>
        <v>3.6999999999999998E+89</v>
      </c>
      <c r="F1724" s="18">
        <f t="shared" si="266"/>
        <v>2694</v>
      </c>
      <c r="G1724" s="18">
        <f t="shared" ref="G1724" ca="1" si="275">E1724/E1719</f>
        <v>1.574468085106383</v>
      </c>
      <c r="H1724" s="18"/>
      <c r="I1724" s="19">
        <v>1722</v>
      </c>
      <c r="J1724" s="19" cm="1">
        <f t="array" aca="1" ref="J1724" ca="1">INDIRECT("b"&amp;K1724+2)</f>
        <v>3.7E+119</v>
      </c>
      <c r="K1724" s="19">
        <f t="shared" si="262"/>
        <v>3894</v>
      </c>
    </row>
    <row r="1725" spans="1:11">
      <c r="A1725">
        <v>1723</v>
      </c>
      <c r="B1725">
        <v>1.2250000000000001E+65</v>
      </c>
      <c r="D1725" s="18">
        <v>1723</v>
      </c>
      <c r="E1725" s="18" cm="1">
        <f t="array" aca="1" ref="E1725" ca="1">INDIRECT("b"&amp;F1725+2)</f>
        <v>4.1499999999999998E+89</v>
      </c>
      <c r="F1725" s="18">
        <f t="shared" si="266"/>
        <v>2696</v>
      </c>
      <c r="G1725" s="18"/>
      <c r="H1725" s="18"/>
      <c r="I1725" s="19">
        <v>1723</v>
      </c>
      <c r="J1725" s="19" cm="1">
        <f t="array" aca="1" ref="J1725" ca="1">INDIRECT("b"&amp;K1725+2)</f>
        <v>4.15E+119</v>
      </c>
      <c r="K1725" s="19">
        <f t="shared" si="262"/>
        <v>3896</v>
      </c>
    </row>
    <row r="1726" spans="1:11">
      <c r="A1726">
        <v>1724</v>
      </c>
      <c r="B1726">
        <v>1.45E+65</v>
      </c>
      <c r="D1726" s="18">
        <v>1724</v>
      </c>
      <c r="E1726" s="18" cm="1">
        <f t="array" aca="1" ref="E1726" ca="1">INDIRECT("b"&amp;F1726+2)</f>
        <v>4.3749999999999998E+89</v>
      </c>
      <c r="F1726" s="18">
        <f t="shared" si="266"/>
        <v>2697</v>
      </c>
      <c r="G1726" s="18"/>
      <c r="H1726" s="18"/>
      <c r="I1726" s="19">
        <v>1724</v>
      </c>
      <c r="J1726" s="19" cm="1">
        <f t="array" aca="1" ref="J1726" ca="1">INDIRECT("b"&amp;K1726+2)</f>
        <v>4.3750000000000001E+119</v>
      </c>
      <c r="K1726" s="19">
        <f t="shared" si="262"/>
        <v>3897</v>
      </c>
    </row>
    <row r="1727" spans="1:11">
      <c r="A1727">
        <v>1725</v>
      </c>
      <c r="B1727">
        <v>1.6750000000000002E+65</v>
      </c>
      <c r="D1727" s="18">
        <v>1725</v>
      </c>
      <c r="E1727" s="18" cm="1">
        <f t="array" aca="1" ref="E1727" ca="1">INDIRECT("b"&amp;F1727+2)</f>
        <v>4.5999999999999998E+89</v>
      </c>
      <c r="F1727" s="18">
        <f t="shared" si="266"/>
        <v>2698</v>
      </c>
      <c r="G1727" s="18"/>
      <c r="H1727" s="18"/>
      <c r="I1727" s="19">
        <v>1725</v>
      </c>
      <c r="J1727" s="19" cm="1">
        <f t="array" aca="1" ref="J1727" ca="1">INDIRECT("b"&amp;K1727+2)</f>
        <v>4.6000000000000001E+119</v>
      </c>
      <c r="K1727" s="19">
        <f t="shared" si="262"/>
        <v>3898</v>
      </c>
    </row>
    <row r="1728" spans="1:11">
      <c r="A1728">
        <v>1726</v>
      </c>
      <c r="B1728">
        <v>1.9000000000000001E+65</v>
      </c>
      <c r="D1728" s="18">
        <v>1726</v>
      </c>
      <c r="E1728" s="18" cm="1">
        <f t="array" aca="1" ref="E1728" ca="1">INDIRECT("b"&amp;F1728+2)</f>
        <v>5.0499999999999998E+89</v>
      </c>
      <c r="F1728" s="18">
        <f t="shared" si="266"/>
        <v>2700</v>
      </c>
      <c r="G1728" s="18"/>
      <c r="H1728" s="18"/>
      <c r="I1728" s="19">
        <v>1726</v>
      </c>
      <c r="J1728" s="19" cm="1">
        <f t="array" aca="1" ref="J1728" ca="1">INDIRECT("b"&amp;K1728+2)</f>
        <v>5.0499999999999995E+119</v>
      </c>
      <c r="K1728" s="19">
        <f t="shared" si="262"/>
        <v>3900</v>
      </c>
    </row>
    <row r="1729" spans="1:11">
      <c r="A1729">
        <v>1727</v>
      </c>
      <c r="B1729">
        <v>2.1250000000000002E+65</v>
      </c>
      <c r="D1729" s="18">
        <v>1727</v>
      </c>
      <c r="E1729" s="18" cm="1">
        <f t="array" aca="1" ref="E1729" ca="1">INDIRECT("b"&amp;F1729+2)</f>
        <v>5.2749999999999998E+89</v>
      </c>
      <c r="F1729" s="18">
        <f t="shared" si="266"/>
        <v>2701</v>
      </c>
      <c r="G1729" s="18">
        <f t="shared" ref="G1729" ca="1" si="276">E1729/E1724</f>
        <v>1.4256756756756757</v>
      </c>
      <c r="H1729" s="18"/>
      <c r="I1729" s="19">
        <v>1727</v>
      </c>
      <c r="J1729" s="19" cm="1">
        <f t="array" aca="1" ref="J1729" ca="1">INDIRECT("b"&amp;K1729+2)</f>
        <v>5.2749999999999996E+119</v>
      </c>
      <c r="K1729" s="19">
        <f t="shared" si="262"/>
        <v>3901</v>
      </c>
    </row>
    <row r="1730" spans="1:11">
      <c r="A1730">
        <v>1728</v>
      </c>
      <c r="B1730">
        <v>2.3500000000000001E+65</v>
      </c>
      <c r="D1730" s="18">
        <v>1728</v>
      </c>
      <c r="E1730" s="18" cm="1">
        <f t="array" aca="1" ref="E1730" ca="1">INDIRECT("b"&amp;F1730+2)</f>
        <v>5.4999999999999998E+89</v>
      </c>
      <c r="F1730" s="18">
        <f t="shared" si="266"/>
        <v>2702</v>
      </c>
      <c r="G1730" s="18"/>
      <c r="H1730" s="18"/>
      <c r="I1730" s="19">
        <v>1728</v>
      </c>
      <c r="J1730" s="19" cm="1">
        <f t="array" aca="1" ref="J1730" ca="1">INDIRECT("b"&amp;K1730+2)</f>
        <v>5.4999999999999996E+119</v>
      </c>
      <c r="K1730" s="19">
        <f t="shared" si="262"/>
        <v>3902</v>
      </c>
    </row>
    <row r="1731" spans="1:11">
      <c r="A1731">
        <v>1729</v>
      </c>
      <c r="B1731">
        <v>2.575E+65</v>
      </c>
      <c r="D1731" s="18">
        <v>1729</v>
      </c>
      <c r="E1731" s="18" cm="1">
        <f t="array" aca="1" ref="E1731" ca="1">INDIRECT("b"&amp;F1731+2)</f>
        <v>5.9499999999999997E+89</v>
      </c>
      <c r="F1731" s="18">
        <f t="shared" si="266"/>
        <v>2704</v>
      </c>
      <c r="G1731" s="18"/>
      <c r="H1731" s="18"/>
      <c r="I1731" s="19">
        <v>1729</v>
      </c>
      <c r="J1731" s="19" cm="1">
        <f t="array" aca="1" ref="J1731" ca="1">INDIRECT("b"&amp;K1731+2)</f>
        <v>5.9499999999999997E+119</v>
      </c>
      <c r="K1731" s="19">
        <f t="shared" si="262"/>
        <v>3904</v>
      </c>
    </row>
    <row r="1732" spans="1:11">
      <c r="A1732">
        <v>1730</v>
      </c>
      <c r="B1732">
        <v>2.8000000000000004E+65</v>
      </c>
      <c r="D1732" s="18">
        <v>1730</v>
      </c>
      <c r="E1732" s="18" cm="1">
        <f t="array" aca="1" ref="E1732" ca="1">INDIRECT("b"&amp;F1732+2)</f>
        <v>6.1749999999999997E+89</v>
      </c>
      <c r="F1732" s="18">
        <f t="shared" si="266"/>
        <v>2705</v>
      </c>
      <c r="G1732" s="18"/>
      <c r="H1732" s="18"/>
      <c r="I1732" s="19">
        <v>1730</v>
      </c>
      <c r="J1732" s="19" cm="1">
        <f t="array" aca="1" ref="J1732" ca="1">INDIRECT("b"&amp;K1732+2)</f>
        <v>6.1749999999999997E+119</v>
      </c>
      <c r="K1732" s="19">
        <f t="shared" ref="K1732:K1795" si="277">INT((A1732-1)*40/30+900*40/30)+400</f>
        <v>3905</v>
      </c>
    </row>
    <row r="1733" spans="1:11">
      <c r="A1733">
        <v>1731</v>
      </c>
      <c r="B1733">
        <v>3.0250000000000003E+65</v>
      </c>
      <c r="D1733" s="18">
        <v>1731</v>
      </c>
      <c r="E1733" s="18" cm="1">
        <f t="array" aca="1" ref="E1733" ca="1">INDIRECT("b"&amp;F1733+2)</f>
        <v>6.3999999999999997E+89</v>
      </c>
      <c r="F1733" s="18">
        <f t="shared" si="266"/>
        <v>2706</v>
      </c>
      <c r="G1733" s="18"/>
      <c r="H1733" s="18"/>
      <c r="I1733" s="19">
        <v>1731</v>
      </c>
      <c r="J1733" s="19" cm="1">
        <f t="array" aca="1" ref="J1733" ca="1">INDIRECT("b"&amp;K1733+2)</f>
        <v>6.3999999999999998E+119</v>
      </c>
      <c r="K1733" s="19">
        <f t="shared" si="277"/>
        <v>3906</v>
      </c>
    </row>
    <row r="1734" spans="1:11">
      <c r="A1734">
        <v>1732</v>
      </c>
      <c r="B1734">
        <v>3.2500000000000001E+65</v>
      </c>
      <c r="D1734" s="18">
        <v>1732</v>
      </c>
      <c r="E1734" s="18" cm="1">
        <f t="array" aca="1" ref="E1734" ca="1">INDIRECT("b"&amp;F1734+2)</f>
        <v>6.8499999999999997E+89</v>
      </c>
      <c r="F1734" s="18">
        <f t="shared" si="266"/>
        <v>2708</v>
      </c>
      <c r="G1734" s="18">
        <f t="shared" ref="G1734" ca="1" si="278">E1734/E1729</f>
        <v>1.2985781990521328</v>
      </c>
      <c r="H1734" s="18"/>
      <c r="I1734" s="19">
        <v>1732</v>
      </c>
      <c r="J1734" s="19" cm="1">
        <f t="array" aca="1" ref="J1734" ca="1">INDIRECT("b"&amp;K1734+2)</f>
        <v>6.8499999999999992E+119</v>
      </c>
      <c r="K1734" s="19">
        <f t="shared" si="277"/>
        <v>3908</v>
      </c>
    </row>
    <row r="1735" spans="1:11">
      <c r="A1735">
        <v>1733</v>
      </c>
      <c r="B1735">
        <v>3.475E+65</v>
      </c>
      <c r="D1735" s="18">
        <v>1733</v>
      </c>
      <c r="E1735" s="18" cm="1">
        <f t="array" aca="1" ref="E1735" ca="1">INDIRECT("b"&amp;F1735+2)</f>
        <v>7.0749999999999997E+89</v>
      </c>
      <c r="F1735" s="18">
        <f t="shared" si="266"/>
        <v>2709</v>
      </c>
      <c r="G1735" s="18"/>
      <c r="H1735" s="18"/>
      <c r="I1735" s="19">
        <v>1733</v>
      </c>
      <c r="J1735" s="19" cm="1">
        <f t="array" aca="1" ref="J1735" ca="1">INDIRECT("b"&amp;K1735+2)</f>
        <v>7.0749999999999999E+119</v>
      </c>
      <c r="K1735" s="19">
        <f t="shared" si="277"/>
        <v>3909</v>
      </c>
    </row>
    <row r="1736" spans="1:11">
      <c r="A1736">
        <v>1734</v>
      </c>
      <c r="B1736">
        <v>3.6999999999999999E+65</v>
      </c>
      <c r="D1736" s="18">
        <v>1734</v>
      </c>
      <c r="E1736" s="18" cm="1">
        <f t="array" aca="1" ref="E1736" ca="1">INDIRECT("b"&amp;F1736+2)</f>
        <v>7.2999999999999997E+89</v>
      </c>
      <c r="F1736" s="18">
        <f t="shared" si="266"/>
        <v>2710</v>
      </c>
      <c r="G1736" s="18"/>
      <c r="H1736" s="18"/>
      <c r="I1736" s="19">
        <v>1734</v>
      </c>
      <c r="J1736" s="19" cm="1">
        <f t="array" aca="1" ref="J1736" ca="1">INDIRECT("b"&amp;K1736+2)</f>
        <v>7.2999999999999993E+119</v>
      </c>
      <c r="K1736" s="19">
        <f t="shared" si="277"/>
        <v>3910</v>
      </c>
    </row>
    <row r="1737" spans="1:11">
      <c r="A1737">
        <v>1735</v>
      </c>
      <c r="B1737">
        <v>3.9250000000000003E+65</v>
      </c>
      <c r="D1737" s="18">
        <v>1735</v>
      </c>
      <c r="E1737" s="18" cm="1">
        <f t="array" aca="1" ref="E1737" ca="1">INDIRECT("b"&amp;F1737+2)</f>
        <v>7.7499999999999997E+89</v>
      </c>
      <c r="F1737" s="18">
        <f t="shared" si="266"/>
        <v>2712</v>
      </c>
      <c r="G1737" s="18"/>
      <c r="H1737" s="18"/>
      <c r="I1737" s="19">
        <v>1735</v>
      </c>
      <c r="J1737" s="19" cm="1">
        <f t="array" aca="1" ref="J1737" ca="1">INDIRECT("b"&amp;K1737+2)</f>
        <v>7.7499999999999993E+119</v>
      </c>
      <c r="K1737" s="19">
        <f t="shared" si="277"/>
        <v>3912</v>
      </c>
    </row>
    <row r="1738" spans="1:11">
      <c r="A1738">
        <v>1736</v>
      </c>
      <c r="B1738">
        <v>4.1500000000000002E+65</v>
      </c>
      <c r="D1738" s="18">
        <v>1736</v>
      </c>
      <c r="E1738" s="18" cm="1">
        <f t="array" aca="1" ref="E1738" ca="1">INDIRECT("b"&amp;F1738+2)</f>
        <v>7.9749999999999997E+89</v>
      </c>
      <c r="F1738" s="18">
        <f t="shared" si="266"/>
        <v>2713</v>
      </c>
      <c r="G1738" s="18"/>
      <c r="H1738" s="18"/>
      <c r="I1738" s="19">
        <v>1736</v>
      </c>
      <c r="J1738" s="19" cm="1">
        <f t="array" aca="1" ref="J1738" ca="1">INDIRECT("b"&amp;K1738+2)</f>
        <v>7.9750000000000001E+119</v>
      </c>
      <c r="K1738" s="19">
        <f t="shared" si="277"/>
        <v>3913</v>
      </c>
    </row>
    <row r="1739" spans="1:11">
      <c r="A1739">
        <v>1737</v>
      </c>
      <c r="B1739">
        <v>4.3750000000000006E+65</v>
      </c>
      <c r="D1739" s="18">
        <v>1737</v>
      </c>
      <c r="E1739" s="18" cm="1">
        <f t="array" aca="1" ref="E1739" ca="1">INDIRECT("b"&amp;F1739+2)</f>
        <v>8.1999999999999997E+89</v>
      </c>
      <c r="F1739" s="18">
        <f t="shared" si="266"/>
        <v>2714</v>
      </c>
      <c r="G1739" s="18">
        <f t="shared" ref="G1739" ca="1" si="279">E1739/E1734</f>
        <v>1.197080291970803</v>
      </c>
      <c r="H1739" s="18"/>
      <c r="I1739" s="19">
        <v>1737</v>
      </c>
      <c r="J1739" s="19" cm="1">
        <f t="array" aca="1" ref="J1739" ca="1">INDIRECT("b"&amp;K1739+2)</f>
        <v>8.1999999999999994E+119</v>
      </c>
      <c r="K1739" s="19">
        <f t="shared" si="277"/>
        <v>3914</v>
      </c>
    </row>
    <row r="1740" spans="1:11">
      <c r="A1740">
        <v>1738</v>
      </c>
      <c r="B1740">
        <v>4.6E+65</v>
      </c>
      <c r="D1740" s="18">
        <v>1738</v>
      </c>
      <c r="E1740" s="18" cm="1">
        <f t="array" aca="1" ref="E1740" ca="1">INDIRECT("b"&amp;F1740+2)</f>
        <v>8.6499999999999997E+89</v>
      </c>
      <c r="F1740" s="18">
        <f t="shared" si="266"/>
        <v>2716</v>
      </c>
      <c r="G1740" s="18"/>
      <c r="H1740" s="18"/>
      <c r="I1740" s="19">
        <v>1738</v>
      </c>
      <c r="J1740" s="19" cm="1">
        <f t="array" aca="1" ref="J1740" ca="1">INDIRECT("b"&amp;K1740+2)</f>
        <v>8.6499999999999995E+119</v>
      </c>
      <c r="K1740" s="19">
        <f t="shared" si="277"/>
        <v>3916</v>
      </c>
    </row>
    <row r="1741" spans="1:11">
      <c r="A1741">
        <v>1739</v>
      </c>
      <c r="B1741">
        <v>4.8250000000000004E+65</v>
      </c>
      <c r="D1741" s="18">
        <v>1739</v>
      </c>
      <c r="E1741" s="18" cm="1">
        <f t="array" aca="1" ref="E1741" ca="1">INDIRECT("b"&amp;F1741+2)</f>
        <v>8.8749999999999997E+89</v>
      </c>
      <c r="F1741" s="18">
        <f t="shared" si="266"/>
        <v>2717</v>
      </c>
      <c r="G1741" s="18"/>
      <c r="H1741" s="18"/>
      <c r="I1741" s="19">
        <v>1739</v>
      </c>
      <c r="J1741" s="19" cm="1">
        <f t="array" aca="1" ref="J1741" ca="1">INDIRECT("b"&amp;K1741+2)</f>
        <v>8.8750000000000003E+119</v>
      </c>
      <c r="K1741" s="19">
        <f t="shared" si="277"/>
        <v>3917</v>
      </c>
    </row>
    <row r="1742" spans="1:11">
      <c r="A1742">
        <v>1740</v>
      </c>
      <c r="B1742">
        <v>5.0499999999999998E+65</v>
      </c>
      <c r="D1742" s="18">
        <v>1740</v>
      </c>
      <c r="E1742" s="18" cm="1">
        <f t="array" aca="1" ref="E1742" ca="1">INDIRECT("b"&amp;F1742+2)</f>
        <v>9.0999999999999997E+89</v>
      </c>
      <c r="F1742" s="18">
        <f t="shared" si="266"/>
        <v>2718</v>
      </c>
      <c r="G1742" s="18"/>
      <c r="H1742" s="18"/>
      <c r="I1742" s="19">
        <v>1740</v>
      </c>
      <c r="J1742" s="19" cm="1">
        <f t="array" aca="1" ref="J1742" ca="1">INDIRECT("b"&amp;K1742+2)</f>
        <v>9.0999999999999996E+119</v>
      </c>
      <c r="K1742" s="19">
        <f t="shared" si="277"/>
        <v>3918</v>
      </c>
    </row>
    <row r="1743" spans="1:11">
      <c r="A1743">
        <v>1741</v>
      </c>
      <c r="B1743">
        <v>5.2750000000000002E+65</v>
      </c>
      <c r="D1743" s="18">
        <v>1741</v>
      </c>
      <c r="E1743" s="18" cm="1">
        <f t="array" aca="1" ref="E1743" ca="1">INDIRECT("b"&amp;F1743+2)</f>
        <v>9.5499999999999997E+89</v>
      </c>
      <c r="F1743" s="18">
        <f t="shared" si="266"/>
        <v>2720</v>
      </c>
      <c r="G1743" s="18"/>
      <c r="H1743" s="18"/>
      <c r="I1743" s="19">
        <v>1741</v>
      </c>
      <c r="J1743" s="19" cm="1">
        <f t="array" aca="1" ref="J1743" ca="1">INDIRECT("b"&amp;K1743+2)</f>
        <v>9.5499999999999997E+119</v>
      </c>
      <c r="K1743" s="19">
        <f t="shared" si="277"/>
        <v>3920</v>
      </c>
    </row>
    <row r="1744" spans="1:11">
      <c r="A1744">
        <v>1742</v>
      </c>
      <c r="B1744">
        <v>5.5000000000000005E+65</v>
      </c>
      <c r="D1744" s="18">
        <v>1742</v>
      </c>
      <c r="E1744" s="18" cm="1">
        <f t="array" aca="1" ref="E1744" ca="1">INDIRECT("b"&amp;F1744+2)</f>
        <v>9.7749999999999997E+89</v>
      </c>
      <c r="F1744" s="18">
        <f t="shared" si="266"/>
        <v>2721</v>
      </c>
      <c r="G1744" s="18">
        <f t="shared" ref="G1744" ca="1" si="280">E1744/E1739</f>
        <v>1.1920731707317074</v>
      </c>
      <c r="H1744" s="18"/>
      <c r="I1744" s="19">
        <v>1742</v>
      </c>
      <c r="J1744" s="19" cm="1">
        <f t="array" aca="1" ref="J1744" ca="1">INDIRECT("b"&amp;K1744+2)</f>
        <v>9.774999999999999E+119</v>
      </c>
      <c r="K1744" s="19">
        <f t="shared" si="277"/>
        <v>3921</v>
      </c>
    </row>
    <row r="1745" spans="1:11">
      <c r="A1745">
        <v>1743</v>
      </c>
      <c r="B1745">
        <v>5.725E+65</v>
      </c>
      <c r="D1745" s="18">
        <v>1743</v>
      </c>
      <c r="E1745" s="18" cm="1">
        <f t="array" aca="1" ref="E1745" ca="1">INDIRECT("b"&amp;F1745+2)</f>
        <v>9.9999999999999997E+89</v>
      </c>
      <c r="F1745" s="18">
        <f t="shared" si="266"/>
        <v>2722</v>
      </c>
      <c r="G1745" s="18"/>
      <c r="H1745" s="18"/>
      <c r="I1745" s="19">
        <v>1743</v>
      </c>
      <c r="J1745" s="19" cm="1">
        <f t="array" aca="1" ref="J1745" ca="1">INDIRECT("b"&amp;K1745+2)</f>
        <v>9.9999999999999998E+119</v>
      </c>
      <c r="K1745" s="19">
        <f t="shared" si="277"/>
        <v>3922</v>
      </c>
    </row>
    <row r="1746" spans="1:11">
      <c r="A1746">
        <v>1744</v>
      </c>
      <c r="B1746">
        <v>5.9500000000000003E+65</v>
      </c>
      <c r="D1746" s="18">
        <v>1744</v>
      </c>
      <c r="E1746" s="18" cm="1">
        <f t="array" aca="1" ref="E1746" ca="1">INDIRECT("b"&amp;F1746+2)</f>
        <v>1.4499999999999998E+90</v>
      </c>
      <c r="F1746" s="18">
        <f t="shared" si="266"/>
        <v>2724</v>
      </c>
      <c r="G1746" s="18"/>
      <c r="H1746" s="18"/>
      <c r="I1746" s="19">
        <v>1744</v>
      </c>
      <c r="J1746" s="19" cm="1">
        <f t="array" aca="1" ref="J1746" ca="1">INDIRECT("b"&amp;K1746+2)</f>
        <v>1.4499999999999998E+120</v>
      </c>
      <c r="K1746" s="19">
        <f t="shared" si="277"/>
        <v>3924</v>
      </c>
    </row>
    <row r="1747" spans="1:11">
      <c r="A1747">
        <v>1745</v>
      </c>
      <c r="B1747">
        <v>6.1750000000000007E+65</v>
      </c>
      <c r="D1747" s="18">
        <v>1745</v>
      </c>
      <c r="E1747" s="18" cm="1">
        <f t="array" aca="1" ref="E1747" ca="1">INDIRECT("b"&amp;F1747+2)</f>
        <v>1.6749999999999998E+90</v>
      </c>
      <c r="F1747" s="18">
        <f t="shared" ref="F1747:F1810" si="281">INT((A1747-123)*1.333333)+563</f>
        <v>2725</v>
      </c>
      <c r="G1747" s="18"/>
      <c r="H1747" s="18"/>
      <c r="I1747" s="19">
        <v>1745</v>
      </c>
      <c r="J1747" s="19" cm="1">
        <f t="array" aca="1" ref="J1747" ca="1">INDIRECT("b"&amp;K1747+2)</f>
        <v>1.675E+120</v>
      </c>
      <c r="K1747" s="19">
        <f t="shared" si="277"/>
        <v>3925</v>
      </c>
    </row>
    <row r="1748" spans="1:11">
      <c r="A1748">
        <v>1746</v>
      </c>
      <c r="B1748">
        <v>6.4000000000000001E+65</v>
      </c>
      <c r="D1748" s="18">
        <v>1746</v>
      </c>
      <c r="E1748" s="18" cm="1">
        <f t="array" aca="1" ref="E1748" ca="1">INDIRECT("b"&amp;F1748+2)</f>
        <v>1.8999999999999998E+90</v>
      </c>
      <c r="F1748" s="18">
        <f t="shared" si="281"/>
        <v>2726</v>
      </c>
      <c r="G1748" s="18"/>
      <c r="H1748" s="18"/>
      <c r="I1748" s="19">
        <v>1746</v>
      </c>
      <c r="J1748" s="19" cm="1">
        <f t="array" aca="1" ref="J1748" ca="1">INDIRECT("b"&amp;K1748+2)</f>
        <v>1.8999999999999999E+120</v>
      </c>
      <c r="K1748" s="19">
        <f t="shared" si="277"/>
        <v>3926</v>
      </c>
    </row>
    <row r="1749" spans="1:11">
      <c r="A1749">
        <v>1747</v>
      </c>
      <c r="B1749">
        <v>6.6250000000000005E+65</v>
      </c>
      <c r="D1749" s="18">
        <v>1747</v>
      </c>
      <c r="E1749" s="18" cm="1">
        <f t="array" aca="1" ref="E1749" ca="1">INDIRECT("b"&amp;F1749+2)</f>
        <v>2.3500000000000001E+90</v>
      </c>
      <c r="F1749" s="18">
        <f t="shared" si="281"/>
        <v>2728</v>
      </c>
      <c r="G1749" s="18">
        <f t="shared" ref="G1749" ca="1" si="282">E1749/E1744</f>
        <v>2.4040920716112533</v>
      </c>
      <c r="H1749" s="18"/>
      <c r="I1749" s="19">
        <v>1747</v>
      </c>
      <c r="J1749" s="19" cm="1">
        <f t="array" aca="1" ref="J1749" ca="1">INDIRECT("b"&amp;K1749+2)</f>
        <v>2.35E+120</v>
      </c>
      <c r="K1749" s="19">
        <f t="shared" si="277"/>
        <v>3928</v>
      </c>
    </row>
    <row r="1750" spans="1:11">
      <c r="A1750">
        <v>1748</v>
      </c>
      <c r="B1750">
        <v>6.8499999999999999E+65</v>
      </c>
      <c r="D1750" s="18">
        <v>1748</v>
      </c>
      <c r="E1750" s="18" cm="1">
        <f t="array" aca="1" ref="E1750" ca="1">INDIRECT("b"&amp;F1750+2)</f>
        <v>2.575E+90</v>
      </c>
      <c r="F1750" s="18">
        <f t="shared" si="281"/>
        <v>2729</v>
      </c>
      <c r="G1750" s="18"/>
      <c r="H1750" s="18"/>
      <c r="I1750" s="19">
        <v>1748</v>
      </c>
      <c r="J1750" s="19" cm="1">
        <f t="array" aca="1" ref="J1750" ca="1">INDIRECT("b"&amp;K1750+2)</f>
        <v>2.5749999999999999E+120</v>
      </c>
      <c r="K1750" s="19">
        <f t="shared" si="277"/>
        <v>3929</v>
      </c>
    </row>
    <row r="1751" spans="1:11">
      <c r="A1751">
        <v>1749</v>
      </c>
      <c r="B1751">
        <v>7.0750000000000003E+65</v>
      </c>
      <c r="D1751" s="18">
        <v>1749</v>
      </c>
      <c r="E1751" s="18" cm="1">
        <f t="array" aca="1" ref="E1751" ca="1">INDIRECT("b"&amp;F1751+2)</f>
        <v>2.8E+90</v>
      </c>
      <c r="F1751" s="18">
        <f t="shared" si="281"/>
        <v>2730</v>
      </c>
      <c r="G1751" s="18"/>
      <c r="H1751" s="18"/>
      <c r="I1751" s="19">
        <v>1749</v>
      </c>
      <c r="J1751" s="19" cm="1">
        <f t="array" aca="1" ref="J1751" ca="1">INDIRECT("b"&amp;K1751+2)</f>
        <v>2.8000000000000001E+120</v>
      </c>
      <c r="K1751" s="19">
        <f t="shared" si="277"/>
        <v>3930</v>
      </c>
    </row>
    <row r="1752" spans="1:11">
      <c r="A1752">
        <v>1750</v>
      </c>
      <c r="B1752">
        <v>7.3000000000000007E+65</v>
      </c>
      <c r="D1752" s="18">
        <v>1750</v>
      </c>
      <c r="E1752" s="18" cm="1">
        <f t="array" aca="1" ref="E1752" ca="1">INDIRECT("b"&amp;F1752+2)</f>
        <v>3.25E+90</v>
      </c>
      <c r="F1752" s="18">
        <f t="shared" si="281"/>
        <v>2732</v>
      </c>
      <c r="G1752" s="18"/>
      <c r="H1752" s="18"/>
      <c r="I1752" s="19">
        <v>1750</v>
      </c>
      <c r="J1752" s="19" cm="1">
        <f t="array" aca="1" ref="J1752" ca="1">INDIRECT("b"&amp;K1752+2)</f>
        <v>3.2499999999999999E+120</v>
      </c>
      <c r="K1752" s="19">
        <f t="shared" si="277"/>
        <v>3932</v>
      </c>
    </row>
    <row r="1753" spans="1:11">
      <c r="A1753">
        <v>1751</v>
      </c>
      <c r="B1753">
        <v>7.5250000000000001E+65</v>
      </c>
      <c r="D1753" s="18">
        <v>1751</v>
      </c>
      <c r="E1753" s="18" cm="1">
        <f t="array" aca="1" ref="E1753" ca="1">INDIRECT("b"&amp;F1753+2)</f>
        <v>3.475E+90</v>
      </c>
      <c r="F1753" s="18">
        <f t="shared" si="281"/>
        <v>2733</v>
      </c>
      <c r="G1753" s="18"/>
      <c r="H1753" s="18"/>
      <c r="I1753" s="19">
        <v>1751</v>
      </c>
      <c r="J1753" s="19" cm="1">
        <f t="array" aca="1" ref="J1753" ca="1">INDIRECT("b"&amp;K1753+2)</f>
        <v>3.4749999999999998E+120</v>
      </c>
      <c r="K1753" s="19">
        <f t="shared" si="277"/>
        <v>3933</v>
      </c>
    </row>
    <row r="1754" spans="1:11">
      <c r="A1754">
        <v>1752</v>
      </c>
      <c r="B1754">
        <v>7.7500000000000005E+65</v>
      </c>
      <c r="D1754" s="18">
        <v>1752</v>
      </c>
      <c r="E1754" s="18" cm="1">
        <f t="array" aca="1" ref="E1754" ca="1">INDIRECT("b"&amp;F1754+2)</f>
        <v>3.7E+90</v>
      </c>
      <c r="F1754" s="18">
        <f t="shared" si="281"/>
        <v>2734</v>
      </c>
      <c r="G1754" s="18">
        <f t="shared" ref="G1754" ca="1" si="283">E1754/E1749</f>
        <v>1.574468085106383</v>
      </c>
      <c r="H1754" s="18"/>
      <c r="I1754" s="19">
        <v>1752</v>
      </c>
      <c r="J1754" s="19" cm="1">
        <f t="array" aca="1" ref="J1754" ca="1">INDIRECT("b"&amp;K1754+2)</f>
        <v>3.6999999999999997E+120</v>
      </c>
      <c r="K1754" s="19">
        <f t="shared" si="277"/>
        <v>3934</v>
      </c>
    </row>
    <row r="1755" spans="1:11">
      <c r="A1755">
        <v>1753</v>
      </c>
      <c r="B1755">
        <v>7.9750000000000008E+65</v>
      </c>
      <c r="D1755" s="18">
        <v>1753</v>
      </c>
      <c r="E1755" s="18" cm="1">
        <f t="array" aca="1" ref="E1755" ca="1">INDIRECT("b"&amp;F1755+2)</f>
        <v>4.15E+90</v>
      </c>
      <c r="F1755" s="18">
        <f t="shared" si="281"/>
        <v>2736</v>
      </c>
      <c r="G1755" s="18"/>
      <c r="H1755" s="18"/>
      <c r="I1755" s="19">
        <v>1753</v>
      </c>
      <c r="J1755" s="19" cm="1">
        <f t="array" aca="1" ref="J1755" ca="1">INDIRECT("b"&amp;K1755+2)</f>
        <v>4.1499999999999995E+120</v>
      </c>
      <c r="K1755" s="19">
        <f t="shared" si="277"/>
        <v>3936</v>
      </c>
    </row>
    <row r="1756" spans="1:11">
      <c r="A1756">
        <v>1754</v>
      </c>
      <c r="B1756">
        <v>8.2000000000000003E+65</v>
      </c>
      <c r="D1756" s="18">
        <v>1754</v>
      </c>
      <c r="E1756" s="18" cm="1">
        <f t="array" aca="1" ref="E1756" ca="1">INDIRECT("b"&amp;F1756+2)</f>
        <v>4.375E+90</v>
      </c>
      <c r="F1756" s="18">
        <f t="shared" si="281"/>
        <v>2737</v>
      </c>
      <c r="G1756" s="18"/>
      <c r="H1756" s="18"/>
      <c r="I1756" s="19">
        <v>1754</v>
      </c>
      <c r="J1756" s="19" cm="1">
        <f t="array" aca="1" ref="J1756" ca="1">INDIRECT("b"&amp;K1756+2)</f>
        <v>4.3749999999999999E+120</v>
      </c>
      <c r="K1756" s="19">
        <f t="shared" si="277"/>
        <v>3937</v>
      </c>
    </row>
    <row r="1757" spans="1:11">
      <c r="A1757">
        <v>1755</v>
      </c>
      <c r="B1757">
        <v>8.4250000000000006E+65</v>
      </c>
      <c r="D1757" s="18">
        <v>1755</v>
      </c>
      <c r="E1757" s="18" cm="1">
        <f t="array" aca="1" ref="E1757" ca="1">INDIRECT("b"&amp;F1757+2)</f>
        <v>4.6E+90</v>
      </c>
      <c r="F1757" s="18">
        <f t="shared" si="281"/>
        <v>2738</v>
      </c>
      <c r="G1757" s="18"/>
      <c r="H1757" s="18"/>
      <c r="I1757" s="19">
        <v>1755</v>
      </c>
      <c r="J1757" s="19" cm="1">
        <f t="array" aca="1" ref="J1757" ca="1">INDIRECT("b"&amp;K1757+2)</f>
        <v>4.5999999999999999E+120</v>
      </c>
      <c r="K1757" s="19">
        <f t="shared" si="277"/>
        <v>3938</v>
      </c>
    </row>
    <row r="1758" spans="1:11">
      <c r="A1758">
        <v>1756</v>
      </c>
      <c r="B1758">
        <v>8.650000000000001E+65</v>
      </c>
      <c r="D1758" s="18">
        <v>1756</v>
      </c>
      <c r="E1758" s="18" cm="1">
        <f t="array" aca="1" ref="E1758" ca="1">INDIRECT("b"&amp;F1758+2)</f>
        <v>5.05E+90</v>
      </c>
      <c r="F1758" s="18">
        <f t="shared" si="281"/>
        <v>2740</v>
      </c>
      <c r="G1758" s="18"/>
      <c r="H1758" s="18"/>
      <c r="I1758" s="19">
        <v>1756</v>
      </c>
      <c r="J1758" s="19" cm="1">
        <f t="array" aca="1" ref="J1758" ca="1">INDIRECT("b"&amp;K1758+2)</f>
        <v>5.0499999999999997E+120</v>
      </c>
      <c r="K1758" s="19">
        <f t="shared" si="277"/>
        <v>3940</v>
      </c>
    </row>
    <row r="1759" spans="1:11">
      <c r="A1759">
        <v>1757</v>
      </c>
      <c r="B1759">
        <v>8.8750000000000014E+65</v>
      </c>
      <c r="D1759" s="18">
        <v>1757</v>
      </c>
      <c r="E1759" s="18" cm="1">
        <f t="array" aca="1" ref="E1759" ca="1">INDIRECT("b"&amp;F1759+2)</f>
        <v>5.275E+90</v>
      </c>
      <c r="F1759" s="18">
        <f t="shared" si="281"/>
        <v>2741</v>
      </c>
      <c r="G1759" s="18">
        <f t="shared" ref="G1759" ca="1" si="284">E1759/E1754</f>
        <v>1.4256756756756757</v>
      </c>
      <c r="H1759" s="18"/>
      <c r="I1759" s="19">
        <v>1757</v>
      </c>
      <c r="J1759" s="19" cm="1">
        <f t="array" aca="1" ref="J1759" ca="1">INDIRECT("b"&amp;K1759+2)</f>
        <v>5.2749999999999996E+120</v>
      </c>
      <c r="K1759" s="19">
        <f t="shared" si="277"/>
        <v>3941</v>
      </c>
    </row>
    <row r="1760" spans="1:11">
      <c r="A1760">
        <v>1758</v>
      </c>
      <c r="B1760">
        <v>9.0999999999999999E+65</v>
      </c>
      <c r="D1760" s="18">
        <v>1758</v>
      </c>
      <c r="E1760" s="18" cm="1">
        <f t="array" aca="1" ref="E1760" ca="1">INDIRECT("b"&amp;F1760+2)</f>
        <v>5.5E+90</v>
      </c>
      <c r="F1760" s="18">
        <f t="shared" si="281"/>
        <v>2742</v>
      </c>
      <c r="G1760" s="18"/>
      <c r="H1760" s="18"/>
      <c r="I1760" s="19">
        <v>1758</v>
      </c>
      <c r="J1760" s="19" cm="1">
        <f t="array" aca="1" ref="J1760" ca="1">INDIRECT("b"&amp;K1760+2)</f>
        <v>5.5E+120</v>
      </c>
      <c r="K1760" s="19">
        <f t="shared" si="277"/>
        <v>3942</v>
      </c>
    </row>
    <row r="1761" spans="1:11">
      <c r="A1761">
        <v>1759</v>
      </c>
      <c r="B1761">
        <v>9.3250000000000002E+65</v>
      </c>
      <c r="D1761" s="18">
        <v>1759</v>
      </c>
      <c r="E1761" s="18" cm="1">
        <f t="array" aca="1" ref="E1761" ca="1">INDIRECT("b"&amp;F1761+2)</f>
        <v>5.95E+90</v>
      </c>
      <c r="F1761" s="18">
        <f t="shared" si="281"/>
        <v>2744</v>
      </c>
      <c r="G1761" s="18"/>
      <c r="H1761" s="18"/>
      <c r="I1761" s="19">
        <v>1759</v>
      </c>
      <c r="J1761" s="19" cm="1">
        <f t="array" aca="1" ref="J1761" ca="1">INDIRECT("b"&amp;K1761+2)</f>
        <v>5.9499999999999998E+120</v>
      </c>
      <c r="K1761" s="19">
        <f t="shared" si="277"/>
        <v>3944</v>
      </c>
    </row>
    <row r="1762" spans="1:11">
      <c r="A1762">
        <v>1760</v>
      </c>
      <c r="B1762">
        <v>9.5500000000000006E+65</v>
      </c>
      <c r="D1762" s="18">
        <v>1760</v>
      </c>
      <c r="E1762" s="18" cm="1">
        <f t="array" aca="1" ref="E1762" ca="1">INDIRECT("b"&amp;F1762+2)</f>
        <v>6.175E+90</v>
      </c>
      <c r="F1762" s="18">
        <f t="shared" si="281"/>
        <v>2745</v>
      </c>
      <c r="G1762" s="18"/>
      <c r="H1762" s="18"/>
      <c r="I1762" s="19">
        <v>1760</v>
      </c>
      <c r="J1762" s="19" cm="1">
        <f t="array" aca="1" ref="J1762" ca="1">INDIRECT("b"&amp;K1762+2)</f>
        <v>6.1749999999999992E+120</v>
      </c>
      <c r="K1762" s="19">
        <f t="shared" si="277"/>
        <v>3945</v>
      </c>
    </row>
    <row r="1763" spans="1:11">
      <c r="A1763">
        <v>1761</v>
      </c>
      <c r="B1763">
        <v>9.775000000000001E+65</v>
      </c>
      <c r="D1763" s="18">
        <v>1761</v>
      </c>
      <c r="E1763" s="18" cm="1">
        <f t="array" aca="1" ref="E1763" ca="1">INDIRECT("b"&amp;F1763+2)</f>
        <v>6.4E+90</v>
      </c>
      <c r="F1763" s="18">
        <f t="shared" si="281"/>
        <v>2746</v>
      </c>
      <c r="G1763" s="18"/>
      <c r="H1763" s="18"/>
      <c r="I1763" s="19">
        <v>1761</v>
      </c>
      <c r="J1763" s="19" cm="1">
        <f t="array" aca="1" ref="J1763" ca="1">INDIRECT("b"&amp;K1763+2)</f>
        <v>6.3999999999999996E+120</v>
      </c>
      <c r="K1763" s="19">
        <f t="shared" si="277"/>
        <v>3946</v>
      </c>
    </row>
    <row r="1764" spans="1:11">
      <c r="A1764">
        <v>1762</v>
      </c>
      <c r="B1764">
        <v>9.9999999999999995E+65</v>
      </c>
      <c r="D1764" s="18">
        <v>1762</v>
      </c>
      <c r="E1764" s="18" cm="1">
        <f t="array" aca="1" ref="E1764" ca="1">INDIRECT("b"&amp;F1764+2)</f>
        <v>6.85E+90</v>
      </c>
      <c r="F1764" s="18">
        <f t="shared" si="281"/>
        <v>2748</v>
      </c>
      <c r="G1764" s="18">
        <f t="shared" ref="G1764" ca="1" si="285">E1764/E1759</f>
        <v>1.2985781990521328</v>
      </c>
      <c r="H1764" s="18"/>
      <c r="I1764" s="19">
        <v>1762</v>
      </c>
      <c r="J1764" s="19" cm="1">
        <f t="array" aca="1" ref="J1764" ca="1">INDIRECT("b"&amp;K1764+2)</f>
        <v>6.8499999999999994E+120</v>
      </c>
      <c r="K1764" s="19">
        <f t="shared" si="277"/>
        <v>3948</v>
      </c>
    </row>
    <row r="1765" spans="1:11">
      <c r="A1765">
        <v>1763</v>
      </c>
      <c r="B1765">
        <v>1.2249999999999999E+66</v>
      </c>
      <c r="D1765" s="18">
        <v>1763</v>
      </c>
      <c r="E1765" s="18" cm="1">
        <f t="array" aca="1" ref="E1765" ca="1">INDIRECT("b"&amp;F1765+2)</f>
        <v>7.075E+90</v>
      </c>
      <c r="F1765" s="18">
        <f t="shared" si="281"/>
        <v>2749</v>
      </c>
      <c r="G1765" s="18"/>
      <c r="H1765" s="18"/>
      <c r="I1765" s="19">
        <v>1763</v>
      </c>
      <c r="J1765" s="19" cm="1">
        <f t="array" aca="1" ref="J1765" ca="1">INDIRECT("b"&amp;K1765+2)</f>
        <v>7.0749999999999999E+120</v>
      </c>
      <c r="K1765" s="19">
        <f t="shared" si="277"/>
        <v>3949</v>
      </c>
    </row>
    <row r="1766" spans="1:11">
      <c r="A1766">
        <v>1764</v>
      </c>
      <c r="B1766">
        <v>1.4499999999999999E+66</v>
      </c>
      <c r="D1766" s="18">
        <v>1764</v>
      </c>
      <c r="E1766" s="18" cm="1">
        <f t="array" aca="1" ref="E1766" ca="1">INDIRECT("b"&amp;F1766+2)</f>
        <v>7.2999999999999999E+90</v>
      </c>
      <c r="F1766" s="18">
        <f t="shared" si="281"/>
        <v>2750</v>
      </c>
      <c r="G1766" s="18"/>
      <c r="H1766" s="18"/>
      <c r="I1766" s="19">
        <v>1764</v>
      </c>
      <c r="J1766" s="19" cm="1">
        <f t="array" aca="1" ref="J1766" ca="1">INDIRECT("b"&amp;K1766+2)</f>
        <v>7.2999999999999993E+120</v>
      </c>
      <c r="K1766" s="19">
        <f t="shared" si="277"/>
        <v>3950</v>
      </c>
    </row>
    <row r="1767" spans="1:11">
      <c r="A1767">
        <v>1765</v>
      </c>
      <c r="B1767">
        <v>1.6749999999999999E+66</v>
      </c>
      <c r="D1767" s="18">
        <v>1765</v>
      </c>
      <c r="E1767" s="18" cm="1">
        <f t="array" aca="1" ref="E1767" ca="1">INDIRECT("b"&amp;F1767+2)</f>
        <v>7.7499999999999999E+90</v>
      </c>
      <c r="F1767" s="18">
        <f t="shared" si="281"/>
        <v>2752</v>
      </c>
      <c r="G1767" s="18"/>
      <c r="H1767" s="18"/>
      <c r="I1767" s="19">
        <v>1765</v>
      </c>
      <c r="J1767" s="19" cm="1">
        <f t="array" aca="1" ref="J1767" ca="1">INDIRECT("b"&amp;K1767+2)</f>
        <v>7.7499999999999991E+120</v>
      </c>
      <c r="K1767" s="19">
        <f t="shared" si="277"/>
        <v>3952</v>
      </c>
    </row>
    <row r="1768" spans="1:11">
      <c r="A1768">
        <v>1766</v>
      </c>
      <c r="B1768">
        <v>1.8999999999999997E+66</v>
      </c>
      <c r="D1768" s="18">
        <v>1766</v>
      </c>
      <c r="E1768" s="18" cm="1">
        <f t="array" aca="1" ref="E1768" ca="1">INDIRECT("b"&amp;F1768+2)</f>
        <v>7.9749999999999999E+90</v>
      </c>
      <c r="F1768" s="18">
        <f t="shared" si="281"/>
        <v>2753</v>
      </c>
      <c r="G1768" s="18"/>
      <c r="H1768" s="18"/>
      <c r="I1768" s="19">
        <v>1766</v>
      </c>
      <c r="J1768" s="19" cm="1">
        <f t="array" aca="1" ref="J1768" ca="1">INDIRECT("b"&amp;K1768+2)</f>
        <v>7.9749999999999995E+120</v>
      </c>
      <c r="K1768" s="19">
        <f t="shared" si="277"/>
        <v>3953</v>
      </c>
    </row>
    <row r="1769" spans="1:11">
      <c r="A1769">
        <v>1767</v>
      </c>
      <c r="B1769">
        <v>2.1249999999999997E+66</v>
      </c>
      <c r="D1769" s="18">
        <v>1767</v>
      </c>
      <c r="E1769" s="18" cm="1">
        <f t="array" aca="1" ref="E1769" ca="1">INDIRECT("b"&amp;F1769+2)</f>
        <v>8.199999999999999E+90</v>
      </c>
      <c r="F1769" s="18">
        <f t="shared" si="281"/>
        <v>2754</v>
      </c>
      <c r="G1769" s="18">
        <f t="shared" ref="G1769" ca="1" si="286">E1769/E1764</f>
        <v>1.1970802919708028</v>
      </c>
      <c r="H1769" s="18"/>
      <c r="I1769" s="19">
        <v>1767</v>
      </c>
      <c r="J1769" s="19" cm="1">
        <f t="array" aca="1" ref="J1769" ca="1">INDIRECT("b"&amp;K1769+2)</f>
        <v>8.1999999999999989E+120</v>
      </c>
      <c r="K1769" s="19">
        <f t="shared" si="277"/>
        <v>3954</v>
      </c>
    </row>
    <row r="1770" spans="1:11">
      <c r="A1770">
        <v>1768</v>
      </c>
      <c r="B1770">
        <v>2.3499999999999997E+66</v>
      </c>
      <c r="D1770" s="18">
        <v>1768</v>
      </c>
      <c r="E1770" s="18" cm="1">
        <f t="array" aca="1" ref="E1770" ca="1">INDIRECT("b"&amp;F1770+2)</f>
        <v>8.649999999999999E+90</v>
      </c>
      <c r="F1770" s="18">
        <f t="shared" si="281"/>
        <v>2756</v>
      </c>
      <c r="G1770" s="18"/>
      <c r="H1770" s="18"/>
      <c r="I1770" s="19">
        <v>1768</v>
      </c>
      <c r="J1770" s="19" cm="1">
        <f t="array" aca="1" ref="J1770" ca="1">INDIRECT("b"&amp;K1770+2)</f>
        <v>8.6499999999999998E+120</v>
      </c>
      <c r="K1770" s="19">
        <f t="shared" si="277"/>
        <v>3956</v>
      </c>
    </row>
    <row r="1771" spans="1:11">
      <c r="A1771">
        <v>1769</v>
      </c>
      <c r="B1771">
        <v>2.5749999999999997E+66</v>
      </c>
      <c r="D1771" s="18">
        <v>1769</v>
      </c>
      <c r="E1771" s="18" cm="1">
        <f t="array" aca="1" ref="E1771" ca="1">INDIRECT("b"&amp;F1771+2)</f>
        <v>8.874999999999999E+90</v>
      </c>
      <c r="F1771" s="18">
        <f t="shared" si="281"/>
        <v>2757</v>
      </c>
      <c r="G1771" s="18"/>
      <c r="H1771" s="18"/>
      <c r="I1771" s="19">
        <v>1769</v>
      </c>
      <c r="J1771" s="19" cm="1">
        <f t="array" aca="1" ref="J1771" ca="1">INDIRECT("b"&amp;K1771+2)</f>
        <v>8.8749999999999991E+120</v>
      </c>
      <c r="K1771" s="19">
        <f t="shared" si="277"/>
        <v>3957</v>
      </c>
    </row>
    <row r="1772" spans="1:11">
      <c r="A1772">
        <v>1770</v>
      </c>
      <c r="B1772">
        <v>2.7999999999999997E+66</v>
      </c>
      <c r="D1772" s="18">
        <v>1770</v>
      </c>
      <c r="E1772" s="18" cm="1">
        <f t="array" aca="1" ref="E1772" ca="1">INDIRECT("b"&amp;F1772+2)</f>
        <v>9.099999999999999E+90</v>
      </c>
      <c r="F1772" s="18">
        <f t="shared" si="281"/>
        <v>2758</v>
      </c>
      <c r="G1772" s="18"/>
      <c r="H1772" s="18"/>
      <c r="I1772" s="19">
        <v>1770</v>
      </c>
      <c r="J1772" s="19" cm="1">
        <f t="array" aca="1" ref="J1772" ca="1">INDIRECT("b"&amp;K1772+2)</f>
        <v>9.0999999999999996E+120</v>
      </c>
      <c r="K1772" s="19">
        <f t="shared" si="277"/>
        <v>3958</v>
      </c>
    </row>
    <row r="1773" spans="1:11">
      <c r="A1773">
        <v>1771</v>
      </c>
      <c r="B1773">
        <v>3.0249999999999997E+66</v>
      </c>
      <c r="D1773" s="18">
        <v>1771</v>
      </c>
      <c r="E1773" s="18" cm="1">
        <f t="array" aca="1" ref="E1773" ca="1">INDIRECT("b"&amp;F1773+2)</f>
        <v>9.549999999999999E+90</v>
      </c>
      <c r="F1773" s="18">
        <f t="shared" si="281"/>
        <v>2760</v>
      </c>
      <c r="G1773" s="18"/>
      <c r="H1773" s="18"/>
      <c r="I1773" s="19">
        <v>1771</v>
      </c>
      <c r="J1773" s="19" cm="1">
        <f t="array" aca="1" ref="J1773" ca="1">INDIRECT("b"&amp;K1773+2)</f>
        <v>9.5499999999999994E+120</v>
      </c>
      <c r="K1773" s="19">
        <f t="shared" si="277"/>
        <v>3960</v>
      </c>
    </row>
    <row r="1774" spans="1:11">
      <c r="A1774">
        <v>1772</v>
      </c>
      <c r="B1774">
        <v>3.2499999999999997E+66</v>
      </c>
      <c r="D1774" s="18">
        <v>1772</v>
      </c>
      <c r="E1774" s="18" cm="1">
        <f t="array" aca="1" ref="E1774" ca="1">INDIRECT("b"&amp;F1774+2)</f>
        <v>9.774999999999999E+90</v>
      </c>
      <c r="F1774" s="18">
        <f t="shared" si="281"/>
        <v>2761</v>
      </c>
      <c r="G1774" s="18">
        <f t="shared" ref="G1774" ca="1" si="287">E1774/E1769</f>
        <v>1.1920731707317074</v>
      </c>
      <c r="H1774" s="18"/>
      <c r="I1774" s="19">
        <v>1772</v>
      </c>
      <c r="J1774" s="19" cm="1">
        <f t="array" aca="1" ref="J1774" ca="1">INDIRECT("b"&amp;K1774+2)</f>
        <v>9.7749999999999988E+120</v>
      </c>
      <c r="K1774" s="19">
        <f t="shared" si="277"/>
        <v>3961</v>
      </c>
    </row>
    <row r="1775" spans="1:11">
      <c r="A1775">
        <v>1773</v>
      </c>
      <c r="B1775">
        <v>3.475E+66</v>
      </c>
      <c r="D1775" s="18">
        <v>1773</v>
      </c>
      <c r="E1775" s="18" cm="1">
        <f t="array" aca="1" ref="E1775" ca="1">INDIRECT("b"&amp;F1775+2)</f>
        <v>1.0000000000000001E+91</v>
      </c>
      <c r="F1775" s="18">
        <f t="shared" si="281"/>
        <v>2762</v>
      </c>
      <c r="G1775" s="18"/>
      <c r="H1775" s="18"/>
      <c r="I1775" s="19">
        <v>1773</v>
      </c>
      <c r="J1775" s="19" cm="1">
        <f t="array" aca="1" ref="J1775" ca="1">INDIRECT("b"&amp;K1775+2)</f>
        <v>1E+121</v>
      </c>
      <c r="K1775" s="19">
        <f t="shared" si="277"/>
        <v>3962</v>
      </c>
    </row>
    <row r="1776" spans="1:11">
      <c r="A1776">
        <v>1774</v>
      </c>
      <c r="B1776">
        <v>3.7E+66</v>
      </c>
      <c r="D1776" s="18">
        <v>1774</v>
      </c>
      <c r="E1776" s="18" cm="1">
        <f t="array" aca="1" ref="E1776" ca="1">INDIRECT("b"&amp;F1776+2)</f>
        <v>1.4500000000000001E+91</v>
      </c>
      <c r="F1776" s="18">
        <f t="shared" si="281"/>
        <v>2764</v>
      </c>
      <c r="G1776" s="18"/>
      <c r="H1776" s="18"/>
      <c r="I1776" s="19">
        <v>1774</v>
      </c>
      <c r="J1776" s="19" cm="1">
        <f t="array" aca="1" ref="J1776" ca="1">INDIRECT("b"&amp;K1776+2)</f>
        <v>1.45E+121</v>
      </c>
      <c r="K1776" s="19">
        <f t="shared" si="277"/>
        <v>3964</v>
      </c>
    </row>
    <row r="1777" spans="1:11">
      <c r="A1777">
        <v>1775</v>
      </c>
      <c r="B1777">
        <v>3.925E+66</v>
      </c>
      <c r="D1777" s="18">
        <v>1775</v>
      </c>
      <c r="E1777" s="18" cm="1">
        <f t="array" aca="1" ref="E1777" ca="1">INDIRECT("b"&amp;F1777+2)</f>
        <v>1.6749999999999999E+91</v>
      </c>
      <c r="F1777" s="18">
        <f t="shared" si="281"/>
        <v>2765</v>
      </c>
      <c r="G1777" s="18"/>
      <c r="H1777" s="18"/>
      <c r="I1777" s="19">
        <v>1775</v>
      </c>
      <c r="J1777" s="19" cm="1">
        <f t="array" aca="1" ref="J1777" ca="1">INDIRECT("b"&amp;K1777+2)</f>
        <v>1.675E+121</v>
      </c>
      <c r="K1777" s="19">
        <f t="shared" si="277"/>
        <v>3965</v>
      </c>
    </row>
    <row r="1778" spans="1:11">
      <c r="A1778">
        <v>1776</v>
      </c>
      <c r="B1778">
        <v>4.15E+66</v>
      </c>
      <c r="D1778" s="18">
        <v>1776</v>
      </c>
      <c r="E1778" s="18" cm="1">
        <f t="array" aca="1" ref="E1778" ca="1">INDIRECT("b"&amp;F1778+2)</f>
        <v>1.8999999999999999E+91</v>
      </c>
      <c r="F1778" s="18">
        <f t="shared" si="281"/>
        <v>2766</v>
      </c>
      <c r="G1778" s="18"/>
      <c r="H1778" s="18"/>
      <c r="I1778" s="19">
        <v>1776</v>
      </c>
      <c r="J1778" s="19" cm="1">
        <f t="array" aca="1" ref="J1778" ca="1">INDIRECT("b"&amp;K1778+2)</f>
        <v>1.9E+121</v>
      </c>
      <c r="K1778" s="19">
        <f t="shared" si="277"/>
        <v>3966</v>
      </c>
    </row>
    <row r="1779" spans="1:11">
      <c r="A1779">
        <v>1777</v>
      </c>
      <c r="B1779">
        <v>4.375E+66</v>
      </c>
      <c r="D1779" s="18">
        <v>1777</v>
      </c>
      <c r="E1779" s="18" cm="1">
        <f t="array" aca="1" ref="E1779" ca="1">INDIRECT("b"&amp;F1779+2)</f>
        <v>2.3500000000000002E+91</v>
      </c>
      <c r="F1779" s="18">
        <f t="shared" si="281"/>
        <v>2768</v>
      </c>
      <c r="G1779" s="18">
        <f t="shared" ref="G1779" ca="1" si="288">E1779/E1774</f>
        <v>2.4040920716112537</v>
      </c>
      <c r="H1779" s="18"/>
      <c r="I1779" s="19">
        <v>1777</v>
      </c>
      <c r="J1779" s="19" cm="1">
        <f t="array" aca="1" ref="J1779" ca="1">INDIRECT("b"&amp;K1779+2)</f>
        <v>2.35E+121</v>
      </c>
      <c r="K1779" s="19">
        <f t="shared" si="277"/>
        <v>3968</v>
      </c>
    </row>
    <row r="1780" spans="1:11">
      <c r="A1780">
        <v>1778</v>
      </c>
      <c r="B1780">
        <v>4.6E+66</v>
      </c>
      <c r="D1780" s="18">
        <v>1778</v>
      </c>
      <c r="E1780" s="18" cm="1">
        <f t="array" aca="1" ref="E1780" ca="1">INDIRECT("b"&amp;F1780+2)</f>
        <v>2.5750000000000002E+91</v>
      </c>
      <c r="F1780" s="18">
        <f t="shared" si="281"/>
        <v>2769</v>
      </c>
      <c r="G1780" s="18"/>
      <c r="H1780" s="18"/>
      <c r="I1780" s="19">
        <v>1778</v>
      </c>
      <c r="J1780" s="19" cm="1">
        <f t="array" aca="1" ref="J1780" ca="1">INDIRECT("b"&amp;K1780+2)</f>
        <v>2.575E+121</v>
      </c>
      <c r="K1780" s="19">
        <f t="shared" si="277"/>
        <v>3969</v>
      </c>
    </row>
    <row r="1781" spans="1:11">
      <c r="A1781">
        <v>1779</v>
      </c>
      <c r="B1781">
        <v>4.825E+66</v>
      </c>
      <c r="D1781" s="18">
        <v>1779</v>
      </c>
      <c r="E1781" s="18" cm="1">
        <f t="array" aca="1" ref="E1781" ca="1">INDIRECT("b"&amp;F1781+2)</f>
        <v>2.8000000000000002E+91</v>
      </c>
      <c r="F1781" s="18">
        <f t="shared" si="281"/>
        <v>2770</v>
      </c>
      <c r="G1781" s="18"/>
      <c r="H1781" s="18"/>
      <c r="I1781" s="19">
        <v>1779</v>
      </c>
      <c r="J1781" s="19" cm="1">
        <f t="array" aca="1" ref="J1781" ca="1">INDIRECT("b"&amp;K1781+2)</f>
        <v>2.8000000000000001E+121</v>
      </c>
      <c r="K1781" s="19">
        <f t="shared" si="277"/>
        <v>3970</v>
      </c>
    </row>
    <row r="1782" spans="1:11">
      <c r="A1782">
        <v>1780</v>
      </c>
      <c r="B1782">
        <v>5.05E+66</v>
      </c>
      <c r="D1782" s="18">
        <v>1780</v>
      </c>
      <c r="E1782" s="18" cm="1">
        <f t="array" aca="1" ref="E1782" ca="1">INDIRECT("b"&amp;F1782+2)</f>
        <v>3.2500000000000002E+91</v>
      </c>
      <c r="F1782" s="18">
        <f t="shared" si="281"/>
        <v>2772</v>
      </c>
      <c r="G1782" s="18"/>
      <c r="H1782" s="18"/>
      <c r="I1782" s="19">
        <v>1780</v>
      </c>
      <c r="J1782" s="19" cm="1">
        <f t="array" aca="1" ref="J1782" ca="1">INDIRECT("b"&amp;K1782+2)</f>
        <v>3.2500000000000001E+121</v>
      </c>
      <c r="K1782" s="19">
        <f t="shared" si="277"/>
        <v>3972</v>
      </c>
    </row>
    <row r="1783" spans="1:11">
      <c r="A1783">
        <v>1781</v>
      </c>
      <c r="B1783">
        <v>5.275E+66</v>
      </c>
      <c r="D1783" s="18">
        <v>1781</v>
      </c>
      <c r="E1783" s="18" cm="1">
        <f t="array" aca="1" ref="E1783" ca="1">INDIRECT("b"&amp;F1783+2)</f>
        <v>3.4749999999999998E+91</v>
      </c>
      <c r="F1783" s="18">
        <f t="shared" si="281"/>
        <v>2773</v>
      </c>
      <c r="G1783" s="18"/>
      <c r="H1783" s="18"/>
      <c r="I1783" s="19">
        <v>1781</v>
      </c>
      <c r="J1783" s="19" cm="1">
        <f t="array" aca="1" ref="J1783" ca="1">INDIRECT("b"&amp;K1783+2)</f>
        <v>3.4750000000000001E+121</v>
      </c>
      <c r="K1783" s="19">
        <f t="shared" si="277"/>
        <v>3973</v>
      </c>
    </row>
    <row r="1784" spans="1:11">
      <c r="A1784">
        <v>1782</v>
      </c>
      <c r="B1784">
        <v>5.5E+66</v>
      </c>
      <c r="D1784" s="18">
        <v>1782</v>
      </c>
      <c r="E1784" s="18" cm="1">
        <f t="array" aca="1" ref="E1784" ca="1">INDIRECT("b"&amp;F1784+2)</f>
        <v>3.6999999999999998E+91</v>
      </c>
      <c r="F1784" s="18">
        <f t="shared" si="281"/>
        <v>2774</v>
      </c>
      <c r="G1784" s="18">
        <f t="shared" ref="G1784" ca="1" si="289">E1784/E1779</f>
        <v>1.5744680851063828</v>
      </c>
      <c r="H1784" s="18"/>
      <c r="I1784" s="19">
        <v>1782</v>
      </c>
      <c r="J1784" s="19" cm="1">
        <f t="array" aca="1" ref="J1784" ca="1">INDIRECT("b"&amp;K1784+2)</f>
        <v>3.7000000000000001E+121</v>
      </c>
      <c r="K1784" s="19">
        <f t="shared" si="277"/>
        <v>3974</v>
      </c>
    </row>
    <row r="1785" spans="1:11">
      <c r="A1785">
        <v>1783</v>
      </c>
      <c r="B1785">
        <v>5.725E+66</v>
      </c>
      <c r="D1785" s="18">
        <v>1783</v>
      </c>
      <c r="E1785" s="18" cm="1">
        <f t="array" aca="1" ref="E1785" ca="1">INDIRECT("b"&amp;F1785+2)</f>
        <v>4.1499999999999998E+91</v>
      </c>
      <c r="F1785" s="18">
        <f t="shared" si="281"/>
        <v>2776</v>
      </c>
      <c r="G1785" s="18"/>
      <c r="H1785" s="18"/>
      <c r="I1785" s="19">
        <v>1783</v>
      </c>
      <c r="J1785" s="19" cm="1">
        <f t="array" aca="1" ref="J1785" ca="1">INDIRECT("b"&amp;K1785+2)</f>
        <v>4.1499999999999997E+121</v>
      </c>
      <c r="K1785" s="19">
        <f t="shared" si="277"/>
        <v>3976</v>
      </c>
    </row>
    <row r="1786" spans="1:11">
      <c r="A1786">
        <v>1784</v>
      </c>
      <c r="B1786">
        <v>5.95E+66</v>
      </c>
      <c r="D1786" s="18">
        <v>1784</v>
      </c>
      <c r="E1786" s="18" cm="1">
        <f t="array" aca="1" ref="E1786" ca="1">INDIRECT("b"&amp;F1786+2)</f>
        <v>4.3749999999999998E+91</v>
      </c>
      <c r="F1786" s="18">
        <f t="shared" si="281"/>
        <v>2777</v>
      </c>
      <c r="G1786" s="18"/>
      <c r="H1786" s="18"/>
      <c r="I1786" s="19">
        <v>1784</v>
      </c>
      <c r="J1786" s="19" cm="1">
        <f t="array" aca="1" ref="J1786" ca="1">INDIRECT("b"&amp;K1786+2)</f>
        <v>4.3750000000000002E+121</v>
      </c>
      <c r="K1786" s="19">
        <f t="shared" si="277"/>
        <v>3977</v>
      </c>
    </row>
    <row r="1787" spans="1:11">
      <c r="A1787">
        <v>1785</v>
      </c>
      <c r="B1787">
        <v>6.175E+66</v>
      </c>
      <c r="D1787" s="18">
        <v>1785</v>
      </c>
      <c r="E1787" s="18" cm="1">
        <f t="array" aca="1" ref="E1787" ca="1">INDIRECT("b"&amp;F1787+2)</f>
        <v>4.5999999999999998E+91</v>
      </c>
      <c r="F1787" s="18">
        <f t="shared" si="281"/>
        <v>2778</v>
      </c>
      <c r="G1787" s="18"/>
      <c r="H1787" s="18"/>
      <c r="I1787" s="19">
        <v>1785</v>
      </c>
      <c r="J1787" s="19" cm="1">
        <f t="array" aca="1" ref="J1787" ca="1">INDIRECT("b"&amp;K1787+2)</f>
        <v>4.5999999999999997E+121</v>
      </c>
      <c r="K1787" s="19">
        <f t="shared" si="277"/>
        <v>3978</v>
      </c>
    </row>
    <row r="1788" spans="1:11">
      <c r="A1788">
        <v>1786</v>
      </c>
      <c r="B1788">
        <v>6.3999999999999999E+66</v>
      </c>
      <c r="D1788" s="18">
        <v>1786</v>
      </c>
      <c r="E1788" s="18" cm="1">
        <f t="array" aca="1" ref="E1788" ca="1">INDIRECT("b"&amp;F1788+2)</f>
        <v>5.0499999999999998E+91</v>
      </c>
      <c r="F1788" s="18">
        <f t="shared" si="281"/>
        <v>2780</v>
      </c>
      <c r="G1788" s="18"/>
      <c r="H1788" s="18"/>
      <c r="I1788" s="19">
        <v>1786</v>
      </c>
      <c r="J1788" s="19" cm="1">
        <f t="array" aca="1" ref="J1788" ca="1">INDIRECT("b"&amp;K1788+2)</f>
        <v>5.0499999999999998E+121</v>
      </c>
      <c r="K1788" s="19">
        <f t="shared" si="277"/>
        <v>3980</v>
      </c>
    </row>
    <row r="1789" spans="1:11">
      <c r="A1789">
        <v>1787</v>
      </c>
      <c r="B1789">
        <v>6.6249999999999999E+66</v>
      </c>
      <c r="D1789" s="18">
        <v>1787</v>
      </c>
      <c r="E1789" s="18" cm="1">
        <f t="array" aca="1" ref="E1789" ca="1">INDIRECT("b"&amp;F1789+2)</f>
        <v>5.2749999999999998E+91</v>
      </c>
      <c r="F1789" s="18">
        <f t="shared" si="281"/>
        <v>2781</v>
      </c>
      <c r="G1789" s="18">
        <f t="shared" ref="G1789" ca="1" si="290">E1789/E1784</f>
        <v>1.4256756756756757</v>
      </c>
      <c r="H1789" s="18"/>
      <c r="I1789" s="19">
        <v>1787</v>
      </c>
      <c r="J1789" s="19" cm="1">
        <f t="array" aca="1" ref="J1789" ca="1">INDIRECT("b"&amp;K1789+2)</f>
        <v>5.2750000000000002E+121</v>
      </c>
      <c r="K1789" s="19">
        <f t="shared" si="277"/>
        <v>3981</v>
      </c>
    </row>
    <row r="1790" spans="1:11">
      <c r="A1790">
        <v>1788</v>
      </c>
      <c r="B1790">
        <v>6.8499999999999999E+66</v>
      </c>
      <c r="D1790" s="18">
        <v>1788</v>
      </c>
      <c r="E1790" s="18" cm="1">
        <f t="array" aca="1" ref="E1790" ca="1">INDIRECT("b"&amp;F1790+2)</f>
        <v>5.5000000000000005E+91</v>
      </c>
      <c r="F1790" s="18">
        <f t="shared" si="281"/>
        <v>2782</v>
      </c>
      <c r="G1790" s="18"/>
      <c r="H1790" s="18"/>
      <c r="I1790" s="19">
        <v>1788</v>
      </c>
      <c r="J1790" s="19" cm="1">
        <f t="array" aca="1" ref="J1790" ca="1">INDIRECT("b"&amp;K1790+2)</f>
        <v>5.4999999999999998E+121</v>
      </c>
      <c r="K1790" s="19">
        <f t="shared" si="277"/>
        <v>3982</v>
      </c>
    </row>
    <row r="1791" spans="1:11">
      <c r="A1791">
        <v>1789</v>
      </c>
      <c r="B1791">
        <v>7.0749999999999999E+66</v>
      </c>
      <c r="D1791" s="18">
        <v>1789</v>
      </c>
      <c r="E1791" s="18" cm="1">
        <f t="array" aca="1" ref="E1791" ca="1">INDIRECT("b"&amp;F1791+2)</f>
        <v>5.9500000000000005E+91</v>
      </c>
      <c r="F1791" s="18">
        <f t="shared" si="281"/>
        <v>2784</v>
      </c>
      <c r="G1791" s="18"/>
      <c r="H1791" s="18"/>
      <c r="I1791" s="19">
        <v>1789</v>
      </c>
      <c r="J1791" s="19" cm="1">
        <f t="array" aca="1" ref="J1791" ca="1">INDIRECT("b"&amp;K1791+2)</f>
        <v>5.9499999999999998E+121</v>
      </c>
      <c r="K1791" s="19">
        <f t="shared" si="277"/>
        <v>3984</v>
      </c>
    </row>
    <row r="1792" spans="1:11">
      <c r="A1792">
        <v>1790</v>
      </c>
      <c r="B1792">
        <v>7.2999999999999999E+66</v>
      </c>
      <c r="D1792" s="18">
        <v>1790</v>
      </c>
      <c r="E1792" s="18" cm="1">
        <f t="array" aca="1" ref="E1792" ca="1">INDIRECT("b"&amp;F1792+2)</f>
        <v>6.1750000000000005E+91</v>
      </c>
      <c r="F1792" s="18">
        <f t="shared" si="281"/>
        <v>2785</v>
      </c>
      <c r="G1792" s="18"/>
      <c r="H1792" s="18"/>
      <c r="I1792" s="19">
        <v>1790</v>
      </c>
      <c r="J1792" s="19" cm="1">
        <f t="array" aca="1" ref="J1792" ca="1">INDIRECT("b"&amp;K1792+2)</f>
        <v>6.1750000000000003E+121</v>
      </c>
      <c r="K1792" s="19">
        <f t="shared" si="277"/>
        <v>3985</v>
      </c>
    </row>
    <row r="1793" spans="1:11">
      <c r="A1793">
        <v>1791</v>
      </c>
      <c r="B1793">
        <v>7.5249999999999999E+66</v>
      </c>
      <c r="D1793" s="18">
        <v>1791</v>
      </c>
      <c r="E1793" s="18" cm="1">
        <f t="array" aca="1" ref="E1793" ca="1">INDIRECT("b"&amp;F1793+2)</f>
        <v>6.4000000000000005E+91</v>
      </c>
      <c r="F1793" s="18">
        <f t="shared" si="281"/>
        <v>2786</v>
      </c>
      <c r="G1793" s="18"/>
      <c r="H1793" s="18"/>
      <c r="I1793" s="19">
        <v>1791</v>
      </c>
      <c r="J1793" s="19" cm="1">
        <f t="array" aca="1" ref="J1793" ca="1">INDIRECT("b"&amp;K1793+2)</f>
        <v>6.3999999999999999E+121</v>
      </c>
      <c r="K1793" s="19">
        <f t="shared" si="277"/>
        <v>3986</v>
      </c>
    </row>
    <row r="1794" spans="1:11">
      <c r="A1794">
        <v>1792</v>
      </c>
      <c r="B1794">
        <v>7.7499999999999999E+66</v>
      </c>
      <c r="D1794" s="18">
        <v>1792</v>
      </c>
      <c r="E1794" s="18" cm="1">
        <f t="array" aca="1" ref="E1794" ca="1">INDIRECT("b"&amp;F1794+2)</f>
        <v>6.8500000000000005E+91</v>
      </c>
      <c r="F1794" s="18">
        <f t="shared" si="281"/>
        <v>2788</v>
      </c>
      <c r="G1794" s="18">
        <f t="shared" ref="G1794" ca="1" si="291">E1794/E1789</f>
        <v>1.2985781990521328</v>
      </c>
      <c r="H1794" s="18"/>
      <c r="I1794" s="19">
        <v>1792</v>
      </c>
      <c r="J1794" s="19" cm="1">
        <f t="array" aca="1" ref="J1794" ca="1">INDIRECT("b"&amp;K1794+2)</f>
        <v>6.8499999999999999E+121</v>
      </c>
      <c r="K1794" s="19">
        <f t="shared" si="277"/>
        <v>3988</v>
      </c>
    </row>
    <row r="1795" spans="1:11">
      <c r="A1795">
        <v>1793</v>
      </c>
      <c r="B1795">
        <v>7.9749999999999999E+66</v>
      </c>
      <c r="D1795" s="18">
        <v>1793</v>
      </c>
      <c r="E1795" s="18" cm="1">
        <f t="array" aca="1" ref="E1795" ca="1">INDIRECT("b"&amp;F1795+2)</f>
        <v>7.0750000000000005E+91</v>
      </c>
      <c r="F1795" s="18">
        <f t="shared" si="281"/>
        <v>2789</v>
      </c>
      <c r="G1795" s="18"/>
      <c r="H1795" s="18"/>
      <c r="I1795" s="19">
        <v>1793</v>
      </c>
      <c r="J1795" s="19" cm="1">
        <f t="array" aca="1" ref="J1795" ca="1">INDIRECT("b"&amp;K1795+2)</f>
        <v>7.0750000000000004E+121</v>
      </c>
      <c r="K1795" s="19">
        <f t="shared" si="277"/>
        <v>3989</v>
      </c>
    </row>
    <row r="1796" spans="1:11">
      <c r="A1796">
        <v>1794</v>
      </c>
      <c r="B1796">
        <v>8.1999999999999999E+66</v>
      </c>
      <c r="D1796" s="18">
        <v>1794</v>
      </c>
      <c r="E1796" s="18" cm="1">
        <f t="array" aca="1" ref="E1796" ca="1">INDIRECT("b"&amp;F1796+2)</f>
        <v>7.3000000000000005E+91</v>
      </c>
      <c r="F1796" s="18">
        <f t="shared" si="281"/>
        <v>2790</v>
      </c>
      <c r="G1796" s="18"/>
      <c r="H1796" s="18"/>
      <c r="I1796" s="19">
        <v>1794</v>
      </c>
      <c r="J1796" s="19" cm="1">
        <f t="array" aca="1" ref="J1796" ca="1">INDIRECT("b"&amp;K1796+2)</f>
        <v>7.2999999999999999E+121</v>
      </c>
      <c r="K1796" s="19">
        <f t="shared" ref="K1796:K1859" si="292">INT((A1796-1)*40/30+900*40/30)+400</f>
        <v>3990</v>
      </c>
    </row>
    <row r="1797" spans="1:11">
      <c r="A1797">
        <v>1795</v>
      </c>
      <c r="B1797">
        <v>8.4249999999999999E+66</v>
      </c>
      <c r="D1797" s="18">
        <v>1795</v>
      </c>
      <c r="E1797" s="18" cm="1">
        <f t="array" aca="1" ref="E1797" ca="1">INDIRECT("b"&amp;F1797+2)</f>
        <v>7.7500000000000005E+91</v>
      </c>
      <c r="F1797" s="18">
        <f t="shared" si="281"/>
        <v>2792</v>
      </c>
      <c r="G1797" s="18"/>
      <c r="H1797" s="18"/>
      <c r="I1797" s="19">
        <v>1795</v>
      </c>
      <c r="J1797" s="19" cm="1">
        <f t="array" aca="1" ref="J1797" ca="1">INDIRECT("b"&amp;K1797+2)</f>
        <v>7.75E+121</v>
      </c>
      <c r="K1797" s="19">
        <f t="shared" si="292"/>
        <v>3992</v>
      </c>
    </row>
    <row r="1798" spans="1:11">
      <c r="A1798">
        <v>1796</v>
      </c>
      <c r="B1798">
        <v>8.6499999999999999E+66</v>
      </c>
      <c r="D1798" s="18">
        <v>1796</v>
      </c>
      <c r="E1798" s="18" cm="1">
        <f t="array" aca="1" ref="E1798" ca="1">INDIRECT("b"&amp;F1798+2)</f>
        <v>7.9750000000000005E+91</v>
      </c>
      <c r="F1798" s="18">
        <f t="shared" si="281"/>
        <v>2793</v>
      </c>
      <c r="G1798" s="18"/>
      <c r="H1798" s="18"/>
      <c r="I1798" s="19">
        <v>1796</v>
      </c>
      <c r="J1798" s="19" cm="1">
        <f t="array" aca="1" ref="J1798" ca="1">INDIRECT("b"&amp;K1798+2)</f>
        <v>7.9750000000000004E+121</v>
      </c>
      <c r="K1798" s="19">
        <f t="shared" si="292"/>
        <v>3993</v>
      </c>
    </row>
    <row r="1799" spans="1:11">
      <c r="A1799">
        <v>1797</v>
      </c>
      <c r="B1799">
        <v>8.8749999999999999E+66</v>
      </c>
      <c r="D1799" s="18">
        <v>1797</v>
      </c>
      <c r="E1799" s="18" cm="1">
        <f t="array" aca="1" ref="E1799" ca="1">INDIRECT("b"&amp;F1799+2)</f>
        <v>8.2000000000000005E+91</v>
      </c>
      <c r="F1799" s="18">
        <f t="shared" si="281"/>
        <v>2794</v>
      </c>
      <c r="G1799" s="18">
        <f t="shared" ref="G1799" ca="1" si="293">E1799/E1794</f>
        <v>1.197080291970803</v>
      </c>
      <c r="H1799" s="18"/>
      <c r="I1799" s="19">
        <v>1797</v>
      </c>
      <c r="J1799" s="19" cm="1">
        <f t="array" aca="1" ref="J1799" ca="1">INDIRECT("b"&amp;K1799+2)</f>
        <v>8.2E+121</v>
      </c>
      <c r="K1799" s="19">
        <f t="shared" si="292"/>
        <v>3994</v>
      </c>
    </row>
    <row r="1800" spans="1:11">
      <c r="A1800">
        <v>1798</v>
      </c>
      <c r="B1800">
        <v>9.0999999999999999E+66</v>
      </c>
      <c r="D1800" s="18">
        <v>1798</v>
      </c>
      <c r="E1800" s="18" cm="1">
        <f t="array" aca="1" ref="E1800" ca="1">INDIRECT("b"&amp;F1800+2)</f>
        <v>8.6500000000000005E+91</v>
      </c>
      <c r="F1800" s="18">
        <f t="shared" si="281"/>
        <v>2796</v>
      </c>
      <c r="G1800" s="18"/>
      <c r="H1800" s="18"/>
      <c r="I1800" s="19">
        <v>1798</v>
      </c>
      <c r="J1800" s="19" cm="1">
        <f t="array" aca="1" ref="J1800" ca="1">INDIRECT("b"&amp;K1800+2)</f>
        <v>8.650000000000001E+121</v>
      </c>
      <c r="K1800" s="19">
        <f t="shared" si="292"/>
        <v>3996</v>
      </c>
    </row>
    <row r="1801" spans="1:11">
      <c r="A1801">
        <v>1799</v>
      </c>
      <c r="B1801">
        <v>9.3249999999999999E+66</v>
      </c>
      <c r="D1801" s="18">
        <v>1799</v>
      </c>
      <c r="E1801" s="18" cm="1">
        <f t="array" aca="1" ref="E1801" ca="1">INDIRECT("b"&amp;F1801+2)</f>
        <v>8.8750000000000005E+91</v>
      </c>
      <c r="F1801" s="18">
        <f t="shared" si="281"/>
        <v>2797</v>
      </c>
      <c r="G1801" s="18"/>
      <c r="H1801" s="18"/>
      <c r="I1801" s="19">
        <v>1799</v>
      </c>
      <c r="J1801" s="19" cm="1">
        <f t="array" aca="1" ref="J1801" ca="1">INDIRECT("b"&amp;K1801+2)</f>
        <v>8.8749999999999996E+121</v>
      </c>
      <c r="K1801" s="19">
        <f t="shared" si="292"/>
        <v>3997</v>
      </c>
    </row>
    <row r="1802" spans="1:11">
      <c r="A1802">
        <v>1800</v>
      </c>
      <c r="B1802">
        <v>9.5499999999999998E+66</v>
      </c>
      <c r="D1802" s="18">
        <v>1800</v>
      </c>
      <c r="E1802" s="18" cm="1">
        <f t="array" aca="1" ref="E1802" ca="1">INDIRECT("b"&amp;F1802+2)</f>
        <v>9.1000000000000005E+91</v>
      </c>
      <c r="F1802" s="18">
        <f t="shared" si="281"/>
        <v>2798</v>
      </c>
      <c r="G1802" s="18"/>
      <c r="H1802" s="18"/>
      <c r="I1802" s="19">
        <v>1800</v>
      </c>
      <c r="J1802" s="19" cm="1">
        <f t="array" aca="1" ref="J1802" ca="1">INDIRECT("b"&amp;K1802+2)</f>
        <v>9.1000000000000001E+121</v>
      </c>
      <c r="K1802" s="19">
        <f t="shared" si="292"/>
        <v>3998</v>
      </c>
    </row>
    <row r="1803" spans="1:11">
      <c r="A1803">
        <v>1801</v>
      </c>
      <c r="B1803">
        <v>9.7749999999999998E+66</v>
      </c>
      <c r="D1803" s="18">
        <v>1801</v>
      </c>
      <c r="E1803" s="18" cm="1">
        <f t="array" aca="1" ref="E1803" ca="1">INDIRECT("b"&amp;F1803+2)</f>
        <v>9.5500000000000004E+91</v>
      </c>
      <c r="F1803" s="18">
        <f t="shared" si="281"/>
        <v>2800</v>
      </c>
      <c r="G1803" s="18"/>
      <c r="H1803" s="18"/>
      <c r="I1803" s="19">
        <v>1801</v>
      </c>
      <c r="J1803" s="19" cm="1">
        <f t="array" aca="1" ref="J1803" ca="1">INDIRECT("b"&amp;K1803+2)</f>
        <v>9.550000000000001E+121</v>
      </c>
      <c r="K1803" s="19">
        <f t="shared" si="292"/>
        <v>4000</v>
      </c>
    </row>
    <row r="1804" spans="1:11">
      <c r="A1804">
        <v>1802</v>
      </c>
      <c r="B1804">
        <v>9.9999999999999998E+66</v>
      </c>
      <c r="D1804" s="18">
        <v>1802</v>
      </c>
      <c r="E1804" s="18" cm="1">
        <f t="array" aca="1" ref="E1804" ca="1">INDIRECT("b"&amp;F1804+2)</f>
        <v>9.7750000000000004E+91</v>
      </c>
      <c r="F1804" s="18">
        <f t="shared" si="281"/>
        <v>2801</v>
      </c>
      <c r="G1804" s="18">
        <f t="shared" ref="G1804" ca="1" si="294">E1804/E1799</f>
        <v>1.1920731707317074</v>
      </c>
      <c r="H1804" s="18"/>
      <c r="I1804" s="19">
        <v>1802</v>
      </c>
      <c r="J1804" s="19" cm="1">
        <f t="array" aca="1" ref="J1804" ca="1">INDIRECT("b"&amp;K1804+2)</f>
        <v>9.7749999999999997E+121</v>
      </c>
      <c r="K1804" s="19">
        <f t="shared" si="292"/>
        <v>4001</v>
      </c>
    </row>
    <row r="1805" spans="1:11">
      <c r="A1805">
        <v>1803</v>
      </c>
      <c r="B1805">
        <v>1.225E+67</v>
      </c>
      <c r="D1805" s="18">
        <v>1803</v>
      </c>
      <c r="E1805" s="18" cm="1">
        <f t="array" aca="1" ref="E1805" ca="1">INDIRECT("b"&amp;F1805+2)</f>
        <v>1E+92</v>
      </c>
      <c r="F1805" s="18">
        <f t="shared" si="281"/>
        <v>2802</v>
      </c>
      <c r="G1805" s="18"/>
      <c r="H1805" s="18"/>
      <c r="I1805" s="19">
        <v>1803</v>
      </c>
      <c r="J1805" s="19" cm="1">
        <f t="array" aca="1" ref="J1805" ca="1">INDIRECT("b"&amp;K1805+2)</f>
        <v>1E+122</v>
      </c>
      <c r="K1805" s="19">
        <f t="shared" si="292"/>
        <v>4002</v>
      </c>
    </row>
    <row r="1806" spans="1:11">
      <c r="A1806">
        <v>1804</v>
      </c>
      <c r="B1806">
        <v>1.4499999999999998E+67</v>
      </c>
      <c r="D1806" s="18">
        <v>1804</v>
      </c>
      <c r="E1806" s="18" cm="1">
        <f t="array" aca="1" ref="E1806" ca="1">INDIRECT("b"&amp;F1806+2)</f>
        <v>1.45E+92</v>
      </c>
      <c r="F1806" s="18">
        <f t="shared" si="281"/>
        <v>2804</v>
      </c>
      <c r="G1806" s="18"/>
      <c r="H1806" s="18"/>
      <c r="I1806" s="19">
        <v>1804</v>
      </c>
      <c r="J1806" s="19" cm="1">
        <f t="array" aca="1" ref="J1806" ca="1">INDIRECT("b"&amp;K1806+2)</f>
        <v>1.45E+122</v>
      </c>
      <c r="K1806" s="19">
        <f t="shared" si="292"/>
        <v>4004</v>
      </c>
    </row>
    <row r="1807" spans="1:11">
      <c r="A1807">
        <v>1805</v>
      </c>
      <c r="B1807">
        <v>1.6749999999999998E+67</v>
      </c>
      <c r="D1807" s="18">
        <v>1805</v>
      </c>
      <c r="E1807" s="18" cm="1">
        <f t="array" aca="1" ref="E1807" ca="1">INDIRECT("b"&amp;F1807+2)</f>
        <v>1.675E+92</v>
      </c>
      <c r="F1807" s="18">
        <f t="shared" si="281"/>
        <v>2805</v>
      </c>
      <c r="G1807" s="18"/>
      <c r="H1807" s="18"/>
      <c r="I1807" s="19">
        <v>1805</v>
      </c>
      <c r="J1807" s="19" cm="1">
        <f t="array" aca="1" ref="J1807" ca="1">INDIRECT("b"&amp;K1807+2)</f>
        <v>1.6750000000000002E+122</v>
      </c>
      <c r="K1807" s="19">
        <f t="shared" si="292"/>
        <v>4005</v>
      </c>
    </row>
    <row r="1808" spans="1:11">
      <c r="A1808">
        <v>1806</v>
      </c>
      <c r="B1808">
        <v>1.8999999999999998E+67</v>
      </c>
      <c r="D1808" s="18">
        <v>1806</v>
      </c>
      <c r="E1808" s="18" cm="1">
        <f t="array" aca="1" ref="E1808" ca="1">INDIRECT("b"&amp;F1808+2)</f>
        <v>1.9E+92</v>
      </c>
      <c r="F1808" s="18">
        <f t="shared" si="281"/>
        <v>2806</v>
      </c>
      <c r="G1808" s="18"/>
      <c r="H1808" s="18"/>
      <c r="I1808" s="19">
        <v>1806</v>
      </c>
      <c r="J1808" s="19" cm="1">
        <f t="array" aca="1" ref="J1808" ca="1">INDIRECT("b"&amp;K1808+2)</f>
        <v>1.8999999999999999E+122</v>
      </c>
      <c r="K1808" s="19">
        <f t="shared" si="292"/>
        <v>4006</v>
      </c>
    </row>
    <row r="1809" spans="1:11">
      <c r="A1809">
        <v>1807</v>
      </c>
      <c r="B1809">
        <v>2.1249999999999998E+67</v>
      </c>
      <c r="D1809" s="18">
        <v>1807</v>
      </c>
      <c r="E1809" s="18" cm="1">
        <f t="array" aca="1" ref="E1809" ca="1">INDIRECT("b"&amp;F1809+2)</f>
        <v>2.35E+92</v>
      </c>
      <c r="F1809" s="18">
        <f t="shared" si="281"/>
        <v>2808</v>
      </c>
      <c r="G1809" s="18">
        <f t="shared" ref="G1809" ca="1" si="295">E1809/E1804</f>
        <v>2.4040920716112533</v>
      </c>
      <c r="H1809" s="18"/>
      <c r="I1809" s="19">
        <v>1807</v>
      </c>
      <c r="J1809" s="19" cm="1">
        <f t="array" aca="1" ref="J1809" ca="1">INDIRECT("b"&amp;K1809+2)</f>
        <v>2.3500000000000001E+122</v>
      </c>
      <c r="K1809" s="19">
        <f t="shared" si="292"/>
        <v>4008</v>
      </c>
    </row>
    <row r="1810" spans="1:11">
      <c r="A1810">
        <v>1808</v>
      </c>
      <c r="B1810">
        <v>2.3499999999999998E+67</v>
      </c>
      <c r="D1810" s="18">
        <v>1808</v>
      </c>
      <c r="E1810" s="18" cm="1">
        <f t="array" aca="1" ref="E1810" ca="1">INDIRECT("b"&amp;F1810+2)</f>
        <v>2.575E+92</v>
      </c>
      <c r="F1810" s="18">
        <f t="shared" si="281"/>
        <v>2809</v>
      </c>
      <c r="G1810" s="18"/>
      <c r="H1810" s="18"/>
      <c r="I1810" s="19">
        <v>1808</v>
      </c>
      <c r="J1810" s="19" cm="1">
        <f t="array" aca="1" ref="J1810" ca="1">INDIRECT("b"&amp;K1810+2)</f>
        <v>2.5749999999999999E+122</v>
      </c>
      <c r="K1810" s="19">
        <f t="shared" si="292"/>
        <v>4009</v>
      </c>
    </row>
    <row r="1811" spans="1:11">
      <c r="A1811">
        <v>1809</v>
      </c>
      <c r="B1811">
        <v>2.5749999999999998E+67</v>
      </c>
      <c r="D1811" s="18">
        <v>1809</v>
      </c>
      <c r="E1811" s="18" cm="1">
        <f t="array" aca="1" ref="E1811" ca="1">INDIRECT("b"&amp;F1811+2)</f>
        <v>2.8E+92</v>
      </c>
      <c r="F1811" s="18">
        <f t="shared" ref="F1811:F1874" si="296">INT((A1811-123)*1.333333)+563</f>
        <v>2810</v>
      </c>
      <c r="G1811" s="18"/>
      <c r="H1811" s="18"/>
      <c r="I1811" s="19">
        <v>1809</v>
      </c>
      <c r="J1811" s="19" cm="1">
        <f t="array" aca="1" ref="J1811" ca="1">INDIRECT("b"&amp;K1811+2)</f>
        <v>2.8E+122</v>
      </c>
      <c r="K1811" s="19">
        <f t="shared" si="292"/>
        <v>4010</v>
      </c>
    </row>
    <row r="1812" spans="1:11">
      <c r="A1812">
        <v>1810</v>
      </c>
      <c r="B1812">
        <v>2.7999999999999998E+67</v>
      </c>
      <c r="D1812" s="18">
        <v>1810</v>
      </c>
      <c r="E1812" s="18" cm="1">
        <f t="array" aca="1" ref="E1812" ca="1">INDIRECT("b"&amp;F1812+2)</f>
        <v>3.25E+92</v>
      </c>
      <c r="F1812" s="18">
        <f t="shared" si="296"/>
        <v>2812</v>
      </c>
      <c r="G1812" s="18"/>
      <c r="H1812" s="18"/>
      <c r="I1812" s="19">
        <v>1810</v>
      </c>
      <c r="J1812" s="19" cm="1">
        <f t="array" aca="1" ref="J1812" ca="1">INDIRECT("b"&amp;K1812+2)</f>
        <v>3.2500000000000002E+122</v>
      </c>
      <c r="K1812" s="19">
        <f t="shared" si="292"/>
        <v>4012</v>
      </c>
    </row>
    <row r="1813" spans="1:11">
      <c r="A1813">
        <v>1811</v>
      </c>
      <c r="B1813">
        <v>3.0249999999999998E+67</v>
      </c>
      <c r="D1813" s="18">
        <v>1811</v>
      </c>
      <c r="E1813" s="18" cm="1">
        <f t="array" aca="1" ref="E1813" ca="1">INDIRECT("b"&amp;F1813+2)</f>
        <v>3.475E+92</v>
      </c>
      <c r="F1813" s="18">
        <f t="shared" si="296"/>
        <v>2813</v>
      </c>
      <c r="G1813" s="18"/>
      <c r="H1813" s="18"/>
      <c r="I1813" s="19">
        <v>1811</v>
      </c>
      <c r="J1813" s="19" cm="1">
        <f t="array" aca="1" ref="J1813" ca="1">INDIRECT("b"&amp;K1813+2)</f>
        <v>3.4750000000000003E+122</v>
      </c>
      <c r="K1813" s="19">
        <f t="shared" si="292"/>
        <v>4013</v>
      </c>
    </row>
    <row r="1814" spans="1:11">
      <c r="A1814">
        <v>1812</v>
      </c>
      <c r="B1814">
        <v>3.2499999999999998E+67</v>
      </c>
      <c r="D1814" s="18">
        <v>1812</v>
      </c>
      <c r="E1814" s="18" cm="1">
        <f t="array" aca="1" ref="E1814" ca="1">INDIRECT("b"&amp;F1814+2)</f>
        <v>3.7E+92</v>
      </c>
      <c r="F1814" s="18">
        <f t="shared" si="296"/>
        <v>2814</v>
      </c>
      <c r="G1814" s="18">
        <f t="shared" ref="G1814" ca="1" si="297">E1814/E1809</f>
        <v>1.574468085106383</v>
      </c>
      <c r="H1814" s="18"/>
      <c r="I1814" s="19">
        <v>1812</v>
      </c>
      <c r="J1814" s="19" cm="1">
        <f t="array" aca="1" ref="J1814" ca="1">INDIRECT("b"&amp;K1814+2)</f>
        <v>3.7000000000000004E+122</v>
      </c>
      <c r="K1814" s="19">
        <f t="shared" si="292"/>
        <v>4014</v>
      </c>
    </row>
    <row r="1815" spans="1:11">
      <c r="A1815">
        <v>1813</v>
      </c>
      <c r="B1815">
        <v>3.4749999999999997E+67</v>
      </c>
      <c r="D1815" s="18">
        <v>1813</v>
      </c>
      <c r="E1815" s="18" cm="1">
        <f t="array" aca="1" ref="E1815" ca="1">INDIRECT("b"&amp;F1815+2)</f>
        <v>4.15E+92</v>
      </c>
      <c r="F1815" s="18">
        <f t="shared" si="296"/>
        <v>2816</v>
      </c>
      <c r="G1815" s="18"/>
      <c r="H1815" s="18"/>
      <c r="I1815" s="19">
        <v>1813</v>
      </c>
      <c r="J1815" s="19" cm="1">
        <f t="array" aca="1" ref="J1815" ca="1">INDIRECT("b"&amp;K1815+2)</f>
        <v>4.1499999999999999E+122</v>
      </c>
      <c r="K1815" s="19">
        <f t="shared" si="292"/>
        <v>4016</v>
      </c>
    </row>
    <row r="1816" spans="1:11">
      <c r="A1816">
        <v>1814</v>
      </c>
      <c r="B1816">
        <v>3.6999999999999997E+67</v>
      </c>
      <c r="D1816" s="18">
        <v>1814</v>
      </c>
      <c r="E1816" s="18" cm="1">
        <f t="array" aca="1" ref="E1816" ca="1">INDIRECT("b"&amp;F1816+2)</f>
        <v>4.375E+92</v>
      </c>
      <c r="F1816" s="18">
        <f t="shared" si="296"/>
        <v>2817</v>
      </c>
      <c r="G1816" s="18"/>
      <c r="H1816" s="18"/>
      <c r="I1816" s="19">
        <v>1814</v>
      </c>
      <c r="J1816" s="19" cm="1">
        <f t="array" aca="1" ref="J1816" ca="1">INDIRECT("b"&amp;K1816+2)</f>
        <v>4.375E+122</v>
      </c>
      <c r="K1816" s="19">
        <f t="shared" si="292"/>
        <v>4017</v>
      </c>
    </row>
    <row r="1817" spans="1:11">
      <c r="A1817">
        <v>1815</v>
      </c>
      <c r="B1817">
        <v>3.9249999999999997E+67</v>
      </c>
      <c r="D1817" s="18">
        <v>1815</v>
      </c>
      <c r="E1817" s="18" cm="1">
        <f t="array" aca="1" ref="E1817" ca="1">INDIRECT("b"&amp;F1817+2)</f>
        <v>4.6000000000000005E+92</v>
      </c>
      <c r="F1817" s="18">
        <f t="shared" si="296"/>
        <v>2818</v>
      </c>
      <c r="G1817" s="18"/>
      <c r="H1817" s="18"/>
      <c r="I1817" s="19">
        <v>1815</v>
      </c>
      <c r="J1817" s="19" cm="1">
        <f t="array" aca="1" ref="J1817" ca="1">INDIRECT("b"&amp;K1817+2)</f>
        <v>4.6000000000000001E+122</v>
      </c>
      <c r="K1817" s="19">
        <f t="shared" si="292"/>
        <v>4018</v>
      </c>
    </row>
    <row r="1818" spans="1:11">
      <c r="A1818">
        <v>1816</v>
      </c>
      <c r="B1818">
        <v>4.1499999999999997E+67</v>
      </c>
      <c r="D1818" s="18">
        <v>1816</v>
      </c>
      <c r="E1818" s="18" cm="1">
        <f t="array" aca="1" ref="E1818" ca="1">INDIRECT("b"&amp;F1818+2)</f>
        <v>5.0500000000000005E+92</v>
      </c>
      <c r="F1818" s="18">
        <f t="shared" si="296"/>
        <v>2820</v>
      </c>
      <c r="G1818" s="18"/>
      <c r="H1818" s="18"/>
      <c r="I1818" s="19">
        <v>1816</v>
      </c>
      <c r="J1818" s="19" cm="1">
        <f t="array" aca="1" ref="J1818" ca="1">INDIRECT("b"&amp;K1818+2)</f>
        <v>5.0500000000000003E+122</v>
      </c>
      <c r="K1818" s="19">
        <f t="shared" si="292"/>
        <v>4020</v>
      </c>
    </row>
    <row r="1819" spans="1:11">
      <c r="A1819">
        <v>1817</v>
      </c>
      <c r="B1819">
        <v>4.3749999999999997E+67</v>
      </c>
      <c r="D1819" s="18">
        <v>1817</v>
      </c>
      <c r="E1819" s="18" cm="1">
        <f t="array" aca="1" ref="E1819" ca="1">INDIRECT("b"&amp;F1819+2)</f>
        <v>5.2750000000000005E+92</v>
      </c>
      <c r="F1819" s="18">
        <f t="shared" si="296"/>
        <v>2821</v>
      </c>
      <c r="G1819" s="18">
        <f t="shared" ref="G1819" ca="1" si="298">E1819/E1814</f>
        <v>1.4256756756756759</v>
      </c>
      <c r="H1819" s="18"/>
      <c r="I1819" s="19">
        <v>1817</v>
      </c>
      <c r="J1819" s="19" cm="1">
        <f t="array" aca="1" ref="J1819" ca="1">INDIRECT("b"&amp;K1819+2)</f>
        <v>5.2750000000000004E+122</v>
      </c>
      <c r="K1819" s="19">
        <f t="shared" si="292"/>
        <v>4021</v>
      </c>
    </row>
    <row r="1820" spans="1:11">
      <c r="A1820">
        <v>1818</v>
      </c>
      <c r="B1820">
        <v>4.5999999999999997E+67</v>
      </c>
      <c r="D1820" s="18">
        <v>1818</v>
      </c>
      <c r="E1820" s="18" cm="1">
        <f t="array" aca="1" ref="E1820" ca="1">INDIRECT("b"&amp;F1820+2)</f>
        <v>5.5000000000000005E+92</v>
      </c>
      <c r="F1820" s="18">
        <f t="shared" si="296"/>
        <v>2822</v>
      </c>
      <c r="G1820" s="18"/>
      <c r="H1820" s="18"/>
      <c r="I1820" s="19">
        <v>1818</v>
      </c>
      <c r="J1820" s="19" cm="1">
        <f t="array" aca="1" ref="J1820" ca="1">INDIRECT("b"&amp;K1820+2)</f>
        <v>5.4999999999999998E+122</v>
      </c>
      <c r="K1820" s="19">
        <f t="shared" si="292"/>
        <v>4022</v>
      </c>
    </row>
    <row r="1821" spans="1:11">
      <c r="A1821">
        <v>1819</v>
      </c>
      <c r="B1821">
        <v>4.8249999999999997E+67</v>
      </c>
      <c r="D1821" s="18">
        <v>1819</v>
      </c>
      <c r="E1821" s="18" cm="1">
        <f t="array" aca="1" ref="E1821" ca="1">INDIRECT("b"&amp;F1821+2)</f>
        <v>5.9500000000000005E+92</v>
      </c>
      <c r="F1821" s="18">
        <f t="shared" si="296"/>
        <v>2824</v>
      </c>
      <c r="G1821" s="18"/>
      <c r="H1821" s="18"/>
      <c r="I1821" s="19">
        <v>1819</v>
      </c>
      <c r="J1821" s="19" cm="1">
        <f t="array" aca="1" ref="J1821" ca="1">INDIRECT("b"&amp;K1821+2)</f>
        <v>5.95E+122</v>
      </c>
      <c r="K1821" s="19">
        <f t="shared" si="292"/>
        <v>4024</v>
      </c>
    </row>
    <row r="1822" spans="1:11">
      <c r="A1822">
        <v>1820</v>
      </c>
      <c r="B1822">
        <v>5.0499999999999997E+67</v>
      </c>
      <c r="D1822" s="18">
        <v>1820</v>
      </c>
      <c r="E1822" s="18" cm="1">
        <f t="array" aca="1" ref="E1822" ca="1">INDIRECT("b"&amp;F1822+2)</f>
        <v>6.1750000000000005E+92</v>
      </c>
      <c r="F1822" s="18">
        <f t="shared" si="296"/>
        <v>2825</v>
      </c>
      <c r="G1822" s="18"/>
      <c r="H1822" s="18"/>
      <c r="I1822" s="19">
        <v>1820</v>
      </c>
      <c r="J1822" s="19" cm="1">
        <f t="array" aca="1" ref="J1822" ca="1">INDIRECT("b"&amp;K1822+2)</f>
        <v>6.1750000000000001E+122</v>
      </c>
      <c r="K1822" s="19">
        <f t="shared" si="292"/>
        <v>4025</v>
      </c>
    </row>
    <row r="1823" spans="1:11">
      <c r="A1823">
        <v>1821</v>
      </c>
      <c r="B1823">
        <v>5.2749999999999997E+67</v>
      </c>
      <c r="D1823" s="18">
        <v>1821</v>
      </c>
      <c r="E1823" s="18" cm="1">
        <f t="array" aca="1" ref="E1823" ca="1">INDIRECT("b"&amp;F1823+2)</f>
        <v>6.4000000000000005E+92</v>
      </c>
      <c r="F1823" s="18">
        <f t="shared" si="296"/>
        <v>2826</v>
      </c>
      <c r="G1823" s="18"/>
      <c r="H1823" s="18"/>
      <c r="I1823" s="19">
        <v>1821</v>
      </c>
      <c r="J1823" s="19" cm="1">
        <f t="array" aca="1" ref="J1823" ca="1">INDIRECT("b"&amp;K1823+2)</f>
        <v>6.4000000000000002E+122</v>
      </c>
      <c r="K1823" s="19">
        <f t="shared" si="292"/>
        <v>4026</v>
      </c>
    </row>
    <row r="1824" spans="1:11">
      <c r="A1824">
        <v>1822</v>
      </c>
      <c r="B1824">
        <v>5.4999999999999997E+67</v>
      </c>
      <c r="D1824" s="18">
        <v>1822</v>
      </c>
      <c r="E1824" s="18" cm="1">
        <f t="array" aca="1" ref="E1824" ca="1">INDIRECT("b"&amp;F1824+2)</f>
        <v>6.8500000000000005E+92</v>
      </c>
      <c r="F1824" s="18">
        <f t="shared" si="296"/>
        <v>2828</v>
      </c>
      <c r="G1824" s="18">
        <f t="shared" ref="G1824" ca="1" si="299">E1824/E1819</f>
        <v>1.2985781990521326</v>
      </c>
      <c r="H1824" s="18"/>
      <c r="I1824" s="19">
        <v>1822</v>
      </c>
      <c r="J1824" s="19" cm="1">
        <f t="array" aca="1" ref="J1824" ca="1">INDIRECT("b"&amp;K1824+2)</f>
        <v>6.8499999999999997E+122</v>
      </c>
      <c r="K1824" s="19">
        <f t="shared" si="292"/>
        <v>4028</v>
      </c>
    </row>
    <row r="1825" spans="1:11">
      <c r="A1825">
        <v>1823</v>
      </c>
      <c r="B1825">
        <v>5.7250000000000003E+67</v>
      </c>
      <c r="D1825" s="18">
        <v>1823</v>
      </c>
      <c r="E1825" s="18" cm="1">
        <f t="array" aca="1" ref="E1825" ca="1">INDIRECT("b"&amp;F1825+2)</f>
        <v>7.0750000000000005E+92</v>
      </c>
      <c r="F1825" s="18">
        <f t="shared" si="296"/>
        <v>2829</v>
      </c>
      <c r="G1825" s="18"/>
      <c r="H1825" s="18"/>
      <c r="I1825" s="19">
        <v>1823</v>
      </c>
      <c r="J1825" s="19" cm="1">
        <f t="array" aca="1" ref="J1825" ca="1">INDIRECT("b"&amp;K1825+2)</f>
        <v>7.0750000000000006E+122</v>
      </c>
      <c r="K1825" s="19">
        <f t="shared" si="292"/>
        <v>4029</v>
      </c>
    </row>
    <row r="1826" spans="1:11">
      <c r="A1826">
        <v>1824</v>
      </c>
      <c r="B1826">
        <v>5.9499999999999997E+67</v>
      </c>
      <c r="D1826" s="18">
        <v>1824</v>
      </c>
      <c r="E1826" s="18" cm="1">
        <f t="array" aca="1" ref="E1826" ca="1">INDIRECT("b"&amp;F1826+2)</f>
        <v>7.3000000000000005E+92</v>
      </c>
      <c r="F1826" s="18">
        <f t="shared" si="296"/>
        <v>2830</v>
      </c>
      <c r="G1826" s="18"/>
      <c r="H1826" s="18"/>
      <c r="I1826" s="19">
        <v>1824</v>
      </c>
      <c r="J1826" s="19" cm="1">
        <f t="array" aca="1" ref="J1826" ca="1">INDIRECT("b"&amp;K1826+2)</f>
        <v>7.2999999999999999E+122</v>
      </c>
      <c r="K1826" s="19">
        <f t="shared" si="292"/>
        <v>4030</v>
      </c>
    </row>
    <row r="1827" spans="1:11">
      <c r="A1827">
        <v>1825</v>
      </c>
      <c r="B1827">
        <v>6.1750000000000003E+67</v>
      </c>
      <c r="D1827" s="18">
        <v>1825</v>
      </c>
      <c r="E1827" s="18" cm="1">
        <f t="array" aca="1" ref="E1827" ca="1">INDIRECT("b"&amp;F1827+2)</f>
        <v>7.7500000000000005E+92</v>
      </c>
      <c r="F1827" s="18">
        <f t="shared" si="296"/>
        <v>2832</v>
      </c>
      <c r="G1827" s="18"/>
      <c r="H1827" s="18"/>
      <c r="I1827" s="19">
        <v>1825</v>
      </c>
      <c r="J1827" s="19" cm="1">
        <f t="array" aca="1" ref="J1827" ca="1">INDIRECT("b"&amp;K1827+2)</f>
        <v>7.7500000000000002E+122</v>
      </c>
      <c r="K1827" s="19">
        <f t="shared" si="292"/>
        <v>4032</v>
      </c>
    </row>
    <row r="1828" spans="1:11">
      <c r="A1828">
        <v>1826</v>
      </c>
      <c r="B1828">
        <v>6.3999999999999997E+67</v>
      </c>
      <c r="D1828" s="18">
        <v>1826</v>
      </c>
      <c r="E1828" s="18" cm="1">
        <f t="array" aca="1" ref="E1828" ca="1">INDIRECT("b"&amp;F1828+2)</f>
        <v>7.9750000000000005E+92</v>
      </c>
      <c r="F1828" s="18">
        <f t="shared" si="296"/>
        <v>2833</v>
      </c>
      <c r="G1828" s="18"/>
      <c r="H1828" s="18"/>
      <c r="I1828" s="19">
        <v>1826</v>
      </c>
      <c r="J1828" s="19" cm="1">
        <f t="array" aca="1" ref="J1828" ca="1">INDIRECT("b"&amp;K1828+2)</f>
        <v>7.9749999999999995E+122</v>
      </c>
      <c r="K1828" s="19">
        <f t="shared" si="292"/>
        <v>4033</v>
      </c>
    </row>
    <row r="1829" spans="1:11">
      <c r="A1829">
        <v>1827</v>
      </c>
      <c r="B1829">
        <v>6.6250000000000002E+67</v>
      </c>
      <c r="D1829" s="18">
        <v>1827</v>
      </c>
      <c r="E1829" s="18" cm="1">
        <f t="array" aca="1" ref="E1829" ca="1">INDIRECT("b"&amp;F1829+2)</f>
        <v>8.2000000000000005E+92</v>
      </c>
      <c r="F1829" s="18">
        <f t="shared" si="296"/>
        <v>2834</v>
      </c>
      <c r="G1829" s="18">
        <f t="shared" ref="G1829" ca="1" si="300">E1829/E1824</f>
        <v>1.197080291970803</v>
      </c>
      <c r="H1829" s="18"/>
      <c r="I1829" s="19">
        <v>1827</v>
      </c>
      <c r="J1829" s="19" cm="1">
        <f t="array" aca="1" ref="J1829" ca="1">INDIRECT("b"&amp;K1829+2)</f>
        <v>8.2000000000000004E+122</v>
      </c>
      <c r="K1829" s="19">
        <f t="shared" si="292"/>
        <v>4034</v>
      </c>
    </row>
    <row r="1830" spans="1:11">
      <c r="A1830">
        <v>1828</v>
      </c>
      <c r="B1830">
        <v>6.8499999999999996E+67</v>
      </c>
      <c r="D1830" s="18">
        <v>1828</v>
      </c>
      <c r="E1830" s="18" cm="1">
        <f t="array" aca="1" ref="E1830" ca="1">INDIRECT("b"&amp;F1830+2)</f>
        <v>8.6500000000000005E+92</v>
      </c>
      <c r="F1830" s="18">
        <f t="shared" si="296"/>
        <v>2836</v>
      </c>
      <c r="G1830" s="18"/>
      <c r="H1830" s="18"/>
      <c r="I1830" s="19">
        <v>1828</v>
      </c>
      <c r="J1830" s="19" cm="1">
        <f t="array" aca="1" ref="J1830" ca="1">INDIRECT("b"&amp;K1830+2)</f>
        <v>8.6500000000000006E+122</v>
      </c>
      <c r="K1830" s="19">
        <f t="shared" si="292"/>
        <v>4036</v>
      </c>
    </row>
    <row r="1831" spans="1:11">
      <c r="A1831">
        <v>1829</v>
      </c>
      <c r="B1831">
        <v>7.0750000000000002E+67</v>
      </c>
      <c r="D1831" s="18">
        <v>1829</v>
      </c>
      <c r="E1831" s="18" cm="1">
        <f t="array" aca="1" ref="E1831" ca="1">INDIRECT("b"&amp;F1831+2)</f>
        <v>8.8750000000000005E+92</v>
      </c>
      <c r="F1831" s="18">
        <f t="shared" si="296"/>
        <v>2837</v>
      </c>
      <c r="G1831" s="18"/>
      <c r="H1831" s="18"/>
      <c r="I1831" s="19">
        <v>1829</v>
      </c>
      <c r="J1831" s="19" cm="1">
        <f t="array" aca="1" ref="J1831" ca="1">INDIRECT("b"&amp;K1831+2)</f>
        <v>8.875E+122</v>
      </c>
      <c r="K1831" s="19">
        <f t="shared" si="292"/>
        <v>4037</v>
      </c>
    </row>
    <row r="1832" spans="1:11">
      <c r="A1832">
        <v>1830</v>
      </c>
      <c r="B1832">
        <v>7.2999999999999996E+67</v>
      </c>
      <c r="D1832" s="18">
        <v>1830</v>
      </c>
      <c r="E1832" s="18" cm="1">
        <f t="array" aca="1" ref="E1832" ca="1">INDIRECT("b"&amp;F1832+2)</f>
        <v>9.1000000000000005E+92</v>
      </c>
      <c r="F1832" s="18">
        <f t="shared" si="296"/>
        <v>2838</v>
      </c>
      <c r="G1832" s="18"/>
      <c r="H1832" s="18"/>
      <c r="I1832" s="19">
        <v>1830</v>
      </c>
      <c r="J1832" s="19" cm="1">
        <f t="array" aca="1" ref="J1832" ca="1">INDIRECT("b"&amp;K1832+2)</f>
        <v>9.1000000000000008E+122</v>
      </c>
      <c r="K1832" s="19">
        <f t="shared" si="292"/>
        <v>4038</v>
      </c>
    </row>
    <row r="1833" spans="1:11">
      <c r="A1833">
        <v>1831</v>
      </c>
      <c r="B1833">
        <v>7.5250000000000002E+67</v>
      </c>
      <c r="D1833" s="18">
        <v>1831</v>
      </c>
      <c r="E1833" s="18" cm="1">
        <f t="array" aca="1" ref="E1833" ca="1">INDIRECT("b"&amp;F1833+2)</f>
        <v>9.5500000000000004E+92</v>
      </c>
      <c r="F1833" s="18">
        <f t="shared" si="296"/>
        <v>2840</v>
      </c>
      <c r="G1833" s="18"/>
      <c r="H1833" s="18"/>
      <c r="I1833" s="19">
        <v>1831</v>
      </c>
      <c r="J1833" s="19" cm="1">
        <f t="array" aca="1" ref="J1833" ca="1">INDIRECT("b"&amp;K1833+2)</f>
        <v>9.5499999999999996E+122</v>
      </c>
      <c r="K1833" s="19">
        <f t="shared" si="292"/>
        <v>4040</v>
      </c>
    </row>
    <row r="1834" spans="1:11">
      <c r="A1834">
        <v>1832</v>
      </c>
      <c r="B1834">
        <v>7.7499999999999996E+67</v>
      </c>
      <c r="D1834" s="18">
        <v>1832</v>
      </c>
      <c r="E1834" s="18" cm="1">
        <f t="array" aca="1" ref="E1834" ca="1">INDIRECT("b"&amp;F1834+2)</f>
        <v>9.7750000000000004E+92</v>
      </c>
      <c r="F1834" s="18">
        <f t="shared" si="296"/>
        <v>2841</v>
      </c>
      <c r="G1834" s="18">
        <f t="shared" ref="G1834" ca="1" si="301">E1834/E1829</f>
        <v>1.1920731707317074</v>
      </c>
      <c r="H1834" s="18"/>
      <c r="I1834" s="19">
        <v>1832</v>
      </c>
      <c r="J1834" s="19" cm="1">
        <f t="array" aca="1" ref="J1834" ca="1">INDIRECT("b"&amp;K1834+2)</f>
        <v>9.7750000000000004E+122</v>
      </c>
      <c r="K1834" s="19">
        <f t="shared" si="292"/>
        <v>4041</v>
      </c>
    </row>
    <row r="1835" spans="1:11">
      <c r="A1835">
        <v>1833</v>
      </c>
      <c r="B1835">
        <v>7.9750000000000002E+67</v>
      </c>
      <c r="D1835" s="18">
        <v>1833</v>
      </c>
      <c r="E1835" s="18" cm="1">
        <f t="array" aca="1" ref="E1835" ca="1">INDIRECT("b"&amp;F1835+2)</f>
        <v>1E+93</v>
      </c>
      <c r="F1835" s="18">
        <f t="shared" si="296"/>
        <v>2842</v>
      </c>
      <c r="G1835" s="18"/>
      <c r="H1835" s="18"/>
      <c r="I1835" s="19">
        <v>1833</v>
      </c>
      <c r="J1835" s="19" cm="1">
        <f t="array" aca="1" ref="J1835" ca="1">INDIRECT("b"&amp;K1835+2)</f>
        <v>9.9999999999999998E+122</v>
      </c>
      <c r="K1835" s="19">
        <f t="shared" si="292"/>
        <v>4042</v>
      </c>
    </row>
    <row r="1836" spans="1:11">
      <c r="A1836">
        <v>1834</v>
      </c>
      <c r="B1836">
        <v>8.1999999999999996E+67</v>
      </c>
      <c r="D1836" s="18">
        <v>1834</v>
      </c>
      <c r="E1836" s="18" cm="1">
        <f t="array" aca="1" ref="E1836" ca="1">INDIRECT("b"&amp;F1836+2)</f>
        <v>1.4499999999999999E+93</v>
      </c>
      <c r="F1836" s="18">
        <f t="shared" si="296"/>
        <v>2844</v>
      </c>
      <c r="G1836" s="18"/>
      <c r="H1836" s="18"/>
      <c r="I1836" s="19">
        <v>1834</v>
      </c>
      <c r="J1836" s="19" cm="1">
        <f t="array" aca="1" ref="J1836" ca="1">INDIRECT("b"&amp;K1836+2)</f>
        <v>1.45E+123</v>
      </c>
      <c r="K1836" s="19">
        <f t="shared" si="292"/>
        <v>4044</v>
      </c>
    </row>
    <row r="1837" spans="1:11">
      <c r="A1837">
        <v>1835</v>
      </c>
      <c r="B1837">
        <v>8.4250000000000002E+67</v>
      </c>
      <c r="D1837" s="18">
        <v>1835</v>
      </c>
      <c r="E1837" s="18" cm="1">
        <f t="array" aca="1" ref="E1837" ca="1">INDIRECT("b"&amp;F1837+2)</f>
        <v>1.6749999999999999E+93</v>
      </c>
      <c r="F1837" s="18">
        <f t="shared" si="296"/>
        <v>2845</v>
      </c>
      <c r="G1837" s="18"/>
      <c r="H1837" s="18"/>
      <c r="I1837" s="19">
        <v>1835</v>
      </c>
      <c r="J1837" s="19" cm="1">
        <f t="array" aca="1" ref="J1837" ca="1">INDIRECT("b"&amp;K1837+2)</f>
        <v>1.675E+123</v>
      </c>
      <c r="K1837" s="19">
        <f t="shared" si="292"/>
        <v>4045</v>
      </c>
    </row>
    <row r="1838" spans="1:11">
      <c r="A1838">
        <v>1836</v>
      </c>
      <c r="B1838">
        <v>8.6499999999999996E+67</v>
      </c>
      <c r="D1838" s="18">
        <v>1836</v>
      </c>
      <c r="E1838" s="18" cm="1">
        <f t="array" aca="1" ref="E1838" ca="1">INDIRECT("b"&amp;F1838+2)</f>
        <v>1.9000000000000001E+93</v>
      </c>
      <c r="F1838" s="18">
        <f t="shared" si="296"/>
        <v>2846</v>
      </c>
      <c r="G1838" s="18"/>
      <c r="H1838" s="18"/>
      <c r="I1838" s="19">
        <v>1836</v>
      </c>
      <c r="J1838" s="19" cm="1">
        <f t="array" aca="1" ref="J1838" ca="1">INDIRECT("b"&amp;K1838+2)</f>
        <v>1.9E+123</v>
      </c>
      <c r="K1838" s="19">
        <f t="shared" si="292"/>
        <v>4046</v>
      </c>
    </row>
    <row r="1839" spans="1:11">
      <c r="A1839">
        <v>1837</v>
      </c>
      <c r="B1839">
        <v>8.8750000000000002E+67</v>
      </c>
      <c r="D1839" s="18">
        <v>1837</v>
      </c>
      <c r="E1839" s="18" cm="1">
        <f t="array" aca="1" ref="E1839" ca="1">INDIRECT("b"&amp;F1839+2)</f>
        <v>2.3499999999999999E+93</v>
      </c>
      <c r="F1839" s="18">
        <f t="shared" si="296"/>
        <v>2848</v>
      </c>
      <c r="G1839" s="18">
        <f t="shared" ref="G1839" ca="1" si="302">E1839/E1834</f>
        <v>2.4040920716112528</v>
      </c>
      <c r="H1839" s="18"/>
      <c r="I1839" s="19">
        <v>1837</v>
      </c>
      <c r="J1839" s="19" cm="1">
        <f t="array" aca="1" ref="J1839" ca="1">INDIRECT("b"&amp;K1839+2)</f>
        <v>2.3499999999999999E+123</v>
      </c>
      <c r="K1839" s="19">
        <f t="shared" si="292"/>
        <v>4048</v>
      </c>
    </row>
    <row r="1840" spans="1:11">
      <c r="A1840">
        <v>1838</v>
      </c>
      <c r="B1840">
        <v>9.0999999999999996E+67</v>
      </c>
      <c r="D1840" s="18">
        <v>1838</v>
      </c>
      <c r="E1840" s="18" cm="1">
        <f t="array" aca="1" ref="E1840" ca="1">INDIRECT("b"&amp;F1840+2)</f>
        <v>2.5750000000000001E+93</v>
      </c>
      <c r="F1840" s="18">
        <f t="shared" si="296"/>
        <v>2849</v>
      </c>
      <c r="G1840" s="18"/>
      <c r="H1840" s="18"/>
      <c r="I1840" s="19">
        <v>1838</v>
      </c>
      <c r="J1840" s="19" cm="1">
        <f t="array" aca="1" ref="J1840" ca="1">INDIRECT("b"&amp;K1840+2)</f>
        <v>2.5750000000000002E+123</v>
      </c>
      <c r="K1840" s="19">
        <f t="shared" si="292"/>
        <v>4049</v>
      </c>
    </row>
    <row r="1841" spans="1:11">
      <c r="A1841">
        <v>1839</v>
      </c>
      <c r="B1841">
        <v>9.3250000000000001E+67</v>
      </c>
      <c r="D1841" s="18">
        <v>1839</v>
      </c>
      <c r="E1841" s="18" cm="1">
        <f t="array" aca="1" ref="E1841" ca="1">INDIRECT("b"&amp;F1841+2)</f>
        <v>2.7999999999999999E+93</v>
      </c>
      <c r="F1841" s="18">
        <f t="shared" si="296"/>
        <v>2850</v>
      </c>
      <c r="G1841" s="18"/>
      <c r="H1841" s="18"/>
      <c r="I1841" s="19">
        <v>1839</v>
      </c>
      <c r="J1841" s="19" cm="1">
        <f t="array" aca="1" ref="J1841" ca="1">INDIRECT("b"&amp;K1841+2)</f>
        <v>2.8000000000000001E+123</v>
      </c>
      <c r="K1841" s="19">
        <f t="shared" si="292"/>
        <v>4050</v>
      </c>
    </row>
    <row r="1842" spans="1:11">
      <c r="A1842">
        <v>1840</v>
      </c>
      <c r="B1842">
        <v>9.5499999999999995E+67</v>
      </c>
      <c r="D1842" s="18">
        <v>1840</v>
      </c>
      <c r="E1842" s="18" cm="1">
        <f t="array" aca="1" ref="E1842" ca="1">INDIRECT("b"&amp;F1842+2)</f>
        <v>3.2499999999999999E+93</v>
      </c>
      <c r="F1842" s="18">
        <f t="shared" si="296"/>
        <v>2852</v>
      </c>
      <c r="G1842" s="18"/>
      <c r="H1842" s="18"/>
      <c r="I1842" s="19">
        <v>1840</v>
      </c>
      <c r="J1842" s="19" cm="1">
        <f t="array" aca="1" ref="J1842" ca="1">INDIRECT("b"&amp;K1842+2)</f>
        <v>3.25E+123</v>
      </c>
      <c r="K1842" s="19">
        <f t="shared" si="292"/>
        <v>4052</v>
      </c>
    </row>
    <row r="1843" spans="1:11">
      <c r="A1843">
        <v>1841</v>
      </c>
      <c r="B1843">
        <v>9.7750000000000001E+67</v>
      </c>
      <c r="D1843" s="18">
        <v>1841</v>
      </c>
      <c r="E1843" s="18" cm="1">
        <f t="array" aca="1" ref="E1843" ca="1">INDIRECT("b"&amp;F1843+2)</f>
        <v>3.4750000000000001E+93</v>
      </c>
      <c r="F1843" s="18">
        <f t="shared" si="296"/>
        <v>2853</v>
      </c>
      <c r="G1843" s="18"/>
      <c r="H1843" s="18"/>
      <c r="I1843" s="19">
        <v>1841</v>
      </c>
      <c r="J1843" s="19" cm="1">
        <f t="array" aca="1" ref="J1843" ca="1">INDIRECT("b"&amp;K1843+2)</f>
        <v>3.4750000000000003E+123</v>
      </c>
      <c r="K1843" s="19">
        <f t="shared" si="292"/>
        <v>4053</v>
      </c>
    </row>
    <row r="1844" spans="1:11">
      <c r="A1844">
        <v>1842</v>
      </c>
      <c r="B1844">
        <v>9.9999999999999995E+67</v>
      </c>
      <c r="D1844" s="18">
        <v>1842</v>
      </c>
      <c r="E1844" s="18" cm="1">
        <f t="array" aca="1" ref="E1844" ca="1">INDIRECT("b"&amp;F1844+2)</f>
        <v>3.6999999999999999E+93</v>
      </c>
      <c r="F1844" s="18">
        <f t="shared" si="296"/>
        <v>2854</v>
      </c>
      <c r="G1844" s="18">
        <f t="shared" ref="G1844" ca="1" si="303">E1844/E1839</f>
        <v>1.574468085106383</v>
      </c>
      <c r="H1844" s="18"/>
      <c r="I1844" s="19">
        <v>1842</v>
      </c>
      <c r="J1844" s="19" cm="1">
        <f t="array" aca="1" ref="J1844" ca="1">INDIRECT("b"&amp;K1844+2)</f>
        <v>3.7E+123</v>
      </c>
      <c r="K1844" s="19">
        <f t="shared" si="292"/>
        <v>4054</v>
      </c>
    </row>
    <row r="1845" spans="1:11">
      <c r="A1845">
        <v>1843</v>
      </c>
      <c r="B1845">
        <v>1.2249999999999999E+68</v>
      </c>
      <c r="D1845" s="18">
        <v>1843</v>
      </c>
      <c r="E1845" s="18" cm="1">
        <f t="array" aca="1" ref="E1845" ca="1">INDIRECT("b"&amp;F1845+2)</f>
        <v>4.1499999999999999E+93</v>
      </c>
      <c r="F1845" s="18">
        <f t="shared" si="296"/>
        <v>2856</v>
      </c>
      <c r="G1845" s="18"/>
      <c r="H1845" s="18"/>
      <c r="I1845" s="19">
        <v>1843</v>
      </c>
      <c r="J1845" s="19" cm="1">
        <f t="array" aca="1" ref="J1845" ca="1">INDIRECT("b"&amp;K1845+2)</f>
        <v>4.1499999999999999E+123</v>
      </c>
      <c r="K1845" s="19">
        <f t="shared" si="292"/>
        <v>4056</v>
      </c>
    </row>
    <row r="1846" spans="1:11">
      <c r="A1846">
        <v>1844</v>
      </c>
      <c r="B1846">
        <v>1.4499999999999998E+68</v>
      </c>
      <c r="D1846" s="18">
        <v>1844</v>
      </c>
      <c r="E1846" s="18" cm="1">
        <f t="array" aca="1" ref="E1846" ca="1">INDIRECT("b"&amp;F1846+2)</f>
        <v>4.3749999999999996E+93</v>
      </c>
      <c r="F1846" s="18">
        <f t="shared" si="296"/>
        <v>2857</v>
      </c>
      <c r="G1846" s="18">
        <f t="shared" ref="G1846" ca="1" si="304">E1846/E1841</f>
        <v>1.5625</v>
      </c>
      <c r="H1846" s="18"/>
      <c r="I1846" s="19">
        <v>1844</v>
      </c>
      <c r="J1846" s="19" cm="1">
        <f t="array" aca="1" ref="J1846" ca="1">INDIRECT("b"&amp;K1846+2)</f>
        <v>4.3750000000000001E+123</v>
      </c>
      <c r="K1846" s="19">
        <f t="shared" si="292"/>
        <v>4057</v>
      </c>
    </row>
    <row r="1847" spans="1:11">
      <c r="A1847">
        <v>1845</v>
      </c>
      <c r="B1847">
        <v>1.6749999999999999E+68</v>
      </c>
      <c r="D1847" s="18">
        <v>1845</v>
      </c>
      <c r="E1847" s="18" cm="1">
        <f t="array" aca="1" ref="E1847" ca="1">INDIRECT("b"&amp;F1847+2)</f>
        <v>4.6000000000000003E+93</v>
      </c>
      <c r="F1847" s="18">
        <f t="shared" si="296"/>
        <v>2858</v>
      </c>
      <c r="G1847" s="18"/>
      <c r="H1847" s="18"/>
      <c r="I1847" s="19">
        <v>1845</v>
      </c>
      <c r="J1847" s="19" cm="1">
        <f t="array" aca="1" ref="J1847" ca="1">INDIRECT("b"&amp;K1847+2)</f>
        <v>4.5999999999999998E+123</v>
      </c>
      <c r="K1847" s="19">
        <f t="shared" si="292"/>
        <v>4058</v>
      </c>
    </row>
    <row r="1848" spans="1:11">
      <c r="A1848">
        <v>1846</v>
      </c>
      <c r="B1848">
        <v>1.8999999999999998E+68</v>
      </c>
      <c r="D1848" s="18">
        <v>1846</v>
      </c>
      <c r="E1848" s="18" cm="1">
        <f t="array" aca="1" ref="E1848" ca="1">INDIRECT("b"&amp;F1848+2)</f>
        <v>5.0499999999999998E+93</v>
      </c>
      <c r="F1848" s="18">
        <f t="shared" si="296"/>
        <v>2860</v>
      </c>
      <c r="G1848" s="18"/>
      <c r="H1848" s="18"/>
      <c r="I1848" s="19">
        <v>1846</v>
      </c>
      <c r="J1848" s="19" cm="1">
        <f t="array" aca="1" ref="J1848" ca="1">INDIRECT("b"&amp;K1848+2)</f>
        <v>5.0500000000000003E+123</v>
      </c>
      <c r="K1848" s="19">
        <f t="shared" si="292"/>
        <v>4060</v>
      </c>
    </row>
    <row r="1849" spans="1:11">
      <c r="A1849">
        <v>1847</v>
      </c>
      <c r="B1849">
        <v>2.1249999999999999E+68</v>
      </c>
      <c r="D1849" s="18">
        <v>1847</v>
      </c>
      <c r="E1849" s="18" cm="1">
        <f t="array" aca="1" ref="E1849" ca="1">INDIRECT("b"&amp;F1849+2)</f>
        <v>5.2750000000000005E+93</v>
      </c>
      <c r="F1849" s="18">
        <f t="shared" si="296"/>
        <v>2861</v>
      </c>
      <c r="G1849" s="18"/>
      <c r="H1849" s="18"/>
      <c r="I1849" s="19">
        <v>1847</v>
      </c>
      <c r="J1849" s="19" cm="1">
        <f t="array" aca="1" ref="J1849" ca="1">INDIRECT("b"&amp;K1849+2)</f>
        <v>5.275E+123</v>
      </c>
      <c r="K1849" s="19">
        <f t="shared" si="292"/>
        <v>4061</v>
      </c>
    </row>
    <row r="1850" spans="1:11">
      <c r="A1850">
        <v>1848</v>
      </c>
      <c r="B1850">
        <v>2.3499999999999998E+68</v>
      </c>
      <c r="D1850" s="18">
        <v>1848</v>
      </c>
      <c r="E1850" s="18" cm="1">
        <f t="array" aca="1" ref="E1850" ca="1">INDIRECT("b"&amp;F1850+2)</f>
        <v>5.5000000000000003E+93</v>
      </c>
      <c r="F1850" s="18">
        <f t="shared" si="296"/>
        <v>2862</v>
      </c>
      <c r="G1850" s="18"/>
      <c r="H1850" s="18"/>
      <c r="I1850" s="19">
        <v>1848</v>
      </c>
      <c r="J1850" s="19" cm="1">
        <f t="array" aca="1" ref="J1850" ca="1">INDIRECT("b"&amp;K1850+2)</f>
        <v>5.5000000000000002E+123</v>
      </c>
      <c r="K1850" s="19">
        <f t="shared" si="292"/>
        <v>4062</v>
      </c>
    </row>
    <row r="1851" spans="1:11">
      <c r="A1851">
        <v>1849</v>
      </c>
      <c r="B1851">
        <v>2.5749999999999999E+68</v>
      </c>
      <c r="D1851" s="18">
        <v>1849</v>
      </c>
      <c r="E1851" s="18" cm="1">
        <f t="array" aca="1" ref="E1851" ca="1">INDIRECT("b"&amp;F1851+2)</f>
        <v>5.9499999999999998E+93</v>
      </c>
      <c r="F1851" s="18">
        <f t="shared" si="296"/>
        <v>2864</v>
      </c>
      <c r="G1851" s="18">
        <f t="shared" ref="G1851" ca="1" si="305">E1851/E1846</f>
        <v>1.36</v>
      </c>
      <c r="H1851" s="18"/>
      <c r="I1851" s="19">
        <v>1849</v>
      </c>
      <c r="J1851" s="19" cm="1">
        <f t="array" aca="1" ref="J1851" ca="1">INDIRECT("b"&amp;K1851+2)</f>
        <v>5.9499999999999996E+123</v>
      </c>
      <c r="K1851" s="19">
        <f t="shared" si="292"/>
        <v>4064</v>
      </c>
    </row>
    <row r="1852" spans="1:11">
      <c r="A1852">
        <v>1850</v>
      </c>
      <c r="B1852">
        <v>2.8E+68</v>
      </c>
      <c r="D1852" s="18">
        <v>1850</v>
      </c>
      <c r="E1852" s="18" cm="1">
        <f t="array" aca="1" ref="E1852" ca="1">INDIRECT("b"&amp;F1852+2)</f>
        <v>6.1750000000000005E+93</v>
      </c>
      <c r="F1852" s="18">
        <f t="shared" si="296"/>
        <v>2865</v>
      </c>
      <c r="G1852" s="18"/>
      <c r="H1852" s="18"/>
      <c r="I1852" s="19">
        <v>1850</v>
      </c>
      <c r="J1852" s="19" cm="1">
        <f t="array" aca="1" ref="J1852" ca="1">INDIRECT("b"&amp;K1852+2)</f>
        <v>6.1749999999999998E+123</v>
      </c>
      <c r="K1852" s="19">
        <f t="shared" si="292"/>
        <v>4065</v>
      </c>
    </row>
    <row r="1853" spans="1:11">
      <c r="A1853">
        <v>1851</v>
      </c>
      <c r="B1853">
        <v>3.0249999999999996E+68</v>
      </c>
      <c r="D1853" s="18">
        <v>1851</v>
      </c>
      <c r="E1853" s="18" cm="1">
        <f t="array" aca="1" ref="E1853" ca="1">INDIRECT("b"&amp;F1853+2)</f>
        <v>6.4000000000000003E+93</v>
      </c>
      <c r="F1853" s="18">
        <f t="shared" si="296"/>
        <v>2866</v>
      </c>
      <c r="G1853" s="18"/>
      <c r="H1853" s="18"/>
      <c r="I1853" s="19">
        <v>1851</v>
      </c>
      <c r="J1853" s="19" cm="1">
        <f t="array" aca="1" ref="J1853" ca="1">INDIRECT("b"&amp;K1853+2)</f>
        <v>6.4000000000000001E+123</v>
      </c>
      <c r="K1853" s="19">
        <f t="shared" si="292"/>
        <v>4066</v>
      </c>
    </row>
    <row r="1854" spans="1:11">
      <c r="A1854">
        <v>1852</v>
      </c>
      <c r="B1854">
        <v>3.2499999999999998E+68</v>
      </c>
      <c r="D1854" s="18">
        <v>1852</v>
      </c>
      <c r="E1854" s="18" cm="1">
        <f t="array" aca="1" ref="E1854" ca="1">INDIRECT("b"&amp;F1854+2)</f>
        <v>6.8499999999999998E+93</v>
      </c>
      <c r="F1854" s="18">
        <f t="shared" si="296"/>
        <v>2868</v>
      </c>
      <c r="G1854" s="18"/>
      <c r="H1854" s="18"/>
      <c r="I1854" s="19">
        <v>1852</v>
      </c>
      <c r="J1854" s="19" cm="1">
        <f t="array" aca="1" ref="J1854" ca="1">INDIRECT("b"&amp;K1854+2)</f>
        <v>6.8500000000000006E+123</v>
      </c>
      <c r="K1854" s="19">
        <f t="shared" si="292"/>
        <v>4068</v>
      </c>
    </row>
    <row r="1855" spans="1:11">
      <c r="A1855">
        <v>1853</v>
      </c>
      <c r="B1855">
        <v>3.4749999999999999E+68</v>
      </c>
      <c r="D1855" s="18">
        <v>1853</v>
      </c>
      <c r="E1855" s="18" cm="1">
        <f t="array" aca="1" ref="E1855" ca="1">INDIRECT("b"&amp;F1855+2)</f>
        <v>7.0750000000000005E+93</v>
      </c>
      <c r="F1855" s="18">
        <f t="shared" si="296"/>
        <v>2869</v>
      </c>
      <c r="G1855" s="18"/>
      <c r="H1855" s="18"/>
      <c r="I1855" s="19">
        <v>1853</v>
      </c>
      <c r="J1855" s="19" cm="1">
        <f t="array" aca="1" ref="J1855" ca="1">INDIRECT("b"&amp;K1855+2)</f>
        <v>7.0749999999999997E+123</v>
      </c>
      <c r="K1855" s="19">
        <f t="shared" si="292"/>
        <v>4069</v>
      </c>
    </row>
    <row r="1856" spans="1:11">
      <c r="A1856">
        <v>1854</v>
      </c>
      <c r="B1856">
        <v>3.7E+68</v>
      </c>
      <c r="D1856" s="18">
        <v>1854</v>
      </c>
      <c r="E1856" s="18" cm="1">
        <f t="array" aca="1" ref="E1856" ca="1">INDIRECT("b"&amp;F1856+2)</f>
        <v>7.3000000000000003E+93</v>
      </c>
      <c r="F1856" s="18">
        <f t="shared" si="296"/>
        <v>2870</v>
      </c>
      <c r="G1856" s="18">
        <f t="shared" ref="G1856" ca="1" si="306">E1856/E1851</f>
        <v>1.2268907563025211</v>
      </c>
      <c r="H1856" s="18"/>
      <c r="I1856" s="19">
        <v>1854</v>
      </c>
      <c r="J1856" s="19" cm="1">
        <f t="array" aca="1" ref="J1856" ca="1">INDIRECT("b"&amp;K1856+2)</f>
        <v>7.2999999999999999E+123</v>
      </c>
      <c r="K1856" s="19">
        <f t="shared" si="292"/>
        <v>4070</v>
      </c>
    </row>
    <row r="1857" spans="1:11">
      <c r="A1857">
        <v>1855</v>
      </c>
      <c r="B1857">
        <v>3.9249999999999996E+68</v>
      </c>
      <c r="D1857" s="18">
        <v>1855</v>
      </c>
      <c r="E1857" s="18" cm="1">
        <f t="array" aca="1" ref="E1857" ca="1">INDIRECT("b"&amp;F1857+2)</f>
        <v>7.7499999999999998E+93</v>
      </c>
      <c r="F1857" s="18">
        <f t="shared" si="296"/>
        <v>2872</v>
      </c>
      <c r="G1857" s="18"/>
      <c r="H1857" s="18"/>
      <c r="I1857" s="19">
        <v>1855</v>
      </c>
      <c r="J1857" s="19" cm="1">
        <f t="array" aca="1" ref="J1857" ca="1">INDIRECT("b"&amp;K1857+2)</f>
        <v>7.7500000000000005E+123</v>
      </c>
      <c r="K1857" s="19">
        <f t="shared" si="292"/>
        <v>4072</v>
      </c>
    </row>
    <row r="1858" spans="1:11">
      <c r="A1858">
        <v>1856</v>
      </c>
      <c r="B1858">
        <v>4.1499999999999997E+68</v>
      </c>
      <c r="D1858" s="18">
        <v>1856</v>
      </c>
      <c r="E1858" s="18" cm="1">
        <f t="array" aca="1" ref="E1858" ca="1">INDIRECT("b"&amp;F1858+2)</f>
        <v>7.9750000000000005E+93</v>
      </c>
      <c r="F1858" s="18">
        <f t="shared" si="296"/>
        <v>2873</v>
      </c>
      <c r="G1858" s="18"/>
      <c r="H1858" s="18"/>
      <c r="I1858" s="19">
        <v>1856</v>
      </c>
      <c r="J1858" s="19" cm="1">
        <f t="array" aca="1" ref="J1858" ca="1">INDIRECT("b"&amp;K1858+2)</f>
        <v>7.9750000000000007E+123</v>
      </c>
      <c r="K1858" s="19">
        <f t="shared" si="292"/>
        <v>4073</v>
      </c>
    </row>
    <row r="1859" spans="1:11">
      <c r="A1859">
        <v>1857</v>
      </c>
      <c r="B1859">
        <v>4.3749999999999998E+68</v>
      </c>
      <c r="D1859" s="18">
        <v>1857</v>
      </c>
      <c r="E1859" s="18" cm="1">
        <f t="array" aca="1" ref="E1859" ca="1">INDIRECT("b"&amp;F1859+2)</f>
        <v>8.2000000000000002E+93</v>
      </c>
      <c r="F1859" s="18">
        <f t="shared" si="296"/>
        <v>2874</v>
      </c>
      <c r="G1859" s="18"/>
      <c r="H1859" s="18"/>
      <c r="I1859" s="19">
        <v>1857</v>
      </c>
      <c r="J1859" s="19" cm="1">
        <f t="array" aca="1" ref="J1859" ca="1">INDIRECT("b"&amp;K1859+2)</f>
        <v>8.1999999999999998E+123</v>
      </c>
      <c r="K1859" s="19">
        <f t="shared" si="292"/>
        <v>4074</v>
      </c>
    </row>
    <row r="1860" spans="1:11">
      <c r="A1860">
        <v>1858</v>
      </c>
      <c r="B1860">
        <v>4.6E+68</v>
      </c>
      <c r="D1860" s="18">
        <v>1858</v>
      </c>
      <c r="E1860" s="18" cm="1">
        <f t="array" aca="1" ref="E1860" ca="1">INDIRECT("b"&amp;F1860+2)</f>
        <v>8.6499999999999998E+93</v>
      </c>
      <c r="F1860" s="18">
        <f t="shared" si="296"/>
        <v>2876</v>
      </c>
      <c r="G1860" s="18"/>
      <c r="H1860" s="18"/>
      <c r="I1860" s="19">
        <v>1858</v>
      </c>
      <c r="J1860" s="19" cm="1">
        <f t="array" aca="1" ref="J1860" ca="1">INDIRECT("b"&amp;K1860+2)</f>
        <v>8.6500000000000003E+123</v>
      </c>
      <c r="K1860" s="19">
        <f t="shared" ref="K1860:K1923" si="307">INT((A1860-1)*40/30+900*40/30)+400</f>
        <v>4076</v>
      </c>
    </row>
    <row r="1861" spans="1:11">
      <c r="A1861">
        <v>1859</v>
      </c>
      <c r="B1861">
        <v>4.8250000000000001E+68</v>
      </c>
      <c r="D1861" s="18">
        <v>1859</v>
      </c>
      <c r="E1861" s="18" cm="1">
        <f t="array" aca="1" ref="E1861" ca="1">INDIRECT("b"&amp;F1861+2)</f>
        <v>8.8750000000000005E+93</v>
      </c>
      <c r="F1861" s="18">
        <f t="shared" si="296"/>
        <v>2877</v>
      </c>
      <c r="G1861" s="18">
        <f t="shared" ref="G1861" ca="1" si="308">E1861/E1856</f>
        <v>1.2157534246575343</v>
      </c>
      <c r="H1861" s="18"/>
      <c r="I1861" s="19">
        <v>1859</v>
      </c>
      <c r="J1861" s="19" cm="1">
        <f t="array" aca="1" ref="J1861" ca="1">INDIRECT("b"&amp;K1861+2)</f>
        <v>8.8750000000000006E+123</v>
      </c>
      <c r="K1861" s="19">
        <f t="shared" si="307"/>
        <v>4077</v>
      </c>
    </row>
    <row r="1862" spans="1:11">
      <c r="A1862">
        <v>1860</v>
      </c>
      <c r="B1862">
        <v>5.0500000000000002E+68</v>
      </c>
      <c r="D1862" s="18">
        <v>1860</v>
      </c>
      <c r="E1862" s="18" cm="1">
        <f t="array" aca="1" ref="E1862" ca="1">INDIRECT("b"&amp;F1862+2)</f>
        <v>9.0999999999999993E+93</v>
      </c>
      <c r="F1862" s="18">
        <f t="shared" si="296"/>
        <v>2878</v>
      </c>
      <c r="G1862" s="18"/>
      <c r="H1862" s="18"/>
      <c r="I1862" s="19">
        <v>1860</v>
      </c>
      <c r="J1862" s="19" cm="1">
        <f t="array" aca="1" ref="J1862" ca="1">INDIRECT("b"&amp;K1862+2)</f>
        <v>9.0999999999999996E+123</v>
      </c>
      <c r="K1862" s="19">
        <f t="shared" si="307"/>
        <v>4078</v>
      </c>
    </row>
    <row r="1863" spans="1:11">
      <c r="A1863">
        <v>1861</v>
      </c>
      <c r="B1863">
        <v>5.2749999999999993E+68</v>
      </c>
      <c r="D1863" s="18">
        <v>1861</v>
      </c>
      <c r="E1863" s="18" cm="1">
        <f t="array" aca="1" ref="E1863" ca="1">INDIRECT("b"&amp;F1863+2)</f>
        <v>9.5500000000000007E+93</v>
      </c>
      <c r="F1863" s="18">
        <f t="shared" si="296"/>
        <v>2880</v>
      </c>
      <c r="G1863" s="18"/>
      <c r="H1863" s="18"/>
      <c r="I1863" s="19">
        <v>1861</v>
      </c>
      <c r="J1863" s="19" cm="1">
        <f t="array" aca="1" ref="J1863" ca="1">INDIRECT("b"&amp;K1863+2)</f>
        <v>9.5500000000000001E+123</v>
      </c>
      <c r="K1863" s="19">
        <f t="shared" si="307"/>
        <v>4080</v>
      </c>
    </row>
    <row r="1864" spans="1:11">
      <c r="A1864">
        <v>1862</v>
      </c>
      <c r="B1864">
        <v>5.4999999999999994E+68</v>
      </c>
      <c r="D1864" s="18">
        <v>1862</v>
      </c>
      <c r="E1864" s="18" cm="1">
        <f t="array" aca="1" ref="E1864" ca="1">INDIRECT("b"&amp;F1864+2)</f>
        <v>9.7749999999999995E+93</v>
      </c>
      <c r="F1864" s="18">
        <f t="shared" si="296"/>
        <v>2881</v>
      </c>
      <c r="G1864" s="18"/>
      <c r="H1864" s="18"/>
      <c r="I1864" s="19">
        <v>1862</v>
      </c>
      <c r="J1864" s="19" cm="1">
        <f t="array" aca="1" ref="J1864" ca="1">INDIRECT("b"&amp;K1864+2)</f>
        <v>9.7750000000000004E+123</v>
      </c>
      <c r="K1864" s="19">
        <f t="shared" si="307"/>
        <v>4081</v>
      </c>
    </row>
    <row r="1865" spans="1:11">
      <c r="A1865">
        <v>1863</v>
      </c>
      <c r="B1865">
        <v>5.7249999999999996E+68</v>
      </c>
      <c r="D1865" s="18">
        <v>1863</v>
      </c>
      <c r="E1865" s="18" cm="1">
        <f t="array" aca="1" ref="E1865" ca="1">INDIRECT("b"&amp;F1865+2)</f>
        <v>1E+94</v>
      </c>
      <c r="F1865" s="18">
        <f t="shared" si="296"/>
        <v>2882</v>
      </c>
      <c r="G1865" s="18"/>
      <c r="H1865" s="18"/>
      <c r="I1865" s="19">
        <v>1863</v>
      </c>
      <c r="J1865" s="19" cm="1">
        <f t="array" aca="1" ref="J1865" ca="1">INDIRECT("b"&amp;K1865+2)</f>
        <v>1.0000000000000001E+124</v>
      </c>
      <c r="K1865" s="19">
        <f t="shared" si="307"/>
        <v>4082</v>
      </c>
    </row>
    <row r="1866" spans="1:11">
      <c r="A1866">
        <v>1864</v>
      </c>
      <c r="B1866">
        <v>5.9499999999999997E+68</v>
      </c>
      <c r="D1866" s="18">
        <v>1864</v>
      </c>
      <c r="E1866" s="18" cm="1">
        <f t="array" aca="1" ref="E1866" ca="1">INDIRECT("b"&amp;F1866+2)</f>
        <v>1.4500000000000001E+94</v>
      </c>
      <c r="F1866" s="18">
        <f t="shared" si="296"/>
        <v>2884</v>
      </c>
      <c r="G1866" s="18">
        <f t="shared" ref="G1866" ca="1" si="309">E1866/E1861</f>
        <v>1.6338028169014085</v>
      </c>
      <c r="H1866" s="18"/>
      <c r="I1866" s="19">
        <v>1864</v>
      </c>
      <c r="J1866" s="19" cm="1">
        <f t="array" aca="1" ref="J1866" ca="1">INDIRECT("b"&amp;K1866+2)</f>
        <v>1.4500000000000001E+124</v>
      </c>
      <c r="K1866" s="19">
        <f t="shared" si="307"/>
        <v>4084</v>
      </c>
    </row>
    <row r="1867" spans="1:11">
      <c r="A1867">
        <v>1865</v>
      </c>
      <c r="B1867">
        <v>6.1749999999999998E+68</v>
      </c>
      <c r="D1867" s="18">
        <v>1865</v>
      </c>
      <c r="E1867" s="18" cm="1">
        <f t="array" aca="1" ref="E1867" ca="1">INDIRECT("b"&amp;F1867+2)</f>
        <v>1.6749999999999999E+94</v>
      </c>
      <c r="F1867" s="18">
        <f t="shared" si="296"/>
        <v>2885</v>
      </c>
      <c r="G1867" s="18"/>
      <c r="H1867" s="18"/>
      <c r="I1867" s="19">
        <v>1865</v>
      </c>
      <c r="J1867" s="19" cm="1">
        <f t="array" aca="1" ref="J1867" ca="1">INDIRECT("b"&amp;K1867+2)</f>
        <v>1.6750000000000001E+124</v>
      </c>
      <c r="K1867" s="19">
        <f t="shared" si="307"/>
        <v>4085</v>
      </c>
    </row>
    <row r="1868" spans="1:11">
      <c r="A1868">
        <v>1866</v>
      </c>
      <c r="B1868">
        <v>6.3999999999999999E+68</v>
      </c>
      <c r="D1868" s="18">
        <v>1866</v>
      </c>
      <c r="E1868" s="18" cm="1">
        <f t="array" aca="1" ref="E1868" ca="1">INDIRECT("b"&amp;F1868+2)</f>
        <v>1.9000000000000002E+94</v>
      </c>
      <c r="F1868" s="18">
        <f t="shared" si="296"/>
        <v>2886</v>
      </c>
      <c r="G1868" s="18"/>
      <c r="H1868" s="18"/>
      <c r="I1868" s="19">
        <v>1866</v>
      </c>
      <c r="J1868" s="19" cm="1">
        <f t="array" aca="1" ref="J1868" ca="1">INDIRECT("b"&amp;K1868+2)</f>
        <v>1.8999999999999999E+124</v>
      </c>
      <c r="K1868" s="19">
        <f t="shared" si="307"/>
        <v>4086</v>
      </c>
    </row>
    <row r="1869" spans="1:11">
      <c r="A1869">
        <v>1867</v>
      </c>
      <c r="B1869">
        <v>6.625E+68</v>
      </c>
      <c r="D1869" s="18">
        <v>1867</v>
      </c>
      <c r="E1869" s="18" cm="1">
        <f t="array" aca="1" ref="E1869" ca="1">INDIRECT("b"&amp;F1869+2)</f>
        <v>2.3500000000000001E+94</v>
      </c>
      <c r="F1869" s="18">
        <f t="shared" si="296"/>
        <v>2888</v>
      </c>
      <c r="G1869" s="18"/>
      <c r="H1869" s="18"/>
      <c r="I1869" s="19">
        <v>1867</v>
      </c>
      <c r="J1869" s="19" cm="1">
        <f t="array" aca="1" ref="J1869" ca="1">INDIRECT("b"&amp;K1869+2)</f>
        <v>2.35E+124</v>
      </c>
      <c r="K1869" s="19">
        <f t="shared" si="307"/>
        <v>4088</v>
      </c>
    </row>
    <row r="1870" spans="1:11">
      <c r="A1870">
        <v>1868</v>
      </c>
      <c r="B1870">
        <v>6.8500000000000001E+68</v>
      </c>
      <c r="D1870" s="18">
        <v>1868</v>
      </c>
      <c r="E1870" s="18" cm="1">
        <f t="array" aca="1" ref="E1870" ca="1">INDIRECT("b"&amp;F1870+2)</f>
        <v>2.575E+94</v>
      </c>
      <c r="F1870" s="18">
        <f t="shared" si="296"/>
        <v>2889</v>
      </c>
      <c r="G1870" s="18"/>
      <c r="H1870" s="18"/>
      <c r="I1870" s="19">
        <v>1868</v>
      </c>
      <c r="J1870" s="19" cm="1">
        <f t="array" aca="1" ref="J1870" ca="1">INDIRECT("b"&amp;K1870+2)</f>
        <v>2.575E+124</v>
      </c>
      <c r="K1870" s="19">
        <f t="shared" si="307"/>
        <v>4089</v>
      </c>
    </row>
    <row r="1871" spans="1:11">
      <c r="A1871">
        <v>1869</v>
      </c>
      <c r="B1871">
        <v>7.0749999999999993E+68</v>
      </c>
      <c r="D1871" s="18">
        <v>1869</v>
      </c>
      <c r="E1871" s="18" cm="1">
        <f t="array" aca="1" ref="E1871" ca="1">INDIRECT("b"&amp;F1871+2)</f>
        <v>2.8E+94</v>
      </c>
      <c r="F1871" s="18">
        <f t="shared" si="296"/>
        <v>2890</v>
      </c>
      <c r="G1871" s="18">
        <f t="shared" ref="G1871" ca="1" si="310">E1871/E1866</f>
        <v>1.9310344827586206</v>
      </c>
      <c r="H1871" s="18"/>
      <c r="I1871" s="19">
        <v>1869</v>
      </c>
      <c r="J1871" s="19" cm="1">
        <f t="array" aca="1" ref="J1871" ca="1">INDIRECT("b"&amp;K1871+2)</f>
        <v>2.8E+124</v>
      </c>
      <c r="K1871" s="19">
        <f t="shared" si="307"/>
        <v>4090</v>
      </c>
    </row>
    <row r="1872" spans="1:11">
      <c r="A1872">
        <v>1870</v>
      </c>
      <c r="B1872">
        <v>7.2999999999999994E+68</v>
      </c>
      <c r="D1872" s="18">
        <v>1870</v>
      </c>
      <c r="E1872" s="18" cm="1">
        <f t="array" aca="1" ref="E1872" ca="1">INDIRECT("b"&amp;F1872+2)</f>
        <v>3.2499999999999999E+94</v>
      </c>
      <c r="F1872" s="18">
        <f t="shared" si="296"/>
        <v>2892</v>
      </c>
      <c r="G1872" s="18"/>
      <c r="H1872" s="18"/>
      <c r="I1872" s="19">
        <v>1870</v>
      </c>
      <c r="J1872" s="19" cm="1">
        <f t="array" aca="1" ref="J1872" ca="1">INDIRECT("b"&amp;K1872+2)</f>
        <v>3.25E+124</v>
      </c>
      <c r="K1872" s="19">
        <f t="shared" si="307"/>
        <v>4092</v>
      </c>
    </row>
    <row r="1873" spans="1:11">
      <c r="A1873">
        <v>1871</v>
      </c>
      <c r="B1873">
        <v>7.5249999999999995E+68</v>
      </c>
      <c r="D1873" s="18">
        <v>1871</v>
      </c>
      <c r="E1873" s="18" cm="1">
        <f t="array" aca="1" ref="E1873" ca="1">INDIRECT("b"&amp;F1873+2)</f>
        <v>3.4750000000000002E+94</v>
      </c>
      <c r="F1873" s="18">
        <f t="shared" si="296"/>
        <v>2893</v>
      </c>
      <c r="G1873" s="18"/>
      <c r="H1873" s="18"/>
      <c r="I1873" s="19">
        <v>1871</v>
      </c>
      <c r="J1873" s="19" cm="1">
        <f t="array" aca="1" ref="J1873" ca="1">INDIRECT("b"&amp;K1873+2)</f>
        <v>3.4750000000000001E+124</v>
      </c>
      <c r="K1873" s="19">
        <f t="shared" si="307"/>
        <v>4093</v>
      </c>
    </row>
    <row r="1874" spans="1:11">
      <c r="A1874">
        <v>1872</v>
      </c>
      <c r="B1874">
        <v>7.7499999999999996E+68</v>
      </c>
      <c r="D1874" s="18">
        <v>1872</v>
      </c>
      <c r="E1874" s="18" cm="1">
        <f t="array" aca="1" ref="E1874" ca="1">INDIRECT("b"&amp;F1874+2)</f>
        <v>3.7000000000000001E+94</v>
      </c>
      <c r="F1874" s="18">
        <f t="shared" si="296"/>
        <v>2894</v>
      </c>
      <c r="G1874" s="18"/>
      <c r="H1874" s="18"/>
      <c r="I1874" s="19">
        <v>1872</v>
      </c>
      <c r="J1874" s="19" cm="1">
        <f t="array" aca="1" ref="J1874" ca="1">INDIRECT("b"&amp;K1874+2)</f>
        <v>3.7000000000000001E+124</v>
      </c>
      <c r="K1874" s="19">
        <f t="shared" si="307"/>
        <v>4094</v>
      </c>
    </row>
    <row r="1875" spans="1:11">
      <c r="A1875">
        <v>1873</v>
      </c>
      <c r="B1875">
        <v>7.9749999999999997E+68</v>
      </c>
      <c r="D1875" s="18">
        <v>1873</v>
      </c>
      <c r="E1875" s="18" cm="1">
        <f t="array" aca="1" ref="E1875" ca="1">INDIRECT("b"&amp;F1875+2)</f>
        <v>4.15E+94</v>
      </c>
      <c r="F1875" s="18">
        <f t="shared" ref="F1875:F1938" si="311">INT((A1875-123)*1.333333)+563</f>
        <v>2896</v>
      </c>
      <c r="G1875" s="18"/>
      <c r="H1875" s="18"/>
      <c r="I1875" s="19">
        <v>1873</v>
      </c>
      <c r="J1875" s="19" cm="1">
        <f t="array" aca="1" ref="J1875" ca="1">INDIRECT("b"&amp;K1875+2)</f>
        <v>4.1500000000000001E+124</v>
      </c>
      <c r="K1875" s="19">
        <f t="shared" si="307"/>
        <v>4096</v>
      </c>
    </row>
    <row r="1876" spans="1:11">
      <c r="A1876">
        <v>1874</v>
      </c>
      <c r="B1876">
        <v>8.1999999999999998E+68</v>
      </c>
      <c r="D1876" s="18">
        <v>1874</v>
      </c>
      <c r="E1876" s="18" cm="1">
        <f t="array" aca="1" ref="E1876" ca="1">INDIRECT("b"&amp;F1876+2)</f>
        <v>4.375E+94</v>
      </c>
      <c r="F1876" s="18">
        <f t="shared" si="311"/>
        <v>2897</v>
      </c>
      <c r="G1876" s="18">
        <f t="shared" ref="G1876" ca="1" si="312">E1876/E1871</f>
        <v>1.5625</v>
      </c>
      <c r="H1876" s="18"/>
      <c r="I1876" s="19">
        <v>1874</v>
      </c>
      <c r="J1876" s="19" cm="1">
        <f t="array" aca="1" ref="J1876" ca="1">INDIRECT("b"&amp;K1876+2)</f>
        <v>4.3750000000000001E+124</v>
      </c>
      <c r="K1876" s="19">
        <f t="shared" si="307"/>
        <v>4097</v>
      </c>
    </row>
    <row r="1877" spans="1:11">
      <c r="A1877">
        <v>1875</v>
      </c>
      <c r="B1877">
        <v>8.4249999999999999E+68</v>
      </c>
      <c r="D1877" s="18">
        <v>1875</v>
      </c>
      <c r="E1877" s="18" cm="1">
        <f t="array" aca="1" ref="E1877" ca="1">INDIRECT("b"&amp;F1877+2)</f>
        <v>4.5999999999999999E+94</v>
      </c>
      <c r="F1877" s="18">
        <f t="shared" si="311"/>
        <v>2898</v>
      </c>
      <c r="G1877" s="18"/>
      <c r="H1877" s="18"/>
      <c r="I1877" s="19">
        <v>1875</v>
      </c>
      <c r="J1877" s="19" cm="1">
        <f t="array" aca="1" ref="J1877" ca="1">INDIRECT("b"&amp;K1877+2)</f>
        <v>4.5999999999999997E+124</v>
      </c>
      <c r="K1877" s="19">
        <f t="shared" si="307"/>
        <v>4098</v>
      </c>
    </row>
    <row r="1878" spans="1:11">
      <c r="A1878">
        <v>1876</v>
      </c>
      <c r="B1878">
        <v>8.6500000000000001E+68</v>
      </c>
      <c r="D1878" s="18">
        <v>1876</v>
      </c>
      <c r="E1878" s="18" cm="1">
        <f t="array" aca="1" ref="E1878" ca="1">INDIRECT("b"&amp;F1878+2)</f>
        <v>5.0499999999999998E+94</v>
      </c>
      <c r="F1878" s="18">
        <f t="shared" si="311"/>
        <v>2900</v>
      </c>
      <c r="G1878" s="18"/>
      <c r="H1878" s="18"/>
      <c r="I1878" s="19">
        <v>1876</v>
      </c>
      <c r="J1878" s="19" cm="1">
        <f t="array" aca="1" ref="J1878" ca="1">INDIRECT("b"&amp;K1878+2)</f>
        <v>5.0499999999999997E+124</v>
      </c>
      <c r="K1878" s="19">
        <f t="shared" si="307"/>
        <v>4100</v>
      </c>
    </row>
    <row r="1879" spans="1:11">
      <c r="A1879">
        <v>1877</v>
      </c>
      <c r="B1879">
        <v>8.8749999999999992E+68</v>
      </c>
      <c r="D1879" s="18">
        <v>1877</v>
      </c>
      <c r="E1879" s="18" cm="1">
        <f t="array" aca="1" ref="E1879" ca="1">INDIRECT("b"&amp;F1879+2)</f>
        <v>5.2749999999999998E+94</v>
      </c>
      <c r="F1879" s="18">
        <f t="shared" si="311"/>
        <v>2901</v>
      </c>
      <c r="G1879" s="18"/>
      <c r="H1879" s="18"/>
      <c r="I1879" s="19">
        <v>1877</v>
      </c>
      <c r="J1879" s="19" cm="1">
        <f t="array" aca="1" ref="J1879" ca="1">INDIRECT("b"&amp;K1879+2)</f>
        <v>5.2750000000000002E+124</v>
      </c>
      <c r="K1879" s="19">
        <f t="shared" si="307"/>
        <v>4101</v>
      </c>
    </row>
    <row r="1880" spans="1:11">
      <c r="A1880">
        <v>1878</v>
      </c>
      <c r="B1880">
        <v>9.1000000000000003E+68</v>
      </c>
      <c r="D1880" s="18">
        <v>1878</v>
      </c>
      <c r="E1880" s="18" cm="1">
        <f t="array" aca="1" ref="E1880" ca="1">INDIRECT("b"&amp;F1880+2)</f>
        <v>5.4999999999999997E+94</v>
      </c>
      <c r="F1880" s="18">
        <f t="shared" si="311"/>
        <v>2902</v>
      </c>
      <c r="G1880" s="18"/>
      <c r="H1880" s="18"/>
      <c r="I1880" s="19">
        <v>1878</v>
      </c>
      <c r="J1880" s="19" cm="1">
        <f t="array" aca="1" ref="J1880" ca="1">INDIRECT("b"&amp;K1880+2)</f>
        <v>5.4999999999999998E+124</v>
      </c>
      <c r="K1880" s="19">
        <f t="shared" si="307"/>
        <v>4102</v>
      </c>
    </row>
    <row r="1881" spans="1:11">
      <c r="A1881">
        <v>1879</v>
      </c>
      <c r="B1881">
        <v>9.3249999999999994E+68</v>
      </c>
      <c r="D1881" s="18">
        <v>1879</v>
      </c>
      <c r="E1881" s="18" cm="1">
        <f t="array" aca="1" ref="E1881" ca="1">INDIRECT("b"&amp;F1881+2)</f>
        <v>5.9500000000000004E+94</v>
      </c>
      <c r="F1881" s="18">
        <f t="shared" si="311"/>
        <v>2904</v>
      </c>
      <c r="G1881" s="18">
        <f t="shared" ref="G1881" ca="1" si="313">E1881/E1876</f>
        <v>1.36</v>
      </c>
      <c r="H1881" s="18"/>
      <c r="I1881" s="19">
        <v>1879</v>
      </c>
      <c r="J1881" s="19" cm="1">
        <f t="array" aca="1" ref="J1881" ca="1">INDIRECT("b"&amp;K1881+2)</f>
        <v>5.9499999999999998E+124</v>
      </c>
      <c r="K1881" s="19">
        <f t="shared" si="307"/>
        <v>4104</v>
      </c>
    </row>
    <row r="1882" spans="1:11">
      <c r="A1882">
        <v>1880</v>
      </c>
      <c r="B1882">
        <v>9.5499999999999986E+68</v>
      </c>
      <c r="D1882" s="18">
        <v>1880</v>
      </c>
      <c r="E1882" s="18" cm="1">
        <f t="array" aca="1" ref="E1882" ca="1">INDIRECT("b"&amp;F1882+2)</f>
        <v>6.1750000000000003E+94</v>
      </c>
      <c r="F1882" s="18">
        <f t="shared" si="311"/>
        <v>2905</v>
      </c>
      <c r="G1882" s="18"/>
      <c r="H1882" s="18"/>
      <c r="I1882" s="19">
        <v>1880</v>
      </c>
      <c r="J1882" s="19" cm="1">
        <f t="array" aca="1" ref="J1882" ca="1">INDIRECT("b"&amp;K1882+2)</f>
        <v>6.1750000000000003E+124</v>
      </c>
      <c r="K1882" s="19">
        <f t="shared" si="307"/>
        <v>4105</v>
      </c>
    </row>
    <row r="1883" spans="1:11">
      <c r="A1883">
        <v>1881</v>
      </c>
      <c r="B1883">
        <v>9.7749999999999997E+68</v>
      </c>
      <c r="D1883" s="18">
        <v>1881</v>
      </c>
      <c r="E1883" s="18" cm="1">
        <f t="array" aca="1" ref="E1883" ca="1">INDIRECT("b"&amp;F1883+2)</f>
        <v>6.4000000000000003E+94</v>
      </c>
      <c r="F1883" s="18">
        <f t="shared" si="311"/>
        <v>2906</v>
      </c>
      <c r="G1883" s="18"/>
      <c r="H1883" s="18"/>
      <c r="I1883" s="19">
        <v>1881</v>
      </c>
      <c r="J1883" s="19" cm="1">
        <f t="array" aca="1" ref="J1883" ca="1">INDIRECT("b"&amp;K1883+2)</f>
        <v>6.3999999999999999E+124</v>
      </c>
      <c r="K1883" s="19">
        <f t="shared" si="307"/>
        <v>4106</v>
      </c>
    </row>
    <row r="1884" spans="1:11">
      <c r="A1884">
        <v>1882</v>
      </c>
      <c r="B1884">
        <v>9.9999999999999988E+68</v>
      </c>
      <c r="D1884" s="18">
        <v>1882</v>
      </c>
      <c r="E1884" s="18" cm="1">
        <f t="array" aca="1" ref="E1884" ca="1">INDIRECT("b"&amp;F1884+2)</f>
        <v>6.8499999999999994E+94</v>
      </c>
      <c r="F1884" s="18">
        <f t="shared" si="311"/>
        <v>2908</v>
      </c>
      <c r="G1884" s="18"/>
      <c r="H1884" s="18"/>
      <c r="I1884" s="19">
        <v>1882</v>
      </c>
      <c r="J1884" s="19" cm="1">
        <f t="array" aca="1" ref="J1884" ca="1">INDIRECT("b"&amp;K1884+2)</f>
        <v>6.8499999999999999E+124</v>
      </c>
      <c r="K1884" s="19">
        <f t="shared" si="307"/>
        <v>4108</v>
      </c>
    </row>
    <row r="1885" spans="1:11">
      <c r="A1885">
        <v>1883</v>
      </c>
      <c r="B1885">
        <v>1.225E+69</v>
      </c>
      <c r="D1885" s="18">
        <v>1883</v>
      </c>
      <c r="E1885" s="18" cm="1">
        <f t="array" aca="1" ref="E1885" ca="1">INDIRECT("b"&amp;F1885+2)</f>
        <v>7.0750000000000001E+94</v>
      </c>
      <c r="F1885" s="18">
        <f t="shared" si="311"/>
        <v>2909</v>
      </c>
      <c r="G1885" s="18"/>
      <c r="H1885" s="18"/>
      <c r="I1885" s="19">
        <v>1883</v>
      </c>
      <c r="J1885" s="19" cm="1">
        <f t="array" aca="1" ref="J1885" ca="1">INDIRECT("b"&amp;K1885+2)</f>
        <v>7.0750000000000004E+124</v>
      </c>
      <c r="K1885" s="19">
        <f t="shared" si="307"/>
        <v>4109</v>
      </c>
    </row>
    <row r="1886" spans="1:11">
      <c r="A1886">
        <v>1884</v>
      </c>
      <c r="B1886">
        <v>1.4499999999999999E+69</v>
      </c>
      <c r="D1886" s="18">
        <v>1884</v>
      </c>
      <c r="E1886" s="18" cm="1">
        <f t="array" aca="1" ref="E1886" ca="1">INDIRECT("b"&amp;F1886+2)</f>
        <v>7.3000000000000008E+94</v>
      </c>
      <c r="F1886" s="18">
        <f t="shared" si="311"/>
        <v>2910</v>
      </c>
      <c r="G1886" s="18">
        <f t="shared" ref="G1886" ca="1" si="314">E1886/E1881</f>
        <v>1.2268907563025211</v>
      </c>
      <c r="H1886" s="18"/>
      <c r="I1886" s="19">
        <v>1884</v>
      </c>
      <c r="J1886" s="19" cm="1">
        <f t="array" aca="1" ref="J1886" ca="1">INDIRECT("b"&amp;K1886+2)</f>
        <v>7.2999999999999999E+124</v>
      </c>
      <c r="K1886" s="19">
        <f t="shared" si="307"/>
        <v>4110</v>
      </c>
    </row>
    <row r="1887" spans="1:11">
      <c r="A1887">
        <v>1885</v>
      </c>
      <c r="B1887">
        <v>1.6749999999999998E+69</v>
      </c>
      <c r="D1887" s="18">
        <v>1885</v>
      </c>
      <c r="E1887" s="18" cm="1">
        <f t="array" aca="1" ref="E1887" ca="1">INDIRECT("b"&amp;F1887+2)</f>
        <v>7.7500000000000007E+94</v>
      </c>
      <c r="F1887" s="18">
        <f t="shared" si="311"/>
        <v>2912</v>
      </c>
      <c r="G1887" s="18"/>
      <c r="H1887" s="18"/>
      <c r="I1887" s="19">
        <v>1885</v>
      </c>
      <c r="J1887" s="19" cm="1">
        <f t="array" aca="1" ref="J1887" ca="1">INDIRECT("b"&amp;K1887+2)</f>
        <v>7.75E+124</v>
      </c>
      <c r="K1887" s="19">
        <f t="shared" si="307"/>
        <v>4112</v>
      </c>
    </row>
    <row r="1888" spans="1:11">
      <c r="A1888">
        <v>1886</v>
      </c>
      <c r="B1888">
        <v>1.8999999999999998E+69</v>
      </c>
      <c r="D1888" s="18">
        <v>1886</v>
      </c>
      <c r="E1888" s="18" cm="1">
        <f t="array" aca="1" ref="E1888" ca="1">INDIRECT("b"&amp;F1888+2)</f>
        <v>7.9749999999999999E+94</v>
      </c>
      <c r="F1888" s="18">
        <f t="shared" si="311"/>
        <v>2913</v>
      </c>
      <c r="G1888" s="18"/>
      <c r="H1888" s="18"/>
      <c r="I1888" s="19">
        <v>1886</v>
      </c>
      <c r="J1888" s="19" cm="1">
        <f t="array" aca="1" ref="J1888" ca="1">INDIRECT("b"&amp;K1888+2)</f>
        <v>7.9750000000000005E+124</v>
      </c>
      <c r="K1888" s="19">
        <f t="shared" si="307"/>
        <v>4113</v>
      </c>
    </row>
    <row r="1889" spans="1:11">
      <c r="A1889">
        <v>1887</v>
      </c>
      <c r="B1889">
        <v>2.1250000000000001E+69</v>
      </c>
      <c r="D1889" s="18">
        <v>1887</v>
      </c>
      <c r="E1889" s="18" cm="1">
        <f t="array" aca="1" ref="E1889" ca="1">INDIRECT("b"&amp;F1889+2)</f>
        <v>8.2000000000000006E+94</v>
      </c>
      <c r="F1889" s="18">
        <f t="shared" si="311"/>
        <v>2914</v>
      </c>
      <c r="G1889" s="18"/>
      <c r="H1889" s="18"/>
      <c r="I1889" s="19">
        <v>1887</v>
      </c>
      <c r="J1889" s="19" cm="1">
        <f t="array" aca="1" ref="J1889" ca="1">INDIRECT("b"&amp;K1889+2)</f>
        <v>8.2E+124</v>
      </c>
      <c r="K1889" s="19">
        <f t="shared" si="307"/>
        <v>4114</v>
      </c>
    </row>
    <row r="1890" spans="1:11">
      <c r="A1890">
        <v>1888</v>
      </c>
      <c r="B1890">
        <v>2.35E+69</v>
      </c>
      <c r="D1890" s="18">
        <v>1888</v>
      </c>
      <c r="E1890" s="18" cm="1">
        <f t="array" aca="1" ref="E1890" ca="1">INDIRECT("b"&amp;F1890+2)</f>
        <v>8.6500000000000005E+94</v>
      </c>
      <c r="F1890" s="18">
        <f t="shared" si="311"/>
        <v>2916</v>
      </c>
      <c r="G1890" s="18"/>
      <c r="H1890" s="18"/>
      <c r="I1890" s="19">
        <v>1888</v>
      </c>
      <c r="J1890" s="19" cm="1">
        <f t="array" aca="1" ref="J1890" ca="1">INDIRECT("b"&amp;K1890+2)</f>
        <v>8.6500000000000001E+124</v>
      </c>
      <c r="K1890" s="19">
        <f t="shared" si="307"/>
        <v>4116</v>
      </c>
    </row>
    <row r="1891" spans="1:11">
      <c r="A1891">
        <v>1889</v>
      </c>
      <c r="B1891">
        <v>2.5749999999999999E+69</v>
      </c>
      <c r="D1891" s="18">
        <v>1889</v>
      </c>
      <c r="E1891" s="18" cm="1">
        <f t="array" aca="1" ref="E1891" ca="1">INDIRECT("b"&amp;F1891+2)</f>
        <v>8.8749999999999997E+94</v>
      </c>
      <c r="F1891" s="18">
        <f t="shared" si="311"/>
        <v>2917</v>
      </c>
      <c r="G1891" s="18">
        <f t="shared" ref="G1891" ca="1" si="315">E1891/E1886</f>
        <v>1.2157534246575341</v>
      </c>
      <c r="H1891" s="18"/>
      <c r="I1891" s="19">
        <v>1889</v>
      </c>
      <c r="J1891" s="19" cm="1">
        <f t="array" aca="1" ref="J1891" ca="1">INDIRECT("b"&amp;K1891+2)</f>
        <v>8.8749999999999996E+124</v>
      </c>
      <c r="K1891" s="19">
        <f t="shared" si="307"/>
        <v>4117</v>
      </c>
    </row>
    <row r="1892" spans="1:11">
      <c r="A1892">
        <v>1890</v>
      </c>
      <c r="B1892">
        <v>2.7999999999999998E+69</v>
      </c>
      <c r="D1892" s="18">
        <v>1890</v>
      </c>
      <c r="E1892" s="18" cm="1">
        <f t="array" aca="1" ref="E1892" ca="1">INDIRECT("b"&amp;F1892+2)</f>
        <v>9.1000000000000004E+94</v>
      </c>
      <c r="F1892" s="18">
        <f t="shared" si="311"/>
        <v>2918</v>
      </c>
      <c r="G1892" s="18"/>
      <c r="H1892" s="18"/>
      <c r="I1892" s="19">
        <v>1890</v>
      </c>
      <c r="J1892" s="19" cm="1">
        <f t="array" aca="1" ref="J1892" ca="1">INDIRECT("b"&amp;K1892+2)</f>
        <v>9.100000000000001E+124</v>
      </c>
      <c r="K1892" s="19">
        <f t="shared" si="307"/>
        <v>4118</v>
      </c>
    </row>
    <row r="1893" spans="1:11">
      <c r="A1893">
        <v>1891</v>
      </c>
      <c r="B1893">
        <v>3.0249999999999997E+69</v>
      </c>
      <c r="D1893" s="18">
        <v>1891</v>
      </c>
      <c r="E1893" s="18" cm="1">
        <f t="array" aca="1" ref="E1893" ca="1">INDIRECT("b"&amp;F1893+2)</f>
        <v>9.5500000000000003E+94</v>
      </c>
      <c r="F1893" s="18">
        <f t="shared" si="311"/>
        <v>2920</v>
      </c>
      <c r="G1893" s="18"/>
      <c r="H1893" s="18"/>
      <c r="I1893" s="19">
        <v>1891</v>
      </c>
      <c r="J1893" s="19" cm="1">
        <f t="array" aca="1" ref="J1893" ca="1">INDIRECT("b"&amp;K1893+2)</f>
        <v>9.5500000000000001E+124</v>
      </c>
      <c r="K1893" s="19">
        <f t="shared" si="307"/>
        <v>4120</v>
      </c>
    </row>
    <row r="1894" spans="1:11">
      <c r="A1894">
        <v>1892</v>
      </c>
      <c r="B1894">
        <v>3.2499999999999997E+69</v>
      </c>
      <c r="D1894" s="18">
        <v>1892</v>
      </c>
      <c r="E1894" s="18" cm="1">
        <f t="array" aca="1" ref="E1894" ca="1">INDIRECT("b"&amp;F1894+2)</f>
        <v>9.7749999999999995E+94</v>
      </c>
      <c r="F1894" s="18">
        <f t="shared" si="311"/>
        <v>2921</v>
      </c>
      <c r="G1894" s="18"/>
      <c r="H1894" s="18"/>
      <c r="I1894" s="19">
        <v>1892</v>
      </c>
      <c r="J1894" s="19" cm="1">
        <f t="array" aca="1" ref="J1894" ca="1">INDIRECT("b"&amp;K1894+2)</f>
        <v>9.7749999999999997E+124</v>
      </c>
      <c r="K1894" s="19">
        <f t="shared" si="307"/>
        <v>4121</v>
      </c>
    </row>
    <row r="1895" spans="1:11">
      <c r="A1895">
        <v>1893</v>
      </c>
      <c r="B1895">
        <v>3.4749999999999996E+69</v>
      </c>
      <c r="D1895" s="18">
        <v>1893</v>
      </c>
      <c r="E1895" s="18" cm="1">
        <f t="array" aca="1" ref="E1895" ca="1">INDIRECT("b"&amp;F1895+2)</f>
        <v>1E+95</v>
      </c>
      <c r="F1895" s="18">
        <f t="shared" si="311"/>
        <v>2922</v>
      </c>
      <c r="G1895" s="18"/>
      <c r="H1895" s="18"/>
      <c r="I1895" s="19">
        <v>1893</v>
      </c>
      <c r="J1895" s="19" cm="1">
        <f t="array" aca="1" ref="J1895" ca="1">INDIRECT("b"&amp;K1895+2)</f>
        <v>1.0000000000000001E+125</v>
      </c>
      <c r="K1895" s="19">
        <f t="shared" si="307"/>
        <v>4122</v>
      </c>
    </row>
    <row r="1896" spans="1:11">
      <c r="A1896">
        <v>1894</v>
      </c>
      <c r="B1896">
        <v>3.6999999999999999E+69</v>
      </c>
      <c r="D1896" s="18">
        <v>1894</v>
      </c>
      <c r="E1896" s="18" cm="1">
        <f t="array" aca="1" ref="E1896" ca="1">INDIRECT("b"&amp;F1896+2)</f>
        <v>1.4500000000000001E+95</v>
      </c>
      <c r="F1896" s="18">
        <f t="shared" si="311"/>
        <v>2924</v>
      </c>
      <c r="G1896" s="18">
        <f t="shared" ref="G1896" ca="1" si="316">E1896/E1891</f>
        <v>1.6338028169014085</v>
      </c>
      <c r="H1896" s="18"/>
      <c r="I1896" s="19">
        <v>1894</v>
      </c>
      <c r="J1896" s="19" cm="1">
        <f t="array" aca="1" ref="J1896" ca="1">INDIRECT("b"&amp;K1896+2)</f>
        <v>1.4500000000000002E+125</v>
      </c>
      <c r="K1896" s="19">
        <f t="shared" si="307"/>
        <v>4124</v>
      </c>
    </row>
    <row r="1897" spans="1:11">
      <c r="A1897">
        <v>1895</v>
      </c>
      <c r="B1897">
        <v>3.9249999999999994E+69</v>
      </c>
      <c r="D1897" s="18">
        <v>1895</v>
      </c>
      <c r="E1897" s="18" cm="1">
        <f t="array" aca="1" ref="E1897" ca="1">INDIRECT("b"&amp;F1897+2)</f>
        <v>1.6749999999999999E+95</v>
      </c>
      <c r="F1897" s="18">
        <f t="shared" si="311"/>
        <v>2925</v>
      </c>
      <c r="G1897" s="18"/>
      <c r="H1897" s="18"/>
      <c r="I1897" s="19">
        <v>1895</v>
      </c>
      <c r="J1897" s="19" cm="1">
        <f t="array" aca="1" ref="J1897" ca="1">INDIRECT("b"&amp;K1897+2)</f>
        <v>1.6750000000000001E+125</v>
      </c>
      <c r="K1897" s="19">
        <f t="shared" si="307"/>
        <v>4125</v>
      </c>
    </row>
    <row r="1898" spans="1:11">
      <c r="A1898">
        <v>1896</v>
      </c>
      <c r="B1898">
        <v>4.1499999999999997E+69</v>
      </c>
      <c r="D1898" s="18">
        <v>1896</v>
      </c>
      <c r="E1898" s="18" cm="1">
        <f t="array" aca="1" ref="E1898" ca="1">INDIRECT("b"&amp;F1898+2)</f>
        <v>1.9E+95</v>
      </c>
      <c r="F1898" s="18">
        <f t="shared" si="311"/>
        <v>2926</v>
      </c>
      <c r="G1898" s="18"/>
      <c r="H1898" s="18"/>
      <c r="I1898" s="19">
        <v>1896</v>
      </c>
      <c r="J1898" s="19" cm="1">
        <f t="array" aca="1" ref="J1898" ca="1">INDIRECT("b"&amp;K1898+2)</f>
        <v>1.9E+125</v>
      </c>
      <c r="K1898" s="19">
        <f t="shared" si="307"/>
        <v>4126</v>
      </c>
    </row>
    <row r="1899" spans="1:11">
      <c r="A1899">
        <v>1897</v>
      </c>
      <c r="B1899">
        <v>4.375E+69</v>
      </c>
      <c r="D1899" s="18">
        <v>1897</v>
      </c>
      <c r="E1899" s="18" cm="1">
        <f t="array" aca="1" ref="E1899" ca="1">INDIRECT("b"&amp;F1899+2)</f>
        <v>2.3499999999999999E+95</v>
      </c>
      <c r="F1899" s="18">
        <f t="shared" si="311"/>
        <v>2928</v>
      </c>
      <c r="G1899" s="18"/>
      <c r="H1899" s="18"/>
      <c r="I1899" s="19">
        <v>1897</v>
      </c>
      <c r="J1899" s="19" cm="1">
        <f t="array" aca="1" ref="J1899" ca="1">INDIRECT("b"&amp;K1899+2)</f>
        <v>2.3500000000000002E+125</v>
      </c>
      <c r="K1899" s="19">
        <f t="shared" si="307"/>
        <v>4128</v>
      </c>
    </row>
    <row r="1900" spans="1:11">
      <c r="A1900">
        <v>1898</v>
      </c>
      <c r="B1900">
        <v>4.5999999999999996E+69</v>
      </c>
      <c r="D1900" s="18">
        <v>1898</v>
      </c>
      <c r="E1900" s="18" cm="1">
        <f t="array" aca="1" ref="E1900" ca="1">INDIRECT("b"&amp;F1900+2)</f>
        <v>2.575E+95</v>
      </c>
      <c r="F1900" s="18">
        <f t="shared" si="311"/>
        <v>2929</v>
      </c>
      <c r="G1900" s="18"/>
      <c r="H1900" s="18"/>
      <c r="I1900" s="19">
        <v>1898</v>
      </c>
      <c r="J1900" s="19" cm="1">
        <f t="array" aca="1" ref="J1900" ca="1">INDIRECT("b"&amp;K1900+2)</f>
        <v>2.5750000000000002E+125</v>
      </c>
      <c r="K1900" s="19">
        <f t="shared" si="307"/>
        <v>4129</v>
      </c>
    </row>
    <row r="1901" spans="1:11">
      <c r="A1901">
        <v>1899</v>
      </c>
      <c r="B1901">
        <v>4.8249999999999999E+69</v>
      </c>
      <c r="D1901" s="18">
        <v>1899</v>
      </c>
      <c r="E1901" s="18" cm="1">
        <f t="array" aca="1" ref="E1901" ca="1">INDIRECT("b"&amp;F1901+2)</f>
        <v>2.7999999999999998E+95</v>
      </c>
      <c r="F1901" s="18">
        <f t="shared" si="311"/>
        <v>2930</v>
      </c>
      <c r="G1901" s="18">
        <f t="shared" ref="G1901" ca="1" si="317">E1901/E1896</f>
        <v>1.9310344827586203</v>
      </c>
      <c r="H1901" s="18"/>
      <c r="I1901" s="19">
        <v>1899</v>
      </c>
      <c r="J1901" s="19" cm="1">
        <f t="array" aca="1" ref="J1901" ca="1">INDIRECT("b"&amp;K1901+2)</f>
        <v>2.8000000000000001E+125</v>
      </c>
      <c r="K1901" s="19">
        <f t="shared" si="307"/>
        <v>4130</v>
      </c>
    </row>
    <row r="1902" spans="1:11">
      <c r="A1902">
        <v>1900</v>
      </c>
      <c r="B1902">
        <v>5.0499999999999994E+69</v>
      </c>
      <c r="D1902" s="18">
        <v>1900</v>
      </c>
      <c r="E1902" s="18" cm="1">
        <f t="array" aca="1" ref="E1902" ca="1">INDIRECT("b"&amp;F1902+2)</f>
        <v>3.25E+95</v>
      </c>
      <c r="F1902" s="18">
        <f t="shared" si="311"/>
        <v>2932</v>
      </c>
      <c r="G1902" s="18"/>
      <c r="H1902" s="18"/>
      <c r="I1902" s="19">
        <v>1900</v>
      </c>
      <c r="J1902" s="19" cm="1">
        <f t="array" aca="1" ref="J1902" ca="1">INDIRECT("b"&amp;K1902+2)</f>
        <v>3.2500000000000003E+125</v>
      </c>
      <c r="K1902" s="19">
        <f t="shared" si="307"/>
        <v>4132</v>
      </c>
    </row>
    <row r="1903" spans="1:11">
      <c r="A1903">
        <v>1901</v>
      </c>
      <c r="B1903">
        <v>5.2749999999999997E+69</v>
      </c>
      <c r="D1903" s="18">
        <v>1901</v>
      </c>
      <c r="E1903" s="18" cm="1">
        <f t="array" aca="1" ref="E1903" ca="1">INDIRECT("b"&amp;F1903+2)</f>
        <v>3.4750000000000001E+95</v>
      </c>
      <c r="F1903" s="18">
        <f t="shared" si="311"/>
        <v>2933</v>
      </c>
      <c r="G1903" s="18"/>
      <c r="H1903" s="18"/>
      <c r="I1903" s="19">
        <v>1901</v>
      </c>
      <c r="J1903" s="19" cm="1">
        <f t="array" aca="1" ref="J1903" ca="1">INDIRECT("b"&amp;K1903+2)</f>
        <v>3.4749999999999999E+125</v>
      </c>
      <c r="K1903" s="19">
        <f t="shared" si="307"/>
        <v>4133</v>
      </c>
    </row>
    <row r="1904" spans="1:11">
      <c r="A1904">
        <v>1902</v>
      </c>
      <c r="B1904">
        <v>5.5E+69</v>
      </c>
      <c r="D1904" s="18">
        <v>1902</v>
      </c>
      <c r="E1904" s="18" cm="1">
        <f t="array" aca="1" ref="E1904" ca="1">INDIRECT("b"&amp;F1904+2)</f>
        <v>3.6999999999999996E+95</v>
      </c>
      <c r="F1904" s="18">
        <f t="shared" si="311"/>
        <v>2934</v>
      </c>
      <c r="G1904" s="18"/>
      <c r="H1904" s="18"/>
      <c r="I1904" s="19">
        <v>1902</v>
      </c>
      <c r="J1904" s="19" cm="1">
        <f t="array" aca="1" ref="J1904" ca="1">INDIRECT("b"&amp;K1904+2)</f>
        <v>3.7000000000000005E+125</v>
      </c>
      <c r="K1904" s="19">
        <f t="shared" si="307"/>
        <v>4134</v>
      </c>
    </row>
    <row r="1905" spans="1:11">
      <c r="A1905">
        <v>1903</v>
      </c>
      <c r="B1905">
        <v>5.7249999999999996E+69</v>
      </c>
      <c r="D1905" s="18">
        <v>1903</v>
      </c>
      <c r="E1905" s="18" cm="1">
        <f t="array" aca="1" ref="E1905" ca="1">INDIRECT("b"&amp;F1905+2)</f>
        <v>4.1499999999999998E+95</v>
      </c>
      <c r="F1905" s="18">
        <f t="shared" si="311"/>
        <v>2936</v>
      </c>
      <c r="G1905" s="18"/>
      <c r="H1905" s="18"/>
      <c r="I1905" s="19">
        <v>1903</v>
      </c>
      <c r="J1905" s="19" cm="1">
        <f t="array" aca="1" ref="J1905" ca="1">INDIRECT("b"&amp;K1905+2)</f>
        <v>4.1500000000000004E+125</v>
      </c>
      <c r="K1905" s="19">
        <f t="shared" si="307"/>
        <v>4136</v>
      </c>
    </row>
    <row r="1906" spans="1:11">
      <c r="A1906">
        <v>1904</v>
      </c>
      <c r="B1906">
        <v>5.9499999999999999E+69</v>
      </c>
      <c r="D1906" s="18">
        <v>1904</v>
      </c>
      <c r="E1906" s="18" cm="1">
        <f t="array" aca="1" ref="E1906" ca="1">INDIRECT("b"&amp;F1906+2)</f>
        <v>4.3749999999999998E+95</v>
      </c>
      <c r="F1906" s="18">
        <f t="shared" si="311"/>
        <v>2937</v>
      </c>
      <c r="G1906" s="18">
        <f t="shared" ref="G1906" ca="1" si="318">E1906/E1901</f>
        <v>1.5625</v>
      </c>
      <c r="H1906" s="18"/>
      <c r="I1906" s="19">
        <v>1904</v>
      </c>
      <c r="J1906" s="19" cm="1">
        <f t="array" aca="1" ref="J1906" ca="1">INDIRECT("b"&amp;K1906+2)</f>
        <v>4.3750000000000003E+125</v>
      </c>
      <c r="K1906" s="19">
        <f t="shared" si="307"/>
        <v>4137</v>
      </c>
    </row>
    <row r="1907" spans="1:11">
      <c r="A1907">
        <v>1905</v>
      </c>
      <c r="B1907">
        <v>6.1749999999999994E+69</v>
      </c>
      <c r="D1907" s="18">
        <v>1905</v>
      </c>
      <c r="E1907" s="18" cm="1">
        <f t="array" aca="1" ref="E1907" ca="1">INDIRECT("b"&amp;F1907+2)</f>
        <v>4.5999999999999999E+95</v>
      </c>
      <c r="F1907" s="18">
        <f t="shared" si="311"/>
        <v>2938</v>
      </c>
      <c r="G1907" s="18"/>
      <c r="H1907" s="18"/>
      <c r="I1907" s="19">
        <v>1905</v>
      </c>
      <c r="J1907" s="19" cm="1">
        <f t="array" aca="1" ref="J1907" ca="1">INDIRECT("b"&amp;K1907+2)</f>
        <v>4.6000000000000003E+125</v>
      </c>
      <c r="K1907" s="19">
        <f t="shared" si="307"/>
        <v>4138</v>
      </c>
    </row>
    <row r="1908" spans="1:11">
      <c r="A1908">
        <v>1906</v>
      </c>
      <c r="B1908">
        <v>6.3999999999999997E+69</v>
      </c>
      <c r="D1908" s="18">
        <v>1906</v>
      </c>
      <c r="E1908" s="18" cm="1">
        <f t="array" aca="1" ref="E1908" ca="1">INDIRECT("b"&amp;F1908+2)</f>
        <v>5.0499999999999995E+95</v>
      </c>
      <c r="F1908" s="18">
        <f t="shared" si="311"/>
        <v>2940</v>
      </c>
      <c r="G1908" s="18"/>
      <c r="H1908" s="18"/>
      <c r="I1908" s="19">
        <v>1906</v>
      </c>
      <c r="J1908" s="19" cm="1">
        <f t="array" aca="1" ref="J1908" ca="1">INDIRECT("b"&amp;K1908+2)</f>
        <v>5.0500000000000001E+125</v>
      </c>
      <c r="K1908" s="19">
        <f t="shared" si="307"/>
        <v>4140</v>
      </c>
    </row>
    <row r="1909" spans="1:11">
      <c r="A1909">
        <v>1907</v>
      </c>
      <c r="B1909">
        <v>6.625E+69</v>
      </c>
      <c r="D1909" s="18">
        <v>1907</v>
      </c>
      <c r="E1909" s="18" cm="1">
        <f t="array" aca="1" ref="E1909" ca="1">INDIRECT("b"&amp;F1909+2)</f>
        <v>5.2749999999999996E+95</v>
      </c>
      <c r="F1909" s="18">
        <f t="shared" si="311"/>
        <v>2941</v>
      </c>
      <c r="G1909" s="18"/>
      <c r="H1909" s="18"/>
      <c r="I1909" s="19">
        <v>1907</v>
      </c>
      <c r="J1909" s="19" cm="1">
        <f t="array" aca="1" ref="J1909" ca="1">INDIRECT("b"&amp;K1909+2)</f>
        <v>5.275E+125</v>
      </c>
      <c r="K1909" s="19">
        <f t="shared" si="307"/>
        <v>4141</v>
      </c>
    </row>
    <row r="1910" spans="1:11">
      <c r="A1910">
        <v>1908</v>
      </c>
      <c r="B1910">
        <v>6.8499999999999995E+69</v>
      </c>
      <c r="D1910" s="18">
        <v>1908</v>
      </c>
      <c r="E1910" s="18" cm="1">
        <f t="array" aca="1" ref="E1910" ca="1">INDIRECT("b"&amp;F1910+2)</f>
        <v>5.4999999999999997E+95</v>
      </c>
      <c r="F1910" s="18">
        <f t="shared" si="311"/>
        <v>2942</v>
      </c>
      <c r="G1910" s="18"/>
      <c r="H1910" s="18"/>
      <c r="I1910" s="19">
        <v>1908</v>
      </c>
      <c r="J1910" s="19" cm="1">
        <f t="array" aca="1" ref="J1910" ca="1">INDIRECT("b"&amp;K1910+2)</f>
        <v>5.5E+125</v>
      </c>
      <c r="K1910" s="19">
        <f t="shared" si="307"/>
        <v>4142</v>
      </c>
    </row>
    <row r="1911" spans="1:11">
      <c r="A1911">
        <v>1909</v>
      </c>
      <c r="B1911">
        <v>7.0749999999999998E+69</v>
      </c>
      <c r="D1911" s="18">
        <v>1909</v>
      </c>
      <c r="E1911" s="18" cm="1">
        <f t="array" aca="1" ref="E1911" ca="1">INDIRECT("b"&amp;F1911+2)</f>
        <v>5.9499999999999999E+95</v>
      </c>
      <c r="F1911" s="18">
        <f t="shared" si="311"/>
        <v>2944</v>
      </c>
      <c r="G1911" s="18">
        <f t="shared" ref="G1911" ca="1" si="319">E1911/E1906</f>
        <v>1.36</v>
      </c>
      <c r="H1911" s="18"/>
      <c r="I1911" s="19">
        <v>1909</v>
      </c>
      <c r="J1911" s="19" cm="1">
        <f t="array" aca="1" ref="J1911" ca="1">INDIRECT("b"&amp;K1911+2)</f>
        <v>5.9500000000000006E+125</v>
      </c>
      <c r="K1911" s="19">
        <f t="shared" si="307"/>
        <v>4144</v>
      </c>
    </row>
    <row r="1912" spans="1:11">
      <c r="A1912">
        <v>1910</v>
      </c>
      <c r="B1912">
        <v>7.3000000000000001E+69</v>
      </c>
      <c r="D1912" s="18">
        <v>1910</v>
      </c>
      <c r="E1912" s="18" cm="1">
        <f t="array" aca="1" ref="E1912" ca="1">INDIRECT("b"&amp;F1912+2)</f>
        <v>6.1749999999999994E+95</v>
      </c>
      <c r="F1912" s="18">
        <f t="shared" si="311"/>
        <v>2945</v>
      </c>
      <c r="G1912" s="18"/>
      <c r="H1912" s="18"/>
      <c r="I1912" s="19">
        <v>1910</v>
      </c>
      <c r="J1912" s="19" cm="1">
        <f t="array" aca="1" ref="J1912" ca="1">INDIRECT("b"&amp;K1912+2)</f>
        <v>6.1750000000000005E+125</v>
      </c>
      <c r="K1912" s="19">
        <f t="shared" si="307"/>
        <v>4145</v>
      </c>
    </row>
    <row r="1913" spans="1:11">
      <c r="A1913">
        <v>1911</v>
      </c>
      <c r="B1913">
        <v>7.5249999999999989E+69</v>
      </c>
      <c r="D1913" s="18">
        <v>1911</v>
      </c>
      <c r="E1913" s="18" cm="1">
        <f t="array" aca="1" ref="E1913" ca="1">INDIRECT("b"&amp;F1913+2)</f>
        <v>6.4000000000000001E+95</v>
      </c>
      <c r="F1913" s="18">
        <f t="shared" si="311"/>
        <v>2946</v>
      </c>
      <c r="G1913" s="18"/>
      <c r="H1913" s="18"/>
      <c r="I1913" s="19">
        <v>1911</v>
      </c>
      <c r="J1913" s="19" cm="1">
        <f t="array" aca="1" ref="J1913" ca="1">INDIRECT("b"&amp;K1913+2)</f>
        <v>6.4000000000000004E+125</v>
      </c>
      <c r="K1913" s="19">
        <f t="shared" si="307"/>
        <v>4146</v>
      </c>
    </row>
    <row r="1914" spans="1:11">
      <c r="A1914">
        <v>1912</v>
      </c>
      <c r="B1914">
        <v>7.7499999999999992E+69</v>
      </c>
      <c r="D1914" s="18">
        <v>1912</v>
      </c>
      <c r="E1914" s="18" cm="1">
        <f t="array" aca="1" ref="E1914" ca="1">INDIRECT("b"&amp;F1914+2)</f>
        <v>6.8499999999999991E+95</v>
      </c>
      <c r="F1914" s="18">
        <f t="shared" si="311"/>
        <v>2948</v>
      </c>
      <c r="G1914" s="18"/>
      <c r="H1914" s="18"/>
      <c r="I1914" s="19">
        <v>1912</v>
      </c>
      <c r="J1914" s="19" cm="1">
        <f t="array" aca="1" ref="J1914" ca="1">INDIRECT("b"&amp;K1914+2)</f>
        <v>6.8500000000000003E+125</v>
      </c>
      <c r="K1914" s="19">
        <f t="shared" si="307"/>
        <v>4148</v>
      </c>
    </row>
    <row r="1915" spans="1:11">
      <c r="A1915">
        <v>1913</v>
      </c>
      <c r="B1915">
        <v>7.9749999999999995E+69</v>
      </c>
      <c r="D1915" s="18">
        <v>1913</v>
      </c>
      <c r="E1915" s="18" cm="1">
        <f t="array" aca="1" ref="E1915" ca="1">INDIRECT("b"&amp;F1915+2)</f>
        <v>7.0749999999999998E+95</v>
      </c>
      <c r="F1915" s="18">
        <f t="shared" si="311"/>
        <v>2949</v>
      </c>
      <c r="G1915" s="18"/>
      <c r="H1915" s="18"/>
      <c r="I1915" s="19">
        <v>1913</v>
      </c>
      <c r="J1915" s="19" cm="1">
        <f t="array" aca="1" ref="J1915" ca="1">INDIRECT("b"&amp;K1915+2)</f>
        <v>7.075000000000001E+125</v>
      </c>
      <c r="K1915" s="19">
        <f t="shared" si="307"/>
        <v>4149</v>
      </c>
    </row>
    <row r="1916" spans="1:11">
      <c r="A1916">
        <v>1914</v>
      </c>
      <c r="B1916">
        <v>8.1999999999999998E+69</v>
      </c>
      <c r="D1916" s="18">
        <v>1914</v>
      </c>
      <c r="E1916" s="18" cm="1">
        <f t="array" aca="1" ref="E1916" ca="1">INDIRECT("b"&amp;F1916+2)</f>
        <v>7.2999999999999993E+95</v>
      </c>
      <c r="F1916" s="18">
        <f t="shared" si="311"/>
        <v>2950</v>
      </c>
      <c r="G1916" s="18">
        <f t="shared" ref="G1916" ca="1" si="320">E1916/E1911</f>
        <v>1.2268907563025209</v>
      </c>
      <c r="H1916" s="18"/>
      <c r="I1916" s="19">
        <v>1914</v>
      </c>
      <c r="J1916" s="19" cm="1">
        <f t="array" aca="1" ref="J1916" ca="1">INDIRECT("b"&amp;K1916+2)</f>
        <v>7.3000000000000001E+125</v>
      </c>
      <c r="K1916" s="19">
        <f t="shared" si="307"/>
        <v>4150</v>
      </c>
    </row>
    <row r="1917" spans="1:11">
      <c r="A1917">
        <v>1915</v>
      </c>
      <c r="B1917">
        <v>8.4250000000000001E+69</v>
      </c>
      <c r="D1917" s="18">
        <v>1915</v>
      </c>
      <c r="E1917" s="18" cm="1">
        <f t="array" aca="1" ref="E1917" ca="1">INDIRECT("b"&amp;F1917+2)</f>
        <v>7.7499999999999995E+95</v>
      </c>
      <c r="F1917" s="18">
        <f t="shared" si="311"/>
        <v>2952</v>
      </c>
      <c r="G1917" s="18"/>
      <c r="H1917" s="18"/>
      <c r="I1917" s="19">
        <v>1915</v>
      </c>
      <c r="J1917" s="19" cm="1">
        <f t="array" aca="1" ref="J1917" ca="1">INDIRECT("b"&amp;K1917+2)</f>
        <v>7.75E+125</v>
      </c>
      <c r="K1917" s="19">
        <f t="shared" si="307"/>
        <v>4152</v>
      </c>
    </row>
    <row r="1918" spans="1:11">
      <c r="A1918">
        <v>1916</v>
      </c>
      <c r="B1918">
        <v>8.6499999999999989E+69</v>
      </c>
      <c r="D1918" s="18">
        <v>1916</v>
      </c>
      <c r="E1918" s="18" cm="1">
        <f t="array" aca="1" ref="E1918" ca="1">INDIRECT("b"&amp;F1918+2)</f>
        <v>7.9750000000000002E+95</v>
      </c>
      <c r="F1918" s="18">
        <f t="shared" si="311"/>
        <v>2953</v>
      </c>
      <c r="G1918" s="18"/>
      <c r="H1918" s="18"/>
      <c r="I1918" s="19">
        <v>1916</v>
      </c>
      <c r="J1918" s="19" cm="1">
        <f t="array" aca="1" ref="J1918" ca="1">INDIRECT("b"&amp;K1918+2)</f>
        <v>7.9750000000000007E+125</v>
      </c>
      <c r="K1918" s="19">
        <f t="shared" si="307"/>
        <v>4153</v>
      </c>
    </row>
    <row r="1919" spans="1:11">
      <c r="A1919">
        <v>1917</v>
      </c>
      <c r="B1919">
        <v>8.8749999999999992E+69</v>
      </c>
      <c r="D1919" s="18">
        <v>1917</v>
      </c>
      <c r="E1919" s="18" cm="1">
        <f t="array" aca="1" ref="E1919" ca="1">INDIRECT("b"&amp;F1919+2)</f>
        <v>8.1999999999999997E+95</v>
      </c>
      <c r="F1919" s="18">
        <f t="shared" si="311"/>
        <v>2954</v>
      </c>
      <c r="G1919" s="18"/>
      <c r="H1919" s="18"/>
      <c r="I1919" s="19">
        <v>1917</v>
      </c>
      <c r="J1919" s="19" cm="1">
        <f t="array" aca="1" ref="J1919" ca="1">INDIRECT("b"&amp;K1919+2)</f>
        <v>8.1999999999999998E+125</v>
      </c>
      <c r="K1919" s="19">
        <f t="shared" si="307"/>
        <v>4154</v>
      </c>
    </row>
    <row r="1920" spans="1:11">
      <c r="A1920">
        <v>1918</v>
      </c>
      <c r="B1920">
        <v>9.0999999999999995E+69</v>
      </c>
      <c r="D1920" s="18">
        <v>1918</v>
      </c>
      <c r="E1920" s="18" cm="1">
        <f t="array" aca="1" ref="E1920" ca="1">INDIRECT("b"&amp;F1920+2)</f>
        <v>8.6499999999999999E+95</v>
      </c>
      <c r="F1920" s="18">
        <f t="shared" si="311"/>
        <v>2956</v>
      </c>
      <c r="G1920" s="18"/>
      <c r="H1920" s="18"/>
      <c r="I1920" s="19">
        <v>1918</v>
      </c>
      <c r="J1920" s="19" cm="1">
        <f t="array" aca="1" ref="J1920" ca="1">INDIRECT("b"&amp;K1920+2)</f>
        <v>8.6499999999999997E+125</v>
      </c>
      <c r="K1920" s="19">
        <f t="shared" si="307"/>
        <v>4156</v>
      </c>
    </row>
    <row r="1921" spans="1:11">
      <c r="A1921">
        <v>1919</v>
      </c>
      <c r="B1921">
        <v>9.3249999999999998E+69</v>
      </c>
      <c r="D1921" s="18">
        <v>1919</v>
      </c>
      <c r="E1921" s="18" cm="1">
        <f t="array" aca="1" ref="E1921" ca="1">INDIRECT("b"&amp;F1921+2)</f>
        <v>8.8749999999999994E+95</v>
      </c>
      <c r="F1921" s="18">
        <f t="shared" si="311"/>
        <v>2957</v>
      </c>
      <c r="G1921" s="18">
        <f t="shared" ref="G1921" ca="1" si="321">E1921/E1916</f>
        <v>1.2157534246575343</v>
      </c>
      <c r="H1921" s="18"/>
      <c r="I1921" s="19">
        <v>1919</v>
      </c>
      <c r="J1921" s="19" cm="1">
        <f t="array" aca="1" ref="J1921" ca="1">INDIRECT("b"&amp;K1921+2)</f>
        <v>8.8750000000000004E+125</v>
      </c>
      <c r="K1921" s="19">
        <f t="shared" si="307"/>
        <v>4157</v>
      </c>
    </row>
    <row r="1922" spans="1:11">
      <c r="A1922">
        <v>1920</v>
      </c>
      <c r="B1922">
        <v>9.5500000000000001E+69</v>
      </c>
      <c r="D1922" s="18">
        <v>1920</v>
      </c>
      <c r="E1922" s="18" cm="1">
        <f t="array" aca="1" ref="E1922" ca="1">INDIRECT("b"&amp;F1922+2)</f>
        <v>9.1000000000000001E+95</v>
      </c>
      <c r="F1922" s="18">
        <f t="shared" si="311"/>
        <v>2958</v>
      </c>
      <c r="G1922" s="18"/>
      <c r="H1922" s="18"/>
      <c r="I1922" s="19">
        <v>1920</v>
      </c>
      <c r="J1922" s="19" cm="1">
        <f t="array" aca="1" ref="J1922" ca="1">INDIRECT("b"&amp;K1922+2)</f>
        <v>9.100000000000001E+125</v>
      </c>
      <c r="K1922" s="19">
        <f t="shared" si="307"/>
        <v>4158</v>
      </c>
    </row>
    <row r="1923" spans="1:11">
      <c r="A1923">
        <v>1921</v>
      </c>
      <c r="B1923">
        <v>9.7749999999999989E+69</v>
      </c>
      <c r="D1923" s="18">
        <v>1921</v>
      </c>
      <c r="E1923" s="18" cm="1">
        <f t="array" aca="1" ref="E1923" ca="1">INDIRECT("b"&amp;F1923+2)</f>
        <v>9.5499999999999991E+95</v>
      </c>
      <c r="F1923" s="18">
        <f t="shared" si="311"/>
        <v>2960</v>
      </c>
      <c r="G1923" s="18"/>
      <c r="H1923" s="18"/>
      <c r="I1923" s="19">
        <v>1921</v>
      </c>
      <c r="J1923" s="19" cm="1">
        <f t="array" aca="1" ref="J1923" ca="1">INDIRECT("b"&amp;K1923+2)</f>
        <v>9.5500000000000009E+125</v>
      </c>
      <c r="K1923" s="19">
        <f t="shared" si="307"/>
        <v>4160</v>
      </c>
    </row>
    <row r="1924" spans="1:11">
      <c r="A1924">
        <v>1922</v>
      </c>
      <c r="B1924">
        <v>1.0000000000000001E+70</v>
      </c>
      <c r="D1924" s="18">
        <v>1922</v>
      </c>
      <c r="E1924" s="18" cm="1">
        <f t="array" aca="1" ref="E1924" ca="1">INDIRECT("b"&amp;F1924+2)</f>
        <v>9.7749999999999998E+95</v>
      </c>
      <c r="F1924" s="18">
        <f t="shared" si="311"/>
        <v>2961</v>
      </c>
      <c r="G1924" s="18"/>
      <c r="H1924" s="18"/>
      <c r="I1924" s="19">
        <v>1922</v>
      </c>
      <c r="J1924" s="19" cm="1">
        <f t="array" aca="1" ref="J1924" ca="1">INDIRECT("b"&amp;K1924+2)</f>
        <v>9.7750000000000001E+125</v>
      </c>
      <c r="K1924" s="19">
        <f t="shared" ref="K1924:K1987" si="322">INT((A1924-1)*40/30+900*40/30)+400</f>
        <v>4161</v>
      </c>
    </row>
    <row r="1925" spans="1:11">
      <c r="A1925">
        <v>1923</v>
      </c>
      <c r="B1925">
        <v>1.2250000000000001E+70</v>
      </c>
      <c r="D1925" s="18">
        <v>1923</v>
      </c>
      <c r="E1925" s="18" cm="1">
        <f t="array" aca="1" ref="E1925" ca="1">INDIRECT("b"&amp;F1925+2)</f>
        <v>9.9999999999999993E+95</v>
      </c>
      <c r="F1925" s="18">
        <f t="shared" si="311"/>
        <v>2962</v>
      </c>
      <c r="G1925" s="18"/>
      <c r="H1925" s="18"/>
      <c r="I1925" s="19">
        <v>1923</v>
      </c>
      <c r="J1925" s="19" cm="1">
        <f t="array" aca="1" ref="J1925" ca="1">INDIRECT("b"&amp;K1925+2)</f>
        <v>9.9999999999999992E+125</v>
      </c>
      <c r="K1925" s="19">
        <f t="shared" si="322"/>
        <v>4162</v>
      </c>
    </row>
    <row r="1926" spans="1:11">
      <c r="A1926">
        <v>1924</v>
      </c>
      <c r="B1926">
        <v>1.4499999999999999E+70</v>
      </c>
      <c r="D1926" s="18">
        <v>1924</v>
      </c>
      <c r="E1926" s="18" cm="1">
        <f t="array" aca="1" ref="E1926" ca="1">INDIRECT("b"&amp;F1926+2)</f>
        <v>1.4499999999999999E+96</v>
      </c>
      <c r="F1926" s="18">
        <f t="shared" si="311"/>
        <v>2964</v>
      </c>
      <c r="G1926" s="18">
        <f t="shared" ref="G1926" ca="1" si="323">E1926/E1921</f>
        <v>1.6338028169014085</v>
      </c>
      <c r="H1926" s="18"/>
      <c r="I1926" s="19">
        <v>1924</v>
      </c>
      <c r="J1926" s="19" cm="1">
        <f t="array" aca="1" ref="J1926" ca="1">INDIRECT("b"&amp;K1926+2)</f>
        <v>1.4499999999999999E+126</v>
      </c>
      <c r="K1926" s="19">
        <f t="shared" si="322"/>
        <v>4164</v>
      </c>
    </row>
    <row r="1927" spans="1:11">
      <c r="A1927">
        <v>1925</v>
      </c>
      <c r="B1927">
        <v>1.6749999999999999E+70</v>
      </c>
      <c r="D1927" s="18">
        <v>1925</v>
      </c>
      <c r="E1927" s="18" cm="1">
        <f t="array" aca="1" ref="E1927" ca="1">INDIRECT("b"&amp;F1927+2)</f>
        <v>1.6749999999999999E+96</v>
      </c>
      <c r="F1927" s="18">
        <f t="shared" si="311"/>
        <v>2965</v>
      </c>
      <c r="G1927" s="18"/>
      <c r="H1927" s="18"/>
      <c r="I1927" s="19">
        <v>1925</v>
      </c>
      <c r="J1927" s="19" cm="1">
        <f t="array" aca="1" ref="J1927" ca="1">INDIRECT("b"&amp;K1927+2)</f>
        <v>1.675E+126</v>
      </c>
      <c r="K1927" s="19">
        <f t="shared" si="322"/>
        <v>4165</v>
      </c>
    </row>
    <row r="1928" spans="1:11">
      <c r="A1928">
        <v>1926</v>
      </c>
      <c r="B1928">
        <v>1.9000000000000002E+70</v>
      </c>
      <c r="D1928" s="18">
        <v>1926</v>
      </c>
      <c r="E1928" s="18" cm="1">
        <f t="array" aca="1" ref="E1928" ca="1">INDIRECT("b"&amp;F1928+2)</f>
        <v>1.8999999999999998E+96</v>
      </c>
      <c r="F1928" s="18">
        <f t="shared" si="311"/>
        <v>2966</v>
      </c>
      <c r="G1928" s="18"/>
      <c r="H1928" s="18"/>
      <c r="I1928" s="19">
        <v>1926</v>
      </c>
      <c r="J1928" s="19" cm="1">
        <f t="array" aca="1" ref="J1928" ca="1">INDIRECT("b"&amp;K1928+2)</f>
        <v>1.9000000000000001E+126</v>
      </c>
      <c r="K1928" s="19">
        <f t="shared" si="322"/>
        <v>4166</v>
      </c>
    </row>
    <row r="1929" spans="1:11">
      <c r="A1929">
        <v>1927</v>
      </c>
      <c r="B1929">
        <v>2.1250000000000002E+70</v>
      </c>
      <c r="D1929" s="18">
        <v>1927</v>
      </c>
      <c r="E1929" s="18" cm="1">
        <f t="array" aca="1" ref="E1929" ca="1">INDIRECT("b"&amp;F1929+2)</f>
        <v>2.35E+96</v>
      </c>
      <c r="F1929" s="18">
        <f t="shared" si="311"/>
        <v>2968</v>
      </c>
      <c r="G1929" s="18"/>
      <c r="H1929" s="18"/>
      <c r="I1929" s="19">
        <v>1927</v>
      </c>
      <c r="J1929" s="19" cm="1">
        <f t="array" aca="1" ref="J1929" ca="1">INDIRECT("b"&amp;K1929+2)</f>
        <v>2.3499999999999999E+126</v>
      </c>
      <c r="K1929" s="19">
        <f t="shared" si="322"/>
        <v>4168</v>
      </c>
    </row>
    <row r="1930" spans="1:11">
      <c r="A1930">
        <v>1928</v>
      </c>
      <c r="B1930">
        <v>2.3500000000000002E+70</v>
      </c>
      <c r="D1930" s="18">
        <v>1928</v>
      </c>
      <c r="E1930" s="18" cm="1">
        <f t="array" aca="1" ref="E1930" ca="1">INDIRECT("b"&amp;F1930+2)</f>
        <v>2.5749999999999998E+96</v>
      </c>
      <c r="F1930" s="18">
        <f t="shared" si="311"/>
        <v>2969</v>
      </c>
      <c r="G1930" s="18"/>
      <c r="H1930" s="18"/>
      <c r="I1930" s="19">
        <v>1928</v>
      </c>
      <c r="J1930" s="19" cm="1">
        <f t="array" aca="1" ref="J1930" ca="1">INDIRECT("b"&amp;K1930+2)</f>
        <v>2.575E+126</v>
      </c>
      <c r="K1930" s="19">
        <f t="shared" si="322"/>
        <v>4169</v>
      </c>
    </row>
    <row r="1931" spans="1:11">
      <c r="A1931">
        <v>1929</v>
      </c>
      <c r="B1931">
        <v>2.5750000000000002E+70</v>
      </c>
      <c r="D1931" s="18">
        <v>1929</v>
      </c>
      <c r="E1931" s="18" cm="1">
        <f t="array" aca="1" ref="E1931" ca="1">INDIRECT("b"&amp;F1931+2)</f>
        <v>2.8E+96</v>
      </c>
      <c r="F1931" s="18">
        <f t="shared" si="311"/>
        <v>2970</v>
      </c>
      <c r="G1931" s="18">
        <f t="shared" ref="G1931" ca="1" si="324">E1931/E1926</f>
        <v>1.9310344827586208</v>
      </c>
      <c r="H1931" s="18"/>
      <c r="I1931" s="19">
        <v>1929</v>
      </c>
      <c r="J1931" s="19" cm="1">
        <f t="array" aca="1" ref="J1931" ca="1">INDIRECT("b"&amp;K1931+2)</f>
        <v>2.8000000000000001E+126</v>
      </c>
      <c r="K1931" s="19">
        <f t="shared" si="322"/>
        <v>4170</v>
      </c>
    </row>
    <row r="1932" spans="1:11">
      <c r="A1932">
        <v>1930</v>
      </c>
      <c r="B1932">
        <v>2.7999999999999999E+70</v>
      </c>
      <c r="D1932" s="18">
        <v>1930</v>
      </c>
      <c r="E1932" s="18" cm="1">
        <f t="array" aca="1" ref="E1932" ca="1">INDIRECT("b"&amp;F1932+2)</f>
        <v>3.25E+96</v>
      </c>
      <c r="F1932" s="18">
        <f t="shared" si="311"/>
        <v>2972</v>
      </c>
      <c r="G1932" s="18"/>
      <c r="H1932" s="18"/>
      <c r="I1932" s="19">
        <v>1930</v>
      </c>
      <c r="J1932" s="19" cm="1">
        <f t="array" aca="1" ref="J1932" ca="1">INDIRECT("b"&amp;K1932+2)</f>
        <v>3.2499999999999996E+126</v>
      </c>
      <c r="K1932" s="19">
        <f t="shared" si="322"/>
        <v>4172</v>
      </c>
    </row>
    <row r="1933" spans="1:11">
      <c r="A1933">
        <v>1931</v>
      </c>
      <c r="B1933">
        <v>3.0249999999999999E+70</v>
      </c>
      <c r="D1933" s="18">
        <v>1931</v>
      </c>
      <c r="E1933" s="18" cm="1">
        <f t="array" aca="1" ref="E1933" ca="1">INDIRECT("b"&amp;F1933+2)</f>
        <v>3.4749999999999997E+96</v>
      </c>
      <c r="F1933" s="18">
        <f t="shared" si="311"/>
        <v>2973</v>
      </c>
      <c r="G1933" s="18"/>
      <c r="H1933" s="18"/>
      <c r="I1933" s="19">
        <v>1931</v>
      </c>
      <c r="J1933" s="19" cm="1">
        <f t="array" aca="1" ref="J1933" ca="1">INDIRECT("b"&amp;K1933+2)</f>
        <v>3.475E+126</v>
      </c>
      <c r="K1933" s="19">
        <f t="shared" si="322"/>
        <v>4173</v>
      </c>
    </row>
    <row r="1934" spans="1:11">
      <c r="A1934">
        <v>1932</v>
      </c>
      <c r="B1934">
        <v>3.2499999999999999E+70</v>
      </c>
      <c r="D1934" s="18">
        <v>1932</v>
      </c>
      <c r="E1934" s="18" cm="1">
        <f t="array" aca="1" ref="E1934" ca="1">INDIRECT("b"&amp;F1934+2)</f>
        <v>3.6999999999999999E+96</v>
      </c>
      <c r="F1934" s="18">
        <f t="shared" si="311"/>
        <v>2974</v>
      </c>
      <c r="G1934" s="18"/>
      <c r="H1934" s="18"/>
      <c r="I1934" s="19">
        <v>1932</v>
      </c>
      <c r="J1934" s="19" cm="1">
        <f t="array" aca="1" ref="J1934" ca="1">INDIRECT("b"&amp;K1934+2)</f>
        <v>3.6999999999999998E+126</v>
      </c>
      <c r="K1934" s="19">
        <f t="shared" si="322"/>
        <v>4174</v>
      </c>
    </row>
    <row r="1935" spans="1:11">
      <c r="A1935">
        <v>1933</v>
      </c>
      <c r="B1935">
        <v>3.4749999999999999E+70</v>
      </c>
      <c r="D1935" s="18">
        <v>1933</v>
      </c>
      <c r="E1935" s="18" cm="1">
        <f t="array" aca="1" ref="E1935" ca="1">INDIRECT("b"&amp;F1935+2)</f>
        <v>4.1499999999999999E+96</v>
      </c>
      <c r="F1935" s="18">
        <f t="shared" si="311"/>
        <v>2976</v>
      </c>
      <c r="G1935" s="18"/>
      <c r="H1935" s="18"/>
      <c r="I1935" s="19">
        <v>1933</v>
      </c>
      <c r="J1935" s="19" cm="1">
        <f t="array" aca="1" ref="J1935" ca="1">INDIRECT("b"&amp;K1935+2)</f>
        <v>4.15E+126</v>
      </c>
      <c r="K1935" s="19">
        <f t="shared" si="322"/>
        <v>4176</v>
      </c>
    </row>
    <row r="1936" spans="1:11">
      <c r="A1936">
        <v>1934</v>
      </c>
      <c r="B1936">
        <v>3.6999999999999999E+70</v>
      </c>
      <c r="D1936" s="18">
        <v>1934</v>
      </c>
      <c r="E1936" s="18" cm="1">
        <f t="array" aca="1" ref="E1936" ca="1">INDIRECT("b"&amp;F1936+2)</f>
        <v>4.3750000000000001E+96</v>
      </c>
      <c r="F1936" s="18">
        <f t="shared" si="311"/>
        <v>2977</v>
      </c>
      <c r="G1936" s="18">
        <f t="shared" ref="G1936" ca="1" si="325">E1936/E1931</f>
        <v>1.5625</v>
      </c>
      <c r="H1936" s="18"/>
      <c r="I1936" s="19">
        <v>1934</v>
      </c>
      <c r="J1936" s="19" cm="1">
        <f t="array" aca="1" ref="J1936" ca="1">INDIRECT("b"&amp;K1936+2)</f>
        <v>4.3749999999999997E+126</v>
      </c>
      <c r="K1936" s="19">
        <f t="shared" si="322"/>
        <v>4177</v>
      </c>
    </row>
    <row r="1937" spans="1:11">
      <c r="A1937">
        <v>1935</v>
      </c>
      <c r="B1937">
        <v>3.9249999999999999E+70</v>
      </c>
      <c r="D1937" s="18">
        <v>1935</v>
      </c>
      <c r="E1937" s="18" cm="1">
        <f t="array" aca="1" ref="E1937" ca="1">INDIRECT("b"&amp;F1937+2)</f>
        <v>4.5999999999999994E+96</v>
      </c>
      <c r="F1937" s="18">
        <f t="shared" si="311"/>
        <v>2978</v>
      </c>
      <c r="G1937" s="18"/>
      <c r="H1937" s="18"/>
      <c r="I1937" s="19">
        <v>1935</v>
      </c>
      <c r="J1937" s="19" cm="1">
        <f t="array" aca="1" ref="J1937" ca="1">INDIRECT("b"&amp;K1937+2)</f>
        <v>4.6000000000000001E+126</v>
      </c>
      <c r="K1937" s="19">
        <f t="shared" si="322"/>
        <v>4178</v>
      </c>
    </row>
    <row r="1938" spans="1:11">
      <c r="A1938">
        <v>1936</v>
      </c>
      <c r="B1938">
        <v>4.1499999999999999E+70</v>
      </c>
      <c r="D1938" s="18">
        <v>1936</v>
      </c>
      <c r="E1938" s="18" cm="1">
        <f t="array" aca="1" ref="E1938" ca="1">INDIRECT("b"&amp;F1938+2)</f>
        <v>5.0499999999999998E+96</v>
      </c>
      <c r="F1938" s="18">
        <f t="shared" si="311"/>
        <v>2980</v>
      </c>
      <c r="G1938" s="18"/>
      <c r="H1938" s="18"/>
      <c r="I1938" s="19">
        <v>1936</v>
      </c>
      <c r="J1938" s="19" cm="1">
        <f t="array" aca="1" ref="J1938" ca="1">INDIRECT("b"&amp;K1938+2)</f>
        <v>5.0499999999999997E+126</v>
      </c>
      <c r="K1938" s="19">
        <f t="shared" si="322"/>
        <v>4180</v>
      </c>
    </row>
    <row r="1939" spans="1:11">
      <c r="A1939">
        <v>1937</v>
      </c>
      <c r="B1939">
        <v>4.3749999999999999E+70</v>
      </c>
      <c r="D1939" s="18">
        <v>1937</v>
      </c>
      <c r="E1939" s="18" cm="1">
        <f t="array" aca="1" ref="E1939" ca="1">INDIRECT("b"&amp;F1939+2)</f>
        <v>5.275E+96</v>
      </c>
      <c r="F1939" s="18">
        <f t="shared" ref="F1939:F2002" si="326">INT((A1939-123)*1.333333)+563</f>
        <v>2981</v>
      </c>
      <c r="G1939" s="18"/>
      <c r="H1939" s="18"/>
      <c r="I1939" s="19">
        <v>1937</v>
      </c>
      <c r="J1939" s="19" cm="1">
        <f t="array" aca="1" ref="J1939" ca="1">INDIRECT("b"&amp;K1939+2)</f>
        <v>5.275E+126</v>
      </c>
      <c r="K1939" s="19">
        <f t="shared" si="322"/>
        <v>4181</v>
      </c>
    </row>
    <row r="1940" spans="1:11">
      <c r="A1940">
        <v>1938</v>
      </c>
      <c r="B1940">
        <v>4.5999999999999999E+70</v>
      </c>
      <c r="D1940" s="18">
        <v>1938</v>
      </c>
      <c r="E1940" s="18" cm="1">
        <f t="array" aca="1" ref="E1940" ca="1">INDIRECT("b"&amp;F1940+2)</f>
        <v>5.5000000000000002E+96</v>
      </c>
      <c r="F1940" s="18">
        <f t="shared" si="326"/>
        <v>2982</v>
      </c>
      <c r="G1940" s="18"/>
      <c r="H1940" s="18"/>
      <c r="I1940" s="19">
        <v>1938</v>
      </c>
      <c r="J1940" s="19" cm="1">
        <f t="array" aca="1" ref="J1940" ca="1">INDIRECT("b"&amp;K1940+2)</f>
        <v>5.5000000000000004E+126</v>
      </c>
      <c r="K1940" s="19">
        <f t="shared" si="322"/>
        <v>4182</v>
      </c>
    </row>
    <row r="1941" spans="1:11">
      <c r="A1941">
        <v>1939</v>
      </c>
      <c r="B1941">
        <v>4.8249999999999999E+70</v>
      </c>
      <c r="D1941" s="18">
        <v>1939</v>
      </c>
      <c r="E1941" s="18" cm="1">
        <f t="array" aca="1" ref="E1941" ca="1">INDIRECT("b"&amp;F1941+2)</f>
        <v>5.9499999999999997E+96</v>
      </c>
      <c r="F1941" s="18">
        <f t="shared" si="326"/>
        <v>2984</v>
      </c>
      <c r="G1941" s="18">
        <f t="shared" ref="G1941" ca="1" si="327">E1941/E1936</f>
        <v>1.3599999999999999</v>
      </c>
      <c r="H1941" s="18"/>
      <c r="I1941" s="19">
        <v>1939</v>
      </c>
      <c r="J1941" s="19" cm="1">
        <f t="array" aca="1" ref="J1941" ca="1">INDIRECT("b"&amp;K1941+2)</f>
        <v>5.95E+126</v>
      </c>
      <c r="K1941" s="19">
        <f t="shared" si="322"/>
        <v>4184</v>
      </c>
    </row>
    <row r="1942" spans="1:11">
      <c r="A1942">
        <v>1940</v>
      </c>
      <c r="B1942">
        <v>5.0500000000000005E+70</v>
      </c>
      <c r="D1942" s="18">
        <v>1940</v>
      </c>
      <c r="E1942" s="18" cm="1">
        <f t="array" aca="1" ref="E1942" ca="1">INDIRECT("b"&amp;F1942+2)</f>
        <v>6.1749999999999999E+96</v>
      </c>
      <c r="F1942" s="18">
        <f t="shared" si="326"/>
        <v>2985</v>
      </c>
      <c r="G1942" s="18"/>
      <c r="H1942" s="18"/>
      <c r="I1942" s="19">
        <v>1940</v>
      </c>
      <c r="J1942" s="19" cm="1">
        <f t="array" aca="1" ref="J1942" ca="1">INDIRECT("b"&amp;K1942+2)</f>
        <v>6.1749999999999997E+126</v>
      </c>
      <c r="K1942" s="19">
        <f t="shared" si="322"/>
        <v>4185</v>
      </c>
    </row>
    <row r="1943" spans="1:11">
      <c r="A1943">
        <v>1941</v>
      </c>
      <c r="B1943">
        <v>5.2750000000000005E+70</v>
      </c>
      <c r="D1943" s="18">
        <v>1941</v>
      </c>
      <c r="E1943" s="18" cm="1">
        <f t="array" aca="1" ref="E1943" ca="1">INDIRECT("b"&amp;F1943+2)</f>
        <v>6.4000000000000001E+96</v>
      </c>
      <c r="F1943" s="18">
        <f t="shared" si="326"/>
        <v>2986</v>
      </c>
      <c r="G1943" s="18"/>
      <c r="H1943" s="18"/>
      <c r="I1943" s="19">
        <v>1941</v>
      </c>
      <c r="J1943" s="19" cm="1">
        <f t="array" aca="1" ref="J1943" ca="1">INDIRECT("b"&amp;K1943+2)</f>
        <v>6.3999999999999995E+126</v>
      </c>
      <c r="K1943" s="19">
        <f t="shared" si="322"/>
        <v>4186</v>
      </c>
    </row>
    <row r="1944" spans="1:11">
      <c r="A1944">
        <v>1942</v>
      </c>
      <c r="B1944">
        <v>5.5000000000000005E+70</v>
      </c>
      <c r="D1944" s="18">
        <v>1942</v>
      </c>
      <c r="E1944" s="18" cm="1">
        <f t="array" aca="1" ref="E1944" ca="1">INDIRECT("b"&amp;F1944+2)</f>
        <v>6.8499999999999996E+96</v>
      </c>
      <c r="F1944" s="18">
        <f t="shared" si="326"/>
        <v>2988</v>
      </c>
      <c r="G1944" s="18"/>
      <c r="H1944" s="18"/>
      <c r="I1944" s="19">
        <v>1942</v>
      </c>
      <c r="J1944" s="19" cm="1">
        <f t="array" aca="1" ref="J1944" ca="1">INDIRECT("b"&amp;K1944+2)</f>
        <v>6.8500000000000003E+126</v>
      </c>
      <c r="K1944" s="19">
        <f t="shared" si="322"/>
        <v>4188</v>
      </c>
    </row>
    <row r="1945" spans="1:11">
      <c r="A1945">
        <v>1943</v>
      </c>
      <c r="B1945">
        <v>5.7249999999999999E+70</v>
      </c>
      <c r="D1945" s="18">
        <v>1943</v>
      </c>
      <c r="E1945" s="18" cm="1">
        <f t="array" aca="1" ref="E1945" ca="1">INDIRECT("b"&amp;F1945+2)</f>
        <v>7.0749999999999998E+96</v>
      </c>
      <c r="F1945" s="18">
        <f t="shared" si="326"/>
        <v>2989</v>
      </c>
      <c r="G1945" s="18"/>
      <c r="H1945" s="18"/>
      <c r="I1945" s="19">
        <v>1943</v>
      </c>
      <c r="J1945" s="19" cm="1">
        <f t="array" aca="1" ref="J1945" ca="1">INDIRECT("b"&amp;K1945+2)</f>
        <v>7.0750000000000001E+126</v>
      </c>
      <c r="K1945" s="19">
        <f t="shared" si="322"/>
        <v>4189</v>
      </c>
    </row>
    <row r="1946" spans="1:11">
      <c r="A1946">
        <v>1944</v>
      </c>
      <c r="B1946">
        <v>5.9500000000000005E+70</v>
      </c>
      <c r="D1946" s="18">
        <v>1944</v>
      </c>
      <c r="E1946" s="18" cm="1">
        <f t="array" aca="1" ref="E1946" ca="1">INDIRECT("b"&amp;F1946+2)</f>
        <v>7.3E+96</v>
      </c>
      <c r="F1946" s="18">
        <f t="shared" si="326"/>
        <v>2990</v>
      </c>
      <c r="G1946" s="18">
        <f t="shared" ref="G1946" ca="1" si="328">E1946/E1941</f>
        <v>1.2268907563025211</v>
      </c>
      <c r="H1946" s="18"/>
      <c r="I1946" s="19">
        <v>1944</v>
      </c>
      <c r="J1946" s="19" cm="1">
        <f t="array" aca="1" ref="J1946" ca="1">INDIRECT("b"&amp;K1946+2)</f>
        <v>7.2999999999999998E+126</v>
      </c>
      <c r="K1946" s="19">
        <f t="shared" si="322"/>
        <v>4190</v>
      </c>
    </row>
    <row r="1947" spans="1:11">
      <c r="A1947">
        <v>1945</v>
      </c>
      <c r="B1947">
        <v>6.1749999999999999E+70</v>
      </c>
      <c r="D1947" s="18">
        <v>1945</v>
      </c>
      <c r="E1947" s="18" cm="1">
        <f t="array" aca="1" ref="E1947" ca="1">INDIRECT("b"&amp;F1947+2)</f>
        <v>7.7499999999999995E+96</v>
      </c>
      <c r="F1947" s="18">
        <f t="shared" si="326"/>
        <v>2992</v>
      </c>
      <c r="G1947" s="18"/>
      <c r="H1947" s="18"/>
      <c r="I1947" s="19">
        <v>1945</v>
      </c>
      <c r="J1947" s="19" cm="1">
        <f t="array" aca="1" ref="J1947" ca="1">INDIRECT("b"&amp;K1947+2)</f>
        <v>7.7499999999999994E+126</v>
      </c>
      <c r="K1947" s="19">
        <f t="shared" si="322"/>
        <v>4192</v>
      </c>
    </row>
    <row r="1948" spans="1:11">
      <c r="A1948">
        <v>1946</v>
      </c>
      <c r="B1948">
        <v>6.4000000000000005E+70</v>
      </c>
      <c r="D1948" s="18">
        <v>1946</v>
      </c>
      <c r="E1948" s="18" cm="1">
        <f t="array" aca="1" ref="E1948" ca="1">INDIRECT("b"&amp;F1948+2)</f>
        <v>7.9749999999999997E+96</v>
      </c>
      <c r="F1948" s="18">
        <f t="shared" si="326"/>
        <v>2993</v>
      </c>
      <c r="G1948" s="18"/>
      <c r="H1948" s="18"/>
      <c r="I1948" s="19">
        <v>1946</v>
      </c>
      <c r="J1948" s="19" cm="1">
        <f t="array" aca="1" ref="J1948" ca="1">INDIRECT("b"&amp;K1948+2)</f>
        <v>7.9749999999999992E+126</v>
      </c>
      <c r="K1948" s="19">
        <f t="shared" si="322"/>
        <v>4193</v>
      </c>
    </row>
    <row r="1949" spans="1:11">
      <c r="A1949">
        <v>1947</v>
      </c>
      <c r="B1949">
        <v>6.6249999999999998E+70</v>
      </c>
      <c r="D1949" s="18">
        <v>1947</v>
      </c>
      <c r="E1949" s="18" cm="1">
        <f t="array" aca="1" ref="E1949" ca="1">INDIRECT("b"&amp;F1949+2)</f>
        <v>8.2E+96</v>
      </c>
      <c r="F1949" s="18">
        <f t="shared" si="326"/>
        <v>2994</v>
      </c>
      <c r="G1949" s="18"/>
      <c r="H1949" s="18"/>
      <c r="I1949" s="19">
        <v>1947</v>
      </c>
      <c r="J1949" s="19" cm="1">
        <f t="array" aca="1" ref="J1949" ca="1">INDIRECT("b"&amp;K1949+2)</f>
        <v>8.2000000000000001E+126</v>
      </c>
      <c r="K1949" s="19">
        <f t="shared" si="322"/>
        <v>4194</v>
      </c>
    </row>
    <row r="1950" spans="1:11">
      <c r="A1950">
        <v>1948</v>
      </c>
      <c r="B1950">
        <v>6.8500000000000005E+70</v>
      </c>
      <c r="D1950" s="18">
        <v>1948</v>
      </c>
      <c r="E1950" s="18" cm="1">
        <f t="array" aca="1" ref="E1950" ca="1">INDIRECT("b"&amp;F1950+2)</f>
        <v>8.6499999999999994E+96</v>
      </c>
      <c r="F1950" s="18">
        <f t="shared" si="326"/>
        <v>2996</v>
      </c>
      <c r="G1950" s="18"/>
      <c r="H1950" s="18"/>
      <c r="I1950" s="19">
        <v>1948</v>
      </c>
      <c r="J1950" s="19" cm="1">
        <f t="array" aca="1" ref="J1950" ca="1">INDIRECT("b"&amp;K1950+2)</f>
        <v>8.6499999999999997E+126</v>
      </c>
      <c r="K1950" s="19">
        <f t="shared" si="322"/>
        <v>4196</v>
      </c>
    </row>
    <row r="1951" spans="1:11">
      <c r="A1951">
        <v>1949</v>
      </c>
      <c r="B1951">
        <v>7.0749999999999998E+70</v>
      </c>
      <c r="D1951" s="18">
        <v>1949</v>
      </c>
      <c r="E1951" s="18" cm="1">
        <f t="array" aca="1" ref="E1951" ca="1">INDIRECT("b"&amp;F1951+2)</f>
        <v>8.8749999999999987E+96</v>
      </c>
      <c r="F1951" s="18">
        <f t="shared" si="326"/>
        <v>2997</v>
      </c>
      <c r="G1951" s="18">
        <f t="shared" ref="G1951" ca="1" si="329">E1951/E1946</f>
        <v>1.2157534246575341</v>
      </c>
      <c r="H1951" s="18"/>
      <c r="I1951" s="19">
        <v>1949</v>
      </c>
      <c r="J1951" s="19" cm="1">
        <f t="array" aca="1" ref="J1951" ca="1">INDIRECT("b"&amp;K1951+2)</f>
        <v>8.8749999999999995E+126</v>
      </c>
      <c r="K1951" s="19">
        <f t="shared" si="322"/>
        <v>4197</v>
      </c>
    </row>
    <row r="1952" spans="1:11">
      <c r="A1952">
        <v>1950</v>
      </c>
      <c r="B1952">
        <v>7.3000000000000005E+70</v>
      </c>
      <c r="D1952" s="18">
        <v>1950</v>
      </c>
      <c r="E1952" s="18" cm="1">
        <f t="array" aca="1" ref="E1952" ca="1">INDIRECT("b"&amp;F1952+2)</f>
        <v>9.0999999999999999E+96</v>
      </c>
      <c r="F1952" s="18">
        <f t="shared" si="326"/>
        <v>2998</v>
      </c>
      <c r="G1952" s="18"/>
      <c r="H1952" s="18"/>
      <c r="I1952" s="19">
        <v>1950</v>
      </c>
      <c r="J1952" s="19" cm="1">
        <f t="array" aca="1" ref="J1952" ca="1">INDIRECT("b"&amp;K1952+2)</f>
        <v>9.0999999999999992E+126</v>
      </c>
      <c r="K1952" s="19">
        <f t="shared" si="322"/>
        <v>4198</v>
      </c>
    </row>
    <row r="1953" spans="1:11">
      <c r="A1953">
        <v>1951</v>
      </c>
      <c r="B1953">
        <v>7.5249999999999998E+70</v>
      </c>
      <c r="D1953" s="18">
        <v>1951</v>
      </c>
      <c r="E1953" s="18" cm="1">
        <f t="array" aca="1" ref="E1953" ca="1">INDIRECT("b"&amp;F1953+2)</f>
        <v>9.5500000000000003E+96</v>
      </c>
      <c r="F1953" s="18">
        <f t="shared" si="326"/>
        <v>3000</v>
      </c>
      <c r="G1953" s="18"/>
      <c r="H1953" s="18"/>
      <c r="I1953" s="19">
        <v>1951</v>
      </c>
      <c r="J1953" s="19" cm="1">
        <f t="array" aca="1" ref="J1953" ca="1">INDIRECT("b"&amp;K1953+2)</f>
        <v>9.55E+126</v>
      </c>
      <c r="K1953" s="19">
        <f t="shared" si="322"/>
        <v>4200</v>
      </c>
    </row>
    <row r="1954" spans="1:11">
      <c r="A1954">
        <v>1952</v>
      </c>
      <c r="B1954">
        <v>7.7500000000000004E+70</v>
      </c>
      <c r="D1954" s="18">
        <v>1952</v>
      </c>
      <c r="E1954" s="18" cm="1">
        <f t="array" aca="1" ref="E1954" ca="1">INDIRECT("b"&amp;F1954+2)</f>
        <v>9.7749999999999996E+96</v>
      </c>
      <c r="F1954" s="18">
        <f t="shared" si="326"/>
        <v>3001</v>
      </c>
      <c r="G1954" s="18"/>
      <c r="H1954" s="18"/>
      <c r="I1954" s="19">
        <v>1952</v>
      </c>
      <c r="J1954" s="19" cm="1">
        <f t="array" aca="1" ref="J1954" ca="1">INDIRECT("b"&amp;K1954+2)</f>
        <v>9.7749999999999998E+126</v>
      </c>
      <c r="K1954" s="19">
        <f t="shared" si="322"/>
        <v>4201</v>
      </c>
    </row>
    <row r="1955" spans="1:11">
      <c r="A1955">
        <v>1953</v>
      </c>
      <c r="B1955">
        <v>7.9749999999999998E+70</v>
      </c>
      <c r="D1955" s="18">
        <v>1953</v>
      </c>
      <c r="E1955" s="18" cm="1">
        <f t="array" aca="1" ref="E1955" ca="1">INDIRECT("b"&amp;F1955+2)</f>
        <v>1.0000000000000001E+97</v>
      </c>
      <c r="F1955" s="18">
        <f t="shared" si="326"/>
        <v>3002</v>
      </c>
      <c r="G1955" s="18"/>
      <c r="H1955" s="18"/>
      <c r="I1955" s="19">
        <v>1953</v>
      </c>
      <c r="J1955" s="19" cm="1">
        <f t="array" aca="1" ref="J1955" ca="1">INDIRECT("b"&amp;K1955+2)</f>
        <v>9.9999999999999995E+126</v>
      </c>
      <c r="K1955" s="19">
        <f t="shared" si="322"/>
        <v>4202</v>
      </c>
    </row>
    <row r="1956" spans="1:11">
      <c r="A1956">
        <v>1954</v>
      </c>
      <c r="B1956">
        <v>8.2000000000000004E+70</v>
      </c>
      <c r="D1956" s="18">
        <v>1954</v>
      </c>
      <c r="E1956" s="18" cm="1">
        <f t="array" aca="1" ref="E1956" ca="1">INDIRECT("b"&amp;F1956+2)</f>
        <v>1.4499999999999999E+97</v>
      </c>
      <c r="F1956" s="18">
        <f t="shared" si="326"/>
        <v>3004</v>
      </c>
      <c r="G1956" s="18">
        <f t="shared" ref="G1956" ca="1" si="330">E1956/E1951</f>
        <v>1.6338028169014087</v>
      </c>
      <c r="H1956" s="18"/>
      <c r="I1956" s="19">
        <v>1954</v>
      </c>
      <c r="J1956" s="19" cm="1">
        <f t="array" aca="1" ref="J1956" ca="1">INDIRECT("b"&amp;K1956+2)</f>
        <v>1.4499999999999999E+127</v>
      </c>
      <c r="K1956" s="19">
        <f t="shared" si="322"/>
        <v>4204</v>
      </c>
    </row>
    <row r="1957" spans="1:11">
      <c r="A1957">
        <v>1955</v>
      </c>
      <c r="B1957">
        <v>8.4249999999999998E+70</v>
      </c>
      <c r="D1957" s="18">
        <v>1955</v>
      </c>
      <c r="E1957" s="18" cm="1">
        <f t="array" aca="1" ref="E1957" ca="1">INDIRECT("b"&amp;F1957+2)</f>
        <v>1.675E+97</v>
      </c>
      <c r="F1957" s="18">
        <f t="shared" si="326"/>
        <v>3005</v>
      </c>
      <c r="G1957" s="18"/>
      <c r="H1957" s="18"/>
      <c r="I1957" s="19">
        <v>1955</v>
      </c>
      <c r="J1957" s="19" cm="1">
        <f t="array" aca="1" ref="J1957" ca="1">INDIRECT("b"&amp;K1957+2)</f>
        <v>1.6749999999999999E+127</v>
      </c>
      <c r="K1957" s="19">
        <f t="shared" si="322"/>
        <v>4205</v>
      </c>
    </row>
    <row r="1958" spans="1:11">
      <c r="A1958">
        <v>1956</v>
      </c>
      <c r="B1958">
        <v>8.6500000000000004E+70</v>
      </c>
      <c r="D1958" s="18">
        <v>1956</v>
      </c>
      <c r="E1958" s="18" cm="1">
        <f t="array" aca="1" ref="E1958" ca="1">INDIRECT("b"&amp;F1958+2)</f>
        <v>1.9000000000000002E+97</v>
      </c>
      <c r="F1958" s="18">
        <f t="shared" si="326"/>
        <v>3006</v>
      </c>
      <c r="G1958" s="18"/>
      <c r="H1958" s="18"/>
      <c r="I1958" s="19">
        <v>1956</v>
      </c>
      <c r="J1958" s="19" cm="1">
        <f t="array" aca="1" ref="J1958" ca="1">INDIRECT("b"&amp;K1958+2)</f>
        <v>1.8999999999999999E+127</v>
      </c>
      <c r="K1958" s="19">
        <f t="shared" si="322"/>
        <v>4206</v>
      </c>
    </row>
    <row r="1959" spans="1:11">
      <c r="A1959">
        <v>1957</v>
      </c>
      <c r="B1959">
        <v>8.8749999999999998E+70</v>
      </c>
      <c r="D1959" s="18">
        <v>1957</v>
      </c>
      <c r="E1959" s="18" cm="1">
        <f t="array" aca="1" ref="E1959" ca="1">INDIRECT("b"&amp;F1959+2)</f>
        <v>2.3499999999999999E+97</v>
      </c>
      <c r="F1959" s="18">
        <f t="shared" si="326"/>
        <v>3008</v>
      </c>
      <c r="G1959" s="18"/>
      <c r="H1959" s="18"/>
      <c r="I1959" s="19">
        <v>1957</v>
      </c>
      <c r="J1959" s="19" cm="1">
        <f t="array" aca="1" ref="J1959" ca="1">INDIRECT("b"&amp;K1959+2)</f>
        <v>2.3499999999999997E+127</v>
      </c>
      <c r="K1959" s="19">
        <f t="shared" si="322"/>
        <v>4208</v>
      </c>
    </row>
    <row r="1960" spans="1:11">
      <c r="A1960">
        <v>1958</v>
      </c>
      <c r="B1960">
        <v>9.1000000000000004E+70</v>
      </c>
      <c r="D1960" s="18">
        <v>1958</v>
      </c>
      <c r="E1960" s="18" cm="1">
        <f t="array" aca="1" ref="E1960" ca="1">INDIRECT("b"&amp;F1960+2)</f>
        <v>2.5749999999999999E+97</v>
      </c>
      <c r="F1960" s="18">
        <f t="shared" si="326"/>
        <v>3009</v>
      </c>
      <c r="G1960" s="18"/>
      <c r="H1960" s="18"/>
      <c r="I1960" s="19">
        <v>1958</v>
      </c>
      <c r="J1960" s="19" cm="1">
        <f t="array" aca="1" ref="J1960" ca="1">INDIRECT("b"&amp;K1960+2)</f>
        <v>2.575E+127</v>
      </c>
      <c r="K1960" s="19">
        <f t="shared" si="322"/>
        <v>4209</v>
      </c>
    </row>
    <row r="1961" spans="1:11">
      <c r="A1961">
        <v>1959</v>
      </c>
      <c r="B1961">
        <v>9.3249999999999998E+70</v>
      </c>
      <c r="D1961" s="18">
        <v>1959</v>
      </c>
      <c r="E1961" s="18" cm="1">
        <f t="array" aca="1" ref="E1961" ca="1">INDIRECT("b"&amp;F1961+2)</f>
        <v>2.7999999999999999E+97</v>
      </c>
      <c r="F1961" s="18">
        <f t="shared" si="326"/>
        <v>3010</v>
      </c>
      <c r="G1961" s="18">
        <f t="shared" ref="G1961" ca="1" si="331">E1961/E1956</f>
        <v>1.9310344827586208</v>
      </c>
      <c r="H1961" s="18"/>
      <c r="I1961" s="19">
        <v>1959</v>
      </c>
      <c r="J1961" s="19" cm="1">
        <f t="array" aca="1" ref="J1961" ca="1">INDIRECT("b"&amp;K1961+2)</f>
        <v>2.7999999999999997E+127</v>
      </c>
      <c r="K1961" s="19">
        <f t="shared" si="322"/>
        <v>4210</v>
      </c>
    </row>
    <row r="1962" spans="1:11">
      <c r="A1962">
        <v>1960</v>
      </c>
      <c r="B1962">
        <v>9.5500000000000004E+70</v>
      </c>
      <c r="D1962" s="18">
        <v>1960</v>
      </c>
      <c r="E1962" s="18" cm="1">
        <f t="array" aca="1" ref="E1962" ca="1">INDIRECT("b"&amp;F1962+2)</f>
        <v>3.25E+97</v>
      </c>
      <c r="F1962" s="18">
        <f t="shared" si="326"/>
        <v>3012</v>
      </c>
      <c r="G1962" s="18"/>
      <c r="H1962" s="18"/>
      <c r="I1962" s="19">
        <v>1960</v>
      </c>
      <c r="J1962" s="19" cm="1">
        <f t="array" aca="1" ref="J1962" ca="1">INDIRECT("b"&amp;K1962+2)</f>
        <v>3.2499999999999998E+127</v>
      </c>
      <c r="K1962" s="19">
        <f t="shared" si="322"/>
        <v>4212</v>
      </c>
    </row>
    <row r="1963" spans="1:11">
      <c r="A1963">
        <v>1961</v>
      </c>
      <c r="B1963">
        <v>9.7749999999999998E+70</v>
      </c>
      <c r="D1963" s="18">
        <v>1961</v>
      </c>
      <c r="E1963" s="18" cm="1">
        <f t="array" aca="1" ref="E1963" ca="1">INDIRECT("b"&amp;F1963+2)</f>
        <v>3.4750000000000004E+97</v>
      </c>
      <c r="F1963" s="18">
        <f t="shared" si="326"/>
        <v>3013</v>
      </c>
      <c r="G1963" s="18"/>
      <c r="H1963" s="18"/>
      <c r="I1963" s="19">
        <v>1961</v>
      </c>
      <c r="J1963" s="19" cm="1">
        <f t="array" aca="1" ref="J1963" ca="1">INDIRECT("b"&amp;K1963+2)</f>
        <v>3.475E+127</v>
      </c>
      <c r="K1963" s="19">
        <f t="shared" si="322"/>
        <v>4213</v>
      </c>
    </row>
    <row r="1964" spans="1:11">
      <c r="A1964">
        <v>1962</v>
      </c>
      <c r="B1964">
        <v>1E+71</v>
      </c>
      <c r="D1964" s="18">
        <v>1962</v>
      </c>
      <c r="E1964" s="18" cm="1">
        <f t="array" aca="1" ref="E1964" ca="1">INDIRECT("b"&amp;F1964+2)</f>
        <v>3.7E+97</v>
      </c>
      <c r="F1964" s="18">
        <f t="shared" si="326"/>
        <v>3014</v>
      </c>
      <c r="G1964" s="18"/>
      <c r="H1964" s="18"/>
      <c r="I1964" s="19">
        <v>1962</v>
      </c>
      <c r="J1964" s="19" cm="1">
        <f t="array" aca="1" ref="J1964" ca="1">INDIRECT("b"&amp;K1964+2)</f>
        <v>3.6999999999999998E+127</v>
      </c>
      <c r="K1964" s="19">
        <f t="shared" si="322"/>
        <v>4214</v>
      </c>
    </row>
    <row r="1965" spans="1:11">
      <c r="A1965">
        <v>1963</v>
      </c>
      <c r="B1965">
        <v>1.2250000000000002E+71</v>
      </c>
      <c r="D1965" s="18">
        <v>1963</v>
      </c>
      <c r="E1965" s="18" cm="1">
        <f t="array" aca="1" ref="E1965" ca="1">INDIRECT("b"&amp;F1965+2)</f>
        <v>4.1500000000000001E+97</v>
      </c>
      <c r="F1965" s="18">
        <f t="shared" si="326"/>
        <v>3016</v>
      </c>
      <c r="G1965" s="18"/>
      <c r="H1965" s="18"/>
      <c r="I1965" s="19">
        <v>1963</v>
      </c>
      <c r="J1965" s="19" cm="1">
        <f t="array" aca="1" ref="J1965" ca="1">INDIRECT("b"&amp;K1965+2)</f>
        <v>4.1499999999999998E+127</v>
      </c>
      <c r="K1965" s="19">
        <f t="shared" si="322"/>
        <v>4216</v>
      </c>
    </row>
    <row r="1966" spans="1:11">
      <c r="A1966">
        <v>1964</v>
      </c>
      <c r="B1966">
        <v>1.45E+71</v>
      </c>
      <c r="D1966" s="18">
        <v>1964</v>
      </c>
      <c r="E1966" s="18" cm="1">
        <f t="array" aca="1" ref="E1966" ca="1">INDIRECT("b"&amp;F1966+2)</f>
        <v>4.3749999999999997E+97</v>
      </c>
      <c r="F1966" s="18">
        <f t="shared" si="326"/>
        <v>3017</v>
      </c>
      <c r="G1966" s="18">
        <f t="shared" ref="G1966" ca="1" si="332">E1966/E1961</f>
        <v>1.5625</v>
      </c>
      <c r="H1966" s="18"/>
      <c r="I1966" s="19">
        <v>1964</v>
      </c>
      <c r="J1966" s="19" cm="1">
        <f t="array" aca="1" ref="J1966" ca="1">INDIRECT("b"&amp;K1966+2)</f>
        <v>4.3749999999999996E+127</v>
      </c>
      <c r="K1966" s="19">
        <f t="shared" si="322"/>
        <v>4217</v>
      </c>
    </row>
    <row r="1967" spans="1:11">
      <c r="A1967">
        <v>1965</v>
      </c>
      <c r="B1967">
        <v>1.6750000000000002E+71</v>
      </c>
      <c r="D1967" s="18">
        <v>1965</v>
      </c>
      <c r="E1967" s="18" cm="1">
        <f t="array" aca="1" ref="E1967" ca="1">INDIRECT("b"&amp;F1967+2)</f>
        <v>4.6000000000000001E+97</v>
      </c>
      <c r="F1967" s="18">
        <f t="shared" si="326"/>
        <v>3018</v>
      </c>
      <c r="G1967" s="18"/>
      <c r="H1967" s="18"/>
      <c r="I1967" s="19">
        <v>1965</v>
      </c>
      <c r="J1967" s="19" cm="1">
        <f t="array" aca="1" ref="J1967" ca="1">INDIRECT("b"&amp;K1967+2)</f>
        <v>4.5999999999999994E+127</v>
      </c>
      <c r="K1967" s="19">
        <f t="shared" si="322"/>
        <v>4218</v>
      </c>
    </row>
    <row r="1968" spans="1:11">
      <c r="A1968">
        <v>1966</v>
      </c>
      <c r="B1968">
        <v>1.9E+71</v>
      </c>
      <c r="D1968" s="18">
        <v>1966</v>
      </c>
      <c r="E1968" s="18" cm="1">
        <f t="array" aca="1" ref="E1968" ca="1">INDIRECT("b"&amp;F1968+2)</f>
        <v>5.0500000000000002E+97</v>
      </c>
      <c r="F1968" s="18">
        <f t="shared" si="326"/>
        <v>3020</v>
      </c>
      <c r="G1968" s="18"/>
      <c r="H1968" s="18"/>
      <c r="I1968" s="19">
        <v>1966</v>
      </c>
      <c r="J1968" s="19" cm="1">
        <f t="array" aca="1" ref="J1968" ca="1">INDIRECT("b"&amp;K1968+2)</f>
        <v>5.0499999999999999E+127</v>
      </c>
      <c r="K1968" s="19">
        <f t="shared" si="322"/>
        <v>4220</v>
      </c>
    </row>
    <row r="1969" spans="1:11">
      <c r="A1969">
        <v>1967</v>
      </c>
      <c r="B1969">
        <v>2.1250000000000002E+71</v>
      </c>
      <c r="D1969" s="18">
        <v>1967</v>
      </c>
      <c r="E1969" s="18" cm="1">
        <f t="array" aca="1" ref="E1969" ca="1">INDIRECT("b"&amp;F1969+2)</f>
        <v>5.2749999999999998E+97</v>
      </c>
      <c r="F1969" s="18">
        <f t="shared" si="326"/>
        <v>3021</v>
      </c>
      <c r="G1969" s="18"/>
      <c r="H1969" s="18"/>
      <c r="I1969" s="19">
        <v>1967</v>
      </c>
      <c r="J1969" s="19" cm="1">
        <f t="array" aca="1" ref="J1969" ca="1">INDIRECT("b"&amp;K1969+2)</f>
        <v>5.2749999999999997E+127</v>
      </c>
      <c r="K1969" s="19">
        <f t="shared" si="322"/>
        <v>4221</v>
      </c>
    </row>
    <row r="1970" spans="1:11">
      <c r="A1970">
        <v>1968</v>
      </c>
      <c r="B1970">
        <v>2.3500000000000003E+71</v>
      </c>
      <c r="D1970" s="18">
        <v>1968</v>
      </c>
      <c r="E1970" s="18" cm="1">
        <f t="array" aca="1" ref="E1970" ca="1">INDIRECT("b"&amp;F1970+2)</f>
        <v>5.5000000000000002E+97</v>
      </c>
      <c r="F1970" s="18">
        <f t="shared" si="326"/>
        <v>3022</v>
      </c>
      <c r="G1970" s="18"/>
      <c r="H1970" s="18"/>
      <c r="I1970" s="19">
        <v>1968</v>
      </c>
      <c r="J1970" s="19" cm="1">
        <f t="array" aca="1" ref="J1970" ca="1">INDIRECT("b"&amp;K1970+2)</f>
        <v>5.4999999999999995E+127</v>
      </c>
      <c r="K1970" s="19">
        <f t="shared" si="322"/>
        <v>4222</v>
      </c>
    </row>
    <row r="1971" spans="1:11">
      <c r="A1971">
        <v>1969</v>
      </c>
      <c r="B1971">
        <v>2.5750000000000001E+71</v>
      </c>
      <c r="D1971" s="18">
        <v>1969</v>
      </c>
      <c r="E1971" s="18" cm="1">
        <f t="array" aca="1" ref="E1971" ca="1">INDIRECT("b"&amp;F1971+2)</f>
        <v>5.9500000000000003E+97</v>
      </c>
      <c r="F1971" s="18">
        <f t="shared" si="326"/>
        <v>3024</v>
      </c>
      <c r="G1971" s="18">
        <f t="shared" ref="G1971" ca="1" si="333">E1971/E1966</f>
        <v>1.36</v>
      </c>
      <c r="H1971" s="18"/>
      <c r="I1971" s="19">
        <v>1969</v>
      </c>
      <c r="J1971" s="19" cm="1">
        <f t="array" aca="1" ref="J1971" ca="1">INDIRECT("b"&amp;K1971+2)</f>
        <v>5.95E+127</v>
      </c>
      <c r="K1971" s="19">
        <f t="shared" si="322"/>
        <v>4224</v>
      </c>
    </row>
    <row r="1972" spans="1:11">
      <c r="A1972">
        <v>1970</v>
      </c>
      <c r="B1972">
        <v>2.8E+71</v>
      </c>
      <c r="D1972" s="18">
        <v>1970</v>
      </c>
      <c r="E1972" s="18" cm="1">
        <f t="array" aca="1" ref="E1972" ca="1">INDIRECT("b"&amp;F1972+2)</f>
        <v>6.1749999999999999E+97</v>
      </c>
      <c r="F1972" s="18">
        <f t="shared" si="326"/>
        <v>3025</v>
      </c>
      <c r="G1972" s="18"/>
      <c r="H1972" s="18"/>
      <c r="I1972" s="19">
        <v>1970</v>
      </c>
      <c r="J1972" s="19" cm="1">
        <f t="array" aca="1" ref="J1972" ca="1">INDIRECT("b"&amp;K1972+2)</f>
        <v>6.1749999999999997E+127</v>
      </c>
      <c r="K1972" s="19">
        <f t="shared" si="322"/>
        <v>4225</v>
      </c>
    </row>
    <row r="1973" spans="1:11">
      <c r="A1973">
        <v>1971</v>
      </c>
      <c r="B1973">
        <v>3.0250000000000004E+71</v>
      </c>
      <c r="D1973" s="18">
        <v>1971</v>
      </c>
      <c r="E1973" s="18" cm="1">
        <f t="array" aca="1" ref="E1973" ca="1">INDIRECT("b"&amp;F1973+2)</f>
        <v>6.4000000000000003E+97</v>
      </c>
      <c r="F1973" s="18">
        <f t="shared" si="326"/>
        <v>3026</v>
      </c>
      <c r="G1973" s="18"/>
      <c r="H1973" s="18"/>
      <c r="I1973" s="19">
        <v>1971</v>
      </c>
      <c r="J1973" s="19" cm="1">
        <f t="array" aca="1" ref="J1973" ca="1">INDIRECT("b"&amp;K1973+2)</f>
        <v>6.3999999999999995E+127</v>
      </c>
      <c r="K1973" s="19">
        <f t="shared" si="322"/>
        <v>4226</v>
      </c>
    </row>
    <row r="1974" spans="1:11">
      <c r="A1974">
        <v>1972</v>
      </c>
      <c r="B1974">
        <v>3.2500000000000003E+71</v>
      </c>
      <c r="D1974" s="18">
        <v>1972</v>
      </c>
      <c r="E1974" s="18" cm="1">
        <f t="array" aca="1" ref="E1974" ca="1">INDIRECT("b"&amp;F1974+2)</f>
        <v>6.8500000000000004E+97</v>
      </c>
      <c r="F1974" s="18">
        <f t="shared" si="326"/>
        <v>3028</v>
      </c>
      <c r="G1974" s="18"/>
      <c r="H1974" s="18"/>
      <c r="I1974" s="19">
        <v>1972</v>
      </c>
      <c r="J1974" s="19" cm="1">
        <f t="array" aca="1" ref="J1974" ca="1">INDIRECT("b"&amp;K1974+2)</f>
        <v>6.85E+127</v>
      </c>
      <c r="K1974" s="19">
        <f t="shared" si="322"/>
        <v>4228</v>
      </c>
    </row>
    <row r="1975" spans="1:11">
      <c r="A1975">
        <v>1973</v>
      </c>
      <c r="B1975">
        <v>3.4750000000000001E+71</v>
      </c>
      <c r="D1975" s="18">
        <v>1973</v>
      </c>
      <c r="E1975" s="18" cm="1">
        <f t="array" aca="1" ref="E1975" ca="1">INDIRECT("b"&amp;F1975+2)</f>
        <v>7.075E+97</v>
      </c>
      <c r="F1975" s="18">
        <f t="shared" si="326"/>
        <v>3029</v>
      </c>
      <c r="G1975" s="18"/>
      <c r="H1975" s="18"/>
      <c r="I1975" s="19">
        <v>1973</v>
      </c>
      <c r="J1975" s="19" cm="1">
        <f t="array" aca="1" ref="J1975" ca="1">INDIRECT("b"&amp;K1975+2)</f>
        <v>7.0749999999999998E+127</v>
      </c>
      <c r="K1975" s="19">
        <f t="shared" si="322"/>
        <v>4229</v>
      </c>
    </row>
    <row r="1976" spans="1:11">
      <c r="A1976">
        <v>1974</v>
      </c>
      <c r="B1976">
        <v>3.7E+71</v>
      </c>
      <c r="D1976" s="18">
        <v>1974</v>
      </c>
      <c r="E1976" s="18" cm="1">
        <f t="array" aca="1" ref="E1976" ca="1">INDIRECT("b"&amp;F1976+2)</f>
        <v>7.2999999999999997E+97</v>
      </c>
      <c r="F1976" s="18">
        <f t="shared" si="326"/>
        <v>3030</v>
      </c>
      <c r="G1976" s="18">
        <f t="shared" ref="G1976" ca="1" si="334">E1976/E1971</f>
        <v>1.2268907563025209</v>
      </c>
      <c r="H1976" s="18"/>
      <c r="I1976" s="19">
        <v>1974</v>
      </c>
      <c r="J1976" s="19" cm="1">
        <f t="array" aca="1" ref="J1976" ca="1">INDIRECT("b"&amp;K1976+2)</f>
        <v>7.2999999999999996E+127</v>
      </c>
      <c r="K1976" s="19">
        <f t="shared" si="322"/>
        <v>4230</v>
      </c>
    </row>
    <row r="1977" spans="1:11">
      <c r="A1977">
        <v>1975</v>
      </c>
      <c r="B1977">
        <v>3.9250000000000004E+71</v>
      </c>
      <c r="D1977" s="18">
        <v>1975</v>
      </c>
      <c r="E1977" s="18" cm="1">
        <f t="array" aca="1" ref="E1977" ca="1">INDIRECT("b"&amp;F1977+2)</f>
        <v>7.7500000000000005E+97</v>
      </c>
      <c r="F1977" s="18">
        <f t="shared" si="326"/>
        <v>3032</v>
      </c>
      <c r="G1977" s="18"/>
      <c r="H1977" s="18"/>
      <c r="I1977" s="19">
        <v>1975</v>
      </c>
      <c r="J1977" s="19" cm="1">
        <f t="array" aca="1" ref="J1977" ca="1">INDIRECT("b"&amp;K1977+2)</f>
        <v>7.7499999999999991E+127</v>
      </c>
      <c r="K1977" s="19">
        <f t="shared" si="322"/>
        <v>4232</v>
      </c>
    </row>
    <row r="1978" spans="1:11">
      <c r="A1978">
        <v>1976</v>
      </c>
      <c r="B1978">
        <v>4.1500000000000002E+71</v>
      </c>
      <c r="D1978" s="18">
        <v>1976</v>
      </c>
      <c r="E1978" s="18" cm="1">
        <f t="array" aca="1" ref="E1978" ca="1">INDIRECT("b"&amp;F1978+2)</f>
        <v>7.9750000000000001E+97</v>
      </c>
      <c r="F1978" s="18">
        <f t="shared" si="326"/>
        <v>3033</v>
      </c>
      <c r="G1978" s="18"/>
      <c r="H1978" s="18"/>
      <c r="I1978" s="19">
        <v>1976</v>
      </c>
      <c r="J1978" s="19" cm="1">
        <f t="array" aca="1" ref="J1978" ca="1">INDIRECT("b"&amp;K1978+2)</f>
        <v>7.9749999999999999E+127</v>
      </c>
      <c r="K1978" s="19">
        <f t="shared" si="322"/>
        <v>4233</v>
      </c>
    </row>
    <row r="1979" spans="1:11">
      <c r="A1979">
        <v>1977</v>
      </c>
      <c r="B1979">
        <v>4.3750000000000001E+71</v>
      </c>
      <c r="D1979" s="18">
        <v>1977</v>
      </c>
      <c r="E1979" s="18" cm="1">
        <f t="array" aca="1" ref="E1979" ca="1">INDIRECT("b"&amp;F1979+2)</f>
        <v>8.1999999999999998E+97</v>
      </c>
      <c r="F1979" s="18">
        <f t="shared" si="326"/>
        <v>3034</v>
      </c>
      <c r="G1979" s="18"/>
      <c r="H1979" s="18"/>
      <c r="I1979" s="19">
        <v>1977</v>
      </c>
      <c r="J1979" s="19" cm="1">
        <f t="array" aca="1" ref="J1979" ca="1">INDIRECT("b"&amp;K1979+2)</f>
        <v>8.1999999999999997E+127</v>
      </c>
      <c r="K1979" s="19">
        <f t="shared" si="322"/>
        <v>4234</v>
      </c>
    </row>
    <row r="1980" spans="1:11">
      <c r="A1980">
        <v>1978</v>
      </c>
      <c r="B1980">
        <v>4.6000000000000005E+71</v>
      </c>
      <c r="D1980" s="18">
        <v>1978</v>
      </c>
      <c r="E1980" s="18" cm="1">
        <f t="array" aca="1" ref="E1980" ca="1">INDIRECT("b"&amp;F1980+2)</f>
        <v>8.6500000000000006E+97</v>
      </c>
      <c r="F1980" s="18">
        <f t="shared" si="326"/>
        <v>3036</v>
      </c>
      <c r="G1980" s="18"/>
      <c r="H1980" s="18"/>
      <c r="I1980" s="19">
        <v>1978</v>
      </c>
      <c r="J1980" s="19" cm="1">
        <f t="array" aca="1" ref="J1980" ca="1">INDIRECT("b"&amp;K1980+2)</f>
        <v>8.6499999999999992E+127</v>
      </c>
      <c r="K1980" s="19">
        <f t="shared" si="322"/>
        <v>4236</v>
      </c>
    </row>
    <row r="1981" spans="1:11">
      <c r="A1981">
        <v>1979</v>
      </c>
      <c r="B1981">
        <v>4.8250000000000004E+71</v>
      </c>
      <c r="D1981" s="18">
        <v>1979</v>
      </c>
      <c r="E1981" s="18" cm="1">
        <f t="array" aca="1" ref="E1981" ca="1">INDIRECT("b"&amp;F1981+2)</f>
        <v>8.8750000000000002E+97</v>
      </c>
      <c r="F1981" s="18">
        <f t="shared" si="326"/>
        <v>3037</v>
      </c>
      <c r="G1981" s="18">
        <f t="shared" ref="G1981" ca="1" si="335">E1981/E1976</f>
        <v>1.2157534246575343</v>
      </c>
      <c r="H1981" s="18"/>
      <c r="I1981" s="19">
        <v>1979</v>
      </c>
      <c r="J1981" s="19" cm="1">
        <f t="array" aca="1" ref="J1981" ca="1">INDIRECT("b"&amp;K1981+2)</f>
        <v>8.8749999999999999E+127</v>
      </c>
      <c r="K1981" s="19">
        <f t="shared" si="322"/>
        <v>4237</v>
      </c>
    </row>
    <row r="1982" spans="1:11">
      <c r="A1982">
        <v>1980</v>
      </c>
      <c r="B1982">
        <v>5.0500000000000002E+71</v>
      </c>
      <c r="D1982" s="18">
        <v>1980</v>
      </c>
      <c r="E1982" s="18" cm="1">
        <f t="array" aca="1" ref="E1982" ca="1">INDIRECT("b"&amp;F1982+2)</f>
        <v>9.0999999999999999E+97</v>
      </c>
      <c r="F1982" s="18">
        <f t="shared" si="326"/>
        <v>3038</v>
      </c>
      <c r="G1982" s="18"/>
      <c r="H1982" s="18"/>
      <c r="I1982" s="19">
        <v>1980</v>
      </c>
      <c r="J1982" s="19" cm="1">
        <f t="array" aca="1" ref="J1982" ca="1">INDIRECT("b"&amp;K1982+2)</f>
        <v>9.0999999999999997E+127</v>
      </c>
      <c r="K1982" s="19">
        <f t="shared" si="322"/>
        <v>4238</v>
      </c>
    </row>
    <row r="1983" spans="1:11">
      <c r="A1983">
        <v>1981</v>
      </c>
      <c r="B1983">
        <v>5.2750000000000001E+71</v>
      </c>
      <c r="D1983" s="18">
        <v>1981</v>
      </c>
      <c r="E1983" s="18" cm="1">
        <f t="array" aca="1" ref="E1983" ca="1">INDIRECT("b"&amp;F1983+2)</f>
        <v>9.5500000000000007E+97</v>
      </c>
      <c r="F1983" s="18">
        <f t="shared" si="326"/>
        <v>3040</v>
      </c>
      <c r="G1983" s="18"/>
      <c r="H1983" s="18"/>
      <c r="I1983" s="19">
        <v>1981</v>
      </c>
      <c r="J1983" s="19" cm="1">
        <f t="array" aca="1" ref="J1983" ca="1">INDIRECT("b"&amp;K1983+2)</f>
        <v>9.5499999999999993E+127</v>
      </c>
      <c r="K1983" s="19">
        <f t="shared" si="322"/>
        <v>4240</v>
      </c>
    </row>
    <row r="1984" spans="1:11">
      <c r="A1984">
        <v>1982</v>
      </c>
      <c r="B1984">
        <v>5.5E+71</v>
      </c>
      <c r="D1984" s="18">
        <v>1982</v>
      </c>
      <c r="E1984" s="18" cm="1">
        <f t="array" aca="1" ref="E1984" ca="1">INDIRECT("b"&amp;F1984+2)</f>
        <v>9.7750000000000003E+97</v>
      </c>
      <c r="F1984" s="18">
        <f t="shared" si="326"/>
        <v>3041</v>
      </c>
      <c r="G1984" s="18"/>
      <c r="H1984" s="18"/>
      <c r="I1984" s="19">
        <v>1982</v>
      </c>
      <c r="J1984" s="19" cm="1">
        <f t="array" aca="1" ref="J1984" ca="1">INDIRECT("b"&amp;K1984+2)</f>
        <v>9.7749999999999991E+127</v>
      </c>
      <c r="K1984" s="19">
        <f t="shared" si="322"/>
        <v>4241</v>
      </c>
    </row>
    <row r="1985" spans="1:11">
      <c r="A1985">
        <v>1983</v>
      </c>
      <c r="B1985">
        <v>5.7249999999999999E+71</v>
      </c>
      <c r="D1985" s="18">
        <v>1983</v>
      </c>
      <c r="E1985" s="18" cm="1">
        <f t="array" aca="1" ref="E1985" ca="1">INDIRECT("b"&amp;F1985+2)</f>
        <v>1E+98</v>
      </c>
      <c r="F1985" s="18">
        <f t="shared" si="326"/>
        <v>3042</v>
      </c>
      <c r="G1985" s="18"/>
      <c r="H1985" s="18"/>
      <c r="I1985" s="19">
        <v>1983</v>
      </c>
      <c r="J1985" s="19" cm="1">
        <f t="array" aca="1" ref="J1985" ca="1">INDIRECT("b"&amp;K1985+2)</f>
        <v>1.0000000000000001E+128</v>
      </c>
      <c r="K1985" s="19">
        <f t="shared" si="322"/>
        <v>4242</v>
      </c>
    </row>
    <row r="1986" spans="1:11">
      <c r="A1986">
        <v>1984</v>
      </c>
      <c r="B1986">
        <v>5.9500000000000007E+71</v>
      </c>
      <c r="D1986" s="18">
        <v>1984</v>
      </c>
      <c r="E1986" s="18" cm="1">
        <f t="array" aca="1" ref="E1986" ca="1">INDIRECT("b"&amp;F1986+2)</f>
        <v>1.45E+98</v>
      </c>
      <c r="F1986" s="18">
        <f t="shared" si="326"/>
        <v>3044</v>
      </c>
      <c r="G1986" s="18">
        <f t="shared" ref="G1986" ca="1" si="336">E1986/E1981</f>
        <v>1.6338028169014085</v>
      </c>
      <c r="H1986" s="18"/>
      <c r="I1986" s="19">
        <v>1984</v>
      </c>
      <c r="J1986" s="19" cm="1">
        <f t="array" aca="1" ref="J1986" ca="1">INDIRECT("b"&amp;K1986+2)</f>
        <v>1.45E+128</v>
      </c>
      <c r="K1986" s="19">
        <f t="shared" si="322"/>
        <v>4244</v>
      </c>
    </row>
    <row r="1987" spans="1:11">
      <c r="A1987">
        <v>1985</v>
      </c>
      <c r="B1987">
        <v>6.1750000000000006E+71</v>
      </c>
      <c r="D1987" s="18">
        <v>1985</v>
      </c>
      <c r="E1987" s="18" cm="1">
        <f t="array" aca="1" ref="E1987" ca="1">INDIRECT("b"&amp;F1987+2)</f>
        <v>1.675E+98</v>
      </c>
      <c r="F1987" s="18">
        <f t="shared" si="326"/>
        <v>3045</v>
      </c>
      <c r="G1987" s="18"/>
      <c r="H1987" s="18"/>
      <c r="I1987" s="19">
        <v>1985</v>
      </c>
      <c r="J1987" s="19" cm="1">
        <f t="array" aca="1" ref="J1987" ca="1">INDIRECT("b"&amp;K1987+2)</f>
        <v>1.675E+128</v>
      </c>
      <c r="K1987" s="19">
        <f t="shared" si="322"/>
        <v>4245</v>
      </c>
    </row>
    <row r="1988" spans="1:11">
      <c r="A1988">
        <v>1986</v>
      </c>
      <c r="B1988">
        <v>6.4000000000000005E+71</v>
      </c>
      <c r="D1988" s="18">
        <v>1986</v>
      </c>
      <c r="E1988" s="18" cm="1">
        <f t="array" aca="1" ref="E1988" ca="1">INDIRECT("b"&amp;F1988+2)</f>
        <v>1.9E+98</v>
      </c>
      <c r="F1988" s="18">
        <f t="shared" si="326"/>
        <v>3046</v>
      </c>
      <c r="G1988" s="18"/>
      <c r="H1988" s="18"/>
      <c r="I1988" s="19">
        <v>1986</v>
      </c>
      <c r="J1988" s="19" cm="1">
        <f t="array" aca="1" ref="J1988" ca="1">INDIRECT("b"&amp;K1988+2)</f>
        <v>1.9E+128</v>
      </c>
      <c r="K1988" s="19">
        <f t="shared" ref="K1988:K2051" si="337">INT((A1988-1)*40/30+900*40/30)+400</f>
        <v>4246</v>
      </c>
    </row>
    <row r="1989" spans="1:11">
      <c r="A1989">
        <v>1987</v>
      </c>
      <c r="B1989">
        <v>6.6250000000000003E+71</v>
      </c>
      <c r="D1989" s="18">
        <v>1987</v>
      </c>
      <c r="E1989" s="18" cm="1">
        <f t="array" aca="1" ref="E1989" ca="1">INDIRECT("b"&amp;F1989+2)</f>
        <v>2.3499999999999999E+98</v>
      </c>
      <c r="F1989" s="18">
        <f t="shared" si="326"/>
        <v>3048</v>
      </c>
      <c r="G1989" s="18"/>
      <c r="H1989" s="18"/>
      <c r="I1989" s="19">
        <v>1987</v>
      </c>
      <c r="J1989" s="19" cm="1">
        <f t="array" aca="1" ref="J1989" ca="1">INDIRECT("b"&amp;K1989+2)</f>
        <v>2.3499999999999999E+128</v>
      </c>
      <c r="K1989" s="19">
        <f t="shared" si="337"/>
        <v>4248</v>
      </c>
    </row>
    <row r="1990" spans="1:11">
      <c r="A1990">
        <v>1988</v>
      </c>
      <c r="B1990">
        <v>6.8500000000000002E+71</v>
      </c>
      <c r="D1990" s="18">
        <v>1988</v>
      </c>
      <c r="E1990" s="18" cm="1">
        <f t="array" aca="1" ref="E1990" ca="1">INDIRECT("b"&amp;F1990+2)</f>
        <v>2.5749999999999998E+98</v>
      </c>
      <c r="F1990" s="18">
        <f t="shared" si="326"/>
        <v>3049</v>
      </c>
      <c r="G1990" s="18"/>
      <c r="H1990" s="18"/>
      <c r="I1990" s="19">
        <v>1988</v>
      </c>
      <c r="J1990" s="19" cm="1">
        <f t="array" aca="1" ref="J1990" ca="1">INDIRECT("b"&amp;K1990+2)</f>
        <v>2.575E+128</v>
      </c>
      <c r="K1990" s="19">
        <f t="shared" si="337"/>
        <v>4249</v>
      </c>
    </row>
    <row r="1991" spans="1:11">
      <c r="A1991">
        <v>1989</v>
      </c>
      <c r="B1991">
        <v>7.0750000000000001E+71</v>
      </c>
      <c r="D1991" s="18">
        <v>1989</v>
      </c>
      <c r="E1991" s="18" cm="1">
        <f t="array" aca="1" ref="E1991" ca="1">INDIRECT("b"&amp;F1991+2)</f>
        <v>2.8000000000000001E+98</v>
      </c>
      <c r="F1991" s="18">
        <f t="shared" si="326"/>
        <v>3050</v>
      </c>
      <c r="G1991" s="18">
        <f t="shared" ref="G1991" ca="1" si="338">E1991/E1986</f>
        <v>1.9310344827586206</v>
      </c>
      <c r="H1991" s="18"/>
      <c r="I1991" s="19">
        <v>1989</v>
      </c>
      <c r="J1991" s="19" cm="1">
        <f t="array" aca="1" ref="J1991" ca="1">INDIRECT("b"&amp;K1991+2)</f>
        <v>2.7999999999999998E+128</v>
      </c>
      <c r="K1991" s="19">
        <f t="shared" si="337"/>
        <v>4250</v>
      </c>
    </row>
    <row r="1992" spans="1:11">
      <c r="A1992">
        <v>1990</v>
      </c>
      <c r="B1992">
        <v>7.3E+71</v>
      </c>
      <c r="D1992" s="18">
        <v>1990</v>
      </c>
      <c r="E1992" s="18" cm="1">
        <f t="array" aca="1" ref="E1992" ca="1">INDIRECT("b"&amp;F1992+2)</f>
        <v>3.25E+98</v>
      </c>
      <c r="F1992" s="18">
        <f t="shared" si="326"/>
        <v>3052</v>
      </c>
      <c r="G1992" s="18"/>
      <c r="H1992" s="18"/>
      <c r="I1992" s="19">
        <v>1990</v>
      </c>
      <c r="J1992" s="19" cm="1">
        <f t="array" aca="1" ref="J1992" ca="1">INDIRECT("b"&amp;K1992+2)</f>
        <v>3.2499999999999998E+128</v>
      </c>
      <c r="K1992" s="19">
        <f t="shared" si="337"/>
        <v>4252</v>
      </c>
    </row>
    <row r="1993" spans="1:11">
      <c r="A1993">
        <v>1991</v>
      </c>
      <c r="B1993">
        <v>7.5250000000000008E+71</v>
      </c>
      <c r="D1993" s="18">
        <v>1991</v>
      </c>
      <c r="E1993" s="18" cm="1">
        <f t="array" aca="1" ref="E1993" ca="1">INDIRECT("b"&amp;F1993+2)</f>
        <v>3.4749999999999999E+98</v>
      </c>
      <c r="F1993" s="18">
        <f t="shared" si="326"/>
        <v>3053</v>
      </c>
      <c r="G1993" s="18"/>
      <c r="H1993" s="18"/>
      <c r="I1993" s="19">
        <v>1991</v>
      </c>
      <c r="J1993" s="19" cm="1">
        <f t="array" aca="1" ref="J1993" ca="1">INDIRECT("b"&amp;K1993+2)</f>
        <v>3.4749999999999999E+128</v>
      </c>
      <c r="K1993" s="19">
        <f t="shared" si="337"/>
        <v>4253</v>
      </c>
    </row>
    <row r="1994" spans="1:11">
      <c r="A1994">
        <v>1992</v>
      </c>
      <c r="B1994">
        <v>7.7500000000000007E+71</v>
      </c>
      <c r="D1994" s="18">
        <v>1992</v>
      </c>
      <c r="E1994" s="18" cm="1">
        <f t="array" aca="1" ref="E1994" ca="1">INDIRECT("b"&amp;F1994+2)</f>
        <v>3.6999999999999999E+98</v>
      </c>
      <c r="F1994" s="18">
        <f t="shared" si="326"/>
        <v>3054</v>
      </c>
      <c r="G1994" s="18"/>
      <c r="H1994" s="18"/>
      <c r="I1994" s="19">
        <v>1992</v>
      </c>
      <c r="J1994" s="19" cm="1">
        <f t="array" aca="1" ref="J1994" ca="1">INDIRECT("b"&amp;K1994+2)</f>
        <v>3.7000000000000001E+128</v>
      </c>
      <c r="K1994" s="19">
        <f t="shared" si="337"/>
        <v>4254</v>
      </c>
    </row>
    <row r="1995" spans="1:11">
      <c r="A1995">
        <v>1993</v>
      </c>
      <c r="B1995">
        <v>7.9750000000000006E+71</v>
      </c>
      <c r="D1995" s="18">
        <v>1993</v>
      </c>
      <c r="E1995" s="18" cm="1">
        <f t="array" aca="1" ref="E1995" ca="1">INDIRECT("b"&amp;F1995+2)</f>
        <v>4.1499999999999998E+98</v>
      </c>
      <c r="F1995" s="18">
        <f t="shared" si="326"/>
        <v>3056</v>
      </c>
      <c r="G1995" s="18"/>
      <c r="H1995" s="18"/>
      <c r="I1995" s="19">
        <v>1993</v>
      </c>
      <c r="J1995" s="19" cm="1">
        <f t="array" aca="1" ref="J1995" ca="1">INDIRECT("b"&amp;K1995+2)</f>
        <v>4.1499999999999996E+128</v>
      </c>
      <c r="K1995" s="19">
        <f t="shared" si="337"/>
        <v>4256</v>
      </c>
    </row>
    <row r="1996" spans="1:11">
      <c r="A1996">
        <v>1994</v>
      </c>
      <c r="B1996">
        <v>8.2000000000000004E+71</v>
      </c>
      <c r="D1996" s="18">
        <v>1994</v>
      </c>
      <c r="E1996" s="18" cm="1">
        <f t="array" aca="1" ref="E1996" ca="1">INDIRECT("b"&amp;F1996+2)</f>
        <v>4.3749999999999997E+98</v>
      </c>
      <c r="F1996" s="18">
        <f t="shared" si="326"/>
        <v>3057</v>
      </c>
      <c r="G1996" s="18">
        <f t="shared" ref="G1996" ca="1" si="339">E1996/E1991</f>
        <v>1.5624999999999998</v>
      </c>
      <c r="H1996" s="18"/>
      <c r="I1996" s="19">
        <v>1994</v>
      </c>
      <c r="J1996" s="19" cm="1">
        <f t="array" aca="1" ref="J1996" ca="1">INDIRECT("b"&amp;K1996+2)</f>
        <v>4.3749999999999998E+128</v>
      </c>
      <c r="K1996" s="19">
        <f t="shared" si="337"/>
        <v>4257</v>
      </c>
    </row>
    <row r="1997" spans="1:11">
      <c r="A1997">
        <v>1995</v>
      </c>
      <c r="B1997">
        <v>8.4250000000000003E+71</v>
      </c>
      <c r="D1997" s="18">
        <v>1995</v>
      </c>
      <c r="E1997" s="18" cm="1">
        <f t="array" aca="1" ref="E1997" ca="1">INDIRECT("b"&amp;F1997+2)</f>
        <v>4.5999999999999997E+98</v>
      </c>
      <c r="F1997" s="18">
        <f t="shared" si="326"/>
        <v>3058</v>
      </c>
      <c r="G1997" s="18"/>
      <c r="H1997" s="18"/>
      <c r="I1997" s="19">
        <v>1995</v>
      </c>
      <c r="J1997" s="19" cm="1">
        <f t="array" aca="1" ref="J1997" ca="1">INDIRECT("b"&amp;K1997+2)</f>
        <v>4.6E+128</v>
      </c>
      <c r="K1997" s="19">
        <f t="shared" si="337"/>
        <v>4258</v>
      </c>
    </row>
    <row r="1998" spans="1:11">
      <c r="A1998">
        <v>1996</v>
      </c>
      <c r="B1998">
        <v>8.6500000000000002E+71</v>
      </c>
      <c r="D1998" s="18">
        <v>1996</v>
      </c>
      <c r="E1998" s="18" cm="1">
        <f t="array" aca="1" ref="E1998" ca="1">INDIRECT("b"&amp;F1998+2)</f>
        <v>5.0499999999999996E+98</v>
      </c>
      <c r="F1998" s="18">
        <f t="shared" si="326"/>
        <v>3060</v>
      </c>
      <c r="G1998" s="18"/>
      <c r="H1998" s="18"/>
      <c r="I1998" s="19">
        <v>1996</v>
      </c>
      <c r="J1998" s="19" cm="1">
        <f t="array" aca="1" ref="J1998" ca="1">INDIRECT("b"&amp;K1998+2)</f>
        <v>5.0500000000000003E+128</v>
      </c>
      <c r="K1998" s="19">
        <f t="shared" si="337"/>
        <v>4260</v>
      </c>
    </row>
    <row r="1999" spans="1:11">
      <c r="A1999">
        <v>1997</v>
      </c>
      <c r="B1999">
        <v>8.875000000000001E+71</v>
      </c>
      <c r="D1999" s="18">
        <v>1997</v>
      </c>
      <c r="E1999" s="18" cm="1">
        <f t="array" aca="1" ref="E1999" ca="1">INDIRECT("b"&amp;F1999+2)</f>
        <v>5.2750000000000001E+98</v>
      </c>
      <c r="F1999" s="18">
        <f t="shared" si="326"/>
        <v>3061</v>
      </c>
      <c r="G1999" s="18"/>
      <c r="H1999" s="18"/>
      <c r="I1999" s="19">
        <v>1997</v>
      </c>
      <c r="J1999" s="19" cm="1">
        <f t="array" aca="1" ref="J1999" ca="1">INDIRECT("b"&amp;K1999+2)</f>
        <v>5.2749999999999997E+128</v>
      </c>
      <c r="K1999" s="19">
        <f t="shared" si="337"/>
        <v>4261</v>
      </c>
    </row>
    <row r="2000" spans="1:11">
      <c r="A2000">
        <v>1998</v>
      </c>
      <c r="B2000">
        <v>9.0999999999999999E+71</v>
      </c>
      <c r="D2000" s="18">
        <v>1998</v>
      </c>
      <c r="E2000" s="18" cm="1">
        <f t="array" aca="1" ref="E2000" ca="1">INDIRECT("b"&amp;F2000+2)</f>
        <v>5.4999999999999995E+98</v>
      </c>
      <c r="F2000" s="18">
        <f t="shared" si="326"/>
        <v>3062</v>
      </c>
      <c r="G2000" s="18"/>
      <c r="H2000" s="18"/>
      <c r="I2000" s="19">
        <v>1998</v>
      </c>
      <c r="J2000" s="19" cm="1">
        <f t="array" aca="1" ref="J2000" ca="1">INDIRECT("b"&amp;K2000+2)</f>
        <v>5.4999999999999998E+128</v>
      </c>
      <c r="K2000" s="19">
        <f t="shared" si="337"/>
        <v>4262</v>
      </c>
    </row>
    <row r="2001" spans="1:11">
      <c r="A2001">
        <v>1999</v>
      </c>
      <c r="B2001">
        <v>9.3250000000000008E+71</v>
      </c>
      <c r="D2001" s="18">
        <v>1999</v>
      </c>
      <c r="E2001" s="18" cm="1">
        <f t="array" aca="1" ref="E2001" ca="1">INDIRECT("b"&amp;F2001+2)</f>
        <v>5.9499999999999994E+98</v>
      </c>
      <c r="F2001" s="18">
        <f t="shared" si="326"/>
        <v>3064</v>
      </c>
      <c r="G2001" s="18">
        <f t="shared" ref="G2001" ca="1" si="340">E2001/E1996</f>
        <v>1.3599999999999999</v>
      </c>
      <c r="H2001" s="18"/>
      <c r="I2001" s="19">
        <v>1999</v>
      </c>
      <c r="J2001" s="19" cm="1">
        <f t="array" aca="1" ref="J2001" ca="1">INDIRECT("b"&amp;K2001+2)</f>
        <v>5.9500000000000002E+128</v>
      </c>
      <c r="K2001" s="19">
        <f t="shared" si="337"/>
        <v>4264</v>
      </c>
    </row>
    <row r="2002" spans="1:11">
      <c r="A2002">
        <v>2000</v>
      </c>
      <c r="B2002">
        <v>9.5499999999999997E+71</v>
      </c>
      <c r="D2002" s="18">
        <v>2000</v>
      </c>
      <c r="E2002" s="18" cm="1">
        <f t="array" aca="1" ref="E2002" ca="1">INDIRECT("b"&amp;F2002+2)</f>
        <v>6.1749999999999993E+98</v>
      </c>
      <c r="F2002" s="18">
        <f t="shared" si="326"/>
        <v>3065</v>
      </c>
      <c r="G2002" s="18"/>
      <c r="H2002" s="18"/>
      <c r="I2002" s="19">
        <v>2000</v>
      </c>
      <c r="J2002" s="19" cm="1">
        <f t="array" aca="1" ref="J2002" ca="1">INDIRECT("b"&amp;K2002+2)</f>
        <v>6.1749999999999996E+128</v>
      </c>
      <c r="K2002" s="19">
        <f t="shared" si="337"/>
        <v>4265</v>
      </c>
    </row>
    <row r="2003" spans="1:11">
      <c r="A2003">
        <v>2001</v>
      </c>
      <c r="B2003">
        <v>9.7750000000000005E+71</v>
      </c>
      <c r="D2003" s="18">
        <v>2001</v>
      </c>
      <c r="E2003" s="18" cm="1">
        <f t="array" aca="1" ref="E2003" ca="1">INDIRECT("b"&amp;F2003+2)</f>
        <v>6.3999999999999993E+98</v>
      </c>
      <c r="F2003" s="18">
        <f t="shared" ref="F2003:F2066" si="341">INT((A2003-123)*1.333333)+563</f>
        <v>3066</v>
      </c>
      <c r="G2003" s="18"/>
      <c r="H2003" s="18"/>
      <c r="I2003" s="19">
        <v>2001</v>
      </c>
      <c r="J2003" s="19" cm="1">
        <f t="array" aca="1" ref="J2003" ca="1">INDIRECT("b"&amp;K2003+2)</f>
        <v>6.3999999999999997E+128</v>
      </c>
      <c r="K2003" s="19">
        <f t="shared" si="337"/>
        <v>4266</v>
      </c>
    </row>
    <row r="2004" spans="1:11">
      <c r="A2004">
        <v>2002</v>
      </c>
      <c r="B2004">
        <v>9.9999999999999994E+71</v>
      </c>
      <c r="D2004" s="18">
        <v>2002</v>
      </c>
      <c r="E2004" s="18" cm="1">
        <f t="array" aca="1" ref="E2004" ca="1">INDIRECT("b"&amp;F2004+2)</f>
        <v>6.8500000000000004E+98</v>
      </c>
      <c r="F2004" s="18">
        <f t="shared" si="341"/>
        <v>3068</v>
      </c>
      <c r="G2004" s="18"/>
      <c r="H2004" s="18"/>
      <c r="I2004" s="19">
        <v>2002</v>
      </c>
      <c r="J2004" s="19" cm="1">
        <f t="array" aca="1" ref="J2004" ca="1">INDIRECT("b"&amp;K2004+2)</f>
        <v>6.85E+128</v>
      </c>
      <c r="K2004" s="19">
        <f t="shared" si="337"/>
        <v>4268</v>
      </c>
    </row>
    <row r="2005" spans="1:11">
      <c r="A2005">
        <v>2003</v>
      </c>
      <c r="B2005">
        <v>1.225E+72</v>
      </c>
      <c r="D2005" s="18">
        <v>2003</v>
      </c>
      <c r="E2005" s="18" cm="1">
        <f t="array" aca="1" ref="E2005" ca="1">INDIRECT("b"&amp;F2005+2)</f>
        <v>7.0750000000000003E+98</v>
      </c>
      <c r="F2005" s="18">
        <f t="shared" si="341"/>
        <v>3069</v>
      </c>
      <c r="G2005" s="18"/>
      <c r="H2005" s="18"/>
      <c r="I2005" s="19">
        <v>2003</v>
      </c>
      <c r="J2005" s="19" cm="1">
        <f t="array" aca="1" ref="J2005" ca="1">INDIRECT("b"&amp;K2005+2)</f>
        <v>7.0750000000000002E+128</v>
      </c>
      <c r="K2005" s="19">
        <f t="shared" si="337"/>
        <v>4269</v>
      </c>
    </row>
    <row r="2006" spans="1:11">
      <c r="A2006">
        <v>2004</v>
      </c>
      <c r="B2006">
        <v>1.4500000000000001E+72</v>
      </c>
      <c r="D2006" s="18">
        <v>2004</v>
      </c>
      <c r="E2006" s="18" cm="1">
        <f t="array" aca="1" ref="E2006" ca="1">INDIRECT("b"&amp;F2006+2)</f>
        <v>7.3000000000000003E+98</v>
      </c>
      <c r="F2006" s="18">
        <f t="shared" si="341"/>
        <v>3070</v>
      </c>
      <c r="G2006" s="18">
        <f t="shared" ref="G2006" ca="1" si="342">E2006/E2001</f>
        <v>1.2268907563025211</v>
      </c>
      <c r="H2006" s="18"/>
      <c r="I2006" s="19">
        <v>2004</v>
      </c>
      <c r="J2006" s="19" cm="1">
        <f t="array" aca="1" ref="J2006" ca="1">INDIRECT("b"&amp;K2006+2)</f>
        <v>7.2999999999999996E+128</v>
      </c>
      <c r="K2006" s="19">
        <f t="shared" si="337"/>
        <v>4270</v>
      </c>
    </row>
    <row r="2007" spans="1:11">
      <c r="A2007">
        <v>2005</v>
      </c>
      <c r="B2007">
        <v>1.675E+72</v>
      </c>
      <c r="D2007" s="18">
        <v>2005</v>
      </c>
      <c r="E2007" s="18" cm="1">
        <f t="array" aca="1" ref="E2007" ca="1">INDIRECT("b"&amp;F2007+2)</f>
        <v>7.7500000000000002E+98</v>
      </c>
      <c r="F2007" s="18">
        <f t="shared" si="341"/>
        <v>3072</v>
      </c>
      <c r="G2007" s="18"/>
      <c r="H2007" s="18"/>
      <c r="I2007" s="19">
        <v>2005</v>
      </c>
      <c r="J2007" s="19" cm="1">
        <f t="array" aca="1" ref="J2007" ca="1">INDIRECT("b"&amp;K2007+2)</f>
        <v>7.7499999999999999E+128</v>
      </c>
      <c r="K2007" s="19">
        <f t="shared" si="337"/>
        <v>4272</v>
      </c>
    </row>
    <row r="2008" spans="1:11">
      <c r="A2008">
        <v>2006</v>
      </c>
      <c r="B2008">
        <v>1.9E+72</v>
      </c>
      <c r="D2008" s="18">
        <v>2006</v>
      </c>
      <c r="E2008" s="18" cm="1">
        <f t="array" aca="1" ref="E2008" ca="1">INDIRECT("b"&amp;F2008+2)</f>
        <v>7.9750000000000001E+98</v>
      </c>
      <c r="F2008" s="18">
        <f t="shared" si="341"/>
        <v>3073</v>
      </c>
      <c r="G2008" s="18"/>
      <c r="H2008" s="18"/>
      <c r="I2008" s="19">
        <v>2006</v>
      </c>
      <c r="J2008" s="19" cm="1">
        <f t="array" aca="1" ref="J2008" ca="1">INDIRECT("b"&amp;K2008+2)</f>
        <v>7.9749999999999993E+128</v>
      </c>
      <c r="K2008" s="19">
        <f t="shared" si="337"/>
        <v>4273</v>
      </c>
    </row>
    <row r="2009" spans="1:11">
      <c r="A2009">
        <v>2007</v>
      </c>
      <c r="B2009">
        <v>2.1250000000000001E+72</v>
      </c>
      <c r="D2009" s="18">
        <v>2007</v>
      </c>
      <c r="E2009" s="18" cm="1">
        <f t="array" aca="1" ref="E2009" ca="1">INDIRECT("b"&amp;F2009+2)</f>
        <v>8.2000000000000001E+98</v>
      </c>
      <c r="F2009" s="18">
        <f t="shared" si="341"/>
        <v>3074</v>
      </c>
      <c r="G2009" s="18"/>
      <c r="H2009" s="18"/>
      <c r="I2009" s="19">
        <v>2007</v>
      </c>
      <c r="J2009" s="19" cm="1">
        <f t="array" aca="1" ref="J2009" ca="1">INDIRECT("b"&amp;K2009+2)</f>
        <v>8.2000000000000002E+128</v>
      </c>
      <c r="K2009" s="19">
        <f t="shared" si="337"/>
        <v>4274</v>
      </c>
    </row>
    <row r="2010" spans="1:11">
      <c r="A2010">
        <v>2008</v>
      </c>
      <c r="B2010">
        <v>2.3500000000000002E+72</v>
      </c>
      <c r="D2010" s="18">
        <v>2008</v>
      </c>
      <c r="E2010" s="18" cm="1">
        <f t="array" aca="1" ref="E2010" ca="1">INDIRECT("b"&amp;F2010+2)</f>
        <v>8.65E+98</v>
      </c>
      <c r="F2010" s="18">
        <f t="shared" si="341"/>
        <v>3076</v>
      </c>
      <c r="G2010" s="18"/>
      <c r="H2010" s="18"/>
      <c r="I2010" s="19">
        <v>2008</v>
      </c>
      <c r="J2010" s="19" cm="1">
        <f t="array" aca="1" ref="J2010" ca="1">INDIRECT("b"&amp;K2010+2)</f>
        <v>8.6500000000000006E+128</v>
      </c>
      <c r="K2010" s="19">
        <f t="shared" si="337"/>
        <v>4276</v>
      </c>
    </row>
    <row r="2011" spans="1:11">
      <c r="A2011">
        <v>2009</v>
      </c>
      <c r="B2011">
        <v>2.5750000000000002E+72</v>
      </c>
      <c r="D2011" s="18">
        <v>2009</v>
      </c>
      <c r="E2011" s="18" cm="1">
        <f t="array" aca="1" ref="E2011" ca="1">INDIRECT("b"&amp;F2011+2)</f>
        <v>8.8749999999999999E+98</v>
      </c>
      <c r="F2011" s="18">
        <f t="shared" si="341"/>
        <v>3077</v>
      </c>
      <c r="G2011" s="18">
        <f t="shared" ref="G2011" ca="1" si="343">E2011/E2006</f>
        <v>1.2157534246575341</v>
      </c>
      <c r="H2011" s="18"/>
      <c r="I2011" s="19">
        <v>2009</v>
      </c>
      <c r="J2011" s="19" cm="1">
        <f t="array" aca="1" ref="J2011" ca="1">INDIRECT("b"&amp;K2011+2)</f>
        <v>8.8749999999999999E+128</v>
      </c>
      <c r="K2011" s="19">
        <f t="shared" si="337"/>
        <v>4277</v>
      </c>
    </row>
    <row r="2012" spans="1:11">
      <c r="A2012">
        <v>2010</v>
      </c>
      <c r="B2012">
        <v>2.7999999999999999E+72</v>
      </c>
      <c r="D2012" s="18">
        <v>2010</v>
      </c>
      <c r="E2012" s="18" cm="1">
        <f t="array" aca="1" ref="E2012" ca="1">INDIRECT("b"&amp;F2012+2)</f>
        <v>9.0999999999999999E+98</v>
      </c>
      <c r="F2012" s="18">
        <f t="shared" si="341"/>
        <v>3078</v>
      </c>
      <c r="G2012" s="18"/>
      <c r="H2012" s="18"/>
      <c r="I2012" s="19">
        <v>2010</v>
      </c>
      <c r="J2012" s="19" cm="1">
        <f t="array" aca="1" ref="J2012" ca="1">INDIRECT("b"&amp;K2012+2)</f>
        <v>9.0999999999999993E+128</v>
      </c>
      <c r="K2012" s="19">
        <f t="shared" si="337"/>
        <v>4278</v>
      </c>
    </row>
    <row r="2013" spans="1:11">
      <c r="A2013">
        <v>2011</v>
      </c>
      <c r="B2013">
        <v>3.025E+72</v>
      </c>
      <c r="D2013" s="18">
        <v>2011</v>
      </c>
      <c r="E2013" s="18" cm="1">
        <f t="array" aca="1" ref="E2013" ca="1">INDIRECT("b"&amp;F2013+2)</f>
        <v>9.5499999999999998E+98</v>
      </c>
      <c r="F2013" s="18">
        <f t="shared" si="341"/>
        <v>3080</v>
      </c>
      <c r="G2013" s="18"/>
      <c r="H2013" s="18"/>
      <c r="I2013" s="19">
        <v>2011</v>
      </c>
      <c r="J2013" s="19" cm="1">
        <f t="array" aca="1" ref="J2013" ca="1">INDIRECT("b"&amp;K2013+2)</f>
        <v>9.5499999999999997E+128</v>
      </c>
      <c r="K2013" s="19">
        <f t="shared" si="337"/>
        <v>4280</v>
      </c>
    </row>
    <row r="2014" spans="1:11">
      <c r="A2014">
        <v>2012</v>
      </c>
      <c r="B2014">
        <v>3.2500000000000001E+72</v>
      </c>
      <c r="D2014" s="18">
        <v>2012</v>
      </c>
      <c r="E2014" s="18" cm="1">
        <f t="array" aca="1" ref="E2014" ca="1">INDIRECT("b"&amp;F2014+2)</f>
        <v>9.7749999999999997E+98</v>
      </c>
      <c r="F2014" s="18">
        <f t="shared" si="341"/>
        <v>3081</v>
      </c>
      <c r="G2014" s="18"/>
      <c r="H2014" s="18"/>
      <c r="I2014" s="19">
        <v>2012</v>
      </c>
      <c r="J2014" s="19" cm="1">
        <f t="array" aca="1" ref="J2014" ca="1">INDIRECT("b"&amp;K2014+2)</f>
        <v>9.7749999999999991E+128</v>
      </c>
      <c r="K2014" s="19">
        <f t="shared" si="337"/>
        <v>4281</v>
      </c>
    </row>
    <row r="2015" spans="1:11">
      <c r="A2015">
        <v>2013</v>
      </c>
      <c r="B2015">
        <v>3.4750000000000001E+72</v>
      </c>
      <c r="D2015" s="18">
        <v>2013</v>
      </c>
      <c r="E2015" s="18" cm="1">
        <f t="array" aca="1" ref="E2015" ca="1">INDIRECT("b"&amp;F2015+2)</f>
        <v>1.0000000000000001E+99</v>
      </c>
      <c r="F2015" s="18">
        <f t="shared" si="341"/>
        <v>3082</v>
      </c>
      <c r="G2015" s="18"/>
      <c r="H2015" s="18"/>
      <c r="I2015" s="19">
        <v>2013</v>
      </c>
      <c r="J2015" s="19" cm="1">
        <f t="array" aca="1" ref="J2015" ca="1">INDIRECT("b"&amp;K2015+2)</f>
        <v>1E+129</v>
      </c>
      <c r="K2015" s="19">
        <f t="shared" si="337"/>
        <v>4282</v>
      </c>
    </row>
    <row r="2016" spans="1:11">
      <c r="A2016">
        <v>2014</v>
      </c>
      <c r="B2016">
        <v>3.7000000000000002E+72</v>
      </c>
      <c r="D2016" s="18">
        <v>2014</v>
      </c>
      <c r="E2016" s="18" cm="1">
        <f t="array" aca="1" ref="E2016" ca="1">INDIRECT("b"&amp;F2016+2)</f>
        <v>1.4500000000000001E+99</v>
      </c>
      <c r="F2016" s="18">
        <f t="shared" si="341"/>
        <v>3084</v>
      </c>
      <c r="G2016" s="18">
        <f t="shared" ref="G2016" ca="1" si="344">E2016/E2011</f>
        <v>1.6338028169014085</v>
      </c>
      <c r="H2016" s="18"/>
      <c r="I2016" s="19">
        <v>2014</v>
      </c>
      <c r="J2016" s="19" cm="1">
        <f t="array" aca="1" ref="J2016" ca="1">INDIRECT("b"&amp;K2016+2)</f>
        <v>1.45E+129</v>
      </c>
      <c r="K2016" s="19">
        <f t="shared" si="337"/>
        <v>4284</v>
      </c>
    </row>
    <row r="2017" spans="1:11">
      <c r="A2017">
        <v>2015</v>
      </c>
      <c r="B2017">
        <v>3.9249999999999999E+72</v>
      </c>
      <c r="D2017" s="18">
        <v>2015</v>
      </c>
      <c r="E2017" s="18" cm="1">
        <f t="array" aca="1" ref="E2017" ca="1">INDIRECT("b"&amp;F2017+2)</f>
        <v>1.6750000000000001E+99</v>
      </c>
      <c r="F2017" s="18">
        <f t="shared" si="341"/>
        <v>3085</v>
      </c>
      <c r="G2017" s="18"/>
      <c r="H2017" s="18"/>
      <c r="I2017" s="19">
        <v>2015</v>
      </c>
      <c r="J2017" s="19" cm="1">
        <f t="array" aca="1" ref="J2017" ca="1">INDIRECT("b"&amp;K2017+2)</f>
        <v>1.675E+129</v>
      </c>
      <c r="K2017" s="19">
        <f t="shared" si="337"/>
        <v>4285</v>
      </c>
    </row>
    <row r="2018" spans="1:11">
      <c r="A2018">
        <v>2016</v>
      </c>
      <c r="B2018">
        <v>4.1500000000000003E+72</v>
      </c>
      <c r="D2018" s="18">
        <v>2016</v>
      </c>
      <c r="E2018" s="18" cm="1">
        <f t="array" aca="1" ref="E2018" ca="1">INDIRECT("b"&amp;F2018+2)</f>
        <v>1.9000000000000003E+99</v>
      </c>
      <c r="F2018" s="18">
        <f t="shared" si="341"/>
        <v>3086</v>
      </c>
      <c r="G2018" s="18"/>
      <c r="H2018" s="18"/>
      <c r="I2018" s="19">
        <v>2016</v>
      </c>
      <c r="J2018" s="19" cm="1">
        <f t="array" aca="1" ref="J2018" ca="1">INDIRECT("b"&amp;K2018+2)</f>
        <v>1.9E+129</v>
      </c>
      <c r="K2018" s="19">
        <f t="shared" si="337"/>
        <v>4286</v>
      </c>
    </row>
    <row r="2019" spans="1:11">
      <c r="A2019">
        <v>2017</v>
      </c>
      <c r="B2019">
        <v>4.375E+72</v>
      </c>
      <c r="D2019" s="18">
        <v>2017</v>
      </c>
      <c r="E2019" s="18" cm="1">
        <f t="array" aca="1" ref="E2019" ca="1">INDIRECT("b"&amp;F2019+2)</f>
        <v>2.3500000000000004E+99</v>
      </c>
      <c r="F2019" s="18">
        <f t="shared" si="341"/>
        <v>3088</v>
      </c>
      <c r="G2019" s="18"/>
      <c r="H2019" s="18"/>
      <c r="I2019" s="19">
        <v>2017</v>
      </c>
      <c r="J2019" s="19" cm="1">
        <f t="array" aca="1" ref="J2019" ca="1">INDIRECT("b"&amp;K2019+2)</f>
        <v>2.35E+129</v>
      </c>
      <c r="K2019" s="19">
        <f t="shared" si="337"/>
        <v>4288</v>
      </c>
    </row>
    <row r="2020" spans="1:11">
      <c r="A2020">
        <v>2018</v>
      </c>
      <c r="B2020">
        <v>4.6000000000000005E+72</v>
      </c>
      <c r="D2020" s="18">
        <v>2018</v>
      </c>
      <c r="E2020" s="18" cm="1">
        <f t="array" aca="1" ref="E2020" ca="1">INDIRECT("b"&amp;F2020+2)</f>
        <v>2.5750000000000001E+99</v>
      </c>
      <c r="F2020" s="18">
        <f t="shared" si="341"/>
        <v>3089</v>
      </c>
      <c r="G2020" s="18"/>
      <c r="H2020" s="18"/>
      <c r="I2020" s="19">
        <v>2018</v>
      </c>
      <c r="J2020" s="19" cm="1">
        <f t="array" aca="1" ref="J2020" ca="1">INDIRECT("b"&amp;K2020+2)</f>
        <v>2.575E+129</v>
      </c>
      <c r="K2020" s="19">
        <f t="shared" si="337"/>
        <v>4289</v>
      </c>
    </row>
    <row r="2021" spans="1:11">
      <c r="A2021">
        <v>2019</v>
      </c>
      <c r="B2021">
        <v>4.8250000000000002E+72</v>
      </c>
      <c r="D2021" s="18">
        <v>2019</v>
      </c>
      <c r="E2021" s="18" cm="1">
        <f t="array" aca="1" ref="E2021" ca="1">INDIRECT("b"&amp;F2021+2)</f>
        <v>2.8000000000000003E+99</v>
      </c>
      <c r="F2021" s="18">
        <f t="shared" si="341"/>
        <v>3090</v>
      </c>
      <c r="G2021" s="18">
        <f t="shared" ref="G2021" ca="1" si="345">E2021/E2016</f>
        <v>1.9310344827586208</v>
      </c>
      <c r="H2021" s="18"/>
      <c r="I2021" s="19">
        <v>2019</v>
      </c>
      <c r="J2021" s="19" cm="1">
        <f t="array" aca="1" ref="J2021" ca="1">INDIRECT("b"&amp;K2021+2)</f>
        <v>2.8000000000000004E+129</v>
      </c>
      <c r="K2021" s="19">
        <f t="shared" si="337"/>
        <v>4290</v>
      </c>
    </row>
    <row r="2022" spans="1:11">
      <c r="A2022">
        <v>2020</v>
      </c>
      <c r="B2022">
        <v>5.0499999999999998E+72</v>
      </c>
      <c r="D2022" s="18">
        <v>2020</v>
      </c>
      <c r="E2022" s="18" cm="1">
        <f t="array" aca="1" ref="E2022" ca="1">INDIRECT("b"&amp;F2022+2)</f>
        <v>3.2500000000000002E+99</v>
      </c>
      <c r="F2022" s="18">
        <f t="shared" si="341"/>
        <v>3092</v>
      </c>
      <c r="G2022" s="18"/>
      <c r="H2022" s="18"/>
      <c r="I2022" s="19">
        <v>2020</v>
      </c>
      <c r="J2022" s="19" cm="1">
        <f t="array" aca="1" ref="J2022" ca="1">INDIRECT("b"&amp;K2022+2)</f>
        <v>3.2500000000000004E+129</v>
      </c>
      <c r="K2022" s="19">
        <f t="shared" si="337"/>
        <v>4292</v>
      </c>
    </row>
    <row r="2023" spans="1:11">
      <c r="A2023">
        <v>2021</v>
      </c>
      <c r="B2023">
        <v>5.2750000000000003E+72</v>
      </c>
      <c r="D2023" s="18">
        <v>2021</v>
      </c>
      <c r="E2023" s="18" cm="1">
        <f t="array" aca="1" ref="E2023" ca="1">INDIRECT("b"&amp;F2023+2)</f>
        <v>3.4750000000000004E+99</v>
      </c>
      <c r="F2023" s="18">
        <f t="shared" si="341"/>
        <v>3093</v>
      </c>
      <c r="G2023" s="18"/>
      <c r="H2023" s="18"/>
      <c r="I2023" s="19">
        <v>2021</v>
      </c>
      <c r="J2023" s="19" cm="1">
        <f t="array" aca="1" ref="J2023" ca="1">INDIRECT("b"&amp;K2023+2)</f>
        <v>3.4750000000000001E+129</v>
      </c>
      <c r="K2023" s="19">
        <f t="shared" si="337"/>
        <v>4293</v>
      </c>
    </row>
    <row r="2024" spans="1:11">
      <c r="A2024">
        <v>2022</v>
      </c>
      <c r="B2024">
        <v>5.5E+72</v>
      </c>
      <c r="D2024" s="18">
        <v>2022</v>
      </c>
      <c r="E2024" s="18" cm="1">
        <f t="array" aca="1" ref="E2024" ca="1">INDIRECT("b"&amp;F2024+2)</f>
        <v>3.7000000000000001E+99</v>
      </c>
      <c r="F2024" s="18">
        <f t="shared" si="341"/>
        <v>3094</v>
      </c>
      <c r="G2024" s="18"/>
      <c r="H2024" s="18"/>
      <c r="I2024" s="19">
        <v>2022</v>
      </c>
      <c r="J2024" s="19" cm="1">
        <f t="array" aca="1" ref="J2024" ca="1">INDIRECT("b"&amp;K2024+2)</f>
        <v>3.7000000000000004E+129</v>
      </c>
      <c r="K2024" s="19">
        <f t="shared" si="337"/>
        <v>4294</v>
      </c>
    </row>
    <row r="2025" spans="1:11">
      <c r="A2025">
        <v>2023</v>
      </c>
      <c r="B2025">
        <v>5.7250000000000004E+72</v>
      </c>
      <c r="D2025" s="18">
        <v>2023</v>
      </c>
      <c r="E2025" s="18" cm="1">
        <f t="array" aca="1" ref="E2025" ca="1">INDIRECT("b"&amp;F2025+2)</f>
        <v>4.1500000000000005E+99</v>
      </c>
      <c r="F2025" s="18">
        <f t="shared" si="341"/>
        <v>3096</v>
      </c>
      <c r="G2025" s="18"/>
      <c r="H2025" s="18"/>
      <c r="I2025" s="19">
        <v>2023</v>
      </c>
      <c r="J2025" s="19" cm="1">
        <f t="array" aca="1" ref="J2025" ca="1">INDIRECT("b"&amp;K2025+2)</f>
        <v>4.1500000000000004E+129</v>
      </c>
      <c r="K2025" s="19">
        <f t="shared" si="337"/>
        <v>4296</v>
      </c>
    </row>
    <row r="2026" spans="1:11">
      <c r="A2026">
        <v>2024</v>
      </c>
      <c r="B2026">
        <v>5.9500000000000001E+72</v>
      </c>
      <c r="D2026" s="18">
        <v>2024</v>
      </c>
      <c r="E2026" s="18" cm="1">
        <f t="array" aca="1" ref="E2026" ca="1">INDIRECT("b"&amp;F2026+2)</f>
        <v>4.3750000000000007E+99</v>
      </c>
      <c r="F2026" s="18">
        <f t="shared" si="341"/>
        <v>3097</v>
      </c>
      <c r="G2026" s="18">
        <f t="shared" ref="G2026" ca="1" si="346">E2026/E2021</f>
        <v>1.5625</v>
      </c>
      <c r="H2026" s="18"/>
      <c r="I2026" s="19">
        <v>2024</v>
      </c>
      <c r="J2026" s="19" cm="1">
        <f t="array" aca="1" ref="J2026" ca="1">INDIRECT("b"&amp;K2026+2)</f>
        <v>4.3750000000000001E+129</v>
      </c>
      <c r="K2026" s="19">
        <f t="shared" si="337"/>
        <v>4297</v>
      </c>
    </row>
    <row r="2027" spans="1:11">
      <c r="A2027">
        <v>2025</v>
      </c>
      <c r="B2027">
        <v>6.1749999999999998E+72</v>
      </c>
      <c r="D2027" s="18">
        <v>2025</v>
      </c>
      <c r="E2027" s="18" cm="1">
        <f t="array" aca="1" ref="E2027" ca="1">INDIRECT("b"&amp;F2027+2)</f>
        <v>4.6000000000000004E+99</v>
      </c>
      <c r="F2027" s="18">
        <f t="shared" si="341"/>
        <v>3098</v>
      </c>
      <c r="G2027" s="18"/>
      <c r="H2027" s="18"/>
      <c r="I2027" s="19">
        <v>2025</v>
      </c>
      <c r="J2027" s="19" cm="1">
        <f t="array" aca="1" ref="J2027" ca="1">INDIRECT("b"&amp;K2027+2)</f>
        <v>4.6000000000000004E+129</v>
      </c>
      <c r="K2027" s="19">
        <f t="shared" si="337"/>
        <v>4298</v>
      </c>
    </row>
    <row r="2028" spans="1:11">
      <c r="A2028">
        <v>2026</v>
      </c>
      <c r="B2028">
        <v>6.4000000000000003E+72</v>
      </c>
      <c r="D2028" s="18">
        <v>2026</v>
      </c>
      <c r="E2028" s="18" cm="1">
        <f t="array" aca="1" ref="E2028" ca="1">INDIRECT("b"&amp;F2028+2)</f>
        <v>5.0500000000000008E+99</v>
      </c>
      <c r="F2028" s="18">
        <f t="shared" si="341"/>
        <v>3100</v>
      </c>
      <c r="G2028" s="18">
        <f t="shared" ref="G2028" ca="1" si="347">E2028/E2023</f>
        <v>1.4532374100719425</v>
      </c>
      <c r="H2028" s="18"/>
      <c r="I2028" s="19">
        <v>2026</v>
      </c>
      <c r="J2028" s="19" cm="1">
        <f t="array" aca="1" ref="J2028" ca="1">INDIRECT("b"&amp;K2028+2)</f>
        <v>5.0500000000000004E+129</v>
      </c>
      <c r="K2028" s="19">
        <f t="shared" si="337"/>
        <v>4300</v>
      </c>
    </row>
    <row r="2029" spans="1:11">
      <c r="A2029">
        <v>2027</v>
      </c>
      <c r="B2029">
        <v>6.6249999999999999E+72</v>
      </c>
      <c r="D2029" s="18">
        <v>2027</v>
      </c>
      <c r="E2029" s="18" cm="1">
        <f t="array" aca="1" ref="E2029" ca="1">INDIRECT("b"&amp;F2029+2)</f>
        <v>5.2750000000000005E+99</v>
      </c>
      <c r="F2029" s="18">
        <f t="shared" si="341"/>
        <v>3101</v>
      </c>
      <c r="G2029" s="18"/>
      <c r="H2029" s="18"/>
      <c r="I2029" s="19">
        <v>2027</v>
      </c>
      <c r="J2029" s="19" cm="1">
        <f t="array" aca="1" ref="J2029" ca="1">INDIRECT("b"&amp;K2029+2)</f>
        <v>5.2750000000000001E+129</v>
      </c>
      <c r="K2029" s="19">
        <f t="shared" si="337"/>
        <v>4301</v>
      </c>
    </row>
    <row r="2030" spans="1:11">
      <c r="A2030">
        <v>2028</v>
      </c>
      <c r="B2030">
        <v>6.8500000000000004E+72</v>
      </c>
      <c r="D2030" s="18">
        <v>2028</v>
      </c>
      <c r="E2030" s="18" cm="1">
        <f t="array" aca="1" ref="E2030" ca="1">INDIRECT("b"&amp;F2030+2)</f>
        <v>5.5000000000000002E+99</v>
      </c>
      <c r="F2030" s="18">
        <f t="shared" si="341"/>
        <v>3102</v>
      </c>
      <c r="G2030" s="18"/>
      <c r="H2030" s="18"/>
      <c r="I2030" s="19">
        <v>2028</v>
      </c>
      <c r="J2030" s="19" cm="1">
        <f t="array" aca="1" ref="J2030" ca="1">INDIRECT("b"&amp;K2030+2)</f>
        <v>5.5000000000000005E+129</v>
      </c>
      <c r="K2030" s="19">
        <f t="shared" si="337"/>
        <v>4302</v>
      </c>
    </row>
    <row r="2031" spans="1:11">
      <c r="A2031">
        <v>2029</v>
      </c>
      <c r="B2031">
        <v>7.0750000000000001E+72</v>
      </c>
      <c r="D2031" s="18">
        <v>2029</v>
      </c>
      <c r="E2031" s="18" cm="1">
        <f t="array" aca="1" ref="E2031" ca="1">INDIRECT("b"&amp;F2031+2)</f>
        <v>5.9500000000000006E+99</v>
      </c>
      <c r="F2031" s="18">
        <f t="shared" si="341"/>
        <v>3104</v>
      </c>
      <c r="G2031" s="18"/>
      <c r="H2031" s="18"/>
      <c r="I2031" s="19">
        <v>2029</v>
      </c>
      <c r="J2031" s="19" cm="1">
        <f t="array" aca="1" ref="J2031" ca="1">INDIRECT("b"&amp;K2031+2)</f>
        <v>5.9499999999999999E+129</v>
      </c>
      <c r="K2031" s="19">
        <f t="shared" si="337"/>
        <v>4304</v>
      </c>
    </row>
    <row r="2032" spans="1:11">
      <c r="A2032">
        <v>2030</v>
      </c>
      <c r="B2032">
        <v>7.3000000000000006E+72</v>
      </c>
      <c r="D2032" s="18">
        <v>2030</v>
      </c>
      <c r="E2032" s="18" cm="1">
        <f t="array" aca="1" ref="E2032" ca="1">INDIRECT("b"&amp;F2032+2)</f>
        <v>6.1750000000000003E+99</v>
      </c>
      <c r="F2032" s="18">
        <f t="shared" si="341"/>
        <v>3105</v>
      </c>
      <c r="G2032" s="18"/>
      <c r="H2032" s="18"/>
      <c r="I2032" s="19">
        <v>2030</v>
      </c>
      <c r="J2032" s="19" cm="1">
        <f t="array" aca="1" ref="J2032" ca="1">INDIRECT("b"&amp;K2032+2)</f>
        <v>6.1750000000000002E+129</v>
      </c>
      <c r="K2032" s="19">
        <f t="shared" si="337"/>
        <v>4305</v>
      </c>
    </row>
    <row r="2033" spans="1:11">
      <c r="A2033">
        <v>2031</v>
      </c>
      <c r="B2033">
        <v>7.5249999999999994E+72</v>
      </c>
      <c r="D2033" s="18">
        <v>2031</v>
      </c>
      <c r="E2033" s="18" cm="1">
        <f t="array" aca="1" ref="E2033" ca="1">INDIRECT("b"&amp;F2033+2)</f>
        <v>6.400000000000001E+99</v>
      </c>
      <c r="F2033" s="18">
        <f t="shared" si="341"/>
        <v>3106</v>
      </c>
      <c r="G2033" s="18">
        <f t="shared" ref="G2033" ca="1" si="348">E2033/E2028</f>
        <v>1.2673267326732673</v>
      </c>
      <c r="H2033" s="18"/>
      <c r="I2033" s="19">
        <v>2031</v>
      </c>
      <c r="J2033" s="19" cm="1">
        <f t="array" aca="1" ref="J2033" ca="1">INDIRECT("b"&amp;K2033+2)</f>
        <v>6.4000000000000005E+129</v>
      </c>
      <c r="K2033" s="19">
        <f t="shared" si="337"/>
        <v>4306</v>
      </c>
    </row>
    <row r="2034" spans="1:11">
      <c r="A2034">
        <v>2032</v>
      </c>
      <c r="B2034">
        <v>7.7499999999999999E+72</v>
      </c>
      <c r="D2034" s="18">
        <v>2032</v>
      </c>
      <c r="E2034" s="18" cm="1">
        <f t="array" aca="1" ref="E2034" ca="1">INDIRECT("b"&amp;F2034+2)</f>
        <v>6.8500000000000004E+99</v>
      </c>
      <c r="F2034" s="18">
        <f t="shared" si="341"/>
        <v>3108</v>
      </c>
      <c r="G2034" s="18"/>
      <c r="H2034" s="18"/>
      <c r="I2034" s="19">
        <v>2032</v>
      </c>
      <c r="J2034" s="19" cm="1">
        <f t="array" aca="1" ref="J2034" ca="1">INDIRECT("b"&amp;K2034+2)</f>
        <v>6.8499999999999999E+129</v>
      </c>
      <c r="K2034" s="19">
        <f t="shared" si="337"/>
        <v>4308</v>
      </c>
    </row>
    <row r="2035" spans="1:11">
      <c r="A2035">
        <v>2033</v>
      </c>
      <c r="B2035">
        <v>7.9750000000000004E+72</v>
      </c>
      <c r="D2035" s="18">
        <v>2033</v>
      </c>
      <c r="E2035" s="18" cm="1">
        <f t="array" aca="1" ref="E2035" ca="1">INDIRECT("b"&amp;F2035+2)</f>
        <v>7.0750000000000001E+99</v>
      </c>
      <c r="F2035" s="18">
        <f t="shared" si="341"/>
        <v>3109</v>
      </c>
      <c r="G2035" s="18"/>
      <c r="H2035" s="18"/>
      <c r="I2035" s="19">
        <v>2033</v>
      </c>
      <c r="J2035" s="19" cm="1">
        <f t="array" aca="1" ref="J2035" ca="1">INDIRECT("b"&amp;K2035+2)</f>
        <v>7.0750000000000002E+129</v>
      </c>
      <c r="K2035" s="19">
        <f t="shared" si="337"/>
        <v>4309</v>
      </c>
    </row>
    <row r="2036" spans="1:11">
      <c r="A2036">
        <v>2034</v>
      </c>
      <c r="B2036">
        <v>8.2000000000000008E+72</v>
      </c>
      <c r="D2036" s="18">
        <v>2034</v>
      </c>
      <c r="E2036" s="18" cm="1">
        <f t="array" aca="1" ref="E2036" ca="1">INDIRECT("b"&amp;F2036+2)</f>
        <v>7.3000000000000008E+99</v>
      </c>
      <c r="F2036" s="18">
        <f t="shared" si="341"/>
        <v>3110</v>
      </c>
      <c r="G2036" s="18"/>
      <c r="H2036" s="18"/>
      <c r="I2036" s="19">
        <v>2034</v>
      </c>
      <c r="J2036" s="19" cm="1">
        <f t="array" aca="1" ref="J2036" ca="1">INDIRECT("b"&amp;K2036+2)</f>
        <v>7.3000000000000005E+129</v>
      </c>
      <c r="K2036" s="19">
        <f t="shared" si="337"/>
        <v>4310</v>
      </c>
    </row>
    <row r="2037" spans="1:11">
      <c r="A2037">
        <v>2035</v>
      </c>
      <c r="B2037">
        <v>8.4249999999999997E+72</v>
      </c>
      <c r="D2037" s="18">
        <v>2035</v>
      </c>
      <c r="E2037" s="18" cm="1">
        <f t="array" aca="1" ref="E2037" ca="1">INDIRECT("b"&amp;F2037+2)</f>
        <v>7.7500000000000002E+99</v>
      </c>
      <c r="F2037" s="18">
        <f t="shared" si="341"/>
        <v>3112</v>
      </c>
      <c r="G2037" s="18"/>
      <c r="H2037" s="18"/>
      <c r="I2037" s="19">
        <v>2035</v>
      </c>
      <c r="J2037" s="19" cm="1">
        <f t="array" aca="1" ref="J2037" ca="1">INDIRECT("b"&amp;K2037+2)</f>
        <v>7.7499999999999999E+129</v>
      </c>
      <c r="K2037" s="19">
        <f t="shared" si="337"/>
        <v>4312</v>
      </c>
    </row>
    <row r="2038" spans="1:11">
      <c r="A2038">
        <v>2036</v>
      </c>
      <c r="B2038">
        <v>8.6500000000000002E+72</v>
      </c>
      <c r="D2038" s="18">
        <v>2036</v>
      </c>
      <c r="E2038" s="18" cm="1">
        <f t="array" aca="1" ref="E2038" ca="1">INDIRECT("b"&amp;F2038+2)</f>
        <v>7.9750000000000009E+99</v>
      </c>
      <c r="F2038" s="18">
        <f t="shared" si="341"/>
        <v>3113</v>
      </c>
      <c r="G2038" s="18">
        <f t="shared" ref="G2038" ca="1" si="349">E2038/E2033</f>
        <v>1.24609375</v>
      </c>
      <c r="H2038" s="18"/>
      <c r="I2038" s="19">
        <v>2036</v>
      </c>
      <c r="J2038" s="19" cm="1">
        <f t="array" aca="1" ref="J2038" ca="1">INDIRECT("b"&amp;K2038+2)</f>
        <v>7.9750000000000002E+129</v>
      </c>
      <c r="K2038" s="19">
        <f t="shared" si="337"/>
        <v>4313</v>
      </c>
    </row>
    <row r="2039" spans="1:11">
      <c r="A2039">
        <v>2037</v>
      </c>
      <c r="B2039">
        <v>8.8750000000000007E+72</v>
      </c>
      <c r="D2039" s="18">
        <v>2037</v>
      </c>
      <c r="E2039" s="18" cm="1">
        <f t="array" aca="1" ref="E2039" ca="1">INDIRECT("b"&amp;F2039+2)</f>
        <v>8.2000000000000006E+99</v>
      </c>
      <c r="F2039" s="18">
        <f t="shared" si="341"/>
        <v>3114</v>
      </c>
      <c r="G2039" s="18"/>
      <c r="H2039" s="18"/>
      <c r="I2039" s="19">
        <v>2037</v>
      </c>
      <c r="J2039" s="19" cm="1">
        <f t="array" aca="1" ref="J2039" ca="1">INDIRECT("b"&amp;K2039+2)</f>
        <v>8.2000000000000005E+129</v>
      </c>
      <c r="K2039" s="19">
        <f t="shared" si="337"/>
        <v>4314</v>
      </c>
    </row>
    <row r="2040" spans="1:11">
      <c r="A2040">
        <v>2038</v>
      </c>
      <c r="B2040">
        <v>9.0999999999999995E+72</v>
      </c>
      <c r="D2040" s="18">
        <v>2038</v>
      </c>
      <c r="E2040" s="18" cm="1">
        <f t="array" aca="1" ref="E2040" ca="1">INDIRECT("b"&amp;F2040+2)</f>
        <v>8.6500000000000009E+99</v>
      </c>
      <c r="F2040" s="18">
        <f t="shared" si="341"/>
        <v>3116</v>
      </c>
      <c r="G2040" s="18"/>
      <c r="H2040" s="18"/>
      <c r="I2040" s="19">
        <v>2038</v>
      </c>
      <c r="J2040" s="19" cm="1">
        <f t="array" aca="1" ref="J2040" ca="1">INDIRECT("b"&amp;K2040+2)</f>
        <v>8.6499999999999999E+129</v>
      </c>
      <c r="K2040" s="19">
        <f t="shared" si="337"/>
        <v>4316</v>
      </c>
    </row>
    <row r="2041" spans="1:11">
      <c r="A2041">
        <v>2039</v>
      </c>
      <c r="B2041">
        <v>9.325E+72</v>
      </c>
      <c r="D2041" s="18">
        <v>2039</v>
      </c>
      <c r="E2041" s="18" cm="1">
        <f t="array" aca="1" ref="E2041" ca="1">INDIRECT("b"&amp;F2041+2)</f>
        <v>8.8750000000000007E+99</v>
      </c>
      <c r="F2041" s="18">
        <f t="shared" si="341"/>
        <v>3117</v>
      </c>
      <c r="G2041" s="18"/>
      <c r="H2041" s="18"/>
      <c r="I2041" s="19">
        <v>2039</v>
      </c>
      <c r="J2041" s="19" cm="1">
        <f t="array" aca="1" ref="J2041" ca="1">INDIRECT("b"&amp;K2041+2)</f>
        <v>8.8750000000000003E+129</v>
      </c>
      <c r="K2041" s="19">
        <f t="shared" si="337"/>
        <v>4317</v>
      </c>
    </row>
    <row r="2042" spans="1:11">
      <c r="A2042">
        <v>2040</v>
      </c>
      <c r="B2042">
        <v>9.5500000000000005E+72</v>
      </c>
      <c r="D2042" s="18">
        <v>2040</v>
      </c>
      <c r="E2042" s="18" cm="1">
        <f t="array" aca="1" ref="E2042" ca="1">INDIRECT("b"&amp;F2042+2)</f>
        <v>9.1000000000000013E+99</v>
      </c>
      <c r="F2042" s="18">
        <f t="shared" si="341"/>
        <v>3118</v>
      </c>
      <c r="G2042" s="18"/>
      <c r="H2042" s="18"/>
      <c r="I2042" s="19">
        <v>2040</v>
      </c>
      <c r="J2042" s="19" cm="1">
        <f t="array" aca="1" ref="J2042" ca="1">INDIRECT("b"&amp;K2042+2)</f>
        <v>9.1000000000000006E+129</v>
      </c>
      <c r="K2042" s="19">
        <f t="shared" si="337"/>
        <v>4318</v>
      </c>
    </row>
    <row r="2043" spans="1:11">
      <c r="A2043">
        <v>2041</v>
      </c>
      <c r="B2043">
        <v>9.7750000000000009E+72</v>
      </c>
      <c r="D2043" s="18">
        <v>2041</v>
      </c>
      <c r="E2043" s="18" cm="1">
        <f t="array" aca="1" ref="E2043" ca="1">INDIRECT("b"&amp;F2043+2)</f>
        <v>9.5500000000000007E+99</v>
      </c>
      <c r="F2043" s="18">
        <f t="shared" si="341"/>
        <v>3120</v>
      </c>
      <c r="G2043" s="18">
        <f t="shared" ref="G2043" ca="1" si="350">E2043/E2038</f>
        <v>1.1974921630094044</v>
      </c>
      <c r="H2043" s="18"/>
      <c r="I2043" s="19">
        <v>2041</v>
      </c>
      <c r="J2043" s="19" cm="1">
        <f t="array" aca="1" ref="J2043" ca="1">INDIRECT("b"&amp;K2043+2)</f>
        <v>9.55E+129</v>
      </c>
      <c r="K2043" s="19">
        <f t="shared" si="337"/>
        <v>4320</v>
      </c>
    </row>
    <row r="2044" spans="1:11">
      <c r="A2044">
        <v>2042</v>
      </c>
      <c r="B2044">
        <v>9.9999999999999998E+72</v>
      </c>
      <c r="D2044" s="18">
        <v>2042</v>
      </c>
      <c r="E2044" s="18" cm="1">
        <f t="array" aca="1" ref="E2044" ca="1">INDIRECT("b"&amp;F2044+2)</f>
        <v>9.7750000000000014E+99</v>
      </c>
      <c r="F2044" s="18">
        <f t="shared" si="341"/>
        <v>3121</v>
      </c>
      <c r="G2044" s="18"/>
      <c r="H2044" s="18"/>
      <c r="I2044" s="19">
        <v>2042</v>
      </c>
      <c r="J2044" s="19" cm="1">
        <f t="array" aca="1" ref="J2044" ca="1">INDIRECT("b"&amp;K2044+2)</f>
        <v>9.7750000000000003E+129</v>
      </c>
      <c r="K2044" s="19">
        <f t="shared" si="337"/>
        <v>4321</v>
      </c>
    </row>
    <row r="2045" spans="1:11">
      <c r="A2045">
        <v>2043</v>
      </c>
      <c r="B2045">
        <v>1.225E+73</v>
      </c>
      <c r="D2045" s="18">
        <v>2043</v>
      </c>
      <c r="E2045" s="18" cm="1">
        <f t="array" aca="1" ref="E2045" ca="1">INDIRECT("b"&amp;F2045+2)</f>
        <v>1E+100</v>
      </c>
      <c r="F2045" s="18">
        <f t="shared" si="341"/>
        <v>3122</v>
      </c>
      <c r="G2045" s="18"/>
      <c r="H2045" s="18"/>
      <c r="I2045" s="19">
        <v>2043</v>
      </c>
      <c r="J2045" s="19" cm="1">
        <f t="array" aca="1" ref="J2045" ca="1">INDIRECT("b"&amp;K2045+2)</f>
        <v>1.0000000000000001E+130</v>
      </c>
      <c r="K2045" s="19">
        <f t="shared" si="337"/>
        <v>4322</v>
      </c>
    </row>
    <row r="2046" spans="1:11">
      <c r="A2046">
        <v>2044</v>
      </c>
      <c r="B2046">
        <v>1.4500000000000001E+73</v>
      </c>
      <c r="D2046" s="18">
        <v>2044</v>
      </c>
      <c r="E2046" s="18" cm="1">
        <f t="array" aca="1" ref="E2046" ca="1">INDIRECT("b"&amp;F2046+2)</f>
        <v>1.45E+100</v>
      </c>
      <c r="F2046" s="18">
        <f t="shared" si="341"/>
        <v>3124</v>
      </c>
      <c r="G2046" s="18"/>
      <c r="H2046" s="18"/>
      <c r="I2046" s="19">
        <v>2044</v>
      </c>
      <c r="J2046" s="19" cm="1">
        <f t="array" aca="1" ref="J2046" ca="1">INDIRECT("b"&amp;K2046+2)</f>
        <v>1.45E+130</v>
      </c>
      <c r="K2046" s="19">
        <f t="shared" si="337"/>
        <v>4324</v>
      </c>
    </row>
    <row r="2047" spans="1:11">
      <c r="A2047">
        <v>2045</v>
      </c>
      <c r="B2047">
        <v>1.675E+73</v>
      </c>
      <c r="D2047" s="18">
        <v>2045</v>
      </c>
      <c r="E2047" s="18" cm="1">
        <f t="array" aca="1" ref="E2047" ca="1">INDIRECT("b"&amp;F2047+2)</f>
        <v>1.6750000000000001E+100</v>
      </c>
      <c r="F2047" s="18">
        <f t="shared" si="341"/>
        <v>3125</v>
      </c>
      <c r="G2047" s="18"/>
      <c r="H2047" s="18"/>
      <c r="I2047" s="19">
        <v>2045</v>
      </c>
      <c r="J2047" s="19" cm="1">
        <f t="array" aca="1" ref="J2047" ca="1">INDIRECT("b"&amp;K2047+2)</f>
        <v>1.675E+130</v>
      </c>
      <c r="K2047" s="19">
        <f t="shared" si="337"/>
        <v>4325</v>
      </c>
    </row>
    <row r="2048" spans="1:11">
      <c r="A2048">
        <v>2046</v>
      </c>
      <c r="B2048">
        <v>1.9000000000000001E+73</v>
      </c>
      <c r="D2048" s="18">
        <v>2046</v>
      </c>
      <c r="E2048" s="18" cm="1">
        <f t="array" aca="1" ref="E2048" ca="1">INDIRECT("b"&amp;F2048+2)</f>
        <v>1.9000000000000002E+100</v>
      </c>
      <c r="F2048" s="18">
        <f t="shared" si="341"/>
        <v>3126</v>
      </c>
      <c r="G2048" s="18">
        <f t="shared" ref="G2048" ca="1" si="351">E2048/E2043</f>
        <v>1.9895287958115184</v>
      </c>
      <c r="H2048" s="18"/>
      <c r="I2048" s="19">
        <v>2046</v>
      </c>
      <c r="J2048" s="19" cm="1">
        <f t="array" aca="1" ref="J2048" ca="1">INDIRECT("b"&amp;K2048+2)</f>
        <v>1.9000000000000001E+130</v>
      </c>
      <c r="K2048" s="19">
        <f t="shared" si="337"/>
        <v>4326</v>
      </c>
    </row>
    <row r="2049" spans="1:11">
      <c r="A2049">
        <v>2047</v>
      </c>
      <c r="B2049">
        <v>2.1249999999999999E+73</v>
      </c>
      <c r="D2049" s="18">
        <v>2047</v>
      </c>
      <c r="E2049" s="18" cm="1">
        <f t="array" aca="1" ref="E2049" ca="1">INDIRECT("b"&amp;F2049+2)</f>
        <v>2.35E+100</v>
      </c>
      <c r="F2049" s="18">
        <f t="shared" si="341"/>
        <v>3128</v>
      </c>
      <c r="G2049" s="18"/>
      <c r="H2049" s="18"/>
      <c r="I2049" s="19">
        <v>2047</v>
      </c>
      <c r="J2049" s="19" cm="1">
        <f t="array" aca="1" ref="J2049" ca="1">INDIRECT("b"&amp;K2049+2)</f>
        <v>2.3500000000000002E+130</v>
      </c>
      <c r="K2049" s="19">
        <f t="shared" si="337"/>
        <v>4328</v>
      </c>
    </row>
    <row r="2050" spans="1:11">
      <c r="A2050">
        <v>2048</v>
      </c>
      <c r="B2050">
        <v>2.3500000000000001E+73</v>
      </c>
      <c r="D2050" s="18">
        <v>2048</v>
      </c>
      <c r="E2050" s="18" cm="1">
        <f t="array" aca="1" ref="E2050" ca="1">INDIRECT("b"&amp;F2050+2)</f>
        <v>2.5750000000000003E+100</v>
      </c>
      <c r="F2050" s="18">
        <f t="shared" si="341"/>
        <v>3129</v>
      </c>
      <c r="G2050" s="18"/>
      <c r="H2050" s="18"/>
      <c r="I2050" s="19">
        <v>2048</v>
      </c>
      <c r="J2050" s="19" cm="1">
        <f t="array" aca="1" ref="J2050" ca="1">INDIRECT("b"&amp;K2050+2)</f>
        <v>2.5749999999999998E+130</v>
      </c>
      <c r="K2050" s="19">
        <f t="shared" si="337"/>
        <v>4329</v>
      </c>
    </row>
    <row r="2051" spans="1:11">
      <c r="A2051">
        <v>2049</v>
      </c>
      <c r="B2051">
        <v>2.5749999999999999E+73</v>
      </c>
      <c r="D2051" s="18">
        <v>2049</v>
      </c>
      <c r="E2051" s="18" cm="1">
        <f t="array" aca="1" ref="E2051" ca="1">INDIRECT("b"&amp;F2051+2)</f>
        <v>2.8000000000000002E+100</v>
      </c>
      <c r="F2051" s="18">
        <f t="shared" si="341"/>
        <v>3130</v>
      </c>
      <c r="G2051" s="18"/>
      <c r="H2051" s="18"/>
      <c r="I2051" s="19">
        <v>2049</v>
      </c>
      <c r="J2051" s="19" cm="1">
        <f t="array" aca="1" ref="J2051" ca="1">INDIRECT("b"&amp;K2051+2)</f>
        <v>2.7999999999999999E+130</v>
      </c>
      <c r="K2051" s="19">
        <f t="shared" si="337"/>
        <v>4330</v>
      </c>
    </row>
    <row r="2052" spans="1:11">
      <c r="A2052">
        <v>2050</v>
      </c>
      <c r="B2052">
        <v>2.8000000000000001E+73</v>
      </c>
      <c r="D2052" s="18">
        <v>2050</v>
      </c>
      <c r="E2052" s="18" cm="1">
        <f t="array" aca="1" ref="E2052" ca="1">INDIRECT("b"&amp;F2052+2)</f>
        <v>3.25E+100</v>
      </c>
      <c r="F2052" s="18">
        <f t="shared" si="341"/>
        <v>3132</v>
      </c>
      <c r="G2052" s="18"/>
      <c r="H2052" s="18"/>
      <c r="I2052" s="19">
        <v>2050</v>
      </c>
      <c r="J2052" s="19" cm="1">
        <f t="array" aca="1" ref="J2052" ca="1">INDIRECT("b"&amp;K2052+2)</f>
        <v>3.25E+130</v>
      </c>
      <c r="K2052" s="19">
        <f t="shared" ref="K2052:K2115" si="352">INT((A2052-1)*40/30+900*40/30)+400</f>
        <v>4332</v>
      </c>
    </row>
    <row r="2053" spans="1:11">
      <c r="A2053">
        <v>2051</v>
      </c>
      <c r="B2053">
        <v>3.0249999999999999E+73</v>
      </c>
      <c r="D2053" s="18">
        <v>2051</v>
      </c>
      <c r="E2053" s="18" cm="1">
        <f t="array" aca="1" ref="E2053" ca="1">INDIRECT("b"&amp;F2053+2)</f>
        <v>3.4750000000000003E+100</v>
      </c>
      <c r="F2053" s="18">
        <f t="shared" si="341"/>
        <v>3133</v>
      </c>
      <c r="G2053" s="18">
        <f t="shared" ref="G2053" ca="1" si="353">E2053/E2048</f>
        <v>1.8289473684210527</v>
      </c>
      <c r="H2053" s="18"/>
      <c r="I2053" s="19">
        <v>2051</v>
      </c>
      <c r="J2053" s="19" cm="1">
        <f t="array" aca="1" ref="J2053" ca="1">INDIRECT("b"&amp;K2053+2)</f>
        <v>3.4750000000000001E+130</v>
      </c>
      <c r="K2053" s="19">
        <f t="shared" si="352"/>
        <v>4333</v>
      </c>
    </row>
    <row r="2054" spans="1:11">
      <c r="A2054">
        <v>2052</v>
      </c>
      <c r="B2054">
        <v>3.2500000000000001E+73</v>
      </c>
      <c r="D2054" s="18">
        <v>2052</v>
      </c>
      <c r="E2054" s="18" cm="1">
        <f t="array" aca="1" ref="E2054" ca="1">INDIRECT("b"&amp;F2054+2)</f>
        <v>3.7000000000000002E+100</v>
      </c>
      <c r="F2054" s="18">
        <f t="shared" si="341"/>
        <v>3134</v>
      </c>
      <c r="G2054" s="18"/>
      <c r="H2054" s="18"/>
      <c r="I2054" s="19">
        <v>2052</v>
      </c>
      <c r="J2054" s="19" cm="1">
        <f t="array" aca="1" ref="J2054" ca="1">INDIRECT("b"&amp;K2054+2)</f>
        <v>3.7000000000000001E+130</v>
      </c>
      <c r="K2054" s="19">
        <f t="shared" si="352"/>
        <v>4334</v>
      </c>
    </row>
    <row r="2055" spans="1:11">
      <c r="A2055">
        <v>2053</v>
      </c>
      <c r="B2055">
        <v>3.4750000000000002E+73</v>
      </c>
      <c r="D2055" s="18">
        <v>2053</v>
      </c>
      <c r="E2055" s="18" cm="1">
        <f t="array" aca="1" ref="E2055" ca="1">INDIRECT("b"&amp;F2055+2)</f>
        <v>4.15E+100</v>
      </c>
      <c r="F2055" s="18">
        <f t="shared" si="341"/>
        <v>3136</v>
      </c>
      <c r="G2055" s="18"/>
      <c r="H2055" s="18"/>
      <c r="I2055" s="19">
        <v>2053</v>
      </c>
      <c r="J2055" s="19" cm="1">
        <f t="array" aca="1" ref="J2055" ca="1">INDIRECT("b"&amp;K2055+2)</f>
        <v>4.1500000000000003E+130</v>
      </c>
      <c r="K2055" s="19">
        <f t="shared" si="352"/>
        <v>4336</v>
      </c>
    </row>
    <row r="2056" spans="1:11">
      <c r="A2056">
        <v>2054</v>
      </c>
      <c r="B2056">
        <v>3.6999999999999997E+73</v>
      </c>
      <c r="D2056" s="18">
        <v>2054</v>
      </c>
      <c r="E2056" s="18" cm="1">
        <f t="array" aca="1" ref="E2056" ca="1">INDIRECT("b"&amp;F2056+2)</f>
        <v>4.3750000000000003E+100</v>
      </c>
      <c r="F2056" s="18">
        <f t="shared" si="341"/>
        <v>3137</v>
      </c>
      <c r="G2056" s="18"/>
      <c r="H2056" s="18"/>
      <c r="I2056" s="19">
        <v>2054</v>
      </c>
      <c r="J2056" s="19" cm="1">
        <f t="array" aca="1" ref="J2056" ca="1">INDIRECT("b"&amp;K2056+2)</f>
        <v>4.3749999999999999E+130</v>
      </c>
      <c r="K2056" s="19">
        <f t="shared" si="352"/>
        <v>4337</v>
      </c>
    </row>
    <row r="2057" spans="1:11">
      <c r="A2057">
        <v>2055</v>
      </c>
      <c r="B2057">
        <v>3.9249999999999999E+73</v>
      </c>
      <c r="D2057" s="18">
        <v>2055</v>
      </c>
      <c r="E2057" s="18" cm="1">
        <f t="array" aca="1" ref="E2057" ca="1">INDIRECT("b"&amp;F2057+2)</f>
        <v>4.6000000000000006E+100</v>
      </c>
      <c r="F2057" s="18">
        <f t="shared" si="341"/>
        <v>3138</v>
      </c>
      <c r="G2057" s="18"/>
      <c r="H2057" s="18"/>
      <c r="I2057" s="19">
        <v>2055</v>
      </c>
      <c r="J2057" s="19" cm="1">
        <f t="array" aca="1" ref="J2057" ca="1">INDIRECT("b"&amp;K2057+2)</f>
        <v>4.6000000000000004E+130</v>
      </c>
      <c r="K2057" s="19">
        <f t="shared" si="352"/>
        <v>4338</v>
      </c>
    </row>
    <row r="2058" spans="1:11">
      <c r="A2058">
        <v>2056</v>
      </c>
      <c r="B2058">
        <v>4.15E+73</v>
      </c>
      <c r="D2058" s="18">
        <v>2056</v>
      </c>
      <c r="E2058" s="18" cm="1">
        <f t="array" aca="1" ref="E2058" ca="1">INDIRECT("b"&amp;F2058+2)</f>
        <v>5.0500000000000004E+100</v>
      </c>
      <c r="F2058" s="18">
        <f t="shared" si="341"/>
        <v>3140</v>
      </c>
      <c r="G2058" s="18">
        <f t="shared" ref="G2058" ca="1" si="354">E2058/E2053</f>
        <v>1.4532374100719425</v>
      </c>
      <c r="H2058" s="18"/>
      <c r="I2058" s="19">
        <v>2056</v>
      </c>
      <c r="J2058" s="19" cm="1">
        <f t="array" aca="1" ref="J2058" ca="1">INDIRECT("b"&amp;K2058+2)</f>
        <v>5.0500000000000006E+130</v>
      </c>
      <c r="K2058" s="19">
        <f t="shared" si="352"/>
        <v>4340</v>
      </c>
    </row>
    <row r="2059" spans="1:11">
      <c r="A2059">
        <v>2057</v>
      </c>
      <c r="B2059">
        <v>4.3750000000000002E+73</v>
      </c>
      <c r="D2059" s="18">
        <v>2057</v>
      </c>
      <c r="E2059" s="18" cm="1">
        <f t="array" aca="1" ref="E2059" ca="1">INDIRECT("b"&amp;F2059+2)</f>
        <v>5.2749999999999999E+100</v>
      </c>
      <c r="F2059" s="18">
        <f t="shared" si="341"/>
        <v>3141</v>
      </c>
      <c r="G2059" s="18"/>
      <c r="H2059" s="18"/>
      <c r="I2059" s="19">
        <v>2057</v>
      </c>
      <c r="J2059" s="19" cm="1">
        <f t="array" aca="1" ref="J2059" ca="1">INDIRECT("b"&amp;K2059+2)</f>
        <v>5.2750000000000001E+130</v>
      </c>
      <c r="K2059" s="19">
        <f t="shared" si="352"/>
        <v>4341</v>
      </c>
    </row>
    <row r="2060" spans="1:11">
      <c r="A2060">
        <v>2058</v>
      </c>
      <c r="B2060">
        <v>4.5999999999999997E+73</v>
      </c>
      <c r="D2060" s="18">
        <v>2058</v>
      </c>
      <c r="E2060" s="18" cm="1">
        <f t="array" aca="1" ref="E2060" ca="1">INDIRECT("b"&amp;F2060+2)</f>
        <v>5.5000000000000002E+100</v>
      </c>
      <c r="F2060" s="18">
        <f t="shared" si="341"/>
        <v>3142</v>
      </c>
      <c r="G2060" s="18"/>
      <c r="H2060" s="18"/>
      <c r="I2060" s="19">
        <v>2058</v>
      </c>
      <c r="J2060" s="19" cm="1">
        <f t="array" aca="1" ref="J2060" ca="1">INDIRECT("b"&amp;K2060+2)</f>
        <v>5.4999999999999997E+130</v>
      </c>
      <c r="K2060" s="19">
        <f t="shared" si="352"/>
        <v>4342</v>
      </c>
    </row>
    <row r="2061" spans="1:11">
      <c r="A2061">
        <v>2059</v>
      </c>
      <c r="B2061">
        <v>4.8249999999999999E+73</v>
      </c>
      <c r="D2061" s="18">
        <v>2059</v>
      </c>
      <c r="E2061" s="18" cm="1">
        <f t="array" aca="1" ref="E2061" ca="1">INDIRECT("b"&amp;F2061+2)</f>
        <v>5.95E+100</v>
      </c>
      <c r="F2061" s="18">
        <f t="shared" si="341"/>
        <v>3144</v>
      </c>
      <c r="G2061" s="18"/>
      <c r="H2061" s="18"/>
      <c r="I2061" s="19">
        <v>2059</v>
      </c>
      <c r="J2061" s="19" cm="1">
        <f t="array" aca="1" ref="J2061" ca="1">INDIRECT("b"&amp;K2061+2)</f>
        <v>5.9499999999999999E+130</v>
      </c>
      <c r="K2061" s="19">
        <f t="shared" si="352"/>
        <v>4344</v>
      </c>
    </row>
    <row r="2062" spans="1:11">
      <c r="A2062">
        <v>2060</v>
      </c>
      <c r="B2062">
        <v>5.05E+73</v>
      </c>
      <c r="D2062" s="18">
        <v>2060</v>
      </c>
      <c r="E2062" s="18" cm="1">
        <f t="array" aca="1" ref="E2062" ca="1">INDIRECT("b"&amp;F2062+2)</f>
        <v>6.1750000000000003E+100</v>
      </c>
      <c r="F2062" s="18">
        <f t="shared" si="341"/>
        <v>3145</v>
      </c>
      <c r="G2062" s="18"/>
      <c r="H2062" s="18"/>
      <c r="I2062" s="19">
        <v>2060</v>
      </c>
      <c r="J2062" s="19" cm="1">
        <f t="array" aca="1" ref="J2062" ca="1">INDIRECT("b"&amp;K2062+2)</f>
        <v>6.1750000000000004E+130</v>
      </c>
      <c r="K2062" s="19">
        <f t="shared" si="352"/>
        <v>4345</v>
      </c>
    </row>
    <row r="2063" spans="1:11">
      <c r="A2063">
        <v>2061</v>
      </c>
      <c r="B2063">
        <v>5.2750000000000001E+73</v>
      </c>
      <c r="D2063" s="18">
        <v>2061</v>
      </c>
      <c r="E2063" s="18" cm="1">
        <f t="array" aca="1" ref="E2063" ca="1">INDIRECT("b"&amp;F2063+2)</f>
        <v>6.4000000000000006E+100</v>
      </c>
      <c r="F2063" s="18">
        <f t="shared" si="341"/>
        <v>3146</v>
      </c>
      <c r="G2063" s="18">
        <f t="shared" ref="G2063" ca="1" si="355">E2063/E2058</f>
        <v>1.2673267326732673</v>
      </c>
      <c r="H2063" s="18"/>
      <c r="I2063" s="19">
        <v>2061</v>
      </c>
      <c r="J2063" s="19" cm="1">
        <f t="array" aca="1" ref="J2063" ca="1">INDIRECT("b"&amp;K2063+2)</f>
        <v>6.4E+130</v>
      </c>
      <c r="K2063" s="19">
        <f t="shared" si="352"/>
        <v>4346</v>
      </c>
    </row>
    <row r="2064" spans="1:11">
      <c r="A2064">
        <v>2062</v>
      </c>
      <c r="B2064">
        <v>5.4999999999999997E+73</v>
      </c>
      <c r="D2064" s="18">
        <v>2062</v>
      </c>
      <c r="E2064" s="18" cm="1">
        <f t="array" aca="1" ref="E2064" ca="1">INDIRECT("b"&amp;F2064+2)</f>
        <v>6.8500000000000004E+100</v>
      </c>
      <c r="F2064" s="18">
        <f t="shared" si="341"/>
        <v>3148</v>
      </c>
      <c r="G2064" s="18"/>
      <c r="H2064" s="18"/>
      <c r="I2064" s="19">
        <v>2062</v>
      </c>
      <c r="J2064" s="19" cm="1">
        <f t="array" aca="1" ref="J2064" ca="1">INDIRECT("b"&amp;K2064+2)</f>
        <v>6.8500000000000001E+130</v>
      </c>
      <c r="K2064" s="19">
        <f t="shared" si="352"/>
        <v>4348</v>
      </c>
    </row>
    <row r="2065" spans="1:11">
      <c r="A2065">
        <v>2063</v>
      </c>
      <c r="B2065">
        <v>5.7250000000000004E+73</v>
      </c>
      <c r="D2065" s="18">
        <v>2063</v>
      </c>
      <c r="E2065" s="18" cm="1">
        <f t="array" aca="1" ref="E2065" ca="1">INDIRECT("b"&amp;F2065+2)</f>
        <v>7.0749999999999999E+100</v>
      </c>
      <c r="F2065" s="18">
        <f t="shared" si="341"/>
        <v>3149</v>
      </c>
      <c r="G2065" s="18"/>
      <c r="H2065" s="18"/>
      <c r="I2065" s="19">
        <v>2063</v>
      </c>
      <c r="J2065" s="19" cm="1">
        <f t="array" aca="1" ref="J2065" ca="1">INDIRECT("b"&amp;K2065+2)</f>
        <v>7.0749999999999997E+130</v>
      </c>
      <c r="K2065" s="19">
        <f t="shared" si="352"/>
        <v>4349</v>
      </c>
    </row>
    <row r="2066" spans="1:11">
      <c r="A2066">
        <v>2064</v>
      </c>
      <c r="B2066">
        <v>5.9499999999999993E+73</v>
      </c>
      <c r="D2066" s="18">
        <v>2064</v>
      </c>
      <c r="E2066" s="18" cm="1">
        <f t="array" aca="1" ref="E2066" ca="1">INDIRECT("b"&amp;F2066+2)</f>
        <v>7.300000000000001E+100</v>
      </c>
      <c r="F2066" s="18">
        <f t="shared" si="341"/>
        <v>3150</v>
      </c>
      <c r="G2066" s="18"/>
      <c r="H2066" s="18"/>
      <c r="I2066" s="19">
        <v>2064</v>
      </c>
      <c r="J2066" s="19" cm="1">
        <f t="array" aca="1" ref="J2066" ca="1">INDIRECT("b"&amp;K2066+2)</f>
        <v>7.3000000000000003E+130</v>
      </c>
      <c r="K2066" s="19">
        <f t="shared" si="352"/>
        <v>4350</v>
      </c>
    </row>
    <row r="2067" spans="1:11">
      <c r="A2067">
        <v>2065</v>
      </c>
      <c r="B2067">
        <v>6.1749999999999995E+73</v>
      </c>
      <c r="D2067" s="18">
        <v>2065</v>
      </c>
      <c r="E2067" s="18" cm="1">
        <f t="array" aca="1" ref="E2067" ca="1">INDIRECT("b"&amp;F2067+2)</f>
        <v>7.75E+100</v>
      </c>
      <c r="F2067" s="18">
        <f t="shared" ref="F2067:F2130" si="356">INT((A2067-123)*1.333333)+563</f>
        <v>3152</v>
      </c>
      <c r="G2067" s="18"/>
      <c r="H2067" s="18"/>
      <c r="I2067" s="19">
        <v>2065</v>
      </c>
      <c r="J2067" s="19" cm="1">
        <f t="array" aca="1" ref="J2067" ca="1">INDIRECT("b"&amp;K2067+2)</f>
        <v>7.7500000000000004E+130</v>
      </c>
      <c r="K2067" s="19">
        <f t="shared" si="352"/>
        <v>4352</v>
      </c>
    </row>
    <row r="2068" spans="1:11">
      <c r="A2068">
        <v>2066</v>
      </c>
      <c r="B2068">
        <v>6.3999999999999996E+73</v>
      </c>
      <c r="D2068" s="18">
        <v>2066</v>
      </c>
      <c r="E2068" s="18" cm="1">
        <f t="array" aca="1" ref="E2068" ca="1">INDIRECT("b"&amp;F2068+2)</f>
        <v>7.975000000000001E+100</v>
      </c>
      <c r="F2068" s="18">
        <f t="shared" si="356"/>
        <v>3153</v>
      </c>
      <c r="G2068" s="18">
        <f t="shared" ref="G2068" ca="1" si="357">E2068/E2063</f>
        <v>1.24609375</v>
      </c>
      <c r="H2068" s="18"/>
      <c r="I2068" s="19">
        <v>2066</v>
      </c>
      <c r="J2068" s="19" cm="1">
        <f t="array" aca="1" ref="J2068" ca="1">INDIRECT("b"&amp;K2068+2)</f>
        <v>7.975E+130</v>
      </c>
      <c r="K2068" s="19">
        <f t="shared" si="352"/>
        <v>4353</v>
      </c>
    </row>
    <row r="2069" spans="1:11">
      <c r="A2069">
        <v>2067</v>
      </c>
      <c r="B2069">
        <v>6.6249999999999998E+73</v>
      </c>
      <c r="D2069" s="18">
        <v>2067</v>
      </c>
      <c r="E2069" s="18" cm="1">
        <f t="array" aca="1" ref="E2069" ca="1">INDIRECT("b"&amp;F2069+2)</f>
        <v>8.2000000000000006E+100</v>
      </c>
      <c r="F2069" s="18">
        <f t="shared" si="356"/>
        <v>3154</v>
      </c>
      <c r="G2069" s="18"/>
      <c r="H2069" s="18"/>
      <c r="I2069" s="19">
        <v>2067</v>
      </c>
      <c r="J2069" s="19" cm="1">
        <f t="array" aca="1" ref="J2069" ca="1">INDIRECT("b"&amp;K2069+2)</f>
        <v>8.2000000000000005E+130</v>
      </c>
      <c r="K2069" s="19">
        <f t="shared" si="352"/>
        <v>4354</v>
      </c>
    </row>
    <row r="2070" spans="1:11">
      <c r="A2070">
        <v>2068</v>
      </c>
      <c r="B2070">
        <v>6.8499999999999999E+73</v>
      </c>
      <c r="D2070" s="18">
        <v>2068</v>
      </c>
      <c r="E2070" s="18" cm="1">
        <f t="array" aca="1" ref="E2070" ca="1">INDIRECT("b"&amp;F2070+2)</f>
        <v>8.6500000000000011E+100</v>
      </c>
      <c r="F2070" s="18">
        <f t="shared" si="356"/>
        <v>3156</v>
      </c>
      <c r="G2070" s="18"/>
      <c r="H2070" s="18"/>
      <c r="I2070" s="19">
        <v>2068</v>
      </c>
      <c r="J2070" s="19" cm="1">
        <f t="array" aca="1" ref="J2070" ca="1">INDIRECT("b"&amp;K2070+2)</f>
        <v>8.6499999999999997E+130</v>
      </c>
      <c r="K2070" s="19">
        <f t="shared" si="352"/>
        <v>4356</v>
      </c>
    </row>
    <row r="2071" spans="1:11">
      <c r="A2071">
        <v>2069</v>
      </c>
      <c r="B2071">
        <v>7.0750000000000001E+73</v>
      </c>
      <c r="D2071" s="18">
        <v>2069</v>
      </c>
      <c r="E2071" s="18" cm="1">
        <f t="array" aca="1" ref="E2071" ca="1">INDIRECT("b"&amp;F2071+2)</f>
        <v>8.8750000000000007E+100</v>
      </c>
      <c r="F2071" s="18">
        <f t="shared" si="356"/>
        <v>3157</v>
      </c>
      <c r="G2071" s="18"/>
      <c r="H2071" s="18"/>
      <c r="I2071" s="19">
        <v>2069</v>
      </c>
      <c r="J2071" s="19" cm="1">
        <f t="array" aca="1" ref="J2071" ca="1">INDIRECT("b"&amp;K2071+2)</f>
        <v>8.8749999999999993E+130</v>
      </c>
      <c r="K2071" s="19">
        <f t="shared" si="352"/>
        <v>4357</v>
      </c>
    </row>
    <row r="2072" spans="1:11">
      <c r="A2072">
        <v>2070</v>
      </c>
      <c r="B2072">
        <v>7.3000000000000002E+73</v>
      </c>
      <c r="D2072" s="18">
        <v>2070</v>
      </c>
      <c r="E2072" s="18" cm="1">
        <f t="array" aca="1" ref="E2072" ca="1">INDIRECT("b"&amp;F2072+2)</f>
        <v>9.1000000000000002E+100</v>
      </c>
      <c r="F2072" s="18">
        <f t="shared" si="356"/>
        <v>3158</v>
      </c>
      <c r="G2072" s="18"/>
      <c r="H2072" s="18"/>
      <c r="I2072" s="19">
        <v>2070</v>
      </c>
      <c r="J2072" s="19" cm="1">
        <f t="array" aca="1" ref="J2072" ca="1">INDIRECT("b"&amp;K2072+2)</f>
        <v>9.1000000000000008E+130</v>
      </c>
      <c r="K2072" s="19">
        <f t="shared" si="352"/>
        <v>4358</v>
      </c>
    </row>
    <row r="2073" spans="1:11">
      <c r="A2073">
        <v>2071</v>
      </c>
      <c r="B2073">
        <v>7.5250000000000004E+73</v>
      </c>
      <c r="D2073" s="18">
        <v>2071</v>
      </c>
      <c r="E2073" s="18" cm="1">
        <f t="array" aca="1" ref="E2073" ca="1">INDIRECT("b"&amp;F2073+2)</f>
        <v>9.5500000000000007E+100</v>
      </c>
      <c r="F2073" s="18">
        <f t="shared" si="356"/>
        <v>3160</v>
      </c>
      <c r="G2073" s="18">
        <f t="shared" ref="G2073" ca="1" si="358">E2073/E2068</f>
        <v>1.1974921630094044</v>
      </c>
      <c r="H2073" s="18"/>
      <c r="I2073" s="19">
        <v>2071</v>
      </c>
      <c r="J2073" s="19" cm="1">
        <f t="array" aca="1" ref="J2073" ca="1">INDIRECT("b"&amp;K2073+2)</f>
        <v>9.55E+130</v>
      </c>
      <c r="K2073" s="19">
        <f t="shared" si="352"/>
        <v>4360</v>
      </c>
    </row>
    <row r="2074" spans="1:11">
      <c r="A2074">
        <v>2072</v>
      </c>
      <c r="B2074">
        <v>7.7500000000000005E+73</v>
      </c>
      <c r="D2074" s="18">
        <v>2072</v>
      </c>
      <c r="E2074" s="18" cm="1">
        <f t="array" aca="1" ref="E2074" ca="1">INDIRECT("b"&amp;F2074+2)</f>
        <v>9.7750000000000003E+100</v>
      </c>
      <c r="F2074" s="18">
        <f t="shared" si="356"/>
        <v>3161</v>
      </c>
      <c r="G2074" s="18"/>
      <c r="H2074" s="18"/>
      <c r="I2074" s="19">
        <v>2072</v>
      </c>
      <c r="J2074" s="19" cm="1">
        <f t="array" aca="1" ref="J2074" ca="1">INDIRECT("b"&amp;K2074+2)</f>
        <v>9.7749999999999995E+130</v>
      </c>
      <c r="K2074" s="19">
        <f t="shared" si="352"/>
        <v>4361</v>
      </c>
    </row>
    <row r="2075" spans="1:11">
      <c r="A2075">
        <v>2073</v>
      </c>
      <c r="B2075">
        <v>7.9749999999999994E+73</v>
      </c>
      <c r="D2075" s="18">
        <v>2073</v>
      </c>
      <c r="E2075" s="18" cm="1">
        <f t="array" aca="1" ref="E2075" ca="1">INDIRECT("b"&amp;F2075+2)</f>
        <v>9.9999999999999998E+100</v>
      </c>
      <c r="F2075" s="18">
        <f t="shared" si="356"/>
        <v>3162</v>
      </c>
      <c r="G2075" s="18"/>
      <c r="H2075" s="18"/>
      <c r="I2075" s="19">
        <v>2073</v>
      </c>
      <c r="J2075" s="19" cm="1">
        <f t="array" aca="1" ref="J2075" ca="1">INDIRECT("b"&amp;K2075+2)</f>
        <v>9.9999999999999991E+130</v>
      </c>
      <c r="K2075" s="19">
        <f t="shared" si="352"/>
        <v>4362</v>
      </c>
    </row>
    <row r="2076" spans="1:11">
      <c r="A2076">
        <v>2074</v>
      </c>
      <c r="B2076">
        <v>8.1999999999999996E+73</v>
      </c>
      <c r="D2076" s="18">
        <v>2074</v>
      </c>
      <c r="E2076" s="18" cm="1">
        <f t="array" aca="1" ref="E2076" ca="1">INDIRECT("b"&amp;F2076+2)</f>
        <v>1.4499999999999999E+101</v>
      </c>
      <c r="F2076" s="18">
        <f t="shared" si="356"/>
        <v>3164</v>
      </c>
      <c r="G2076" s="18"/>
      <c r="H2076" s="18"/>
      <c r="I2076" s="19">
        <v>2074</v>
      </c>
      <c r="J2076" s="19" cm="1">
        <f t="array" aca="1" ref="J2076" ca="1">INDIRECT("b"&amp;K2076+2)</f>
        <v>1.45E+131</v>
      </c>
      <c r="K2076" s="19">
        <f t="shared" si="352"/>
        <v>4364</v>
      </c>
    </row>
    <row r="2077" spans="1:11">
      <c r="A2077">
        <v>2075</v>
      </c>
      <c r="B2077">
        <v>8.4249999999999997E+73</v>
      </c>
      <c r="D2077" s="18">
        <v>2075</v>
      </c>
      <c r="E2077" s="18" cm="1">
        <f t="array" aca="1" ref="E2077" ca="1">INDIRECT("b"&amp;F2077+2)</f>
        <v>1.6750000000000001E+101</v>
      </c>
      <c r="F2077" s="18">
        <f t="shared" si="356"/>
        <v>3165</v>
      </c>
      <c r="G2077" s="18"/>
      <c r="H2077" s="18"/>
      <c r="I2077" s="19">
        <v>2075</v>
      </c>
      <c r="J2077" s="19" cm="1">
        <f t="array" aca="1" ref="J2077" ca="1">INDIRECT("b"&amp;K2077+2)</f>
        <v>1.675E+131</v>
      </c>
      <c r="K2077" s="19">
        <f t="shared" si="352"/>
        <v>4365</v>
      </c>
    </row>
    <row r="2078" spans="1:11">
      <c r="A2078">
        <v>2076</v>
      </c>
      <c r="B2078">
        <v>8.6499999999999999E+73</v>
      </c>
      <c r="D2078" s="18">
        <v>2076</v>
      </c>
      <c r="E2078" s="18" cm="1">
        <f t="array" aca="1" ref="E2078" ca="1">INDIRECT("b"&amp;F2078+2)</f>
        <v>1.9000000000000002E+101</v>
      </c>
      <c r="F2078" s="18">
        <f t="shared" si="356"/>
        <v>3166</v>
      </c>
      <c r="G2078" s="18">
        <f t="shared" ref="G2078" ca="1" si="359">E2078/E2073</f>
        <v>1.9895287958115184</v>
      </c>
      <c r="H2078" s="18"/>
      <c r="I2078" s="19">
        <v>2076</v>
      </c>
      <c r="J2078" s="19" cm="1">
        <f t="array" aca="1" ref="J2078" ca="1">INDIRECT("b"&amp;K2078+2)</f>
        <v>1.8999999999999998E+131</v>
      </c>
      <c r="K2078" s="19">
        <f t="shared" si="352"/>
        <v>4366</v>
      </c>
    </row>
    <row r="2079" spans="1:11">
      <c r="A2079">
        <v>2077</v>
      </c>
      <c r="B2079">
        <v>8.875E+73</v>
      </c>
      <c r="D2079" s="18">
        <v>2077</v>
      </c>
      <c r="E2079" s="18" cm="1">
        <f t="array" aca="1" ref="E2079" ca="1">INDIRECT("b"&amp;F2079+2)</f>
        <v>2.3500000000000002E+101</v>
      </c>
      <c r="F2079" s="18">
        <f t="shared" si="356"/>
        <v>3168</v>
      </c>
      <c r="G2079" s="18"/>
      <c r="H2079" s="18"/>
      <c r="I2079" s="19">
        <v>2077</v>
      </c>
      <c r="J2079" s="19" cm="1">
        <f t="array" aca="1" ref="J2079" ca="1">INDIRECT("b"&amp;K2079+2)</f>
        <v>2.3500000000000001E+131</v>
      </c>
      <c r="K2079" s="19">
        <f t="shared" si="352"/>
        <v>4368</v>
      </c>
    </row>
    <row r="2080" spans="1:11">
      <c r="A2080">
        <v>2078</v>
      </c>
      <c r="B2080">
        <v>9.1000000000000002E+73</v>
      </c>
      <c r="D2080" s="18">
        <v>2078</v>
      </c>
      <c r="E2080" s="18" cm="1">
        <f t="array" aca="1" ref="E2080" ca="1">INDIRECT("b"&amp;F2080+2)</f>
        <v>2.575E+101</v>
      </c>
      <c r="F2080" s="18">
        <f t="shared" si="356"/>
        <v>3169</v>
      </c>
      <c r="G2080" s="18"/>
      <c r="H2080" s="18"/>
      <c r="I2080" s="19">
        <v>2078</v>
      </c>
      <c r="J2080" s="19" cm="1">
        <f t="array" aca="1" ref="J2080" ca="1">INDIRECT("b"&amp;K2080+2)</f>
        <v>2.5750000000000001E+131</v>
      </c>
      <c r="K2080" s="19">
        <f t="shared" si="352"/>
        <v>4369</v>
      </c>
    </row>
    <row r="2081" spans="1:11">
      <c r="A2081">
        <v>2079</v>
      </c>
      <c r="B2081">
        <v>9.3250000000000003E+73</v>
      </c>
      <c r="D2081" s="18">
        <v>2079</v>
      </c>
      <c r="E2081" s="18" cm="1">
        <f t="array" aca="1" ref="E2081" ca="1">INDIRECT("b"&amp;F2081+2)</f>
        <v>2.7999999999999998E+101</v>
      </c>
      <c r="F2081" s="18">
        <f t="shared" si="356"/>
        <v>3170</v>
      </c>
      <c r="G2081" s="18"/>
      <c r="H2081" s="18"/>
      <c r="I2081" s="19">
        <v>2079</v>
      </c>
      <c r="J2081" s="19" cm="1">
        <f t="array" aca="1" ref="J2081" ca="1">INDIRECT("b"&amp;K2081+2)</f>
        <v>2.8000000000000001E+131</v>
      </c>
      <c r="K2081" s="19">
        <f t="shared" si="352"/>
        <v>4370</v>
      </c>
    </row>
    <row r="2082" spans="1:11">
      <c r="A2082">
        <v>2080</v>
      </c>
      <c r="B2082">
        <v>9.5500000000000005E+73</v>
      </c>
      <c r="D2082" s="18">
        <v>2080</v>
      </c>
      <c r="E2082" s="18" cm="1">
        <f t="array" aca="1" ref="E2082" ca="1">INDIRECT("b"&amp;F2082+2)</f>
        <v>3.2500000000000001E+101</v>
      </c>
      <c r="F2082" s="18">
        <f t="shared" si="356"/>
        <v>3172</v>
      </c>
      <c r="G2082" s="18"/>
      <c r="H2082" s="18"/>
      <c r="I2082" s="19">
        <v>2080</v>
      </c>
      <c r="J2082" s="19" cm="1">
        <f t="array" aca="1" ref="J2082" ca="1">INDIRECT("b"&amp;K2082+2)</f>
        <v>3.25E+131</v>
      </c>
      <c r="K2082" s="19">
        <f t="shared" si="352"/>
        <v>4372</v>
      </c>
    </row>
    <row r="2083" spans="1:11">
      <c r="A2083">
        <v>2081</v>
      </c>
      <c r="B2083">
        <v>9.7749999999999994E+73</v>
      </c>
      <c r="D2083" s="18">
        <v>2081</v>
      </c>
      <c r="E2083" s="18" cm="1">
        <f t="array" aca="1" ref="E2083" ca="1">INDIRECT("b"&amp;F2083+2)</f>
        <v>3.4750000000000002E+101</v>
      </c>
      <c r="F2083" s="18">
        <f t="shared" si="356"/>
        <v>3173</v>
      </c>
      <c r="G2083" s="18">
        <f t="shared" ref="G2083" ca="1" si="360">E2083/E2078</f>
        <v>1.8289473684210527</v>
      </c>
      <c r="H2083" s="18"/>
      <c r="I2083" s="19">
        <v>2081</v>
      </c>
      <c r="J2083" s="19" cm="1">
        <f t="array" aca="1" ref="J2083" ca="1">INDIRECT("b"&amp;K2083+2)</f>
        <v>3.475E+131</v>
      </c>
      <c r="K2083" s="19">
        <f t="shared" si="352"/>
        <v>4373</v>
      </c>
    </row>
    <row r="2084" spans="1:11">
      <c r="A2084">
        <v>2082</v>
      </c>
      <c r="B2084">
        <v>9.9999999999999995E+73</v>
      </c>
      <c r="D2084" s="18">
        <v>2082</v>
      </c>
      <c r="E2084" s="18" cm="1">
        <f t="array" aca="1" ref="E2084" ca="1">INDIRECT("b"&amp;F2084+2)</f>
        <v>3.7000000000000004E+101</v>
      </c>
      <c r="F2084" s="18">
        <f t="shared" si="356"/>
        <v>3174</v>
      </c>
      <c r="G2084" s="18"/>
      <c r="H2084" s="18"/>
      <c r="I2084" s="19">
        <v>2082</v>
      </c>
      <c r="J2084" s="19" cm="1">
        <f t="array" aca="1" ref="J2084" ca="1">INDIRECT("b"&amp;K2084+2)</f>
        <v>3.7E+131</v>
      </c>
      <c r="K2084" s="19">
        <f t="shared" si="352"/>
        <v>4374</v>
      </c>
    </row>
    <row r="2085" spans="1:11">
      <c r="A2085">
        <v>2083</v>
      </c>
      <c r="B2085">
        <v>1.225E+74</v>
      </c>
      <c r="D2085" s="18">
        <v>2083</v>
      </c>
      <c r="E2085" s="18" cm="1">
        <f t="array" aca="1" ref="E2085" ca="1">INDIRECT("b"&amp;F2085+2)</f>
        <v>4.15E+101</v>
      </c>
      <c r="F2085" s="18">
        <f t="shared" si="356"/>
        <v>3176</v>
      </c>
      <c r="G2085" s="18"/>
      <c r="H2085" s="18"/>
      <c r="I2085" s="19">
        <v>2083</v>
      </c>
      <c r="J2085" s="19" cm="1">
        <f t="array" aca="1" ref="J2085" ca="1">INDIRECT("b"&amp;K2085+2)</f>
        <v>4.1499999999999999E+131</v>
      </c>
      <c r="K2085" s="19">
        <f t="shared" si="352"/>
        <v>4376</v>
      </c>
    </row>
    <row r="2086" spans="1:11">
      <c r="A2086">
        <v>2084</v>
      </c>
      <c r="B2086">
        <v>1.4499999999999999E+74</v>
      </c>
      <c r="D2086" s="18">
        <v>2084</v>
      </c>
      <c r="E2086" s="18" cm="1">
        <f t="array" aca="1" ref="E2086" ca="1">INDIRECT("b"&amp;F2086+2)</f>
        <v>4.3750000000000001E+101</v>
      </c>
      <c r="F2086" s="18">
        <f t="shared" si="356"/>
        <v>3177</v>
      </c>
      <c r="G2086" s="18"/>
      <c r="H2086" s="18"/>
      <c r="I2086" s="19">
        <v>2084</v>
      </c>
      <c r="J2086" s="19" cm="1">
        <f t="array" aca="1" ref="J2086" ca="1">INDIRECT("b"&amp;K2086+2)</f>
        <v>4.3750000000000003E+131</v>
      </c>
      <c r="K2086" s="19">
        <f t="shared" si="352"/>
        <v>4377</v>
      </c>
    </row>
    <row r="2087" spans="1:11">
      <c r="A2087">
        <v>2085</v>
      </c>
      <c r="B2087">
        <v>1.675E+74</v>
      </c>
      <c r="D2087" s="18">
        <v>2085</v>
      </c>
      <c r="E2087" s="18" cm="1">
        <f t="array" aca="1" ref="E2087" ca="1">INDIRECT("b"&amp;F2087+2)</f>
        <v>4.6000000000000003E+101</v>
      </c>
      <c r="F2087" s="18">
        <f t="shared" si="356"/>
        <v>3178</v>
      </c>
      <c r="G2087" s="18"/>
      <c r="H2087" s="18"/>
      <c r="I2087" s="19">
        <v>2085</v>
      </c>
      <c r="J2087" s="19" cm="1">
        <f t="array" aca="1" ref="J2087" ca="1">INDIRECT("b"&amp;K2087+2)</f>
        <v>4.5999999999999998E+131</v>
      </c>
      <c r="K2087" s="19">
        <f t="shared" si="352"/>
        <v>4378</v>
      </c>
    </row>
    <row r="2088" spans="1:11">
      <c r="A2088">
        <v>2086</v>
      </c>
      <c r="B2088">
        <v>1.8999999999999999E+74</v>
      </c>
      <c r="D2088" s="18">
        <v>2086</v>
      </c>
      <c r="E2088" s="18" cm="1">
        <f t="array" aca="1" ref="E2088" ca="1">INDIRECT("b"&amp;F2088+2)</f>
        <v>5.0499999999999999E+101</v>
      </c>
      <c r="F2088" s="18">
        <f t="shared" si="356"/>
        <v>3180</v>
      </c>
      <c r="G2088" s="18">
        <f t="shared" ref="G2088" ca="1" si="361">E2088/E2083</f>
        <v>1.4532374100719423</v>
      </c>
      <c r="H2088" s="18"/>
      <c r="I2088" s="19">
        <v>2086</v>
      </c>
      <c r="J2088" s="19" cm="1">
        <f t="array" aca="1" ref="J2088" ca="1">INDIRECT("b"&amp;K2088+2)</f>
        <v>5.0499999999999998E+131</v>
      </c>
      <c r="K2088" s="19">
        <f t="shared" si="352"/>
        <v>4380</v>
      </c>
    </row>
    <row r="2089" spans="1:11">
      <c r="A2089">
        <v>2087</v>
      </c>
      <c r="B2089">
        <v>2.1249999999999998E+74</v>
      </c>
      <c r="D2089" s="18">
        <v>2087</v>
      </c>
      <c r="E2089" s="18" cm="1">
        <f t="array" aca="1" ref="E2089" ca="1">INDIRECT("b"&amp;F2089+2)</f>
        <v>5.275E+101</v>
      </c>
      <c r="F2089" s="18">
        <f t="shared" si="356"/>
        <v>3181</v>
      </c>
      <c r="G2089" s="18"/>
      <c r="H2089" s="18"/>
      <c r="I2089" s="19">
        <v>2087</v>
      </c>
      <c r="J2089" s="19" cm="1">
        <f t="array" aca="1" ref="J2089" ca="1">INDIRECT("b"&amp;K2089+2)</f>
        <v>5.2750000000000001E+131</v>
      </c>
      <c r="K2089" s="19">
        <f t="shared" si="352"/>
        <v>4381</v>
      </c>
    </row>
    <row r="2090" spans="1:11">
      <c r="A2090">
        <v>2088</v>
      </c>
      <c r="B2090">
        <v>2.3499999999999997E+74</v>
      </c>
      <c r="D2090" s="18">
        <v>2088</v>
      </c>
      <c r="E2090" s="18" cm="1">
        <f t="array" aca="1" ref="E2090" ca="1">INDIRECT("b"&amp;F2090+2)</f>
        <v>5.5000000000000002E+101</v>
      </c>
      <c r="F2090" s="18">
        <f t="shared" si="356"/>
        <v>3182</v>
      </c>
      <c r="G2090" s="18"/>
      <c r="H2090" s="18"/>
      <c r="I2090" s="19">
        <v>2088</v>
      </c>
      <c r="J2090" s="19" cm="1">
        <f t="array" aca="1" ref="J2090" ca="1">INDIRECT("b"&amp;K2090+2)</f>
        <v>5.4999999999999997E+131</v>
      </c>
      <c r="K2090" s="19">
        <f t="shared" si="352"/>
        <v>4382</v>
      </c>
    </row>
    <row r="2091" spans="1:11">
      <c r="A2091">
        <v>2089</v>
      </c>
      <c r="B2091">
        <v>2.5749999999999996E+74</v>
      </c>
      <c r="D2091" s="18">
        <v>2089</v>
      </c>
      <c r="E2091" s="18" cm="1">
        <f t="array" aca="1" ref="E2091" ca="1">INDIRECT("b"&amp;F2091+2)</f>
        <v>5.9499999999999998E+101</v>
      </c>
      <c r="F2091" s="18">
        <f t="shared" si="356"/>
        <v>3184</v>
      </c>
      <c r="G2091" s="18"/>
      <c r="H2091" s="18"/>
      <c r="I2091" s="19">
        <v>2089</v>
      </c>
      <c r="J2091" s="19" cm="1">
        <f t="array" aca="1" ref="J2091" ca="1">INDIRECT("b"&amp;K2091+2)</f>
        <v>5.9499999999999997E+131</v>
      </c>
      <c r="K2091" s="19">
        <f t="shared" si="352"/>
        <v>4384</v>
      </c>
    </row>
    <row r="2092" spans="1:11">
      <c r="A2092">
        <v>2090</v>
      </c>
      <c r="B2092">
        <v>2.8E+74</v>
      </c>
      <c r="D2092" s="18">
        <v>2090</v>
      </c>
      <c r="E2092" s="18" cm="1">
        <f t="array" aca="1" ref="E2092" ca="1">INDIRECT("b"&amp;F2092+2)</f>
        <v>6.1750000000000006E+101</v>
      </c>
      <c r="F2092" s="18">
        <f t="shared" si="356"/>
        <v>3185</v>
      </c>
      <c r="G2092" s="18"/>
      <c r="H2092" s="18"/>
      <c r="I2092" s="19">
        <v>2090</v>
      </c>
      <c r="J2092" s="19" cm="1">
        <f t="array" aca="1" ref="J2092" ca="1">INDIRECT("b"&amp;K2092+2)</f>
        <v>6.175E+131</v>
      </c>
      <c r="K2092" s="19">
        <f t="shared" si="352"/>
        <v>4385</v>
      </c>
    </row>
    <row r="2093" spans="1:11">
      <c r="A2093">
        <v>2091</v>
      </c>
      <c r="B2093">
        <v>3.0249999999999999E+74</v>
      </c>
      <c r="D2093" s="18">
        <v>2091</v>
      </c>
      <c r="E2093" s="18" cm="1">
        <f t="array" aca="1" ref="E2093" ca="1">INDIRECT("b"&amp;F2093+2)</f>
        <v>6.4000000000000001E+101</v>
      </c>
      <c r="F2093" s="18">
        <f t="shared" si="356"/>
        <v>3186</v>
      </c>
      <c r="G2093" s="18">
        <f t="shared" ref="G2093" ca="1" si="362">E2093/E2088</f>
        <v>1.2673267326732673</v>
      </c>
      <c r="H2093" s="18"/>
      <c r="I2093" s="19">
        <v>2091</v>
      </c>
      <c r="J2093" s="19" cm="1">
        <f t="array" aca="1" ref="J2093" ca="1">INDIRECT("b"&amp;K2093+2)</f>
        <v>6.3999999999999996E+131</v>
      </c>
      <c r="K2093" s="19">
        <f t="shared" si="352"/>
        <v>4386</v>
      </c>
    </row>
    <row r="2094" spans="1:11">
      <c r="A2094">
        <v>2092</v>
      </c>
      <c r="B2094">
        <v>3.2499999999999998E+74</v>
      </c>
      <c r="D2094" s="18">
        <v>2092</v>
      </c>
      <c r="E2094" s="18" cm="1">
        <f t="array" aca="1" ref="E2094" ca="1">INDIRECT("b"&amp;F2094+2)</f>
        <v>6.8500000000000004E+101</v>
      </c>
      <c r="F2094" s="18">
        <f t="shared" si="356"/>
        <v>3188</v>
      </c>
      <c r="G2094" s="18"/>
      <c r="H2094" s="18"/>
      <c r="I2094" s="19">
        <v>2092</v>
      </c>
      <c r="J2094" s="19" cm="1">
        <f t="array" aca="1" ref="J2094" ca="1">INDIRECT("b"&amp;K2094+2)</f>
        <v>6.8499999999999995E+131</v>
      </c>
      <c r="K2094" s="19">
        <f t="shared" si="352"/>
        <v>4388</v>
      </c>
    </row>
    <row r="2095" spans="1:11">
      <c r="A2095">
        <v>2093</v>
      </c>
      <c r="B2095">
        <v>3.4749999999999997E+74</v>
      </c>
      <c r="D2095" s="18">
        <v>2093</v>
      </c>
      <c r="E2095" s="18" cm="1">
        <f t="array" aca="1" ref="E2095" ca="1">INDIRECT("b"&amp;F2095+2)</f>
        <v>7.0749999999999999E+101</v>
      </c>
      <c r="F2095" s="18">
        <f t="shared" si="356"/>
        <v>3189</v>
      </c>
      <c r="G2095" s="18"/>
      <c r="H2095" s="18"/>
      <c r="I2095" s="19">
        <v>2093</v>
      </c>
      <c r="J2095" s="19" cm="1">
        <f t="array" aca="1" ref="J2095" ca="1">INDIRECT("b"&amp;K2095+2)</f>
        <v>7.0749999999999999E+131</v>
      </c>
      <c r="K2095" s="19">
        <f t="shared" si="352"/>
        <v>4389</v>
      </c>
    </row>
    <row r="2096" spans="1:11">
      <c r="A2096">
        <v>2094</v>
      </c>
      <c r="B2096">
        <v>3.6999999999999996E+74</v>
      </c>
      <c r="D2096" s="18">
        <v>2094</v>
      </c>
      <c r="E2096" s="18" cm="1">
        <f t="array" aca="1" ref="E2096" ca="1">INDIRECT("b"&amp;F2096+2)</f>
        <v>7.3000000000000006E+101</v>
      </c>
      <c r="F2096" s="18">
        <f t="shared" si="356"/>
        <v>3190</v>
      </c>
      <c r="G2096" s="18"/>
      <c r="H2096" s="18"/>
      <c r="I2096" s="19">
        <v>2094</v>
      </c>
      <c r="J2096" s="19" cm="1">
        <f t="array" aca="1" ref="J2096" ca="1">INDIRECT("b"&amp;K2096+2)</f>
        <v>7.3000000000000003E+131</v>
      </c>
      <c r="K2096" s="19">
        <f t="shared" si="352"/>
        <v>4390</v>
      </c>
    </row>
    <row r="2097" spans="1:11">
      <c r="A2097">
        <v>2095</v>
      </c>
      <c r="B2097">
        <v>3.925E+74</v>
      </c>
      <c r="D2097" s="18">
        <v>2095</v>
      </c>
      <c r="E2097" s="18" cm="1">
        <f t="array" aca="1" ref="E2097" ca="1">INDIRECT("b"&amp;F2097+2)</f>
        <v>7.7500000000000009E+101</v>
      </c>
      <c r="F2097" s="18">
        <f t="shared" si="356"/>
        <v>3192</v>
      </c>
      <c r="G2097" s="18"/>
      <c r="H2097" s="18"/>
      <c r="I2097" s="19">
        <v>2095</v>
      </c>
      <c r="J2097" s="19" cm="1">
        <f t="array" aca="1" ref="J2097" ca="1">INDIRECT("b"&amp;K2097+2)</f>
        <v>7.7499999999999994E+131</v>
      </c>
      <c r="K2097" s="19">
        <f t="shared" si="352"/>
        <v>4392</v>
      </c>
    </row>
    <row r="2098" spans="1:11">
      <c r="A2098">
        <v>2096</v>
      </c>
      <c r="B2098">
        <v>4.1499999999999999E+74</v>
      </c>
      <c r="D2098" s="18">
        <v>2096</v>
      </c>
      <c r="E2098" s="18" cm="1">
        <f t="array" aca="1" ref="E2098" ca="1">INDIRECT("b"&amp;F2098+2)</f>
        <v>7.9750000000000004E+101</v>
      </c>
      <c r="F2098" s="18">
        <f t="shared" si="356"/>
        <v>3193</v>
      </c>
      <c r="G2098" s="18">
        <f t="shared" ref="G2098" ca="1" si="363">E2098/E2093</f>
        <v>1.24609375</v>
      </c>
      <c r="H2098" s="18"/>
      <c r="I2098" s="19">
        <v>2096</v>
      </c>
      <c r="J2098" s="19" cm="1">
        <f t="array" aca="1" ref="J2098" ca="1">INDIRECT("b"&amp;K2098+2)</f>
        <v>7.9750000000000006E+131</v>
      </c>
      <c r="K2098" s="19">
        <f t="shared" si="352"/>
        <v>4393</v>
      </c>
    </row>
    <row r="2099" spans="1:11">
      <c r="A2099">
        <v>2097</v>
      </c>
      <c r="B2099">
        <v>4.3749999999999998E+74</v>
      </c>
      <c r="D2099" s="18">
        <v>2097</v>
      </c>
      <c r="E2099" s="18" cm="1">
        <f t="array" aca="1" ref="E2099" ca="1">INDIRECT("b"&amp;F2099+2)</f>
        <v>8.1999999999999999E+101</v>
      </c>
      <c r="F2099" s="18">
        <f t="shared" si="356"/>
        <v>3194</v>
      </c>
      <c r="G2099" s="18"/>
      <c r="H2099" s="18"/>
      <c r="I2099" s="19">
        <v>2097</v>
      </c>
      <c r="J2099" s="19" cm="1">
        <f t="array" aca="1" ref="J2099" ca="1">INDIRECT("b"&amp;K2099+2)</f>
        <v>8.2000000000000001E+131</v>
      </c>
      <c r="K2099" s="19">
        <f t="shared" si="352"/>
        <v>4394</v>
      </c>
    </row>
    <row r="2100" spans="1:11">
      <c r="A2100">
        <v>2098</v>
      </c>
      <c r="B2100">
        <v>4.5999999999999997E+74</v>
      </c>
      <c r="D2100" s="18">
        <v>2098</v>
      </c>
      <c r="E2100" s="18" cm="1">
        <f t="array" aca="1" ref="E2100" ca="1">INDIRECT("b"&amp;F2100+2)</f>
        <v>8.6500000000000002E+101</v>
      </c>
      <c r="F2100" s="18">
        <f t="shared" si="356"/>
        <v>3196</v>
      </c>
      <c r="G2100" s="18"/>
      <c r="H2100" s="18"/>
      <c r="I2100" s="19">
        <v>2098</v>
      </c>
      <c r="J2100" s="19" cm="1">
        <f t="array" aca="1" ref="J2100" ca="1">INDIRECT("b"&amp;K2100+2)</f>
        <v>8.6499999999999993E+131</v>
      </c>
      <c r="K2100" s="19">
        <f t="shared" si="352"/>
        <v>4396</v>
      </c>
    </row>
    <row r="2101" spans="1:11">
      <c r="A2101">
        <v>2099</v>
      </c>
      <c r="B2101">
        <v>4.8249999999999996E+74</v>
      </c>
      <c r="D2101" s="18">
        <v>2099</v>
      </c>
      <c r="E2101" s="18" cm="1">
        <f t="array" aca="1" ref="E2101" ca="1">INDIRECT("b"&amp;F2101+2)</f>
        <v>8.875000000000001E+101</v>
      </c>
      <c r="F2101" s="18">
        <f t="shared" si="356"/>
        <v>3197</v>
      </c>
      <c r="G2101" s="18"/>
      <c r="H2101" s="18"/>
      <c r="I2101" s="19">
        <v>2099</v>
      </c>
      <c r="J2101" s="19" cm="1">
        <f t="array" aca="1" ref="J2101" ca="1">INDIRECT("b"&amp;K2101+2)</f>
        <v>8.8750000000000005E+131</v>
      </c>
      <c r="K2101" s="19">
        <f t="shared" si="352"/>
        <v>4397</v>
      </c>
    </row>
    <row r="2102" spans="1:11">
      <c r="A2102">
        <v>2100</v>
      </c>
      <c r="B2102">
        <v>5.0499999999999995E+74</v>
      </c>
      <c r="D2102" s="18">
        <v>2100</v>
      </c>
      <c r="E2102" s="18" cm="1">
        <f t="array" aca="1" ref="E2102" ca="1">INDIRECT("b"&amp;F2102+2)</f>
        <v>9.1000000000000005E+101</v>
      </c>
      <c r="F2102" s="18">
        <f t="shared" si="356"/>
        <v>3198</v>
      </c>
      <c r="G2102" s="18"/>
      <c r="H2102" s="18"/>
      <c r="I2102" s="19">
        <v>2100</v>
      </c>
      <c r="J2102" s="19" cm="1">
        <f t="array" aca="1" ref="J2102" ca="1">INDIRECT("b"&amp;K2102+2)</f>
        <v>9.1E+131</v>
      </c>
      <c r="K2102" s="19">
        <f t="shared" si="352"/>
        <v>4398</v>
      </c>
    </row>
    <row r="2103" spans="1:11">
      <c r="A2103">
        <v>2101</v>
      </c>
      <c r="B2103">
        <v>5.2749999999999994E+74</v>
      </c>
      <c r="D2103" s="18">
        <v>2101</v>
      </c>
      <c r="E2103" s="18" cm="1">
        <f t="array" aca="1" ref="E2103" ca="1">INDIRECT("b"&amp;F2103+2)</f>
        <v>9.5500000000000007E+101</v>
      </c>
      <c r="F2103" s="18">
        <f t="shared" si="356"/>
        <v>3200</v>
      </c>
      <c r="G2103" s="18">
        <f t="shared" ref="G2103" ca="1" si="364">E2103/E2098</f>
        <v>1.1974921630094044</v>
      </c>
      <c r="H2103" s="18"/>
      <c r="I2103" s="19">
        <v>2101</v>
      </c>
      <c r="J2103" s="19" cm="1">
        <f t="array" aca="1" ref="J2103" ca="1">INDIRECT("b"&amp;K2103+2)</f>
        <v>9.5499999999999992E+131</v>
      </c>
      <c r="K2103" s="19">
        <f t="shared" si="352"/>
        <v>4400</v>
      </c>
    </row>
    <row r="2104" spans="1:11">
      <c r="A2104">
        <v>2102</v>
      </c>
      <c r="B2104">
        <v>5.4999999999999993E+74</v>
      </c>
      <c r="D2104" s="18">
        <v>2102</v>
      </c>
      <c r="E2104" s="18" cm="1">
        <f t="array" aca="1" ref="E2104" ca="1">INDIRECT("b"&amp;F2104+2)</f>
        <v>9.7750000000000003E+101</v>
      </c>
      <c r="F2104" s="18">
        <f t="shared" si="356"/>
        <v>3201</v>
      </c>
      <c r="G2104" s="18"/>
      <c r="H2104" s="18"/>
      <c r="I2104" s="19">
        <v>2102</v>
      </c>
      <c r="J2104" s="19" cm="1">
        <f t="array" aca="1" ref="J2104" ca="1">INDIRECT("b"&amp;K2104+2)</f>
        <v>9.7750000000000003E+131</v>
      </c>
      <c r="K2104" s="19">
        <f t="shared" si="352"/>
        <v>4401</v>
      </c>
    </row>
    <row r="2105" spans="1:11">
      <c r="A2105">
        <v>2103</v>
      </c>
      <c r="B2105">
        <v>5.7249999999999992E+74</v>
      </c>
      <c r="D2105" s="18">
        <v>2103</v>
      </c>
      <c r="E2105" s="18" cm="1">
        <f t="array" aca="1" ref="E2105" ca="1">INDIRECT("b"&amp;F2105+2)</f>
        <v>9.9999999999999998E+101</v>
      </c>
      <c r="F2105" s="18">
        <f t="shared" si="356"/>
        <v>3202</v>
      </c>
      <c r="G2105" s="18"/>
      <c r="H2105" s="18"/>
      <c r="I2105" s="19">
        <v>2103</v>
      </c>
      <c r="J2105" s="19" cm="1">
        <f t="array" aca="1" ref="J2105" ca="1">INDIRECT("b"&amp;K2105+2)</f>
        <v>9.9999999999999999E+131</v>
      </c>
      <c r="K2105" s="19">
        <f t="shared" si="352"/>
        <v>4402</v>
      </c>
    </row>
    <row r="2106" spans="1:11">
      <c r="A2106">
        <v>2104</v>
      </c>
      <c r="B2106">
        <v>5.9500000000000001E+74</v>
      </c>
      <c r="D2106" s="18">
        <v>2104</v>
      </c>
      <c r="E2106" s="18" cm="1">
        <f t="array" aca="1" ref="E2106" ca="1">INDIRECT("b"&amp;F2106+2)</f>
        <v>1.4500000000000001E+102</v>
      </c>
      <c r="F2106" s="18">
        <f t="shared" si="356"/>
        <v>3204</v>
      </c>
      <c r="G2106" s="18"/>
      <c r="H2106" s="18"/>
      <c r="I2106" s="19">
        <v>2104</v>
      </c>
      <c r="J2106" s="19" cm="1">
        <f t="array" aca="1" ref="J2106" ca="1">INDIRECT("b"&amp;K2106+2)</f>
        <v>1.4499999999999999E+132</v>
      </c>
      <c r="K2106" s="19">
        <f t="shared" si="352"/>
        <v>4404</v>
      </c>
    </row>
    <row r="2107" spans="1:11">
      <c r="A2107">
        <v>2105</v>
      </c>
      <c r="B2107">
        <v>6.175E+74</v>
      </c>
      <c r="D2107" s="18">
        <v>2105</v>
      </c>
      <c r="E2107" s="18" cm="1">
        <f t="array" aca="1" ref="E2107" ca="1">INDIRECT("b"&amp;F2107+2)</f>
        <v>1.6750000000000001E+102</v>
      </c>
      <c r="F2107" s="18">
        <f t="shared" si="356"/>
        <v>3205</v>
      </c>
      <c r="G2107" s="18"/>
      <c r="H2107" s="18"/>
      <c r="I2107" s="19">
        <v>2105</v>
      </c>
      <c r="J2107" s="19" cm="1">
        <f t="array" aca="1" ref="J2107" ca="1">INDIRECT("b"&amp;K2107+2)</f>
        <v>1.6749999999999998E+132</v>
      </c>
      <c r="K2107" s="19">
        <f t="shared" si="352"/>
        <v>4405</v>
      </c>
    </row>
    <row r="2108" spans="1:11">
      <c r="A2108">
        <v>2106</v>
      </c>
      <c r="B2108">
        <v>6.3999999999999999E+74</v>
      </c>
      <c r="D2108" s="18">
        <v>2106</v>
      </c>
      <c r="E2108" s="18" cm="1">
        <f t="array" aca="1" ref="E2108" ca="1">INDIRECT("b"&amp;F2108+2)</f>
        <v>1.9000000000000001E+102</v>
      </c>
      <c r="F2108" s="18">
        <f t="shared" si="356"/>
        <v>3206</v>
      </c>
      <c r="G2108" s="18">
        <f t="shared" ref="G2108" ca="1" si="365">E2108/E2103</f>
        <v>1.9895287958115184</v>
      </c>
      <c r="H2108" s="18"/>
      <c r="I2108" s="19">
        <v>2106</v>
      </c>
      <c r="J2108" s="19" cm="1">
        <f t="array" aca="1" ref="J2108" ca="1">INDIRECT("b"&amp;K2108+2)</f>
        <v>1.9E+132</v>
      </c>
      <c r="K2108" s="19">
        <f t="shared" si="352"/>
        <v>4406</v>
      </c>
    </row>
    <row r="2109" spans="1:11">
      <c r="A2109">
        <v>2107</v>
      </c>
      <c r="B2109">
        <v>6.6249999999999998E+74</v>
      </c>
      <c r="D2109" s="18">
        <v>2107</v>
      </c>
      <c r="E2109" s="18" cm="1">
        <f t="array" aca="1" ref="E2109" ca="1">INDIRECT("b"&amp;F2109+2)</f>
        <v>2.3500000000000002E+102</v>
      </c>
      <c r="F2109" s="18">
        <f t="shared" si="356"/>
        <v>3208</v>
      </c>
      <c r="G2109" s="18"/>
      <c r="H2109" s="18"/>
      <c r="I2109" s="19">
        <v>2107</v>
      </c>
      <c r="J2109" s="19" cm="1">
        <f t="array" aca="1" ref="J2109" ca="1">INDIRECT("b"&amp;K2109+2)</f>
        <v>2.3499999999999998E+132</v>
      </c>
      <c r="K2109" s="19">
        <f t="shared" si="352"/>
        <v>4408</v>
      </c>
    </row>
    <row r="2110" spans="1:11">
      <c r="A2110">
        <v>2108</v>
      </c>
      <c r="B2110">
        <v>6.8499999999999997E+74</v>
      </c>
      <c r="D2110" s="18">
        <v>2108</v>
      </c>
      <c r="E2110" s="18" cm="1">
        <f t="array" aca="1" ref="E2110" ca="1">INDIRECT("b"&amp;F2110+2)</f>
        <v>2.5749999999999999E+102</v>
      </c>
      <c r="F2110" s="18">
        <f t="shared" si="356"/>
        <v>3209</v>
      </c>
      <c r="G2110" s="18"/>
      <c r="H2110" s="18"/>
      <c r="I2110" s="19">
        <v>2108</v>
      </c>
      <c r="J2110" s="19" cm="1">
        <f t="array" aca="1" ref="J2110" ca="1">INDIRECT("b"&amp;K2110+2)</f>
        <v>2.575E+132</v>
      </c>
      <c r="K2110" s="19">
        <f t="shared" si="352"/>
        <v>4409</v>
      </c>
    </row>
    <row r="2111" spans="1:11">
      <c r="A2111">
        <v>2109</v>
      </c>
      <c r="B2111">
        <v>7.0749999999999996E+74</v>
      </c>
      <c r="D2111" s="18">
        <v>2109</v>
      </c>
      <c r="E2111" s="18" cm="1">
        <f t="array" aca="1" ref="E2111" ca="1">INDIRECT("b"&amp;F2111+2)</f>
        <v>2.8000000000000002E+102</v>
      </c>
      <c r="F2111" s="18">
        <f t="shared" si="356"/>
        <v>3210</v>
      </c>
      <c r="G2111" s="18"/>
      <c r="H2111" s="18"/>
      <c r="I2111" s="19">
        <v>2109</v>
      </c>
      <c r="J2111" s="19" cm="1">
        <f t="array" aca="1" ref="J2111" ca="1">INDIRECT("b"&amp;K2111+2)</f>
        <v>2.7999999999999999E+132</v>
      </c>
      <c r="K2111" s="19">
        <f t="shared" si="352"/>
        <v>4410</v>
      </c>
    </row>
    <row r="2112" spans="1:11">
      <c r="A2112">
        <v>2110</v>
      </c>
      <c r="B2112">
        <v>7.2999999999999995E+74</v>
      </c>
      <c r="D2112" s="18">
        <v>2110</v>
      </c>
      <c r="E2112" s="18" cm="1">
        <f t="array" aca="1" ref="E2112" ca="1">INDIRECT("b"&amp;F2112+2)</f>
        <v>3.2500000000000002E+102</v>
      </c>
      <c r="F2112" s="18">
        <f t="shared" si="356"/>
        <v>3212</v>
      </c>
      <c r="G2112" s="18"/>
      <c r="H2112" s="18"/>
      <c r="I2112" s="19">
        <v>2110</v>
      </c>
      <c r="J2112" s="19" cm="1">
        <f t="array" aca="1" ref="J2112" ca="1">INDIRECT("b"&amp;K2112+2)</f>
        <v>3.2499999999999997E+132</v>
      </c>
      <c r="K2112" s="19">
        <f t="shared" si="352"/>
        <v>4412</v>
      </c>
    </row>
    <row r="2113" spans="1:11">
      <c r="A2113">
        <v>2111</v>
      </c>
      <c r="B2113">
        <v>7.5249999999999994E+74</v>
      </c>
      <c r="D2113" s="18">
        <v>2111</v>
      </c>
      <c r="E2113" s="18" cm="1">
        <f t="array" aca="1" ref="E2113" ca="1">INDIRECT("b"&amp;F2113+2)</f>
        <v>3.475E+102</v>
      </c>
      <c r="F2113" s="18">
        <f t="shared" si="356"/>
        <v>3213</v>
      </c>
      <c r="G2113" s="18">
        <f t="shared" ref="G2113" ca="1" si="366">E2113/E2108</f>
        <v>1.8289473684210524</v>
      </c>
      <c r="H2113" s="18"/>
      <c r="I2113" s="19">
        <v>2111</v>
      </c>
      <c r="J2113" s="19" cm="1">
        <f t="array" aca="1" ref="J2113" ca="1">INDIRECT("b"&amp;K2113+2)</f>
        <v>3.4749999999999996E+132</v>
      </c>
      <c r="K2113" s="19">
        <f t="shared" si="352"/>
        <v>4413</v>
      </c>
    </row>
    <row r="2114" spans="1:11">
      <c r="A2114">
        <v>2112</v>
      </c>
      <c r="B2114">
        <v>7.7499999999999993E+74</v>
      </c>
      <c r="D2114" s="18">
        <v>2112</v>
      </c>
      <c r="E2114" s="18" cm="1">
        <f t="array" aca="1" ref="E2114" ca="1">INDIRECT("b"&amp;F2114+2)</f>
        <v>3.7000000000000002E+102</v>
      </c>
      <c r="F2114" s="18">
        <f t="shared" si="356"/>
        <v>3214</v>
      </c>
      <c r="G2114" s="18"/>
      <c r="H2114" s="18"/>
      <c r="I2114" s="19">
        <v>2112</v>
      </c>
      <c r="J2114" s="19" cm="1">
        <f t="array" aca="1" ref="J2114" ca="1">INDIRECT("b"&amp;K2114+2)</f>
        <v>3.7000000000000001E+132</v>
      </c>
      <c r="K2114" s="19">
        <f t="shared" si="352"/>
        <v>4414</v>
      </c>
    </row>
    <row r="2115" spans="1:11">
      <c r="A2115">
        <v>2113</v>
      </c>
      <c r="B2115">
        <v>7.9749999999999992E+74</v>
      </c>
      <c r="D2115" s="18">
        <v>2113</v>
      </c>
      <c r="E2115" s="18" cm="1">
        <f t="array" aca="1" ref="E2115" ca="1">INDIRECT("b"&amp;F2115+2)</f>
        <v>4.1500000000000002E+102</v>
      </c>
      <c r="F2115" s="18">
        <f t="shared" si="356"/>
        <v>3216</v>
      </c>
      <c r="G2115" s="18"/>
      <c r="H2115" s="18"/>
      <c r="I2115" s="19">
        <v>2113</v>
      </c>
      <c r="J2115" s="19" cm="1">
        <f t="array" aca="1" ref="J2115" ca="1">INDIRECT("b"&amp;K2115+2)</f>
        <v>4.1499999999999999E+132</v>
      </c>
      <c r="K2115" s="19">
        <f t="shared" si="352"/>
        <v>4416</v>
      </c>
    </row>
    <row r="2116" spans="1:11">
      <c r="A2116">
        <v>2114</v>
      </c>
      <c r="B2116">
        <v>8.1999999999999991E+74</v>
      </c>
      <c r="D2116" s="18">
        <v>2114</v>
      </c>
      <c r="E2116" s="18" cm="1">
        <f t="array" aca="1" ref="E2116" ca="1">INDIRECT("b"&amp;F2116+2)</f>
        <v>4.375E+102</v>
      </c>
      <c r="F2116" s="18">
        <f t="shared" si="356"/>
        <v>3217</v>
      </c>
      <c r="G2116" s="18"/>
      <c r="H2116" s="18"/>
      <c r="I2116" s="19">
        <v>2114</v>
      </c>
      <c r="J2116" s="19" cm="1">
        <f t="array" aca="1" ref="J2116" ca="1">INDIRECT("b"&amp;K2116+2)</f>
        <v>4.3749999999999998E+132</v>
      </c>
      <c r="K2116" s="19">
        <f t="shared" ref="K2116:K2179" si="367">INT((A2116-1)*40/30+900*40/30)+400</f>
        <v>4417</v>
      </c>
    </row>
    <row r="2117" spans="1:11">
      <c r="A2117">
        <v>2115</v>
      </c>
      <c r="B2117">
        <v>8.425E+74</v>
      </c>
      <c r="D2117" s="18">
        <v>2115</v>
      </c>
      <c r="E2117" s="18" cm="1">
        <f t="array" aca="1" ref="E2117" ca="1">INDIRECT("b"&amp;F2117+2)</f>
        <v>4.5999999999999998E+102</v>
      </c>
      <c r="F2117" s="18">
        <f t="shared" si="356"/>
        <v>3218</v>
      </c>
      <c r="G2117" s="18"/>
      <c r="H2117" s="18"/>
      <c r="I2117" s="19">
        <v>2115</v>
      </c>
      <c r="J2117" s="19" cm="1">
        <f t="array" aca="1" ref="J2117" ca="1">INDIRECT("b"&amp;K2117+2)</f>
        <v>4.5999999999999997E+132</v>
      </c>
      <c r="K2117" s="19">
        <f t="shared" si="367"/>
        <v>4418</v>
      </c>
    </row>
    <row r="2118" spans="1:11">
      <c r="A2118">
        <v>2116</v>
      </c>
      <c r="B2118">
        <v>8.6499999999999999E+74</v>
      </c>
      <c r="D2118" s="18">
        <v>2116</v>
      </c>
      <c r="E2118" s="18" cm="1">
        <f t="array" aca="1" ref="E2118" ca="1">INDIRECT("b"&amp;F2118+2)</f>
        <v>5.0500000000000003E+102</v>
      </c>
      <c r="F2118" s="18">
        <f t="shared" si="356"/>
        <v>3220</v>
      </c>
      <c r="G2118" s="18">
        <f t="shared" ref="G2118" ca="1" si="368">E2118/E2113</f>
        <v>1.4532374100719425</v>
      </c>
      <c r="H2118" s="18"/>
      <c r="I2118" s="19">
        <v>2116</v>
      </c>
      <c r="J2118" s="19" cm="1">
        <f t="array" aca="1" ref="J2118" ca="1">INDIRECT("b"&amp;K2118+2)</f>
        <v>5.0499999999999995E+132</v>
      </c>
      <c r="K2118" s="19">
        <f t="shared" si="367"/>
        <v>4420</v>
      </c>
    </row>
    <row r="2119" spans="1:11">
      <c r="A2119">
        <v>2117</v>
      </c>
      <c r="B2119">
        <v>8.8749999999999998E+74</v>
      </c>
      <c r="D2119" s="18">
        <v>2117</v>
      </c>
      <c r="E2119" s="18" cm="1">
        <f t="array" aca="1" ref="E2119" ca="1">INDIRECT("b"&amp;F2119+2)</f>
        <v>5.275E+102</v>
      </c>
      <c r="F2119" s="18">
        <f t="shared" si="356"/>
        <v>3221</v>
      </c>
      <c r="G2119" s="18"/>
      <c r="H2119" s="18"/>
      <c r="I2119" s="19">
        <v>2117</v>
      </c>
      <c r="J2119" s="19" cm="1">
        <f t="array" aca="1" ref="J2119" ca="1">INDIRECT("b"&amp;K2119+2)</f>
        <v>5.275E+132</v>
      </c>
      <c r="K2119" s="19">
        <f t="shared" si="367"/>
        <v>4421</v>
      </c>
    </row>
    <row r="2120" spans="1:11">
      <c r="A2120">
        <v>2118</v>
      </c>
      <c r="B2120">
        <v>9.0999999999999997E+74</v>
      </c>
      <c r="D2120" s="18">
        <v>2118</v>
      </c>
      <c r="E2120" s="18" cm="1">
        <f t="array" aca="1" ref="E2120" ca="1">INDIRECT("b"&amp;F2120+2)</f>
        <v>5.4999999999999998E+102</v>
      </c>
      <c r="F2120" s="18">
        <f t="shared" si="356"/>
        <v>3222</v>
      </c>
      <c r="G2120" s="18"/>
      <c r="H2120" s="18"/>
      <c r="I2120" s="19">
        <v>2118</v>
      </c>
      <c r="J2120" s="19" cm="1">
        <f t="array" aca="1" ref="J2120" ca="1">INDIRECT("b"&amp;K2120+2)</f>
        <v>5.4999999999999999E+132</v>
      </c>
      <c r="K2120" s="19">
        <f t="shared" si="367"/>
        <v>4422</v>
      </c>
    </row>
    <row r="2121" spans="1:11">
      <c r="A2121">
        <v>2119</v>
      </c>
      <c r="B2121">
        <v>9.3249999999999986E+74</v>
      </c>
      <c r="D2121" s="18">
        <v>2119</v>
      </c>
      <c r="E2121" s="18" cm="1">
        <f t="array" aca="1" ref="E2121" ca="1">INDIRECT("b"&amp;F2121+2)</f>
        <v>5.9500000000000003E+102</v>
      </c>
      <c r="F2121" s="18">
        <f t="shared" si="356"/>
        <v>3224</v>
      </c>
      <c r="G2121" s="18"/>
      <c r="H2121" s="18"/>
      <c r="I2121" s="19">
        <v>2119</v>
      </c>
      <c r="J2121" s="19" cm="1">
        <f t="array" aca="1" ref="J2121" ca="1">INDIRECT("b"&amp;K2121+2)</f>
        <v>5.9499999999999997E+132</v>
      </c>
      <c r="K2121" s="19">
        <f t="shared" si="367"/>
        <v>4424</v>
      </c>
    </row>
    <row r="2122" spans="1:11">
      <c r="A2122">
        <v>2120</v>
      </c>
      <c r="B2122">
        <v>9.5499999999999995E+74</v>
      </c>
      <c r="D2122" s="18">
        <v>2120</v>
      </c>
      <c r="E2122" s="18" cm="1">
        <f t="array" aca="1" ref="E2122" ca="1">INDIRECT("b"&amp;F2122+2)</f>
        <v>6.1750000000000001E+102</v>
      </c>
      <c r="F2122" s="18">
        <f t="shared" si="356"/>
        <v>3225</v>
      </c>
      <c r="G2122" s="18"/>
      <c r="H2122" s="18"/>
      <c r="I2122" s="19">
        <v>2120</v>
      </c>
      <c r="J2122" s="19" cm="1">
        <f t="array" aca="1" ref="J2122" ca="1">INDIRECT("b"&amp;K2122+2)</f>
        <v>6.1750000000000002E+132</v>
      </c>
      <c r="K2122" s="19">
        <f t="shared" si="367"/>
        <v>4425</v>
      </c>
    </row>
    <row r="2123" spans="1:11">
      <c r="A2123">
        <v>2121</v>
      </c>
      <c r="B2123">
        <v>9.7750000000000004E+74</v>
      </c>
      <c r="D2123" s="18">
        <v>2121</v>
      </c>
      <c r="E2123" s="18" cm="1">
        <f t="array" aca="1" ref="E2123" ca="1">INDIRECT("b"&amp;F2123+2)</f>
        <v>6.3999999999999999E+102</v>
      </c>
      <c r="F2123" s="18">
        <f t="shared" si="356"/>
        <v>3226</v>
      </c>
      <c r="G2123" s="18">
        <f t="shared" ref="G2123" ca="1" si="369">E2123/E2118</f>
        <v>1.2673267326732671</v>
      </c>
      <c r="H2123" s="18"/>
      <c r="I2123" s="19">
        <v>2121</v>
      </c>
      <c r="J2123" s="19" cm="1">
        <f t="array" aca="1" ref="J2123" ca="1">INDIRECT("b"&amp;K2123+2)</f>
        <v>6.3999999999999994E+132</v>
      </c>
      <c r="K2123" s="19">
        <f t="shared" si="367"/>
        <v>4426</v>
      </c>
    </row>
    <row r="2124" spans="1:11">
      <c r="A2124">
        <v>2122</v>
      </c>
      <c r="B2124">
        <v>9.9999999999999993E+74</v>
      </c>
      <c r="D2124" s="18">
        <v>2122</v>
      </c>
      <c r="E2124" s="18" cm="1">
        <f t="array" aca="1" ref="E2124" ca="1">INDIRECT("b"&amp;F2124+2)</f>
        <v>6.8500000000000004E+102</v>
      </c>
      <c r="F2124" s="18">
        <f t="shared" si="356"/>
        <v>3228</v>
      </c>
      <c r="G2124" s="18"/>
      <c r="H2124" s="18"/>
      <c r="I2124" s="19">
        <v>2122</v>
      </c>
      <c r="J2124" s="19" cm="1">
        <f t="array" aca="1" ref="J2124" ca="1">INDIRECT("b"&amp;K2124+2)</f>
        <v>6.8499999999999992E+132</v>
      </c>
      <c r="K2124" s="19">
        <f t="shared" si="367"/>
        <v>4428</v>
      </c>
    </row>
    <row r="2125" spans="1:11">
      <c r="A2125">
        <v>2123</v>
      </c>
      <c r="B2125">
        <v>1.225E+75</v>
      </c>
      <c r="D2125" s="18">
        <v>2123</v>
      </c>
      <c r="E2125" s="18" cm="1">
        <f t="array" aca="1" ref="E2125" ca="1">INDIRECT("b"&amp;F2125+2)</f>
        <v>7.0750000000000001E+102</v>
      </c>
      <c r="F2125" s="18">
        <f t="shared" si="356"/>
        <v>3229</v>
      </c>
      <c r="G2125" s="18"/>
      <c r="H2125" s="18"/>
      <c r="I2125" s="19">
        <v>2123</v>
      </c>
      <c r="J2125" s="19" cm="1">
        <f t="array" aca="1" ref="J2125" ca="1">INDIRECT("b"&amp;K2125+2)</f>
        <v>7.0749999999999997E+132</v>
      </c>
      <c r="K2125" s="19">
        <f t="shared" si="367"/>
        <v>4429</v>
      </c>
    </row>
    <row r="2126" spans="1:11">
      <c r="A2126">
        <v>2124</v>
      </c>
      <c r="B2126">
        <v>1.4499999999999999E+75</v>
      </c>
      <c r="D2126" s="18">
        <v>2124</v>
      </c>
      <c r="E2126" s="18" cm="1">
        <f t="array" aca="1" ref="E2126" ca="1">INDIRECT("b"&amp;F2126+2)</f>
        <v>7.2999999999999999E+102</v>
      </c>
      <c r="F2126" s="18">
        <f t="shared" si="356"/>
        <v>3230</v>
      </c>
      <c r="G2126" s="18"/>
      <c r="H2126" s="18"/>
      <c r="I2126" s="19">
        <v>2124</v>
      </c>
      <c r="J2126" s="19" cm="1">
        <f t="array" aca="1" ref="J2126" ca="1">INDIRECT("b"&amp;K2126+2)</f>
        <v>7.299999999999999E+132</v>
      </c>
      <c r="K2126" s="19">
        <f t="shared" si="367"/>
        <v>4430</v>
      </c>
    </row>
    <row r="2127" spans="1:11">
      <c r="A2127">
        <v>2125</v>
      </c>
      <c r="B2127">
        <v>1.675E+75</v>
      </c>
      <c r="D2127" s="18">
        <v>2125</v>
      </c>
      <c r="E2127" s="18" cm="1">
        <f t="array" aca="1" ref="E2127" ca="1">INDIRECT("b"&amp;F2127+2)</f>
        <v>7.7500000000000004E+102</v>
      </c>
      <c r="F2127" s="18">
        <f t="shared" si="356"/>
        <v>3232</v>
      </c>
      <c r="G2127" s="18"/>
      <c r="H2127" s="18"/>
      <c r="I2127" s="19">
        <v>2125</v>
      </c>
      <c r="J2127" s="19" cm="1">
        <f t="array" aca="1" ref="J2127" ca="1">INDIRECT("b"&amp;K2127+2)</f>
        <v>7.75E+132</v>
      </c>
      <c r="K2127" s="19">
        <f t="shared" si="367"/>
        <v>4432</v>
      </c>
    </row>
    <row r="2128" spans="1:11">
      <c r="A2128">
        <v>2126</v>
      </c>
      <c r="B2128">
        <v>1.9000000000000001E+75</v>
      </c>
      <c r="D2128" s="18">
        <v>2126</v>
      </c>
      <c r="E2128" s="18" cm="1">
        <f t="array" aca="1" ref="E2128" ca="1">INDIRECT("b"&amp;F2128+2)</f>
        <v>7.9750000000000002E+102</v>
      </c>
      <c r="F2128" s="18">
        <f t="shared" si="356"/>
        <v>3233</v>
      </c>
      <c r="G2128" s="18">
        <f t="shared" ref="G2128" ca="1" si="370">E2128/E2123</f>
        <v>1.24609375</v>
      </c>
      <c r="H2128" s="18"/>
      <c r="I2128" s="19">
        <v>2126</v>
      </c>
      <c r="J2128" s="19" cm="1">
        <f t="array" aca="1" ref="J2128" ca="1">INDIRECT("b"&amp;K2128+2)</f>
        <v>7.9749999999999993E+132</v>
      </c>
      <c r="K2128" s="19">
        <f t="shared" si="367"/>
        <v>4433</v>
      </c>
    </row>
    <row r="2129" spans="1:11">
      <c r="A2129">
        <v>2127</v>
      </c>
      <c r="B2129">
        <v>2.1249999999999998E+75</v>
      </c>
      <c r="D2129" s="18">
        <v>2127</v>
      </c>
      <c r="E2129" s="18" cm="1">
        <f t="array" aca="1" ref="E2129" ca="1">INDIRECT("b"&amp;F2129+2)</f>
        <v>8.1999999999999999E+102</v>
      </c>
      <c r="F2129" s="18">
        <f t="shared" si="356"/>
        <v>3234</v>
      </c>
      <c r="G2129" s="18"/>
      <c r="H2129" s="18"/>
      <c r="I2129" s="19">
        <v>2127</v>
      </c>
      <c r="J2129" s="19" cm="1">
        <f t="array" aca="1" ref="J2129" ca="1">INDIRECT("b"&amp;K2129+2)</f>
        <v>8.1999999999999998E+132</v>
      </c>
      <c r="K2129" s="19">
        <f t="shared" si="367"/>
        <v>4434</v>
      </c>
    </row>
    <row r="2130" spans="1:11">
      <c r="A2130">
        <v>2128</v>
      </c>
      <c r="B2130">
        <v>2.3499999999999999E+75</v>
      </c>
      <c r="D2130" s="18">
        <v>2128</v>
      </c>
      <c r="E2130" s="18" cm="1">
        <f t="array" aca="1" ref="E2130" ca="1">INDIRECT("b"&amp;F2130+2)</f>
        <v>8.6500000000000005E+102</v>
      </c>
      <c r="F2130" s="18">
        <f t="shared" si="356"/>
        <v>3236</v>
      </c>
      <c r="G2130" s="18"/>
      <c r="H2130" s="18"/>
      <c r="I2130" s="19">
        <v>2128</v>
      </c>
      <c r="J2130" s="19" cm="1">
        <f t="array" aca="1" ref="J2130" ca="1">INDIRECT("b"&amp;K2130+2)</f>
        <v>8.6499999999999996E+132</v>
      </c>
      <c r="K2130" s="19">
        <f t="shared" si="367"/>
        <v>4436</v>
      </c>
    </row>
    <row r="2131" spans="1:11">
      <c r="A2131">
        <v>2129</v>
      </c>
      <c r="B2131">
        <v>2.575E+75</v>
      </c>
      <c r="D2131" s="18">
        <v>2129</v>
      </c>
      <c r="E2131" s="18" cm="1">
        <f t="array" aca="1" ref="E2131" ca="1">INDIRECT("b"&amp;F2131+2)</f>
        <v>8.8750000000000002E+102</v>
      </c>
      <c r="F2131" s="18">
        <f t="shared" ref="F2131:F2194" si="371">INT((A2131-123)*1.333333)+563</f>
        <v>3237</v>
      </c>
      <c r="G2131" s="18"/>
      <c r="H2131" s="18"/>
      <c r="I2131" s="19">
        <v>2129</v>
      </c>
      <c r="J2131" s="19" cm="1">
        <f t="array" aca="1" ref="J2131" ca="1">INDIRECT("b"&amp;K2131+2)</f>
        <v>8.8750000000000001E+132</v>
      </c>
      <c r="K2131" s="19">
        <f t="shared" si="367"/>
        <v>4437</v>
      </c>
    </row>
    <row r="2132" spans="1:11">
      <c r="A2132">
        <v>2130</v>
      </c>
      <c r="B2132">
        <v>2.8000000000000001E+75</v>
      </c>
      <c r="D2132" s="18">
        <v>2130</v>
      </c>
      <c r="E2132" s="18" cm="1">
        <f t="array" aca="1" ref="E2132" ca="1">INDIRECT("b"&amp;F2132+2)</f>
        <v>9.100000000000001E+102</v>
      </c>
      <c r="F2132" s="18">
        <f t="shared" si="371"/>
        <v>3238</v>
      </c>
      <c r="G2132" s="18"/>
      <c r="H2132" s="18"/>
      <c r="I2132" s="19">
        <v>2130</v>
      </c>
      <c r="J2132" s="19" cm="1">
        <f t="array" aca="1" ref="J2132" ca="1">INDIRECT("b"&amp;K2132+2)</f>
        <v>9.0999999999999994E+132</v>
      </c>
      <c r="K2132" s="19">
        <f t="shared" si="367"/>
        <v>4438</v>
      </c>
    </row>
    <row r="2133" spans="1:11">
      <c r="A2133">
        <v>2131</v>
      </c>
      <c r="B2133">
        <v>3.0249999999999998E+75</v>
      </c>
      <c r="D2133" s="18">
        <v>2131</v>
      </c>
      <c r="E2133" s="18" cm="1">
        <f t="array" aca="1" ref="E2133" ca="1">INDIRECT("b"&amp;F2133+2)</f>
        <v>9.5500000000000005E+102</v>
      </c>
      <c r="F2133" s="18">
        <f t="shared" si="371"/>
        <v>3240</v>
      </c>
      <c r="G2133" s="18">
        <f t="shared" ref="G2133" ca="1" si="372">E2133/E2128</f>
        <v>1.1974921630094044</v>
      </c>
      <c r="H2133" s="18"/>
      <c r="I2133" s="19">
        <v>2131</v>
      </c>
      <c r="J2133" s="19" cm="1">
        <f t="array" aca="1" ref="J2133" ca="1">INDIRECT("b"&amp;K2133+2)</f>
        <v>9.5499999999999992E+132</v>
      </c>
      <c r="K2133" s="19">
        <f t="shared" si="367"/>
        <v>4440</v>
      </c>
    </row>
    <row r="2134" spans="1:11">
      <c r="A2134">
        <v>2132</v>
      </c>
      <c r="B2134">
        <v>3.2499999999999999E+75</v>
      </c>
      <c r="D2134" s="18">
        <v>2132</v>
      </c>
      <c r="E2134" s="18" cm="1">
        <f t="array" aca="1" ref="E2134" ca="1">INDIRECT("b"&amp;F2134+2)</f>
        <v>9.7749999999999993E+102</v>
      </c>
      <c r="F2134" s="18">
        <f t="shared" si="371"/>
        <v>3241</v>
      </c>
      <c r="G2134" s="18"/>
      <c r="H2134" s="18"/>
      <c r="I2134" s="19">
        <v>2132</v>
      </c>
      <c r="J2134" s="19" cm="1">
        <f t="array" aca="1" ref="J2134" ca="1">INDIRECT("b"&amp;K2134+2)</f>
        <v>9.7749999999999997E+132</v>
      </c>
      <c r="K2134" s="19">
        <f t="shared" si="367"/>
        <v>4441</v>
      </c>
    </row>
    <row r="2135" spans="1:11">
      <c r="A2135">
        <v>2133</v>
      </c>
      <c r="B2135">
        <v>3.475E+75</v>
      </c>
      <c r="D2135" s="18">
        <v>2133</v>
      </c>
      <c r="E2135" s="18" cm="1">
        <f t="array" aca="1" ref="E2135" ca="1">INDIRECT("b"&amp;F2135+2)</f>
        <v>1E+103</v>
      </c>
      <c r="F2135" s="18">
        <f t="shared" si="371"/>
        <v>3242</v>
      </c>
      <c r="G2135" s="18"/>
      <c r="H2135" s="18"/>
      <c r="I2135" s="19">
        <v>2133</v>
      </c>
      <c r="J2135" s="19" cm="1">
        <f t="array" aca="1" ref="J2135" ca="1">INDIRECT("b"&amp;K2135+2)</f>
        <v>9.999999999999999E+132</v>
      </c>
      <c r="K2135" s="19">
        <f t="shared" si="367"/>
        <v>4442</v>
      </c>
    </row>
    <row r="2136" spans="1:11">
      <c r="A2136">
        <v>2134</v>
      </c>
      <c r="B2136">
        <v>3.7000000000000001E+75</v>
      </c>
      <c r="D2136" s="18">
        <v>2134</v>
      </c>
      <c r="E2136" s="18" cm="1">
        <f t="array" aca="1" ref="E2136" ca="1">INDIRECT("b"&amp;F2136+2)</f>
        <v>1.4500000000000001E+103</v>
      </c>
      <c r="F2136" s="18">
        <f t="shared" si="371"/>
        <v>3244</v>
      </c>
      <c r="G2136" s="18"/>
      <c r="H2136" s="18"/>
      <c r="I2136" s="19">
        <v>2134</v>
      </c>
      <c r="J2136" s="19" cm="1">
        <f t="array" aca="1" ref="J2136" ca="1">INDIRECT("b"&amp;K2136+2)</f>
        <v>1.4499999999999998E+133</v>
      </c>
      <c r="K2136" s="19">
        <f t="shared" si="367"/>
        <v>4444</v>
      </c>
    </row>
    <row r="2137" spans="1:11">
      <c r="A2137">
        <v>2135</v>
      </c>
      <c r="B2137">
        <v>3.9249999999999998E+75</v>
      </c>
      <c r="D2137" s="18">
        <v>2135</v>
      </c>
      <c r="E2137" s="18" cm="1">
        <f t="array" aca="1" ref="E2137" ca="1">INDIRECT("b"&amp;F2137+2)</f>
        <v>1.6750000000000001E+103</v>
      </c>
      <c r="F2137" s="18">
        <f t="shared" si="371"/>
        <v>3245</v>
      </c>
      <c r="G2137" s="18"/>
      <c r="H2137" s="18"/>
      <c r="I2137" s="19">
        <v>2135</v>
      </c>
      <c r="J2137" s="19" cm="1">
        <f t="array" aca="1" ref="J2137" ca="1">INDIRECT("b"&amp;K2137+2)</f>
        <v>1.6749999999999998E+133</v>
      </c>
      <c r="K2137" s="19">
        <f t="shared" si="367"/>
        <v>4445</v>
      </c>
    </row>
    <row r="2138" spans="1:11">
      <c r="A2138">
        <v>2136</v>
      </c>
      <c r="B2138">
        <v>4.1500000000000003E+75</v>
      </c>
      <c r="D2138" s="18">
        <v>2136</v>
      </c>
      <c r="E2138" s="18" cm="1">
        <f t="array" aca="1" ref="E2138" ca="1">INDIRECT("b"&amp;F2138+2)</f>
        <v>1.8999999999999998E+103</v>
      </c>
      <c r="F2138" s="18">
        <f t="shared" si="371"/>
        <v>3246</v>
      </c>
      <c r="G2138" s="18">
        <f t="shared" ref="G2138" ca="1" si="373">E2138/E2133</f>
        <v>1.989528795811518</v>
      </c>
      <c r="H2138" s="18"/>
      <c r="I2138" s="19">
        <v>2136</v>
      </c>
      <c r="J2138" s="19" cm="1">
        <f t="array" aca="1" ref="J2138" ca="1">INDIRECT("b"&amp;K2138+2)</f>
        <v>1.8999999999999998E+133</v>
      </c>
      <c r="K2138" s="19">
        <f t="shared" si="367"/>
        <v>4446</v>
      </c>
    </row>
    <row r="2139" spans="1:11">
      <c r="A2139">
        <v>2137</v>
      </c>
      <c r="B2139">
        <v>4.375E+75</v>
      </c>
      <c r="D2139" s="18">
        <v>2137</v>
      </c>
      <c r="E2139" s="18" cm="1">
        <f t="array" aca="1" ref="E2139" ca="1">INDIRECT("b"&amp;F2139+2)</f>
        <v>2.3500000000000002E+103</v>
      </c>
      <c r="F2139" s="18">
        <f t="shared" si="371"/>
        <v>3248</v>
      </c>
      <c r="G2139" s="18"/>
      <c r="H2139" s="18"/>
      <c r="I2139" s="19">
        <v>2137</v>
      </c>
      <c r="J2139" s="19" cm="1">
        <f t="array" aca="1" ref="J2139" ca="1">INDIRECT("b"&amp;K2139+2)</f>
        <v>2.3499999999999996E+133</v>
      </c>
      <c r="K2139" s="19">
        <f t="shared" si="367"/>
        <v>4448</v>
      </c>
    </row>
    <row r="2140" spans="1:11">
      <c r="A2140">
        <v>2138</v>
      </c>
      <c r="B2140">
        <v>4.5999999999999997E+75</v>
      </c>
      <c r="D2140" s="18">
        <v>2138</v>
      </c>
      <c r="E2140" s="18" cm="1">
        <f t="array" aca="1" ref="E2140" ca="1">INDIRECT("b"&amp;F2140+2)</f>
        <v>2.5750000000000001E+103</v>
      </c>
      <c r="F2140" s="18">
        <f t="shared" si="371"/>
        <v>3249</v>
      </c>
      <c r="G2140" s="18"/>
      <c r="H2140" s="18"/>
      <c r="I2140" s="19">
        <v>2138</v>
      </c>
      <c r="J2140" s="19" cm="1">
        <f t="array" aca="1" ref="J2140" ca="1">INDIRECT("b"&amp;K2140+2)</f>
        <v>2.5749999999999999E+133</v>
      </c>
      <c r="K2140" s="19">
        <f t="shared" si="367"/>
        <v>4449</v>
      </c>
    </row>
    <row r="2141" spans="1:11">
      <c r="A2141">
        <v>2139</v>
      </c>
      <c r="B2141">
        <v>4.8250000000000002E+75</v>
      </c>
      <c r="D2141" s="18">
        <v>2139</v>
      </c>
      <c r="E2141" s="18" cm="1">
        <f t="array" aca="1" ref="E2141" ca="1">INDIRECT("b"&amp;F2141+2)</f>
        <v>2.8000000000000001E+103</v>
      </c>
      <c r="F2141" s="18">
        <f t="shared" si="371"/>
        <v>3250</v>
      </c>
      <c r="G2141" s="18"/>
      <c r="H2141" s="18"/>
      <c r="I2141" s="19">
        <v>2139</v>
      </c>
      <c r="J2141" s="19" cm="1">
        <f t="array" aca="1" ref="J2141" ca="1">INDIRECT("b"&amp;K2141+2)</f>
        <v>2.7999999999999997E+133</v>
      </c>
      <c r="K2141" s="19">
        <f t="shared" si="367"/>
        <v>4450</v>
      </c>
    </row>
    <row r="2142" spans="1:11">
      <c r="A2142">
        <v>2140</v>
      </c>
      <c r="B2142">
        <v>5.0499999999999999E+75</v>
      </c>
      <c r="D2142" s="18">
        <v>2140</v>
      </c>
      <c r="E2142" s="18" cm="1">
        <f t="array" aca="1" ref="E2142" ca="1">INDIRECT("b"&amp;F2142+2)</f>
        <v>3.25E+103</v>
      </c>
      <c r="F2142" s="18">
        <f t="shared" si="371"/>
        <v>3252</v>
      </c>
      <c r="G2142" s="18"/>
      <c r="H2142" s="18"/>
      <c r="I2142" s="19">
        <v>2140</v>
      </c>
      <c r="J2142" s="19" cm="1">
        <f t="array" aca="1" ref="J2142" ca="1">INDIRECT("b"&amp;K2142+2)</f>
        <v>3.2499999999999997E+133</v>
      </c>
      <c r="K2142" s="19">
        <f t="shared" si="367"/>
        <v>4452</v>
      </c>
    </row>
    <row r="2143" spans="1:11">
      <c r="A2143">
        <v>2141</v>
      </c>
      <c r="B2143">
        <v>5.2749999999999996E+75</v>
      </c>
      <c r="D2143" s="18">
        <v>2141</v>
      </c>
      <c r="E2143" s="18" cm="1">
        <f t="array" aca="1" ref="E2143" ca="1">INDIRECT("b"&amp;F2143+2)</f>
        <v>3.475E+103</v>
      </c>
      <c r="F2143" s="18">
        <f t="shared" si="371"/>
        <v>3253</v>
      </c>
      <c r="G2143" s="18">
        <f t="shared" ref="G2143" ca="1" si="374">E2143/E2138</f>
        <v>1.8289473684210527</v>
      </c>
      <c r="H2143" s="18"/>
      <c r="I2143" s="19">
        <v>2141</v>
      </c>
      <c r="J2143" s="19" cm="1">
        <f t="array" aca="1" ref="J2143" ca="1">INDIRECT("b"&amp;K2143+2)</f>
        <v>3.475E+133</v>
      </c>
      <c r="K2143" s="19">
        <f t="shared" si="367"/>
        <v>4453</v>
      </c>
    </row>
    <row r="2144" spans="1:11">
      <c r="A2144">
        <v>2142</v>
      </c>
      <c r="B2144">
        <v>5.5000000000000001E+75</v>
      </c>
      <c r="D2144" s="18">
        <v>2142</v>
      </c>
      <c r="E2144" s="18" cm="1">
        <f t="array" aca="1" ref="E2144" ca="1">INDIRECT("b"&amp;F2144+2)</f>
        <v>3.7000000000000003E+103</v>
      </c>
      <c r="F2144" s="18">
        <f t="shared" si="371"/>
        <v>3254</v>
      </c>
      <c r="G2144" s="18"/>
      <c r="H2144" s="18"/>
      <c r="I2144" s="19">
        <v>2142</v>
      </c>
      <c r="J2144" s="19" cm="1">
        <f t="array" aca="1" ref="J2144" ca="1">INDIRECT("b"&amp;K2144+2)</f>
        <v>3.6999999999999997E+133</v>
      </c>
      <c r="K2144" s="19">
        <f t="shared" si="367"/>
        <v>4454</v>
      </c>
    </row>
    <row r="2145" spans="1:11">
      <c r="A2145">
        <v>2143</v>
      </c>
      <c r="B2145">
        <v>5.7249999999999998E+75</v>
      </c>
      <c r="D2145" s="18">
        <v>2143</v>
      </c>
      <c r="E2145" s="18" cm="1">
        <f t="array" aca="1" ref="E2145" ca="1">INDIRECT("b"&amp;F2145+2)</f>
        <v>4.1500000000000002E+103</v>
      </c>
      <c r="F2145" s="18">
        <f t="shared" si="371"/>
        <v>3256</v>
      </c>
      <c r="G2145" s="18"/>
      <c r="H2145" s="18"/>
      <c r="I2145" s="19">
        <v>2143</v>
      </c>
      <c r="J2145" s="19" cm="1">
        <f t="array" aca="1" ref="J2145" ca="1">INDIRECT("b"&amp;K2145+2)</f>
        <v>4.1499999999999998E+133</v>
      </c>
      <c r="K2145" s="19">
        <f t="shared" si="367"/>
        <v>4456</v>
      </c>
    </row>
    <row r="2146" spans="1:11">
      <c r="A2146">
        <v>2144</v>
      </c>
      <c r="B2146">
        <v>5.9500000000000003E+75</v>
      </c>
      <c r="D2146" s="18">
        <v>2144</v>
      </c>
      <c r="E2146" s="18" cm="1">
        <f t="array" aca="1" ref="E2146" ca="1">INDIRECT("b"&amp;F2146+2)</f>
        <v>4.3750000000000002E+103</v>
      </c>
      <c r="F2146" s="18">
        <f t="shared" si="371"/>
        <v>3257</v>
      </c>
      <c r="G2146" s="18"/>
      <c r="H2146" s="18"/>
      <c r="I2146" s="19">
        <v>2144</v>
      </c>
      <c r="J2146" s="19" cm="1">
        <f t="array" aca="1" ref="J2146" ca="1">INDIRECT("b"&amp;K2146+2)</f>
        <v>4.3749999999999995E+133</v>
      </c>
      <c r="K2146" s="19">
        <f t="shared" si="367"/>
        <v>4457</v>
      </c>
    </row>
    <row r="2147" spans="1:11">
      <c r="A2147">
        <v>2145</v>
      </c>
      <c r="B2147">
        <v>6.175E+75</v>
      </c>
      <c r="D2147" s="18">
        <v>2145</v>
      </c>
      <c r="E2147" s="18" cm="1">
        <f t="array" aca="1" ref="E2147" ca="1">INDIRECT("b"&amp;F2147+2)</f>
        <v>4.6000000000000002E+103</v>
      </c>
      <c r="F2147" s="18">
        <f t="shared" si="371"/>
        <v>3258</v>
      </c>
      <c r="G2147" s="18"/>
      <c r="H2147" s="18"/>
      <c r="I2147" s="19">
        <v>2145</v>
      </c>
      <c r="J2147" s="19" cm="1">
        <f t="array" aca="1" ref="J2147" ca="1">INDIRECT("b"&amp;K2147+2)</f>
        <v>4.5999999999999998E+133</v>
      </c>
      <c r="K2147" s="19">
        <f t="shared" si="367"/>
        <v>4458</v>
      </c>
    </row>
    <row r="2148" spans="1:11">
      <c r="A2148">
        <v>2146</v>
      </c>
      <c r="B2148">
        <v>6.3999999999999997E+75</v>
      </c>
      <c r="D2148" s="18">
        <v>2146</v>
      </c>
      <c r="E2148" s="18" cm="1">
        <f t="array" aca="1" ref="E2148" ca="1">INDIRECT("b"&amp;F2148+2)</f>
        <v>5.0500000000000001E+103</v>
      </c>
      <c r="F2148" s="18">
        <f t="shared" si="371"/>
        <v>3260</v>
      </c>
      <c r="G2148" s="18">
        <f t="shared" ref="G2148" ca="1" si="375">E2148/E2143</f>
        <v>1.4532374100719425</v>
      </c>
      <c r="H2148" s="18"/>
      <c r="I2148" s="19">
        <v>2146</v>
      </c>
      <c r="J2148" s="19" cm="1">
        <f t="array" aca="1" ref="J2148" ca="1">INDIRECT("b"&amp;K2148+2)</f>
        <v>5.0499999999999993E+133</v>
      </c>
      <c r="K2148" s="19">
        <f t="shared" si="367"/>
        <v>4460</v>
      </c>
    </row>
    <row r="2149" spans="1:11">
      <c r="A2149">
        <v>2147</v>
      </c>
      <c r="B2149">
        <v>6.6250000000000002E+75</v>
      </c>
      <c r="D2149" s="18">
        <v>2147</v>
      </c>
      <c r="E2149" s="18" cm="1">
        <f t="array" aca="1" ref="E2149" ca="1">INDIRECT("b"&amp;F2149+2)</f>
        <v>5.275E+103</v>
      </c>
      <c r="F2149" s="18">
        <f t="shared" si="371"/>
        <v>3261</v>
      </c>
      <c r="G2149" s="18"/>
      <c r="H2149" s="18"/>
      <c r="I2149" s="19">
        <v>2147</v>
      </c>
      <c r="J2149" s="19" cm="1">
        <f t="array" aca="1" ref="J2149" ca="1">INDIRECT("b"&amp;K2149+2)</f>
        <v>5.2749999999999996E+133</v>
      </c>
      <c r="K2149" s="19">
        <f t="shared" si="367"/>
        <v>4461</v>
      </c>
    </row>
    <row r="2150" spans="1:11">
      <c r="A2150">
        <v>2148</v>
      </c>
      <c r="B2150">
        <v>6.8499999999999999E+75</v>
      </c>
      <c r="D2150" s="18">
        <v>2148</v>
      </c>
      <c r="E2150" s="18" cm="1">
        <f t="array" aca="1" ref="E2150" ca="1">INDIRECT("b"&amp;F2150+2)</f>
        <v>5.5E+103</v>
      </c>
      <c r="F2150" s="18">
        <f t="shared" si="371"/>
        <v>3262</v>
      </c>
      <c r="G2150" s="18"/>
      <c r="H2150" s="18"/>
      <c r="I2150" s="19">
        <v>2148</v>
      </c>
      <c r="J2150" s="19" cm="1">
        <f t="array" aca="1" ref="J2150" ca="1">INDIRECT("b"&amp;K2150+2)</f>
        <v>5.4999999999999999E+133</v>
      </c>
      <c r="K2150" s="19">
        <f t="shared" si="367"/>
        <v>4462</v>
      </c>
    </row>
    <row r="2151" spans="1:11">
      <c r="A2151">
        <v>2149</v>
      </c>
      <c r="B2151">
        <v>7.0749999999999996E+75</v>
      </c>
      <c r="D2151" s="18">
        <v>2149</v>
      </c>
      <c r="E2151" s="18" cm="1">
        <f t="array" aca="1" ref="E2151" ca="1">INDIRECT("b"&amp;F2151+2)</f>
        <v>5.9499999999999999E+103</v>
      </c>
      <c r="F2151" s="18">
        <f t="shared" si="371"/>
        <v>3264</v>
      </c>
      <c r="G2151" s="18"/>
      <c r="H2151" s="18"/>
      <c r="I2151" s="19">
        <v>2149</v>
      </c>
      <c r="J2151" s="19" cm="1">
        <f t="array" aca="1" ref="J2151" ca="1">INDIRECT("b"&amp;K2151+2)</f>
        <v>5.9499999999999994E+133</v>
      </c>
      <c r="K2151" s="19">
        <f t="shared" si="367"/>
        <v>4464</v>
      </c>
    </row>
    <row r="2152" spans="1:11">
      <c r="A2152">
        <v>2150</v>
      </c>
      <c r="B2152">
        <v>7.2999999999999993E+75</v>
      </c>
      <c r="D2152" s="18">
        <v>2150</v>
      </c>
      <c r="E2152" s="18" cm="1">
        <f t="array" aca="1" ref="E2152" ca="1">INDIRECT("b"&amp;F2152+2)</f>
        <v>6.1749999999999999E+103</v>
      </c>
      <c r="F2152" s="18">
        <f t="shared" si="371"/>
        <v>3265</v>
      </c>
      <c r="G2152" s="18"/>
      <c r="H2152" s="18"/>
      <c r="I2152" s="19">
        <v>2150</v>
      </c>
      <c r="J2152" s="19" cm="1">
        <f t="array" aca="1" ref="J2152" ca="1">INDIRECT("b"&amp;K2152+2)</f>
        <v>6.1749999999999997E+133</v>
      </c>
      <c r="K2152" s="19">
        <f t="shared" si="367"/>
        <v>4465</v>
      </c>
    </row>
    <row r="2153" spans="1:11">
      <c r="A2153">
        <v>2151</v>
      </c>
      <c r="B2153">
        <v>7.5249999999999998E+75</v>
      </c>
      <c r="D2153" s="18">
        <v>2151</v>
      </c>
      <c r="E2153" s="18" cm="1">
        <f t="array" aca="1" ref="E2153" ca="1">INDIRECT("b"&amp;F2153+2)</f>
        <v>6.3999999999999999E+103</v>
      </c>
      <c r="F2153" s="18">
        <f t="shared" si="371"/>
        <v>3266</v>
      </c>
      <c r="G2153" s="18">
        <f t="shared" ref="G2153" ca="1" si="376">E2153/E2148</f>
        <v>1.2673267326732673</v>
      </c>
      <c r="H2153" s="18"/>
      <c r="I2153" s="19">
        <v>2151</v>
      </c>
      <c r="J2153" s="19" cm="1">
        <f t="array" aca="1" ref="J2153" ca="1">INDIRECT("b"&amp;K2153+2)</f>
        <v>6.3999999999999999E+133</v>
      </c>
      <c r="K2153" s="19">
        <f t="shared" si="367"/>
        <v>4466</v>
      </c>
    </row>
    <row r="2154" spans="1:11">
      <c r="A2154">
        <v>2152</v>
      </c>
      <c r="B2154">
        <v>7.7500000000000003E+75</v>
      </c>
      <c r="D2154" s="18">
        <v>2152</v>
      </c>
      <c r="E2154" s="18" cm="1">
        <f t="array" aca="1" ref="E2154" ca="1">INDIRECT("b"&amp;F2154+2)</f>
        <v>6.8499999999999998E+103</v>
      </c>
      <c r="F2154" s="18">
        <f t="shared" si="371"/>
        <v>3268</v>
      </c>
      <c r="G2154" s="18"/>
      <c r="H2154" s="18"/>
      <c r="I2154" s="19">
        <v>2152</v>
      </c>
      <c r="J2154" s="19" cm="1">
        <f t="array" aca="1" ref="J2154" ca="1">INDIRECT("b"&amp;K2154+2)</f>
        <v>6.8499999999999995E+133</v>
      </c>
      <c r="K2154" s="19">
        <f t="shared" si="367"/>
        <v>4468</v>
      </c>
    </row>
    <row r="2155" spans="1:11">
      <c r="A2155">
        <v>2153</v>
      </c>
      <c r="B2155">
        <v>7.9749999999999992E+75</v>
      </c>
      <c r="D2155" s="18">
        <v>2153</v>
      </c>
      <c r="E2155" s="18" cm="1">
        <f t="array" aca="1" ref="E2155" ca="1">INDIRECT("b"&amp;F2155+2)</f>
        <v>7.0750000000000005E+103</v>
      </c>
      <c r="F2155" s="18">
        <f t="shared" si="371"/>
        <v>3269</v>
      </c>
      <c r="G2155" s="18"/>
      <c r="H2155" s="18"/>
      <c r="I2155" s="19">
        <v>2153</v>
      </c>
      <c r="J2155" s="19" cm="1">
        <f t="array" aca="1" ref="J2155" ca="1">INDIRECT("b"&amp;K2155+2)</f>
        <v>7.0749999999999997E+133</v>
      </c>
      <c r="K2155" s="19">
        <f t="shared" si="367"/>
        <v>4469</v>
      </c>
    </row>
    <row r="2156" spans="1:11">
      <c r="A2156">
        <v>2154</v>
      </c>
      <c r="B2156">
        <v>8.1999999999999997E+75</v>
      </c>
      <c r="D2156" s="18">
        <v>2154</v>
      </c>
      <c r="E2156" s="18" cm="1">
        <f t="array" aca="1" ref="E2156" ca="1">INDIRECT("b"&amp;F2156+2)</f>
        <v>7.3000000000000005E+103</v>
      </c>
      <c r="F2156" s="18">
        <f t="shared" si="371"/>
        <v>3270</v>
      </c>
      <c r="G2156" s="18"/>
      <c r="H2156" s="18"/>
      <c r="I2156" s="19">
        <v>2154</v>
      </c>
      <c r="J2156" s="19" cm="1">
        <f t="array" aca="1" ref="J2156" ca="1">INDIRECT("b"&amp;K2156+2)</f>
        <v>7.299999999999999E+133</v>
      </c>
      <c r="K2156" s="19">
        <f t="shared" si="367"/>
        <v>4470</v>
      </c>
    </row>
    <row r="2157" spans="1:11">
      <c r="A2157">
        <v>2155</v>
      </c>
      <c r="B2157">
        <v>8.4250000000000002E+75</v>
      </c>
      <c r="D2157" s="18">
        <v>2155</v>
      </c>
      <c r="E2157" s="18" cm="1">
        <f t="array" aca="1" ref="E2157" ca="1">INDIRECT("b"&amp;F2157+2)</f>
        <v>7.7500000000000004E+103</v>
      </c>
      <c r="F2157" s="18">
        <f t="shared" si="371"/>
        <v>3272</v>
      </c>
      <c r="G2157" s="18"/>
      <c r="H2157" s="18"/>
      <c r="I2157" s="19">
        <v>2155</v>
      </c>
      <c r="J2157" s="19" cm="1">
        <f t="array" aca="1" ref="J2157" ca="1">INDIRECT("b"&amp;K2157+2)</f>
        <v>7.7499999999999995E+133</v>
      </c>
      <c r="K2157" s="19">
        <f t="shared" si="367"/>
        <v>4472</v>
      </c>
    </row>
    <row r="2158" spans="1:11">
      <c r="A2158">
        <v>2156</v>
      </c>
      <c r="B2158">
        <v>8.6499999999999991E+75</v>
      </c>
      <c r="D2158" s="18">
        <v>2156</v>
      </c>
      <c r="E2158" s="18" cm="1">
        <f t="array" aca="1" ref="E2158" ca="1">INDIRECT("b"&amp;F2158+2)</f>
        <v>7.9749999999999996E+103</v>
      </c>
      <c r="F2158" s="18">
        <f t="shared" si="371"/>
        <v>3273</v>
      </c>
      <c r="G2158" s="18">
        <f t="shared" ref="G2158" ca="1" si="377">E2158/E2153</f>
        <v>1.24609375</v>
      </c>
      <c r="H2158" s="18"/>
      <c r="I2158" s="19">
        <v>2156</v>
      </c>
      <c r="J2158" s="19" cm="1">
        <f t="array" aca="1" ref="J2158" ca="1">INDIRECT("b"&amp;K2158+2)</f>
        <v>7.9749999999999998E+133</v>
      </c>
      <c r="K2158" s="19">
        <f t="shared" si="367"/>
        <v>4473</v>
      </c>
    </row>
    <row r="2159" spans="1:11">
      <c r="A2159">
        <v>2157</v>
      </c>
      <c r="B2159">
        <v>8.8749999999999996E+75</v>
      </c>
      <c r="D2159" s="18">
        <v>2157</v>
      </c>
      <c r="E2159" s="18" cm="1">
        <f t="array" aca="1" ref="E2159" ca="1">INDIRECT("b"&amp;F2159+2)</f>
        <v>8.2000000000000003E+103</v>
      </c>
      <c r="F2159" s="18">
        <f t="shared" si="371"/>
        <v>3274</v>
      </c>
      <c r="G2159" s="18"/>
      <c r="H2159" s="18"/>
      <c r="I2159" s="19">
        <v>2157</v>
      </c>
      <c r="J2159" s="19" cm="1">
        <f t="array" aca="1" ref="J2159" ca="1">INDIRECT("b"&amp;K2159+2)</f>
        <v>8.1999999999999991E+133</v>
      </c>
      <c r="K2159" s="19">
        <f t="shared" si="367"/>
        <v>4474</v>
      </c>
    </row>
    <row r="2160" spans="1:11">
      <c r="A2160">
        <v>2158</v>
      </c>
      <c r="B2160">
        <v>9.1000000000000001E+75</v>
      </c>
      <c r="D2160" s="18">
        <v>2158</v>
      </c>
      <c r="E2160" s="18" cm="1">
        <f t="array" aca="1" ref="E2160" ca="1">INDIRECT("b"&amp;F2160+2)</f>
        <v>8.6500000000000003E+103</v>
      </c>
      <c r="F2160" s="18">
        <f t="shared" si="371"/>
        <v>3276</v>
      </c>
      <c r="G2160" s="18"/>
      <c r="H2160" s="18"/>
      <c r="I2160" s="19">
        <v>2158</v>
      </c>
      <c r="J2160" s="19" cm="1">
        <f t="array" aca="1" ref="J2160" ca="1">INDIRECT("b"&amp;K2160+2)</f>
        <v>8.6499999999999996E+133</v>
      </c>
      <c r="K2160" s="19">
        <f t="shared" si="367"/>
        <v>4476</v>
      </c>
    </row>
    <row r="2161" spans="1:11">
      <c r="A2161">
        <v>2159</v>
      </c>
      <c r="B2161">
        <v>9.3250000000000006E+75</v>
      </c>
      <c r="D2161" s="18">
        <v>2159</v>
      </c>
      <c r="E2161" s="18" cm="1">
        <f t="array" aca="1" ref="E2161" ca="1">INDIRECT("b"&amp;F2161+2)</f>
        <v>8.8749999999999994E+103</v>
      </c>
      <c r="F2161" s="18">
        <f t="shared" si="371"/>
        <v>3277</v>
      </c>
      <c r="G2161" s="18"/>
      <c r="H2161" s="18"/>
      <c r="I2161" s="19">
        <v>2159</v>
      </c>
      <c r="J2161" s="19" cm="1">
        <f t="array" aca="1" ref="J2161" ca="1">INDIRECT("b"&amp;K2161+2)</f>
        <v>8.8749999999999989E+133</v>
      </c>
      <c r="K2161" s="19">
        <f t="shared" si="367"/>
        <v>4477</v>
      </c>
    </row>
    <row r="2162" spans="1:11">
      <c r="A2162">
        <v>2160</v>
      </c>
      <c r="B2162">
        <v>9.5499999999999995E+75</v>
      </c>
      <c r="D2162" s="18">
        <v>2160</v>
      </c>
      <c r="E2162" s="18" cm="1">
        <f t="array" aca="1" ref="E2162" ca="1">INDIRECT("b"&amp;F2162+2)</f>
        <v>9.1000000000000002E+103</v>
      </c>
      <c r="F2162" s="18">
        <f t="shared" si="371"/>
        <v>3278</v>
      </c>
      <c r="G2162" s="18"/>
      <c r="H2162" s="18"/>
      <c r="I2162" s="19">
        <v>2160</v>
      </c>
      <c r="J2162" s="19" cm="1">
        <f t="array" aca="1" ref="J2162" ca="1">INDIRECT("b"&amp;K2162+2)</f>
        <v>9.1000000000000002E+133</v>
      </c>
      <c r="K2162" s="19">
        <f t="shared" si="367"/>
        <v>4478</v>
      </c>
    </row>
    <row r="2163" spans="1:11">
      <c r="A2163">
        <v>2161</v>
      </c>
      <c r="B2163">
        <v>9.775E+75</v>
      </c>
      <c r="D2163" s="18">
        <v>2161</v>
      </c>
      <c r="E2163" s="18" cm="1">
        <f t="array" aca="1" ref="E2163" ca="1">INDIRECT("b"&amp;F2163+2)</f>
        <v>9.5500000000000001E+103</v>
      </c>
      <c r="F2163" s="18">
        <f t="shared" si="371"/>
        <v>3280</v>
      </c>
      <c r="G2163" s="18">
        <f t="shared" ref="G2163" ca="1" si="378">E2163/E2158</f>
        <v>1.1974921630094044</v>
      </c>
      <c r="H2163" s="18"/>
      <c r="I2163" s="19">
        <v>2161</v>
      </c>
      <c r="J2163" s="19" cm="1">
        <f t="array" aca="1" ref="J2163" ca="1">INDIRECT("b"&amp;K2163+2)</f>
        <v>9.5499999999999987E+133</v>
      </c>
      <c r="K2163" s="19">
        <f t="shared" si="367"/>
        <v>4480</v>
      </c>
    </row>
    <row r="2164" spans="1:11">
      <c r="A2164">
        <v>2162</v>
      </c>
      <c r="B2164">
        <v>9.9999999999999989E+75</v>
      </c>
      <c r="D2164" s="18">
        <v>2162</v>
      </c>
      <c r="E2164" s="18" cm="1">
        <f t="array" aca="1" ref="E2164" ca="1">INDIRECT("b"&amp;F2164+2)</f>
        <v>9.7750000000000009E+103</v>
      </c>
      <c r="F2164" s="18">
        <f t="shared" si="371"/>
        <v>3281</v>
      </c>
      <c r="G2164" s="18"/>
      <c r="H2164" s="18"/>
      <c r="I2164" s="19">
        <v>2162</v>
      </c>
      <c r="J2164" s="19" cm="1">
        <f t="array" aca="1" ref="J2164" ca="1">INDIRECT("b"&amp;K2164+2)</f>
        <v>9.775E+133</v>
      </c>
      <c r="K2164" s="19">
        <f t="shared" si="367"/>
        <v>4481</v>
      </c>
    </row>
    <row r="2165" spans="1:11">
      <c r="A2165">
        <v>2163</v>
      </c>
      <c r="B2165">
        <v>1.2249999999999999E+76</v>
      </c>
      <c r="D2165" s="18">
        <v>2163</v>
      </c>
      <c r="E2165" s="18" cm="1">
        <f t="array" aca="1" ref="E2165" ca="1">INDIRECT("b"&amp;F2165+2)</f>
        <v>1E+104</v>
      </c>
      <c r="F2165" s="18">
        <f t="shared" si="371"/>
        <v>3282</v>
      </c>
      <c r="G2165" s="18"/>
      <c r="H2165" s="18"/>
      <c r="I2165" s="19">
        <v>2163</v>
      </c>
      <c r="J2165" s="19" cm="1">
        <f t="array" aca="1" ref="J2165" ca="1">INDIRECT("b"&amp;K2165+2)</f>
        <v>1.0000000000000001E+134</v>
      </c>
      <c r="K2165" s="19">
        <f t="shared" si="367"/>
        <v>4482</v>
      </c>
    </row>
    <row r="2166" spans="1:11">
      <c r="A2166">
        <v>2164</v>
      </c>
      <c r="B2166">
        <v>1.4500000000000001E+76</v>
      </c>
      <c r="D2166" s="18">
        <v>2164</v>
      </c>
      <c r="E2166" s="18" cm="1">
        <f t="array" aca="1" ref="E2166" ca="1">INDIRECT("b"&amp;F2166+2)</f>
        <v>1.4499999999999999E+104</v>
      </c>
      <c r="F2166" s="18">
        <f t="shared" si="371"/>
        <v>3284</v>
      </c>
      <c r="G2166" s="18"/>
      <c r="H2166" s="18"/>
      <c r="I2166" s="19">
        <v>2164</v>
      </c>
      <c r="J2166" s="19" cm="1">
        <f t="array" aca="1" ref="J2166" ca="1">INDIRECT("b"&amp;K2166+2)</f>
        <v>1.4500000000000001E+134</v>
      </c>
      <c r="K2166" s="19">
        <f t="shared" si="367"/>
        <v>4484</v>
      </c>
    </row>
    <row r="2167" spans="1:11">
      <c r="A2167">
        <v>2165</v>
      </c>
      <c r="B2167">
        <v>1.6749999999999999E+76</v>
      </c>
      <c r="D2167" s="18">
        <v>2165</v>
      </c>
      <c r="E2167" s="18" cm="1">
        <f t="array" aca="1" ref="E2167" ca="1">INDIRECT("b"&amp;F2167+2)</f>
        <v>1.675E+104</v>
      </c>
      <c r="F2167" s="18">
        <f t="shared" si="371"/>
        <v>3285</v>
      </c>
      <c r="G2167" s="18"/>
      <c r="H2167" s="18"/>
      <c r="I2167" s="19">
        <v>2165</v>
      </c>
      <c r="J2167" s="19" cm="1">
        <f t="array" aca="1" ref="J2167" ca="1">INDIRECT("b"&amp;K2167+2)</f>
        <v>1.6750000000000001E+134</v>
      </c>
      <c r="K2167" s="19">
        <f t="shared" si="367"/>
        <v>4485</v>
      </c>
    </row>
    <row r="2168" spans="1:11">
      <c r="A2168">
        <v>2166</v>
      </c>
      <c r="B2168">
        <v>1.8999999999999998E+76</v>
      </c>
      <c r="D2168" s="18">
        <v>2166</v>
      </c>
      <c r="E2168" s="18" cm="1">
        <f t="array" aca="1" ref="E2168" ca="1">INDIRECT("b"&amp;F2168+2)</f>
        <v>1.9000000000000002E+104</v>
      </c>
      <c r="F2168" s="18">
        <f t="shared" si="371"/>
        <v>3286</v>
      </c>
      <c r="G2168" s="18">
        <f t="shared" ref="G2168" ca="1" si="379">E2168/E2163</f>
        <v>1.9895287958115184</v>
      </c>
      <c r="H2168" s="18"/>
      <c r="I2168" s="19">
        <v>2166</v>
      </c>
      <c r="J2168" s="19" cm="1">
        <f t="array" aca="1" ref="J2168" ca="1">INDIRECT("b"&amp;K2168+2)</f>
        <v>1.9E+134</v>
      </c>
      <c r="K2168" s="19">
        <f t="shared" si="367"/>
        <v>4486</v>
      </c>
    </row>
    <row r="2169" spans="1:11">
      <c r="A2169">
        <v>2167</v>
      </c>
      <c r="B2169">
        <v>2.125E+76</v>
      </c>
      <c r="D2169" s="18">
        <v>2167</v>
      </c>
      <c r="E2169" s="18" cm="1">
        <f t="array" aca="1" ref="E2169" ca="1">INDIRECT("b"&amp;F2169+2)</f>
        <v>2.3500000000000001E+104</v>
      </c>
      <c r="F2169" s="18">
        <f t="shared" si="371"/>
        <v>3288</v>
      </c>
      <c r="G2169" s="18"/>
      <c r="H2169" s="18"/>
      <c r="I2169" s="19">
        <v>2167</v>
      </c>
      <c r="J2169" s="19" cm="1">
        <f t="array" aca="1" ref="J2169" ca="1">INDIRECT("b"&amp;K2169+2)</f>
        <v>2.3500000000000001E+134</v>
      </c>
      <c r="K2169" s="19">
        <f t="shared" si="367"/>
        <v>4488</v>
      </c>
    </row>
    <row r="2170" spans="1:11">
      <c r="A2170">
        <v>2168</v>
      </c>
      <c r="B2170">
        <v>2.3499999999999998E+76</v>
      </c>
      <c r="D2170" s="18">
        <v>2168</v>
      </c>
      <c r="E2170" s="18" cm="1">
        <f t="array" aca="1" ref="E2170" ca="1">INDIRECT("b"&amp;F2170+2)</f>
        <v>2.5750000000000002E+104</v>
      </c>
      <c r="F2170" s="18">
        <f t="shared" si="371"/>
        <v>3289</v>
      </c>
      <c r="G2170" s="18"/>
      <c r="H2170" s="18"/>
      <c r="I2170" s="19">
        <v>2168</v>
      </c>
      <c r="J2170" s="19" cm="1">
        <f t="array" aca="1" ref="J2170" ca="1">INDIRECT("b"&amp;K2170+2)</f>
        <v>2.5750000000000002E+134</v>
      </c>
      <c r="K2170" s="19">
        <f t="shared" si="367"/>
        <v>4489</v>
      </c>
    </row>
    <row r="2171" spans="1:11">
      <c r="A2171">
        <v>2169</v>
      </c>
      <c r="B2171">
        <v>2.575E+76</v>
      </c>
      <c r="D2171" s="18">
        <v>2169</v>
      </c>
      <c r="E2171" s="18" cm="1">
        <f t="array" aca="1" ref="E2171" ca="1">INDIRECT("b"&amp;F2171+2)</f>
        <v>2.8E+104</v>
      </c>
      <c r="F2171" s="18">
        <f t="shared" si="371"/>
        <v>3290</v>
      </c>
      <c r="G2171" s="18"/>
      <c r="H2171" s="18"/>
      <c r="I2171" s="19">
        <v>2169</v>
      </c>
      <c r="J2171" s="19" cm="1">
        <f t="array" aca="1" ref="J2171" ca="1">INDIRECT("b"&amp;K2171+2)</f>
        <v>2.8000000000000003E+134</v>
      </c>
      <c r="K2171" s="19">
        <f t="shared" si="367"/>
        <v>4490</v>
      </c>
    </row>
    <row r="2172" spans="1:11">
      <c r="A2172">
        <v>2170</v>
      </c>
      <c r="B2172">
        <v>2.7999999999999999E+76</v>
      </c>
      <c r="D2172" s="18">
        <v>2170</v>
      </c>
      <c r="E2172" s="18" cm="1">
        <f t="array" aca="1" ref="E2172" ca="1">INDIRECT("b"&amp;F2172+2)</f>
        <v>3.2500000000000002E+104</v>
      </c>
      <c r="F2172" s="18">
        <f t="shared" si="371"/>
        <v>3292</v>
      </c>
      <c r="G2172" s="18"/>
      <c r="H2172" s="18"/>
      <c r="I2172" s="19">
        <v>2170</v>
      </c>
      <c r="J2172" s="19" cm="1">
        <f t="array" aca="1" ref="J2172" ca="1">INDIRECT("b"&amp;K2172+2)</f>
        <v>3.2500000000000004E+134</v>
      </c>
      <c r="K2172" s="19">
        <f t="shared" si="367"/>
        <v>4492</v>
      </c>
    </row>
    <row r="2173" spans="1:11">
      <c r="A2173">
        <v>2171</v>
      </c>
      <c r="B2173">
        <v>3.0249999999999997E+76</v>
      </c>
      <c r="D2173" s="18">
        <v>2171</v>
      </c>
      <c r="E2173" s="18" cm="1">
        <f t="array" aca="1" ref="E2173" ca="1">INDIRECT("b"&amp;F2173+2)</f>
        <v>3.475E+104</v>
      </c>
      <c r="F2173" s="18">
        <f t="shared" si="371"/>
        <v>3293</v>
      </c>
      <c r="G2173" s="18">
        <f t="shared" ref="G2173" ca="1" si="380">E2173/E2168</f>
        <v>1.8289473684210524</v>
      </c>
      <c r="H2173" s="18"/>
      <c r="I2173" s="19">
        <v>2171</v>
      </c>
      <c r="J2173" s="19" cm="1">
        <f t="array" aca="1" ref="J2173" ca="1">INDIRECT("b"&amp;K2173+2)</f>
        <v>3.4750000000000001E+134</v>
      </c>
      <c r="K2173" s="19">
        <f t="shared" si="367"/>
        <v>4493</v>
      </c>
    </row>
    <row r="2174" spans="1:11">
      <c r="A2174">
        <v>2172</v>
      </c>
      <c r="B2174">
        <v>3.2499999999999996E+76</v>
      </c>
      <c r="D2174" s="18">
        <v>2172</v>
      </c>
      <c r="E2174" s="18" cm="1">
        <f t="array" aca="1" ref="E2174" ca="1">INDIRECT("b"&amp;F2174+2)</f>
        <v>3.7000000000000005E+104</v>
      </c>
      <c r="F2174" s="18">
        <f t="shared" si="371"/>
        <v>3294</v>
      </c>
      <c r="G2174" s="18"/>
      <c r="H2174" s="18"/>
      <c r="I2174" s="19">
        <v>2172</v>
      </c>
      <c r="J2174" s="19" cm="1">
        <f t="array" aca="1" ref="J2174" ca="1">INDIRECT("b"&amp;K2174+2)</f>
        <v>3.7000000000000001E+134</v>
      </c>
      <c r="K2174" s="19">
        <f t="shared" si="367"/>
        <v>4494</v>
      </c>
    </row>
    <row r="2175" spans="1:11">
      <c r="A2175">
        <v>2173</v>
      </c>
      <c r="B2175">
        <v>3.4750000000000001E+76</v>
      </c>
      <c r="D2175" s="18">
        <v>2173</v>
      </c>
      <c r="E2175" s="18" cm="1">
        <f t="array" aca="1" ref="E2175" ca="1">INDIRECT("b"&amp;F2175+2)</f>
        <v>4.1500000000000001E+104</v>
      </c>
      <c r="F2175" s="18">
        <f t="shared" si="371"/>
        <v>3296</v>
      </c>
      <c r="G2175" s="18"/>
      <c r="H2175" s="18"/>
      <c r="I2175" s="19">
        <v>2173</v>
      </c>
      <c r="J2175" s="19" cm="1">
        <f t="array" aca="1" ref="J2175" ca="1">INDIRECT("b"&amp;K2175+2)</f>
        <v>4.1500000000000003E+134</v>
      </c>
      <c r="K2175" s="19">
        <f t="shared" si="367"/>
        <v>4496</v>
      </c>
    </row>
    <row r="2176" spans="1:11">
      <c r="A2176">
        <v>2174</v>
      </c>
      <c r="B2176">
        <v>3.6999999999999999E+76</v>
      </c>
      <c r="D2176" s="18">
        <v>2174</v>
      </c>
      <c r="E2176" s="18" cm="1">
        <f t="array" aca="1" ref="E2176" ca="1">INDIRECT("b"&amp;F2176+2)</f>
        <v>4.3750000000000005E+104</v>
      </c>
      <c r="F2176" s="18">
        <f t="shared" si="371"/>
        <v>3297</v>
      </c>
      <c r="G2176" s="18"/>
      <c r="H2176" s="18"/>
      <c r="I2176" s="19">
        <v>2174</v>
      </c>
      <c r="J2176" s="19" cm="1">
        <f t="array" aca="1" ref="J2176" ca="1">INDIRECT("b"&amp;K2176+2)</f>
        <v>4.3750000000000003E+134</v>
      </c>
      <c r="K2176" s="19">
        <f t="shared" si="367"/>
        <v>4497</v>
      </c>
    </row>
    <row r="2177" spans="1:11">
      <c r="A2177">
        <v>2175</v>
      </c>
      <c r="B2177">
        <v>3.9249999999999998E+76</v>
      </c>
      <c r="D2177" s="18">
        <v>2175</v>
      </c>
      <c r="E2177" s="18" cm="1">
        <f t="array" aca="1" ref="E2177" ca="1">INDIRECT("b"&amp;F2177+2)</f>
        <v>4.6000000000000003E+104</v>
      </c>
      <c r="F2177" s="18">
        <f t="shared" si="371"/>
        <v>3298</v>
      </c>
      <c r="G2177" s="18"/>
      <c r="H2177" s="18"/>
      <c r="I2177" s="19">
        <v>2175</v>
      </c>
      <c r="J2177" s="19" cm="1">
        <f t="array" aca="1" ref="J2177" ca="1">INDIRECT("b"&amp;K2177+2)</f>
        <v>4.6000000000000004E+134</v>
      </c>
      <c r="K2177" s="19">
        <f t="shared" si="367"/>
        <v>4498</v>
      </c>
    </row>
    <row r="2178" spans="1:11">
      <c r="A2178">
        <v>2176</v>
      </c>
      <c r="B2178">
        <v>4.1499999999999997E+76</v>
      </c>
      <c r="D2178" s="18">
        <v>2176</v>
      </c>
      <c r="E2178" s="18" cm="1">
        <f t="array" aca="1" ref="E2178" ca="1">INDIRECT("b"&amp;F2178+2)</f>
        <v>5.0500000000000006E+104</v>
      </c>
      <c r="F2178" s="18">
        <f t="shared" si="371"/>
        <v>3300</v>
      </c>
      <c r="G2178" s="18">
        <f t="shared" ref="G2178" ca="1" si="381">E2178/E2173</f>
        <v>1.4532374100719425</v>
      </c>
      <c r="H2178" s="18"/>
      <c r="I2178" s="19">
        <v>2176</v>
      </c>
      <c r="J2178" s="19" cm="1">
        <f t="array" aca="1" ref="J2178" ca="1">INDIRECT("b"&amp;K2178+2)</f>
        <v>5.0500000000000005E+134</v>
      </c>
      <c r="K2178" s="19">
        <f t="shared" si="367"/>
        <v>4500</v>
      </c>
    </row>
    <row r="2179" spans="1:11">
      <c r="A2179">
        <v>2177</v>
      </c>
      <c r="B2179">
        <v>4.3749999999999995E+76</v>
      </c>
      <c r="D2179" s="18">
        <v>2177</v>
      </c>
      <c r="E2179" s="18" cm="1">
        <f t="array" aca="1" ref="E2179" ca="1">INDIRECT("b"&amp;F2179+2)</f>
        <v>5.2750000000000004E+104</v>
      </c>
      <c r="F2179" s="18">
        <f t="shared" si="371"/>
        <v>3301</v>
      </c>
      <c r="G2179" s="18"/>
      <c r="H2179" s="18"/>
      <c r="I2179" s="19">
        <v>2177</v>
      </c>
      <c r="J2179" s="19" cm="1">
        <f t="array" aca="1" ref="J2179" ca="1">INDIRECT("b"&amp;K2179+2)</f>
        <v>5.2750000000000006E+134</v>
      </c>
      <c r="K2179" s="19">
        <f t="shared" si="367"/>
        <v>4501</v>
      </c>
    </row>
    <row r="2180" spans="1:11">
      <c r="A2180">
        <v>2178</v>
      </c>
      <c r="B2180">
        <v>4.6E+76</v>
      </c>
      <c r="D2180" s="18">
        <v>2178</v>
      </c>
      <c r="E2180" s="18" cm="1">
        <f t="array" aca="1" ref="E2180" ca="1">INDIRECT("b"&amp;F2180+2)</f>
        <v>5.5000000000000002E+104</v>
      </c>
      <c r="F2180" s="18">
        <f t="shared" si="371"/>
        <v>3302</v>
      </c>
      <c r="G2180" s="18"/>
      <c r="H2180" s="18"/>
      <c r="I2180" s="19">
        <v>2178</v>
      </c>
      <c r="J2180" s="19" cm="1">
        <f t="array" aca="1" ref="J2180" ca="1">INDIRECT("b"&amp;K2180+2)</f>
        <v>5.5000000000000007E+134</v>
      </c>
      <c r="K2180" s="19">
        <f t="shared" ref="K2180:K2243" si="382">INT((A2180-1)*40/30+900*40/30)+400</f>
        <v>4502</v>
      </c>
    </row>
    <row r="2181" spans="1:11">
      <c r="A2181">
        <v>2179</v>
      </c>
      <c r="B2181">
        <v>4.8249999999999999E+76</v>
      </c>
      <c r="D2181" s="18">
        <v>2179</v>
      </c>
      <c r="E2181" s="18" cm="1">
        <f t="array" aca="1" ref="E2181" ca="1">INDIRECT("b"&amp;F2181+2)</f>
        <v>5.9500000000000004E+104</v>
      </c>
      <c r="F2181" s="18">
        <f t="shared" si="371"/>
        <v>3304</v>
      </c>
      <c r="G2181" s="18"/>
      <c r="H2181" s="18"/>
      <c r="I2181" s="19">
        <v>2179</v>
      </c>
      <c r="J2181" s="19" cm="1">
        <f t="array" aca="1" ref="J2181" ca="1">INDIRECT("b"&amp;K2181+2)</f>
        <v>5.9500000000000008E+134</v>
      </c>
      <c r="K2181" s="19">
        <f t="shared" si="382"/>
        <v>4504</v>
      </c>
    </row>
    <row r="2182" spans="1:11">
      <c r="A2182">
        <v>2180</v>
      </c>
      <c r="B2182">
        <v>5.0499999999999997E+76</v>
      </c>
      <c r="D2182" s="18">
        <v>2180</v>
      </c>
      <c r="E2182" s="18" cm="1">
        <f t="array" aca="1" ref="E2182" ca="1">INDIRECT("b"&amp;F2182+2)</f>
        <v>6.1750000000000002E+104</v>
      </c>
      <c r="F2182" s="18">
        <f t="shared" si="371"/>
        <v>3305</v>
      </c>
      <c r="G2182" s="18"/>
      <c r="H2182" s="18"/>
      <c r="I2182" s="19">
        <v>2180</v>
      </c>
      <c r="J2182" s="19" cm="1">
        <f t="array" aca="1" ref="J2182" ca="1">INDIRECT("b"&amp;K2182+2)</f>
        <v>6.1750000000000001E+134</v>
      </c>
      <c r="K2182" s="19">
        <f t="shared" si="382"/>
        <v>4505</v>
      </c>
    </row>
    <row r="2183" spans="1:11">
      <c r="A2183">
        <v>2181</v>
      </c>
      <c r="B2183">
        <v>5.2749999999999996E+76</v>
      </c>
      <c r="D2183" s="18">
        <v>2181</v>
      </c>
      <c r="E2183" s="18" cm="1">
        <f t="array" aca="1" ref="E2183" ca="1">INDIRECT("b"&amp;F2183+2)</f>
        <v>6.4E+104</v>
      </c>
      <c r="F2183" s="18">
        <f t="shared" si="371"/>
        <v>3306</v>
      </c>
      <c r="G2183" s="18">
        <f t="shared" ref="G2183" ca="1" si="383">E2183/E2178</f>
        <v>1.2673267326732671</v>
      </c>
      <c r="H2183" s="18"/>
      <c r="I2183" s="19">
        <v>2181</v>
      </c>
      <c r="J2183" s="19" cm="1">
        <f t="array" aca="1" ref="J2183" ca="1">INDIRECT("b"&amp;K2183+2)</f>
        <v>6.4000000000000001E+134</v>
      </c>
      <c r="K2183" s="19">
        <f t="shared" si="382"/>
        <v>4506</v>
      </c>
    </row>
    <row r="2184" spans="1:11">
      <c r="A2184">
        <v>2182</v>
      </c>
      <c r="B2184">
        <v>5.4999999999999995E+76</v>
      </c>
      <c r="D2184" s="18">
        <v>2182</v>
      </c>
      <c r="E2184" s="18" cm="1">
        <f t="array" aca="1" ref="E2184" ca="1">INDIRECT("b"&amp;F2184+2)</f>
        <v>6.8500000000000009E+104</v>
      </c>
      <c r="F2184" s="18">
        <f t="shared" si="371"/>
        <v>3308</v>
      </c>
      <c r="G2184" s="18"/>
      <c r="H2184" s="18"/>
      <c r="I2184" s="19">
        <v>2182</v>
      </c>
      <c r="J2184" s="19" cm="1">
        <f t="array" aca="1" ref="J2184" ca="1">INDIRECT("b"&amp;K2184+2)</f>
        <v>6.8500000000000003E+134</v>
      </c>
      <c r="K2184" s="19">
        <f t="shared" si="382"/>
        <v>4508</v>
      </c>
    </row>
    <row r="2185" spans="1:11">
      <c r="A2185">
        <v>2183</v>
      </c>
      <c r="B2185">
        <v>5.725E+76</v>
      </c>
      <c r="D2185" s="18">
        <v>2183</v>
      </c>
      <c r="E2185" s="18" cm="1">
        <f t="array" aca="1" ref="E2185" ca="1">INDIRECT("b"&amp;F2185+2)</f>
        <v>7.0750000000000007E+104</v>
      </c>
      <c r="F2185" s="18">
        <f t="shared" si="371"/>
        <v>3309</v>
      </c>
      <c r="G2185" s="18"/>
      <c r="H2185" s="18"/>
      <c r="I2185" s="19">
        <v>2183</v>
      </c>
      <c r="J2185" s="19" cm="1">
        <f t="array" aca="1" ref="J2185" ca="1">INDIRECT("b"&amp;K2185+2)</f>
        <v>7.0750000000000003E+134</v>
      </c>
      <c r="K2185" s="19">
        <f t="shared" si="382"/>
        <v>4509</v>
      </c>
    </row>
    <row r="2186" spans="1:11">
      <c r="A2186">
        <v>2184</v>
      </c>
      <c r="B2186">
        <v>5.9499999999999998E+76</v>
      </c>
      <c r="D2186" s="18">
        <v>2184</v>
      </c>
      <c r="E2186" s="18" cm="1">
        <f t="array" aca="1" ref="E2186" ca="1">INDIRECT("b"&amp;F2186+2)</f>
        <v>7.3000000000000005E+104</v>
      </c>
      <c r="F2186" s="18">
        <f t="shared" si="371"/>
        <v>3310</v>
      </c>
      <c r="G2186" s="18"/>
      <c r="H2186" s="18"/>
      <c r="I2186" s="19">
        <v>2184</v>
      </c>
      <c r="J2186" s="19" cm="1">
        <f t="array" aca="1" ref="J2186" ca="1">INDIRECT("b"&amp;K2186+2)</f>
        <v>7.3000000000000004E+134</v>
      </c>
      <c r="K2186" s="19">
        <f t="shared" si="382"/>
        <v>4510</v>
      </c>
    </row>
    <row r="2187" spans="1:11">
      <c r="A2187">
        <v>2185</v>
      </c>
      <c r="B2187">
        <v>6.1750000000000003E+76</v>
      </c>
      <c r="D2187" s="18">
        <v>2185</v>
      </c>
      <c r="E2187" s="18" cm="1">
        <f t="array" aca="1" ref="E2187" ca="1">INDIRECT("b"&amp;F2187+2)</f>
        <v>7.7500000000000001E+104</v>
      </c>
      <c r="F2187" s="18">
        <f t="shared" si="371"/>
        <v>3312</v>
      </c>
      <c r="G2187" s="18"/>
      <c r="H2187" s="18"/>
      <c r="I2187" s="19">
        <v>2185</v>
      </c>
      <c r="J2187" s="19" cm="1">
        <f t="array" aca="1" ref="J2187" ca="1">INDIRECT("b"&amp;K2187+2)</f>
        <v>7.7500000000000006E+134</v>
      </c>
      <c r="K2187" s="19">
        <f t="shared" si="382"/>
        <v>4512</v>
      </c>
    </row>
    <row r="2188" spans="1:11">
      <c r="A2188">
        <v>2186</v>
      </c>
      <c r="B2188">
        <v>6.3999999999999995E+76</v>
      </c>
      <c r="D2188" s="18">
        <v>2186</v>
      </c>
      <c r="E2188" s="18" cm="1">
        <f t="array" aca="1" ref="E2188" ca="1">INDIRECT("b"&amp;F2188+2)</f>
        <v>7.9749999999999999E+104</v>
      </c>
      <c r="F2188" s="18">
        <f t="shared" si="371"/>
        <v>3313</v>
      </c>
      <c r="G2188" s="18">
        <f t="shared" ref="G2188" ca="1" si="384">E2188/E2183</f>
        <v>1.24609375</v>
      </c>
      <c r="H2188" s="18"/>
      <c r="I2188" s="19">
        <v>2186</v>
      </c>
      <c r="J2188" s="19" cm="1">
        <f t="array" aca="1" ref="J2188" ca="1">INDIRECT("b"&amp;K2188+2)</f>
        <v>7.9749999999999998E+134</v>
      </c>
      <c r="K2188" s="19">
        <f t="shared" si="382"/>
        <v>4513</v>
      </c>
    </row>
    <row r="2189" spans="1:11">
      <c r="A2189">
        <v>2187</v>
      </c>
      <c r="B2189">
        <v>6.625E+76</v>
      </c>
      <c r="D2189" s="18">
        <v>2187</v>
      </c>
      <c r="E2189" s="18" cm="1">
        <f t="array" aca="1" ref="E2189" ca="1">INDIRECT("b"&amp;F2189+2)</f>
        <v>8.200000000000001E+104</v>
      </c>
      <c r="F2189" s="18">
        <f t="shared" si="371"/>
        <v>3314</v>
      </c>
      <c r="G2189" s="18"/>
      <c r="H2189" s="18"/>
      <c r="I2189" s="19">
        <v>2187</v>
      </c>
      <c r="J2189" s="19" cm="1">
        <f t="array" aca="1" ref="J2189" ca="1">INDIRECT("b"&amp;K2189+2)</f>
        <v>8.2000000000000007E+134</v>
      </c>
      <c r="K2189" s="19">
        <f t="shared" si="382"/>
        <v>4514</v>
      </c>
    </row>
    <row r="2190" spans="1:11">
      <c r="A2190">
        <v>2188</v>
      </c>
      <c r="B2190">
        <v>6.8499999999999992E+76</v>
      </c>
      <c r="D2190" s="18">
        <v>2188</v>
      </c>
      <c r="E2190" s="18" cm="1">
        <f t="array" aca="1" ref="E2190" ca="1">INDIRECT("b"&amp;F2190+2)</f>
        <v>8.6500000000000006E+104</v>
      </c>
      <c r="F2190" s="18">
        <f t="shared" si="371"/>
        <v>3316</v>
      </c>
      <c r="G2190" s="18"/>
      <c r="H2190" s="18"/>
      <c r="I2190" s="19">
        <v>2188</v>
      </c>
      <c r="J2190" s="19" cm="1">
        <f t="array" aca="1" ref="J2190" ca="1">INDIRECT("b"&amp;K2190+2)</f>
        <v>8.6500000000000008E+134</v>
      </c>
      <c r="K2190" s="19">
        <f t="shared" si="382"/>
        <v>4516</v>
      </c>
    </row>
    <row r="2191" spans="1:11">
      <c r="A2191">
        <v>2189</v>
      </c>
      <c r="B2191">
        <v>7.0749999999999997E+76</v>
      </c>
      <c r="D2191" s="18">
        <v>2189</v>
      </c>
      <c r="E2191" s="18" cm="1">
        <f t="array" aca="1" ref="E2191" ca="1">INDIRECT("b"&amp;F2191+2)</f>
        <v>8.8750000000000004E+104</v>
      </c>
      <c r="F2191" s="18">
        <f t="shared" si="371"/>
        <v>3317</v>
      </c>
      <c r="G2191" s="18"/>
      <c r="H2191" s="18"/>
      <c r="I2191" s="19">
        <v>2189</v>
      </c>
      <c r="J2191" s="19" cm="1">
        <f t="array" aca="1" ref="J2191" ca="1">INDIRECT("b"&amp;K2191+2)</f>
        <v>8.8750000000000001E+134</v>
      </c>
      <c r="K2191" s="19">
        <f t="shared" si="382"/>
        <v>4517</v>
      </c>
    </row>
    <row r="2192" spans="1:11">
      <c r="A2192">
        <v>2190</v>
      </c>
      <c r="B2192">
        <v>7.3000000000000002E+76</v>
      </c>
      <c r="D2192" s="18">
        <v>2190</v>
      </c>
      <c r="E2192" s="18" cm="1">
        <f t="array" aca="1" ref="E2192" ca="1">INDIRECT("b"&amp;F2192+2)</f>
        <v>9.1000000000000002E+104</v>
      </c>
      <c r="F2192" s="18">
        <f t="shared" si="371"/>
        <v>3318</v>
      </c>
      <c r="G2192" s="18"/>
      <c r="H2192" s="18"/>
      <c r="I2192" s="19">
        <v>2190</v>
      </c>
      <c r="J2192" s="19" cm="1">
        <f t="array" aca="1" ref="J2192" ca="1">INDIRECT("b"&amp;K2192+2)</f>
        <v>9.100000000000001E+134</v>
      </c>
      <c r="K2192" s="19">
        <f t="shared" si="382"/>
        <v>4518</v>
      </c>
    </row>
    <row r="2193" spans="1:11">
      <c r="A2193">
        <v>2191</v>
      </c>
      <c r="B2193">
        <v>7.5249999999999995E+76</v>
      </c>
      <c r="D2193" s="18">
        <v>2191</v>
      </c>
      <c r="E2193" s="18" cm="1">
        <f t="array" aca="1" ref="E2193" ca="1">INDIRECT("b"&amp;F2193+2)</f>
        <v>9.5500000000000011E+104</v>
      </c>
      <c r="F2193" s="18">
        <f t="shared" si="371"/>
        <v>3320</v>
      </c>
      <c r="G2193" s="18">
        <f t="shared" ref="G2193" ca="1" si="385">E2193/E2188</f>
        <v>1.1974921630094046</v>
      </c>
      <c r="H2193" s="18"/>
      <c r="I2193" s="19">
        <v>2191</v>
      </c>
      <c r="J2193" s="19" cm="1">
        <f t="array" aca="1" ref="J2193" ca="1">INDIRECT("b"&amp;K2193+2)</f>
        <v>9.5500000000000011E+134</v>
      </c>
      <c r="K2193" s="19">
        <f t="shared" si="382"/>
        <v>4520</v>
      </c>
    </row>
    <row r="2194" spans="1:11">
      <c r="A2194">
        <v>2192</v>
      </c>
      <c r="B2194">
        <v>7.75E+76</v>
      </c>
      <c r="D2194" s="18">
        <v>2192</v>
      </c>
      <c r="E2194" s="18" cm="1">
        <f t="array" aca="1" ref="E2194" ca="1">INDIRECT("b"&amp;F2194+2)</f>
        <v>9.7750000000000009E+104</v>
      </c>
      <c r="F2194" s="18">
        <f t="shared" si="371"/>
        <v>3321</v>
      </c>
      <c r="G2194" s="18"/>
      <c r="H2194" s="18"/>
      <c r="I2194" s="19">
        <v>2192</v>
      </c>
      <c r="J2194" s="19" cm="1">
        <f t="array" aca="1" ref="J2194" ca="1">INDIRECT("b"&amp;K2194+2)</f>
        <v>9.7750000000000004E+134</v>
      </c>
      <c r="K2194" s="19">
        <f t="shared" si="382"/>
        <v>4521</v>
      </c>
    </row>
    <row r="2195" spans="1:11">
      <c r="A2195">
        <v>2193</v>
      </c>
      <c r="B2195">
        <v>7.9749999999999992E+76</v>
      </c>
      <c r="D2195" s="18">
        <v>2193</v>
      </c>
      <c r="E2195" s="18" cm="1">
        <f t="array" aca="1" ref="E2195" ca="1">INDIRECT("b"&amp;F2195+2)</f>
        <v>1.0000000000000001E+105</v>
      </c>
      <c r="F2195" s="18">
        <f t="shared" ref="F2195:F2258" si="386">INT((A2195-123)*1.333333)+563</f>
        <v>3322</v>
      </c>
      <c r="G2195" s="18"/>
      <c r="H2195" s="18"/>
      <c r="I2195" s="19">
        <v>2193</v>
      </c>
      <c r="J2195" s="19" cm="1">
        <f t="array" aca="1" ref="J2195" ca="1">INDIRECT("b"&amp;K2195+2)</f>
        <v>9.9999999999999996E+134</v>
      </c>
      <c r="K2195" s="19">
        <f t="shared" si="382"/>
        <v>4522</v>
      </c>
    </row>
    <row r="2196" spans="1:11">
      <c r="A2196">
        <v>2194</v>
      </c>
      <c r="B2196">
        <v>8.1999999999999997E+76</v>
      </c>
      <c r="D2196" s="18">
        <v>2194</v>
      </c>
      <c r="E2196" s="18" cm="1">
        <f t="array" aca="1" ref="E2196" ca="1">INDIRECT("b"&amp;F2196+2)</f>
        <v>1.4500000000000001E+105</v>
      </c>
      <c r="F2196" s="18">
        <f t="shared" si="386"/>
        <v>3324</v>
      </c>
      <c r="G2196" s="18"/>
      <c r="H2196" s="18"/>
      <c r="I2196" s="19">
        <v>2194</v>
      </c>
      <c r="J2196" s="19" cm="1">
        <f t="array" aca="1" ref="J2196" ca="1">INDIRECT("b"&amp;K2196+2)</f>
        <v>1.4499999999999999E+135</v>
      </c>
      <c r="K2196" s="19">
        <f t="shared" si="382"/>
        <v>4524</v>
      </c>
    </row>
    <row r="2197" spans="1:11">
      <c r="A2197">
        <v>2195</v>
      </c>
      <c r="B2197">
        <v>8.4250000000000002E+76</v>
      </c>
      <c r="D2197" s="18">
        <v>2195</v>
      </c>
      <c r="E2197" s="18" cm="1">
        <f t="array" aca="1" ref="E2197" ca="1">INDIRECT("b"&amp;F2197+2)</f>
        <v>1.6750000000000001E+105</v>
      </c>
      <c r="F2197" s="18">
        <f t="shared" si="386"/>
        <v>3325</v>
      </c>
      <c r="G2197" s="18"/>
      <c r="H2197" s="18"/>
      <c r="I2197" s="19">
        <v>2195</v>
      </c>
      <c r="J2197" s="19" cm="1">
        <f t="array" aca="1" ref="J2197" ca="1">INDIRECT("b"&amp;K2197+2)</f>
        <v>1.6749999999999998E+135</v>
      </c>
      <c r="K2197" s="19">
        <f t="shared" si="382"/>
        <v>4525</v>
      </c>
    </row>
    <row r="2198" spans="1:11">
      <c r="A2198">
        <v>2196</v>
      </c>
      <c r="B2198">
        <v>8.6499999999999994E+76</v>
      </c>
      <c r="D2198" s="18">
        <v>2196</v>
      </c>
      <c r="E2198" s="18" cm="1">
        <f t="array" aca="1" ref="E2198" ca="1">INDIRECT("b"&amp;F2198+2)</f>
        <v>1.9000000000000002E+105</v>
      </c>
      <c r="F2198" s="18">
        <f t="shared" si="386"/>
        <v>3326</v>
      </c>
      <c r="G2198" s="18">
        <f t="shared" ref="G2198" ca="1" si="387">E2198/E2193</f>
        <v>1.9895287958115182</v>
      </c>
      <c r="H2198" s="18"/>
      <c r="I2198" s="19">
        <v>2196</v>
      </c>
      <c r="J2198" s="19" cm="1">
        <f t="array" aca="1" ref="J2198" ca="1">INDIRECT("b"&amp;K2198+2)</f>
        <v>1.9000000000000001E+135</v>
      </c>
      <c r="K2198" s="19">
        <f t="shared" si="382"/>
        <v>4526</v>
      </c>
    </row>
    <row r="2199" spans="1:11">
      <c r="A2199">
        <v>2197</v>
      </c>
      <c r="B2199">
        <v>8.8749999999999999E+76</v>
      </c>
      <c r="D2199" s="18">
        <v>2197</v>
      </c>
      <c r="E2199" s="18" cm="1">
        <f t="array" aca="1" ref="E2199" ca="1">INDIRECT("b"&amp;F2199+2)</f>
        <v>2.35E+105</v>
      </c>
      <c r="F2199" s="18">
        <f t="shared" si="386"/>
        <v>3328</v>
      </c>
      <c r="G2199" s="18"/>
      <c r="H2199" s="18"/>
      <c r="I2199" s="19">
        <v>2197</v>
      </c>
      <c r="J2199" s="19" cm="1">
        <f t="array" aca="1" ref="J2199" ca="1">INDIRECT("b"&amp;K2199+2)</f>
        <v>2.3499999999999999E+135</v>
      </c>
      <c r="K2199" s="19">
        <f t="shared" si="382"/>
        <v>4528</v>
      </c>
    </row>
    <row r="2200" spans="1:11">
      <c r="A2200">
        <v>2198</v>
      </c>
      <c r="B2200">
        <v>9.0999999999999991E+76</v>
      </c>
      <c r="D2200" s="18">
        <v>2198</v>
      </c>
      <c r="E2200" s="18" cm="1">
        <f t="array" aca="1" ref="E2200" ca="1">INDIRECT("b"&amp;F2200+2)</f>
        <v>2.5750000000000003E+105</v>
      </c>
      <c r="F2200" s="18">
        <f t="shared" si="386"/>
        <v>3329</v>
      </c>
      <c r="G2200" s="18"/>
      <c r="H2200" s="18"/>
      <c r="I2200" s="19">
        <v>2198</v>
      </c>
      <c r="J2200" s="19" cm="1">
        <f t="array" aca="1" ref="J2200" ca="1">INDIRECT("b"&amp;K2200+2)</f>
        <v>2.5749999999999998E+135</v>
      </c>
      <c r="K2200" s="19">
        <f t="shared" si="382"/>
        <v>4529</v>
      </c>
    </row>
    <row r="2201" spans="1:11">
      <c r="A2201">
        <v>2199</v>
      </c>
      <c r="B2201">
        <v>9.3249999999999996E+76</v>
      </c>
      <c r="D2201" s="18">
        <v>2199</v>
      </c>
      <c r="E2201" s="18" cm="1">
        <f t="array" aca="1" ref="E2201" ca="1">INDIRECT("b"&amp;F2201+2)</f>
        <v>2.8000000000000001E+105</v>
      </c>
      <c r="F2201" s="18">
        <f t="shared" si="386"/>
        <v>3330</v>
      </c>
      <c r="G2201" s="18"/>
      <c r="H2201" s="18"/>
      <c r="I2201" s="19">
        <v>2199</v>
      </c>
      <c r="J2201" s="19" cm="1">
        <f t="array" aca="1" ref="J2201" ca="1">INDIRECT("b"&amp;K2201+2)</f>
        <v>2.8E+135</v>
      </c>
      <c r="K2201" s="19">
        <f t="shared" si="382"/>
        <v>4530</v>
      </c>
    </row>
    <row r="2202" spans="1:11">
      <c r="A2202">
        <v>2200</v>
      </c>
      <c r="B2202">
        <v>9.5500000000000001E+76</v>
      </c>
      <c r="D2202" s="18">
        <v>2200</v>
      </c>
      <c r="E2202" s="18" cm="1">
        <f t="array" aca="1" ref="E2202" ca="1">INDIRECT("b"&amp;F2202+2)</f>
        <v>3.2500000000000002E+105</v>
      </c>
      <c r="F2202" s="18">
        <f t="shared" si="386"/>
        <v>3332</v>
      </c>
      <c r="G2202" s="18"/>
      <c r="H2202" s="18"/>
      <c r="I2202" s="19">
        <v>2200</v>
      </c>
      <c r="J2202" s="19" cm="1">
        <f t="array" aca="1" ref="J2202" ca="1">INDIRECT("b"&amp;K2202+2)</f>
        <v>3.2500000000000002E+135</v>
      </c>
      <c r="K2202" s="19">
        <f t="shared" si="382"/>
        <v>4532</v>
      </c>
    </row>
    <row r="2203" spans="1:11">
      <c r="A2203">
        <v>2201</v>
      </c>
      <c r="B2203">
        <v>9.7749999999999993E+76</v>
      </c>
      <c r="D2203" s="18">
        <v>2201</v>
      </c>
      <c r="E2203" s="18" cm="1">
        <f t="array" aca="1" ref="E2203" ca="1">INDIRECT("b"&amp;F2203+2)</f>
        <v>3.475E+105</v>
      </c>
      <c r="F2203" s="18">
        <f t="shared" si="386"/>
        <v>3333</v>
      </c>
      <c r="G2203" s="18">
        <f t="shared" ref="G2203" ca="1" si="388">E2203/E2198</f>
        <v>1.8289473684210524</v>
      </c>
      <c r="H2203" s="18"/>
      <c r="I2203" s="19">
        <v>2201</v>
      </c>
      <c r="J2203" s="19" cm="1">
        <f t="array" aca="1" ref="J2203" ca="1">INDIRECT("b"&amp;K2203+2)</f>
        <v>3.4749999999999997E+135</v>
      </c>
      <c r="K2203" s="19">
        <f t="shared" si="382"/>
        <v>4533</v>
      </c>
    </row>
    <row r="2204" spans="1:11">
      <c r="A2204">
        <v>2202</v>
      </c>
      <c r="B2204">
        <v>1.0000000000000001E+77</v>
      </c>
      <c r="D2204" s="18">
        <v>2202</v>
      </c>
      <c r="E2204" s="18" cm="1">
        <f t="array" aca="1" ref="E2204" ca="1">INDIRECT("b"&amp;F2204+2)</f>
        <v>3.7000000000000004E+105</v>
      </c>
      <c r="F2204" s="18">
        <f t="shared" si="386"/>
        <v>3334</v>
      </c>
      <c r="G2204" s="18"/>
      <c r="H2204" s="18"/>
      <c r="I2204" s="19">
        <v>2202</v>
      </c>
      <c r="J2204" s="19" cm="1">
        <f t="array" aca="1" ref="J2204" ca="1">INDIRECT("b"&amp;K2204+2)</f>
        <v>3.7E+135</v>
      </c>
      <c r="K2204" s="19">
        <f t="shared" si="382"/>
        <v>4534</v>
      </c>
    </row>
    <row r="2205" spans="1:11">
      <c r="A2205">
        <v>2203</v>
      </c>
      <c r="B2205">
        <v>1.2250000000000001E+77</v>
      </c>
      <c r="D2205" s="18">
        <v>2203</v>
      </c>
      <c r="E2205" s="18" cm="1">
        <f t="array" aca="1" ref="E2205" ca="1">INDIRECT("b"&amp;F2205+2)</f>
        <v>4.1500000000000005E+105</v>
      </c>
      <c r="F2205" s="18">
        <f t="shared" si="386"/>
        <v>3336</v>
      </c>
      <c r="G2205" s="18"/>
      <c r="H2205" s="18"/>
      <c r="I2205" s="19">
        <v>2203</v>
      </c>
      <c r="J2205" s="19" cm="1">
        <f t="array" aca="1" ref="J2205" ca="1">INDIRECT("b"&amp;K2205+2)</f>
        <v>4.1499999999999998E+135</v>
      </c>
      <c r="K2205" s="19">
        <f t="shared" si="382"/>
        <v>4536</v>
      </c>
    </row>
    <row r="2206" spans="1:11">
      <c r="A2206">
        <v>2204</v>
      </c>
      <c r="B2206">
        <v>1.4500000000000001E+77</v>
      </c>
      <c r="D2206" s="18">
        <v>2204</v>
      </c>
      <c r="E2206" s="18" cm="1">
        <f t="array" aca="1" ref="E2206" ca="1">INDIRECT("b"&amp;F2206+2)</f>
        <v>4.3750000000000003E+105</v>
      </c>
      <c r="F2206" s="18">
        <f t="shared" si="386"/>
        <v>3337</v>
      </c>
      <c r="G2206" s="18"/>
      <c r="H2206" s="18"/>
      <c r="I2206" s="19">
        <v>2204</v>
      </c>
      <c r="J2206" s="19" cm="1">
        <f t="array" aca="1" ref="J2206" ca="1">INDIRECT("b"&amp;K2206+2)</f>
        <v>4.375E+135</v>
      </c>
      <c r="K2206" s="19">
        <f t="shared" si="382"/>
        <v>4537</v>
      </c>
    </row>
    <row r="2207" spans="1:11">
      <c r="A2207">
        <v>2205</v>
      </c>
      <c r="B2207">
        <v>1.6750000000000001E+77</v>
      </c>
      <c r="D2207" s="18">
        <v>2205</v>
      </c>
      <c r="E2207" s="18" cm="1">
        <f t="array" aca="1" ref="E2207" ca="1">INDIRECT("b"&amp;F2207+2)</f>
        <v>4.6000000000000006E+105</v>
      </c>
      <c r="F2207" s="18">
        <f t="shared" si="386"/>
        <v>3338</v>
      </c>
      <c r="G2207" s="18"/>
      <c r="H2207" s="18"/>
      <c r="I2207" s="19">
        <v>2205</v>
      </c>
      <c r="J2207" s="19" cm="1">
        <f t="array" aca="1" ref="J2207" ca="1">INDIRECT("b"&amp;K2207+2)</f>
        <v>4.5999999999999996E+135</v>
      </c>
      <c r="K2207" s="19">
        <f t="shared" si="382"/>
        <v>4538</v>
      </c>
    </row>
    <row r="2208" spans="1:11">
      <c r="A2208">
        <v>2206</v>
      </c>
      <c r="B2208">
        <v>1.9000000000000001E+77</v>
      </c>
      <c r="D2208" s="18">
        <v>2206</v>
      </c>
      <c r="E2208" s="18" cm="1">
        <f t="array" aca="1" ref="E2208" ca="1">INDIRECT("b"&amp;F2208+2)</f>
        <v>5.0500000000000002E+105</v>
      </c>
      <c r="F2208" s="18">
        <f t="shared" si="386"/>
        <v>3340</v>
      </c>
      <c r="G2208" s="18">
        <f t="shared" ref="G2208" ca="1" si="389">E2208/E2203</f>
        <v>1.4532374100719425</v>
      </c>
      <c r="H2208" s="18"/>
      <c r="I2208" s="19">
        <v>2206</v>
      </c>
      <c r="J2208" s="19" cm="1">
        <f t="array" aca="1" ref="J2208" ca="1">INDIRECT("b"&amp;K2208+2)</f>
        <v>5.0500000000000001E+135</v>
      </c>
      <c r="K2208" s="19">
        <f t="shared" si="382"/>
        <v>4540</v>
      </c>
    </row>
    <row r="2209" spans="1:11">
      <c r="A2209">
        <v>2207</v>
      </c>
      <c r="B2209">
        <v>2.125E+77</v>
      </c>
      <c r="D2209" s="18">
        <v>2207</v>
      </c>
      <c r="E2209" s="18" cm="1">
        <f t="array" aca="1" ref="E2209" ca="1">INDIRECT("b"&amp;F2209+2)</f>
        <v>5.2750000000000005E+105</v>
      </c>
      <c r="F2209" s="18">
        <f t="shared" si="386"/>
        <v>3341</v>
      </c>
      <c r="G2209" s="18"/>
      <c r="H2209" s="18"/>
      <c r="I2209" s="19">
        <v>2207</v>
      </c>
      <c r="J2209" s="19" cm="1">
        <f t="array" aca="1" ref="J2209" ca="1">INDIRECT("b"&amp;K2209+2)</f>
        <v>5.2749999999999996E+135</v>
      </c>
      <c r="K2209" s="19">
        <f t="shared" si="382"/>
        <v>4541</v>
      </c>
    </row>
    <row r="2210" spans="1:11">
      <c r="A2210">
        <v>2208</v>
      </c>
      <c r="B2210">
        <v>2.35E+77</v>
      </c>
      <c r="D2210" s="18">
        <v>2208</v>
      </c>
      <c r="E2210" s="18" cm="1">
        <f t="array" aca="1" ref="E2210" ca="1">INDIRECT("b"&amp;F2210+2)</f>
        <v>5.5000000000000008E+105</v>
      </c>
      <c r="F2210" s="18">
        <f t="shared" si="386"/>
        <v>3342</v>
      </c>
      <c r="G2210" s="18">
        <f t="shared" ref="G2210" ca="1" si="390">E2210/E2205</f>
        <v>1.3253012048192772</v>
      </c>
      <c r="H2210" s="18"/>
      <c r="I2210" s="19">
        <v>2208</v>
      </c>
      <c r="J2210" s="19" cm="1">
        <f t="array" aca="1" ref="J2210" ca="1">INDIRECT("b"&amp;K2210+2)</f>
        <v>5.4999999999999999E+135</v>
      </c>
      <c r="K2210" s="19">
        <f t="shared" si="382"/>
        <v>4542</v>
      </c>
    </row>
    <row r="2211" spans="1:11">
      <c r="A2211">
        <v>2209</v>
      </c>
      <c r="B2211">
        <v>2.5750000000000003E+77</v>
      </c>
      <c r="D2211" s="18">
        <v>2209</v>
      </c>
      <c r="E2211" s="18" cm="1">
        <f t="array" aca="1" ref="E2211" ca="1">INDIRECT("b"&amp;F2211+2)</f>
        <v>5.9500000000000004E+105</v>
      </c>
      <c r="F2211" s="18">
        <f t="shared" si="386"/>
        <v>3344</v>
      </c>
      <c r="G2211" s="18"/>
      <c r="H2211" s="18"/>
      <c r="I2211" s="19">
        <v>2209</v>
      </c>
      <c r="J2211" s="19" cm="1">
        <f t="array" aca="1" ref="J2211" ca="1">INDIRECT("b"&amp;K2211+2)</f>
        <v>5.9500000000000003E+135</v>
      </c>
      <c r="K2211" s="19">
        <f t="shared" si="382"/>
        <v>4544</v>
      </c>
    </row>
    <row r="2212" spans="1:11">
      <c r="A2212">
        <v>2210</v>
      </c>
      <c r="B2212">
        <v>2.8E+77</v>
      </c>
      <c r="D2212" s="18">
        <v>2210</v>
      </c>
      <c r="E2212" s="18" cm="1">
        <f t="array" aca="1" ref="E2212" ca="1">INDIRECT("b"&amp;F2212+2)</f>
        <v>6.1750000000000007E+105</v>
      </c>
      <c r="F2212" s="18">
        <f t="shared" si="386"/>
        <v>3345</v>
      </c>
      <c r="G2212" s="18"/>
      <c r="H2212" s="18"/>
      <c r="I2212" s="19">
        <v>2210</v>
      </c>
      <c r="J2212" s="19" cm="1">
        <f t="array" aca="1" ref="J2212" ca="1">INDIRECT("b"&amp;K2212+2)</f>
        <v>6.1749999999999999E+135</v>
      </c>
      <c r="K2212" s="19">
        <f t="shared" si="382"/>
        <v>4545</v>
      </c>
    </row>
    <row r="2213" spans="1:11">
      <c r="A2213">
        <v>2211</v>
      </c>
      <c r="B2213">
        <v>3.0250000000000002E+77</v>
      </c>
      <c r="D2213" s="18">
        <v>2211</v>
      </c>
      <c r="E2213" s="18" cm="1">
        <f t="array" aca="1" ref="E2213" ca="1">INDIRECT("b"&amp;F2213+2)</f>
        <v>6.4E+105</v>
      </c>
      <c r="F2213" s="18">
        <f t="shared" si="386"/>
        <v>3346</v>
      </c>
      <c r="G2213" s="18"/>
      <c r="H2213" s="18"/>
      <c r="I2213" s="19">
        <v>2211</v>
      </c>
      <c r="J2213" s="19" cm="1">
        <f t="array" aca="1" ref="J2213" ca="1">INDIRECT("b"&amp;K2213+2)</f>
        <v>6.3999999999999995E+135</v>
      </c>
      <c r="K2213" s="19">
        <f t="shared" si="382"/>
        <v>4546</v>
      </c>
    </row>
    <row r="2214" spans="1:11">
      <c r="A2214">
        <v>2212</v>
      </c>
      <c r="B2214">
        <v>3.2500000000000005E+77</v>
      </c>
      <c r="D2214" s="18">
        <v>2212</v>
      </c>
      <c r="E2214" s="18" cm="1">
        <f t="array" aca="1" ref="E2214" ca="1">INDIRECT("b"&amp;F2214+2)</f>
        <v>6.8500000000000006E+105</v>
      </c>
      <c r="F2214" s="18">
        <f t="shared" si="386"/>
        <v>3348</v>
      </c>
      <c r="G2214" s="18"/>
      <c r="H2214" s="18"/>
      <c r="I2214" s="19">
        <v>2212</v>
      </c>
      <c r="J2214" s="19" cm="1">
        <f t="array" aca="1" ref="J2214" ca="1">INDIRECT("b"&amp;K2214+2)</f>
        <v>6.85E+135</v>
      </c>
      <c r="K2214" s="19">
        <f t="shared" si="382"/>
        <v>4548</v>
      </c>
    </row>
    <row r="2215" spans="1:11">
      <c r="A2215">
        <v>2213</v>
      </c>
      <c r="B2215">
        <v>3.4750000000000002E+77</v>
      </c>
      <c r="D2215" s="18">
        <v>2213</v>
      </c>
      <c r="E2215" s="18" cm="1">
        <f t="array" aca="1" ref="E2215" ca="1">INDIRECT("b"&amp;F2215+2)</f>
        <v>7.0750000000000009E+105</v>
      </c>
      <c r="F2215" s="18">
        <f t="shared" si="386"/>
        <v>3349</v>
      </c>
      <c r="G2215" s="18">
        <f t="shared" ref="G2215" ca="1" si="391">E2215/E2210</f>
        <v>1.2863636363636364</v>
      </c>
      <c r="H2215" s="18"/>
      <c r="I2215" s="19">
        <v>2213</v>
      </c>
      <c r="J2215" s="19" cm="1">
        <f t="array" aca="1" ref="J2215" ca="1">INDIRECT("b"&amp;K2215+2)</f>
        <v>7.0749999999999995E+135</v>
      </c>
      <c r="K2215" s="19">
        <f t="shared" si="382"/>
        <v>4549</v>
      </c>
    </row>
    <row r="2216" spans="1:11">
      <c r="A2216">
        <v>2214</v>
      </c>
      <c r="B2216">
        <v>3.7000000000000005E+77</v>
      </c>
      <c r="D2216" s="18">
        <v>2214</v>
      </c>
      <c r="E2216" s="18" cm="1">
        <f t="array" aca="1" ref="E2216" ca="1">INDIRECT("b"&amp;F2216+2)</f>
        <v>7.3000000000000002E+105</v>
      </c>
      <c r="F2216" s="18">
        <f t="shared" si="386"/>
        <v>3350</v>
      </c>
      <c r="G2216" s="18"/>
      <c r="H2216" s="18"/>
      <c r="I2216" s="19">
        <v>2214</v>
      </c>
      <c r="J2216" s="19" cm="1">
        <f t="array" aca="1" ref="J2216" ca="1">INDIRECT("b"&amp;K2216+2)</f>
        <v>7.2999999999999991E+135</v>
      </c>
      <c r="K2216" s="19">
        <f t="shared" si="382"/>
        <v>4550</v>
      </c>
    </row>
    <row r="2217" spans="1:11">
      <c r="A2217">
        <v>2215</v>
      </c>
      <c r="B2217">
        <v>3.9250000000000002E+77</v>
      </c>
      <c r="D2217" s="18">
        <v>2215</v>
      </c>
      <c r="E2217" s="18" cm="1">
        <f t="array" aca="1" ref="E2217" ca="1">INDIRECT("b"&amp;F2217+2)</f>
        <v>7.7500000000000009E+105</v>
      </c>
      <c r="F2217" s="18">
        <f t="shared" si="386"/>
        <v>3352</v>
      </c>
      <c r="G2217" s="18"/>
      <c r="H2217" s="18"/>
      <c r="I2217" s="19">
        <v>2215</v>
      </c>
      <c r="J2217" s="19" cm="1">
        <f t="array" aca="1" ref="J2217" ca="1">INDIRECT("b"&amp;K2217+2)</f>
        <v>7.7499999999999996E+135</v>
      </c>
      <c r="K2217" s="19">
        <f t="shared" si="382"/>
        <v>4552</v>
      </c>
    </row>
    <row r="2218" spans="1:11">
      <c r="A2218">
        <v>2216</v>
      </c>
      <c r="B2218">
        <v>4.1500000000000004E+77</v>
      </c>
      <c r="D2218" s="18">
        <v>2216</v>
      </c>
      <c r="E2218" s="18" cm="1">
        <f t="array" aca="1" ref="E2218" ca="1">INDIRECT("b"&amp;F2218+2)</f>
        <v>7.9750000000000002E+105</v>
      </c>
      <c r="F2218" s="18">
        <f t="shared" si="386"/>
        <v>3353</v>
      </c>
      <c r="G2218" s="18"/>
      <c r="H2218" s="18"/>
      <c r="I2218" s="19">
        <v>2216</v>
      </c>
      <c r="J2218" s="19" cm="1">
        <f t="array" aca="1" ref="J2218" ca="1">INDIRECT("b"&amp;K2218+2)</f>
        <v>7.9749999999999992E+135</v>
      </c>
      <c r="K2218" s="19">
        <f t="shared" si="382"/>
        <v>4553</v>
      </c>
    </row>
    <row r="2219" spans="1:11">
      <c r="A2219">
        <v>2217</v>
      </c>
      <c r="B2219">
        <v>4.3750000000000002E+77</v>
      </c>
      <c r="D2219" s="18">
        <v>2217</v>
      </c>
      <c r="E2219" s="18" cm="1">
        <f t="array" aca="1" ref="E2219" ca="1">INDIRECT("b"&amp;F2219+2)</f>
        <v>8.2000000000000005E+105</v>
      </c>
      <c r="F2219" s="18">
        <f t="shared" si="386"/>
        <v>3354</v>
      </c>
      <c r="G2219" s="18"/>
      <c r="H2219" s="18"/>
      <c r="I2219" s="19">
        <v>2217</v>
      </c>
      <c r="J2219" s="19" cm="1">
        <f t="array" aca="1" ref="J2219" ca="1">INDIRECT("b"&amp;K2219+2)</f>
        <v>8.2E+135</v>
      </c>
      <c r="K2219" s="19">
        <f t="shared" si="382"/>
        <v>4554</v>
      </c>
    </row>
    <row r="2220" spans="1:11">
      <c r="A2220">
        <v>2218</v>
      </c>
      <c r="B2220">
        <v>4.6000000000000004E+77</v>
      </c>
      <c r="D2220" s="18">
        <v>2218</v>
      </c>
      <c r="E2220" s="18" cm="1">
        <f t="array" aca="1" ref="E2220" ca="1">INDIRECT("b"&amp;F2220+2)</f>
        <v>8.6500000000000011E+105</v>
      </c>
      <c r="F2220" s="18">
        <f t="shared" si="386"/>
        <v>3356</v>
      </c>
      <c r="G2220" s="18">
        <f t="shared" ref="G2220" ca="1" si="392">E2220/E2215</f>
        <v>1.2226148409893993</v>
      </c>
      <c r="H2220" s="18"/>
      <c r="I2220" s="19">
        <v>2218</v>
      </c>
      <c r="J2220" s="19" cm="1">
        <f t="array" aca="1" ref="J2220" ca="1">INDIRECT("b"&amp;K2220+2)</f>
        <v>8.6499999999999992E+135</v>
      </c>
      <c r="K2220" s="19">
        <f t="shared" si="382"/>
        <v>4556</v>
      </c>
    </row>
    <row r="2221" spans="1:11">
      <c r="A2221">
        <v>2219</v>
      </c>
      <c r="B2221">
        <v>4.8250000000000007E+77</v>
      </c>
      <c r="D2221" s="18">
        <v>2219</v>
      </c>
      <c r="E2221" s="18" cm="1">
        <f t="array" aca="1" ref="E2221" ca="1">INDIRECT("b"&amp;F2221+2)</f>
        <v>8.8750000000000004E+105</v>
      </c>
      <c r="F2221" s="18">
        <f t="shared" si="386"/>
        <v>3357</v>
      </c>
      <c r="G2221" s="18"/>
      <c r="H2221" s="18"/>
      <c r="I2221" s="19">
        <v>2219</v>
      </c>
      <c r="J2221" s="19" cm="1">
        <f t="array" aca="1" ref="J2221" ca="1">INDIRECT("b"&amp;K2221+2)</f>
        <v>8.8750000000000001E+135</v>
      </c>
      <c r="K2221" s="19">
        <f t="shared" si="382"/>
        <v>4557</v>
      </c>
    </row>
    <row r="2222" spans="1:11">
      <c r="A2222">
        <v>2220</v>
      </c>
      <c r="B2222">
        <v>5.0499999999999999E+77</v>
      </c>
      <c r="D2222" s="18">
        <v>2220</v>
      </c>
      <c r="E2222" s="18" cm="1">
        <f t="array" aca="1" ref="E2222" ca="1">INDIRECT("b"&amp;F2222+2)</f>
        <v>9.1000000000000007E+105</v>
      </c>
      <c r="F2222" s="18">
        <f t="shared" si="386"/>
        <v>3358</v>
      </c>
      <c r="G2222" s="18"/>
      <c r="H2222" s="18"/>
      <c r="I2222" s="19">
        <v>2220</v>
      </c>
      <c r="J2222" s="19" cm="1">
        <f t="array" aca="1" ref="J2222" ca="1">INDIRECT("b"&amp;K2222+2)</f>
        <v>9.0999999999999997E+135</v>
      </c>
      <c r="K2222" s="19">
        <f t="shared" si="382"/>
        <v>4558</v>
      </c>
    </row>
    <row r="2223" spans="1:11">
      <c r="A2223">
        <v>2221</v>
      </c>
      <c r="B2223">
        <v>5.2750000000000001E+77</v>
      </c>
      <c r="D2223" s="18">
        <v>2221</v>
      </c>
      <c r="E2223" s="18" cm="1">
        <f t="array" aca="1" ref="E2223" ca="1">INDIRECT("b"&amp;F2223+2)</f>
        <v>9.5500000000000003E+105</v>
      </c>
      <c r="F2223" s="18">
        <f t="shared" si="386"/>
        <v>3360</v>
      </c>
      <c r="G2223" s="18"/>
      <c r="H2223" s="18"/>
      <c r="I2223" s="19">
        <v>2221</v>
      </c>
      <c r="J2223" s="19" cm="1">
        <f t="array" aca="1" ref="J2223" ca="1">INDIRECT("b"&amp;K2223+2)</f>
        <v>9.5500000000000001E+135</v>
      </c>
      <c r="K2223" s="19">
        <f t="shared" si="382"/>
        <v>4560</v>
      </c>
    </row>
    <row r="2224" spans="1:11">
      <c r="A2224">
        <v>2222</v>
      </c>
      <c r="B2224">
        <v>5.5000000000000004E+77</v>
      </c>
      <c r="D2224" s="18">
        <v>2222</v>
      </c>
      <c r="E2224" s="18" cm="1">
        <f t="array" aca="1" ref="E2224" ca="1">INDIRECT("b"&amp;F2224+2)</f>
        <v>9.7750000000000006E+105</v>
      </c>
      <c r="F2224" s="18">
        <f t="shared" si="386"/>
        <v>3361</v>
      </c>
      <c r="G2224" s="18"/>
      <c r="H2224" s="18"/>
      <c r="I2224" s="19">
        <v>2222</v>
      </c>
      <c r="J2224" s="19" cm="1">
        <f t="array" aca="1" ref="J2224" ca="1">INDIRECT("b"&amp;K2224+2)</f>
        <v>9.7749999999999997E+135</v>
      </c>
      <c r="K2224" s="19">
        <f t="shared" si="382"/>
        <v>4561</v>
      </c>
    </row>
    <row r="2225" spans="1:11">
      <c r="A2225">
        <v>2223</v>
      </c>
      <c r="B2225">
        <v>5.7250000000000006E+77</v>
      </c>
      <c r="D2225" s="18">
        <v>2223</v>
      </c>
      <c r="E2225" s="18" cm="1">
        <f t="array" aca="1" ref="E2225" ca="1">INDIRECT("b"&amp;F2225+2)</f>
        <v>1.0000000000000001E+106</v>
      </c>
      <c r="F2225" s="18">
        <f t="shared" si="386"/>
        <v>3362</v>
      </c>
      <c r="G2225" s="18">
        <f t="shared" ref="G2225" ca="1" si="393">E2225/E2220</f>
        <v>1.1560693641618496</v>
      </c>
      <c r="H2225" s="18"/>
      <c r="I2225" s="19">
        <v>2223</v>
      </c>
      <c r="J2225" s="19" cm="1">
        <f t="array" aca="1" ref="J2225" ca="1">INDIRECT("b"&amp;K2225+2)</f>
        <v>1.0000000000000001E+136</v>
      </c>
      <c r="K2225" s="19">
        <f t="shared" si="382"/>
        <v>4562</v>
      </c>
    </row>
    <row r="2226" spans="1:11">
      <c r="A2226">
        <v>2224</v>
      </c>
      <c r="B2226">
        <v>5.9500000000000008E+77</v>
      </c>
      <c r="D2226" s="18">
        <v>2224</v>
      </c>
      <c r="E2226" s="18" cm="1">
        <f t="array" aca="1" ref="E2226" ca="1">INDIRECT("b"&amp;F2226+2)</f>
        <v>1.4499999999999999E+106</v>
      </c>
      <c r="F2226" s="18">
        <f t="shared" si="386"/>
        <v>3364</v>
      </c>
      <c r="G2226" s="18"/>
      <c r="H2226" s="18"/>
      <c r="I2226" s="19">
        <v>2224</v>
      </c>
      <c r="J2226" s="19" cm="1">
        <f t="array" aca="1" ref="J2226" ca="1">INDIRECT("b"&amp;K2226+2)</f>
        <v>1.4500000000000001E+136</v>
      </c>
      <c r="K2226" s="19">
        <f t="shared" si="382"/>
        <v>4564</v>
      </c>
    </row>
    <row r="2227" spans="1:11">
      <c r="A2227">
        <v>2225</v>
      </c>
      <c r="B2227">
        <v>6.1750000000000001E+77</v>
      </c>
      <c r="D2227" s="18">
        <v>2225</v>
      </c>
      <c r="E2227" s="18" cm="1">
        <f t="array" aca="1" ref="E2227" ca="1">INDIRECT("b"&amp;F2227+2)</f>
        <v>1.675E+106</v>
      </c>
      <c r="F2227" s="18">
        <f t="shared" si="386"/>
        <v>3365</v>
      </c>
      <c r="G2227" s="18"/>
      <c r="H2227" s="18"/>
      <c r="I2227" s="19">
        <v>2225</v>
      </c>
      <c r="J2227" s="19" cm="1">
        <f t="array" aca="1" ref="J2227" ca="1">INDIRECT("b"&amp;K2227+2)</f>
        <v>1.6750000000000002E+136</v>
      </c>
      <c r="K2227" s="19">
        <f t="shared" si="382"/>
        <v>4565</v>
      </c>
    </row>
    <row r="2228" spans="1:11">
      <c r="A2228">
        <v>2226</v>
      </c>
      <c r="B2228">
        <v>6.4000000000000003E+77</v>
      </c>
      <c r="D2228" s="18">
        <v>2226</v>
      </c>
      <c r="E2228" s="18" cm="1">
        <f t="array" aca="1" ref="E2228" ca="1">INDIRECT("b"&amp;F2228+2)</f>
        <v>1.8999999999999999E+106</v>
      </c>
      <c r="F2228" s="18">
        <f t="shared" si="386"/>
        <v>3366</v>
      </c>
      <c r="G2228" s="18"/>
      <c r="H2228" s="18"/>
      <c r="I2228" s="19">
        <v>2226</v>
      </c>
      <c r="J2228" s="19" cm="1">
        <f t="array" aca="1" ref="J2228" ca="1">INDIRECT("b"&amp;K2228+2)</f>
        <v>1.9000000000000001E+136</v>
      </c>
      <c r="K2228" s="19">
        <f t="shared" si="382"/>
        <v>4566</v>
      </c>
    </row>
    <row r="2229" spans="1:11">
      <c r="A2229">
        <v>2227</v>
      </c>
      <c r="B2229">
        <v>6.6250000000000005E+77</v>
      </c>
      <c r="D2229" s="18">
        <v>2227</v>
      </c>
      <c r="E2229" s="18" cm="1">
        <f t="array" aca="1" ref="E2229" ca="1">INDIRECT("b"&amp;F2229+2)</f>
        <v>2.3500000000000001E+106</v>
      </c>
      <c r="F2229" s="18">
        <f t="shared" si="386"/>
        <v>3368</v>
      </c>
      <c r="G2229" s="18"/>
      <c r="H2229" s="18"/>
      <c r="I2229" s="19">
        <v>2227</v>
      </c>
      <c r="J2229" s="19" cm="1">
        <f t="array" aca="1" ref="J2229" ca="1">INDIRECT("b"&amp;K2229+2)</f>
        <v>2.35E+136</v>
      </c>
      <c r="K2229" s="19">
        <f t="shared" si="382"/>
        <v>4568</v>
      </c>
    </row>
    <row r="2230" spans="1:11">
      <c r="A2230">
        <v>2228</v>
      </c>
      <c r="B2230">
        <v>6.8500000000000008E+77</v>
      </c>
      <c r="D2230" s="18">
        <v>2228</v>
      </c>
      <c r="E2230" s="18" cm="1">
        <f t="array" aca="1" ref="E2230" ca="1">INDIRECT("b"&amp;F2230+2)</f>
        <v>2.575E+106</v>
      </c>
      <c r="F2230" s="18">
        <f t="shared" si="386"/>
        <v>3369</v>
      </c>
      <c r="G2230" s="18">
        <f t="shared" ref="G2230" ca="1" si="394">E2230/E2225</f>
        <v>2.5749999999999997</v>
      </c>
      <c r="H2230" s="18"/>
      <c r="I2230" s="19">
        <v>2228</v>
      </c>
      <c r="J2230" s="19" cm="1">
        <f t="array" aca="1" ref="J2230" ca="1">INDIRECT("b"&amp;K2230+2)</f>
        <v>2.5750000000000004E+136</v>
      </c>
      <c r="K2230" s="19">
        <f t="shared" si="382"/>
        <v>4569</v>
      </c>
    </row>
    <row r="2231" spans="1:11">
      <c r="A2231">
        <v>2229</v>
      </c>
      <c r="B2231">
        <v>7.075E+77</v>
      </c>
      <c r="D2231" s="18">
        <v>2229</v>
      </c>
      <c r="E2231" s="18" cm="1">
        <f t="array" aca="1" ref="E2231" ca="1">INDIRECT("b"&amp;F2231+2)</f>
        <v>2.7999999999999999E+106</v>
      </c>
      <c r="F2231" s="18">
        <f t="shared" si="386"/>
        <v>3370</v>
      </c>
      <c r="G2231" s="18"/>
      <c r="H2231" s="18"/>
      <c r="I2231" s="19">
        <v>2229</v>
      </c>
      <c r="J2231" s="19" cm="1">
        <f t="array" aca="1" ref="J2231" ca="1">INDIRECT("b"&amp;K2231+2)</f>
        <v>2.8000000000000002E+136</v>
      </c>
      <c r="K2231" s="19">
        <f t="shared" si="382"/>
        <v>4570</v>
      </c>
    </row>
    <row r="2232" spans="1:11">
      <c r="A2232">
        <v>2230</v>
      </c>
      <c r="B2232">
        <v>7.3000000000000002E+77</v>
      </c>
      <c r="D2232" s="18">
        <v>2230</v>
      </c>
      <c r="E2232" s="18" cm="1">
        <f t="array" aca="1" ref="E2232" ca="1">INDIRECT("b"&amp;F2232+2)</f>
        <v>3.2500000000000001E+106</v>
      </c>
      <c r="F2232" s="18">
        <f t="shared" si="386"/>
        <v>3372</v>
      </c>
      <c r="G2232" s="18"/>
      <c r="H2232" s="18"/>
      <c r="I2232" s="19">
        <v>2230</v>
      </c>
      <c r="J2232" s="19" cm="1">
        <f t="array" aca="1" ref="J2232" ca="1">INDIRECT("b"&amp;K2232+2)</f>
        <v>3.2500000000000004E+136</v>
      </c>
      <c r="K2232" s="19">
        <f t="shared" si="382"/>
        <v>4572</v>
      </c>
    </row>
    <row r="2233" spans="1:11">
      <c r="A2233">
        <v>2231</v>
      </c>
      <c r="B2233">
        <v>7.5250000000000005E+77</v>
      </c>
      <c r="D2233" s="18">
        <v>2231</v>
      </c>
      <c r="E2233" s="18" cm="1">
        <f t="array" aca="1" ref="E2233" ca="1">INDIRECT("b"&amp;F2233+2)</f>
        <v>3.475E+106</v>
      </c>
      <c r="F2233" s="18">
        <f t="shared" si="386"/>
        <v>3373</v>
      </c>
      <c r="G2233" s="18"/>
      <c r="H2233" s="18"/>
      <c r="I2233" s="19">
        <v>2231</v>
      </c>
      <c r="J2233" s="19" cm="1">
        <f t="array" aca="1" ref="J2233" ca="1">INDIRECT("b"&amp;K2233+2)</f>
        <v>3.4750000000000003E+136</v>
      </c>
      <c r="K2233" s="19">
        <f t="shared" si="382"/>
        <v>4573</v>
      </c>
    </row>
    <row r="2234" spans="1:11">
      <c r="A2234">
        <v>2232</v>
      </c>
      <c r="B2234">
        <v>7.7500000000000007E+77</v>
      </c>
      <c r="D2234" s="18">
        <v>2232</v>
      </c>
      <c r="E2234" s="18" cm="1">
        <f t="array" aca="1" ref="E2234" ca="1">INDIRECT("b"&amp;F2234+2)</f>
        <v>3.6999999999999999E+106</v>
      </c>
      <c r="F2234" s="18">
        <f t="shared" si="386"/>
        <v>3374</v>
      </c>
      <c r="G2234" s="18"/>
      <c r="H2234" s="18"/>
      <c r="I2234" s="19">
        <v>2232</v>
      </c>
      <c r="J2234" s="19" cm="1">
        <f t="array" aca="1" ref="J2234" ca="1">INDIRECT("b"&amp;K2234+2)</f>
        <v>3.7000000000000001E+136</v>
      </c>
      <c r="K2234" s="19">
        <f t="shared" si="382"/>
        <v>4574</v>
      </c>
    </row>
    <row r="2235" spans="1:11">
      <c r="A2235">
        <v>2233</v>
      </c>
      <c r="B2235">
        <v>7.975000000000001E+77</v>
      </c>
      <c r="D2235" s="18">
        <v>2233</v>
      </c>
      <c r="E2235" s="18" cm="1">
        <f t="array" aca="1" ref="E2235" ca="1">INDIRECT("b"&amp;F2235+2)</f>
        <v>4.1499999999999998E+106</v>
      </c>
      <c r="F2235" s="18">
        <f t="shared" si="386"/>
        <v>3376</v>
      </c>
      <c r="G2235" s="18">
        <f t="shared" ref="G2235" ca="1" si="395">E2235/E2230</f>
        <v>1.6116504854368932</v>
      </c>
      <c r="H2235" s="18"/>
      <c r="I2235" s="19">
        <v>2233</v>
      </c>
      <c r="J2235" s="19" cm="1">
        <f t="array" aca="1" ref="J2235" ca="1">INDIRECT("b"&amp;K2235+2)</f>
        <v>4.1500000000000003E+136</v>
      </c>
      <c r="K2235" s="19">
        <f t="shared" si="382"/>
        <v>4576</v>
      </c>
    </row>
    <row r="2236" spans="1:11">
      <c r="A2236">
        <v>2234</v>
      </c>
      <c r="B2236">
        <v>8.2000000000000002E+77</v>
      </c>
      <c r="D2236" s="18">
        <v>2234</v>
      </c>
      <c r="E2236" s="18" cm="1">
        <f t="array" aca="1" ref="E2236" ca="1">INDIRECT("b"&amp;F2236+2)</f>
        <v>4.3749999999999997E+106</v>
      </c>
      <c r="F2236" s="18">
        <f t="shared" si="386"/>
        <v>3377</v>
      </c>
      <c r="G2236" s="18"/>
      <c r="H2236" s="18"/>
      <c r="I2236" s="19">
        <v>2234</v>
      </c>
      <c r="J2236" s="19" cm="1">
        <f t="array" aca="1" ref="J2236" ca="1">INDIRECT("b"&amp;K2236+2)</f>
        <v>4.3750000000000001E+136</v>
      </c>
      <c r="K2236" s="19">
        <f t="shared" si="382"/>
        <v>4577</v>
      </c>
    </row>
    <row r="2237" spans="1:11">
      <c r="A2237">
        <v>2235</v>
      </c>
      <c r="B2237">
        <v>8.4250000000000004E+77</v>
      </c>
      <c r="D2237" s="18">
        <v>2235</v>
      </c>
      <c r="E2237" s="18" cm="1">
        <f t="array" aca="1" ref="E2237" ca="1">INDIRECT("b"&amp;F2237+2)</f>
        <v>4.6000000000000004E+106</v>
      </c>
      <c r="F2237" s="18">
        <f t="shared" si="386"/>
        <v>3378</v>
      </c>
      <c r="G2237" s="18"/>
      <c r="H2237" s="18"/>
      <c r="I2237" s="19">
        <v>2235</v>
      </c>
      <c r="J2237" s="19" cm="1">
        <f t="array" aca="1" ref="J2237" ca="1">INDIRECT("b"&amp;K2237+2)</f>
        <v>4.6000000000000005E+136</v>
      </c>
      <c r="K2237" s="19">
        <f t="shared" si="382"/>
        <v>4578</v>
      </c>
    </row>
    <row r="2238" spans="1:11">
      <c r="A2238">
        <v>2236</v>
      </c>
      <c r="B2238">
        <v>8.6500000000000007E+77</v>
      </c>
      <c r="D2238" s="18">
        <v>2236</v>
      </c>
      <c r="E2238" s="18" cm="1">
        <f t="array" aca="1" ref="E2238" ca="1">INDIRECT("b"&amp;F2238+2)</f>
        <v>5.0500000000000002E+106</v>
      </c>
      <c r="F2238" s="18">
        <f t="shared" si="386"/>
        <v>3380</v>
      </c>
      <c r="G2238" s="18"/>
      <c r="H2238" s="18"/>
      <c r="I2238" s="19">
        <v>2236</v>
      </c>
      <c r="J2238" s="19" cm="1">
        <f t="array" aca="1" ref="J2238" ca="1">INDIRECT("b"&amp;K2238+2)</f>
        <v>5.0500000000000007E+136</v>
      </c>
      <c r="K2238" s="19">
        <f t="shared" si="382"/>
        <v>4580</v>
      </c>
    </row>
    <row r="2239" spans="1:11">
      <c r="A2239">
        <v>2237</v>
      </c>
      <c r="B2239">
        <v>8.8750000000000009E+77</v>
      </c>
      <c r="D2239" s="18">
        <v>2237</v>
      </c>
      <c r="E2239" s="18" cm="1">
        <f t="array" aca="1" ref="E2239" ca="1">INDIRECT("b"&amp;F2239+2)</f>
        <v>5.2750000000000001E+106</v>
      </c>
      <c r="F2239" s="18">
        <f t="shared" si="386"/>
        <v>3381</v>
      </c>
      <c r="G2239" s="18"/>
      <c r="H2239" s="18"/>
      <c r="I2239" s="19">
        <v>2237</v>
      </c>
      <c r="J2239" s="19" cm="1">
        <f t="array" aca="1" ref="J2239" ca="1">INDIRECT("b"&amp;K2239+2)</f>
        <v>5.2750000000000005E+136</v>
      </c>
      <c r="K2239" s="19">
        <f t="shared" si="382"/>
        <v>4581</v>
      </c>
    </row>
    <row r="2240" spans="1:11">
      <c r="A2240">
        <v>2238</v>
      </c>
      <c r="B2240">
        <v>9.1000000000000012E+77</v>
      </c>
      <c r="D2240" s="18">
        <v>2238</v>
      </c>
      <c r="E2240" s="18" cm="1">
        <f t="array" aca="1" ref="E2240" ca="1">INDIRECT("b"&amp;F2240+2)</f>
        <v>5.5E+106</v>
      </c>
      <c r="F2240" s="18">
        <f t="shared" si="386"/>
        <v>3382</v>
      </c>
      <c r="G2240" s="18">
        <f t="shared" ref="G2240" ca="1" si="396">E2240/E2235</f>
        <v>1.3253012048192772</v>
      </c>
      <c r="H2240" s="18"/>
      <c r="I2240" s="19">
        <v>2238</v>
      </c>
      <c r="J2240" s="19" cm="1">
        <f t="array" aca="1" ref="J2240" ca="1">INDIRECT("b"&amp;K2240+2)</f>
        <v>5.5000000000000004E+136</v>
      </c>
      <c r="K2240" s="19">
        <f t="shared" si="382"/>
        <v>4582</v>
      </c>
    </row>
    <row r="2241" spans="1:11">
      <c r="A2241">
        <v>2239</v>
      </c>
      <c r="B2241">
        <v>9.3250000000000014E+77</v>
      </c>
      <c r="D2241" s="18">
        <v>2239</v>
      </c>
      <c r="E2241" s="18" cm="1">
        <f t="array" aca="1" ref="E2241" ca="1">INDIRECT("b"&amp;F2241+2)</f>
        <v>5.9499999999999998E+106</v>
      </c>
      <c r="F2241" s="18">
        <f t="shared" si="386"/>
        <v>3384</v>
      </c>
      <c r="G2241" s="18"/>
      <c r="H2241" s="18"/>
      <c r="I2241" s="19">
        <v>2239</v>
      </c>
      <c r="J2241" s="19" cm="1">
        <f t="array" aca="1" ref="J2241" ca="1">INDIRECT("b"&amp;K2241+2)</f>
        <v>5.9500000000000001E+136</v>
      </c>
      <c r="K2241" s="19">
        <f t="shared" si="382"/>
        <v>4584</v>
      </c>
    </row>
    <row r="2242" spans="1:11">
      <c r="A2242">
        <v>2240</v>
      </c>
      <c r="B2242">
        <v>9.5500000000000017E+77</v>
      </c>
      <c r="D2242" s="18">
        <v>2240</v>
      </c>
      <c r="E2242" s="18" cm="1">
        <f t="array" aca="1" ref="E2242" ca="1">INDIRECT("b"&amp;F2242+2)</f>
        <v>6.1749999999999997E+106</v>
      </c>
      <c r="F2242" s="18">
        <f t="shared" si="386"/>
        <v>3385</v>
      </c>
      <c r="G2242" s="18"/>
      <c r="H2242" s="18"/>
      <c r="I2242" s="19">
        <v>2240</v>
      </c>
      <c r="J2242" s="19" cm="1">
        <f t="array" aca="1" ref="J2242" ca="1">INDIRECT("b"&amp;K2242+2)</f>
        <v>6.1750000000000009E+136</v>
      </c>
      <c r="K2242" s="19">
        <f t="shared" si="382"/>
        <v>4585</v>
      </c>
    </row>
    <row r="2243" spans="1:11">
      <c r="A2243">
        <v>2241</v>
      </c>
      <c r="B2243">
        <v>9.7749999999999998E+77</v>
      </c>
      <c r="D2243" s="18">
        <v>2241</v>
      </c>
      <c r="E2243" s="18" cm="1">
        <f t="array" aca="1" ref="E2243" ca="1">INDIRECT("b"&amp;F2243+2)</f>
        <v>6.3999999999999996E+106</v>
      </c>
      <c r="F2243" s="18">
        <f t="shared" si="386"/>
        <v>3386</v>
      </c>
      <c r="G2243" s="18"/>
      <c r="H2243" s="18"/>
      <c r="I2243" s="19">
        <v>2241</v>
      </c>
      <c r="J2243" s="19" cm="1">
        <f t="array" aca="1" ref="J2243" ca="1">INDIRECT("b"&amp;K2243+2)</f>
        <v>6.4000000000000008E+136</v>
      </c>
      <c r="K2243" s="19">
        <f t="shared" si="382"/>
        <v>4586</v>
      </c>
    </row>
    <row r="2244" spans="1:11">
      <c r="A2244">
        <v>2242</v>
      </c>
      <c r="B2244">
        <v>1E+78</v>
      </c>
      <c r="D2244" s="18">
        <v>2242</v>
      </c>
      <c r="E2244" s="18" cm="1">
        <f t="array" aca="1" ref="E2244" ca="1">INDIRECT("b"&amp;F2244+2)</f>
        <v>6.8500000000000002E+106</v>
      </c>
      <c r="F2244" s="18">
        <f t="shared" si="386"/>
        <v>3388</v>
      </c>
      <c r="G2244" s="18"/>
      <c r="H2244" s="18"/>
      <c r="I2244" s="19">
        <v>2242</v>
      </c>
      <c r="J2244" s="19" cm="1">
        <f t="array" aca="1" ref="J2244" ca="1">INDIRECT("b"&amp;K2244+2)</f>
        <v>6.8500000000000005E+136</v>
      </c>
      <c r="K2244" s="19">
        <f t="shared" ref="K2244:K2307" si="397">INT((A2244-1)*40/30+900*40/30)+400</f>
        <v>4588</v>
      </c>
    </row>
    <row r="2245" spans="1:11">
      <c r="A2245">
        <v>2243</v>
      </c>
      <c r="B2245">
        <v>1.225E+78</v>
      </c>
      <c r="D2245" s="18">
        <v>2243</v>
      </c>
      <c r="E2245" s="18" cm="1">
        <f t="array" aca="1" ref="E2245" ca="1">INDIRECT("b"&amp;F2245+2)</f>
        <v>7.0750000000000001E+106</v>
      </c>
      <c r="F2245" s="18">
        <f t="shared" si="386"/>
        <v>3389</v>
      </c>
      <c r="G2245" s="18">
        <f t="shared" ref="G2245" ca="1" si="398">E2245/E2240</f>
        <v>1.2863636363636364</v>
      </c>
      <c r="H2245" s="18"/>
      <c r="I2245" s="19">
        <v>2243</v>
      </c>
      <c r="J2245" s="19" cm="1">
        <f t="array" aca="1" ref="J2245" ca="1">INDIRECT("b"&amp;K2245+2)</f>
        <v>7.0750000000000003E+136</v>
      </c>
      <c r="K2245" s="19">
        <f t="shared" si="397"/>
        <v>4589</v>
      </c>
    </row>
    <row r="2246" spans="1:11">
      <c r="A2246">
        <v>2244</v>
      </c>
      <c r="B2246">
        <v>1.4500000000000001E+78</v>
      </c>
      <c r="D2246" s="18">
        <v>2244</v>
      </c>
      <c r="E2246" s="18" cm="1">
        <f t="array" aca="1" ref="E2246" ca="1">INDIRECT("b"&amp;F2246+2)</f>
        <v>7.3E+106</v>
      </c>
      <c r="F2246" s="18">
        <f t="shared" si="386"/>
        <v>3390</v>
      </c>
      <c r="G2246" s="18"/>
      <c r="H2246" s="18"/>
      <c r="I2246" s="19">
        <v>2244</v>
      </c>
      <c r="J2246" s="19" cm="1">
        <f t="array" aca="1" ref="J2246" ca="1">INDIRECT("b"&amp;K2246+2)</f>
        <v>7.3000000000000002E+136</v>
      </c>
      <c r="K2246" s="19">
        <f t="shared" si="397"/>
        <v>4590</v>
      </c>
    </row>
    <row r="2247" spans="1:11">
      <c r="A2247">
        <v>2245</v>
      </c>
      <c r="B2247">
        <v>1.6750000000000001E+78</v>
      </c>
      <c r="D2247" s="18">
        <v>2245</v>
      </c>
      <c r="E2247" s="18" cm="1">
        <f t="array" aca="1" ref="E2247" ca="1">INDIRECT("b"&amp;F2247+2)</f>
        <v>7.7500000000000007E+106</v>
      </c>
      <c r="F2247" s="18">
        <f t="shared" si="386"/>
        <v>3392</v>
      </c>
      <c r="G2247" s="18"/>
      <c r="H2247" s="18"/>
      <c r="I2247" s="19">
        <v>2245</v>
      </c>
      <c r="J2247" s="19" cm="1">
        <f t="array" aca="1" ref="J2247" ca="1">INDIRECT("b"&amp;K2247+2)</f>
        <v>7.7500000000000009E+136</v>
      </c>
      <c r="K2247" s="19">
        <f t="shared" si="397"/>
        <v>4592</v>
      </c>
    </row>
    <row r="2248" spans="1:11">
      <c r="A2248">
        <v>2246</v>
      </c>
      <c r="B2248">
        <v>1.9E+78</v>
      </c>
      <c r="D2248" s="18">
        <v>2246</v>
      </c>
      <c r="E2248" s="18" cm="1">
        <f t="array" aca="1" ref="E2248" ca="1">INDIRECT("b"&amp;F2248+2)</f>
        <v>7.9749999999999997E+106</v>
      </c>
      <c r="F2248" s="18">
        <f t="shared" si="386"/>
        <v>3393</v>
      </c>
      <c r="G2248" s="18"/>
      <c r="H2248" s="18"/>
      <c r="I2248" s="19">
        <v>2246</v>
      </c>
      <c r="J2248" s="19" cm="1">
        <f t="array" aca="1" ref="J2248" ca="1">INDIRECT("b"&amp;K2248+2)</f>
        <v>7.9750000000000007E+136</v>
      </c>
      <c r="K2248" s="19">
        <f t="shared" si="397"/>
        <v>4593</v>
      </c>
    </row>
    <row r="2249" spans="1:11">
      <c r="A2249">
        <v>2247</v>
      </c>
      <c r="B2249">
        <v>2.1250000000000002E+78</v>
      </c>
      <c r="D2249" s="18">
        <v>2247</v>
      </c>
      <c r="E2249" s="18" cm="1">
        <f t="array" aca="1" ref="E2249" ca="1">INDIRECT("b"&amp;F2249+2)</f>
        <v>8.2000000000000005E+106</v>
      </c>
      <c r="F2249" s="18">
        <f t="shared" si="386"/>
        <v>3394</v>
      </c>
      <c r="G2249" s="18"/>
      <c r="H2249" s="18"/>
      <c r="I2249" s="19">
        <v>2247</v>
      </c>
      <c r="J2249" s="19" cm="1">
        <f t="array" aca="1" ref="J2249" ca="1">INDIRECT("b"&amp;K2249+2)</f>
        <v>8.2000000000000006E+136</v>
      </c>
      <c r="K2249" s="19">
        <f t="shared" si="397"/>
        <v>4594</v>
      </c>
    </row>
    <row r="2250" spans="1:11">
      <c r="A2250">
        <v>2248</v>
      </c>
      <c r="B2250">
        <v>2.35E+78</v>
      </c>
      <c r="D2250" s="18">
        <v>2248</v>
      </c>
      <c r="E2250" s="18" cm="1">
        <f t="array" aca="1" ref="E2250" ca="1">INDIRECT("b"&amp;F2250+2)</f>
        <v>8.6500000000000003E+106</v>
      </c>
      <c r="F2250" s="18">
        <f t="shared" si="386"/>
        <v>3396</v>
      </c>
      <c r="G2250" s="18">
        <f t="shared" ref="G2250" ca="1" si="399">E2250/E2245</f>
        <v>1.2226148409893993</v>
      </c>
      <c r="H2250" s="18"/>
      <c r="I2250" s="19">
        <v>2248</v>
      </c>
      <c r="J2250" s="19" cm="1">
        <f t="array" aca="1" ref="J2250" ca="1">INDIRECT("b"&amp;K2250+2)</f>
        <v>8.6500000000000002E+136</v>
      </c>
      <c r="K2250" s="19">
        <f t="shared" si="397"/>
        <v>4596</v>
      </c>
    </row>
    <row r="2251" spans="1:11">
      <c r="A2251">
        <v>2249</v>
      </c>
      <c r="B2251">
        <v>2.5750000000000003E+78</v>
      </c>
      <c r="D2251" s="18">
        <v>2249</v>
      </c>
      <c r="E2251" s="18" cm="1">
        <f t="array" aca="1" ref="E2251" ca="1">INDIRECT("b"&amp;F2251+2)</f>
        <v>8.8749999999999994E+106</v>
      </c>
      <c r="F2251" s="18">
        <f t="shared" si="386"/>
        <v>3397</v>
      </c>
      <c r="G2251" s="18"/>
      <c r="H2251" s="18"/>
      <c r="I2251" s="19">
        <v>2249</v>
      </c>
      <c r="J2251" s="19" cm="1">
        <f t="array" aca="1" ref="J2251" ca="1">INDIRECT("b"&amp;K2251+2)</f>
        <v>8.8750000000000011E+136</v>
      </c>
      <c r="K2251" s="19">
        <f t="shared" si="397"/>
        <v>4597</v>
      </c>
    </row>
    <row r="2252" spans="1:11">
      <c r="A2252">
        <v>2250</v>
      </c>
      <c r="B2252">
        <v>2.8000000000000001E+78</v>
      </c>
      <c r="D2252" s="18">
        <v>2250</v>
      </c>
      <c r="E2252" s="18" cm="1">
        <f t="array" aca="1" ref="E2252" ca="1">INDIRECT("b"&amp;F2252+2)</f>
        <v>9.1000000000000001E+106</v>
      </c>
      <c r="F2252" s="18">
        <f t="shared" si="386"/>
        <v>3398</v>
      </c>
      <c r="G2252" s="18"/>
      <c r="H2252" s="18"/>
      <c r="I2252" s="19">
        <v>2250</v>
      </c>
      <c r="J2252" s="19" cm="1">
        <f t="array" aca="1" ref="J2252" ca="1">INDIRECT("b"&amp;K2252+2)</f>
        <v>9.100000000000001E+136</v>
      </c>
      <c r="K2252" s="19">
        <f t="shared" si="397"/>
        <v>4598</v>
      </c>
    </row>
    <row r="2253" spans="1:11">
      <c r="A2253">
        <v>2251</v>
      </c>
      <c r="B2253">
        <v>3.0250000000000003E+78</v>
      </c>
      <c r="D2253" s="18">
        <v>2251</v>
      </c>
      <c r="E2253" s="18" cm="1">
        <f t="array" aca="1" ref="E2253" ca="1">INDIRECT("b"&amp;F2253+2)</f>
        <v>9.5499999999999999E+106</v>
      </c>
      <c r="F2253" s="18">
        <f t="shared" si="386"/>
        <v>3400</v>
      </c>
      <c r="G2253" s="18"/>
      <c r="H2253" s="18"/>
      <c r="I2253" s="19">
        <v>2251</v>
      </c>
      <c r="J2253" s="19" cm="1">
        <f t="array" aca="1" ref="J2253" ca="1">INDIRECT("b"&amp;K2253+2)</f>
        <v>9.5500000000000006E+136</v>
      </c>
      <c r="K2253" s="19">
        <f t="shared" si="397"/>
        <v>4600</v>
      </c>
    </row>
    <row r="2254" spans="1:11">
      <c r="A2254">
        <v>2252</v>
      </c>
      <c r="B2254">
        <v>3.2500000000000002E+78</v>
      </c>
      <c r="D2254" s="18">
        <v>2252</v>
      </c>
      <c r="E2254" s="18" cm="1">
        <f t="array" aca="1" ref="E2254" ca="1">INDIRECT("b"&amp;F2254+2)</f>
        <v>9.7750000000000006E+106</v>
      </c>
      <c r="F2254" s="18">
        <f t="shared" si="386"/>
        <v>3401</v>
      </c>
      <c r="G2254" s="18"/>
      <c r="H2254" s="18"/>
      <c r="I2254" s="19">
        <v>2252</v>
      </c>
      <c r="J2254" s="19" cm="1">
        <f t="array" aca="1" ref="J2254" ca="1">INDIRECT("b"&amp;K2254+2)</f>
        <v>9.7750000000000005E+136</v>
      </c>
      <c r="K2254" s="19">
        <f t="shared" si="397"/>
        <v>4601</v>
      </c>
    </row>
    <row r="2255" spans="1:11">
      <c r="A2255">
        <v>2253</v>
      </c>
      <c r="B2255">
        <v>3.4750000000000004E+78</v>
      </c>
      <c r="D2255" s="18">
        <v>2253</v>
      </c>
      <c r="E2255" s="18" cm="1">
        <f t="array" aca="1" ref="E2255" ca="1">INDIRECT("b"&amp;F2255+2)</f>
        <v>9.9999999999999997E+106</v>
      </c>
      <c r="F2255" s="18">
        <f t="shared" si="386"/>
        <v>3402</v>
      </c>
      <c r="G2255" s="18">
        <f t="shared" ref="G2255" ca="1" si="400">E2255/E2250</f>
        <v>1.1560693641618496</v>
      </c>
      <c r="H2255" s="18"/>
      <c r="I2255" s="19">
        <v>2253</v>
      </c>
      <c r="J2255" s="19" cm="1">
        <f t="array" aca="1" ref="J2255" ca="1">INDIRECT("b"&amp;K2255+2)</f>
        <v>1E+137</v>
      </c>
      <c r="K2255" s="19">
        <f t="shared" si="397"/>
        <v>4602</v>
      </c>
    </row>
    <row r="2256" spans="1:11">
      <c r="A2256">
        <v>2254</v>
      </c>
      <c r="B2256">
        <v>3.7000000000000003E+78</v>
      </c>
      <c r="D2256" s="18">
        <v>2254</v>
      </c>
      <c r="E2256" s="18" cm="1">
        <f t="array" aca="1" ref="E2256" ca="1">INDIRECT("b"&amp;F2256+2)</f>
        <v>1.4499999999999999E+107</v>
      </c>
      <c r="F2256" s="18">
        <f t="shared" si="386"/>
        <v>3404</v>
      </c>
      <c r="G2256" s="18"/>
      <c r="H2256" s="18"/>
      <c r="I2256" s="19">
        <v>2254</v>
      </c>
      <c r="J2256" s="19" cm="1">
        <f t="array" aca="1" ref="J2256" ca="1">INDIRECT("b"&amp;K2256+2)</f>
        <v>1.4499999999999999E+137</v>
      </c>
      <c r="K2256" s="19">
        <f t="shared" si="397"/>
        <v>4604</v>
      </c>
    </row>
    <row r="2257" spans="1:11">
      <c r="A2257">
        <v>2255</v>
      </c>
      <c r="B2257">
        <v>3.9250000000000001E+78</v>
      </c>
      <c r="D2257" s="18">
        <v>2255</v>
      </c>
      <c r="E2257" s="18" cm="1">
        <f t="array" aca="1" ref="E2257" ca="1">INDIRECT("b"&amp;F2257+2)</f>
        <v>1.6749999999999998E+107</v>
      </c>
      <c r="F2257" s="18">
        <f t="shared" si="386"/>
        <v>3405</v>
      </c>
      <c r="G2257" s="18"/>
      <c r="H2257" s="18"/>
      <c r="I2257" s="19">
        <v>2255</v>
      </c>
      <c r="J2257" s="19" cm="1">
        <f t="array" aca="1" ref="J2257" ca="1">INDIRECT("b"&amp;K2257+2)</f>
        <v>1.675E+137</v>
      </c>
      <c r="K2257" s="19">
        <f t="shared" si="397"/>
        <v>4605</v>
      </c>
    </row>
    <row r="2258" spans="1:11">
      <c r="A2258">
        <v>2256</v>
      </c>
      <c r="B2258">
        <v>4.1499999999999999E+78</v>
      </c>
      <c r="D2258" s="18">
        <v>2256</v>
      </c>
      <c r="E2258" s="18" cm="1">
        <f t="array" aca="1" ref="E2258" ca="1">INDIRECT("b"&amp;F2258+2)</f>
        <v>1.8999999999999999E+107</v>
      </c>
      <c r="F2258" s="18">
        <f t="shared" si="386"/>
        <v>3406</v>
      </c>
      <c r="G2258" s="18"/>
      <c r="H2258" s="18"/>
      <c r="I2258" s="19">
        <v>2256</v>
      </c>
      <c r="J2258" s="19" cm="1">
        <f t="array" aca="1" ref="J2258" ca="1">INDIRECT("b"&amp;K2258+2)</f>
        <v>1.8999999999999998E+137</v>
      </c>
      <c r="K2258" s="19">
        <f t="shared" si="397"/>
        <v>4606</v>
      </c>
    </row>
    <row r="2259" spans="1:11">
      <c r="A2259">
        <v>2257</v>
      </c>
      <c r="B2259">
        <v>4.3750000000000006E+78</v>
      </c>
      <c r="D2259" s="18">
        <v>2257</v>
      </c>
      <c r="E2259" s="18" cm="1">
        <f t="array" aca="1" ref="E2259" ca="1">INDIRECT("b"&amp;F2259+2)</f>
        <v>2.35E+107</v>
      </c>
      <c r="F2259" s="18">
        <f t="shared" ref="F2259:F2322" si="401">INT((A2259-123)*1.333333)+563</f>
        <v>3408</v>
      </c>
      <c r="G2259" s="18"/>
      <c r="H2259" s="18"/>
      <c r="I2259" s="19">
        <v>2257</v>
      </c>
      <c r="J2259" s="19" cm="1">
        <f t="array" aca="1" ref="J2259" ca="1">INDIRECT("b"&amp;K2259+2)</f>
        <v>2.3499999999999999E+137</v>
      </c>
      <c r="K2259" s="19">
        <f t="shared" si="397"/>
        <v>4608</v>
      </c>
    </row>
    <row r="2260" spans="1:11">
      <c r="A2260">
        <v>2258</v>
      </c>
      <c r="B2260">
        <v>4.6000000000000004E+78</v>
      </c>
      <c r="D2260" s="18">
        <v>2258</v>
      </c>
      <c r="E2260" s="18" cm="1">
        <f t="array" aca="1" ref="E2260" ca="1">INDIRECT("b"&amp;F2260+2)</f>
        <v>2.5749999999999998E+107</v>
      </c>
      <c r="F2260" s="18">
        <f t="shared" si="401"/>
        <v>3409</v>
      </c>
      <c r="G2260" s="18">
        <f t="shared" ref="G2260" ca="1" si="402">E2260/E2255</f>
        <v>2.5749999999999997</v>
      </c>
      <c r="H2260" s="18"/>
      <c r="I2260" s="19">
        <v>2258</v>
      </c>
      <c r="J2260" s="19" cm="1">
        <f t="array" aca="1" ref="J2260" ca="1">INDIRECT("b"&amp;K2260+2)</f>
        <v>2.5750000000000002E+137</v>
      </c>
      <c r="K2260" s="19">
        <f t="shared" si="397"/>
        <v>4609</v>
      </c>
    </row>
    <row r="2261" spans="1:11">
      <c r="A2261">
        <v>2259</v>
      </c>
      <c r="B2261">
        <v>4.8250000000000002E+78</v>
      </c>
      <c r="D2261" s="18">
        <v>2259</v>
      </c>
      <c r="E2261" s="18" cm="1">
        <f t="array" aca="1" ref="E2261" ca="1">INDIRECT("b"&amp;F2261+2)</f>
        <v>2.7999999999999998E+107</v>
      </c>
      <c r="F2261" s="18">
        <f t="shared" si="401"/>
        <v>3410</v>
      </c>
      <c r="G2261" s="18"/>
      <c r="H2261" s="18"/>
      <c r="I2261" s="19">
        <v>2259</v>
      </c>
      <c r="J2261" s="19" cm="1">
        <f t="array" aca="1" ref="J2261" ca="1">INDIRECT("b"&amp;K2261+2)</f>
        <v>2.8E+137</v>
      </c>
      <c r="K2261" s="19">
        <f t="shared" si="397"/>
        <v>4610</v>
      </c>
    </row>
    <row r="2262" spans="1:11">
      <c r="A2262">
        <v>2260</v>
      </c>
      <c r="B2262">
        <v>5.0500000000000001E+78</v>
      </c>
      <c r="D2262" s="18">
        <v>2260</v>
      </c>
      <c r="E2262" s="18" cm="1">
        <f t="array" aca="1" ref="E2262" ca="1">INDIRECT("b"&amp;F2262+2)</f>
        <v>3.2499999999999997E+107</v>
      </c>
      <c r="F2262" s="18">
        <f t="shared" si="401"/>
        <v>3412</v>
      </c>
      <c r="G2262" s="18"/>
      <c r="H2262" s="18"/>
      <c r="I2262" s="19">
        <v>2260</v>
      </c>
      <c r="J2262" s="19" cm="1">
        <f t="array" aca="1" ref="J2262" ca="1">INDIRECT("b"&amp;K2262+2)</f>
        <v>3.2500000000000001E+137</v>
      </c>
      <c r="K2262" s="19">
        <f t="shared" si="397"/>
        <v>4612</v>
      </c>
    </row>
    <row r="2263" spans="1:11">
      <c r="A2263">
        <v>2261</v>
      </c>
      <c r="B2263">
        <v>5.2750000000000007E+78</v>
      </c>
      <c r="D2263" s="18">
        <v>2261</v>
      </c>
      <c r="E2263" s="18" cm="1">
        <f t="array" aca="1" ref="E2263" ca="1">INDIRECT("b"&amp;F2263+2)</f>
        <v>3.475E+107</v>
      </c>
      <c r="F2263" s="18">
        <f t="shared" si="401"/>
        <v>3413</v>
      </c>
      <c r="G2263" s="18"/>
      <c r="H2263" s="18"/>
      <c r="I2263" s="19">
        <v>2261</v>
      </c>
      <c r="J2263" s="19" cm="1">
        <f t="array" aca="1" ref="J2263" ca="1">INDIRECT("b"&amp;K2263+2)</f>
        <v>3.4749999999999999E+137</v>
      </c>
      <c r="K2263" s="19">
        <f t="shared" si="397"/>
        <v>4613</v>
      </c>
    </row>
    <row r="2264" spans="1:11">
      <c r="A2264">
        <v>2262</v>
      </c>
      <c r="B2264">
        <v>5.5000000000000006E+78</v>
      </c>
      <c r="D2264" s="18">
        <v>2262</v>
      </c>
      <c r="E2264" s="18" cm="1">
        <f t="array" aca="1" ref="E2264" ca="1">INDIRECT("b"&amp;F2264+2)</f>
        <v>3.6999999999999998E+107</v>
      </c>
      <c r="F2264" s="18">
        <f t="shared" si="401"/>
        <v>3414</v>
      </c>
      <c r="G2264" s="18"/>
      <c r="H2264" s="18"/>
      <c r="I2264" s="19">
        <v>2262</v>
      </c>
      <c r="J2264" s="19" cm="1">
        <f t="array" aca="1" ref="J2264" ca="1">INDIRECT("b"&amp;K2264+2)</f>
        <v>3.6999999999999998E+137</v>
      </c>
      <c r="K2264" s="19">
        <f t="shared" si="397"/>
        <v>4614</v>
      </c>
    </row>
    <row r="2265" spans="1:11">
      <c r="A2265">
        <v>2263</v>
      </c>
      <c r="B2265">
        <v>5.7250000000000004E+78</v>
      </c>
      <c r="D2265" s="18">
        <v>2263</v>
      </c>
      <c r="E2265" s="18" cm="1">
        <f t="array" aca="1" ref="E2265" ca="1">INDIRECT("b"&amp;F2265+2)</f>
        <v>4.1499999999999999E+107</v>
      </c>
      <c r="F2265" s="18">
        <f t="shared" si="401"/>
        <v>3416</v>
      </c>
      <c r="G2265" s="18">
        <f t="shared" ref="G2265" ca="1" si="403">E2265/E2260</f>
        <v>1.6116504854368934</v>
      </c>
      <c r="H2265" s="18"/>
      <c r="I2265" s="19">
        <v>2263</v>
      </c>
      <c r="J2265" s="19" cm="1">
        <f t="array" aca="1" ref="J2265" ca="1">INDIRECT("b"&amp;K2265+2)</f>
        <v>4.1500000000000003E+137</v>
      </c>
      <c r="K2265" s="19">
        <f t="shared" si="397"/>
        <v>4616</v>
      </c>
    </row>
    <row r="2266" spans="1:11">
      <c r="A2266">
        <v>2264</v>
      </c>
      <c r="B2266">
        <v>5.9500000000000002E+78</v>
      </c>
      <c r="D2266" s="18">
        <v>2264</v>
      </c>
      <c r="E2266" s="18" cm="1">
        <f t="array" aca="1" ref="E2266" ca="1">INDIRECT("b"&amp;F2266+2)</f>
        <v>4.3749999999999997E+107</v>
      </c>
      <c r="F2266" s="18">
        <f t="shared" si="401"/>
        <v>3417</v>
      </c>
      <c r="G2266" s="18"/>
      <c r="H2266" s="18"/>
      <c r="I2266" s="19">
        <v>2264</v>
      </c>
      <c r="J2266" s="19" cm="1">
        <f t="array" aca="1" ref="J2266" ca="1">INDIRECT("b"&amp;K2266+2)</f>
        <v>4.3749999999999997E+137</v>
      </c>
      <c r="K2266" s="19">
        <f t="shared" si="397"/>
        <v>4617</v>
      </c>
    </row>
    <row r="2267" spans="1:11">
      <c r="A2267">
        <v>2265</v>
      </c>
      <c r="B2267">
        <v>6.1750000000000001E+78</v>
      </c>
      <c r="D2267" s="18">
        <v>2265</v>
      </c>
      <c r="E2267" s="18" cm="1">
        <f t="array" aca="1" ref="E2267" ca="1">INDIRECT("b"&amp;F2267+2)</f>
        <v>4.6000000000000001E+107</v>
      </c>
      <c r="F2267" s="18">
        <f t="shared" si="401"/>
        <v>3418</v>
      </c>
      <c r="G2267" s="18"/>
      <c r="H2267" s="18"/>
      <c r="I2267" s="19">
        <v>2265</v>
      </c>
      <c r="J2267" s="19" cm="1">
        <f t="array" aca="1" ref="J2267" ca="1">INDIRECT("b"&amp;K2267+2)</f>
        <v>4.6E+137</v>
      </c>
      <c r="K2267" s="19">
        <f t="shared" si="397"/>
        <v>4618</v>
      </c>
    </row>
    <row r="2268" spans="1:11">
      <c r="A2268">
        <v>2266</v>
      </c>
      <c r="B2268">
        <v>6.4000000000000007E+78</v>
      </c>
      <c r="D2268" s="18">
        <v>2266</v>
      </c>
      <c r="E2268" s="18" cm="1">
        <f t="array" aca="1" ref="E2268" ca="1">INDIRECT("b"&amp;F2268+2)</f>
        <v>5.0499999999999995E+107</v>
      </c>
      <c r="F2268" s="18">
        <f t="shared" si="401"/>
        <v>3420</v>
      </c>
      <c r="G2268" s="18"/>
      <c r="H2268" s="18"/>
      <c r="I2268" s="19">
        <v>2266</v>
      </c>
      <c r="J2268" s="19" cm="1">
        <f t="array" aca="1" ref="J2268" ca="1">INDIRECT("b"&amp;K2268+2)</f>
        <v>5.0499999999999997E+137</v>
      </c>
      <c r="K2268" s="19">
        <f t="shared" si="397"/>
        <v>4620</v>
      </c>
    </row>
    <row r="2269" spans="1:11">
      <c r="A2269">
        <v>2267</v>
      </c>
      <c r="B2269">
        <v>6.6250000000000005E+78</v>
      </c>
      <c r="D2269" s="18">
        <v>2267</v>
      </c>
      <c r="E2269" s="18" cm="1">
        <f t="array" aca="1" ref="E2269" ca="1">INDIRECT("b"&amp;F2269+2)</f>
        <v>5.2749999999999999E+107</v>
      </c>
      <c r="F2269" s="18">
        <f t="shared" si="401"/>
        <v>3421</v>
      </c>
      <c r="G2269" s="18"/>
      <c r="H2269" s="18"/>
      <c r="I2269" s="19">
        <v>2267</v>
      </c>
      <c r="J2269" s="19" cm="1">
        <f t="array" aca="1" ref="J2269" ca="1">INDIRECT("b"&amp;K2269+2)</f>
        <v>5.2749999999999999E+137</v>
      </c>
      <c r="K2269" s="19">
        <f t="shared" si="397"/>
        <v>4621</v>
      </c>
    </row>
    <row r="2270" spans="1:11">
      <c r="A2270">
        <v>2268</v>
      </c>
      <c r="B2270">
        <v>6.8500000000000004E+78</v>
      </c>
      <c r="D2270" s="18">
        <v>2268</v>
      </c>
      <c r="E2270" s="18" cm="1">
        <f t="array" aca="1" ref="E2270" ca="1">INDIRECT("b"&amp;F2270+2)</f>
        <v>5.4999999999999997E+107</v>
      </c>
      <c r="F2270" s="18">
        <f t="shared" si="401"/>
        <v>3422</v>
      </c>
      <c r="G2270" s="18">
        <f t="shared" ref="G2270" ca="1" si="404">E2270/E2265</f>
        <v>1.3253012048192772</v>
      </c>
      <c r="H2270" s="18"/>
      <c r="I2270" s="19">
        <v>2268</v>
      </c>
      <c r="J2270" s="19" cm="1">
        <f t="array" aca="1" ref="J2270" ca="1">INDIRECT("b"&amp;K2270+2)</f>
        <v>5.5000000000000002E+137</v>
      </c>
      <c r="K2270" s="19">
        <f t="shared" si="397"/>
        <v>4622</v>
      </c>
    </row>
    <row r="2271" spans="1:11">
      <c r="A2271">
        <v>2269</v>
      </c>
      <c r="B2271">
        <v>7.0750000000000002E+78</v>
      </c>
      <c r="D2271" s="18">
        <v>2269</v>
      </c>
      <c r="E2271" s="18" cm="1">
        <f t="array" aca="1" ref="E2271" ca="1">INDIRECT("b"&amp;F2271+2)</f>
        <v>5.9499999999999998E+107</v>
      </c>
      <c r="F2271" s="18">
        <f t="shared" si="401"/>
        <v>3424</v>
      </c>
      <c r="G2271" s="18"/>
      <c r="H2271" s="18"/>
      <c r="I2271" s="19">
        <v>2269</v>
      </c>
      <c r="J2271" s="19" cm="1">
        <f t="array" aca="1" ref="J2271" ca="1">INDIRECT("b"&amp;K2271+2)</f>
        <v>5.9499999999999999E+137</v>
      </c>
      <c r="K2271" s="19">
        <f t="shared" si="397"/>
        <v>4624</v>
      </c>
    </row>
    <row r="2272" spans="1:11">
      <c r="A2272">
        <v>2270</v>
      </c>
      <c r="B2272">
        <v>7.3000000000000009E+78</v>
      </c>
      <c r="D2272" s="18">
        <v>2270</v>
      </c>
      <c r="E2272" s="18" cm="1">
        <f t="array" aca="1" ref="E2272" ca="1">INDIRECT("b"&amp;F2272+2)</f>
        <v>6.1749999999999995E+107</v>
      </c>
      <c r="F2272" s="18">
        <f t="shared" si="401"/>
        <v>3425</v>
      </c>
      <c r="G2272" s="18"/>
      <c r="H2272" s="18"/>
      <c r="I2272" s="19">
        <v>2270</v>
      </c>
      <c r="J2272" s="19" cm="1">
        <f t="array" aca="1" ref="J2272" ca="1">INDIRECT("b"&amp;K2272+2)</f>
        <v>6.1750000000000001E+137</v>
      </c>
      <c r="K2272" s="19">
        <f t="shared" si="397"/>
        <v>4625</v>
      </c>
    </row>
    <row r="2273" spans="1:11">
      <c r="A2273">
        <v>2271</v>
      </c>
      <c r="B2273">
        <v>7.5249999999999999E+78</v>
      </c>
      <c r="D2273" s="18">
        <v>2271</v>
      </c>
      <c r="E2273" s="18" cm="1">
        <f t="array" aca="1" ref="E2273" ca="1">INDIRECT("b"&amp;F2273+2)</f>
        <v>6.3999999999999993E+107</v>
      </c>
      <c r="F2273" s="18">
        <f t="shared" si="401"/>
        <v>3426</v>
      </c>
      <c r="G2273" s="18"/>
      <c r="H2273" s="18"/>
      <c r="I2273" s="19">
        <v>2271</v>
      </c>
      <c r="J2273" s="19" cm="1">
        <f t="array" aca="1" ref="J2273" ca="1">INDIRECT("b"&amp;K2273+2)</f>
        <v>6.4000000000000004E+137</v>
      </c>
      <c r="K2273" s="19">
        <f t="shared" si="397"/>
        <v>4626</v>
      </c>
    </row>
    <row r="2274" spans="1:11">
      <c r="A2274">
        <v>2272</v>
      </c>
      <c r="B2274">
        <v>7.7500000000000014E+78</v>
      </c>
      <c r="D2274" s="18">
        <v>2272</v>
      </c>
      <c r="E2274" s="18" cm="1">
        <f t="array" aca="1" ref="E2274" ca="1">INDIRECT("b"&amp;F2274+2)</f>
        <v>6.8500000000000001E+107</v>
      </c>
      <c r="F2274" s="18">
        <f t="shared" si="401"/>
        <v>3428</v>
      </c>
      <c r="G2274" s="18"/>
      <c r="H2274" s="18"/>
      <c r="I2274" s="19">
        <v>2272</v>
      </c>
      <c r="J2274" s="19" cm="1">
        <f t="array" aca="1" ref="J2274" ca="1">INDIRECT("b"&amp;K2274+2)</f>
        <v>6.8500000000000001E+137</v>
      </c>
      <c r="K2274" s="19">
        <f t="shared" si="397"/>
        <v>4628</v>
      </c>
    </row>
    <row r="2275" spans="1:11">
      <c r="A2275">
        <v>2273</v>
      </c>
      <c r="B2275">
        <v>7.9750000000000012E+78</v>
      </c>
      <c r="D2275" s="18">
        <v>2273</v>
      </c>
      <c r="E2275" s="18" cm="1">
        <f t="array" aca="1" ref="E2275" ca="1">INDIRECT("b"&amp;F2275+2)</f>
        <v>7.0749999999999998E+107</v>
      </c>
      <c r="F2275" s="18">
        <f t="shared" si="401"/>
        <v>3429</v>
      </c>
      <c r="G2275" s="18">
        <f t="shared" ref="G2275" ca="1" si="405">E2275/E2270</f>
        <v>1.2863636363636364</v>
      </c>
      <c r="H2275" s="18"/>
      <c r="I2275" s="19">
        <v>2273</v>
      </c>
      <c r="J2275" s="19" cm="1">
        <f t="array" aca="1" ref="J2275" ca="1">INDIRECT("b"&amp;K2275+2)</f>
        <v>7.0750000000000003E+137</v>
      </c>
      <c r="K2275" s="19">
        <f t="shared" si="397"/>
        <v>4629</v>
      </c>
    </row>
    <row r="2276" spans="1:11">
      <c r="A2276">
        <v>2274</v>
      </c>
      <c r="B2276">
        <v>8.200000000000001E+78</v>
      </c>
      <c r="D2276" s="18">
        <v>2274</v>
      </c>
      <c r="E2276" s="18" cm="1">
        <f t="array" aca="1" ref="E2276" ca="1">INDIRECT("b"&amp;F2276+2)</f>
        <v>7.2999999999999995E+107</v>
      </c>
      <c r="F2276" s="18">
        <f t="shared" si="401"/>
        <v>3430</v>
      </c>
      <c r="G2276" s="18"/>
      <c r="H2276" s="18"/>
      <c r="I2276" s="19">
        <v>2274</v>
      </c>
      <c r="J2276" s="19" cm="1">
        <f t="array" aca="1" ref="J2276" ca="1">INDIRECT("b"&amp;K2276+2)</f>
        <v>7.2999999999999997E+137</v>
      </c>
      <c r="K2276" s="19">
        <f t="shared" si="397"/>
        <v>4630</v>
      </c>
    </row>
    <row r="2277" spans="1:11">
      <c r="A2277">
        <v>2275</v>
      </c>
      <c r="B2277">
        <v>8.4250000000000008E+78</v>
      </c>
      <c r="D2277" s="18">
        <v>2275</v>
      </c>
      <c r="E2277" s="18" cm="1">
        <f t="array" aca="1" ref="E2277" ca="1">INDIRECT("b"&amp;F2277+2)</f>
        <v>7.7500000000000003E+107</v>
      </c>
      <c r="F2277" s="18">
        <f t="shared" si="401"/>
        <v>3432</v>
      </c>
      <c r="G2277" s="18"/>
      <c r="H2277" s="18"/>
      <c r="I2277" s="19">
        <v>2275</v>
      </c>
      <c r="J2277" s="19" cm="1">
        <f t="array" aca="1" ref="J2277" ca="1">INDIRECT("b"&amp;K2277+2)</f>
        <v>7.7499999999999994E+137</v>
      </c>
      <c r="K2277" s="19">
        <f t="shared" si="397"/>
        <v>4632</v>
      </c>
    </row>
    <row r="2278" spans="1:11">
      <c r="A2278">
        <v>2276</v>
      </c>
      <c r="B2278">
        <v>8.6500000000000007E+78</v>
      </c>
      <c r="D2278" s="18">
        <v>2276</v>
      </c>
      <c r="E2278" s="18" cm="1">
        <f t="array" aca="1" ref="E2278" ca="1">INDIRECT("b"&amp;F2278+2)</f>
        <v>7.9750000000000001E+107</v>
      </c>
      <c r="F2278" s="18">
        <f t="shared" si="401"/>
        <v>3433</v>
      </c>
      <c r="G2278" s="18"/>
      <c r="H2278" s="18"/>
      <c r="I2278" s="19">
        <v>2276</v>
      </c>
      <c r="J2278" s="19" cm="1">
        <f t="array" aca="1" ref="J2278" ca="1">INDIRECT("b"&amp;K2278+2)</f>
        <v>7.9750000000000005E+137</v>
      </c>
      <c r="K2278" s="19">
        <f t="shared" si="397"/>
        <v>4633</v>
      </c>
    </row>
    <row r="2279" spans="1:11">
      <c r="A2279">
        <v>2277</v>
      </c>
      <c r="B2279">
        <v>8.8750000000000005E+78</v>
      </c>
      <c r="D2279" s="18">
        <v>2277</v>
      </c>
      <c r="E2279" s="18" cm="1">
        <f t="array" aca="1" ref="E2279" ca="1">INDIRECT("b"&amp;F2279+2)</f>
        <v>8.1999999999999998E+107</v>
      </c>
      <c r="F2279" s="18">
        <f t="shared" si="401"/>
        <v>3434</v>
      </c>
      <c r="G2279" s="18"/>
      <c r="H2279" s="18"/>
      <c r="I2279" s="19">
        <v>2277</v>
      </c>
      <c r="J2279" s="19" cm="1">
        <f t="array" aca="1" ref="J2279" ca="1">INDIRECT("b"&amp;K2279+2)</f>
        <v>8.1999999999999999E+137</v>
      </c>
      <c r="K2279" s="19">
        <f t="shared" si="397"/>
        <v>4634</v>
      </c>
    </row>
    <row r="2280" spans="1:11">
      <c r="A2280">
        <v>2278</v>
      </c>
      <c r="B2280">
        <v>9.1000000000000003E+78</v>
      </c>
      <c r="D2280" s="18">
        <v>2278</v>
      </c>
      <c r="E2280" s="18" cm="1">
        <f t="array" aca="1" ref="E2280" ca="1">INDIRECT("b"&amp;F2280+2)</f>
        <v>8.6499999999999993E+107</v>
      </c>
      <c r="F2280" s="18">
        <f t="shared" si="401"/>
        <v>3436</v>
      </c>
      <c r="G2280" s="18">
        <f t="shared" ref="G2280" ca="1" si="406">E2280/E2275</f>
        <v>1.2226148409893993</v>
      </c>
      <c r="H2280" s="18"/>
      <c r="I2280" s="19">
        <v>2278</v>
      </c>
      <c r="J2280" s="19" cm="1">
        <f t="array" aca="1" ref="J2280" ca="1">INDIRECT("b"&amp;K2280+2)</f>
        <v>8.6500000000000004E+137</v>
      </c>
      <c r="K2280" s="19">
        <f t="shared" si="397"/>
        <v>4636</v>
      </c>
    </row>
    <row r="2281" spans="1:11">
      <c r="A2281">
        <v>2279</v>
      </c>
      <c r="B2281">
        <v>9.3250000000000002E+78</v>
      </c>
      <c r="D2281" s="18">
        <v>2279</v>
      </c>
      <c r="E2281" s="18" cm="1">
        <f t="array" aca="1" ref="E2281" ca="1">INDIRECT("b"&amp;F2281+2)</f>
        <v>8.8750000000000003E+107</v>
      </c>
      <c r="F2281" s="18">
        <f t="shared" si="401"/>
        <v>3437</v>
      </c>
      <c r="G2281" s="18"/>
      <c r="H2281" s="18"/>
      <c r="I2281" s="19">
        <v>2279</v>
      </c>
      <c r="J2281" s="19" cm="1">
        <f t="array" aca="1" ref="J2281" ca="1">INDIRECT("b"&amp;K2281+2)</f>
        <v>8.8749999999999999E+137</v>
      </c>
      <c r="K2281" s="19">
        <f t="shared" si="397"/>
        <v>4637</v>
      </c>
    </row>
    <row r="2282" spans="1:11">
      <c r="A2282">
        <v>2280</v>
      </c>
      <c r="B2282">
        <v>9.55E+78</v>
      </c>
      <c r="D2282" s="18">
        <v>2280</v>
      </c>
      <c r="E2282" s="18" cm="1">
        <f t="array" aca="1" ref="E2282" ca="1">INDIRECT("b"&amp;F2282+2)</f>
        <v>9.1000000000000001E+107</v>
      </c>
      <c r="F2282" s="18">
        <f t="shared" si="401"/>
        <v>3438</v>
      </c>
      <c r="G2282" s="18"/>
      <c r="H2282" s="18"/>
      <c r="I2282" s="19">
        <v>2280</v>
      </c>
      <c r="J2282" s="19" cm="1">
        <f t="array" aca="1" ref="J2282" ca="1">INDIRECT("b"&amp;K2282+2)</f>
        <v>9.0999999999999993E+137</v>
      </c>
      <c r="K2282" s="19">
        <f t="shared" si="397"/>
        <v>4638</v>
      </c>
    </row>
    <row r="2283" spans="1:11">
      <c r="A2283">
        <v>2281</v>
      </c>
      <c r="B2283">
        <v>9.7750000000000015E+78</v>
      </c>
      <c r="D2283" s="18">
        <v>2281</v>
      </c>
      <c r="E2283" s="18" cm="1">
        <f t="array" aca="1" ref="E2283" ca="1">INDIRECT("b"&amp;F2283+2)</f>
        <v>9.5499999999999996E+107</v>
      </c>
      <c r="F2283" s="18">
        <f t="shared" si="401"/>
        <v>3440</v>
      </c>
      <c r="G2283" s="18"/>
      <c r="H2283" s="18"/>
      <c r="I2283" s="19">
        <v>2281</v>
      </c>
      <c r="J2283" s="19" cm="1">
        <f t="array" aca="1" ref="J2283" ca="1">INDIRECT("b"&amp;K2283+2)</f>
        <v>9.5499999999999998E+137</v>
      </c>
      <c r="K2283" s="19">
        <f t="shared" si="397"/>
        <v>4640</v>
      </c>
    </row>
    <row r="2284" spans="1:11">
      <c r="A2284">
        <v>2282</v>
      </c>
      <c r="B2284">
        <v>9.9999999999999997E+78</v>
      </c>
      <c r="D2284" s="18">
        <v>2282</v>
      </c>
      <c r="E2284" s="18" cm="1">
        <f t="array" aca="1" ref="E2284" ca="1">INDIRECT("b"&amp;F2284+2)</f>
        <v>9.7749999999999993E+107</v>
      </c>
      <c r="F2284" s="18">
        <f t="shared" si="401"/>
        <v>3441</v>
      </c>
      <c r="G2284" s="18"/>
      <c r="H2284" s="18"/>
      <c r="I2284" s="19">
        <v>2282</v>
      </c>
      <c r="J2284" s="19" cm="1">
        <f t="array" aca="1" ref="J2284" ca="1">INDIRECT("b"&amp;K2284+2)</f>
        <v>9.7749999999999992E+137</v>
      </c>
      <c r="K2284" s="19">
        <f t="shared" si="397"/>
        <v>4641</v>
      </c>
    </row>
    <row r="2285" spans="1:11">
      <c r="A2285">
        <v>2283</v>
      </c>
      <c r="B2285">
        <v>1.2250000000000001E+79</v>
      </c>
      <c r="D2285" s="18">
        <v>2283</v>
      </c>
      <c r="E2285" s="18" cm="1">
        <f t="array" aca="1" ref="E2285" ca="1">INDIRECT("b"&amp;F2285+2)</f>
        <v>1E+108</v>
      </c>
      <c r="F2285" s="18">
        <f t="shared" si="401"/>
        <v>3442</v>
      </c>
      <c r="G2285" s="18">
        <f t="shared" ref="G2285" ca="1" si="407">E2285/E2280</f>
        <v>1.1560693641618498</v>
      </c>
      <c r="H2285" s="18"/>
      <c r="I2285" s="19">
        <v>2283</v>
      </c>
      <c r="J2285" s="19" cm="1">
        <f t="array" aca="1" ref="J2285" ca="1">INDIRECT("b"&amp;K2285+2)</f>
        <v>1E+138</v>
      </c>
      <c r="K2285" s="19">
        <f t="shared" si="397"/>
        <v>4642</v>
      </c>
    </row>
    <row r="2286" spans="1:11">
      <c r="A2286">
        <v>2284</v>
      </c>
      <c r="B2286">
        <v>1.4500000000000001E+79</v>
      </c>
      <c r="D2286" s="18">
        <v>2284</v>
      </c>
      <c r="E2286" s="18" cm="1">
        <f t="array" aca="1" ref="E2286" ca="1">INDIRECT("b"&amp;F2286+2)</f>
        <v>1.45E+108</v>
      </c>
      <c r="F2286" s="18">
        <f t="shared" si="401"/>
        <v>3444</v>
      </c>
      <c r="G2286" s="18"/>
      <c r="H2286" s="18"/>
      <c r="I2286" s="19">
        <v>2284</v>
      </c>
      <c r="J2286" s="19" cm="1">
        <f t="array" aca="1" ref="J2286" ca="1">INDIRECT("b"&amp;K2286+2)</f>
        <v>1.45E+138</v>
      </c>
      <c r="K2286" s="19">
        <f t="shared" si="397"/>
        <v>4644</v>
      </c>
    </row>
    <row r="2287" spans="1:11">
      <c r="A2287">
        <v>2285</v>
      </c>
      <c r="B2287">
        <v>1.675E+79</v>
      </c>
      <c r="D2287" s="18">
        <v>2285</v>
      </c>
      <c r="E2287" s="18" cm="1">
        <f t="array" aca="1" ref="E2287" ca="1">INDIRECT("b"&amp;F2287+2)</f>
        <v>1.675E+108</v>
      </c>
      <c r="F2287" s="18">
        <f t="shared" si="401"/>
        <v>3445</v>
      </c>
      <c r="G2287" s="18"/>
      <c r="H2287" s="18"/>
      <c r="I2287" s="19">
        <v>2285</v>
      </c>
      <c r="J2287" s="19" cm="1">
        <f t="array" aca="1" ref="J2287" ca="1">INDIRECT("b"&amp;K2287+2)</f>
        <v>1.675E+138</v>
      </c>
      <c r="K2287" s="19">
        <f t="shared" si="397"/>
        <v>4645</v>
      </c>
    </row>
    <row r="2288" spans="1:11">
      <c r="A2288">
        <v>2286</v>
      </c>
      <c r="B2288">
        <v>1.9000000000000001E+79</v>
      </c>
      <c r="D2288" s="18">
        <v>2286</v>
      </c>
      <c r="E2288" s="18" cm="1">
        <f t="array" aca="1" ref="E2288" ca="1">INDIRECT("b"&amp;F2288+2)</f>
        <v>1.9E+108</v>
      </c>
      <c r="F2288" s="18">
        <f t="shared" si="401"/>
        <v>3446</v>
      </c>
      <c r="G2288" s="18"/>
      <c r="H2288" s="18"/>
      <c r="I2288" s="19">
        <v>2286</v>
      </c>
      <c r="J2288" s="19" cm="1">
        <f t="array" aca="1" ref="J2288" ca="1">INDIRECT("b"&amp;K2288+2)</f>
        <v>1.9000000000000001E+138</v>
      </c>
      <c r="K2288" s="19">
        <f t="shared" si="397"/>
        <v>4646</v>
      </c>
    </row>
    <row r="2289" spans="1:11">
      <c r="A2289">
        <v>2287</v>
      </c>
      <c r="B2289">
        <v>2.125E+79</v>
      </c>
      <c r="D2289" s="18">
        <v>2287</v>
      </c>
      <c r="E2289" s="18" cm="1">
        <f t="array" aca="1" ref="E2289" ca="1">INDIRECT("b"&amp;F2289+2)</f>
        <v>2.3499999999999998E+108</v>
      </c>
      <c r="F2289" s="18">
        <f t="shared" si="401"/>
        <v>3448</v>
      </c>
      <c r="G2289" s="18"/>
      <c r="H2289" s="18"/>
      <c r="I2289" s="19">
        <v>2287</v>
      </c>
      <c r="J2289" s="19" cm="1">
        <f t="array" aca="1" ref="J2289" ca="1">INDIRECT("b"&amp;K2289+2)</f>
        <v>2.3500000000000002E+138</v>
      </c>
      <c r="K2289" s="19">
        <f t="shared" si="397"/>
        <v>4648</v>
      </c>
    </row>
    <row r="2290" spans="1:11">
      <c r="A2290">
        <v>2288</v>
      </c>
      <c r="B2290">
        <v>2.3500000000000001E+79</v>
      </c>
      <c r="D2290" s="18">
        <v>2288</v>
      </c>
      <c r="E2290" s="18" cm="1">
        <f t="array" aca="1" ref="E2290" ca="1">INDIRECT("b"&amp;F2290+2)</f>
        <v>2.5749999999999998E+108</v>
      </c>
      <c r="F2290" s="18">
        <f t="shared" si="401"/>
        <v>3449</v>
      </c>
      <c r="G2290" s="18">
        <f t="shared" ref="G2290" ca="1" si="408">E2290/E2285</f>
        <v>2.5749999999999997</v>
      </c>
      <c r="H2290" s="18"/>
      <c r="I2290" s="19">
        <v>2288</v>
      </c>
      <c r="J2290" s="19" cm="1">
        <f t="array" aca="1" ref="J2290" ca="1">INDIRECT("b"&amp;K2290+2)</f>
        <v>2.575E+138</v>
      </c>
      <c r="K2290" s="19">
        <f t="shared" si="397"/>
        <v>4649</v>
      </c>
    </row>
    <row r="2291" spans="1:11">
      <c r="A2291">
        <v>2289</v>
      </c>
      <c r="B2291">
        <v>2.5749999999999999E+79</v>
      </c>
      <c r="D2291" s="18">
        <v>2289</v>
      </c>
      <c r="E2291" s="18" cm="1">
        <f t="array" aca="1" ref="E2291" ca="1">INDIRECT("b"&amp;F2291+2)</f>
        <v>2.8000000000000003E+108</v>
      </c>
      <c r="F2291" s="18">
        <f t="shared" si="401"/>
        <v>3450</v>
      </c>
      <c r="G2291" s="18"/>
      <c r="H2291" s="18"/>
      <c r="I2291" s="19">
        <v>2289</v>
      </c>
      <c r="J2291" s="19" cm="1">
        <f t="array" aca="1" ref="J2291" ca="1">INDIRECT("b"&amp;K2291+2)</f>
        <v>2.8000000000000001E+138</v>
      </c>
      <c r="K2291" s="19">
        <f t="shared" si="397"/>
        <v>4650</v>
      </c>
    </row>
    <row r="2292" spans="1:11">
      <c r="A2292">
        <v>2290</v>
      </c>
      <c r="B2292">
        <v>2.8000000000000001E+79</v>
      </c>
      <c r="D2292" s="18">
        <v>2290</v>
      </c>
      <c r="E2292" s="18" cm="1">
        <f t="array" aca="1" ref="E2292" ca="1">INDIRECT("b"&amp;F2292+2)</f>
        <v>3.2500000000000003E+108</v>
      </c>
      <c r="F2292" s="18">
        <f t="shared" si="401"/>
        <v>3452</v>
      </c>
      <c r="G2292" s="18"/>
      <c r="H2292" s="18"/>
      <c r="I2292" s="19">
        <v>2290</v>
      </c>
      <c r="J2292" s="19" cm="1">
        <f t="array" aca="1" ref="J2292" ca="1">INDIRECT("b"&amp;K2292+2)</f>
        <v>3.2500000000000003E+138</v>
      </c>
      <c r="K2292" s="19">
        <f t="shared" si="397"/>
        <v>4652</v>
      </c>
    </row>
    <row r="2293" spans="1:11">
      <c r="A2293">
        <v>2291</v>
      </c>
      <c r="B2293">
        <v>3.0250000000000003E+79</v>
      </c>
      <c r="D2293" s="18">
        <v>2291</v>
      </c>
      <c r="E2293" s="18" cm="1">
        <f t="array" aca="1" ref="E2293" ca="1">INDIRECT("b"&amp;F2293+2)</f>
        <v>3.4750000000000003E+108</v>
      </c>
      <c r="F2293" s="18">
        <f t="shared" si="401"/>
        <v>3453</v>
      </c>
      <c r="G2293" s="18"/>
      <c r="H2293" s="18"/>
      <c r="I2293" s="19">
        <v>2291</v>
      </c>
      <c r="J2293" s="19" cm="1">
        <f t="array" aca="1" ref="J2293" ca="1">INDIRECT("b"&amp;K2293+2)</f>
        <v>3.475E+138</v>
      </c>
      <c r="K2293" s="19">
        <f t="shared" si="397"/>
        <v>4653</v>
      </c>
    </row>
    <row r="2294" spans="1:11">
      <c r="A2294">
        <v>2292</v>
      </c>
      <c r="B2294">
        <v>3.2500000000000004E+79</v>
      </c>
      <c r="D2294" s="18">
        <v>2292</v>
      </c>
      <c r="E2294" s="18" cm="1">
        <f t="array" aca="1" ref="E2294" ca="1">INDIRECT("b"&amp;F2294+2)</f>
        <v>3.7000000000000003E+108</v>
      </c>
      <c r="F2294" s="18">
        <f t="shared" si="401"/>
        <v>3454</v>
      </c>
      <c r="G2294" s="18"/>
      <c r="H2294" s="18"/>
      <c r="I2294" s="19">
        <v>2292</v>
      </c>
      <c r="J2294" s="19" cm="1">
        <f t="array" aca="1" ref="J2294" ca="1">INDIRECT("b"&amp;K2294+2)</f>
        <v>3.7000000000000005E+138</v>
      </c>
      <c r="K2294" s="19">
        <f t="shared" si="397"/>
        <v>4654</v>
      </c>
    </row>
    <row r="2295" spans="1:11">
      <c r="A2295">
        <v>2293</v>
      </c>
      <c r="B2295">
        <v>3.4749999999999999E+79</v>
      </c>
      <c r="D2295" s="18">
        <v>2293</v>
      </c>
      <c r="E2295" s="18" cm="1">
        <f t="array" aca="1" ref="E2295" ca="1">INDIRECT("b"&amp;F2295+2)</f>
        <v>4.1500000000000003E+108</v>
      </c>
      <c r="F2295" s="18">
        <f t="shared" si="401"/>
        <v>3456</v>
      </c>
      <c r="G2295" s="18">
        <f t="shared" ref="G2295" ca="1" si="409">E2295/E2290</f>
        <v>1.6116504854368934</v>
      </c>
      <c r="H2295" s="18"/>
      <c r="I2295" s="19">
        <v>2293</v>
      </c>
      <c r="J2295" s="19" cm="1">
        <f t="array" aca="1" ref="J2295" ca="1">INDIRECT("b"&amp;K2295+2)</f>
        <v>4.15E+138</v>
      </c>
      <c r="K2295" s="19">
        <f t="shared" si="397"/>
        <v>4656</v>
      </c>
    </row>
    <row r="2296" spans="1:11">
      <c r="A2296">
        <v>2294</v>
      </c>
      <c r="B2296">
        <v>3.7000000000000001E+79</v>
      </c>
      <c r="D2296" s="18">
        <v>2294</v>
      </c>
      <c r="E2296" s="18" cm="1">
        <f t="array" aca="1" ref="E2296" ca="1">INDIRECT("b"&amp;F2296+2)</f>
        <v>4.3750000000000003E+108</v>
      </c>
      <c r="F2296" s="18">
        <f t="shared" si="401"/>
        <v>3457</v>
      </c>
      <c r="G2296" s="18"/>
      <c r="H2296" s="18"/>
      <c r="I2296" s="19">
        <v>2294</v>
      </c>
      <c r="J2296" s="19" cm="1">
        <f t="array" aca="1" ref="J2296" ca="1">INDIRECT("b"&amp;K2296+2)</f>
        <v>4.3750000000000004E+138</v>
      </c>
      <c r="K2296" s="19">
        <f t="shared" si="397"/>
        <v>4657</v>
      </c>
    </row>
    <row r="2297" spans="1:11">
      <c r="A2297">
        <v>2295</v>
      </c>
      <c r="B2297">
        <v>3.9250000000000003E+79</v>
      </c>
      <c r="D2297" s="18">
        <v>2295</v>
      </c>
      <c r="E2297" s="18" cm="1">
        <f t="array" aca="1" ref="E2297" ca="1">INDIRECT("b"&amp;F2297+2)</f>
        <v>4.6000000000000003E+108</v>
      </c>
      <c r="F2297" s="18">
        <f t="shared" si="401"/>
        <v>3458</v>
      </c>
      <c r="G2297" s="18"/>
      <c r="H2297" s="18"/>
      <c r="I2297" s="19">
        <v>2295</v>
      </c>
      <c r="J2297" s="19" cm="1">
        <f t="array" aca="1" ref="J2297" ca="1">INDIRECT("b"&amp;K2297+2)</f>
        <v>4.6000000000000002E+138</v>
      </c>
      <c r="K2297" s="19">
        <f t="shared" si="397"/>
        <v>4658</v>
      </c>
    </row>
    <row r="2298" spans="1:11">
      <c r="A2298">
        <v>2296</v>
      </c>
      <c r="B2298">
        <v>4.1500000000000004E+79</v>
      </c>
      <c r="D2298" s="18">
        <v>2296</v>
      </c>
      <c r="E2298" s="18" cm="1">
        <f t="array" aca="1" ref="E2298" ca="1">INDIRECT("b"&amp;F2298+2)</f>
        <v>5.0499999999999998E+108</v>
      </c>
      <c r="F2298" s="18">
        <f t="shared" si="401"/>
        <v>3460</v>
      </c>
      <c r="G2298" s="18"/>
      <c r="H2298" s="18"/>
      <c r="I2298" s="19">
        <v>2296</v>
      </c>
      <c r="J2298" s="19" cm="1">
        <f t="array" aca="1" ref="J2298" ca="1">INDIRECT("b"&amp;K2298+2)</f>
        <v>5.0500000000000003E+138</v>
      </c>
      <c r="K2298" s="19">
        <f t="shared" si="397"/>
        <v>4660</v>
      </c>
    </row>
    <row r="2299" spans="1:11">
      <c r="A2299">
        <v>2297</v>
      </c>
      <c r="B2299">
        <v>4.3749999999999999E+79</v>
      </c>
      <c r="D2299" s="18">
        <v>2297</v>
      </c>
      <c r="E2299" s="18" cm="1">
        <f t="array" aca="1" ref="E2299" ca="1">INDIRECT("b"&amp;F2299+2)</f>
        <v>5.2750000000000003E+108</v>
      </c>
      <c r="F2299" s="18">
        <f t="shared" si="401"/>
        <v>3461</v>
      </c>
      <c r="G2299" s="18"/>
      <c r="H2299" s="18"/>
      <c r="I2299" s="19">
        <v>2297</v>
      </c>
      <c r="J2299" s="19" cm="1">
        <f t="array" aca="1" ref="J2299" ca="1">INDIRECT("b"&amp;K2299+2)</f>
        <v>5.2750000000000001E+138</v>
      </c>
      <c r="K2299" s="19">
        <f t="shared" si="397"/>
        <v>4661</v>
      </c>
    </row>
    <row r="2300" spans="1:11">
      <c r="A2300">
        <v>2298</v>
      </c>
      <c r="B2300">
        <v>4.6000000000000001E+79</v>
      </c>
      <c r="D2300" s="18">
        <v>2298</v>
      </c>
      <c r="E2300" s="18" cm="1">
        <f t="array" aca="1" ref="E2300" ca="1">INDIRECT("b"&amp;F2300+2)</f>
        <v>5.4999999999999998E+108</v>
      </c>
      <c r="F2300" s="18">
        <f t="shared" si="401"/>
        <v>3462</v>
      </c>
      <c r="G2300" s="18">
        <f t="shared" ref="G2300" ca="1" si="410">E2300/E2295</f>
        <v>1.3253012048192769</v>
      </c>
      <c r="H2300" s="18"/>
      <c r="I2300" s="19">
        <v>2298</v>
      </c>
      <c r="J2300" s="19" cm="1">
        <f t="array" aca="1" ref="J2300" ca="1">INDIRECT("b"&amp;K2300+2)</f>
        <v>5.5000000000000005E+138</v>
      </c>
      <c r="K2300" s="19">
        <f t="shared" si="397"/>
        <v>4662</v>
      </c>
    </row>
    <row r="2301" spans="1:11">
      <c r="A2301">
        <v>2299</v>
      </c>
      <c r="B2301">
        <v>4.8250000000000002E+79</v>
      </c>
      <c r="D2301" s="18">
        <v>2299</v>
      </c>
      <c r="E2301" s="18" cm="1">
        <f t="array" aca="1" ref="E2301" ca="1">INDIRECT("b"&amp;F2301+2)</f>
        <v>5.9499999999999998E+108</v>
      </c>
      <c r="F2301" s="18">
        <f t="shared" si="401"/>
        <v>3464</v>
      </c>
      <c r="G2301" s="18"/>
      <c r="H2301" s="18"/>
      <c r="I2301" s="19">
        <v>2299</v>
      </c>
      <c r="J2301" s="19" cm="1">
        <f t="array" aca="1" ref="J2301" ca="1">INDIRECT("b"&amp;K2301+2)</f>
        <v>5.95E+138</v>
      </c>
      <c r="K2301" s="19">
        <f t="shared" si="397"/>
        <v>4664</v>
      </c>
    </row>
    <row r="2302" spans="1:11">
      <c r="A2302">
        <v>2300</v>
      </c>
      <c r="B2302">
        <v>5.0500000000000004E+79</v>
      </c>
      <c r="D2302" s="18">
        <v>2300</v>
      </c>
      <c r="E2302" s="18" cm="1">
        <f t="array" aca="1" ref="E2302" ca="1">INDIRECT("b"&amp;F2302+2)</f>
        <v>6.1750000000000003E+108</v>
      </c>
      <c r="F2302" s="18">
        <f t="shared" si="401"/>
        <v>3465</v>
      </c>
      <c r="G2302" s="18"/>
      <c r="H2302" s="18"/>
      <c r="I2302" s="19">
        <v>2300</v>
      </c>
      <c r="J2302" s="19" cm="1">
        <f t="array" aca="1" ref="J2302" ca="1">INDIRECT("b"&amp;K2302+2)</f>
        <v>6.1749999999999998E+138</v>
      </c>
      <c r="K2302" s="19">
        <f t="shared" si="397"/>
        <v>4665</v>
      </c>
    </row>
    <row r="2303" spans="1:11">
      <c r="A2303">
        <v>2301</v>
      </c>
      <c r="B2303">
        <v>5.2749999999999999E+79</v>
      </c>
      <c r="D2303" s="18">
        <v>2301</v>
      </c>
      <c r="E2303" s="18" cm="1">
        <f t="array" aca="1" ref="E2303" ca="1">INDIRECT("b"&amp;F2303+2)</f>
        <v>6.3999999999999998E+108</v>
      </c>
      <c r="F2303" s="18">
        <f t="shared" si="401"/>
        <v>3466</v>
      </c>
      <c r="G2303" s="18"/>
      <c r="H2303" s="18"/>
      <c r="I2303" s="19">
        <v>2301</v>
      </c>
      <c r="J2303" s="19" cm="1">
        <f t="array" aca="1" ref="J2303" ca="1">INDIRECT("b"&amp;K2303+2)</f>
        <v>6.4000000000000002E+138</v>
      </c>
      <c r="K2303" s="19">
        <f t="shared" si="397"/>
        <v>4666</v>
      </c>
    </row>
    <row r="2304" spans="1:11">
      <c r="A2304">
        <v>2302</v>
      </c>
      <c r="B2304">
        <v>5.5000000000000001E+79</v>
      </c>
      <c r="D2304" s="18">
        <v>2302</v>
      </c>
      <c r="E2304" s="18" cm="1">
        <f t="array" aca="1" ref="E2304" ca="1">INDIRECT("b"&amp;F2304+2)</f>
        <v>6.8499999999999998E+108</v>
      </c>
      <c r="F2304" s="18">
        <f t="shared" si="401"/>
        <v>3468</v>
      </c>
      <c r="G2304" s="18"/>
      <c r="H2304" s="18"/>
      <c r="I2304" s="19">
        <v>2302</v>
      </c>
      <c r="J2304" s="19" cm="1">
        <f t="array" aca="1" ref="J2304" ca="1">INDIRECT("b"&amp;K2304+2)</f>
        <v>6.8500000000000011E+138</v>
      </c>
      <c r="K2304" s="19">
        <f t="shared" si="397"/>
        <v>4668</v>
      </c>
    </row>
    <row r="2305" spans="1:11">
      <c r="A2305">
        <v>2303</v>
      </c>
      <c r="B2305">
        <v>5.7250000000000002E+79</v>
      </c>
      <c r="D2305" s="18">
        <v>2303</v>
      </c>
      <c r="E2305" s="18" cm="1">
        <f t="array" aca="1" ref="E2305" ca="1">INDIRECT("b"&amp;F2305+2)</f>
        <v>7.0750000000000003E+108</v>
      </c>
      <c r="F2305" s="18">
        <f t="shared" si="401"/>
        <v>3469</v>
      </c>
      <c r="G2305" s="18">
        <f t="shared" ref="G2305" ca="1" si="411">E2305/E2300</f>
        <v>1.2863636363636364</v>
      </c>
      <c r="H2305" s="18"/>
      <c r="I2305" s="19">
        <v>2303</v>
      </c>
      <c r="J2305" s="19" cm="1">
        <f t="array" aca="1" ref="J2305" ca="1">INDIRECT("b"&amp;K2305+2)</f>
        <v>7.0750000000000001E+138</v>
      </c>
      <c r="K2305" s="19">
        <f t="shared" si="397"/>
        <v>4669</v>
      </c>
    </row>
    <row r="2306" spans="1:11">
      <c r="A2306">
        <v>2304</v>
      </c>
      <c r="B2306">
        <v>5.9499999999999997E+79</v>
      </c>
      <c r="D2306" s="18">
        <v>2304</v>
      </c>
      <c r="E2306" s="18" cm="1">
        <f t="array" aca="1" ref="E2306" ca="1">INDIRECT("b"&amp;F2306+2)</f>
        <v>7.2999999999999998E+108</v>
      </c>
      <c r="F2306" s="18">
        <f t="shared" si="401"/>
        <v>3470</v>
      </c>
      <c r="G2306" s="18"/>
      <c r="H2306" s="18"/>
      <c r="I2306" s="19">
        <v>2304</v>
      </c>
      <c r="J2306" s="19" cm="1">
        <f t="array" aca="1" ref="J2306" ca="1">INDIRECT("b"&amp;K2306+2)</f>
        <v>7.3000000000000006E+138</v>
      </c>
      <c r="K2306" s="19">
        <f t="shared" si="397"/>
        <v>4670</v>
      </c>
    </row>
    <row r="2307" spans="1:11">
      <c r="A2307">
        <v>2305</v>
      </c>
      <c r="B2307">
        <v>6.1750000000000006E+79</v>
      </c>
      <c r="D2307" s="18">
        <v>2305</v>
      </c>
      <c r="E2307" s="18" cm="1">
        <f t="array" aca="1" ref="E2307" ca="1">INDIRECT("b"&amp;F2307+2)</f>
        <v>7.7499999999999998E+108</v>
      </c>
      <c r="F2307" s="18">
        <f t="shared" si="401"/>
        <v>3472</v>
      </c>
      <c r="G2307" s="18"/>
      <c r="H2307" s="18"/>
      <c r="I2307" s="19">
        <v>2305</v>
      </c>
      <c r="J2307" s="19" cm="1">
        <f t="array" aca="1" ref="J2307" ca="1">INDIRECT("b"&amp;K2307+2)</f>
        <v>7.7500000000000001E+138</v>
      </c>
      <c r="K2307" s="19">
        <f t="shared" si="397"/>
        <v>4672</v>
      </c>
    </row>
    <row r="2308" spans="1:11">
      <c r="A2308">
        <v>2306</v>
      </c>
      <c r="B2308">
        <v>6.4000000000000001E+79</v>
      </c>
      <c r="D2308" s="18">
        <v>2306</v>
      </c>
      <c r="E2308" s="18" cm="1">
        <f t="array" aca="1" ref="E2308" ca="1">INDIRECT("b"&amp;F2308+2)</f>
        <v>7.9750000000000003E+108</v>
      </c>
      <c r="F2308" s="18">
        <f t="shared" si="401"/>
        <v>3473</v>
      </c>
      <c r="G2308" s="18"/>
      <c r="H2308" s="18"/>
      <c r="I2308" s="19">
        <v>2306</v>
      </c>
      <c r="J2308" s="19" cm="1">
        <f t="array" aca="1" ref="J2308" ca="1">INDIRECT("b"&amp;K2308+2)</f>
        <v>7.9750000000000005E+138</v>
      </c>
      <c r="K2308" s="19">
        <f t="shared" ref="K2308:K2371" si="412">INT((A2308-1)*40/30+900*40/30)+400</f>
        <v>4673</v>
      </c>
    </row>
    <row r="2309" spans="1:11">
      <c r="A2309">
        <v>2307</v>
      </c>
      <c r="B2309">
        <v>6.6250000000000009E+79</v>
      </c>
      <c r="D2309" s="18">
        <v>2307</v>
      </c>
      <c r="E2309" s="18" cm="1">
        <f t="array" aca="1" ref="E2309" ca="1">INDIRECT("b"&amp;F2309+2)</f>
        <v>8.1999999999999998E+108</v>
      </c>
      <c r="F2309" s="18">
        <f t="shared" si="401"/>
        <v>3474</v>
      </c>
      <c r="G2309" s="18"/>
      <c r="H2309" s="18"/>
      <c r="I2309" s="19">
        <v>2307</v>
      </c>
      <c r="J2309" s="19" cm="1">
        <f t="array" aca="1" ref="J2309" ca="1">INDIRECT("b"&amp;K2309+2)</f>
        <v>8.2000000000000009E+138</v>
      </c>
      <c r="K2309" s="19">
        <f t="shared" si="412"/>
        <v>4674</v>
      </c>
    </row>
    <row r="2310" spans="1:11">
      <c r="A2310">
        <v>2308</v>
      </c>
      <c r="B2310">
        <v>6.8500000000000004E+79</v>
      </c>
      <c r="D2310" s="18">
        <v>2308</v>
      </c>
      <c r="E2310" s="18" cm="1">
        <f t="array" aca="1" ref="E2310" ca="1">INDIRECT("b"&amp;F2310+2)</f>
        <v>8.6499999999999998E+108</v>
      </c>
      <c r="F2310" s="18">
        <f t="shared" si="401"/>
        <v>3476</v>
      </c>
      <c r="G2310" s="18">
        <f t="shared" ref="G2310" ca="1" si="413">E2310/E2305</f>
        <v>1.2226148409893993</v>
      </c>
      <c r="H2310" s="18"/>
      <c r="I2310" s="19">
        <v>2308</v>
      </c>
      <c r="J2310" s="19" cm="1">
        <f t="array" aca="1" ref="J2310" ca="1">INDIRECT("b"&amp;K2310+2)</f>
        <v>8.6500000000000004E+138</v>
      </c>
      <c r="K2310" s="19">
        <f t="shared" si="412"/>
        <v>4676</v>
      </c>
    </row>
    <row r="2311" spans="1:11">
      <c r="A2311">
        <v>2309</v>
      </c>
      <c r="B2311">
        <v>7.0749999999999999E+79</v>
      </c>
      <c r="D2311" s="18">
        <v>2309</v>
      </c>
      <c r="E2311" s="18" cm="1">
        <f t="array" aca="1" ref="E2311" ca="1">INDIRECT("b"&amp;F2311+2)</f>
        <v>8.8750000000000003E+108</v>
      </c>
      <c r="F2311" s="18">
        <f t="shared" si="401"/>
        <v>3477</v>
      </c>
      <c r="G2311" s="18"/>
      <c r="H2311" s="18"/>
      <c r="I2311" s="19">
        <v>2309</v>
      </c>
      <c r="J2311" s="19" cm="1">
        <f t="array" aca="1" ref="J2311" ca="1">INDIRECT("b"&amp;K2311+2)</f>
        <v>8.8750000000000009E+138</v>
      </c>
      <c r="K2311" s="19">
        <f t="shared" si="412"/>
        <v>4677</v>
      </c>
    </row>
    <row r="2312" spans="1:11">
      <c r="A2312">
        <v>2310</v>
      </c>
      <c r="B2312">
        <v>7.3000000000000007E+79</v>
      </c>
      <c r="D2312" s="18">
        <v>2310</v>
      </c>
      <c r="E2312" s="18" cm="1">
        <f t="array" aca="1" ref="E2312" ca="1">INDIRECT("b"&amp;F2312+2)</f>
        <v>9.0999999999999998E+108</v>
      </c>
      <c r="F2312" s="18">
        <f t="shared" si="401"/>
        <v>3478</v>
      </c>
      <c r="G2312" s="18"/>
      <c r="H2312" s="18"/>
      <c r="I2312" s="19">
        <v>2310</v>
      </c>
      <c r="J2312" s="19" cm="1">
        <f t="array" aca="1" ref="J2312" ca="1">INDIRECT("b"&amp;K2312+2)</f>
        <v>9.1E+138</v>
      </c>
      <c r="K2312" s="19">
        <f t="shared" si="412"/>
        <v>4678</v>
      </c>
    </row>
    <row r="2313" spans="1:11">
      <c r="A2313">
        <v>2311</v>
      </c>
      <c r="B2313">
        <v>7.5250000000000002E+79</v>
      </c>
      <c r="D2313" s="18">
        <v>2311</v>
      </c>
      <c r="E2313" s="18" cm="1">
        <f t="array" aca="1" ref="E2313" ca="1">INDIRECT("b"&amp;F2313+2)</f>
        <v>9.5500000000000009E+108</v>
      </c>
      <c r="F2313" s="18">
        <f t="shared" si="401"/>
        <v>3480</v>
      </c>
      <c r="G2313" s="18"/>
      <c r="H2313" s="18"/>
      <c r="I2313" s="19">
        <v>2311</v>
      </c>
      <c r="J2313" s="19" cm="1">
        <f t="array" aca="1" ref="J2313" ca="1">INDIRECT("b"&amp;K2313+2)</f>
        <v>9.5500000000000008E+138</v>
      </c>
      <c r="K2313" s="19">
        <f t="shared" si="412"/>
        <v>4680</v>
      </c>
    </row>
    <row r="2314" spans="1:11">
      <c r="A2314">
        <v>2312</v>
      </c>
      <c r="B2314">
        <v>7.7499999999999997E+79</v>
      </c>
      <c r="D2314" s="18">
        <v>2312</v>
      </c>
      <c r="E2314" s="18" cm="1">
        <f t="array" aca="1" ref="E2314" ca="1">INDIRECT("b"&amp;F2314+2)</f>
        <v>9.7750000000000003E+108</v>
      </c>
      <c r="F2314" s="18">
        <f t="shared" si="401"/>
        <v>3481</v>
      </c>
      <c r="G2314" s="18"/>
      <c r="H2314" s="18"/>
      <c r="I2314" s="19">
        <v>2312</v>
      </c>
      <c r="J2314" s="19" cm="1">
        <f t="array" aca="1" ref="J2314" ca="1">INDIRECT("b"&amp;K2314+2)</f>
        <v>9.7750000000000012E+138</v>
      </c>
      <c r="K2314" s="19">
        <f t="shared" si="412"/>
        <v>4681</v>
      </c>
    </row>
    <row r="2315" spans="1:11">
      <c r="A2315">
        <v>2313</v>
      </c>
      <c r="B2315">
        <v>7.9750000000000005E+79</v>
      </c>
      <c r="D2315" s="18">
        <v>2313</v>
      </c>
      <c r="E2315" s="18" cm="1">
        <f t="array" aca="1" ref="E2315" ca="1">INDIRECT("b"&amp;F2315+2)</f>
        <v>9.9999999999999998E+108</v>
      </c>
      <c r="F2315" s="18">
        <f t="shared" si="401"/>
        <v>3482</v>
      </c>
      <c r="G2315" s="18">
        <f t="shared" ref="G2315" ca="1" si="414">E2315/E2310</f>
        <v>1.1560693641618498</v>
      </c>
      <c r="H2315" s="18"/>
      <c r="I2315" s="19">
        <v>2313</v>
      </c>
      <c r="J2315" s="19" cm="1">
        <f t="array" aca="1" ref="J2315" ca="1">INDIRECT("b"&amp;K2315+2)</f>
        <v>9.999999999999999E+138</v>
      </c>
      <c r="K2315" s="19">
        <f t="shared" si="412"/>
        <v>4682</v>
      </c>
    </row>
    <row r="2316" spans="1:11">
      <c r="A2316">
        <v>2314</v>
      </c>
      <c r="B2316">
        <v>8.2E+79</v>
      </c>
      <c r="D2316" s="18">
        <v>2314</v>
      </c>
      <c r="E2316" s="18" cm="1">
        <f t="array" aca="1" ref="E2316" ca="1">INDIRECT("b"&amp;F2316+2)</f>
        <v>1.45E+109</v>
      </c>
      <c r="F2316" s="18">
        <f t="shared" si="401"/>
        <v>3484</v>
      </c>
      <c r="G2316" s="18"/>
      <c r="H2316" s="18"/>
      <c r="I2316" s="19">
        <v>2314</v>
      </c>
      <c r="J2316" s="19" cm="1">
        <f t="array" aca="1" ref="J2316" ca="1">INDIRECT("b"&amp;K2316+2)</f>
        <v>1.4499999999999999E+139</v>
      </c>
      <c r="K2316" s="19">
        <f t="shared" si="412"/>
        <v>4684</v>
      </c>
    </row>
    <row r="2317" spans="1:11">
      <c r="A2317">
        <v>2315</v>
      </c>
      <c r="B2317">
        <v>8.4250000000000008E+79</v>
      </c>
      <c r="D2317" s="18">
        <v>2315</v>
      </c>
      <c r="E2317" s="18" cm="1">
        <f t="array" aca="1" ref="E2317" ca="1">INDIRECT("b"&amp;F2317+2)</f>
        <v>1.6749999999999999E+109</v>
      </c>
      <c r="F2317" s="18">
        <f t="shared" si="401"/>
        <v>3485</v>
      </c>
      <c r="G2317" s="18"/>
      <c r="H2317" s="18"/>
      <c r="I2317" s="19">
        <v>2315</v>
      </c>
      <c r="J2317" s="19" cm="1">
        <f t="array" aca="1" ref="J2317" ca="1">INDIRECT("b"&amp;K2317+2)</f>
        <v>1.6749999999999998E+139</v>
      </c>
      <c r="K2317" s="19">
        <f t="shared" si="412"/>
        <v>4685</v>
      </c>
    </row>
    <row r="2318" spans="1:11">
      <c r="A2318">
        <v>2316</v>
      </c>
      <c r="B2318">
        <v>8.6500000000000004E+79</v>
      </c>
      <c r="D2318" s="18">
        <v>2316</v>
      </c>
      <c r="E2318" s="18" cm="1">
        <f t="array" aca="1" ref="E2318" ca="1">INDIRECT("b"&amp;F2318+2)</f>
        <v>1.8999999999999998E+109</v>
      </c>
      <c r="F2318" s="18">
        <f t="shared" si="401"/>
        <v>3486</v>
      </c>
      <c r="G2318" s="18"/>
      <c r="H2318" s="18"/>
      <c r="I2318" s="19">
        <v>2316</v>
      </c>
      <c r="J2318" s="19" cm="1">
        <f t="array" aca="1" ref="J2318" ca="1">INDIRECT("b"&amp;K2318+2)</f>
        <v>1.8999999999999997E+139</v>
      </c>
      <c r="K2318" s="19">
        <f t="shared" si="412"/>
        <v>4686</v>
      </c>
    </row>
    <row r="2319" spans="1:11">
      <c r="A2319">
        <v>2317</v>
      </c>
      <c r="B2319">
        <v>8.8749999999999999E+79</v>
      </c>
      <c r="D2319" s="18">
        <v>2317</v>
      </c>
      <c r="E2319" s="18" cm="1">
        <f t="array" aca="1" ref="E2319" ca="1">INDIRECT("b"&amp;F2319+2)</f>
        <v>2.35E+109</v>
      </c>
      <c r="F2319" s="18">
        <f t="shared" si="401"/>
        <v>3488</v>
      </c>
      <c r="G2319" s="18"/>
      <c r="H2319" s="18"/>
      <c r="I2319" s="19">
        <v>2317</v>
      </c>
      <c r="J2319" s="19" cm="1">
        <f t="array" aca="1" ref="J2319" ca="1">INDIRECT("b"&amp;K2319+2)</f>
        <v>2.3499999999999998E+139</v>
      </c>
      <c r="K2319" s="19">
        <f t="shared" si="412"/>
        <v>4688</v>
      </c>
    </row>
    <row r="2320" spans="1:11">
      <c r="A2320">
        <v>2318</v>
      </c>
      <c r="B2320">
        <v>9.1000000000000007E+79</v>
      </c>
      <c r="D2320" s="18">
        <v>2318</v>
      </c>
      <c r="E2320" s="18" cm="1">
        <f t="array" aca="1" ref="E2320" ca="1">INDIRECT("b"&amp;F2320+2)</f>
        <v>2.5749999999999999E+109</v>
      </c>
      <c r="F2320" s="18">
        <f t="shared" si="401"/>
        <v>3489</v>
      </c>
      <c r="G2320" s="18">
        <f t="shared" ref="G2320" ca="1" si="415">E2320/E2315</f>
        <v>2.5749999999999997</v>
      </c>
      <c r="H2320" s="18"/>
      <c r="I2320" s="19">
        <v>2318</v>
      </c>
      <c r="J2320" s="19" cm="1">
        <f t="array" aca="1" ref="J2320" ca="1">INDIRECT("b"&amp;K2320+2)</f>
        <v>2.5749999999999997E+139</v>
      </c>
      <c r="K2320" s="19">
        <f t="shared" si="412"/>
        <v>4689</v>
      </c>
    </row>
    <row r="2321" spans="1:11">
      <c r="A2321">
        <v>2319</v>
      </c>
      <c r="B2321">
        <v>9.3250000000000002E+79</v>
      </c>
      <c r="D2321" s="18">
        <v>2319</v>
      </c>
      <c r="E2321" s="18" cm="1">
        <f t="array" aca="1" ref="E2321" ca="1">INDIRECT("b"&amp;F2321+2)</f>
        <v>2.7999999999999998E+109</v>
      </c>
      <c r="F2321" s="18">
        <f t="shared" si="401"/>
        <v>3490</v>
      </c>
      <c r="G2321" s="18"/>
      <c r="H2321" s="18"/>
      <c r="I2321" s="19">
        <v>2319</v>
      </c>
      <c r="J2321" s="19" cm="1">
        <f t="array" aca="1" ref="J2321" ca="1">INDIRECT("b"&amp;K2321+2)</f>
        <v>2.7999999999999998E+139</v>
      </c>
      <c r="K2321" s="19">
        <f t="shared" si="412"/>
        <v>4690</v>
      </c>
    </row>
    <row r="2322" spans="1:11">
      <c r="A2322">
        <v>2320</v>
      </c>
      <c r="B2322">
        <v>9.550000000000001E+79</v>
      </c>
      <c r="D2322" s="18">
        <v>2320</v>
      </c>
      <c r="E2322" s="18" cm="1">
        <f t="array" aca="1" ref="E2322" ca="1">INDIRECT("b"&amp;F2322+2)</f>
        <v>3.25E+109</v>
      </c>
      <c r="F2322" s="18">
        <f t="shared" si="401"/>
        <v>3492</v>
      </c>
      <c r="G2322" s="18"/>
      <c r="H2322" s="18"/>
      <c r="I2322" s="19">
        <v>2320</v>
      </c>
      <c r="J2322" s="19" cm="1">
        <f t="array" aca="1" ref="J2322" ca="1">INDIRECT("b"&amp;K2322+2)</f>
        <v>3.2499999999999996E+139</v>
      </c>
      <c r="K2322" s="19">
        <f t="shared" si="412"/>
        <v>4692</v>
      </c>
    </row>
    <row r="2323" spans="1:11">
      <c r="A2323">
        <v>2321</v>
      </c>
      <c r="B2323">
        <v>9.7750000000000005E+79</v>
      </c>
      <c r="D2323" s="18">
        <v>2321</v>
      </c>
      <c r="E2323" s="18" cm="1">
        <f t="array" aca="1" ref="E2323" ca="1">INDIRECT("b"&amp;F2323+2)</f>
        <v>3.4749999999999999E+109</v>
      </c>
      <c r="F2323" s="18">
        <f t="shared" ref="F2323:F2386" si="416">INT((A2323-123)*1.333333)+563</f>
        <v>3493</v>
      </c>
      <c r="G2323" s="18"/>
      <c r="H2323" s="18"/>
      <c r="I2323" s="19">
        <v>2321</v>
      </c>
      <c r="J2323" s="19" cm="1">
        <f t="array" aca="1" ref="J2323" ca="1">INDIRECT("b"&amp;K2323+2)</f>
        <v>3.4749999999999998E+139</v>
      </c>
      <c r="K2323" s="19">
        <f t="shared" si="412"/>
        <v>4693</v>
      </c>
    </row>
    <row r="2324" spans="1:11">
      <c r="A2324">
        <v>2322</v>
      </c>
      <c r="B2324">
        <v>1E+80</v>
      </c>
      <c r="D2324" s="18">
        <v>2322</v>
      </c>
      <c r="E2324" s="18" cm="1">
        <f t="array" aca="1" ref="E2324" ca="1">INDIRECT("b"&amp;F2324+2)</f>
        <v>3.6999999999999998E+109</v>
      </c>
      <c r="F2324" s="18">
        <f t="shared" si="416"/>
        <v>3494</v>
      </c>
      <c r="G2324" s="18"/>
      <c r="H2324" s="18"/>
      <c r="I2324" s="19">
        <v>2322</v>
      </c>
      <c r="J2324" s="19" cm="1">
        <f t="array" aca="1" ref="J2324" ca="1">INDIRECT("b"&amp;K2324+2)</f>
        <v>3.6999999999999999E+139</v>
      </c>
      <c r="K2324" s="19">
        <f t="shared" si="412"/>
        <v>4694</v>
      </c>
    </row>
    <row r="2325" spans="1:11">
      <c r="A2325">
        <v>2323</v>
      </c>
      <c r="B2325">
        <v>1.2249999999999999E+80</v>
      </c>
      <c r="D2325" s="18">
        <v>2323</v>
      </c>
      <c r="E2325" s="18" cm="1">
        <f t="array" aca="1" ref="E2325" ca="1">INDIRECT("b"&amp;F2325+2)</f>
        <v>4.1499999999999996E+109</v>
      </c>
      <c r="F2325" s="18">
        <f t="shared" si="416"/>
        <v>3496</v>
      </c>
      <c r="G2325" s="18">
        <f t="shared" ref="G2325" ca="1" si="417">E2325/E2320</f>
        <v>1.6116504854368932</v>
      </c>
      <c r="H2325" s="18"/>
      <c r="I2325" s="19">
        <v>2323</v>
      </c>
      <c r="J2325" s="19" cm="1">
        <f t="array" aca="1" ref="J2325" ca="1">INDIRECT("b"&amp;K2325+2)</f>
        <v>4.1499999999999997E+139</v>
      </c>
      <c r="K2325" s="19">
        <f t="shared" si="412"/>
        <v>4696</v>
      </c>
    </row>
    <row r="2326" spans="1:11">
      <c r="A2326">
        <v>2324</v>
      </c>
      <c r="B2326">
        <v>1.4499999999999999E+80</v>
      </c>
      <c r="D2326" s="18">
        <v>2324</v>
      </c>
      <c r="E2326" s="18" cm="1">
        <f t="array" aca="1" ref="E2326" ca="1">INDIRECT("b"&amp;F2326+2)</f>
        <v>4.3749999999999999E+109</v>
      </c>
      <c r="F2326" s="18">
        <f t="shared" si="416"/>
        <v>3497</v>
      </c>
      <c r="G2326" s="18"/>
      <c r="H2326" s="18"/>
      <c r="I2326" s="19">
        <v>2324</v>
      </c>
      <c r="J2326" s="19" cm="1">
        <f t="array" aca="1" ref="J2326" ca="1">INDIRECT("b"&amp;K2326+2)</f>
        <v>4.3749999999999999E+139</v>
      </c>
      <c r="K2326" s="19">
        <f t="shared" si="412"/>
        <v>4697</v>
      </c>
    </row>
    <row r="2327" spans="1:11">
      <c r="A2327">
        <v>2325</v>
      </c>
      <c r="B2327">
        <v>1.675E+80</v>
      </c>
      <c r="D2327" s="18">
        <v>2325</v>
      </c>
      <c r="E2327" s="18" cm="1">
        <f t="array" aca="1" ref="E2327" ca="1">INDIRECT("b"&amp;F2327+2)</f>
        <v>4.6000000000000002E+109</v>
      </c>
      <c r="F2327" s="18">
        <f t="shared" si="416"/>
        <v>3498</v>
      </c>
      <c r="G2327" s="18"/>
      <c r="H2327" s="18"/>
      <c r="I2327" s="19">
        <v>2325</v>
      </c>
      <c r="J2327" s="19" cm="1">
        <f t="array" aca="1" ref="J2327" ca="1">INDIRECT("b"&amp;K2327+2)</f>
        <v>4.5999999999999995E+139</v>
      </c>
      <c r="K2327" s="19">
        <f t="shared" si="412"/>
        <v>4698</v>
      </c>
    </row>
    <row r="2328" spans="1:11">
      <c r="A2328">
        <v>2326</v>
      </c>
      <c r="B2328">
        <v>1.9E+80</v>
      </c>
      <c r="D2328" s="18">
        <v>2326</v>
      </c>
      <c r="E2328" s="18" cm="1">
        <f t="array" aca="1" ref="E2328" ca="1">INDIRECT("b"&amp;F2328+2)</f>
        <v>5.05E+109</v>
      </c>
      <c r="F2328" s="18">
        <f t="shared" si="416"/>
        <v>3500</v>
      </c>
      <c r="G2328" s="18"/>
      <c r="H2328" s="18"/>
      <c r="I2328" s="19">
        <v>2326</v>
      </c>
      <c r="J2328" s="19" cm="1">
        <f t="array" aca="1" ref="J2328" ca="1">INDIRECT("b"&amp;K2328+2)</f>
        <v>5.0499999999999993E+139</v>
      </c>
      <c r="K2328" s="19">
        <f t="shared" si="412"/>
        <v>4700</v>
      </c>
    </row>
    <row r="2329" spans="1:11">
      <c r="A2329">
        <v>2327</v>
      </c>
      <c r="B2329">
        <v>2.1249999999999998E+80</v>
      </c>
      <c r="D2329" s="18">
        <v>2327</v>
      </c>
      <c r="E2329" s="18" cm="1">
        <f t="array" aca="1" ref="E2329" ca="1">INDIRECT("b"&amp;F2329+2)</f>
        <v>5.2749999999999995E+109</v>
      </c>
      <c r="F2329" s="18">
        <f t="shared" si="416"/>
        <v>3501</v>
      </c>
      <c r="G2329" s="18"/>
      <c r="H2329" s="18"/>
      <c r="I2329" s="19">
        <v>2327</v>
      </c>
      <c r="J2329" s="19" cm="1">
        <f t="array" aca="1" ref="J2329" ca="1">INDIRECT("b"&amp;K2329+2)</f>
        <v>5.275E+139</v>
      </c>
      <c r="K2329" s="19">
        <f t="shared" si="412"/>
        <v>4701</v>
      </c>
    </row>
    <row r="2330" spans="1:11">
      <c r="A2330">
        <v>2328</v>
      </c>
      <c r="B2330">
        <v>2.3499999999999998E+80</v>
      </c>
      <c r="D2330" s="18">
        <v>2328</v>
      </c>
      <c r="E2330" s="18" cm="1">
        <f t="array" aca="1" ref="E2330" ca="1">INDIRECT("b"&amp;F2330+2)</f>
        <v>5.4999999999999998E+109</v>
      </c>
      <c r="F2330" s="18">
        <f t="shared" si="416"/>
        <v>3502</v>
      </c>
      <c r="G2330" s="18">
        <f t="shared" ref="G2330" ca="1" si="418">E2330/E2325</f>
        <v>1.3253012048192772</v>
      </c>
      <c r="H2330" s="18"/>
      <c r="I2330" s="19">
        <v>2328</v>
      </c>
      <c r="J2330" s="19" cm="1">
        <f t="array" aca="1" ref="J2330" ca="1">INDIRECT("b"&amp;K2330+2)</f>
        <v>5.4999999999999996E+139</v>
      </c>
      <c r="K2330" s="19">
        <f t="shared" si="412"/>
        <v>4702</v>
      </c>
    </row>
    <row r="2331" spans="1:11">
      <c r="A2331">
        <v>2329</v>
      </c>
      <c r="B2331">
        <v>2.5749999999999998E+80</v>
      </c>
      <c r="D2331" s="18">
        <v>2329</v>
      </c>
      <c r="E2331" s="18" cm="1">
        <f t="array" aca="1" ref="E2331" ca="1">INDIRECT("b"&amp;F2331+2)</f>
        <v>5.9499999999999996E+109</v>
      </c>
      <c r="F2331" s="18">
        <f t="shared" si="416"/>
        <v>3504</v>
      </c>
      <c r="G2331" s="18"/>
      <c r="H2331" s="18"/>
      <c r="I2331" s="19">
        <v>2329</v>
      </c>
      <c r="J2331" s="19" cm="1">
        <f t="array" aca="1" ref="J2331" ca="1">INDIRECT("b"&amp;K2331+2)</f>
        <v>5.9499999999999999E+139</v>
      </c>
      <c r="K2331" s="19">
        <f t="shared" si="412"/>
        <v>4704</v>
      </c>
    </row>
    <row r="2332" spans="1:11">
      <c r="A2332">
        <v>2330</v>
      </c>
      <c r="B2332">
        <v>2.7999999999999998E+80</v>
      </c>
      <c r="D2332" s="18">
        <v>2330</v>
      </c>
      <c r="E2332" s="18" cm="1">
        <f t="array" aca="1" ref="E2332" ca="1">INDIRECT("b"&amp;F2332+2)</f>
        <v>6.1749999999999999E+109</v>
      </c>
      <c r="F2332" s="18">
        <f t="shared" si="416"/>
        <v>3505</v>
      </c>
      <c r="G2332" s="18"/>
      <c r="H2332" s="18"/>
      <c r="I2332" s="19">
        <v>2330</v>
      </c>
      <c r="J2332" s="19" cm="1">
        <f t="array" aca="1" ref="J2332" ca="1">INDIRECT("b"&amp;K2332+2)</f>
        <v>6.1749999999999995E+139</v>
      </c>
      <c r="K2332" s="19">
        <f t="shared" si="412"/>
        <v>4705</v>
      </c>
    </row>
    <row r="2333" spans="1:11">
      <c r="A2333">
        <v>2331</v>
      </c>
      <c r="B2333">
        <v>3.0249999999999999E+80</v>
      </c>
      <c r="D2333" s="18">
        <v>2331</v>
      </c>
      <c r="E2333" s="18" cm="1">
        <f t="array" aca="1" ref="E2333" ca="1">INDIRECT("b"&amp;F2333+2)</f>
        <v>6.4000000000000002E+109</v>
      </c>
      <c r="F2333" s="18">
        <f t="shared" si="416"/>
        <v>3506</v>
      </c>
      <c r="G2333" s="18"/>
      <c r="H2333" s="18"/>
      <c r="I2333" s="19">
        <v>2331</v>
      </c>
      <c r="J2333" s="19" cm="1">
        <f t="array" aca="1" ref="J2333" ca="1">INDIRECT("b"&amp;K2333+2)</f>
        <v>6.3999999999999992E+139</v>
      </c>
      <c r="K2333" s="19">
        <f t="shared" si="412"/>
        <v>4706</v>
      </c>
    </row>
    <row r="2334" spans="1:11">
      <c r="A2334">
        <v>2332</v>
      </c>
      <c r="B2334">
        <v>3.2499999999999999E+80</v>
      </c>
      <c r="D2334" s="18">
        <v>2332</v>
      </c>
      <c r="E2334" s="18" cm="1">
        <f t="array" aca="1" ref="E2334" ca="1">INDIRECT("b"&amp;F2334+2)</f>
        <v>6.85E+109</v>
      </c>
      <c r="F2334" s="18">
        <f t="shared" si="416"/>
        <v>3508</v>
      </c>
      <c r="G2334" s="18"/>
      <c r="H2334" s="18"/>
      <c r="I2334" s="19">
        <v>2332</v>
      </c>
      <c r="J2334" s="19" cm="1">
        <f t="array" aca="1" ref="J2334" ca="1">INDIRECT("b"&amp;K2334+2)</f>
        <v>6.8499999999999995E+139</v>
      </c>
      <c r="K2334" s="19">
        <f t="shared" si="412"/>
        <v>4708</v>
      </c>
    </row>
    <row r="2335" spans="1:11">
      <c r="A2335">
        <v>2333</v>
      </c>
      <c r="B2335">
        <v>3.4749999999999999E+80</v>
      </c>
      <c r="D2335" s="18">
        <v>2333</v>
      </c>
      <c r="E2335" s="18" cm="1">
        <f t="array" aca="1" ref="E2335" ca="1">INDIRECT("b"&amp;F2335+2)</f>
        <v>7.0749999999999995E+109</v>
      </c>
      <c r="F2335" s="18">
        <f t="shared" si="416"/>
        <v>3509</v>
      </c>
      <c r="G2335" s="18">
        <f t="shared" ref="G2335" ca="1" si="419">E2335/E2330</f>
        <v>1.2863636363636364</v>
      </c>
      <c r="H2335" s="18"/>
      <c r="I2335" s="19">
        <v>2333</v>
      </c>
      <c r="J2335" s="19" cm="1">
        <f t="array" aca="1" ref="J2335" ca="1">INDIRECT("b"&amp;K2335+2)</f>
        <v>7.0749999999999991E+139</v>
      </c>
      <c r="K2335" s="19">
        <f t="shared" si="412"/>
        <v>4709</v>
      </c>
    </row>
    <row r="2336" spans="1:11">
      <c r="A2336">
        <v>2334</v>
      </c>
      <c r="B2336">
        <v>3.7E+80</v>
      </c>
      <c r="D2336" s="18">
        <v>2334</v>
      </c>
      <c r="E2336" s="18" cm="1">
        <f t="array" aca="1" ref="E2336" ca="1">INDIRECT("b"&amp;F2336+2)</f>
        <v>7.2999999999999998E+109</v>
      </c>
      <c r="F2336" s="18">
        <f t="shared" si="416"/>
        <v>3510</v>
      </c>
      <c r="G2336" s="18"/>
      <c r="H2336" s="18"/>
      <c r="I2336" s="19">
        <v>2334</v>
      </c>
      <c r="J2336" s="19" cm="1">
        <f t="array" aca="1" ref="J2336" ca="1">INDIRECT("b"&amp;K2336+2)</f>
        <v>7.2999999999999998E+139</v>
      </c>
      <c r="K2336" s="19">
        <f t="shared" si="412"/>
        <v>4710</v>
      </c>
    </row>
    <row r="2337" spans="1:11">
      <c r="A2337">
        <v>2335</v>
      </c>
      <c r="B2337">
        <v>3.925E+80</v>
      </c>
      <c r="D2337" s="18">
        <v>2335</v>
      </c>
      <c r="E2337" s="18" cm="1">
        <f t="array" aca="1" ref="E2337" ca="1">INDIRECT("b"&amp;F2337+2)</f>
        <v>7.7500000000000004E+109</v>
      </c>
      <c r="F2337" s="18">
        <f t="shared" si="416"/>
        <v>3512</v>
      </c>
      <c r="G2337" s="18"/>
      <c r="H2337" s="18"/>
      <c r="I2337" s="19">
        <v>2335</v>
      </c>
      <c r="J2337" s="19" cm="1">
        <f t="array" aca="1" ref="J2337" ca="1">INDIRECT("b"&amp;K2337+2)</f>
        <v>7.749999999999999E+139</v>
      </c>
      <c r="K2337" s="19">
        <f t="shared" si="412"/>
        <v>4712</v>
      </c>
    </row>
    <row r="2338" spans="1:11">
      <c r="A2338">
        <v>2336</v>
      </c>
      <c r="B2338">
        <v>4.15E+80</v>
      </c>
      <c r="D2338" s="18">
        <v>2336</v>
      </c>
      <c r="E2338" s="18" cm="1">
        <f t="array" aca="1" ref="E2338" ca="1">INDIRECT("b"&amp;F2338+2)</f>
        <v>7.9749999999999999E+109</v>
      </c>
      <c r="F2338" s="18">
        <f t="shared" si="416"/>
        <v>3513</v>
      </c>
      <c r="G2338" s="18"/>
      <c r="H2338" s="18"/>
      <c r="I2338" s="19">
        <v>2336</v>
      </c>
      <c r="J2338" s="19" cm="1">
        <f t="array" aca="1" ref="J2338" ca="1">INDIRECT("b"&amp;K2338+2)</f>
        <v>7.9749999999999997E+139</v>
      </c>
      <c r="K2338" s="19">
        <f t="shared" si="412"/>
        <v>4713</v>
      </c>
    </row>
    <row r="2339" spans="1:11">
      <c r="A2339">
        <v>2337</v>
      </c>
      <c r="B2339">
        <v>4.3749999999999995E+80</v>
      </c>
      <c r="D2339" s="18">
        <v>2337</v>
      </c>
      <c r="E2339" s="18" cm="1">
        <f t="array" aca="1" ref="E2339" ca="1">INDIRECT("b"&amp;F2339+2)</f>
        <v>8.1999999999999994E+109</v>
      </c>
      <c r="F2339" s="18">
        <f t="shared" si="416"/>
        <v>3514</v>
      </c>
      <c r="G2339" s="18"/>
      <c r="H2339" s="18"/>
      <c r="I2339" s="19">
        <v>2337</v>
      </c>
      <c r="J2339" s="19" cm="1">
        <f t="array" aca="1" ref="J2339" ca="1">INDIRECT("b"&amp;K2339+2)</f>
        <v>8.1999999999999993E+139</v>
      </c>
      <c r="K2339" s="19">
        <f t="shared" si="412"/>
        <v>4714</v>
      </c>
    </row>
    <row r="2340" spans="1:11">
      <c r="A2340">
        <v>2338</v>
      </c>
      <c r="B2340">
        <v>4.5999999999999996E+80</v>
      </c>
      <c r="D2340" s="18">
        <v>2338</v>
      </c>
      <c r="E2340" s="18" cm="1">
        <f t="array" aca="1" ref="E2340" ca="1">INDIRECT("b"&amp;F2340+2)</f>
        <v>8.65E+109</v>
      </c>
      <c r="F2340" s="18">
        <f t="shared" si="416"/>
        <v>3516</v>
      </c>
      <c r="G2340" s="18">
        <f t="shared" ref="G2340" ca="1" si="420">E2340/E2335</f>
        <v>1.2226148409893993</v>
      </c>
      <c r="H2340" s="18"/>
      <c r="I2340" s="19">
        <v>2338</v>
      </c>
      <c r="J2340" s="19" cm="1">
        <f t="array" aca="1" ref="J2340" ca="1">INDIRECT("b"&amp;K2340+2)</f>
        <v>8.6499999999999997E+139</v>
      </c>
      <c r="K2340" s="19">
        <f t="shared" si="412"/>
        <v>4716</v>
      </c>
    </row>
    <row r="2341" spans="1:11">
      <c r="A2341">
        <v>2339</v>
      </c>
      <c r="B2341">
        <v>4.8250000000000001E+80</v>
      </c>
      <c r="D2341" s="18">
        <v>2339</v>
      </c>
      <c r="E2341" s="18" cm="1">
        <f t="array" aca="1" ref="E2341" ca="1">INDIRECT("b"&amp;F2341+2)</f>
        <v>8.8749999999999995E+109</v>
      </c>
      <c r="F2341" s="18">
        <f t="shared" si="416"/>
        <v>3517</v>
      </c>
      <c r="G2341" s="18"/>
      <c r="H2341" s="18"/>
      <c r="I2341" s="19">
        <v>2339</v>
      </c>
      <c r="J2341" s="19" cm="1">
        <f t="array" aca="1" ref="J2341" ca="1">INDIRECT("b"&amp;K2341+2)</f>
        <v>8.8749999999999993E+139</v>
      </c>
      <c r="K2341" s="19">
        <f t="shared" si="412"/>
        <v>4717</v>
      </c>
    </row>
    <row r="2342" spans="1:11">
      <c r="A2342">
        <v>2340</v>
      </c>
      <c r="B2342">
        <v>5.0499999999999996E+80</v>
      </c>
      <c r="D2342" s="18">
        <v>2340</v>
      </c>
      <c r="E2342" s="18" cm="1">
        <f t="array" aca="1" ref="E2342" ca="1">INDIRECT("b"&amp;F2342+2)</f>
        <v>9.099999999999999E+109</v>
      </c>
      <c r="F2342" s="18">
        <f t="shared" si="416"/>
        <v>3518</v>
      </c>
      <c r="G2342" s="18"/>
      <c r="H2342" s="18"/>
      <c r="I2342" s="19">
        <v>2340</v>
      </c>
      <c r="J2342" s="19" cm="1">
        <f t="array" aca="1" ref="J2342" ca="1">INDIRECT("b"&amp;K2342+2)</f>
        <v>9.0999999999999989E+139</v>
      </c>
      <c r="K2342" s="19">
        <f t="shared" si="412"/>
        <v>4718</v>
      </c>
    </row>
    <row r="2343" spans="1:11">
      <c r="A2343">
        <v>2341</v>
      </c>
      <c r="B2343">
        <v>5.2750000000000002E+80</v>
      </c>
      <c r="D2343" s="18">
        <v>2341</v>
      </c>
      <c r="E2343" s="18" cm="1">
        <f t="array" aca="1" ref="E2343" ca="1">INDIRECT("b"&amp;F2343+2)</f>
        <v>9.5499999999999996E+109</v>
      </c>
      <c r="F2343" s="18">
        <f t="shared" si="416"/>
        <v>3520</v>
      </c>
      <c r="G2343" s="18"/>
      <c r="H2343" s="18"/>
      <c r="I2343" s="19">
        <v>2341</v>
      </c>
      <c r="J2343" s="19" cm="1">
        <f t="array" aca="1" ref="J2343" ca="1">INDIRECT("b"&amp;K2343+2)</f>
        <v>9.5499999999999992E+139</v>
      </c>
      <c r="K2343" s="19">
        <f t="shared" si="412"/>
        <v>4720</v>
      </c>
    </row>
    <row r="2344" spans="1:11">
      <c r="A2344">
        <v>2342</v>
      </c>
      <c r="B2344">
        <v>5.4999999999999997E+80</v>
      </c>
      <c r="D2344" s="18">
        <v>2342</v>
      </c>
      <c r="E2344" s="18" cm="1">
        <f t="array" aca="1" ref="E2344" ca="1">INDIRECT("b"&amp;F2344+2)</f>
        <v>9.7749999999999991E+109</v>
      </c>
      <c r="F2344" s="18">
        <f t="shared" si="416"/>
        <v>3521</v>
      </c>
      <c r="G2344" s="18"/>
      <c r="H2344" s="18"/>
      <c r="I2344" s="19">
        <v>2342</v>
      </c>
      <c r="J2344" s="19" cm="1">
        <f t="array" aca="1" ref="J2344" ca="1">INDIRECT("b"&amp;K2344+2)</f>
        <v>9.7749999999999999E+139</v>
      </c>
      <c r="K2344" s="19">
        <f t="shared" si="412"/>
        <v>4721</v>
      </c>
    </row>
    <row r="2345" spans="1:11">
      <c r="A2345">
        <v>2343</v>
      </c>
      <c r="B2345">
        <v>5.7249999999999992E+80</v>
      </c>
      <c r="D2345" s="18">
        <v>2343</v>
      </c>
      <c r="E2345" s="18" cm="1">
        <f t="array" aca="1" ref="E2345" ca="1">INDIRECT("b"&amp;F2345+2)</f>
        <v>1E+110</v>
      </c>
      <c r="F2345" s="18">
        <f t="shared" si="416"/>
        <v>3522</v>
      </c>
      <c r="G2345" s="18">
        <f t="shared" ref="G2345" ca="1" si="421">E2345/E2340</f>
        <v>1.1560693641618498</v>
      </c>
      <c r="H2345" s="18"/>
      <c r="I2345" s="19">
        <v>2343</v>
      </c>
      <c r="J2345" s="19" cm="1">
        <f t="array" aca="1" ref="J2345" ca="1">INDIRECT("b"&amp;K2345+2)</f>
        <v>1.0000000000000001E+140</v>
      </c>
      <c r="K2345" s="19">
        <f t="shared" si="412"/>
        <v>4722</v>
      </c>
    </row>
    <row r="2346" spans="1:11">
      <c r="A2346">
        <v>2344</v>
      </c>
      <c r="B2346">
        <v>5.9499999999999997E+80</v>
      </c>
      <c r="D2346" s="18">
        <v>2344</v>
      </c>
      <c r="E2346" s="18" cm="1">
        <f t="array" aca="1" ref="E2346" ca="1">INDIRECT("b"&amp;F2346+2)</f>
        <v>1.45E+110</v>
      </c>
      <c r="F2346" s="18">
        <f t="shared" si="416"/>
        <v>3524</v>
      </c>
      <c r="G2346" s="18"/>
      <c r="H2346" s="18"/>
      <c r="I2346" s="19">
        <v>2344</v>
      </c>
      <c r="J2346" s="19" cm="1">
        <f t="array" aca="1" ref="J2346" ca="1">INDIRECT("b"&amp;K2346+2)</f>
        <v>1.4499999999999999E+140</v>
      </c>
      <c r="K2346" s="19">
        <f t="shared" si="412"/>
        <v>4724</v>
      </c>
    </row>
    <row r="2347" spans="1:11">
      <c r="A2347">
        <v>2345</v>
      </c>
      <c r="B2347">
        <v>6.1749999999999992E+80</v>
      </c>
      <c r="D2347" s="18">
        <v>2345</v>
      </c>
      <c r="E2347" s="18" cm="1">
        <f t="array" aca="1" ref="E2347" ca="1">INDIRECT("b"&amp;F2347+2)</f>
        <v>1.6749999999999998E+110</v>
      </c>
      <c r="F2347" s="18">
        <f t="shared" si="416"/>
        <v>3525</v>
      </c>
      <c r="G2347" s="18"/>
      <c r="H2347" s="18"/>
      <c r="I2347" s="19">
        <v>2345</v>
      </c>
      <c r="J2347" s="19" cm="1">
        <f t="array" aca="1" ref="J2347" ca="1">INDIRECT("b"&amp;K2347+2)</f>
        <v>1.675E+140</v>
      </c>
      <c r="K2347" s="19">
        <f t="shared" si="412"/>
        <v>4725</v>
      </c>
    </row>
    <row r="2348" spans="1:11">
      <c r="A2348">
        <v>2346</v>
      </c>
      <c r="B2348">
        <v>6.3999999999999998E+80</v>
      </c>
      <c r="D2348" s="18">
        <v>2346</v>
      </c>
      <c r="E2348" s="18" cm="1">
        <f t="array" aca="1" ref="E2348" ca="1">INDIRECT("b"&amp;F2348+2)</f>
        <v>1.8999999999999999E+110</v>
      </c>
      <c r="F2348" s="18">
        <f t="shared" si="416"/>
        <v>3526</v>
      </c>
      <c r="G2348" s="18"/>
      <c r="H2348" s="18"/>
      <c r="I2348" s="19">
        <v>2346</v>
      </c>
      <c r="J2348" s="19" cm="1">
        <f t="array" aca="1" ref="J2348" ca="1">INDIRECT("b"&amp;K2348+2)</f>
        <v>1.9E+140</v>
      </c>
      <c r="K2348" s="19">
        <f t="shared" si="412"/>
        <v>4726</v>
      </c>
    </row>
    <row r="2349" spans="1:11">
      <c r="A2349">
        <v>2347</v>
      </c>
      <c r="B2349">
        <v>6.6249999999999993E+80</v>
      </c>
      <c r="D2349" s="18">
        <v>2347</v>
      </c>
      <c r="E2349" s="18" cm="1">
        <f t="array" aca="1" ref="E2349" ca="1">INDIRECT("b"&amp;F2349+2)</f>
        <v>2.3499999999999999E+110</v>
      </c>
      <c r="F2349" s="18">
        <f t="shared" si="416"/>
        <v>3528</v>
      </c>
      <c r="G2349" s="18"/>
      <c r="H2349" s="18"/>
      <c r="I2349" s="19">
        <v>2347</v>
      </c>
      <c r="J2349" s="19" cm="1">
        <f t="array" aca="1" ref="J2349" ca="1">INDIRECT("b"&amp;K2349+2)</f>
        <v>2.3500000000000001E+140</v>
      </c>
      <c r="K2349" s="19">
        <f t="shared" si="412"/>
        <v>4728</v>
      </c>
    </row>
    <row r="2350" spans="1:11">
      <c r="A2350">
        <v>2348</v>
      </c>
      <c r="B2350">
        <v>6.8499999999999999E+80</v>
      </c>
      <c r="D2350" s="18">
        <v>2348</v>
      </c>
      <c r="E2350" s="18" cm="1">
        <f t="array" aca="1" ref="E2350" ca="1">INDIRECT("b"&amp;F2350+2)</f>
        <v>2.5750000000000001E+110</v>
      </c>
      <c r="F2350" s="18">
        <f t="shared" si="416"/>
        <v>3529</v>
      </c>
      <c r="G2350" s="18">
        <f t="shared" ref="G2350" ca="1" si="422">E2350/E2345</f>
        <v>2.5750000000000002</v>
      </c>
      <c r="H2350" s="18"/>
      <c r="I2350" s="19">
        <v>2348</v>
      </c>
      <c r="J2350" s="19" cm="1">
        <f t="array" aca="1" ref="J2350" ca="1">INDIRECT("b"&amp;K2350+2)</f>
        <v>2.575E+140</v>
      </c>
      <c r="K2350" s="19">
        <f t="shared" si="412"/>
        <v>4729</v>
      </c>
    </row>
    <row r="2351" spans="1:11">
      <c r="A2351">
        <v>2349</v>
      </c>
      <c r="B2351">
        <v>7.0749999999999994E+80</v>
      </c>
      <c r="D2351" s="18">
        <v>2349</v>
      </c>
      <c r="E2351" s="18" cm="1">
        <f t="array" aca="1" ref="E2351" ca="1">INDIRECT("b"&amp;F2351+2)</f>
        <v>2.7999999999999999E+110</v>
      </c>
      <c r="F2351" s="18">
        <f t="shared" si="416"/>
        <v>3530</v>
      </c>
      <c r="G2351" s="18"/>
      <c r="H2351" s="18"/>
      <c r="I2351" s="19">
        <v>2349</v>
      </c>
      <c r="J2351" s="19" cm="1">
        <f t="array" aca="1" ref="J2351" ca="1">INDIRECT("b"&amp;K2351+2)</f>
        <v>2.7999999999999998E+140</v>
      </c>
      <c r="K2351" s="19">
        <f t="shared" si="412"/>
        <v>4730</v>
      </c>
    </row>
    <row r="2352" spans="1:11">
      <c r="A2352">
        <v>2350</v>
      </c>
      <c r="B2352">
        <v>7.2999999999999999E+80</v>
      </c>
      <c r="D2352" s="18">
        <v>2350</v>
      </c>
      <c r="E2352" s="18" cm="1">
        <f t="array" aca="1" ref="E2352" ca="1">INDIRECT("b"&amp;F2352+2)</f>
        <v>3.2499999999999998E+110</v>
      </c>
      <c r="F2352" s="18">
        <f t="shared" si="416"/>
        <v>3532</v>
      </c>
      <c r="G2352" s="18"/>
      <c r="H2352" s="18"/>
      <c r="I2352" s="19">
        <v>2350</v>
      </c>
      <c r="J2352" s="19" cm="1">
        <f t="array" aca="1" ref="J2352" ca="1">INDIRECT("b"&amp;K2352+2)</f>
        <v>3.2499999999999999E+140</v>
      </c>
      <c r="K2352" s="19">
        <f t="shared" si="412"/>
        <v>4732</v>
      </c>
    </row>
    <row r="2353" spans="1:11">
      <c r="A2353">
        <v>2351</v>
      </c>
      <c r="B2353">
        <v>7.5249999999999994E+80</v>
      </c>
      <c r="D2353" s="18">
        <v>2351</v>
      </c>
      <c r="E2353" s="18" cm="1">
        <f t="array" aca="1" ref="E2353" ca="1">INDIRECT("b"&amp;F2353+2)</f>
        <v>3.4749999999999996E+110</v>
      </c>
      <c r="F2353" s="18">
        <f t="shared" si="416"/>
        <v>3533</v>
      </c>
      <c r="G2353" s="18"/>
      <c r="H2353" s="18"/>
      <c r="I2353" s="19">
        <v>2351</v>
      </c>
      <c r="J2353" s="19" cm="1">
        <f t="array" aca="1" ref="J2353" ca="1">INDIRECT("b"&amp;K2353+2)</f>
        <v>3.4749999999999998E+140</v>
      </c>
      <c r="K2353" s="19">
        <f t="shared" si="412"/>
        <v>4733</v>
      </c>
    </row>
    <row r="2354" spans="1:11">
      <c r="A2354">
        <v>2352</v>
      </c>
      <c r="B2354">
        <v>7.75E+80</v>
      </c>
      <c r="D2354" s="18">
        <v>2352</v>
      </c>
      <c r="E2354" s="18" cm="1">
        <f t="array" aca="1" ref="E2354" ca="1">INDIRECT("b"&amp;F2354+2)</f>
        <v>3.7000000000000001E+110</v>
      </c>
      <c r="F2354" s="18">
        <f t="shared" si="416"/>
        <v>3534</v>
      </c>
      <c r="G2354" s="18"/>
      <c r="H2354" s="18"/>
      <c r="I2354" s="19">
        <v>2352</v>
      </c>
      <c r="J2354" s="19" cm="1">
        <f t="array" aca="1" ref="J2354" ca="1">INDIRECT("b"&amp;K2354+2)</f>
        <v>3.7E+140</v>
      </c>
      <c r="K2354" s="19">
        <f t="shared" si="412"/>
        <v>4734</v>
      </c>
    </row>
    <row r="2355" spans="1:11">
      <c r="A2355">
        <v>2353</v>
      </c>
      <c r="B2355">
        <v>7.9749999999999995E+80</v>
      </c>
      <c r="D2355" s="18">
        <v>2353</v>
      </c>
      <c r="E2355" s="18" cm="1">
        <f t="array" aca="1" ref="E2355" ca="1">INDIRECT("b"&amp;F2355+2)</f>
        <v>4.1499999999999997E+110</v>
      </c>
      <c r="F2355" s="18">
        <f t="shared" si="416"/>
        <v>3536</v>
      </c>
      <c r="G2355" s="18">
        <f t="shared" ref="G2355" ca="1" si="423">E2355/E2350</f>
        <v>1.6116504854368932</v>
      </c>
      <c r="H2355" s="18"/>
      <c r="I2355" s="19">
        <v>2353</v>
      </c>
      <c r="J2355" s="19" cm="1">
        <f t="array" aca="1" ref="J2355" ca="1">INDIRECT("b"&amp;K2355+2)</f>
        <v>4.1500000000000001E+140</v>
      </c>
      <c r="K2355" s="19">
        <f t="shared" si="412"/>
        <v>4736</v>
      </c>
    </row>
    <row r="2356" spans="1:11">
      <c r="A2356">
        <v>2354</v>
      </c>
      <c r="B2356">
        <v>8.2E+80</v>
      </c>
      <c r="D2356" s="18">
        <v>2354</v>
      </c>
      <c r="E2356" s="18" cm="1">
        <f t="array" aca="1" ref="E2356" ca="1">INDIRECT("b"&amp;F2356+2)</f>
        <v>4.3750000000000002E+110</v>
      </c>
      <c r="F2356" s="18">
        <f t="shared" si="416"/>
        <v>3537</v>
      </c>
      <c r="G2356" s="18"/>
      <c r="H2356" s="18"/>
      <c r="I2356" s="19">
        <v>2354</v>
      </c>
      <c r="J2356" s="19" cm="1">
        <f t="array" aca="1" ref="J2356" ca="1">INDIRECT("b"&amp;K2356+2)</f>
        <v>4.375E+140</v>
      </c>
      <c r="K2356" s="19">
        <f t="shared" si="412"/>
        <v>4737</v>
      </c>
    </row>
    <row r="2357" spans="1:11">
      <c r="A2357">
        <v>2355</v>
      </c>
      <c r="B2357">
        <v>8.4249999999999995E+80</v>
      </c>
      <c r="D2357" s="18">
        <v>2355</v>
      </c>
      <c r="E2357" s="18" cm="1">
        <f t="array" aca="1" ref="E2357" ca="1">INDIRECT("b"&amp;F2357+2)</f>
        <v>4.6E+110</v>
      </c>
      <c r="F2357" s="18">
        <f t="shared" si="416"/>
        <v>3538</v>
      </c>
      <c r="G2357" s="18"/>
      <c r="H2357" s="18"/>
      <c r="I2357" s="19">
        <v>2355</v>
      </c>
      <c r="J2357" s="19" cm="1">
        <f t="array" aca="1" ref="J2357" ca="1">INDIRECT("b"&amp;K2357+2)</f>
        <v>4.5999999999999998E+140</v>
      </c>
      <c r="K2357" s="19">
        <f t="shared" si="412"/>
        <v>4738</v>
      </c>
    </row>
    <row r="2358" spans="1:11">
      <c r="A2358">
        <v>2356</v>
      </c>
      <c r="B2358">
        <v>8.649999999999999E+80</v>
      </c>
      <c r="D2358" s="18">
        <v>2356</v>
      </c>
      <c r="E2358" s="18" cm="1">
        <f t="array" aca="1" ref="E2358" ca="1">INDIRECT("b"&amp;F2358+2)</f>
        <v>5.0499999999999997E+110</v>
      </c>
      <c r="F2358" s="18">
        <f t="shared" si="416"/>
        <v>3540</v>
      </c>
      <c r="G2358" s="18"/>
      <c r="H2358" s="18"/>
      <c r="I2358" s="19">
        <v>2356</v>
      </c>
      <c r="J2358" s="19" cm="1">
        <f t="array" aca="1" ref="J2358" ca="1">INDIRECT("b"&amp;K2358+2)</f>
        <v>5.0500000000000003E+140</v>
      </c>
      <c r="K2358" s="19">
        <f t="shared" si="412"/>
        <v>4740</v>
      </c>
    </row>
    <row r="2359" spans="1:11">
      <c r="A2359">
        <v>2357</v>
      </c>
      <c r="B2359">
        <v>8.8749999999999996E+80</v>
      </c>
      <c r="D2359" s="18">
        <v>2357</v>
      </c>
      <c r="E2359" s="18" cm="1">
        <f t="array" aca="1" ref="E2359" ca="1">INDIRECT("b"&amp;F2359+2)</f>
        <v>5.2750000000000001E+110</v>
      </c>
      <c r="F2359" s="18">
        <f t="shared" si="416"/>
        <v>3541</v>
      </c>
      <c r="G2359" s="18"/>
      <c r="H2359" s="18"/>
      <c r="I2359" s="19">
        <v>2357</v>
      </c>
      <c r="J2359" s="19" cm="1">
        <f t="array" aca="1" ref="J2359" ca="1">INDIRECT("b"&amp;K2359+2)</f>
        <v>5.2750000000000002E+140</v>
      </c>
      <c r="K2359" s="19">
        <f t="shared" si="412"/>
        <v>4741</v>
      </c>
    </row>
    <row r="2360" spans="1:11">
      <c r="A2360">
        <v>2358</v>
      </c>
      <c r="B2360">
        <v>9.0999999999999991E+80</v>
      </c>
      <c r="D2360" s="18">
        <v>2358</v>
      </c>
      <c r="E2360" s="18" cm="1">
        <f t="array" aca="1" ref="E2360" ca="1">INDIRECT("b"&amp;F2360+2)</f>
        <v>5.5E+110</v>
      </c>
      <c r="F2360" s="18">
        <f t="shared" si="416"/>
        <v>3542</v>
      </c>
      <c r="G2360" s="18">
        <f t="shared" ref="G2360" ca="1" si="424">E2360/E2355</f>
        <v>1.3253012048192772</v>
      </c>
      <c r="H2360" s="18"/>
      <c r="I2360" s="19">
        <v>2358</v>
      </c>
      <c r="J2360" s="19" cm="1">
        <f t="array" aca="1" ref="J2360" ca="1">INDIRECT("b"&amp;K2360+2)</f>
        <v>5.5E+140</v>
      </c>
      <c r="K2360" s="19">
        <f t="shared" si="412"/>
        <v>4742</v>
      </c>
    </row>
    <row r="2361" spans="1:11">
      <c r="A2361">
        <v>2359</v>
      </c>
      <c r="B2361">
        <v>9.3249999999999997E+80</v>
      </c>
      <c r="D2361" s="18">
        <v>2359</v>
      </c>
      <c r="E2361" s="18" cm="1">
        <f t="array" aca="1" ref="E2361" ca="1">INDIRECT("b"&amp;F2361+2)</f>
        <v>5.9499999999999996E+110</v>
      </c>
      <c r="F2361" s="18">
        <f t="shared" si="416"/>
        <v>3544</v>
      </c>
      <c r="G2361" s="18"/>
      <c r="H2361" s="18"/>
      <c r="I2361" s="19">
        <v>2359</v>
      </c>
      <c r="J2361" s="19" cm="1">
        <f t="array" aca="1" ref="J2361" ca="1">INDIRECT("b"&amp;K2361+2)</f>
        <v>5.9499999999999997E+140</v>
      </c>
      <c r="K2361" s="19">
        <f t="shared" si="412"/>
        <v>4744</v>
      </c>
    </row>
    <row r="2362" spans="1:11">
      <c r="A2362">
        <v>2360</v>
      </c>
      <c r="B2362">
        <v>9.5500000000000002E+80</v>
      </c>
      <c r="D2362" s="18">
        <v>2360</v>
      </c>
      <c r="E2362" s="18" cm="1">
        <f t="array" aca="1" ref="E2362" ca="1">INDIRECT("b"&amp;F2362+2)</f>
        <v>6.1750000000000001E+110</v>
      </c>
      <c r="F2362" s="18">
        <f t="shared" si="416"/>
        <v>3545</v>
      </c>
      <c r="G2362" s="18"/>
      <c r="H2362" s="18"/>
      <c r="I2362" s="19">
        <v>2360</v>
      </c>
      <c r="J2362" s="19" cm="1">
        <f t="array" aca="1" ref="J2362" ca="1">INDIRECT("b"&amp;K2362+2)</f>
        <v>6.1749999999999995E+140</v>
      </c>
      <c r="K2362" s="19">
        <f t="shared" si="412"/>
        <v>4745</v>
      </c>
    </row>
    <row r="2363" spans="1:11">
      <c r="A2363">
        <v>2361</v>
      </c>
      <c r="B2363">
        <v>9.7749999999999987E+80</v>
      </c>
      <c r="D2363" s="18">
        <v>2361</v>
      </c>
      <c r="E2363" s="18" cm="1">
        <f t="array" aca="1" ref="E2363" ca="1">INDIRECT("b"&amp;F2363+2)</f>
        <v>6.3999999999999999E+110</v>
      </c>
      <c r="F2363" s="18">
        <f t="shared" si="416"/>
        <v>3546</v>
      </c>
      <c r="G2363" s="18"/>
      <c r="H2363" s="18"/>
      <c r="I2363" s="19">
        <v>2361</v>
      </c>
      <c r="J2363" s="19" cm="1">
        <f t="array" aca="1" ref="J2363" ca="1">INDIRECT("b"&amp;K2363+2)</f>
        <v>6.4000000000000002E+140</v>
      </c>
      <c r="K2363" s="19">
        <f t="shared" si="412"/>
        <v>4746</v>
      </c>
    </row>
    <row r="2364" spans="1:11">
      <c r="A2364">
        <v>2362</v>
      </c>
      <c r="B2364">
        <v>9.9999999999999992E+80</v>
      </c>
      <c r="D2364" s="18">
        <v>2362</v>
      </c>
      <c r="E2364" s="18" cm="1">
        <f t="array" aca="1" ref="E2364" ca="1">INDIRECT("b"&amp;F2364+2)</f>
        <v>6.8499999999999995E+110</v>
      </c>
      <c r="F2364" s="18">
        <f t="shared" si="416"/>
        <v>3548</v>
      </c>
      <c r="G2364" s="18"/>
      <c r="H2364" s="18"/>
      <c r="I2364" s="19">
        <v>2362</v>
      </c>
      <c r="J2364" s="19" cm="1">
        <f t="array" aca="1" ref="J2364" ca="1">INDIRECT("b"&amp;K2364+2)</f>
        <v>6.8499999999999999E+140</v>
      </c>
      <c r="K2364" s="19">
        <f t="shared" si="412"/>
        <v>4748</v>
      </c>
    </row>
    <row r="2365" spans="1:11">
      <c r="A2365">
        <v>2363</v>
      </c>
      <c r="B2365">
        <v>1.2250000000000001E+81</v>
      </c>
      <c r="D2365" s="18">
        <v>2363</v>
      </c>
      <c r="E2365" s="18" cm="1">
        <f t="array" aca="1" ref="E2365" ca="1">INDIRECT("b"&amp;F2365+2)</f>
        <v>7.0749999999999993E+110</v>
      </c>
      <c r="F2365" s="18">
        <f t="shared" si="416"/>
        <v>3549</v>
      </c>
      <c r="G2365" s="18">
        <f t="shared" ref="G2365" ca="1" si="425">E2365/E2360</f>
        <v>1.2863636363636362</v>
      </c>
      <c r="H2365" s="18"/>
      <c r="I2365" s="19">
        <v>2363</v>
      </c>
      <c r="J2365" s="19" cm="1">
        <f t="array" aca="1" ref="J2365" ca="1">INDIRECT("b"&amp;K2365+2)</f>
        <v>7.0749999999999997E+140</v>
      </c>
      <c r="K2365" s="19">
        <f t="shared" si="412"/>
        <v>4749</v>
      </c>
    </row>
    <row r="2366" spans="1:11">
      <c r="A2366">
        <v>2364</v>
      </c>
      <c r="B2366">
        <v>1.45E+81</v>
      </c>
      <c r="D2366" s="18">
        <v>2364</v>
      </c>
      <c r="E2366" s="18" cm="1">
        <f t="array" aca="1" ref="E2366" ca="1">INDIRECT("b"&amp;F2366+2)</f>
        <v>7.3000000000000005E+110</v>
      </c>
      <c r="F2366" s="18">
        <f t="shared" si="416"/>
        <v>3550</v>
      </c>
      <c r="G2366" s="18"/>
      <c r="H2366" s="18"/>
      <c r="I2366" s="19">
        <v>2364</v>
      </c>
      <c r="J2366" s="19" cm="1">
        <f t="array" aca="1" ref="J2366" ca="1">INDIRECT("b"&amp;K2366+2)</f>
        <v>7.2999999999999996E+140</v>
      </c>
      <c r="K2366" s="19">
        <f t="shared" si="412"/>
        <v>4750</v>
      </c>
    </row>
    <row r="2367" spans="1:11">
      <c r="A2367">
        <v>2365</v>
      </c>
      <c r="B2367">
        <v>1.6749999999999999E+81</v>
      </c>
      <c r="D2367" s="18">
        <v>2365</v>
      </c>
      <c r="E2367" s="18" cm="1">
        <f t="array" aca="1" ref="E2367" ca="1">INDIRECT("b"&amp;F2367+2)</f>
        <v>7.7500000000000001E+110</v>
      </c>
      <c r="F2367" s="18">
        <f t="shared" si="416"/>
        <v>3552</v>
      </c>
      <c r="G2367" s="18"/>
      <c r="H2367" s="18"/>
      <c r="I2367" s="19">
        <v>2365</v>
      </c>
      <c r="J2367" s="19" cm="1">
        <f t="array" aca="1" ref="J2367" ca="1">INDIRECT("b"&amp;K2367+2)</f>
        <v>7.7500000000000001E+140</v>
      </c>
      <c r="K2367" s="19">
        <f t="shared" si="412"/>
        <v>4752</v>
      </c>
    </row>
    <row r="2368" spans="1:11">
      <c r="A2368">
        <v>2366</v>
      </c>
      <c r="B2368">
        <v>1.8999999999999998E+81</v>
      </c>
      <c r="D2368" s="18">
        <v>2366</v>
      </c>
      <c r="E2368" s="18" cm="1">
        <f t="array" aca="1" ref="E2368" ca="1">INDIRECT("b"&amp;F2368+2)</f>
        <v>7.9749999999999999E+110</v>
      </c>
      <c r="F2368" s="18">
        <f t="shared" si="416"/>
        <v>3553</v>
      </c>
      <c r="G2368" s="18"/>
      <c r="H2368" s="18"/>
      <c r="I2368" s="19">
        <v>2366</v>
      </c>
      <c r="J2368" s="19" cm="1">
        <f t="array" aca="1" ref="J2368" ca="1">INDIRECT("b"&amp;K2368+2)</f>
        <v>7.9749999999999991E+140</v>
      </c>
      <c r="K2368" s="19">
        <f t="shared" si="412"/>
        <v>4753</v>
      </c>
    </row>
    <row r="2369" spans="1:11">
      <c r="A2369">
        <v>2367</v>
      </c>
      <c r="B2369">
        <v>2.125E+81</v>
      </c>
      <c r="D2369" s="18">
        <v>2367</v>
      </c>
      <c r="E2369" s="18" cm="1">
        <f t="array" aca="1" ref="E2369" ca="1">INDIRECT("b"&amp;F2369+2)</f>
        <v>8.1999999999999997E+110</v>
      </c>
      <c r="F2369" s="18">
        <f t="shared" si="416"/>
        <v>3554</v>
      </c>
      <c r="G2369" s="18"/>
      <c r="H2369" s="18"/>
      <c r="I2369" s="19">
        <v>2367</v>
      </c>
      <c r="J2369" s="19" cm="1">
        <f t="array" aca="1" ref="J2369" ca="1">INDIRECT("b"&amp;K2369+2)</f>
        <v>8.1999999999999998E+140</v>
      </c>
      <c r="K2369" s="19">
        <f t="shared" si="412"/>
        <v>4754</v>
      </c>
    </row>
    <row r="2370" spans="1:11">
      <c r="A2370">
        <v>2368</v>
      </c>
      <c r="B2370">
        <v>2.3500000000000001E+81</v>
      </c>
      <c r="D2370" s="18">
        <v>2368</v>
      </c>
      <c r="E2370" s="18" cm="1">
        <f t="array" aca="1" ref="E2370" ca="1">INDIRECT("b"&amp;F2370+2)</f>
        <v>8.6499999999999994E+110</v>
      </c>
      <c r="F2370" s="18">
        <f t="shared" si="416"/>
        <v>3556</v>
      </c>
      <c r="G2370" s="18">
        <f t="shared" ref="G2370" ca="1" si="426">E2370/E2365</f>
        <v>1.2226148409893993</v>
      </c>
      <c r="H2370" s="18"/>
      <c r="I2370" s="19">
        <v>2368</v>
      </c>
      <c r="J2370" s="19" cm="1">
        <f t="array" aca="1" ref="J2370" ca="1">INDIRECT("b"&amp;K2370+2)</f>
        <v>8.6499999999999994E+140</v>
      </c>
      <c r="K2370" s="19">
        <f t="shared" si="412"/>
        <v>4756</v>
      </c>
    </row>
    <row r="2371" spans="1:11">
      <c r="A2371">
        <v>2369</v>
      </c>
      <c r="B2371">
        <v>2.5749999999999998E+81</v>
      </c>
      <c r="D2371" s="18">
        <v>2369</v>
      </c>
      <c r="E2371" s="18" cm="1">
        <f t="array" aca="1" ref="E2371" ca="1">INDIRECT("b"&amp;F2371+2)</f>
        <v>8.8749999999999992E+110</v>
      </c>
      <c r="F2371" s="18">
        <f t="shared" si="416"/>
        <v>3557</v>
      </c>
      <c r="G2371" s="18"/>
      <c r="H2371" s="18"/>
      <c r="I2371" s="19">
        <v>2369</v>
      </c>
      <c r="J2371" s="19" cm="1">
        <f t="array" aca="1" ref="J2371" ca="1">INDIRECT("b"&amp;K2371+2)</f>
        <v>8.8750000000000001E+140</v>
      </c>
      <c r="K2371" s="19">
        <f t="shared" si="412"/>
        <v>4757</v>
      </c>
    </row>
    <row r="2372" spans="1:11">
      <c r="A2372">
        <v>2370</v>
      </c>
      <c r="B2372">
        <v>2.7999999999999999E+81</v>
      </c>
      <c r="D2372" s="18">
        <v>2370</v>
      </c>
      <c r="E2372" s="18" cm="1">
        <f t="array" aca="1" ref="E2372" ca="1">INDIRECT("b"&amp;F2372+2)</f>
        <v>9.1000000000000003E+110</v>
      </c>
      <c r="F2372" s="18">
        <f t="shared" si="416"/>
        <v>3558</v>
      </c>
      <c r="G2372" s="18"/>
      <c r="H2372" s="18"/>
      <c r="I2372" s="19">
        <v>2370</v>
      </c>
      <c r="J2372" s="19" cm="1">
        <f t="array" aca="1" ref="J2372" ca="1">INDIRECT("b"&amp;K2372+2)</f>
        <v>9.0999999999999991E+140</v>
      </c>
      <c r="K2372" s="19">
        <f t="shared" ref="K2372:K2435" si="427">INT((A2372-1)*40/30+900*40/30)+400</f>
        <v>4758</v>
      </c>
    </row>
    <row r="2373" spans="1:11">
      <c r="A2373">
        <v>2371</v>
      </c>
      <c r="B2373">
        <v>3.0250000000000001E+81</v>
      </c>
      <c r="D2373" s="18">
        <v>2371</v>
      </c>
      <c r="E2373" s="18" cm="1">
        <f t="array" aca="1" ref="E2373" ca="1">INDIRECT("b"&amp;F2373+2)</f>
        <v>9.5499999999999999E+110</v>
      </c>
      <c r="F2373" s="18">
        <f t="shared" si="416"/>
        <v>3560</v>
      </c>
      <c r="G2373" s="18"/>
      <c r="H2373" s="18"/>
      <c r="I2373" s="19">
        <v>2371</v>
      </c>
      <c r="J2373" s="19" cm="1">
        <f t="array" aca="1" ref="J2373" ca="1">INDIRECT("b"&amp;K2373+2)</f>
        <v>9.5500000000000005E+140</v>
      </c>
      <c r="K2373" s="19">
        <f t="shared" si="427"/>
        <v>4760</v>
      </c>
    </row>
    <row r="2374" spans="1:11">
      <c r="A2374">
        <v>2372</v>
      </c>
      <c r="B2374">
        <v>3.2499999999999998E+81</v>
      </c>
      <c r="D2374" s="18">
        <v>2372</v>
      </c>
      <c r="E2374" s="18" cm="1">
        <f t="array" aca="1" ref="E2374" ca="1">INDIRECT("b"&amp;F2374+2)</f>
        <v>9.7749999999999998E+110</v>
      </c>
      <c r="F2374" s="18">
        <f t="shared" si="416"/>
        <v>3561</v>
      </c>
      <c r="G2374" s="18"/>
      <c r="H2374" s="18"/>
      <c r="I2374" s="19">
        <v>2372</v>
      </c>
      <c r="J2374" s="19" cm="1">
        <f t="array" aca="1" ref="J2374" ca="1">INDIRECT("b"&amp;K2374+2)</f>
        <v>9.7749999999999995E+140</v>
      </c>
      <c r="K2374" s="19">
        <f t="shared" si="427"/>
        <v>4761</v>
      </c>
    </row>
    <row r="2375" spans="1:11">
      <c r="A2375">
        <v>2373</v>
      </c>
      <c r="B2375">
        <v>3.4749999999999999E+81</v>
      </c>
      <c r="D2375" s="18">
        <v>2373</v>
      </c>
      <c r="E2375" s="18" cm="1">
        <f t="array" aca="1" ref="E2375" ca="1">INDIRECT("b"&amp;F2375+2)</f>
        <v>9.9999999999999996E+110</v>
      </c>
      <c r="F2375" s="18">
        <f t="shared" si="416"/>
        <v>3562</v>
      </c>
      <c r="G2375" s="18">
        <f t="shared" ref="G2375" ca="1" si="428">E2375/E2370</f>
        <v>1.1560693641618498</v>
      </c>
      <c r="H2375" s="18"/>
      <c r="I2375" s="19">
        <v>2373</v>
      </c>
      <c r="J2375" s="19" cm="1">
        <f t="array" aca="1" ref="J2375" ca="1">INDIRECT("b"&amp;K2375+2)</f>
        <v>1E+141</v>
      </c>
      <c r="K2375" s="19">
        <f t="shared" si="427"/>
        <v>4762</v>
      </c>
    </row>
    <row r="2376" spans="1:11">
      <c r="A2376">
        <v>2374</v>
      </c>
      <c r="B2376">
        <v>3.7000000000000001E+81</v>
      </c>
      <c r="D2376" s="18">
        <v>2374</v>
      </c>
      <c r="E2376" s="18" cm="1">
        <f t="array" aca="1" ref="E2376" ca="1">INDIRECT("b"&amp;F2376+2)</f>
        <v>1.45E+111</v>
      </c>
      <c r="F2376" s="18">
        <f t="shared" si="416"/>
        <v>3564</v>
      </c>
      <c r="G2376" s="18"/>
      <c r="H2376" s="18"/>
      <c r="I2376" s="19">
        <v>2374</v>
      </c>
      <c r="J2376" s="19" cm="1">
        <f t="array" aca="1" ref="J2376" ca="1">INDIRECT("b"&amp;K2376+2)</f>
        <v>1.45E+141</v>
      </c>
      <c r="K2376" s="19">
        <f t="shared" si="427"/>
        <v>4764</v>
      </c>
    </row>
    <row r="2377" spans="1:11">
      <c r="A2377">
        <v>2375</v>
      </c>
      <c r="B2377">
        <v>3.9249999999999998E+81</v>
      </c>
      <c r="D2377" s="18">
        <v>2375</v>
      </c>
      <c r="E2377" s="18" cm="1">
        <f t="array" aca="1" ref="E2377" ca="1">INDIRECT("b"&amp;F2377+2)</f>
        <v>1.6750000000000001E+111</v>
      </c>
      <c r="F2377" s="18">
        <f t="shared" si="416"/>
        <v>3565</v>
      </c>
      <c r="G2377" s="18"/>
      <c r="H2377" s="18"/>
      <c r="I2377" s="19">
        <v>2375</v>
      </c>
      <c r="J2377" s="19" cm="1">
        <f t="array" aca="1" ref="J2377" ca="1">INDIRECT("b"&amp;K2377+2)</f>
        <v>1.6749999999999999E+141</v>
      </c>
      <c r="K2377" s="19">
        <f t="shared" si="427"/>
        <v>4765</v>
      </c>
    </row>
    <row r="2378" spans="1:11">
      <c r="A2378">
        <v>2376</v>
      </c>
      <c r="B2378">
        <v>4.1500000000000003E+81</v>
      </c>
      <c r="D2378" s="18">
        <v>2376</v>
      </c>
      <c r="E2378" s="18" cm="1">
        <f t="array" aca="1" ref="E2378" ca="1">INDIRECT("b"&amp;F2378+2)</f>
        <v>1.8999999999999999E+111</v>
      </c>
      <c r="F2378" s="18">
        <f t="shared" si="416"/>
        <v>3566</v>
      </c>
      <c r="G2378" s="18"/>
      <c r="H2378" s="18"/>
      <c r="I2378" s="19">
        <v>2376</v>
      </c>
      <c r="J2378" s="19" cm="1">
        <f t="array" aca="1" ref="J2378" ca="1">INDIRECT("b"&amp;K2378+2)</f>
        <v>1.8999999999999999E+141</v>
      </c>
      <c r="K2378" s="19">
        <f t="shared" si="427"/>
        <v>4766</v>
      </c>
    </row>
    <row r="2379" spans="1:11">
      <c r="A2379">
        <v>2377</v>
      </c>
      <c r="B2379">
        <v>4.3750000000000001E+81</v>
      </c>
      <c r="D2379" s="18">
        <v>2377</v>
      </c>
      <c r="E2379" s="18" cm="1">
        <f t="array" aca="1" ref="E2379" ca="1">INDIRECT("b"&amp;F2379+2)</f>
        <v>2.35E+111</v>
      </c>
      <c r="F2379" s="18">
        <f t="shared" si="416"/>
        <v>3568</v>
      </c>
      <c r="G2379" s="18"/>
      <c r="H2379" s="18"/>
      <c r="I2379" s="19">
        <v>2377</v>
      </c>
      <c r="J2379" s="19" cm="1">
        <f t="array" aca="1" ref="J2379" ca="1">INDIRECT("b"&amp;K2379+2)</f>
        <v>2.3499999999999999E+141</v>
      </c>
      <c r="K2379" s="19">
        <f t="shared" si="427"/>
        <v>4768</v>
      </c>
    </row>
    <row r="2380" spans="1:11">
      <c r="A2380">
        <v>2378</v>
      </c>
      <c r="B2380">
        <v>4.5999999999999998E+81</v>
      </c>
      <c r="D2380" s="18">
        <v>2378</v>
      </c>
      <c r="E2380" s="18" cm="1">
        <f t="array" aca="1" ref="E2380" ca="1">INDIRECT("b"&amp;F2380+2)</f>
        <v>2.5749999999999999E+111</v>
      </c>
      <c r="F2380" s="18">
        <f t="shared" si="416"/>
        <v>3569</v>
      </c>
      <c r="G2380" s="18">
        <f t="shared" ref="G2380" ca="1" si="429">E2380/E2375</f>
        <v>2.5750000000000002</v>
      </c>
      <c r="H2380" s="18"/>
      <c r="I2380" s="19">
        <v>2378</v>
      </c>
      <c r="J2380" s="19" cm="1">
        <f t="array" aca="1" ref="J2380" ca="1">INDIRECT("b"&amp;K2380+2)</f>
        <v>2.5749999999999999E+141</v>
      </c>
      <c r="K2380" s="19">
        <f t="shared" si="427"/>
        <v>4769</v>
      </c>
    </row>
    <row r="2381" spans="1:11">
      <c r="A2381">
        <v>2379</v>
      </c>
      <c r="B2381">
        <v>4.8250000000000003E+81</v>
      </c>
      <c r="D2381" s="18">
        <v>2379</v>
      </c>
      <c r="E2381" s="18" cm="1">
        <f t="array" aca="1" ref="E2381" ca="1">INDIRECT("b"&amp;F2381+2)</f>
        <v>2.7999999999999999E+111</v>
      </c>
      <c r="F2381" s="18">
        <f t="shared" si="416"/>
        <v>3570</v>
      </c>
      <c r="G2381" s="18"/>
      <c r="H2381" s="18"/>
      <c r="I2381" s="19">
        <v>2379</v>
      </c>
      <c r="J2381" s="19" cm="1">
        <f t="array" aca="1" ref="J2381" ca="1">INDIRECT("b"&amp;K2381+2)</f>
        <v>2.7999999999999999E+141</v>
      </c>
      <c r="K2381" s="19">
        <f t="shared" si="427"/>
        <v>4770</v>
      </c>
    </row>
    <row r="2382" spans="1:11">
      <c r="A2382">
        <v>2380</v>
      </c>
      <c r="B2382">
        <v>5.05E+81</v>
      </c>
      <c r="D2382" s="18">
        <v>2380</v>
      </c>
      <c r="E2382" s="18" cm="1">
        <f t="array" aca="1" ref="E2382" ca="1">INDIRECT("b"&amp;F2382+2)</f>
        <v>3.2500000000000001E+111</v>
      </c>
      <c r="F2382" s="18">
        <f t="shared" si="416"/>
        <v>3572</v>
      </c>
      <c r="G2382" s="18"/>
      <c r="H2382" s="18"/>
      <c r="I2382" s="19">
        <v>2380</v>
      </c>
      <c r="J2382" s="19" cm="1">
        <f t="array" aca="1" ref="J2382" ca="1">INDIRECT("b"&amp;K2382+2)</f>
        <v>3.2500000000000003E+141</v>
      </c>
      <c r="K2382" s="19">
        <f t="shared" si="427"/>
        <v>4772</v>
      </c>
    </row>
    <row r="2383" spans="1:11">
      <c r="A2383">
        <v>2381</v>
      </c>
      <c r="B2383">
        <v>5.2749999999999997E+81</v>
      </c>
      <c r="D2383" s="18">
        <v>2381</v>
      </c>
      <c r="E2383" s="18" cm="1">
        <f t="array" aca="1" ref="E2383" ca="1">INDIRECT("b"&amp;F2383+2)</f>
        <v>3.4750000000000002E+111</v>
      </c>
      <c r="F2383" s="18">
        <f t="shared" si="416"/>
        <v>3573</v>
      </c>
      <c r="G2383" s="18"/>
      <c r="H2383" s="18"/>
      <c r="I2383" s="19">
        <v>2381</v>
      </c>
      <c r="J2383" s="19" cm="1">
        <f t="array" aca="1" ref="J2383" ca="1">INDIRECT("b"&amp;K2383+2)</f>
        <v>3.4749999999999999E+141</v>
      </c>
      <c r="K2383" s="19">
        <f t="shared" si="427"/>
        <v>4773</v>
      </c>
    </row>
    <row r="2384" spans="1:11">
      <c r="A2384">
        <v>2382</v>
      </c>
      <c r="B2384">
        <v>5.5000000000000003E+81</v>
      </c>
      <c r="D2384" s="18">
        <v>2382</v>
      </c>
      <c r="E2384" s="18" cm="1">
        <f t="array" aca="1" ref="E2384" ca="1">INDIRECT("b"&amp;F2384+2)</f>
        <v>3.7000000000000003E+111</v>
      </c>
      <c r="F2384" s="18">
        <f t="shared" si="416"/>
        <v>3574</v>
      </c>
      <c r="G2384" s="18"/>
      <c r="H2384" s="18"/>
      <c r="I2384" s="19">
        <v>2382</v>
      </c>
      <c r="J2384" s="19" cm="1">
        <f t="array" aca="1" ref="J2384" ca="1">INDIRECT("b"&amp;K2384+2)</f>
        <v>3.7000000000000003E+141</v>
      </c>
      <c r="K2384" s="19">
        <f t="shared" si="427"/>
        <v>4774</v>
      </c>
    </row>
    <row r="2385" spans="1:11">
      <c r="A2385">
        <v>2383</v>
      </c>
      <c r="B2385">
        <v>5.725E+81</v>
      </c>
      <c r="D2385" s="18">
        <v>2383</v>
      </c>
      <c r="E2385" s="18" cm="1">
        <f t="array" aca="1" ref="E2385" ca="1">INDIRECT("b"&amp;F2385+2)</f>
        <v>4.1499999999999999E+111</v>
      </c>
      <c r="F2385" s="18">
        <f t="shared" si="416"/>
        <v>3576</v>
      </c>
      <c r="G2385" s="18">
        <f t="shared" ref="G2385" ca="1" si="430">E2385/E2380</f>
        <v>1.6116504854368932</v>
      </c>
      <c r="H2385" s="18"/>
      <c r="I2385" s="19">
        <v>2383</v>
      </c>
      <c r="J2385" s="19" cm="1">
        <f t="array" aca="1" ref="J2385" ca="1">INDIRECT("b"&amp;K2385+2)</f>
        <v>4.1500000000000003E+141</v>
      </c>
      <c r="K2385" s="19">
        <f t="shared" si="427"/>
        <v>4776</v>
      </c>
    </row>
    <row r="2386" spans="1:11">
      <c r="A2386">
        <v>2384</v>
      </c>
      <c r="B2386">
        <v>5.9499999999999997E+81</v>
      </c>
      <c r="D2386" s="18">
        <v>2384</v>
      </c>
      <c r="E2386" s="18" cm="1">
        <f t="array" aca="1" ref="E2386" ca="1">INDIRECT("b"&amp;F2386+2)</f>
        <v>4.375E+111</v>
      </c>
      <c r="F2386" s="18">
        <f t="shared" si="416"/>
        <v>3577</v>
      </c>
      <c r="G2386" s="18"/>
      <c r="H2386" s="18"/>
      <c r="I2386" s="19">
        <v>2384</v>
      </c>
      <c r="J2386" s="19" cm="1">
        <f t="array" aca="1" ref="J2386" ca="1">INDIRECT("b"&amp;K2386+2)</f>
        <v>4.375E+141</v>
      </c>
      <c r="K2386" s="19">
        <f t="shared" si="427"/>
        <v>4777</v>
      </c>
    </row>
    <row r="2387" spans="1:11">
      <c r="A2387">
        <v>2385</v>
      </c>
      <c r="B2387">
        <v>6.1750000000000003E+81</v>
      </c>
      <c r="D2387" s="18">
        <v>2385</v>
      </c>
      <c r="E2387" s="18" cm="1">
        <f t="array" aca="1" ref="E2387" ca="1">INDIRECT("b"&amp;F2387+2)</f>
        <v>4.6E+111</v>
      </c>
      <c r="F2387" s="18">
        <f t="shared" ref="F2387:F2450" si="431">INT((A2387-123)*1.333333)+563</f>
        <v>3578</v>
      </c>
      <c r="G2387" s="18"/>
      <c r="H2387" s="18"/>
      <c r="I2387" s="19">
        <v>2385</v>
      </c>
      <c r="J2387" s="19" cm="1">
        <f t="array" aca="1" ref="J2387" ca="1">INDIRECT("b"&amp;K2387+2)</f>
        <v>4.6000000000000003E+141</v>
      </c>
      <c r="K2387" s="19">
        <f t="shared" si="427"/>
        <v>4778</v>
      </c>
    </row>
    <row r="2388" spans="1:11">
      <c r="A2388">
        <v>2386</v>
      </c>
      <c r="B2388">
        <v>6.4E+81</v>
      </c>
      <c r="D2388" s="18">
        <v>2386</v>
      </c>
      <c r="E2388" s="18" cm="1">
        <f t="array" aca="1" ref="E2388" ca="1">INDIRECT("b"&amp;F2388+2)</f>
        <v>5.0499999999999997E+111</v>
      </c>
      <c r="F2388" s="18">
        <f t="shared" si="431"/>
        <v>3580</v>
      </c>
      <c r="G2388" s="18"/>
      <c r="H2388" s="18"/>
      <c r="I2388" s="19">
        <v>2386</v>
      </c>
      <c r="J2388" s="19" cm="1">
        <f t="array" aca="1" ref="J2388" ca="1">INDIRECT("b"&amp;K2388+2)</f>
        <v>5.0500000000000003E+141</v>
      </c>
      <c r="K2388" s="19">
        <f t="shared" si="427"/>
        <v>4780</v>
      </c>
    </row>
    <row r="2389" spans="1:11">
      <c r="A2389">
        <v>2387</v>
      </c>
      <c r="B2389">
        <v>6.6249999999999997E+81</v>
      </c>
      <c r="D2389" s="18">
        <v>2387</v>
      </c>
      <c r="E2389" s="18" cm="1">
        <f t="array" aca="1" ref="E2389" ca="1">INDIRECT("b"&amp;F2389+2)</f>
        <v>5.2749999999999997E+111</v>
      </c>
      <c r="F2389" s="18">
        <f t="shared" si="431"/>
        <v>3581</v>
      </c>
      <c r="G2389" s="18"/>
      <c r="H2389" s="18"/>
      <c r="I2389" s="19">
        <v>2387</v>
      </c>
      <c r="J2389" s="19" cm="1">
        <f t="array" aca="1" ref="J2389" ca="1">INDIRECT("b"&amp;K2389+2)</f>
        <v>5.275E+141</v>
      </c>
      <c r="K2389" s="19">
        <f t="shared" si="427"/>
        <v>4781</v>
      </c>
    </row>
    <row r="2390" spans="1:11">
      <c r="A2390">
        <v>2388</v>
      </c>
      <c r="B2390">
        <v>6.8500000000000003E+81</v>
      </c>
      <c r="D2390" s="18">
        <v>2388</v>
      </c>
      <c r="E2390" s="18" cm="1">
        <f t="array" aca="1" ref="E2390" ca="1">INDIRECT("b"&amp;F2390+2)</f>
        <v>5.4999999999999998E+111</v>
      </c>
      <c r="F2390" s="18">
        <f t="shared" si="431"/>
        <v>3582</v>
      </c>
      <c r="G2390" s="18">
        <f t="shared" ref="G2390" ca="1" si="432">E2390/E2385</f>
        <v>1.3253012048192772</v>
      </c>
      <c r="H2390" s="18"/>
      <c r="I2390" s="19">
        <v>2388</v>
      </c>
      <c r="J2390" s="19" cm="1">
        <f t="array" aca="1" ref="J2390" ca="1">INDIRECT("b"&amp;K2390+2)</f>
        <v>5.5000000000000003E+141</v>
      </c>
      <c r="K2390" s="19">
        <f t="shared" si="427"/>
        <v>4782</v>
      </c>
    </row>
    <row r="2391" spans="1:11">
      <c r="A2391">
        <v>2389</v>
      </c>
      <c r="B2391">
        <v>7.075E+81</v>
      </c>
      <c r="D2391" s="18">
        <v>2389</v>
      </c>
      <c r="E2391" s="18" cm="1">
        <f t="array" aca="1" ref="E2391" ca="1">INDIRECT("b"&amp;F2391+2)</f>
        <v>5.95E+111</v>
      </c>
      <c r="F2391" s="18">
        <f t="shared" si="431"/>
        <v>3584</v>
      </c>
      <c r="G2391" s="18"/>
      <c r="H2391" s="18"/>
      <c r="I2391" s="19">
        <v>2389</v>
      </c>
      <c r="J2391" s="19" cm="1">
        <f t="array" aca="1" ref="J2391" ca="1">INDIRECT("b"&amp;K2391+2)</f>
        <v>5.9500000000000004E+141</v>
      </c>
      <c r="K2391" s="19">
        <f t="shared" si="427"/>
        <v>4784</v>
      </c>
    </row>
    <row r="2392" spans="1:11">
      <c r="A2392">
        <v>2390</v>
      </c>
      <c r="B2392">
        <v>7.2999999999999997E+81</v>
      </c>
      <c r="D2392" s="18">
        <v>2390</v>
      </c>
      <c r="E2392" s="18" cm="1">
        <f t="array" aca="1" ref="E2392" ca="1">INDIRECT("b"&amp;F2392+2)</f>
        <v>6.1750000000000001E+111</v>
      </c>
      <c r="F2392" s="18">
        <f t="shared" si="431"/>
        <v>3585</v>
      </c>
      <c r="G2392" s="18">
        <f t="shared" ref="G2392" ca="1" si="433">E2392/E2387</f>
        <v>1.3423913043478262</v>
      </c>
      <c r="H2392" s="18"/>
      <c r="I2392" s="19">
        <v>2390</v>
      </c>
      <c r="J2392" s="19" cm="1">
        <f t="array" aca="1" ref="J2392" ca="1">INDIRECT("b"&amp;K2392+2)</f>
        <v>6.1750000000000007E+141</v>
      </c>
      <c r="K2392" s="19">
        <f t="shared" si="427"/>
        <v>4785</v>
      </c>
    </row>
    <row r="2393" spans="1:11">
      <c r="A2393">
        <v>2391</v>
      </c>
      <c r="B2393">
        <v>7.5250000000000003E+81</v>
      </c>
      <c r="D2393" s="18">
        <v>2391</v>
      </c>
      <c r="E2393" s="18" cm="1">
        <f t="array" aca="1" ref="E2393" ca="1">INDIRECT("b"&amp;F2393+2)</f>
        <v>6.4000000000000002E+111</v>
      </c>
      <c r="F2393" s="18">
        <f t="shared" si="431"/>
        <v>3586</v>
      </c>
      <c r="G2393" s="18"/>
      <c r="H2393" s="18"/>
      <c r="I2393" s="19">
        <v>2391</v>
      </c>
      <c r="J2393" s="19" cm="1">
        <f t="array" aca="1" ref="J2393" ca="1">INDIRECT("b"&amp;K2393+2)</f>
        <v>6.4000000000000004E+141</v>
      </c>
      <c r="K2393" s="19">
        <f t="shared" si="427"/>
        <v>4786</v>
      </c>
    </row>
    <row r="2394" spans="1:11">
      <c r="A2394">
        <v>2392</v>
      </c>
      <c r="B2394">
        <v>7.7499999999999991E+81</v>
      </c>
      <c r="D2394" s="18">
        <v>2392</v>
      </c>
      <c r="E2394" s="18" cm="1">
        <f t="array" aca="1" ref="E2394" ca="1">INDIRECT("b"&amp;F2394+2)</f>
        <v>6.8500000000000003E+111</v>
      </c>
      <c r="F2394" s="18">
        <f t="shared" si="431"/>
        <v>3588</v>
      </c>
      <c r="G2394" s="18"/>
      <c r="H2394" s="18"/>
      <c r="I2394" s="19">
        <v>2392</v>
      </c>
      <c r="J2394" s="19" cm="1">
        <f t="array" aca="1" ref="J2394" ca="1">INDIRECT("b"&amp;K2394+2)</f>
        <v>6.8499999999999997E+141</v>
      </c>
      <c r="K2394" s="19">
        <f t="shared" si="427"/>
        <v>4788</v>
      </c>
    </row>
    <row r="2395" spans="1:11">
      <c r="A2395">
        <v>2393</v>
      </c>
      <c r="B2395">
        <v>7.9750000000000005E+81</v>
      </c>
      <c r="D2395" s="18">
        <v>2393</v>
      </c>
      <c r="E2395" s="18" cm="1">
        <f t="array" aca="1" ref="E2395" ca="1">INDIRECT("b"&amp;F2395+2)</f>
        <v>7.0750000000000004E+111</v>
      </c>
      <c r="F2395" s="18">
        <f t="shared" si="431"/>
        <v>3589</v>
      </c>
      <c r="G2395" s="18"/>
      <c r="H2395" s="18"/>
      <c r="I2395" s="19">
        <v>2393</v>
      </c>
      <c r="J2395" s="19" cm="1">
        <f t="array" aca="1" ref="J2395" ca="1">INDIRECT("b"&amp;K2395+2)</f>
        <v>7.0750000000000007E+141</v>
      </c>
      <c r="K2395" s="19">
        <f t="shared" si="427"/>
        <v>4789</v>
      </c>
    </row>
    <row r="2396" spans="1:11">
      <c r="A2396">
        <v>2394</v>
      </c>
      <c r="B2396">
        <v>8.2000000000000002E+81</v>
      </c>
      <c r="D2396" s="18">
        <v>2394</v>
      </c>
      <c r="E2396" s="18" cm="1">
        <f t="array" aca="1" ref="E2396" ca="1">INDIRECT("b"&amp;F2396+2)</f>
        <v>7.3000000000000005E+111</v>
      </c>
      <c r="F2396" s="18">
        <f t="shared" si="431"/>
        <v>3590</v>
      </c>
      <c r="G2396" s="18"/>
      <c r="H2396" s="18"/>
      <c r="I2396" s="19">
        <v>2394</v>
      </c>
      <c r="J2396" s="19" cm="1">
        <f t="array" aca="1" ref="J2396" ca="1">INDIRECT("b"&amp;K2396+2)</f>
        <v>7.3000000000000004E+141</v>
      </c>
      <c r="K2396" s="19">
        <f t="shared" si="427"/>
        <v>4790</v>
      </c>
    </row>
    <row r="2397" spans="1:11">
      <c r="A2397">
        <v>2395</v>
      </c>
      <c r="B2397">
        <v>8.425E+81</v>
      </c>
      <c r="D2397" s="18">
        <v>2395</v>
      </c>
      <c r="E2397" s="18" cm="1">
        <f t="array" aca="1" ref="E2397" ca="1">INDIRECT("b"&amp;F2397+2)</f>
        <v>7.7499999999999996E+111</v>
      </c>
      <c r="F2397" s="18">
        <f t="shared" si="431"/>
        <v>3592</v>
      </c>
      <c r="G2397" s="18">
        <f t="shared" ref="G2397" ca="1" si="434">E2397/E2392</f>
        <v>1.2550607287449391</v>
      </c>
      <c r="H2397" s="18"/>
      <c r="I2397" s="19">
        <v>2395</v>
      </c>
      <c r="J2397" s="19" cm="1">
        <f t="array" aca="1" ref="J2397" ca="1">INDIRECT("b"&amp;K2397+2)</f>
        <v>7.7499999999999998E+141</v>
      </c>
      <c r="K2397" s="19">
        <f t="shared" si="427"/>
        <v>4792</v>
      </c>
    </row>
    <row r="2398" spans="1:11">
      <c r="A2398">
        <v>2396</v>
      </c>
      <c r="B2398">
        <v>8.6499999999999997E+81</v>
      </c>
      <c r="D2398" s="18">
        <v>2396</v>
      </c>
      <c r="E2398" s="18" cm="1">
        <f t="array" aca="1" ref="E2398" ca="1">INDIRECT("b"&amp;F2398+2)</f>
        <v>7.9749999999999996E+111</v>
      </c>
      <c r="F2398" s="18">
        <f t="shared" si="431"/>
        <v>3593</v>
      </c>
      <c r="G2398" s="18"/>
      <c r="H2398" s="18"/>
      <c r="I2398" s="19">
        <v>2396</v>
      </c>
      <c r="J2398" s="19" cm="1">
        <f t="array" aca="1" ref="J2398" ca="1">INDIRECT("b"&amp;K2398+2)</f>
        <v>7.9750000000000008E+141</v>
      </c>
      <c r="K2398" s="19">
        <f t="shared" si="427"/>
        <v>4793</v>
      </c>
    </row>
    <row r="2399" spans="1:11">
      <c r="A2399">
        <v>2397</v>
      </c>
      <c r="B2399">
        <v>8.8749999999999994E+81</v>
      </c>
      <c r="D2399" s="18">
        <v>2397</v>
      </c>
      <c r="E2399" s="18" cm="1">
        <f t="array" aca="1" ref="E2399" ca="1">INDIRECT("b"&amp;F2399+2)</f>
        <v>8.1999999999999997E+111</v>
      </c>
      <c r="F2399" s="18">
        <f t="shared" si="431"/>
        <v>3594</v>
      </c>
      <c r="G2399" s="18"/>
      <c r="H2399" s="18"/>
      <c r="I2399" s="19">
        <v>2397</v>
      </c>
      <c r="J2399" s="19" cm="1">
        <f t="array" aca="1" ref="J2399" ca="1">INDIRECT("b"&amp;K2399+2)</f>
        <v>8.2000000000000004E+141</v>
      </c>
      <c r="K2399" s="19">
        <f t="shared" si="427"/>
        <v>4794</v>
      </c>
    </row>
    <row r="2400" spans="1:11">
      <c r="A2400">
        <v>2398</v>
      </c>
      <c r="B2400">
        <v>9.0999999999999991E+81</v>
      </c>
      <c r="D2400" s="18">
        <v>2398</v>
      </c>
      <c r="E2400" s="18" cm="1">
        <f t="array" aca="1" ref="E2400" ca="1">INDIRECT("b"&amp;F2400+2)</f>
        <v>8.6499999999999999E+111</v>
      </c>
      <c r="F2400" s="18">
        <f t="shared" si="431"/>
        <v>3596</v>
      </c>
      <c r="G2400" s="18"/>
      <c r="H2400" s="18"/>
      <c r="I2400" s="19">
        <v>2398</v>
      </c>
      <c r="J2400" s="19" cm="1">
        <f t="array" aca="1" ref="J2400" ca="1">INDIRECT("b"&amp;K2400+2)</f>
        <v>8.6499999999999998E+141</v>
      </c>
      <c r="K2400" s="19">
        <f t="shared" si="427"/>
        <v>4796</v>
      </c>
    </row>
    <row r="2401" spans="1:11">
      <c r="A2401">
        <v>2399</v>
      </c>
      <c r="B2401">
        <v>9.3250000000000005E+81</v>
      </c>
      <c r="D2401" s="18">
        <v>2399</v>
      </c>
      <c r="E2401" s="18" cm="1">
        <f t="array" aca="1" ref="E2401" ca="1">INDIRECT("b"&amp;F2401+2)</f>
        <v>8.875E+111</v>
      </c>
      <c r="F2401" s="18">
        <f t="shared" si="431"/>
        <v>3597</v>
      </c>
      <c r="G2401" s="18"/>
      <c r="H2401" s="18"/>
      <c r="I2401" s="19">
        <v>2399</v>
      </c>
      <c r="J2401" s="19" cm="1">
        <f t="array" aca="1" ref="J2401" ca="1">INDIRECT("b"&amp;K2401+2)</f>
        <v>8.8750000000000008E+141</v>
      </c>
      <c r="K2401" s="19">
        <f t="shared" si="427"/>
        <v>4797</v>
      </c>
    </row>
    <row r="2402" spans="1:11">
      <c r="A2402">
        <v>2400</v>
      </c>
      <c r="B2402">
        <v>9.5500000000000002E+81</v>
      </c>
      <c r="D2402" s="18">
        <v>2400</v>
      </c>
      <c r="E2402" s="18" cm="1">
        <f t="array" aca="1" ref="E2402" ca="1">INDIRECT("b"&amp;F2402+2)</f>
        <v>9.1E+111</v>
      </c>
      <c r="F2402" s="18">
        <f t="shared" si="431"/>
        <v>3598</v>
      </c>
      <c r="G2402" s="18">
        <f t="shared" ref="G2402" ca="1" si="435">E2402/E2397</f>
        <v>1.1741935483870969</v>
      </c>
      <c r="H2402" s="18"/>
      <c r="I2402" s="19">
        <v>2400</v>
      </c>
      <c r="J2402" s="19" cm="1">
        <f t="array" aca="1" ref="J2402" ca="1">INDIRECT("b"&amp;K2402+2)</f>
        <v>9.1000000000000005E+141</v>
      </c>
      <c r="K2402" s="19">
        <f t="shared" si="427"/>
        <v>4798</v>
      </c>
    </row>
    <row r="2403" spans="1:11">
      <c r="A2403">
        <v>2401</v>
      </c>
      <c r="B2403">
        <v>9.7749999999999999E+81</v>
      </c>
      <c r="D2403" s="18">
        <v>2401</v>
      </c>
      <c r="E2403" s="18" cm="1">
        <f t="array" aca="1" ref="E2403" ca="1">INDIRECT("b"&amp;F2403+2)</f>
        <v>9.5500000000000002E+111</v>
      </c>
      <c r="F2403" s="18">
        <f t="shared" si="431"/>
        <v>3600</v>
      </c>
      <c r="G2403" s="18"/>
      <c r="H2403" s="18"/>
      <c r="I2403" s="19">
        <v>2401</v>
      </c>
      <c r="J2403" s="19" cm="1">
        <f t="array" aca="1" ref="J2403" ca="1">INDIRECT("b"&amp;K2403+2)</f>
        <v>9.5499999999999998E+141</v>
      </c>
      <c r="K2403" s="19">
        <f t="shared" si="427"/>
        <v>4800</v>
      </c>
    </row>
    <row r="2404" spans="1:11">
      <c r="A2404">
        <v>2402</v>
      </c>
      <c r="B2404">
        <v>9.9999999999999996E+81</v>
      </c>
      <c r="D2404" s="18">
        <v>2402</v>
      </c>
      <c r="E2404" s="18" cm="1">
        <f t="array" aca="1" ref="E2404" ca="1">INDIRECT("b"&amp;F2404+2)</f>
        <v>9.7750000000000003E+111</v>
      </c>
      <c r="F2404" s="18">
        <f t="shared" si="431"/>
        <v>3601</v>
      </c>
      <c r="G2404" s="18"/>
      <c r="H2404" s="18"/>
      <c r="I2404" s="19">
        <v>2402</v>
      </c>
      <c r="J2404" s="19" cm="1">
        <f t="array" aca="1" ref="J2404" ca="1">INDIRECT("b"&amp;K2404+2)</f>
        <v>9.7750000000000008E+141</v>
      </c>
      <c r="K2404" s="19">
        <f t="shared" si="427"/>
        <v>4801</v>
      </c>
    </row>
    <row r="2405" spans="1:11">
      <c r="A2405">
        <v>2403</v>
      </c>
      <c r="B2405">
        <v>1.225E+82</v>
      </c>
      <c r="D2405" s="18">
        <v>2403</v>
      </c>
      <c r="E2405" s="18" cm="1">
        <f t="array" aca="1" ref="E2405" ca="1">INDIRECT("b"&amp;F2405+2)</f>
        <v>9.9999999999999993E+111</v>
      </c>
      <c r="F2405" s="18">
        <f t="shared" si="431"/>
        <v>3602</v>
      </c>
      <c r="G2405" s="18"/>
      <c r="H2405" s="18"/>
      <c r="I2405" s="19">
        <v>2403</v>
      </c>
      <c r="J2405" s="19" cm="1">
        <f t="array" aca="1" ref="J2405" ca="1">INDIRECT("b"&amp;K2405+2)</f>
        <v>9.9999999999999992E+141</v>
      </c>
      <c r="K2405" s="19">
        <f t="shared" si="427"/>
        <v>4802</v>
      </c>
    </row>
    <row r="2406" spans="1:11">
      <c r="A2406">
        <v>2404</v>
      </c>
      <c r="B2406">
        <v>1.4499999999999999E+82</v>
      </c>
      <c r="D2406" s="18">
        <v>2404</v>
      </c>
      <c r="E2406" s="18" cm="1">
        <f t="array" aca="1" ref="E2406" ca="1">INDIRECT("b"&amp;F2406+2)</f>
        <v>1.4500000000000001E+112</v>
      </c>
      <c r="F2406" s="18">
        <f t="shared" si="431"/>
        <v>3604</v>
      </c>
      <c r="G2406" s="18"/>
      <c r="H2406" s="18"/>
      <c r="I2406" s="19">
        <v>2404</v>
      </c>
      <c r="J2406" s="19" cm="1">
        <f t="array" aca="1" ref="J2406" ca="1">INDIRECT("b"&amp;K2406+2)</f>
        <v>1.4499999999999998E+142</v>
      </c>
      <c r="K2406" s="19">
        <f t="shared" si="427"/>
        <v>4804</v>
      </c>
    </row>
    <row r="2407" spans="1:11">
      <c r="A2407">
        <v>2405</v>
      </c>
      <c r="B2407">
        <v>1.6749999999999998E+82</v>
      </c>
      <c r="D2407" s="18">
        <v>2405</v>
      </c>
      <c r="E2407" s="18" cm="1">
        <f t="array" aca="1" ref="E2407" ca="1">INDIRECT("b"&amp;F2407+2)</f>
        <v>1.675E+112</v>
      </c>
      <c r="F2407" s="18">
        <f t="shared" si="431"/>
        <v>3605</v>
      </c>
      <c r="G2407" s="18">
        <f t="shared" ref="G2407" ca="1" si="436">E2407/E2402</f>
        <v>1.8406593406593406</v>
      </c>
      <c r="H2407" s="18"/>
      <c r="I2407" s="19">
        <v>2405</v>
      </c>
      <c r="J2407" s="19" cm="1">
        <f t="array" aca="1" ref="J2407" ca="1">INDIRECT("b"&amp;K2407+2)</f>
        <v>1.6749999999999997E+142</v>
      </c>
      <c r="K2407" s="19">
        <f t="shared" si="427"/>
        <v>4805</v>
      </c>
    </row>
    <row r="2408" spans="1:11">
      <c r="A2408">
        <v>2406</v>
      </c>
      <c r="B2408">
        <v>1.8999999999999998E+82</v>
      </c>
      <c r="D2408" s="18">
        <v>2406</v>
      </c>
      <c r="E2408" s="18" cm="1">
        <f t="array" aca="1" ref="E2408" ca="1">INDIRECT("b"&amp;F2408+2)</f>
        <v>1.9E+112</v>
      </c>
      <c r="F2408" s="18">
        <f t="shared" si="431"/>
        <v>3606</v>
      </c>
      <c r="G2408" s="18"/>
      <c r="H2408" s="18"/>
      <c r="I2408" s="19">
        <v>2406</v>
      </c>
      <c r="J2408" s="19" cm="1">
        <f t="array" aca="1" ref="J2408" ca="1">INDIRECT("b"&amp;K2408+2)</f>
        <v>1.8999999999999999E+142</v>
      </c>
      <c r="K2408" s="19">
        <f t="shared" si="427"/>
        <v>4806</v>
      </c>
    </row>
    <row r="2409" spans="1:11">
      <c r="A2409">
        <v>2407</v>
      </c>
      <c r="B2409">
        <v>2.1249999999999999E+82</v>
      </c>
      <c r="D2409" s="18">
        <v>2407</v>
      </c>
      <c r="E2409" s="18" cm="1">
        <f t="array" aca="1" ref="E2409" ca="1">INDIRECT("b"&amp;F2409+2)</f>
        <v>2.35E+112</v>
      </c>
      <c r="F2409" s="18">
        <f t="shared" si="431"/>
        <v>3608</v>
      </c>
      <c r="G2409" s="18"/>
      <c r="H2409" s="18"/>
      <c r="I2409" s="19">
        <v>2407</v>
      </c>
      <c r="J2409" s="19" cm="1">
        <f t="array" aca="1" ref="J2409" ca="1">INDIRECT("b"&amp;K2409+2)</f>
        <v>2.3499999999999998E+142</v>
      </c>
      <c r="K2409" s="19">
        <f t="shared" si="427"/>
        <v>4808</v>
      </c>
    </row>
    <row r="2410" spans="1:11">
      <c r="A2410">
        <v>2408</v>
      </c>
      <c r="B2410">
        <v>2.3499999999999999E+82</v>
      </c>
      <c r="D2410" s="18">
        <v>2408</v>
      </c>
      <c r="E2410" s="18" cm="1">
        <f t="array" aca="1" ref="E2410" ca="1">INDIRECT("b"&amp;F2410+2)</f>
        <v>2.5749999999999999E+112</v>
      </c>
      <c r="F2410" s="18">
        <f t="shared" si="431"/>
        <v>3609</v>
      </c>
      <c r="G2410" s="18"/>
      <c r="H2410" s="18"/>
      <c r="I2410" s="19">
        <v>2408</v>
      </c>
      <c r="J2410" s="19" cm="1">
        <f t="array" aca="1" ref="J2410" ca="1">INDIRECT("b"&amp;K2410+2)</f>
        <v>2.575E+142</v>
      </c>
      <c r="K2410" s="19">
        <f t="shared" si="427"/>
        <v>4809</v>
      </c>
    </row>
    <row r="2411" spans="1:11">
      <c r="A2411">
        <v>2409</v>
      </c>
      <c r="B2411">
        <v>2.575E+82</v>
      </c>
      <c r="D2411" s="18">
        <v>2409</v>
      </c>
      <c r="E2411" s="18" cm="1">
        <f t="array" aca="1" ref="E2411" ca="1">INDIRECT("b"&amp;F2411+2)</f>
        <v>2.8000000000000001E+112</v>
      </c>
      <c r="F2411" s="18">
        <f t="shared" si="431"/>
        <v>3610</v>
      </c>
      <c r="G2411" s="18"/>
      <c r="H2411" s="18"/>
      <c r="I2411" s="19">
        <v>2409</v>
      </c>
      <c r="J2411" s="19" cm="1">
        <f t="array" aca="1" ref="J2411" ca="1">INDIRECT("b"&amp;K2411+2)</f>
        <v>2.8E+142</v>
      </c>
      <c r="K2411" s="19">
        <f t="shared" si="427"/>
        <v>4810</v>
      </c>
    </row>
    <row r="2412" spans="1:11">
      <c r="A2412">
        <v>2410</v>
      </c>
      <c r="B2412">
        <v>2.8E+82</v>
      </c>
      <c r="D2412" s="18">
        <v>2410</v>
      </c>
      <c r="E2412" s="18" cm="1">
        <f t="array" aca="1" ref="E2412" ca="1">INDIRECT("b"&amp;F2412+2)</f>
        <v>3.2499999999999999E+112</v>
      </c>
      <c r="F2412" s="18">
        <f t="shared" si="431"/>
        <v>3612</v>
      </c>
      <c r="G2412" s="18">
        <f t="shared" ref="G2412" ca="1" si="437">E2412/E2407</f>
        <v>1.9402985074626866</v>
      </c>
      <c r="H2412" s="18"/>
      <c r="I2412" s="19">
        <v>2410</v>
      </c>
      <c r="J2412" s="19" cm="1">
        <f t="array" aca="1" ref="J2412" ca="1">INDIRECT("b"&amp;K2412+2)</f>
        <v>3.2499999999999999E+142</v>
      </c>
      <c r="K2412" s="19">
        <f t="shared" si="427"/>
        <v>4812</v>
      </c>
    </row>
    <row r="2413" spans="1:11">
      <c r="A2413">
        <v>2411</v>
      </c>
      <c r="B2413">
        <v>3.0249999999999997E+82</v>
      </c>
      <c r="D2413" s="18">
        <v>2411</v>
      </c>
      <c r="E2413" s="18" cm="1">
        <f t="array" aca="1" ref="E2413" ca="1">INDIRECT("b"&amp;F2413+2)</f>
        <v>3.4750000000000002E+112</v>
      </c>
      <c r="F2413" s="18">
        <f t="shared" si="431"/>
        <v>3613</v>
      </c>
      <c r="G2413" s="18"/>
      <c r="H2413" s="18"/>
      <c r="I2413" s="19">
        <v>2411</v>
      </c>
      <c r="J2413" s="19" cm="1">
        <f t="array" aca="1" ref="J2413" ca="1">INDIRECT("b"&amp;K2413+2)</f>
        <v>3.4749999999999998E+142</v>
      </c>
      <c r="K2413" s="19">
        <f t="shared" si="427"/>
        <v>4813</v>
      </c>
    </row>
    <row r="2414" spans="1:11">
      <c r="A2414">
        <v>2412</v>
      </c>
      <c r="B2414">
        <v>3.2500000000000001E+82</v>
      </c>
      <c r="D2414" s="18">
        <v>2412</v>
      </c>
      <c r="E2414" s="18" cm="1">
        <f t="array" aca="1" ref="E2414" ca="1">INDIRECT("b"&amp;F2414+2)</f>
        <v>3.7E+112</v>
      </c>
      <c r="F2414" s="18">
        <f t="shared" si="431"/>
        <v>3614</v>
      </c>
      <c r="G2414" s="18"/>
      <c r="H2414" s="18"/>
      <c r="I2414" s="19">
        <v>2412</v>
      </c>
      <c r="J2414" s="19" cm="1">
        <f t="array" aca="1" ref="J2414" ca="1">INDIRECT("b"&amp;K2414+2)</f>
        <v>3.6999999999999997E+142</v>
      </c>
      <c r="K2414" s="19">
        <f t="shared" si="427"/>
        <v>4814</v>
      </c>
    </row>
    <row r="2415" spans="1:11">
      <c r="A2415">
        <v>2413</v>
      </c>
      <c r="B2415">
        <v>3.4749999999999995E+82</v>
      </c>
      <c r="D2415" s="18">
        <v>2413</v>
      </c>
      <c r="E2415" s="18" cm="1">
        <f t="array" aca="1" ref="E2415" ca="1">INDIRECT("b"&amp;F2415+2)</f>
        <v>4.1500000000000002E+112</v>
      </c>
      <c r="F2415" s="18">
        <f t="shared" si="431"/>
        <v>3616</v>
      </c>
      <c r="G2415" s="18"/>
      <c r="H2415" s="18"/>
      <c r="I2415" s="19">
        <v>2413</v>
      </c>
      <c r="J2415" s="19" cm="1">
        <f t="array" aca="1" ref="J2415" ca="1">INDIRECT("b"&amp;K2415+2)</f>
        <v>4.1499999999999996E+142</v>
      </c>
      <c r="K2415" s="19">
        <f t="shared" si="427"/>
        <v>4816</v>
      </c>
    </row>
    <row r="2416" spans="1:11">
      <c r="A2416">
        <v>2414</v>
      </c>
      <c r="B2416">
        <v>3.6999999999999996E+82</v>
      </c>
      <c r="D2416" s="18">
        <v>2414</v>
      </c>
      <c r="E2416" s="18" cm="1">
        <f t="array" aca="1" ref="E2416" ca="1">INDIRECT("b"&amp;F2416+2)</f>
        <v>4.3750000000000001E+112</v>
      </c>
      <c r="F2416" s="18">
        <f t="shared" si="431"/>
        <v>3617</v>
      </c>
      <c r="G2416" s="18"/>
      <c r="H2416" s="18"/>
      <c r="I2416" s="19">
        <v>2414</v>
      </c>
      <c r="J2416" s="19" cm="1">
        <f t="array" aca="1" ref="J2416" ca="1">INDIRECT("b"&amp;K2416+2)</f>
        <v>4.3749999999999996E+142</v>
      </c>
      <c r="K2416" s="19">
        <f t="shared" si="427"/>
        <v>4817</v>
      </c>
    </row>
    <row r="2417" spans="1:11">
      <c r="A2417">
        <v>2415</v>
      </c>
      <c r="B2417">
        <v>3.9249999999999996E+82</v>
      </c>
      <c r="D2417" s="18">
        <v>2415</v>
      </c>
      <c r="E2417" s="18" cm="1">
        <f t="array" aca="1" ref="E2417" ca="1">INDIRECT("b"&amp;F2417+2)</f>
        <v>4.5999999999999999E+112</v>
      </c>
      <c r="F2417" s="18">
        <f t="shared" si="431"/>
        <v>3618</v>
      </c>
      <c r="G2417" s="18">
        <f t="shared" ref="G2417" ca="1" si="438">E2417/E2412</f>
        <v>1.4153846153846155</v>
      </c>
      <c r="H2417" s="18"/>
      <c r="I2417" s="19">
        <v>2415</v>
      </c>
      <c r="J2417" s="19" cm="1">
        <f t="array" aca="1" ref="J2417" ca="1">INDIRECT("b"&amp;K2417+2)</f>
        <v>4.5999999999999995E+142</v>
      </c>
      <c r="K2417" s="19">
        <f t="shared" si="427"/>
        <v>4818</v>
      </c>
    </row>
    <row r="2418" spans="1:11">
      <c r="A2418">
        <v>2416</v>
      </c>
      <c r="B2418">
        <v>4.1499999999999997E+82</v>
      </c>
      <c r="D2418" s="18">
        <v>2416</v>
      </c>
      <c r="E2418" s="18" cm="1">
        <f t="array" aca="1" ref="E2418" ca="1">INDIRECT("b"&amp;F2418+2)</f>
        <v>5.0499999999999997E+112</v>
      </c>
      <c r="F2418" s="18">
        <f t="shared" si="431"/>
        <v>3620</v>
      </c>
      <c r="G2418" s="18"/>
      <c r="H2418" s="18"/>
      <c r="I2418" s="19">
        <v>2416</v>
      </c>
      <c r="J2418" s="19" cm="1">
        <f t="array" aca="1" ref="J2418" ca="1">INDIRECT("b"&amp;K2418+2)</f>
        <v>5.0499999999999994E+142</v>
      </c>
      <c r="K2418" s="19">
        <f t="shared" si="427"/>
        <v>4820</v>
      </c>
    </row>
    <row r="2419" spans="1:11">
      <c r="A2419">
        <v>2417</v>
      </c>
      <c r="B2419">
        <v>4.3749999999999997E+82</v>
      </c>
      <c r="D2419" s="18">
        <v>2417</v>
      </c>
      <c r="E2419" s="18" cm="1">
        <f t="array" aca="1" ref="E2419" ca="1">INDIRECT("b"&amp;F2419+2)</f>
        <v>5.2750000000000004E+112</v>
      </c>
      <c r="F2419" s="18">
        <f t="shared" si="431"/>
        <v>3621</v>
      </c>
      <c r="G2419" s="18"/>
      <c r="H2419" s="18"/>
      <c r="I2419" s="19">
        <v>2417</v>
      </c>
      <c r="J2419" s="19" cm="1">
        <f t="array" aca="1" ref="J2419" ca="1">INDIRECT("b"&amp;K2419+2)</f>
        <v>5.2749999999999993E+142</v>
      </c>
      <c r="K2419" s="19">
        <f t="shared" si="427"/>
        <v>4821</v>
      </c>
    </row>
    <row r="2420" spans="1:11">
      <c r="A2420">
        <v>2418</v>
      </c>
      <c r="B2420">
        <v>4.5999999999999998E+82</v>
      </c>
      <c r="D2420" s="18">
        <v>2418</v>
      </c>
      <c r="E2420" s="18" cm="1">
        <f t="array" aca="1" ref="E2420" ca="1">INDIRECT("b"&amp;F2420+2)</f>
        <v>5.5000000000000003E+112</v>
      </c>
      <c r="F2420" s="18">
        <f t="shared" si="431"/>
        <v>3622</v>
      </c>
      <c r="G2420" s="18"/>
      <c r="H2420" s="18"/>
      <c r="I2420" s="19">
        <v>2418</v>
      </c>
      <c r="J2420" s="19" cm="1">
        <f t="array" aca="1" ref="J2420" ca="1">INDIRECT("b"&amp;K2420+2)</f>
        <v>5.4999999999999993E+142</v>
      </c>
      <c r="K2420" s="19">
        <f t="shared" si="427"/>
        <v>4822</v>
      </c>
    </row>
    <row r="2421" spans="1:11">
      <c r="A2421">
        <v>2419</v>
      </c>
      <c r="B2421">
        <v>4.8249999999999998E+82</v>
      </c>
      <c r="D2421" s="18">
        <v>2419</v>
      </c>
      <c r="E2421" s="18" cm="1">
        <f t="array" aca="1" ref="E2421" ca="1">INDIRECT("b"&amp;F2421+2)</f>
        <v>5.95E+112</v>
      </c>
      <c r="F2421" s="18">
        <f t="shared" si="431"/>
        <v>3624</v>
      </c>
      <c r="G2421" s="18"/>
      <c r="H2421" s="18"/>
      <c r="I2421" s="19">
        <v>2419</v>
      </c>
      <c r="J2421" s="19" cm="1">
        <f t="array" aca="1" ref="J2421" ca="1">INDIRECT("b"&amp;K2421+2)</f>
        <v>5.9499999999999991E+142</v>
      </c>
      <c r="K2421" s="19">
        <f t="shared" si="427"/>
        <v>4824</v>
      </c>
    </row>
    <row r="2422" spans="1:11">
      <c r="A2422">
        <v>2420</v>
      </c>
      <c r="B2422">
        <v>5.0499999999999999E+82</v>
      </c>
      <c r="D2422" s="18">
        <v>2420</v>
      </c>
      <c r="E2422" s="18" cm="1">
        <f t="array" aca="1" ref="E2422" ca="1">INDIRECT("b"&amp;F2422+2)</f>
        <v>6.1749999999999999E+112</v>
      </c>
      <c r="F2422" s="18">
        <f t="shared" si="431"/>
        <v>3625</v>
      </c>
      <c r="G2422" s="18">
        <f t="shared" ref="G2422" ca="1" si="439">E2422/E2417</f>
        <v>1.3423913043478262</v>
      </c>
      <c r="H2422" s="18"/>
      <c r="I2422" s="19">
        <v>2420</v>
      </c>
      <c r="J2422" s="19" cm="1">
        <f t="array" aca="1" ref="J2422" ca="1">INDIRECT("b"&amp;K2422+2)</f>
        <v>6.1749999999999991E+142</v>
      </c>
      <c r="K2422" s="19">
        <f t="shared" si="427"/>
        <v>4825</v>
      </c>
    </row>
    <row r="2423" spans="1:11">
      <c r="A2423">
        <v>2421</v>
      </c>
      <c r="B2423">
        <v>5.2749999999999999E+82</v>
      </c>
      <c r="D2423" s="18">
        <v>2421</v>
      </c>
      <c r="E2423" s="18" cm="1">
        <f t="array" aca="1" ref="E2423" ca="1">INDIRECT("b"&amp;F2423+2)</f>
        <v>6.3999999999999997E+112</v>
      </c>
      <c r="F2423" s="18">
        <f t="shared" si="431"/>
        <v>3626</v>
      </c>
      <c r="G2423" s="18"/>
      <c r="H2423" s="18"/>
      <c r="I2423" s="19">
        <v>2421</v>
      </c>
      <c r="J2423" s="19" cm="1">
        <f t="array" aca="1" ref="J2423" ca="1">INDIRECT("b"&amp;K2423+2)</f>
        <v>6.399999999999999E+142</v>
      </c>
      <c r="K2423" s="19">
        <f t="shared" si="427"/>
        <v>4826</v>
      </c>
    </row>
    <row r="2424" spans="1:11">
      <c r="A2424">
        <v>2422</v>
      </c>
      <c r="B2424">
        <v>5.5E+82</v>
      </c>
      <c r="D2424" s="18">
        <v>2422</v>
      </c>
      <c r="E2424" s="18" cm="1">
        <f t="array" aca="1" ref="E2424" ca="1">INDIRECT("b"&amp;F2424+2)</f>
        <v>6.8500000000000003E+112</v>
      </c>
      <c r="F2424" s="18">
        <f t="shared" si="431"/>
        <v>3628</v>
      </c>
      <c r="G2424" s="18"/>
      <c r="H2424" s="18"/>
      <c r="I2424" s="19">
        <v>2422</v>
      </c>
      <c r="J2424" s="19" cm="1">
        <f t="array" aca="1" ref="J2424" ca="1">INDIRECT("b"&amp;K2424+2)</f>
        <v>6.85E+142</v>
      </c>
      <c r="K2424" s="19">
        <f t="shared" si="427"/>
        <v>4828</v>
      </c>
    </row>
    <row r="2425" spans="1:11">
      <c r="A2425">
        <v>2423</v>
      </c>
      <c r="B2425">
        <v>5.725E+82</v>
      </c>
      <c r="D2425" s="18">
        <v>2423</v>
      </c>
      <c r="E2425" s="18" cm="1">
        <f t="array" aca="1" ref="E2425" ca="1">INDIRECT("b"&amp;F2425+2)</f>
        <v>7.0750000000000002E+112</v>
      </c>
      <c r="F2425" s="18">
        <f t="shared" si="431"/>
        <v>3629</v>
      </c>
      <c r="G2425" s="18"/>
      <c r="H2425" s="18"/>
      <c r="I2425" s="19">
        <v>2423</v>
      </c>
      <c r="J2425" s="19" cm="1">
        <f t="array" aca="1" ref="J2425" ca="1">INDIRECT("b"&amp;K2425+2)</f>
        <v>7.0749999999999999E+142</v>
      </c>
      <c r="K2425" s="19">
        <f t="shared" si="427"/>
        <v>4829</v>
      </c>
    </row>
    <row r="2426" spans="1:11">
      <c r="A2426">
        <v>2424</v>
      </c>
      <c r="B2426">
        <v>5.9499999999999994E+82</v>
      </c>
      <c r="D2426" s="18">
        <v>2424</v>
      </c>
      <c r="E2426" s="18" cm="1">
        <f t="array" aca="1" ref="E2426" ca="1">INDIRECT("b"&amp;F2426+2)</f>
        <v>7.3E+112</v>
      </c>
      <c r="F2426" s="18">
        <f t="shared" si="431"/>
        <v>3630</v>
      </c>
      <c r="G2426" s="18"/>
      <c r="H2426" s="18"/>
      <c r="I2426" s="19">
        <v>2424</v>
      </c>
      <c r="J2426" s="19" cm="1">
        <f t="array" aca="1" ref="J2426" ca="1">INDIRECT("b"&amp;K2426+2)</f>
        <v>7.2999999999999999E+142</v>
      </c>
      <c r="K2426" s="19">
        <f t="shared" si="427"/>
        <v>4830</v>
      </c>
    </row>
    <row r="2427" spans="1:11">
      <c r="A2427">
        <v>2425</v>
      </c>
      <c r="B2427">
        <v>6.1749999999999994E+82</v>
      </c>
      <c r="D2427" s="18">
        <v>2425</v>
      </c>
      <c r="E2427" s="18" cm="1">
        <f t="array" aca="1" ref="E2427" ca="1">INDIRECT("b"&amp;F2427+2)</f>
        <v>7.7499999999999998E+112</v>
      </c>
      <c r="F2427" s="18">
        <f t="shared" si="431"/>
        <v>3632</v>
      </c>
      <c r="G2427" s="18">
        <f t="shared" ref="G2427" ca="1" si="440">E2427/E2422</f>
        <v>1.2550607287449393</v>
      </c>
      <c r="H2427" s="18"/>
      <c r="I2427" s="19">
        <v>2425</v>
      </c>
      <c r="J2427" s="19" cm="1">
        <f t="array" aca="1" ref="J2427" ca="1">INDIRECT("b"&amp;K2427+2)</f>
        <v>7.7499999999999998E+142</v>
      </c>
      <c r="K2427" s="19">
        <f t="shared" si="427"/>
        <v>4832</v>
      </c>
    </row>
    <row r="2428" spans="1:11">
      <c r="A2428">
        <v>2426</v>
      </c>
      <c r="B2428">
        <v>6.3999999999999995E+82</v>
      </c>
      <c r="D2428" s="18">
        <v>2426</v>
      </c>
      <c r="E2428" s="18" cm="1">
        <f t="array" aca="1" ref="E2428" ca="1">INDIRECT("b"&amp;F2428+2)</f>
        <v>7.9749999999999996E+112</v>
      </c>
      <c r="F2428" s="18">
        <f t="shared" si="431"/>
        <v>3633</v>
      </c>
      <c r="G2428" s="18"/>
      <c r="H2428" s="18"/>
      <c r="I2428" s="19">
        <v>2426</v>
      </c>
      <c r="J2428" s="19" cm="1">
        <f t="array" aca="1" ref="J2428" ca="1">INDIRECT("b"&amp;K2428+2)</f>
        <v>7.9749999999999997E+142</v>
      </c>
      <c r="K2428" s="19">
        <f t="shared" si="427"/>
        <v>4833</v>
      </c>
    </row>
    <row r="2429" spans="1:11">
      <c r="A2429">
        <v>2427</v>
      </c>
      <c r="B2429">
        <v>6.6249999999999995E+82</v>
      </c>
      <c r="D2429" s="18">
        <v>2427</v>
      </c>
      <c r="E2429" s="18" cm="1">
        <f t="array" aca="1" ref="E2429" ca="1">INDIRECT("b"&amp;F2429+2)</f>
        <v>8.1999999999999995E+112</v>
      </c>
      <c r="F2429" s="18">
        <f t="shared" si="431"/>
        <v>3634</v>
      </c>
      <c r="G2429" s="18"/>
      <c r="H2429" s="18"/>
      <c r="I2429" s="19">
        <v>2427</v>
      </c>
      <c r="J2429" s="19" cm="1">
        <f t="array" aca="1" ref="J2429" ca="1">INDIRECT("b"&amp;K2429+2)</f>
        <v>8.1999999999999996E+142</v>
      </c>
      <c r="K2429" s="19">
        <f t="shared" si="427"/>
        <v>4834</v>
      </c>
    </row>
    <row r="2430" spans="1:11">
      <c r="A2430">
        <v>2428</v>
      </c>
      <c r="B2430">
        <v>6.8499999999999996E+82</v>
      </c>
      <c r="D2430" s="18">
        <v>2428</v>
      </c>
      <c r="E2430" s="18" cm="1">
        <f t="array" aca="1" ref="E2430" ca="1">INDIRECT("b"&amp;F2430+2)</f>
        <v>8.6499999999999992E+112</v>
      </c>
      <c r="F2430" s="18">
        <f t="shared" si="431"/>
        <v>3636</v>
      </c>
      <c r="G2430" s="18"/>
      <c r="H2430" s="18"/>
      <c r="I2430" s="19">
        <v>2428</v>
      </c>
      <c r="J2430" s="19" cm="1">
        <f t="array" aca="1" ref="J2430" ca="1">INDIRECT("b"&amp;K2430+2)</f>
        <v>8.6499999999999995E+142</v>
      </c>
      <c r="K2430" s="19">
        <f t="shared" si="427"/>
        <v>4836</v>
      </c>
    </row>
    <row r="2431" spans="1:11">
      <c r="A2431">
        <v>2429</v>
      </c>
      <c r="B2431">
        <v>7.0749999999999996E+82</v>
      </c>
      <c r="D2431" s="18">
        <v>2429</v>
      </c>
      <c r="E2431" s="18" cm="1">
        <f t="array" aca="1" ref="E2431" ca="1">INDIRECT("b"&amp;F2431+2)</f>
        <v>8.8750000000000008E+112</v>
      </c>
      <c r="F2431" s="18">
        <f t="shared" si="431"/>
        <v>3637</v>
      </c>
      <c r="G2431" s="18"/>
      <c r="H2431" s="18"/>
      <c r="I2431" s="19">
        <v>2429</v>
      </c>
      <c r="J2431" s="19" cm="1">
        <f t="array" aca="1" ref="J2431" ca="1">INDIRECT("b"&amp;K2431+2)</f>
        <v>8.8749999999999995E+142</v>
      </c>
      <c r="K2431" s="19">
        <f t="shared" si="427"/>
        <v>4837</v>
      </c>
    </row>
    <row r="2432" spans="1:11">
      <c r="A2432">
        <v>2430</v>
      </c>
      <c r="B2432">
        <v>7.2999999999999997E+82</v>
      </c>
      <c r="D2432" s="18">
        <v>2430</v>
      </c>
      <c r="E2432" s="18" cm="1">
        <f t="array" aca="1" ref="E2432" ca="1">INDIRECT("b"&amp;F2432+2)</f>
        <v>9.1000000000000007E+112</v>
      </c>
      <c r="F2432" s="18">
        <f t="shared" si="431"/>
        <v>3638</v>
      </c>
      <c r="G2432" s="18">
        <f t="shared" ref="G2432" ca="1" si="441">E2432/E2427</f>
        <v>1.1741935483870969</v>
      </c>
      <c r="H2432" s="18"/>
      <c r="I2432" s="19">
        <v>2430</v>
      </c>
      <c r="J2432" s="19" cm="1">
        <f t="array" aca="1" ref="J2432" ca="1">INDIRECT("b"&amp;K2432+2)</f>
        <v>9.0999999999999994E+142</v>
      </c>
      <c r="K2432" s="19">
        <f t="shared" si="427"/>
        <v>4838</v>
      </c>
    </row>
    <row r="2433" spans="1:11">
      <c r="A2433">
        <v>2431</v>
      </c>
      <c r="B2433">
        <v>7.5249999999999997E+82</v>
      </c>
      <c r="D2433" s="18">
        <v>2431</v>
      </c>
      <c r="E2433" s="18" cm="1">
        <f t="array" aca="1" ref="E2433" ca="1">INDIRECT("b"&amp;F2433+2)</f>
        <v>9.5500000000000004E+112</v>
      </c>
      <c r="F2433" s="18">
        <f t="shared" si="431"/>
        <v>3640</v>
      </c>
      <c r="G2433" s="18"/>
      <c r="H2433" s="18"/>
      <c r="I2433" s="19">
        <v>2431</v>
      </c>
      <c r="J2433" s="19" cm="1">
        <f t="array" aca="1" ref="J2433" ca="1">INDIRECT("b"&amp;K2433+2)</f>
        <v>9.5499999999999993E+142</v>
      </c>
      <c r="K2433" s="19">
        <f t="shared" si="427"/>
        <v>4840</v>
      </c>
    </row>
    <row r="2434" spans="1:11">
      <c r="A2434">
        <v>2432</v>
      </c>
      <c r="B2434">
        <v>7.7499999999999998E+82</v>
      </c>
      <c r="D2434" s="18">
        <v>2432</v>
      </c>
      <c r="E2434" s="18" cm="1">
        <f t="array" aca="1" ref="E2434" ca="1">INDIRECT("b"&amp;F2434+2)</f>
        <v>9.7750000000000003E+112</v>
      </c>
      <c r="F2434" s="18">
        <f t="shared" si="431"/>
        <v>3641</v>
      </c>
      <c r="G2434" s="18"/>
      <c r="H2434" s="18"/>
      <c r="I2434" s="19">
        <v>2432</v>
      </c>
      <c r="J2434" s="19" cm="1">
        <f t="array" aca="1" ref="J2434" ca="1">INDIRECT("b"&amp;K2434+2)</f>
        <v>9.7749999999999992E+142</v>
      </c>
      <c r="K2434" s="19">
        <f t="shared" si="427"/>
        <v>4841</v>
      </c>
    </row>
    <row r="2435" spans="1:11">
      <c r="A2435">
        <v>2433</v>
      </c>
      <c r="B2435">
        <v>7.9749999999999999E+82</v>
      </c>
      <c r="D2435" s="18">
        <v>2433</v>
      </c>
      <c r="E2435" s="18" cm="1">
        <f t="array" aca="1" ref="E2435" ca="1">INDIRECT("b"&amp;F2435+2)</f>
        <v>1E+113</v>
      </c>
      <c r="F2435" s="18">
        <f t="shared" si="431"/>
        <v>3642</v>
      </c>
      <c r="G2435" s="18"/>
      <c r="H2435" s="18"/>
      <c r="I2435" s="19">
        <v>2433</v>
      </c>
      <c r="J2435" s="19" cm="1">
        <f t="array" aca="1" ref="J2435" ca="1">INDIRECT("b"&amp;K2435+2)</f>
        <v>1E+143</v>
      </c>
      <c r="K2435" s="19">
        <f t="shared" si="427"/>
        <v>4842</v>
      </c>
    </row>
    <row r="2436" spans="1:11">
      <c r="A2436">
        <v>2434</v>
      </c>
      <c r="B2436">
        <v>8.1999999999999999E+82</v>
      </c>
      <c r="D2436" s="18">
        <v>2434</v>
      </c>
      <c r="E2436" s="18" cm="1">
        <f t="array" aca="1" ref="E2436" ca="1">INDIRECT("b"&amp;F2436+2)</f>
        <v>1.4499999999999999E+113</v>
      </c>
      <c r="F2436" s="18">
        <f t="shared" si="431"/>
        <v>3644</v>
      </c>
      <c r="G2436" s="18"/>
      <c r="H2436" s="18"/>
      <c r="I2436" s="19">
        <v>2434</v>
      </c>
      <c r="J2436" s="19" cm="1">
        <f t="array" aca="1" ref="J2436" ca="1">INDIRECT("b"&amp;K2436+2)</f>
        <v>1.4499999999999999E+143</v>
      </c>
      <c r="K2436" s="19">
        <f t="shared" ref="K2436:K2499" si="442">INT((A2436-1)*40/30+900*40/30)+400</f>
        <v>4844</v>
      </c>
    </row>
    <row r="2437" spans="1:11">
      <c r="A2437">
        <v>2435</v>
      </c>
      <c r="B2437">
        <v>8.425E+82</v>
      </c>
      <c r="D2437" s="18">
        <v>2435</v>
      </c>
      <c r="E2437" s="18" cm="1">
        <f t="array" aca="1" ref="E2437" ca="1">INDIRECT("b"&amp;F2437+2)</f>
        <v>1.675E+113</v>
      </c>
      <c r="F2437" s="18">
        <f t="shared" si="431"/>
        <v>3645</v>
      </c>
      <c r="G2437" s="18">
        <f t="shared" ref="G2437" ca="1" si="443">E2437/E2432</f>
        <v>1.8406593406593406</v>
      </c>
      <c r="H2437" s="18"/>
      <c r="I2437" s="19">
        <v>2435</v>
      </c>
      <c r="J2437" s="19" cm="1">
        <f t="array" aca="1" ref="J2437" ca="1">INDIRECT("b"&amp;K2437+2)</f>
        <v>1.6749999999999998E+143</v>
      </c>
      <c r="K2437" s="19">
        <f t="shared" si="442"/>
        <v>4845</v>
      </c>
    </row>
    <row r="2438" spans="1:11">
      <c r="A2438">
        <v>2436</v>
      </c>
      <c r="B2438">
        <v>8.65E+82</v>
      </c>
      <c r="D2438" s="18">
        <v>2436</v>
      </c>
      <c r="E2438" s="18" cm="1">
        <f t="array" aca="1" ref="E2438" ca="1">INDIRECT("b"&amp;F2438+2)</f>
        <v>1.8999999999999998E+113</v>
      </c>
      <c r="F2438" s="18">
        <f t="shared" si="431"/>
        <v>3646</v>
      </c>
      <c r="G2438" s="18"/>
      <c r="H2438" s="18"/>
      <c r="I2438" s="19">
        <v>2436</v>
      </c>
      <c r="J2438" s="19" cm="1">
        <f t="array" aca="1" ref="J2438" ca="1">INDIRECT("b"&amp;K2438+2)</f>
        <v>1.9E+143</v>
      </c>
      <c r="K2438" s="19">
        <f t="shared" si="442"/>
        <v>4846</v>
      </c>
    </row>
    <row r="2439" spans="1:11">
      <c r="A2439">
        <v>2437</v>
      </c>
      <c r="B2439">
        <v>8.8750000000000001E+82</v>
      </c>
      <c r="D2439" s="18">
        <v>2437</v>
      </c>
      <c r="E2439" s="18" cm="1">
        <f t="array" aca="1" ref="E2439" ca="1">INDIRECT("b"&amp;F2439+2)</f>
        <v>2.3499999999999999E+113</v>
      </c>
      <c r="F2439" s="18">
        <f t="shared" si="431"/>
        <v>3648</v>
      </c>
      <c r="G2439" s="18"/>
      <c r="H2439" s="18"/>
      <c r="I2439" s="19">
        <v>2437</v>
      </c>
      <c r="J2439" s="19" cm="1">
        <f t="array" aca="1" ref="J2439" ca="1">INDIRECT("b"&amp;K2439+2)</f>
        <v>2.3500000000000001E+143</v>
      </c>
      <c r="K2439" s="19">
        <f t="shared" si="442"/>
        <v>4848</v>
      </c>
    </row>
    <row r="2440" spans="1:11">
      <c r="A2440">
        <v>2438</v>
      </c>
      <c r="B2440">
        <v>9.1000000000000001E+82</v>
      </c>
      <c r="D2440" s="18">
        <v>2438</v>
      </c>
      <c r="E2440" s="18" cm="1">
        <f t="array" aca="1" ref="E2440" ca="1">INDIRECT("b"&amp;F2440+2)</f>
        <v>2.5749999999999998E+113</v>
      </c>
      <c r="F2440" s="18">
        <f t="shared" si="431"/>
        <v>3649</v>
      </c>
      <c r="G2440" s="18"/>
      <c r="H2440" s="18"/>
      <c r="I2440" s="19">
        <v>2438</v>
      </c>
      <c r="J2440" s="19" cm="1">
        <f t="array" aca="1" ref="J2440" ca="1">INDIRECT("b"&amp;K2440+2)</f>
        <v>2.5749999999999998E+143</v>
      </c>
      <c r="K2440" s="19">
        <f t="shared" si="442"/>
        <v>4849</v>
      </c>
    </row>
    <row r="2441" spans="1:11">
      <c r="A2441">
        <v>2439</v>
      </c>
      <c r="B2441">
        <v>9.3250000000000002E+82</v>
      </c>
      <c r="D2441" s="18">
        <v>2439</v>
      </c>
      <c r="E2441" s="18" cm="1">
        <f t="array" aca="1" ref="E2441" ca="1">INDIRECT("b"&amp;F2441+2)</f>
        <v>2.8E+113</v>
      </c>
      <c r="F2441" s="18">
        <f t="shared" si="431"/>
        <v>3650</v>
      </c>
      <c r="G2441" s="18"/>
      <c r="H2441" s="18"/>
      <c r="I2441" s="19">
        <v>2439</v>
      </c>
      <c r="J2441" s="19" cm="1">
        <f t="array" aca="1" ref="J2441" ca="1">INDIRECT("b"&amp;K2441+2)</f>
        <v>2.8E+143</v>
      </c>
      <c r="K2441" s="19">
        <f t="shared" si="442"/>
        <v>4850</v>
      </c>
    </row>
    <row r="2442" spans="1:11">
      <c r="A2442">
        <v>2440</v>
      </c>
      <c r="B2442">
        <v>9.5500000000000002E+82</v>
      </c>
      <c r="D2442" s="18">
        <v>2440</v>
      </c>
      <c r="E2442" s="18" cm="1">
        <f t="array" aca="1" ref="E2442" ca="1">INDIRECT("b"&amp;F2442+2)</f>
        <v>3.2500000000000001E+113</v>
      </c>
      <c r="F2442" s="18">
        <f t="shared" si="431"/>
        <v>3652</v>
      </c>
      <c r="G2442" s="18">
        <f t="shared" ref="G2442" ca="1" si="444">E2442/E2437</f>
        <v>1.9402985074626866</v>
      </c>
      <c r="H2442" s="18"/>
      <c r="I2442" s="19">
        <v>2440</v>
      </c>
      <c r="J2442" s="19" cm="1">
        <f t="array" aca="1" ref="J2442" ca="1">INDIRECT("b"&amp;K2442+2)</f>
        <v>3.2499999999999999E+143</v>
      </c>
      <c r="K2442" s="19">
        <f t="shared" si="442"/>
        <v>4852</v>
      </c>
    </row>
    <row r="2443" spans="1:11">
      <c r="A2443">
        <v>2441</v>
      </c>
      <c r="B2443">
        <v>9.7749999999999989E+82</v>
      </c>
      <c r="D2443" s="18">
        <v>2441</v>
      </c>
      <c r="E2443" s="18" cm="1">
        <f t="array" aca="1" ref="E2443" ca="1">INDIRECT("b"&amp;F2443+2)</f>
        <v>3.4749999999999999E+113</v>
      </c>
      <c r="F2443" s="18">
        <f t="shared" si="431"/>
        <v>3653</v>
      </c>
      <c r="G2443" s="18"/>
      <c r="H2443" s="18"/>
      <c r="I2443" s="19">
        <v>2441</v>
      </c>
      <c r="J2443" s="19" cm="1">
        <f t="array" aca="1" ref="J2443" ca="1">INDIRECT("b"&amp;K2443+2)</f>
        <v>3.475E+143</v>
      </c>
      <c r="K2443" s="19">
        <f t="shared" si="442"/>
        <v>4853</v>
      </c>
    </row>
    <row r="2444" spans="1:11">
      <c r="A2444">
        <v>2442</v>
      </c>
      <c r="B2444">
        <v>9.999999999999999E+82</v>
      </c>
      <c r="D2444" s="18">
        <v>2442</v>
      </c>
      <c r="E2444" s="18" cm="1">
        <f t="array" aca="1" ref="E2444" ca="1">INDIRECT("b"&amp;F2444+2)</f>
        <v>3.6999999999999998E+113</v>
      </c>
      <c r="F2444" s="18">
        <f t="shared" si="431"/>
        <v>3654</v>
      </c>
      <c r="G2444" s="18"/>
      <c r="H2444" s="18"/>
      <c r="I2444" s="19">
        <v>2442</v>
      </c>
      <c r="J2444" s="19" cm="1">
        <f t="array" aca="1" ref="J2444" ca="1">INDIRECT("b"&amp;K2444+2)</f>
        <v>3.6999999999999997E+143</v>
      </c>
      <c r="K2444" s="19">
        <f t="shared" si="442"/>
        <v>4854</v>
      </c>
    </row>
    <row r="2445" spans="1:11">
      <c r="A2445">
        <v>2443</v>
      </c>
      <c r="B2445">
        <v>1.2249999999999999E+83</v>
      </c>
      <c r="D2445" s="18">
        <v>2443</v>
      </c>
      <c r="E2445" s="18" cm="1">
        <f t="array" aca="1" ref="E2445" ca="1">INDIRECT("b"&amp;F2445+2)</f>
        <v>4.1499999999999995E+113</v>
      </c>
      <c r="F2445" s="18">
        <f t="shared" si="431"/>
        <v>3656</v>
      </c>
      <c r="G2445" s="18"/>
      <c r="H2445" s="18"/>
      <c r="I2445" s="19">
        <v>2443</v>
      </c>
      <c r="J2445" s="19" cm="1">
        <f t="array" aca="1" ref="J2445" ca="1">INDIRECT("b"&amp;K2445+2)</f>
        <v>4.1499999999999996E+143</v>
      </c>
      <c r="K2445" s="19">
        <f t="shared" si="442"/>
        <v>4856</v>
      </c>
    </row>
    <row r="2446" spans="1:11">
      <c r="A2446">
        <v>2444</v>
      </c>
      <c r="B2446">
        <v>1.45E+83</v>
      </c>
      <c r="D2446" s="18">
        <v>2444</v>
      </c>
      <c r="E2446" s="18" cm="1">
        <f t="array" aca="1" ref="E2446" ca="1">INDIRECT("b"&amp;F2446+2)</f>
        <v>4.3750000000000001E+113</v>
      </c>
      <c r="F2446" s="18">
        <f t="shared" si="431"/>
        <v>3657</v>
      </c>
      <c r="G2446" s="18"/>
      <c r="H2446" s="18"/>
      <c r="I2446" s="19">
        <v>2444</v>
      </c>
      <c r="J2446" s="19" cm="1">
        <f t="array" aca="1" ref="J2446" ca="1">INDIRECT("b"&amp;K2446+2)</f>
        <v>4.3749999999999998E+143</v>
      </c>
      <c r="K2446" s="19">
        <f t="shared" si="442"/>
        <v>4857</v>
      </c>
    </row>
    <row r="2447" spans="1:11">
      <c r="A2447">
        <v>2445</v>
      </c>
      <c r="B2447">
        <v>1.6749999999999998E+83</v>
      </c>
      <c r="D2447" s="18">
        <v>2445</v>
      </c>
      <c r="E2447" s="18" cm="1">
        <f t="array" aca="1" ref="E2447" ca="1">INDIRECT("b"&amp;F2447+2)</f>
        <v>4.5999999999999999E+113</v>
      </c>
      <c r="F2447" s="18">
        <f t="shared" si="431"/>
        <v>3658</v>
      </c>
      <c r="G2447" s="18">
        <f t="shared" ref="G2447" ca="1" si="445">E2447/E2442</f>
        <v>1.4153846153846152</v>
      </c>
      <c r="H2447" s="18"/>
      <c r="I2447" s="19">
        <v>2445</v>
      </c>
      <c r="J2447" s="19" cm="1">
        <f t="array" aca="1" ref="J2447" ca="1">INDIRECT("b"&amp;K2447+2)</f>
        <v>4.5999999999999999E+143</v>
      </c>
      <c r="K2447" s="19">
        <f t="shared" si="442"/>
        <v>4858</v>
      </c>
    </row>
    <row r="2448" spans="1:11">
      <c r="A2448">
        <v>2446</v>
      </c>
      <c r="B2448">
        <v>1.8999999999999998E+83</v>
      </c>
      <c r="D2448" s="18">
        <v>2446</v>
      </c>
      <c r="E2448" s="18" cm="1">
        <f t="array" aca="1" ref="E2448" ca="1">INDIRECT("b"&amp;F2448+2)</f>
        <v>5.0499999999999997E+113</v>
      </c>
      <c r="F2448" s="18">
        <f t="shared" si="431"/>
        <v>3660</v>
      </c>
      <c r="G2448" s="18"/>
      <c r="H2448" s="18"/>
      <c r="I2448" s="19">
        <v>2446</v>
      </c>
      <c r="J2448" s="19" cm="1">
        <f t="array" aca="1" ref="J2448" ca="1">INDIRECT("b"&amp;K2448+2)</f>
        <v>5.0499999999999994E+143</v>
      </c>
      <c r="K2448" s="19">
        <f t="shared" si="442"/>
        <v>4860</v>
      </c>
    </row>
    <row r="2449" spans="1:11">
      <c r="A2449">
        <v>2447</v>
      </c>
      <c r="B2449">
        <v>2.1249999999999999E+83</v>
      </c>
      <c r="D2449" s="18">
        <v>2447</v>
      </c>
      <c r="E2449" s="18" cm="1">
        <f t="array" aca="1" ref="E2449" ca="1">INDIRECT("b"&amp;F2449+2)</f>
        <v>5.2749999999999995E+113</v>
      </c>
      <c r="F2449" s="18">
        <f t="shared" si="431"/>
        <v>3661</v>
      </c>
      <c r="G2449" s="18"/>
      <c r="H2449" s="18"/>
      <c r="I2449" s="19">
        <v>2447</v>
      </c>
      <c r="J2449" s="19" cm="1">
        <f t="array" aca="1" ref="J2449" ca="1">INDIRECT("b"&amp;K2449+2)</f>
        <v>5.2749999999999995E+143</v>
      </c>
      <c r="K2449" s="19">
        <f t="shared" si="442"/>
        <v>4861</v>
      </c>
    </row>
    <row r="2450" spans="1:11">
      <c r="A2450">
        <v>2448</v>
      </c>
      <c r="B2450">
        <v>2.3499999999999999E+83</v>
      </c>
      <c r="D2450" s="18">
        <v>2448</v>
      </c>
      <c r="E2450" s="18" cm="1">
        <f t="array" aca="1" ref="E2450" ca="1">INDIRECT("b"&amp;F2450+2)</f>
        <v>5.4999999999999994E+113</v>
      </c>
      <c r="F2450" s="18">
        <f t="shared" si="431"/>
        <v>3662</v>
      </c>
      <c r="G2450" s="18"/>
      <c r="H2450" s="18"/>
      <c r="I2450" s="19">
        <v>2448</v>
      </c>
      <c r="J2450" s="19" cm="1">
        <f t="array" aca="1" ref="J2450" ca="1">INDIRECT("b"&amp;K2450+2)</f>
        <v>5.4999999999999997E+143</v>
      </c>
      <c r="K2450" s="19">
        <f t="shared" si="442"/>
        <v>4862</v>
      </c>
    </row>
    <row r="2451" spans="1:11">
      <c r="A2451">
        <v>2449</v>
      </c>
      <c r="B2451">
        <v>2.575E+83</v>
      </c>
      <c r="D2451" s="18">
        <v>2449</v>
      </c>
      <c r="E2451" s="18" cm="1">
        <f t="array" aca="1" ref="E2451" ca="1">INDIRECT("b"&amp;F2451+2)</f>
        <v>5.9499999999999998E+113</v>
      </c>
      <c r="F2451" s="18">
        <f t="shared" ref="F2451:F2514" si="446">INT((A2451-123)*1.333333)+563</f>
        <v>3664</v>
      </c>
      <c r="G2451" s="18"/>
      <c r="H2451" s="18"/>
      <c r="I2451" s="19">
        <v>2449</v>
      </c>
      <c r="J2451" s="19" cm="1">
        <f t="array" aca="1" ref="J2451" ca="1">INDIRECT("b"&amp;K2451+2)</f>
        <v>5.95E+143</v>
      </c>
      <c r="K2451" s="19">
        <f t="shared" si="442"/>
        <v>4864</v>
      </c>
    </row>
    <row r="2452" spans="1:11">
      <c r="A2452">
        <v>2450</v>
      </c>
      <c r="B2452">
        <v>2.8E+83</v>
      </c>
      <c r="D2452" s="18">
        <v>2450</v>
      </c>
      <c r="E2452" s="18" cm="1">
        <f t="array" aca="1" ref="E2452" ca="1">INDIRECT("b"&amp;F2452+2)</f>
        <v>6.174999999999999E+113</v>
      </c>
      <c r="F2452" s="18">
        <f t="shared" si="446"/>
        <v>3665</v>
      </c>
      <c r="G2452" s="18">
        <f t="shared" ref="G2452" ca="1" si="447">E2452/E2447</f>
        <v>1.3423913043478259</v>
      </c>
      <c r="H2452" s="18"/>
      <c r="I2452" s="19">
        <v>2450</v>
      </c>
      <c r="J2452" s="19" cm="1">
        <f t="array" aca="1" ref="J2452" ca="1">INDIRECT("b"&amp;K2452+2)</f>
        <v>6.1750000000000002E+143</v>
      </c>
      <c r="K2452" s="19">
        <f t="shared" si="442"/>
        <v>4865</v>
      </c>
    </row>
    <row r="2453" spans="1:11">
      <c r="A2453">
        <v>2451</v>
      </c>
      <c r="B2453">
        <v>3.0249999999999995E+83</v>
      </c>
      <c r="D2453" s="18">
        <v>2451</v>
      </c>
      <c r="E2453" s="18" cm="1">
        <f t="array" aca="1" ref="E2453" ca="1">INDIRECT("b"&amp;F2453+2)</f>
        <v>6.3999999999999996E+113</v>
      </c>
      <c r="F2453" s="18">
        <f t="shared" si="446"/>
        <v>3666</v>
      </c>
      <c r="G2453" s="18"/>
      <c r="H2453" s="18"/>
      <c r="I2453" s="19">
        <v>2451</v>
      </c>
      <c r="J2453" s="19" cm="1">
        <f t="array" aca="1" ref="J2453" ca="1">INDIRECT("b"&amp;K2453+2)</f>
        <v>6.3999999999999995E+143</v>
      </c>
      <c r="K2453" s="19">
        <f t="shared" si="442"/>
        <v>4866</v>
      </c>
    </row>
    <row r="2454" spans="1:11">
      <c r="A2454">
        <v>2452</v>
      </c>
      <c r="B2454">
        <v>3.2499999999999996E+83</v>
      </c>
      <c r="D2454" s="18">
        <v>2452</v>
      </c>
      <c r="E2454" s="18" cm="1">
        <f t="array" aca="1" ref="E2454" ca="1">INDIRECT("b"&amp;F2454+2)</f>
        <v>6.8499999999999993E+113</v>
      </c>
      <c r="F2454" s="18">
        <f t="shared" si="446"/>
        <v>3668</v>
      </c>
      <c r="G2454" s="18"/>
      <c r="H2454" s="18"/>
      <c r="I2454" s="19">
        <v>2452</v>
      </c>
      <c r="J2454" s="19" cm="1">
        <f t="array" aca="1" ref="J2454" ca="1">INDIRECT("b"&amp;K2454+2)</f>
        <v>6.8499999999999998E+143</v>
      </c>
      <c r="K2454" s="19">
        <f t="shared" si="442"/>
        <v>4868</v>
      </c>
    </row>
    <row r="2455" spans="1:11">
      <c r="A2455">
        <v>2453</v>
      </c>
      <c r="B2455">
        <v>3.4749999999999996E+83</v>
      </c>
      <c r="D2455" s="18">
        <v>2453</v>
      </c>
      <c r="E2455" s="18" cm="1">
        <f t="array" aca="1" ref="E2455" ca="1">INDIRECT("b"&amp;F2455+2)</f>
        <v>7.0749999999999998E+113</v>
      </c>
      <c r="F2455" s="18">
        <f t="shared" si="446"/>
        <v>3669</v>
      </c>
      <c r="G2455" s="18"/>
      <c r="H2455" s="18"/>
      <c r="I2455" s="19">
        <v>2453</v>
      </c>
      <c r="J2455" s="19" cm="1">
        <f t="array" aca="1" ref="J2455" ca="1">INDIRECT("b"&amp;K2455+2)</f>
        <v>7.0749999999999999E+143</v>
      </c>
      <c r="K2455" s="19">
        <f t="shared" si="442"/>
        <v>4869</v>
      </c>
    </row>
    <row r="2456" spans="1:11">
      <c r="A2456">
        <v>2454</v>
      </c>
      <c r="B2456">
        <v>3.6999999999999997E+83</v>
      </c>
      <c r="D2456" s="18">
        <v>2454</v>
      </c>
      <c r="E2456" s="18" cm="1">
        <f t="array" aca="1" ref="E2456" ca="1">INDIRECT("b"&amp;F2456+2)</f>
        <v>7.299999999999999E+113</v>
      </c>
      <c r="F2456" s="18">
        <f t="shared" si="446"/>
        <v>3670</v>
      </c>
      <c r="G2456" s="18"/>
      <c r="H2456" s="18"/>
      <c r="I2456" s="19">
        <v>2454</v>
      </c>
      <c r="J2456" s="19" cm="1">
        <f t="array" aca="1" ref="J2456" ca="1">INDIRECT("b"&amp;K2456+2)</f>
        <v>7.3000000000000001E+143</v>
      </c>
      <c r="K2456" s="19">
        <f t="shared" si="442"/>
        <v>4870</v>
      </c>
    </row>
    <row r="2457" spans="1:11">
      <c r="A2457">
        <v>2455</v>
      </c>
      <c r="B2457">
        <v>3.9249999999999997E+83</v>
      </c>
      <c r="D2457" s="18">
        <v>2455</v>
      </c>
      <c r="E2457" s="18" cm="1">
        <f t="array" aca="1" ref="E2457" ca="1">INDIRECT("b"&amp;F2457+2)</f>
        <v>7.7500000000000001E+113</v>
      </c>
      <c r="F2457" s="18">
        <f t="shared" si="446"/>
        <v>3672</v>
      </c>
      <c r="G2457" s="18">
        <f t="shared" ref="G2457" ca="1" si="448">E2457/E2452</f>
        <v>1.2550607287449396</v>
      </c>
      <c r="H2457" s="18"/>
      <c r="I2457" s="19">
        <v>2455</v>
      </c>
      <c r="J2457" s="19" cm="1">
        <f t="array" aca="1" ref="J2457" ca="1">INDIRECT("b"&amp;K2457+2)</f>
        <v>7.7499999999999995E+143</v>
      </c>
      <c r="K2457" s="19">
        <f t="shared" si="442"/>
        <v>4872</v>
      </c>
    </row>
    <row r="2458" spans="1:11">
      <c r="A2458">
        <v>2456</v>
      </c>
      <c r="B2458">
        <v>4.1499999999999998E+83</v>
      </c>
      <c r="D2458" s="18">
        <v>2456</v>
      </c>
      <c r="E2458" s="18" cm="1">
        <f t="array" aca="1" ref="E2458" ca="1">INDIRECT("b"&amp;F2458+2)</f>
        <v>7.9749999999999993E+113</v>
      </c>
      <c r="F2458" s="18">
        <f t="shared" si="446"/>
        <v>3673</v>
      </c>
      <c r="G2458" s="18"/>
      <c r="H2458" s="18"/>
      <c r="I2458" s="19">
        <v>2456</v>
      </c>
      <c r="J2458" s="19" cm="1">
        <f t="array" aca="1" ref="J2458" ca="1">INDIRECT("b"&amp;K2458+2)</f>
        <v>7.9750000000000006E+143</v>
      </c>
      <c r="K2458" s="19">
        <f t="shared" si="442"/>
        <v>4873</v>
      </c>
    </row>
    <row r="2459" spans="1:11">
      <c r="A2459">
        <v>2457</v>
      </c>
      <c r="B2459">
        <v>4.3749999999999998E+83</v>
      </c>
      <c r="D2459" s="18">
        <v>2457</v>
      </c>
      <c r="E2459" s="18" cm="1">
        <f t="array" aca="1" ref="E2459" ca="1">INDIRECT("b"&amp;F2459+2)</f>
        <v>8.1999999999999999E+113</v>
      </c>
      <c r="F2459" s="18">
        <f t="shared" si="446"/>
        <v>3674</v>
      </c>
      <c r="G2459" s="18"/>
      <c r="H2459" s="18"/>
      <c r="I2459" s="19">
        <v>2457</v>
      </c>
      <c r="J2459" s="19" cm="1">
        <f t="array" aca="1" ref="J2459" ca="1">INDIRECT("b"&amp;K2459+2)</f>
        <v>8.199999999999999E+143</v>
      </c>
      <c r="K2459" s="19">
        <f t="shared" si="442"/>
        <v>4874</v>
      </c>
    </row>
    <row r="2460" spans="1:11">
      <c r="A2460">
        <v>2458</v>
      </c>
      <c r="B2460">
        <v>4.5999999999999999E+83</v>
      </c>
      <c r="D2460" s="18">
        <v>2458</v>
      </c>
      <c r="E2460" s="18" cm="1">
        <f t="array" aca="1" ref="E2460" ca="1">INDIRECT("b"&amp;F2460+2)</f>
        <v>8.6499999999999996E+113</v>
      </c>
      <c r="F2460" s="18">
        <f t="shared" si="446"/>
        <v>3676</v>
      </c>
      <c r="G2460" s="18"/>
      <c r="H2460" s="18"/>
      <c r="I2460" s="19">
        <v>2458</v>
      </c>
      <c r="J2460" s="19" cm="1">
        <f t="array" aca="1" ref="J2460" ca="1">INDIRECT("b"&amp;K2460+2)</f>
        <v>8.6499999999999993E+143</v>
      </c>
      <c r="K2460" s="19">
        <f t="shared" si="442"/>
        <v>4876</v>
      </c>
    </row>
    <row r="2461" spans="1:11">
      <c r="A2461">
        <v>2459</v>
      </c>
      <c r="B2461">
        <v>4.8249999999999994E+83</v>
      </c>
      <c r="D2461" s="18">
        <v>2459</v>
      </c>
      <c r="E2461" s="18" cm="1">
        <f t="array" aca="1" ref="E2461" ca="1">INDIRECT("b"&amp;F2461+2)</f>
        <v>8.8749999999999988E+113</v>
      </c>
      <c r="F2461" s="18">
        <f t="shared" si="446"/>
        <v>3677</v>
      </c>
      <c r="G2461" s="18"/>
      <c r="H2461" s="18"/>
      <c r="I2461" s="19">
        <v>2459</v>
      </c>
      <c r="J2461" s="19" cm="1">
        <f t="array" aca="1" ref="J2461" ca="1">INDIRECT("b"&amp;K2461+2)</f>
        <v>8.8749999999999995E+143</v>
      </c>
      <c r="K2461" s="19">
        <f t="shared" si="442"/>
        <v>4877</v>
      </c>
    </row>
    <row r="2462" spans="1:11">
      <c r="A2462">
        <v>2460</v>
      </c>
      <c r="B2462">
        <v>5.0499999999999995E+83</v>
      </c>
      <c r="D2462" s="18">
        <v>2460</v>
      </c>
      <c r="E2462" s="18" cm="1">
        <f t="array" aca="1" ref="E2462" ca="1">INDIRECT("b"&amp;F2462+2)</f>
        <v>9.0999999999999993E+113</v>
      </c>
      <c r="F2462" s="18">
        <f t="shared" si="446"/>
        <v>3678</v>
      </c>
      <c r="G2462" s="18">
        <f t="shared" ref="G2462" ca="1" si="449">E2462/E2457</f>
        <v>1.1741935483870967</v>
      </c>
      <c r="H2462" s="18"/>
      <c r="I2462" s="19">
        <v>2460</v>
      </c>
      <c r="J2462" s="19" cm="1">
        <f t="array" aca="1" ref="J2462" ca="1">INDIRECT("b"&amp;K2462+2)</f>
        <v>9.0999999999999996E+143</v>
      </c>
      <c r="K2462" s="19">
        <f t="shared" si="442"/>
        <v>4878</v>
      </c>
    </row>
    <row r="2463" spans="1:11">
      <c r="A2463">
        <v>2461</v>
      </c>
      <c r="B2463">
        <v>5.2750000000000001E+83</v>
      </c>
      <c r="D2463" s="18">
        <v>2461</v>
      </c>
      <c r="E2463" s="18" cm="1">
        <f t="array" aca="1" ref="E2463" ca="1">INDIRECT("b"&amp;F2463+2)</f>
        <v>9.5499999999999991E+113</v>
      </c>
      <c r="F2463" s="18">
        <f t="shared" si="446"/>
        <v>3680</v>
      </c>
      <c r="G2463" s="18"/>
      <c r="H2463" s="18"/>
      <c r="I2463" s="19">
        <v>2461</v>
      </c>
      <c r="J2463" s="19" cm="1">
        <f t="array" aca="1" ref="J2463" ca="1">INDIRECT("b"&amp;K2463+2)</f>
        <v>9.5499999999999999E+143</v>
      </c>
      <c r="K2463" s="19">
        <f t="shared" si="442"/>
        <v>4880</v>
      </c>
    </row>
    <row r="2464" spans="1:11">
      <c r="A2464">
        <v>2462</v>
      </c>
      <c r="B2464">
        <v>5.4999999999999996E+83</v>
      </c>
      <c r="D2464" s="18">
        <v>2462</v>
      </c>
      <c r="E2464" s="18" cm="1">
        <f t="array" aca="1" ref="E2464" ca="1">INDIRECT("b"&amp;F2464+2)</f>
        <v>9.7749999999999996E+113</v>
      </c>
      <c r="F2464" s="18">
        <f t="shared" si="446"/>
        <v>3681</v>
      </c>
      <c r="G2464" s="18"/>
      <c r="H2464" s="18"/>
      <c r="I2464" s="19">
        <v>2462</v>
      </c>
      <c r="J2464" s="19" cm="1">
        <f t="array" aca="1" ref="J2464" ca="1">INDIRECT("b"&amp;K2464+2)</f>
        <v>9.7750000000000001E+143</v>
      </c>
      <c r="K2464" s="19">
        <f t="shared" si="442"/>
        <v>4881</v>
      </c>
    </row>
    <row r="2465" spans="1:11">
      <c r="A2465">
        <v>2463</v>
      </c>
      <c r="B2465">
        <v>5.7249999999999991E+83</v>
      </c>
      <c r="D2465" s="18">
        <v>2463</v>
      </c>
      <c r="E2465" s="18" cm="1">
        <f t="array" aca="1" ref="E2465" ca="1">INDIRECT("b"&amp;F2465+2)</f>
        <v>1.0000000000000002E+114</v>
      </c>
      <c r="F2465" s="18">
        <f t="shared" si="446"/>
        <v>3682</v>
      </c>
      <c r="G2465" s="18"/>
      <c r="H2465" s="18"/>
      <c r="I2465" s="19">
        <v>2463</v>
      </c>
      <c r="J2465" s="19" cm="1">
        <f t="array" aca="1" ref="J2465" ca="1">INDIRECT("b"&amp;K2465+2)</f>
        <v>1E+144</v>
      </c>
      <c r="K2465" s="19">
        <f t="shared" si="442"/>
        <v>4882</v>
      </c>
    </row>
    <row r="2466" spans="1:11">
      <c r="A2466">
        <v>2464</v>
      </c>
      <c r="B2466">
        <v>5.9499999999999997E+83</v>
      </c>
      <c r="D2466" s="18">
        <v>2464</v>
      </c>
      <c r="E2466" s="18" cm="1">
        <f t="array" aca="1" ref="E2466" ca="1">INDIRECT("b"&amp;F2466+2)</f>
        <v>1.45E+114</v>
      </c>
      <c r="F2466" s="18">
        <f t="shared" si="446"/>
        <v>3684</v>
      </c>
      <c r="G2466" s="18"/>
      <c r="H2466" s="18"/>
      <c r="I2466" s="19">
        <v>2464</v>
      </c>
      <c r="J2466" s="19" cm="1">
        <f t="array" aca="1" ref="J2466" ca="1">INDIRECT("b"&amp;K2466+2)</f>
        <v>1.4500000000000002E+144</v>
      </c>
      <c r="K2466" s="19">
        <f t="shared" si="442"/>
        <v>4884</v>
      </c>
    </row>
    <row r="2467" spans="1:11">
      <c r="A2467">
        <v>2465</v>
      </c>
      <c r="B2467">
        <v>6.1749999999999992E+83</v>
      </c>
      <c r="D2467" s="18">
        <v>2465</v>
      </c>
      <c r="E2467" s="18" cm="1">
        <f t="array" aca="1" ref="E2467" ca="1">INDIRECT("b"&amp;F2467+2)</f>
        <v>1.675E+114</v>
      </c>
      <c r="F2467" s="18">
        <f t="shared" si="446"/>
        <v>3685</v>
      </c>
      <c r="G2467" s="18">
        <f t="shared" ref="G2467" ca="1" si="450">E2467/E2462</f>
        <v>1.8406593406593408</v>
      </c>
      <c r="H2467" s="18"/>
      <c r="I2467" s="19">
        <v>2465</v>
      </c>
      <c r="J2467" s="19" cm="1">
        <f t="array" aca="1" ref="J2467" ca="1">INDIRECT("b"&amp;K2467+2)</f>
        <v>1.675E+144</v>
      </c>
      <c r="K2467" s="19">
        <f t="shared" si="442"/>
        <v>4885</v>
      </c>
    </row>
    <row r="2468" spans="1:11">
      <c r="A2468">
        <v>2466</v>
      </c>
      <c r="B2468">
        <v>6.3999999999999998E+83</v>
      </c>
      <c r="D2468" s="18">
        <v>2466</v>
      </c>
      <c r="E2468" s="18" cm="1">
        <f t="array" aca="1" ref="E2468" ca="1">INDIRECT("b"&amp;F2468+2)</f>
        <v>1.9000000000000003E+114</v>
      </c>
      <c r="F2468" s="18">
        <f t="shared" si="446"/>
        <v>3686</v>
      </c>
      <c r="G2468" s="18"/>
      <c r="H2468" s="18"/>
      <c r="I2468" s="19">
        <v>2466</v>
      </c>
      <c r="J2468" s="19" cm="1">
        <f t="array" aca="1" ref="J2468" ca="1">INDIRECT("b"&amp;K2468+2)</f>
        <v>1.9000000000000001E+144</v>
      </c>
      <c r="K2468" s="19">
        <f t="shared" si="442"/>
        <v>4886</v>
      </c>
    </row>
    <row r="2469" spans="1:11">
      <c r="A2469">
        <v>2467</v>
      </c>
      <c r="B2469">
        <v>6.6249999999999993E+83</v>
      </c>
      <c r="D2469" s="18">
        <v>2467</v>
      </c>
      <c r="E2469" s="18" cm="1">
        <f t="array" aca="1" ref="E2469" ca="1">INDIRECT("b"&amp;F2469+2)</f>
        <v>2.3500000000000003E+114</v>
      </c>
      <c r="F2469" s="18">
        <f t="shared" si="446"/>
        <v>3688</v>
      </c>
      <c r="G2469" s="18"/>
      <c r="H2469" s="18"/>
      <c r="I2469" s="19">
        <v>2467</v>
      </c>
      <c r="J2469" s="19" cm="1">
        <f t="array" aca="1" ref="J2469" ca="1">INDIRECT("b"&amp;K2469+2)</f>
        <v>2.3500000000000001E+144</v>
      </c>
      <c r="K2469" s="19">
        <f t="shared" si="442"/>
        <v>4888</v>
      </c>
    </row>
    <row r="2470" spans="1:11">
      <c r="A2470">
        <v>2468</v>
      </c>
      <c r="B2470">
        <v>6.8499999999999999E+83</v>
      </c>
      <c r="D2470" s="18">
        <v>2468</v>
      </c>
      <c r="E2470" s="18" cm="1">
        <f t="array" aca="1" ref="E2470" ca="1">INDIRECT("b"&amp;F2470+2)</f>
        <v>2.575E+114</v>
      </c>
      <c r="F2470" s="18">
        <f t="shared" si="446"/>
        <v>3689</v>
      </c>
      <c r="G2470" s="18"/>
      <c r="H2470" s="18"/>
      <c r="I2470" s="19">
        <v>2468</v>
      </c>
      <c r="J2470" s="19" cm="1">
        <f t="array" aca="1" ref="J2470" ca="1">INDIRECT("b"&amp;K2470+2)</f>
        <v>2.5750000000000003E+144</v>
      </c>
      <c r="K2470" s="19">
        <f t="shared" si="442"/>
        <v>4889</v>
      </c>
    </row>
    <row r="2471" spans="1:11">
      <c r="A2471">
        <v>2469</v>
      </c>
      <c r="B2471">
        <v>7.0749999999999994E+83</v>
      </c>
      <c r="D2471" s="18">
        <v>2469</v>
      </c>
      <c r="E2471" s="18" cm="1">
        <f t="array" aca="1" ref="E2471" ca="1">INDIRECT("b"&amp;F2471+2)</f>
        <v>2.8E+114</v>
      </c>
      <c r="F2471" s="18">
        <f t="shared" si="446"/>
        <v>3690</v>
      </c>
      <c r="G2471" s="18"/>
      <c r="H2471" s="18"/>
      <c r="I2471" s="19">
        <v>2469</v>
      </c>
      <c r="J2471" s="19" cm="1">
        <f t="array" aca="1" ref="J2471" ca="1">INDIRECT("b"&amp;K2471+2)</f>
        <v>2.8000000000000001E+144</v>
      </c>
      <c r="K2471" s="19">
        <f t="shared" si="442"/>
        <v>4890</v>
      </c>
    </row>
    <row r="2472" spans="1:11">
      <c r="A2472">
        <v>2470</v>
      </c>
      <c r="B2472">
        <v>7.3E+83</v>
      </c>
      <c r="D2472" s="18">
        <v>2470</v>
      </c>
      <c r="E2472" s="18" cm="1">
        <f t="array" aca="1" ref="E2472" ca="1">INDIRECT("b"&amp;F2472+2)</f>
        <v>3.2500000000000001E+114</v>
      </c>
      <c r="F2472" s="18">
        <f t="shared" si="446"/>
        <v>3692</v>
      </c>
      <c r="G2472" s="18">
        <f t="shared" ref="G2472" ca="1" si="451">E2472/E2467</f>
        <v>1.9402985074626866</v>
      </c>
      <c r="H2472" s="18"/>
      <c r="I2472" s="19">
        <v>2470</v>
      </c>
      <c r="J2472" s="19" cm="1">
        <f t="array" aca="1" ref="J2472" ca="1">INDIRECT("b"&amp;K2472+2)</f>
        <v>3.25E+144</v>
      </c>
      <c r="K2472" s="19">
        <f t="shared" si="442"/>
        <v>4892</v>
      </c>
    </row>
    <row r="2473" spans="1:11">
      <c r="A2473">
        <v>2471</v>
      </c>
      <c r="B2473">
        <v>7.5249999999999995E+83</v>
      </c>
      <c r="D2473" s="18">
        <v>2471</v>
      </c>
      <c r="E2473" s="18" cm="1">
        <f t="array" aca="1" ref="E2473" ca="1">INDIRECT("b"&amp;F2473+2)</f>
        <v>3.4750000000000001E+114</v>
      </c>
      <c r="F2473" s="18">
        <f t="shared" si="446"/>
        <v>3693</v>
      </c>
      <c r="G2473" s="18"/>
      <c r="H2473" s="18"/>
      <c r="I2473" s="19">
        <v>2471</v>
      </c>
      <c r="J2473" s="19" cm="1">
        <f t="array" aca="1" ref="J2473" ca="1">INDIRECT("b"&amp;K2473+2)</f>
        <v>3.4750000000000002E+144</v>
      </c>
      <c r="K2473" s="19">
        <f t="shared" si="442"/>
        <v>4893</v>
      </c>
    </row>
    <row r="2474" spans="1:11">
      <c r="A2474">
        <v>2472</v>
      </c>
      <c r="B2474">
        <v>7.749999999999999E+83</v>
      </c>
      <c r="D2474" s="18">
        <v>2472</v>
      </c>
      <c r="E2474" s="18" cm="1">
        <f t="array" aca="1" ref="E2474" ca="1">INDIRECT("b"&amp;F2474+2)</f>
        <v>3.7000000000000006E+114</v>
      </c>
      <c r="F2474" s="18">
        <f t="shared" si="446"/>
        <v>3694</v>
      </c>
      <c r="G2474" s="18"/>
      <c r="H2474" s="18"/>
      <c r="I2474" s="19">
        <v>2472</v>
      </c>
      <c r="J2474" s="19" cm="1">
        <f t="array" aca="1" ref="J2474" ca="1">INDIRECT("b"&amp;K2474+2)</f>
        <v>3.7000000000000003E+144</v>
      </c>
      <c r="K2474" s="19">
        <f t="shared" si="442"/>
        <v>4894</v>
      </c>
    </row>
    <row r="2475" spans="1:11">
      <c r="A2475">
        <v>2473</v>
      </c>
      <c r="B2475">
        <v>7.9749999999999996E+83</v>
      </c>
      <c r="D2475" s="18">
        <v>2473</v>
      </c>
      <c r="E2475" s="18" cm="1">
        <f t="array" aca="1" ref="E2475" ca="1">INDIRECT("b"&amp;F2475+2)</f>
        <v>4.1500000000000006E+114</v>
      </c>
      <c r="F2475" s="18">
        <f t="shared" si="446"/>
        <v>3696</v>
      </c>
      <c r="G2475" s="18"/>
      <c r="H2475" s="18"/>
      <c r="I2475" s="19">
        <v>2473</v>
      </c>
      <c r="J2475" s="19" cm="1">
        <f t="array" aca="1" ref="J2475" ca="1">INDIRECT("b"&amp;K2475+2)</f>
        <v>4.15E+144</v>
      </c>
      <c r="K2475" s="19">
        <f t="shared" si="442"/>
        <v>4896</v>
      </c>
    </row>
    <row r="2476" spans="1:11">
      <c r="A2476">
        <v>2474</v>
      </c>
      <c r="B2476">
        <v>8.1999999999999991E+83</v>
      </c>
      <c r="D2476" s="18">
        <v>2474</v>
      </c>
      <c r="E2476" s="18" cm="1">
        <f t="array" aca="1" ref="E2476" ca="1">INDIRECT("b"&amp;F2476+2)</f>
        <v>4.3750000000000006E+114</v>
      </c>
      <c r="F2476" s="18">
        <f t="shared" si="446"/>
        <v>3697</v>
      </c>
      <c r="G2476" s="18"/>
      <c r="H2476" s="18"/>
      <c r="I2476" s="19">
        <v>2474</v>
      </c>
      <c r="J2476" s="19" cm="1">
        <f t="array" aca="1" ref="J2476" ca="1">INDIRECT("b"&amp;K2476+2)</f>
        <v>4.3750000000000001E+144</v>
      </c>
      <c r="K2476" s="19">
        <f t="shared" si="442"/>
        <v>4897</v>
      </c>
    </row>
    <row r="2477" spans="1:11">
      <c r="A2477">
        <v>2475</v>
      </c>
      <c r="B2477">
        <v>8.4249999999999997E+83</v>
      </c>
      <c r="D2477" s="18">
        <v>2475</v>
      </c>
      <c r="E2477" s="18" cm="1">
        <f t="array" aca="1" ref="E2477" ca="1">INDIRECT("b"&amp;F2477+2)</f>
        <v>4.6000000000000006E+114</v>
      </c>
      <c r="F2477" s="18">
        <f t="shared" si="446"/>
        <v>3698</v>
      </c>
      <c r="G2477" s="18">
        <f t="shared" ref="G2477" ca="1" si="452">E2477/E2472</f>
        <v>1.4153846153846155</v>
      </c>
      <c r="H2477" s="18"/>
      <c r="I2477" s="19">
        <v>2475</v>
      </c>
      <c r="J2477" s="19" cm="1">
        <f t="array" aca="1" ref="J2477" ca="1">INDIRECT("b"&amp;K2477+2)</f>
        <v>4.6000000000000003E+144</v>
      </c>
      <c r="K2477" s="19">
        <f t="shared" si="442"/>
        <v>4898</v>
      </c>
    </row>
    <row r="2478" spans="1:11">
      <c r="A2478">
        <v>2476</v>
      </c>
      <c r="B2478">
        <v>8.6499999999999992E+83</v>
      </c>
      <c r="D2478" s="18">
        <v>2476</v>
      </c>
      <c r="E2478" s="18" cm="1">
        <f t="array" aca="1" ref="E2478" ca="1">INDIRECT("b"&amp;F2478+2)</f>
        <v>5.0500000000000001E+114</v>
      </c>
      <c r="F2478" s="18">
        <f t="shared" si="446"/>
        <v>3700</v>
      </c>
      <c r="G2478" s="18"/>
      <c r="H2478" s="18"/>
      <c r="I2478" s="19">
        <v>2476</v>
      </c>
      <c r="J2478" s="19" cm="1">
        <f t="array" aca="1" ref="J2478" ca="1">INDIRECT("b"&amp;K2478+2)</f>
        <v>5.0500000000000006E+144</v>
      </c>
      <c r="K2478" s="19">
        <f t="shared" si="442"/>
        <v>4900</v>
      </c>
    </row>
    <row r="2479" spans="1:11">
      <c r="A2479">
        <v>2477</v>
      </c>
      <c r="B2479">
        <v>8.8749999999999998E+83</v>
      </c>
      <c r="D2479" s="18">
        <v>2477</v>
      </c>
      <c r="E2479" s="18" cm="1">
        <f t="array" aca="1" ref="E2479" ca="1">INDIRECT("b"&amp;F2479+2)</f>
        <v>5.2750000000000006E+114</v>
      </c>
      <c r="F2479" s="18">
        <f t="shared" si="446"/>
        <v>3701</v>
      </c>
      <c r="G2479" s="18"/>
      <c r="H2479" s="18"/>
      <c r="I2479" s="19">
        <v>2477</v>
      </c>
      <c r="J2479" s="19" cm="1">
        <f t="array" aca="1" ref="J2479" ca="1">INDIRECT("b"&amp;K2479+2)</f>
        <v>5.2750000000000001E+144</v>
      </c>
      <c r="K2479" s="19">
        <f t="shared" si="442"/>
        <v>4901</v>
      </c>
    </row>
    <row r="2480" spans="1:11">
      <c r="A2480">
        <v>2478</v>
      </c>
      <c r="B2480">
        <v>9.0999999999999993E+83</v>
      </c>
      <c r="D2480" s="18">
        <v>2478</v>
      </c>
      <c r="E2480" s="18" cm="1">
        <f t="array" aca="1" ref="E2480" ca="1">INDIRECT("b"&amp;F2480+2)</f>
        <v>5.5000000000000001E+114</v>
      </c>
      <c r="F2480" s="18">
        <f t="shared" si="446"/>
        <v>3702</v>
      </c>
      <c r="G2480" s="18"/>
      <c r="H2480" s="18"/>
      <c r="I2480" s="19">
        <v>2478</v>
      </c>
      <c r="J2480" s="19" cm="1">
        <f t="array" aca="1" ref="J2480" ca="1">INDIRECT("b"&amp;K2480+2)</f>
        <v>5.5000000000000002E+144</v>
      </c>
      <c r="K2480" s="19">
        <f t="shared" si="442"/>
        <v>4902</v>
      </c>
    </row>
    <row r="2481" spans="1:11">
      <c r="A2481">
        <v>2479</v>
      </c>
      <c r="B2481">
        <v>9.3249999999999988E+83</v>
      </c>
      <c r="D2481" s="18">
        <v>2479</v>
      </c>
      <c r="E2481" s="18" cm="1">
        <f t="array" aca="1" ref="E2481" ca="1">INDIRECT("b"&amp;F2481+2)</f>
        <v>5.9500000000000001E+114</v>
      </c>
      <c r="F2481" s="18">
        <f t="shared" si="446"/>
        <v>3704</v>
      </c>
      <c r="G2481" s="18"/>
      <c r="H2481" s="18"/>
      <c r="I2481" s="19">
        <v>2479</v>
      </c>
      <c r="J2481" s="19" cm="1">
        <f t="array" aca="1" ref="J2481" ca="1">INDIRECT("b"&amp;K2481+2)</f>
        <v>5.9500000000000005E+144</v>
      </c>
      <c r="K2481" s="19">
        <f t="shared" si="442"/>
        <v>4904</v>
      </c>
    </row>
    <row r="2482" spans="1:11">
      <c r="A2482">
        <v>2480</v>
      </c>
      <c r="B2482">
        <v>9.5499999999999994E+83</v>
      </c>
      <c r="D2482" s="18">
        <v>2480</v>
      </c>
      <c r="E2482" s="18" cm="1">
        <f t="array" aca="1" ref="E2482" ca="1">INDIRECT("b"&amp;F2482+2)</f>
        <v>6.1750000000000006E+114</v>
      </c>
      <c r="F2482" s="18">
        <f t="shared" si="446"/>
        <v>3705</v>
      </c>
      <c r="G2482" s="18">
        <f t="shared" ref="G2482" ca="1" si="453">E2482/E2477</f>
        <v>1.3423913043478259</v>
      </c>
      <c r="H2482" s="18"/>
      <c r="I2482" s="19">
        <v>2480</v>
      </c>
      <c r="J2482" s="19" cm="1">
        <f t="array" aca="1" ref="J2482" ca="1">INDIRECT("b"&amp;K2482+2)</f>
        <v>6.1750000000000007E+144</v>
      </c>
      <c r="K2482" s="19">
        <f t="shared" si="442"/>
        <v>4905</v>
      </c>
    </row>
    <row r="2483" spans="1:11">
      <c r="A2483">
        <v>2481</v>
      </c>
      <c r="B2483">
        <v>9.775E+83</v>
      </c>
      <c r="D2483" s="18">
        <v>2481</v>
      </c>
      <c r="E2483" s="18" cm="1">
        <f t="array" aca="1" ref="E2483" ca="1">INDIRECT("b"&amp;F2483+2)</f>
        <v>6.4000000000000001E+114</v>
      </c>
      <c r="F2483" s="18">
        <f t="shared" si="446"/>
        <v>3706</v>
      </c>
      <c r="G2483" s="18"/>
      <c r="H2483" s="18"/>
      <c r="I2483" s="19">
        <v>2481</v>
      </c>
      <c r="J2483" s="19" cm="1">
        <f t="array" aca="1" ref="J2483" ca="1">INDIRECT("b"&amp;K2483+2)</f>
        <v>6.4000000000000002E+144</v>
      </c>
      <c r="K2483" s="19">
        <f t="shared" si="442"/>
        <v>4906</v>
      </c>
    </row>
    <row r="2484" spans="1:11">
      <c r="A2484">
        <v>2482</v>
      </c>
      <c r="B2484">
        <v>1.0000000000000001E+84</v>
      </c>
      <c r="D2484" s="18">
        <v>2482</v>
      </c>
      <c r="E2484" s="18" cm="1">
        <f t="array" aca="1" ref="E2484" ca="1">INDIRECT("b"&amp;F2484+2)</f>
        <v>6.8500000000000001E+114</v>
      </c>
      <c r="F2484" s="18">
        <f t="shared" si="446"/>
        <v>3708</v>
      </c>
      <c r="G2484" s="18"/>
      <c r="H2484" s="18"/>
      <c r="I2484" s="19">
        <v>2482</v>
      </c>
      <c r="J2484" s="19" cm="1">
        <f t="array" aca="1" ref="J2484" ca="1">INDIRECT("b"&amp;K2484+2)</f>
        <v>6.8500000000000005E+144</v>
      </c>
      <c r="K2484" s="19">
        <f t="shared" si="442"/>
        <v>4908</v>
      </c>
    </row>
    <row r="2485" spans="1:11">
      <c r="A2485">
        <v>2483</v>
      </c>
      <c r="B2485">
        <v>1.225E+84</v>
      </c>
      <c r="D2485" s="18">
        <v>2483</v>
      </c>
      <c r="E2485" s="18" cm="1">
        <f t="array" aca="1" ref="E2485" ca="1">INDIRECT("b"&amp;F2485+2)</f>
        <v>7.0750000000000007E+114</v>
      </c>
      <c r="F2485" s="18">
        <f t="shared" si="446"/>
        <v>3709</v>
      </c>
      <c r="G2485" s="18"/>
      <c r="H2485" s="18"/>
      <c r="I2485" s="19">
        <v>2483</v>
      </c>
      <c r="J2485" s="19" cm="1">
        <f t="array" aca="1" ref="J2485" ca="1">INDIRECT("b"&amp;K2485+2)</f>
        <v>7.0750000000000006E+144</v>
      </c>
      <c r="K2485" s="19">
        <f t="shared" si="442"/>
        <v>4909</v>
      </c>
    </row>
    <row r="2486" spans="1:11">
      <c r="A2486">
        <v>2484</v>
      </c>
      <c r="B2486">
        <v>1.4500000000000002E+84</v>
      </c>
      <c r="D2486" s="18">
        <v>2484</v>
      </c>
      <c r="E2486" s="18" cm="1">
        <f t="array" aca="1" ref="E2486" ca="1">INDIRECT("b"&amp;F2486+2)</f>
        <v>7.3000000000000012E+114</v>
      </c>
      <c r="F2486" s="18">
        <f t="shared" si="446"/>
        <v>3710</v>
      </c>
      <c r="G2486" s="18"/>
      <c r="H2486" s="18"/>
      <c r="I2486" s="19">
        <v>2484</v>
      </c>
      <c r="J2486" s="19" cm="1">
        <f t="array" aca="1" ref="J2486" ca="1">INDIRECT("b"&amp;K2486+2)</f>
        <v>7.3000000000000008E+144</v>
      </c>
      <c r="K2486" s="19">
        <f t="shared" si="442"/>
        <v>4910</v>
      </c>
    </row>
    <row r="2487" spans="1:11">
      <c r="A2487">
        <v>2485</v>
      </c>
      <c r="B2487">
        <v>1.6750000000000001E+84</v>
      </c>
      <c r="D2487" s="18">
        <v>2485</v>
      </c>
      <c r="E2487" s="18" cm="1">
        <f t="array" aca="1" ref="E2487" ca="1">INDIRECT("b"&amp;F2487+2)</f>
        <v>7.7500000000000012E+114</v>
      </c>
      <c r="F2487" s="18">
        <f t="shared" si="446"/>
        <v>3712</v>
      </c>
      <c r="G2487" s="18">
        <f t="shared" ref="G2487" ca="1" si="454">E2487/E2482</f>
        <v>1.2550607287449393</v>
      </c>
      <c r="H2487" s="18"/>
      <c r="I2487" s="19">
        <v>2485</v>
      </c>
      <c r="J2487" s="19" cm="1">
        <f t="array" aca="1" ref="J2487" ca="1">INDIRECT("b"&amp;K2487+2)</f>
        <v>7.7500000000000011E+144</v>
      </c>
      <c r="K2487" s="19">
        <f t="shared" si="442"/>
        <v>4912</v>
      </c>
    </row>
    <row r="2488" spans="1:11">
      <c r="A2488">
        <v>2486</v>
      </c>
      <c r="B2488">
        <v>1.9E+84</v>
      </c>
      <c r="D2488" s="18">
        <v>2486</v>
      </c>
      <c r="E2488" s="18" cm="1">
        <f t="array" aca="1" ref="E2488" ca="1">INDIRECT("b"&amp;F2488+2)</f>
        <v>7.9750000000000007E+114</v>
      </c>
      <c r="F2488" s="18">
        <f t="shared" si="446"/>
        <v>3713</v>
      </c>
      <c r="G2488" s="18"/>
      <c r="H2488" s="18"/>
      <c r="I2488" s="19">
        <v>2486</v>
      </c>
      <c r="J2488" s="19" cm="1">
        <f t="array" aca="1" ref="J2488" ca="1">INDIRECT("b"&amp;K2488+2)</f>
        <v>7.9749999999999999E+144</v>
      </c>
      <c r="K2488" s="19">
        <f t="shared" si="442"/>
        <v>4913</v>
      </c>
    </row>
    <row r="2489" spans="1:11">
      <c r="A2489">
        <v>2487</v>
      </c>
      <c r="B2489">
        <v>2.1250000000000002E+84</v>
      </c>
      <c r="D2489" s="18">
        <v>2487</v>
      </c>
      <c r="E2489" s="18" cm="1">
        <f t="array" aca="1" ref="E2489" ca="1">INDIRECT("b"&amp;F2489+2)</f>
        <v>8.2000000000000012E+114</v>
      </c>
      <c r="F2489" s="18">
        <f t="shared" si="446"/>
        <v>3714</v>
      </c>
      <c r="G2489" s="18"/>
      <c r="H2489" s="18"/>
      <c r="I2489" s="19">
        <v>2487</v>
      </c>
      <c r="J2489" s="19" cm="1">
        <f t="array" aca="1" ref="J2489" ca="1">INDIRECT("b"&amp;K2489+2)</f>
        <v>8.2E+144</v>
      </c>
      <c r="K2489" s="19">
        <f t="shared" si="442"/>
        <v>4914</v>
      </c>
    </row>
    <row r="2490" spans="1:11">
      <c r="A2490">
        <v>2488</v>
      </c>
      <c r="B2490">
        <v>2.3499999999999999E+84</v>
      </c>
      <c r="D2490" s="18">
        <v>2488</v>
      </c>
      <c r="E2490" s="18" cm="1">
        <f t="array" aca="1" ref="E2490" ca="1">INDIRECT("b"&amp;F2490+2)</f>
        <v>8.6500000000000012E+114</v>
      </c>
      <c r="F2490" s="18">
        <f t="shared" si="446"/>
        <v>3716</v>
      </c>
      <c r="G2490" s="18"/>
      <c r="H2490" s="18"/>
      <c r="I2490" s="19">
        <v>2488</v>
      </c>
      <c r="J2490" s="19" cm="1">
        <f t="array" aca="1" ref="J2490" ca="1">INDIRECT("b"&amp;K2490+2)</f>
        <v>8.6500000000000003E+144</v>
      </c>
      <c r="K2490" s="19">
        <f t="shared" si="442"/>
        <v>4916</v>
      </c>
    </row>
    <row r="2491" spans="1:11">
      <c r="A2491">
        <v>2489</v>
      </c>
      <c r="B2491">
        <v>2.5750000000000001E+84</v>
      </c>
      <c r="D2491" s="18">
        <v>2489</v>
      </c>
      <c r="E2491" s="18" cm="1">
        <f t="array" aca="1" ref="E2491" ca="1">INDIRECT("b"&amp;F2491+2)</f>
        <v>8.8750000000000007E+114</v>
      </c>
      <c r="F2491" s="18">
        <f t="shared" si="446"/>
        <v>3717</v>
      </c>
      <c r="G2491" s="18"/>
      <c r="H2491" s="18"/>
      <c r="I2491" s="19">
        <v>2489</v>
      </c>
      <c r="J2491" s="19" cm="1">
        <f t="array" aca="1" ref="J2491" ca="1">INDIRECT("b"&amp;K2491+2)</f>
        <v>8.8750000000000005E+144</v>
      </c>
      <c r="K2491" s="19">
        <f t="shared" si="442"/>
        <v>4917</v>
      </c>
    </row>
    <row r="2492" spans="1:11">
      <c r="A2492">
        <v>2490</v>
      </c>
      <c r="B2492">
        <v>2.8000000000000002E+84</v>
      </c>
      <c r="D2492" s="18">
        <v>2490</v>
      </c>
      <c r="E2492" s="18" cm="1">
        <f t="array" aca="1" ref="E2492" ca="1">INDIRECT("b"&amp;F2492+2)</f>
        <v>9.1000000000000012E+114</v>
      </c>
      <c r="F2492" s="18">
        <f t="shared" si="446"/>
        <v>3718</v>
      </c>
      <c r="G2492" s="18">
        <f t="shared" ref="G2492" ca="1" si="455">E2492/E2487</f>
        <v>1.1741935483870967</v>
      </c>
      <c r="H2492" s="18"/>
      <c r="I2492" s="19">
        <v>2490</v>
      </c>
      <c r="J2492" s="19" cm="1">
        <f t="array" aca="1" ref="J2492" ca="1">INDIRECT("b"&amp;K2492+2)</f>
        <v>9.1000000000000006E+144</v>
      </c>
      <c r="K2492" s="19">
        <f t="shared" si="442"/>
        <v>4918</v>
      </c>
    </row>
    <row r="2493" spans="1:11">
      <c r="A2493">
        <v>2491</v>
      </c>
      <c r="B2493">
        <v>3.025E+84</v>
      </c>
      <c r="D2493" s="18">
        <v>2491</v>
      </c>
      <c r="E2493" s="18" cm="1">
        <f t="array" aca="1" ref="E2493" ca="1">INDIRECT("b"&amp;F2493+2)</f>
        <v>9.5500000000000012E+114</v>
      </c>
      <c r="F2493" s="18">
        <f t="shared" si="446"/>
        <v>3720</v>
      </c>
      <c r="G2493" s="18"/>
      <c r="H2493" s="18"/>
      <c r="I2493" s="19">
        <v>2491</v>
      </c>
      <c r="J2493" s="19" cm="1">
        <f t="array" aca="1" ref="J2493" ca="1">INDIRECT("b"&amp;K2493+2)</f>
        <v>9.550000000000001E+144</v>
      </c>
      <c r="K2493" s="19">
        <f t="shared" si="442"/>
        <v>4920</v>
      </c>
    </row>
    <row r="2494" spans="1:11">
      <c r="A2494">
        <v>2492</v>
      </c>
      <c r="B2494">
        <v>3.2500000000000001E+84</v>
      </c>
      <c r="D2494" s="18">
        <v>2492</v>
      </c>
      <c r="E2494" s="18" cm="1">
        <f t="array" aca="1" ref="E2494" ca="1">INDIRECT("b"&amp;F2494+2)</f>
        <v>9.7750000000000007E+114</v>
      </c>
      <c r="F2494" s="18">
        <f t="shared" si="446"/>
        <v>3721</v>
      </c>
      <c r="G2494" s="18"/>
      <c r="H2494" s="18"/>
      <c r="I2494" s="19">
        <v>2492</v>
      </c>
      <c r="J2494" s="19" cm="1">
        <f t="array" aca="1" ref="J2494" ca="1">INDIRECT("b"&amp;K2494+2)</f>
        <v>9.7750000000000011E+144</v>
      </c>
      <c r="K2494" s="19">
        <f t="shared" si="442"/>
        <v>4921</v>
      </c>
    </row>
    <row r="2495" spans="1:11">
      <c r="A2495">
        <v>2493</v>
      </c>
      <c r="B2495">
        <v>3.4750000000000003E+84</v>
      </c>
      <c r="D2495" s="18">
        <v>2493</v>
      </c>
      <c r="E2495" s="18" cm="1">
        <f t="array" aca="1" ref="E2495" ca="1">INDIRECT("b"&amp;F2495+2)</f>
        <v>1E+115</v>
      </c>
      <c r="F2495" s="18">
        <f t="shared" si="446"/>
        <v>3722</v>
      </c>
      <c r="G2495" s="18"/>
      <c r="H2495" s="18"/>
      <c r="I2495" s="19">
        <v>2493</v>
      </c>
      <c r="J2495" s="19" cm="1">
        <f t="array" aca="1" ref="J2495" ca="1">INDIRECT("b"&amp;K2495+2)</f>
        <v>9.9999999999999999E+144</v>
      </c>
      <c r="K2495" s="19">
        <f t="shared" si="442"/>
        <v>4922</v>
      </c>
    </row>
    <row r="2496" spans="1:11">
      <c r="A2496">
        <v>2494</v>
      </c>
      <c r="B2496">
        <v>3.7E+84</v>
      </c>
      <c r="D2496" s="18">
        <v>2494</v>
      </c>
      <c r="E2496" s="18" cm="1">
        <f t="array" aca="1" ref="E2496" ca="1">INDIRECT("b"&amp;F2496+2)</f>
        <v>1.45E+115</v>
      </c>
      <c r="F2496" s="18">
        <f t="shared" si="446"/>
        <v>3724</v>
      </c>
      <c r="G2496" s="18"/>
      <c r="H2496" s="18"/>
      <c r="I2496" s="19">
        <v>2494</v>
      </c>
      <c r="J2496" s="19" cm="1">
        <f t="array" aca="1" ref="J2496" ca="1">INDIRECT("b"&amp;K2496+2)</f>
        <v>1.45E+145</v>
      </c>
      <c r="K2496" s="19">
        <f t="shared" si="442"/>
        <v>4924</v>
      </c>
    </row>
    <row r="2497" spans="1:11">
      <c r="A2497">
        <v>2495</v>
      </c>
      <c r="B2497">
        <v>3.9250000000000006E+84</v>
      </c>
      <c r="D2497" s="18">
        <v>2495</v>
      </c>
      <c r="E2497" s="18" cm="1">
        <f t="array" aca="1" ref="E2497" ca="1">INDIRECT("b"&amp;F2497+2)</f>
        <v>1.6749999999999999E+115</v>
      </c>
      <c r="F2497" s="18">
        <f t="shared" si="446"/>
        <v>3725</v>
      </c>
      <c r="G2497" s="18">
        <f t="shared" ref="G2497" ca="1" si="456">E2497/E2492</f>
        <v>1.8406593406593403</v>
      </c>
      <c r="H2497" s="18"/>
      <c r="I2497" s="19">
        <v>2495</v>
      </c>
      <c r="J2497" s="19" cm="1">
        <f t="array" aca="1" ref="J2497" ca="1">INDIRECT("b"&amp;K2497+2)</f>
        <v>1.6750000000000002E+145</v>
      </c>
      <c r="K2497" s="19">
        <f t="shared" si="442"/>
        <v>4925</v>
      </c>
    </row>
    <row r="2498" spans="1:11">
      <c r="A2498">
        <v>2496</v>
      </c>
      <c r="B2498">
        <v>4.1500000000000003E+84</v>
      </c>
      <c r="D2498" s="18">
        <v>2496</v>
      </c>
      <c r="E2498" s="18" cm="1">
        <f t="array" aca="1" ref="E2498" ca="1">INDIRECT("b"&amp;F2498+2)</f>
        <v>1.9E+115</v>
      </c>
      <c r="F2498" s="18">
        <f t="shared" si="446"/>
        <v>3726</v>
      </c>
      <c r="G2498" s="18"/>
      <c r="H2498" s="18"/>
      <c r="I2498" s="19">
        <v>2496</v>
      </c>
      <c r="J2498" s="19" cm="1">
        <f t="array" aca="1" ref="J2498" ca="1">INDIRECT("b"&amp;K2498+2)</f>
        <v>1.9000000000000001E+145</v>
      </c>
      <c r="K2498" s="19">
        <f t="shared" si="442"/>
        <v>4926</v>
      </c>
    </row>
    <row r="2499" spans="1:11">
      <c r="A2499">
        <v>2497</v>
      </c>
      <c r="B2499">
        <v>4.3750000000000001E+84</v>
      </c>
      <c r="D2499" s="18">
        <v>2497</v>
      </c>
      <c r="E2499" s="18" cm="1">
        <f t="array" aca="1" ref="E2499" ca="1">INDIRECT("b"&amp;F2499+2)</f>
        <v>2.3499999999999998E+115</v>
      </c>
      <c r="F2499" s="18">
        <f t="shared" si="446"/>
        <v>3728</v>
      </c>
      <c r="G2499" s="18"/>
      <c r="H2499" s="18"/>
      <c r="I2499" s="19">
        <v>2497</v>
      </c>
      <c r="J2499" s="19" cm="1">
        <f t="array" aca="1" ref="J2499" ca="1">INDIRECT("b"&amp;K2499+2)</f>
        <v>2.3500000000000001E+145</v>
      </c>
      <c r="K2499" s="19">
        <f t="shared" si="442"/>
        <v>4928</v>
      </c>
    </row>
    <row r="2500" spans="1:11">
      <c r="A2500">
        <v>2498</v>
      </c>
      <c r="B2500">
        <v>4.5999999999999998E+84</v>
      </c>
      <c r="D2500" s="18">
        <v>2498</v>
      </c>
      <c r="E2500" s="18" cm="1">
        <f t="array" aca="1" ref="E2500" ca="1">INDIRECT("b"&amp;F2500+2)</f>
        <v>2.5749999999999999E+115</v>
      </c>
      <c r="F2500" s="18">
        <f t="shared" si="446"/>
        <v>3729</v>
      </c>
      <c r="G2500" s="18"/>
      <c r="H2500" s="18"/>
      <c r="I2500" s="19">
        <v>2498</v>
      </c>
      <c r="J2500" s="19" cm="1">
        <f t="array" aca="1" ref="J2500" ca="1">INDIRECT("b"&amp;K2500+2)</f>
        <v>2.575E+145</v>
      </c>
      <c r="K2500" s="19">
        <f t="shared" ref="K2500:K2563" si="457">INT((A2500-1)*40/30+900*40/30)+400</f>
        <v>4929</v>
      </c>
    </row>
    <row r="2501" spans="1:11">
      <c r="A2501">
        <v>2499</v>
      </c>
      <c r="B2501">
        <v>4.8250000000000004E+84</v>
      </c>
      <c r="D2501" s="18">
        <v>2499</v>
      </c>
      <c r="E2501" s="18" cm="1">
        <f t="array" aca="1" ref="E2501" ca="1">INDIRECT("b"&amp;F2501+2)</f>
        <v>2.8E+115</v>
      </c>
      <c r="F2501" s="18">
        <f t="shared" si="446"/>
        <v>3730</v>
      </c>
      <c r="G2501" s="18"/>
      <c r="H2501" s="18"/>
      <c r="I2501" s="19">
        <v>2499</v>
      </c>
      <c r="J2501" s="19" cm="1">
        <f t="array" aca="1" ref="J2501" ca="1">INDIRECT("b"&amp;K2501+2)</f>
        <v>2.7999999999999999E+145</v>
      </c>
      <c r="K2501" s="19">
        <f t="shared" si="457"/>
        <v>4930</v>
      </c>
    </row>
    <row r="2502" spans="1:11">
      <c r="A2502">
        <v>2500</v>
      </c>
      <c r="B2502">
        <v>5.0500000000000001E+84</v>
      </c>
      <c r="D2502" s="18">
        <v>2500</v>
      </c>
      <c r="E2502" s="18" cm="1">
        <f t="array" aca="1" ref="E2502" ca="1">INDIRECT("b"&amp;F2502+2)</f>
        <v>3.2499999999999998E+115</v>
      </c>
      <c r="F2502" s="18">
        <f t="shared" si="446"/>
        <v>3732</v>
      </c>
      <c r="G2502" s="18">
        <f t="shared" ref="G2502" ca="1" si="458">E2502/E2497</f>
        <v>1.9402985074626866</v>
      </c>
      <c r="H2502" s="18"/>
      <c r="I2502" s="19">
        <v>2500</v>
      </c>
      <c r="J2502" s="19" cm="1">
        <f t="array" aca="1" ref="J2502" ca="1">INDIRECT("b"&amp;K2502+2)</f>
        <v>3.2500000000000002E+145</v>
      </c>
      <c r="K2502" s="19">
        <f t="shared" si="457"/>
        <v>4932</v>
      </c>
    </row>
    <row r="2503" spans="1:11">
      <c r="A2503">
        <v>2501</v>
      </c>
      <c r="B2503">
        <v>5.2749999999999998E+84</v>
      </c>
      <c r="D2503" s="18">
        <v>2501</v>
      </c>
      <c r="E2503" s="18" cm="1">
        <f t="array" aca="1" ref="E2503" ca="1">INDIRECT("b"&amp;F2503+2)</f>
        <v>3.4749999999999999E+115</v>
      </c>
      <c r="F2503" s="18">
        <f t="shared" si="446"/>
        <v>3733</v>
      </c>
      <c r="G2503" s="18"/>
      <c r="H2503" s="18"/>
      <c r="I2503" s="19">
        <v>2501</v>
      </c>
      <c r="J2503" s="19" cm="1">
        <f t="array" aca="1" ref="J2503" ca="1">INDIRECT("b"&amp;K2503+2)</f>
        <v>3.4750000000000001E+145</v>
      </c>
      <c r="K2503" s="19">
        <f t="shared" si="457"/>
        <v>4933</v>
      </c>
    </row>
    <row r="2504" spans="1:11">
      <c r="A2504">
        <v>2502</v>
      </c>
      <c r="B2504">
        <v>5.5000000000000004E+84</v>
      </c>
      <c r="D2504" s="18">
        <v>2502</v>
      </c>
      <c r="E2504" s="18" cm="1">
        <f t="array" aca="1" ref="E2504" ca="1">INDIRECT("b"&amp;F2504+2)</f>
        <v>3.7000000000000001E+115</v>
      </c>
      <c r="F2504" s="18">
        <f t="shared" si="446"/>
        <v>3734</v>
      </c>
      <c r="G2504" s="18"/>
      <c r="H2504" s="18"/>
      <c r="I2504" s="19">
        <v>2502</v>
      </c>
      <c r="J2504" s="19" cm="1">
        <f t="array" aca="1" ref="J2504" ca="1">INDIRECT("b"&amp;K2504+2)</f>
        <v>3.6999999999999999E+145</v>
      </c>
      <c r="K2504" s="19">
        <f t="shared" si="457"/>
        <v>4934</v>
      </c>
    </row>
    <row r="2505" spans="1:11">
      <c r="A2505">
        <v>2503</v>
      </c>
      <c r="B2505">
        <v>5.7250000000000002E+84</v>
      </c>
      <c r="D2505" s="18">
        <v>2503</v>
      </c>
      <c r="E2505" s="18" cm="1">
        <f t="array" aca="1" ref="E2505" ca="1">INDIRECT("b"&amp;F2505+2)</f>
        <v>4.1499999999999998E+115</v>
      </c>
      <c r="F2505" s="18">
        <f t="shared" si="446"/>
        <v>3736</v>
      </c>
      <c r="G2505" s="18"/>
      <c r="H2505" s="18"/>
      <c r="I2505" s="19">
        <v>2503</v>
      </c>
      <c r="J2505" s="19" cm="1">
        <f t="array" aca="1" ref="J2505" ca="1">INDIRECT("b"&amp;K2505+2)</f>
        <v>4.1500000000000002E+145</v>
      </c>
      <c r="K2505" s="19">
        <f t="shared" si="457"/>
        <v>4936</v>
      </c>
    </row>
    <row r="2506" spans="1:11">
      <c r="A2506">
        <v>2504</v>
      </c>
      <c r="B2506">
        <v>5.9499999999999999E+84</v>
      </c>
      <c r="D2506" s="18">
        <v>2504</v>
      </c>
      <c r="E2506" s="18" cm="1">
        <f t="array" aca="1" ref="E2506" ca="1">INDIRECT("b"&amp;F2506+2)</f>
        <v>4.375E+115</v>
      </c>
      <c r="F2506" s="18">
        <f t="shared" si="446"/>
        <v>3737</v>
      </c>
      <c r="G2506" s="18"/>
      <c r="H2506" s="18"/>
      <c r="I2506" s="19">
        <v>2504</v>
      </c>
      <c r="J2506" s="19" cm="1">
        <f t="array" aca="1" ref="J2506" ca="1">INDIRECT("b"&amp;K2506+2)</f>
        <v>4.3750000000000001E+145</v>
      </c>
      <c r="K2506" s="19">
        <f t="shared" si="457"/>
        <v>4937</v>
      </c>
    </row>
    <row r="2507" spans="1:11">
      <c r="A2507">
        <v>2505</v>
      </c>
      <c r="B2507">
        <v>6.1750000000000005E+84</v>
      </c>
      <c r="D2507" s="18">
        <v>2505</v>
      </c>
      <c r="E2507" s="18" cm="1">
        <f t="array" aca="1" ref="E2507" ca="1">INDIRECT("b"&amp;F2507+2)</f>
        <v>4.6000000000000001E+115</v>
      </c>
      <c r="F2507" s="18">
        <f t="shared" si="446"/>
        <v>3738</v>
      </c>
      <c r="G2507" s="18">
        <f t="shared" ref="G2507" ca="1" si="459">E2507/E2502</f>
        <v>1.4153846153846155</v>
      </c>
      <c r="H2507" s="18"/>
      <c r="I2507" s="19">
        <v>2505</v>
      </c>
      <c r="J2507" s="19" cm="1">
        <f t="array" aca="1" ref="J2507" ca="1">INDIRECT("b"&amp;K2507+2)</f>
        <v>4.6E+145</v>
      </c>
      <c r="K2507" s="19">
        <f t="shared" si="457"/>
        <v>4938</v>
      </c>
    </row>
    <row r="2508" spans="1:11">
      <c r="A2508">
        <v>2506</v>
      </c>
      <c r="B2508">
        <v>6.4000000000000002E+84</v>
      </c>
      <c r="D2508" s="18">
        <v>2506</v>
      </c>
      <c r="E2508" s="18" cm="1">
        <f t="array" aca="1" ref="E2508" ca="1">INDIRECT("b"&amp;F2508+2)</f>
        <v>5.0499999999999994E+115</v>
      </c>
      <c r="F2508" s="18">
        <f t="shared" si="446"/>
        <v>3740</v>
      </c>
      <c r="G2508" s="18"/>
      <c r="H2508" s="18"/>
      <c r="I2508" s="19">
        <v>2506</v>
      </c>
      <c r="J2508" s="19" cm="1">
        <f t="array" aca="1" ref="J2508" ca="1">INDIRECT("b"&amp;K2508+2)</f>
        <v>5.0499999999999998E+145</v>
      </c>
      <c r="K2508" s="19">
        <f t="shared" si="457"/>
        <v>4940</v>
      </c>
    </row>
    <row r="2509" spans="1:11">
      <c r="A2509">
        <v>2507</v>
      </c>
      <c r="B2509">
        <v>6.6249999999999999E+84</v>
      </c>
      <c r="D2509" s="18">
        <v>2507</v>
      </c>
      <c r="E2509" s="18" cm="1">
        <f t="array" aca="1" ref="E2509" ca="1">INDIRECT("b"&amp;F2509+2)</f>
        <v>5.2749999999999995E+115</v>
      </c>
      <c r="F2509" s="18">
        <f t="shared" si="446"/>
        <v>3741</v>
      </c>
      <c r="G2509" s="18"/>
      <c r="H2509" s="18"/>
      <c r="I2509" s="19">
        <v>2507</v>
      </c>
      <c r="J2509" s="19" cm="1">
        <f t="array" aca="1" ref="J2509" ca="1">INDIRECT("b"&amp;K2509+2)</f>
        <v>5.2749999999999996E+145</v>
      </c>
      <c r="K2509" s="19">
        <f t="shared" si="457"/>
        <v>4941</v>
      </c>
    </row>
    <row r="2510" spans="1:11">
      <c r="A2510">
        <v>2508</v>
      </c>
      <c r="B2510">
        <v>6.8500000000000005E+84</v>
      </c>
      <c r="D2510" s="18">
        <v>2508</v>
      </c>
      <c r="E2510" s="18" cm="1">
        <f t="array" aca="1" ref="E2510" ca="1">INDIRECT("b"&amp;F2510+2)</f>
        <v>5.4999999999999996E+115</v>
      </c>
      <c r="F2510" s="18">
        <f t="shared" si="446"/>
        <v>3742</v>
      </c>
      <c r="G2510" s="18"/>
      <c r="H2510" s="18"/>
      <c r="I2510" s="19">
        <v>2508</v>
      </c>
      <c r="J2510" s="19" cm="1">
        <f t="array" aca="1" ref="J2510" ca="1">INDIRECT("b"&amp;K2510+2)</f>
        <v>5.5000000000000006E+145</v>
      </c>
      <c r="K2510" s="19">
        <f t="shared" si="457"/>
        <v>4942</v>
      </c>
    </row>
    <row r="2511" spans="1:11">
      <c r="A2511">
        <v>2509</v>
      </c>
      <c r="B2511">
        <v>7.0750000000000002E+84</v>
      </c>
      <c r="D2511" s="18">
        <v>2509</v>
      </c>
      <c r="E2511" s="18" cm="1">
        <f t="array" aca="1" ref="E2511" ca="1">INDIRECT("b"&amp;F2511+2)</f>
        <v>5.9499999999999999E+115</v>
      </c>
      <c r="F2511" s="18">
        <f t="shared" si="446"/>
        <v>3744</v>
      </c>
      <c r="G2511" s="18"/>
      <c r="H2511" s="18"/>
      <c r="I2511" s="19">
        <v>2509</v>
      </c>
      <c r="J2511" s="19" cm="1">
        <f t="array" aca="1" ref="J2511" ca="1">INDIRECT("b"&amp;K2511+2)</f>
        <v>5.9500000000000004E+145</v>
      </c>
      <c r="K2511" s="19">
        <f t="shared" si="457"/>
        <v>4944</v>
      </c>
    </row>
    <row r="2512" spans="1:11">
      <c r="A2512">
        <v>2510</v>
      </c>
      <c r="B2512">
        <v>7.3E+84</v>
      </c>
      <c r="D2512" s="18">
        <v>2510</v>
      </c>
      <c r="E2512" s="18" cm="1">
        <f t="array" aca="1" ref="E2512" ca="1">INDIRECT("b"&amp;F2512+2)</f>
        <v>6.175E+115</v>
      </c>
      <c r="F2512" s="18">
        <f t="shared" si="446"/>
        <v>3745</v>
      </c>
      <c r="G2512" s="18">
        <f t="shared" ref="G2512" ca="1" si="460">E2512/E2507</f>
        <v>1.3423913043478262</v>
      </c>
      <c r="H2512" s="18"/>
      <c r="I2512" s="19">
        <v>2510</v>
      </c>
      <c r="J2512" s="19" cm="1">
        <f t="array" aca="1" ref="J2512" ca="1">INDIRECT("b"&amp;K2512+2)</f>
        <v>6.1750000000000003E+145</v>
      </c>
      <c r="K2512" s="19">
        <f t="shared" si="457"/>
        <v>4945</v>
      </c>
    </row>
    <row r="2513" spans="1:11">
      <c r="A2513">
        <v>2511</v>
      </c>
      <c r="B2513">
        <v>7.5250000000000006E+84</v>
      </c>
      <c r="D2513" s="18">
        <v>2511</v>
      </c>
      <c r="E2513" s="18" cm="1">
        <f t="array" aca="1" ref="E2513" ca="1">INDIRECT("b"&amp;F2513+2)</f>
        <v>6.4000000000000001E+115</v>
      </c>
      <c r="F2513" s="18">
        <f t="shared" si="446"/>
        <v>3746</v>
      </c>
      <c r="G2513" s="18"/>
      <c r="H2513" s="18"/>
      <c r="I2513" s="19">
        <v>2511</v>
      </c>
      <c r="J2513" s="19" cm="1">
        <f t="array" aca="1" ref="J2513" ca="1">INDIRECT("b"&amp;K2513+2)</f>
        <v>6.4000000000000002E+145</v>
      </c>
      <c r="K2513" s="19">
        <f t="shared" si="457"/>
        <v>4946</v>
      </c>
    </row>
    <row r="2514" spans="1:11">
      <c r="A2514">
        <v>2512</v>
      </c>
      <c r="B2514">
        <v>7.7500000000000003E+84</v>
      </c>
      <c r="D2514" s="18">
        <v>2512</v>
      </c>
      <c r="E2514" s="18" cm="1">
        <f t="array" aca="1" ref="E2514" ca="1">INDIRECT("b"&amp;F2514+2)</f>
        <v>6.8499999999999995E+115</v>
      </c>
      <c r="F2514" s="18">
        <f t="shared" si="446"/>
        <v>3748</v>
      </c>
      <c r="G2514" s="18"/>
      <c r="H2514" s="18"/>
      <c r="I2514" s="19">
        <v>2512</v>
      </c>
      <c r="J2514" s="19" cm="1">
        <f t="array" aca="1" ref="J2514" ca="1">INDIRECT("b"&amp;K2514+2)</f>
        <v>6.8499999999999999E+145</v>
      </c>
      <c r="K2514" s="19">
        <f t="shared" si="457"/>
        <v>4948</v>
      </c>
    </row>
    <row r="2515" spans="1:11">
      <c r="A2515">
        <v>2513</v>
      </c>
      <c r="B2515">
        <v>7.975E+84</v>
      </c>
      <c r="D2515" s="18">
        <v>2513</v>
      </c>
      <c r="E2515" s="18" cm="1">
        <f t="array" aca="1" ref="E2515" ca="1">INDIRECT("b"&amp;F2515+2)</f>
        <v>7.0749999999999996E+115</v>
      </c>
      <c r="F2515" s="18">
        <f t="shared" ref="F2515:F2578" si="461">INT((A2515-123)*1.333333)+563</f>
        <v>3749</v>
      </c>
      <c r="G2515" s="18"/>
      <c r="H2515" s="18"/>
      <c r="I2515" s="19">
        <v>2513</v>
      </c>
      <c r="J2515" s="19" cm="1">
        <f t="array" aca="1" ref="J2515" ca="1">INDIRECT("b"&amp;K2515+2)</f>
        <v>7.0749999999999998E+145</v>
      </c>
      <c r="K2515" s="19">
        <f t="shared" si="457"/>
        <v>4949</v>
      </c>
    </row>
    <row r="2516" spans="1:11">
      <c r="A2516">
        <v>2514</v>
      </c>
      <c r="B2516">
        <v>8.2000000000000006E+84</v>
      </c>
      <c r="D2516" s="18">
        <v>2514</v>
      </c>
      <c r="E2516" s="18" cm="1">
        <f t="array" aca="1" ref="E2516" ca="1">INDIRECT("b"&amp;F2516+2)</f>
        <v>7.2999999999999997E+115</v>
      </c>
      <c r="F2516" s="18">
        <f t="shared" si="461"/>
        <v>3750</v>
      </c>
      <c r="G2516" s="18"/>
      <c r="H2516" s="18"/>
      <c r="I2516" s="19">
        <v>2514</v>
      </c>
      <c r="J2516" s="19" cm="1">
        <f t="array" aca="1" ref="J2516" ca="1">INDIRECT("b"&amp;K2516+2)</f>
        <v>7.3000000000000008E+145</v>
      </c>
      <c r="K2516" s="19">
        <f t="shared" si="457"/>
        <v>4950</v>
      </c>
    </row>
    <row r="2517" spans="1:11">
      <c r="A2517">
        <v>2515</v>
      </c>
      <c r="B2517">
        <v>8.4250000000000012E+84</v>
      </c>
      <c r="D2517" s="18">
        <v>2515</v>
      </c>
      <c r="E2517" s="18" cm="1">
        <f t="array" aca="1" ref="E2517" ca="1">INDIRECT("b"&amp;F2517+2)</f>
        <v>7.7499999999999999E+115</v>
      </c>
      <c r="F2517" s="18">
        <f t="shared" si="461"/>
        <v>3752</v>
      </c>
      <c r="G2517" s="18">
        <f t="shared" ref="G2517" ca="1" si="462">E2517/E2512</f>
        <v>1.2550607287449393</v>
      </c>
      <c r="H2517" s="18"/>
      <c r="I2517" s="19">
        <v>2515</v>
      </c>
      <c r="J2517" s="19" cm="1">
        <f t="array" aca="1" ref="J2517" ca="1">INDIRECT("b"&amp;K2517+2)</f>
        <v>7.7500000000000005E+145</v>
      </c>
      <c r="K2517" s="19">
        <f t="shared" si="457"/>
        <v>4952</v>
      </c>
    </row>
    <row r="2518" spans="1:11">
      <c r="A2518">
        <v>2516</v>
      </c>
      <c r="B2518">
        <v>8.6500000000000001E+84</v>
      </c>
      <c r="D2518" s="18">
        <v>2516</v>
      </c>
      <c r="E2518" s="18" cm="1">
        <f t="array" aca="1" ref="E2518" ca="1">INDIRECT("b"&amp;F2518+2)</f>
        <v>7.9749999999999991E+115</v>
      </c>
      <c r="F2518" s="18">
        <f t="shared" si="461"/>
        <v>3753</v>
      </c>
      <c r="G2518" s="18"/>
      <c r="H2518" s="18"/>
      <c r="I2518" s="19">
        <v>2516</v>
      </c>
      <c r="J2518" s="19" cm="1">
        <f t="array" aca="1" ref="J2518" ca="1">INDIRECT("b"&amp;K2518+2)</f>
        <v>7.9750000000000004E+145</v>
      </c>
      <c r="K2518" s="19">
        <f t="shared" si="457"/>
        <v>4953</v>
      </c>
    </row>
    <row r="2519" spans="1:11">
      <c r="A2519">
        <v>2517</v>
      </c>
      <c r="B2519">
        <v>8.8750000000000006E+84</v>
      </c>
      <c r="D2519" s="18">
        <v>2517</v>
      </c>
      <c r="E2519" s="18" cm="1">
        <f t="array" aca="1" ref="E2519" ca="1">INDIRECT("b"&amp;F2519+2)</f>
        <v>8.1999999999999993E+115</v>
      </c>
      <c r="F2519" s="18">
        <f t="shared" si="461"/>
        <v>3754</v>
      </c>
      <c r="G2519" s="18"/>
      <c r="H2519" s="18"/>
      <c r="I2519" s="19">
        <v>2517</v>
      </c>
      <c r="J2519" s="19" cm="1">
        <f t="array" aca="1" ref="J2519" ca="1">INDIRECT("b"&amp;K2519+2)</f>
        <v>8.2000000000000003E+145</v>
      </c>
      <c r="K2519" s="19">
        <f t="shared" si="457"/>
        <v>4954</v>
      </c>
    </row>
    <row r="2520" spans="1:11">
      <c r="A2520">
        <v>2518</v>
      </c>
      <c r="B2520">
        <v>9.1000000000000012E+84</v>
      </c>
      <c r="D2520" s="18">
        <v>2518</v>
      </c>
      <c r="E2520" s="18" cm="1">
        <f t="array" aca="1" ref="E2520" ca="1">INDIRECT("b"&amp;F2520+2)</f>
        <v>8.6499999999999995E+115</v>
      </c>
      <c r="F2520" s="18">
        <f t="shared" si="461"/>
        <v>3756</v>
      </c>
      <c r="G2520" s="18"/>
      <c r="H2520" s="18"/>
      <c r="I2520" s="19">
        <v>2518</v>
      </c>
      <c r="J2520" s="19" cm="1">
        <f t="array" aca="1" ref="J2520" ca="1">INDIRECT("b"&amp;K2520+2)</f>
        <v>8.6500000000000001E+145</v>
      </c>
      <c r="K2520" s="19">
        <f t="shared" si="457"/>
        <v>4956</v>
      </c>
    </row>
    <row r="2521" spans="1:11">
      <c r="A2521">
        <v>2519</v>
      </c>
      <c r="B2521">
        <v>9.3250000000000001E+84</v>
      </c>
      <c r="D2521" s="18">
        <v>2519</v>
      </c>
      <c r="E2521" s="18" cm="1">
        <f t="array" aca="1" ref="E2521" ca="1">INDIRECT("b"&amp;F2521+2)</f>
        <v>8.8749999999999996E+115</v>
      </c>
      <c r="F2521" s="18">
        <f t="shared" si="461"/>
        <v>3757</v>
      </c>
      <c r="G2521" s="18"/>
      <c r="H2521" s="18"/>
      <c r="I2521" s="19">
        <v>2519</v>
      </c>
      <c r="J2521" s="19" cm="1">
        <f t="array" aca="1" ref="J2521" ca="1">INDIRECT("b"&amp;K2521+2)</f>
        <v>8.8749999999999999E+145</v>
      </c>
      <c r="K2521" s="19">
        <f t="shared" si="457"/>
        <v>4957</v>
      </c>
    </row>
    <row r="2522" spans="1:11">
      <c r="A2522">
        <v>2520</v>
      </c>
      <c r="B2522">
        <v>9.5500000000000007E+84</v>
      </c>
      <c r="D2522" s="18">
        <v>2520</v>
      </c>
      <c r="E2522" s="18" cm="1">
        <f t="array" aca="1" ref="E2522" ca="1">INDIRECT("b"&amp;F2522+2)</f>
        <v>9.0999999999999997E+115</v>
      </c>
      <c r="F2522" s="18">
        <f t="shared" si="461"/>
        <v>3758</v>
      </c>
      <c r="G2522" s="18">
        <f t="shared" ref="G2522" ca="1" si="463">E2522/E2517</f>
        <v>1.1741935483870967</v>
      </c>
      <c r="H2522" s="18"/>
      <c r="I2522" s="19">
        <v>2520</v>
      </c>
      <c r="J2522" s="19" cm="1">
        <f t="array" aca="1" ref="J2522" ca="1">INDIRECT("b"&amp;K2522+2)</f>
        <v>9.0999999999999998E+145</v>
      </c>
      <c r="K2522" s="19">
        <f t="shared" si="457"/>
        <v>4958</v>
      </c>
    </row>
    <row r="2523" spans="1:11">
      <c r="A2523">
        <v>2521</v>
      </c>
      <c r="B2523">
        <v>9.7750000000000013E+84</v>
      </c>
      <c r="D2523" s="18">
        <v>2521</v>
      </c>
      <c r="E2523" s="18" cm="1">
        <f t="array" aca="1" ref="E2523" ca="1">INDIRECT("b"&amp;F2523+2)</f>
        <v>9.5499999999999999E+115</v>
      </c>
      <c r="F2523" s="18">
        <f t="shared" si="461"/>
        <v>3760</v>
      </c>
      <c r="G2523" s="18"/>
      <c r="H2523" s="18"/>
      <c r="I2523" s="19">
        <v>2521</v>
      </c>
      <c r="J2523" s="19" cm="1">
        <f t="array" aca="1" ref="J2523" ca="1">INDIRECT("b"&amp;K2523+2)</f>
        <v>9.5500000000000007E+145</v>
      </c>
      <c r="K2523" s="19">
        <f t="shared" si="457"/>
        <v>4960</v>
      </c>
    </row>
    <row r="2524" spans="1:11">
      <c r="A2524">
        <v>2522</v>
      </c>
      <c r="B2524">
        <v>1E+85</v>
      </c>
      <c r="D2524" s="18">
        <v>2522</v>
      </c>
      <c r="E2524" s="18" cm="1">
        <f t="array" aca="1" ref="E2524" ca="1">INDIRECT("b"&amp;F2524+2)</f>
        <v>9.775E+115</v>
      </c>
      <c r="F2524" s="18">
        <f t="shared" si="461"/>
        <v>3761</v>
      </c>
      <c r="G2524" s="18"/>
      <c r="H2524" s="18"/>
      <c r="I2524" s="19">
        <v>2522</v>
      </c>
      <c r="J2524" s="19" cm="1">
        <f t="array" aca="1" ref="J2524" ca="1">INDIRECT("b"&amp;K2524+2)</f>
        <v>9.7750000000000006E+145</v>
      </c>
      <c r="K2524" s="19">
        <f t="shared" si="457"/>
        <v>4961</v>
      </c>
    </row>
    <row r="2525" spans="1:11">
      <c r="A2525">
        <v>2523</v>
      </c>
      <c r="B2525">
        <v>1.2249999999999999E+85</v>
      </c>
      <c r="D2525" s="18">
        <v>2523</v>
      </c>
      <c r="E2525" s="18" cm="1">
        <f t="array" aca="1" ref="E2525" ca="1">INDIRECT("b"&amp;F2525+2)</f>
        <v>1E+116</v>
      </c>
      <c r="F2525" s="18">
        <f t="shared" si="461"/>
        <v>3762</v>
      </c>
      <c r="G2525" s="18"/>
      <c r="H2525" s="18"/>
      <c r="I2525" s="19">
        <v>2523</v>
      </c>
      <c r="J2525" s="19" cm="1">
        <f t="array" aca="1" ref="J2525" ca="1">INDIRECT("b"&amp;K2525+2)</f>
        <v>9.9999999999999993E+145</v>
      </c>
      <c r="K2525" s="19">
        <f t="shared" si="457"/>
        <v>4962</v>
      </c>
    </row>
    <row r="2526" spans="1:11">
      <c r="A2526">
        <v>2524</v>
      </c>
      <c r="B2526">
        <v>1.45E+85</v>
      </c>
      <c r="D2526" s="18">
        <v>2524</v>
      </c>
      <c r="E2526" s="18" cm="1">
        <f t="array" aca="1" ref="E2526" ca="1">INDIRECT("b"&amp;F2526+2)</f>
        <v>1.4500000000000001E+116</v>
      </c>
      <c r="F2526" s="18">
        <f t="shared" si="461"/>
        <v>3764</v>
      </c>
      <c r="G2526" s="18"/>
      <c r="H2526" s="18"/>
      <c r="I2526" s="19">
        <v>2524</v>
      </c>
      <c r="J2526" s="19" cm="1">
        <f t="array" aca="1" ref="J2526" ca="1">INDIRECT("b"&amp;K2526+2)</f>
        <v>1.4500000000000001E+146</v>
      </c>
      <c r="K2526" s="19">
        <f t="shared" si="457"/>
        <v>4964</v>
      </c>
    </row>
    <row r="2527" spans="1:11">
      <c r="A2527">
        <v>2525</v>
      </c>
      <c r="B2527">
        <v>1.6750000000000001E+85</v>
      </c>
      <c r="D2527" s="18">
        <v>2525</v>
      </c>
      <c r="E2527" s="18" cm="1">
        <f t="array" aca="1" ref="E2527" ca="1">INDIRECT("b"&amp;F2527+2)</f>
        <v>1.6750000000000002E+116</v>
      </c>
      <c r="F2527" s="18">
        <f t="shared" si="461"/>
        <v>3765</v>
      </c>
      <c r="G2527" s="18">
        <f t="shared" ref="G2527" ca="1" si="464">E2527/E2522</f>
        <v>1.840659340659341</v>
      </c>
      <c r="H2527" s="18"/>
      <c r="I2527" s="19">
        <v>2525</v>
      </c>
      <c r="J2527" s="19" cm="1">
        <f t="array" aca="1" ref="J2527" ca="1">INDIRECT("b"&amp;K2527+2)</f>
        <v>1.675E+146</v>
      </c>
      <c r="K2527" s="19">
        <f t="shared" si="457"/>
        <v>4965</v>
      </c>
    </row>
    <row r="2528" spans="1:11">
      <c r="A2528">
        <v>2526</v>
      </c>
      <c r="B2528">
        <v>1.9E+85</v>
      </c>
      <c r="D2528" s="18">
        <v>2526</v>
      </c>
      <c r="E2528" s="18" cm="1">
        <f t="array" aca="1" ref="E2528" ca="1">INDIRECT("b"&amp;F2528+2)</f>
        <v>1.8999999999999999E+116</v>
      </c>
      <c r="F2528" s="18">
        <f t="shared" si="461"/>
        <v>3766</v>
      </c>
      <c r="G2528" s="18"/>
      <c r="H2528" s="18"/>
      <c r="I2528" s="19">
        <v>2526</v>
      </c>
      <c r="J2528" s="19" cm="1">
        <f t="array" aca="1" ref="J2528" ca="1">INDIRECT("b"&amp;K2528+2)</f>
        <v>1.9000000000000001E+146</v>
      </c>
      <c r="K2528" s="19">
        <f t="shared" si="457"/>
        <v>4966</v>
      </c>
    </row>
    <row r="2529" spans="1:11">
      <c r="A2529">
        <v>2527</v>
      </c>
      <c r="B2529">
        <v>2.1249999999999999E+85</v>
      </c>
      <c r="D2529" s="18">
        <v>2527</v>
      </c>
      <c r="E2529" s="18" cm="1">
        <f t="array" aca="1" ref="E2529" ca="1">INDIRECT("b"&amp;F2529+2)</f>
        <v>2.3500000000000002E+116</v>
      </c>
      <c r="F2529" s="18">
        <f t="shared" si="461"/>
        <v>3768</v>
      </c>
      <c r="G2529" s="18"/>
      <c r="H2529" s="18"/>
      <c r="I2529" s="19">
        <v>2527</v>
      </c>
      <c r="J2529" s="19" cm="1">
        <f t="array" aca="1" ref="J2529" ca="1">INDIRECT("b"&amp;K2529+2)</f>
        <v>2.3499999999999999E+146</v>
      </c>
      <c r="K2529" s="19">
        <f t="shared" si="457"/>
        <v>4968</v>
      </c>
    </row>
    <row r="2530" spans="1:11">
      <c r="A2530">
        <v>2528</v>
      </c>
      <c r="B2530">
        <v>2.3500000000000001E+85</v>
      </c>
      <c r="D2530" s="18">
        <v>2528</v>
      </c>
      <c r="E2530" s="18" cm="1">
        <f t="array" aca="1" ref="E2530" ca="1">INDIRECT("b"&amp;F2530+2)</f>
        <v>2.5749999999999999E+116</v>
      </c>
      <c r="F2530" s="18">
        <f t="shared" si="461"/>
        <v>3769</v>
      </c>
      <c r="G2530" s="18"/>
      <c r="H2530" s="18"/>
      <c r="I2530" s="19">
        <v>2528</v>
      </c>
      <c r="J2530" s="19" cm="1">
        <f t="array" aca="1" ref="J2530" ca="1">INDIRECT("b"&amp;K2530+2)</f>
        <v>2.5750000000000002E+146</v>
      </c>
      <c r="K2530" s="19">
        <f t="shared" si="457"/>
        <v>4969</v>
      </c>
    </row>
    <row r="2531" spans="1:11">
      <c r="A2531">
        <v>2529</v>
      </c>
      <c r="B2531">
        <v>2.575E+85</v>
      </c>
      <c r="D2531" s="18">
        <v>2529</v>
      </c>
      <c r="E2531" s="18" cm="1">
        <f t="array" aca="1" ref="E2531" ca="1">INDIRECT("b"&amp;F2531+2)</f>
        <v>2.8E+116</v>
      </c>
      <c r="F2531" s="18">
        <f t="shared" si="461"/>
        <v>3770</v>
      </c>
      <c r="G2531" s="18"/>
      <c r="H2531" s="18"/>
      <c r="I2531" s="19">
        <v>2529</v>
      </c>
      <c r="J2531" s="19" cm="1">
        <f t="array" aca="1" ref="J2531" ca="1">INDIRECT("b"&amp;K2531+2)</f>
        <v>2.8000000000000001E+146</v>
      </c>
      <c r="K2531" s="19">
        <f t="shared" si="457"/>
        <v>4970</v>
      </c>
    </row>
    <row r="2532" spans="1:11">
      <c r="A2532">
        <v>2530</v>
      </c>
      <c r="B2532">
        <v>2.7999999999999999E+85</v>
      </c>
      <c r="D2532" s="18">
        <v>2530</v>
      </c>
      <c r="E2532" s="18" cm="1">
        <f t="array" aca="1" ref="E2532" ca="1">INDIRECT("b"&amp;F2532+2)</f>
        <v>3.2499999999999999E+116</v>
      </c>
      <c r="F2532" s="18">
        <f t="shared" si="461"/>
        <v>3772</v>
      </c>
      <c r="G2532" s="18">
        <f t="shared" ref="G2532" ca="1" si="465">E2532/E2527</f>
        <v>1.9402985074626864</v>
      </c>
      <c r="H2532" s="18"/>
      <c r="I2532" s="19">
        <v>2530</v>
      </c>
      <c r="J2532" s="19" cm="1">
        <f t="array" aca="1" ref="J2532" ca="1">INDIRECT("b"&amp;K2532+2)</f>
        <v>3.2500000000000003E+146</v>
      </c>
      <c r="K2532" s="19">
        <f t="shared" si="457"/>
        <v>4972</v>
      </c>
    </row>
    <row r="2533" spans="1:11">
      <c r="A2533">
        <v>2531</v>
      </c>
      <c r="B2533">
        <v>3.0249999999999998E+85</v>
      </c>
      <c r="D2533" s="18">
        <v>2531</v>
      </c>
      <c r="E2533" s="18" cm="1">
        <f t="array" aca="1" ref="E2533" ca="1">INDIRECT("b"&amp;F2533+2)</f>
        <v>3.475E+116</v>
      </c>
      <c r="F2533" s="18">
        <f t="shared" si="461"/>
        <v>3773</v>
      </c>
      <c r="G2533" s="18"/>
      <c r="H2533" s="18"/>
      <c r="I2533" s="19">
        <v>2531</v>
      </c>
      <c r="J2533" s="19" cm="1">
        <f t="array" aca="1" ref="J2533" ca="1">INDIRECT("b"&amp;K2533+2)</f>
        <v>3.4750000000000002E+146</v>
      </c>
      <c r="K2533" s="19">
        <f t="shared" si="457"/>
        <v>4973</v>
      </c>
    </row>
    <row r="2534" spans="1:11">
      <c r="A2534">
        <v>2532</v>
      </c>
      <c r="B2534">
        <v>3.2499999999999997E+85</v>
      </c>
      <c r="D2534" s="18">
        <v>2532</v>
      </c>
      <c r="E2534" s="18" cm="1">
        <f t="array" aca="1" ref="E2534" ca="1">INDIRECT("b"&amp;F2534+2)</f>
        <v>3.7000000000000001E+116</v>
      </c>
      <c r="F2534" s="18">
        <f t="shared" si="461"/>
        <v>3774</v>
      </c>
      <c r="G2534" s="18"/>
      <c r="H2534" s="18"/>
      <c r="I2534" s="19">
        <v>2532</v>
      </c>
      <c r="J2534" s="19" cm="1">
        <f t="array" aca="1" ref="J2534" ca="1">INDIRECT("b"&amp;K2534+2)</f>
        <v>3.7E+146</v>
      </c>
      <c r="K2534" s="19">
        <f t="shared" si="457"/>
        <v>4974</v>
      </c>
    </row>
    <row r="2535" spans="1:11">
      <c r="A2535">
        <v>2533</v>
      </c>
      <c r="B2535">
        <v>3.4749999999999999E+85</v>
      </c>
      <c r="D2535" s="18">
        <v>2533</v>
      </c>
      <c r="E2535" s="18" cm="1">
        <f t="array" aca="1" ref="E2535" ca="1">INDIRECT("b"&amp;F2535+2)</f>
        <v>4.1500000000000004E+116</v>
      </c>
      <c r="F2535" s="18">
        <f t="shared" si="461"/>
        <v>3776</v>
      </c>
      <c r="G2535" s="18"/>
      <c r="H2535" s="18"/>
      <c r="I2535" s="19">
        <v>2533</v>
      </c>
      <c r="J2535" s="19" cm="1">
        <f t="array" aca="1" ref="J2535" ca="1">INDIRECT("b"&amp;K2535+2)</f>
        <v>4.1500000000000002E+146</v>
      </c>
      <c r="K2535" s="19">
        <f t="shared" si="457"/>
        <v>4976</v>
      </c>
    </row>
    <row r="2536" spans="1:11">
      <c r="A2536">
        <v>2534</v>
      </c>
      <c r="B2536">
        <v>3.7000000000000002E+85</v>
      </c>
      <c r="D2536" s="18">
        <v>2534</v>
      </c>
      <c r="E2536" s="18" cm="1">
        <f t="array" aca="1" ref="E2536" ca="1">INDIRECT("b"&amp;F2536+2)</f>
        <v>4.3750000000000005E+116</v>
      </c>
      <c r="F2536" s="18">
        <f t="shared" si="461"/>
        <v>3777</v>
      </c>
      <c r="G2536" s="18"/>
      <c r="H2536" s="18"/>
      <c r="I2536" s="19">
        <v>2534</v>
      </c>
      <c r="J2536" s="19" cm="1">
        <f t="array" aca="1" ref="J2536" ca="1">INDIRECT("b"&amp;K2536+2)</f>
        <v>4.3750000000000006E+146</v>
      </c>
      <c r="K2536" s="19">
        <f t="shared" si="457"/>
        <v>4977</v>
      </c>
    </row>
    <row r="2537" spans="1:11">
      <c r="A2537">
        <v>2535</v>
      </c>
      <c r="B2537">
        <v>3.9249999999999997E+85</v>
      </c>
      <c r="D2537" s="18">
        <v>2535</v>
      </c>
      <c r="E2537" s="18" cm="1">
        <f t="array" aca="1" ref="E2537" ca="1">INDIRECT("b"&amp;F2537+2)</f>
        <v>4.5999999999999999E+116</v>
      </c>
      <c r="F2537" s="18">
        <f t="shared" si="461"/>
        <v>3778</v>
      </c>
      <c r="G2537" s="18">
        <f t="shared" ref="G2537" ca="1" si="466">E2537/E2532</f>
        <v>1.4153846153846155</v>
      </c>
      <c r="H2537" s="18"/>
      <c r="I2537" s="19">
        <v>2535</v>
      </c>
      <c r="J2537" s="19" cm="1">
        <f t="array" aca="1" ref="J2537" ca="1">INDIRECT("b"&amp;K2537+2)</f>
        <v>4.6E+146</v>
      </c>
      <c r="K2537" s="19">
        <f t="shared" si="457"/>
        <v>4978</v>
      </c>
    </row>
    <row r="2538" spans="1:11">
      <c r="A2538">
        <v>2536</v>
      </c>
      <c r="B2538">
        <v>4.15E+85</v>
      </c>
      <c r="D2538" s="18">
        <v>2536</v>
      </c>
      <c r="E2538" s="18" cm="1">
        <f t="array" aca="1" ref="E2538" ca="1">INDIRECT("b"&amp;F2538+2)</f>
        <v>5.0500000000000001E+116</v>
      </c>
      <c r="F2538" s="18">
        <f t="shared" si="461"/>
        <v>3780</v>
      </c>
      <c r="G2538" s="18"/>
      <c r="H2538" s="18"/>
      <c r="I2538" s="19">
        <v>2536</v>
      </c>
      <c r="J2538" s="19" cm="1">
        <f t="array" aca="1" ref="J2538" ca="1">INDIRECT("b"&amp;K2538+2)</f>
        <v>5.0499999999999998E+146</v>
      </c>
      <c r="K2538" s="19">
        <f t="shared" si="457"/>
        <v>4980</v>
      </c>
    </row>
    <row r="2539" spans="1:11">
      <c r="A2539">
        <v>2537</v>
      </c>
      <c r="B2539">
        <v>4.3750000000000002E+85</v>
      </c>
      <c r="D2539" s="18">
        <v>2537</v>
      </c>
      <c r="E2539" s="18" cm="1">
        <f t="array" aca="1" ref="E2539" ca="1">INDIRECT("b"&amp;F2539+2)</f>
        <v>5.2750000000000002E+116</v>
      </c>
      <c r="F2539" s="18">
        <f t="shared" si="461"/>
        <v>3781</v>
      </c>
      <c r="G2539" s="18"/>
      <c r="H2539" s="18"/>
      <c r="I2539" s="19">
        <v>2537</v>
      </c>
      <c r="J2539" s="19" cm="1">
        <f t="array" aca="1" ref="J2539" ca="1">INDIRECT("b"&amp;K2539+2)</f>
        <v>5.2750000000000001E+146</v>
      </c>
      <c r="K2539" s="19">
        <f t="shared" si="457"/>
        <v>4981</v>
      </c>
    </row>
    <row r="2540" spans="1:11">
      <c r="A2540">
        <v>2538</v>
      </c>
      <c r="B2540">
        <v>4.5999999999999998E+85</v>
      </c>
      <c r="D2540" s="18">
        <v>2538</v>
      </c>
      <c r="E2540" s="18" cm="1">
        <f t="array" aca="1" ref="E2540" ca="1">INDIRECT("b"&amp;F2540+2)</f>
        <v>5.5000000000000003E+116</v>
      </c>
      <c r="F2540" s="18">
        <f t="shared" si="461"/>
        <v>3782</v>
      </c>
      <c r="G2540" s="18"/>
      <c r="H2540" s="18"/>
      <c r="I2540" s="19">
        <v>2538</v>
      </c>
      <c r="J2540" s="19" cm="1">
        <f t="array" aca="1" ref="J2540" ca="1">INDIRECT("b"&amp;K2540+2)</f>
        <v>5.5000000000000004E+146</v>
      </c>
      <c r="K2540" s="19">
        <f t="shared" si="457"/>
        <v>4982</v>
      </c>
    </row>
    <row r="2541" spans="1:11">
      <c r="A2541">
        <v>2539</v>
      </c>
      <c r="B2541">
        <v>4.825E+85</v>
      </c>
      <c r="D2541" s="18">
        <v>2539</v>
      </c>
      <c r="E2541" s="18" cm="1">
        <f t="array" aca="1" ref="E2541" ca="1">INDIRECT("b"&amp;F2541+2)</f>
        <v>5.9499999999999999E+116</v>
      </c>
      <c r="F2541" s="18">
        <f t="shared" si="461"/>
        <v>3784</v>
      </c>
      <c r="G2541" s="18"/>
      <c r="H2541" s="18"/>
      <c r="I2541" s="19">
        <v>2539</v>
      </c>
      <c r="J2541" s="19" cm="1">
        <f t="array" aca="1" ref="J2541" ca="1">INDIRECT("b"&amp;K2541+2)</f>
        <v>5.9500000000000002E+146</v>
      </c>
      <c r="K2541" s="19">
        <f t="shared" si="457"/>
        <v>4984</v>
      </c>
    </row>
    <row r="2542" spans="1:11">
      <c r="A2542">
        <v>2540</v>
      </c>
      <c r="B2542">
        <v>5.0499999999999996E+85</v>
      </c>
      <c r="D2542" s="18">
        <v>2540</v>
      </c>
      <c r="E2542" s="18" cm="1">
        <f t="array" aca="1" ref="E2542" ca="1">INDIRECT("b"&amp;F2542+2)</f>
        <v>6.175E+116</v>
      </c>
      <c r="F2542" s="18">
        <f t="shared" si="461"/>
        <v>3785</v>
      </c>
      <c r="G2542" s="18">
        <f t="shared" ref="G2542" ca="1" si="467">E2542/E2537</f>
        <v>1.3423913043478262</v>
      </c>
      <c r="H2542" s="18"/>
      <c r="I2542" s="19">
        <v>2540</v>
      </c>
      <c r="J2542" s="19" cm="1">
        <f t="array" aca="1" ref="J2542" ca="1">INDIRECT("b"&amp;K2542+2)</f>
        <v>6.1750000000000005E+146</v>
      </c>
      <c r="K2542" s="19">
        <f t="shared" si="457"/>
        <v>4985</v>
      </c>
    </row>
    <row r="2543" spans="1:11">
      <c r="A2543">
        <v>2541</v>
      </c>
      <c r="B2543">
        <v>5.2749999999999998E+85</v>
      </c>
      <c r="D2543" s="18">
        <v>2541</v>
      </c>
      <c r="E2543" s="18" cm="1">
        <f t="array" aca="1" ref="E2543" ca="1">INDIRECT("b"&amp;F2543+2)</f>
        <v>6.4000000000000001E+116</v>
      </c>
      <c r="F2543" s="18">
        <f t="shared" si="461"/>
        <v>3786</v>
      </c>
      <c r="G2543" s="18"/>
      <c r="H2543" s="18"/>
      <c r="I2543" s="19">
        <v>2541</v>
      </c>
      <c r="J2543" s="19" cm="1">
        <f t="array" aca="1" ref="J2543" ca="1">INDIRECT("b"&amp;K2543+2)</f>
        <v>6.3999999999999999E+146</v>
      </c>
      <c r="K2543" s="19">
        <f t="shared" si="457"/>
        <v>4986</v>
      </c>
    </row>
    <row r="2544" spans="1:11">
      <c r="A2544">
        <v>2542</v>
      </c>
      <c r="B2544">
        <v>5.5000000000000001E+85</v>
      </c>
      <c r="D2544" s="18">
        <v>2542</v>
      </c>
      <c r="E2544" s="18" cm="1">
        <f t="array" aca="1" ref="E2544" ca="1">INDIRECT("b"&amp;F2544+2)</f>
        <v>6.8500000000000003E+116</v>
      </c>
      <c r="F2544" s="18">
        <f t="shared" si="461"/>
        <v>3788</v>
      </c>
      <c r="G2544" s="18"/>
      <c r="H2544" s="18"/>
      <c r="I2544" s="19">
        <v>2542</v>
      </c>
      <c r="J2544" s="19" cm="1">
        <f t="array" aca="1" ref="J2544" ca="1">INDIRECT("b"&amp;K2544+2)</f>
        <v>6.8500000000000006E+146</v>
      </c>
      <c r="K2544" s="19">
        <f t="shared" si="457"/>
        <v>4988</v>
      </c>
    </row>
    <row r="2545" spans="1:11">
      <c r="A2545">
        <v>2543</v>
      </c>
      <c r="B2545">
        <v>5.7249999999999996E+85</v>
      </c>
      <c r="D2545" s="18">
        <v>2543</v>
      </c>
      <c r="E2545" s="18" cm="1">
        <f t="array" aca="1" ref="E2545" ca="1">INDIRECT("b"&amp;F2545+2)</f>
        <v>7.0750000000000004E+116</v>
      </c>
      <c r="F2545" s="18">
        <f t="shared" si="461"/>
        <v>3789</v>
      </c>
      <c r="G2545" s="18"/>
      <c r="H2545" s="18"/>
      <c r="I2545" s="19">
        <v>2543</v>
      </c>
      <c r="J2545" s="19" cm="1">
        <f t="array" aca="1" ref="J2545" ca="1">INDIRECT("b"&amp;K2545+2)</f>
        <v>7.075E+146</v>
      </c>
      <c r="K2545" s="19">
        <f t="shared" si="457"/>
        <v>4989</v>
      </c>
    </row>
    <row r="2546" spans="1:11">
      <c r="A2546">
        <v>2544</v>
      </c>
      <c r="B2546">
        <v>5.9499999999999999E+85</v>
      </c>
      <c r="D2546" s="18">
        <v>2544</v>
      </c>
      <c r="E2546" s="18" cm="1">
        <f t="array" aca="1" ref="E2546" ca="1">INDIRECT("b"&amp;F2546+2)</f>
        <v>7.3000000000000006E+116</v>
      </c>
      <c r="F2546" s="18">
        <f t="shared" si="461"/>
        <v>3790</v>
      </c>
      <c r="G2546" s="18"/>
      <c r="H2546" s="18"/>
      <c r="I2546" s="19">
        <v>2544</v>
      </c>
      <c r="J2546" s="19" cm="1">
        <f t="array" aca="1" ref="J2546" ca="1">INDIRECT("b"&amp;K2546+2)</f>
        <v>7.3000000000000003E+146</v>
      </c>
      <c r="K2546" s="19">
        <f t="shared" si="457"/>
        <v>4990</v>
      </c>
    </row>
    <row r="2547" spans="1:11">
      <c r="A2547">
        <v>2545</v>
      </c>
      <c r="B2547">
        <v>6.1750000000000001E+85</v>
      </c>
      <c r="D2547" s="18">
        <v>2545</v>
      </c>
      <c r="E2547" s="18" cm="1">
        <f t="array" aca="1" ref="E2547" ca="1">INDIRECT("b"&amp;F2547+2)</f>
        <v>7.7500000000000008E+116</v>
      </c>
      <c r="F2547" s="18">
        <f t="shared" si="461"/>
        <v>3792</v>
      </c>
      <c r="G2547" s="18">
        <f t="shared" ref="G2547" ca="1" si="468">E2547/E2542</f>
        <v>1.2550607287449393</v>
      </c>
      <c r="H2547" s="18"/>
      <c r="I2547" s="19">
        <v>2545</v>
      </c>
      <c r="J2547" s="19" cm="1">
        <f t="array" aca="1" ref="J2547" ca="1">INDIRECT("b"&amp;K2547+2)</f>
        <v>7.7500000000000001E+146</v>
      </c>
      <c r="K2547" s="19">
        <f t="shared" si="457"/>
        <v>4992</v>
      </c>
    </row>
    <row r="2548" spans="1:11">
      <c r="A2548">
        <v>2546</v>
      </c>
      <c r="B2548">
        <v>6.4000000000000004E+85</v>
      </c>
      <c r="D2548" s="18">
        <v>2546</v>
      </c>
      <c r="E2548" s="18" cm="1">
        <f t="array" aca="1" ref="E2548" ca="1">INDIRECT("b"&amp;F2548+2)</f>
        <v>7.9750000000000009E+116</v>
      </c>
      <c r="F2548" s="18">
        <f t="shared" si="461"/>
        <v>3793</v>
      </c>
      <c r="G2548" s="18"/>
      <c r="H2548" s="18"/>
      <c r="I2548" s="19">
        <v>2546</v>
      </c>
      <c r="J2548" s="19" cm="1">
        <f t="array" aca="1" ref="J2548" ca="1">INDIRECT("b"&amp;K2548+2)</f>
        <v>7.9750000000000004E+146</v>
      </c>
      <c r="K2548" s="19">
        <f t="shared" si="457"/>
        <v>4993</v>
      </c>
    </row>
    <row r="2549" spans="1:11">
      <c r="A2549">
        <v>2547</v>
      </c>
      <c r="B2549">
        <v>6.6249999999999992E+85</v>
      </c>
      <c r="D2549" s="18">
        <v>2547</v>
      </c>
      <c r="E2549" s="18" cm="1">
        <f t="array" aca="1" ref="E2549" ca="1">INDIRECT("b"&amp;F2549+2)</f>
        <v>8.1999999999999996E+116</v>
      </c>
      <c r="F2549" s="18">
        <f t="shared" si="461"/>
        <v>3794</v>
      </c>
      <c r="G2549" s="18"/>
      <c r="H2549" s="18"/>
      <c r="I2549" s="19">
        <v>2547</v>
      </c>
      <c r="J2549" s="19" cm="1">
        <f t="array" aca="1" ref="J2549" ca="1">INDIRECT("b"&amp;K2549+2)</f>
        <v>8.2000000000000007E+146</v>
      </c>
      <c r="K2549" s="19">
        <f t="shared" si="457"/>
        <v>4994</v>
      </c>
    </row>
    <row r="2550" spans="1:11">
      <c r="A2550">
        <v>2548</v>
      </c>
      <c r="B2550">
        <v>6.8499999999999995E+85</v>
      </c>
      <c r="D2550" s="18">
        <v>2548</v>
      </c>
      <c r="E2550" s="18" cm="1">
        <f t="array" aca="1" ref="E2550" ca="1">INDIRECT("b"&amp;F2550+2)</f>
        <v>8.6499999999999998E+116</v>
      </c>
      <c r="F2550" s="18">
        <f t="shared" si="461"/>
        <v>3796</v>
      </c>
      <c r="G2550" s="18"/>
      <c r="H2550" s="18"/>
      <c r="I2550" s="19">
        <v>2548</v>
      </c>
      <c r="J2550" s="19" cm="1">
        <f t="array" aca="1" ref="J2550" ca="1">INDIRECT("b"&amp;K2550+2)</f>
        <v>8.6499999999999996E+146</v>
      </c>
      <c r="K2550" s="19">
        <f t="shared" si="457"/>
        <v>4996</v>
      </c>
    </row>
    <row r="2551" spans="1:11">
      <c r="A2551">
        <v>2549</v>
      </c>
      <c r="B2551">
        <v>7.0749999999999997E+85</v>
      </c>
      <c r="D2551" s="18">
        <v>2549</v>
      </c>
      <c r="E2551" s="18" cm="1">
        <f t="array" aca="1" ref="E2551" ca="1">INDIRECT("b"&amp;F2551+2)</f>
        <v>8.8749999999999999E+116</v>
      </c>
      <c r="F2551" s="18">
        <f t="shared" si="461"/>
        <v>3797</v>
      </c>
      <c r="G2551" s="18"/>
      <c r="H2551" s="18"/>
      <c r="I2551" s="19">
        <v>2549</v>
      </c>
      <c r="J2551" s="19" cm="1">
        <f t="array" aca="1" ref="J2551" ca="1">INDIRECT("b"&amp;K2551+2)</f>
        <v>8.8749999999999999E+146</v>
      </c>
      <c r="K2551" s="19">
        <f t="shared" si="457"/>
        <v>4997</v>
      </c>
    </row>
    <row r="2552" spans="1:11">
      <c r="A2552">
        <v>2550</v>
      </c>
      <c r="B2552">
        <v>7.3E+85</v>
      </c>
      <c r="D2552" s="18">
        <v>2550</v>
      </c>
      <c r="E2552" s="18" cm="1">
        <f t="array" aca="1" ref="E2552" ca="1">INDIRECT("b"&amp;F2552+2)</f>
        <v>9.1000000000000001E+116</v>
      </c>
      <c r="F2552" s="18">
        <f t="shared" si="461"/>
        <v>3798</v>
      </c>
      <c r="G2552" s="18">
        <f t="shared" ref="G2552" ca="1" si="469">E2552/E2547</f>
        <v>1.1741935483870967</v>
      </c>
      <c r="H2552" s="18"/>
      <c r="I2552" s="19">
        <v>2550</v>
      </c>
      <c r="J2552" s="19" cm="1">
        <f t="array" aca="1" ref="J2552" ca="1">INDIRECT("b"&amp;K2552+2)</f>
        <v>9.1000000000000003E+146</v>
      </c>
      <c r="K2552" s="19">
        <f t="shared" si="457"/>
        <v>4998</v>
      </c>
    </row>
    <row r="2553" spans="1:11">
      <c r="A2553">
        <v>2551</v>
      </c>
      <c r="B2553">
        <v>7.5250000000000002E+85</v>
      </c>
      <c r="D2553" s="18">
        <v>2551</v>
      </c>
      <c r="E2553" s="18" cm="1">
        <f t="array" aca="1" ref="E2553" ca="1">INDIRECT("b"&amp;F2553+2)</f>
        <v>9.5500000000000003E+116</v>
      </c>
      <c r="F2553" s="18">
        <f t="shared" si="461"/>
        <v>3800</v>
      </c>
      <c r="G2553" s="18"/>
      <c r="H2553" s="18"/>
      <c r="I2553" s="19">
        <v>2551</v>
      </c>
      <c r="J2553" s="19" cm="1">
        <f t="array" aca="1" ref="J2553" ca="1">INDIRECT("b"&amp;K2553+2)</f>
        <v>9.5500000000000009E+146</v>
      </c>
      <c r="K2553" s="19">
        <f t="shared" si="457"/>
        <v>5000</v>
      </c>
    </row>
    <row r="2554" spans="1:11">
      <c r="A2554">
        <v>2552</v>
      </c>
      <c r="B2554">
        <v>7.7500000000000005E+85</v>
      </c>
      <c r="D2554" s="18">
        <v>2552</v>
      </c>
      <c r="E2554" s="18" cm="1">
        <f t="array" aca="1" ref="E2554" ca="1">INDIRECT("b"&amp;F2554+2)</f>
        <v>9.7750000000000004E+116</v>
      </c>
      <c r="F2554" s="18">
        <f t="shared" si="461"/>
        <v>3801</v>
      </c>
      <c r="G2554" s="18"/>
      <c r="H2554" s="18"/>
      <c r="I2554" s="19">
        <v>2552</v>
      </c>
      <c r="J2554" s="19" cm="1">
        <f t="array" aca="1" ref="J2554" ca="1">INDIRECT("b"&amp;K2554+2)</f>
        <v>9.7749999999999995E+146</v>
      </c>
      <c r="K2554" s="19">
        <f t="shared" si="457"/>
        <v>5001</v>
      </c>
    </row>
    <row r="2555" spans="1:11">
      <c r="A2555">
        <v>2553</v>
      </c>
      <c r="B2555">
        <v>7.9749999999999993E+85</v>
      </c>
      <c r="D2555" s="18">
        <v>2553</v>
      </c>
      <c r="E2555" s="18" cm="1">
        <f t="array" aca="1" ref="E2555" ca="1">INDIRECT("b"&amp;F2555+2)</f>
        <v>1.0000000000000001E+117</v>
      </c>
      <c r="F2555" s="18">
        <f t="shared" si="461"/>
        <v>3802</v>
      </c>
      <c r="G2555" s="18"/>
      <c r="H2555" s="18"/>
      <c r="I2555" s="19">
        <v>2553</v>
      </c>
      <c r="J2555" s="19" cm="1">
        <f t="array" aca="1" ref="J2555" ca="1">INDIRECT("b"&amp;K2555+2)</f>
        <v>9.9999999999999998E+146</v>
      </c>
      <c r="K2555" s="19">
        <f t="shared" si="457"/>
        <v>5002</v>
      </c>
    </row>
    <row r="2556" spans="1:11">
      <c r="A2556">
        <v>2554</v>
      </c>
      <c r="B2556">
        <v>8.1999999999999996E+85</v>
      </c>
      <c r="D2556" s="18">
        <v>2554</v>
      </c>
      <c r="E2556" s="18" cm="1">
        <f t="array" aca="1" ref="E2556" ca="1">INDIRECT("b"&amp;F2556+2)</f>
        <v>1.4499999999999999E+117</v>
      </c>
      <c r="F2556" s="18">
        <f t="shared" si="461"/>
        <v>3804</v>
      </c>
      <c r="G2556" s="18"/>
      <c r="H2556" s="18"/>
      <c r="I2556" s="19">
        <v>2554</v>
      </c>
      <c r="J2556" s="19" cm="1">
        <f t="array" aca="1" ref="J2556" ca="1">INDIRECT("b"&amp;K2556+2)</f>
        <v>1.4500000000000001E+147</v>
      </c>
      <c r="K2556" s="19">
        <f t="shared" si="457"/>
        <v>5004</v>
      </c>
    </row>
    <row r="2557" spans="1:11">
      <c r="A2557">
        <v>2555</v>
      </c>
      <c r="B2557">
        <v>8.4249999999999998E+85</v>
      </c>
      <c r="D2557" s="18">
        <v>2555</v>
      </c>
      <c r="E2557" s="18" cm="1">
        <f t="array" aca="1" ref="E2557" ca="1">INDIRECT("b"&amp;F2557+2)</f>
        <v>1.675E+117</v>
      </c>
      <c r="F2557" s="18">
        <f t="shared" si="461"/>
        <v>3805</v>
      </c>
      <c r="G2557" s="18">
        <f t="shared" ref="G2557" ca="1" si="470">E2557/E2552</f>
        <v>1.8406593406593406</v>
      </c>
      <c r="H2557" s="18"/>
      <c r="I2557" s="19">
        <v>2555</v>
      </c>
      <c r="J2557" s="19" cm="1">
        <f t="array" aca="1" ref="J2557" ca="1">INDIRECT("b"&amp;K2557+2)</f>
        <v>1.6749999999999999E+147</v>
      </c>
      <c r="K2557" s="19">
        <f t="shared" si="457"/>
        <v>5005</v>
      </c>
    </row>
    <row r="2558" spans="1:11">
      <c r="A2558">
        <v>2556</v>
      </c>
      <c r="B2558">
        <v>8.6500000000000001E+85</v>
      </c>
      <c r="D2558" s="18">
        <v>2556</v>
      </c>
      <c r="E2558" s="18" cm="1">
        <f t="array" aca="1" ref="E2558" ca="1">INDIRECT("b"&amp;F2558+2)</f>
        <v>1.9000000000000001E+117</v>
      </c>
      <c r="F2558" s="18">
        <f t="shared" si="461"/>
        <v>3806</v>
      </c>
      <c r="G2558" s="18"/>
      <c r="H2558" s="18"/>
      <c r="I2558" s="19">
        <v>2556</v>
      </c>
      <c r="J2558" s="19" cm="1">
        <f t="array" aca="1" ref="J2558" ca="1">INDIRECT("b"&amp;K2558+2)</f>
        <v>1.9000000000000002E+147</v>
      </c>
      <c r="K2558" s="19">
        <f t="shared" si="457"/>
        <v>5006</v>
      </c>
    </row>
    <row r="2559" spans="1:11">
      <c r="A2559">
        <v>2557</v>
      </c>
      <c r="B2559">
        <v>8.8750000000000003E+85</v>
      </c>
      <c r="D2559" s="18">
        <v>2557</v>
      </c>
      <c r="E2559" s="18" cm="1">
        <f t="array" aca="1" ref="E2559" ca="1">INDIRECT("b"&amp;F2559+2)</f>
        <v>2.35E+117</v>
      </c>
      <c r="F2559" s="18">
        <f t="shared" si="461"/>
        <v>3808</v>
      </c>
      <c r="G2559" s="18"/>
      <c r="H2559" s="18"/>
      <c r="I2559" s="19">
        <v>2557</v>
      </c>
      <c r="J2559" s="19" cm="1">
        <f t="array" aca="1" ref="J2559" ca="1">INDIRECT("b"&amp;K2559+2)</f>
        <v>2.3500000000000001E+147</v>
      </c>
      <c r="K2559" s="19">
        <f t="shared" si="457"/>
        <v>5008</v>
      </c>
    </row>
    <row r="2560" spans="1:11">
      <c r="A2560">
        <v>2558</v>
      </c>
      <c r="B2560">
        <v>9.0999999999999992E+85</v>
      </c>
      <c r="D2560" s="18">
        <v>2558</v>
      </c>
      <c r="E2560" s="18" cm="1">
        <f t="array" aca="1" ref="E2560" ca="1">INDIRECT("b"&amp;F2560+2)</f>
        <v>2.5749999999999999E+117</v>
      </c>
      <c r="F2560" s="18">
        <f t="shared" si="461"/>
        <v>3809</v>
      </c>
      <c r="G2560" s="18"/>
      <c r="H2560" s="18"/>
      <c r="I2560" s="19">
        <v>2558</v>
      </c>
      <c r="J2560" s="19" cm="1">
        <f t="array" aca="1" ref="J2560" ca="1">INDIRECT("b"&amp;K2560+2)</f>
        <v>2.5750000000000001E+147</v>
      </c>
      <c r="K2560" s="19">
        <f t="shared" si="457"/>
        <v>5009</v>
      </c>
    </row>
    <row r="2561" spans="1:11">
      <c r="A2561">
        <v>2559</v>
      </c>
      <c r="B2561">
        <v>9.3249999999999994E+85</v>
      </c>
      <c r="D2561" s="18">
        <v>2559</v>
      </c>
      <c r="E2561" s="18" cm="1">
        <f t="array" aca="1" ref="E2561" ca="1">INDIRECT("b"&amp;F2561+2)</f>
        <v>2.8E+117</v>
      </c>
      <c r="F2561" s="18">
        <f t="shared" si="461"/>
        <v>3810</v>
      </c>
      <c r="G2561" s="18"/>
      <c r="H2561" s="18"/>
      <c r="I2561" s="19">
        <v>2559</v>
      </c>
      <c r="J2561" s="19" cm="1">
        <f t="array" aca="1" ref="J2561" ca="1">INDIRECT("b"&amp;K2561+2)</f>
        <v>2.8000000000000001E+147</v>
      </c>
      <c r="K2561" s="19">
        <f t="shared" si="457"/>
        <v>5010</v>
      </c>
    </row>
    <row r="2562" spans="1:11">
      <c r="A2562">
        <v>2560</v>
      </c>
      <c r="B2562">
        <v>9.5499999999999997E+85</v>
      </c>
      <c r="D2562" s="18">
        <v>2560</v>
      </c>
      <c r="E2562" s="18" cm="1">
        <f t="array" aca="1" ref="E2562" ca="1">INDIRECT("b"&amp;F2562+2)</f>
        <v>3.2500000000000002E+117</v>
      </c>
      <c r="F2562" s="18">
        <f t="shared" si="461"/>
        <v>3812</v>
      </c>
      <c r="G2562" s="18">
        <f t="shared" ref="G2562" ca="1" si="471">E2562/E2557</f>
        <v>1.9402985074626866</v>
      </c>
      <c r="H2562" s="18"/>
      <c r="I2562" s="19">
        <v>2560</v>
      </c>
      <c r="J2562" s="19" cm="1">
        <f t="array" aca="1" ref="J2562" ca="1">INDIRECT("b"&amp;K2562+2)</f>
        <v>3.25E+147</v>
      </c>
      <c r="K2562" s="19">
        <f t="shared" si="457"/>
        <v>5012</v>
      </c>
    </row>
    <row r="2563" spans="1:11">
      <c r="A2563">
        <v>2561</v>
      </c>
      <c r="B2563">
        <v>9.7749999999999999E+85</v>
      </c>
      <c r="D2563" s="18">
        <v>2561</v>
      </c>
      <c r="E2563" s="18" cm="1">
        <f t="array" aca="1" ref="E2563" ca="1">INDIRECT("b"&amp;F2563+2)</f>
        <v>3.4749999999999998E+117</v>
      </c>
      <c r="F2563" s="18">
        <f t="shared" si="461"/>
        <v>3813</v>
      </c>
      <c r="G2563" s="18"/>
      <c r="H2563" s="18"/>
      <c r="I2563" s="19">
        <v>2561</v>
      </c>
      <c r="J2563" s="19" cm="1">
        <f t="array" aca="1" ref="J2563" ca="1">INDIRECT("b"&amp;K2563+2)</f>
        <v>3.475E+147</v>
      </c>
      <c r="K2563" s="19">
        <f t="shared" si="457"/>
        <v>5013</v>
      </c>
    </row>
    <row r="2564" spans="1:11">
      <c r="A2564">
        <v>2562</v>
      </c>
      <c r="B2564">
        <v>1E+86</v>
      </c>
      <c r="D2564" s="18">
        <v>2562</v>
      </c>
      <c r="E2564" s="18" cm="1">
        <f t="array" aca="1" ref="E2564" ca="1">INDIRECT("b"&amp;F2564+2)</f>
        <v>3.6999999999999999E+117</v>
      </c>
      <c r="F2564" s="18">
        <f t="shared" si="461"/>
        <v>3814</v>
      </c>
      <c r="G2564" s="18"/>
      <c r="H2564" s="18"/>
      <c r="I2564" s="19">
        <v>2562</v>
      </c>
      <c r="J2564" s="19" cm="1">
        <f t="array" aca="1" ref="J2564" ca="1">INDIRECT("b"&amp;K2564+2)</f>
        <v>3.7E+147</v>
      </c>
      <c r="K2564" s="19">
        <f t="shared" ref="K2564:K2627" si="472">INT((A2564-1)*40/30+900*40/30)+400</f>
        <v>5014</v>
      </c>
    </row>
    <row r="2565" spans="1:11">
      <c r="A2565">
        <v>2563</v>
      </c>
      <c r="B2565">
        <v>1.225E+86</v>
      </c>
      <c r="D2565" s="18">
        <v>2563</v>
      </c>
      <c r="E2565" s="18" cm="1">
        <f t="array" aca="1" ref="E2565" ca="1">INDIRECT("b"&amp;F2565+2)</f>
        <v>4.1500000000000001E+117</v>
      </c>
      <c r="F2565" s="18">
        <f t="shared" si="461"/>
        <v>3816</v>
      </c>
      <c r="G2565" s="18"/>
      <c r="H2565" s="18"/>
      <c r="I2565" s="19">
        <v>2563</v>
      </c>
      <c r="J2565" s="19" cm="1">
        <f t="array" aca="1" ref="J2565" ca="1">INDIRECT("b"&amp;K2565+2)</f>
        <v>4.1499999999999999E+147</v>
      </c>
      <c r="K2565" s="19">
        <f t="shared" si="472"/>
        <v>5016</v>
      </c>
    </row>
    <row r="2566" spans="1:11">
      <c r="A2566">
        <v>2564</v>
      </c>
      <c r="B2566">
        <v>1.45E+86</v>
      </c>
      <c r="D2566" s="18">
        <v>2564</v>
      </c>
      <c r="E2566" s="18" cm="1">
        <f t="array" aca="1" ref="E2566" ca="1">INDIRECT("b"&amp;F2566+2)</f>
        <v>4.3749999999999996E+117</v>
      </c>
      <c r="F2566" s="18">
        <f t="shared" si="461"/>
        <v>3817</v>
      </c>
      <c r="G2566" s="18"/>
      <c r="H2566" s="18"/>
      <c r="I2566" s="19">
        <v>2564</v>
      </c>
      <c r="J2566" s="19" cm="1">
        <f t="array" aca="1" ref="J2566" ca="1">INDIRECT("b"&amp;K2566+2)</f>
        <v>4.3749999999999999E+147</v>
      </c>
      <c r="K2566" s="19">
        <f t="shared" si="472"/>
        <v>5017</v>
      </c>
    </row>
    <row r="2567" spans="1:11">
      <c r="A2567">
        <v>2565</v>
      </c>
      <c r="B2567">
        <v>1.6749999999999999E+86</v>
      </c>
      <c r="D2567" s="18">
        <v>2565</v>
      </c>
      <c r="E2567" s="18" cm="1">
        <f t="array" aca="1" ref="E2567" ca="1">INDIRECT("b"&amp;F2567+2)</f>
        <v>4.5999999999999998E+117</v>
      </c>
      <c r="F2567" s="18">
        <f t="shared" si="461"/>
        <v>3818</v>
      </c>
      <c r="G2567" s="18">
        <f t="shared" ref="G2567" ca="1" si="473">E2567/E2562</f>
        <v>1.4153846153846152</v>
      </c>
      <c r="H2567" s="18"/>
      <c r="I2567" s="19">
        <v>2565</v>
      </c>
      <c r="J2567" s="19" cm="1">
        <f t="array" aca="1" ref="J2567" ca="1">INDIRECT("b"&amp;K2567+2)</f>
        <v>4.5999999999999998E+147</v>
      </c>
      <c r="K2567" s="19">
        <f t="shared" si="472"/>
        <v>5018</v>
      </c>
    </row>
    <row r="2568" spans="1:11">
      <c r="A2568">
        <v>2566</v>
      </c>
      <c r="B2568">
        <v>1.8999999999999999E+86</v>
      </c>
      <c r="D2568" s="18">
        <v>2566</v>
      </c>
      <c r="E2568" s="18" cm="1">
        <f t="array" aca="1" ref="E2568" ca="1">INDIRECT("b"&amp;F2568+2)</f>
        <v>5.0499999999999994E+117</v>
      </c>
      <c r="F2568" s="18">
        <f t="shared" si="461"/>
        <v>3820</v>
      </c>
      <c r="G2568" s="18"/>
      <c r="H2568" s="18"/>
      <c r="I2568" s="19">
        <v>2566</v>
      </c>
      <c r="J2568" s="19" cm="1">
        <f t="array" aca="1" ref="J2568" ca="1">INDIRECT("b"&amp;K2568+2)</f>
        <v>5.0500000000000005E+147</v>
      </c>
      <c r="K2568" s="19">
        <f t="shared" si="472"/>
        <v>5020</v>
      </c>
    </row>
    <row r="2569" spans="1:11">
      <c r="A2569">
        <v>2567</v>
      </c>
      <c r="B2569">
        <v>2.1250000000000001E+86</v>
      </c>
      <c r="D2569" s="18">
        <v>2567</v>
      </c>
      <c r="E2569" s="18" cm="1">
        <f t="array" aca="1" ref="E2569" ca="1">INDIRECT("b"&amp;F2569+2)</f>
        <v>5.2750000000000001E+117</v>
      </c>
      <c r="F2569" s="18">
        <f t="shared" si="461"/>
        <v>3821</v>
      </c>
      <c r="G2569" s="18"/>
      <c r="H2569" s="18"/>
      <c r="I2569" s="19">
        <v>2567</v>
      </c>
      <c r="J2569" s="19" cm="1">
        <f t="array" aca="1" ref="J2569" ca="1">INDIRECT("b"&amp;K2569+2)</f>
        <v>5.2750000000000004E+147</v>
      </c>
      <c r="K2569" s="19">
        <f t="shared" si="472"/>
        <v>5021</v>
      </c>
    </row>
    <row r="2570" spans="1:11">
      <c r="A2570">
        <v>2568</v>
      </c>
      <c r="B2570">
        <v>2.3500000000000001E+86</v>
      </c>
      <c r="D2570" s="18">
        <v>2568</v>
      </c>
      <c r="E2570" s="18" cm="1">
        <f t="array" aca="1" ref="E2570" ca="1">INDIRECT("b"&amp;F2570+2)</f>
        <v>5.4999999999999996E+117</v>
      </c>
      <c r="F2570" s="18">
        <f t="shared" si="461"/>
        <v>3822</v>
      </c>
      <c r="G2570" s="18"/>
      <c r="H2570" s="18"/>
      <c r="I2570" s="19">
        <v>2568</v>
      </c>
      <c r="J2570" s="19" cm="1">
        <f t="array" aca="1" ref="J2570" ca="1">INDIRECT("b"&amp;K2570+2)</f>
        <v>5.5000000000000004E+147</v>
      </c>
      <c r="K2570" s="19">
        <f t="shared" si="472"/>
        <v>5022</v>
      </c>
    </row>
    <row r="2571" spans="1:11">
      <c r="A2571">
        <v>2569</v>
      </c>
      <c r="B2571">
        <v>2.5750000000000001E+86</v>
      </c>
      <c r="D2571" s="18">
        <v>2569</v>
      </c>
      <c r="E2571" s="18" cm="1">
        <f t="array" aca="1" ref="E2571" ca="1">INDIRECT("b"&amp;F2571+2)</f>
        <v>5.9499999999999999E+117</v>
      </c>
      <c r="F2571" s="18">
        <f t="shared" si="461"/>
        <v>3824</v>
      </c>
      <c r="G2571" s="18"/>
      <c r="H2571" s="18"/>
      <c r="I2571" s="19">
        <v>2569</v>
      </c>
      <c r="J2571" s="19" cm="1">
        <f t="array" aca="1" ref="J2571" ca="1">INDIRECT("b"&amp;K2571+2)</f>
        <v>5.9500000000000003E+147</v>
      </c>
      <c r="K2571" s="19">
        <f t="shared" si="472"/>
        <v>5024</v>
      </c>
    </row>
    <row r="2572" spans="1:11">
      <c r="A2572">
        <v>2570</v>
      </c>
      <c r="B2572">
        <v>2.8E+86</v>
      </c>
      <c r="D2572" s="18">
        <v>2570</v>
      </c>
      <c r="E2572" s="18" cm="1">
        <f t="array" aca="1" ref="E2572" ca="1">INDIRECT("b"&amp;F2572+2)</f>
        <v>6.1749999999999994E+117</v>
      </c>
      <c r="F2572" s="18">
        <f t="shared" si="461"/>
        <v>3825</v>
      </c>
      <c r="G2572" s="18">
        <f t="shared" ref="G2572" ca="1" si="474">E2572/E2567</f>
        <v>1.3423913043478259</v>
      </c>
      <c r="H2572" s="18"/>
      <c r="I2572" s="19">
        <v>2570</v>
      </c>
      <c r="J2572" s="19" cm="1">
        <f t="array" aca="1" ref="J2572" ca="1">INDIRECT("b"&amp;K2572+2)</f>
        <v>6.1750000000000003E+147</v>
      </c>
      <c r="K2572" s="19">
        <f t="shared" si="472"/>
        <v>5025</v>
      </c>
    </row>
    <row r="2573" spans="1:11">
      <c r="A2573">
        <v>2571</v>
      </c>
      <c r="B2573">
        <v>3.025E+86</v>
      </c>
      <c r="D2573" s="18">
        <v>2571</v>
      </c>
      <c r="E2573" s="18" cm="1">
        <f t="array" aca="1" ref="E2573" ca="1">INDIRECT("b"&amp;F2573+2)</f>
        <v>6.4000000000000001E+117</v>
      </c>
      <c r="F2573" s="18">
        <f t="shared" si="461"/>
        <v>3826</v>
      </c>
      <c r="G2573" s="18"/>
      <c r="H2573" s="18"/>
      <c r="I2573" s="19">
        <v>2571</v>
      </c>
      <c r="J2573" s="19" cm="1">
        <f t="array" aca="1" ref="J2573" ca="1">INDIRECT("b"&amp;K2573+2)</f>
        <v>6.3999999999999996E+147</v>
      </c>
      <c r="K2573" s="19">
        <f t="shared" si="472"/>
        <v>5026</v>
      </c>
    </row>
    <row r="2574" spans="1:11">
      <c r="A2574">
        <v>2572</v>
      </c>
      <c r="B2574">
        <v>3.25E+86</v>
      </c>
      <c r="D2574" s="18">
        <v>2572</v>
      </c>
      <c r="E2574" s="18" cm="1">
        <f t="array" aca="1" ref="E2574" ca="1">INDIRECT("b"&amp;F2574+2)</f>
        <v>6.8500000000000003E+117</v>
      </c>
      <c r="F2574" s="18">
        <f t="shared" si="461"/>
        <v>3828</v>
      </c>
      <c r="G2574" s="18">
        <f t="shared" ref="G2574" ca="1" si="475">E2574/E2569</f>
        <v>1.2985781990521328</v>
      </c>
      <c r="H2574" s="18"/>
      <c r="I2574" s="19">
        <v>2572</v>
      </c>
      <c r="J2574" s="19" cm="1">
        <f t="array" aca="1" ref="J2574" ca="1">INDIRECT("b"&amp;K2574+2)</f>
        <v>6.8500000000000009E+147</v>
      </c>
      <c r="K2574" s="19">
        <f t="shared" si="472"/>
        <v>5028</v>
      </c>
    </row>
    <row r="2575" spans="1:11">
      <c r="A2575">
        <v>2573</v>
      </c>
      <c r="B2575">
        <v>3.4749999999999999E+86</v>
      </c>
      <c r="D2575" s="18">
        <v>2573</v>
      </c>
      <c r="E2575" s="18" cm="1">
        <f t="array" aca="1" ref="E2575" ca="1">INDIRECT("b"&amp;F2575+2)</f>
        <v>7.0749999999999999E+117</v>
      </c>
      <c r="F2575" s="18">
        <f t="shared" si="461"/>
        <v>3829</v>
      </c>
      <c r="G2575" s="18"/>
      <c r="H2575" s="18"/>
      <c r="I2575" s="19">
        <v>2573</v>
      </c>
      <c r="J2575" s="19" cm="1">
        <f t="array" aca="1" ref="J2575" ca="1">INDIRECT("b"&amp;K2575+2)</f>
        <v>7.0750000000000009E+147</v>
      </c>
      <c r="K2575" s="19">
        <f t="shared" si="472"/>
        <v>5029</v>
      </c>
    </row>
    <row r="2576" spans="1:11">
      <c r="A2576">
        <v>2574</v>
      </c>
      <c r="B2576">
        <v>3.6999999999999999E+86</v>
      </c>
      <c r="D2576" s="18">
        <v>2574</v>
      </c>
      <c r="E2576" s="18" cm="1">
        <f t="array" aca="1" ref="E2576" ca="1">INDIRECT("b"&amp;F2576+2)</f>
        <v>7.2999999999999994E+117</v>
      </c>
      <c r="F2576" s="18">
        <f t="shared" si="461"/>
        <v>3830</v>
      </c>
      <c r="G2576" s="18"/>
      <c r="H2576" s="18"/>
      <c r="I2576" s="19">
        <v>2574</v>
      </c>
      <c r="J2576" s="19" cm="1">
        <f t="array" aca="1" ref="J2576" ca="1">INDIRECT("b"&amp;K2576+2)</f>
        <v>7.3000000000000009E+147</v>
      </c>
      <c r="K2576" s="19">
        <f t="shared" si="472"/>
        <v>5030</v>
      </c>
    </row>
    <row r="2577" spans="1:11">
      <c r="A2577">
        <v>2575</v>
      </c>
      <c r="B2577">
        <v>3.9249999999999999E+86</v>
      </c>
      <c r="D2577" s="18">
        <v>2575</v>
      </c>
      <c r="E2577" s="18" cm="1">
        <f t="array" aca="1" ref="E2577" ca="1">INDIRECT("b"&amp;F2577+2)</f>
        <v>7.7499999999999997E+117</v>
      </c>
      <c r="F2577" s="18">
        <f t="shared" si="461"/>
        <v>3832</v>
      </c>
      <c r="G2577" s="18"/>
      <c r="H2577" s="18"/>
      <c r="I2577" s="19">
        <v>2575</v>
      </c>
      <c r="J2577" s="19" cm="1">
        <f t="array" aca="1" ref="J2577" ca="1">INDIRECT("b"&amp;K2577+2)</f>
        <v>7.7500000000000008E+147</v>
      </c>
      <c r="K2577" s="19">
        <f t="shared" si="472"/>
        <v>5032</v>
      </c>
    </row>
    <row r="2578" spans="1:11">
      <c r="A2578">
        <v>2576</v>
      </c>
      <c r="B2578">
        <v>4.1499999999999999E+86</v>
      </c>
      <c r="D2578" s="18">
        <v>2576</v>
      </c>
      <c r="E2578" s="18" cm="1">
        <f t="array" aca="1" ref="E2578" ca="1">INDIRECT("b"&amp;F2578+2)</f>
        <v>7.9750000000000003E+117</v>
      </c>
      <c r="F2578" s="18">
        <f t="shared" si="461"/>
        <v>3833</v>
      </c>
      <c r="G2578" s="18"/>
      <c r="H2578" s="18"/>
      <c r="I2578" s="19">
        <v>2576</v>
      </c>
      <c r="J2578" s="19" cm="1">
        <f t="array" aca="1" ref="J2578" ca="1">INDIRECT("b"&amp;K2578+2)</f>
        <v>7.9750000000000008E+147</v>
      </c>
      <c r="K2578" s="19">
        <f t="shared" si="472"/>
        <v>5033</v>
      </c>
    </row>
    <row r="2579" spans="1:11">
      <c r="A2579">
        <v>2577</v>
      </c>
      <c r="B2579">
        <v>4.3749999999999998E+86</v>
      </c>
      <c r="D2579" s="18">
        <v>2577</v>
      </c>
      <c r="E2579" s="18" cm="1">
        <f t="array" aca="1" ref="E2579" ca="1">INDIRECT("b"&amp;F2579+2)</f>
        <v>8.1999999999999999E+117</v>
      </c>
      <c r="F2579" s="18">
        <f t="shared" ref="F2579:F2642" si="476">INT((A2579-123)*1.333333)+563</f>
        <v>3834</v>
      </c>
      <c r="G2579" s="18">
        <f t="shared" ref="G2579" ca="1" si="477">E2579/E2574</f>
        <v>1.1970802919708028</v>
      </c>
      <c r="H2579" s="18"/>
      <c r="I2579" s="19">
        <v>2577</v>
      </c>
      <c r="J2579" s="19" cm="1">
        <f t="array" aca="1" ref="J2579" ca="1">INDIRECT("b"&amp;K2579+2)</f>
        <v>8.2000000000000007E+147</v>
      </c>
      <c r="K2579" s="19">
        <f t="shared" si="472"/>
        <v>5034</v>
      </c>
    </row>
    <row r="2580" spans="1:11">
      <c r="A2580">
        <v>2578</v>
      </c>
      <c r="B2580">
        <v>4.5999999999999998E+86</v>
      </c>
      <c r="D2580" s="18">
        <v>2578</v>
      </c>
      <c r="E2580" s="18" cm="1">
        <f t="array" aca="1" ref="E2580" ca="1">INDIRECT("b"&amp;F2580+2)</f>
        <v>8.6500000000000001E+117</v>
      </c>
      <c r="F2580" s="18">
        <f t="shared" si="476"/>
        <v>3836</v>
      </c>
      <c r="G2580" s="18"/>
      <c r="H2580" s="18"/>
      <c r="I2580" s="19">
        <v>2578</v>
      </c>
      <c r="J2580" s="19" cm="1">
        <f t="array" aca="1" ref="J2580" ca="1">INDIRECT("b"&amp;K2580+2)</f>
        <v>8.6500000000000007E+147</v>
      </c>
      <c r="K2580" s="19">
        <f t="shared" si="472"/>
        <v>5036</v>
      </c>
    </row>
    <row r="2581" spans="1:11">
      <c r="A2581">
        <v>2579</v>
      </c>
      <c r="B2581">
        <v>4.8250000000000003E+86</v>
      </c>
      <c r="D2581" s="18">
        <v>2579</v>
      </c>
      <c r="E2581" s="18" cm="1">
        <f t="array" aca="1" ref="E2581" ca="1">INDIRECT("b"&amp;F2581+2)</f>
        <v>8.8749999999999997E+117</v>
      </c>
      <c r="F2581" s="18">
        <f t="shared" si="476"/>
        <v>3837</v>
      </c>
      <c r="G2581" s="18"/>
      <c r="H2581" s="18"/>
      <c r="I2581" s="19">
        <v>2579</v>
      </c>
      <c r="J2581" s="19" cm="1">
        <f t="array" aca="1" ref="J2581" ca="1">INDIRECT("b"&amp;K2581+2)</f>
        <v>8.8750000000000006E+147</v>
      </c>
      <c r="K2581" s="19">
        <f t="shared" si="472"/>
        <v>5037</v>
      </c>
    </row>
    <row r="2582" spans="1:11">
      <c r="A2582">
        <v>2580</v>
      </c>
      <c r="B2582">
        <v>5.0500000000000003E+86</v>
      </c>
      <c r="D2582" s="18">
        <v>2580</v>
      </c>
      <c r="E2582" s="18" cm="1">
        <f t="array" aca="1" ref="E2582" ca="1">INDIRECT("b"&amp;F2582+2)</f>
        <v>9.1000000000000003E+117</v>
      </c>
      <c r="F2582" s="18">
        <f t="shared" si="476"/>
        <v>3838</v>
      </c>
      <c r="G2582" s="18"/>
      <c r="H2582" s="18"/>
      <c r="I2582" s="19">
        <v>2580</v>
      </c>
      <c r="J2582" s="19" cm="1">
        <f t="array" aca="1" ref="J2582" ca="1">INDIRECT("b"&amp;K2582+2)</f>
        <v>9.1000000000000006E+147</v>
      </c>
      <c r="K2582" s="19">
        <f t="shared" si="472"/>
        <v>5038</v>
      </c>
    </row>
    <row r="2583" spans="1:11">
      <c r="A2583">
        <v>2581</v>
      </c>
      <c r="B2583">
        <v>5.2750000000000002E+86</v>
      </c>
      <c r="D2583" s="18">
        <v>2581</v>
      </c>
      <c r="E2583" s="18" cm="1">
        <f t="array" aca="1" ref="E2583" ca="1">INDIRECT("b"&amp;F2583+2)</f>
        <v>9.5499999999999994E+117</v>
      </c>
      <c r="F2583" s="18">
        <f t="shared" si="476"/>
        <v>3840</v>
      </c>
      <c r="G2583" s="18"/>
      <c r="H2583" s="18"/>
      <c r="I2583" s="19">
        <v>2581</v>
      </c>
      <c r="J2583" s="19" cm="1">
        <f t="array" aca="1" ref="J2583" ca="1">INDIRECT("b"&amp;K2583+2)</f>
        <v>9.5500000000000006E+147</v>
      </c>
      <c r="K2583" s="19">
        <f t="shared" si="472"/>
        <v>5040</v>
      </c>
    </row>
    <row r="2584" spans="1:11">
      <c r="A2584">
        <v>2582</v>
      </c>
      <c r="B2584">
        <v>5.5000000000000002E+86</v>
      </c>
      <c r="D2584" s="18">
        <v>2582</v>
      </c>
      <c r="E2584" s="18" cm="1">
        <f t="array" aca="1" ref="E2584" ca="1">INDIRECT("b"&amp;F2584+2)</f>
        <v>9.7750000000000001E+117</v>
      </c>
      <c r="F2584" s="18">
        <f t="shared" si="476"/>
        <v>3841</v>
      </c>
      <c r="G2584" s="18">
        <f t="shared" ref="G2584" ca="1" si="478">E2584/E2579</f>
        <v>1.1920731707317074</v>
      </c>
      <c r="H2584" s="18"/>
      <c r="I2584" s="19">
        <v>2582</v>
      </c>
      <c r="J2584" s="19" cm="1">
        <f t="array" aca="1" ref="J2584" ca="1">INDIRECT("b"&amp;K2584+2)</f>
        <v>9.7750000000000005E+147</v>
      </c>
      <c r="K2584" s="19">
        <f t="shared" si="472"/>
        <v>5041</v>
      </c>
    </row>
    <row r="2585" spans="1:11">
      <c r="A2585">
        <v>2583</v>
      </c>
      <c r="B2585">
        <v>5.7250000000000002E+86</v>
      </c>
      <c r="D2585" s="18">
        <v>2583</v>
      </c>
      <c r="E2585" s="18" cm="1">
        <f t="array" aca="1" ref="E2585" ca="1">INDIRECT("b"&amp;F2585+2)</f>
        <v>1.0000000000000001E+118</v>
      </c>
      <c r="F2585" s="18">
        <f t="shared" si="476"/>
        <v>3842</v>
      </c>
      <c r="G2585" s="18"/>
      <c r="H2585" s="18"/>
      <c r="I2585" s="19">
        <v>2583</v>
      </c>
      <c r="J2585" s="19" cm="1">
        <f t="array" aca="1" ref="J2585" ca="1">INDIRECT("b"&amp;K2585+2)</f>
        <v>1E+148</v>
      </c>
      <c r="K2585" s="19">
        <f t="shared" si="472"/>
        <v>5042</v>
      </c>
    </row>
    <row r="2586" spans="1:11">
      <c r="A2586">
        <v>2584</v>
      </c>
      <c r="B2586">
        <v>5.9500000000000002E+86</v>
      </c>
      <c r="D2586" s="18">
        <v>2584</v>
      </c>
      <c r="E2586" s="18" cm="1">
        <f t="array" aca="1" ref="E2586" ca="1">INDIRECT("b"&amp;F2586+2)</f>
        <v>1.4500000000000001E+118</v>
      </c>
      <c r="F2586" s="18">
        <f t="shared" si="476"/>
        <v>3844</v>
      </c>
      <c r="G2586" s="18"/>
      <c r="H2586" s="18"/>
      <c r="I2586" s="19">
        <v>2584</v>
      </c>
      <c r="J2586" s="19" cm="1">
        <f t="array" aca="1" ref="J2586" ca="1">INDIRECT("b"&amp;K2586+2)</f>
        <v>1.45E+148</v>
      </c>
      <c r="K2586" s="19">
        <f t="shared" si="472"/>
        <v>5044</v>
      </c>
    </row>
    <row r="2587" spans="1:11">
      <c r="A2587">
        <v>2585</v>
      </c>
      <c r="B2587">
        <v>6.1750000000000001E+86</v>
      </c>
      <c r="D2587" s="18">
        <v>2585</v>
      </c>
      <c r="E2587" s="18" cm="1">
        <f t="array" aca="1" ref="E2587" ca="1">INDIRECT("b"&amp;F2587+2)</f>
        <v>1.6750000000000001E+118</v>
      </c>
      <c r="F2587" s="18">
        <f t="shared" si="476"/>
        <v>3845</v>
      </c>
      <c r="G2587" s="18"/>
      <c r="H2587" s="18"/>
      <c r="I2587" s="19">
        <v>2585</v>
      </c>
      <c r="J2587" s="19" cm="1">
        <f t="array" aca="1" ref="J2587" ca="1">INDIRECT("b"&amp;K2587+2)</f>
        <v>1.6750000000000002E+148</v>
      </c>
      <c r="K2587" s="19">
        <f t="shared" si="472"/>
        <v>5045</v>
      </c>
    </row>
    <row r="2588" spans="1:11">
      <c r="A2588">
        <v>2586</v>
      </c>
      <c r="B2588">
        <v>6.4000000000000001E+86</v>
      </c>
      <c r="D2588" s="18">
        <v>2586</v>
      </c>
      <c r="E2588" s="18" cm="1">
        <f t="array" aca="1" ref="E2588" ca="1">INDIRECT("b"&amp;F2588+2)</f>
        <v>1.9000000000000001E+118</v>
      </c>
      <c r="F2588" s="18">
        <f t="shared" si="476"/>
        <v>3846</v>
      </c>
      <c r="G2588" s="18"/>
      <c r="H2588" s="18"/>
      <c r="I2588" s="19">
        <v>2586</v>
      </c>
      <c r="J2588" s="19" cm="1">
        <f t="array" aca="1" ref="J2588" ca="1">INDIRECT("b"&amp;K2588+2)</f>
        <v>1.9000000000000002E+148</v>
      </c>
      <c r="K2588" s="19">
        <f t="shared" si="472"/>
        <v>5046</v>
      </c>
    </row>
    <row r="2589" spans="1:11">
      <c r="A2589">
        <v>2587</v>
      </c>
      <c r="B2589">
        <v>6.6250000000000001E+86</v>
      </c>
      <c r="D2589" s="18">
        <v>2587</v>
      </c>
      <c r="E2589" s="18" cm="1">
        <f t="array" aca="1" ref="E2589" ca="1">INDIRECT("b"&amp;F2589+2)</f>
        <v>2.3499999999999999E+118</v>
      </c>
      <c r="F2589" s="18">
        <f t="shared" si="476"/>
        <v>3848</v>
      </c>
      <c r="G2589" s="18">
        <f t="shared" ref="G2589" ca="1" si="479">E2589/E2584</f>
        <v>2.4040920716112528</v>
      </c>
      <c r="H2589" s="18"/>
      <c r="I2589" s="19">
        <v>2587</v>
      </c>
      <c r="J2589" s="19" cm="1">
        <f t="array" aca="1" ref="J2589" ca="1">INDIRECT("b"&amp;K2589+2)</f>
        <v>2.3500000000000001E+148</v>
      </c>
      <c r="K2589" s="19">
        <f t="shared" si="472"/>
        <v>5048</v>
      </c>
    </row>
    <row r="2590" spans="1:11">
      <c r="A2590">
        <v>2588</v>
      </c>
      <c r="B2590">
        <v>6.85E+86</v>
      </c>
      <c r="D2590" s="18">
        <v>2588</v>
      </c>
      <c r="E2590" s="18" cm="1">
        <f t="array" aca="1" ref="E2590" ca="1">INDIRECT("b"&amp;F2590+2)</f>
        <v>2.5750000000000001E+118</v>
      </c>
      <c r="F2590" s="18">
        <f t="shared" si="476"/>
        <v>3849</v>
      </c>
      <c r="G2590" s="18"/>
      <c r="H2590" s="18"/>
      <c r="I2590" s="19">
        <v>2588</v>
      </c>
      <c r="J2590" s="19" cm="1">
        <f t="array" aca="1" ref="J2590" ca="1">INDIRECT("b"&amp;K2590+2)</f>
        <v>2.5750000000000004E+148</v>
      </c>
      <c r="K2590" s="19">
        <f t="shared" si="472"/>
        <v>5049</v>
      </c>
    </row>
    <row r="2591" spans="1:11">
      <c r="A2591">
        <v>2589</v>
      </c>
      <c r="B2591">
        <v>7.075E+86</v>
      </c>
      <c r="D2591" s="18">
        <v>2589</v>
      </c>
      <c r="E2591" s="18" cm="1">
        <f t="array" aca="1" ref="E2591" ca="1">INDIRECT("b"&amp;F2591+2)</f>
        <v>2.7999999999999999E+118</v>
      </c>
      <c r="F2591" s="18">
        <f t="shared" si="476"/>
        <v>3850</v>
      </c>
      <c r="G2591" s="18"/>
      <c r="H2591" s="18"/>
      <c r="I2591" s="19">
        <v>2589</v>
      </c>
      <c r="J2591" s="19" cm="1">
        <f t="array" aca="1" ref="J2591" ca="1">INDIRECT("b"&amp;K2591+2)</f>
        <v>2.8000000000000004E+148</v>
      </c>
      <c r="K2591" s="19">
        <f t="shared" si="472"/>
        <v>5050</v>
      </c>
    </row>
    <row r="2592" spans="1:11">
      <c r="A2592">
        <v>2590</v>
      </c>
      <c r="B2592">
        <v>7.3E+86</v>
      </c>
      <c r="D2592" s="18">
        <v>2590</v>
      </c>
      <c r="E2592" s="18" cm="1">
        <f t="array" aca="1" ref="E2592" ca="1">INDIRECT("b"&amp;F2592+2)</f>
        <v>3.2499999999999999E+118</v>
      </c>
      <c r="F2592" s="18">
        <f t="shared" si="476"/>
        <v>3852</v>
      </c>
      <c r="G2592" s="18"/>
      <c r="H2592" s="18"/>
      <c r="I2592" s="19">
        <v>2590</v>
      </c>
      <c r="J2592" s="19" cm="1">
        <f t="array" aca="1" ref="J2592" ca="1">INDIRECT("b"&amp;K2592+2)</f>
        <v>3.2500000000000003E+148</v>
      </c>
      <c r="K2592" s="19">
        <f t="shared" si="472"/>
        <v>5052</v>
      </c>
    </row>
    <row r="2593" spans="1:11">
      <c r="A2593">
        <v>2591</v>
      </c>
      <c r="B2593">
        <v>7.5249999999999999E+86</v>
      </c>
      <c r="D2593" s="18">
        <v>2591</v>
      </c>
      <c r="E2593" s="18" cm="1">
        <f t="array" aca="1" ref="E2593" ca="1">INDIRECT("b"&amp;F2593+2)</f>
        <v>3.4750000000000001E+118</v>
      </c>
      <c r="F2593" s="18">
        <f t="shared" si="476"/>
        <v>3853</v>
      </c>
      <c r="G2593" s="18"/>
      <c r="H2593" s="18"/>
      <c r="I2593" s="19">
        <v>2591</v>
      </c>
      <c r="J2593" s="19" cm="1">
        <f t="array" aca="1" ref="J2593" ca="1">INDIRECT("b"&amp;K2593+2)</f>
        <v>3.4750000000000003E+148</v>
      </c>
      <c r="K2593" s="19">
        <f t="shared" si="472"/>
        <v>5053</v>
      </c>
    </row>
    <row r="2594" spans="1:11">
      <c r="A2594">
        <v>2592</v>
      </c>
      <c r="B2594">
        <v>7.7499999999999999E+86</v>
      </c>
      <c r="D2594" s="18">
        <v>2592</v>
      </c>
      <c r="E2594" s="18" cm="1">
        <f t="array" aca="1" ref="E2594" ca="1">INDIRECT("b"&amp;F2594+2)</f>
        <v>3.6999999999999999E+118</v>
      </c>
      <c r="F2594" s="18">
        <f t="shared" si="476"/>
        <v>3854</v>
      </c>
      <c r="G2594" s="18">
        <f t="shared" ref="G2594" ca="1" si="480">E2594/E2589</f>
        <v>1.574468085106383</v>
      </c>
      <c r="H2594" s="18"/>
      <c r="I2594" s="19">
        <v>2592</v>
      </c>
      <c r="J2594" s="19" cm="1">
        <f t="array" aca="1" ref="J2594" ca="1">INDIRECT("b"&amp;K2594+2)</f>
        <v>3.7000000000000002E+148</v>
      </c>
      <c r="K2594" s="19">
        <f t="shared" si="472"/>
        <v>5054</v>
      </c>
    </row>
    <row r="2595" spans="1:11">
      <c r="A2595">
        <v>2593</v>
      </c>
      <c r="B2595">
        <v>7.9749999999999999E+86</v>
      </c>
      <c r="D2595" s="18">
        <v>2593</v>
      </c>
      <c r="E2595" s="18" cm="1">
        <f t="array" aca="1" ref="E2595" ca="1">INDIRECT("b"&amp;F2595+2)</f>
        <v>4.1499999999999999E+118</v>
      </c>
      <c r="F2595" s="18">
        <f t="shared" si="476"/>
        <v>3856</v>
      </c>
      <c r="G2595" s="18"/>
      <c r="H2595" s="18"/>
      <c r="I2595" s="19">
        <v>2593</v>
      </c>
      <c r="J2595" s="19" cm="1">
        <f t="array" aca="1" ref="J2595" ca="1">INDIRECT("b"&amp;K2595+2)</f>
        <v>4.1500000000000002E+148</v>
      </c>
      <c r="K2595" s="19">
        <f t="shared" si="472"/>
        <v>5056</v>
      </c>
    </row>
    <row r="2596" spans="1:11">
      <c r="A2596">
        <v>2594</v>
      </c>
      <c r="B2596">
        <v>8.1999999999999998E+86</v>
      </c>
      <c r="D2596" s="18">
        <v>2594</v>
      </c>
      <c r="E2596" s="18" cm="1">
        <f t="array" aca="1" ref="E2596" ca="1">INDIRECT("b"&amp;F2596+2)</f>
        <v>4.3750000000000001E+118</v>
      </c>
      <c r="F2596" s="18">
        <f t="shared" si="476"/>
        <v>3857</v>
      </c>
      <c r="G2596" s="18"/>
      <c r="H2596" s="18"/>
      <c r="I2596" s="19">
        <v>2594</v>
      </c>
      <c r="J2596" s="19" cm="1">
        <f t="array" aca="1" ref="J2596" ca="1">INDIRECT("b"&amp;K2596+2)</f>
        <v>4.3750000000000001E+148</v>
      </c>
      <c r="K2596" s="19">
        <f t="shared" si="472"/>
        <v>5057</v>
      </c>
    </row>
    <row r="2597" spans="1:11">
      <c r="A2597">
        <v>2595</v>
      </c>
      <c r="B2597">
        <v>8.4249999999999998E+86</v>
      </c>
      <c r="D2597" s="18">
        <v>2595</v>
      </c>
      <c r="E2597" s="18" cm="1">
        <f t="array" aca="1" ref="E2597" ca="1">INDIRECT("b"&amp;F2597+2)</f>
        <v>4.6000000000000003E+118</v>
      </c>
      <c r="F2597" s="18">
        <f t="shared" si="476"/>
        <v>3858</v>
      </c>
      <c r="G2597" s="18"/>
      <c r="H2597" s="18"/>
      <c r="I2597" s="19">
        <v>2595</v>
      </c>
      <c r="J2597" s="19" cm="1">
        <f t="array" aca="1" ref="J2597" ca="1">INDIRECT("b"&amp;K2597+2)</f>
        <v>4.6000000000000001E+148</v>
      </c>
      <c r="K2597" s="19">
        <f t="shared" si="472"/>
        <v>5058</v>
      </c>
    </row>
    <row r="2598" spans="1:11">
      <c r="A2598">
        <v>2596</v>
      </c>
      <c r="B2598">
        <v>8.6499999999999998E+86</v>
      </c>
      <c r="D2598" s="18">
        <v>2596</v>
      </c>
      <c r="E2598" s="18" cm="1">
        <f t="array" aca="1" ref="E2598" ca="1">INDIRECT("b"&amp;F2598+2)</f>
        <v>5.0499999999999999E+118</v>
      </c>
      <c r="F2598" s="18">
        <f t="shared" si="476"/>
        <v>3860</v>
      </c>
      <c r="G2598" s="18"/>
      <c r="H2598" s="18"/>
      <c r="I2598" s="19">
        <v>2596</v>
      </c>
      <c r="J2598" s="19" cm="1">
        <f t="array" aca="1" ref="J2598" ca="1">INDIRECT("b"&amp;K2598+2)</f>
        <v>5.05E+148</v>
      </c>
      <c r="K2598" s="19">
        <f t="shared" si="472"/>
        <v>5060</v>
      </c>
    </row>
    <row r="2599" spans="1:11">
      <c r="A2599">
        <v>2597</v>
      </c>
      <c r="B2599">
        <v>8.8749999999999998E+86</v>
      </c>
      <c r="D2599" s="18">
        <v>2597</v>
      </c>
      <c r="E2599" s="18" cm="1">
        <f t="array" aca="1" ref="E2599" ca="1">INDIRECT("b"&amp;F2599+2)</f>
        <v>5.2750000000000001E+118</v>
      </c>
      <c r="F2599" s="18">
        <f t="shared" si="476"/>
        <v>3861</v>
      </c>
      <c r="G2599" s="18">
        <f t="shared" ref="G2599" ca="1" si="481">E2599/E2594</f>
        <v>1.4256756756756757</v>
      </c>
      <c r="H2599" s="18"/>
      <c r="I2599" s="19">
        <v>2597</v>
      </c>
      <c r="J2599" s="19" cm="1">
        <f t="array" aca="1" ref="J2599" ca="1">INDIRECT("b"&amp;K2599+2)</f>
        <v>5.2750000000000006E+148</v>
      </c>
      <c r="K2599" s="19">
        <f t="shared" si="472"/>
        <v>5061</v>
      </c>
    </row>
    <row r="2600" spans="1:11">
      <c r="A2600">
        <v>2598</v>
      </c>
      <c r="B2600">
        <v>9.0999999999999997E+86</v>
      </c>
      <c r="D2600" s="18">
        <v>2598</v>
      </c>
      <c r="E2600" s="18" cm="1">
        <f t="array" aca="1" ref="E2600" ca="1">INDIRECT("b"&amp;F2600+2)</f>
        <v>5.5000000000000003E+118</v>
      </c>
      <c r="F2600" s="18">
        <f t="shared" si="476"/>
        <v>3862</v>
      </c>
      <c r="G2600" s="18"/>
      <c r="H2600" s="18"/>
      <c r="I2600" s="19">
        <v>2598</v>
      </c>
      <c r="J2600" s="19" cm="1">
        <f t="array" aca="1" ref="J2600" ca="1">INDIRECT("b"&amp;K2600+2)</f>
        <v>5.5E+148</v>
      </c>
      <c r="K2600" s="19">
        <f t="shared" si="472"/>
        <v>5062</v>
      </c>
    </row>
    <row r="2601" spans="1:11">
      <c r="A2601">
        <v>2599</v>
      </c>
      <c r="B2601">
        <v>9.3249999999999997E+86</v>
      </c>
      <c r="D2601" s="18">
        <v>2599</v>
      </c>
      <c r="E2601" s="18" cm="1">
        <f t="array" aca="1" ref="E2601" ca="1">INDIRECT("b"&amp;F2601+2)</f>
        <v>5.9499999999999999E+118</v>
      </c>
      <c r="F2601" s="18">
        <f t="shared" si="476"/>
        <v>3864</v>
      </c>
      <c r="G2601" s="18"/>
      <c r="H2601" s="18"/>
      <c r="I2601" s="19">
        <v>2599</v>
      </c>
      <c r="J2601" s="19" cm="1">
        <f t="array" aca="1" ref="J2601" ca="1">INDIRECT("b"&amp;K2601+2)</f>
        <v>5.9499999999999999E+148</v>
      </c>
      <c r="K2601" s="19">
        <f t="shared" si="472"/>
        <v>5064</v>
      </c>
    </row>
    <row r="2602" spans="1:11">
      <c r="A2602">
        <v>2600</v>
      </c>
      <c r="B2602">
        <v>9.5499999999999997E+86</v>
      </c>
      <c r="D2602" s="18">
        <v>2600</v>
      </c>
      <c r="E2602" s="18" cm="1">
        <f t="array" aca="1" ref="E2602" ca="1">INDIRECT("b"&amp;F2602+2)</f>
        <v>6.1750000000000001E+118</v>
      </c>
      <c r="F2602" s="18">
        <f t="shared" si="476"/>
        <v>3865</v>
      </c>
      <c r="G2602" s="18"/>
      <c r="H2602" s="18"/>
      <c r="I2602" s="19">
        <v>2600</v>
      </c>
      <c r="J2602" s="19" cm="1">
        <f t="array" aca="1" ref="J2602" ca="1">INDIRECT("b"&amp;K2602+2)</f>
        <v>6.1750000000000005E+148</v>
      </c>
      <c r="K2602" s="19">
        <f t="shared" si="472"/>
        <v>5065</v>
      </c>
    </row>
    <row r="2603" spans="1:11">
      <c r="A2603">
        <v>2601</v>
      </c>
      <c r="B2603">
        <v>9.7749999999999996E+86</v>
      </c>
      <c r="D2603" s="18">
        <v>2601</v>
      </c>
      <c r="E2603" s="18" cm="1">
        <f t="array" aca="1" ref="E2603" ca="1">INDIRECT("b"&amp;F2603+2)</f>
        <v>6.4000000000000003E+118</v>
      </c>
      <c r="F2603" s="18">
        <f t="shared" si="476"/>
        <v>3866</v>
      </c>
      <c r="G2603" s="18"/>
      <c r="H2603" s="18"/>
      <c r="I2603" s="19">
        <v>2601</v>
      </c>
      <c r="J2603" s="19" cm="1">
        <f t="array" aca="1" ref="J2603" ca="1">INDIRECT("b"&amp;K2603+2)</f>
        <v>6.3999999999999999E+148</v>
      </c>
      <c r="K2603" s="19">
        <f t="shared" si="472"/>
        <v>5066</v>
      </c>
    </row>
    <row r="2604" spans="1:11">
      <c r="A2604">
        <v>2602</v>
      </c>
      <c r="B2604">
        <v>9.9999999999999996E+86</v>
      </c>
      <c r="D2604" s="18">
        <v>2602</v>
      </c>
      <c r="E2604" s="18" cm="1">
        <f t="array" aca="1" ref="E2604" ca="1">INDIRECT("b"&amp;F2604+2)</f>
        <v>6.8499999999999999E+118</v>
      </c>
      <c r="F2604" s="18">
        <f t="shared" si="476"/>
        <v>3868</v>
      </c>
      <c r="G2604" s="18">
        <f t="shared" ref="G2604" ca="1" si="482">E2604/E2599</f>
        <v>1.2985781990521326</v>
      </c>
      <c r="H2604" s="18"/>
      <c r="I2604" s="19">
        <v>2602</v>
      </c>
      <c r="J2604" s="19" cm="1">
        <f t="array" aca="1" ref="J2604" ca="1">INDIRECT("b"&amp;K2604+2)</f>
        <v>6.8500000000000009E+148</v>
      </c>
      <c r="K2604" s="19">
        <f t="shared" si="472"/>
        <v>5068</v>
      </c>
    </row>
    <row r="2605" spans="1:11">
      <c r="A2605">
        <v>2603</v>
      </c>
      <c r="B2605">
        <v>1.2249999999999999E+87</v>
      </c>
      <c r="D2605" s="18">
        <v>2603</v>
      </c>
      <c r="E2605" s="18" cm="1">
        <f t="array" aca="1" ref="E2605" ca="1">INDIRECT("b"&amp;F2605+2)</f>
        <v>7.0750000000000001E+118</v>
      </c>
      <c r="F2605" s="18">
        <f t="shared" si="476"/>
        <v>3869</v>
      </c>
      <c r="G2605" s="18"/>
      <c r="H2605" s="18"/>
      <c r="I2605" s="19">
        <v>2603</v>
      </c>
      <c r="J2605" s="19" cm="1">
        <f t="array" aca="1" ref="J2605" ca="1">INDIRECT("b"&amp;K2605+2)</f>
        <v>7.0750000000000003E+148</v>
      </c>
      <c r="K2605" s="19">
        <f t="shared" si="472"/>
        <v>5069</v>
      </c>
    </row>
    <row r="2606" spans="1:11">
      <c r="A2606">
        <v>2604</v>
      </c>
      <c r="B2606">
        <v>1.4499999999999999E+87</v>
      </c>
      <c r="D2606" s="18">
        <v>2604</v>
      </c>
      <c r="E2606" s="18" cm="1">
        <f t="array" aca="1" ref="E2606" ca="1">INDIRECT("b"&amp;F2606+2)</f>
        <v>7.3000000000000003E+118</v>
      </c>
      <c r="F2606" s="18">
        <f t="shared" si="476"/>
        <v>3870</v>
      </c>
      <c r="G2606" s="18"/>
      <c r="H2606" s="18"/>
      <c r="I2606" s="19">
        <v>2604</v>
      </c>
      <c r="J2606" s="19" cm="1">
        <f t="array" aca="1" ref="J2606" ca="1">INDIRECT("b"&amp;K2606+2)</f>
        <v>7.3000000000000009E+148</v>
      </c>
      <c r="K2606" s="19">
        <f t="shared" si="472"/>
        <v>5070</v>
      </c>
    </row>
    <row r="2607" spans="1:11">
      <c r="A2607">
        <v>2605</v>
      </c>
      <c r="B2607">
        <v>1.6749999999999999E+87</v>
      </c>
      <c r="D2607" s="18">
        <v>2605</v>
      </c>
      <c r="E2607" s="18" cm="1">
        <f t="array" aca="1" ref="E2607" ca="1">INDIRECT("b"&amp;F2607+2)</f>
        <v>7.7499999999999999E+118</v>
      </c>
      <c r="F2607" s="18">
        <f t="shared" si="476"/>
        <v>3872</v>
      </c>
      <c r="G2607" s="18"/>
      <c r="H2607" s="18"/>
      <c r="I2607" s="19">
        <v>2605</v>
      </c>
      <c r="J2607" s="19" cm="1">
        <f t="array" aca="1" ref="J2607" ca="1">INDIRECT("b"&amp;K2607+2)</f>
        <v>7.7500000000000008E+148</v>
      </c>
      <c r="K2607" s="19">
        <f t="shared" si="472"/>
        <v>5072</v>
      </c>
    </row>
    <row r="2608" spans="1:11">
      <c r="A2608">
        <v>2606</v>
      </c>
      <c r="B2608">
        <v>1.8999999999999998E+87</v>
      </c>
      <c r="D2608" s="18">
        <v>2606</v>
      </c>
      <c r="E2608" s="18" cm="1">
        <f t="array" aca="1" ref="E2608" ca="1">INDIRECT("b"&amp;F2608+2)</f>
        <v>7.9750000000000001E+118</v>
      </c>
      <c r="F2608" s="18">
        <f t="shared" si="476"/>
        <v>3873</v>
      </c>
      <c r="G2608" s="18"/>
      <c r="H2608" s="18"/>
      <c r="I2608" s="19">
        <v>2606</v>
      </c>
      <c r="J2608" s="19" cm="1">
        <f t="array" aca="1" ref="J2608" ca="1">INDIRECT("b"&amp;K2608+2)</f>
        <v>7.9750000000000002E+148</v>
      </c>
      <c r="K2608" s="19">
        <f t="shared" si="472"/>
        <v>5073</v>
      </c>
    </row>
    <row r="2609" spans="1:11">
      <c r="A2609">
        <v>2607</v>
      </c>
      <c r="B2609">
        <v>2.125E+87</v>
      </c>
      <c r="D2609" s="18">
        <v>2607</v>
      </c>
      <c r="E2609" s="18" cm="1">
        <f t="array" aca="1" ref="E2609" ca="1">INDIRECT("b"&amp;F2609+2)</f>
        <v>8.1999999999999994E+118</v>
      </c>
      <c r="F2609" s="18">
        <f t="shared" si="476"/>
        <v>3874</v>
      </c>
      <c r="G2609" s="18">
        <f t="shared" ref="G2609" ca="1" si="483">E2609/E2604</f>
        <v>1.1970802919708028</v>
      </c>
      <c r="H2609" s="18"/>
      <c r="I2609" s="19">
        <v>2607</v>
      </c>
      <c r="J2609" s="19" cm="1">
        <f t="array" aca="1" ref="J2609" ca="1">INDIRECT("b"&amp;K2609+2)</f>
        <v>8.2000000000000007E+148</v>
      </c>
      <c r="K2609" s="19">
        <f t="shared" si="472"/>
        <v>5074</v>
      </c>
    </row>
    <row r="2610" spans="1:11">
      <c r="A2610">
        <v>2608</v>
      </c>
      <c r="B2610">
        <v>2.3499999999999998E+87</v>
      </c>
      <c r="D2610" s="18">
        <v>2608</v>
      </c>
      <c r="E2610" s="18" cm="1">
        <f t="array" aca="1" ref="E2610" ca="1">INDIRECT("b"&amp;F2610+2)</f>
        <v>8.6499999999999999E+118</v>
      </c>
      <c r="F2610" s="18">
        <f t="shared" si="476"/>
        <v>3876</v>
      </c>
      <c r="G2610" s="18"/>
      <c r="H2610" s="18"/>
      <c r="I2610" s="19">
        <v>2608</v>
      </c>
      <c r="J2610" s="19" cm="1">
        <f t="array" aca="1" ref="J2610" ca="1">INDIRECT("b"&amp;K2610+2)</f>
        <v>8.6500000000000007E+148</v>
      </c>
      <c r="K2610" s="19">
        <f t="shared" si="472"/>
        <v>5076</v>
      </c>
    </row>
    <row r="2611" spans="1:11">
      <c r="A2611">
        <v>2609</v>
      </c>
      <c r="B2611">
        <v>2.575E+87</v>
      </c>
      <c r="D2611" s="18">
        <v>2609</v>
      </c>
      <c r="E2611" s="18" cm="1">
        <f t="array" aca="1" ref="E2611" ca="1">INDIRECT("b"&amp;F2611+2)</f>
        <v>8.875000000000001E+118</v>
      </c>
      <c r="F2611" s="18">
        <f t="shared" si="476"/>
        <v>3877</v>
      </c>
      <c r="G2611" s="18"/>
      <c r="H2611" s="18"/>
      <c r="I2611" s="19">
        <v>2609</v>
      </c>
      <c r="J2611" s="19" cm="1">
        <f t="array" aca="1" ref="J2611" ca="1">INDIRECT("b"&amp;K2611+2)</f>
        <v>8.8750000000000001E+148</v>
      </c>
      <c r="K2611" s="19">
        <f t="shared" si="472"/>
        <v>5077</v>
      </c>
    </row>
    <row r="2612" spans="1:11">
      <c r="A2612">
        <v>2610</v>
      </c>
      <c r="B2612">
        <v>2.7999999999999997E+87</v>
      </c>
      <c r="D2612" s="18">
        <v>2610</v>
      </c>
      <c r="E2612" s="18" cm="1">
        <f t="array" aca="1" ref="E2612" ca="1">INDIRECT("b"&amp;F2612+2)</f>
        <v>9.1000000000000003E+118</v>
      </c>
      <c r="F2612" s="18">
        <f t="shared" si="476"/>
        <v>3878</v>
      </c>
      <c r="G2612" s="18"/>
      <c r="H2612" s="18"/>
      <c r="I2612" s="19">
        <v>2610</v>
      </c>
      <c r="J2612" s="19" cm="1">
        <f t="array" aca="1" ref="J2612" ca="1">INDIRECT("b"&amp;K2612+2)</f>
        <v>9.1000000000000006E+148</v>
      </c>
      <c r="K2612" s="19">
        <f t="shared" si="472"/>
        <v>5078</v>
      </c>
    </row>
    <row r="2613" spans="1:11">
      <c r="A2613">
        <v>2611</v>
      </c>
      <c r="B2613">
        <v>3.0249999999999999E+87</v>
      </c>
      <c r="D2613" s="18">
        <v>2611</v>
      </c>
      <c r="E2613" s="18" cm="1">
        <f t="array" aca="1" ref="E2613" ca="1">INDIRECT("b"&amp;F2613+2)</f>
        <v>9.5500000000000008E+118</v>
      </c>
      <c r="F2613" s="18">
        <f t="shared" si="476"/>
        <v>3880</v>
      </c>
      <c r="G2613" s="18"/>
      <c r="H2613" s="18"/>
      <c r="I2613" s="19">
        <v>2611</v>
      </c>
      <c r="J2613" s="19" cm="1">
        <f t="array" aca="1" ref="J2613" ca="1">INDIRECT("b"&amp;K2613+2)</f>
        <v>9.5500000000000006E+148</v>
      </c>
      <c r="K2613" s="19">
        <f t="shared" si="472"/>
        <v>5080</v>
      </c>
    </row>
    <row r="2614" spans="1:11">
      <c r="A2614">
        <v>2612</v>
      </c>
      <c r="B2614">
        <v>3.2500000000000001E+87</v>
      </c>
      <c r="D2614" s="18">
        <v>2612</v>
      </c>
      <c r="E2614" s="18" cm="1">
        <f t="array" aca="1" ref="E2614" ca="1">INDIRECT("b"&amp;F2614+2)</f>
        <v>9.7750000000000001E+118</v>
      </c>
      <c r="F2614" s="18">
        <f t="shared" si="476"/>
        <v>3881</v>
      </c>
      <c r="G2614" s="18">
        <f t="shared" ref="G2614" ca="1" si="484">E2614/E2609</f>
        <v>1.1920731707317074</v>
      </c>
      <c r="H2614" s="18"/>
      <c r="I2614" s="19">
        <v>2612</v>
      </c>
      <c r="J2614" s="19" cm="1">
        <f t="array" aca="1" ref="J2614" ca="1">INDIRECT("b"&amp;K2614+2)</f>
        <v>9.7750000000000011E+148</v>
      </c>
      <c r="K2614" s="19">
        <f t="shared" si="472"/>
        <v>5081</v>
      </c>
    </row>
    <row r="2615" spans="1:11">
      <c r="A2615">
        <v>2613</v>
      </c>
      <c r="B2615">
        <v>3.4749999999999998E+87</v>
      </c>
      <c r="D2615" s="18">
        <v>2613</v>
      </c>
      <c r="E2615" s="18" cm="1">
        <f t="array" aca="1" ref="E2615" ca="1">INDIRECT("b"&amp;F2615+2)</f>
        <v>9.9999999999999994E+118</v>
      </c>
      <c r="F2615" s="18">
        <f t="shared" si="476"/>
        <v>3882</v>
      </c>
      <c r="G2615" s="18"/>
      <c r="H2615" s="18"/>
      <c r="I2615" s="19">
        <v>2613</v>
      </c>
      <c r="J2615" s="19" cm="1">
        <f t="array" aca="1" ref="J2615" ca="1">INDIRECT("b"&amp;K2615+2)</f>
        <v>1E+149</v>
      </c>
      <c r="K2615" s="19">
        <f t="shared" si="472"/>
        <v>5082</v>
      </c>
    </row>
    <row r="2616" spans="1:11">
      <c r="A2616">
        <v>2614</v>
      </c>
      <c r="B2616">
        <v>3.7E+87</v>
      </c>
      <c r="D2616" s="18">
        <v>2614</v>
      </c>
      <c r="E2616" s="18" cm="1">
        <f t="array" aca="1" ref="E2616" ca="1">INDIRECT("b"&amp;F2616+2)</f>
        <v>1.4499999999999999E+119</v>
      </c>
      <c r="F2616" s="18">
        <f t="shared" si="476"/>
        <v>3884</v>
      </c>
      <c r="G2616" s="18"/>
      <c r="H2616" s="18"/>
      <c r="I2616" s="19">
        <v>2614</v>
      </c>
      <c r="J2616" s="19" cm="1">
        <f t="array" aca="1" ref="J2616" ca="1">INDIRECT("b"&amp;K2616+2)</f>
        <v>1.4500000000000001E+149</v>
      </c>
      <c r="K2616" s="19">
        <f t="shared" si="472"/>
        <v>5084</v>
      </c>
    </row>
    <row r="2617" spans="1:11">
      <c r="A2617">
        <v>2615</v>
      </c>
      <c r="B2617">
        <v>3.9249999999999998E+87</v>
      </c>
      <c r="D2617" s="18">
        <v>2615</v>
      </c>
      <c r="E2617" s="18" cm="1">
        <f t="array" aca="1" ref="E2617" ca="1">INDIRECT("b"&amp;F2617+2)</f>
        <v>1.6749999999999999E+119</v>
      </c>
      <c r="F2617" s="18">
        <f t="shared" si="476"/>
        <v>3885</v>
      </c>
      <c r="G2617" s="18"/>
      <c r="H2617" s="18"/>
      <c r="I2617" s="19">
        <v>2615</v>
      </c>
      <c r="J2617" s="19" cm="1">
        <f t="array" aca="1" ref="J2617" ca="1">INDIRECT("b"&amp;K2617+2)</f>
        <v>1.675E+149</v>
      </c>
      <c r="K2617" s="19">
        <f t="shared" si="472"/>
        <v>5085</v>
      </c>
    </row>
    <row r="2618" spans="1:11">
      <c r="A2618">
        <v>2616</v>
      </c>
      <c r="B2618">
        <v>4.15E+87</v>
      </c>
      <c r="D2618" s="18">
        <v>2616</v>
      </c>
      <c r="E2618" s="18" cm="1">
        <f t="array" aca="1" ref="E2618" ca="1">INDIRECT("b"&amp;F2618+2)</f>
        <v>1.8999999999999999E+119</v>
      </c>
      <c r="F2618" s="18">
        <f t="shared" si="476"/>
        <v>3886</v>
      </c>
      <c r="G2618" s="18"/>
      <c r="H2618" s="18"/>
      <c r="I2618" s="19">
        <v>2616</v>
      </c>
      <c r="J2618" s="19" cm="1">
        <f t="array" aca="1" ref="J2618" ca="1">INDIRECT("b"&amp;K2618+2)</f>
        <v>1.9E+149</v>
      </c>
      <c r="K2618" s="19">
        <f t="shared" si="472"/>
        <v>5086</v>
      </c>
    </row>
    <row r="2619" spans="1:11">
      <c r="A2619">
        <v>2617</v>
      </c>
      <c r="B2619">
        <v>4.3749999999999997E+87</v>
      </c>
      <c r="D2619" s="18">
        <v>2617</v>
      </c>
      <c r="E2619" s="18" cm="1">
        <f t="array" aca="1" ref="E2619" ca="1">INDIRECT("b"&amp;F2619+2)</f>
        <v>2.35E+119</v>
      </c>
      <c r="F2619" s="18">
        <f t="shared" si="476"/>
        <v>3888</v>
      </c>
      <c r="G2619" s="18">
        <f t="shared" ref="G2619" ca="1" si="485">E2619/E2614</f>
        <v>2.4040920716112533</v>
      </c>
      <c r="H2619" s="18"/>
      <c r="I2619" s="19">
        <v>2617</v>
      </c>
      <c r="J2619" s="19" cm="1">
        <f t="array" aca="1" ref="J2619" ca="1">INDIRECT("b"&amp;K2619+2)</f>
        <v>2.3500000000000002E+149</v>
      </c>
      <c r="K2619" s="19">
        <f t="shared" si="472"/>
        <v>5088</v>
      </c>
    </row>
    <row r="2620" spans="1:11">
      <c r="A2620">
        <v>2618</v>
      </c>
      <c r="B2620">
        <v>4.5999999999999995E+87</v>
      </c>
      <c r="D2620" s="18">
        <v>2618</v>
      </c>
      <c r="E2620" s="18" cm="1">
        <f t="array" aca="1" ref="E2620" ca="1">INDIRECT("b"&amp;F2620+2)</f>
        <v>2.5749999999999997E+119</v>
      </c>
      <c r="F2620" s="18">
        <f t="shared" si="476"/>
        <v>3889</v>
      </c>
      <c r="G2620" s="18"/>
      <c r="H2620" s="18"/>
      <c r="I2620" s="19">
        <v>2618</v>
      </c>
      <c r="J2620" s="19" cm="1">
        <f t="array" aca="1" ref="J2620" ca="1">INDIRECT("b"&amp;K2620+2)</f>
        <v>2.5750000000000001E+149</v>
      </c>
      <c r="K2620" s="19">
        <f t="shared" si="472"/>
        <v>5089</v>
      </c>
    </row>
    <row r="2621" spans="1:11">
      <c r="A2621">
        <v>2619</v>
      </c>
      <c r="B2621">
        <v>4.8250000000000001E+87</v>
      </c>
      <c r="D2621" s="18">
        <v>2619</v>
      </c>
      <c r="E2621" s="18" cm="1">
        <f t="array" aca="1" ref="E2621" ca="1">INDIRECT("b"&amp;F2621+2)</f>
        <v>2.7999999999999998E+119</v>
      </c>
      <c r="F2621" s="18">
        <f t="shared" si="476"/>
        <v>3890</v>
      </c>
      <c r="G2621" s="18"/>
      <c r="H2621" s="18"/>
      <c r="I2621" s="19">
        <v>2619</v>
      </c>
      <c r="J2621" s="19" cm="1">
        <f t="array" aca="1" ref="J2621" ca="1">INDIRECT("b"&amp;K2621+2)</f>
        <v>2.7999999999999999E+149</v>
      </c>
      <c r="K2621" s="19">
        <f t="shared" si="472"/>
        <v>5090</v>
      </c>
    </row>
    <row r="2622" spans="1:11">
      <c r="A2622">
        <v>2620</v>
      </c>
      <c r="B2622">
        <v>5.0499999999999998E+87</v>
      </c>
      <c r="D2622" s="18">
        <v>2620</v>
      </c>
      <c r="E2622" s="18" cm="1">
        <f t="array" aca="1" ref="E2622" ca="1">INDIRECT("b"&amp;F2622+2)</f>
        <v>3.2499999999999999E+119</v>
      </c>
      <c r="F2622" s="18">
        <f t="shared" si="476"/>
        <v>3892</v>
      </c>
      <c r="G2622" s="18"/>
      <c r="H2622" s="18"/>
      <c r="I2622" s="19">
        <v>2620</v>
      </c>
      <c r="J2622" s="19" cm="1">
        <f t="array" aca="1" ref="J2622" ca="1">INDIRECT("b"&amp;K2622+2)</f>
        <v>3.2500000000000001E+149</v>
      </c>
      <c r="K2622" s="19">
        <f t="shared" si="472"/>
        <v>5092</v>
      </c>
    </row>
    <row r="2623" spans="1:11">
      <c r="A2623">
        <v>2621</v>
      </c>
      <c r="B2623">
        <v>5.2749999999999996E+87</v>
      </c>
      <c r="D2623" s="18">
        <v>2621</v>
      </c>
      <c r="E2623" s="18" cm="1">
        <f t="array" aca="1" ref="E2623" ca="1">INDIRECT("b"&amp;F2623+2)</f>
        <v>3.4749999999999999E+119</v>
      </c>
      <c r="F2623" s="18">
        <f t="shared" si="476"/>
        <v>3893</v>
      </c>
      <c r="G2623" s="18"/>
      <c r="H2623" s="18"/>
      <c r="I2623" s="19">
        <v>2621</v>
      </c>
      <c r="J2623" s="19" cm="1">
        <f t="array" aca="1" ref="J2623" ca="1">INDIRECT("b"&amp;K2623+2)</f>
        <v>3.4749999999999999E+149</v>
      </c>
      <c r="K2623" s="19">
        <f t="shared" si="472"/>
        <v>5093</v>
      </c>
    </row>
    <row r="2624" spans="1:11">
      <c r="A2624">
        <v>2622</v>
      </c>
      <c r="B2624">
        <v>5.5000000000000002E+87</v>
      </c>
      <c r="D2624" s="18">
        <v>2622</v>
      </c>
      <c r="E2624" s="18" cm="1">
        <f t="array" aca="1" ref="E2624" ca="1">INDIRECT("b"&amp;F2624+2)</f>
        <v>3.7E+119</v>
      </c>
      <c r="F2624" s="18">
        <f t="shared" si="476"/>
        <v>3894</v>
      </c>
      <c r="G2624" s="18">
        <f t="shared" ref="G2624" ca="1" si="486">E2624/E2619</f>
        <v>1.574468085106383</v>
      </c>
      <c r="H2624" s="18"/>
      <c r="I2624" s="19">
        <v>2622</v>
      </c>
      <c r="J2624" s="19" cm="1">
        <f t="array" aca="1" ref="J2624" ca="1">INDIRECT("b"&amp;K2624+2)</f>
        <v>3.7000000000000002E+149</v>
      </c>
      <c r="K2624" s="19">
        <f t="shared" si="472"/>
        <v>5094</v>
      </c>
    </row>
    <row r="2625" spans="1:11">
      <c r="A2625">
        <v>2623</v>
      </c>
      <c r="B2625">
        <v>5.725E+87</v>
      </c>
      <c r="D2625" s="18">
        <v>2623</v>
      </c>
      <c r="E2625" s="18" cm="1">
        <f t="array" aca="1" ref="E2625" ca="1">INDIRECT("b"&amp;F2625+2)</f>
        <v>4.15E+119</v>
      </c>
      <c r="F2625" s="18">
        <f t="shared" si="476"/>
        <v>3896</v>
      </c>
      <c r="G2625" s="18"/>
      <c r="H2625" s="18"/>
      <c r="I2625" s="19">
        <v>2623</v>
      </c>
      <c r="J2625" s="19" cm="1">
        <f t="array" aca="1" ref="J2625" ca="1">INDIRECT("b"&amp;K2625+2)</f>
        <v>4.1499999999999999E+149</v>
      </c>
      <c r="K2625" s="19">
        <f t="shared" si="472"/>
        <v>5096</v>
      </c>
    </row>
    <row r="2626" spans="1:11">
      <c r="A2626">
        <v>2624</v>
      </c>
      <c r="B2626">
        <v>5.9499999999999997E+87</v>
      </c>
      <c r="D2626" s="18">
        <v>2624</v>
      </c>
      <c r="E2626" s="18" cm="1">
        <f t="array" aca="1" ref="E2626" ca="1">INDIRECT("b"&amp;F2626+2)</f>
        <v>4.3750000000000001E+119</v>
      </c>
      <c r="F2626" s="18">
        <f t="shared" si="476"/>
        <v>3897</v>
      </c>
      <c r="G2626" s="18"/>
      <c r="H2626" s="18"/>
      <c r="I2626" s="19">
        <v>2624</v>
      </c>
      <c r="J2626" s="19" cm="1">
        <f t="array" aca="1" ref="J2626" ca="1">INDIRECT("b"&amp;K2626+2)</f>
        <v>4.3749999999999998E+149</v>
      </c>
      <c r="K2626" s="19">
        <f t="shared" si="472"/>
        <v>5097</v>
      </c>
    </row>
    <row r="2627" spans="1:11">
      <c r="A2627">
        <v>2625</v>
      </c>
      <c r="B2627">
        <v>6.1749999999999995E+87</v>
      </c>
      <c r="D2627" s="18">
        <v>2625</v>
      </c>
      <c r="E2627" s="18" cm="1">
        <f t="array" aca="1" ref="E2627" ca="1">INDIRECT("b"&amp;F2627+2)</f>
        <v>4.6000000000000001E+119</v>
      </c>
      <c r="F2627" s="18">
        <f t="shared" si="476"/>
        <v>3898</v>
      </c>
      <c r="G2627" s="18"/>
      <c r="H2627" s="18"/>
      <c r="I2627" s="19">
        <v>2625</v>
      </c>
      <c r="J2627" s="19" cm="1">
        <f t="array" aca="1" ref="J2627" ca="1">INDIRECT("b"&amp;K2627+2)</f>
        <v>4.5999999999999997E+149</v>
      </c>
      <c r="K2627" s="19">
        <f t="shared" si="472"/>
        <v>5098</v>
      </c>
    </row>
    <row r="2628" spans="1:11">
      <c r="A2628">
        <v>2626</v>
      </c>
      <c r="B2628">
        <v>6.4000000000000001E+87</v>
      </c>
      <c r="D2628" s="18">
        <v>2626</v>
      </c>
      <c r="E2628" s="18" cm="1">
        <f t="array" aca="1" ref="E2628" ca="1">INDIRECT("b"&amp;F2628+2)</f>
        <v>5.0499999999999995E+119</v>
      </c>
      <c r="F2628" s="18">
        <f t="shared" si="476"/>
        <v>3900</v>
      </c>
      <c r="G2628" s="18"/>
      <c r="H2628" s="18"/>
      <c r="I2628" s="19">
        <v>2626</v>
      </c>
      <c r="J2628" s="19" cm="1">
        <f t="array" aca="1" ref="J2628" ca="1">INDIRECT("b"&amp;K2628+2)</f>
        <v>5.0500000000000003E+149</v>
      </c>
      <c r="K2628" s="19">
        <f t="shared" ref="K2628:K2691" si="487">INT((A2628-1)*40/30+900*40/30)+400</f>
        <v>5100</v>
      </c>
    </row>
    <row r="2629" spans="1:11">
      <c r="A2629">
        <v>2627</v>
      </c>
      <c r="B2629">
        <v>6.6249999999999998E+87</v>
      </c>
      <c r="D2629" s="18">
        <v>2627</v>
      </c>
      <c r="E2629" s="18" cm="1">
        <f t="array" aca="1" ref="E2629" ca="1">INDIRECT("b"&amp;F2629+2)</f>
        <v>5.2749999999999996E+119</v>
      </c>
      <c r="F2629" s="18">
        <f t="shared" si="476"/>
        <v>3901</v>
      </c>
      <c r="G2629" s="18">
        <f t="shared" ref="G2629" ca="1" si="488">E2629/E2624</f>
        <v>1.4256756756756757</v>
      </c>
      <c r="H2629" s="18"/>
      <c r="I2629" s="19">
        <v>2627</v>
      </c>
      <c r="J2629" s="19" cm="1">
        <f t="array" aca="1" ref="J2629" ca="1">INDIRECT("b"&amp;K2629+2)</f>
        <v>5.2750000000000001E+149</v>
      </c>
      <c r="K2629" s="19">
        <f t="shared" si="487"/>
        <v>5101</v>
      </c>
    </row>
    <row r="2630" spans="1:11">
      <c r="A2630">
        <v>2628</v>
      </c>
      <c r="B2630">
        <v>6.8499999999999996E+87</v>
      </c>
      <c r="D2630" s="18">
        <v>2628</v>
      </c>
      <c r="E2630" s="18" cm="1">
        <f t="array" aca="1" ref="E2630" ca="1">INDIRECT("b"&amp;F2630+2)</f>
        <v>5.4999999999999996E+119</v>
      </c>
      <c r="F2630" s="18">
        <f t="shared" si="476"/>
        <v>3902</v>
      </c>
      <c r="G2630" s="18"/>
      <c r="H2630" s="18"/>
      <c r="I2630" s="19">
        <v>2628</v>
      </c>
      <c r="J2630" s="19" cm="1">
        <f t="array" aca="1" ref="J2630" ca="1">INDIRECT("b"&amp;K2630+2)</f>
        <v>5.5E+149</v>
      </c>
      <c r="K2630" s="19">
        <f t="shared" si="487"/>
        <v>5102</v>
      </c>
    </row>
    <row r="2631" spans="1:11">
      <c r="A2631">
        <v>2629</v>
      </c>
      <c r="B2631">
        <v>7.0749999999999993E+87</v>
      </c>
      <c r="D2631" s="18">
        <v>2629</v>
      </c>
      <c r="E2631" s="18" cm="1">
        <f t="array" aca="1" ref="E2631" ca="1">INDIRECT("b"&amp;F2631+2)</f>
        <v>5.9499999999999997E+119</v>
      </c>
      <c r="F2631" s="18">
        <f t="shared" si="476"/>
        <v>3904</v>
      </c>
      <c r="G2631" s="18"/>
      <c r="H2631" s="18"/>
      <c r="I2631" s="19">
        <v>2629</v>
      </c>
      <c r="J2631" s="19" cm="1">
        <f t="array" aca="1" ref="J2631" ca="1">INDIRECT("b"&amp;K2631+2)</f>
        <v>5.9499999999999997E+149</v>
      </c>
      <c r="K2631" s="19">
        <f t="shared" si="487"/>
        <v>5104</v>
      </c>
    </row>
    <row r="2632" spans="1:11">
      <c r="A2632">
        <v>2630</v>
      </c>
      <c r="B2632">
        <v>7.3E+87</v>
      </c>
      <c r="D2632" s="18">
        <v>2630</v>
      </c>
      <c r="E2632" s="18" cm="1">
        <f t="array" aca="1" ref="E2632" ca="1">INDIRECT("b"&amp;F2632+2)</f>
        <v>6.1749999999999997E+119</v>
      </c>
      <c r="F2632" s="18">
        <f t="shared" si="476"/>
        <v>3905</v>
      </c>
      <c r="G2632" s="18"/>
      <c r="H2632" s="18"/>
      <c r="I2632" s="19">
        <v>2630</v>
      </c>
      <c r="J2632" s="19" cm="1">
        <f t="array" aca="1" ref="J2632" ca="1">INDIRECT("b"&amp;K2632+2)</f>
        <v>6.1750000000000005E+149</v>
      </c>
      <c r="K2632" s="19">
        <f t="shared" si="487"/>
        <v>5105</v>
      </c>
    </row>
    <row r="2633" spans="1:11">
      <c r="A2633">
        <v>2631</v>
      </c>
      <c r="B2633">
        <v>7.5249999999999997E+87</v>
      </c>
      <c r="D2633" s="18">
        <v>2631</v>
      </c>
      <c r="E2633" s="18" cm="1">
        <f t="array" aca="1" ref="E2633" ca="1">INDIRECT("b"&amp;F2633+2)</f>
        <v>6.3999999999999998E+119</v>
      </c>
      <c r="F2633" s="18">
        <f t="shared" si="476"/>
        <v>3906</v>
      </c>
      <c r="G2633" s="18"/>
      <c r="H2633" s="18"/>
      <c r="I2633" s="19">
        <v>2631</v>
      </c>
      <c r="J2633" s="19" cm="1">
        <f t="array" aca="1" ref="J2633" ca="1">INDIRECT("b"&amp;K2633+2)</f>
        <v>6.4000000000000003E+149</v>
      </c>
      <c r="K2633" s="19">
        <f t="shared" si="487"/>
        <v>5106</v>
      </c>
    </row>
    <row r="2634" spans="1:11">
      <c r="A2634">
        <v>2632</v>
      </c>
      <c r="B2634">
        <v>7.7499999999999995E+87</v>
      </c>
      <c r="D2634" s="18">
        <v>2632</v>
      </c>
      <c r="E2634" s="18" cm="1">
        <f t="array" aca="1" ref="E2634" ca="1">INDIRECT("b"&amp;F2634+2)</f>
        <v>6.8499999999999992E+119</v>
      </c>
      <c r="F2634" s="18">
        <f t="shared" si="476"/>
        <v>3908</v>
      </c>
      <c r="G2634" s="18">
        <f t="shared" ref="G2634" ca="1" si="489">E2634/E2629</f>
        <v>1.2985781990521326</v>
      </c>
      <c r="H2634" s="18"/>
      <c r="I2634" s="19">
        <v>2632</v>
      </c>
      <c r="J2634" s="19" cm="1">
        <f t="array" aca="1" ref="J2634" ca="1">INDIRECT("b"&amp;K2634+2)</f>
        <v>6.85E+149</v>
      </c>
      <c r="K2634" s="19">
        <f t="shared" si="487"/>
        <v>5108</v>
      </c>
    </row>
    <row r="2635" spans="1:11">
      <c r="A2635">
        <v>2633</v>
      </c>
      <c r="B2635">
        <v>7.9749999999999992E+87</v>
      </c>
      <c r="D2635" s="18">
        <v>2633</v>
      </c>
      <c r="E2635" s="18" cm="1">
        <f t="array" aca="1" ref="E2635" ca="1">INDIRECT("b"&amp;F2635+2)</f>
        <v>7.0749999999999999E+119</v>
      </c>
      <c r="F2635" s="18">
        <f t="shared" si="476"/>
        <v>3909</v>
      </c>
      <c r="G2635" s="18"/>
      <c r="H2635" s="18"/>
      <c r="I2635" s="19">
        <v>2633</v>
      </c>
      <c r="J2635" s="19" cm="1">
        <f t="array" aca="1" ref="J2635" ca="1">INDIRECT("b"&amp;K2635+2)</f>
        <v>7.0749999999999999E+149</v>
      </c>
      <c r="K2635" s="19">
        <f t="shared" si="487"/>
        <v>5109</v>
      </c>
    </row>
    <row r="2636" spans="1:11">
      <c r="A2636">
        <v>2634</v>
      </c>
      <c r="B2636">
        <v>8.1999999999999998E+87</v>
      </c>
      <c r="D2636" s="18">
        <v>2634</v>
      </c>
      <c r="E2636" s="18" cm="1">
        <f t="array" aca="1" ref="E2636" ca="1">INDIRECT("b"&amp;F2636+2)</f>
        <v>7.2999999999999993E+119</v>
      </c>
      <c r="F2636" s="18">
        <f t="shared" si="476"/>
        <v>3910</v>
      </c>
      <c r="G2636" s="18"/>
      <c r="H2636" s="18"/>
      <c r="I2636" s="19">
        <v>2634</v>
      </c>
      <c r="J2636" s="19" cm="1">
        <f t="array" aca="1" ref="J2636" ca="1">INDIRECT("b"&amp;K2636+2)</f>
        <v>7.2999999999999997E+149</v>
      </c>
      <c r="K2636" s="19">
        <f t="shared" si="487"/>
        <v>5110</v>
      </c>
    </row>
    <row r="2637" spans="1:11">
      <c r="A2637">
        <v>2635</v>
      </c>
      <c r="B2637">
        <v>8.4250000000000005E+87</v>
      </c>
      <c r="D2637" s="18">
        <v>2635</v>
      </c>
      <c r="E2637" s="18" cm="1">
        <f t="array" aca="1" ref="E2637" ca="1">INDIRECT("b"&amp;F2637+2)</f>
        <v>7.7499999999999993E+119</v>
      </c>
      <c r="F2637" s="18">
        <f t="shared" si="476"/>
        <v>3912</v>
      </c>
      <c r="G2637" s="18"/>
      <c r="H2637" s="18"/>
      <c r="I2637" s="19">
        <v>2635</v>
      </c>
      <c r="J2637" s="19" cm="1">
        <f t="array" aca="1" ref="J2637" ca="1">INDIRECT("b"&amp;K2637+2)</f>
        <v>7.7500000000000004E+149</v>
      </c>
      <c r="K2637" s="19">
        <f t="shared" si="487"/>
        <v>5112</v>
      </c>
    </row>
    <row r="2638" spans="1:11">
      <c r="A2638">
        <v>2636</v>
      </c>
      <c r="B2638">
        <v>8.6499999999999993E+87</v>
      </c>
      <c r="D2638" s="18">
        <v>2636</v>
      </c>
      <c r="E2638" s="18" cm="1">
        <f t="array" aca="1" ref="E2638" ca="1">INDIRECT("b"&amp;F2638+2)</f>
        <v>7.9750000000000001E+119</v>
      </c>
      <c r="F2638" s="18">
        <f t="shared" si="476"/>
        <v>3913</v>
      </c>
      <c r="G2638" s="18"/>
      <c r="H2638" s="18"/>
      <c r="I2638" s="19">
        <v>2636</v>
      </c>
      <c r="J2638" s="19" cm="1">
        <f t="array" aca="1" ref="J2638" ca="1">INDIRECT("b"&amp;K2638+2)</f>
        <v>7.9750000000000002E+149</v>
      </c>
      <c r="K2638" s="19">
        <f t="shared" si="487"/>
        <v>5113</v>
      </c>
    </row>
    <row r="2639" spans="1:11">
      <c r="A2639">
        <v>2637</v>
      </c>
      <c r="B2639">
        <v>8.875E+87</v>
      </c>
      <c r="D2639" s="18">
        <v>2637</v>
      </c>
      <c r="E2639" s="18" cm="1">
        <f t="array" aca="1" ref="E2639" ca="1">INDIRECT("b"&amp;F2639+2)</f>
        <v>8.1999999999999994E+119</v>
      </c>
      <c r="F2639" s="18">
        <f t="shared" si="476"/>
        <v>3914</v>
      </c>
      <c r="G2639" s="18">
        <f t="shared" ref="G2639" ca="1" si="490">E2639/E2634</f>
        <v>1.197080291970803</v>
      </c>
      <c r="H2639" s="18"/>
      <c r="I2639" s="19">
        <v>2637</v>
      </c>
      <c r="J2639" s="19" cm="1">
        <f t="array" aca="1" ref="J2639" ca="1">INDIRECT("b"&amp;K2639+2)</f>
        <v>8.200000000000001E+149</v>
      </c>
      <c r="K2639" s="19">
        <f t="shared" si="487"/>
        <v>5114</v>
      </c>
    </row>
    <row r="2640" spans="1:11">
      <c r="A2640">
        <v>2638</v>
      </c>
      <c r="B2640">
        <v>9.0999999999999988E+87</v>
      </c>
      <c r="D2640" s="18">
        <v>2638</v>
      </c>
      <c r="E2640" s="18" cm="1">
        <f t="array" aca="1" ref="E2640" ca="1">INDIRECT("b"&amp;F2640+2)</f>
        <v>8.6499999999999995E+119</v>
      </c>
      <c r="F2640" s="18">
        <f t="shared" si="476"/>
        <v>3916</v>
      </c>
      <c r="G2640" s="18"/>
      <c r="H2640" s="18"/>
      <c r="I2640" s="19">
        <v>2638</v>
      </c>
      <c r="J2640" s="19" cm="1">
        <f t="array" aca="1" ref="J2640" ca="1">INDIRECT("b"&amp;K2640+2)</f>
        <v>8.6500000000000007E+149</v>
      </c>
      <c r="K2640" s="19">
        <f t="shared" si="487"/>
        <v>5116</v>
      </c>
    </row>
    <row r="2641" spans="1:11">
      <c r="A2641">
        <v>2639</v>
      </c>
      <c r="B2641">
        <v>9.3249999999999995E+87</v>
      </c>
      <c r="D2641" s="18">
        <v>2639</v>
      </c>
      <c r="E2641" s="18" cm="1">
        <f t="array" aca="1" ref="E2641" ca="1">INDIRECT("b"&amp;F2641+2)</f>
        <v>8.8750000000000003E+119</v>
      </c>
      <c r="F2641" s="18">
        <f t="shared" si="476"/>
        <v>3917</v>
      </c>
      <c r="G2641" s="18"/>
      <c r="H2641" s="18"/>
      <c r="I2641" s="19">
        <v>2639</v>
      </c>
      <c r="J2641" s="19" cm="1">
        <f t="array" aca="1" ref="J2641" ca="1">INDIRECT("b"&amp;K2641+2)</f>
        <v>8.8749999999999996E+149</v>
      </c>
      <c r="K2641" s="19">
        <f t="shared" si="487"/>
        <v>5117</v>
      </c>
    </row>
    <row r="2642" spans="1:11">
      <c r="A2642">
        <v>2640</v>
      </c>
      <c r="B2642">
        <v>9.5500000000000001E+87</v>
      </c>
      <c r="D2642" s="18">
        <v>2640</v>
      </c>
      <c r="E2642" s="18" cm="1">
        <f t="array" aca="1" ref="E2642" ca="1">INDIRECT("b"&amp;F2642+2)</f>
        <v>9.0999999999999996E+119</v>
      </c>
      <c r="F2642" s="18">
        <f t="shared" si="476"/>
        <v>3918</v>
      </c>
      <c r="G2642" s="18"/>
      <c r="H2642" s="18"/>
      <c r="I2642" s="19">
        <v>2640</v>
      </c>
      <c r="J2642" s="19" cm="1">
        <f t="array" aca="1" ref="J2642" ca="1">INDIRECT("b"&amp;K2642+2)</f>
        <v>9.1000000000000004E+149</v>
      </c>
      <c r="K2642" s="19">
        <f t="shared" si="487"/>
        <v>5118</v>
      </c>
    </row>
    <row r="2643" spans="1:11">
      <c r="A2643">
        <v>2641</v>
      </c>
      <c r="B2643">
        <v>9.774999999999999E+87</v>
      </c>
      <c r="D2643" s="18">
        <v>2641</v>
      </c>
      <c r="E2643" s="18" cm="1">
        <f t="array" aca="1" ref="E2643" ca="1">INDIRECT("b"&amp;F2643+2)</f>
        <v>9.5499999999999997E+119</v>
      </c>
      <c r="F2643" s="18">
        <f t="shared" ref="F2643:F2706" si="491">INT((A2643-123)*1.333333)+563</f>
        <v>3920</v>
      </c>
      <c r="G2643" s="18"/>
      <c r="H2643" s="18"/>
      <c r="I2643" s="19">
        <v>2641</v>
      </c>
      <c r="J2643" s="19" cm="1">
        <f t="array" aca="1" ref="J2643" ca="1">INDIRECT("b"&amp;K2643+2)</f>
        <v>9.5500000000000001E+149</v>
      </c>
      <c r="K2643" s="19">
        <f t="shared" si="487"/>
        <v>5120</v>
      </c>
    </row>
    <row r="2644" spans="1:11">
      <c r="A2644">
        <v>2642</v>
      </c>
      <c r="B2644">
        <v>9.9999999999999996E+87</v>
      </c>
      <c r="D2644" s="18">
        <v>2642</v>
      </c>
      <c r="E2644" s="18" cm="1">
        <f t="array" aca="1" ref="E2644" ca="1">INDIRECT("b"&amp;F2644+2)</f>
        <v>9.774999999999999E+119</v>
      </c>
      <c r="F2644" s="18">
        <f t="shared" si="491"/>
        <v>3921</v>
      </c>
      <c r="G2644" s="18">
        <f t="shared" ref="G2644" ca="1" si="492">E2644/E2639</f>
        <v>1.1920731707317074</v>
      </c>
      <c r="H2644" s="18"/>
      <c r="I2644" s="19">
        <v>2642</v>
      </c>
      <c r="J2644" s="19" cm="1">
        <f t="array" aca="1" ref="J2644" ca="1">INDIRECT("b"&amp;K2644+2)</f>
        <v>9.7750000000000009E+149</v>
      </c>
      <c r="K2644" s="19">
        <f t="shared" si="487"/>
        <v>5121</v>
      </c>
    </row>
    <row r="2645" spans="1:11">
      <c r="A2645">
        <v>2643</v>
      </c>
      <c r="B2645">
        <v>1.2250000000000001E+88</v>
      </c>
      <c r="D2645" s="18">
        <v>2643</v>
      </c>
      <c r="E2645" s="18" cm="1">
        <f t="array" aca="1" ref="E2645" ca="1">INDIRECT("b"&amp;F2645+2)</f>
        <v>9.9999999999999998E+119</v>
      </c>
      <c r="F2645" s="18">
        <f t="shared" si="491"/>
        <v>3922</v>
      </c>
      <c r="G2645" s="18"/>
      <c r="H2645" s="18"/>
      <c r="I2645" s="19">
        <v>2643</v>
      </c>
      <c r="J2645" s="19" cm="1">
        <f t="array" aca="1" ref="J2645" ca="1">INDIRECT("b"&amp;K2645+2)</f>
        <v>9.9999999999999998E+149</v>
      </c>
      <c r="K2645" s="19">
        <f t="shared" si="487"/>
        <v>5122</v>
      </c>
    </row>
    <row r="2646" spans="1:11">
      <c r="A2646">
        <v>2644</v>
      </c>
      <c r="B2646">
        <v>1.45E+88</v>
      </c>
      <c r="D2646" s="18">
        <v>2644</v>
      </c>
      <c r="E2646" s="18" cm="1">
        <f t="array" aca="1" ref="E2646" ca="1">INDIRECT("b"&amp;F2646+2)</f>
        <v>1.4499999999999998E+120</v>
      </c>
      <c r="F2646" s="18">
        <f t="shared" si="491"/>
        <v>3924</v>
      </c>
      <c r="G2646" s="18"/>
      <c r="H2646" s="18"/>
      <c r="I2646" s="19">
        <v>2644</v>
      </c>
      <c r="J2646" s="19" cm="1">
        <f t="array" aca="1" ref="J2646" ca="1">INDIRECT("b"&amp;K2646+2)</f>
        <v>1.4500000000000001E+150</v>
      </c>
      <c r="K2646" s="19">
        <f t="shared" si="487"/>
        <v>5124</v>
      </c>
    </row>
    <row r="2647" spans="1:11">
      <c r="A2647">
        <v>2645</v>
      </c>
      <c r="B2647">
        <v>1.6749999999999999E+88</v>
      </c>
      <c r="D2647" s="18">
        <v>2645</v>
      </c>
      <c r="E2647" s="18" cm="1">
        <f t="array" aca="1" ref="E2647" ca="1">INDIRECT("b"&amp;F2647+2)</f>
        <v>1.675E+120</v>
      </c>
      <c r="F2647" s="18">
        <f t="shared" si="491"/>
        <v>3925</v>
      </c>
      <c r="G2647" s="18"/>
      <c r="H2647" s="18"/>
      <c r="I2647" s="19">
        <v>2645</v>
      </c>
      <c r="J2647" s="19" cm="1">
        <f t="array" aca="1" ref="J2647" ca="1">INDIRECT("b"&amp;K2647+2)</f>
        <v>1.6749999999999999E+150</v>
      </c>
      <c r="K2647" s="19">
        <f t="shared" si="487"/>
        <v>5125</v>
      </c>
    </row>
    <row r="2648" spans="1:11">
      <c r="A2648">
        <v>2646</v>
      </c>
      <c r="B2648">
        <v>1.8999999999999998E+88</v>
      </c>
      <c r="D2648" s="18">
        <v>2646</v>
      </c>
      <c r="E2648" s="18" cm="1">
        <f t="array" aca="1" ref="E2648" ca="1">INDIRECT("b"&amp;F2648+2)</f>
        <v>1.8999999999999999E+120</v>
      </c>
      <c r="F2648" s="18">
        <f t="shared" si="491"/>
        <v>3926</v>
      </c>
      <c r="G2648" s="18"/>
      <c r="H2648" s="18"/>
      <c r="I2648" s="19">
        <v>2646</v>
      </c>
      <c r="J2648" s="19" cm="1">
        <f t="array" aca="1" ref="J2648" ca="1">INDIRECT("b"&amp;K2648+2)</f>
        <v>1.8999999999999999E+150</v>
      </c>
      <c r="K2648" s="19">
        <f t="shared" si="487"/>
        <v>5126</v>
      </c>
    </row>
    <row r="2649" spans="1:11">
      <c r="A2649">
        <v>2647</v>
      </c>
      <c r="B2649">
        <v>2.1250000000000001E+88</v>
      </c>
      <c r="D2649" s="18">
        <v>2647</v>
      </c>
      <c r="E2649" s="18" cm="1">
        <f t="array" aca="1" ref="E2649" ca="1">INDIRECT("b"&amp;F2649+2)</f>
        <v>2.35E+120</v>
      </c>
      <c r="F2649" s="18">
        <f t="shared" si="491"/>
        <v>3928</v>
      </c>
      <c r="G2649" s="18">
        <f t="shared" ref="G2649" ca="1" si="493">E2649/E2644</f>
        <v>2.4040920716112533</v>
      </c>
      <c r="H2649" s="18"/>
      <c r="I2649" s="19">
        <v>2647</v>
      </c>
      <c r="J2649" s="19" cm="1">
        <f t="array" aca="1" ref="J2649" ca="1">INDIRECT("b"&amp;K2649+2)</f>
        <v>2.35E+150</v>
      </c>
      <c r="K2649" s="19">
        <f t="shared" si="487"/>
        <v>5128</v>
      </c>
    </row>
    <row r="2650" spans="1:11">
      <c r="A2650">
        <v>2648</v>
      </c>
      <c r="B2650">
        <v>2.35E+88</v>
      </c>
      <c r="D2650" s="18">
        <v>2648</v>
      </c>
      <c r="E2650" s="18" cm="1">
        <f t="array" aca="1" ref="E2650" ca="1">INDIRECT("b"&amp;F2650+2)</f>
        <v>2.5749999999999999E+120</v>
      </c>
      <c r="F2650" s="18">
        <f t="shared" si="491"/>
        <v>3929</v>
      </c>
      <c r="G2650" s="18"/>
      <c r="H2650" s="18"/>
      <c r="I2650" s="19">
        <v>2648</v>
      </c>
      <c r="J2650" s="19" cm="1">
        <f t="array" aca="1" ref="J2650" ca="1">INDIRECT("b"&amp;K2650+2)</f>
        <v>2.5750000000000001E+150</v>
      </c>
      <c r="K2650" s="19">
        <f t="shared" si="487"/>
        <v>5129</v>
      </c>
    </row>
    <row r="2651" spans="1:11">
      <c r="A2651">
        <v>2649</v>
      </c>
      <c r="B2651">
        <v>2.575E+88</v>
      </c>
      <c r="D2651" s="18">
        <v>2649</v>
      </c>
      <c r="E2651" s="18" cm="1">
        <f t="array" aca="1" ref="E2651" ca="1">INDIRECT("b"&amp;F2651+2)</f>
        <v>2.8000000000000001E+120</v>
      </c>
      <c r="F2651" s="18">
        <f t="shared" si="491"/>
        <v>3930</v>
      </c>
      <c r="G2651" s="18"/>
      <c r="H2651" s="18"/>
      <c r="I2651" s="19">
        <v>2649</v>
      </c>
      <c r="J2651" s="19" cm="1">
        <f t="array" aca="1" ref="J2651" ca="1">INDIRECT("b"&amp;K2651+2)</f>
        <v>2.8000000000000001E+150</v>
      </c>
      <c r="K2651" s="19">
        <f t="shared" si="487"/>
        <v>5130</v>
      </c>
    </row>
    <row r="2652" spans="1:11">
      <c r="A2652">
        <v>2650</v>
      </c>
      <c r="B2652">
        <v>2.7999999999999999E+88</v>
      </c>
      <c r="D2652" s="18">
        <v>2650</v>
      </c>
      <c r="E2652" s="18" cm="1">
        <f t="array" aca="1" ref="E2652" ca="1">INDIRECT("b"&amp;F2652+2)</f>
        <v>3.2499999999999999E+120</v>
      </c>
      <c r="F2652" s="18">
        <f t="shared" si="491"/>
        <v>3932</v>
      </c>
      <c r="G2652" s="18"/>
      <c r="H2652" s="18"/>
      <c r="I2652" s="19">
        <v>2650</v>
      </c>
      <c r="J2652" s="19" cm="1">
        <f t="array" aca="1" ref="J2652" ca="1">INDIRECT("b"&amp;K2652+2)</f>
        <v>3.2500000000000002E+150</v>
      </c>
      <c r="K2652" s="19">
        <f t="shared" si="487"/>
        <v>5132</v>
      </c>
    </row>
    <row r="2653" spans="1:11">
      <c r="A2653">
        <v>2651</v>
      </c>
      <c r="B2653">
        <v>3.0250000000000002E+88</v>
      </c>
      <c r="D2653" s="18">
        <v>2651</v>
      </c>
      <c r="E2653" s="18" cm="1">
        <f t="array" aca="1" ref="E2653" ca="1">INDIRECT("b"&amp;F2653+2)</f>
        <v>3.4749999999999998E+120</v>
      </c>
      <c r="F2653" s="18">
        <f t="shared" si="491"/>
        <v>3933</v>
      </c>
      <c r="G2653" s="18"/>
      <c r="H2653" s="18"/>
      <c r="I2653" s="19">
        <v>2651</v>
      </c>
      <c r="J2653" s="19" cm="1">
        <f t="array" aca="1" ref="J2653" ca="1">INDIRECT("b"&amp;K2653+2)</f>
        <v>3.4750000000000002E+150</v>
      </c>
      <c r="K2653" s="19">
        <f t="shared" si="487"/>
        <v>5133</v>
      </c>
    </row>
    <row r="2654" spans="1:11">
      <c r="A2654">
        <v>2652</v>
      </c>
      <c r="B2654">
        <v>3.2500000000000001E+88</v>
      </c>
      <c r="D2654" s="18">
        <v>2652</v>
      </c>
      <c r="E2654" s="18" cm="1">
        <f t="array" aca="1" ref="E2654" ca="1">INDIRECT("b"&amp;F2654+2)</f>
        <v>3.6999999999999997E+120</v>
      </c>
      <c r="F2654" s="18">
        <f t="shared" si="491"/>
        <v>3934</v>
      </c>
      <c r="G2654" s="18">
        <f t="shared" ref="G2654" ca="1" si="494">E2654/E2649</f>
        <v>1.5744680851063828</v>
      </c>
      <c r="H2654" s="18"/>
      <c r="I2654" s="19">
        <v>2652</v>
      </c>
      <c r="J2654" s="19" cm="1">
        <f t="array" aca="1" ref="J2654" ca="1">INDIRECT("b"&amp;K2654+2)</f>
        <v>3.6999999999999999E+150</v>
      </c>
      <c r="K2654" s="19">
        <f t="shared" si="487"/>
        <v>5134</v>
      </c>
    </row>
    <row r="2655" spans="1:11">
      <c r="A2655">
        <v>2653</v>
      </c>
      <c r="B2655">
        <v>3.4749999999999997E+88</v>
      </c>
      <c r="D2655" s="18">
        <v>2653</v>
      </c>
      <c r="E2655" s="18" cm="1">
        <f t="array" aca="1" ref="E2655" ca="1">INDIRECT("b"&amp;F2655+2)</f>
        <v>4.1499999999999995E+120</v>
      </c>
      <c r="F2655" s="18">
        <f t="shared" si="491"/>
        <v>3936</v>
      </c>
      <c r="G2655" s="18"/>
      <c r="H2655" s="18"/>
      <c r="I2655" s="19">
        <v>2653</v>
      </c>
      <c r="J2655" s="19" cm="1">
        <f t="array" aca="1" ref="J2655" ca="1">INDIRECT("b"&amp;K2655+2)</f>
        <v>4.1499999999999999E+150</v>
      </c>
      <c r="K2655" s="19">
        <f t="shared" si="487"/>
        <v>5136</v>
      </c>
    </row>
    <row r="2656" spans="1:11">
      <c r="A2656">
        <v>2654</v>
      </c>
      <c r="B2656">
        <v>3.6999999999999999E+88</v>
      </c>
      <c r="D2656" s="18">
        <v>2654</v>
      </c>
      <c r="E2656" s="18" cm="1">
        <f t="array" aca="1" ref="E2656" ca="1">INDIRECT("b"&amp;F2656+2)</f>
        <v>4.3749999999999999E+120</v>
      </c>
      <c r="F2656" s="18">
        <f t="shared" si="491"/>
        <v>3937</v>
      </c>
      <c r="G2656" s="18"/>
      <c r="H2656" s="18"/>
      <c r="I2656" s="19">
        <v>2654</v>
      </c>
      <c r="J2656" s="19" cm="1">
        <f t="array" aca="1" ref="J2656" ca="1">INDIRECT("b"&amp;K2656+2)</f>
        <v>4.3750000000000003E+150</v>
      </c>
      <c r="K2656" s="19">
        <f t="shared" si="487"/>
        <v>5137</v>
      </c>
    </row>
    <row r="2657" spans="1:11">
      <c r="A2657">
        <v>2655</v>
      </c>
      <c r="B2657">
        <v>3.9250000000000002E+88</v>
      </c>
      <c r="D2657" s="18">
        <v>2655</v>
      </c>
      <c r="E2657" s="18" cm="1">
        <f t="array" aca="1" ref="E2657" ca="1">INDIRECT("b"&amp;F2657+2)</f>
        <v>4.5999999999999999E+120</v>
      </c>
      <c r="F2657" s="18">
        <f t="shared" si="491"/>
        <v>3938</v>
      </c>
      <c r="G2657" s="18"/>
      <c r="H2657" s="18"/>
      <c r="I2657" s="19">
        <v>2655</v>
      </c>
      <c r="J2657" s="19" cm="1">
        <f t="array" aca="1" ref="J2657" ca="1">INDIRECT("b"&amp;K2657+2)</f>
        <v>4.6E+150</v>
      </c>
      <c r="K2657" s="19">
        <f t="shared" si="487"/>
        <v>5138</v>
      </c>
    </row>
    <row r="2658" spans="1:11">
      <c r="A2658">
        <v>2656</v>
      </c>
      <c r="B2658">
        <v>4.1499999999999998E+88</v>
      </c>
      <c r="D2658" s="18">
        <v>2656</v>
      </c>
      <c r="E2658" s="18" cm="1">
        <f t="array" aca="1" ref="E2658" ca="1">INDIRECT("b"&amp;F2658+2)</f>
        <v>5.0499999999999997E+120</v>
      </c>
      <c r="F2658" s="18">
        <f t="shared" si="491"/>
        <v>3940</v>
      </c>
      <c r="G2658" s="18"/>
      <c r="H2658" s="18"/>
      <c r="I2658" s="19">
        <v>2656</v>
      </c>
      <c r="J2658" s="19" cm="1">
        <f t="array" aca="1" ref="J2658" ca="1">INDIRECT("b"&amp;K2658+2)</f>
        <v>5.0500000000000001E+150</v>
      </c>
      <c r="K2658" s="19">
        <f t="shared" si="487"/>
        <v>5140</v>
      </c>
    </row>
    <row r="2659" spans="1:11">
      <c r="A2659">
        <v>2657</v>
      </c>
      <c r="B2659">
        <v>4.3750000000000001E+88</v>
      </c>
      <c r="D2659" s="18">
        <v>2657</v>
      </c>
      <c r="E2659" s="18" cm="1">
        <f t="array" aca="1" ref="E2659" ca="1">INDIRECT("b"&amp;F2659+2)</f>
        <v>5.2749999999999996E+120</v>
      </c>
      <c r="F2659" s="18">
        <f t="shared" si="491"/>
        <v>3941</v>
      </c>
      <c r="G2659" s="18">
        <f t="shared" ref="G2659" ca="1" si="495">E2659/E2654</f>
        <v>1.4256756756756757</v>
      </c>
      <c r="H2659" s="18"/>
      <c r="I2659" s="19">
        <v>2657</v>
      </c>
      <c r="J2659" s="19" cm="1">
        <f t="array" aca="1" ref="J2659" ca="1">INDIRECT("b"&amp;K2659+2)</f>
        <v>5.2750000000000005E+150</v>
      </c>
      <c r="K2659" s="19">
        <f t="shared" si="487"/>
        <v>5141</v>
      </c>
    </row>
    <row r="2660" spans="1:11">
      <c r="A2660">
        <v>2658</v>
      </c>
      <c r="B2660">
        <v>4.6000000000000003E+88</v>
      </c>
      <c r="D2660" s="18">
        <v>2658</v>
      </c>
      <c r="E2660" s="18" cm="1">
        <f t="array" aca="1" ref="E2660" ca="1">INDIRECT("b"&amp;F2660+2)</f>
        <v>5.5E+120</v>
      </c>
      <c r="F2660" s="18">
        <f t="shared" si="491"/>
        <v>3942</v>
      </c>
      <c r="G2660" s="18"/>
      <c r="H2660" s="18"/>
      <c r="I2660" s="19">
        <v>2658</v>
      </c>
      <c r="J2660" s="19" cm="1">
        <f t="array" aca="1" ref="J2660" ca="1">INDIRECT("b"&amp;K2660+2)</f>
        <v>5.5000000000000002E+150</v>
      </c>
      <c r="K2660" s="19">
        <f t="shared" si="487"/>
        <v>5142</v>
      </c>
    </row>
    <row r="2661" spans="1:11">
      <c r="A2661">
        <v>2659</v>
      </c>
      <c r="B2661">
        <v>4.8249999999999999E+88</v>
      </c>
      <c r="D2661" s="18">
        <v>2659</v>
      </c>
      <c r="E2661" s="18" cm="1">
        <f t="array" aca="1" ref="E2661" ca="1">INDIRECT("b"&amp;F2661+2)</f>
        <v>5.9499999999999998E+120</v>
      </c>
      <c r="F2661" s="18">
        <f t="shared" si="491"/>
        <v>3944</v>
      </c>
      <c r="G2661" s="18"/>
      <c r="H2661" s="18"/>
      <c r="I2661" s="19">
        <v>2659</v>
      </c>
      <c r="J2661" s="19" cm="1">
        <f t="array" aca="1" ref="J2661" ca="1">INDIRECT("b"&amp;K2661+2)</f>
        <v>5.9500000000000002E+150</v>
      </c>
      <c r="K2661" s="19">
        <f t="shared" si="487"/>
        <v>5144</v>
      </c>
    </row>
    <row r="2662" spans="1:11">
      <c r="A2662">
        <v>2660</v>
      </c>
      <c r="B2662">
        <v>5.0500000000000002E+88</v>
      </c>
      <c r="D2662" s="18">
        <v>2660</v>
      </c>
      <c r="E2662" s="18" cm="1">
        <f t="array" aca="1" ref="E2662" ca="1">INDIRECT("b"&amp;F2662+2)</f>
        <v>6.1749999999999992E+120</v>
      </c>
      <c r="F2662" s="18">
        <f t="shared" si="491"/>
        <v>3945</v>
      </c>
      <c r="G2662" s="18"/>
      <c r="H2662" s="18"/>
      <c r="I2662" s="19">
        <v>2660</v>
      </c>
      <c r="J2662" s="19" cm="1">
        <f t="array" aca="1" ref="J2662" ca="1">INDIRECT("b"&amp;K2662+2)</f>
        <v>6.1750000000000006E+150</v>
      </c>
      <c r="K2662" s="19">
        <f t="shared" si="487"/>
        <v>5145</v>
      </c>
    </row>
    <row r="2663" spans="1:11">
      <c r="A2663">
        <v>2661</v>
      </c>
      <c r="B2663">
        <v>5.2749999999999998E+88</v>
      </c>
      <c r="D2663" s="18">
        <v>2661</v>
      </c>
      <c r="E2663" s="18" cm="1">
        <f t="array" aca="1" ref="E2663" ca="1">INDIRECT("b"&amp;F2663+2)</f>
        <v>6.3999999999999996E+120</v>
      </c>
      <c r="F2663" s="18">
        <f t="shared" si="491"/>
        <v>3946</v>
      </c>
      <c r="G2663" s="18"/>
      <c r="H2663" s="18"/>
      <c r="I2663" s="19">
        <v>2661</v>
      </c>
      <c r="J2663" s="19" cm="1">
        <f t="array" aca="1" ref="J2663" ca="1">INDIRECT("b"&amp;K2663+2)</f>
        <v>6.4000000000000003E+150</v>
      </c>
      <c r="K2663" s="19">
        <f t="shared" si="487"/>
        <v>5146</v>
      </c>
    </row>
    <row r="2664" spans="1:11">
      <c r="A2664">
        <v>2662</v>
      </c>
      <c r="B2664">
        <v>5.5E+88</v>
      </c>
      <c r="D2664" s="18">
        <v>2662</v>
      </c>
      <c r="E2664" s="18" cm="1">
        <f t="array" aca="1" ref="E2664" ca="1">INDIRECT("b"&amp;F2664+2)</f>
        <v>6.8499999999999994E+120</v>
      </c>
      <c r="F2664" s="18">
        <f t="shared" si="491"/>
        <v>3948</v>
      </c>
      <c r="G2664" s="18">
        <f t="shared" ref="G2664" ca="1" si="496">E2664/E2659</f>
        <v>1.2985781990521328</v>
      </c>
      <c r="H2664" s="18"/>
      <c r="I2664" s="19">
        <v>2662</v>
      </c>
      <c r="J2664" s="19" cm="1">
        <f t="array" aca="1" ref="J2664" ca="1">INDIRECT("b"&amp;K2664+2)</f>
        <v>6.8500000000000004E+150</v>
      </c>
      <c r="K2664" s="19">
        <f t="shared" si="487"/>
        <v>5148</v>
      </c>
    </row>
    <row r="2665" spans="1:11">
      <c r="A2665">
        <v>2663</v>
      </c>
      <c r="B2665">
        <v>5.7250000000000003E+88</v>
      </c>
      <c r="D2665" s="18">
        <v>2663</v>
      </c>
      <c r="E2665" s="18" cm="1">
        <f t="array" aca="1" ref="E2665" ca="1">INDIRECT("b"&amp;F2665+2)</f>
        <v>7.0749999999999999E+120</v>
      </c>
      <c r="F2665" s="18">
        <f t="shared" si="491"/>
        <v>3949</v>
      </c>
      <c r="G2665" s="18"/>
      <c r="H2665" s="18"/>
      <c r="I2665" s="19">
        <v>2663</v>
      </c>
      <c r="J2665" s="19" cm="1">
        <f t="array" aca="1" ref="J2665" ca="1">INDIRECT("b"&amp;K2665+2)</f>
        <v>7.0750000000000008E+150</v>
      </c>
      <c r="K2665" s="19">
        <f t="shared" si="487"/>
        <v>5149</v>
      </c>
    </row>
    <row r="2666" spans="1:11">
      <c r="A2666">
        <v>2664</v>
      </c>
      <c r="B2666">
        <v>5.9499999999999999E+88</v>
      </c>
      <c r="D2666" s="18">
        <v>2664</v>
      </c>
      <c r="E2666" s="18" cm="1">
        <f t="array" aca="1" ref="E2666" ca="1">INDIRECT("b"&amp;F2666+2)</f>
        <v>7.2999999999999993E+120</v>
      </c>
      <c r="F2666" s="18">
        <f t="shared" si="491"/>
        <v>3950</v>
      </c>
      <c r="G2666" s="18"/>
      <c r="H2666" s="18"/>
      <c r="I2666" s="19">
        <v>2664</v>
      </c>
      <c r="J2666" s="19" cm="1">
        <f t="array" aca="1" ref="J2666" ca="1">INDIRECT("b"&amp;K2666+2)</f>
        <v>7.2999999999999997E+150</v>
      </c>
      <c r="K2666" s="19">
        <f t="shared" si="487"/>
        <v>5150</v>
      </c>
    </row>
    <row r="2667" spans="1:11">
      <c r="A2667">
        <v>2665</v>
      </c>
      <c r="B2667">
        <v>6.1750000000000002E+88</v>
      </c>
      <c r="D2667" s="18">
        <v>2665</v>
      </c>
      <c r="E2667" s="18" cm="1">
        <f t="array" aca="1" ref="E2667" ca="1">INDIRECT("b"&amp;F2667+2)</f>
        <v>7.7499999999999991E+120</v>
      </c>
      <c r="F2667" s="18">
        <f t="shared" si="491"/>
        <v>3952</v>
      </c>
      <c r="G2667" s="18"/>
      <c r="H2667" s="18"/>
      <c r="I2667" s="19">
        <v>2665</v>
      </c>
      <c r="J2667" s="19" cm="1">
        <f t="array" aca="1" ref="J2667" ca="1">INDIRECT("b"&amp;K2667+2)</f>
        <v>7.7500000000000005E+150</v>
      </c>
      <c r="K2667" s="19">
        <f t="shared" si="487"/>
        <v>5152</v>
      </c>
    </row>
    <row r="2668" spans="1:11">
      <c r="A2668">
        <v>2666</v>
      </c>
      <c r="B2668">
        <v>6.3999999999999997E+88</v>
      </c>
      <c r="D2668" s="18">
        <v>2666</v>
      </c>
      <c r="E2668" s="18" cm="1">
        <f t="array" aca="1" ref="E2668" ca="1">INDIRECT("b"&amp;F2668+2)</f>
        <v>7.9749999999999995E+120</v>
      </c>
      <c r="F2668" s="18">
        <f t="shared" si="491"/>
        <v>3953</v>
      </c>
      <c r="G2668" s="18"/>
      <c r="H2668" s="18"/>
      <c r="I2668" s="19">
        <v>2666</v>
      </c>
      <c r="J2668" s="19" cm="1">
        <f t="array" aca="1" ref="J2668" ca="1">INDIRECT("b"&amp;K2668+2)</f>
        <v>7.9750000000000009E+150</v>
      </c>
      <c r="K2668" s="19">
        <f t="shared" si="487"/>
        <v>5153</v>
      </c>
    </row>
    <row r="2669" spans="1:11">
      <c r="A2669">
        <v>2667</v>
      </c>
      <c r="B2669">
        <v>6.625E+88</v>
      </c>
      <c r="D2669" s="18">
        <v>2667</v>
      </c>
      <c r="E2669" s="18" cm="1">
        <f t="array" aca="1" ref="E2669" ca="1">INDIRECT("b"&amp;F2669+2)</f>
        <v>8.1999999999999989E+120</v>
      </c>
      <c r="F2669" s="18">
        <f t="shared" si="491"/>
        <v>3954</v>
      </c>
      <c r="G2669" s="18">
        <f t="shared" ref="G2669" ca="1" si="497">E2669/E2664</f>
        <v>1.1970802919708028</v>
      </c>
      <c r="H2669" s="18"/>
      <c r="I2669" s="19">
        <v>2667</v>
      </c>
      <c r="J2669" s="19" cm="1">
        <f t="array" aca="1" ref="J2669" ca="1">INDIRECT("b"&amp;K2669+2)</f>
        <v>8.1999999999999999E+150</v>
      </c>
      <c r="K2669" s="19">
        <f t="shared" si="487"/>
        <v>5154</v>
      </c>
    </row>
    <row r="2670" spans="1:11">
      <c r="A2670">
        <v>2668</v>
      </c>
      <c r="B2670">
        <v>6.8500000000000003E+88</v>
      </c>
      <c r="D2670" s="18">
        <v>2668</v>
      </c>
      <c r="E2670" s="18" cm="1">
        <f t="array" aca="1" ref="E2670" ca="1">INDIRECT("b"&amp;F2670+2)</f>
        <v>8.6499999999999998E+120</v>
      </c>
      <c r="F2670" s="18">
        <f t="shared" si="491"/>
        <v>3956</v>
      </c>
      <c r="G2670" s="18"/>
      <c r="H2670" s="18"/>
      <c r="I2670" s="19">
        <v>2668</v>
      </c>
      <c r="J2670" s="19" cm="1">
        <f t="array" aca="1" ref="J2670" ca="1">INDIRECT("b"&amp;K2670+2)</f>
        <v>8.6500000000000007E+150</v>
      </c>
      <c r="K2670" s="19">
        <f t="shared" si="487"/>
        <v>5156</v>
      </c>
    </row>
    <row r="2671" spans="1:11">
      <c r="A2671">
        <v>2669</v>
      </c>
      <c r="B2671">
        <v>7.0750000000000006E+88</v>
      </c>
      <c r="D2671" s="18">
        <v>2669</v>
      </c>
      <c r="E2671" s="18" cm="1">
        <f t="array" aca="1" ref="E2671" ca="1">INDIRECT("b"&amp;F2671+2)</f>
        <v>8.8749999999999991E+120</v>
      </c>
      <c r="F2671" s="18">
        <f t="shared" si="491"/>
        <v>3957</v>
      </c>
      <c r="G2671" s="18"/>
      <c r="H2671" s="18"/>
      <c r="I2671" s="19">
        <v>2669</v>
      </c>
      <c r="J2671" s="19" cm="1">
        <f t="array" aca="1" ref="J2671" ca="1">INDIRECT("b"&amp;K2671+2)</f>
        <v>8.8750000000000011E+150</v>
      </c>
      <c r="K2671" s="19">
        <f t="shared" si="487"/>
        <v>5157</v>
      </c>
    </row>
    <row r="2672" spans="1:11">
      <c r="A2672">
        <v>2670</v>
      </c>
      <c r="B2672">
        <v>7.2999999999999994E+88</v>
      </c>
      <c r="D2672" s="18">
        <v>2670</v>
      </c>
      <c r="E2672" s="18" cm="1">
        <f t="array" aca="1" ref="E2672" ca="1">INDIRECT("b"&amp;F2672+2)</f>
        <v>9.0999999999999996E+120</v>
      </c>
      <c r="F2672" s="18">
        <f t="shared" si="491"/>
        <v>3958</v>
      </c>
      <c r="G2672" s="18"/>
      <c r="H2672" s="18"/>
      <c r="I2672" s="19">
        <v>2670</v>
      </c>
      <c r="J2672" s="19" cm="1">
        <f t="array" aca="1" ref="J2672" ca="1">INDIRECT("b"&amp;K2672+2)</f>
        <v>9.1E+150</v>
      </c>
      <c r="K2672" s="19">
        <f t="shared" si="487"/>
        <v>5158</v>
      </c>
    </row>
    <row r="2673" spans="1:11">
      <c r="A2673">
        <v>2671</v>
      </c>
      <c r="B2673">
        <v>7.5249999999999997E+88</v>
      </c>
      <c r="D2673" s="18">
        <v>2671</v>
      </c>
      <c r="E2673" s="18" cm="1">
        <f t="array" aca="1" ref="E2673" ca="1">INDIRECT("b"&amp;F2673+2)</f>
        <v>9.5499999999999994E+120</v>
      </c>
      <c r="F2673" s="18">
        <f t="shared" si="491"/>
        <v>3960</v>
      </c>
      <c r="G2673" s="18"/>
      <c r="H2673" s="18"/>
      <c r="I2673" s="19">
        <v>2671</v>
      </c>
      <c r="J2673" s="19" cm="1">
        <f t="array" aca="1" ref="J2673" ca="1">INDIRECT("b"&amp;K2673+2)</f>
        <v>9.5500000000000008E+150</v>
      </c>
      <c r="K2673" s="19">
        <f t="shared" si="487"/>
        <v>5160</v>
      </c>
    </row>
    <row r="2674" spans="1:11">
      <c r="A2674">
        <v>2672</v>
      </c>
      <c r="B2674">
        <v>7.75E+88</v>
      </c>
      <c r="D2674" s="18">
        <v>2672</v>
      </c>
      <c r="E2674" s="18" cm="1">
        <f t="array" aca="1" ref="E2674" ca="1">INDIRECT("b"&amp;F2674+2)</f>
        <v>9.7749999999999988E+120</v>
      </c>
      <c r="F2674" s="18">
        <f t="shared" si="491"/>
        <v>3961</v>
      </c>
      <c r="G2674" s="18">
        <f t="shared" ref="G2674" ca="1" si="498">E2674/E2669</f>
        <v>1.1920731707317074</v>
      </c>
      <c r="H2674" s="18"/>
      <c r="I2674" s="19">
        <v>2672</v>
      </c>
      <c r="J2674" s="19" cm="1">
        <f t="array" aca="1" ref="J2674" ca="1">INDIRECT("b"&amp;K2674+2)</f>
        <v>9.7749999999999998E+150</v>
      </c>
      <c r="K2674" s="19">
        <f t="shared" si="487"/>
        <v>5161</v>
      </c>
    </row>
    <row r="2675" spans="1:11">
      <c r="A2675">
        <v>2673</v>
      </c>
      <c r="B2675">
        <v>7.9750000000000003E+88</v>
      </c>
      <c r="D2675" s="18">
        <v>2673</v>
      </c>
      <c r="E2675" s="18" cm="1">
        <f t="array" aca="1" ref="E2675" ca="1">INDIRECT("b"&amp;F2675+2)</f>
        <v>1E+121</v>
      </c>
      <c r="F2675" s="18">
        <f t="shared" si="491"/>
        <v>3962</v>
      </c>
      <c r="G2675" s="18"/>
      <c r="H2675" s="18"/>
      <c r="I2675" s="19">
        <v>2673</v>
      </c>
      <c r="J2675" s="19" cm="1">
        <f t="array" aca="1" ref="J2675" ca="1">INDIRECT("b"&amp;K2675+2)</f>
        <v>1E+151</v>
      </c>
      <c r="K2675" s="19">
        <f t="shared" si="487"/>
        <v>5162</v>
      </c>
    </row>
    <row r="2676" spans="1:11">
      <c r="A2676">
        <v>2674</v>
      </c>
      <c r="B2676">
        <v>8.2000000000000006E+88</v>
      </c>
      <c r="D2676" s="18">
        <v>2674</v>
      </c>
      <c r="E2676" s="18" cm="1">
        <f t="array" aca="1" ref="E2676" ca="1">INDIRECT("b"&amp;F2676+2)</f>
        <v>1.45E+121</v>
      </c>
      <c r="F2676" s="18">
        <f t="shared" si="491"/>
        <v>3964</v>
      </c>
      <c r="G2676" s="18"/>
      <c r="H2676" s="18"/>
      <c r="I2676" s="19">
        <v>2674</v>
      </c>
      <c r="J2676" s="19" cm="1">
        <f t="array" aca="1" ref="J2676" ca="1">INDIRECT("b"&amp;K2676+2)</f>
        <v>1.4500000000000001E+151</v>
      </c>
      <c r="K2676" s="19">
        <f t="shared" si="487"/>
        <v>5164</v>
      </c>
    </row>
    <row r="2677" spans="1:11">
      <c r="A2677">
        <v>2675</v>
      </c>
      <c r="B2677">
        <v>8.4249999999999994E+88</v>
      </c>
      <c r="D2677" s="18">
        <v>2675</v>
      </c>
      <c r="E2677" s="18" cm="1">
        <f t="array" aca="1" ref="E2677" ca="1">INDIRECT("b"&amp;F2677+2)</f>
        <v>1.675E+121</v>
      </c>
      <c r="F2677" s="18">
        <f t="shared" si="491"/>
        <v>3965</v>
      </c>
      <c r="G2677" s="18"/>
      <c r="H2677" s="18"/>
      <c r="I2677" s="19">
        <v>2675</v>
      </c>
      <c r="J2677" s="19" cm="1">
        <f t="array" aca="1" ref="J2677" ca="1">INDIRECT("b"&amp;K2677+2)</f>
        <v>1.6749999999999999E+151</v>
      </c>
      <c r="K2677" s="19">
        <f t="shared" si="487"/>
        <v>5165</v>
      </c>
    </row>
    <row r="2678" spans="1:11">
      <c r="A2678">
        <v>2676</v>
      </c>
      <c r="B2678">
        <v>8.6499999999999997E+88</v>
      </c>
      <c r="D2678" s="18">
        <v>2676</v>
      </c>
      <c r="E2678" s="18" cm="1">
        <f t="array" aca="1" ref="E2678" ca="1">INDIRECT("b"&amp;F2678+2)</f>
        <v>1.9E+121</v>
      </c>
      <c r="F2678" s="18">
        <f t="shared" si="491"/>
        <v>3966</v>
      </c>
      <c r="G2678" s="18"/>
      <c r="H2678" s="18"/>
      <c r="I2678" s="19">
        <v>2676</v>
      </c>
      <c r="J2678" s="19" cm="1">
        <f t="array" aca="1" ref="J2678" ca="1">INDIRECT("b"&amp;K2678+2)</f>
        <v>1.9E+151</v>
      </c>
      <c r="K2678" s="19">
        <f t="shared" si="487"/>
        <v>5166</v>
      </c>
    </row>
    <row r="2679" spans="1:11">
      <c r="A2679">
        <v>2677</v>
      </c>
      <c r="B2679">
        <v>8.875E+88</v>
      </c>
      <c r="D2679" s="18">
        <v>2677</v>
      </c>
      <c r="E2679" s="18" cm="1">
        <f t="array" aca="1" ref="E2679" ca="1">INDIRECT("b"&amp;F2679+2)</f>
        <v>2.35E+121</v>
      </c>
      <c r="F2679" s="18">
        <f t="shared" si="491"/>
        <v>3968</v>
      </c>
      <c r="G2679" s="18">
        <f t="shared" ref="G2679" ca="1" si="499">E2679/E2674</f>
        <v>2.4040920716112537</v>
      </c>
      <c r="H2679" s="18"/>
      <c r="I2679" s="19">
        <v>2677</v>
      </c>
      <c r="J2679" s="19" cm="1">
        <f t="array" aca="1" ref="J2679" ca="1">INDIRECT("b"&amp;K2679+2)</f>
        <v>2.3499999999999999E+151</v>
      </c>
      <c r="K2679" s="19">
        <f t="shared" si="487"/>
        <v>5168</v>
      </c>
    </row>
    <row r="2680" spans="1:11">
      <c r="A2680">
        <v>2678</v>
      </c>
      <c r="B2680">
        <v>9.1000000000000002E+88</v>
      </c>
      <c r="D2680" s="18">
        <v>2678</v>
      </c>
      <c r="E2680" s="18" cm="1">
        <f t="array" aca="1" ref="E2680" ca="1">INDIRECT("b"&amp;F2680+2)</f>
        <v>2.575E+121</v>
      </c>
      <c r="F2680" s="18">
        <f t="shared" si="491"/>
        <v>3969</v>
      </c>
      <c r="G2680" s="18"/>
      <c r="H2680" s="18"/>
      <c r="I2680" s="19">
        <v>2678</v>
      </c>
      <c r="J2680" s="19" cm="1">
        <f t="array" aca="1" ref="J2680" ca="1">INDIRECT("b"&amp;K2680+2)</f>
        <v>2.5750000000000001E+151</v>
      </c>
      <c r="K2680" s="19">
        <f t="shared" si="487"/>
        <v>5169</v>
      </c>
    </row>
    <row r="2681" spans="1:11">
      <c r="A2681">
        <v>2679</v>
      </c>
      <c r="B2681">
        <v>9.3250000000000005E+88</v>
      </c>
      <c r="D2681" s="18">
        <v>2679</v>
      </c>
      <c r="E2681" s="18" cm="1">
        <f t="array" aca="1" ref="E2681" ca="1">INDIRECT("b"&amp;F2681+2)</f>
        <v>2.8000000000000001E+121</v>
      </c>
      <c r="F2681" s="18">
        <f t="shared" si="491"/>
        <v>3970</v>
      </c>
      <c r="G2681" s="18"/>
      <c r="H2681" s="18"/>
      <c r="I2681" s="19">
        <v>2679</v>
      </c>
      <c r="J2681" s="19" cm="1">
        <f t="array" aca="1" ref="J2681" ca="1">INDIRECT("b"&amp;K2681+2)</f>
        <v>2.7999999999999999E+151</v>
      </c>
      <c r="K2681" s="19">
        <f t="shared" si="487"/>
        <v>5170</v>
      </c>
    </row>
    <row r="2682" spans="1:11">
      <c r="A2682">
        <v>2680</v>
      </c>
      <c r="B2682">
        <v>9.5499999999999994E+88</v>
      </c>
      <c r="D2682" s="18">
        <v>2680</v>
      </c>
      <c r="E2682" s="18" cm="1">
        <f t="array" aca="1" ref="E2682" ca="1">INDIRECT("b"&amp;F2682+2)</f>
        <v>3.2500000000000001E+121</v>
      </c>
      <c r="F2682" s="18">
        <f t="shared" si="491"/>
        <v>3972</v>
      </c>
      <c r="G2682" s="18"/>
      <c r="H2682" s="18"/>
      <c r="I2682" s="19">
        <v>2680</v>
      </c>
      <c r="J2682" s="19" cm="1">
        <f t="array" aca="1" ref="J2682" ca="1">INDIRECT("b"&amp;K2682+2)</f>
        <v>3.2500000000000001E+151</v>
      </c>
      <c r="K2682" s="19">
        <f t="shared" si="487"/>
        <v>5172</v>
      </c>
    </row>
    <row r="2683" spans="1:11">
      <c r="A2683">
        <v>2681</v>
      </c>
      <c r="B2683">
        <v>9.7749999999999997E+88</v>
      </c>
      <c r="D2683" s="18">
        <v>2681</v>
      </c>
      <c r="E2683" s="18" cm="1">
        <f t="array" aca="1" ref="E2683" ca="1">INDIRECT("b"&amp;F2683+2)</f>
        <v>3.4750000000000001E+121</v>
      </c>
      <c r="F2683" s="18">
        <f t="shared" si="491"/>
        <v>3973</v>
      </c>
      <c r="G2683" s="18"/>
      <c r="H2683" s="18"/>
      <c r="I2683" s="19">
        <v>2681</v>
      </c>
      <c r="J2683" s="19" cm="1">
        <f t="array" aca="1" ref="J2683" ca="1">INDIRECT("b"&amp;K2683+2)</f>
        <v>3.4749999999999999E+151</v>
      </c>
      <c r="K2683" s="19">
        <f t="shared" si="487"/>
        <v>5173</v>
      </c>
    </row>
    <row r="2684" spans="1:11">
      <c r="A2684">
        <v>2682</v>
      </c>
      <c r="B2684">
        <v>9.9999999999999985E+88</v>
      </c>
      <c r="D2684" s="18">
        <v>2682</v>
      </c>
      <c r="E2684" s="18" cm="1">
        <f t="array" aca="1" ref="E2684" ca="1">INDIRECT("b"&amp;F2684+2)</f>
        <v>3.7000000000000001E+121</v>
      </c>
      <c r="F2684" s="18">
        <f t="shared" si="491"/>
        <v>3974</v>
      </c>
      <c r="G2684" s="18">
        <f t="shared" ref="G2684" ca="1" si="500">E2684/E2679</f>
        <v>1.574468085106383</v>
      </c>
      <c r="H2684" s="18"/>
      <c r="I2684" s="19">
        <v>2682</v>
      </c>
      <c r="J2684" s="19" cm="1">
        <f t="array" aca="1" ref="J2684" ca="1">INDIRECT("b"&amp;K2684+2)</f>
        <v>3.7000000000000003E+151</v>
      </c>
      <c r="K2684" s="19">
        <f t="shared" si="487"/>
        <v>5174</v>
      </c>
    </row>
    <row r="2685" spans="1:11">
      <c r="A2685">
        <v>2683</v>
      </c>
      <c r="B2685">
        <v>1.2249999999999998E+89</v>
      </c>
      <c r="D2685" s="18">
        <v>2683</v>
      </c>
      <c r="E2685" s="18" cm="1">
        <f t="array" aca="1" ref="E2685" ca="1">INDIRECT("b"&amp;F2685+2)</f>
        <v>4.1499999999999997E+121</v>
      </c>
      <c r="F2685" s="18">
        <f t="shared" si="491"/>
        <v>3976</v>
      </c>
      <c r="G2685" s="18"/>
      <c r="H2685" s="18"/>
      <c r="I2685" s="19">
        <v>2683</v>
      </c>
      <c r="J2685" s="19" cm="1">
        <f t="array" aca="1" ref="J2685" ca="1">INDIRECT("b"&amp;K2685+2)</f>
        <v>4.1499999999999999E+151</v>
      </c>
      <c r="K2685" s="19">
        <f t="shared" si="487"/>
        <v>5176</v>
      </c>
    </row>
    <row r="2686" spans="1:11">
      <c r="A2686">
        <v>2684</v>
      </c>
      <c r="B2686">
        <v>1.4499999999999998E+89</v>
      </c>
      <c r="D2686" s="18">
        <v>2684</v>
      </c>
      <c r="E2686" s="18" cm="1">
        <f t="array" aca="1" ref="E2686" ca="1">INDIRECT("b"&amp;F2686+2)</f>
        <v>4.3750000000000002E+121</v>
      </c>
      <c r="F2686" s="18">
        <f t="shared" si="491"/>
        <v>3977</v>
      </c>
      <c r="G2686" s="18"/>
      <c r="H2686" s="18"/>
      <c r="I2686" s="19">
        <v>2684</v>
      </c>
      <c r="J2686" s="19" cm="1">
        <f t="array" aca="1" ref="J2686" ca="1">INDIRECT("b"&amp;K2686+2)</f>
        <v>4.3750000000000003E+151</v>
      </c>
      <c r="K2686" s="19">
        <f t="shared" si="487"/>
        <v>5177</v>
      </c>
    </row>
    <row r="2687" spans="1:11">
      <c r="A2687">
        <v>2685</v>
      </c>
      <c r="B2687">
        <v>1.6749999999999998E+89</v>
      </c>
      <c r="D2687" s="18">
        <v>2685</v>
      </c>
      <c r="E2687" s="18" cm="1">
        <f t="array" aca="1" ref="E2687" ca="1">INDIRECT("b"&amp;F2687+2)</f>
        <v>4.5999999999999997E+121</v>
      </c>
      <c r="F2687" s="18">
        <f t="shared" si="491"/>
        <v>3978</v>
      </c>
      <c r="G2687" s="18"/>
      <c r="H2687" s="18"/>
      <c r="I2687" s="19">
        <v>2685</v>
      </c>
      <c r="J2687" s="19" cm="1">
        <f t="array" aca="1" ref="J2687" ca="1">INDIRECT("b"&amp;K2687+2)</f>
        <v>4.6000000000000002E+151</v>
      </c>
      <c r="K2687" s="19">
        <f t="shared" si="487"/>
        <v>5178</v>
      </c>
    </row>
    <row r="2688" spans="1:11">
      <c r="A2688">
        <v>2686</v>
      </c>
      <c r="B2688">
        <v>1.8999999999999998E+89</v>
      </c>
      <c r="D2688" s="18">
        <v>2686</v>
      </c>
      <c r="E2688" s="18" cm="1">
        <f t="array" aca="1" ref="E2688" ca="1">INDIRECT("b"&amp;F2688+2)</f>
        <v>5.0499999999999998E+121</v>
      </c>
      <c r="F2688" s="18">
        <f t="shared" si="491"/>
        <v>3980</v>
      </c>
      <c r="G2688" s="18"/>
      <c r="H2688" s="18"/>
      <c r="I2688" s="19">
        <v>2686</v>
      </c>
      <c r="J2688" s="19" cm="1">
        <f t="array" aca="1" ref="J2688" ca="1">INDIRECT("b"&amp;K2688+2)</f>
        <v>5.0500000000000004E+151</v>
      </c>
      <c r="K2688" s="19">
        <f t="shared" si="487"/>
        <v>5180</v>
      </c>
    </row>
    <row r="2689" spans="1:11">
      <c r="A2689">
        <v>2687</v>
      </c>
      <c r="B2689">
        <v>2.1249999999999998E+89</v>
      </c>
      <c r="D2689" s="18">
        <v>2687</v>
      </c>
      <c r="E2689" s="18" cm="1">
        <f t="array" aca="1" ref="E2689" ca="1">INDIRECT("b"&amp;F2689+2)</f>
        <v>5.2750000000000002E+121</v>
      </c>
      <c r="F2689" s="18">
        <f t="shared" si="491"/>
        <v>3981</v>
      </c>
      <c r="G2689" s="18">
        <f t="shared" ref="G2689" ca="1" si="501">E2689/E2684</f>
        <v>1.4256756756756757</v>
      </c>
      <c r="H2689" s="18"/>
      <c r="I2689" s="19">
        <v>2687</v>
      </c>
      <c r="J2689" s="19" cm="1">
        <f t="array" aca="1" ref="J2689" ca="1">INDIRECT("b"&amp;K2689+2)</f>
        <v>5.2749999999999996E+151</v>
      </c>
      <c r="K2689" s="19">
        <f t="shared" si="487"/>
        <v>5181</v>
      </c>
    </row>
    <row r="2690" spans="1:11">
      <c r="A2690">
        <v>2688</v>
      </c>
      <c r="B2690">
        <v>2.3499999999999998E+89</v>
      </c>
      <c r="D2690" s="18">
        <v>2688</v>
      </c>
      <c r="E2690" s="18" cm="1">
        <f t="array" aca="1" ref="E2690" ca="1">INDIRECT("b"&amp;F2690+2)</f>
        <v>5.4999999999999998E+121</v>
      </c>
      <c r="F2690" s="18">
        <f t="shared" si="491"/>
        <v>3982</v>
      </c>
      <c r="G2690" s="18"/>
      <c r="H2690" s="18"/>
      <c r="I2690" s="19">
        <v>2688</v>
      </c>
      <c r="J2690" s="19" cm="1">
        <f t="array" aca="1" ref="J2690" ca="1">INDIRECT("b"&amp;K2690+2)</f>
        <v>5.5000000000000006E+151</v>
      </c>
      <c r="K2690" s="19">
        <f t="shared" si="487"/>
        <v>5182</v>
      </c>
    </row>
    <row r="2691" spans="1:11">
      <c r="A2691">
        <v>2689</v>
      </c>
      <c r="B2691">
        <v>2.5749999999999998E+89</v>
      </c>
      <c r="D2691" s="18">
        <v>2689</v>
      </c>
      <c r="E2691" s="18" cm="1">
        <f t="array" aca="1" ref="E2691" ca="1">INDIRECT("b"&amp;F2691+2)</f>
        <v>5.9499999999999998E+121</v>
      </c>
      <c r="F2691" s="18">
        <f t="shared" si="491"/>
        <v>3984</v>
      </c>
      <c r="G2691" s="18"/>
      <c r="H2691" s="18"/>
      <c r="I2691" s="19">
        <v>2689</v>
      </c>
      <c r="J2691" s="19" cm="1">
        <f t="array" aca="1" ref="J2691" ca="1">INDIRECT("b"&amp;K2691+2)</f>
        <v>5.9500000000000002E+151</v>
      </c>
      <c r="K2691" s="19">
        <f t="shared" si="487"/>
        <v>5184</v>
      </c>
    </row>
    <row r="2692" spans="1:11">
      <c r="A2692">
        <v>2690</v>
      </c>
      <c r="B2692">
        <v>2.7999999999999998E+89</v>
      </c>
      <c r="D2692" s="18">
        <v>2690</v>
      </c>
      <c r="E2692" s="18" cm="1">
        <f t="array" aca="1" ref="E2692" ca="1">INDIRECT("b"&amp;F2692+2)</f>
        <v>6.1750000000000003E+121</v>
      </c>
      <c r="F2692" s="18">
        <f t="shared" si="491"/>
        <v>3985</v>
      </c>
      <c r="G2692" s="18"/>
      <c r="H2692" s="18"/>
      <c r="I2692" s="19">
        <v>2690</v>
      </c>
      <c r="J2692" s="19" cm="1">
        <f t="array" aca="1" ref="J2692" ca="1">INDIRECT("b"&amp;K2692+2)</f>
        <v>6.1750000000000001E+151</v>
      </c>
      <c r="K2692" s="19">
        <f t="shared" ref="K2692:K2755" si="502">INT((A2692-1)*40/30+900*40/30)+400</f>
        <v>5185</v>
      </c>
    </row>
    <row r="2693" spans="1:11">
      <c r="A2693">
        <v>2691</v>
      </c>
      <c r="B2693">
        <v>3.0249999999999998E+89</v>
      </c>
      <c r="D2693" s="18">
        <v>2691</v>
      </c>
      <c r="E2693" s="18" cm="1">
        <f t="array" aca="1" ref="E2693" ca="1">INDIRECT("b"&amp;F2693+2)</f>
        <v>6.3999999999999999E+121</v>
      </c>
      <c r="F2693" s="18">
        <f t="shared" si="491"/>
        <v>3986</v>
      </c>
      <c r="G2693" s="18"/>
      <c r="H2693" s="18"/>
      <c r="I2693" s="19">
        <v>2691</v>
      </c>
      <c r="J2693" s="19" cm="1">
        <f t="array" aca="1" ref="J2693" ca="1">INDIRECT("b"&amp;K2693+2)</f>
        <v>6.3999999999999999E+151</v>
      </c>
      <c r="K2693" s="19">
        <f t="shared" si="502"/>
        <v>5186</v>
      </c>
    </row>
    <row r="2694" spans="1:11">
      <c r="A2694">
        <v>2692</v>
      </c>
      <c r="B2694">
        <v>3.2499999999999998E+89</v>
      </c>
      <c r="D2694" s="18">
        <v>2692</v>
      </c>
      <c r="E2694" s="18" cm="1">
        <f t="array" aca="1" ref="E2694" ca="1">INDIRECT("b"&amp;F2694+2)</f>
        <v>6.8499999999999999E+121</v>
      </c>
      <c r="F2694" s="18">
        <f t="shared" si="491"/>
        <v>3988</v>
      </c>
      <c r="G2694" s="18">
        <f t="shared" ref="G2694" ca="1" si="503">E2694/E2689</f>
        <v>1.2985781990521326</v>
      </c>
      <c r="H2694" s="18"/>
      <c r="I2694" s="19">
        <v>2692</v>
      </c>
      <c r="J2694" s="19" cm="1">
        <f t="array" aca="1" ref="J2694" ca="1">INDIRECT("b"&amp;K2694+2)</f>
        <v>6.8500000000000007E+151</v>
      </c>
      <c r="K2694" s="19">
        <f t="shared" si="502"/>
        <v>5188</v>
      </c>
    </row>
    <row r="2695" spans="1:11">
      <c r="A2695">
        <v>2693</v>
      </c>
      <c r="B2695">
        <v>3.4749999999999998E+89</v>
      </c>
      <c r="D2695" s="18">
        <v>2693</v>
      </c>
      <c r="E2695" s="18" cm="1">
        <f t="array" aca="1" ref="E2695" ca="1">INDIRECT("b"&amp;F2695+2)</f>
        <v>7.0750000000000004E+121</v>
      </c>
      <c r="F2695" s="18">
        <f t="shared" si="491"/>
        <v>3989</v>
      </c>
      <c r="G2695" s="18"/>
      <c r="H2695" s="18"/>
      <c r="I2695" s="19">
        <v>2693</v>
      </c>
      <c r="J2695" s="19" cm="1">
        <f t="array" aca="1" ref="J2695" ca="1">INDIRECT("b"&amp;K2695+2)</f>
        <v>7.0750000000000005E+151</v>
      </c>
      <c r="K2695" s="19">
        <f t="shared" si="502"/>
        <v>5189</v>
      </c>
    </row>
    <row r="2696" spans="1:11">
      <c r="A2696">
        <v>2694</v>
      </c>
      <c r="B2696">
        <v>3.6999999999999998E+89</v>
      </c>
      <c r="D2696" s="18">
        <v>2694</v>
      </c>
      <c r="E2696" s="18" cm="1">
        <f t="array" aca="1" ref="E2696" ca="1">INDIRECT("b"&amp;F2696+2)</f>
        <v>7.2999999999999999E+121</v>
      </c>
      <c r="F2696" s="18">
        <f t="shared" si="491"/>
        <v>3990</v>
      </c>
      <c r="G2696" s="18"/>
      <c r="H2696" s="18"/>
      <c r="I2696" s="19">
        <v>2694</v>
      </c>
      <c r="J2696" s="19" cm="1">
        <f t="array" aca="1" ref="J2696" ca="1">INDIRECT("b"&amp;K2696+2)</f>
        <v>7.3000000000000003E+151</v>
      </c>
      <c r="K2696" s="19">
        <f t="shared" si="502"/>
        <v>5190</v>
      </c>
    </row>
    <row r="2697" spans="1:11">
      <c r="A2697">
        <v>2695</v>
      </c>
      <c r="B2697">
        <v>3.9249999999999998E+89</v>
      </c>
      <c r="D2697" s="18">
        <v>2695</v>
      </c>
      <c r="E2697" s="18" cm="1">
        <f t="array" aca="1" ref="E2697" ca="1">INDIRECT("b"&amp;F2697+2)</f>
        <v>7.75E+121</v>
      </c>
      <c r="F2697" s="18">
        <f t="shared" si="491"/>
        <v>3992</v>
      </c>
      <c r="G2697" s="18"/>
      <c r="H2697" s="18"/>
      <c r="I2697" s="19">
        <v>2695</v>
      </c>
      <c r="J2697" s="19" cm="1">
        <f t="array" aca="1" ref="J2697" ca="1">INDIRECT("b"&amp;K2697+2)</f>
        <v>7.75E+151</v>
      </c>
      <c r="K2697" s="19">
        <f t="shared" si="502"/>
        <v>5192</v>
      </c>
    </row>
    <row r="2698" spans="1:11">
      <c r="A2698">
        <v>2696</v>
      </c>
      <c r="B2698">
        <v>4.1499999999999998E+89</v>
      </c>
      <c r="D2698" s="18">
        <v>2696</v>
      </c>
      <c r="E2698" s="18" cm="1">
        <f t="array" aca="1" ref="E2698" ca="1">INDIRECT("b"&amp;F2698+2)</f>
        <v>7.9750000000000004E+121</v>
      </c>
      <c r="F2698" s="18">
        <f t="shared" si="491"/>
        <v>3993</v>
      </c>
      <c r="G2698" s="18"/>
      <c r="H2698" s="18"/>
      <c r="I2698" s="19">
        <v>2696</v>
      </c>
      <c r="J2698" s="19" cm="1">
        <f t="array" aca="1" ref="J2698" ca="1">INDIRECT("b"&amp;K2698+2)</f>
        <v>7.9749999999999998E+151</v>
      </c>
      <c r="K2698" s="19">
        <f t="shared" si="502"/>
        <v>5193</v>
      </c>
    </row>
    <row r="2699" spans="1:11">
      <c r="A2699">
        <v>2697</v>
      </c>
      <c r="B2699">
        <v>4.3749999999999998E+89</v>
      </c>
      <c r="D2699" s="18">
        <v>2697</v>
      </c>
      <c r="E2699" s="18" cm="1">
        <f t="array" aca="1" ref="E2699" ca="1">INDIRECT("b"&amp;F2699+2)</f>
        <v>8.2E+121</v>
      </c>
      <c r="F2699" s="18">
        <f t="shared" si="491"/>
        <v>3994</v>
      </c>
      <c r="G2699" s="18">
        <f t="shared" ref="G2699" ca="1" si="504">E2699/E2694</f>
        <v>1.197080291970803</v>
      </c>
      <c r="H2699" s="18"/>
      <c r="I2699" s="19">
        <v>2697</v>
      </c>
      <c r="J2699" s="19" cm="1">
        <f t="array" aca="1" ref="J2699" ca="1">INDIRECT("b"&amp;K2699+2)</f>
        <v>8.2000000000000008E+151</v>
      </c>
      <c r="K2699" s="19">
        <f t="shared" si="502"/>
        <v>5194</v>
      </c>
    </row>
    <row r="2700" spans="1:11">
      <c r="A2700">
        <v>2698</v>
      </c>
      <c r="B2700">
        <v>4.5999999999999998E+89</v>
      </c>
      <c r="D2700" s="18">
        <v>2698</v>
      </c>
      <c r="E2700" s="18" cm="1">
        <f t="array" aca="1" ref="E2700" ca="1">INDIRECT("b"&amp;F2700+2)</f>
        <v>8.650000000000001E+121</v>
      </c>
      <c r="F2700" s="18">
        <f t="shared" si="491"/>
        <v>3996</v>
      </c>
      <c r="G2700" s="18"/>
      <c r="H2700" s="18"/>
      <c r="I2700" s="19">
        <v>2698</v>
      </c>
      <c r="J2700" s="19" cm="1">
        <f t="array" aca="1" ref="J2700" ca="1">INDIRECT("b"&amp;K2700+2)</f>
        <v>8.6500000000000004E+151</v>
      </c>
      <c r="K2700" s="19">
        <f t="shared" si="502"/>
        <v>5196</v>
      </c>
    </row>
    <row r="2701" spans="1:11">
      <c r="A2701">
        <v>2699</v>
      </c>
      <c r="B2701">
        <v>4.8249999999999998E+89</v>
      </c>
      <c r="D2701" s="18">
        <v>2699</v>
      </c>
      <c r="E2701" s="18" cm="1">
        <f t="array" aca="1" ref="E2701" ca="1">INDIRECT("b"&amp;F2701+2)</f>
        <v>8.8749999999999996E+121</v>
      </c>
      <c r="F2701" s="18">
        <f t="shared" si="491"/>
        <v>3997</v>
      </c>
      <c r="G2701" s="18"/>
      <c r="H2701" s="18"/>
      <c r="I2701" s="19">
        <v>2699</v>
      </c>
      <c r="J2701" s="19" cm="1">
        <f t="array" aca="1" ref="J2701" ca="1">INDIRECT("b"&amp;K2701+2)</f>
        <v>8.8750000000000002E+151</v>
      </c>
      <c r="K2701" s="19">
        <f t="shared" si="502"/>
        <v>5197</v>
      </c>
    </row>
    <row r="2702" spans="1:11">
      <c r="A2702">
        <v>2700</v>
      </c>
      <c r="B2702">
        <v>5.0499999999999998E+89</v>
      </c>
      <c r="D2702" s="18">
        <v>2700</v>
      </c>
      <c r="E2702" s="18" cm="1">
        <f t="array" aca="1" ref="E2702" ca="1">INDIRECT("b"&amp;F2702+2)</f>
        <v>9.1000000000000001E+121</v>
      </c>
      <c r="F2702" s="18">
        <f t="shared" si="491"/>
        <v>3998</v>
      </c>
      <c r="G2702" s="18"/>
      <c r="H2702" s="18"/>
      <c r="I2702" s="19">
        <v>2700</v>
      </c>
      <c r="J2702" s="19" cm="1">
        <f t="array" aca="1" ref="J2702" ca="1">INDIRECT("b"&amp;K2702+2)</f>
        <v>9.1E+151</v>
      </c>
      <c r="K2702" s="19">
        <f t="shared" si="502"/>
        <v>5198</v>
      </c>
    </row>
    <row r="2703" spans="1:11">
      <c r="A2703">
        <v>2701</v>
      </c>
      <c r="B2703">
        <v>5.2749999999999998E+89</v>
      </c>
      <c r="D2703" s="18">
        <v>2701</v>
      </c>
      <c r="E2703" s="18" cm="1">
        <f t="array" aca="1" ref="E2703" ca="1">INDIRECT("b"&amp;F2703+2)</f>
        <v>9.550000000000001E+121</v>
      </c>
      <c r="F2703" s="18">
        <f t="shared" si="491"/>
        <v>4000</v>
      </c>
      <c r="G2703" s="18"/>
      <c r="H2703" s="18"/>
      <c r="I2703" s="19">
        <v>2701</v>
      </c>
      <c r="J2703" s="19" cm="1">
        <f t="array" aca="1" ref="J2703" ca="1">INDIRECT("b"&amp;K2703+2)</f>
        <v>9.5499999999999997E+151</v>
      </c>
      <c r="K2703" s="19">
        <f t="shared" si="502"/>
        <v>5200</v>
      </c>
    </row>
    <row r="2704" spans="1:11">
      <c r="A2704">
        <v>2702</v>
      </c>
      <c r="B2704">
        <v>5.4999999999999998E+89</v>
      </c>
      <c r="D2704" s="18">
        <v>2702</v>
      </c>
      <c r="E2704" s="18" cm="1">
        <f t="array" aca="1" ref="E2704" ca="1">INDIRECT("b"&amp;F2704+2)</f>
        <v>9.7749999999999997E+121</v>
      </c>
      <c r="F2704" s="18">
        <f t="shared" si="491"/>
        <v>4001</v>
      </c>
      <c r="G2704" s="18">
        <f t="shared" ref="G2704" ca="1" si="505">E2704/E2699</f>
        <v>1.1920731707317074</v>
      </c>
      <c r="H2704" s="18"/>
      <c r="I2704" s="19">
        <v>2702</v>
      </c>
      <c r="J2704" s="19" cm="1">
        <f t="array" aca="1" ref="J2704" ca="1">INDIRECT("b"&amp;K2704+2)</f>
        <v>9.7750000000000006E+151</v>
      </c>
      <c r="K2704" s="19">
        <f t="shared" si="502"/>
        <v>5201</v>
      </c>
    </row>
    <row r="2705" spans="1:11">
      <c r="A2705">
        <v>2703</v>
      </c>
      <c r="B2705">
        <v>5.7249999999999998E+89</v>
      </c>
      <c r="D2705" s="18">
        <v>2703</v>
      </c>
      <c r="E2705" s="18" cm="1">
        <f t="array" aca="1" ref="E2705" ca="1">INDIRECT("b"&amp;F2705+2)</f>
        <v>1E+122</v>
      </c>
      <c r="F2705" s="18">
        <f t="shared" si="491"/>
        <v>4002</v>
      </c>
      <c r="G2705" s="18"/>
      <c r="H2705" s="18"/>
      <c r="I2705" s="19">
        <v>2703</v>
      </c>
      <c r="J2705" s="19" cm="1">
        <f t="array" aca="1" ref="J2705" ca="1">INDIRECT("b"&amp;K2705+2)</f>
        <v>1E+152</v>
      </c>
      <c r="K2705" s="19">
        <f t="shared" si="502"/>
        <v>5202</v>
      </c>
    </row>
    <row r="2706" spans="1:11">
      <c r="A2706">
        <v>2704</v>
      </c>
      <c r="B2706">
        <v>5.9499999999999997E+89</v>
      </c>
      <c r="D2706" s="18">
        <v>2704</v>
      </c>
      <c r="E2706" s="18" cm="1">
        <f t="array" aca="1" ref="E2706" ca="1">INDIRECT("b"&amp;F2706+2)</f>
        <v>1.45E+122</v>
      </c>
      <c r="F2706" s="18">
        <f t="shared" si="491"/>
        <v>4004</v>
      </c>
      <c r="G2706" s="18"/>
      <c r="H2706" s="18"/>
      <c r="I2706" s="19">
        <v>2704</v>
      </c>
      <c r="J2706" s="19" cm="1">
        <f t="array" aca="1" ref="J2706" ca="1">INDIRECT("b"&amp;K2706+2)</f>
        <v>1.4500000000000001E+152</v>
      </c>
      <c r="K2706" s="19">
        <f t="shared" si="502"/>
        <v>5204</v>
      </c>
    </row>
    <row r="2707" spans="1:11">
      <c r="A2707">
        <v>2705</v>
      </c>
      <c r="B2707">
        <v>6.1749999999999997E+89</v>
      </c>
      <c r="D2707" s="18">
        <v>2705</v>
      </c>
      <c r="E2707" s="18" cm="1">
        <f t="array" aca="1" ref="E2707" ca="1">INDIRECT("b"&amp;F2707+2)</f>
        <v>1.6750000000000002E+122</v>
      </c>
      <c r="F2707" s="18">
        <f t="shared" ref="F2707:F2770" si="506">INT((A2707-123)*1.333333)+563</f>
        <v>4005</v>
      </c>
      <c r="G2707" s="18"/>
      <c r="H2707" s="18"/>
      <c r="I2707" s="19">
        <v>2705</v>
      </c>
      <c r="J2707" s="19" cm="1">
        <f t="array" aca="1" ref="J2707" ca="1">INDIRECT("b"&amp;K2707+2)</f>
        <v>1.675E+152</v>
      </c>
      <c r="K2707" s="19">
        <f t="shared" si="502"/>
        <v>5205</v>
      </c>
    </row>
    <row r="2708" spans="1:11">
      <c r="A2708">
        <v>2706</v>
      </c>
      <c r="B2708">
        <v>6.3999999999999997E+89</v>
      </c>
      <c r="D2708" s="18">
        <v>2706</v>
      </c>
      <c r="E2708" s="18" cm="1">
        <f t="array" aca="1" ref="E2708" ca="1">INDIRECT("b"&amp;F2708+2)</f>
        <v>1.8999999999999999E+122</v>
      </c>
      <c r="F2708" s="18">
        <f t="shared" si="506"/>
        <v>4006</v>
      </c>
      <c r="G2708" s="18"/>
      <c r="H2708" s="18"/>
      <c r="I2708" s="19">
        <v>2706</v>
      </c>
      <c r="J2708" s="19" cm="1">
        <f t="array" aca="1" ref="J2708" ca="1">INDIRECT("b"&amp;K2708+2)</f>
        <v>1.9E+152</v>
      </c>
      <c r="K2708" s="19">
        <f t="shared" si="502"/>
        <v>5206</v>
      </c>
    </row>
    <row r="2709" spans="1:11">
      <c r="A2709">
        <v>2707</v>
      </c>
      <c r="B2709">
        <v>6.6249999999999997E+89</v>
      </c>
      <c r="D2709" s="18">
        <v>2707</v>
      </c>
      <c r="E2709" s="18" cm="1">
        <f t="array" aca="1" ref="E2709" ca="1">INDIRECT("b"&amp;F2709+2)</f>
        <v>2.3500000000000001E+122</v>
      </c>
      <c r="F2709" s="18">
        <f t="shared" si="506"/>
        <v>4008</v>
      </c>
      <c r="G2709" s="18">
        <f t="shared" ref="G2709" ca="1" si="507">E2709/E2704</f>
        <v>2.4040920716112533</v>
      </c>
      <c r="H2709" s="18"/>
      <c r="I2709" s="19">
        <v>2707</v>
      </c>
      <c r="J2709" s="19" cm="1">
        <f t="array" aca="1" ref="J2709" ca="1">INDIRECT("b"&amp;K2709+2)</f>
        <v>2.3500000000000001E+152</v>
      </c>
      <c r="K2709" s="19">
        <f t="shared" si="502"/>
        <v>5208</v>
      </c>
    </row>
    <row r="2710" spans="1:11">
      <c r="A2710">
        <v>2708</v>
      </c>
      <c r="B2710">
        <v>6.8499999999999997E+89</v>
      </c>
      <c r="D2710" s="18">
        <v>2708</v>
      </c>
      <c r="E2710" s="18" cm="1">
        <f t="array" aca="1" ref="E2710" ca="1">INDIRECT("b"&amp;F2710+2)</f>
        <v>2.5749999999999999E+122</v>
      </c>
      <c r="F2710" s="18">
        <f t="shared" si="506"/>
        <v>4009</v>
      </c>
      <c r="G2710" s="18"/>
      <c r="H2710" s="18"/>
      <c r="I2710" s="19">
        <v>2708</v>
      </c>
      <c r="J2710" s="19" cm="1">
        <f t="array" aca="1" ref="J2710" ca="1">INDIRECT("b"&amp;K2710+2)</f>
        <v>2.5749999999999999E+152</v>
      </c>
      <c r="K2710" s="19">
        <f t="shared" si="502"/>
        <v>5209</v>
      </c>
    </row>
    <row r="2711" spans="1:11">
      <c r="A2711">
        <v>2709</v>
      </c>
      <c r="B2711">
        <v>7.0749999999999997E+89</v>
      </c>
      <c r="D2711" s="18">
        <v>2709</v>
      </c>
      <c r="E2711" s="18" cm="1">
        <f t="array" aca="1" ref="E2711" ca="1">INDIRECT("b"&amp;F2711+2)</f>
        <v>2.8E+122</v>
      </c>
      <c r="F2711" s="18">
        <f t="shared" si="506"/>
        <v>4010</v>
      </c>
      <c r="G2711" s="18"/>
      <c r="H2711" s="18"/>
      <c r="I2711" s="19">
        <v>2709</v>
      </c>
      <c r="J2711" s="19" cm="1">
        <f t="array" aca="1" ref="J2711" ca="1">INDIRECT("b"&amp;K2711+2)</f>
        <v>2.8000000000000002E+152</v>
      </c>
      <c r="K2711" s="19">
        <f t="shared" si="502"/>
        <v>5210</v>
      </c>
    </row>
    <row r="2712" spans="1:11">
      <c r="A2712">
        <v>2710</v>
      </c>
      <c r="B2712">
        <v>7.2999999999999997E+89</v>
      </c>
      <c r="D2712" s="18">
        <v>2710</v>
      </c>
      <c r="E2712" s="18" cm="1">
        <f t="array" aca="1" ref="E2712" ca="1">INDIRECT("b"&amp;F2712+2)</f>
        <v>3.2500000000000002E+122</v>
      </c>
      <c r="F2712" s="18">
        <f t="shared" si="506"/>
        <v>4012</v>
      </c>
      <c r="G2712" s="18"/>
      <c r="H2712" s="18"/>
      <c r="I2712" s="19">
        <v>2710</v>
      </c>
      <c r="J2712" s="19" cm="1">
        <f t="array" aca="1" ref="J2712" ca="1">INDIRECT("b"&amp;K2712+2)</f>
        <v>3.2499999999999999E+152</v>
      </c>
      <c r="K2712" s="19">
        <f t="shared" si="502"/>
        <v>5212</v>
      </c>
    </row>
    <row r="2713" spans="1:11">
      <c r="A2713">
        <v>2711</v>
      </c>
      <c r="B2713">
        <v>7.5249999999999997E+89</v>
      </c>
      <c r="D2713" s="18">
        <v>2711</v>
      </c>
      <c r="E2713" s="18" cm="1">
        <f t="array" aca="1" ref="E2713" ca="1">INDIRECT("b"&amp;F2713+2)</f>
        <v>3.4750000000000003E+122</v>
      </c>
      <c r="F2713" s="18">
        <f t="shared" si="506"/>
        <v>4013</v>
      </c>
      <c r="G2713" s="18"/>
      <c r="H2713" s="18"/>
      <c r="I2713" s="19">
        <v>2711</v>
      </c>
      <c r="J2713" s="19" cm="1">
        <f t="array" aca="1" ref="J2713" ca="1">INDIRECT("b"&amp;K2713+2)</f>
        <v>3.4750000000000001E+152</v>
      </c>
      <c r="K2713" s="19">
        <f t="shared" si="502"/>
        <v>5213</v>
      </c>
    </row>
    <row r="2714" spans="1:11">
      <c r="A2714">
        <v>2712</v>
      </c>
      <c r="B2714">
        <v>7.7499999999999997E+89</v>
      </c>
      <c r="D2714" s="18">
        <v>2712</v>
      </c>
      <c r="E2714" s="18" cm="1">
        <f t="array" aca="1" ref="E2714" ca="1">INDIRECT("b"&amp;F2714+2)</f>
        <v>3.7000000000000004E+122</v>
      </c>
      <c r="F2714" s="18">
        <f t="shared" si="506"/>
        <v>4014</v>
      </c>
      <c r="G2714" s="18">
        <f t="shared" ref="G2714" ca="1" si="508">E2714/E2709</f>
        <v>1.574468085106383</v>
      </c>
      <c r="H2714" s="18"/>
      <c r="I2714" s="19">
        <v>2712</v>
      </c>
      <c r="J2714" s="19" cm="1">
        <f t="array" aca="1" ref="J2714" ca="1">INDIRECT("b"&amp;K2714+2)</f>
        <v>3.7E+152</v>
      </c>
      <c r="K2714" s="19">
        <f t="shared" si="502"/>
        <v>5214</v>
      </c>
    </row>
    <row r="2715" spans="1:11">
      <c r="A2715">
        <v>2713</v>
      </c>
      <c r="B2715">
        <v>7.9749999999999997E+89</v>
      </c>
      <c r="D2715" s="18">
        <v>2713</v>
      </c>
      <c r="E2715" s="18" cm="1">
        <f t="array" aca="1" ref="E2715" ca="1">INDIRECT("b"&amp;F2715+2)</f>
        <v>4.1499999999999999E+122</v>
      </c>
      <c r="F2715" s="18">
        <f t="shared" si="506"/>
        <v>4016</v>
      </c>
      <c r="G2715" s="18"/>
      <c r="H2715" s="18"/>
      <c r="I2715" s="19">
        <v>2713</v>
      </c>
      <c r="J2715" s="19" cm="1">
        <f t="array" aca="1" ref="J2715" ca="1">INDIRECT("b"&amp;K2715+2)</f>
        <v>4.1500000000000001E+152</v>
      </c>
      <c r="K2715" s="19">
        <f t="shared" si="502"/>
        <v>5216</v>
      </c>
    </row>
    <row r="2716" spans="1:11">
      <c r="A2716">
        <v>2714</v>
      </c>
      <c r="B2716">
        <v>8.1999999999999997E+89</v>
      </c>
      <c r="D2716" s="18">
        <v>2714</v>
      </c>
      <c r="E2716" s="18" cm="1">
        <f t="array" aca="1" ref="E2716" ca="1">INDIRECT("b"&amp;F2716+2)</f>
        <v>4.375E+122</v>
      </c>
      <c r="F2716" s="18">
        <f t="shared" si="506"/>
        <v>4017</v>
      </c>
      <c r="G2716" s="18"/>
      <c r="H2716" s="18"/>
      <c r="I2716" s="19">
        <v>2714</v>
      </c>
      <c r="J2716" s="19" cm="1">
        <f t="array" aca="1" ref="J2716" ca="1">INDIRECT("b"&amp;K2716+2)</f>
        <v>4.3749999999999999E+152</v>
      </c>
      <c r="K2716" s="19">
        <f t="shared" si="502"/>
        <v>5217</v>
      </c>
    </row>
    <row r="2717" spans="1:11">
      <c r="A2717">
        <v>2715</v>
      </c>
      <c r="B2717">
        <v>8.4249999999999997E+89</v>
      </c>
      <c r="D2717" s="18">
        <v>2715</v>
      </c>
      <c r="E2717" s="18" cm="1">
        <f t="array" aca="1" ref="E2717" ca="1">INDIRECT("b"&amp;F2717+2)</f>
        <v>4.6000000000000001E+122</v>
      </c>
      <c r="F2717" s="18">
        <f t="shared" si="506"/>
        <v>4018</v>
      </c>
      <c r="G2717" s="18"/>
      <c r="H2717" s="18"/>
      <c r="I2717" s="19">
        <v>2715</v>
      </c>
      <c r="J2717" s="19" cm="1">
        <f t="array" aca="1" ref="J2717" ca="1">INDIRECT("b"&amp;K2717+2)</f>
        <v>4.5999999999999997E+152</v>
      </c>
      <c r="K2717" s="19">
        <f t="shared" si="502"/>
        <v>5218</v>
      </c>
    </row>
    <row r="2718" spans="1:11">
      <c r="A2718">
        <v>2716</v>
      </c>
      <c r="B2718">
        <v>8.6499999999999997E+89</v>
      </c>
      <c r="D2718" s="18">
        <v>2716</v>
      </c>
      <c r="E2718" s="18" cm="1">
        <f t="array" aca="1" ref="E2718" ca="1">INDIRECT("b"&amp;F2718+2)</f>
        <v>5.0500000000000003E+122</v>
      </c>
      <c r="F2718" s="18">
        <f t="shared" si="506"/>
        <v>4020</v>
      </c>
      <c r="G2718" s="18"/>
      <c r="H2718" s="18"/>
      <c r="I2718" s="19">
        <v>2716</v>
      </c>
      <c r="J2718" s="19" cm="1">
        <f t="array" aca="1" ref="J2718" ca="1">INDIRECT("b"&amp;K2718+2)</f>
        <v>5.0500000000000003E+152</v>
      </c>
      <c r="K2718" s="19">
        <f t="shared" si="502"/>
        <v>5220</v>
      </c>
    </row>
    <row r="2719" spans="1:11">
      <c r="A2719">
        <v>2717</v>
      </c>
      <c r="B2719">
        <v>8.8749999999999997E+89</v>
      </c>
      <c r="D2719" s="18">
        <v>2717</v>
      </c>
      <c r="E2719" s="18" cm="1">
        <f t="array" aca="1" ref="E2719" ca="1">INDIRECT("b"&amp;F2719+2)</f>
        <v>5.2750000000000004E+122</v>
      </c>
      <c r="F2719" s="18">
        <f t="shared" si="506"/>
        <v>4021</v>
      </c>
      <c r="G2719" s="18">
        <f t="shared" ref="G2719" ca="1" si="509">E2719/E2714</f>
        <v>1.4256756756756757</v>
      </c>
      <c r="H2719" s="18"/>
      <c r="I2719" s="19">
        <v>2717</v>
      </c>
      <c r="J2719" s="19" cm="1">
        <f t="array" aca="1" ref="J2719" ca="1">INDIRECT("b"&amp;K2719+2)</f>
        <v>5.2750000000000001E+152</v>
      </c>
      <c r="K2719" s="19">
        <f t="shared" si="502"/>
        <v>5221</v>
      </c>
    </row>
    <row r="2720" spans="1:11">
      <c r="A2720">
        <v>2718</v>
      </c>
      <c r="B2720">
        <v>9.0999999999999997E+89</v>
      </c>
      <c r="D2720" s="18">
        <v>2718</v>
      </c>
      <c r="E2720" s="18" cm="1">
        <f t="array" aca="1" ref="E2720" ca="1">INDIRECT("b"&amp;F2720+2)</f>
        <v>5.4999999999999998E+122</v>
      </c>
      <c r="F2720" s="18">
        <f t="shared" si="506"/>
        <v>4022</v>
      </c>
      <c r="G2720" s="18"/>
      <c r="H2720" s="18"/>
      <c r="I2720" s="19">
        <v>2718</v>
      </c>
      <c r="J2720" s="19" cm="1">
        <f t="array" aca="1" ref="J2720" ca="1">INDIRECT("b"&amp;K2720+2)</f>
        <v>5.4999999999999999E+152</v>
      </c>
      <c r="K2720" s="19">
        <f t="shared" si="502"/>
        <v>5222</v>
      </c>
    </row>
    <row r="2721" spans="1:11">
      <c r="A2721">
        <v>2719</v>
      </c>
      <c r="B2721">
        <v>9.3249999999999997E+89</v>
      </c>
      <c r="D2721" s="18">
        <v>2719</v>
      </c>
      <c r="E2721" s="18" cm="1">
        <f t="array" aca="1" ref="E2721" ca="1">INDIRECT("b"&amp;F2721+2)</f>
        <v>5.95E+122</v>
      </c>
      <c r="F2721" s="18">
        <f t="shared" si="506"/>
        <v>4024</v>
      </c>
      <c r="G2721" s="18"/>
      <c r="H2721" s="18"/>
      <c r="I2721" s="19">
        <v>2719</v>
      </c>
      <c r="J2721" s="19" cm="1">
        <f t="array" aca="1" ref="J2721" ca="1">INDIRECT("b"&amp;K2721+2)</f>
        <v>5.9500000000000005E+152</v>
      </c>
      <c r="K2721" s="19">
        <f t="shared" si="502"/>
        <v>5224</v>
      </c>
    </row>
    <row r="2722" spans="1:11">
      <c r="A2722">
        <v>2720</v>
      </c>
      <c r="B2722">
        <v>9.5499999999999997E+89</v>
      </c>
      <c r="D2722" s="18">
        <v>2720</v>
      </c>
      <c r="E2722" s="18" cm="1">
        <f t="array" aca="1" ref="E2722" ca="1">INDIRECT("b"&amp;F2722+2)</f>
        <v>6.1750000000000001E+122</v>
      </c>
      <c r="F2722" s="18">
        <f t="shared" si="506"/>
        <v>4025</v>
      </c>
      <c r="G2722" s="18"/>
      <c r="H2722" s="18"/>
      <c r="I2722" s="19">
        <v>2720</v>
      </c>
      <c r="J2722" s="19" cm="1">
        <f t="array" aca="1" ref="J2722" ca="1">INDIRECT("b"&amp;K2722+2)</f>
        <v>6.1750000000000003E+152</v>
      </c>
      <c r="K2722" s="19">
        <f t="shared" si="502"/>
        <v>5225</v>
      </c>
    </row>
    <row r="2723" spans="1:11">
      <c r="A2723">
        <v>2721</v>
      </c>
      <c r="B2723">
        <v>9.7749999999999997E+89</v>
      </c>
      <c r="D2723" s="18">
        <v>2721</v>
      </c>
      <c r="E2723" s="18" cm="1">
        <f t="array" aca="1" ref="E2723" ca="1">INDIRECT("b"&amp;F2723+2)</f>
        <v>6.4000000000000002E+122</v>
      </c>
      <c r="F2723" s="18">
        <f t="shared" si="506"/>
        <v>4026</v>
      </c>
      <c r="G2723" s="18"/>
      <c r="H2723" s="18"/>
      <c r="I2723" s="19">
        <v>2721</v>
      </c>
      <c r="J2723" s="19" cm="1">
        <f t="array" aca="1" ref="J2723" ca="1">INDIRECT("b"&amp;K2723+2)</f>
        <v>6.4000000000000001E+152</v>
      </c>
      <c r="K2723" s="19">
        <f t="shared" si="502"/>
        <v>5226</v>
      </c>
    </row>
    <row r="2724" spans="1:11">
      <c r="A2724">
        <v>2722</v>
      </c>
      <c r="B2724">
        <v>9.9999999999999997E+89</v>
      </c>
      <c r="D2724" s="18">
        <v>2722</v>
      </c>
      <c r="E2724" s="18" cm="1">
        <f t="array" aca="1" ref="E2724" ca="1">INDIRECT("b"&amp;F2724+2)</f>
        <v>6.8499999999999997E+122</v>
      </c>
      <c r="F2724" s="18">
        <f t="shared" si="506"/>
        <v>4028</v>
      </c>
      <c r="G2724" s="18">
        <f t="shared" ref="G2724" ca="1" si="510">E2724/E2719</f>
        <v>1.2985781990521326</v>
      </c>
      <c r="H2724" s="18"/>
      <c r="I2724" s="19">
        <v>2722</v>
      </c>
      <c r="J2724" s="19" cm="1">
        <f t="array" aca="1" ref="J2724" ca="1">INDIRECT("b"&amp;K2724+2)</f>
        <v>6.8499999999999997E+152</v>
      </c>
      <c r="K2724" s="19">
        <f t="shared" si="502"/>
        <v>5228</v>
      </c>
    </row>
    <row r="2725" spans="1:11">
      <c r="A2725">
        <v>2723</v>
      </c>
      <c r="B2725">
        <v>1.2249999999999998E+90</v>
      </c>
      <c r="D2725" s="18">
        <v>2723</v>
      </c>
      <c r="E2725" s="18" cm="1">
        <f t="array" aca="1" ref="E2725" ca="1">INDIRECT("b"&amp;F2725+2)</f>
        <v>7.0750000000000006E+122</v>
      </c>
      <c r="F2725" s="18">
        <f t="shared" si="506"/>
        <v>4029</v>
      </c>
      <c r="G2725" s="18"/>
      <c r="H2725" s="18"/>
      <c r="I2725" s="19">
        <v>2723</v>
      </c>
      <c r="J2725" s="19" cm="1">
        <f t="array" aca="1" ref="J2725" ca="1">INDIRECT("b"&amp;K2725+2)</f>
        <v>7.0750000000000005E+152</v>
      </c>
      <c r="K2725" s="19">
        <f t="shared" si="502"/>
        <v>5229</v>
      </c>
    </row>
    <row r="2726" spans="1:11">
      <c r="A2726">
        <v>2724</v>
      </c>
      <c r="B2726">
        <v>1.4499999999999998E+90</v>
      </c>
      <c r="D2726" s="18">
        <v>2724</v>
      </c>
      <c r="E2726" s="18" cm="1">
        <f t="array" aca="1" ref="E2726" ca="1">INDIRECT("b"&amp;F2726+2)</f>
        <v>7.2999999999999999E+122</v>
      </c>
      <c r="F2726" s="18">
        <f t="shared" si="506"/>
        <v>4030</v>
      </c>
      <c r="G2726" s="18"/>
      <c r="H2726" s="18"/>
      <c r="I2726" s="19">
        <v>2724</v>
      </c>
      <c r="J2726" s="19" cm="1">
        <f t="array" aca="1" ref="J2726" ca="1">INDIRECT("b"&amp;K2726+2)</f>
        <v>7.3000000000000003E+152</v>
      </c>
      <c r="K2726" s="19">
        <f t="shared" si="502"/>
        <v>5230</v>
      </c>
    </row>
    <row r="2727" spans="1:11">
      <c r="A2727">
        <v>2725</v>
      </c>
      <c r="B2727">
        <v>1.6749999999999998E+90</v>
      </c>
      <c r="D2727" s="18">
        <v>2725</v>
      </c>
      <c r="E2727" s="18" cm="1">
        <f t="array" aca="1" ref="E2727" ca="1">INDIRECT("b"&amp;F2727+2)</f>
        <v>7.7500000000000002E+122</v>
      </c>
      <c r="F2727" s="18">
        <f t="shared" si="506"/>
        <v>4032</v>
      </c>
      <c r="G2727" s="18"/>
      <c r="H2727" s="18"/>
      <c r="I2727" s="19">
        <v>2725</v>
      </c>
      <c r="J2727" s="19" cm="1">
        <f t="array" aca="1" ref="J2727" ca="1">INDIRECT("b"&amp;K2727+2)</f>
        <v>7.75E+152</v>
      </c>
      <c r="K2727" s="19">
        <f t="shared" si="502"/>
        <v>5232</v>
      </c>
    </row>
    <row r="2728" spans="1:11">
      <c r="A2728">
        <v>2726</v>
      </c>
      <c r="B2728">
        <v>1.8999999999999998E+90</v>
      </c>
      <c r="D2728" s="18">
        <v>2726</v>
      </c>
      <c r="E2728" s="18" cm="1">
        <f t="array" aca="1" ref="E2728" ca="1">INDIRECT("b"&amp;F2728+2)</f>
        <v>7.9749999999999995E+122</v>
      </c>
      <c r="F2728" s="18">
        <f t="shared" si="506"/>
        <v>4033</v>
      </c>
      <c r="G2728" s="18"/>
      <c r="H2728" s="18"/>
      <c r="I2728" s="19">
        <v>2726</v>
      </c>
      <c r="J2728" s="19" cm="1">
        <f t="array" aca="1" ref="J2728" ca="1">INDIRECT("b"&amp;K2728+2)</f>
        <v>7.9749999999999998E+152</v>
      </c>
      <c r="K2728" s="19">
        <f t="shared" si="502"/>
        <v>5233</v>
      </c>
    </row>
    <row r="2729" spans="1:11">
      <c r="A2729">
        <v>2727</v>
      </c>
      <c r="B2729">
        <v>2.1250000000000001E+90</v>
      </c>
      <c r="D2729" s="18">
        <v>2727</v>
      </c>
      <c r="E2729" s="18" cm="1">
        <f t="array" aca="1" ref="E2729" ca="1">INDIRECT("b"&amp;F2729+2)</f>
        <v>8.2000000000000004E+122</v>
      </c>
      <c r="F2729" s="18">
        <f t="shared" si="506"/>
        <v>4034</v>
      </c>
      <c r="G2729" s="18">
        <f t="shared" ref="G2729" ca="1" si="511">E2729/E2724</f>
        <v>1.197080291970803</v>
      </c>
      <c r="H2729" s="18"/>
      <c r="I2729" s="19">
        <v>2727</v>
      </c>
      <c r="J2729" s="19" cm="1">
        <f t="array" aca="1" ref="J2729" ca="1">INDIRECT("b"&amp;K2729+2)</f>
        <v>8.2000000000000005E+152</v>
      </c>
      <c r="K2729" s="19">
        <f t="shared" si="502"/>
        <v>5234</v>
      </c>
    </row>
    <row r="2730" spans="1:11">
      <c r="A2730">
        <v>2728</v>
      </c>
      <c r="B2730">
        <v>2.3500000000000001E+90</v>
      </c>
      <c r="D2730" s="18">
        <v>2728</v>
      </c>
      <c r="E2730" s="18" cm="1">
        <f t="array" aca="1" ref="E2730" ca="1">INDIRECT("b"&amp;F2730+2)</f>
        <v>8.6500000000000006E+122</v>
      </c>
      <c r="F2730" s="18">
        <f t="shared" si="506"/>
        <v>4036</v>
      </c>
      <c r="G2730" s="18"/>
      <c r="H2730" s="18"/>
      <c r="I2730" s="19">
        <v>2728</v>
      </c>
      <c r="J2730" s="19" cm="1">
        <f t="array" aca="1" ref="J2730" ca="1">INDIRECT("b"&amp;K2730+2)</f>
        <v>8.6500000000000011E+152</v>
      </c>
      <c r="K2730" s="19">
        <f t="shared" si="502"/>
        <v>5236</v>
      </c>
    </row>
    <row r="2731" spans="1:11">
      <c r="A2731">
        <v>2729</v>
      </c>
      <c r="B2731">
        <v>2.575E+90</v>
      </c>
      <c r="D2731" s="18">
        <v>2729</v>
      </c>
      <c r="E2731" s="18" cm="1">
        <f t="array" aca="1" ref="E2731" ca="1">INDIRECT("b"&amp;F2731+2)</f>
        <v>8.875E+122</v>
      </c>
      <c r="F2731" s="18">
        <f t="shared" si="506"/>
        <v>4037</v>
      </c>
      <c r="G2731" s="18"/>
      <c r="H2731" s="18"/>
      <c r="I2731" s="19">
        <v>2729</v>
      </c>
      <c r="J2731" s="19" cm="1">
        <f t="array" aca="1" ref="J2731" ca="1">INDIRECT("b"&amp;K2731+2)</f>
        <v>8.875E+152</v>
      </c>
      <c r="K2731" s="19">
        <f t="shared" si="502"/>
        <v>5237</v>
      </c>
    </row>
    <row r="2732" spans="1:11">
      <c r="A2732">
        <v>2730</v>
      </c>
      <c r="B2732">
        <v>2.8E+90</v>
      </c>
      <c r="D2732" s="18">
        <v>2730</v>
      </c>
      <c r="E2732" s="18" cm="1">
        <f t="array" aca="1" ref="E2732" ca="1">INDIRECT("b"&amp;F2732+2)</f>
        <v>9.1000000000000008E+122</v>
      </c>
      <c r="F2732" s="18">
        <f t="shared" si="506"/>
        <v>4038</v>
      </c>
      <c r="G2732" s="18"/>
      <c r="H2732" s="18"/>
      <c r="I2732" s="19">
        <v>2730</v>
      </c>
      <c r="J2732" s="19" cm="1">
        <f t="array" aca="1" ref="J2732" ca="1">INDIRECT("b"&amp;K2732+2)</f>
        <v>9.1000000000000007E+152</v>
      </c>
      <c r="K2732" s="19">
        <f t="shared" si="502"/>
        <v>5238</v>
      </c>
    </row>
    <row r="2733" spans="1:11">
      <c r="A2733">
        <v>2731</v>
      </c>
      <c r="B2733">
        <v>3.025E+90</v>
      </c>
      <c r="D2733" s="18">
        <v>2731</v>
      </c>
      <c r="E2733" s="18" cm="1">
        <f t="array" aca="1" ref="E2733" ca="1">INDIRECT("b"&amp;F2733+2)</f>
        <v>9.5499999999999996E+122</v>
      </c>
      <c r="F2733" s="18">
        <f t="shared" si="506"/>
        <v>4040</v>
      </c>
      <c r="G2733" s="18"/>
      <c r="H2733" s="18"/>
      <c r="I2733" s="19">
        <v>2731</v>
      </c>
      <c r="J2733" s="19" cm="1">
        <f t="array" aca="1" ref="J2733" ca="1">INDIRECT("b"&amp;K2733+2)</f>
        <v>9.5500000000000004E+152</v>
      </c>
      <c r="K2733" s="19">
        <f t="shared" si="502"/>
        <v>5240</v>
      </c>
    </row>
    <row r="2734" spans="1:11">
      <c r="A2734">
        <v>2732</v>
      </c>
      <c r="B2734">
        <v>3.25E+90</v>
      </c>
      <c r="D2734" s="18">
        <v>2732</v>
      </c>
      <c r="E2734" s="18" cm="1">
        <f t="array" aca="1" ref="E2734" ca="1">INDIRECT("b"&amp;F2734+2)</f>
        <v>9.7750000000000004E+122</v>
      </c>
      <c r="F2734" s="18">
        <f t="shared" si="506"/>
        <v>4041</v>
      </c>
      <c r="G2734" s="18">
        <f t="shared" ref="G2734" ca="1" si="512">E2734/E2729</f>
        <v>1.1920731707317074</v>
      </c>
      <c r="H2734" s="18"/>
      <c r="I2734" s="19">
        <v>2732</v>
      </c>
      <c r="J2734" s="19" cm="1">
        <f t="array" aca="1" ref="J2734" ca="1">INDIRECT("b"&amp;K2734+2)</f>
        <v>9.7750000000000011E+152</v>
      </c>
      <c r="K2734" s="19">
        <f t="shared" si="502"/>
        <v>5241</v>
      </c>
    </row>
    <row r="2735" spans="1:11">
      <c r="A2735">
        <v>2733</v>
      </c>
      <c r="B2735">
        <v>3.475E+90</v>
      </c>
      <c r="D2735" s="18">
        <v>2733</v>
      </c>
      <c r="E2735" s="18" cm="1">
        <f t="array" aca="1" ref="E2735" ca="1">INDIRECT("b"&amp;F2735+2)</f>
        <v>9.9999999999999998E+122</v>
      </c>
      <c r="F2735" s="18">
        <f t="shared" si="506"/>
        <v>4042</v>
      </c>
      <c r="G2735" s="18"/>
      <c r="H2735" s="18"/>
      <c r="I2735" s="19">
        <v>2733</v>
      </c>
      <c r="J2735" s="19" cm="1">
        <f t="array" aca="1" ref="J2735" ca="1">INDIRECT("b"&amp;K2735+2)</f>
        <v>1E+153</v>
      </c>
      <c r="K2735" s="19">
        <f t="shared" si="502"/>
        <v>5242</v>
      </c>
    </row>
    <row r="2736" spans="1:11">
      <c r="A2736">
        <v>2734</v>
      </c>
      <c r="B2736">
        <v>3.7E+90</v>
      </c>
      <c r="D2736" s="18">
        <v>2734</v>
      </c>
      <c r="E2736" s="18" cm="1">
        <f t="array" aca="1" ref="E2736" ca="1">INDIRECT("b"&amp;F2736+2)</f>
        <v>1.45E+123</v>
      </c>
      <c r="F2736" s="18">
        <f t="shared" si="506"/>
        <v>4044</v>
      </c>
      <c r="G2736" s="18"/>
      <c r="H2736" s="18"/>
      <c r="I2736" s="19">
        <v>2734</v>
      </c>
      <c r="J2736" s="19" cm="1">
        <f t="array" aca="1" ref="J2736" ca="1">INDIRECT("b"&amp;K2736+2)</f>
        <v>1.45E+153</v>
      </c>
      <c r="K2736" s="19">
        <f t="shared" si="502"/>
        <v>5244</v>
      </c>
    </row>
    <row r="2737" spans="1:11">
      <c r="A2737">
        <v>2735</v>
      </c>
      <c r="B2737">
        <v>3.925E+90</v>
      </c>
      <c r="D2737" s="18">
        <v>2735</v>
      </c>
      <c r="E2737" s="18" cm="1">
        <f t="array" aca="1" ref="E2737" ca="1">INDIRECT("b"&amp;F2737+2)</f>
        <v>1.675E+123</v>
      </c>
      <c r="F2737" s="18">
        <f t="shared" si="506"/>
        <v>4045</v>
      </c>
      <c r="G2737" s="18"/>
      <c r="H2737" s="18"/>
      <c r="I2737" s="19">
        <v>2735</v>
      </c>
      <c r="J2737" s="19" cm="1">
        <f t="array" aca="1" ref="J2737" ca="1">INDIRECT("b"&amp;K2737+2)</f>
        <v>1.675E+153</v>
      </c>
      <c r="K2737" s="19">
        <f t="shared" si="502"/>
        <v>5245</v>
      </c>
    </row>
    <row r="2738" spans="1:11">
      <c r="A2738">
        <v>2736</v>
      </c>
      <c r="B2738">
        <v>4.15E+90</v>
      </c>
      <c r="D2738" s="18">
        <v>2736</v>
      </c>
      <c r="E2738" s="18" cm="1">
        <f t="array" aca="1" ref="E2738" ca="1">INDIRECT("b"&amp;F2738+2)</f>
        <v>1.9E+123</v>
      </c>
      <c r="F2738" s="18">
        <f t="shared" si="506"/>
        <v>4046</v>
      </c>
      <c r="G2738" s="18"/>
      <c r="H2738" s="18"/>
      <c r="I2738" s="19">
        <v>2736</v>
      </c>
      <c r="J2738" s="19" cm="1">
        <f t="array" aca="1" ref="J2738" ca="1">INDIRECT("b"&amp;K2738+2)</f>
        <v>1.8999999999999998E+153</v>
      </c>
      <c r="K2738" s="19">
        <f t="shared" si="502"/>
        <v>5246</v>
      </c>
    </row>
    <row r="2739" spans="1:11">
      <c r="A2739">
        <v>2737</v>
      </c>
      <c r="B2739">
        <v>4.375E+90</v>
      </c>
      <c r="D2739" s="18">
        <v>2737</v>
      </c>
      <c r="E2739" s="18" cm="1">
        <f t="array" aca="1" ref="E2739" ca="1">INDIRECT("b"&amp;F2739+2)</f>
        <v>2.3499999999999999E+123</v>
      </c>
      <c r="F2739" s="18">
        <f t="shared" si="506"/>
        <v>4048</v>
      </c>
      <c r="G2739" s="18">
        <f t="shared" ref="G2739" ca="1" si="513">E2739/E2734</f>
        <v>2.4040920716112528</v>
      </c>
      <c r="H2739" s="18"/>
      <c r="I2739" s="19">
        <v>2737</v>
      </c>
      <c r="J2739" s="19" cm="1">
        <f t="array" aca="1" ref="J2739" ca="1">INDIRECT("b"&amp;K2739+2)</f>
        <v>2.3499999999999998E+153</v>
      </c>
      <c r="K2739" s="19">
        <f t="shared" si="502"/>
        <v>5248</v>
      </c>
    </row>
    <row r="2740" spans="1:11">
      <c r="A2740">
        <v>2738</v>
      </c>
      <c r="B2740">
        <v>4.6E+90</v>
      </c>
      <c r="D2740" s="18">
        <v>2738</v>
      </c>
      <c r="E2740" s="18" cm="1">
        <f t="array" aca="1" ref="E2740" ca="1">INDIRECT("b"&amp;F2740+2)</f>
        <v>2.5750000000000002E+123</v>
      </c>
      <c r="F2740" s="18">
        <f t="shared" si="506"/>
        <v>4049</v>
      </c>
      <c r="G2740" s="18"/>
      <c r="H2740" s="18"/>
      <c r="I2740" s="19">
        <v>2738</v>
      </c>
      <c r="J2740" s="19" cm="1">
        <f t="array" aca="1" ref="J2740" ca="1">INDIRECT("b"&amp;K2740+2)</f>
        <v>2.5749999999999998E+153</v>
      </c>
      <c r="K2740" s="19">
        <f t="shared" si="502"/>
        <v>5249</v>
      </c>
    </row>
    <row r="2741" spans="1:11">
      <c r="A2741">
        <v>2739</v>
      </c>
      <c r="B2741">
        <v>4.825E+90</v>
      </c>
      <c r="D2741" s="18">
        <v>2739</v>
      </c>
      <c r="E2741" s="18" cm="1">
        <f t="array" aca="1" ref="E2741" ca="1">INDIRECT("b"&amp;F2741+2)</f>
        <v>2.8000000000000001E+123</v>
      </c>
      <c r="F2741" s="18">
        <f t="shared" si="506"/>
        <v>4050</v>
      </c>
      <c r="G2741" s="18"/>
      <c r="H2741" s="18"/>
      <c r="I2741" s="19">
        <v>2739</v>
      </c>
      <c r="J2741" s="19" cm="1">
        <f t="array" aca="1" ref="J2741" ca="1">INDIRECT("b"&amp;K2741+2)</f>
        <v>2.7999999999999999E+153</v>
      </c>
      <c r="K2741" s="19">
        <f t="shared" si="502"/>
        <v>5250</v>
      </c>
    </row>
    <row r="2742" spans="1:11">
      <c r="A2742">
        <v>2740</v>
      </c>
      <c r="B2742">
        <v>5.05E+90</v>
      </c>
      <c r="D2742" s="18">
        <v>2740</v>
      </c>
      <c r="E2742" s="18" cm="1">
        <f t="array" aca="1" ref="E2742" ca="1">INDIRECT("b"&amp;F2742+2)</f>
        <v>3.25E+123</v>
      </c>
      <c r="F2742" s="18">
        <f t="shared" si="506"/>
        <v>4052</v>
      </c>
      <c r="G2742" s="18"/>
      <c r="H2742" s="18"/>
      <c r="I2742" s="19">
        <v>2740</v>
      </c>
      <c r="J2742" s="19" cm="1">
        <f t="array" aca="1" ref="J2742" ca="1">INDIRECT("b"&amp;K2742+2)</f>
        <v>3.2499999999999999E+153</v>
      </c>
      <c r="K2742" s="19">
        <f t="shared" si="502"/>
        <v>5252</v>
      </c>
    </row>
    <row r="2743" spans="1:11">
      <c r="A2743">
        <v>2741</v>
      </c>
      <c r="B2743">
        <v>5.275E+90</v>
      </c>
      <c r="D2743" s="18">
        <v>2741</v>
      </c>
      <c r="E2743" s="18" cm="1">
        <f t="array" aca="1" ref="E2743" ca="1">INDIRECT("b"&amp;F2743+2)</f>
        <v>3.4750000000000003E+123</v>
      </c>
      <c r="F2743" s="18">
        <f t="shared" si="506"/>
        <v>4053</v>
      </c>
      <c r="G2743" s="18"/>
      <c r="H2743" s="18"/>
      <c r="I2743" s="19">
        <v>2741</v>
      </c>
      <c r="J2743" s="19" cm="1">
        <f t="array" aca="1" ref="J2743" ca="1">INDIRECT("b"&amp;K2743+2)</f>
        <v>3.4750000000000002E+153</v>
      </c>
      <c r="K2743" s="19">
        <f t="shared" si="502"/>
        <v>5253</v>
      </c>
    </row>
    <row r="2744" spans="1:11">
      <c r="A2744">
        <v>2742</v>
      </c>
      <c r="B2744">
        <v>5.5E+90</v>
      </c>
      <c r="D2744" s="18">
        <v>2742</v>
      </c>
      <c r="E2744" s="18" cm="1">
        <f t="array" aca="1" ref="E2744" ca="1">INDIRECT("b"&amp;F2744+2)</f>
        <v>3.7E+123</v>
      </c>
      <c r="F2744" s="18">
        <f t="shared" si="506"/>
        <v>4054</v>
      </c>
      <c r="G2744" s="18">
        <f t="shared" ref="G2744" ca="1" si="514">E2744/E2739</f>
        <v>1.574468085106383</v>
      </c>
      <c r="H2744" s="18"/>
      <c r="I2744" s="19">
        <v>2742</v>
      </c>
      <c r="J2744" s="19" cm="1">
        <f t="array" aca="1" ref="J2744" ca="1">INDIRECT("b"&amp;K2744+2)</f>
        <v>3.7000000000000002E+153</v>
      </c>
      <c r="K2744" s="19">
        <f t="shared" si="502"/>
        <v>5254</v>
      </c>
    </row>
    <row r="2745" spans="1:11">
      <c r="A2745">
        <v>2743</v>
      </c>
      <c r="B2745">
        <v>5.725E+90</v>
      </c>
      <c r="D2745" s="18">
        <v>2743</v>
      </c>
      <c r="E2745" s="18" cm="1">
        <f t="array" aca="1" ref="E2745" ca="1">INDIRECT("b"&amp;F2745+2)</f>
        <v>4.1499999999999999E+123</v>
      </c>
      <c r="F2745" s="18">
        <f t="shared" si="506"/>
        <v>4056</v>
      </c>
      <c r="G2745" s="18"/>
      <c r="H2745" s="18"/>
      <c r="I2745" s="19">
        <v>2743</v>
      </c>
      <c r="J2745" s="19" cm="1">
        <f t="array" aca="1" ref="J2745" ca="1">INDIRECT("b"&amp;K2745+2)</f>
        <v>4.1500000000000003E+153</v>
      </c>
      <c r="K2745" s="19">
        <f t="shared" si="502"/>
        <v>5256</v>
      </c>
    </row>
    <row r="2746" spans="1:11">
      <c r="A2746">
        <v>2744</v>
      </c>
      <c r="B2746">
        <v>5.95E+90</v>
      </c>
      <c r="D2746" s="18">
        <v>2744</v>
      </c>
      <c r="E2746" s="18" cm="1">
        <f t="array" aca="1" ref="E2746" ca="1">INDIRECT("b"&amp;F2746+2)</f>
        <v>4.3750000000000001E+123</v>
      </c>
      <c r="F2746" s="18">
        <f t="shared" si="506"/>
        <v>4057</v>
      </c>
      <c r="G2746" s="18"/>
      <c r="H2746" s="18"/>
      <c r="I2746" s="19">
        <v>2744</v>
      </c>
      <c r="J2746" s="19" cm="1">
        <f t="array" aca="1" ref="J2746" ca="1">INDIRECT("b"&amp;K2746+2)</f>
        <v>4.3750000000000003E+153</v>
      </c>
      <c r="K2746" s="19">
        <f t="shared" si="502"/>
        <v>5257</v>
      </c>
    </row>
    <row r="2747" spans="1:11">
      <c r="A2747">
        <v>2745</v>
      </c>
      <c r="B2747">
        <v>6.175E+90</v>
      </c>
      <c r="D2747" s="18">
        <v>2745</v>
      </c>
      <c r="E2747" s="18" cm="1">
        <f t="array" aca="1" ref="E2747" ca="1">INDIRECT("b"&amp;F2747+2)</f>
        <v>4.5999999999999998E+123</v>
      </c>
      <c r="F2747" s="18">
        <f t="shared" si="506"/>
        <v>4058</v>
      </c>
      <c r="G2747" s="18"/>
      <c r="H2747" s="18"/>
      <c r="I2747" s="19">
        <v>2745</v>
      </c>
      <c r="J2747" s="19" cm="1">
        <f t="array" aca="1" ref="J2747" ca="1">INDIRECT("b"&amp;K2747+2)</f>
        <v>4.6000000000000003E+153</v>
      </c>
      <c r="K2747" s="19">
        <f t="shared" si="502"/>
        <v>5258</v>
      </c>
    </row>
    <row r="2748" spans="1:11">
      <c r="A2748">
        <v>2746</v>
      </c>
      <c r="B2748">
        <v>6.4E+90</v>
      </c>
      <c r="D2748" s="18">
        <v>2746</v>
      </c>
      <c r="E2748" s="18" cm="1">
        <f t="array" aca="1" ref="E2748" ca="1">INDIRECT("b"&amp;F2748+2)</f>
        <v>5.0500000000000003E+123</v>
      </c>
      <c r="F2748" s="18">
        <f t="shared" si="506"/>
        <v>4060</v>
      </c>
      <c r="G2748" s="18"/>
      <c r="H2748" s="18"/>
      <c r="I2748" s="19">
        <v>2746</v>
      </c>
      <c r="J2748" s="19" cm="1">
        <f t="array" aca="1" ref="J2748" ca="1">INDIRECT("b"&amp;K2748+2)</f>
        <v>5.0500000000000003E+153</v>
      </c>
      <c r="K2748" s="19">
        <f t="shared" si="502"/>
        <v>5260</v>
      </c>
    </row>
    <row r="2749" spans="1:11">
      <c r="A2749">
        <v>2747</v>
      </c>
      <c r="B2749">
        <v>6.625E+90</v>
      </c>
      <c r="D2749" s="18">
        <v>2747</v>
      </c>
      <c r="E2749" s="18" cm="1">
        <f t="array" aca="1" ref="E2749" ca="1">INDIRECT("b"&amp;F2749+2)</f>
        <v>5.275E+123</v>
      </c>
      <c r="F2749" s="18">
        <f t="shared" si="506"/>
        <v>4061</v>
      </c>
      <c r="G2749" s="18">
        <f t="shared" ref="G2749" ca="1" si="515">E2749/E2744</f>
        <v>1.4256756756756757</v>
      </c>
      <c r="H2749" s="18"/>
      <c r="I2749" s="19">
        <v>2747</v>
      </c>
      <c r="J2749" s="19" cm="1">
        <f t="array" aca="1" ref="J2749" ca="1">INDIRECT("b"&amp;K2749+2)</f>
        <v>5.2750000000000003E+153</v>
      </c>
      <c r="K2749" s="19">
        <f t="shared" si="502"/>
        <v>5261</v>
      </c>
    </row>
    <row r="2750" spans="1:11">
      <c r="A2750">
        <v>2748</v>
      </c>
      <c r="B2750">
        <v>6.85E+90</v>
      </c>
      <c r="D2750" s="18">
        <v>2748</v>
      </c>
      <c r="E2750" s="18" cm="1">
        <f t="array" aca="1" ref="E2750" ca="1">INDIRECT("b"&amp;F2750+2)</f>
        <v>5.5000000000000002E+123</v>
      </c>
      <c r="F2750" s="18">
        <f t="shared" si="506"/>
        <v>4062</v>
      </c>
      <c r="G2750" s="18"/>
      <c r="H2750" s="18"/>
      <c r="I2750" s="19">
        <v>2748</v>
      </c>
      <c r="J2750" s="19" cm="1">
        <f t="array" aca="1" ref="J2750" ca="1">INDIRECT("b"&amp;K2750+2)</f>
        <v>5.5000000000000003E+153</v>
      </c>
      <c r="K2750" s="19">
        <f t="shared" si="502"/>
        <v>5262</v>
      </c>
    </row>
    <row r="2751" spans="1:11">
      <c r="A2751">
        <v>2749</v>
      </c>
      <c r="B2751">
        <v>7.075E+90</v>
      </c>
      <c r="D2751" s="18">
        <v>2749</v>
      </c>
      <c r="E2751" s="18" cm="1">
        <f t="array" aca="1" ref="E2751" ca="1">INDIRECT("b"&amp;F2751+2)</f>
        <v>5.9499999999999996E+123</v>
      </c>
      <c r="F2751" s="18">
        <f t="shared" si="506"/>
        <v>4064</v>
      </c>
      <c r="G2751" s="18"/>
      <c r="H2751" s="18"/>
      <c r="I2751" s="19">
        <v>2749</v>
      </c>
      <c r="J2751" s="19" cm="1">
        <f t="array" aca="1" ref="J2751" ca="1">INDIRECT("b"&amp;K2751+2)</f>
        <v>5.9500000000000003E+153</v>
      </c>
      <c r="K2751" s="19">
        <f t="shared" si="502"/>
        <v>5264</v>
      </c>
    </row>
    <row r="2752" spans="1:11">
      <c r="A2752">
        <v>2750</v>
      </c>
      <c r="B2752">
        <v>7.2999999999999999E+90</v>
      </c>
      <c r="D2752" s="18">
        <v>2750</v>
      </c>
      <c r="E2752" s="18" cm="1">
        <f t="array" aca="1" ref="E2752" ca="1">INDIRECT("b"&amp;F2752+2)</f>
        <v>6.1749999999999998E+123</v>
      </c>
      <c r="F2752" s="18">
        <f t="shared" si="506"/>
        <v>4065</v>
      </c>
      <c r="G2752" s="18"/>
      <c r="H2752" s="18"/>
      <c r="I2752" s="19">
        <v>2750</v>
      </c>
      <c r="J2752" s="19" cm="1">
        <f t="array" aca="1" ref="J2752" ca="1">INDIRECT("b"&amp;K2752+2)</f>
        <v>6.1750000000000003E+153</v>
      </c>
      <c r="K2752" s="19">
        <f t="shared" si="502"/>
        <v>5265</v>
      </c>
    </row>
    <row r="2753" spans="1:11">
      <c r="A2753">
        <v>2751</v>
      </c>
      <c r="B2753">
        <v>7.5249999999999999E+90</v>
      </c>
      <c r="D2753" s="18">
        <v>2751</v>
      </c>
      <c r="E2753" s="18" cm="1">
        <f t="array" aca="1" ref="E2753" ca="1">INDIRECT("b"&amp;F2753+2)</f>
        <v>6.4000000000000001E+123</v>
      </c>
      <c r="F2753" s="18">
        <f t="shared" si="506"/>
        <v>4066</v>
      </c>
      <c r="G2753" s="18"/>
      <c r="H2753" s="18"/>
      <c r="I2753" s="19">
        <v>2751</v>
      </c>
      <c r="J2753" s="19" cm="1">
        <f t="array" aca="1" ref="J2753" ca="1">INDIRECT("b"&amp;K2753+2)</f>
        <v>6.4000000000000003E+153</v>
      </c>
      <c r="K2753" s="19">
        <f t="shared" si="502"/>
        <v>5266</v>
      </c>
    </row>
    <row r="2754" spans="1:11">
      <c r="A2754">
        <v>2752</v>
      </c>
      <c r="B2754">
        <v>7.7499999999999999E+90</v>
      </c>
      <c r="D2754" s="18">
        <v>2752</v>
      </c>
      <c r="E2754" s="18" cm="1">
        <f t="array" aca="1" ref="E2754" ca="1">INDIRECT("b"&amp;F2754+2)</f>
        <v>6.8500000000000006E+123</v>
      </c>
      <c r="F2754" s="18">
        <f t="shared" si="506"/>
        <v>4068</v>
      </c>
      <c r="G2754" s="18">
        <f t="shared" ref="G2754" ca="1" si="516">E2754/E2749</f>
        <v>1.2985781990521328</v>
      </c>
      <c r="H2754" s="18"/>
      <c r="I2754" s="19">
        <v>2752</v>
      </c>
      <c r="J2754" s="19" cm="1">
        <f t="array" aca="1" ref="J2754" ca="1">INDIRECT("b"&amp;K2754+2)</f>
        <v>6.8500000000000003E+153</v>
      </c>
      <c r="K2754" s="19">
        <f t="shared" si="502"/>
        <v>5268</v>
      </c>
    </row>
    <row r="2755" spans="1:11">
      <c r="A2755">
        <v>2753</v>
      </c>
      <c r="B2755">
        <v>7.9749999999999999E+90</v>
      </c>
      <c r="D2755" s="18">
        <v>2753</v>
      </c>
      <c r="E2755" s="18" cm="1">
        <f t="array" aca="1" ref="E2755" ca="1">INDIRECT("b"&amp;F2755+2)</f>
        <v>7.0749999999999997E+123</v>
      </c>
      <c r="F2755" s="18">
        <f t="shared" si="506"/>
        <v>4069</v>
      </c>
      <c r="G2755" s="18"/>
      <c r="H2755" s="18"/>
      <c r="I2755" s="19">
        <v>2753</v>
      </c>
      <c r="J2755" s="19" cm="1">
        <f t="array" aca="1" ref="J2755" ca="1">INDIRECT("b"&amp;K2755+2)</f>
        <v>7.0749999999999996E+153</v>
      </c>
      <c r="K2755" s="19">
        <f t="shared" si="502"/>
        <v>5269</v>
      </c>
    </row>
    <row r="2756" spans="1:11">
      <c r="A2756">
        <v>2754</v>
      </c>
      <c r="B2756">
        <v>8.199999999999999E+90</v>
      </c>
      <c r="D2756" s="18">
        <v>2754</v>
      </c>
      <c r="E2756" s="18" cm="1">
        <f t="array" aca="1" ref="E2756" ca="1">INDIRECT("b"&amp;F2756+2)</f>
        <v>7.2999999999999999E+123</v>
      </c>
      <c r="F2756" s="18">
        <f t="shared" si="506"/>
        <v>4070</v>
      </c>
      <c r="G2756" s="18">
        <f t="shared" ref="G2756" ca="1" si="517">E2756/E2751</f>
        <v>1.2268907563025211</v>
      </c>
      <c r="H2756" s="18"/>
      <c r="I2756" s="19">
        <v>2754</v>
      </c>
      <c r="J2756" s="19" cm="1">
        <f t="array" aca="1" ref="J2756" ca="1">INDIRECT("b"&amp;K2756+2)</f>
        <v>7.3000000000000003E+153</v>
      </c>
      <c r="K2756" s="19">
        <f t="shared" ref="K2756:K2819" si="518">INT((A2756-1)*40/30+900*40/30)+400</f>
        <v>5270</v>
      </c>
    </row>
    <row r="2757" spans="1:11">
      <c r="A2757">
        <v>2755</v>
      </c>
      <c r="B2757">
        <v>8.424999999999999E+90</v>
      </c>
      <c r="D2757" s="18">
        <v>2755</v>
      </c>
      <c r="E2757" s="18" cm="1">
        <f t="array" aca="1" ref="E2757" ca="1">INDIRECT("b"&amp;F2757+2)</f>
        <v>7.7500000000000005E+123</v>
      </c>
      <c r="F2757" s="18">
        <f t="shared" si="506"/>
        <v>4072</v>
      </c>
      <c r="G2757" s="18"/>
      <c r="H2757" s="18"/>
      <c r="I2757" s="19">
        <v>2755</v>
      </c>
      <c r="J2757" s="19" cm="1">
        <f t="array" aca="1" ref="J2757" ca="1">INDIRECT("b"&amp;K2757+2)</f>
        <v>7.7500000000000003E+153</v>
      </c>
      <c r="K2757" s="19">
        <f t="shared" si="518"/>
        <v>5272</v>
      </c>
    </row>
    <row r="2758" spans="1:11">
      <c r="A2758">
        <v>2756</v>
      </c>
      <c r="B2758">
        <v>8.649999999999999E+90</v>
      </c>
      <c r="D2758" s="18">
        <v>2756</v>
      </c>
      <c r="E2758" s="18" cm="1">
        <f t="array" aca="1" ref="E2758" ca="1">INDIRECT("b"&amp;F2758+2)</f>
        <v>7.9750000000000007E+123</v>
      </c>
      <c r="F2758" s="18">
        <f t="shared" si="506"/>
        <v>4073</v>
      </c>
      <c r="G2758" s="18"/>
      <c r="H2758" s="18"/>
      <c r="I2758" s="19">
        <v>2756</v>
      </c>
      <c r="J2758" s="19" cm="1">
        <f t="array" aca="1" ref="J2758" ca="1">INDIRECT("b"&amp;K2758+2)</f>
        <v>7.9749999999999996E+153</v>
      </c>
      <c r="K2758" s="19">
        <f t="shared" si="518"/>
        <v>5273</v>
      </c>
    </row>
    <row r="2759" spans="1:11">
      <c r="A2759">
        <v>2757</v>
      </c>
      <c r="B2759">
        <v>8.874999999999999E+90</v>
      </c>
      <c r="D2759" s="18">
        <v>2757</v>
      </c>
      <c r="E2759" s="18" cm="1">
        <f t="array" aca="1" ref="E2759" ca="1">INDIRECT("b"&amp;F2759+2)</f>
        <v>8.1999999999999998E+123</v>
      </c>
      <c r="F2759" s="18">
        <f t="shared" si="506"/>
        <v>4074</v>
      </c>
      <c r="G2759" s="18"/>
      <c r="H2759" s="18"/>
      <c r="I2759" s="19">
        <v>2757</v>
      </c>
      <c r="J2759" s="19" cm="1">
        <f t="array" aca="1" ref="J2759" ca="1">INDIRECT("b"&amp;K2759+2)</f>
        <v>8.2000000000000003E+153</v>
      </c>
      <c r="K2759" s="19">
        <f t="shared" si="518"/>
        <v>5274</v>
      </c>
    </row>
    <row r="2760" spans="1:11">
      <c r="A2760">
        <v>2758</v>
      </c>
      <c r="B2760">
        <v>9.099999999999999E+90</v>
      </c>
      <c r="D2760" s="18">
        <v>2758</v>
      </c>
      <c r="E2760" s="18" cm="1">
        <f t="array" aca="1" ref="E2760" ca="1">INDIRECT("b"&amp;F2760+2)</f>
        <v>8.6500000000000003E+123</v>
      </c>
      <c r="F2760" s="18">
        <f t="shared" si="506"/>
        <v>4076</v>
      </c>
      <c r="G2760" s="18"/>
      <c r="H2760" s="18"/>
      <c r="I2760" s="19">
        <v>2758</v>
      </c>
      <c r="J2760" s="19" cm="1">
        <f t="array" aca="1" ref="J2760" ca="1">INDIRECT("b"&amp;K2760+2)</f>
        <v>8.6500000000000003E+153</v>
      </c>
      <c r="K2760" s="19">
        <f t="shared" si="518"/>
        <v>5276</v>
      </c>
    </row>
    <row r="2761" spans="1:11">
      <c r="A2761">
        <v>2759</v>
      </c>
      <c r="B2761">
        <v>9.324999999999999E+90</v>
      </c>
      <c r="D2761" s="18">
        <v>2759</v>
      </c>
      <c r="E2761" s="18" cm="1">
        <f t="array" aca="1" ref="E2761" ca="1">INDIRECT("b"&amp;F2761+2)</f>
        <v>8.8750000000000006E+123</v>
      </c>
      <c r="F2761" s="18">
        <f t="shared" si="506"/>
        <v>4077</v>
      </c>
      <c r="G2761" s="18">
        <f t="shared" ref="G2761" ca="1" si="519">E2761/E2756</f>
        <v>1.2157534246575343</v>
      </c>
      <c r="H2761" s="18"/>
      <c r="I2761" s="19">
        <v>2759</v>
      </c>
      <c r="J2761" s="19" cm="1">
        <f t="array" aca="1" ref="J2761" ca="1">INDIRECT("b"&amp;K2761+2)</f>
        <v>8.8749999999999996E+153</v>
      </c>
      <c r="K2761" s="19">
        <f t="shared" si="518"/>
        <v>5277</v>
      </c>
    </row>
    <row r="2762" spans="1:11">
      <c r="A2762">
        <v>2760</v>
      </c>
      <c r="B2762">
        <v>9.549999999999999E+90</v>
      </c>
      <c r="D2762" s="18">
        <v>2760</v>
      </c>
      <c r="E2762" s="18" cm="1">
        <f t="array" aca="1" ref="E2762" ca="1">INDIRECT("b"&amp;F2762+2)</f>
        <v>9.0999999999999996E+123</v>
      </c>
      <c r="F2762" s="18">
        <f t="shared" si="506"/>
        <v>4078</v>
      </c>
      <c r="G2762" s="18"/>
      <c r="H2762" s="18"/>
      <c r="I2762" s="19">
        <v>2760</v>
      </c>
      <c r="J2762" s="19" cm="1">
        <f t="array" aca="1" ref="J2762" ca="1">INDIRECT("b"&amp;K2762+2)</f>
        <v>9.1000000000000004E+153</v>
      </c>
      <c r="K2762" s="19">
        <f t="shared" si="518"/>
        <v>5278</v>
      </c>
    </row>
    <row r="2763" spans="1:11">
      <c r="A2763">
        <v>2761</v>
      </c>
      <c r="B2763">
        <v>9.774999999999999E+90</v>
      </c>
      <c r="D2763" s="18">
        <v>2761</v>
      </c>
      <c r="E2763" s="18" cm="1">
        <f t="array" aca="1" ref="E2763" ca="1">INDIRECT("b"&amp;F2763+2)</f>
        <v>9.5500000000000001E+123</v>
      </c>
      <c r="F2763" s="18">
        <f t="shared" si="506"/>
        <v>4080</v>
      </c>
      <c r="G2763" s="18"/>
      <c r="H2763" s="18"/>
      <c r="I2763" s="19">
        <v>2761</v>
      </c>
      <c r="J2763" s="19" cm="1">
        <f t="array" aca="1" ref="J2763" ca="1">INDIRECT("b"&amp;K2763+2)</f>
        <v>9.5500000000000004E+153</v>
      </c>
      <c r="K2763" s="19">
        <f t="shared" si="518"/>
        <v>5280</v>
      </c>
    </row>
    <row r="2764" spans="1:11">
      <c r="A2764">
        <v>2762</v>
      </c>
      <c r="B2764">
        <v>1.0000000000000001E+91</v>
      </c>
      <c r="D2764" s="18">
        <v>2762</v>
      </c>
      <c r="E2764" s="18" cm="1">
        <f t="array" aca="1" ref="E2764" ca="1">INDIRECT("b"&amp;F2764+2)</f>
        <v>9.7750000000000004E+123</v>
      </c>
      <c r="F2764" s="18">
        <f t="shared" si="506"/>
        <v>4081</v>
      </c>
      <c r="G2764" s="18"/>
      <c r="H2764" s="18"/>
      <c r="I2764" s="19">
        <v>2762</v>
      </c>
      <c r="J2764" s="19" cm="1">
        <f t="array" aca="1" ref="J2764" ca="1">INDIRECT("b"&amp;K2764+2)</f>
        <v>9.7749999999999996E+153</v>
      </c>
      <c r="K2764" s="19">
        <f t="shared" si="518"/>
        <v>5281</v>
      </c>
    </row>
    <row r="2765" spans="1:11">
      <c r="A2765">
        <v>2763</v>
      </c>
      <c r="B2765">
        <v>1.2250000000000001E+91</v>
      </c>
      <c r="D2765" s="18">
        <v>2763</v>
      </c>
      <c r="E2765" s="18" cm="1">
        <f t="array" aca="1" ref="E2765" ca="1">INDIRECT("b"&amp;F2765+2)</f>
        <v>1.0000000000000001E+124</v>
      </c>
      <c r="F2765" s="18">
        <f t="shared" si="506"/>
        <v>4082</v>
      </c>
      <c r="G2765" s="18"/>
      <c r="H2765" s="18"/>
      <c r="I2765" s="19">
        <v>2763</v>
      </c>
      <c r="J2765" s="19" cm="1">
        <f t="array" aca="1" ref="J2765" ca="1">INDIRECT("b"&amp;K2765+2)</f>
        <v>9.9999999999999989E+153</v>
      </c>
      <c r="K2765" s="19">
        <f t="shared" si="518"/>
        <v>5282</v>
      </c>
    </row>
    <row r="2766" spans="1:11">
      <c r="A2766">
        <v>2764</v>
      </c>
      <c r="B2766">
        <v>1.4500000000000001E+91</v>
      </c>
      <c r="D2766" s="18">
        <v>2764</v>
      </c>
      <c r="E2766" s="18" cm="1">
        <f t="array" aca="1" ref="E2766" ca="1">INDIRECT("b"&amp;F2766+2)</f>
        <v>1.4500000000000001E+124</v>
      </c>
      <c r="F2766" s="18">
        <f t="shared" si="506"/>
        <v>4084</v>
      </c>
      <c r="G2766" s="18">
        <f t="shared" ref="G2766" ca="1" si="520">E2766/E2761</f>
        <v>1.6338028169014085</v>
      </c>
      <c r="H2766" s="18"/>
      <c r="I2766" s="19">
        <v>2764</v>
      </c>
      <c r="J2766" s="19" cm="1">
        <f t="array" aca="1" ref="J2766" ca="1">INDIRECT("b"&amp;K2766+2)</f>
        <v>1.4499999999999999E+154</v>
      </c>
      <c r="K2766" s="19">
        <f t="shared" si="518"/>
        <v>5284</v>
      </c>
    </row>
    <row r="2767" spans="1:11">
      <c r="A2767">
        <v>2765</v>
      </c>
      <c r="B2767">
        <v>1.6749999999999999E+91</v>
      </c>
      <c r="D2767" s="18">
        <v>2765</v>
      </c>
      <c r="E2767" s="18" cm="1">
        <f t="array" aca="1" ref="E2767" ca="1">INDIRECT("b"&amp;F2767+2)</f>
        <v>1.6750000000000001E+124</v>
      </c>
      <c r="F2767" s="18">
        <f t="shared" si="506"/>
        <v>4085</v>
      </c>
      <c r="G2767" s="18"/>
      <c r="H2767" s="18"/>
      <c r="I2767" s="19">
        <v>2765</v>
      </c>
      <c r="J2767" s="19" cm="1">
        <f t="array" aca="1" ref="J2767" ca="1">INDIRECT("b"&amp;K2767+2)</f>
        <v>1.6749999999999998E+154</v>
      </c>
      <c r="K2767" s="19">
        <f t="shared" si="518"/>
        <v>5285</v>
      </c>
    </row>
    <row r="2768" spans="1:11">
      <c r="A2768">
        <v>2766</v>
      </c>
      <c r="B2768">
        <v>1.8999999999999999E+91</v>
      </c>
      <c r="D2768" s="18">
        <v>2766</v>
      </c>
      <c r="E2768" s="18" cm="1">
        <f t="array" aca="1" ref="E2768" ca="1">INDIRECT("b"&amp;F2768+2)</f>
        <v>1.8999999999999999E+124</v>
      </c>
      <c r="F2768" s="18">
        <f t="shared" si="506"/>
        <v>4086</v>
      </c>
      <c r="G2768" s="18"/>
      <c r="H2768" s="18"/>
      <c r="I2768" s="19">
        <v>2766</v>
      </c>
      <c r="J2768" s="19" cm="1">
        <f t="array" aca="1" ref="J2768" ca="1">INDIRECT("b"&amp;K2768+2)</f>
        <v>1.8999999999999999E+154</v>
      </c>
      <c r="K2768" s="19">
        <f t="shared" si="518"/>
        <v>5286</v>
      </c>
    </row>
    <row r="2769" spans="1:11">
      <c r="A2769">
        <v>2767</v>
      </c>
      <c r="B2769">
        <v>2.1250000000000002E+91</v>
      </c>
      <c r="D2769" s="18">
        <v>2767</v>
      </c>
      <c r="E2769" s="18" cm="1">
        <f t="array" aca="1" ref="E2769" ca="1">INDIRECT("b"&amp;F2769+2)</f>
        <v>2.35E+124</v>
      </c>
      <c r="F2769" s="18">
        <f t="shared" si="506"/>
        <v>4088</v>
      </c>
      <c r="G2769" s="18"/>
      <c r="H2769" s="18"/>
      <c r="I2769" s="19">
        <v>2767</v>
      </c>
      <c r="J2769" s="19" cm="1">
        <f t="array" aca="1" ref="J2769" ca="1">INDIRECT("b"&amp;K2769+2)</f>
        <v>2.3499999999999999E+154</v>
      </c>
      <c r="K2769" s="19">
        <f t="shared" si="518"/>
        <v>5288</v>
      </c>
    </row>
    <row r="2770" spans="1:11">
      <c r="A2770">
        <v>2768</v>
      </c>
      <c r="B2770">
        <v>2.3500000000000002E+91</v>
      </c>
      <c r="D2770" s="18">
        <v>2768</v>
      </c>
      <c r="E2770" s="18" cm="1">
        <f t="array" aca="1" ref="E2770" ca="1">INDIRECT("b"&amp;F2770+2)</f>
        <v>2.575E+124</v>
      </c>
      <c r="F2770" s="18">
        <f t="shared" si="506"/>
        <v>4089</v>
      </c>
      <c r="G2770" s="18"/>
      <c r="H2770" s="18"/>
      <c r="I2770" s="19">
        <v>2768</v>
      </c>
      <c r="J2770" s="19" cm="1">
        <f t="array" aca="1" ref="J2770" ca="1">INDIRECT("b"&amp;K2770+2)</f>
        <v>2.5749999999999998E+154</v>
      </c>
      <c r="K2770" s="19">
        <f t="shared" si="518"/>
        <v>5289</v>
      </c>
    </row>
    <row r="2771" spans="1:11">
      <c r="A2771">
        <v>2769</v>
      </c>
      <c r="B2771">
        <v>2.5750000000000002E+91</v>
      </c>
      <c r="D2771" s="18">
        <v>2769</v>
      </c>
      <c r="E2771" s="18" cm="1">
        <f t="array" aca="1" ref="E2771" ca="1">INDIRECT("b"&amp;F2771+2)</f>
        <v>2.8E+124</v>
      </c>
      <c r="F2771" s="18">
        <f t="shared" ref="F2771:F2834" si="521">INT((A2771-123)*1.333333)+563</f>
        <v>4090</v>
      </c>
      <c r="G2771" s="18">
        <f t="shared" ref="G2771" ca="1" si="522">E2771/E2766</f>
        <v>1.9310344827586206</v>
      </c>
      <c r="H2771" s="18"/>
      <c r="I2771" s="19">
        <v>2769</v>
      </c>
      <c r="J2771" s="19" cm="1">
        <f t="array" aca="1" ref="J2771" ca="1">INDIRECT("b"&amp;K2771+2)</f>
        <v>2.7999999999999999E+154</v>
      </c>
      <c r="K2771" s="19">
        <f t="shared" si="518"/>
        <v>5290</v>
      </c>
    </row>
    <row r="2772" spans="1:11">
      <c r="A2772">
        <v>2770</v>
      </c>
      <c r="B2772">
        <v>2.8000000000000002E+91</v>
      </c>
      <c r="D2772" s="18">
        <v>2770</v>
      </c>
      <c r="E2772" s="18" cm="1">
        <f t="array" aca="1" ref="E2772" ca="1">INDIRECT("b"&amp;F2772+2)</f>
        <v>3.25E+124</v>
      </c>
      <c r="F2772" s="18">
        <f t="shared" si="521"/>
        <v>4092</v>
      </c>
      <c r="G2772" s="18"/>
      <c r="H2772" s="18"/>
      <c r="I2772" s="19">
        <v>2770</v>
      </c>
      <c r="J2772" s="19" cm="1">
        <f t="array" aca="1" ref="J2772" ca="1">INDIRECT("b"&amp;K2772+2)</f>
        <v>3.2499999999999996E+154</v>
      </c>
      <c r="K2772" s="19">
        <f t="shared" si="518"/>
        <v>5292</v>
      </c>
    </row>
    <row r="2773" spans="1:11">
      <c r="A2773">
        <v>2771</v>
      </c>
      <c r="B2773">
        <v>3.0250000000000002E+91</v>
      </c>
      <c r="D2773" s="18">
        <v>2771</v>
      </c>
      <c r="E2773" s="18" cm="1">
        <f t="array" aca="1" ref="E2773" ca="1">INDIRECT("b"&amp;F2773+2)</f>
        <v>3.4750000000000001E+124</v>
      </c>
      <c r="F2773" s="18">
        <f t="shared" si="521"/>
        <v>4093</v>
      </c>
      <c r="G2773" s="18"/>
      <c r="H2773" s="18"/>
      <c r="I2773" s="19">
        <v>2771</v>
      </c>
      <c r="J2773" s="19" cm="1">
        <f t="array" aca="1" ref="J2773" ca="1">INDIRECT("b"&amp;K2773+2)</f>
        <v>3.4749999999999998E+154</v>
      </c>
      <c r="K2773" s="19">
        <f t="shared" si="518"/>
        <v>5293</v>
      </c>
    </row>
    <row r="2774" spans="1:11">
      <c r="A2774">
        <v>2772</v>
      </c>
      <c r="B2774">
        <v>3.2500000000000002E+91</v>
      </c>
      <c r="D2774" s="18">
        <v>2772</v>
      </c>
      <c r="E2774" s="18" cm="1">
        <f t="array" aca="1" ref="E2774" ca="1">INDIRECT("b"&amp;F2774+2)</f>
        <v>3.7000000000000001E+124</v>
      </c>
      <c r="F2774" s="18">
        <f t="shared" si="521"/>
        <v>4094</v>
      </c>
      <c r="G2774" s="18"/>
      <c r="H2774" s="18"/>
      <c r="I2774" s="19">
        <v>2772</v>
      </c>
      <c r="J2774" s="19" cm="1">
        <f t="array" aca="1" ref="J2774" ca="1">INDIRECT("b"&amp;K2774+2)</f>
        <v>3.6999999999999999E+154</v>
      </c>
      <c r="K2774" s="19">
        <f t="shared" si="518"/>
        <v>5294</v>
      </c>
    </row>
    <row r="2775" spans="1:11">
      <c r="A2775">
        <v>2773</v>
      </c>
      <c r="B2775">
        <v>3.4749999999999998E+91</v>
      </c>
      <c r="D2775" s="18">
        <v>2773</v>
      </c>
      <c r="E2775" s="18" cm="1">
        <f t="array" aca="1" ref="E2775" ca="1">INDIRECT("b"&amp;F2775+2)</f>
        <v>4.1500000000000001E+124</v>
      </c>
      <c r="F2775" s="18">
        <f t="shared" si="521"/>
        <v>4096</v>
      </c>
      <c r="G2775" s="18"/>
      <c r="H2775" s="18"/>
      <c r="I2775" s="19">
        <v>2773</v>
      </c>
      <c r="J2775" s="19" cm="1">
        <f t="array" aca="1" ref="J2775" ca="1">INDIRECT("b"&amp;K2775+2)</f>
        <v>4.1499999999999997E+154</v>
      </c>
      <c r="K2775" s="19">
        <f t="shared" si="518"/>
        <v>5296</v>
      </c>
    </row>
    <row r="2776" spans="1:11">
      <c r="A2776">
        <v>2774</v>
      </c>
      <c r="B2776">
        <v>3.6999999999999998E+91</v>
      </c>
      <c r="D2776" s="18">
        <v>2774</v>
      </c>
      <c r="E2776" s="18" cm="1">
        <f t="array" aca="1" ref="E2776" ca="1">INDIRECT("b"&amp;F2776+2)</f>
        <v>4.3750000000000001E+124</v>
      </c>
      <c r="F2776" s="18">
        <f t="shared" si="521"/>
        <v>4097</v>
      </c>
      <c r="G2776" s="18">
        <f t="shared" ref="G2776" ca="1" si="523">E2776/E2771</f>
        <v>1.5625</v>
      </c>
      <c r="H2776" s="18"/>
      <c r="I2776" s="19">
        <v>2774</v>
      </c>
      <c r="J2776" s="19" cm="1">
        <f t="array" aca="1" ref="J2776" ca="1">INDIRECT("b"&amp;K2776+2)</f>
        <v>4.3749999999999998E+154</v>
      </c>
      <c r="K2776" s="19">
        <f t="shared" si="518"/>
        <v>5297</v>
      </c>
    </row>
    <row r="2777" spans="1:11">
      <c r="A2777">
        <v>2775</v>
      </c>
      <c r="B2777">
        <v>3.9249999999999998E+91</v>
      </c>
      <c r="D2777" s="18">
        <v>2775</v>
      </c>
      <c r="E2777" s="18" cm="1">
        <f t="array" aca="1" ref="E2777" ca="1">INDIRECT("b"&amp;F2777+2)</f>
        <v>4.5999999999999997E+124</v>
      </c>
      <c r="F2777" s="18">
        <f t="shared" si="521"/>
        <v>4098</v>
      </c>
      <c r="G2777" s="18"/>
      <c r="H2777" s="18"/>
      <c r="I2777" s="19">
        <v>2775</v>
      </c>
      <c r="J2777" s="19" cm="1">
        <f t="array" aca="1" ref="J2777" ca="1">INDIRECT("b"&amp;K2777+2)</f>
        <v>4.6E+154</v>
      </c>
      <c r="K2777" s="19">
        <f t="shared" si="518"/>
        <v>5298</v>
      </c>
    </row>
    <row r="2778" spans="1:11">
      <c r="A2778">
        <v>2776</v>
      </c>
      <c r="B2778">
        <v>4.1499999999999998E+91</v>
      </c>
      <c r="D2778" s="18">
        <v>2776</v>
      </c>
      <c r="E2778" s="18" cm="1">
        <f t="array" aca="1" ref="E2778" ca="1">INDIRECT("b"&amp;F2778+2)</f>
        <v>5.0499999999999997E+124</v>
      </c>
      <c r="F2778" s="18">
        <f t="shared" si="521"/>
        <v>4100</v>
      </c>
      <c r="G2778" s="18"/>
      <c r="H2778" s="18"/>
      <c r="I2778" s="19">
        <v>2776</v>
      </c>
      <c r="J2778" s="19" cm="1">
        <f t="array" aca="1" ref="J2778" ca="1">INDIRECT("b"&amp;K2778+2)</f>
        <v>5.0499999999999997E+154</v>
      </c>
      <c r="K2778" s="19">
        <f t="shared" si="518"/>
        <v>5300</v>
      </c>
    </row>
    <row r="2779" spans="1:11">
      <c r="A2779">
        <v>2777</v>
      </c>
      <c r="B2779">
        <v>4.3749999999999998E+91</v>
      </c>
      <c r="D2779" s="18">
        <v>2777</v>
      </c>
      <c r="E2779" s="18" cm="1">
        <f t="array" aca="1" ref="E2779" ca="1">INDIRECT("b"&amp;F2779+2)</f>
        <v>5.2750000000000002E+124</v>
      </c>
      <c r="F2779" s="18">
        <f t="shared" si="521"/>
        <v>4101</v>
      </c>
      <c r="G2779" s="18"/>
      <c r="H2779" s="18"/>
      <c r="I2779" s="19">
        <v>2777</v>
      </c>
      <c r="J2779" s="19" cm="1">
        <f t="array" aca="1" ref="J2779" ca="1">INDIRECT("b"&amp;K2779+2)</f>
        <v>5.2749999999999998E+154</v>
      </c>
      <c r="K2779" s="19">
        <f t="shared" si="518"/>
        <v>5301</v>
      </c>
    </row>
    <row r="2780" spans="1:11">
      <c r="A2780">
        <v>2778</v>
      </c>
      <c r="B2780">
        <v>4.5999999999999998E+91</v>
      </c>
      <c r="D2780" s="18">
        <v>2778</v>
      </c>
      <c r="E2780" s="18" cm="1">
        <f t="array" aca="1" ref="E2780" ca="1">INDIRECT("b"&amp;F2780+2)</f>
        <v>5.4999999999999998E+124</v>
      </c>
      <c r="F2780" s="18">
        <f t="shared" si="521"/>
        <v>4102</v>
      </c>
      <c r="G2780" s="18"/>
      <c r="H2780" s="18"/>
      <c r="I2780" s="19">
        <v>2778</v>
      </c>
      <c r="J2780" s="19" cm="1">
        <f t="array" aca="1" ref="J2780" ca="1">INDIRECT("b"&amp;K2780+2)</f>
        <v>5.4999999999999994E+154</v>
      </c>
      <c r="K2780" s="19">
        <f t="shared" si="518"/>
        <v>5302</v>
      </c>
    </row>
    <row r="2781" spans="1:11">
      <c r="A2781">
        <v>2779</v>
      </c>
      <c r="B2781">
        <v>4.8249999999999998E+91</v>
      </c>
      <c r="D2781" s="18">
        <v>2779</v>
      </c>
      <c r="E2781" s="18" cm="1">
        <f t="array" aca="1" ref="E2781" ca="1">INDIRECT("b"&amp;F2781+2)</f>
        <v>5.9499999999999998E+124</v>
      </c>
      <c r="F2781" s="18">
        <f t="shared" si="521"/>
        <v>4104</v>
      </c>
      <c r="G2781" s="18">
        <f t="shared" ref="G2781" ca="1" si="524">E2781/E2776</f>
        <v>1.3599999999999999</v>
      </c>
      <c r="H2781" s="18"/>
      <c r="I2781" s="19">
        <v>2779</v>
      </c>
      <c r="J2781" s="19" cm="1">
        <f t="array" aca="1" ref="J2781" ca="1">INDIRECT("b"&amp;K2781+2)</f>
        <v>5.9499999999999997E+154</v>
      </c>
      <c r="K2781" s="19">
        <f t="shared" si="518"/>
        <v>5304</v>
      </c>
    </row>
    <row r="2782" spans="1:11">
      <c r="A2782">
        <v>2780</v>
      </c>
      <c r="B2782">
        <v>5.0499999999999998E+91</v>
      </c>
      <c r="D2782" s="18">
        <v>2780</v>
      </c>
      <c r="E2782" s="18" cm="1">
        <f t="array" aca="1" ref="E2782" ca="1">INDIRECT("b"&amp;F2782+2)</f>
        <v>6.1750000000000003E+124</v>
      </c>
      <c r="F2782" s="18">
        <f t="shared" si="521"/>
        <v>4105</v>
      </c>
      <c r="G2782" s="18"/>
      <c r="H2782" s="18"/>
      <c r="I2782" s="19">
        <v>2780</v>
      </c>
      <c r="J2782" s="19" cm="1">
        <f t="array" aca="1" ref="J2782" ca="1">INDIRECT("b"&amp;K2782+2)</f>
        <v>6.1749999999999992E+154</v>
      </c>
      <c r="K2782" s="19">
        <f t="shared" si="518"/>
        <v>5305</v>
      </c>
    </row>
    <row r="2783" spans="1:11">
      <c r="A2783">
        <v>2781</v>
      </c>
      <c r="B2783">
        <v>5.2749999999999998E+91</v>
      </c>
      <c r="D2783" s="18">
        <v>2781</v>
      </c>
      <c r="E2783" s="18" cm="1">
        <f t="array" aca="1" ref="E2783" ca="1">INDIRECT("b"&amp;F2783+2)</f>
        <v>6.3999999999999999E+124</v>
      </c>
      <c r="F2783" s="18">
        <f t="shared" si="521"/>
        <v>4106</v>
      </c>
      <c r="G2783" s="18"/>
      <c r="H2783" s="18"/>
      <c r="I2783" s="19">
        <v>2781</v>
      </c>
      <c r="J2783" s="19" cm="1">
        <f t="array" aca="1" ref="J2783" ca="1">INDIRECT("b"&amp;K2783+2)</f>
        <v>6.4E+154</v>
      </c>
      <c r="K2783" s="19">
        <f t="shared" si="518"/>
        <v>5306</v>
      </c>
    </row>
    <row r="2784" spans="1:11">
      <c r="A2784">
        <v>2782</v>
      </c>
      <c r="B2784">
        <v>5.5000000000000005E+91</v>
      </c>
      <c r="D2784" s="18">
        <v>2782</v>
      </c>
      <c r="E2784" s="18" cm="1">
        <f t="array" aca="1" ref="E2784" ca="1">INDIRECT("b"&amp;F2784+2)</f>
        <v>6.8499999999999999E+124</v>
      </c>
      <c r="F2784" s="18">
        <f t="shared" si="521"/>
        <v>4108</v>
      </c>
      <c r="G2784" s="18"/>
      <c r="H2784" s="18"/>
      <c r="I2784" s="19">
        <v>2782</v>
      </c>
      <c r="J2784" s="19" cm="1">
        <f t="array" aca="1" ref="J2784" ca="1">INDIRECT("b"&amp;K2784+2)</f>
        <v>6.8499999999999991E+154</v>
      </c>
      <c r="K2784" s="19">
        <f t="shared" si="518"/>
        <v>5308</v>
      </c>
    </row>
    <row r="2785" spans="1:11">
      <c r="A2785">
        <v>2783</v>
      </c>
      <c r="B2785">
        <v>5.7250000000000005E+91</v>
      </c>
      <c r="D2785" s="18">
        <v>2783</v>
      </c>
      <c r="E2785" s="18" cm="1">
        <f t="array" aca="1" ref="E2785" ca="1">INDIRECT("b"&amp;F2785+2)</f>
        <v>7.0750000000000004E+124</v>
      </c>
      <c r="F2785" s="18">
        <f t="shared" si="521"/>
        <v>4109</v>
      </c>
      <c r="G2785" s="18"/>
      <c r="H2785" s="18"/>
      <c r="I2785" s="19">
        <v>2783</v>
      </c>
      <c r="J2785" s="19" cm="1">
        <f t="array" aca="1" ref="J2785" ca="1">INDIRECT("b"&amp;K2785+2)</f>
        <v>7.0749999999999999E+154</v>
      </c>
      <c r="K2785" s="19">
        <f t="shared" si="518"/>
        <v>5309</v>
      </c>
    </row>
    <row r="2786" spans="1:11">
      <c r="A2786">
        <v>2784</v>
      </c>
      <c r="B2786">
        <v>5.9500000000000005E+91</v>
      </c>
      <c r="D2786" s="18">
        <v>2784</v>
      </c>
      <c r="E2786" s="18" cm="1">
        <f t="array" aca="1" ref="E2786" ca="1">INDIRECT("b"&amp;F2786+2)</f>
        <v>7.2999999999999999E+124</v>
      </c>
      <c r="F2786" s="18">
        <f t="shared" si="521"/>
        <v>4110</v>
      </c>
      <c r="G2786" s="18">
        <f t="shared" ref="G2786" ca="1" si="525">E2786/E2781</f>
        <v>1.2268907563025211</v>
      </c>
      <c r="H2786" s="18"/>
      <c r="I2786" s="19">
        <v>2784</v>
      </c>
      <c r="J2786" s="19" cm="1">
        <f t="array" aca="1" ref="J2786" ca="1">INDIRECT("b"&amp;K2786+2)</f>
        <v>7.2999999999999994E+154</v>
      </c>
      <c r="K2786" s="19">
        <f t="shared" si="518"/>
        <v>5310</v>
      </c>
    </row>
    <row r="2787" spans="1:11">
      <c r="A2787">
        <v>2785</v>
      </c>
      <c r="B2787">
        <v>6.1750000000000005E+91</v>
      </c>
      <c r="D2787" s="18">
        <v>2785</v>
      </c>
      <c r="E2787" s="18" cm="1">
        <f t="array" aca="1" ref="E2787" ca="1">INDIRECT("b"&amp;F2787+2)</f>
        <v>7.75E+124</v>
      </c>
      <c r="F2787" s="18">
        <f t="shared" si="521"/>
        <v>4112</v>
      </c>
      <c r="G2787" s="18"/>
      <c r="H2787" s="18"/>
      <c r="I2787" s="19">
        <v>2785</v>
      </c>
      <c r="J2787" s="19" cm="1">
        <f t="array" aca="1" ref="J2787" ca="1">INDIRECT("b"&amp;K2787+2)</f>
        <v>7.7499999999999997E+154</v>
      </c>
      <c r="K2787" s="19">
        <f t="shared" si="518"/>
        <v>5312</v>
      </c>
    </row>
    <row r="2788" spans="1:11">
      <c r="A2788">
        <v>2786</v>
      </c>
      <c r="B2788">
        <v>6.4000000000000005E+91</v>
      </c>
      <c r="D2788" s="18">
        <v>2786</v>
      </c>
      <c r="E2788" s="18" cm="1">
        <f t="array" aca="1" ref="E2788" ca="1">INDIRECT("b"&amp;F2788+2)</f>
        <v>7.9750000000000005E+124</v>
      </c>
      <c r="F2788" s="18">
        <f t="shared" si="521"/>
        <v>4113</v>
      </c>
      <c r="G2788" s="18"/>
      <c r="H2788" s="18"/>
      <c r="I2788" s="19">
        <v>2786</v>
      </c>
      <c r="J2788" s="19" cm="1">
        <f t="array" aca="1" ref="J2788" ca="1">INDIRECT("b"&amp;K2788+2)</f>
        <v>7.9749999999999993E+154</v>
      </c>
      <c r="K2788" s="19">
        <f t="shared" si="518"/>
        <v>5313</v>
      </c>
    </row>
    <row r="2789" spans="1:11">
      <c r="A2789">
        <v>2787</v>
      </c>
      <c r="B2789">
        <v>6.6250000000000005E+91</v>
      </c>
      <c r="D2789" s="18">
        <v>2787</v>
      </c>
      <c r="E2789" s="18" cm="1">
        <f t="array" aca="1" ref="E2789" ca="1">INDIRECT("b"&amp;F2789+2)</f>
        <v>8.2E+124</v>
      </c>
      <c r="F2789" s="18">
        <f t="shared" si="521"/>
        <v>4114</v>
      </c>
      <c r="G2789" s="18"/>
      <c r="H2789" s="18"/>
      <c r="I2789" s="19">
        <v>2787</v>
      </c>
      <c r="J2789" s="19" cm="1">
        <f t="array" aca="1" ref="J2789" ca="1">INDIRECT("b"&amp;K2789+2)</f>
        <v>8.2E+154</v>
      </c>
      <c r="K2789" s="19">
        <f t="shared" si="518"/>
        <v>5314</v>
      </c>
    </row>
    <row r="2790" spans="1:11">
      <c r="A2790">
        <v>2788</v>
      </c>
      <c r="B2790">
        <v>6.8500000000000005E+91</v>
      </c>
      <c r="D2790" s="18">
        <v>2788</v>
      </c>
      <c r="E2790" s="18" cm="1">
        <f t="array" aca="1" ref="E2790" ca="1">INDIRECT("b"&amp;F2790+2)</f>
        <v>8.6500000000000001E+124</v>
      </c>
      <c r="F2790" s="18">
        <f t="shared" si="521"/>
        <v>4116</v>
      </c>
      <c r="G2790" s="18"/>
      <c r="H2790" s="18"/>
      <c r="I2790" s="19">
        <v>2788</v>
      </c>
      <c r="J2790" s="19" cm="1">
        <f t="array" aca="1" ref="J2790" ca="1">INDIRECT("b"&amp;K2790+2)</f>
        <v>8.6499999999999992E+154</v>
      </c>
      <c r="K2790" s="19">
        <f t="shared" si="518"/>
        <v>5316</v>
      </c>
    </row>
    <row r="2791" spans="1:11">
      <c r="A2791">
        <v>2789</v>
      </c>
      <c r="B2791">
        <v>7.0750000000000005E+91</v>
      </c>
      <c r="D2791" s="18">
        <v>2789</v>
      </c>
      <c r="E2791" s="18" cm="1">
        <f t="array" aca="1" ref="E2791" ca="1">INDIRECT("b"&amp;F2791+2)</f>
        <v>8.8749999999999996E+124</v>
      </c>
      <c r="F2791" s="18">
        <f t="shared" si="521"/>
        <v>4117</v>
      </c>
      <c r="G2791" s="18">
        <f t="shared" ref="G2791" ca="1" si="526">E2791/E2786</f>
        <v>1.2157534246575341</v>
      </c>
      <c r="H2791" s="18"/>
      <c r="I2791" s="19">
        <v>2789</v>
      </c>
      <c r="J2791" s="19" cm="1">
        <f t="array" aca="1" ref="J2791" ca="1">INDIRECT("b"&amp;K2791+2)</f>
        <v>8.8749999999999999E+154</v>
      </c>
      <c r="K2791" s="19">
        <f t="shared" si="518"/>
        <v>5317</v>
      </c>
    </row>
    <row r="2792" spans="1:11">
      <c r="A2792">
        <v>2790</v>
      </c>
      <c r="B2792">
        <v>7.3000000000000005E+91</v>
      </c>
      <c r="D2792" s="18">
        <v>2790</v>
      </c>
      <c r="E2792" s="18" cm="1">
        <f t="array" aca="1" ref="E2792" ca="1">INDIRECT("b"&amp;F2792+2)</f>
        <v>9.100000000000001E+124</v>
      </c>
      <c r="F2792" s="18">
        <f t="shared" si="521"/>
        <v>4118</v>
      </c>
      <c r="G2792" s="18"/>
      <c r="H2792" s="18"/>
      <c r="I2792" s="19">
        <v>2790</v>
      </c>
      <c r="J2792" s="19" cm="1">
        <f t="array" aca="1" ref="J2792" ca="1">INDIRECT("b"&amp;K2792+2)</f>
        <v>9.0999999999999995E+154</v>
      </c>
      <c r="K2792" s="19">
        <f t="shared" si="518"/>
        <v>5318</v>
      </c>
    </row>
    <row r="2793" spans="1:11">
      <c r="A2793">
        <v>2791</v>
      </c>
      <c r="B2793">
        <v>7.5250000000000005E+91</v>
      </c>
      <c r="D2793" s="18">
        <v>2791</v>
      </c>
      <c r="E2793" s="18" cm="1">
        <f t="array" aca="1" ref="E2793" ca="1">INDIRECT("b"&amp;F2793+2)</f>
        <v>9.5500000000000001E+124</v>
      </c>
      <c r="F2793" s="18">
        <f t="shared" si="521"/>
        <v>4120</v>
      </c>
      <c r="G2793" s="18"/>
      <c r="H2793" s="18"/>
      <c r="I2793" s="19">
        <v>2791</v>
      </c>
      <c r="J2793" s="19" cm="1">
        <f t="array" aca="1" ref="J2793" ca="1">INDIRECT("b"&amp;K2793+2)</f>
        <v>9.5499999999999998E+154</v>
      </c>
      <c r="K2793" s="19">
        <f t="shared" si="518"/>
        <v>5320</v>
      </c>
    </row>
    <row r="2794" spans="1:11">
      <c r="A2794">
        <v>2792</v>
      </c>
      <c r="B2794">
        <v>7.7500000000000005E+91</v>
      </c>
      <c r="D2794" s="18">
        <v>2792</v>
      </c>
      <c r="E2794" s="18" cm="1">
        <f t="array" aca="1" ref="E2794" ca="1">INDIRECT("b"&amp;F2794+2)</f>
        <v>9.7749999999999997E+124</v>
      </c>
      <c r="F2794" s="18">
        <f t="shared" si="521"/>
        <v>4121</v>
      </c>
      <c r="G2794" s="18"/>
      <c r="H2794" s="18"/>
      <c r="I2794" s="19">
        <v>2792</v>
      </c>
      <c r="J2794" s="19" cm="1">
        <f t="array" aca="1" ref="J2794" ca="1">INDIRECT("b"&amp;K2794+2)</f>
        <v>9.7749999999999993E+154</v>
      </c>
      <c r="K2794" s="19">
        <f t="shared" si="518"/>
        <v>5321</v>
      </c>
    </row>
    <row r="2795" spans="1:11">
      <c r="A2795">
        <v>2793</v>
      </c>
      <c r="B2795">
        <v>7.9750000000000005E+91</v>
      </c>
      <c r="D2795" s="18">
        <v>2793</v>
      </c>
      <c r="E2795" s="18" cm="1">
        <f t="array" aca="1" ref="E2795" ca="1">INDIRECT("b"&amp;F2795+2)</f>
        <v>1.0000000000000001E+125</v>
      </c>
      <c r="F2795" s="18">
        <f t="shared" si="521"/>
        <v>4122</v>
      </c>
      <c r="G2795" s="18"/>
      <c r="H2795" s="18"/>
      <c r="I2795" s="19">
        <v>2793</v>
      </c>
      <c r="J2795" s="19" cm="1">
        <f t="array" aca="1" ref="J2795" ca="1">INDIRECT("b"&amp;K2795+2)</f>
        <v>1E+155</v>
      </c>
      <c r="K2795" s="19">
        <f t="shared" si="518"/>
        <v>5322</v>
      </c>
    </row>
    <row r="2796" spans="1:11">
      <c r="A2796">
        <v>2794</v>
      </c>
      <c r="B2796">
        <v>8.2000000000000005E+91</v>
      </c>
      <c r="D2796" s="18">
        <v>2794</v>
      </c>
      <c r="E2796" s="18" cm="1">
        <f t="array" aca="1" ref="E2796" ca="1">INDIRECT("b"&amp;F2796+2)</f>
        <v>1.4500000000000002E+125</v>
      </c>
      <c r="F2796" s="18">
        <f t="shared" si="521"/>
        <v>4124</v>
      </c>
      <c r="G2796" s="18">
        <f t="shared" ref="G2796" ca="1" si="527">E2796/E2791</f>
        <v>1.6338028169014087</v>
      </c>
      <c r="H2796" s="18"/>
      <c r="I2796" s="19">
        <v>2794</v>
      </c>
      <c r="J2796" s="19" cm="1">
        <f t="array" aca="1" ref="J2796" ca="1">INDIRECT("b"&amp;K2796+2)</f>
        <v>1.45E+155</v>
      </c>
      <c r="K2796" s="19">
        <f t="shared" si="518"/>
        <v>5324</v>
      </c>
    </row>
    <row r="2797" spans="1:11">
      <c r="A2797">
        <v>2795</v>
      </c>
      <c r="B2797">
        <v>8.4250000000000005E+91</v>
      </c>
      <c r="D2797" s="18">
        <v>2795</v>
      </c>
      <c r="E2797" s="18" cm="1">
        <f t="array" aca="1" ref="E2797" ca="1">INDIRECT("b"&amp;F2797+2)</f>
        <v>1.6750000000000001E+125</v>
      </c>
      <c r="F2797" s="18">
        <f t="shared" si="521"/>
        <v>4125</v>
      </c>
      <c r="G2797" s="18"/>
      <c r="H2797" s="18"/>
      <c r="I2797" s="19">
        <v>2795</v>
      </c>
      <c r="J2797" s="19" cm="1">
        <f t="array" aca="1" ref="J2797" ca="1">INDIRECT("b"&amp;K2797+2)</f>
        <v>1.675E+155</v>
      </c>
      <c r="K2797" s="19">
        <f t="shared" si="518"/>
        <v>5325</v>
      </c>
    </row>
    <row r="2798" spans="1:11">
      <c r="A2798">
        <v>2796</v>
      </c>
      <c r="B2798">
        <v>8.6500000000000005E+91</v>
      </c>
      <c r="D2798" s="18">
        <v>2796</v>
      </c>
      <c r="E2798" s="18" cm="1">
        <f t="array" aca="1" ref="E2798" ca="1">INDIRECT("b"&amp;F2798+2)</f>
        <v>1.9E+125</v>
      </c>
      <c r="F2798" s="18">
        <f t="shared" si="521"/>
        <v>4126</v>
      </c>
      <c r="G2798" s="18"/>
      <c r="H2798" s="18"/>
      <c r="I2798" s="19">
        <v>2796</v>
      </c>
      <c r="J2798" s="19" cm="1">
        <f t="array" aca="1" ref="J2798" ca="1">INDIRECT("b"&amp;K2798+2)</f>
        <v>1.9E+155</v>
      </c>
      <c r="K2798" s="19">
        <f t="shared" si="518"/>
        <v>5326</v>
      </c>
    </row>
    <row r="2799" spans="1:11">
      <c r="A2799">
        <v>2797</v>
      </c>
      <c r="B2799">
        <v>8.8750000000000005E+91</v>
      </c>
      <c r="D2799" s="18">
        <v>2797</v>
      </c>
      <c r="E2799" s="18" cm="1">
        <f t="array" aca="1" ref="E2799" ca="1">INDIRECT("b"&amp;F2799+2)</f>
        <v>2.3500000000000002E+125</v>
      </c>
      <c r="F2799" s="18">
        <f t="shared" si="521"/>
        <v>4128</v>
      </c>
      <c r="G2799" s="18"/>
      <c r="H2799" s="18"/>
      <c r="I2799" s="19">
        <v>2797</v>
      </c>
      <c r="J2799" s="19" cm="1">
        <f t="array" aca="1" ref="J2799" ca="1">INDIRECT("b"&amp;K2799+2)</f>
        <v>2.3500000000000001E+155</v>
      </c>
      <c r="K2799" s="19">
        <f t="shared" si="518"/>
        <v>5328</v>
      </c>
    </row>
    <row r="2800" spans="1:11">
      <c r="A2800">
        <v>2798</v>
      </c>
      <c r="B2800">
        <v>9.1000000000000005E+91</v>
      </c>
      <c r="D2800" s="18">
        <v>2798</v>
      </c>
      <c r="E2800" s="18" cm="1">
        <f t="array" aca="1" ref="E2800" ca="1">INDIRECT("b"&amp;F2800+2)</f>
        <v>2.5750000000000002E+125</v>
      </c>
      <c r="F2800" s="18">
        <f t="shared" si="521"/>
        <v>4129</v>
      </c>
      <c r="G2800" s="18"/>
      <c r="H2800" s="18"/>
      <c r="I2800" s="19">
        <v>2798</v>
      </c>
      <c r="J2800" s="19" cm="1">
        <f t="array" aca="1" ref="J2800" ca="1">INDIRECT("b"&amp;K2800+2)</f>
        <v>2.5750000000000001E+155</v>
      </c>
      <c r="K2800" s="19">
        <f t="shared" si="518"/>
        <v>5329</v>
      </c>
    </row>
    <row r="2801" spans="1:11">
      <c r="A2801">
        <v>2799</v>
      </c>
      <c r="B2801">
        <v>9.3250000000000004E+91</v>
      </c>
      <c r="D2801" s="18">
        <v>2799</v>
      </c>
      <c r="E2801" s="18" cm="1">
        <f t="array" aca="1" ref="E2801" ca="1">INDIRECT("b"&amp;F2801+2)</f>
        <v>2.8000000000000001E+125</v>
      </c>
      <c r="F2801" s="18">
        <f t="shared" si="521"/>
        <v>4130</v>
      </c>
      <c r="G2801" s="18">
        <f t="shared" ref="G2801" ca="1" si="528">E2801/E2796</f>
        <v>1.9310344827586206</v>
      </c>
      <c r="H2801" s="18"/>
      <c r="I2801" s="19">
        <v>2799</v>
      </c>
      <c r="J2801" s="19" cm="1">
        <f t="array" aca="1" ref="J2801" ca="1">INDIRECT("b"&amp;K2801+2)</f>
        <v>2.8000000000000002E+155</v>
      </c>
      <c r="K2801" s="19">
        <f t="shared" si="518"/>
        <v>5330</v>
      </c>
    </row>
    <row r="2802" spans="1:11">
      <c r="A2802">
        <v>2800</v>
      </c>
      <c r="B2802">
        <v>9.5500000000000004E+91</v>
      </c>
      <c r="D2802" s="18">
        <v>2800</v>
      </c>
      <c r="E2802" s="18" cm="1">
        <f t="array" aca="1" ref="E2802" ca="1">INDIRECT("b"&amp;F2802+2)</f>
        <v>3.2500000000000003E+125</v>
      </c>
      <c r="F2802" s="18">
        <f t="shared" si="521"/>
        <v>4132</v>
      </c>
      <c r="G2802" s="18"/>
      <c r="H2802" s="18"/>
      <c r="I2802" s="19">
        <v>2800</v>
      </c>
      <c r="J2802" s="19" cm="1">
        <f t="array" aca="1" ref="J2802" ca="1">INDIRECT("b"&amp;K2802+2)</f>
        <v>3.2499999999999998E+155</v>
      </c>
      <c r="K2802" s="19">
        <f t="shared" si="518"/>
        <v>5332</v>
      </c>
    </row>
    <row r="2803" spans="1:11">
      <c r="A2803">
        <v>2801</v>
      </c>
      <c r="B2803">
        <v>9.7750000000000004E+91</v>
      </c>
      <c r="D2803" s="18">
        <v>2801</v>
      </c>
      <c r="E2803" s="18" cm="1">
        <f t="array" aca="1" ref="E2803" ca="1">INDIRECT("b"&amp;F2803+2)</f>
        <v>3.4749999999999999E+125</v>
      </c>
      <c r="F2803" s="18">
        <f t="shared" si="521"/>
        <v>4133</v>
      </c>
      <c r="G2803" s="18"/>
      <c r="H2803" s="18"/>
      <c r="I2803" s="19">
        <v>2801</v>
      </c>
      <c r="J2803" s="19" cm="1">
        <f t="array" aca="1" ref="J2803" ca="1">INDIRECT("b"&amp;K2803+2)</f>
        <v>3.4749999999999998E+155</v>
      </c>
      <c r="K2803" s="19">
        <f t="shared" si="518"/>
        <v>5333</v>
      </c>
    </row>
    <row r="2804" spans="1:11">
      <c r="A2804">
        <v>2802</v>
      </c>
      <c r="B2804">
        <v>1E+92</v>
      </c>
      <c r="D2804" s="18">
        <v>2802</v>
      </c>
      <c r="E2804" s="18" cm="1">
        <f t="array" aca="1" ref="E2804" ca="1">INDIRECT("b"&amp;F2804+2)</f>
        <v>3.7000000000000005E+125</v>
      </c>
      <c r="F2804" s="18">
        <f t="shared" si="521"/>
        <v>4134</v>
      </c>
      <c r="G2804" s="18"/>
      <c r="H2804" s="18"/>
      <c r="I2804" s="19">
        <v>2802</v>
      </c>
      <c r="J2804" s="19" cm="1">
        <f t="array" aca="1" ref="J2804" ca="1">INDIRECT("b"&amp;K2804+2)</f>
        <v>3.6999999999999998E+155</v>
      </c>
      <c r="K2804" s="19">
        <f t="shared" si="518"/>
        <v>5334</v>
      </c>
    </row>
    <row r="2805" spans="1:11">
      <c r="A2805">
        <v>2803</v>
      </c>
      <c r="B2805">
        <v>1.225E+92</v>
      </c>
      <c r="D2805" s="18">
        <v>2803</v>
      </c>
      <c r="E2805" s="18" cm="1">
        <f t="array" aca="1" ref="E2805" ca="1">INDIRECT("b"&amp;F2805+2)</f>
        <v>4.1500000000000004E+125</v>
      </c>
      <c r="F2805" s="18">
        <f t="shared" si="521"/>
        <v>4136</v>
      </c>
      <c r="G2805" s="18"/>
      <c r="H2805" s="18"/>
      <c r="I2805" s="19">
        <v>2803</v>
      </c>
      <c r="J2805" s="19" cm="1">
        <f t="array" aca="1" ref="J2805" ca="1">INDIRECT("b"&amp;K2805+2)</f>
        <v>4.1499999999999999E+155</v>
      </c>
      <c r="K2805" s="19">
        <f t="shared" si="518"/>
        <v>5336</v>
      </c>
    </row>
    <row r="2806" spans="1:11">
      <c r="A2806">
        <v>2804</v>
      </c>
      <c r="B2806">
        <v>1.45E+92</v>
      </c>
      <c r="D2806" s="18">
        <v>2804</v>
      </c>
      <c r="E2806" s="18" cm="1">
        <f t="array" aca="1" ref="E2806" ca="1">INDIRECT("b"&amp;F2806+2)</f>
        <v>4.3750000000000003E+125</v>
      </c>
      <c r="F2806" s="18">
        <f t="shared" si="521"/>
        <v>4137</v>
      </c>
      <c r="G2806" s="18">
        <f t="shared" ref="G2806" ca="1" si="529">E2806/E2801</f>
        <v>1.5625</v>
      </c>
      <c r="H2806" s="18"/>
      <c r="I2806" s="19">
        <v>2804</v>
      </c>
      <c r="J2806" s="19" cm="1">
        <f t="array" aca="1" ref="J2806" ca="1">INDIRECT("b"&amp;K2806+2)</f>
        <v>4.3749999999999995E+155</v>
      </c>
      <c r="K2806" s="19">
        <f t="shared" si="518"/>
        <v>5337</v>
      </c>
    </row>
    <row r="2807" spans="1:11">
      <c r="A2807">
        <v>2805</v>
      </c>
      <c r="B2807">
        <v>1.675E+92</v>
      </c>
      <c r="D2807" s="18">
        <v>2805</v>
      </c>
      <c r="E2807" s="18" cm="1">
        <f t="array" aca="1" ref="E2807" ca="1">INDIRECT("b"&amp;F2807+2)</f>
        <v>4.6000000000000003E+125</v>
      </c>
      <c r="F2807" s="18">
        <f t="shared" si="521"/>
        <v>4138</v>
      </c>
      <c r="G2807" s="18"/>
      <c r="H2807" s="18"/>
      <c r="I2807" s="19">
        <v>2805</v>
      </c>
      <c r="J2807" s="19" cm="1">
        <f t="array" aca="1" ref="J2807" ca="1">INDIRECT("b"&amp;K2807+2)</f>
        <v>4.6E+155</v>
      </c>
      <c r="K2807" s="19">
        <f t="shared" si="518"/>
        <v>5338</v>
      </c>
    </row>
    <row r="2808" spans="1:11">
      <c r="A2808">
        <v>2806</v>
      </c>
      <c r="B2808">
        <v>1.9E+92</v>
      </c>
      <c r="D2808" s="18">
        <v>2806</v>
      </c>
      <c r="E2808" s="18" cm="1">
        <f t="array" aca="1" ref="E2808" ca="1">INDIRECT("b"&amp;F2808+2)</f>
        <v>5.0500000000000001E+125</v>
      </c>
      <c r="F2808" s="18">
        <f t="shared" si="521"/>
        <v>4140</v>
      </c>
      <c r="G2808" s="18"/>
      <c r="H2808" s="18"/>
      <c r="I2808" s="19">
        <v>2806</v>
      </c>
      <c r="J2808" s="19" cm="1">
        <f t="array" aca="1" ref="J2808" ca="1">INDIRECT("b"&amp;K2808+2)</f>
        <v>5.05E+155</v>
      </c>
      <c r="K2808" s="19">
        <f t="shared" si="518"/>
        <v>5340</v>
      </c>
    </row>
    <row r="2809" spans="1:11">
      <c r="A2809">
        <v>2807</v>
      </c>
      <c r="B2809">
        <v>2.125E+92</v>
      </c>
      <c r="D2809" s="18">
        <v>2807</v>
      </c>
      <c r="E2809" s="18" cm="1">
        <f t="array" aca="1" ref="E2809" ca="1">INDIRECT("b"&amp;F2809+2)</f>
        <v>5.275E+125</v>
      </c>
      <c r="F2809" s="18">
        <f t="shared" si="521"/>
        <v>4141</v>
      </c>
      <c r="G2809" s="18"/>
      <c r="H2809" s="18"/>
      <c r="I2809" s="19">
        <v>2807</v>
      </c>
      <c r="J2809" s="19" cm="1">
        <f t="array" aca="1" ref="J2809" ca="1">INDIRECT("b"&amp;K2809+2)</f>
        <v>5.2749999999999996E+155</v>
      </c>
      <c r="K2809" s="19">
        <f t="shared" si="518"/>
        <v>5341</v>
      </c>
    </row>
    <row r="2810" spans="1:11">
      <c r="A2810">
        <v>2808</v>
      </c>
      <c r="B2810">
        <v>2.35E+92</v>
      </c>
      <c r="D2810" s="18">
        <v>2808</v>
      </c>
      <c r="E2810" s="18" cm="1">
        <f t="array" aca="1" ref="E2810" ca="1">INDIRECT("b"&amp;F2810+2)</f>
        <v>5.5E+125</v>
      </c>
      <c r="F2810" s="18">
        <f t="shared" si="521"/>
        <v>4142</v>
      </c>
      <c r="G2810" s="18"/>
      <c r="H2810" s="18"/>
      <c r="I2810" s="19">
        <v>2808</v>
      </c>
      <c r="J2810" s="19" cm="1">
        <f t="array" aca="1" ref="J2810" ca="1">INDIRECT("b"&amp;K2810+2)</f>
        <v>5.5000000000000001E+155</v>
      </c>
      <c r="K2810" s="19">
        <f t="shared" si="518"/>
        <v>5342</v>
      </c>
    </row>
    <row r="2811" spans="1:11">
      <c r="A2811">
        <v>2809</v>
      </c>
      <c r="B2811">
        <v>2.575E+92</v>
      </c>
      <c r="D2811" s="18">
        <v>2809</v>
      </c>
      <c r="E2811" s="18" cm="1">
        <f t="array" aca="1" ref="E2811" ca="1">INDIRECT("b"&amp;F2811+2)</f>
        <v>5.9500000000000006E+125</v>
      </c>
      <c r="F2811" s="18">
        <f t="shared" si="521"/>
        <v>4144</v>
      </c>
      <c r="G2811" s="18">
        <f t="shared" ref="G2811" ca="1" si="530">E2811/E2806</f>
        <v>1.36</v>
      </c>
      <c r="H2811" s="18"/>
      <c r="I2811" s="19">
        <v>2809</v>
      </c>
      <c r="J2811" s="19" cm="1">
        <f t="array" aca="1" ref="J2811" ca="1">INDIRECT("b"&amp;K2811+2)</f>
        <v>5.9500000000000002E+155</v>
      </c>
      <c r="K2811" s="19">
        <f t="shared" si="518"/>
        <v>5344</v>
      </c>
    </row>
    <row r="2812" spans="1:11">
      <c r="A2812">
        <v>2810</v>
      </c>
      <c r="B2812">
        <v>2.8E+92</v>
      </c>
      <c r="D2812" s="18">
        <v>2810</v>
      </c>
      <c r="E2812" s="18" cm="1">
        <f t="array" aca="1" ref="E2812" ca="1">INDIRECT("b"&amp;F2812+2)</f>
        <v>6.1750000000000005E+125</v>
      </c>
      <c r="F2812" s="18">
        <f t="shared" si="521"/>
        <v>4145</v>
      </c>
      <c r="G2812" s="18"/>
      <c r="H2812" s="18"/>
      <c r="I2812" s="19">
        <v>2810</v>
      </c>
      <c r="J2812" s="19" cm="1">
        <f t="array" aca="1" ref="J2812" ca="1">INDIRECT("b"&amp;K2812+2)</f>
        <v>6.1749999999999997E+155</v>
      </c>
      <c r="K2812" s="19">
        <f t="shared" si="518"/>
        <v>5345</v>
      </c>
    </row>
    <row r="2813" spans="1:11">
      <c r="A2813">
        <v>2811</v>
      </c>
      <c r="B2813">
        <v>3.025E+92</v>
      </c>
      <c r="D2813" s="18">
        <v>2811</v>
      </c>
      <c r="E2813" s="18" cm="1">
        <f t="array" aca="1" ref="E2813" ca="1">INDIRECT("b"&amp;F2813+2)</f>
        <v>6.4000000000000004E+125</v>
      </c>
      <c r="F2813" s="18">
        <f t="shared" si="521"/>
        <v>4146</v>
      </c>
      <c r="G2813" s="18"/>
      <c r="H2813" s="18"/>
      <c r="I2813" s="19">
        <v>2811</v>
      </c>
      <c r="J2813" s="19" cm="1">
        <f t="array" aca="1" ref="J2813" ca="1">INDIRECT("b"&amp;K2813+2)</f>
        <v>6.4000000000000002E+155</v>
      </c>
      <c r="K2813" s="19">
        <f t="shared" si="518"/>
        <v>5346</v>
      </c>
    </row>
    <row r="2814" spans="1:11">
      <c r="A2814">
        <v>2812</v>
      </c>
      <c r="B2814">
        <v>3.25E+92</v>
      </c>
      <c r="D2814" s="18">
        <v>2812</v>
      </c>
      <c r="E2814" s="18" cm="1">
        <f t="array" aca="1" ref="E2814" ca="1">INDIRECT("b"&amp;F2814+2)</f>
        <v>6.8500000000000003E+125</v>
      </c>
      <c r="F2814" s="18">
        <f t="shared" si="521"/>
        <v>4148</v>
      </c>
      <c r="G2814" s="18"/>
      <c r="H2814" s="18"/>
      <c r="I2814" s="19">
        <v>2812</v>
      </c>
      <c r="J2814" s="19" cm="1">
        <f t="array" aca="1" ref="J2814" ca="1">INDIRECT("b"&amp;K2814+2)</f>
        <v>6.8500000000000003E+155</v>
      </c>
      <c r="K2814" s="19">
        <f t="shared" si="518"/>
        <v>5348</v>
      </c>
    </row>
    <row r="2815" spans="1:11">
      <c r="A2815">
        <v>2813</v>
      </c>
      <c r="B2815">
        <v>3.475E+92</v>
      </c>
      <c r="D2815" s="18">
        <v>2813</v>
      </c>
      <c r="E2815" s="18" cm="1">
        <f t="array" aca="1" ref="E2815" ca="1">INDIRECT("b"&amp;F2815+2)</f>
        <v>7.075000000000001E+125</v>
      </c>
      <c r="F2815" s="18">
        <f t="shared" si="521"/>
        <v>4149</v>
      </c>
      <c r="G2815" s="18"/>
      <c r="H2815" s="18"/>
      <c r="I2815" s="19">
        <v>2813</v>
      </c>
      <c r="J2815" s="19" cm="1">
        <f t="array" aca="1" ref="J2815" ca="1">INDIRECT("b"&amp;K2815+2)</f>
        <v>7.0749999999999999E+155</v>
      </c>
      <c r="K2815" s="19">
        <f t="shared" si="518"/>
        <v>5349</v>
      </c>
    </row>
    <row r="2816" spans="1:11">
      <c r="A2816">
        <v>2814</v>
      </c>
      <c r="B2816">
        <v>3.7E+92</v>
      </c>
      <c r="D2816" s="18">
        <v>2814</v>
      </c>
      <c r="E2816" s="18" cm="1">
        <f t="array" aca="1" ref="E2816" ca="1">INDIRECT("b"&amp;F2816+2)</f>
        <v>7.3000000000000001E+125</v>
      </c>
      <c r="F2816" s="18">
        <f t="shared" si="521"/>
        <v>4150</v>
      </c>
      <c r="G2816" s="18">
        <f t="shared" ref="G2816" ca="1" si="531">E2816/E2811</f>
        <v>1.2268907563025209</v>
      </c>
      <c r="H2816" s="18"/>
      <c r="I2816" s="19">
        <v>2814</v>
      </c>
      <c r="J2816" s="19" cm="1">
        <f t="array" aca="1" ref="J2816" ca="1">INDIRECT("b"&amp;K2816+2)</f>
        <v>7.2999999999999994E+155</v>
      </c>
      <c r="K2816" s="19">
        <f t="shared" si="518"/>
        <v>5350</v>
      </c>
    </row>
    <row r="2817" spans="1:11">
      <c r="A2817">
        <v>2815</v>
      </c>
      <c r="B2817">
        <v>3.925E+92</v>
      </c>
      <c r="D2817" s="18">
        <v>2815</v>
      </c>
      <c r="E2817" s="18" cm="1">
        <f t="array" aca="1" ref="E2817" ca="1">INDIRECT("b"&amp;F2817+2)</f>
        <v>7.75E+125</v>
      </c>
      <c r="F2817" s="18">
        <f t="shared" si="521"/>
        <v>4152</v>
      </c>
      <c r="G2817" s="18"/>
      <c r="H2817" s="18"/>
      <c r="I2817" s="19">
        <v>2815</v>
      </c>
      <c r="J2817" s="19" cm="1">
        <f t="array" aca="1" ref="J2817" ca="1">INDIRECT("b"&amp;K2817+2)</f>
        <v>7.7499999999999995E+155</v>
      </c>
      <c r="K2817" s="19">
        <f t="shared" si="518"/>
        <v>5352</v>
      </c>
    </row>
    <row r="2818" spans="1:11">
      <c r="A2818">
        <v>2816</v>
      </c>
      <c r="B2818">
        <v>4.15E+92</v>
      </c>
      <c r="D2818" s="18">
        <v>2816</v>
      </c>
      <c r="E2818" s="18" cm="1">
        <f t="array" aca="1" ref="E2818" ca="1">INDIRECT("b"&amp;F2818+2)</f>
        <v>7.9750000000000007E+125</v>
      </c>
      <c r="F2818" s="18">
        <f t="shared" si="521"/>
        <v>4153</v>
      </c>
      <c r="G2818" s="18"/>
      <c r="H2818" s="18"/>
      <c r="I2818" s="19">
        <v>2816</v>
      </c>
      <c r="J2818" s="19" cm="1">
        <f t="array" aca="1" ref="J2818" ca="1">INDIRECT("b"&amp;K2818+2)</f>
        <v>7.975E+155</v>
      </c>
      <c r="K2818" s="19">
        <f t="shared" si="518"/>
        <v>5353</v>
      </c>
    </row>
    <row r="2819" spans="1:11">
      <c r="A2819">
        <v>2817</v>
      </c>
      <c r="B2819">
        <v>4.375E+92</v>
      </c>
      <c r="D2819" s="18">
        <v>2817</v>
      </c>
      <c r="E2819" s="18" cm="1">
        <f t="array" aca="1" ref="E2819" ca="1">INDIRECT("b"&amp;F2819+2)</f>
        <v>8.1999999999999998E+125</v>
      </c>
      <c r="F2819" s="18">
        <f t="shared" si="521"/>
        <v>4154</v>
      </c>
      <c r="G2819" s="18"/>
      <c r="H2819" s="18"/>
      <c r="I2819" s="19">
        <v>2817</v>
      </c>
      <c r="J2819" s="19" cm="1">
        <f t="array" aca="1" ref="J2819" ca="1">INDIRECT("b"&amp;K2819+2)</f>
        <v>8.1999999999999996E+155</v>
      </c>
      <c r="K2819" s="19">
        <f t="shared" si="518"/>
        <v>5354</v>
      </c>
    </row>
    <row r="2820" spans="1:11">
      <c r="A2820">
        <v>2818</v>
      </c>
      <c r="B2820">
        <v>4.6000000000000005E+92</v>
      </c>
      <c r="D2820" s="18">
        <v>2818</v>
      </c>
      <c r="E2820" s="18" cm="1">
        <f t="array" aca="1" ref="E2820" ca="1">INDIRECT("b"&amp;F2820+2)</f>
        <v>8.6499999999999997E+125</v>
      </c>
      <c r="F2820" s="18">
        <f t="shared" si="521"/>
        <v>4156</v>
      </c>
      <c r="G2820" s="18"/>
      <c r="H2820" s="18"/>
      <c r="I2820" s="19">
        <v>2818</v>
      </c>
      <c r="J2820" s="19" cm="1">
        <f t="array" aca="1" ref="J2820" ca="1">INDIRECT("b"&amp;K2820+2)</f>
        <v>8.6500000000000006E+155</v>
      </c>
      <c r="K2820" s="19">
        <f t="shared" ref="K2820:K2883" si="532">INT((A2820-1)*40/30+900*40/30)+400</f>
        <v>5356</v>
      </c>
    </row>
    <row r="2821" spans="1:11">
      <c r="A2821">
        <v>2819</v>
      </c>
      <c r="B2821">
        <v>4.8250000000000005E+92</v>
      </c>
      <c r="D2821" s="18">
        <v>2819</v>
      </c>
      <c r="E2821" s="18" cm="1">
        <f t="array" aca="1" ref="E2821" ca="1">INDIRECT("b"&amp;F2821+2)</f>
        <v>8.8750000000000004E+125</v>
      </c>
      <c r="F2821" s="18">
        <f t="shared" si="521"/>
        <v>4157</v>
      </c>
      <c r="G2821" s="18">
        <f t="shared" ref="G2821" ca="1" si="533">E2821/E2816</f>
        <v>1.2157534246575343</v>
      </c>
      <c r="H2821" s="18"/>
      <c r="I2821" s="19">
        <v>2819</v>
      </c>
      <c r="J2821" s="19" cm="1">
        <f t="array" aca="1" ref="J2821" ca="1">INDIRECT("b"&amp;K2821+2)</f>
        <v>8.8749999999999992E+155</v>
      </c>
      <c r="K2821" s="19">
        <f t="shared" si="532"/>
        <v>5357</v>
      </c>
    </row>
    <row r="2822" spans="1:11">
      <c r="A2822">
        <v>2820</v>
      </c>
      <c r="B2822">
        <v>5.0500000000000005E+92</v>
      </c>
      <c r="D2822" s="18">
        <v>2820</v>
      </c>
      <c r="E2822" s="18" cm="1">
        <f t="array" aca="1" ref="E2822" ca="1">INDIRECT("b"&amp;F2822+2)</f>
        <v>9.100000000000001E+125</v>
      </c>
      <c r="F2822" s="18">
        <f t="shared" si="521"/>
        <v>4158</v>
      </c>
      <c r="G2822" s="18"/>
      <c r="H2822" s="18"/>
      <c r="I2822" s="19">
        <v>2820</v>
      </c>
      <c r="J2822" s="19" cm="1">
        <f t="array" aca="1" ref="J2822" ca="1">INDIRECT("b"&amp;K2822+2)</f>
        <v>9.0999999999999997E+155</v>
      </c>
      <c r="K2822" s="19">
        <f t="shared" si="532"/>
        <v>5358</v>
      </c>
    </row>
    <row r="2823" spans="1:11">
      <c r="A2823">
        <v>2821</v>
      </c>
      <c r="B2823">
        <v>5.2750000000000005E+92</v>
      </c>
      <c r="D2823" s="18">
        <v>2821</v>
      </c>
      <c r="E2823" s="18" cm="1">
        <f t="array" aca="1" ref="E2823" ca="1">INDIRECT("b"&amp;F2823+2)</f>
        <v>9.5500000000000009E+125</v>
      </c>
      <c r="F2823" s="18">
        <f t="shared" si="521"/>
        <v>4160</v>
      </c>
      <c r="G2823" s="18"/>
      <c r="H2823" s="18"/>
      <c r="I2823" s="19">
        <v>2821</v>
      </c>
      <c r="J2823" s="19" cm="1">
        <f t="array" aca="1" ref="J2823" ca="1">INDIRECT("b"&amp;K2823+2)</f>
        <v>9.5500000000000007E+155</v>
      </c>
      <c r="K2823" s="19">
        <f t="shared" si="532"/>
        <v>5360</v>
      </c>
    </row>
    <row r="2824" spans="1:11">
      <c r="A2824">
        <v>2822</v>
      </c>
      <c r="B2824">
        <v>5.5000000000000005E+92</v>
      </c>
      <c r="D2824" s="18">
        <v>2822</v>
      </c>
      <c r="E2824" s="18" cm="1">
        <f t="array" aca="1" ref="E2824" ca="1">INDIRECT("b"&amp;F2824+2)</f>
        <v>9.7750000000000001E+125</v>
      </c>
      <c r="F2824" s="18">
        <f t="shared" si="521"/>
        <v>4161</v>
      </c>
      <c r="G2824" s="18"/>
      <c r="H2824" s="18"/>
      <c r="I2824" s="19">
        <v>2822</v>
      </c>
      <c r="J2824" s="19" cm="1">
        <f t="array" aca="1" ref="J2824" ca="1">INDIRECT("b"&amp;K2824+2)</f>
        <v>9.7749999999999993E+155</v>
      </c>
      <c r="K2824" s="19">
        <f t="shared" si="532"/>
        <v>5361</v>
      </c>
    </row>
    <row r="2825" spans="1:11">
      <c r="A2825">
        <v>2823</v>
      </c>
      <c r="B2825">
        <v>5.7250000000000005E+92</v>
      </c>
      <c r="D2825" s="18">
        <v>2823</v>
      </c>
      <c r="E2825" s="18" cm="1">
        <f t="array" aca="1" ref="E2825" ca="1">INDIRECT("b"&amp;F2825+2)</f>
        <v>9.9999999999999992E+125</v>
      </c>
      <c r="F2825" s="18">
        <f t="shared" si="521"/>
        <v>4162</v>
      </c>
      <c r="G2825" s="18"/>
      <c r="H2825" s="18"/>
      <c r="I2825" s="19">
        <v>2823</v>
      </c>
      <c r="J2825" s="19" cm="1">
        <f t="array" aca="1" ref="J2825" ca="1">INDIRECT("b"&amp;K2825+2)</f>
        <v>9.9999999999999998E+155</v>
      </c>
      <c r="K2825" s="19">
        <f t="shared" si="532"/>
        <v>5362</v>
      </c>
    </row>
    <row r="2826" spans="1:11">
      <c r="A2826">
        <v>2824</v>
      </c>
      <c r="B2826">
        <v>5.9500000000000005E+92</v>
      </c>
      <c r="D2826" s="18">
        <v>2824</v>
      </c>
      <c r="E2826" s="18" cm="1">
        <f t="array" aca="1" ref="E2826" ca="1">INDIRECT("b"&amp;F2826+2)</f>
        <v>1.4499999999999999E+126</v>
      </c>
      <c r="F2826" s="18">
        <f t="shared" si="521"/>
        <v>4164</v>
      </c>
      <c r="G2826" s="18">
        <f t="shared" ref="G2826" ca="1" si="534">E2826/E2821</f>
        <v>1.6338028169014083</v>
      </c>
      <c r="H2826" s="18"/>
      <c r="I2826" s="19">
        <v>2824</v>
      </c>
      <c r="J2826" s="19" cm="1">
        <f t="array" aca="1" ref="J2826" ca="1">INDIRECT("b"&amp;K2826+2)</f>
        <v>1.4500000000000001E+156</v>
      </c>
      <c r="K2826" s="19">
        <f t="shared" si="532"/>
        <v>5364</v>
      </c>
    </row>
    <row r="2827" spans="1:11">
      <c r="A2827">
        <v>2825</v>
      </c>
      <c r="B2827">
        <v>6.1750000000000005E+92</v>
      </c>
      <c r="D2827" s="18">
        <v>2825</v>
      </c>
      <c r="E2827" s="18" cm="1">
        <f t="array" aca="1" ref="E2827" ca="1">INDIRECT("b"&amp;F2827+2)</f>
        <v>1.675E+126</v>
      </c>
      <c r="F2827" s="18">
        <f t="shared" si="521"/>
        <v>4165</v>
      </c>
      <c r="G2827" s="18"/>
      <c r="H2827" s="18"/>
      <c r="I2827" s="19">
        <v>2825</v>
      </c>
      <c r="J2827" s="19" cm="1">
        <f t="array" aca="1" ref="J2827" ca="1">INDIRECT("b"&amp;K2827+2)</f>
        <v>1.675E+156</v>
      </c>
      <c r="K2827" s="19">
        <f t="shared" si="532"/>
        <v>5365</v>
      </c>
    </row>
    <row r="2828" spans="1:11">
      <c r="A2828">
        <v>2826</v>
      </c>
      <c r="B2828">
        <v>6.4000000000000005E+92</v>
      </c>
      <c r="D2828" s="18">
        <v>2826</v>
      </c>
      <c r="E2828" s="18" cm="1">
        <f t="array" aca="1" ref="E2828" ca="1">INDIRECT("b"&amp;F2828+2)</f>
        <v>1.9000000000000001E+126</v>
      </c>
      <c r="F2828" s="18">
        <f t="shared" si="521"/>
        <v>4166</v>
      </c>
      <c r="G2828" s="18"/>
      <c r="H2828" s="18"/>
      <c r="I2828" s="19">
        <v>2826</v>
      </c>
      <c r="J2828" s="19" cm="1">
        <f t="array" aca="1" ref="J2828" ca="1">INDIRECT("b"&amp;K2828+2)</f>
        <v>1.9000000000000001E+156</v>
      </c>
      <c r="K2828" s="19">
        <f t="shared" si="532"/>
        <v>5366</v>
      </c>
    </row>
    <row r="2829" spans="1:11">
      <c r="A2829">
        <v>2827</v>
      </c>
      <c r="B2829">
        <v>6.6250000000000005E+92</v>
      </c>
      <c r="D2829" s="18">
        <v>2827</v>
      </c>
      <c r="E2829" s="18" cm="1">
        <f t="array" aca="1" ref="E2829" ca="1">INDIRECT("b"&amp;F2829+2)</f>
        <v>2.3499999999999999E+126</v>
      </c>
      <c r="F2829" s="18">
        <f t="shared" si="521"/>
        <v>4168</v>
      </c>
      <c r="G2829" s="18"/>
      <c r="H2829" s="18"/>
      <c r="I2829" s="19">
        <v>2827</v>
      </c>
      <c r="J2829" s="19" cm="1">
        <f t="array" aca="1" ref="J2829" ca="1">INDIRECT("b"&amp;K2829+2)</f>
        <v>2.35E+156</v>
      </c>
      <c r="K2829" s="19">
        <f t="shared" si="532"/>
        <v>5368</v>
      </c>
    </row>
    <row r="2830" spans="1:11">
      <c r="A2830">
        <v>2828</v>
      </c>
      <c r="B2830">
        <v>6.8500000000000005E+92</v>
      </c>
      <c r="D2830" s="18">
        <v>2828</v>
      </c>
      <c r="E2830" s="18" cm="1">
        <f t="array" aca="1" ref="E2830" ca="1">INDIRECT("b"&amp;F2830+2)</f>
        <v>2.575E+126</v>
      </c>
      <c r="F2830" s="18">
        <f t="shared" si="521"/>
        <v>4169</v>
      </c>
      <c r="G2830" s="18"/>
      <c r="H2830" s="18"/>
      <c r="I2830" s="19">
        <v>2828</v>
      </c>
      <c r="J2830" s="19" cm="1">
        <f t="array" aca="1" ref="J2830" ca="1">INDIRECT("b"&amp;K2830+2)</f>
        <v>2.5750000000000001E+156</v>
      </c>
      <c r="K2830" s="19">
        <f t="shared" si="532"/>
        <v>5369</v>
      </c>
    </row>
    <row r="2831" spans="1:11">
      <c r="A2831">
        <v>2829</v>
      </c>
      <c r="B2831">
        <v>7.0750000000000005E+92</v>
      </c>
      <c r="D2831" s="18">
        <v>2829</v>
      </c>
      <c r="E2831" s="18" cm="1">
        <f t="array" aca="1" ref="E2831" ca="1">INDIRECT("b"&amp;F2831+2)</f>
        <v>2.8000000000000001E+126</v>
      </c>
      <c r="F2831" s="18">
        <f t="shared" si="521"/>
        <v>4170</v>
      </c>
      <c r="G2831" s="18">
        <f t="shared" ref="G2831" ca="1" si="535">E2831/E2826</f>
        <v>1.9310344827586208</v>
      </c>
      <c r="H2831" s="18"/>
      <c r="I2831" s="19">
        <v>2829</v>
      </c>
      <c r="J2831" s="19" cm="1">
        <f t="array" aca="1" ref="J2831" ca="1">INDIRECT("b"&amp;K2831+2)</f>
        <v>2.8000000000000003E+156</v>
      </c>
      <c r="K2831" s="19">
        <f t="shared" si="532"/>
        <v>5370</v>
      </c>
    </row>
    <row r="2832" spans="1:11">
      <c r="A2832">
        <v>2830</v>
      </c>
      <c r="B2832">
        <v>7.3000000000000005E+92</v>
      </c>
      <c r="D2832" s="18">
        <v>2830</v>
      </c>
      <c r="E2832" s="18" cm="1">
        <f t="array" aca="1" ref="E2832" ca="1">INDIRECT("b"&amp;F2832+2)</f>
        <v>3.2499999999999996E+126</v>
      </c>
      <c r="F2832" s="18">
        <f t="shared" si="521"/>
        <v>4172</v>
      </c>
      <c r="G2832" s="18"/>
      <c r="H2832" s="18"/>
      <c r="I2832" s="19">
        <v>2830</v>
      </c>
      <c r="J2832" s="19" cm="1">
        <f t="array" aca="1" ref="J2832" ca="1">INDIRECT("b"&amp;K2832+2)</f>
        <v>3.2500000000000001E+156</v>
      </c>
      <c r="K2832" s="19">
        <f t="shared" si="532"/>
        <v>5372</v>
      </c>
    </row>
    <row r="2833" spans="1:11">
      <c r="A2833">
        <v>2831</v>
      </c>
      <c r="B2833">
        <v>7.5250000000000005E+92</v>
      </c>
      <c r="D2833" s="18">
        <v>2831</v>
      </c>
      <c r="E2833" s="18" cm="1">
        <f t="array" aca="1" ref="E2833" ca="1">INDIRECT("b"&amp;F2833+2)</f>
        <v>3.475E+126</v>
      </c>
      <c r="F2833" s="18">
        <f t="shared" si="521"/>
        <v>4173</v>
      </c>
      <c r="G2833" s="18"/>
      <c r="H2833" s="18"/>
      <c r="I2833" s="19">
        <v>2831</v>
      </c>
      <c r="J2833" s="19" cm="1">
        <f t="array" aca="1" ref="J2833" ca="1">INDIRECT("b"&amp;K2833+2)</f>
        <v>3.4750000000000003E+156</v>
      </c>
      <c r="K2833" s="19">
        <f t="shared" si="532"/>
        <v>5373</v>
      </c>
    </row>
    <row r="2834" spans="1:11">
      <c r="A2834">
        <v>2832</v>
      </c>
      <c r="B2834">
        <v>7.7500000000000005E+92</v>
      </c>
      <c r="D2834" s="18">
        <v>2832</v>
      </c>
      <c r="E2834" s="18" cm="1">
        <f t="array" aca="1" ref="E2834" ca="1">INDIRECT("b"&amp;F2834+2)</f>
        <v>3.6999999999999998E+126</v>
      </c>
      <c r="F2834" s="18">
        <f t="shared" si="521"/>
        <v>4174</v>
      </c>
      <c r="G2834" s="18"/>
      <c r="H2834" s="18"/>
      <c r="I2834" s="19">
        <v>2832</v>
      </c>
      <c r="J2834" s="19" cm="1">
        <f t="array" aca="1" ref="J2834" ca="1">INDIRECT("b"&amp;K2834+2)</f>
        <v>3.7E+156</v>
      </c>
      <c r="K2834" s="19">
        <f t="shared" si="532"/>
        <v>5374</v>
      </c>
    </row>
    <row r="2835" spans="1:11">
      <c r="A2835">
        <v>2833</v>
      </c>
      <c r="B2835">
        <v>7.9750000000000005E+92</v>
      </c>
      <c r="D2835" s="18">
        <v>2833</v>
      </c>
      <c r="E2835" s="18" cm="1">
        <f t="array" aca="1" ref="E2835" ca="1">INDIRECT("b"&amp;F2835+2)</f>
        <v>4.15E+126</v>
      </c>
      <c r="F2835" s="18">
        <f t="shared" ref="F2835:F2898" si="536">INT((A2835-123)*1.333333)+563</f>
        <v>4176</v>
      </c>
      <c r="G2835" s="18"/>
      <c r="H2835" s="18"/>
      <c r="I2835" s="19">
        <v>2833</v>
      </c>
      <c r="J2835" s="19" cm="1">
        <f t="array" aca="1" ref="J2835" ca="1">INDIRECT("b"&amp;K2835+2)</f>
        <v>4.1500000000000003E+156</v>
      </c>
      <c r="K2835" s="19">
        <f t="shared" si="532"/>
        <v>5376</v>
      </c>
    </row>
    <row r="2836" spans="1:11">
      <c r="A2836">
        <v>2834</v>
      </c>
      <c r="B2836">
        <v>8.2000000000000005E+92</v>
      </c>
      <c r="D2836" s="18">
        <v>2834</v>
      </c>
      <c r="E2836" s="18" cm="1">
        <f t="array" aca="1" ref="E2836" ca="1">INDIRECT("b"&amp;F2836+2)</f>
        <v>4.3749999999999997E+126</v>
      </c>
      <c r="F2836" s="18">
        <f t="shared" si="536"/>
        <v>4177</v>
      </c>
      <c r="G2836" s="18">
        <f t="shared" ref="G2836" ca="1" si="537">E2836/E2831</f>
        <v>1.5624999999999998</v>
      </c>
      <c r="H2836" s="18"/>
      <c r="I2836" s="19">
        <v>2834</v>
      </c>
      <c r="J2836" s="19" cm="1">
        <f t="array" aca="1" ref="J2836" ca="1">INDIRECT("b"&amp;K2836+2)</f>
        <v>4.375E+156</v>
      </c>
      <c r="K2836" s="19">
        <f t="shared" si="532"/>
        <v>5377</v>
      </c>
    </row>
    <row r="2837" spans="1:11">
      <c r="A2837">
        <v>2835</v>
      </c>
      <c r="B2837">
        <v>8.4250000000000005E+92</v>
      </c>
      <c r="D2837" s="18">
        <v>2835</v>
      </c>
      <c r="E2837" s="18" cm="1">
        <f t="array" aca="1" ref="E2837" ca="1">INDIRECT("b"&amp;F2837+2)</f>
        <v>4.6000000000000001E+126</v>
      </c>
      <c r="F2837" s="18">
        <f t="shared" si="536"/>
        <v>4178</v>
      </c>
      <c r="G2837" s="18"/>
      <c r="H2837" s="18"/>
      <c r="I2837" s="19">
        <v>2835</v>
      </c>
      <c r="J2837" s="19" cm="1">
        <f t="array" aca="1" ref="J2837" ca="1">INDIRECT("b"&amp;K2837+2)</f>
        <v>4.6000000000000005E+156</v>
      </c>
      <c r="K2837" s="19">
        <f t="shared" si="532"/>
        <v>5378</v>
      </c>
    </row>
    <row r="2838" spans="1:11">
      <c r="A2838">
        <v>2836</v>
      </c>
      <c r="B2838">
        <v>8.6500000000000005E+92</v>
      </c>
      <c r="D2838" s="18">
        <v>2836</v>
      </c>
      <c r="E2838" s="18" cm="1">
        <f t="array" aca="1" ref="E2838" ca="1">INDIRECT("b"&amp;F2838+2)</f>
        <v>5.0499999999999997E+126</v>
      </c>
      <c r="F2838" s="18">
        <f t="shared" si="536"/>
        <v>4180</v>
      </c>
      <c r="G2838" s="18"/>
      <c r="H2838" s="18"/>
      <c r="I2838" s="19">
        <v>2836</v>
      </c>
      <c r="J2838" s="19" cm="1">
        <f t="array" aca="1" ref="J2838" ca="1">INDIRECT("b"&amp;K2838+2)</f>
        <v>5.05E+156</v>
      </c>
      <c r="K2838" s="19">
        <f t="shared" si="532"/>
        <v>5380</v>
      </c>
    </row>
    <row r="2839" spans="1:11">
      <c r="A2839">
        <v>2837</v>
      </c>
      <c r="B2839">
        <v>8.8750000000000005E+92</v>
      </c>
      <c r="D2839" s="18">
        <v>2837</v>
      </c>
      <c r="E2839" s="18" cm="1">
        <f t="array" aca="1" ref="E2839" ca="1">INDIRECT("b"&amp;F2839+2)</f>
        <v>5.275E+126</v>
      </c>
      <c r="F2839" s="18">
        <f t="shared" si="536"/>
        <v>4181</v>
      </c>
      <c r="G2839" s="18"/>
      <c r="H2839" s="18"/>
      <c r="I2839" s="19">
        <v>2837</v>
      </c>
      <c r="J2839" s="19" cm="1">
        <f t="array" aca="1" ref="J2839" ca="1">INDIRECT("b"&amp;K2839+2)</f>
        <v>5.2750000000000005E+156</v>
      </c>
      <c r="K2839" s="19">
        <f t="shared" si="532"/>
        <v>5381</v>
      </c>
    </row>
    <row r="2840" spans="1:11">
      <c r="A2840">
        <v>2838</v>
      </c>
      <c r="B2840">
        <v>9.1000000000000005E+92</v>
      </c>
      <c r="D2840" s="18">
        <v>2838</v>
      </c>
      <c r="E2840" s="18" cm="1">
        <f t="array" aca="1" ref="E2840" ca="1">INDIRECT("b"&amp;F2840+2)</f>
        <v>5.5000000000000004E+126</v>
      </c>
      <c r="F2840" s="18">
        <f t="shared" si="536"/>
        <v>4182</v>
      </c>
      <c r="G2840" s="18"/>
      <c r="H2840" s="18"/>
      <c r="I2840" s="19">
        <v>2838</v>
      </c>
      <c r="J2840" s="19" cm="1">
        <f t="array" aca="1" ref="J2840" ca="1">INDIRECT("b"&amp;K2840+2)</f>
        <v>5.5000000000000003E+156</v>
      </c>
      <c r="K2840" s="19">
        <f t="shared" si="532"/>
        <v>5382</v>
      </c>
    </row>
    <row r="2841" spans="1:11">
      <c r="A2841">
        <v>2839</v>
      </c>
      <c r="B2841">
        <v>9.3250000000000004E+92</v>
      </c>
      <c r="D2841" s="18">
        <v>2839</v>
      </c>
      <c r="E2841" s="18" cm="1">
        <f t="array" aca="1" ref="E2841" ca="1">INDIRECT("b"&amp;F2841+2)</f>
        <v>5.95E+126</v>
      </c>
      <c r="F2841" s="18">
        <f t="shared" si="536"/>
        <v>4184</v>
      </c>
      <c r="G2841" s="18">
        <f t="shared" ref="G2841" ca="1" si="538">E2841/E2836</f>
        <v>1.36</v>
      </c>
      <c r="H2841" s="18"/>
      <c r="I2841" s="19">
        <v>2839</v>
      </c>
      <c r="J2841" s="19" cm="1">
        <f t="array" aca="1" ref="J2841" ca="1">INDIRECT("b"&amp;K2841+2)</f>
        <v>5.9500000000000005E+156</v>
      </c>
      <c r="K2841" s="19">
        <f t="shared" si="532"/>
        <v>5384</v>
      </c>
    </row>
    <row r="2842" spans="1:11">
      <c r="A2842">
        <v>2840</v>
      </c>
      <c r="B2842">
        <v>9.5500000000000004E+92</v>
      </c>
      <c r="D2842" s="18">
        <v>2840</v>
      </c>
      <c r="E2842" s="18" cm="1">
        <f t="array" aca="1" ref="E2842" ca="1">INDIRECT("b"&amp;F2842+2)</f>
        <v>6.1749999999999997E+126</v>
      </c>
      <c r="F2842" s="18">
        <f t="shared" si="536"/>
        <v>4185</v>
      </c>
      <c r="G2842" s="18"/>
      <c r="H2842" s="18"/>
      <c r="I2842" s="19">
        <v>2840</v>
      </c>
      <c r="J2842" s="19" cm="1">
        <f t="array" aca="1" ref="J2842" ca="1">INDIRECT("b"&amp;K2842+2)</f>
        <v>6.1750000000000003E+156</v>
      </c>
      <c r="K2842" s="19">
        <f t="shared" si="532"/>
        <v>5385</v>
      </c>
    </row>
    <row r="2843" spans="1:11">
      <c r="A2843">
        <v>2841</v>
      </c>
      <c r="B2843">
        <v>9.7750000000000004E+92</v>
      </c>
      <c r="D2843" s="18">
        <v>2841</v>
      </c>
      <c r="E2843" s="18" cm="1">
        <f t="array" aca="1" ref="E2843" ca="1">INDIRECT("b"&amp;F2843+2)</f>
        <v>6.3999999999999995E+126</v>
      </c>
      <c r="F2843" s="18">
        <f t="shared" si="536"/>
        <v>4186</v>
      </c>
      <c r="G2843" s="18"/>
      <c r="H2843" s="18"/>
      <c r="I2843" s="19">
        <v>2841</v>
      </c>
      <c r="J2843" s="19" cm="1">
        <f t="array" aca="1" ref="J2843" ca="1">INDIRECT("b"&amp;K2843+2)</f>
        <v>6.4E+156</v>
      </c>
      <c r="K2843" s="19">
        <f t="shared" si="532"/>
        <v>5386</v>
      </c>
    </row>
    <row r="2844" spans="1:11">
      <c r="A2844">
        <v>2842</v>
      </c>
      <c r="B2844">
        <v>1E+93</v>
      </c>
      <c r="D2844" s="18">
        <v>2842</v>
      </c>
      <c r="E2844" s="18" cm="1">
        <f t="array" aca="1" ref="E2844" ca="1">INDIRECT("b"&amp;F2844+2)</f>
        <v>6.8500000000000003E+126</v>
      </c>
      <c r="F2844" s="18">
        <f t="shared" si="536"/>
        <v>4188</v>
      </c>
      <c r="G2844" s="18"/>
      <c r="H2844" s="18"/>
      <c r="I2844" s="19">
        <v>2842</v>
      </c>
      <c r="J2844" s="19" cm="1">
        <f t="array" aca="1" ref="J2844" ca="1">INDIRECT("b"&amp;K2844+2)</f>
        <v>6.8500000000000003E+156</v>
      </c>
      <c r="K2844" s="19">
        <f t="shared" si="532"/>
        <v>5388</v>
      </c>
    </row>
    <row r="2845" spans="1:11">
      <c r="A2845">
        <v>2843</v>
      </c>
      <c r="B2845">
        <v>1.2249999999999999E+93</v>
      </c>
      <c r="D2845" s="18">
        <v>2843</v>
      </c>
      <c r="E2845" s="18" cm="1">
        <f t="array" aca="1" ref="E2845" ca="1">INDIRECT("b"&amp;F2845+2)</f>
        <v>7.0750000000000001E+126</v>
      </c>
      <c r="F2845" s="18">
        <f t="shared" si="536"/>
        <v>4189</v>
      </c>
      <c r="G2845" s="18"/>
      <c r="H2845" s="18"/>
      <c r="I2845" s="19">
        <v>2843</v>
      </c>
      <c r="J2845" s="19" cm="1">
        <f t="array" aca="1" ref="J2845" ca="1">INDIRECT("b"&amp;K2845+2)</f>
        <v>7.0750000000000008E+156</v>
      </c>
      <c r="K2845" s="19">
        <f t="shared" si="532"/>
        <v>5389</v>
      </c>
    </row>
    <row r="2846" spans="1:11">
      <c r="A2846">
        <v>2844</v>
      </c>
      <c r="B2846">
        <v>1.4499999999999999E+93</v>
      </c>
      <c r="D2846" s="18">
        <v>2844</v>
      </c>
      <c r="E2846" s="18" cm="1">
        <f t="array" aca="1" ref="E2846" ca="1">INDIRECT("b"&amp;F2846+2)</f>
        <v>7.2999999999999998E+126</v>
      </c>
      <c r="F2846" s="18">
        <f t="shared" si="536"/>
        <v>4190</v>
      </c>
      <c r="G2846" s="18">
        <f t="shared" ref="G2846" ca="1" si="539">E2846/E2841</f>
        <v>1.2268907563025211</v>
      </c>
      <c r="H2846" s="18"/>
      <c r="I2846" s="19">
        <v>2844</v>
      </c>
      <c r="J2846" s="19" cm="1">
        <f t="array" aca="1" ref="J2846" ca="1">INDIRECT("b"&amp;K2846+2)</f>
        <v>7.2999999999999998E+156</v>
      </c>
      <c r="K2846" s="19">
        <f t="shared" si="532"/>
        <v>5390</v>
      </c>
    </row>
    <row r="2847" spans="1:11">
      <c r="A2847">
        <v>2845</v>
      </c>
      <c r="B2847">
        <v>1.6749999999999999E+93</v>
      </c>
      <c r="D2847" s="18">
        <v>2845</v>
      </c>
      <c r="E2847" s="18" cm="1">
        <f t="array" aca="1" ref="E2847" ca="1">INDIRECT("b"&amp;F2847+2)</f>
        <v>7.7499999999999994E+126</v>
      </c>
      <c r="F2847" s="18">
        <f t="shared" si="536"/>
        <v>4192</v>
      </c>
      <c r="G2847" s="18"/>
      <c r="H2847" s="18"/>
      <c r="I2847" s="19">
        <v>2845</v>
      </c>
      <c r="J2847" s="19" cm="1">
        <f t="array" aca="1" ref="J2847" ca="1">INDIRECT("b"&amp;K2847+2)</f>
        <v>7.7500000000000008E+156</v>
      </c>
      <c r="K2847" s="19">
        <f t="shared" si="532"/>
        <v>5392</v>
      </c>
    </row>
    <row r="2848" spans="1:11">
      <c r="A2848">
        <v>2846</v>
      </c>
      <c r="B2848">
        <v>1.9000000000000001E+93</v>
      </c>
      <c r="D2848" s="18">
        <v>2846</v>
      </c>
      <c r="E2848" s="18" cm="1">
        <f t="array" aca="1" ref="E2848" ca="1">INDIRECT("b"&amp;F2848+2)</f>
        <v>7.9749999999999992E+126</v>
      </c>
      <c r="F2848" s="18">
        <f t="shared" si="536"/>
        <v>4193</v>
      </c>
      <c r="G2848" s="18"/>
      <c r="H2848" s="18"/>
      <c r="I2848" s="19">
        <v>2846</v>
      </c>
      <c r="J2848" s="19" cm="1">
        <f t="array" aca="1" ref="J2848" ca="1">INDIRECT("b"&amp;K2848+2)</f>
        <v>7.9749999999999998E+156</v>
      </c>
      <c r="K2848" s="19">
        <f t="shared" si="532"/>
        <v>5393</v>
      </c>
    </row>
    <row r="2849" spans="1:11">
      <c r="A2849">
        <v>2847</v>
      </c>
      <c r="B2849">
        <v>2.1250000000000001E+93</v>
      </c>
      <c r="D2849" s="18">
        <v>2847</v>
      </c>
      <c r="E2849" s="18" cm="1">
        <f t="array" aca="1" ref="E2849" ca="1">INDIRECT("b"&amp;F2849+2)</f>
        <v>8.2000000000000001E+126</v>
      </c>
      <c r="F2849" s="18">
        <f t="shared" si="536"/>
        <v>4194</v>
      </c>
      <c r="G2849" s="18"/>
      <c r="H2849" s="18"/>
      <c r="I2849" s="19">
        <v>2847</v>
      </c>
      <c r="J2849" s="19" cm="1">
        <f t="array" aca="1" ref="J2849" ca="1">INDIRECT("b"&amp;K2849+2)</f>
        <v>8.2000000000000003E+156</v>
      </c>
      <c r="K2849" s="19">
        <f t="shared" si="532"/>
        <v>5394</v>
      </c>
    </row>
    <row r="2850" spans="1:11">
      <c r="A2850">
        <v>2848</v>
      </c>
      <c r="B2850">
        <v>2.3499999999999999E+93</v>
      </c>
      <c r="D2850" s="18">
        <v>2848</v>
      </c>
      <c r="E2850" s="18" cm="1">
        <f t="array" aca="1" ref="E2850" ca="1">INDIRECT("b"&amp;F2850+2)</f>
        <v>8.6499999999999997E+126</v>
      </c>
      <c r="F2850" s="18">
        <f t="shared" si="536"/>
        <v>4196</v>
      </c>
      <c r="G2850" s="18"/>
      <c r="H2850" s="18"/>
      <c r="I2850" s="19">
        <v>2848</v>
      </c>
      <c r="J2850" s="19" cm="1">
        <f t="array" aca="1" ref="J2850" ca="1">INDIRECT("b"&amp;K2850+2)</f>
        <v>8.6499999999999998E+156</v>
      </c>
      <c r="K2850" s="19">
        <f t="shared" si="532"/>
        <v>5396</v>
      </c>
    </row>
    <row r="2851" spans="1:11">
      <c r="A2851">
        <v>2849</v>
      </c>
      <c r="B2851">
        <v>2.5750000000000001E+93</v>
      </c>
      <c r="D2851" s="18">
        <v>2849</v>
      </c>
      <c r="E2851" s="18" cm="1">
        <f t="array" aca="1" ref="E2851" ca="1">INDIRECT("b"&amp;F2851+2)</f>
        <v>8.8749999999999995E+126</v>
      </c>
      <c r="F2851" s="18">
        <f t="shared" si="536"/>
        <v>4197</v>
      </c>
      <c r="G2851" s="18">
        <f t="shared" ref="G2851" ca="1" si="540">E2851/E2846</f>
        <v>1.2157534246575341</v>
      </c>
      <c r="H2851" s="18"/>
      <c r="I2851" s="19">
        <v>2849</v>
      </c>
      <c r="J2851" s="19" cm="1">
        <f t="array" aca="1" ref="J2851" ca="1">INDIRECT("b"&amp;K2851+2)</f>
        <v>8.8750000000000003E+156</v>
      </c>
      <c r="K2851" s="19">
        <f t="shared" si="532"/>
        <v>5397</v>
      </c>
    </row>
    <row r="2852" spans="1:11">
      <c r="A2852">
        <v>2850</v>
      </c>
      <c r="B2852">
        <v>2.7999999999999999E+93</v>
      </c>
      <c r="D2852" s="18">
        <v>2850</v>
      </c>
      <c r="E2852" s="18" cm="1">
        <f t="array" aca="1" ref="E2852" ca="1">INDIRECT("b"&amp;F2852+2)</f>
        <v>9.0999999999999992E+126</v>
      </c>
      <c r="F2852" s="18">
        <f t="shared" si="536"/>
        <v>4198</v>
      </c>
      <c r="G2852" s="18"/>
      <c r="H2852" s="18"/>
      <c r="I2852" s="19">
        <v>2850</v>
      </c>
      <c r="J2852" s="19" cm="1">
        <f t="array" aca="1" ref="J2852" ca="1">INDIRECT("b"&amp;K2852+2)</f>
        <v>9.1000000000000008E+156</v>
      </c>
      <c r="K2852" s="19">
        <f t="shared" si="532"/>
        <v>5398</v>
      </c>
    </row>
    <row r="2853" spans="1:11">
      <c r="A2853">
        <v>2851</v>
      </c>
      <c r="B2853">
        <v>3.0250000000000001E+93</v>
      </c>
      <c r="D2853" s="18">
        <v>2851</v>
      </c>
      <c r="E2853" s="18" cm="1">
        <f t="array" aca="1" ref="E2853" ca="1">INDIRECT("b"&amp;F2853+2)</f>
        <v>9.55E+126</v>
      </c>
      <c r="F2853" s="18">
        <f t="shared" si="536"/>
        <v>4200</v>
      </c>
      <c r="G2853" s="18"/>
      <c r="H2853" s="18"/>
      <c r="I2853" s="19">
        <v>2851</v>
      </c>
      <c r="J2853" s="19" cm="1">
        <f t="array" aca="1" ref="J2853" ca="1">INDIRECT("b"&amp;K2853+2)</f>
        <v>9.5500000000000003E+156</v>
      </c>
      <c r="K2853" s="19">
        <f t="shared" si="532"/>
        <v>5400</v>
      </c>
    </row>
    <row r="2854" spans="1:11">
      <c r="A2854">
        <v>2852</v>
      </c>
      <c r="B2854">
        <v>3.2499999999999999E+93</v>
      </c>
      <c r="D2854" s="18">
        <v>2852</v>
      </c>
      <c r="E2854" s="18" cm="1">
        <f t="array" aca="1" ref="E2854" ca="1">INDIRECT("b"&amp;F2854+2)</f>
        <v>9.7749999999999998E+126</v>
      </c>
      <c r="F2854" s="18">
        <f t="shared" si="536"/>
        <v>4201</v>
      </c>
      <c r="G2854" s="18"/>
      <c r="H2854" s="18"/>
      <c r="I2854" s="19">
        <v>2852</v>
      </c>
      <c r="J2854" s="19" cm="1">
        <f t="array" aca="1" ref="J2854" ca="1">INDIRECT("b"&amp;K2854+2)</f>
        <v>9.7750000000000008E+156</v>
      </c>
      <c r="K2854" s="19">
        <f t="shared" si="532"/>
        <v>5401</v>
      </c>
    </row>
    <row r="2855" spans="1:11">
      <c r="A2855">
        <v>2853</v>
      </c>
      <c r="B2855">
        <v>3.4750000000000001E+93</v>
      </c>
      <c r="D2855" s="18">
        <v>2853</v>
      </c>
      <c r="E2855" s="18" cm="1">
        <f t="array" aca="1" ref="E2855" ca="1">INDIRECT("b"&amp;F2855+2)</f>
        <v>9.9999999999999995E+126</v>
      </c>
      <c r="F2855" s="18">
        <f t="shared" si="536"/>
        <v>4202</v>
      </c>
      <c r="G2855" s="18"/>
      <c r="H2855" s="18"/>
      <c r="I2855" s="19">
        <v>2853</v>
      </c>
      <c r="J2855" s="19" cm="1">
        <f t="array" aca="1" ref="J2855" ca="1">INDIRECT("b"&amp;K2855+2)</f>
        <v>9.9999999999999998E+156</v>
      </c>
      <c r="K2855" s="19">
        <f t="shared" si="532"/>
        <v>5402</v>
      </c>
    </row>
    <row r="2856" spans="1:11">
      <c r="A2856">
        <v>2854</v>
      </c>
      <c r="B2856">
        <v>3.6999999999999999E+93</v>
      </c>
      <c r="D2856" s="18">
        <v>2854</v>
      </c>
      <c r="E2856" s="18" cm="1">
        <f t="array" aca="1" ref="E2856" ca="1">INDIRECT("b"&amp;F2856+2)</f>
        <v>1.4499999999999999E+127</v>
      </c>
      <c r="F2856" s="18">
        <f t="shared" si="536"/>
        <v>4204</v>
      </c>
      <c r="G2856" s="18">
        <f t="shared" ref="G2856" ca="1" si="541">E2856/E2851</f>
        <v>1.6338028169014085</v>
      </c>
      <c r="H2856" s="18"/>
      <c r="I2856" s="19">
        <v>2854</v>
      </c>
      <c r="J2856" s="19" cm="1">
        <f t="array" aca="1" ref="J2856" ca="1">INDIRECT("b"&amp;K2856+2)</f>
        <v>1.4499999999999999E+157</v>
      </c>
      <c r="K2856" s="19">
        <f t="shared" si="532"/>
        <v>5404</v>
      </c>
    </row>
    <row r="2857" spans="1:11">
      <c r="A2857">
        <v>2855</v>
      </c>
      <c r="B2857">
        <v>3.9250000000000001E+93</v>
      </c>
      <c r="D2857" s="18">
        <v>2855</v>
      </c>
      <c r="E2857" s="18" cm="1">
        <f t="array" aca="1" ref="E2857" ca="1">INDIRECT("b"&amp;F2857+2)</f>
        <v>1.6749999999999999E+127</v>
      </c>
      <c r="F2857" s="18">
        <f t="shared" si="536"/>
        <v>4205</v>
      </c>
      <c r="G2857" s="18"/>
      <c r="H2857" s="18"/>
      <c r="I2857" s="19">
        <v>2855</v>
      </c>
      <c r="J2857" s="19" cm="1">
        <f t="array" aca="1" ref="J2857" ca="1">INDIRECT("b"&amp;K2857+2)</f>
        <v>1.6750000000000001E+157</v>
      </c>
      <c r="K2857" s="19">
        <f t="shared" si="532"/>
        <v>5405</v>
      </c>
    </row>
    <row r="2858" spans="1:11">
      <c r="A2858">
        <v>2856</v>
      </c>
      <c r="B2858">
        <v>4.1499999999999999E+93</v>
      </c>
      <c r="D2858" s="18">
        <v>2856</v>
      </c>
      <c r="E2858" s="18" cm="1">
        <f t="array" aca="1" ref="E2858" ca="1">INDIRECT("b"&amp;F2858+2)</f>
        <v>1.8999999999999999E+127</v>
      </c>
      <c r="F2858" s="18">
        <f t="shared" si="536"/>
        <v>4206</v>
      </c>
      <c r="G2858" s="18"/>
      <c r="H2858" s="18"/>
      <c r="I2858" s="19">
        <v>2856</v>
      </c>
      <c r="J2858" s="19" cm="1">
        <f t="array" aca="1" ref="J2858" ca="1">INDIRECT("b"&amp;K2858+2)</f>
        <v>1.9E+157</v>
      </c>
      <c r="K2858" s="19">
        <f t="shared" si="532"/>
        <v>5406</v>
      </c>
    </row>
    <row r="2859" spans="1:11">
      <c r="A2859">
        <v>2857</v>
      </c>
      <c r="B2859">
        <v>4.3749999999999996E+93</v>
      </c>
      <c r="D2859" s="18">
        <v>2857</v>
      </c>
      <c r="E2859" s="18" cm="1">
        <f t="array" aca="1" ref="E2859" ca="1">INDIRECT("b"&amp;F2859+2)</f>
        <v>2.3499999999999997E+127</v>
      </c>
      <c r="F2859" s="18">
        <f t="shared" si="536"/>
        <v>4208</v>
      </c>
      <c r="G2859" s="18"/>
      <c r="H2859" s="18"/>
      <c r="I2859" s="19">
        <v>2857</v>
      </c>
      <c r="J2859" s="19" cm="1">
        <f t="array" aca="1" ref="J2859" ca="1">INDIRECT("b"&amp;K2859+2)</f>
        <v>2.3500000000000002E+157</v>
      </c>
      <c r="K2859" s="19">
        <f t="shared" si="532"/>
        <v>5408</v>
      </c>
    </row>
    <row r="2860" spans="1:11">
      <c r="A2860">
        <v>2858</v>
      </c>
      <c r="B2860">
        <v>4.6000000000000003E+93</v>
      </c>
      <c r="D2860" s="18">
        <v>2858</v>
      </c>
      <c r="E2860" s="18" cm="1">
        <f t="array" aca="1" ref="E2860" ca="1">INDIRECT("b"&amp;F2860+2)</f>
        <v>2.575E+127</v>
      </c>
      <c r="F2860" s="18">
        <f t="shared" si="536"/>
        <v>4209</v>
      </c>
      <c r="G2860" s="18"/>
      <c r="H2860" s="18"/>
      <c r="I2860" s="19">
        <v>2858</v>
      </c>
      <c r="J2860" s="19" cm="1">
        <f t="array" aca="1" ref="J2860" ca="1">INDIRECT("b"&amp;K2860+2)</f>
        <v>2.5750000000000001E+157</v>
      </c>
      <c r="K2860" s="19">
        <f t="shared" si="532"/>
        <v>5409</v>
      </c>
    </row>
    <row r="2861" spans="1:11">
      <c r="A2861">
        <v>2859</v>
      </c>
      <c r="B2861">
        <v>4.8250000000000001E+93</v>
      </c>
      <c r="D2861" s="18">
        <v>2859</v>
      </c>
      <c r="E2861" s="18" cm="1">
        <f t="array" aca="1" ref="E2861" ca="1">INDIRECT("b"&amp;F2861+2)</f>
        <v>2.7999999999999997E+127</v>
      </c>
      <c r="F2861" s="18">
        <f t="shared" si="536"/>
        <v>4210</v>
      </c>
      <c r="G2861" s="18">
        <f t="shared" ref="G2861" ca="1" si="542">E2861/E2856</f>
        <v>1.9310344827586208</v>
      </c>
      <c r="H2861" s="18"/>
      <c r="I2861" s="19">
        <v>2859</v>
      </c>
      <c r="J2861" s="19" cm="1">
        <f t="array" aca="1" ref="J2861" ca="1">INDIRECT("b"&amp;K2861+2)</f>
        <v>2.8000000000000003E+157</v>
      </c>
      <c r="K2861" s="19">
        <f t="shared" si="532"/>
        <v>5410</v>
      </c>
    </row>
    <row r="2862" spans="1:11">
      <c r="A2862">
        <v>2860</v>
      </c>
      <c r="B2862">
        <v>5.0499999999999998E+93</v>
      </c>
      <c r="D2862" s="18">
        <v>2860</v>
      </c>
      <c r="E2862" s="18" cm="1">
        <f t="array" aca="1" ref="E2862" ca="1">INDIRECT("b"&amp;F2862+2)</f>
        <v>3.2499999999999998E+127</v>
      </c>
      <c r="F2862" s="18">
        <f t="shared" si="536"/>
        <v>4212</v>
      </c>
      <c r="G2862" s="18"/>
      <c r="H2862" s="18"/>
      <c r="I2862" s="19">
        <v>2860</v>
      </c>
      <c r="J2862" s="19" cm="1">
        <f t="array" aca="1" ref="J2862" ca="1">INDIRECT("b"&amp;K2862+2)</f>
        <v>3.2500000000000001E+157</v>
      </c>
      <c r="K2862" s="19">
        <f t="shared" si="532"/>
        <v>5412</v>
      </c>
    </row>
    <row r="2863" spans="1:11">
      <c r="A2863">
        <v>2861</v>
      </c>
      <c r="B2863">
        <v>5.2750000000000005E+93</v>
      </c>
      <c r="D2863" s="18">
        <v>2861</v>
      </c>
      <c r="E2863" s="18" cm="1">
        <f t="array" aca="1" ref="E2863" ca="1">INDIRECT("b"&amp;F2863+2)</f>
        <v>3.475E+127</v>
      </c>
      <c r="F2863" s="18">
        <f t="shared" si="536"/>
        <v>4213</v>
      </c>
      <c r="G2863" s="18"/>
      <c r="H2863" s="18"/>
      <c r="I2863" s="19">
        <v>2861</v>
      </c>
      <c r="J2863" s="19" cm="1">
        <f t="array" aca="1" ref="J2863" ca="1">INDIRECT("b"&amp;K2863+2)</f>
        <v>3.475E+157</v>
      </c>
      <c r="K2863" s="19">
        <f t="shared" si="532"/>
        <v>5413</v>
      </c>
    </row>
    <row r="2864" spans="1:11">
      <c r="A2864">
        <v>2862</v>
      </c>
      <c r="B2864">
        <v>5.5000000000000003E+93</v>
      </c>
      <c r="D2864" s="18">
        <v>2862</v>
      </c>
      <c r="E2864" s="18" cm="1">
        <f t="array" aca="1" ref="E2864" ca="1">INDIRECT("b"&amp;F2864+2)</f>
        <v>3.6999999999999998E+127</v>
      </c>
      <c r="F2864" s="18">
        <f t="shared" si="536"/>
        <v>4214</v>
      </c>
      <c r="G2864" s="18"/>
      <c r="H2864" s="18"/>
      <c r="I2864" s="19">
        <v>2862</v>
      </c>
      <c r="J2864" s="19" cm="1">
        <f t="array" aca="1" ref="J2864" ca="1">INDIRECT("b"&amp;K2864+2)</f>
        <v>3.7000000000000005E+157</v>
      </c>
      <c r="K2864" s="19">
        <f t="shared" si="532"/>
        <v>5414</v>
      </c>
    </row>
    <row r="2865" spans="1:11">
      <c r="A2865">
        <v>2863</v>
      </c>
      <c r="B2865">
        <v>5.7250000000000001E+93</v>
      </c>
      <c r="D2865" s="18">
        <v>2863</v>
      </c>
      <c r="E2865" s="18" cm="1">
        <f t="array" aca="1" ref="E2865" ca="1">INDIRECT("b"&amp;F2865+2)</f>
        <v>4.1499999999999998E+127</v>
      </c>
      <c r="F2865" s="18">
        <f t="shared" si="536"/>
        <v>4216</v>
      </c>
      <c r="G2865" s="18"/>
      <c r="H2865" s="18"/>
      <c r="I2865" s="19">
        <v>2863</v>
      </c>
      <c r="J2865" s="19" cm="1">
        <f t="array" aca="1" ref="J2865" ca="1">INDIRECT("b"&amp;K2865+2)</f>
        <v>4.1500000000000003E+157</v>
      </c>
      <c r="K2865" s="19">
        <f t="shared" si="532"/>
        <v>5416</v>
      </c>
    </row>
    <row r="2866" spans="1:11">
      <c r="A2866">
        <v>2864</v>
      </c>
      <c r="B2866">
        <v>5.9499999999999998E+93</v>
      </c>
      <c r="D2866" s="18">
        <v>2864</v>
      </c>
      <c r="E2866" s="18" cm="1">
        <f t="array" aca="1" ref="E2866" ca="1">INDIRECT("b"&amp;F2866+2)</f>
        <v>4.3749999999999996E+127</v>
      </c>
      <c r="F2866" s="18">
        <f t="shared" si="536"/>
        <v>4217</v>
      </c>
      <c r="G2866" s="18">
        <f t="shared" ref="G2866" ca="1" si="543">E2866/E2861</f>
        <v>1.5625</v>
      </c>
      <c r="H2866" s="18"/>
      <c r="I2866" s="19">
        <v>2864</v>
      </c>
      <c r="J2866" s="19" cm="1">
        <f t="array" aca="1" ref="J2866" ca="1">INDIRECT("b"&amp;K2866+2)</f>
        <v>4.3750000000000002E+157</v>
      </c>
      <c r="K2866" s="19">
        <f t="shared" si="532"/>
        <v>5417</v>
      </c>
    </row>
    <row r="2867" spans="1:11">
      <c r="A2867">
        <v>2865</v>
      </c>
      <c r="B2867">
        <v>6.1750000000000005E+93</v>
      </c>
      <c r="D2867" s="18">
        <v>2865</v>
      </c>
      <c r="E2867" s="18" cm="1">
        <f t="array" aca="1" ref="E2867" ca="1">INDIRECT("b"&amp;F2867+2)</f>
        <v>4.5999999999999994E+127</v>
      </c>
      <c r="F2867" s="18">
        <f t="shared" si="536"/>
        <v>4218</v>
      </c>
      <c r="G2867" s="18"/>
      <c r="H2867" s="18"/>
      <c r="I2867" s="19">
        <v>2865</v>
      </c>
      <c r="J2867" s="19" cm="1">
        <f t="array" aca="1" ref="J2867" ca="1">INDIRECT("b"&amp;K2867+2)</f>
        <v>4.6000000000000001E+157</v>
      </c>
      <c r="K2867" s="19">
        <f t="shared" si="532"/>
        <v>5418</v>
      </c>
    </row>
    <row r="2868" spans="1:11">
      <c r="A2868">
        <v>2866</v>
      </c>
      <c r="B2868">
        <v>6.4000000000000003E+93</v>
      </c>
      <c r="D2868" s="18">
        <v>2866</v>
      </c>
      <c r="E2868" s="18" cm="1">
        <f t="array" aca="1" ref="E2868" ca="1">INDIRECT("b"&amp;F2868+2)</f>
        <v>5.0499999999999999E+127</v>
      </c>
      <c r="F2868" s="18">
        <f t="shared" si="536"/>
        <v>4220</v>
      </c>
      <c r="G2868" s="18"/>
      <c r="H2868" s="18"/>
      <c r="I2868" s="19">
        <v>2866</v>
      </c>
      <c r="J2868" s="19" cm="1">
        <f t="array" aca="1" ref="J2868" ca="1">INDIRECT("b"&amp;K2868+2)</f>
        <v>5.0500000000000005E+157</v>
      </c>
      <c r="K2868" s="19">
        <f t="shared" si="532"/>
        <v>5420</v>
      </c>
    </row>
    <row r="2869" spans="1:11">
      <c r="A2869">
        <v>2867</v>
      </c>
      <c r="B2869">
        <v>6.625E+93</v>
      </c>
      <c r="D2869" s="18">
        <v>2867</v>
      </c>
      <c r="E2869" s="18" cm="1">
        <f t="array" aca="1" ref="E2869" ca="1">INDIRECT("b"&amp;F2869+2)</f>
        <v>5.2749999999999997E+127</v>
      </c>
      <c r="F2869" s="18">
        <f t="shared" si="536"/>
        <v>4221</v>
      </c>
      <c r="G2869" s="18"/>
      <c r="H2869" s="18"/>
      <c r="I2869" s="19">
        <v>2867</v>
      </c>
      <c r="J2869" s="19" cm="1">
        <f t="array" aca="1" ref="J2869" ca="1">INDIRECT("b"&amp;K2869+2)</f>
        <v>5.2750000000000004E+157</v>
      </c>
      <c r="K2869" s="19">
        <f t="shared" si="532"/>
        <v>5421</v>
      </c>
    </row>
    <row r="2870" spans="1:11">
      <c r="A2870">
        <v>2868</v>
      </c>
      <c r="B2870">
        <v>6.8499999999999998E+93</v>
      </c>
      <c r="D2870" s="18">
        <v>2868</v>
      </c>
      <c r="E2870" s="18" cm="1">
        <f t="array" aca="1" ref="E2870" ca="1">INDIRECT("b"&amp;F2870+2)</f>
        <v>5.4999999999999995E+127</v>
      </c>
      <c r="F2870" s="18">
        <f t="shared" si="536"/>
        <v>4222</v>
      </c>
      <c r="G2870" s="18"/>
      <c r="H2870" s="18"/>
      <c r="I2870" s="19">
        <v>2868</v>
      </c>
      <c r="J2870" s="19" cm="1">
        <f t="array" aca="1" ref="J2870" ca="1">INDIRECT("b"&amp;K2870+2)</f>
        <v>5.5000000000000003E+157</v>
      </c>
      <c r="K2870" s="19">
        <f t="shared" si="532"/>
        <v>5422</v>
      </c>
    </row>
    <row r="2871" spans="1:11">
      <c r="A2871">
        <v>2869</v>
      </c>
      <c r="B2871">
        <v>7.0750000000000005E+93</v>
      </c>
      <c r="D2871" s="18">
        <v>2869</v>
      </c>
      <c r="E2871" s="18" cm="1">
        <f t="array" aca="1" ref="E2871" ca="1">INDIRECT("b"&amp;F2871+2)</f>
        <v>5.95E+127</v>
      </c>
      <c r="F2871" s="18">
        <f t="shared" si="536"/>
        <v>4224</v>
      </c>
      <c r="G2871" s="18">
        <f t="shared" ref="G2871" ca="1" si="544">E2871/E2866</f>
        <v>1.36</v>
      </c>
      <c r="H2871" s="18"/>
      <c r="I2871" s="19">
        <v>2869</v>
      </c>
      <c r="J2871" s="19" cm="1">
        <f t="array" aca="1" ref="J2871" ca="1">INDIRECT("b"&amp;K2871+2)</f>
        <v>5.9500000000000001E+157</v>
      </c>
      <c r="K2871" s="19">
        <f t="shared" si="532"/>
        <v>5424</v>
      </c>
    </row>
    <row r="2872" spans="1:11">
      <c r="A2872">
        <v>2870</v>
      </c>
      <c r="B2872">
        <v>7.3000000000000003E+93</v>
      </c>
      <c r="D2872" s="18">
        <v>2870</v>
      </c>
      <c r="E2872" s="18" cm="1">
        <f t="array" aca="1" ref="E2872" ca="1">INDIRECT("b"&amp;F2872+2)</f>
        <v>6.1749999999999997E+127</v>
      </c>
      <c r="F2872" s="18">
        <f t="shared" si="536"/>
        <v>4225</v>
      </c>
      <c r="G2872" s="18"/>
      <c r="H2872" s="18"/>
      <c r="I2872" s="19">
        <v>2870</v>
      </c>
      <c r="J2872" s="19" cm="1">
        <f t="array" aca="1" ref="J2872" ca="1">INDIRECT("b"&amp;K2872+2)</f>
        <v>6.1750000000000006E+157</v>
      </c>
      <c r="K2872" s="19">
        <f t="shared" si="532"/>
        <v>5425</v>
      </c>
    </row>
    <row r="2873" spans="1:11">
      <c r="A2873">
        <v>2871</v>
      </c>
      <c r="B2873">
        <v>7.525E+93</v>
      </c>
      <c r="D2873" s="18">
        <v>2871</v>
      </c>
      <c r="E2873" s="18" cm="1">
        <f t="array" aca="1" ref="E2873" ca="1">INDIRECT("b"&amp;F2873+2)</f>
        <v>6.3999999999999995E+127</v>
      </c>
      <c r="F2873" s="18">
        <f t="shared" si="536"/>
        <v>4226</v>
      </c>
      <c r="G2873" s="18"/>
      <c r="H2873" s="18"/>
      <c r="I2873" s="19">
        <v>2871</v>
      </c>
      <c r="J2873" s="19" cm="1">
        <f t="array" aca="1" ref="J2873" ca="1">INDIRECT("b"&amp;K2873+2)</f>
        <v>6.3999999999999999E+157</v>
      </c>
      <c r="K2873" s="19">
        <f t="shared" si="532"/>
        <v>5426</v>
      </c>
    </row>
    <row r="2874" spans="1:11">
      <c r="A2874">
        <v>2872</v>
      </c>
      <c r="B2874">
        <v>7.7499999999999998E+93</v>
      </c>
      <c r="D2874" s="18">
        <v>2872</v>
      </c>
      <c r="E2874" s="18" cm="1">
        <f t="array" aca="1" ref="E2874" ca="1">INDIRECT("b"&amp;F2874+2)</f>
        <v>6.85E+127</v>
      </c>
      <c r="F2874" s="18">
        <f t="shared" si="536"/>
        <v>4228</v>
      </c>
      <c r="G2874" s="18"/>
      <c r="H2874" s="18"/>
      <c r="I2874" s="19">
        <v>2872</v>
      </c>
      <c r="J2874" s="19" cm="1">
        <f t="array" aca="1" ref="J2874" ca="1">INDIRECT("b"&amp;K2874+2)</f>
        <v>6.8500000000000009E+157</v>
      </c>
      <c r="K2874" s="19">
        <f t="shared" si="532"/>
        <v>5428</v>
      </c>
    </row>
    <row r="2875" spans="1:11">
      <c r="A2875">
        <v>2873</v>
      </c>
      <c r="B2875">
        <v>7.9750000000000005E+93</v>
      </c>
      <c r="D2875" s="18">
        <v>2873</v>
      </c>
      <c r="E2875" s="18" cm="1">
        <f t="array" aca="1" ref="E2875" ca="1">INDIRECT("b"&amp;F2875+2)</f>
        <v>7.0749999999999998E+127</v>
      </c>
      <c r="F2875" s="18">
        <f t="shared" si="536"/>
        <v>4229</v>
      </c>
      <c r="G2875" s="18"/>
      <c r="H2875" s="18"/>
      <c r="I2875" s="19">
        <v>2873</v>
      </c>
      <c r="J2875" s="19" cm="1">
        <f t="array" aca="1" ref="J2875" ca="1">INDIRECT("b"&amp;K2875+2)</f>
        <v>7.0750000000000002E+157</v>
      </c>
      <c r="K2875" s="19">
        <f t="shared" si="532"/>
        <v>5429</v>
      </c>
    </row>
    <row r="2876" spans="1:11">
      <c r="A2876">
        <v>2874</v>
      </c>
      <c r="B2876">
        <v>8.2000000000000002E+93</v>
      </c>
      <c r="D2876" s="18">
        <v>2874</v>
      </c>
      <c r="E2876" s="18" cm="1">
        <f t="array" aca="1" ref="E2876" ca="1">INDIRECT("b"&amp;F2876+2)</f>
        <v>7.2999999999999996E+127</v>
      </c>
      <c r="F2876" s="18">
        <f t="shared" si="536"/>
        <v>4230</v>
      </c>
      <c r="G2876" s="18">
        <f t="shared" ref="G2876" ca="1" si="545">E2876/E2871</f>
        <v>1.2268907563025209</v>
      </c>
      <c r="H2876" s="18"/>
      <c r="I2876" s="19">
        <v>2874</v>
      </c>
      <c r="J2876" s="19" cm="1">
        <f t="array" aca="1" ref="J2876" ca="1">INDIRECT("b"&amp;K2876+2)</f>
        <v>7.3000000000000007E+157</v>
      </c>
      <c r="K2876" s="19">
        <f t="shared" si="532"/>
        <v>5430</v>
      </c>
    </row>
    <row r="2877" spans="1:11">
      <c r="A2877">
        <v>2875</v>
      </c>
      <c r="B2877">
        <v>8.4250000000000009E+93</v>
      </c>
      <c r="D2877" s="18">
        <v>2875</v>
      </c>
      <c r="E2877" s="18" cm="1">
        <f t="array" aca="1" ref="E2877" ca="1">INDIRECT("b"&amp;F2877+2)</f>
        <v>7.7499999999999991E+127</v>
      </c>
      <c r="F2877" s="18">
        <f t="shared" si="536"/>
        <v>4232</v>
      </c>
      <c r="G2877" s="18"/>
      <c r="H2877" s="18"/>
      <c r="I2877" s="19">
        <v>2875</v>
      </c>
      <c r="J2877" s="19" cm="1">
        <f t="array" aca="1" ref="J2877" ca="1">INDIRECT("b"&amp;K2877+2)</f>
        <v>7.7500000000000005E+157</v>
      </c>
      <c r="K2877" s="19">
        <f t="shared" si="532"/>
        <v>5432</v>
      </c>
    </row>
    <row r="2878" spans="1:11">
      <c r="A2878">
        <v>2876</v>
      </c>
      <c r="B2878">
        <v>8.6499999999999998E+93</v>
      </c>
      <c r="D2878" s="18">
        <v>2876</v>
      </c>
      <c r="E2878" s="18" cm="1">
        <f t="array" aca="1" ref="E2878" ca="1">INDIRECT("b"&amp;F2878+2)</f>
        <v>7.9749999999999999E+127</v>
      </c>
      <c r="F2878" s="18">
        <f t="shared" si="536"/>
        <v>4233</v>
      </c>
      <c r="G2878" s="18"/>
      <c r="H2878" s="18"/>
      <c r="I2878" s="19">
        <v>2876</v>
      </c>
      <c r="J2878" s="19" cm="1">
        <f t="array" aca="1" ref="J2878" ca="1">INDIRECT("b"&amp;K2878+2)</f>
        <v>7.9749999999999998E+157</v>
      </c>
      <c r="K2878" s="19">
        <f t="shared" si="532"/>
        <v>5433</v>
      </c>
    </row>
    <row r="2879" spans="1:11">
      <c r="A2879">
        <v>2877</v>
      </c>
      <c r="B2879">
        <v>8.8750000000000005E+93</v>
      </c>
      <c r="D2879" s="18">
        <v>2877</v>
      </c>
      <c r="E2879" s="18" cm="1">
        <f t="array" aca="1" ref="E2879" ca="1">INDIRECT("b"&amp;F2879+2)</f>
        <v>8.1999999999999997E+127</v>
      </c>
      <c r="F2879" s="18">
        <f t="shared" si="536"/>
        <v>4234</v>
      </c>
      <c r="G2879" s="18"/>
      <c r="H2879" s="18"/>
      <c r="I2879" s="19">
        <v>2877</v>
      </c>
      <c r="J2879" s="19" cm="1">
        <f t="array" aca="1" ref="J2879" ca="1">INDIRECT("b"&amp;K2879+2)</f>
        <v>8.2000000000000003E+157</v>
      </c>
      <c r="K2879" s="19">
        <f t="shared" si="532"/>
        <v>5434</v>
      </c>
    </row>
    <row r="2880" spans="1:11">
      <c r="A2880">
        <v>2878</v>
      </c>
      <c r="B2880">
        <v>9.0999999999999993E+93</v>
      </c>
      <c r="D2880" s="18">
        <v>2878</v>
      </c>
      <c r="E2880" s="18" cm="1">
        <f t="array" aca="1" ref="E2880" ca="1">INDIRECT("b"&amp;F2880+2)</f>
        <v>8.6499999999999992E+127</v>
      </c>
      <c r="F2880" s="18">
        <f t="shared" si="536"/>
        <v>4236</v>
      </c>
      <c r="G2880" s="18"/>
      <c r="H2880" s="18"/>
      <c r="I2880" s="19">
        <v>2878</v>
      </c>
      <c r="J2880" s="19" cm="1">
        <f t="array" aca="1" ref="J2880" ca="1">INDIRECT("b"&amp;K2880+2)</f>
        <v>8.6500000000000001E+157</v>
      </c>
      <c r="K2880" s="19">
        <f t="shared" si="532"/>
        <v>5436</v>
      </c>
    </row>
    <row r="2881" spans="1:11">
      <c r="A2881">
        <v>2879</v>
      </c>
      <c r="B2881">
        <v>9.325E+93</v>
      </c>
      <c r="D2881" s="18">
        <v>2879</v>
      </c>
      <c r="E2881" s="18" cm="1">
        <f t="array" aca="1" ref="E2881" ca="1">INDIRECT("b"&amp;F2881+2)</f>
        <v>8.8749999999999999E+127</v>
      </c>
      <c r="F2881" s="18">
        <f t="shared" si="536"/>
        <v>4237</v>
      </c>
      <c r="G2881" s="18">
        <f t="shared" ref="G2881" ca="1" si="546">E2881/E2876</f>
        <v>1.2157534246575343</v>
      </c>
      <c r="H2881" s="18"/>
      <c r="I2881" s="19">
        <v>2879</v>
      </c>
      <c r="J2881" s="19" cm="1">
        <f t="array" aca="1" ref="J2881" ca="1">INDIRECT("b"&amp;K2881+2)</f>
        <v>8.8750000000000006E+157</v>
      </c>
      <c r="K2881" s="19">
        <f t="shared" si="532"/>
        <v>5437</v>
      </c>
    </row>
    <row r="2882" spans="1:11">
      <c r="A2882">
        <v>2880</v>
      </c>
      <c r="B2882">
        <v>9.5500000000000007E+93</v>
      </c>
      <c r="D2882" s="18">
        <v>2880</v>
      </c>
      <c r="E2882" s="18" cm="1">
        <f t="array" aca="1" ref="E2882" ca="1">INDIRECT("b"&amp;F2882+2)</f>
        <v>9.0999999999999997E+127</v>
      </c>
      <c r="F2882" s="18">
        <f t="shared" si="536"/>
        <v>4238</v>
      </c>
      <c r="G2882" s="18"/>
      <c r="H2882" s="18"/>
      <c r="I2882" s="19">
        <v>2880</v>
      </c>
      <c r="J2882" s="19" cm="1">
        <f t="array" aca="1" ref="J2882" ca="1">INDIRECT("b"&amp;K2882+2)</f>
        <v>9.0999999999999999E+157</v>
      </c>
      <c r="K2882" s="19">
        <f t="shared" si="532"/>
        <v>5438</v>
      </c>
    </row>
    <row r="2883" spans="1:11">
      <c r="A2883">
        <v>2881</v>
      </c>
      <c r="B2883">
        <v>9.7749999999999995E+93</v>
      </c>
      <c r="D2883" s="18">
        <v>2881</v>
      </c>
      <c r="E2883" s="18" cm="1">
        <f t="array" aca="1" ref="E2883" ca="1">INDIRECT("b"&amp;F2883+2)</f>
        <v>9.5499999999999993E+127</v>
      </c>
      <c r="F2883" s="18">
        <f t="shared" si="536"/>
        <v>4240</v>
      </c>
      <c r="G2883" s="18"/>
      <c r="H2883" s="18"/>
      <c r="I2883" s="19">
        <v>2881</v>
      </c>
      <c r="J2883" s="19" cm="1">
        <f t="array" aca="1" ref="J2883" ca="1">INDIRECT("b"&amp;K2883+2)</f>
        <v>9.5500000000000009E+157</v>
      </c>
      <c r="K2883" s="19">
        <f t="shared" si="532"/>
        <v>5440</v>
      </c>
    </row>
    <row r="2884" spans="1:11">
      <c r="A2884">
        <v>2882</v>
      </c>
      <c r="B2884">
        <v>1E+94</v>
      </c>
      <c r="D2884" s="18">
        <v>2882</v>
      </c>
      <c r="E2884" s="18" cm="1">
        <f t="array" aca="1" ref="E2884" ca="1">INDIRECT("b"&amp;F2884+2)</f>
        <v>9.7749999999999991E+127</v>
      </c>
      <c r="F2884" s="18">
        <f t="shared" si="536"/>
        <v>4241</v>
      </c>
      <c r="G2884" s="18"/>
      <c r="H2884" s="18"/>
      <c r="I2884" s="19">
        <v>2882</v>
      </c>
      <c r="J2884" s="19" cm="1">
        <f t="array" aca="1" ref="J2884" ca="1">INDIRECT("b"&amp;K2884+2)</f>
        <v>9.7750000000000002E+157</v>
      </c>
      <c r="K2884" s="19">
        <f t="shared" ref="K2884:K2947" si="547">INT((A2884-1)*40/30+900*40/30)+400</f>
        <v>5441</v>
      </c>
    </row>
    <row r="2885" spans="1:11">
      <c r="A2885">
        <v>2883</v>
      </c>
      <c r="B2885">
        <v>1.225E+94</v>
      </c>
      <c r="D2885" s="18">
        <v>2883</v>
      </c>
      <c r="E2885" s="18" cm="1">
        <f t="array" aca="1" ref="E2885" ca="1">INDIRECT("b"&amp;F2885+2)</f>
        <v>1.0000000000000001E+128</v>
      </c>
      <c r="F2885" s="18">
        <f t="shared" si="536"/>
        <v>4242</v>
      </c>
      <c r="G2885" s="18"/>
      <c r="H2885" s="18"/>
      <c r="I2885" s="19">
        <v>2883</v>
      </c>
      <c r="J2885" s="19" cm="1">
        <f t="array" aca="1" ref="J2885" ca="1">INDIRECT("b"&amp;K2885+2)</f>
        <v>9.9999999999999995E+157</v>
      </c>
      <c r="K2885" s="19">
        <f t="shared" si="547"/>
        <v>5442</v>
      </c>
    </row>
    <row r="2886" spans="1:11">
      <c r="A2886">
        <v>2884</v>
      </c>
      <c r="B2886">
        <v>1.4500000000000001E+94</v>
      </c>
      <c r="D2886" s="18">
        <v>2884</v>
      </c>
      <c r="E2886" s="18" cm="1">
        <f t="array" aca="1" ref="E2886" ca="1">INDIRECT("b"&amp;F2886+2)</f>
        <v>1.45E+128</v>
      </c>
      <c r="F2886" s="18">
        <f t="shared" si="536"/>
        <v>4244</v>
      </c>
      <c r="G2886" s="18">
        <f t="shared" ref="G2886" ca="1" si="548">E2886/E2881</f>
        <v>1.6338028169014085</v>
      </c>
      <c r="H2886" s="18"/>
      <c r="I2886" s="19">
        <v>2884</v>
      </c>
      <c r="J2886" s="19" cm="1">
        <f t="array" aca="1" ref="J2886" ca="1">INDIRECT("b"&amp;K2886+2)</f>
        <v>1.4499999999999999E+158</v>
      </c>
      <c r="K2886" s="19">
        <f t="shared" si="547"/>
        <v>5444</v>
      </c>
    </row>
    <row r="2887" spans="1:11">
      <c r="A2887">
        <v>2885</v>
      </c>
      <c r="B2887">
        <v>1.6749999999999999E+94</v>
      </c>
      <c r="D2887" s="18">
        <v>2885</v>
      </c>
      <c r="E2887" s="18" cm="1">
        <f t="array" aca="1" ref="E2887" ca="1">INDIRECT("b"&amp;F2887+2)</f>
        <v>1.675E+128</v>
      </c>
      <c r="F2887" s="18">
        <f t="shared" si="536"/>
        <v>4245</v>
      </c>
      <c r="G2887" s="18"/>
      <c r="H2887" s="18"/>
      <c r="I2887" s="19">
        <v>2885</v>
      </c>
      <c r="J2887" s="19" cm="1">
        <f t="array" aca="1" ref="J2887" ca="1">INDIRECT("b"&amp;K2887+2)</f>
        <v>1.6749999999999999E+158</v>
      </c>
      <c r="K2887" s="19">
        <f t="shared" si="547"/>
        <v>5445</v>
      </c>
    </row>
    <row r="2888" spans="1:11">
      <c r="A2888">
        <v>2886</v>
      </c>
      <c r="B2888">
        <v>1.9000000000000002E+94</v>
      </c>
      <c r="D2888" s="18">
        <v>2886</v>
      </c>
      <c r="E2888" s="18" cm="1">
        <f t="array" aca="1" ref="E2888" ca="1">INDIRECT("b"&amp;F2888+2)</f>
        <v>1.9E+128</v>
      </c>
      <c r="F2888" s="18">
        <f t="shared" si="536"/>
        <v>4246</v>
      </c>
      <c r="G2888" s="18"/>
      <c r="H2888" s="18"/>
      <c r="I2888" s="19">
        <v>2886</v>
      </c>
      <c r="J2888" s="19" cm="1">
        <f t="array" aca="1" ref="J2888" ca="1">INDIRECT("b"&amp;K2888+2)</f>
        <v>1.8999999999999999E+158</v>
      </c>
      <c r="K2888" s="19">
        <f t="shared" si="547"/>
        <v>5446</v>
      </c>
    </row>
    <row r="2889" spans="1:11">
      <c r="A2889">
        <v>2887</v>
      </c>
      <c r="B2889">
        <v>2.1250000000000001E+94</v>
      </c>
      <c r="D2889" s="18">
        <v>2887</v>
      </c>
      <c r="E2889" s="18" cm="1">
        <f t="array" aca="1" ref="E2889" ca="1">INDIRECT("b"&amp;F2889+2)</f>
        <v>2.3499999999999999E+128</v>
      </c>
      <c r="F2889" s="18">
        <f t="shared" si="536"/>
        <v>4248</v>
      </c>
      <c r="G2889" s="18"/>
      <c r="H2889" s="18"/>
      <c r="I2889" s="19">
        <v>2887</v>
      </c>
      <c r="J2889" s="19" cm="1">
        <f t="array" aca="1" ref="J2889" ca="1">INDIRECT("b"&amp;K2889+2)</f>
        <v>2.35E+158</v>
      </c>
      <c r="K2889" s="19">
        <f t="shared" si="547"/>
        <v>5448</v>
      </c>
    </row>
    <row r="2890" spans="1:11">
      <c r="A2890">
        <v>2888</v>
      </c>
      <c r="B2890">
        <v>2.3500000000000001E+94</v>
      </c>
      <c r="D2890" s="18">
        <v>2888</v>
      </c>
      <c r="E2890" s="18" cm="1">
        <f t="array" aca="1" ref="E2890" ca="1">INDIRECT("b"&amp;F2890+2)</f>
        <v>2.575E+128</v>
      </c>
      <c r="F2890" s="18">
        <f t="shared" si="536"/>
        <v>4249</v>
      </c>
      <c r="G2890" s="18"/>
      <c r="H2890" s="18"/>
      <c r="I2890" s="19">
        <v>2888</v>
      </c>
      <c r="J2890" s="19" cm="1">
        <f t="array" aca="1" ref="J2890" ca="1">INDIRECT("b"&amp;K2890+2)</f>
        <v>2.5749999999999997E+158</v>
      </c>
      <c r="K2890" s="19">
        <f t="shared" si="547"/>
        <v>5449</v>
      </c>
    </row>
    <row r="2891" spans="1:11">
      <c r="A2891">
        <v>2889</v>
      </c>
      <c r="B2891">
        <v>2.575E+94</v>
      </c>
      <c r="D2891" s="18">
        <v>2889</v>
      </c>
      <c r="E2891" s="18" cm="1">
        <f t="array" aca="1" ref="E2891" ca="1">INDIRECT("b"&amp;F2891+2)</f>
        <v>2.7999999999999998E+128</v>
      </c>
      <c r="F2891" s="18">
        <f t="shared" si="536"/>
        <v>4250</v>
      </c>
      <c r="G2891" s="18">
        <f t="shared" ref="G2891" ca="1" si="549">E2891/E2886</f>
        <v>1.9310344827586206</v>
      </c>
      <c r="H2891" s="18"/>
      <c r="I2891" s="19">
        <v>2889</v>
      </c>
      <c r="J2891" s="19" cm="1">
        <f t="array" aca="1" ref="J2891" ca="1">INDIRECT("b"&amp;K2891+2)</f>
        <v>2.8E+158</v>
      </c>
      <c r="K2891" s="19">
        <f t="shared" si="547"/>
        <v>5450</v>
      </c>
    </row>
    <row r="2892" spans="1:11">
      <c r="A2892">
        <v>2890</v>
      </c>
      <c r="B2892">
        <v>2.8E+94</v>
      </c>
      <c r="D2892" s="18">
        <v>2890</v>
      </c>
      <c r="E2892" s="18" cm="1">
        <f t="array" aca="1" ref="E2892" ca="1">INDIRECT("b"&amp;F2892+2)</f>
        <v>3.2499999999999998E+128</v>
      </c>
      <c r="F2892" s="18">
        <f t="shared" si="536"/>
        <v>4252</v>
      </c>
      <c r="G2892" s="18"/>
      <c r="H2892" s="18"/>
      <c r="I2892" s="19">
        <v>2890</v>
      </c>
      <c r="J2892" s="19" cm="1">
        <f t="array" aca="1" ref="J2892" ca="1">INDIRECT("b"&amp;K2892+2)</f>
        <v>3.2500000000000001E+158</v>
      </c>
      <c r="K2892" s="19">
        <f t="shared" si="547"/>
        <v>5452</v>
      </c>
    </row>
    <row r="2893" spans="1:11">
      <c r="A2893">
        <v>2891</v>
      </c>
      <c r="B2893">
        <v>3.0249999999999999E+94</v>
      </c>
      <c r="D2893" s="18">
        <v>2891</v>
      </c>
      <c r="E2893" s="18" cm="1">
        <f t="array" aca="1" ref="E2893" ca="1">INDIRECT("b"&amp;F2893+2)</f>
        <v>3.4749999999999999E+128</v>
      </c>
      <c r="F2893" s="18">
        <f t="shared" si="536"/>
        <v>4253</v>
      </c>
      <c r="G2893" s="18"/>
      <c r="H2893" s="18"/>
      <c r="I2893" s="19">
        <v>2891</v>
      </c>
      <c r="J2893" s="19" cm="1">
        <f t="array" aca="1" ref="J2893" ca="1">INDIRECT("b"&amp;K2893+2)</f>
        <v>3.4749999999999998E+158</v>
      </c>
      <c r="K2893" s="19">
        <f t="shared" si="547"/>
        <v>5453</v>
      </c>
    </row>
    <row r="2894" spans="1:11">
      <c r="A2894">
        <v>2892</v>
      </c>
      <c r="B2894">
        <v>3.2499999999999999E+94</v>
      </c>
      <c r="D2894" s="18">
        <v>2892</v>
      </c>
      <c r="E2894" s="18" cm="1">
        <f t="array" aca="1" ref="E2894" ca="1">INDIRECT("b"&amp;F2894+2)</f>
        <v>3.7000000000000001E+128</v>
      </c>
      <c r="F2894" s="18">
        <f t="shared" si="536"/>
        <v>4254</v>
      </c>
      <c r="G2894" s="18"/>
      <c r="H2894" s="18"/>
      <c r="I2894" s="19">
        <v>2892</v>
      </c>
      <c r="J2894" s="19" cm="1">
        <f t="array" aca="1" ref="J2894" ca="1">INDIRECT("b"&amp;K2894+2)</f>
        <v>3.7000000000000001E+158</v>
      </c>
      <c r="K2894" s="19">
        <f t="shared" si="547"/>
        <v>5454</v>
      </c>
    </row>
    <row r="2895" spans="1:11">
      <c r="A2895">
        <v>2893</v>
      </c>
      <c r="B2895">
        <v>3.4750000000000002E+94</v>
      </c>
      <c r="D2895" s="18">
        <v>2893</v>
      </c>
      <c r="E2895" s="18" cm="1">
        <f t="array" aca="1" ref="E2895" ca="1">INDIRECT("b"&amp;F2895+2)</f>
        <v>4.1499999999999996E+128</v>
      </c>
      <c r="F2895" s="18">
        <f t="shared" si="536"/>
        <v>4256</v>
      </c>
      <c r="G2895" s="18"/>
      <c r="H2895" s="18"/>
      <c r="I2895" s="19">
        <v>2893</v>
      </c>
      <c r="J2895" s="19" cm="1">
        <f t="array" aca="1" ref="J2895" ca="1">INDIRECT("b"&amp;K2895+2)</f>
        <v>4.1500000000000002E+158</v>
      </c>
      <c r="K2895" s="19">
        <f t="shared" si="547"/>
        <v>5456</v>
      </c>
    </row>
    <row r="2896" spans="1:11">
      <c r="A2896">
        <v>2894</v>
      </c>
      <c r="B2896">
        <v>3.7000000000000001E+94</v>
      </c>
      <c r="D2896" s="18">
        <v>2894</v>
      </c>
      <c r="E2896" s="18" cm="1">
        <f t="array" aca="1" ref="E2896" ca="1">INDIRECT("b"&amp;F2896+2)</f>
        <v>4.3749999999999998E+128</v>
      </c>
      <c r="F2896" s="18">
        <f t="shared" si="536"/>
        <v>4257</v>
      </c>
      <c r="G2896" s="18">
        <f t="shared" ref="G2896" ca="1" si="550">E2896/E2891</f>
        <v>1.5625</v>
      </c>
      <c r="H2896" s="18"/>
      <c r="I2896" s="19">
        <v>2894</v>
      </c>
      <c r="J2896" s="19" cm="1">
        <f t="array" aca="1" ref="J2896" ca="1">INDIRECT("b"&amp;K2896+2)</f>
        <v>4.3749999999999999E+158</v>
      </c>
      <c r="K2896" s="19">
        <f t="shared" si="547"/>
        <v>5457</v>
      </c>
    </row>
    <row r="2897" spans="1:11">
      <c r="A2897">
        <v>2895</v>
      </c>
      <c r="B2897">
        <v>3.9250000000000001E+94</v>
      </c>
      <c r="D2897" s="18">
        <v>2895</v>
      </c>
      <c r="E2897" s="18" cm="1">
        <f t="array" aca="1" ref="E2897" ca="1">INDIRECT("b"&amp;F2897+2)</f>
        <v>4.6E+128</v>
      </c>
      <c r="F2897" s="18">
        <f t="shared" si="536"/>
        <v>4258</v>
      </c>
      <c r="G2897" s="18"/>
      <c r="H2897" s="18"/>
      <c r="I2897" s="19">
        <v>2895</v>
      </c>
      <c r="J2897" s="19" cm="1">
        <f t="array" aca="1" ref="J2897" ca="1">INDIRECT("b"&amp;K2897+2)</f>
        <v>4.5999999999999997E+158</v>
      </c>
      <c r="K2897" s="19">
        <f t="shared" si="547"/>
        <v>5458</v>
      </c>
    </row>
    <row r="2898" spans="1:11">
      <c r="A2898">
        <v>2896</v>
      </c>
      <c r="B2898">
        <v>4.15E+94</v>
      </c>
      <c r="D2898" s="18">
        <v>2896</v>
      </c>
      <c r="E2898" s="18" cm="1">
        <f t="array" aca="1" ref="E2898" ca="1">INDIRECT("b"&amp;F2898+2)</f>
        <v>5.0500000000000003E+128</v>
      </c>
      <c r="F2898" s="18">
        <f t="shared" si="536"/>
        <v>4260</v>
      </c>
      <c r="G2898" s="18"/>
      <c r="H2898" s="18"/>
      <c r="I2898" s="19">
        <v>2896</v>
      </c>
      <c r="J2898" s="19" cm="1">
        <f t="array" aca="1" ref="J2898" ca="1">INDIRECT("b"&amp;K2898+2)</f>
        <v>5.0500000000000002E+158</v>
      </c>
      <c r="K2898" s="19">
        <f t="shared" si="547"/>
        <v>5460</v>
      </c>
    </row>
    <row r="2899" spans="1:11">
      <c r="A2899">
        <v>2897</v>
      </c>
      <c r="B2899">
        <v>4.375E+94</v>
      </c>
      <c r="D2899" s="18">
        <v>2897</v>
      </c>
      <c r="E2899" s="18" cm="1">
        <f t="array" aca="1" ref="E2899" ca="1">INDIRECT("b"&amp;F2899+2)</f>
        <v>5.2749999999999997E+128</v>
      </c>
      <c r="F2899" s="18">
        <f t="shared" ref="F2899:F2962" si="551">INT((A2899-123)*1.333333)+563</f>
        <v>4261</v>
      </c>
      <c r="G2899" s="18"/>
      <c r="H2899" s="18"/>
      <c r="I2899" s="19">
        <v>2897</v>
      </c>
      <c r="J2899" s="19" cm="1">
        <f t="array" aca="1" ref="J2899" ca="1">INDIRECT("b"&amp;K2899+2)</f>
        <v>5.275E+158</v>
      </c>
      <c r="K2899" s="19">
        <f t="shared" si="547"/>
        <v>5461</v>
      </c>
    </row>
    <row r="2900" spans="1:11">
      <c r="A2900">
        <v>2898</v>
      </c>
      <c r="B2900">
        <v>4.5999999999999999E+94</v>
      </c>
      <c r="D2900" s="18">
        <v>2898</v>
      </c>
      <c r="E2900" s="18" cm="1">
        <f t="array" aca="1" ref="E2900" ca="1">INDIRECT("b"&amp;F2900+2)</f>
        <v>5.4999999999999998E+128</v>
      </c>
      <c r="F2900" s="18">
        <f t="shared" si="551"/>
        <v>4262</v>
      </c>
      <c r="G2900" s="18"/>
      <c r="H2900" s="18"/>
      <c r="I2900" s="19">
        <v>2898</v>
      </c>
      <c r="J2900" s="19" cm="1">
        <f t="array" aca="1" ref="J2900" ca="1">INDIRECT("b"&amp;K2900+2)</f>
        <v>5.4999999999999998E+158</v>
      </c>
      <c r="K2900" s="19">
        <f t="shared" si="547"/>
        <v>5462</v>
      </c>
    </row>
    <row r="2901" spans="1:11">
      <c r="A2901">
        <v>2899</v>
      </c>
      <c r="B2901">
        <v>4.8249999999999999E+94</v>
      </c>
      <c r="D2901" s="18">
        <v>2899</v>
      </c>
      <c r="E2901" s="18" cm="1">
        <f t="array" aca="1" ref="E2901" ca="1">INDIRECT("b"&amp;F2901+2)</f>
        <v>5.9500000000000002E+128</v>
      </c>
      <c r="F2901" s="18">
        <f t="shared" si="551"/>
        <v>4264</v>
      </c>
      <c r="G2901" s="18">
        <f t="shared" ref="G2901" ca="1" si="552">E2901/E2896</f>
        <v>1.36</v>
      </c>
      <c r="H2901" s="18"/>
      <c r="I2901" s="19">
        <v>2899</v>
      </c>
      <c r="J2901" s="19" cm="1">
        <f t="array" aca="1" ref="J2901" ca="1">INDIRECT("b"&amp;K2901+2)</f>
        <v>5.9500000000000003E+158</v>
      </c>
      <c r="K2901" s="19">
        <f t="shared" si="547"/>
        <v>5464</v>
      </c>
    </row>
    <row r="2902" spans="1:11">
      <c r="A2902">
        <v>2900</v>
      </c>
      <c r="B2902">
        <v>5.0499999999999998E+94</v>
      </c>
      <c r="D2902" s="18">
        <v>2900</v>
      </c>
      <c r="E2902" s="18" cm="1">
        <f t="array" aca="1" ref="E2902" ca="1">INDIRECT("b"&amp;F2902+2)</f>
        <v>6.1749999999999996E+128</v>
      </c>
      <c r="F2902" s="18">
        <f t="shared" si="551"/>
        <v>4265</v>
      </c>
      <c r="G2902" s="18"/>
      <c r="H2902" s="18"/>
      <c r="I2902" s="19">
        <v>2900</v>
      </c>
      <c r="J2902" s="19" cm="1">
        <f t="array" aca="1" ref="J2902" ca="1">INDIRECT("b"&amp;K2902+2)</f>
        <v>6.1750000000000001E+158</v>
      </c>
      <c r="K2902" s="19">
        <f t="shared" si="547"/>
        <v>5465</v>
      </c>
    </row>
    <row r="2903" spans="1:11">
      <c r="A2903">
        <v>2901</v>
      </c>
      <c r="B2903">
        <v>5.2749999999999998E+94</v>
      </c>
      <c r="D2903" s="18">
        <v>2901</v>
      </c>
      <c r="E2903" s="18" cm="1">
        <f t="array" aca="1" ref="E2903" ca="1">INDIRECT("b"&amp;F2903+2)</f>
        <v>6.3999999999999997E+128</v>
      </c>
      <c r="F2903" s="18">
        <f t="shared" si="551"/>
        <v>4266</v>
      </c>
      <c r="G2903" s="18"/>
      <c r="H2903" s="18"/>
      <c r="I2903" s="19">
        <v>2901</v>
      </c>
      <c r="J2903" s="19" cm="1">
        <f t="array" aca="1" ref="J2903" ca="1">INDIRECT("b"&amp;K2903+2)</f>
        <v>6.3999999999999999E+158</v>
      </c>
      <c r="K2903" s="19">
        <f t="shared" si="547"/>
        <v>5466</v>
      </c>
    </row>
    <row r="2904" spans="1:11">
      <c r="A2904">
        <v>2902</v>
      </c>
      <c r="B2904">
        <v>5.4999999999999997E+94</v>
      </c>
      <c r="D2904" s="18">
        <v>2902</v>
      </c>
      <c r="E2904" s="18" cm="1">
        <f t="array" aca="1" ref="E2904" ca="1">INDIRECT("b"&amp;F2904+2)</f>
        <v>6.85E+128</v>
      </c>
      <c r="F2904" s="18">
        <f t="shared" si="551"/>
        <v>4268</v>
      </c>
      <c r="G2904" s="18"/>
      <c r="H2904" s="18"/>
      <c r="I2904" s="19">
        <v>2902</v>
      </c>
      <c r="J2904" s="19" cm="1">
        <f t="array" aca="1" ref="J2904" ca="1">INDIRECT("b"&amp;K2904+2)</f>
        <v>6.8499999999999995E+158</v>
      </c>
      <c r="K2904" s="19">
        <f t="shared" si="547"/>
        <v>5468</v>
      </c>
    </row>
    <row r="2905" spans="1:11">
      <c r="A2905">
        <v>2903</v>
      </c>
      <c r="B2905">
        <v>5.7250000000000004E+94</v>
      </c>
      <c r="D2905" s="18">
        <v>2903</v>
      </c>
      <c r="E2905" s="18" cm="1">
        <f t="array" aca="1" ref="E2905" ca="1">INDIRECT("b"&amp;F2905+2)</f>
        <v>7.0750000000000002E+128</v>
      </c>
      <c r="F2905" s="18">
        <f t="shared" si="551"/>
        <v>4269</v>
      </c>
      <c r="G2905" s="18"/>
      <c r="H2905" s="18"/>
      <c r="I2905" s="19">
        <v>2903</v>
      </c>
      <c r="J2905" s="19" cm="1">
        <f t="array" aca="1" ref="J2905" ca="1">INDIRECT("b"&amp;K2905+2)</f>
        <v>7.0750000000000002E+158</v>
      </c>
      <c r="K2905" s="19">
        <f t="shared" si="547"/>
        <v>5469</v>
      </c>
    </row>
    <row r="2906" spans="1:11">
      <c r="A2906">
        <v>2904</v>
      </c>
      <c r="B2906">
        <v>5.9500000000000004E+94</v>
      </c>
      <c r="D2906" s="18">
        <v>2904</v>
      </c>
      <c r="E2906" s="18" cm="1">
        <f t="array" aca="1" ref="E2906" ca="1">INDIRECT("b"&amp;F2906+2)</f>
        <v>7.2999999999999996E+128</v>
      </c>
      <c r="F2906" s="18">
        <f t="shared" si="551"/>
        <v>4270</v>
      </c>
      <c r="G2906" s="18">
        <f t="shared" ref="G2906" ca="1" si="553">E2906/E2901</f>
        <v>1.2268907563025209</v>
      </c>
      <c r="H2906" s="18"/>
      <c r="I2906" s="19">
        <v>2904</v>
      </c>
      <c r="J2906" s="19" cm="1">
        <f t="array" aca="1" ref="J2906" ca="1">INDIRECT("b"&amp;K2906+2)</f>
        <v>7.3E+158</v>
      </c>
      <c r="K2906" s="19">
        <f t="shared" si="547"/>
        <v>5470</v>
      </c>
    </row>
    <row r="2907" spans="1:11">
      <c r="A2907">
        <v>2905</v>
      </c>
      <c r="B2907">
        <v>6.1750000000000003E+94</v>
      </c>
      <c r="D2907" s="18">
        <v>2905</v>
      </c>
      <c r="E2907" s="18" cm="1">
        <f t="array" aca="1" ref="E2907" ca="1">INDIRECT("b"&amp;F2907+2)</f>
        <v>7.7499999999999999E+128</v>
      </c>
      <c r="F2907" s="18">
        <f t="shared" si="551"/>
        <v>4272</v>
      </c>
      <c r="G2907" s="18"/>
      <c r="H2907" s="18"/>
      <c r="I2907" s="19">
        <v>2905</v>
      </c>
      <c r="J2907" s="19" cm="1">
        <f t="array" aca="1" ref="J2907" ca="1">INDIRECT("b"&amp;K2907+2)</f>
        <v>7.7499999999999995E+158</v>
      </c>
      <c r="K2907" s="19">
        <f t="shared" si="547"/>
        <v>5472</v>
      </c>
    </row>
    <row r="2908" spans="1:11">
      <c r="A2908">
        <v>2906</v>
      </c>
      <c r="B2908">
        <v>6.4000000000000003E+94</v>
      </c>
      <c r="D2908" s="18">
        <v>2906</v>
      </c>
      <c r="E2908" s="18" cm="1">
        <f t="array" aca="1" ref="E2908" ca="1">INDIRECT("b"&amp;F2908+2)</f>
        <v>7.9749999999999993E+128</v>
      </c>
      <c r="F2908" s="18">
        <f t="shared" si="551"/>
        <v>4273</v>
      </c>
      <c r="G2908" s="18"/>
      <c r="H2908" s="18"/>
      <c r="I2908" s="19">
        <v>2906</v>
      </c>
      <c r="J2908" s="19" cm="1">
        <f t="array" aca="1" ref="J2908" ca="1">INDIRECT("b"&amp;K2908+2)</f>
        <v>7.9750000000000003E+158</v>
      </c>
      <c r="K2908" s="19">
        <f t="shared" si="547"/>
        <v>5473</v>
      </c>
    </row>
    <row r="2909" spans="1:11">
      <c r="A2909">
        <v>2907</v>
      </c>
      <c r="B2909">
        <v>6.6250000000000002E+94</v>
      </c>
      <c r="D2909" s="18">
        <v>2907</v>
      </c>
      <c r="E2909" s="18" cm="1">
        <f t="array" aca="1" ref="E2909" ca="1">INDIRECT("b"&amp;F2909+2)</f>
        <v>8.2000000000000002E+128</v>
      </c>
      <c r="F2909" s="18">
        <f t="shared" si="551"/>
        <v>4274</v>
      </c>
      <c r="G2909" s="18"/>
      <c r="H2909" s="18"/>
      <c r="I2909" s="19">
        <v>2907</v>
      </c>
      <c r="J2909" s="19" cm="1">
        <f t="array" aca="1" ref="J2909" ca="1">INDIRECT("b"&amp;K2909+2)</f>
        <v>8.2000000000000001E+158</v>
      </c>
      <c r="K2909" s="19">
        <f t="shared" si="547"/>
        <v>5474</v>
      </c>
    </row>
    <row r="2910" spans="1:11">
      <c r="A2910">
        <v>2908</v>
      </c>
      <c r="B2910">
        <v>6.8499999999999994E+94</v>
      </c>
      <c r="D2910" s="18">
        <v>2908</v>
      </c>
      <c r="E2910" s="18" cm="1">
        <f t="array" aca="1" ref="E2910" ca="1">INDIRECT("b"&amp;F2910+2)</f>
        <v>8.6500000000000006E+128</v>
      </c>
      <c r="F2910" s="18">
        <f t="shared" si="551"/>
        <v>4276</v>
      </c>
      <c r="G2910" s="18"/>
      <c r="H2910" s="18"/>
      <c r="I2910" s="19">
        <v>2908</v>
      </c>
      <c r="J2910" s="19" cm="1">
        <f t="array" aca="1" ref="J2910" ca="1">INDIRECT("b"&amp;K2910+2)</f>
        <v>8.6499999999999996E+158</v>
      </c>
      <c r="K2910" s="19">
        <f t="shared" si="547"/>
        <v>5476</v>
      </c>
    </row>
    <row r="2911" spans="1:11">
      <c r="A2911">
        <v>2909</v>
      </c>
      <c r="B2911">
        <v>7.0750000000000001E+94</v>
      </c>
      <c r="D2911" s="18">
        <v>2909</v>
      </c>
      <c r="E2911" s="18" cm="1">
        <f t="array" aca="1" ref="E2911" ca="1">INDIRECT("b"&amp;F2911+2)</f>
        <v>8.8749999999999999E+128</v>
      </c>
      <c r="F2911" s="18">
        <f t="shared" si="551"/>
        <v>4277</v>
      </c>
      <c r="G2911" s="18">
        <f t="shared" ref="G2911" ca="1" si="554">E2911/E2906</f>
        <v>1.2157534246575343</v>
      </c>
      <c r="H2911" s="18"/>
      <c r="I2911" s="19">
        <v>2909</v>
      </c>
      <c r="J2911" s="19" cm="1">
        <f t="array" aca="1" ref="J2911" ca="1">INDIRECT("b"&amp;K2911+2)</f>
        <v>8.8749999999999994E+158</v>
      </c>
      <c r="K2911" s="19">
        <f t="shared" si="547"/>
        <v>5477</v>
      </c>
    </row>
    <row r="2912" spans="1:11">
      <c r="A2912">
        <v>2910</v>
      </c>
      <c r="B2912">
        <v>7.3000000000000008E+94</v>
      </c>
      <c r="D2912" s="18">
        <v>2910</v>
      </c>
      <c r="E2912" s="18" cm="1">
        <f t="array" aca="1" ref="E2912" ca="1">INDIRECT("b"&amp;F2912+2)</f>
        <v>9.0999999999999993E+128</v>
      </c>
      <c r="F2912" s="18">
        <f t="shared" si="551"/>
        <v>4278</v>
      </c>
      <c r="G2912" s="18"/>
      <c r="H2912" s="18"/>
      <c r="I2912" s="19">
        <v>2910</v>
      </c>
      <c r="J2912" s="19" cm="1">
        <f t="array" aca="1" ref="J2912" ca="1">INDIRECT("b"&amp;K2912+2)</f>
        <v>9.1000000000000002E+158</v>
      </c>
      <c r="K2912" s="19">
        <f t="shared" si="547"/>
        <v>5478</v>
      </c>
    </row>
    <row r="2913" spans="1:11">
      <c r="A2913">
        <v>2911</v>
      </c>
      <c r="B2913">
        <v>7.525E+94</v>
      </c>
      <c r="D2913" s="18">
        <v>2911</v>
      </c>
      <c r="E2913" s="18" cm="1">
        <f t="array" aca="1" ref="E2913" ca="1">INDIRECT("b"&amp;F2913+2)</f>
        <v>9.5499999999999997E+128</v>
      </c>
      <c r="F2913" s="18">
        <f t="shared" si="551"/>
        <v>4280</v>
      </c>
      <c r="G2913" s="18"/>
      <c r="H2913" s="18"/>
      <c r="I2913" s="19">
        <v>2911</v>
      </c>
      <c r="J2913" s="19" cm="1">
        <f t="array" aca="1" ref="J2913" ca="1">INDIRECT("b"&amp;K2913+2)</f>
        <v>9.5499999999999997E+158</v>
      </c>
      <c r="K2913" s="19">
        <f t="shared" si="547"/>
        <v>5480</v>
      </c>
    </row>
    <row r="2914" spans="1:11">
      <c r="A2914">
        <v>2912</v>
      </c>
      <c r="B2914">
        <v>7.7500000000000007E+94</v>
      </c>
      <c r="D2914" s="18">
        <v>2912</v>
      </c>
      <c r="E2914" s="18" cm="1">
        <f t="array" aca="1" ref="E2914" ca="1">INDIRECT("b"&amp;F2914+2)</f>
        <v>9.7749999999999991E+128</v>
      </c>
      <c r="F2914" s="18">
        <f t="shared" si="551"/>
        <v>4281</v>
      </c>
      <c r="G2914" s="18"/>
      <c r="H2914" s="18"/>
      <c r="I2914" s="19">
        <v>2912</v>
      </c>
      <c r="J2914" s="19" cm="1">
        <f t="array" aca="1" ref="J2914" ca="1">INDIRECT("b"&amp;K2914+2)</f>
        <v>9.7750000000000005E+158</v>
      </c>
      <c r="K2914" s="19">
        <f t="shared" si="547"/>
        <v>5481</v>
      </c>
    </row>
    <row r="2915" spans="1:11">
      <c r="A2915">
        <v>2913</v>
      </c>
      <c r="B2915">
        <v>7.9749999999999999E+94</v>
      </c>
      <c r="D2915" s="18">
        <v>2913</v>
      </c>
      <c r="E2915" s="18" cm="1">
        <f t="array" aca="1" ref="E2915" ca="1">INDIRECT("b"&amp;F2915+2)</f>
        <v>1E+129</v>
      </c>
      <c r="F2915" s="18">
        <f t="shared" si="551"/>
        <v>4282</v>
      </c>
      <c r="G2915" s="18"/>
      <c r="H2915" s="18"/>
      <c r="I2915" s="19">
        <v>2913</v>
      </c>
      <c r="J2915" s="19" cm="1">
        <f t="array" aca="1" ref="J2915" ca="1">INDIRECT("b"&amp;K2915+2)</f>
        <v>9.9999999999999993E+158</v>
      </c>
      <c r="K2915" s="19">
        <f t="shared" si="547"/>
        <v>5482</v>
      </c>
    </row>
    <row r="2916" spans="1:11">
      <c r="A2916">
        <v>2914</v>
      </c>
      <c r="B2916">
        <v>8.2000000000000006E+94</v>
      </c>
      <c r="D2916" s="18">
        <v>2914</v>
      </c>
      <c r="E2916" s="18" cm="1">
        <f t="array" aca="1" ref="E2916" ca="1">INDIRECT("b"&amp;F2916+2)</f>
        <v>1.45E+129</v>
      </c>
      <c r="F2916" s="18">
        <f t="shared" si="551"/>
        <v>4284</v>
      </c>
      <c r="G2916" s="18">
        <f t="shared" ref="G2916" ca="1" si="555">E2916/E2911</f>
        <v>1.6338028169014085</v>
      </c>
      <c r="H2916" s="18"/>
      <c r="I2916" s="19">
        <v>2914</v>
      </c>
      <c r="J2916" s="19" cm="1">
        <f t="array" aca="1" ref="J2916" ca="1">INDIRECT("b"&amp;K2916+2)</f>
        <v>1.4500000000000001E+159</v>
      </c>
      <c r="K2916" s="19">
        <f t="shared" si="547"/>
        <v>5484</v>
      </c>
    </row>
    <row r="2917" spans="1:11">
      <c r="A2917">
        <v>2915</v>
      </c>
      <c r="B2917">
        <v>8.4249999999999998E+94</v>
      </c>
      <c r="D2917" s="18">
        <v>2915</v>
      </c>
      <c r="E2917" s="18" cm="1">
        <f t="array" aca="1" ref="E2917" ca="1">INDIRECT("b"&amp;F2917+2)</f>
        <v>1.675E+129</v>
      </c>
      <c r="F2917" s="18">
        <f t="shared" si="551"/>
        <v>4285</v>
      </c>
      <c r="G2917" s="18"/>
      <c r="H2917" s="18"/>
      <c r="I2917" s="19">
        <v>2915</v>
      </c>
      <c r="J2917" s="19" cm="1">
        <f t="array" aca="1" ref="J2917" ca="1">INDIRECT("b"&amp;K2917+2)</f>
        <v>1.675E+159</v>
      </c>
      <c r="K2917" s="19">
        <f t="shared" si="547"/>
        <v>5485</v>
      </c>
    </row>
    <row r="2918" spans="1:11">
      <c r="A2918">
        <v>2916</v>
      </c>
      <c r="B2918">
        <v>8.6500000000000005E+94</v>
      </c>
      <c r="D2918" s="18">
        <v>2916</v>
      </c>
      <c r="E2918" s="18" cm="1">
        <f t="array" aca="1" ref="E2918" ca="1">INDIRECT("b"&amp;F2918+2)</f>
        <v>1.9E+129</v>
      </c>
      <c r="F2918" s="18">
        <f t="shared" si="551"/>
        <v>4286</v>
      </c>
      <c r="G2918" s="18"/>
      <c r="H2918" s="18"/>
      <c r="I2918" s="19">
        <v>2916</v>
      </c>
      <c r="J2918" s="19" cm="1">
        <f t="array" aca="1" ref="J2918" ca="1">INDIRECT("b"&amp;K2918+2)</f>
        <v>1.9000000000000002E+159</v>
      </c>
      <c r="K2918" s="19">
        <f t="shared" si="547"/>
        <v>5486</v>
      </c>
    </row>
    <row r="2919" spans="1:11">
      <c r="A2919">
        <v>2917</v>
      </c>
      <c r="B2919">
        <v>8.8749999999999997E+94</v>
      </c>
      <c r="D2919" s="18">
        <v>2917</v>
      </c>
      <c r="E2919" s="18" cm="1">
        <f t="array" aca="1" ref="E2919" ca="1">INDIRECT("b"&amp;F2919+2)</f>
        <v>2.35E+129</v>
      </c>
      <c r="F2919" s="18">
        <f t="shared" si="551"/>
        <v>4288</v>
      </c>
      <c r="G2919" s="18"/>
      <c r="H2919" s="18"/>
      <c r="I2919" s="19">
        <v>2917</v>
      </c>
      <c r="J2919" s="19" cm="1">
        <f t="array" aca="1" ref="J2919" ca="1">INDIRECT("b"&amp;K2919+2)</f>
        <v>2.3500000000000002E+159</v>
      </c>
      <c r="K2919" s="19">
        <f t="shared" si="547"/>
        <v>5488</v>
      </c>
    </row>
    <row r="2920" spans="1:11">
      <c r="A2920">
        <v>2918</v>
      </c>
      <c r="B2920">
        <v>9.1000000000000004E+94</v>
      </c>
      <c r="D2920" s="18">
        <v>2918</v>
      </c>
      <c r="E2920" s="18" cm="1">
        <f t="array" aca="1" ref="E2920" ca="1">INDIRECT("b"&amp;F2920+2)</f>
        <v>2.575E+129</v>
      </c>
      <c r="F2920" s="18">
        <f t="shared" si="551"/>
        <v>4289</v>
      </c>
      <c r="G2920" s="18"/>
      <c r="H2920" s="18"/>
      <c r="I2920" s="19">
        <v>2918</v>
      </c>
      <c r="J2920" s="19" cm="1">
        <f t="array" aca="1" ref="J2920" ca="1">INDIRECT("b"&amp;K2920+2)</f>
        <v>2.5750000000000001E+159</v>
      </c>
      <c r="K2920" s="19">
        <f t="shared" si="547"/>
        <v>5489</v>
      </c>
    </row>
    <row r="2921" spans="1:11">
      <c r="A2921">
        <v>2919</v>
      </c>
      <c r="B2921">
        <v>9.3249999999999996E+94</v>
      </c>
      <c r="D2921" s="18">
        <v>2919</v>
      </c>
      <c r="E2921" s="18" cm="1">
        <f t="array" aca="1" ref="E2921" ca="1">INDIRECT("b"&amp;F2921+2)</f>
        <v>2.8000000000000004E+129</v>
      </c>
      <c r="F2921" s="18">
        <f t="shared" si="551"/>
        <v>4290</v>
      </c>
      <c r="G2921" s="18">
        <f t="shared" ref="G2921" ca="1" si="556">E2921/E2916</f>
        <v>1.931034482758621</v>
      </c>
      <c r="H2921" s="18"/>
      <c r="I2921" s="19">
        <v>2919</v>
      </c>
      <c r="J2921" s="19" cm="1">
        <f t="array" aca="1" ref="J2921" ca="1">INDIRECT("b"&amp;K2921+2)</f>
        <v>2.8000000000000001E+159</v>
      </c>
      <c r="K2921" s="19">
        <f t="shared" si="547"/>
        <v>5490</v>
      </c>
    </row>
    <row r="2922" spans="1:11">
      <c r="A2922">
        <v>2920</v>
      </c>
      <c r="B2922">
        <v>9.5500000000000003E+94</v>
      </c>
      <c r="D2922" s="18">
        <v>2920</v>
      </c>
      <c r="E2922" s="18" cm="1">
        <f t="array" aca="1" ref="E2922" ca="1">INDIRECT("b"&amp;F2922+2)</f>
        <v>3.2500000000000004E+129</v>
      </c>
      <c r="F2922" s="18">
        <f t="shared" si="551"/>
        <v>4292</v>
      </c>
      <c r="G2922" s="18"/>
      <c r="H2922" s="18"/>
      <c r="I2922" s="19">
        <v>2920</v>
      </c>
      <c r="J2922" s="19" cm="1">
        <f t="array" aca="1" ref="J2922" ca="1">INDIRECT("b"&amp;K2922+2)</f>
        <v>3.2500000000000001E+159</v>
      </c>
      <c r="K2922" s="19">
        <f t="shared" si="547"/>
        <v>5492</v>
      </c>
    </row>
    <row r="2923" spans="1:11">
      <c r="A2923">
        <v>2921</v>
      </c>
      <c r="B2923">
        <v>9.7749999999999995E+94</v>
      </c>
      <c r="D2923" s="18">
        <v>2921</v>
      </c>
      <c r="E2923" s="18" cm="1">
        <f t="array" aca="1" ref="E2923" ca="1">INDIRECT("b"&amp;F2923+2)</f>
        <v>3.4750000000000001E+129</v>
      </c>
      <c r="F2923" s="18">
        <f t="shared" si="551"/>
        <v>4293</v>
      </c>
      <c r="G2923" s="18"/>
      <c r="H2923" s="18"/>
      <c r="I2923" s="19">
        <v>2921</v>
      </c>
      <c r="J2923" s="19" cm="1">
        <f t="array" aca="1" ref="J2923" ca="1">INDIRECT("b"&amp;K2923+2)</f>
        <v>3.475E+159</v>
      </c>
      <c r="K2923" s="19">
        <f t="shared" si="547"/>
        <v>5493</v>
      </c>
    </row>
    <row r="2924" spans="1:11">
      <c r="A2924">
        <v>2922</v>
      </c>
      <c r="B2924">
        <v>1E+95</v>
      </c>
      <c r="D2924" s="18">
        <v>2922</v>
      </c>
      <c r="E2924" s="18" cm="1">
        <f t="array" aca="1" ref="E2924" ca="1">INDIRECT("b"&amp;F2924+2)</f>
        <v>3.7000000000000004E+129</v>
      </c>
      <c r="F2924" s="18">
        <f t="shared" si="551"/>
        <v>4294</v>
      </c>
      <c r="G2924" s="18"/>
      <c r="H2924" s="18"/>
      <c r="I2924" s="19">
        <v>2922</v>
      </c>
      <c r="J2924" s="19" cm="1">
        <f t="array" aca="1" ref="J2924" ca="1">INDIRECT("b"&amp;K2924+2)</f>
        <v>3.7E+159</v>
      </c>
      <c r="K2924" s="19">
        <f t="shared" si="547"/>
        <v>5494</v>
      </c>
    </row>
    <row r="2925" spans="1:11">
      <c r="A2925">
        <v>2923</v>
      </c>
      <c r="B2925">
        <v>1.225E+95</v>
      </c>
      <c r="D2925" s="18">
        <v>2923</v>
      </c>
      <c r="E2925" s="18" cm="1">
        <f t="array" aca="1" ref="E2925" ca="1">INDIRECT("b"&amp;F2925+2)</f>
        <v>4.1500000000000004E+129</v>
      </c>
      <c r="F2925" s="18">
        <f t="shared" si="551"/>
        <v>4296</v>
      </c>
      <c r="G2925" s="18"/>
      <c r="H2925" s="18"/>
      <c r="I2925" s="19">
        <v>2923</v>
      </c>
      <c r="J2925" s="19" cm="1">
        <f t="array" aca="1" ref="J2925" ca="1">INDIRECT("b"&amp;K2925+2)</f>
        <v>4.15E+159</v>
      </c>
      <c r="K2925" s="19">
        <f t="shared" si="547"/>
        <v>5496</v>
      </c>
    </row>
    <row r="2926" spans="1:11">
      <c r="A2926">
        <v>2924</v>
      </c>
      <c r="B2926">
        <v>1.4500000000000001E+95</v>
      </c>
      <c r="D2926" s="18">
        <v>2924</v>
      </c>
      <c r="E2926" s="18" cm="1">
        <f t="array" aca="1" ref="E2926" ca="1">INDIRECT("b"&amp;F2926+2)</f>
        <v>4.3750000000000001E+129</v>
      </c>
      <c r="F2926" s="18">
        <f t="shared" si="551"/>
        <v>4297</v>
      </c>
      <c r="G2926" s="18">
        <f t="shared" ref="G2926" ca="1" si="557">E2926/E2921</f>
        <v>1.5624999999999998</v>
      </c>
      <c r="H2926" s="18"/>
      <c r="I2926" s="19">
        <v>2924</v>
      </c>
      <c r="J2926" s="19" cm="1">
        <f t="array" aca="1" ref="J2926" ca="1">INDIRECT("b"&amp;K2926+2)</f>
        <v>4.3750000000000003E+159</v>
      </c>
      <c r="K2926" s="19">
        <f t="shared" si="547"/>
        <v>5497</v>
      </c>
    </row>
    <row r="2927" spans="1:11">
      <c r="A2927">
        <v>2925</v>
      </c>
      <c r="B2927">
        <v>1.6749999999999999E+95</v>
      </c>
      <c r="D2927" s="18">
        <v>2925</v>
      </c>
      <c r="E2927" s="18" cm="1">
        <f t="array" aca="1" ref="E2927" ca="1">INDIRECT("b"&amp;F2927+2)</f>
        <v>4.6000000000000004E+129</v>
      </c>
      <c r="F2927" s="18">
        <f t="shared" si="551"/>
        <v>4298</v>
      </c>
      <c r="G2927" s="18"/>
      <c r="H2927" s="18"/>
      <c r="I2927" s="19">
        <v>2925</v>
      </c>
      <c r="J2927" s="19" cm="1">
        <f t="array" aca="1" ref="J2927" ca="1">INDIRECT("b"&amp;K2927+2)</f>
        <v>4.5999999999999999E+159</v>
      </c>
      <c r="K2927" s="19">
        <f t="shared" si="547"/>
        <v>5498</v>
      </c>
    </row>
    <row r="2928" spans="1:11">
      <c r="A2928">
        <v>2926</v>
      </c>
      <c r="B2928">
        <v>1.9E+95</v>
      </c>
      <c r="D2928" s="18">
        <v>2926</v>
      </c>
      <c r="E2928" s="18" cm="1">
        <f t="array" aca="1" ref="E2928" ca="1">INDIRECT("b"&amp;F2928+2)</f>
        <v>5.0500000000000004E+129</v>
      </c>
      <c r="F2928" s="18">
        <f t="shared" si="551"/>
        <v>4300</v>
      </c>
      <c r="G2928" s="18"/>
      <c r="H2928" s="18"/>
      <c r="I2928" s="19">
        <v>2926</v>
      </c>
      <c r="J2928" s="19" cm="1">
        <f t="array" aca="1" ref="J2928" ca="1">INDIRECT("b"&amp;K2928+2)</f>
        <v>5.0499999999999999E+159</v>
      </c>
      <c r="K2928" s="19">
        <f t="shared" si="547"/>
        <v>5500</v>
      </c>
    </row>
    <row r="2929" spans="1:11">
      <c r="A2929">
        <v>2927</v>
      </c>
      <c r="B2929">
        <v>2.1250000000000001E+95</v>
      </c>
      <c r="D2929" s="18">
        <v>2927</v>
      </c>
      <c r="E2929" s="18" cm="1">
        <f t="array" aca="1" ref="E2929" ca="1">INDIRECT("b"&amp;F2929+2)</f>
        <v>5.2750000000000001E+129</v>
      </c>
      <c r="F2929" s="18">
        <f t="shared" si="551"/>
        <v>4301</v>
      </c>
      <c r="G2929" s="18"/>
      <c r="H2929" s="18"/>
      <c r="I2929" s="19">
        <v>2927</v>
      </c>
      <c r="J2929" s="19" cm="1">
        <f t="array" aca="1" ref="J2929" ca="1">INDIRECT("b"&amp;K2929+2)</f>
        <v>5.2750000000000002E+159</v>
      </c>
      <c r="K2929" s="19">
        <f t="shared" si="547"/>
        <v>5501</v>
      </c>
    </row>
    <row r="2930" spans="1:11">
      <c r="A2930">
        <v>2928</v>
      </c>
      <c r="B2930">
        <v>2.3499999999999999E+95</v>
      </c>
      <c r="D2930" s="18">
        <v>2928</v>
      </c>
      <c r="E2930" s="18" cm="1">
        <f t="array" aca="1" ref="E2930" ca="1">INDIRECT("b"&amp;F2930+2)</f>
        <v>5.5000000000000005E+129</v>
      </c>
      <c r="F2930" s="18">
        <f t="shared" si="551"/>
        <v>4302</v>
      </c>
      <c r="G2930" s="18"/>
      <c r="H2930" s="18"/>
      <c r="I2930" s="19">
        <v>2928</v>
      </c>
      <c r="J2930" s="19" cm="1">
        <f t="array" aca="1" ref="J2930" ca="1">INDIRECT("b"&amp;K2930+2)</f>
        <v>5.4999999999999998E+159</v>
      </c>
      <c r="K2930" s="19">
        <f t="shared" si="547"/>
        <v>5502</v>
      </c>
    </row>
    <row r="2931" spans="1:11">
      <c r="A2931">
        <v>2929</v>
      </c>
      <c r="B2931">
        <v>2.575E+95</v>
      </c>
      <c r="D2931" s="18">
        <v>2929</v>
      </c>
      <c r="E2931" s="18" cm="1">
        <f t="array" aca="1" ref="E2931" ca="1">INDIRECT("b"&amp;F2931+2)</f>
        <v>5.9499999999999999E+129</v>
      </c>
      <c r="F2931" s="18">
        <f t="shared" si="551"/>
        <v>4304</v>
      </c>
      <c r="G2931" s="18">
        <f t="shared" ref="G2931" ca="1" si="558">E2931/E2926</f>
        <v>1.3599999999999999</v>
      </c>
      <c r="H2931" s="18"/>
      <c r="I2931" s="19">
        <v>2929</v>
      </c>
      <c r="J2931" s="19" cm="1">
        <f t="array" aca="1" ref="J2931" ca="1">INDIRECT("b"&amp;K2931+2)</f>
        <v>5.9499999999999998E+159</v>
      </c>
      <c r="K2931" s="19">
        <f t="shared" si="547"/>
        <v>5504</v>
      </c>
    </row>
    <row r="2932" spans="1:11">
      <c r="A2932">
        <v>2930</v>
      </c>
      <c r="B2932">
        <v>2.7999999999999998E+95</v>
      </c>
      <c r="D2932" s="18">
        <v>2930</v>
      </c>
      <c r="E2932" s="18" cm="1">
        <f t="array" aca="1" ref="E2932" ca="1">INDIRECT("b"&amp;F2932+2)</f>
        <v>6.1750000000000002E+129</v>
      </c>
      <c r="F2932" s="18">
        <f t="shared" si="551"/>
        <v>4305</v>
      </c>
      <c r="G2932" s="18"/>
      <c r="H2932" s="18"/>
      <c r="I2932" s="19">
        <v>2930</v>
      </c>
      <c r="J2932" s="19" cm="1">
        <f t="array" aca="1" ref="J2932" ca="1">INDIRECT("b"&amp;K2932+2)</f>
        <v>6.1750000000000001E+159</v>
      </c>
      <c r="K2932" s="19">
        <f t="shared" si="547"/>
        <v>5505</v>
      </c>
    </row>
    <row r="2933" spans="1:11">
      <c r="A2933">
        <v>2931</v>
      </c>
      <c r="B2933">
        <v>3.0249999999999999E+95</v>
      </c>
      <c r="D2933" s="18">
        <v>2931</v>
      </c>
      <c r="E2933" s="18" cm="1">
        <f t="array" aca="1" ref="E2933" ca="1">INDIRECT("b"&amp;F2933+2)</f>
        <v>6.4000000000000005E+129</v>
      </c>
      <c r="F2933" s="18">
        <f t="shared" si="551"/>
        <v>4306</v>
      </c>
      <c r="G2933" s="18"/>
      <c r="H2933" s="18"/>
      <c r="I2933" s="19">
        <v>2931</v>
      </c>
      <c r="J2933" s="19" cm="1">
        <f t="array" aca="1" ref="J2933" ca="1">INDIRECT("b"&amp;K2933+2)</f>
        <v>6.4000000000000005E+159</v>
      </c>
      <c r="K2933" s="19">
        <f t="shared" si="547"/>
        <v>5506</v>
      </c>
    </row>
    <row r="2934" spans="1:11">
      <c r="A2934">
        <v>2932</v>
      </c>
      <c r="B2934">
        <v>3.25E+95</v>
      </c>
      <c r="D2934" s="18">
        <v>2932</v>
      </c>
      <c r="E2934" s="18" cm="1">
        <f t="array" aca="1" ref="E2934" ca="1">INDIRECT("b"&amp;F2934+2)</f>
        <v>6.8499999999999999E+129</v>
      </c>
      <c r="F2934" s="18">
        <f t="shared" si="551"/>
        <v>4308</v>
      </c>
      <c r="G2934" s="18"/>
      <c r="H2934" s="18"/>
      <c r="I2934" s="19">
        <v>2932</v>
      </c>
      <c r="J2934" s="19" cm="1">
        <f t="array" aca="1" ref="J2934" ca="1">INDIRECT("b"&amp;K2934+2)</f>
        <v>6.8500000000000004E+159</v>
      </c>
      <c r="K2934" s="19">
        <f t="shared" si="547"/>
        <v>5508</v>
      </c>
    </row>
    <row r="2935" spans="1:11">
      <c r="A2935">
        <v>2933</v>
      </c>
      <c r="B2935">
        <v>3.4750000000000001E+95</v>
      </c>
      <c r="D2935" s="18">
        <v>2933</v>
      </c>
      <c r="E2935" s="18" cm="1">
        <f t="array" aca="1" ref="E2935" ca="1">INDIRECT("b"&amp;F2935+2)</f>
        <v>7.0750000000000002E+129</v>
      </c>
      <c r="F2935" s="18">
        <f t="shared" si="551"/>
        <v>4309</v>
      </c>
      <c r="G2935" s="18"/>
      <c r="H2935" s="18"/>
      <c r="I2935" s="19">
        <v>2933</v>
      </c>
      <c r="J2935" s="19" cm="1">
        <f t="array" aca="1" ref="J2935" ca="1">INDIRECT("b"&amp;K2935+2)</f>
        <v>7.0750000000000008E+159</v>
      </c>
      <c r="K2935" s="19">
        <f t="shared" si="547"/>
        <v>5509</v>
      </c>
    </row>
    <row r="2936" spans="1:11">
      <c r="A2936">
        <v>2934</v>
      </c>
      <c r="B2936">
        <v>3.6999999999999996E+95</v>
      </c>
      <c r="D2936" s="18">
        <v>2934</v>
      </c>
      <c r="E2936" s="18" cm="1">
        <f t="array" aca="1" ref="E2936" ca="1">INDIRECT("b"&amp;F2936+2)</f>
        <v>7.3000000000000005E+129</v>
      </c>
      <c r="F2936" s="18">
        <f t="shared" si="551"/>
        <v>4310</v>
      </c>
      <c r="G2936" s="18">
        <f t="shared" ref="G2936" ca="1" si="559">E2936/E2931</f>
        <v>1.2268907563025211</v>
      </c>
      <c r="H2936" s="18"/>
      <c r="I2936" s="19">
        <v>2934</v>
      </c>
      <c r="J2936" s="19" cm="1">
        <f t="array" aca="1" ref="J2936" ca="1">INDIRECT("b"&amp;K2936+2)</f>
        <v>7.3000000000000004E+159</v>
      </c>
      <c r="K2936" s="19">
        <f t="shared" si="547"/>
        <v>5510</v>
      </c>
    </row>
    <row r="2937" spans="1:11">
      <c r="A2937">
        <v>2935</v>
      </c>
      <c r="B2937">
        <v>3.9249999999999997E+95</v>
      </c>
      <c r="D2937" s="18">
        <v>2935</v>
      </c>
      <c r="E2937" s="18" cm="1">
        <f t="array" aca="1" ref="E2937" ca="1">INDIRECT("b"&amp;F2937+2)</f>
        <v>7.7499999999999999E+129</v>
      </c>
      <c r="F2937" s="18">
        <f t="shared" si="551"/>
        <v>4312</v>
      </c>
      <c r="G2937" s="18"/>
      <c r="H2937" s="18"/>
      <c r="I2937" s="19">
        <v>2935</v>
      </c>
      <c r="J2937" s="19" cm="1">
        <f t="array" aca="1" ref="J2937" ca="1">INDIRECT("b"&amp;K2937+2)</f>
        <v>7.7499999999999995E+159</v>
      </c>
      <c r="K2937" s="19">
        <f t="shared" si="547"/>
        <v>5512</v>
      </c>
    </row>
    <row r="2938" spans="1:11">
      <c r="A2938">
        <v>2936</v>
      </c>
      <c r="B2938">
        <v>4.1499999999999998E+95</v>
      </c>
      <c r="D2938" s="18">
        <v>2936</v>
      </c>
      <c r="E2938" s="18" cm="1">
        <f t="array" aca="1" ref="E2938" ca="1">INDIRECT("b"&amp;F2938+2)</f>
        <v>7.9750000000000002E+129</v>
      </c>
      <c r="F2938" s="18">
        <f t="shared" si="551"/>
        <v>4313</v>
      </c>
      <c r="G2938" s="18">
        <f t="shared" ref="G2938" ca="1" si="560">E2938/E2933</f>
        <v>1.24609375</v>
      </c>
      <c r="H2938" s="18"/>
      <c r="I2938" s="19">
        <v>2936</v>
      </c>
      <c r="J2938" s="19" cm="1">
        <f t="array" aca="1" ref="J2938" ca="1">INDIRECT("b"&amp;K2938+2)</f>
        <v>7.9750000000000007E+159</v>
      </c>
      <c r="K2938" s="19">
        <f t="shared" si="547"/>
        <v>5513</v>
      </c>
    </row>
    <row r="2939" spans="1:11">
      <c r="A2939">
        <v>2937</v>
      </c>
      <c r="B2939">
        <v>4.3749999999999998E+95</v>
      </c>
      <c r="D2939" s="18">
        <v>2937</v>
      </c>
      <c r="E2939" s="18" cm="1">
        <f t="array" aca="1" ref="E2939" ca="1">INDIRECT("b"&amp;F2939+2)</f>
        <v>8.2000000000000005E+129</v>
      </c>
      <c r="F2939" s="18">
        <f t="shared" si="551"/>
        <v>4314</v>
      </c>
      <c r="G2939" s="18"/>
      <c r="H2939" s="18"/>
      <c r="I2939" s="19">
        <v>2937</v>
      </c>
      <c r="J2939" s="19" cm="1">
        <f t="array" aca="1" ref="J2939" ca="1">INDIRECT("b"&amp;K2939+2)</f>
        <v>8.2000000000000003E+159</v>
      </c>
      <c r="K2939" s="19">
        <f t="shared" si="547"/>
        <v>5514</v>
      </c>
    </row>
    <row r="2940" spans="1:11">
      <c r="A2940">
        <v>2938</v>
      </c>
      <c r="B2940">
        <v>4.5999999999999999E+95</v>
      </c>
      <c r="D2940" s="18">
        <v>2938</v>
      </c>
      <c r="E2940" s="18" cm="1">
        <f t="array" aca="1" ref="E2940" ca="1">INDIRECT("b"&amp;F2940+2)</f>
        <v>8.6499999999999999E+129</v>
      </c>
      <c r="F2940" s="18">
        <f t="shared" si="551"/>
        <v>4316</v>
      </c>
      <c r="G2940" s="18"/>
      <c r="H2940" s="18"/>
      <c r="I2940" s="19">
        <v>2938</v>
      </c>
      <c r="J2940" s="19" cm="1">
        <f t="array" aca="1" ref="J2940" ca="1">INDIRECT("b"&amp;K2940+2)</f>
        <v>8.6499999999999994E+159</v>
      </c>
      <c r="K2940" s="19">
        <f t="shared" si="547"/>
        <v>5516</v>
      </c>
    </row>
    <row r="2941" spans="1:11">
      <c r="A2941">
        <v>2939</v>
      </c>
      <c r="B2941">
        <v>4.825E+95</v>
      </c>
      <c r="D2941" s="18">
        <v>2939</v>
      </c>
      <c r="E2941" s="18" cm="1">
        <f t="array" aca="1" ref="E2941" ca="1">INDIRECT("b"&amp;F2941+2)</f>
        <v>8.8750000000000003E+129</v>
      </c>
      <c r="F2941" s="18">
        <f t="shared" si="551"/>
        <v>4317</v>
      </c>
      <c r="G2941" s="18"/>
      <c r="H2941" s="18"/>
      <c r="I2941" s="19">
        <v>2939</v>
      </c>
      <c r="J2941" s="19" cm="1">
        <f t="array" aca="1" ref="J2941" ca="1">INDIRECT("b"&amp;K2941+2)</f>
        <v>8.8750000000000006E+159</v>
      </c>
      <c r="K2941" s="19">
        <f t="shared" si="547"/>
        <v>5517</v>
      </c>
    </row>
    <row r="2942" spans="1:11">
      <c r="A2942">
        <v>2940</v>
      </c>
      <c r="B2942">
        <v>5.0499999999999995E+95</v>
      </c>
      <c r="D2942" s="18">
        <v>2940</v>
      </c>
      <c r="E2942" s="18" cm="1">
        <f t="array" aca="1" ref="E2942" ca="1">INDIRECT("b"&amp;F2942+2)</f>
        <v>9.1000000000000006E+129</v>
      </c>
      <c r="F2942" s="18">
        <f t="shared" si="551"/>
        <v>4318</v>
      </c>
      <c r="G2942" s="18"/>
      <c r="H2942" s="18"/>
      <c r="I2942" s="19">
        <v>2940</v>
      </c>
      <c r="J2942" s="19" cm="1">
        <f t="array" aca="1" ref="J2942" ca="1">INDIRECT("b"&amp;K2942+2)</f>
        <v>9.1000000000000002E+159</v>
      </c>
      <c r="K2942" s="19">
        <f t="shared" si="547"/>
        <v>5518</v>
      </c>
    </row>
    <row r="2943" spans="1:11">
      <c r="A2943">
        <v>2941</v>
      </c>
      <c r="B2943">
        <v>5.2749999999999996E+95</v>
      </c>
      <c r="D2943" s="18">
        <v>2941</v>
      </c>
      <c r="E2943" s="18" cm="1">
        <f t="array" aca="1" ref="E2943" ca="1">INDIRECT("b"&amp;F2943+2)</f>
        <v>9.55E+129</v>
      </c>
      <c r="F2943" s="18">
        <f t="shared" si="551"/>
        <v>4320</v>
      </c>
      <c r="G2943" s="18">
        <f t="shared" ref="G2943" ca="1" si="561">E2943/E2938</f>
        <v>1.1974921630094044</v>
      </c>
      <c r="H2943" s="18"/>
      <c r="I2943" s="19">
        <v>2941</v>
      </c>
      <c r="J2943" s="19" cm="1">
        <f t="array" aca="1" ref="J2943" ca="1">INDIRECT("b"&amp;K2943+2)</f>
        <v>9.5500000000000009E+159</v>
      </c>
      <c r="K2943" s="19">
        <f t="shared" si="547"/>
        <v>5520</v>
      </c>
    </row>
    <row r="2944" spans="1:11">
      <c r="A2944">
        <v>2942</v>
      </c>
      <c r="B2944">
        <v>5.4999999999999997E+95</v>
      </c>
      <c r="D2944" s="18">
        <v>2942</v>
      </c>
      <c r="E2944" s="18" cm="1">
        <f t="array" aca="1" ref="E2944" ca="1">INDIRECT("b"&amp;F2944+2)</f>
        <v>9.7750000000000003E+129</v>
      </c>
      <c r="F2944" s="18">
        <f t="shared" si="551"/>
        <v>4321</v>
      </c>
      <c r="G2944" s="18"/>
      <c r="H2944" s="18"/>
      <c r="I2944" s="19">
        <v>2942</v>
      </c>
      <c r="J2944" s="19" cm="1">
        <f t="array" aca="1" ref="J2944" ca="1">INDIRECT("b"&amp;K2944+2)</f>
        <v>9.7750000000000005E+159</v>
      </c>
      <c r="K2944" s="19">
        <f t="shared" si="547"/>
        <v>5521</v>
      </c>
    </row>
    <row r="2945" spans="1:11">
      <c r="A2945">
        <v>2943</v>
      </c>
      <c r="B2945">
        <v>5.7249999999999992E+95</v>
      </c>
      <c r="D2945" s="18">
        <v>2943</v>
      </c>
      <c r="E2945" s="18" cm="1">
        <f t="array" aca="1" ref="E2945" ca="1">INDIRECT("b"&amp;F2945+2)</f>
        <v>1.0000000000000001E+130</v>
      </c>
      <c r="F2945" s="18">
        <f t="shared" si="551"/>
        <v>4322</v>
      </c>
      <c r="G2945" s="18"/>
      <c r="H2945" s="18"/>
      <c r="I2945" s="19">
        <v>2943</v>
      </c>
      <c r="J2945" s="19" cm="1">
        <f t="array" aca="1" ref="J2945" ca="1">INDIRECT("b"&amp;K2945+2)</f>
        <v>1E+160</v>
      </c>
      <c r="K2945" s="19">
        <f t="shared" si="547"/>
        <v>5522</v>
      </c>
    </row>
    <row r="2946" spans="1:11">
      <c r="A2946">
        <v>2944</v>
      </c>
      <c r="B2946">
        <v>5.9499999999999999E+95</v>
      </c>
      <c r="D2946" s="18">
        <v>2944</v>
      </c>
      <c r="E2946" s="18" cm="1">
        <f t="array" aca="1" ref="E2946" ca="1">INDIRECT("b"&amp;F2946+2)</f>
        <v>1.45E+130</v>
      </c>
      <c r="F2946" s="18">
        <f t="shared" si="551"/>
        <v>4324</v>
      </c>
      <c r="G2946" s="18"/>
      <c r="H2946" s="18"/>
      <c r="I2946" s="19">
        <v>2944</v>
      </c>
      <c r="J2946" s="19" cm="1">
        <f t="array" aca="1" ref="J2946" ca="1">INDIRECT("b"&amp;K2946+2)</f>
        <v>1.45E+160</v>
      </c>
      <c r="K2946" s="19">
        <f t="shared" si="547"/>
        <v>5524</v>
      </c>
    </row>
    <row r="2947" spans="1:11">
      <c r="A2947">
        <v>2945</v>
      </c>
      <c r="B2947">
        <v>6.1749999999999994E+95</v>
      </c>
      <c r="D2947" s="18">
        <v>2945</v>
      </c>
      <c r="E2947" s="18" cm="1">
        <f t="array" aca="1" ref="E2947" ca="1">INDIRECT("b"&amp;F2947+2)</f>
        <v>1.675E+130</v>
      </c>
      <c r="F2947" s="18">
        <f t="shared" si="551"/>
        <v>4325</v>
      </c>
      <c r="G2947" s="18"/>
      <c r="H2947" s="18"/>
      <c r="I2947" s="19">
        <v>2945</v>
      </c>
      <c r="J2947" s="19" cm="1">
        <f t="array" aca="1" ref="J2947" ca="1">INDIRECT("b"&amp;K2947+2)</f>
        <v>1.6750000000000002E+160</v>
      </c>
      <c r="K2947" s="19">
        <f t="shared" si="547"/>
        <v>5525</v>
      </c>
    </row>
    <row r="2948" spans="1:11">
      <c r="A2948">
        <v>2946</v>
      </c>
      <c r="B2948">
        <v>6.4000000000000001E+95</v>
      </c>
      <c r="D2948" s="18">
        <v>2946</v>
      </c>
      <c r="E2948" s="18" cm="1">
        <f t="array" aca="1" ref="E2948" ca="1">INDIRECT("b"&amp;F2948+2)</f>
        <v>1.9000000000000001E+130</v>
      </c>
      <c r="F2948" s="18">
        <f t="shared" si="551"/>
        <v>4326</v>
      </c>
      <c r="G2948" s="18">
        <f t="shared" ref="G2948" ca="1" si="562">E2948/E2943</f>
        <v>1.9895287958115184</v>
      </c>
      <c r="H2948" s="18"/>
      <c r="I2948" s="19">
        <v>2946</v>
      </c>
      <c r="J2948" s="19" cm="1">
        <f t="array" aca="1" ref="J2948" ca="1">INDIRECT("b"&amp;K2948+2)</f>
        <v>1.9000000000000001E+160</v>
      </c>
      <c r="K2948" s="19">
        <f t="shared" ref="K2948:K3011" si="563">INT((A2948-1)*40/30+900*40/30)+400</f>
        <v>5526</v>
      </c>
    </row>
    <row r="2949" spans="1:11">
      <c r="A2949">
        <v>2947</v>
      </c>
      <c r="B2949">
        <v>6.6249999999999996E+95</v>
      </c>
      <c r="D2949" s="18">
        <v>2947</v>
      </c>
      <c r="E2949" s="18" cm="1">
        <f t="array" aca="1" ref="E2949" ca="1">INDIRECT("b"&amp;F2949+2)</f>
        <v>2.3500000000000002E+130</v>
      </c>
      <c r="F2949" s="18">
        <f t="shared" si="551"/>
        <v>4328</v>
      </c>
      <c r="G2949" s="18"/>
      <c r="H2949" s="18"/>
      <c r="I2949" s="19">
        <v>2947</v>
      </c>
      <c r="J2949" s="19" cm="1">
        <f t="array" aca="1" ref="J2949" ca="1">INDIRECT("b"&amp;K2949+2)</f>
        <v>2.3500000000000002E+160</v>
      </c>
      <c r="K2949" s="19">
        <f t="shared" si="563"/>
        <v>5528</v>
      </c>
    </row>
    <row r="2950" spans="1:11">
      <c r="A2950">
        <v>2948</v>
      </c>
      <c r="B2950">
        <v>6.8499999999999991E+95</v>
      </c>
      <c r="D2950" s="18">
        <v>2948</v>
      </c>
      <c r="E2950" s="18" cm="1">
        <f t="array" aca="1" ref="E2950" ca="1">INDIRECT("b"&amp;F2950+2)</f>
        <v>2.5749999999999998E+130</v>
      </c>
      <c r="F2950" s="18">
        <f t="shared" si="551"/>
        <v>4329</v>
      </c>
      <c r="G2950" s="18"/>
      <c r="H2950" s="18"/>
      <c r="I2950" s="19">
        <v>2948</v>
      </c>
      <c r="J2950" s="19" cm="1">
        <f t="array" aca="1" ref="J2950" ca="1">INDIRECT("b"&amp;K2950+2)</f>
        <v>2.5750000000000001E+160</v>
      </c>
      <c r="K2950" s="19">
        <f t="shared" si="563"/>
        <v>5529</v>
      </c>
    </row>
    <row r="2951" spans="1:11">
      <c r="A2951">
        <v>2949</v>
      </c>
      <c r="B2951">
        <v>7.0749999999999998E+95</v>
      </c>
      <c r="D2951" s="18">
        <v>2949</v>
      </c>
      <c r="E2951" s="18" cm="1">
        <f t="array" aca="1" ref="E2951" ca="1">INDIRECT("b"&amp;F2951+2)</f>
        <v>2.7999999999999999E+130</v>
      </c>
      <c r="F2951" s="18">
        <f t="shared" si="551"/>
        <v>4330</v>
      </c>
      <c r="G2951" s="18"/>
      <c r="H2951" s="18"/>
      <c r="I2951" s="19">
        <v>2949</v>
      </c>
      <c r="J2951" s="19" cm="1">
        <f t="array" aca="1" ref="J2951" ca="1">INDIRECT("b"&amp;K2951+2)</f>
        <v>2.8000000000000003E+160</v>
      </c>
      <c r="K2951" s="19">
        <f t="shared" si="563"/>
        <v>5530</v>
      </c>
    </row>
    <row r="2952" spans="1:11">
      <c r="A2952">
        <v>2950</v>
      </c>
      <c r="B2952">
        <v>7.2999999999999993E+95</v>
      </c>
      <c r="D2952" s="18">
        <v>2950</v>
      </c>
      <c r="E2952" s="18" cm="1">
        <f t="array" aca="1" ref="E2952" ca="1">INDIRECT("b"&amp;F2952+2)</f>
        <v>3.25E+130</v>
      </c>
      <c r="F2952" s="18">
        <f t="shared" si="551"/>
        <v>4332</v>
      </c>
      <c r="G2952" s="18"/>
      <c r="H2952" s="18"/>
      <c r="I2952" s="19">
        <v>2950</v>
      </c>
      <c r="J2952" s="19" cm="1">
        <f t="array" aca="1" ref="J2952" ca="1">INDIRECT("b"&amp;K2952+2)</f>
        <v>3.2500000000000004E+160</v>
      </c>
      <c r="K2952" s="19">
        <f t="shared" si="563"/>
        <v>5532</v>
      </c>
    </row>
    <row r="2953" spans="1:11">
      <c r="A2953">
        <v>2951</v>
      </c>
      <c r="B2953">
        <v>7.525E+95</v>
      </c>
      <c r="D2953" s="18">
        <v>2951</v>
      </c>
      <c r="E2953" s="18" cm="1">
        <f t="array" aca="1" ref="E2953" ca="1">INDIRECT("b"&amp;F2953+2)</f>
        <v>3.4750000000000001E+130</v>
      </c>
      <c r="F2953" s="18">
        <f t="shared" si="551"/>
        <v>4333</v>
      </c>
      <c r="G2953" s="18">
        <f t="shared" ref="G2953" ca="1" si="564">E2953/E2948</f>
        <v>1.8289473684210527</v>
      </c>
      <c r="H2953" s="18"/>
      <c r="I2953" s="19">
        <v>2951</v>
      </c>
      <c r="J2953" s="19" cm="1">
        <f t="array" aca="1" ref="J2953" ca="1">INDIRECT("b"&amp;K2953+2)</f>
        <v>3.4750000000000003E+160</v>
      </c>
      <c r="K2953" s="19">
        <f t="shared" si="563"/>
        <v>5533</v>
      </c>
    </row>
    <row r="2954" spans="1:11">
      <c r="A2954">
        <v>2952</v>
      </c>
      <c r="B2954">
        <v>7.7499999999999995E+95</v>
      </c>
      <c r="D2954" s="18">
        <v>2952</v>
      </c>
      <c r="E2954" s="18" cm="1">
        <f t="array" aca="1" ref="E2954" ca="1">INDIRECT("b"&amp;F2954+2)</f>
        <v>3.7000000000000001E+130</v>
      </c>
      <c r="F2954" s="18">
        <f t="shared" si="551"/>
        <v>4334</v>
      </c>
      <c r="G2954" s="18"/>
      <c r="H2954" s="18"/>
      <c r="I2954" s="19">
        <v>2952</v>
      </c>
      <c r="J2954" s="19" cm="1">
        <f t="array" aca="1" ref="J2954" ca="1">INDIRECT("b"&amp;K2954+2)</f>
        <v>3.7000000000000002E+160</v>
      </c>
      <c r="K2954" s="19">
        <f t="shared" si="563"/>
        <v>5534</v>
      </c>
    </row>
    <row r="2955" spans="1:11">
      <c r="A2955">
        <v>2953</v>
      </c>
      <c r="B2955">
        <v>7.9750000000000002E+95</v>
      </c>
      <c r="D2955" s="18">
        <v>2953</v>
      </c>
      <c r="E2955" s="18" cm="1">
        <f t="array" aca="1" ref="E2955" ca="1">INDIRECT("b"&amp;F2955+2)</f>
        <v>4.1500000000000003E+130</v>
      </c>
      <c r="F2955" s="18">
        <f t="shared" si="551"/>
        <v>4336</v>
      </c>
      <c r="G2955" s="18"/>
      <c r="H2955" s="18"/>
      <c r="I2955" s="19">
        <v>2953</v>
      </c>
      <c r="J2955" s="19" cm="1">
        <f t="array" aca="1" ref="J2955" ca="1">INDIRECT("b"&amp;K2955+2)</f>
        <v>4.15E+160</v>
      </c>
      <c r="K2955" s="19">
        <f t="shared" si="563"/>
        <v>5536</v>
      </c>
    </row>
    <row r="2956" spans="1:11">
      <c r="A2956">
        <v>2954</v>
      </c>
      <c r="B2956">
        <v>8.1999999999999997E+95</v>
      </c>
      <c r="D2956" s="18">
        <v>2954</v>
      </c>
      <c r="E2956" s="18" cm="1">
        <f t="array" aca="1" ref="E2956" ca="1">INDIRECT("b"&amp;F2956+2)</f>
        <v>4.3749999999999999E+130</v>
      </c>
      <c r="F2956" s="18">
        <f t="shared" si="551"/>
        <v>4337</v>
      </c>
      <c r="G2956" s="18"/>
      <c r="H2956" s="18"/>
      <c r="I2956" s="19">
        <v>2954</v>
      </c>
      <c r="J2956" s="19" cm="1">
        <f t="array" aca="1" ref="J2956" ca="1">INDIRECT("b"&amp;K2956+2)</f>
        <v>4.3750000000000005E+160</v>
      </c>
      <c r="K2956" s="19">
        <f t="shared" si="563"/>
        <v>5537</v>
      </c>
    </row>
    <row r="2957" spans="1:11">
      <c r="A2957">
        <v>2955</v>
      </c>
      <c r="B2957">
        <v>8.4249999999999992E+95</v>
      </c>
      <c r="D2957" s="18">
        <v>2955</v>
      </c>
      <c r="E2957" s="18" cm="1">
        <f t="array" aca="1" ref="E2957" ca="1">INDIRECT("b"&amp;F2957+2)</f>
        <v>4.6000000000000004E+130</v>
      </c>
      <c r="F2957" s="18">
        <f t="shared" si="551"/>
        <v>4338</v>
      </c>
      <c r="G2957" s="18"/>
      <c r="H2957" s="18"/>
      <c r="I2957" s="19">
        <v>2955</v>
      </c>
      <c r="J2957" s="19" cm="1">
        <f t="array" aca="1" ref="J2957" ca="1">INDIRECT("b"&amp;K2957+2)</f>
        <v>4.6000000000000004E+160</v>
      </c>
      <c r="K2957" s="19">
        <f t="shared" si="563"/>
        <v>5538</v>
      </c>
    </row>
    <row r="2958" spans="1:11">
      <c r="A2958">
        <v>2956</v>
      </c>
      <c r="B2958">
        <v>8.6499999999999999E+95</v>
      </c>
      <c r="D2958" s="18">
        <v>2956</v>
      </c>
      <c r="E2958" s="18" cm="1">
        <f t="array" aca="1" ref="E2958" ca="1">INDIRECT("b"&amp;F2958+2)</f>
        <v>5.0500000000000006E+130</v>
      </c>
      <c r="F2958" s="18">
        <f t="shared" si="551"/>
        <v>4340</v>
      </c>
      <c r="G2958" s="18">
        <f t="shared" ref="G2958" ca="1" si="565">E2958/E2953</f>
        <v>1.4532374100719425</v>
      </c>
      <c r="H2958" s="18"/>
      <c r="I2958" s="19">
        <v>2956</v>
      </c>
      <c r="J2958" s="19" cm="1">
        <f t="array" aca="1" ref="J2958" ca="1">INDIRECT("b"&amp;K2958+2)</f>
        <v>5.0500000000000002E+160</v>
      </c>
      <c r="K2958" s="19">
        <f t="shared" si="563"/>
        <v>5540</v>
      </c>
    </row>
    <row r="2959" spans="1:11">
      <c r="A2959">
        <v>2957</v>
      </c>
      <c r="B2959">
        <v>8.8749999999999994E+95</v>
      </c>
      <c r="D2959" s="18">
        <v>2957</v>
      </c>
      <c r="E2959" s="18" cm="1">
        <f t="array" aca="1" ref="E2959" ca="1">INDIRECT("b"&amp;F2959+2)</f>
        <v>5.2750000000000001E+130</v>
      </c>
      <c r="F2959" s="18">
        <f t="shared" si="551"/>
        <v>4341</v>
      </c>
      <c r="G2959" s="18"/>
      <c r="H2959" s="18"/>
      <c r="I2959" s="19">
        <v>2957</v>
      </c>
      <c r="J2959" s="19" cm="1">
        <f t="array" aca="1" ref="J2959" ca="1">INDIRECT("b"&amp;K2959+2)</f>
        <v>5.2750000000000001E+160</v>
      </c>
      <c r="K2959" s="19">
        <f t="shared" si="563"/>
        <v>5541</v>
      </c>
    </row>
    <row r="2960" spans="1:11">
      <c r="A2960">
        <v>2958</v>
      </c>
      <c r="B2960">
        <v>9.1000000000000001E+95</v>
      </c>
      <c r="D2960" s="18">
        <v>2958</v>
      </c>
      <c r="E2960" s="18" cm="1">
        <f t="array" aca="1" ref="E2960" ca="1">INDIRECT("b"&amp;F2960+2)</f>
        <v>5.4999999999999997E+130</v>
      </c>
      <c r="F2960" s="18">
        <f t="shared" si="551"/>
        <v>4342</v>
      </c>
      <c r="G2960" s="18"/>
      <c r="H2960" s="18"/>
      <c r="I2960" s="19">
        <v>2958</v>
      </c>
      <c r="J2960" s="19" cm="1">
        <f t="array" aca="1" ref="J2960" ca="1">INDIRECT("b"&amp;K2960+2)</f>
        <v>5.5E+160</v>
      </c>
      <c r="K2960" s="19">
        <f t="shared" si="563"/>
        <v>5542</v>
      </c>
    </row>
    <row r="2961" spans="1:11">
      <c r="A2961">
        <v>2959</v>
      </c>
      <c r="B2961">
        <v>9.3249999999999996E+95</v>
      </c>
      <c r="D2961" s="18">
        <v>2959</v>
      </c>
      <c r="E2961" s="18" cm="1">
        <f t="array" aca="1" ref="E2961" ca="1">INDIRECT("b"&amp;F2961+2)</f>
        <v>5.9499999999999999E+130</v>
      </c>
      <c r="F2961" s="18">
        <f t="shared" si="551"/>
        <v>4344</v>
      </c>
      <c r="G2961" s="18"/>
      <c r="H2961" s="18"/>
      <c r="I2961" s="19">
        <v>2959</v>
      </c>
      <c r="J2961" s="19" cm="1">
        <f t="array" aca="1" ref="J2961" ca="1">INDIRECT("b"&amp;K2961+2)</f>
        <v>5.9499999999999998E+160</v>
      </c>
      <c r="K2961" s="19">
        <f t="shared" si="563"/>
        <v>5544</v>
      </c>
    </row>
    <row r="2962" spans="1:11">
      <c r="A2962">
        <v>2960</v>
      </c>
      <c r="B2962">
        <v>9.5499999999999991E+95</v>
      </c>
      <c r="D2962" s="18">
        <v>2960</v>
      </c>
      <c r="E2962" s="18" cm="1">
        <f t="array" aca="1" ref="E2962" ca="1">INDIRECT("b"&amp;F2962+2)</f>
        <v>6.1750000000000004E+130</v>
      </c>
      <c r="F2962" s="18">
        <f t="shared" si="551"/>
        <v>4345</v>
      </c>
      <c r="G2962" s="18"/>
      <c r="H2962" s="18"/>
      <c r="I2962" s="19">
        <v>2960</v>
      </c>
      <c r="J2962" s="19" cm="1">
        <f t="array" aca="1" ref="J2962" ca="1">INDIRECT("b"&amp;K2962+2)</f>
        <v>6.1750000000000009E+160</v>
      </c>
      <c r="K2962" s="19">
        <f t="shared" si="563"/>
        <v>5545</v>
      </c>
    </row>
    <row r="2963" spans="1:11">
      <c r="A2963">
        <v>2961</v>
      </c>
      <c r="B2963">
        <v>9.7749999999999998E+95</v>
      </c>
      <c r="D2963" s="18">
        <v>2961</v>
      </c>
      <c r="E2963" s="18" cm="1">
        <f t="array" aca="1" ref="E2963" ca="1">INDIRECT("b"&amp;F2963+2)</f>
        <v>6.4E+130</v>
      </c>
      <c r="F2963" s="18">
        <f t="shared" ref="F2963:F3026" si="566">INT((A2963-123)*1.333333)+563</f>
        <v>4346</v>
      </c>
      <c r="G2963" s="18">
        <f t="shared" ref="G2963" ca="1" si="567">E2963/E2958</f>
        <v>1.2673267326732671</v>
      </c>
      <c r="H2963" s="18"/>
      <c r="I2963" s="19">
        <v>2961</v>
      </c>
      <c r="J2963" s="19" cm="1">
        <f t="array" aca="1" ref="J2963" ca="1">INDIRECT("b"&amp;K2963+2)</f>
        <v>6.4000000000000008E+160</v>
      </c>
      <c r="K2963" s="19">
        <f t="shared" si="563"/>
        <v>5546</v>
      </c>
    </row>
    <row r="2964" spans="1:11">
      <c r="A2964">
        <v>2962</v>
      </c>
      <c r="B2964">
        <v>9.9999999999999993E+95</v>
      </c>
      <c r="D2964" s="18">
        <v>2962</v>
      </c>
      <c r="E2964" s="18" cm="1">
        <f t="array" aca="1" ref="E2964" ca="1">INDIRECT("b"&amp;F2964+2)</f>
        <v>6.8500000000000001E+130</v>
      </c>
      <c r="F2964" s="18">
        <f t="shared" si="566"/>
        <v>4348</v>
      </c>
      <c r="G2964" s="18"/>
      <c r="H2964" s="18"/>
      <c r="I2964" s="19">
        <v>2962</v>
      </c>
      <c r="J2964" s="19" cm="1">
        <f t="array" aca="1" ref="J2964" ca="1">INDIRECT("b"&amp;K2964+2)</f>
        <v>6.8500000000000006E+160</v>
      </c>
      <c r="K2964" s="19">
        <f t="shared" si="563"/>
        <v>5548</v>
      </c>
    </row>
    <row r="2965" spans="1:11">
      <c r="A2965">
        <v>2963</v>
      </c>
      <c r="B2965">
        <v>1.2249999999999999E+96</v>
      </c>
      <c r="D2965" s="18">
        <v>2963</v>
      </c>
      <c r="E2965" s="18" cm="1">
        <f t="array" aca="1" ref="E2965" ca="1">INDIRECT("b"&amp;F2965+2)</f>
        <v>7.0749999999999997E+130</v>
      </c>
      <c r="F2965" s="18">
        <f t="shared" si="566"/>
        <v>4349</v>
      </c>
      <c r="G2965" s="18"/>
      <c r="H2965" s="18"/>
      <c r="I2965" s="19">
        <v>2963</v>
      </c>
      <c r="J2965" s="19" cm="1">
        <f t="array" aca="1" ref="J2965" ca="1">INDIRECT("b"&amp;K2965+2)</f>
        <v>7.0750000000000005E+160</v>
      </c>
      <c r="K2965" s="19">
        <f t="shared" si="563"/>
        <v>5549</v>
      </c>
    </row>
    <row r="2966" spans="1:11">
      <c r="A2966">
        <v>2964</v>
      </c>
      <c r="B2966">
        <v>1.4499999999999999E+96</v>
      </c>
      <c r="D2966" s="18">
        <v>2964</v>
      </c>
      <c r="E2966" s="18" cm="1">
        <f t="array" aca="1" ref="E2966" ca="1">INDIRECT("b"&amp;F2966+2)</f>
        <v>7.3000000000000003E+130</v>
      </c>
      <c r="F2966" s="18">
        <f t="shared" si="566"/>
        <v>4350</v>
      </c>
      <c r="G2966" s="18"/>
      <c r="H2966" s="18"/>
      <c r="I2966" s="19">
        <v>2964</v>
      </c>
      <c r="J2966" s="19" cm="1">
        <f t="array" aca="1" ref="J2966" ca="1">INDIRECT("b"&amp;K2966+2)</f>
        <v>7.3000000000000004E+160</v>
      </c>
      <c r="K2966" s="19">
        <f t="shared" si="563"/>
        <v>5550</v>
      </c>
    </row>
    <row r="2967" spans="1:11">
      <c r="A2967">
        <v>2965</v>
      </c>
      <c r="B2967">
        <v>1.6749999999999999E+96</v>
      </c>
      <c r="D2967" s="18">
        <v>2965</v>
      </c>
      <c r="E2967" s="18" cm="1">
        <f t="array" aca="1" ref="E2967" ca="1">INDIRECT("b"&amp;F2967+2)</f>
        <v>7.7500000000000004E+130</v>
      </c>
      <c r="F2967" s="18">
        <f t="shared" si="566"/>
        <v>4352</v>
      </c>
      <c r="G2967" s="18"/>
      <c r="H2967" s="18"/>
      <c r="I2967" s="19">
        <v>2965</v>
      </c>
      <c r="J2967" s="19" cm="1">
        <f t="array" aca="1" ref="J2967" ca="1">INDIRECT("b"&amp;K2967+2)</f>
        <v>7.7500000000000002E+160</v>
      </c>
      <c r="K2967" s="19">
        <f t="shared" si="563"/>
        <v>5552</v>
      </c>
    </row>
    <row r="2968" spans="1:11">
      <c r="A2968">
        <v>2966</v>
      </c>
      <c r="B2968">
        <v>1.8999999999999998E+96</v>
      </c>
      <c r="D2968" s="18">
        <v>2966</v>
      </c>
      <c r="E2968" s="18" cm="1">
        <f t="array" aca="1" ref="E2968" ca="1">INDIRECT("b"&amp;F2968+2)</f>
        <v>7.975E+130</v>
      </c>
      <c r="F2968" s="18">
        <f t="shared" si="566"/>
        <v>4353</v>
      </c>
      <c r="G2968" s="18">
        <f t="shared" ref="G2968" ca="1" si="568">E2968/E2963</f>
        <v>1.24609375</v>
      </c>
      <c r="H2968" s="18"/>
      <c r="I2968" s="19">
        <v>2966</v>
      </c>
      <c r="J2968" s="19" cm="1">
        <f t="array" aca="1" ref="J2968" ca="1">INDIRECT("b"&amp;K2968+2)</f>
        <v>7.9750000000000001E+160</v>
      </c>
      <c r="K2968" s="19">
        <f t="shared" si="563"/>
        <v>5553</v>
      </c>
    </row>
    <row r="2969" spans="1:11">
      <c r="A2969">
        <v>2967</v>
      </c>
      <c r="B2969">
        <v>2.1249999999999998E+96</v>
      </c>
      <c r="D2969" s="18">
        <v>2967</v>
      </c>
      <c r="E2969" s="18" cm="1">
        <f t="array" aca="1" ref="E2969" ca="1">INDIRECT("b"&amp;F2969+2)</f>
        <v>8.2000000000000005E+130</v>
      </c>
      <c r="F2969" s="18">
        <f t="shared" si="566"/>
        <v>4354</v>
      </c>
      <c r="G2969" s="18"/>
      <c r="H2969" s="18"/>
      <c r="I2969" s="19">
        <v>2967</v>
      </c>
      <c r="J2969" s="19" cm="1">
        <f t="array" aca="1" ref="J2969" ca="1">INDIRECT("b"&amp;K2969+2)</f>
        <v>8.2E+160</v>
      </c>
      <c r="K2969" s="19">
        <f t="shared" si="563"/>
        <v>5554</v>
      </c>
    </row>
    <row r="2970" spans="1:11">
      <c r="A2970">
        <v>2968</v>
      </c>
      <c r="B2970">
        <v>2.35E+96</v>
      </c>
      <c r="D2970" s="18">
        <v>2968</v>
      </c>
      <c r="E2970" s="18" cm="1">
        <f t="array" aca="1" ref="E2970" ca="1">INDIRECT("b"&amp;F2970+2)</f>
        <v>8.6499999999999997E+130</v>
      </c>
      <c r="F2970" s="18">
        <f t="shared" si="566"/>
        <v>4356</v>
      </c>
      <c r="G2970" s="18"/>
      <c r="H2970" s="18"/>
      <c r="I2970" s="19">
        <v>2968</v>
      </c>
      <c r="J2970" s="19" cm="1">
        <f t="array" aca="1" ref="J2970" ca="1">INDIRECT("b"&amp;K2970+2)</f>
        <v>8.650000000000001E+160</v>
      </c>
      <c r="K2970" s="19">
        <f t="shared" si="563"/>
        <v>5556</v>
      </c>
    </row>
    <row r="2971" spans="1:11">
      <c r="A2971">
        <v>2969</v>
      </c>
      <c r="B2971">
        <v>2.5749999999999998E+96</v>
      </c>
      <c r="D2971" s="18">
        <v>2969</v>
      </c>
      <c r="E2971" s="18" cm="1">
        <f t="array" aca="1" ref="E2971" ca="1">INDIRECT("b"&amp;F2971+2)</f>
        <v>8.8749999999999993E+130</v>
      </c>
      <c r="F2971" s="18">
        <f t="shared" si="566"/>
        <v>4357</v>
      </c>
      <c r="G2971" s="18"/>
      <c r="H2971" s="18"/>
      <c r="I2971" s="19">
        <v>2969</v>
      </c>
      <c r="J2971" s="19" cm="1">
        <f t="array" aca="1" ref="J2971" ca="1">INDIRECT("b"&amp;K2971+2)</f>
        <v>8.8750000000000009E+160</v>
      </c>
      <c r="K2971" s="19">
        <f t="shared" si="563"/>
        <v>5557</v>
      </c>
    </row>
    <row r="2972" spans="1:11">
      <c r="A2972">
        <v>2970</v>
      </c>
      <c r="B2972">
        <v>2.8E+96</v>
      </c>
      <c r="D2972" s="18">
        <v>2970</v>
      </c>
      <c r="E2972" s="18" cm="1">
        <f t="array" aca="1" ref="E2972" ca="1">INDIRECT("b"&amp;F2972+2)</f>
        <v>9.1000000000000008E+130</v>
      </c>
      <c r="F2972" s="18">
        <f t="shared" si="566"/>
        <v>4358</v>
      </c>
      <c r="G2972" s="18"/>
      <c r="H2972" s="18"/>
      <c r="I2972" s="19">
        <v>2970</v>
      </c>
      <c r="J2972" s="19" cm="1">
        <f t="array" aca="1" ref="J2972" ca="1">INDIRECT("b"&amp;K2972+2)</f>
        <v>9.1000000000000008E+160</v>
      </c>
      <c r="K2972" s="19">
        <f t="shared" si="563"/>
        <v>5558</v>
      </c>
    </row>
    <row r="2973" spans="1:11">
      <c r="A2973">
        <v>2971</v>
      </c>
      <c r="B2973">
        <v>3.0249999999999997E+96</v>
      </c>
      <c r="D2973" s="18">
        <v>2971</v>
      </c>
      <c r="E2973" s="18" cm="1">
        <f t="array" aca="1" ref="E2973" ca="1">INDIRECT("b"&amp;F2973+2)</f>
        <v>9.55E+130</v>
      </c>
      <c r="F2973" s="18">
        <f t="shared" si="566"/>
        <v>4360</v>
      </c>
      <c r="G2973" s="18">
        <f t="shared" ref="G2973" ca="1" si="569">E2973/E2968</f>
        <v>1.1974921630094044</v>
      </c>
      <c r="H2973" s="18"/>
      <c r="I2973" s="19">
        <v>2971</v>
      </c>
      <c r="J2973" s="19" cm="1">
        <f t="array" aca="1" ref="J2973" ca="1">INDIRECT("b"&amp;K2973+2)</f>
        <v>9.5500000000000006E+160</v>
      </c>
      <c r="K2973" s="19">
        <f t="shared" si="563"/>
        <v>5560</v>
      </c>
    </row>
    <row r="2974" spans="1:11">
      <c r="A2974">
        <v>2972</v>
      </c>
      <c r="B2974">
        <v>3.25E+96</v>
      </c>
      <c r="D2974" s="18">
        <v>2972</v>
      </c>
      <c r="E2974" s="18" cm="1">
        <f t="array" aca="1" ref="E2974" ca="1">INDIRECT("b"&amp;F2974+2)</f>
        <v>9.7749999999999995E+130</v>
      </c>
      <c r="F2974" s="18">
        <f t="shared" si="566"/>
        <v>4361</v>
      </c>
      <c r="G2974" s="18"/>
      <c r="H2974" s="18"/>
      <c r="I2974" s="19">
        <v>2972</v>
      </c>
      <c r="J2974" s="19" cm="1">
        <f t="array" aca="1" ref="J2974" ca="1">INDIRECT("b"&amp;K2974+2)</f>
        <v>9.7750000000000005E+160</v>
      </c>
      <c r="K2974" s="19">
        <f t="shared" si="563"/>
        <v>5561</v>
      </c>
    </row>
    <row r="2975" spans="1:11">
      <c r="A2975">
        <v>2973</v>
      </c>
      <c r="B2975">
        <v>3.4749999999999997E+96</v>
      </c>
      <c r="D2975" s="18">
        <v>2973</v>
      </c>
      <c r="E2975" s="18" cm="1">
        <f t="array" aca="1" ref="E2975" ca="1">INDIRECT("b"&amp;F2975+2)</f>
        <v>9.9999999999999991E+130</v>
      </c>
      <c r="F2975" s="18">
        <f t="shared" si="566"/>
        <v>4362</v>
      </c>
      <c r="G2975" s="18"/>
      <c r="H2975" s="18"/>
      <c r="I2975" s="19">
        <v>2973</v>
      </c>
      <c r="J2975" s="19" cm="1">
        <f t="array" aca="1" ref="J2975" ca="1">INDIRECT("b"&amp;K2975+2)</f>
        <v>1E+161</v>
      </c>
      <c r="K2975" s="19">
        <f t="shared" si="563"/>
        <v>5562</v>
      </c>
    </row>
    <row r="2976" spans="1:11">
      <c r="A2976">
        <v>2974</v>
      </c>
      <c r="B2976">
        <v>3.6999999999999999E+96</v>
      </c>
      <c r="D2976" s="18">
        <v>2974</v>
      </c>
      <c r="E2976" s="18" cm="1">
        <f t="array" aca="1" ref="E2976" ca="1">INDIRECT("b"&amp;F2976+2)</f>
        <v>1.45E+131</v>
      </c>
      <c r="F2976" s="18">
        <f t="shared" si="566"/>
        <v>4364</v>
      </c>
      <c r="G2976" s="18"/>
      <c r="H2976" s="18"/>
      <c r="I2976" s="19">
        <v>2974</v>
      </c>
      <c r="J2976" s="19" cm="1">
        <f t="array" aca="1" ref="J2976" ca="1">INDIRECT("b"&amp;K2976+2)</f>
        <v>1.4500000000000001E+161</v>
      </c>
      <c r="K2976" s="19">
        <f t="shared" si="563"/>
        <v>5564</v>
      </c>
    </row>
    <row r="2977" spans="1:11">
      <c r="A2977">
        <v>2975</v>
      </c>
      <c r="B2977">
        <v>3.9249999999999997E+96</v>
      </c>
      <c r="D2977" s="18">
        <v>2975</v>
      </c>
      <c r="E2977" s="18" cm="1">
        <f t="array" aca="1" ref="E2977" ca="1">INDIRECT("b"&amp;F2977+2)</f>
        <v>1.675E+131</v>
      </c>
      <c r="F2977" s="18">
        <f t="shared" si="566"/>
        <v>4365</v>
      </c>
      <c r="G2977" s="18"/>
      <c r="H2977" s="18"/>
      <c r="I2977" s="19">
        <v>2975</v>
      </c>
      <c r="J2977" s="19" cm="1">
        <f t="array" aca="1" ref="J2977" ca="1">INDIRECT("b"&amp;K2977+2)</f>
        <v>1.675E+161</v>
      </c>
      <c r="K2977" s="19">
        <f t="shared" si="563"/>
        <v>5565</v>
      </c>
    </row>
    <row r="2978" spans="1:11">
      <c r="A2978">
        <v>2976</v>
      </c>
      <c r="B2978">
        <v>4.1499999999999999E+96</v>
      </c>
      <c r="D2978" s="18">
        <v>2976</v>
      </c>
      <c r="E2978" s="18" cm="1">
        <f t="array" aca="1" ref="E2978" ca="1">INDIRECT("b"&amp;F2978+2)</f>
        <v>1.8999999999999998E+131</v>
      </c>
      <c r="F2978" s="18">
        <f t="shared" si="566"/>
        <v>4366</v>
      </c>
      <c r="G2978" s="18">
        <f t="shared" ref="G2978" ca="1" si="570">E2978/E2973</f>
        <v>1.9895287958115182</v>
      </c>
      <c r="H2978" s="18"/>
      <c r="I2978" s="19">
        <v>2976</v>
      </c>
      <c r="J2978" s="19" cm="1">
        <f t="array" aca="1" ref="J2978" ca="1">INDIRECT("b"&amp;K2978+2)</f>
        <v>1.9000000000000001E+161</v>
      </c>
      <c r="K2978" s="19">
        <f t="shared" si="563"/>
        <v>5566</v>
      </c>
    </row>
    <row r="2979" spans="1:11">
      <c r="A2979">
        <v>2977</v>
      </c>
      <c r="B2979">
        <v>4.3750000000000001E+96</v>
      </c>
      <c r="D2979" s="18">
        <v>2977</v>
      </c>
      <c r="E2979" s="18" cm="1">
        <f t="array" aca="1" ref="E2979" ca="1">INDIRECT("b"&amp;F2979+2)</f>
        <v>2.3500000000000001E+131</v>
      </c>
      <c r="F2979" s="18">
        <f t="shared" si="566"/>
        <v>4368</v>
      </c>
      <c r="G2979" s="18"/>
      <c r="H2979" s="18"/>
      <c r="I2979" s="19">
        <v>2977</v>
      </c>
      <c r="J2979" s="19" cm="1">
        <f t="array" aca="1" ref="J2979" ca="1">INDIRECT("b"&amp;K2979+2)</f>
        <v>2.3499999999999999E+161</v>
      </c>
      <c r="K2979" s="19">
        <f t="shared" si="563"/>
        <v>5568</v>
      </c>
    </row>
    <row r="2980" spans="1:11">
      <c r="A2980">
        <v>2978</v>
      </c>
      <c r="B2980">
        <v>4.5999999999999994E+96</v>
      </c>
      <c r="D2980" s="18">
        <v>2978</v>
      </c>
      <c r="E2980" s="18" cm="1">
        <f t="array" aca="1" ref="E2980" ca="1">INDIRECT("b"&amp;F2980+2)</f>
        <v>2.5750000000000001E+131</v>
      </c>
      <c r="F2980" s="18">
        <f t="shared" si="566"/>
        <v>4369</v>
      </c>
      <c r="G2980" s="18"/>
      <c r="H2980" s="18"/>
      <c r="I2980" s="19">
        <v>2978</v>
      </c>
      <c r="J2980" s="19" cm="1">
        <f t="array" aca="1" ref="J2980" ca="1">INDIRECT("b"&amp;K2980+2)</f>
        <v>2.5750000000000001E+161</v>
      </c>
      <c r="K2980" s="19">
        <f t="shared" si="563"/>
        <v>5569</v>
      </c>
    </row>
    <row r="2981" spans="1:11">
      <c r="A2981">
        <v>2979</v>
      </c>
      <c r="B2981">
        <v>4.8249999999999996E+96</v>
      </c>
      <c r="D2981" s="18">
        <v>2979</v>
      </c>
      <c r="E2981" s="18" cm="1">
        <f t="array" aca="1" ref="E2981" ca="1">INDIRECT("b"&amp;F2981+2)</f>
        <v>2.8000000000000001E+131</v>
      </c>
      <c r="F2981" s="18">
        <f t="shared" si="566"/>
        <v>4370</v>
      </c>
      <c r="G2981" s="18"/>
      <c r="H2981" s="18"/>
      <c r="I2981" s="19">
        <v>2979</v>
      </c>
      <c r="J2981" s="19" cm="1">
        <f t="array" aca="1" ref="J2981" ca="1">INDIRECT("b"&amp;K2981+2)</f>
        <v>2.8000000000000002E+161</v>
      </c>
      <c r="K2981" s="19">
        <f t="shared" si="563"/>
        <v>5570</v>
      </c>
    </row>
    <row r="2982" spans="1:11">
      <c r="A2982">
        <v>2980</v>
      </c>
      <c r="B2982">
        <v>5.0499999999999998E+96</v>
      </c>
      <c r="D2982" s="18">
        <v>2980</v>
      </c>
      <c r="E2982" s="18" cm="1">
        <f t="array" aca="1" ref="E2982" ca="1">INDIRECT("b"&amp;F2982+2)</f>
        <v>3.25E+131</v>
      </c>
      <c r="F2982" s="18">
        <f t="shared" si="566"/>
        <v>4372</v>
      </c>
      <c r="G2982" s="18"/>
      <c r="H2982" s="18"/>
      <c r="I2982" s="19">
        <v>2980</v>
      </c>
      <c r="J2982" s="19" cm="1">
        <f t="array" aca="1" ref="J2982" ca="1">INDIRECT("b"&amp;K2982+2)</f>
        <v>3.25E+161</v>
      </c>
      <c r="K2982" s="19">
        <f t="shared" si="563"/>
        <v>5572</v>
      </c>
    </row>
    <row r="2983" spans="1:11">
      <c r="A2983">
        <v>2981</v>
      </c>
      <c r="B2983">
        <v>5.275E+96</v>
      </c>
      <c r="D2983" s="18">
        <v>2981</v>
      </c>
      <c r="E2983" s="18" cm="1">
        <f t="array" aca="1" ref="E2983" ca="1">INDIRECT("b"&amp;F2983+2)</f>
        <v>3.475E+131</v>
      </c>
      <c r="F2983" s="18">
        <f t="shared" si="566"/>
        <v>4373</v>
      </c>
      <c r="G2983" s="18">
        <f t="shared" ref="G2983" ca="1" si="571">E2983/E2978</f>
        <v>1.8289473684210529</v>
      </c>
      <c r="H2983" s="18"/>
      <c r="I2983" s="19">
        <v>2981</v>
      </c>
      <c r="J2983" s="19" cm="1">
        <f t="array" aca="1" ref="J2983" ca="1">INDIRECT("b"&amp;K2983+2)</f>
        <v>3.4750000000000001E+161</v>
      </c>
      <c r="K2983" s="19">
        <f t="shared" si="563"/>
        <v>5573</v>
      </c>
    </row>
    <row r="2984" spans="1:11">
      <c r="A2984">
        <v>2982</v>
      </c>
      <c r="B2984">
        <v>5.5000000000000002E+96</v>
      </c>
      <c r="D2984" s="18">
        <v>2982</v>
      </c>
      <c r="E2984" s="18" cm="1">
        <f t="array" aca="1" ref="E2984" ca="1">INDIRECT("b"&amp;F2984+2)</f>
        <v>3.7E+131</v>
      </c>
      <c r="F2984" s="18">
        <f t="shared" si="566"/>
        <v>4374</v>
      </c>
      <c r="G2984" s="18"/>
      <c r="H2984" s="18"/>
      <c r="I2984" s="19">
        <v>2982</v>
      </c>
      <c r="J2984" s="19" cm="1">
        <f t="array" aca="1" ref="J2984" ca="1">INDIRECT("b"&amp;K2984+2)</f>
        <v>3.6999999999999998E+161</v>
      </c>
      <c r="K2984" s="19">
        <f t="shared" si="563"/>
        <v>5574</v>
      </c>
    </row>
    <row r="2985" spans="1:11">
      <c r="A2985">
        <v>2983</v>
      </c>
      <c r="B2985">
        <v>5.7249999999999995E+96</v>
      </c>
      <c r="D2985" s="18">
        <v>2983</v>
      </c>
      <c r="E2985" s="18" cm="1">
        <f t="array" aca="1" ref="E2985" ca="1">INDIRECT("b"&amp;F2985+2)</f>
        <v>4.1499999999999999E+131</v>
      </c>
      <c r="F2985" s="18">
        <f t="shared" si="566"/>
        <v>4376</v>
      </c>
      <c r="G2985" s="18"/>
      <c r="H2985" s="18"/>
      <c r="I2985" s="19">
        <v>2983</v>
      </c>
      <c r="J2985" s="19" cm="1">
        <f t="array" aca="1" ref="J2985" ca="1">INDIRECT("b"&amp;K2985+2)</f>
        <v>4.1500000000000001E+161</v>
      </c>
      <c r="K2985" s="19">
        <f t="shared" si="563"/>
        <v>5576</v>
      </c>
    </row>
    <row r="2986" spans="1:11">
      <c r="A2986">
        <v>2984</v>
      </c>
      <c r="B2986">
        <v>5.9499999999999997E+96</v>
      </c>
      <c r="D2986" s="18">
        <v>2984</v>
      </c>
      <c r="E2986" s="18" cm="1">
        <f t="array" aca="1" ref="E2986" ca="1">INDIRECT("b"&amp;F2986+2)</f>
        <v>4.3750000000000003E+131</v>
      </c>
      <c r="F2986" s="18">
        <f t="shared" si="566"/>
        <v>4377</v>
      </c>
      <c r="G2986" s="18"/>
      <c r="H2986" s="18"/>
      <c r="I2986" s="19">
        <v>2984</v>
      </c>
      <c r="J2986" s="19" cm="1">
        <f t="array" aca="1" ref="J2986" ca="1">INDIRECT("b"&amp;K2986+2)</f>
        <v>4.3750000000000002E+161</v>
      </c>
      <c r="K2986" s="19">
        <f t="shared" si="563"/>
        <v>5577</v>
      </c>
    </row>
    <row r="2987" spans="1:11">
      <c r="A2987">
        <v>2985</v>
      </c>
      <c r="B2987">
        <v>6.1749999999999999E+96</v>
      </c>
      <c r="D2987" s="18">
        <v>2985</v>
      </c>
      <c r="E2987" s="18" cm="1">
        <f t="array" aca="1" ref="E2987" ca="1">INDIRECT("b"&amp;F2987+2)</f>
        <v>4.5999999999999998E+131</v>
      </c>
      <c r="F2987" s="18">
        <f t="shared" si="566"/>
        <v>4378</v>
      </c>
      <c r="G2987" s="18"/>
      <c r="H2987" s="18"/>
      <c r="I2987" s="19">
        <v>2985</v>
      </c>
      <c r="J2987" s="19" cm="1">
        <f t="array" aca="1" ref="J2987" ca="1">INDIRECT("b"&amp;K2987+2)</f>
        <v>4.5999999999999999E+161</v>
      </c>
      <c r="K2987" s="19">
        <f t="shared" si="563"/>
        <v>5578</v>
      </c>
    </row>
    <row r="2988" spans="1:11">
      <c r="A2988">
        <v>2986</v>
      </c>
      <c r="B2988">
        <v>6.4000000000000001E+96</v>
      </c>
      <c r="D2988" s="18">
        <v>2986</v>
      </c>
      <c r="E2988" s="18" cm="1">
        <f t="array" aca="1" ref="E2988" ca="1">INDIRECT("b"&amp;F2988+2)</f>
        <v>5.0499999999999998E+131</v>
      </c>
      <c r="F2988" s="18">
        <f t="shared" si="566"/>
        <v>4380</v>
      </c>
      <c r="G2988" s="18">
        <f t="shared" ref="G2988" ca="1" si="572">E2988/E2983</f>
        <v>1.4532374100719423</v>
      </c>
      <c r="H2988" s="18"/>
      <c r="I2988" s="19">
        <v>2986</v>
      </c>
      <c r="J2988" s="19" cm="1">
        <f t="array" aca="1" ref="J2988" ca="1">INDIRECT("b"&amp;K2988+2)</f>
        <v>5.0500000000000002E+161</v>
      </c>
      <c r="K2988" s="19">
        <f t="shared" si="563"/>
        <v>5580</v>
      </c>
    </row>
    <row r="2989" spans="1:11">
      <c r="A2989">
        <v>2987</v>
      </c>
      <c r="B2989">
        <v>6.6249999999999994E+96</v>
      </c>
      <c r="D2989" s="18">
        <v>2987</v>
      </c>
      <c r="E2989" s="18" cm="1">
        <f t="array" aca="1" ref="E2989" ca="1">INDIRECT("b"&amp;F2989+2)</f>
        <v>5.2750000000000001E+131</v>
      </c>
      <c r="F2989" s="18">
        <f t="shared" si="566"/>
        <v>4381</v>
      </c>
      <c r="G2989" s="18"/>
      <c r="H2989" s="18"/>
      <c r="I2989" s="19">
        <v>2987</v>
      </c>
      <c r="J2989" s="19" cm="1">
        <f t="array" aca="1" ref="J2989" ca="1">INDIRECT("b"&amp;K2989+2)</f>
        <v>5.2750000000000003E+161</v>
      </c>
      <c r="K2989" s="19">
        <f t="shared" si="563"/>
        <v>5581</v>
      </c>
    </row>
    <row r="2990" spans="1:11">
      <c r="A2990">
        <v>2988</v>
      </c>
      <c r="B2990">
        <v>6.8499999999999996E+96</v>
      </c>
      <c r="D2990" s="18">
        <v>2988</v>
      </c>
      <c r="E2990" s="18" cm="1">
        <f t="array" aca="1" ref="E2990" ca="1">INDIRECT("b"&amp;F2990+2)</f>
        <v>5.4999999999999997E+131</v>
      </c>
      <c r="F2990" s="18">
        <f t="shared" si="566"/>
        <v>4382</v>
      </c>
      <c r="G2990" s="18"/>
      <c r="H2990" s="18"/>
      <c r="I2990" s="19">
        <v>2988</v>
      </c>
      <c r="J2990" s="19" cm="1">
        <f t="array" aca="1" ref="J2990" ca="1">INDIRECT("b"&amp;K2990+2)</f>
        <v>5.5000000000000005E+161</v>
      </c>
      <c r="K2990" s="19">
        <f t="shared" si="563"/>
        <v>5582</v>
      </c>
    </row>
    <row r="2991" spans="1:11">
      <c r="A2991">
        <v>2989</v>
      </c>
      <c r="B2991">
        <v>7.0749999999999998E+96</v>
      </c>
      <c r="D2991" s="18">
        <v>2989</v>
      </c>
      <c r="E2991" s="18" cm="1">
        <f t="array" aca="1" ref="E2991" ca="1">INDIRECT("b"&amp;F2991+2)</f>
        <v>5.9499999999999997E+131</v>
      </c>
      <c r="F2991" s="18">
        <f t="shared" si="566"/>
        <v>4384</v>
      </c>
      <c r="G2991" s="18"/>
      <c r="H2991" s="18"/>
      <c r="I2991" s="19">
        <v>2989</v>
      </c>
      <c r="J2991" s="19" cm="1">
        <f t="array" aca="1" ref="J2991" ca="1">INDIRECT("b"&amp;K2991+2)</f>
        <v>5.9499999999999998E+161</v>
      </c>
      <c r="K2991" s="19">
        <f t="shared" si="563"/>
        <v>5584</v>
      </c>
    </row>
    <row r="2992" spans="1:11">
      <c r="A2992">
        <v>2990</v>
      </c>
      <c r="B2992">
        <v>7.3E+96</v>
      </c>
      <c r="D2992" s="18">
        <v>2990</v>
      </c>
      <c r="E2992" s="18" cm="1">
        <f t="array" aca="1" ref="E2992" ca="1">INDIRECT("b"&amp;F2992+2)</f>
        <v>6.175E+131</v>
      </c>
      <c r="F2992" s="18">
        <f t="shared" si="566"/>
        <v>4385</v>
      </c>
      <c r="G2992" s="18"/>
      <c r="H2992" s="18"/>
      <c r="I2992" s="19">
        <v>2990</v>
      </c>
      <c r="J2992" s="19" cm="1">
        <f t="array" aca="1" ref="J2992" ca="1">INDIRECT("b"&amp;K2992+2)</f>
        <v>6.1749999999999999E+161</v>
      </c>
      <c r="K2992" s="19">
        <f t="shared" si="563"/>
        <v>5585</v>
      </c>
    </row>
    <row r="2993" spans="1:11">
      <c r="A2993">
        <v>2991</v>
      </c>
      <c r="B2993">
        <v>7.5249999999999993E+96</v>
      </c>
      <c r="D2993" s="18">
        <v>2991</v>
      </c>
      <c r="E2993" s="18" cm="1">
        <f t="array" aca="1" ref="E2993" ca="1">INDIRECT("b"&amp;F2993+2)</f>
        <v>6.3999999999999996E+131</v>
      </c>
      <c r="F2993" s="18">
        <f t="shared" si="566"/>
        <v>4386</v>
      </c>
      <c r="G2993" s="18">
        <f t="shared" ref="G2993" ca="1" si="573">E2993/E2988</f>
        <v>1.2673267326732673</v>
      </c>
      <c r="H2993" s="18"/>
      <c r="I2993" s="19">
        <v>2991</v>
      </c>
      <c r="J2993" s="19" cm="1">
        <f t="array" aca="1" ref="J2993" ca="1">INDIRECT("b"&amp;K2993+2)</f>
        <v>6.4E+161</v>
      </c>
      <c r="K2993" s="19">
        <f t="shared" si="563"/>
        <v>5586</v>
      </c>
    </row>
    <row r="2994" spans="1:11">
      <c r="A2994">
        <v>2992</v>
      </c>
      <c r="B2994">
        <v>7.7499999999999995E+96</v>
      </c>
      <c r="D2994" s="18">
        <v>2992</v>
      </c>
      <c r="E2994" s="18" cm="1">
        <f t="array" aca="1" ref="E2994" ca="1">INDIRECT("b"&amp;F2994+2)</f>
        <v>6.8499999999999995E+131</v>
      </c>
      <c r="F2994" s="18">
        <f t="shared" si="566"/>
        <v>4388</v>
      </c>
      <c r="G2994" s="18"/>
      <c r="H2994" s="18"/>
      <c r="I2994" s="19">
        <v>2992</v>
      </c>
      <c r="J2994" s="19" cm="1">
        <f t="array" aca="1" ref="J2994" ca="1">INDIRECT("b"&amp;K2994+2)</f>
        <v>6.8500000000000003E+161</v>
      </c>
      <c r="K2994" s="19">
        <f t="shared" si="563"/>
        <v>5588</v>
      </c>
    </row>
    <row r="2995" spans="1:11">
      <c r="A2995">
        <v>2993</v>
      </c>
      <c r="B2995">
        <v>7.9749999999999997E+96</v>
      </c>
      <c r="D2995" s="18">
        <v>2993</v>
      </c>
      <c r="E2995" s="18" cm="1">
        <f t="array" aca="1" ref="E2995" ca="1">INDIRECT("b"&amp;F2995+2)</f>
        <v>7.0749999999999999E+131</v>
      </c>
      <c r="F2995" s="18">
        <f t="shared" si="566"/>
        <v>4389</v>
      </c>
      <c r="G2995" s="18"/>
      <c r="H2995" s="18"/>
      <c r="I2995" s="19">
        <v>2993</v>
      </c>
      <c r="J2995" s="19" cm="1">
        <f t="array" aca="1" ref="J2995" ca="1">INDIRECT("b"&amp;K2995+2)</f>
        <v>7.0750000000000005E+161</v>
      </c>
      <c r="K2995" s="19">
        <f t="shared" si="563"/>
        <v>5589</v>
      </c>
    </row>
    <row r="2996" spans="1:11">
      <c r="A2996">
        <v>2994</v>
      </c>
      <c r="B2996">
        <v>8.2E+96</v>
      </c>
      <c r="D2996" s="18">
        <v>2994</v>
      </c>
      <c r="E2996" s="18" cm="1">
        <f t="array" aca="1" ref="E2996" ca="1">INDIRECT("b"&amp;F2996+2)</f>
        <v>7.3000000000000003E+131</v>
      </c>
      <c r="F2996" s="18">
        <f t="shared" si="566"/>
        <v>4390</v>
      </c>
      <c r="G2996" s="18"/>
      <c r="H2996" s="18"/>
      <c r="I2996" s="19">
        <v>2994</v>
      </c>
      <c r="J2996" s="19" cm="1">
        <f t="array" aca="1" ref="J2996" ca="1">INDIRECT("b"&amp;K2996+2)</f>
        <v>7.2999999999999996E+161</v>
      </c>
      <c r="K2996" s="19">
        <f t="shared" si="563"/>
        <v>5590</v>
      </c>
    </row>
    <row r="2997" spans="1:11">
      <c r="A2997">
        <v>2995</v>
      </c>
      <c r="B2997">
        <v>8.4249999999999992E+96</v>
      </c>
      <c r="D2997" s="18">
        <v>2995</v>
      </c>
      <c r="E2997" s="18" cm="1">
        <f t="array" aca="1" ref="E2997" ca="1">INDIRECT("b"&amp;F2997+2)</f>
        <v>7.7499999999999994E+131</v>
      </c>
      <c r="F2997" s="18">
        <f t="shared" si="566"/>
        <v>4392</v>
      </c>
      <c r="G2997" s="18"/>
      <c r="H2997" s="18"/>
      <c r="I2997" s="19">
        <v>2995</v>
      </c>
      <c r="J2997" s="19" cm="1">
        <f t="array" aca="1" ref="J2997" ca="1">INDIRECT("b"&amp;K2997+2)</f>
        <v>7.7499999999999999E+161</v>
      </c>
      <c r="K2997" s="19">
        <f t="shared" si="563"/>
        <v>5592</v>
      </c>
    </row>
    <row r="2998" spans="1:11">
      <c r="A2998">
        <v>2996</v>
      </c>
      <c r="B2998">
        <v>8.6499999999999994E+96</v>
      </c>
      <c r="D2998" s="18">
        <v>2996</v>
      </c>
      <c r="E2998" s="18" cm="1">
        <f t="array" aca="1" ref="E2998" ca="1">INDIRECT("b"&amp;F2998+2)</f>
        <v>7.9750000000000006E+131</v>
      </c>
      <c r="F2998" s="18">
        <f t="shared" si="566"/>
        <v>4393</v>
      </c>
      <c r="G2998" s="18">
        <f t="shared" ref="G2998" ca="1" si="574">E2998/E2993</f>
        <v>1.2460937500000002</v>
      </c>
      <c r="H2998" s="18"/>
      <c r="I2998" s="19">
        <v>2996</v>
      </c>
      <c r="J2998" s="19" cm="1">
        <f t="array" aca="1" ref="J2998" ca="1">INDIRECT("b"&amp;K2998+2)</f>
        <v>7.9750000000000001E+161</v>
      </c>
      <c r="K2998" s="19">
        <f t="shared" si="563"/>
        <v>5593</v>
      </c>
    </row>
    <row r="2999" spans="1:11">
      <c r="A2999">
        <v>2997</v>
      </c>
      <c r="B2999">
        <v>8.8749999999999987E+96</v>
      </c>
      <c r="D2999" s="18">
        <v>2997</v>
      </c>
      <c r="E2999" s="18" cm="1">
        <f t="array" aca="1" ref="E2999" ca="1">INDIRECT("b"&amp;F2999+2)</f>
        <v>8.2000000000000001E+131</v>
      </c>
      <c r="F2999" s="18">
        <f t="shared" si="566"/>
        <v>4394</v>
      </c>
      <c r="G2999" s="18"/>
      <c r="H2999" s="18"/>
      <c r="I2999" s="19">
        <v>2997</v>
      </c>
      <c r="J2999" s="19" cm="1">
        <f t="array" aca="1" ref="J2999" ca="1">INDIRECT("b"&amp;K2999+2)</f>
        <v>8.2000000000000002E+161</v>
      </c>
      <c r="K2999" s="19">
        <f t="shared" si="563"/>
        <v>5594</v>
      </c>
    </row>
    <row r="3000" spans="1:11">
      <c r="A3000">
        <v>2998</v>
      </c>
      <c r="B3000">
        <v>9.0999999999999999E+96</v>
      </c>
      <c r="D3000" s="18">
        <v>2998</v>
      </c>
      <c r="E3000" s="18" cm="1">
        <f t="array" aca="1" ref="E3000" ca="1">INDIRECT("b"&amp;F3000+2)</f>
        <v>8.6499999999999993E+131</v>
      </c>
      <c r="F3000" s="18">
        <f t="shared" si="566"/>
        <v>4396</v>
      </c>
      <c r="G3000" s="18"/>
      <c r="H3000" s="18"/>
      <c r="I3000" s="19">
        <v>2998</v>
      </c>
      <c r="J3000" s="19" cm="1">
        <f t="array" aca="1" ref="J3000" ca="1">INDIRECT("b"&amp;K3000+2)</f>
        <v>8.6499999999999995E+161</v>
      </c>
      <c r="K3000" s="19">
        <f t="shared" si="563"/>
        <v>5596</v>
      </c>
    </row>
    <row r="3001" spans="1:11">
      <c r="A3001">
        <v>2999</v>
      </c>
      <c r="B3001">
        <v>9.3249999999999991E+96</v>
      </c>
      <c r="D3001" s="18">
        <v>2999</v>
      </c>
      <c r="E3001" s="18" cm="1">
        <f t="array" aca="1" ref="E3001" ca="1">INDIRECT("b"&amp;F3001+2)</f>
        <v>8.8750000000000005E+131</v>
      </c>
      <c r="F3001" s="18">
        <f t="shared" si="566"/>
        <v>4397</v>
      </c>
      <c r="G3001" s="18"/>
      <c r="H3001" s="18"/>
      <c r="I3001" s="19">
        <v>2999</v>
      </c>
      <c r="J3001" s="19" cm="1">
        <f t="array" aca="1" ref="J3001" ca="1">INDIRECT("b"&amp;K3001+2)</f>
        <v>8.8749999999999996E+161</v>
      </c>
      <c r="K3001" s="19">
        <f t="shared" si="563"/>
        <v>5597</v>
      </c>
    </row>
    <row r="3002" spans="1:11">
      <c r="A3002">
        <v>3000</v>
      </c>
      <c r="B3002">
        <v>9.5500000000000003E+96</v>
      </c>
      <c r="D3002" s="18">
        <v>3000</v>
      </c>
      <c r="E3002" s="18" cm="1">
        <f t="array" aca="1" ref="E3002" ca="1">INDIRECT("b"&amp;F3002+2)</f>
        <v>9.1E+131</v>
      </c>
      <c r="F3002" s="18">
        <f t="shared" si="566"/>
        <v>4398</v>
      </c>
      <c r="G3002" s="18"/>
      <c r="H3002" s="18"/>
      <c r="I3002" s="19">
        <v>3000</v>
      </c>
      <c r="J3002" s="19" cm="1">
        <f t="array" aca="1" ref="J3002" ca="1">INDIRECT("b"&amp;K3002+2)</f>
        <v>9.1000000000000008E+161</v>
      </c>
      <c r="K3002" s="19">
        <f t="shared" si="563"/>
        <v>5598</v>
      </c>
    </row>
    <row r="3003" spans="1:11">
      <c r="A3003">
        <v>3001</v>
      </c>
      <c r="B3003">
        <v>9.7749999999999996E+96</v>
      </c>
      <c r="D3003" s="18">
        <v>3001</v>
      </c>
      <c r="E3003" s="18" cm="1">
        <f t="array" aca="1" ref="E3003" ca="1">INDIRECT("b"&amp;F3003+2)</f>
        <v>9.5499999999999992E+131</v>
      </c>
      <c r="F3003" s="18">
        <f t="shared" si="566"/>
        <v>4400</v>
      </c>
      <c r="G3003" s="18">
        <f t="shared" ref="G3003" ca="1" si="575">E3003/E2998</f>
        <v>1.1974921630094042</v>
      </c>
      <c r="H3003" s="18"/>
      <c r="I3003" s="19">
        <v>3001</v>
      </c>
      <c r="J3003" s="19" cm="1">
        <f t="array" aca="1" ref="J3003" ca="1">INDIRECT("b"&amp;K3003+2)</f>
        <v>9.5499999999999991E+161</v>
      </c>
      <c r="K3003" s="19">
        <f t="shared" si="563"/>
        <v>5600</v>
      </c>
    </row>
    <row r="3004" spans="1:11">
      <c r="A3004">
        <v>3002</v>
      </c>
      <c r="B3004">
        <v>1.0000000000000001E+97</v>
      </c>
      <c r="D3004" s="18">
        <v>3002</v>
      </c>
      <c r="E3004" s="18" cm="1">
        <f t="array" aca="1" ref="E3004" ca="1">INDIRECT("b"&amp;F3004+2)</f>
        <v>9.7750000000000003E+131</v>
      </c>
      <c r="F3004" s="18">
        <f t="shared" si="566"/>
        <v>4401</v>
      </c>
      <c r="G3004" s="18"/>
      <c r="H3004" s="18"/>
      <c r="I3004" s="19">
        <v>3002</v>
      </c>
      <c r="J3004" s="19" cm="1">
        <f t="array" aca="1" ref="J3004" ca="1">INDIRECT("b"&amp;K3004+2)</f>
        <v>9.7750000000000002E+161</v>
      </c>
      <c r="K3004" s="19">
        <f t="shared" si="563"/>
        <v>5601</v>
      </c>
    </row>
    <row r="3005" spans="1:11">
      <c r="A3005">
        <v>3003</v>
      </c>
      <c r="B3005">
        <v>1.2249999999999999E+97</v>
      </c>
      <c r="D3005" s="18">
        <v>3003</v>
      </c>
      <c r="E3005" s="18" cm="1">
        <f t="array" aca="1" ref="E3005" ca="1">INDIRECT("b"&amp;F3005+2)</f>
        <v>9.9999999999999999E+131</v>
      </c>
      <c r="F3005" s="18">
        <f t="shared" si="566"/>
        <v>4402</v>
      </c>
      <c r="G3005" s="18"/>
      <c r="H3005" s="18"/>
      <c r="I3005" s="19">
        <v>3003</v>
      </c>
      <c r="J3005" s="19" cm="1">
        <f t="array" aca="1" ref="J3005" ca="1">INDIRECT("b"&amp;K3005+2)</f>
        <v>9.9999999999999994E+161</v>
      </c>
      <c r="K3005" s="19">
        <f t="shared" si="563"/>
        <v>5602</v>
      </c>
    </row>
    <row r="3006" spans="1:11">
      <c r="A3006">
        <v>3004</v>
      </c>
      <c r="B3006">
        <v>1.4499999999999999E+97</v>
      </c>
      <c r="D3006" s="18">
        <v>3004</v>
      </c>
      <c r="E3006" s="18" cm="1">
        <f t="array" aca="1" ref="E3006" ca="1">INDIRECT("b"&amp;F3006+2)</f>
        <v>1.4499999999999999E+132</v>
      </c>
      <c r="F3006" s="18">
        <f t="shared" si="566"/>
        <v>4404</v>
      </c>
      <c r="G3006" s="18"/>
      <c r="H3006" s="18"/>
      <c r="I3006" s="19">
        <v>3004</v>
      </c>
      <c r="J3006" s="19" cm="1">
        <f t="array" aca="1" ref="J3006" ca="1">INDIRECT("b"&amp;K3006+2)</f>
        <v>1.45E+162</v>
      </c>
      <c r="K3006" s="19">
        <f t="shared" si="563"/>
        <v>5604</v>
      </c>
    </row>
    <row r="3007" spans="1:11">
      <c r="A3007">
        <v>3005</v>
      </c>
      <c r="B3007">
        <v>1.675E+97</v>
      </c>
      <c r="D3007" s="18">
        <v>3005</v>
      </c>
      <c r="E3007" s="18" cm="1">
        <f t="array" aca="1" ref="E3007" ca="1">INDIRECT("b"&amp;F3007+2)</f>
        <v>1.6749999999999998E+132</v>
      </c>
      <c r="F3007" s="18">
        <f t="shared" si="566"/>
        <v>4405</v>
      </c>
      <c r="G3007" s="18"/>
      <c r="H3007" s="18"/>
      <c r="I3007" s="19">
        <v>3005</v>
      </c>
      <c r="J3007" s="19" cm="1">
        <f t="array" aca="1" ref="J3007" ca="1">INDIRECT("b"&amp;K3007+2)</f>
        <v>1.675E+162</v>
      </c>
      <c r="K3007" s="19">
        <f t="shared" si="563"/>
        <v>5605</v>
      </c>
    </row>
    <row r="3008" spans="1:11">
      <c r="A3008">
        <v>3006</v>
      </c>
      <c r="B3008">
        <v>1.9000000000000002E+97</v>
      </c>
      <c r="D3008" s="18">
        <v>3006</v>
      </c>
      <c r="E3008" s="18" cm="1">
        <f t="array" aca="1" ref="E3008" ca="1">INDIRECT("b"&amp;F3008+2)</f>
        <v>1.9E+132</v>
      </c>
      <c r="F3008" s="18">
        <f t="shared" si="566"/>
        <v>4406</v>
      </c>
      <c r="G3008" s="18">
        <f t="shared" ref="G3008" ca="1" si="576">E3008/E3003</f>
        <v>1.9895287958115184</v>
      </c>
      <c r="H3008" s="18"/>
      <c r="I3008" s="19">
        <v>3006</v>
      </c>
      <c r="J3008" s="19" cm="1">
        <f t="array" aca="1" ref="J3008" ca="1">INDIRECT("b"&amp;K3008+2)</f>
        <v>1.9000000000000001E+162</v>
      </c>
      <c r="K3008" s="19">
        <f t="shared" si="563"/>
        <v>5606</v>
      </c>
    </row>
    <row r="3009" spans="1:11">
      <c r="A3009">
        <v>3007</v>
      </c>
      <c r="B3009">
        <v>2.1249999999999998E+97</v>
      </c>
      <c r="D3009" s="18">
        <v>3007</v>
      </c>
      <c r="E3009" s="18" cm="1">
        <f t="array" aca="1" ref="E3009" ca="1">INDIRECT("b"&amp;F3009+2)</f>
        <v>2.3499999999999998E+132</v>
      </c>
      <c r="F3009" s="18">
        <f t="shared" si="566"/>
        <v>4408</v>
      </c>
      <c r="G3009" s="18"/>
      <c r="H3009" s="18"/>
      <c r="I3009" s="19">
        <v>3007</v>
      </c>
      <c r="J3009" s="19" cm="1">
        <f t="array" aca="1" ref="J3009" ca="1">INDIRECT("b"&amp;K3009+2)</f>
        <v>2.35E+162</v>
      </c>
      <c r="K3009" s="19">
        <f t="shared" si="563"/>
        <v>5608</v>
      </c>
    </row>
    <row r="3010" spans="1:11">
      <c r="A3010">
        <v>3008</v>
      </c>
      <c r="B3010">
        <v>2.3499999999999999E+97</v>
      </c>
      <c r="D3010" s="18">
        <v>3008</v>
      </c>
      <c r="E3010" s="18" cm="1">
        <f t="array" aca="1" ref="E3010" ca="1">INDIRECT("b"&amp;F3010+2)</f>
        <v>2.575E+132</v>
      </c>
      <c r="F3010" s="18">
        <f t="shared" si="566"/>
        <v>4409</v>
      </c>
      <c r="G3010" s="18"/>
      <c r="H3010" s="18"/>
      <c r="I3010" s="19">
        <v>3008</v>
      </c>
      <c r="J3010" s="19" cm="1">
        <f t="array" aca="1" ref="J3010" ca="1">INDIRECT("b"&amp;K3010+2)</f>
        <v>2.575E+162</v>
      </c>
      <c r="K3010" s="19">
        <f t="shared" si="563"/>
        <v>5609</v>
      </c>
    </row>
    <row r="3011" spans="1:11">
      <c r="A3011">
        <v>3009</v>
      </c>
      <c r="B3011">
        <v>2.5749999999999999E+97</v>
      </c>
      <c r="D3011" s="18">
        <v>3009</v>
      </c>
      <c r="E3011" s="18" cm="1">
        <f t="array" aca="1" ref="E3011" ca="1">INDIRECT("b"&amp;F3011+2)</f>
        <v>2.7999999999999999E+132</v>
      </c>
      <c r="F3011" s="18">
        <f t="shared" si="566"/>
        <v>4410</v>
      </c>
      <c r="G3011" s="18"/>
      <c r="H3011" s="18"/>
      <c r="I3011" s="19">
        <v>3009</v>
      </c>
      <c r="J3011" s="19" cm="1">
        <f t="array" aca="1" ref="J3011" ca="1">INDIRECT("b"&amp;K3011+2)</f>
        <v>2.7999999999999999E+162</v>
      </c>
      <c r="K3011" s="19">
        <f t="shared" si="563"/>
        <v>5610</v>
      </c>
    </row>
    <row r="3012" spans="1:11">
      <c r="A3012">
        <v>3010</v>
      </c>
      <c r="B3012">
        <v>2.7999999999999999E+97</v>
      </c>
      <c r="D3012" s="18">
        <v>3010</v>
      </c>
      <c r="E3012" s="18" cm="1">
        <f t="array" aca="1" ref="E3012" ca="1">INDIRECT("b"&amp;F3012+2)</f>
        <v>3.2499999999999997E+132</v>
      </c>
      <c r="F3012" s="18">
        <f t="shared" si="566"/>
        <v>4412</v>
      </c>
      <c r="G3012" s="18"/>
      <c r="H3012" s="18"/>
      <c r="I3012" s="19">
        <v>3010</v>
      </c>
      <c r="J3012" s="19" cm="1">
        <f t="array" aca="1" ref="J3012" ca="1">INDIRECT("b"&amp;K3012+2)</f>
        <v>3.2500000000000002E+162</v>
      </c>
      <c r="K3012" s="19">
        <f t="shared" ref="K3012:K3075" si="577">INT((A3012-1)*40/30+900*40/30)+400</f>
        <v>5612</v>
      </c>
    </row>
    <row r="3013" spans="1:11">
      <c r="A3013">
        <v>3011</v>
      </c>
      <c r="B3013">
        <v>3.0249999999999999E+97</v>
      </c>
      <c r="D3013" s="18">
        <v>3011</v>
      </c>
      <c r="E3013" s="18" cm="1">
        <f t="array" aca="1" ref="E3013" ca="1">INDIRECT("b"&amp;F3013+2)</f>
        <v>3.4749999999999996E+132</v>
      </c>
      <c r="F3013" s="18">
        <f t="shared" si="566"/>
        <v>4413</v>
      </c>
      <c r="G3013" s="18">
        <f t="shared" ref="G3013" ca="1" si="578">E3013/E3008</f>
        <v>1.8289473684210524</v>
      </c>
      <c r="H3013" s="18"/>
      <c r="I3013" s="19">
        <v>3011</v>
      </c>
      <c r="J3013" s="19" cm="1">
        <f t="array" aca="1" ref="J3013" ca="1">INDIRECT("b"&amp;K3013+2)</f>
        <v>3.4750000000000001E+162</v>
      </c>
      <c r="K3013" s="19">
        <f t="shared" si="577"/>
        <v>5613</v>
      </c>
    </row>
    <row r="3014" spans="1:11">
      <c r="A3014">
        <v>3012</v>
      </c>
      <c r="B3014">
        <v>3.25E+97</v>
      </c>
      <c r="D3014" s="18">
        <v>3012</v>
      </c>
      <c r="E3014" s="18" cm="1">
        <f t="array" aca="1" ref="E3014" ca="1">INDIRECT("b"&amp;F3014+2)</f>
        <v>3.7000000000000001E+132</v>
      </c>
      <c r="F3014" s="18">
        <f t="shared" si="566"/>
        <v>4414</v>
      </c>
      <c r="G3014" s="18"/>
      <c r="H3014" s="18"/>
      <c r="I3014" s="19">
        <v>3012</v>
      </c>
      <c r="J3014" s="19" cm="1">
        <f t="array" aca="1" ref="J3014" ca="1">INDIRECT("b"&amp;K3014+2)</f>
        <v>3.7000000000000001E+162</v>
      </c>
      <c r="K3014" s="19">
        <f t="shared" si="577"/>
        <v>5614</v>
      </c>
    </row>
    <row r="3015" spans="1:11">
      <c r="A3015">
        <v>3013</v>
      </c>
      <c r="B3015">
        <v>3.4750000000000004E+97</v>
      </c>
      <c r="D3015" s="18">
        <v>3013</v>
      </c>
      <c r="E3015" s="18" cm="1">
        <f t="array" aca="1" ref="E3015" ca="1">INDIRECT("b"&amp;F3015+2)</f>
        <v>4.1499999999999999E+132</v>
      </c>
      <c r="F3015" s="18">
        <f t="shared" si="566"/>
        <v>4416</v>
      </c>
      <c r="G3015" s="18"/>
      <c r="H3015" s="18"/>
      <c r="I3015" s="19">
        <v>3013</v>
      </c>
      <c r="J3015" s="19" cm="1">
        <f t="array" aca="1" ref="J3015" ca="1">INDIRECT("b"&amp;K3015+2)</f>
        <v>4.15E+162</v>
      </c>
      <c r="K3015" s="19">
        <f t="shared" si="577"/>
        <v>5616</v>
      </c>
    </row>
    <row r="3016" spans="1:11">
      <c r="A3016">
        <v>3014</v>
      </c>
      <c r="B3016">
        <v>3.7E+97</v>
      </c>
      <c r="D3016" s="18">
        <v>3014</v>
      </c>
      <c r="E3016" s="18" cm="1">
        <f t="array" aca="1" ref="E3016" ca="1">INDIRECT("b"&amp;F3016+2)</f>
        <v>4.3749999999999998E+132</v>
      </c>
      <c r="F3016" s="18">
        <f t="shared" si="566"/>
        <v>4417</v>
      </c>
      <c r="G3016" s="18"/>
      <c r="H3016" s="18"/>
      <c r="I3016" s="19">
        <v>3014</v>
      </c>
      <c r="J3016" s="19" cm="1">
        <f t="array" aca="1" ref="J3016" ca="1">INDIRECT("b"&amp;K3016+2)</f>
        <v>4.3750000000000003E+162</v>
      </c>
      <c r="K3016" s="19">
        <f t="shared" si="577"/>
        <v>5617</v>
      </c>
    </row>
    <row r="3017" spans="1:11">
      <c r="A3017">
        <v>3015</v>
      </c>
      <c r="B3017">
        <v>3.9249999999999997E+97</v>
      </c>
      <c r="D3017" s="18">
        <v>3015</v>
      </c>
      <c r="E3017" s="18" cm="1">
        <f t="array" aca="1" ref="E3017" ca="1">INDIRECT("b"&amp;F3017+2)</f>
        <v>4.5999999999999997E+132</v>
      </c>
      <c r="F3017" s="18">
        <f t="shared" si="566"/>
        <v>4418</v>
      </c>
      <c r="G3017" s="18"/>
      <c r="H3017" s="18"/>
      <c r="I3017" s="19">
        <v>3015</v>
      </c>
      <c r="J3017" s="19" cm="1">
        <f t="array" aca="1" ref="J3017" ca="1">INDIRECT("b"&amp;K3017+2)</f>
        <v>4.5999999999999999E+162</v>
      </c>
      <c r="K3017" s="19">
        <f t="shared" si="577"/>
        <v>5618</v>
      </c>
    </row>
    <row r="3018" spans="1:11">
      <c r="A3018">
        <v>3016</v>
      </c>
      <c r="B3018">
        <v>4.1500000000000001E+97</v>
      </c>
      <c r="D3018" s="18">
        <v>3016</v>
      </c>
      <c r="E3018" s="18" cm="1">
        <f t="array" aca="1" ref="E3018" ca="1">INDIRECT("b"&amp;F3018+2)</f>
        <v>5.0499999999999995E+132</v>
      </c>
      <c r="F3018" s="18">
        <f t="shared" si="566"/>
        <v>4420</v>
      </c>
      <c r="G3018" s="18">
        <f t="shared" ref="G3018" ca="1" si="579">E3018/E3013</f>
        <v>1.4532374100719425</v>
      </c>
      <c r="H3018" s="18"/>
      <c r="I3018" s="19">
        <v>3016</v>
      </c>
      <c r="J3018" s="19" cm="1">
        <f t="array" aca="1" ref="J3018" ca="1">INDIRECT("b"&amp;K3018+2)</f>
        <v>5.0500000000000006E+162</v>
      </c>
      <c r="K3018" s="19">
        <f t="shared" si="577"/>
        <v>5620</v>
      </c>
    </row>
    <row r="3019" spans="1:11">
      <c r="A3019">
        <v>3017</v>
      </c>
      <c r="B3019">
        <v>4.3749999999999997E+97</v>
      </c>
      <c r="D3019" s="18">
        <v>3017</v>
      </c>
      <c r="E3019" s="18" cm="1">
        <f t="array" aca="1" ref="E3019" ca="1">INDIRECT("b"&amp;F3019+2)</f>
        <v>5.275E+132</v>
      </c>
      <c r="F3019" s="18">
        <f t="shared" si="566"/>
        <v>4421</v>
      </c>
      <c r="G3019" s="18"/>
      <c r="H3019" s="18"/>
      <c r="I3019" s="19">
        <v>3017</v>
      </c>
      <c r="J3019" s="19" cm="1">
        <f t="array" aca="1" ref="J3019" ca="1">INDIRECT("b"&amp;K3019+2)</f>
        <v>5.2750000000000001E+162</v>
      </c>
      <c r="K3019" s="19">
        <f t="shared" si="577"/>
        <v>5621</v>
      </c>
    </row>
    <row r="3020" spans="1:11">
      <c r="A3020">
        <v>3018</v>
      </c>
      <c r="B3020">
        <v>4.6000000000000001E+97</v>
      </c>
      <c r="D3020" s="18">
        <v>3018</v>
      </c>
      <c r="E3020" s="18" cm="1">
        <f t="array" aca="1" ref="E3020" ca="1">INDIRECT("b"&amp;F3020+2)</f>
        <v>5.4999999999999999E+132</v>
      </c>
      <c r="F3020" s="18">
        <f t="shared" si="566"/>
        <v>4422</v>
      </c>
      <c r="G3020" s="18"/>
      <c r="H3020" s="18"/>
      <c r="I3020" s="19">
        <v>3018</v>
      </c>
      <c r="J3020" s="19" cm="1">
        <f t="array" aca="1" ref="J3020" ca="1">INDIRECT("b"&amp;K3020+2)</f>
        <v>5.5000000000000005E+162</v>
      </c>
      <c r="K3020" s="19">
        <f t="shared" si="577"/>
        <v>5622</v>
      </c>
    </row>
    <row r="3021" spans="1:11">
      <c r="A3021">
        <v>3019</v>
      </c>
      <c r="B3021">
        <v>4.8249999999999998E+97</v>
      </c>
      <c r="D3021" s="18">
        <v>3019</v>
      </c>
      <c r="E3021" s="18" cm="1">
        <f t="array" aca="1" ref="E3021" ca="1">INDIRECT("b"&amp;F3021+2)</f>
        <v>5.9499999999999997E+132</v>
      </c>
      <c r="F3021" s="18">
        <f t="shared" si="566"/>
        <v>4424</v>
      </c>
      <c r="G3021" s="18"/>
      <c r="H3021" s="18"/>
      <c r="I3021" s="19">
        <v>3019</v>
      </c>
      <c r="J3021" s="19" cm="1">
        <f t="array" aca="1" ref="J3021" ca="1">INDIRECT("b"&amp;K3021+2)</f>
        <v>5.9500000000000003E+162</v>
      </c>
      <c r="K3021" s="19">
        <f t="shared" si="577"/>
        <v>5624</v>
      </c>
    </row>
    <row r="3022" spans="1:11">
      <c r="A3022">
        <v>3020</v>
      </c>
      <c r="B3022">
        <v>5.0500000000000002E+97</v>
      </c>
      <c r="D3022" s="18">
        <v>3020</v>
      </c>
      <c r="E3022" s="18" cm="1">
        <f t="array" aca="1" ref="E3022" ca="1">INDIRECT("b"&amp;F3022+2)</f>
        <v>6.1750000000000002E+132</v>
      </c>
      <c r="F3022" s="18">
        <f t="shared" si="566"/>
        <v>4425</v>
      </c>
      <c r="G3022" s="18"/>
      <c r="H3022" s="18"/>
      <c r="I3022" s="19">
        <v>3020</v>
      </c>
      <c r="J3022" s="19" cm="1">
        <f t="array" aca="1" ref="J3022" ca="1">INDIRECT("b"&amp;K3022+2)</f>
        <v>6.1749999999999999E+162</v>
      </c>
      <c r="K3022" s="19">
        <f t="shared" si="577"/>
        <v>5625</v>
      </c>
    </row>
    <row r="3023" spans="1:11">
      <c r="A3023">
        <v>3021</v>
      </c>
      <c r="B3023">
        <v>5.2749999999999998E+97</v>
      </c>
      <c r="D3023" s="18">
        <v>3021</v>
      </c>
      <c r="E3023" s="18" cm="1">
        <f t="array" aca="1" ref="E3023" ca="1">INDIRECT("b"&amp;F3023+2)</f>
        <v>6.3999999999999994E+132</v>
      </c>
      <c r="F3023" s="18">
        <f t="shared" si="566"/>
        <v>4426</v>
      </c>
      <c r="G3023" s="18">
        <f t="shared" ref="G3023" ca="1" si="580">E3023/E3018</f>
        <v>1.2673267326732673</v>
      </c>
      <c r="H3023" s="18"/>
      <c r="I3023" s="19">
        <v>3021</v>
      </c>
      <c r="J3023" s="19" cm="1">
        <f t="array" aca="1" ref="J3023" ca="1">INDIRECT("b"&amp;K3023+2)</f>
        <v>6.4000000000000002E+162</v>
      </c>
      <c r="K3023" s="19">
        <f t="shared" si="577"/>
        <v>5626</v>
      </c>
    </row>
    <row r="3024" spans="1:11">
      <c r="A3024">
        <v>3022</v>
      </c>
      <c r="B3024">
        <v>5.5000000000000002E+97</v>
      </c>
      <c r="D3024" s="18">
        <v>3022</v>
      </c>
      <c r="E3024" s="18" cm="1">
        <f t="array" aca="1" ref="E3024" ca="1">INDIRECT("b"&amp;F3024+2)</f>
        <v>6.8499999999999992E+132</v>
      </c>
      <c r="F3024" s="18">
        <f t="shared" si="566"/>
        <v>4428</v>
      </c>
      <c r="G3024" s="18"/>
      <c r="H3024" s="18"/>
      <c r="I3024" s="19">
        <v>3022</v>
      </c>
      <c r="J3024" s="19" cm="1">
        <f t="array" aca="1" ref="J3024" ca="1">INDIRECT("b"&amp;K3024+2)</f>
        <v>6.8500000000000001E+162</v>
      </c>
      <c r="K3024" s="19">
        <f t="shared" si="577"/>
        <v>5628</v>
      </c>
    </row>
    <row r="3025" spans="1:11">
      <c r="A3025">
        <v>3023</v>
      </c>
      <c r="B3025">
        <v>5.7249999999999999E+97</v>
      </c>
      <c r="D3025" s="18">
        <v>3023</v>
      </c>
      <c r="E3025" s="18" cm="1">
        <f t="array" aca="1" ref="E3025" ca="1">INDIRECT("b"&amp;F3025+2)</f>
        <v>7.0749999999999997E+132</v>
      </c>
      <c r="F3025" s="18">
        <f t="shared" si="566"/>
        <v>4429</v>
      </c>
      <c r="G3025" s="18"/>
      <c r="H3025" s="18"/>
      <c r="I3025" s="19">
        <v>3023</v>
      </c>
      <c r="J3025" s="19" cm="1">
        <f t="array" aca="1" ref="J3025" ca="1">INDIRECT("b"&amp;K3025+2)</f>
        <v>7.0750000000000005E+162</v>
      </c>
      <c r="K3025" s="19">
        <f t="shared" si="577"/>
        <v>5629</v>
      </c>
    </row>
    <row r="3026" spans="1:11">
      <c r="A3026">
        <v>3024</v>
      </c>
      <c r="B3026">
        <v>5.9500000000000003E+97</v>
      </c>
      <c r="D3026" s="18">
        <v>3024</v>
      </c>
      <c r="E3026" s="18" cm="1">
        <f t="array" aca="1" ref="E3026" ca="1">INDIRECT("b"&amp;F3026+2)</f>
        <v>7.299999999999999E+132</v>
      </c>
      <c r="F3026" s="18">
        <f t="shared" si="566"/>
        <v>4430</v>
      </c>
      <c r="G3026" s="18"/>
      <c r="H3026" s="18"/>
      <c r="I3026" s="19">
        <v>3024</v>
      </c>
      <c r="J3026" s="19" cm="1">
        <f t="array" aca="1" ref="J3026" ca="1">INDIRECT("b"&amp;K3026+2)</f>
        <v>7.3E+162</v>
      </c>
      <c r="K3026" s="19">
        <f t="shared" si="577"/>
        <v>5630</v>
      </c>
    </row>
    <row r="3027" spans="1:11">
      <c r="A3027">
        <v>3025</v>
      </c>
      <c r="B3027">
        <v>6.1749999999999999E+97</v>
      </c>
      <c r="D3027" s="18">
        <v>3025</v>
      </c>
      <c r="E3027" s="18" cm="1">
        <f t="array" aca="1" ref="E3027" ca="1">INDIRECT("b"&amp;F3027+2)</f>
        <v>7.75E+132</v>
      </c>
      <c r="F3027" s="18">
        <f t="shared" ref="F3027:F3090" si="581">INT((A3027-123)*1.333333)+563</f>
        <v>4432</v>
      </c>
      <c r="G3027" s="18"/>
      <c r="H3027" s="18"/>
      <c r="I3027" s="19">
        <v>3025</v>
      </c>
      <c r="J3027" s="19" cm="1">
        <f t="array" aca="1" ref="J3027" ca="1">INDIRECT("b"&amp;K3027+2)</f>
        <v>7.7500000000000007E+162</v>
      </c>
      <c r="K3027" s="19">
        <f t="shared" si="577"/>
        <v>5632</v>
      </c>
    </row>
    <row r="3028" spans="1:11">
      <c r="A3028">
        <v>3026</v>
      </c>
      <c r="B3028">
        <v>6.4000000000000003E+97</v>
      </c>
      <c r="D3028" s="18">
        <v>3026</v>
      </c>
      <c r="E3028" s="18" cm="1">
        <f t="array" aca="1" ref="E3028" ca="1">INDIRECT("b"&amp;F3028+2)</f>
        <v>7.9749999999999993E+132</v>
      </c>
      <c r="F3028" s="18">
        <f t="shared" si="581"/>
        <v>4433</v>
      </c>
      <c r="G3028" s="18">
        <f t="shared" ref="G3028" ca="1" si="582">E3028/E3023</f>
        <v>1.24609375</v>
      </c>
      <c r="H3028" s="18"/>
      <c r="I3028" s="19">
        <v>3026</v>
      </c>
      <c r="J3028" s="19" cm="1">
        <f t="array" aca="1" ref="J3028" ca="1">INDIRECT("b"&amp;K3028+2)</f>
        <v>7.9750000000000011E+162</v>
      </c>
      <c r="K3028" s="19">
        <f t="shared" si="577"/>
        <v>5633</v>
      </c>
    </row>
    <row r="3029" spans="1:11">
      <c r="A3029">
        <v>3027</v>
      </c>
      <c r="B3029">
        <v>6.625E+97</v>
      </c>
      <c r="D3029" s="18">
        <v>3027</v>
      </c>
      <c r="E3029" s="18" cm="1">
        <f t="array" aca="1" ref="E3029" ca="1">INDIRECT("b"&amp;F3029+2)</f>
        <v>8.1999999999999998E+132</v>
      </c>
      <c r="F3029" s="18">
        <f t="shared" si="581"/>
        <v>4434</v>
      </c>
      <c r="G3029" s="18"/>
      <c r="H3029" s="18"/>
      <c r="I3029" s="19">
        <v>3027</v>
      </c>
      <c r="J3029" s="19" cm="1">
        <f t="array" aca="1" ref="J3029" ca="1">INDIRECT("b"&amp;K3029+2)</f>
        <v>8.1999999999999998E+162</v>
      </c>
      <c r="K3029" s="19">
        <f t="shared" si="577"/>
        <v>5634</v>
      </c>
    </row>
    <row r="3030" spans="1:11">
      <c r="A3030">
        <v>3028</v>
      </c>
      <c r="B3030">
        <v>6.8500000000000004E+97</v>
      </c>
      <c r="D3030" s="18">
        <v>3028</v>
      </c>
      <c r="E3030" s="18" cm="1">
        <f t="array" aca="1" ref="E3030" ca="1">INDIRECT("b"&amp;F3030+2)</f>
        <v>8.6499999999999996E+132</v>
      </c>
      <c r="F3030" s="18">
        <f t="shared" si="581"/>
        <v>4436</v>
      </c>
      <c r="G3030" s="18"/>
      <c r="H3030" s="18"/>
      <c r="I3030" s="19">
        <v>3028</v>
      </c>
      <c r="J3030" s="19" cm="1">
        <f t="array" aca="1" ref="J3030" ca="1">INDIRECT("b"&amp;K3030+2)</f>
        <v>8.6500000000000005E+162</v>
      </c>
      <c r="K3030" s="19">
        <f t="shared" si="577"/>
        <v>5636</v>
      </c>
    </row>
    <row r="3031" spans="1:11">
      <c r="A3031">
        <v>3029</v>
      </c>
      <c r="B3031">
        <v>7.075E+97</v>
      </c>
      <c r="D3031" s="18">
        <v>3029</v>
      </c>
      <c r="E3031" s="18" cm="1">
        <f t="array" aca="1" ref="E3031" ca="1">INDIRECT("b"&amp;F3031+2)</f>
        <v>8.8750000000000001E+132</v>
      </c>
      <c r="F3031" s="18">
        <f t="shared" si="581"/>
        <v>4437</v>
      </c>
      <c r="G3031" s="18"/>
      <c r="H3031" s="18"/>
      <c r="I3031" s="19">
        <v>3029</v>
      </c>
      <c r="J3031" s="19" cm="1">
        <f t="array" aca="1" ref="J3031" ca="1">INDIRECT("b"&amp;K3031+2)</f>
        <v>8.8750000000000008E+162</v>
      </c>
      <c r="K3031" s="19">
        <f t="shared" si="577"/>
        <v>5637</v>
      </c>
    </row>
    <row r="3032" spans="1:11">
      <c r="A3032">
        <v>3030</v>
      </c>
      <c r="B3032">
        <v>7.2999999999999997E+97</v>
      </c>
      <c r="D3032" s="18">
        <v>3030</v>
      </c>
      <c r="E3032" s="18" cm="1">
        <f t="array" aca="1" ref="E3032" ca="1">INDIRECT("b"&amp;F3032+2)</f>
        <v>9.0999999999999994E+132</v>
      </c>
      <c r="F3032" s="18">
        <f t="shared" si="581"/>
        <v>4438</v>
      </c>
      <c r="G3032" s="18"/>
      <c r="H3032" s="18"/>
      <c r="I3032" s="19">
        <v>3030</v>
      </c>
      <c r="J3032" s="19" cm="1">
        <f t="array" aca="1" ref="J3032" ca="1">INDIRECT("b"&amp;K3032+2)</f>
        <v>9.0999999999999996E+162</v>
      </c>
      <c r="K3032" s="19">
        <f t="shared" si="577"/>
        <v>5638</v>
      </c>
    </row>
    <row r="3033" spans="1:11">
      <c r="A3033">
        <v>3031</v>
      </c>
      <c r="B3033">
        <v>7.5249999999999993E+97</v>
      </c>
      <c r="D3033" s="18">
        <v>3031</v>
      </c>
      <c r="E3033" s="18" cm="1">
        <f t="array" aca="1" ref="E3033" ca="1">INDIRECT("b"&amp;F3033+2)</f>
        <v>9.5499999999999992E+132</v>
      </c>
      <c r="F3033" s="18">
        <f t="shared" si="581"/>
        <v>4440</v>
      </c>
      <c r="G3033" s="18">
        <f t="shared" ref="G3033" ca="1" si="583">E3033/E3028</f>
        <v>1.1974921630094044</v>
      </c>
      <c r="H3033" s="18"/>
      <c r="I3033" s="19">
        <v>3031</v>
      </c>
      <c r="J3033" s="19" cm="1">
        <f t="array" aca="1" ref="J3033" ca="1">INDIRECT("b"&amp;K3033+2)</f>
        <v>9.5500000000000003E+162</v>
      </c>
      <c r="K3033" s="19">
        <f t="shared" si="577"/>
        <v>5640</v>
      </c>
    </row>
    <row r="3034" spans="1:11">
      <c r="A3034">
        <v>3032</v>
      </c>
      <c r="B3034">
        <v>7.7500000000000005E+97</v>
      </c>
      <c r="D3034" s="18">
        <v>3032</v>
      </c>
      <c r="E3034" s="18" cm="1">
        <f t="array" aca="1" ref="E3034" ca="1">INDIRECT("b"&amp;F3034+2)</f>
        <v>9.7749999999999997E+132</v>
      </c>
      <c r="F3034" s="18">
        <f t="shared" si="581"/>
        <v>4441</v>
      </c>
      <c r="G3034" s="18"/>
      <c r="H3034" s="18"/>
      <c r="I3034" s="19">
        <v>3032</v>
      </c>
      <c r="J3034" s="19" cm="1">
        <f t="array" aca="1" ref="J3034" ca="1">INDIRECT("b"&amp;K3034+2)</f>
        <v>9.7750000000000006E+162</v>
      </c>
      <c r="K3034" s="19">
        <f t="shared" si="577"/>
        <v>5641</v>
      </c>
    </row>
    <row r="3035" spans="1:11">
      <c r="A3035">
        <v>3033</v>
      </c>
      <c r="B3035">
        <v>7.9750000000000001E+97</v>
      </c>
      <c r="D3035" s="18">
        <v>3033</v>
      </c>
      <c r="E3035" s="18" cm="1">
        <f t="array" aca="1" ref="E3035" ca="1">INDIRECT("b"&amp;F3035+2)</f>
        <v>9.999999999999999E+132</v>
      </c>
      <c r="F3035" s="18">
        <f t="shared" si="581"/>
        <v>4442</v>
      </c>
      <c r="G3035" s="18"/>
      <c r="H3035" s="18"/>
      <c r="I3035" s="19">
        <v>3033</v>
      </c>
      <c r="J3035" s="19" cm="1">
        <f t="array" aca="1" ref="J3035" ca="1">INDIRECT("b"&amp;K3035+2)</f>
        <v>9.9999999999999994E+162</v>
      </c>
      <c r="K3035" s="19">
        <f t="shared" si="577"/>
        <v>5642</v>
      </c>
    </row>
    <row r="3036" spans="1:11">
      <c r="A3036">
        <v>3034</v>
      </c>
      <c r="B3036">
        <v>8.1999999999999998E+97</v>
      </c>
      <c r="D3036" s="18">
        <v>3034</v>
      </c>
      <c r="E3036" s="18" cm="1">
        <f t="array" aca="1" ref="E3036" ca="1">INDIRECT("b"&amp;F3036+2)</f>
        <v>1.4499999999999998E+133</v>
      </c>
      <c r="F3036" s="18">
        <f t="shared" si="581"/>
        <v>4444</v>
      </c>
      <c r="G3036" s="18"/>
      <c r="H3036" s="18"/>
      <c r="I3036" s="19">
        <v>3034</v>
      </c>
      <c r="J3036" s="19" cm="1">
        <f t="array" aca="1" ref="J3036" ca="1">INDIRECT("b"&amp;K3036+2)</f>
        <v>1.45E+163</v>
      </c>
      <c r="K3036" s="19">
        <f t="shared" si="577"/>
        <v>5644</v>
      </c>
    </row>
    <row r="3037" spans="1:11">
      <c r="A3037">
        <v>3035</v>
      </c>
      <c r="B3037">
        <v>8.4249999999999994E+97</v>
      </c>
      <c r="D3037" s="18">
        <v>3035</v>
      </c>
      <c r="E3037" s="18" cm="1">
        <f t="array" aca="1" ref="E3037" ca="1">INDIRECT("b"&amp;F3037+2)</f>
        <v>1.6749999999999998E+133</v>
      </c>
      <c r="F3037" s="18">
        <f t="shared" si="581"/>
        <v>4445</v>
      </c>
      <c r="G3037" s="18"/>
      <c r="H3037" s="18"/>
      <c r="I3037" s="19">
        <v>3035</v>
      </c>
      <c r="J3037" s="19" cm="1">
        <f t="array" aca="1" ref="J3037" ca="1">INDIRECT("b"&amp;K3037+2)</f>
        <v>1.675E+163</v>
      </c>
      <c r="K3037" s="19">
        <f t="shared" si="577"/>
        <v>5645</v>
      </c>
    </row>
    <row r="3038" spans="1:11">
      <c r="A3038">
        <v>3036</v>
      </c>
      <c r="B3038">
        <v>8.6500000000000006E+97</v>
      </c>
      <c r="D3038" s="18">
        <v>3036</v>
      </c>
      <c r="E3038" s="18" cm="1">
        <f t="array" aca="1" ref="E3038" ca="1">INDIRECT("b"&amp;F3038+2)</f>
        <v>1.8999999999999998E+133</v>
      </c>
      <c r="F3038" s="18">
        <f t="shared" si="581"/>
        <v>4446</v>
      </c>
      <c r="G3038" s="18">
        <f t="shared" ref="G3038" ca="1" si="584">E3038/E3033</f>
        <v>1.9895287958115184</v>
      </c>
      <c r="H3038" s="18"/>
      <c r="I3038" s="19">
        <v>3036</v>
      </c>
      <c r="J3038" s="19" cm="1">
        <f t="array" aca="1" ref="J3038" ca="1">INDIRECT("b"&amp;K3038+2)</f>
        <v>1.9E+163</v>
      </c>
      <c r="K3038" s="19">
        <f t="shared" si="577"/>
        <v>5646</v>
      </c>
    </row>
    <row r="3039" spans="1:11">
      <c r="A3039">
        <v>3037</v>
      </c>
      <c r="B3039">
        <v>8.8750000000000002E+97</v>
      </c>
      <c r="D3039" s="18">
        <v>3037</v>
      </c>
      <c r="E3039" s="18" cm="1">
        <f t="array" aca="1" ref="E3039" ca="1">INDIRECT("b"&amp;F3039+2)</f>
        <v>2.3499999999999996E+133</v>
      </c>
      <c r="F3039" s="18">
        <f t="shared" si="581"/>
        <v>4448</v>
      </c>
      <c r="G3039" s="18"/>
      <c r="H3039" s="18"/>
      <c r="I3039" s="19">
        <v>3037</v>
      </c>
      <c r="J3039" s="19" cm="1">
        <f t="array" aca="1" ref="J3039" ca="1">INDIRECT("b"&amp;K3039+2)</f>
        <v>2.3500000000000001E+163</v>
      </c>
      <c r="K3039" s="19">
        <f t="shared" si="577"/>
        <v>5648</v>
      </c>
    </row>
    <row r="3040" spans="1:11">
      <c r="A3040">
        <v>3038</v>
      </c>
      <c r="B3040">
        <v>9.0999999999999999E+97</v>
      </c>
      <c r="D3040" s="18">
        <v>3038</v>
      </c>
      <c r="E3040" s="18" cm="1">
        <f t="array" aca="1" ref="E3040" ca="1">INDIRECT("b"&amp;F3040+2)</f>
        <v>2.5749999999999999E+133</v>
      </c>
      <c r="F3040" s="18">
        <f t="shared" si="581"/>
        <v>4449</v>
      </c>
      <c r="G3040" s="18"/>
      <c r="H3040" s="18"/>
      <c r="I3040" s="19">
        <v>3038</v>
      </c>
      <c r="J3040" s="19" cm="1">
        <f t="array" aca="1" ref="J3040" ca="1">INDIRECT("b"&amp;K3040+2)</f>
        <v>2.5750000000000001E+163</v>
      </c>
      <c r="K3040" s="19">
        <f t="shared" si="577"/>
        <v>5649</v>
      </c>
    </row>
    <row r="3041" spans="1:11">
      <c r="A3041">
        <v>3039</v>
      </c>
      <c r="B3041">
        <v>9.3249999999999995E+97</v>
      </c>
      <c r="D3041" s="18">
        <v>3039</v>
      </c>
      <c r="E3041" s="18" cm="1">
        <f t="array" aca="1" ref="E3041" ca="1">INDIRECT("b"&amp;F3041+2)</f>
        <v>2.7999999999999997E+133</v>
      </c>
      <c r="F3041" s="18">
        <f t="shared" si="581"/>
        <v>4450</v>
      </c>
      <c r="G3041" s="18"/>
      <c r="H3041" s="18"/>
      <c r="I3041" s="19">
        <v>3039</v>
      </c>
      <c r="J3041" s="19" cm="1">
        <f t="array" aca="1" ref="J3041" ca="1">INDIRECT("b"&amp;K3041+2)</f>
        <v>2.8000000000000001E+163</v>
      </c>
      <c r="K3041" s="19">
        <f t="shared" si="577"/>
        <v>5650</v>
      </c>
    </row>
    <row r="3042" spans="1:11">
      <c r="A3042">
        <v>3040</v>
      </c>
      <c r="B3042">
        <v>9.5500000000000007E+97</v>
      </c>
      <c r="D3042" s="18">
        <v>3040</v>
      </c>
      <c r="E3042" s="18" cm="1">
        <f t="array" aca="1" ref="E3042" ca="1">INDIRECT("b"&amp;F3042+2)</f>
        <v>3.2499999999999997E+133</v>
      </c>
      <c r="F3042" s="18">
        <f t="shared" si="581"/>
        <v>4452</v>
      </c>
      <c r="G3042" s="18"/>
      <c r="H3042" s="18"/>
      <c r="I3042" s="19">
        <v>3040</v>
      </c>
      <c r="J3042" s="19" cm="1">
        <f t="array" aca="1" ref="J3042" ca="1">INDIRECT("b"&amp;K3042+2)</f>
        <v>3.2499999999999999E+163</v>
      </c>
      <c r="K3042" s="19">
        <f t="shared" si="577"/>
        <v>5652</v>
      </c>
    </row>
    <row r="3043" spans="1:11">
      <c r="A3043">
        <v>3041</v>
      </c>
      <c r="B3043">
        <v>9.7750000000000003E+97</v>
      </c>
      <c r="D3043" s="18">
        <v>3041</v>
      </c>
      <c r="E3043" s="18" cm="1">
        <f t="array" aca="1" ref="E3043" ca="1">INDIRECT("b"&amp;F3043+2)</f>
        <v>3.475E+133</v>
      </c>
      <c r="F3043" s="18">
        <f t="shared" si="581"/>
        <v>4453</v>
      </c>
      <c r="G3043" s="18">
        <f t="shared" ref="G3043" ca="1" si="585">E3043/E3038</f>
        <v>1.8289473684210529</v>
      </c>
      <c r="H3043" s="18"/>
      <c r="I3043" s="19">
        <v>3041</v>
      </c>
      <c r="J3043" s="19" cm="1">
        <f t="array" aca="1" ref="J3043" ca="1">INDIRECT("b"&amp;K3043+2)</f>
        <v>3.4750000000000002E+163</v>
      </c>
      <c r="K3043" s="19">
        <f t="shared" si="577"/>
        <v>5653</v>
      </c>
    </row>
    <row r="3044" spans="1:11">
      <c r="A3044">
        <v>3042</v>
      </c>
      <c r="B3044">
        <v>1E+98</v>
      </c>
      <c r="D3044" s="18">
        <v>3042</v>
      </c>
      <c r="E3044" s="18" cm="1">
        <f t="array" aca="1" ref="E3044" ca="1">INDIRECT("b"&amp;F3044+2)</f>
        <v>3.6999999999999997E+133</v>
      </c>
      <c r="F3044" s="18">
        <f t="shared" si="581"/>
        <v>4454</v>
      </c>
      <c r="G3044" s="18"/>
      <c r="H3044" s="18"/>
      <c r="I3044" s="19">
        <v>3042</v>
      </c>
      <c r="J3044" s="19" cm="1">
        <f t="array" aca="1" ref="J3044" ca="1">INDIRECT("b"&amp;K3044+2)</f>
        <v>3.6999999999999999E+163</v>
      </c>
      <c r="K3044" s="19">
        <f t="shared" si="577"/>
        <v>5654</v>
      </c>
    </row>
    <row r="3045" spans="1:11">
      <c r="A3045">
        <v>3043</v>
      </c>
      <c r="B3045">
        <v>1.2249999999999999E+98</v>
      </c>
      <c r="D3045" s="18">
        <v>3043</v>
      </c>
      <c r="E3045" s="18" cm="1">
        <f t="array" aca="1" ref="E3045" ca="1">INDIRECT("b"&amp;F3045+2)</f>
        <v>4.1499999999999998E+133</v>
      </c>
      <c r="F3045" s="18">
        <f t="shared" si="581"/>
        <v>4456</v>
      </c>
      <c r="G3045" s="18"/>
      <c r="H3045" s="18"/>
      <c r="I3045" s="19">
        <v>3043</v>
      </c>
      <c r="J3045" s="19" cm="1">
        <f t="array" aca="1" ref="J3045" ca="1">INDIRECT("b"&amp;K3045+2)</f>
        <v>4.15E+163</v>
      </c>
      <c r="K3045" s="19">
        <f t="shared" si="577"/>
        <v>5656</v>
      </c>
    </row>
    <row r="3046" spans="1:11">
      <c r="A3046">
        <v>3044</v>
      </c>
      <c r="B3046">
        <v>1.45E+98</v>
      </c>
      <c r="D3046" s="18">
        <v>3044</v>
      </c>
      <c r="E3046" s="18" cm="1">
        <f t="array" aca="1" ref="E3046" ca="1">INDIRECT("b"&amp;F3046+2)</f>
        <v>4.3749999999999995E+133</v>
      </c>
      <c r="F3046" s="18">
        <f t="shared" si="581"/>
        <v>4457</v>
      </c>
      <c r="G3046" s="18"/>
      <c r="H3046" s="18"/>
      <c r="I3046" s="19">
        <v>3044</v>
      </c>
      <c r="J3046" s="19" cm="1">
        <f t="array" aca="1" ref="J3046" ca="1">INDIRECT("b"&amp;K3046+2)</f>
        <v>4.3750000000000003E+163</v>
      </c>
      <c r="K3046" s="19">
        <f t="shared" si="577"/>
        <v>5657</v>
      </c>
    </row>
    <row r="3047" spans="1:11">
      <c r="A3047">
        <v>3045</v>
      </c>
      <c r="B3047">
        <v>1.675E+98</v>
      </c>
      <c r="D3047" s="18">
        <v>3045</v>
      </c>
      <c r="E3047" s="18" cm="1">
        <f t="array" aca="1" ref="E3047" ca="1">INDIRECT("b"&amp;F3047+2)</f>
        <v>4.5999999999999998E+133</v>
      </c>
      <c r="F3047" s="18">
        <f t="shared" si="581"/>
        <v>4458</v>
      </c>
      <c r="G3047" s="18"/>
      <c r="H3047" s="18"/>
      <c r="I3047" s="19">
        <v>3045</v>
      </c>
      <c r="J3047" s="19" cm="1">
        <f t="array" aca="1" ref="J3047" ca="1">INDIRECT("b"&amp;K3047+2)</f>
        <v>4.6E+163</v>
      </c>
      <c r="K3047" s="19">
        <f t="shared" si="577"/>
        <v>5658</v>
      </c>
    </row>
    <row r="3048" spans="1:11">
      <c r="A3048">
        <v>3046</v>
      </c>
      <c r="B3048">
        <v>1.9E+98</v>
      </c>
      <c r="D3048" s="18">
        <v>3046</v>
      </c>
      <c r="E3048" s="18" cm="1">
        <f t="array" aca="1" ref="E3048" ca="1">INDIRECT("b"&amp;F3048+2)</f>
        <v>5.0499999999999993E+133</v>
      </c>
      <c r="F3048" s="18">
        <f t="shared" si="581"/>
        <v>4460</v>
      </c>
      <c r="G3048" s="18">
        <f t="shared" ref="G3048" ca="1" si="586">E3048/E3043</f>
        <v>1.4532374100719423</v>
      </c>
      <c r="H3048" s="18"/>
      <c r="I3048" s="19">
        <v>3046</v>
      </c>
      <c r="J3048" s="19" cm="1">
        <f t="array" aca="1" ref="J3048" ca="1">INDIRECT("b"&amp;K3048+2)</f>
        <v>5.0500000000000001E+163</v>
      </c>
      <c r="K3048" s="19">
        <f t="shared" si="577"/>
        <v>5660</v>
      </c>
    </row>
    <row r="3049" spans="1:11">
      <c r="A3049">
        <v>3047</v>
      </c>
      <c r="B3049">
        <v>2.1249999999999999E+98</v>
      </c>
      <c r="D3049" s="18">
        <v>3047</v>
      </c>
      <c r="E3049" s="18" cm="1">
        <f t="array" aca="1" ref="E3049" ca="1">INDIRECT("b"&amp;F3049+2)</f>
        <v>5.2749999999999996E+133</v>
      </c>
      <c r="F3049" s="18">
        <f t="shared" si="581"/>
        <v>4461</v>
      </c>
      <c r="G3049" s="18"/>
      <c r="H3049" s="18"/>
      <c r="I3049" s="19">
        <v>3047</v>
      </c>
      <c r="J3049" s="19" cm="1">
        <f t="array" aca="1" ref="J3049" ca="1">INDIRECT("b"&amp;K3049+2)</f>
        <v>5.2749999999999998E+163</v>
      </c>
      <c r="K3049" s="19">
        <f t="shared" si="577"/>
        <v>5661</v>
      </c>
    </row>
    <row r="3050" spans="1:11">
      <c r="A3050">
        <v>3048</v>
      </c>
      <c r="B3050">
        <v>2.3499999999999999E+98</v>
      </c>
      <c r="D3050" s="18">
        <v>3048</v>
      </c>
      <c r="E3050" s="18" cm="1">
        <f t="array" aca="1" ref="E3050" ca="1">INDIRECT("b"&amp;F3050+2)</f>
        <v>5.4999999999999999E+133</v>
      </c>
      <c r="F3050" s="18">
        <f t="shared" si="581"/>
        <v>4462</v>
      </c>
      <c r="G3050" s="18"/>
      <c r="H3050" s="18"/>
      <c r="I3050" s="19">
        <v>3048</v>
      </c>
      <c r="J3050" s="19" cm="1">
        <f t="array" aca="1" ref="J3050" ca="1">INDIRECT("b"&amp;K3050+2)</f>
        <v>5.5000000000000001E+163</v>
      </c>
      <c r="K3050" s="19">
        <f t="shared" si="577"/>
        <v>5662</v>
      </c>
    </row>
    <row r="3051" spans="1:11">
      <c r="A3051">
        <v>3049</v>
      </c>
      <c r="B3051">
        <v>2.5749999999999998E+98</v>
      </c>
      <c r="D3051" s="18">
        <v>3049</v>
      </c>
      <c r="E3051" s="18" cm="1">
        <f t="array" aca="1" ref="E3051" ca="1">INDIRECT("b"&amp;F3051+2)</f>
        <v>5.9499999999999994E+133</v>
      </c>
      <c r="F3051" s="18">
        <f t="shared" si="581"/>
        <v>4464</v>
      </c>
      <c r="G3051" s="18"/>
      <c r="H3051" s="18"/>
      <c r="I3051" s="19">
        <v>3049</v>
      </c>
      <c r="J3051" s="19" cm="1">
        <f t="array" aca="1" ref="J3051" ca="1">INDIRECT("b"&amp;K3051+2)</f>
        <v>5.9500000000000002E+163</v>
      </c>
      <c r="K3051" s="19">
        <f t="shared" si="577"/>
        <v>5664</v>
      </c>
    </row>
    <row r="3052" spans="1:11">
      <c r="A3052">
        <v>3050</v>
      </c>
      <c r="B3052">
        <v>2.8000000000000001E+98</v>
      </c>
      <c r="D3052" s="18">
        <v>3050</v>
      </c>
      <c r="E3052" s="18" cm="1">
        <f t="array" aca="1" ref="E3052" ca="1">INDIRECT("b"&amp;F3052+2)</f>
        <v>6.1749999999999997E+133</v>
      </c>
      <c r="F3052" s="18">
        <f t="shared" si="581"/>
        <v>4465</v>
      </c>
      <c r="G3052" s="18"/>
      <c r="H3052" s="18"/>
      <c r="I3052" s="19">
        <v>3050</v>
      </c>
      <c r="J3052" s="19" cm="1">
        <f t="array" aca="1" ref="J3052" ca="1">INDIRECT("b"&amp;K3052+2)</f>
        <v>6.1749999999999999E+163</v>
      </c>
      <c r="K3052" s="19">
        <f t="shared" si="577"/>
        <v>5665</v>
      </c>
    </row>
    <row r="3053" spans="1:11">
      <c r="A3053">
        <v>3051</v>
      </c>
      <c r="B3053">
        <v>3.025E+98</v>
      </c>
      <c r="D3053" s="18">
        <v>3051</v>
      </c>
      <c r="E3053" s="18" cm="1">
        <f t="array" aca="1" ref="E3053" ca="1">INDIRECT("b"&amp;F3053+2)</f>
        <v>6.3999999999999999E+133</v>
      </c>
      <c r="F3053" s="18">
        <f t="shared" si="581"/>
        <v>4466</v>
      </c>
      <c r="G3053" s="18">
        <f t="shared" ref="G3053" ca="1" si="587">E3053/E3048</f>
        <v>1.2673267326732676</v>
      </c>
      <c r="H3053" s="18"/>
      <c r="I3053" s="19">
        <v>3051</v>
      </c>
      <c r="J3053" s="19" cm="1">
        <f t="array" aca="1" ref="J3053" ca="1">INDIRECT("b"&amp;K3053+2)</f>
        <v>6.3999999999999996E+163</v>
      </c>
      <c r="K3053" s="19">
        <f t="shared" si="577"/>
        <v>5666</v>
      </c>
    </row>
    <row r="3054" spans="1:11">
      <c r="A3054">
        <v>3052</v>
      </c>
      <c r="B3054">
        <v>3.25E+98</v>
      </c>
      <c r="D3054" s="18">
        <v>3052</v>
      </c>
      <c r="E3054" s="18" cm="1">
        <f t="array" aca="1" ref="E3054" ca="1">INDIRECT("b"&amp;F3054+2)</f>
        <v>6.8499999999999995E+133</v>
      </c>
      <c r="F3054" s="18">
        <f t="shared" si="581"/>
        <v>4468</v>
      </c>
      <c r="G3054" s="18"/>
      <c r="H3054" s="18"/>
      <c r="I3054" s="19">
        <v>3052</v>
      </c>
      <c r="J3054" s="19" cm="1">
        <f t="array" aca="1" ref="J3054" ca="1">INDIRECT("b"&amp;K3054+2)</f>
        <v>6.8500000000000003E+163</v>
      </c>
      <c r="K3054" s="19">
        <f t="shared" si="577"/>
        <v>5668</v>
      </c>
    </row>
    <row r="3055" spans="1:11">
      <c r="A3055">
        <v>3053</v>
      </c>
      <c r="B3055">
        <v>3.4749999999999999E+98</v>
      </c>
      <c r="D3055" s="18">
        <v>3053</v>
      </c>
      <c r="E3055" s="18" cm="1">
        <f t="array" aca="1" ref="E3055" ca="1">INDIRECT("b"&amp;F3055+2)</f>
        <v>7.0749999999999997E+133</v>
      </c>
      <c r="F3055" s="18">
        <f t="shared" si="581"/>
        <v>4469</v>
      </c>
      <c r="G3055" s="18"/>
      <c r="H3055" s="18"/>
      <c r="I3055" s="19">
        <v>3053</v>
      </c>
      <c r="J3055" s="19" cm="1">
        <f t="array" aca="1" ref="J3055" ca="1">INDIRECT("b"&amp;K3055+2)</f>
        <v>7.075E+163</v>
      </c>
      <c r="K3055" s="19">
        <f t="shared" si="577"/>
        <v>5669</v>
      </c>
    </row>
    <row r="3056" spans="1:11">
      <c r="A3056">
        <v>3054</v>
      </c>
      <c r="B3056">
        <v>3.6999999999999999E+98</v>
      </c>
      <c r="D3056" s="18">
        <v>3054</v>
      </c>
      <c r="E3056" s="18" cm="1">
        <f t="array" aca="1" ref="E3056" ca="1">INDIRECT("b"&amp;F3056+2)</f>
        <v>7.299999999999999E+133</v>
      </c>
      <c r="F3056" s="18">
        <f t="shared" si="581"/>
        <v>4470</v>
      </c>
      <c r="G3056" s="18"/>
      <c r="H3056" s="18"/>
      <c r="I3056" s="19">
        <v>3054</v>
      </c>
      <c r="J3056" s="19" cm="1">
        <f t="array" aca="1" ref="J3056" ca="1">INDIRECT("b"&amp;K3056+2)</f>
        <v>7.2999999999999997E+163</v>
      </c>
      <c r="K3056" s="19">
        <f t="shared" si="577"/>
        <v>5670</v>
      </c>
    </row>
    <row r="3057" spans="1:11">
      <c r="A3057">
        <v>3055</v>
      </c>
      <c r="B3057">
        <v>3.9249999999999998E+98</v>
      </c>
      <c r="D3057" s="18">
        <v>3055</v>
      </c>
      <c r="E3057" s="18" cm="1">
        <f t="array" aca="1" ref="E3057" ca="1">INDIRECT("b"&amp;F3057+2)</f>
        <v>7.7499999999999995E+133</v>
      </c>
      <c r="F3057" s="18">
        <f t="shared" si="581"/>
        <v>4472</v>
      </c>
      <c r="G3057" s="18"/>
      <c r="H3057" s="18"/>
      <c r="I3057" s="19">
        <v>3055</v>
      </c>
      <c r="J3057" s="19" cm="1">
        <f t="array" aca="1" ref="J3057" ca="1">INDIRECT("b"&amp;K3057+2)</f>
        <v>7.7500000000000004E+163</v>
      </c>
      <c r="K3057" s="19">
        <f t="shared" si="577"/>
        <v>5672</v>
      </c>
    </row>
    <row r="3058" spans="1:11">
      <c r="A3058">
        <v>3056</v>
      </c>
      <c r="B3058">
        <v>4.1499999999999998E+98</v>
      </c>
      <c r="D3058" s="18">
        <v>3056</v>
      </c>
      <c r="E3058" s="18" cm="1">
        <f t="array" aca="1" ref="E3058" ca="1">INDIRECT("b"&amp;F3058+2)</f>
        <v>7.9749999999999998E+133</v>
      </c>
      <c r="F3058" s="18">
        <f t="shared" si="581"/>
        <v>4473</v>
      </c>
      <c r="G3058" s="18">
        <f t="shared" ref="G3058" ca="1" si="588">E3058/E3053</f>
        <v>1.24609375</v>
      </c>
      <c r="H3058" s="18"/>
      <c r="I3058" s="19">
        <v>3056</v>
      </c>
      <c r="J3058" s="19" cm="1">
        <f t="array" aca="1" ref="J3058" ca="1">INDIRECT("b"&amp;K3058+2)</f>
        <v>7.9750000000000001E+163</v>
      </c>
      <c r="K3058" s="19">
        <f t="shared" si="577"/>
        <v>5673</v>
      </c>
    </row>
    <row r="3059" spans="1:11">
      <c r="A3059">
        <v>3057</v>
      </c>
      <c r="B3059">
        <v>4.3749999999999997E+98</v>
      </c>
      <c r="D3059" s="18">
        <v>3057</v>
      </c>
      <c r="E3059" s="18" cm="1">
        <f t="array" aca="1" ref="E3059" ca="1">INDIRECT("b"&amp;F3059+2)</f>
        <v>8.1999999999999991E+133</v>
      </c>
      <c r="F3059" s="18">
        <f t="shared" si="581"/>
        <v>4474</v>
      </c>
      <c r="G3059" s="18"/>
      <c r="H3059" s="18"/>
      <c r="I3059" s="19">
        <v>3057</v>
      </c>
      <c r="J3059" s="19" cm="1">
        <f t="array" aca="1" ref="J3059" ca="1">INDIRECT("b"&amp;K3059+2)</f>
        <v>8.1999999999999998E+163</v>
      </c>
      <c r="K3059" s="19">
        <f t="shared" si="577"/>
        <v>5674</v>
      </c>
    </row>
    <row r="3060" spans="1:11">
      <c r="A3060">
        <v>3058</v>
      </c>
      <c r="B3060">
        <v>4.5999999999999997E+98</v>
      </c>
      <c r="D3060" s="18">
        <v>3058</v>
      </c>
      <c r="E3060" s="18" cm="1">
        <f t="array" aca="1" ref="E3060" ca="1">INDIRECT("b"&amp;F3060+2)</f>
        <v>8.6499999999999996E+133</v>
      </c>
      <c r="F3060" s="18">
        <f t="shared" si="581"/>
        <v>4476</v>
      </c>
      <c r="G3060" s="18"/>
      <c r="H3060" s="18"/>
      <c r="I3060" s="19">
        <v>3058</v>
      </c>
      <c r="J3060" s="19" cm="1">
        <f t="array" aca="1" ref="J3060" ca="1">INDIRECT("b"&amp;K3060+2)</f>
        <v>8.6500000000000005E+163</v>
      </c>
      <c r="K3060" s="19">
        <f t="shared" si="577"/>
        <v>5676</v>
      </c>
    </row>
    <row r="3061" spans="1:11">
      <c r="A3061">
        <v>3059</v>
      </c>
      <c r="B3061">
        <v>4.8249999999999996E+98</v>
      </c>
      <c r="D3061" s="18">
        <v>3059</v>
      </c>
      <c r="E3061" s="18" cm="1">
        <f t="array" aca="1" ref="E3061" ca="1">INDIRECT("b"&amp;F3061+2)</f>
        <v>8.8749999999999989E+133</v>
      </c>
      <c r="F3061" s="18">
        <f t="shared" si="581"/>
        <v>4477</v>
      </c>
      <c r="G3061" s="18"/>
      <c r="H3061" s="18"/>
      <c r="I3061" s="19">
        <v>3059</v>
      </c>
      <c r="J3061" s="19" cm="1">
        <f t="array" aca="1" ref="J3061" ca="1">INDIRECT("b"&amp;K3061+2)</f>
        <v>8.8750000000000002E+163</v>
      </c>
      <c r="K3061" s="19">
        <f t="shared" si="577"/>
        <v>5677</v>
      </c>
    </row>
    <row r="3062" spans="1:11">
      <c r="A3062">
        <v>3060</v>
      </c>
      <c r="B3062">
        <v>5.0499999999999996E+98</v>
      </c>
      <c r="D3062" s="18">
        <v>3060</v>
      </c>
      <c r="E3062" s="18" cm="1">
        <f t="array" aca="1" ref="E3062" ca="1">INDIRECT("b"&amp;F3062+2)</f>
        <v>9.1000000000000002E+133</v>
      </c>
      <c r="F3062" s="18">
        <f t="shared" si="581"/>
        <v>4478</v>
      </c>
      <c r="G3062" s="18"/>
      <c r="H3062" s="18"/>
      <c r="I3062" s="19">
        <v>3060</v>
      </c>
      <c r="J3062" s="19" cm="1">
        <f t="array" aca="1" ref="J3062" ca="1">INDIRECT("b"&amp;K3062+2)</f>
        <v>9.0999999999999999E+163</v>
      </c>
      <c r="K3062" s="19">
        <f t="shared" si="577"/>
        <v>5678</v>
      </c>
    </row>
    <row r="3063" spans="1:11">
      <c r="A3063">
        <v>3061</v>
      </c>
      <c r="B3063">
        <v>5.2750000000000001E+98</v>
      </c>
      <c r="D3063" s="18">
        <v>3061</v>
      </c>
      <c r="E3063" s="18" cm="1">
        <f t="array" aca="1" ref="E3063" ca="1">INDIRECT("b"&amp;F3063+2)</f>
        <v>9.5499999999999987E+133</v>
      </c>
      <c r="F3063" s="18">
        <f t="shared" si="581"/>
        <v>4480</v>
      </c>
      <c r="G3063" s="18">
        <f t="shared" ref="G3063" ca="1" si="589">E3063/E3058</f>
        <v>1.1974921630094042</v>
      </c>
      <c r="H3063" s="18"/>
      <c r="I3063" s="19">
        <v>3061</v>
      </c>
      <c r="J3063" s="19" cm="1">
        <f t="array" aca="1" ref="J3063" ca="1">INDIRECT("b"&amp;K3063+2)</f>
        <v>9.5500000000000006E+163</v>
      </c>
      <c r="K3063" s="19">
        <f t="shared" si="577"/>
        <v>5680</v>
      </c>
    </row>
    <row r="3064" spans="1:11">
      <c r="A3064">
        <v>3062</v>
      </c>
      <c r="B3064">
        <v>5.4999999999999995E+98</v>
      </c>
      <c r="D3064" s="18">
        <v>3062</v>
      </c>
      <c r="E3064" s="18" cm="1">
        <f t="array" aca="1" ref="E3064" ca="1">INDIRECT("b"&amp;F3064+2)</f>
        <v>9.775E+133</v>
      </c>
      <c r="F3064" s="18">
        <f t="shared" si="581"/>
        <v>4481</v>
      </c>
      <c r="G3064" s="18"/>
      <c r="H3064" s="18"/>
      <c r="I3064" s="19">
        <v>3062</v>
      </c>
      <c r="J3064" s="19" cm="1">
        <f t="array" aca="1" ref="J3064" ca="1">INDIRECT("b"&amp;K3064+2)</f>
        <v>9.7750000000000003E+163</v>
      </c>
      <c r="K3064" s="19">
        <f t="shared" si="577"/>
        <v>5681</v>
      </c>
    </row>
    <row r="3065" spans="1:11">
      <c r="A3065">
        <v>3063</v>
      </c>
      <c r="B3065">
        <v>5.7249999999999994E+98</v>
      </c>
      <c r="D3065" s="18">
        <v>3063</v>
      </c>
      <c r="E3065" s="18" cm="1">
        <f t="array" aca="1" ref="E3065" ca="1">INDIRECT("b"&amp;F3065+2)</f>
        <v>1.0000000000000001E+134</v>
      </c>
      <c r="F3065" s="18">
        <f t="shared" si="581"/>
        <v>4482</v>
      </c>
      <c r="G3065" s="18"/>
      <c r="H3065" s="18"/>
      <c r="I3065" s="19">
        <v>3063</v>
      </c>
      <c r="J3065" s="19" cm="1">
        <f t="array" aca="1" ref="J3065" ca="1">INDIRECT("b"&amp;K3065+2)</f>
        <v>1E+164</v>
      </c>
      <c r="K3065" s="19">
        <f t="shared" si="577"/>
        <v>5682</v>
      </c>
    </row>
    <row r="3066" spans="1:11">
      <c r="A3066">
        <v>3064</v>
      </c>
      <c r="B3066">
        <v>5.9499999999999994E+98</v>
      </c>
      <c r="D3066" s="18">
        <v>3064</v>
      </c>
      <c r="E3066" s="18" cm="1">
        <f t="array" aca="1" ref="E3066" ca="1">INDIRECT("b"&amp;F3066+2)</f>
        <v>1.4500000000000001E+134</v>
      </c>
      <c r="F3066" s="18">
        <f t="shared" si="581"/>
        <v>4484</v>
      </c>
      <c r="G3066" s="18"/>
      <c r="H3066" s="18"/>
      <c r="I3066" s="19">
        <v>3064</v>
      </c>
      <c r="J3066" s="19" cm="1">
        <f t="array" aca="1" ref="J3066" ca="1">INDIRECT("b"&amp;K3066+2)</f>
        <v>1.4499999999999999E+164</v>
      </c>
      <c r="K3066" s="19">
        <f t="shared" si="577"/>
        <v>5684</v>
      </c>
    </row>
    <row r="3067" spans="1:11">
      <c r="A3067">
        <v>3065</v>
      </c>
      <c r="B3067">
        <v>6.1749999999999993E+98</v>
      </c>
      <c r="D3067" s="18">
        <v>3065</v>
      </c>
      <c r="E3067" s="18" cm="1">
        <f t="array" aca="1" ref="E3067" ca="1">INDIRECT("b"&amp;F3067+2)</f>
        <v>1.6750000000000001E+134</v>
      </c>
      <c r="F3067" s="18">
        <f t="shared" si="581"/>
        <v>4485</v>
      </c>
      <c r="G3067" s="18"/>
      <c r="H3067" s="18"/>
      <c r="I3067" s="19">
        <v>3065</v>
      </c>
      <c r="J3067" s="19" cm="1">
        <f t="array" aca="1" ref="J3067" ca="1">INDIRECT("b"&amp;K3067+2)</f>
        <v>1.6749999999999999E+164</v>
      </c>
      <c r="K3067" s="19">
        <f t="shared" si="577"/>
        <v>5685</v>
      </c>
    </row>
    <row r="3068" spans="1:11">
      <c r="A3068">
        <v>3066</v>
      </c>
      <c r="B3068">
        <v>6.3999999999999993E+98</v>
      </c>
      <c r="D3068" s="18">
        <v>3066</v>
      </c>
      <c r="E3068" s="18" cm="1">
        <f t="array" aca="1" ref="E3068" ca="1">INDIRECT("b"&amp;F3068+2)</f>
        <v>1.9E+134</v>
      </c>
      <c r="F3068" s="18">
        <f t="shared" si="581"/>
        <v>4486</v>
      </c>
      <c r="G3068" s="18">
        <f t="shared" ref="G3068" ca="1" si="590">E3068/E3063</f>
        <v>1.9895287958115186</v>
      </c>
      <c r="H3068" s="18"/>
      <c r="I3068" s="19">
        <v>3066</v>
      </c>
      <c r="J3068" s="19" cm="1">
        <f t="array" aca="1" ref="J3068" ca="1">INDIRECT("b"&amp;K3068+2)</f>
        <v>1.8999999999999998E+164</v>
      </c>
      <c r="K3068" s="19">
        <f t="shared" si="577"/>
        <v>5686</v>
      </c>
    </row>
    <row r="3069" spans="1:11">
      <c r="A3069">
        <v>3067</v>
      </c>
      <c r="B3069">
        <v>6.6249999999999992E+98</v>
      </c>
      <c r="D3069" s="18">
        <v>3067</v>
      </c>
      <c r="E3069" s="18" cm="1">
        <f t="array" aca="1" ref="E3069" ca="1">INDIRECT("b"&amp;F3069+2)</f>
        <v>2.3500000000000001E+134</v>
      </c>
      <c r="F3069" s="18">
        <f t="shared" si="581"/>
        <v>4488</v>
      </c>
      <c r="G3069" s="18"/>
      <c r="H3069" s="18"/>
      <c r="I3069" s="19">
        <v>3067</v>
      </c>
      <c r="J3069" s="19" cm="1">
        <f t="array" aca="1" ref="J3069" ca="1">INDIRECT("b"&amp;K3069+2)</f>
        <v>2.3499999999999998E+164</v>
      </c>
      <c r="K3069" s="19">
        <f t="shared" si="577"/>
        <v>5688</v>
      </c>
    </row>
    <row r="3070" spans="1:11">
      <c r="A3070">
        <v>3068</v>
      </c>
      <c r="B3070">
        <v>6.8500000000000004E+98</v>
      </c>
      <c r="D3070" s="18">
        <v>3068</v>
      </c>
      <c r="E3070" s="18" cm="1">
        <f t="array" aca="1" ref="E3070" ca="1">INDIRECT("b"&amp;F3070+2)</f>
        <v>2.5750000000000002E+134</v>
      </c>
      <c r="F3070" s="18">
        <f t="shared" si="581"/>
        <v>4489</v>
      </c>
      <c r="G3070" s="18"/>
      <c r="H3070" s="18"/>
      <c r="I3070" s="19">
        <v>3068</v>
      </c>
      <c r="J3070" s="19" cm="1">
        <f t="array" aca="1" ref="J3070" ca="1">INDIRECT("b"&amp;K3070+2)</f>
        <v>2.5749999999999997E+164</v>
      </c>
      <c r="K3070" s="19">
        <f t="shared" si="577"/>
        <v>5689</v>
      </c>
    </row>
    <row r="3071" spans="1:11">
      <c r="A3071">
        <v>3069</v>
      </c>
      <c r="B3071">
        <v>7.0750000000000003E+98</v>
      </c>
      <c r="D3071" s="18">
        <v>3069</v>
      </c>
      <c r="E3071" s="18" cm="1">
        <f t="array" aca="1" ref="E3071" ca="1">INDIRECT("b"&amp;F3071+2)</f>
        <v>2.8000000000000003E+134</v>
      </c>
      <c r="F3071" s="18">
        <f t="shared" si="581"/>
        <v>4490</v>
      </c>
      <c r="G3071" s="18"/>
      <c r="H3071" s="18"/>
      <c r="I3071" s="19">
        <v>3069</v>
      </c>
      <c r="J3071" s="19" cm="1">
        <f t="array" aca="1" ref="J3071" ca="1">INDIRECT("b"&amp;K3071+2)</f>
        <v>2.7999999999999997E+164</v>
      </c>
      <c r="K3071" s="19">
        <f t="shared" si="577"/>
        <v>5690</v>
      </c>
    </row>
    <row r="3072" spans="1:11">
      <c r="A3072">
        <v>3070</v>
      </c>
      <c r="B3072">
        <v>7.3000000000000003E+98</v>
      </c>
      <c r="D3072" s="18">
        <v>3070</v>
      </c>
      <c r="E3072" s="18" cm="1">
        <f t="array" aca="1" ref="E3072" ca="1">INDIRECT("b"&amp;F3072+2)</f>
        <v>3.2500000000000004E+134</v>
      </c>
      <c r="F3072" s="18">
        <f t="shared" si="581"/>
        <v>4492</v>
      </c>
      <c r="G3072" s="18"/>
      <c r="H3072" s="18"/>
      <c r="I3072" s="19">
        <v>3070</v>
      </c>
      <c r="J3072" s="19" cm="1">
        <f t="array" aca="1" ref="J3072" ca="1">INDIRECT("b"&amp;K3072+2)</f>
        <v>3.2500000000000001E+164</v>
      </c>
      <c r="K3072" s="19">
        <f t="shared" si="577"/>
        <v>5692</v>
      </c>
    </row>
    <row r="3073" spans="1:11">
      <c r="A3073">
        <v>3071</v>
      </c>
      <c r="B3073">
        <v>7.5250000000000002E+98</v>
      </c>
      <c r="D3073" s="18">
        <v>3071</v>
      </c>
      <c r="E3073" s="18" cm="1">
        <f t="array" aca="1" ref="E3073" ca="1">INDIRECT("b"&amp;F3073+2)</f>
        <v>3.4750000000000001E+134</v>
      </c>
      <c r="F3073" s="18">
        <f t="shared" si="581"/>
        <v>4493</v>
      </c>
      <c r="G3073" s="18">
        <f t="shared" ref="G3073" ca="1" si="591">E3073/E3068</f>
        <v>1.8289473684210527</v>
      </c>
      <c r="H3073" s="18"/>
      <c r="I3073" s="19">
        <v>3071</v>
      </c>
      <c r="J3073" s="19" cm="1">
        <f t="array" aca="1" ref="J3073" ca="1">INDIRECT("b"&amp;K3073+2)</f>
        <v>3.4750000000000001E+164</v>
      </c>
      <c r="K3073" s="19">
        <f t="shared" si="577"/>
        <v>5693</v>
      </c>
    </row>
    <row r="3074" spans="1:11">
      <c r="A3074">
        <v>3072</v>
      </c>
      <c r="B3074">
        <v>7.7500000000000002E+98</v>
      </c>
      <c r="D3074" s="18">
        <v>3072</v>
      </c>
      <c r="E3074" s="18" cm="1">
        <f t="array" aca="1" ref="E3074" ca="1">INDIRECT("b"&amp;F3074+2)</f>
        <v>3.7000000000000001E+134</v>
      </c>
      <c r="F3074" s="18">
        <f t="shared" si="581"/>
        <v>4494</v>
      </c>
      <c r="G3074" s="18"/>
      <c r="H3074" s="18"/>
      <c r="I3074" s="19">
        <v>3072</v>
      </c>
      <c r="J3074" s="19" cm="1">
        <f t="array" aca="1" ref="J3074" ca="1">INDIRECT("b"&amp;K3074+2)</f>
        <v>3.7000000000000001E+164</v>
      </c>
      <c r="K3074" s="19">
        <f t="shared" si="577"/>
        <v>5694</v>
      </c>
    </row>
    <row r="3075" spans="1:11">
      <c r="A3075">
        <v>3073</v>
      </c>
      <c r="B3075">
        <v>7.9750000000000001E+98</v>
      </c>
      <c r="D3075" s="18">
        <v>3073</v>
      </c>
      <c r="E3075" s="18" cm="1">
        <f t="array" aca="1" ref="E3075" ca="1">INDIRECT("b"&amp;F3075+2)</f>
        <v>4.1500000000000003E+134</v>
      </c>
      <c r="F3075" s="18">
        <f t="shared" si="581"/>
        <v>4496</v>
      </c>
      <c r="G3075" s="18"/>
      <c r="H3075" s="18"/>
      <c r="I3075" s="19">
        <v>3073</v>
      </c>
      <c r="J3075" s="19" cm="1">
        <f t="array" aca="1" ref="J3075" ca="1">INDIRECT("b"&amp;K3075+2)</f>
        <v>4.15E+164</v>
      </c>
      <c r="K3075" s="19">
        <f t="shared" si="577"/>
        <v>5696</v>
      </c>
    </row>
    <row r="3076" spans="1:11">
      <c r="A3076">
        <v>3074</v>
      </c>
      <c r="B3076">
        <v>8.2000000000000001E+98</v>
      </c>
      <c r="D3076" s="18">
        <v>3074</v>
      </c>
      <c r="E3076" s="18" cm="1">
        <f t="array" aca="1" ref="E3076" ca="1">INDIRECT("b"&amp;F3076+2)</f>
        <v>4.3750000000000003E+134</v>
      </c>
      <c r="F3076" s="18">
        <f t="shared" si="581"/>
        <v>4497</v>
      </c>
      <c r="G3076" s="18"/>
      <c r="H3076" s="18"/>
      <c r="I3076" s="19">
        <v>3074</v>
      </c>
      <c r="J3076" s="19" cm="1">
        <f t="array" aca="1" ref="J3076" ca="1">INDIRECT("b"&amp;K3076+2)</f>
        <v>4.3749999999999999E+164</v>
      </c>
      <c r="K3076" s="19">
        <f t="shared" ref="K3076:K3139" si="592">INT((A3076-1)*40/30+900*40/30)+400</f>
        <v>5697</v>
      </c>
    </row>
    <row r="3077" spans="1:11">
      <c r="A3077">
        <v>3075</v>
      </c>
      <c r="B3077">
        <v>8.425E+98</v>
      </c>
      <c r="D3077" s="18">
        <v>3075</v>
      </c>
      <c r="E3077" s="18" cm="1">
        <f t="array" aca="1" ref="E3077" ca="1">INDIRECT("b"&amp;F3077+2)</f>
        <v>4.6000000000000004E+134</v>
      </c>
      <c r="F3077" s="18">
        <f t="shared" si="581"/>
        <v>4498</v>
      </c>
      <c r="G3077" s="18"/>
      <c r="H3077" s="18"/>
      <c r="I3077" s="19">
        <v>3075</v>
      </c>
      <c r="J3077" s="19" cm="1">
        <f t="array" aca="1" ref="J3077" ca="1">INDIRECT("b"&amp;K3077+2)</f>
        <v>4.5999999999999999E+164</v>
      </c>
      <c r="K3077" s="19">
        <f t="shared" si="592"/>
        <v>5698</v>
      </c>
    </row>
    <row r="3078" spans="1:11">
      <c r="A3078">
        <v>3076</v>
      </c>
      <c r="B3078">
        <v>8.65E+98</v>
      </c>
      <c r="D3078" s="18">
        <v>3076</v>
      </c>
      <c r="E3078" s="18" cm="1">
        <f t="array" aca="1" ref="E3078" ca="1">INDIRECT("b"&amp;F3078+2)</f>
        <v>5.0500000000000005E+134</v>
      </c>
      <c r="F3078" s="18">
        <f t="shared" si="581"/>
        <v>4500</v>
      </c>
      <c r="G3078" s="18">
        <f t="shared" ref="G3078" ca="1" si="593">E3078/E3073</f>
        <v>1.4532374100719425</v>
      </c>
      <c r="H3078" s="18"/>
      <c r="I3078" s="19">
        <v>3076</v>
      </c>
      <c r="J3078" s="19" cm="1">
        <f t="array" aca="1" ref="J3078" ca="1">INDIRECT("b"&amp;K3078+2)</f>
        <v>5.0499999999999998E+164</v>
      </c>
      <c r="K3078" s="19">
        <f t="shared" si="592"/>
        <v>5700</v>
      </c>
    </row>
    <row r="3079" spans="1:11">
      <c r="A3079">
        <v>3077</v>
      </c>
      <c r="B3079">
        <v>8.8749999999999999E+98</v>
      </c>
      <c r="D3079" s="18">
        <v>3077</v>
      </c>
      <c r="E3079" s="18" cm="1">
        <f t="array" aca="1" ref="E3079" ca="1">INDIRECT("b"&amp;F3079+2)</f>
        <v>5.2750000000000006E+134</v>
      </c>
      <c r="F3079" s="18">
        <f t="shared" si="581"/>
        <v>4501</v>
      </c>
      <c r="G3079" s="18"/>
      <c r="H3079" s="18"/>
      <c r="I3079" s="19">
        <v>3077</v>
      </c>
      <c r="J3079" s="19" cm="1">
        <f t="array" aca="1" ref="J3079" ca="1">INDIRECT("b"&amp;K3079+2)</f>
        <v>5.2750000000000003E+164</v>
      </c>
      <c r="K3079" s="19">
        <f t="shared" si="592"/>
        <v>5701</v>
      </c>
    </row>
    <row r="3080" spans="1:11">
      <c r="A3080">
        <v>3078</v>
      </c>
      <c r="B3080">
        <v>9.0999999999999999E+98</v>
      </c>
      <c r="D3080" s="18">
        <v>3078</v>
      </c>
      <c r="E3080" s="18" cm="1">
        <f t="array" aca="1" ref="E3080" ca="1">INDIRECT("b"&amp;F3080+2)</f>
        <v>5.5000000000000007E+134</v>
      </c>
      <c r="F3080" s="18">
        <f t="shared" si="581"/>
        <v>4502</v>
      </c>
      <c r="G3080" s="18"/>
      <c r="H3080" s="18"/>
      <c r="I3080" s="19">
        <v>3078</v>
      </c>
      <c r="J3080" s="19" cm="1">
        <f t="array" aca="1" ref="J3080" ca="1">INDIRECT("b"&amp;K3080+2)</f>
        <v>5.4999999999999998E+164</v>
      </c>
      <c r="K3080" s="19">
        <f t="shared" si="592"/>
        <v>5702</v>
      </c>
    </row>
    <row r="3081" spans="1:11">
      <c r="A3081">
        <v>3079</v>
      </c>
      <c r="B3081">
        <v>9.3249999999999998E+98</v>
      </c>
      <c r="D3081" s="18">
        <v>3079</v>
      </c>
      <c r="E3081" s="18" cm="1">
        <f t="array" aca="1" ref="E3081" ca="1">INDIRECT("b"&amp;F3081+2)</f>
        <v>5.9500000000000008E+134</v>
      </c>
      <c r="F3081" s="18">
        <f t="shared" si="581"/>
        <v>4504</v>
      </c>
      <c r="G3081" s="18"/>
      <c r="H3081" s="18"/>
      <c r="I3081" s="19">
        <v>3079</v>
      </c>
      <c r="J3081" s="19" cm="1">
        <f t="array" aca="1" ref="J3081" ca="1">INDIRECT("b"&amp;K3081+2)</f>
        <v>5.9499999999999997E+164</v>
      </c>
      <c r="K3081" s="19">
        <f t="shared" si="592"/>
        <v>5704</v>
      </c>
    </row>
    <row r="3082" spans="1:11">
      <c r="A3082">
        <v>3080</v>
      </c>
      <c r="B3082">
        <v>9.5499999999999998E+98</v>
      </c>
      <c r="D3082" s="18">
        <v>3080</v>
      </c>
      <c r="E3082" s="18" cm="1">
        <f t="array" aca="1" ref="E3082" ca="1">INDIRECT("b"&amp;F3082+2)</f>
        <v>6.1750000000000001E+134</v>
      </c>
      <c r="F3082" s="18">
        <f t="shared" si="581"/>
        <v>4505</v>
      </c>
      <c r="G3082" s="18"/>
      <c r="H3082" s="18"/>
      <c r="I3082" s="19">
        <v>3080</v>
      </c>
      <c r="J3082" s="19" cm="1">
        <f t="array" aca="1" ref="J3082" ca="1">INDIRECT("b"&amp;K3082+2)</f>
        <v>6.1750000000000002E+164</v>
      </c>
      <c r="K3082" s="19">
        <f t="shared" si="592"/>
        <v>5705</v>
      </c>
    </row>
    <row r="3083" spans="1:11">
      <c r="A3083">
        <v>3081</v>
      </c>
      <c r="B3083">
        <v>9.7749999999999997E+98</v>
      </c>
      <c r="D3083" s="18">
        <v>3081</v>
      </c>
      <c r="E3083" s="18" cm="1">
        <f t="array" aca="1" ref="E3083" ca="1">INDIRECT("b"&amp;F3083+2)</f>
        <v>6.4000000000000001E+134</v>
      </c>
      <c r="F3083" s="18">
        <f t="shared" si="581"/>
        <v>4506</v>
      </c>
      <c r="G3083" s="18">
        <f t="shared" ref="G3083" ca="1" si="594">E3083/E3078</f>
        <v>1.2673267326732671</v>
      </c>
      <c r="H3083" s="18"/>
      <c r="I3083" s="19">
        <v>3081</v>
      </c>
      <c r="J3083" s="19" cm="1">
        <f t="array" aca="1" ref="J3083" ca="1">INDIRECT("b"&amp;K3083+2)</f>
        <v>6.3999999999999996E+164</v>
      </c>
      <c r="K3083" s="19">
        <f t="shared" si="592"/>
        <v>5706</v>
      </c>
    </row>
    <row r="3084" spans="1:11">
      <c r="A3084">
        <v>3082</v>
      </c>
      <c r="B3084">
        <v>1.0000000000000001E+99</v>
      </c>
      <c r="D3084" s="18">
        <v>3082</v>
      </c>
      <c r="E3084" s="18" cm="1">
        <f t="array" aca="1" ref="E3084" ca="1">INDIRECT("b"&amp;F3084+2)</f>
        <v>6.8500000000000003E+134</v>
      </c>
      <c r="F3084" s="18">
        <f t="shared" si="581"/>
        <v>4508</v>
      </c>
      <c r="G3084" s="18"/>
      <c r="H3084" s="18"/>
      <c r="I3084" s="19">
        <v>3082</v>
      </c>
      <c r="J3084" s="19" cm="1">
        <f t="array" aca="1" ref="J3084" ca="1">INDIRECT("b"&amp;K3084+2)</f>
        <v>6.8499999999999995E+164</v>
      </c>
      <c r="K3084" s="19">
        <f t="shared" si="592"/>
        <v>5708</v>
      </c>
    </row>
    <row r="3085" spans="1:11">
      <c r="A3085">
        <v>3083</v>
      </c>
      <c r="B3085">
        <v>1.2250000000000002E+99</v>
      </c>
      <c r="D3085" s="18">
        <v>3083</v>
      </c>
      <c r="E3085" s="18" cm="1">
        <f t="array" aca="1" ref="E3085" ca="1">INDIRECT("b"&amp;F3085+2)</f>
        <v>7.0750000000000003E+134</v>
      </c>
      <c r="F3085" s="18">
        <f t="shared" si="581"/>
        <v>4509</v>
      </c>
      <c r="G3085" s="18"/>
      <c r="H3085" s="18"/>
      <c r="I3085" s="19">
        <v>3083</v>
      </c>
      <c r="J3085" s="19" cm="1">
        <f t="array" aca="1" ref="J3085" ca="1">INDIRECT("b"&amp;K3085+2)</f>
        <v>7.075E+164</v>
      </c>
      <c r="K3085" s="19">
        <f t="shared" si="592"/>
        <v>5709</v>
      </c>
    </row>
    <row r="3086" spans="1:11">
      <c r="A3086">
        <v>3084</v>
      </c>
      <c r="B3086">
        <v>1.4500000000000001E+99</v>
      </c>
      <c r="D3086" s="18">
        <v>3084</v>
      </c>
      <c r="E3086" s="18" cm="1">
        <f t="array" aca="1" ref="E3086" ca="1">INDIRECT("b"&amp;F3086+2)</f>
        <v>7.3000000000000004E+134</v>
      </c>
      <c r="F3086" s="18">
        <f t="shared" si="581"/>
        <v>4510</v>
      </c>
      <c r="G3086" s="18"/>
      <c r="H3086" s="18"/>
      <c r="I3086" s="19">
        <v>3084</v>
      </c>
      <c r="J3086" s="19" cm="1">
        <f t="array" aca="1" ref="J3086" ca="1">INDIRECT("b"&amp;K3086+2)</f>
        <v>7.2999999999999995E+164</v>
      </c>
      <c r="K3086" s="19">
        <f t="shared" si="592"/>
        <v>5710</v>
      </c>
    </row>
    <row r="3087" spans="1:11">
      <c r="A3087">
        <v>3085</v>
      </c>
      <c r="B3087">
        <v>1.6750000000000001E+99</v>
      </c>
      <c r="D3087" s="18">
        <v>3085</v>
      </c>
      <c r="E3087" s="18" cm="1">
        <f t="array" aca="1" ref="E3087" ca="1">INDIRECT("b"&amp;F3087+2)</f>
        <v>7.7500000000000006E+134</v>
      </c>
      <c r="F3087" s="18">
        <f t="shared" si="581"/>
        <v>4512</v>
      </c>
      <c r="G3087" s="18"/>
      <c r="H3087" s="18"/>
      <c r="I3087" s="19">
        <v>3085</v>
      </c>
      <c r="J3087" s="19" cm="1">
        <f t="array" aca="1" ref="J3087" ca="1">INDIRECT("b"&amp;K3087+2)</f>
        <v>7.7499999999999994E+164</v>
      </c>
      <c r="K3087" s="19">
        <f t="shared" si="592"/>
        <v>5712</v>
      </c>
    </row>
    <row r="3088" spans="1:11">
      <c r="A3088">
        <v>3086</v>
      </c>
      <c r="B3088">
        <v>1.9000000000000003E+99</v>
      </c>
      <c r="D3088" s="18">
        <v>3086</v>
      </c>
      <c r="E3088" s="18" cm="1">
        <f t="array" aca="1" ref="E3088" ca="1">INDIRECT("b"&amp;F3088+2)</f>
        <v>7.9749999999999998E+134</v>
      </c>
      <c r="F3088" s="18">
        <f t="shared" si="581"/>
        <v>4513</v>
      </c>
      <c r="G3088" s="18">
        <f t="shared" ref="G3088" ca="1" si="595">E3088/E3083</f>
        <v>1.24609375</v>
      </c>
      <c r="H3088" s="18"/>
      <c r="I3088" s="19">
        <v>3086</v>
      </c>
      <c r="J3088" s="19" cm="1">
        <f t="array" aca="1" ref="J3088" ca="1">INDIRECT("b"&amp;K3088+2)</f>
        <v>7.9749999999999998E+164</v>
      </c>
      <c r="K3088" s="19">
        <f t="shared" si="592"/>
        <v>5713</v>
      </c>
    </row>
    <row r="3089" spans="1:11">
      <c r="A3089">
        <v>3087</v>
      </c>
      <c r="B3089">
        <v>2.1250000000000002E+99</v>
      </c>
      <c r="D3089" s="18">
        <v>3087</v>
      </c>
      <c r="E3089" s="18" cm="1">
        <f t="array" aca="1" ref="E3089" ca="1">INDIRECT("b"&amp;F3089+2)</f>
        <v>8.2000000000000007E+134</v>
      </c>
      <c r="F3089" s="18">
        <f t="shared" si="581"/>
        <v>4514</v>
      </c>
      <c r="G3089" s="18"/>
      <c r="H3089" s="18"/>
      <c r="I3089" s="19">
        <v>3087</v>
      </c>
      <c r="J3089" s="19" cm="1">
        <f t="array" aca="1" ref="J3089" ca="1">INDIRECT("b"&amp;K3089+2)</f>
        <v>8.2000000000000003E+164</v>
      </c>
      <c r="K3089" s="19">
        <f t="shared" si="592"/>
        <v>5714</v>
      </c>
    </row>
    <row r="3090" spans="1:11">
      <c r="A3090">
        <v>3088</v>
      </c>
      <c r="B3090">
        <v>2.3500000000000004E+99</v>
      </c>
      <c r="D3090" s="18">
        <v>3088</v>
      </c>
      <c r="E3090" s="18" cm="1">
        <f t="array" aca="1" ref="E3090" ca="1">INDIRECT("b"&amp;F3090+2)</f>
        <v>8.6500000000000008E+134</v>
      </c>
      <c r="F3090" s="18">
        <f t="shared" si="581"/>
        <v>4516</v>
      </c>
      <c r="G3090" s="18"/>
      <c r="H3090" s="18"/>
      <c r="I3090" s="19">
        <v>3088</v>
      </c>
      <c r="J3090" s="19" cm="1">
        <f t="array" aca="1" ref="J3090" ca="1">INDIRECT("b"&amp;K3090+2)</f>
        <v>8.6500000000000002E+164</v>
      </c>
      <c r="K3090" s="19">
        <f t="shared" si="592"/>
        <v>5716</v>
      </c>
    </row>
    <row r="3091" spans="1:11">
      <c r="A3091">
        <v>3089</v>
      </c>
      <c r="B3091">
        <v>2.5750000000000001E+99</v>
      </c>
      <c r="D3091" s="18">
        <v>3089</v>
      </c>
      <c r="E3091" s="18" cm="1">
        <f t="array" aca="1" ref="E3091" ca="1">INDIRECT("b"&amp;F3091+2)</f>
        <v>8.8750000000000001E+134</v>
      </c>
      <c r="F3091" s="18">
        <f t="shared" ref="F3091:F3154" si="596">INT((A3091-123)*1.333333)+563</f>
        <v>4517</v>
      </c>
      <c r="G3091" s="18"/>
      <c r="H3091" s="18"/>
      <c r="I3091" s="19">
        <v>3089</v>
      </c>
      <c r="J3091" s="19" cm="1">
        <f t="array" aca="1" ref="J3091" ca="1">INDIRECT("b"&amp;K3091+2)</f>
        <v>8.8749999999999997E+164</v>
      </c>
      <c r="K3091" s="19">
        <f t="shared" si="592"/>
        <v>5717</v>
      </c>
    </row>
    <row r="3092" spans="1:11">
      <c r="A3092">
        <v>3090</v>
      </c>
      <c r="B3092">
        <v>2.8000000000000003E+99</v>
      </c>
      <c r="D3092" s="18">
        <v>3090</v>
      </c>
      <c r="E3092" s="18" cm="1">
        <f t="array" aca="1" ref="E3092" ca="1">INDIRECT("b"&amp;F3092+2)</f>
        <v>9.100000000000001E+134</v>
      </c>
      <c r="F3092" s="18">
        <f t="shared" si="596"/>
        <v>4518</v>
      </c>
      <c r="G3092" s="18"/>
      <c r="H3092" s="18"/>
      <c r="I3092" s="19">
        <v>3090</v>
      </c>
      <c r="J3092" s="19" cm="1">
        <f t="array" aca="1" ref="J3092" ca="1">INDIRECT("b"&amp;K3092+2)</f>
        <v>9.1000000000000002E+164</v>
      </c>
      <c r="K3092" s="19">
        <f t="shared" si="592"/>
        <v>5718</v>
      </c>
    </row>
    <row r="3093" spans="1:11">
      <c r="A3093">
        <v>3091</v>
      </c>
      <c r="B3093">
        <v>3.025E+99</v>
      </c>
      <c r="D3093" s="18">
        <v>3091</v>
      </c>
      <c r="E3093" s="18" cm="1">
        <f t="array" aca="1" ref="E3093" ca="1">INDIRECT("b"&amp;F3093+2)</f>
        <v>9.5500000000000011E+134</v>
      </c>
      <c r="F3093" s="18">
        <f t="shared" si="596"/>
        <v>4520</v>
      </c>
      <c r="G3093" s="18">
        <f t="shared" ref="G3093" ca="1" si="597">E3093/E3088</f>
        <v>1.1974921630094046</v>
      </c>
      <c r="H3093" s="18"/>
      <c r="I3093" s="19">
        <v>3091</v>
      </c>
      <c r="J3093" s="19" cm="1">
        <f t="array" aca="1" ref="J3093" ca="1">INDIRECT("b"&amp;K3093+2)</f>
        <v>9.5500000000000001E+164</v>
      </c>
      <c r="K3093" s="19">
        <f t="shared" si="592"/>
        <v>5720</v>
      </c>
    </row>
    <row r="3094" spans="1:11">
      <c r="A3094">
        <v>3092</v>
      </c>
      <c r="B3094">
        <v>3.2500000000000002E+99</v>
      </c>
      <c r="D3094" s="18">
        <v>3092</v>
      </c>
      <c r="E3094" s="18" cm="1">
        <f t="array" aca="1" ref="E3094" ca="1">INDIRECT("b"&amp;F3094+2)</f>
        <v>9.7750000000000004E+134</v>
      </c>
      <c r="F3094" s="18">
        <f t="shared" si="596"/>
        <v>4521</v>
      </c>
      <c r="G3094" s="18"/>
      <c r="H3094" s="18"/>
      <c r="I3094" s="19">
        <v>3092</v>
      </c>
      <c r="J3094" s="19" cm="1">
        <f t="array" aca="1" ref="J3094" ca="1">INDIRECT("b"&amp;K3094+2)</f>
        <v>9.7750000000000006E+164</v>
      </c>
      <c r="K3094" s="19">
        <f t="shared" si="592"/>
        <v>5721</v>
      </c>
    </row>
    <row r="3095" spans="1:11">
      <c r="A3095">
        <v>3093</v>
      </c>
      <c r="B3095">
        <v>3.4750000000000004E+99</v>
      </c>
      <c r="D3095" s="18">
        <v>3093</v>
      </c>
      <c r="E3095" s="18" cm="1">
        <f t="array" aca="1" ref="E3095" ca="1">INDIRECT("b"&amp;F3095+2)</f>
        <v>9.9999999999999996E+134</v>
      </c>
      <c r="F3095" s="18">
        <f t="shared" si="596"/>
        <v>4522</v>
      </c>
      <c r="G3095" s="18"/>
      <c r="H3095" s="18"/>
      <c r="I3095" s="19">
        <v>3093</v>
      </c>
      <c r="J3095" s="19" cm="1">
        <f t="array" aca="1" ref="J3095" ca="1">INDIRECT("b"&amp;K3095+2)</f>
        <v>9.999999999999999E+164</v>
      </c>
      <c r="K3095" s="19">
        <f t="shared" si="592"/>
        <v>5722</v>
      </c>
    </row>
    <row r="3096" spans="1:11">
      <c r="A3096">
        <v>3094</v>
      </c>
      <c r="B3096">
        <v>3.7000000000000001E+99</v>
      </c>
      <c r="D3096" s="18">
        <v>3094</v>
      </c>
      <c r="E3096" s="18" cm="1">
        <f t="array" aca="1" ref="E3096" ca="1">INDIRECT("b"&amp;F3096+2)</f>
        <v>1.4499999999999999E+135</v>
      </c>
      <c r="F3096" s="18">
        <f t="shared" si="596"/>
        <v>4524</v>
      </c>
      <c r="G3096" s="18"/>
      <c r="H3096" s="18"/>
      <c r="I3096" s="19">
        <v>3094</v>
      </c>
      <c r="J3096" s="19" cm="1">
        <f t="array" aca="1" ref="J3096" ca="1">INDIRECT("b"&amp;K3096+2)</f>
        <v>1.45E+165</v>
      </c>
      <c r="K3096" s="19">
        <f t="shared" si="592"/>
        <v>5724</v>
      </c>
    </row>
    <row r="3097" spans="1:11">
      <c r="A3097">
        <v>3095</v>
      </c>
      <c r="B3097">
        <v>3.9250000000000003E+99</v>
      </c>
      <c r="D3097" s="18">
        <v>3095</v>
      </c>
      <c r="E3097" s="18" cm="1">
        <f t="array" aca="1" ref="E3097" ca="1">INDIRECT("b"&amp;F3097+2)</f>
        <v>1.6749999999999998E+135</v>
      </c>
      <c r="F3097" s="18">
        <f t="shared" si="596"/>
        <v>4525</v>
      </c>
      <c r="G3097" s="18"/>
      <c r="H3097" s="18"/>
      <c r="I3097" s="19">
        <v>3095</v>
      </c>
      <c r="J3097" s="19" cm="1">
        <f t="array" aca="1" ref="J3097" ca="1">INDIRECT("b"&amp;K3097+2)</f>
        <v>1.6749999999999999E+165</v>
      </c>
      <c r="K3097" s="19">
        <f t="shared" si="592"/>
        <v>5725</v>
      </c>
    </row>
    <row r="3098" spans="1:11">
      <c r="A3098">
        <v>3096</v>
      </c>
      <c r="B3098">
        <v>4.1500000000000005E+99</v>
      </c>
      <c r="D3098" s="18">
        <v>3096</v>
      </c>
      <c r="E3098" s="18" cm="1">
        <f t="array" aca="1" ref="E3098" ca="1">INDIRECT("b"&amp;F3098+2)</f>
        <v>1.9000000000000001E+135</v>
      </c>
      <c r="F3098" s="18">
        <f t="shared" si="596"/>
        <v>4526</v>
      </c>
      <c r="G3098" s="18">
        <f t="shared" ref="G3098" ca="1" si="598">E3098/E3093</f>
        <v>1.9895287958115182</v>
      </c>
      <c r="H3098" s="18"/>
      <c r="I3098" s="19">
        <v>3096</v>
      </c>
      <c r="J3098" s="19" cm="1">
        <f t="array" aca="1" ref="J3098" ca="1">INDIRECT("b"&amp;K3098+2)</f>
        <v>1.9E+165</v>
      </c>
      <c r="K3098" s="19">
        <f t="shared" si="592"/>
        <v>5726</v>
      </c>
    </row>
    <row r="3099" spans="1:11">
      <c r="A3099">
        <v>3097</v>
      </c>
      <c r="B3099">
        <v>4.3750000000000007E+99</v>
      </c>
      <c r="D3099" s="18">
        <v>3097</v>
      </c>
      <c r="E3099" s="18" cm="1">
        <f t="array" aca="1" ref="E3099" ca="1">INDIRECT("b"&amp;F3099+2)</f>
        <v>2.3499999999999999E+135</v>
      </c>
      <c r="F3099" s="18">
        <f t="shared" si="596"/>
        <v>4528</v>
      </c>
      <c r="G3099" s="18"/>
      <c r="H3099" s="18"/>
      <c r="I3099" s="19">
        <v>3097</v>
      </c>
      <c r="J3099" s="19" cm="1">
        <f t="array" aca="1" ref="J3099" ca="1">INDIRECT("b"&amp;K3099+2)</f>
        <v>2.3500000000000001E+165</v>
      </c>
      <c r="K3099" s="19">
        <f t="shared" si="592"/>
        <v>5728</v>
      </c>
    </row>
    <row r="3100" spans="1:11">
      <c r="A3100">
        <v>3098</v>
      </c>
      <c r="B3100">
        <v>4.6000000000000004E+99</v>
      </c>
      <c r="D3100" s="18">
        <v>3098</v>
      </c>
      <c r="E3100" s="18" cm="1">
        <f t="array" aca="1" ref="E3100" ca="1">INDIRECT("b"&amp;F3100+2)</f>
        <v>2.5749999999999998E+135</v>
      </c>
      <c r="F3100" s="18">
        <f t="shared" si="596"/>
        <v>4529</v>
      </c>
      <c r="G3100" s="18"/>
      <c r="H3100" s="18"/>
      <c r="I3100" s="19">
        <v>3098</v>
      </c>
      <c r="J3100" s="19" cm="1">
        <f t="array" aca="1" ref="J3100" ca="1">INDIRECT("b"&amp;K3100+2)</f>
        <v>2.5750000000000001E+165</v>
      </c>
      <c r="K3100" s="19">
        <f t="shared" si="592"/>
        <v>5729</v>
      </c>
    </row>
    <row r="3101" spans="1:11">
      <c r="A3101">
        <v>3099</v>
      </c>
      <c r="B3101">
        <v>4.8250000000000001E+99</v>
      </c>
      <c r="D3101" s="18">
        <v>3099</v>
      </c>
      <c r="E3101" s="18" cm="1">
        <f t="array" aca="1" ref="E3101" ca="1">INDIRECT("b"&amp;F3101+2)</f>
        <v>2.8E+135</v>
      </c>
      <c r="F3101" s="18">
        <f t="shared" si="596"/>
        <v>4530</v>
      </c>
      <c r="G3101" s="18"/>
      <c r="H3101" s="18"/>
      <c r="I3101" s="19">
        <v>3099</v>
      </c>
      <c r="J3101" s="19" cm="1">
        <f t="array" aca="1" ref="J3101" ca="1">INDIRECT("b"&amp;K3101+2)</f>
        <v>2.7999999999999998E+165</v>
      </c>
      <c r="K3101" s="19">
        <f t="shared" si="592"/>
        <v>5730</v>
      </c>
    </row>
    <row r="3102" spans="1:11">
      <c r="A3102">
        <v>3100</v>
      </c>
      <c r="B3102">
        <v>5.0500000000000008E+99</v>
      </c>
      <c r="D3102" s="18">
        <v>3100</v>
      </c>
      <c r="E3102" s="18" cm="1">
        <f t="array" aca="1" ref="E3102" ca="1">INDIRECT("b"&amp;F3102+2)</f>
        <v>3.2500000000000002E+135</v>
      </c>
      <c r="F3102" s="18">
        <f t="shared" si="596"/>
        <v>4532</v>
      </c>
      <c r="G3102" s="18"/>
      <c r="H3102" s="18"/>
      <c r="I3102" s="19">
        <v>3100</v>
      </c>
      <c r="J3102" s="19" cm="1">
        <f t="array" aca="1" ref="J3102" ca="1">INDIRECT("b"&amp;K3102+2)</f>
        <v>3.2499999999999999E+165</v>
      </c>
      <c r="K3102" s="19">
        <f t="shared" si="592"/>
        <v>5732</v>
      </c>
    </row>
    <row r="3103" spans="1:11">
      <c r="A3103">
        <v>3101</v>
      </c>
      <c r="B3103">
        <v>5.2750000000000005E+99</v>
      </c>
      <c r="D3103" s="18">
        <v>3101</v>
      </c>
      <c r="E3103" s="18" cm="1">
        <f t="array" aca="1" ref="E3103" ca="1">INDIRECT("b"&amp;F3103+2)</f>
        <v>3.4749999999999997E+135</v>
      </c>
      <c r="F3103" s="18">
        <f t="shared" si="596"/>
        <v>4533</v>
      </c>
      <c r="G3103" s="18">
        <f t="shared" ref="G3103" ca="1" si="599">E3103/E3098</f>
        <v>1.8289473684210524</v>
      </c>
      <c r="H3103" s="18"/>
      <c r="I3103" s="19">
        <v>3101</v>
      </c>
      <c r="J3103" s="19" cm="1">
        <f t="array" aca="1" ref="J3103" ca="1">INDIRECT("b"&amp;K3103+2)</f>
        <v>3.475E+165</v>
      </c>
      <c r="K3103" s="19">
        <f t="shared" si="592"/>
        <v>5733</v>
      </c>
    </row>
    <row r="3104" spans="1:11">
      <c r="A3104">
        <v>3102</v>
      </c>
      <c r="B3104">
        <v>5.5000000000000002E+99</v>
      </c>
      <c r="D3104" s="18">
        <v>3102</v>
      </c>
      <c r="E3104" s="18" cm="1">
        <f t="array" aca="1" ref="E3104" ca="1">INDIRECT("b"&amp;F3104+2)</f>
        <v>3.7E+135</v>
      </c>
      <c r="F3104" s="18">
        <f t="shared" si="596"/>
        <v>4534</v>
      </c>
      <c r="G3104" s="18"/>
      <c r="H3104" s="18"/>
      <c r="I3104" s="19">
        <v>3102</v>
      </c>
      <c r="J3104" s="19" cm="1">
        <f t="array" aca="1" ref="J3104" ca="1">INDIRECT("b"&amp;K3104+2)</f>
        <v>3.7000000000000001E+165</v>
      </c>
      <c r="K3104" s="19">
        <f t="shared" si="592"/>
        <v>5734</v>
      </c>
    </row>
    <row r="3105" spans="1:11">
      <c r="A3105">
        <v>3103</v>
      </c>
      <c r="B3105">
        <v>5.7250000000000009E+99</v>
      </c>
      <c r="D3105" s="18">
        <v>3103</v>
      </c>
      <c r="E3105" s="18" cm="1">
        <f t="array" aca="1" ref="E3105" ca="1">INDIRECT("b"&amp;F3105+2)</f>
        <v>4.1499999999999998E+135</v>
      </c>
      <c r="F3105" s="18">
        <f t="shared" si="596"/>
        <v>4536</v>
      </c>
      <c r="G3105" s="18"/>
      <c r="H3105" s="18"/>
      <c r="I3105" s="19">
        <v>3103</v>
      </c>
      <c r="J3105" s="19" cm="1">
        <f t="array" aca="1" ref="J3105" ca="1">INDIRECT("b"&amp;K3105+2)</f>
        <v>4.1500000000000002E+165</v>
      </c>
      <c r="K3105" s="19">
        <f t="shared" si="592"/>
        <v>5736</v>
      </c>
    </row>
    <row r="3106" spans="1:11">
      <c r="A3106">
        <v>3104</v>
      </c>
      <c r="B3106">
        <v>5.9500000000000006E+99</v>
      </c>
      <c r="D3106" s="18">
        <v>3104</v>
      </c>
      <c r="E3106" s="18" cm="1">
        <f t="array" aca="1" ref="E3106" ca="1">INDIRECT("b"&amp;F3106+2)</f>
        <v>4.375E+135</v>
      </c>
      <c r="F3106" s="18">
        <f t="shared" si="596"/>
        <v>4537</v>
      </c>
      <c r="G3106" s="18"/>
      <c r="H3106" s="18"/>
      <c r="I3106" s="19">
        <v>3104</v>
      </c>
      <c r="J3106" s="19" cm="1">
        <f t="array" aca="1" ref="J3106" ca="1">INDIRECT("b"&amp;K3106+2)</f>
        <v>4.3749999999999998E+165</v>
      </c>
      <c r="K3106" s="19">
        <f t="shared" si="592"/>
        <v>5737</v>
      </c>
    </row>
    <row r="3107" spans="1:11">
      <c r="A3107">
        <v>3105</v>
      </c>
      <c r="B3107">
        <v>6.1750000000000003E+99</v>
      </c>
      <c r="D3107" s="18">
        <v>3105</v>
      </c>
      <c r="E3107" s="18" cm="1">
        <f t="array" aca="1" ref="E3107" ca="1">INDIRECT("b"&amp;F3107+2)</f>
        <v>4.5999999999999996E+135</v>
      </c>
      <c r="F3107" s="18">
        <f t="shared" si="596"/>
        <v>4538</v>
      </c>
      <c r="G3107" s="18"/>
      <c r="H3107" s="18"/>
      <c r="I3107" s="19">
        <v>3105</v>
      </c>
      <c r="J3107" s="19" cm="1">
        <f t="array" aca="1" ref="J3107" ca="1">INDIRECT("b"&amp;K3107+2)</f>
        <v>4.6000000000000003E+165</v>
      </c>
      <c r="K3107" s="19">
        <f t="shared" si="592"/>
        <v>5738</v>
      </c>
    </row>
    <row r="3108" spans="1:11">
      <c r="A3108">
        <v>3106</v>
      </c>
      <c r="B3108">
        <v>6.400000000000001E+99</v>
      </c>
      <c r="D3108" s="18">
        <v>3106</v>
      </c>
      <c r="E3108" s="18" cm="1">
        <f t="array" aca="1" ref="E3108" ca="1">INDIRECT("b"&amp;F3108+2)</f>
        <v>5.0500000000000001E+135</v>
      </c>
      <c r="F3108" s="18">
        <f t="shared" si="596"/>
        <v>4540</v>
      </c>
      <c r="G3108" s="18">
        <f t="shared" ref="G3108" ca="1" si="600">E3108/E3103</f>
        <v>1.4532374100719425</v>
      </c>
      <c r="H3108" s="18"/>
      <c r="I3108" s="19">
        <v>3106</v>
      </c>
      <c r="J3108" s="19" cm="1">
        <f t="array" aca="1" ref="J3108" ca="1">INDIRECT("b"&amp;K3108+2)</f>
        <v>5.0499999999999996E+165</v>
      </c>
      <c r="K3108" s="19">
        <f t="shared" si="592"/>
        <v>5740</v>
      </c>
    </row>
    <row r="3109" spans="1:11">
      <c r="A3109">
        <v>3107</v>
      </c>
      <c r="B3109">
        <v>6.6250000000000007E+99</v>
      </c>
      <c r="D3109" s="18">
        <v>3107</v>
      </c>
      <c r="E3109" s="18" cm="1">
        <f t="array" aca="1" ref="E3109" ca="1">INDIRECT("b"&amp;F3109+2)</f>
        <v>5.2749999999999996E+135</v>
      </c>
      <c r="F3109" s="18">
        <f t="shared" si="596"/>
        <v>4541</v>
      </c>
      <c r="G3109" s="18"/>
      <c r="H3109" s="18"/>
      <c r="I3109" s="19">
        <v>3107</v>
      </c>
      <c r="J3109" s="19" cm="1">
        <f t="array" aca="1" ref="J3109" ca="1">INDIRECT("b"&amp;K3109+2)</f>
        <v>5.2750000000000001E+165</v>
      </c>
      <c r="K3109" s="19">
        <f t="shared" si="592"/>
        <v>5741</v>
      </c>
    </row>
    <row r="3110" spans="1:11">
      <c r="A3110">
        <v>3108</v>
      </c>
      <c r="B3110">
        <v>6.8500000000000004E+99</v>
      </c>
      <c r="D3110" s="18">
        <v>3108</v>
      </c>
      <c r="E3110" s="18" cm="1">
        <f t="array" aca="1" ref="E3110" ca="1">INDIRECT("b"&amp;F3110+2)</f>
        <v>5.4999999999999999E+135</v>
      </c>
      <c r="F3110" s="18">
        <f t="shared" si="596"/>
        <v>4542</v>
      </c>
      <c r="G3110" s="18"/>
      <c r="H3110" s="18"/>
      <c r="I3110" s="19">
        <v>3108</v>
      </c>
      <c r="J3110" s="19" cm="1">
        <f t="array" aca="1" ref="J3110" ca="1">INDIRECT("b"&amp;K3110+2)</f>
        <v>5.4999999999999998E+165</v>
      </c>
      <c r="K3110" s="19">
        <f t="shared" si="592"/>
        <v>5742</v>
      </c>
    </row>
    <row r="3111" spans="1:11">
      <c r="A3111">
        <v>3109</v>
      </c>
      <c r="B3111">
        <v>7.0750000000000001E+99</v>
      </c>
      <c r="D3111" s="18">
        <v>3109</v>
      </c>
      <c r="E3111" s="18" cm="1">
        <f t="array" aca="1" ref="E3111" ca="1">INDIRECT("b"&amp;F3111+2)</f>
        <v>5.9500000000000003E+135</v>
      </c>
      <c r="F3111" s="18">
        <f t="shared" si="596"/>
        <v>4544</v>
      </c>
      <c r="G3111" s="18"/>
      <c r="H3111" s="18"/>
      <c r="I3111" s="19">
        <v>3109</v>
      </c>
      <c r="J3111" s="19" cm="1">
        <f t="array" aca="1" ref="J3111" ca="1">INDIRECT("b"&amp;K3111+2)</f>
        <v>5.9499999999999999E+165</v>
      </c>
      <c r="K3111" s="19">
        <f t="shared" si="592"/>
        <v>5744</v>
      </c>
    </row>
    <row r="3112" spans="1:11">
      <c r="A3112">
        <v>3110</v>
      </c>
      <c r="B3112">
        <v>7.3000000000000008E+99</v>
      </c>
      <c r="D3112" s="18">
        <v>3110</v>
      </c>
      <c r="E3112" s="18" cm="1">
        <f t="array" aca="1" ref="E3112" ca="1">INDIRECT("b"&amp;F3112+2)</f>
        <v>6.1749999999999999E+135</v>
      </c>
      <c r="F3112" s="18">
        <f t="shared" si="596"/>
        <v>4545</v>
      </c>
      <c r="G3112" s="18"/>
      <c r="H3112" s="18"/>
      <c r="I3112" s="19">
        <v>3110</v>
      </c>
      <c r="J3112" s="19" cm="1">
        <f t="array" aca="1" ref="J3112" ca="1">INDIRECT("b"&amp;K3112+2)</f>
        <v>6.1749999999999995E+165</v>
      </c>
      <c r="K3112" s="19">
        <f t="shared" si="592"/>
        <v>5745</v>
      </c>
    </row>
    <row r="3113" spans="1:11">
      <c r="A3113">
        <v>3111</v>
      </c>
      <c r="B3113">
        <v>7.5250000000000005E+99</v>
      </c>
      <c r="D3113" s="18">
        <v>3111</v>
      </c>
      <c r="E3113" s="18" cm="1">
        <f t="array" aca="1" ref="E3113" ca="1">INDIRECT("b"&amp;F3113+2)</f>
        <v>6.3999999999999995E+135</v>
      </c>
      <c r="F3113" s="18">
        <f t="shared" si="596"/>
        <v>4546</v>
      </c>
      <c r="G3113" s="18">
        <f t="shared" ref="G3113" ca="1" si="601">E3113/E3108</f>
        <v>1.2673267326732671</v>
      </c>
      <c r="H3113" s="18"/>
      <c r="I3113" s="19">
        <v>3111</v>
      </c>
      <c r="J3113" s="19" cm="1">
        <f t="array" aca="1" ref="J3113" ca="1">INDIRECT("b"&amp;K3113+2)</f>
        <v>6.4E+165</v>
      </c>
      <c r="K3113" s="19">
        <f t="shared" si="592"/>
        <v>5746</v>
      </c>
    </row>
    <row r="3114" spans="1:11">
      <c r="A3114">
        <v>3112</v>
      </c>
      <c r="B3114">
        <v>7.7500000000000002E+99</v>
      </c>
      <c r="D3114" s="18">
        <v>3112</v>
      </c>
      <c r="E3114" s="18" cm="1">
        <f t="array" aca="1" ref="E3114" ca="1">INDIRECT("b"&amp;F3114+2)</f>
        <v>6.85E+135</v>
      </c>
      <c r="F3114" s="18">
        <f t="shared" si="596"/>
        <v>4548</v>
      </c>
      <c r="G3114" s="18"/>
      <c r="H3114" s="18"/>
      <c r="I3114" s="19">
        <v>3112</v>
      </c>
      <c r="J3114" s="19" cm="1">
        <f t="array" aca="1" ref="J3114" ca="1">INDIRECT("b"&amp;K3114+2)</f>
        <v>6.8500000000000001E+165</v>
      </c>
      <c r="K3114" s="19">
        <f t="shared" si="592"/>
        <v>5748</v>
      </c>
    </row>
    <row r="3115" spans="1:11">
      <c r="A3115">
        <v>3113</v>
      </c>
      <c r="B3115">
        <v>7.9750000000000009E+99</v>
      </c>
      <c r="D3115" s="18">
        <v>3113</v>
      </c>
      <c r="E3115" s="18" cm="1">
        <f t="array" aca="1" ref="E3115" ca="1">INDIRECT("b"&amp;F3115+2)</f>
        <v>7.0749999999999995E+135</v>
      </c>
      <c r="F3115" s="18">
        <f t="shared" si="596"/>
        <v>4549</v>
      </c>
      <c r="G3115" s="18"/>
      <c r="H3115" s="18"/>
      <c r="I3115" s="19">
        <v>3113</v>
      </c>
      <c r="J3115" s="19" cm="1">
        <f t="array" aca="1" ref="J3115" ca="1">INDIRECT("b"&amp;K3115+2)</f>
        <v>7.0749999999999998E+165</v>
      </c>
      <c r="K3115" s="19">
        <f t="shared" si="592"/>
        <v>5749</v>
      </c>
    </row>
    <row r="3116" spans="1:11">
      <c r="A3116">
        <v>3114</v>
      </c>
      <c r="B3116">
        <v>8.2000000000000006E+99</v>
      </c>
      <c r="D3116" s="18">
        <v>3114</v>
      </c>
      <c r="E3116" s="18" cm="1">
        <f t="array" aca="1" ref="E3116" ca="1">INDIRECT("b"&amp;F3116+2)</f>
        <v>7.2999999999999991E+135</v>
      </c>
      <c r="F3116" s="18">
        <f t="shared" si="596"/>
        <v>4550</v>
      </c>
      <c r="G3116" s="18"/>
      <c r="H3116" s="18"/>
      <c r="I3116" s="19">
        <v>3114</v>
      </c>
      <c r="J3116" s="19" cm="1">
        <f t="array" aca="1" ref="J3116" ca="1">INDIRECT("b"&amp;K3116+2)</f>
        <v>7.3000000000000003E+165</v>
      </c>
      <c r="K3116" s="19">
        <f t="shared" si="592"/>
        <v>5750</v>
      </c>
    </row>
    <row r="3117" spans="1:11">
      <c r="A3117">
        <v>3115</v>
      </c>
      <c r="B3117">
        <v>8.4250000000000003E+99</v>
      </c>
      <c r="D3117" s="18">
        <v>3115</v>
      </c>
      <c r="E3117" s="18" cm="1">
        <f t="array" aca="1" ref="E3117" ca="1">INDIRECT("b"&amp;F3117+2)</f>
        <v>7.7499999999999996E+135</v>
      </c>
      <c r="F3117" s="18">
        <f t="shared" si="596"/>
        <v>4552</v>
      </c>
      <c r="G3117" s="18"/>
      <c r="H3117" s="18"/>
      <c r="I3117" s="19">
        <v>3115</v>
      </c>
      <c r="J3117" s="19" cm="1">
        <f t="array" aca="1" ref="J3117" ca="1">INDIRECT("b"&amp;K3117+2)</f>
        <v>7.7499999999999996E+165</v>
      </c>
      <c r="K3117" s="19">
        <f t="shared" si="592"/>
        <v>5752</v>
      </c>
    </row>
    <row r="3118" spans="1:11">
      <c r="A3118">
        <v>3116</v>
      </c>
      <c r="B3118">
        <v>8.6500000000000009E+99</v>
      </c>
      <c r="D3118" s="18">
        <v>3116</v>
      </c>
      <c r="E3118" s="18" cm="1">
        <f t="array" aca="1" ref="E3118" ca="1">INDIRECT("b"&amp;F3118+2)</f>
        <v>7.9749999999999992E+135</v>
      </c>
      <c r="F3118" s="18">
        <f t="shared" si="596"/>
        <v>4553</v>
      </c>
      <c r="G3118" s="18">
        <f t="shared" ref="G3118" ca="1" si="602">E3118/E3113</f>
        <v>1.24609375</v>
      </c>
      <c r="H3118" s="18"/>
      <c r="I3118" s="19">
        <v>3116</v>
      </c>
      <c r="J3118" s="19" cm="1">
        <f t="array" aca="1" ref="J3118" ca="1">INDIRECT("b"&amp;K3118+2)</f>
        <v>7.9749999999999992E+165</v>
      </c>
      <c r="K3118" s="19">
        <f t="shared" si="592"/>
        <v>5753</v>
      </c>
    </row>
    <row r="3119" spans="1:11">
      <c r="A3119">
        <v>3117</v>
      </c>
      <c r="B3119">
        <v>8.8750000000000007E+99</v>
      </c>
      <c r="D3119" s="18">
        <v>3117</v>
      </c>
      <c r="E3119" s="18" cm="1">
        <f t="array" aca="1" ref="E3119" ca="1">INDIRECT("b"&amp;F3119+2)</f>
        <v>8.2E+135</v>
      </c>
      <c r="F3119" s="18">
        <f t="shared" si="596"/>
        <v>4554</v>
      </c>
      <c r="G3119" s="18"/>
      <c r="H3119" s="18"/>
      <c r="I3119" s="19">
        <v>3117</v>
      </c>
      <c r="J3119" s="19" cm="1">
        <f t="array" aca="1" ref="J3119" ca="1">INDIRECT("b"&amp;K3119+2)</f>
        <v>8.2000000000000005E+165</v>
      </c>
      <c r="K3119" s="19">
        <f t="shared" si="592"/>
        <v>5754</v>
      </c>
    </row>
    <row r="3120" spans="1:11">
      <c r="A3120">
        <v>3118</v>
      </c>
      <c r="B3120">
        <v>9.1000000000000013E+99</v>
      </c>
      <c r="D3120" s="18">
        <v>3118</v>
      </c>
      <c r="E3120" s="18" cm="1">
        <f t="array" aca="1" ref="E3120" ca="1">INDIRECT("b"&amp;F3120+2)</f>
        <v>8.6499999999999992E+135</v>
      </c>
      <c r="F3120" s="18">
        <f t="shared" si="596"/>
        <v>4556</v>
      </c>
      <c r="G3120" s="18">
        <f t="shared" ref="G3120" ca="1" si="603">E3120/E3115</f>
        <v>1.2226148409893993</v>
      </c>
      <c r="H3120" s="18"/>
      <c r="I3120" s="19">
        <v>3118</v>
      </c>
      <c r="J3120" s="19" cm="1">
        <f t="array" aca="1" ref="J3120" ca="1">INDIRECT("b"&amp;K3120+2)</f>
        <v>8.6499999999999998E+165</v>
      </c>
      <c r="K3120" s="19">
        <f t="shared" si="592"/>
        <v>5756</v>
      </c>
    </row>
    <row r="3121" spans="1:11">
      <c r="A3121">
        <v>3119</v>
      </c>
      <c r="B3121">
        <v>9.3250000000000001E+99</v>
      </c>
      <c r="D3121" s="18">
        <v>3119</v>
      </c>
      <c r="E3121" s="18" cm="1">
        <f t="array" aca="1" ref="E3121" ca="1">INDIRECT("b"&amp;F3121+2)</f>
        <v>8.8750000000000001E+135</v>
      </c>
      <c r="F3121" s="18">
        <f t="shared" si="596"/>
        <v>4557</v>
      </c>
      <c r="G3121" s="18"/>
      <c r="H3121" s="18"/>
      <c r="I3121" s="19">
        <v>3119</v>
      </c>
      <c r="J3121" s="19" cm="1">
        <f t="array" aca="1" ref="J3121" ca="1">INDIRECT("b"&amp;K3121+2)</f>
        <v>8.8749999999999995E+165</v>
      </c>
      <c r="K3121" s="19">
        <f t="shared" si="592"/>
        <v>5757</v>
      </c>
    </row>
    <row r="3122" spans="1:11">
      <c r="A3122">
        <v>3120</v>
      </c>
      <c r="B3122">
        <v>9.5500000000000007E+99</v>
      </c>
      <c r="D3122" s="18">
        <v>3120</v>
      </c>
      <c r="E3122" s="18" cm="1">
        <f t="array" aca="1" ref="E3122" ca="1">INDIRECT("b"&amp;F3122+2)</f>
        <v>9.0999999999999997E+135</v>
      </c>
      <c r="F3122" s="18">
        <f t="shared" si="596"/>
        <v>4558</v>
      </c>
      <c r="G3122" s="18"/>
      <c r="H3122" s="18"/>
      <c r="I3122" s="19">
        <v>3120</v>
      </c>
      <c r="J3122" s="19" cm="1">
        <f t="array" aca="1" ref="J3122" ca="1">INDIRECT("b"&amp;K3122+2)</f>
        <v>9.0999999999999991E+165</v>
      </c>
      <c r="K3122" s="19">
        <f t="shared" si="592"/>
        <v>5758</v>
      </c>
    </row>
    <row r="3123" spans="1:11">
      <c r="A3123">
        <v>3121</v>
      </c>
      <c r="B3123">
        <v>9.7750000000000014E+99</v>
      </c>
      <c r="D3123" s="18">
        <v>3121</v>
      </c>
      <c r="E3123" s="18" cm="1">
        <f t="array" aca="1" ref="E3123" ca="1">INDIRECT("b"&amp;F3123+2)</f>
        <v>9.5500000000000001E+135</v>
      </c>
      <c r="F3123" s="18">
        <f t="shared" si="596"/>
        <v>4560</v>
      </c>
      <c r="G3123" s="18"/>
      <c r="H3123" s="18"/>
      <c r="I3123" s="19">
        <v>3121</v>
      </c>
      <c r="J3123" s="19" cm="1">
        <f t="array" aca="1" ref="J3123" ca="1">INDIRECT("b"&amp;K3123+2)</f>
        <v>9.5500000000000001E+165</v>
      </c>
      <c r="K3123" s="19">
        <f t="shared" si="592"/>
        <v>5760</v>
      </c>
    </row>
    <row r="3124" spans="1:11">
      <c r="A3124">
        <v>3122</v>
      </c>
      <c r="B3124">
        <v>1E+100</v>
      </c>
      <c r="D3124" s="18">
        <v>3122</v>
      </c>
      <c r="E3124" s="18" cm="1">
        <f t="array" aca="1" ref="E3124" ca="1">INDIRECT("b"&amp;F3124+2)</f>
        <v>9.7749999999999997E+135</v>
      </c>
      <c r="F3124" s="18">
        <f t="shared" si="596"/>
        <v>4561</v>
      </c>
      <c r="G3124" s="18"/>
      <c r="H3124" s="18"/>
      <c r="I3124" s="19">
        <v>3122</v>
      </c>
      <c r="J3124" s="19" cm="1">
        <f t="array" aca="1" ref="J3124" ca="1">INDIRECT("b"&amp;K3124+2)</f>
        <v>9.7749999999999997E+165</v>
      </c>
      <c r="K3124" s="19">
        <f t="shared" si="592"/>
        <v>5761</v>
      </c>
    </row>
    <row r="3125" spans="1:11">
      <c r="A3125">
        <v>3123</v>
      </c>
      <c r="B3125">
        <v>1.2250000000000001E+100</v>
      </c>
      <c r="D3125" s="18">
        <v>3123</v>
      </c>
      <c r="E3125" s="18" cm="1">
        <f t="array" aca="1" ref="E3125" ca="1">INDIRECT("b"&amp;F3125+2)</f>
        <v>1.0000000000000001E+136</v>
      </c>
      <c r="F3125" s="18">
        <f t="shared" si="596"/>
        <v>4562</v>
      </c>
      <c r="G3125" s="18">
        <f t="shared" ref="G3125" ca="1" si="604">E3125/E3120</f>
        <v>1.1560693641618498</v>
      </c>
      <c r="H3125" s="18"/>
      <c r="I3125" s="19">
        <v>3123</v>
      </c>
      <c r="J3125" s="19" cm="1">
        <f t="array" aca="1" ref="J3125" ca="1">INDIRECT("b"&amp;K3125+2)</f>
        <v>9.9999999999999994E+165</v>
      </c>
      <c r="K3125" s="19">
        <f t="shared" si="592"/>
        <v>5762</v>
      </c>
    </row>
    <row r="3126" spans="1:11">
      <c r="A3126">
        <v>3124</v>
      </c>
      <c r="B3126">
        <v>1.45E+100</v>
      </c>
      <c r="D3126" s="18">
        <v>3124</v>
      </c>
      <c r="E3126" s="18" cm="1">
        <f t="array" aca="1" ref="E3126" ca="1">INDIRECT("b"&amp;F3126+2)</f>
        <v>1.4500000000000001E+136</v>
      </c>
      <c r="F3126" s="18">
        <f t="shared" si="596"/>
        <v>4564</v>
      </c>
      <c r="G3126" s="18"/>
      <c r="H3126" s="18"/>
      <c r="I3126" s="19">
        <v>3124</v>
      </c>
      <c r="J3126" s="19" cm="1">
        <f t="array" aca="1" ref="J3126" ca="1">INDIRECT("b"&amp;K3126+2)</f>
        <v>1.4499999999999999E+166</v>
      </c>
      <c r="K3126" s="19">
        <f t="shared" si="592"/>
        <v>5764</v>
      </c>
    </row>
    <row r="3127" spans="1:11">
      <c r="A3127">
        <v>3125</v>
      </c>
      <c r="B3127">
        <v>1.6750000000000001E+100</v>
      </c>
      <c r="D3127" s="18">
        <v>3125</v>
      </c>
      <c r="E3127" s="18" cm="1">
        <f t="array" aca="1" ref="E3127" ca="1">INDIRECT("b"&amp;F3127+2)</f>
        <v>1.6750000000000002E+136</v>
      </c>
      <c r="F3127" s="18">
        <f t="shared" si="596"/>
        <v>4565</v>
      </c>
      <c r="G3127" s="18"/>
      <c r="H3127" s="18"/>
      <c r="I3127" s="19">
        <v>3125</v>
      </c>
      <c r="J3127" s="19" cm="1">
        <f t="array" aca="1" ref="J3127" ca="1">INDIRECT("b"&amp;K3127+2)</f>
        <v>1.6750000000000001E+166</v>
      </c>
      <c r="K3127" s="19">
        <f t="shared" si="592"/>
        <v>5765</v>
      </c>
    </row>
    <row r="3128" spans="1:11">
      <c r="A3128">
        <v>3126</v>
      </c>
      <c r="B3128">
        <v>1.9000000000000002E+100</v>
      </c>
      <c r="D3128" s="18">
        <v>3126</v>
      </c>
      <c r="E3128" s="18" cm="1">
        <f t="array" aca="1" ref="E3128" ca="1">INDIRECT("b"&amp;F3128+2)</f>
        <v>1.9000000000000001E+136</v>
      </c>
      <c r="F3128" s="18">
        <f t="shared" si="596"/>
        <v>4566</v>
      </c>
      <c r="G3128" s="18"/>
      <c r="H3128" s="18"/>
      <c r="I3128" s="19">
        <v>3126</v>
      </c>
      <c r="J3128" s="19" cm="1">
        <f t="array" aca="1" ref="J3128" ca="1">INDIRECT("b"&amp;K3128+2)</f>
        <v>1.9E+166</v>
      </c>
      <c r="K3128" s="19">
        <f t="shared" si="592"/>
        <v>5766</v>
      </c>
    </row>
    <row r="3129" spans="1:11">
      <c r="A3129">
        <v>3127</v>
      </c>
      <c r="B3129">
        <v>2.1250000000000001E+100</v>
      </c>
      <c r="D3129" s="18">
        <v>3127</v>
      </c>
      <c r="E3129" s="18" cm="1">
        <f t="array" aca="1" ref="E3129" ca="1">INDIRECT("b"&amp;F3129+2)</f>
        <v>2.35E+136</v>
      </c>
      <c r="F3129" s="18">
        <f t="shared" si="596"/>
        <v>4568</v>
      </c>
      <c r="G3129" s="18"/>
      <c r="H3129" s="18"/>
      <c r="I3129" s="19">
        <v>3127</v>
      </c>
      <c r="J3129" s="19" cm="1">
        <f t="array" aca="1" ref="J3129" ca="1">INDIRECT("b"&amp;K3129+2)</f>
        <v>2.35E+166</v>
      </c>
      <c r="K3129" s="19">
        <f t="shared" si="592"/>
        <v>5768</v>
      </c>
    </row>
    <row r="3130" spans="1:11">
      <c r="A3130">
        <v>3128</v>
      </c>
      <c r="B3130">
        <v>2.35E+100</v>
      </c>
      <c r="D3130" s="18">
        <v>3128</v>
      </c>
      <c r="E3130" s="18" cm="1">
        <f t="array" aca="1" ref="E3130" ca="1">INDIRECT("b"&amp;F3130+2)</f>
        <v>2.5750000000000004E+136</v>
      </c>
      <c r="F3130" s="18">
        <f t="shared" si="596"/>
        <v>4569</v>
      </c>
      <c r="G3130" s="18">
        <f t="shared" ref="G3130" ca="1" si="605">E3130/E3125</f>
        <v>2.5750000000000002</v>
      </c>
      <c r="H3130" s="18"/>
      <c r="I3130" s="19">
        <v>3128</v>
      </c>
      <c r="J3130" s="19" cm="1">
        <f t="array" aca="1" ref="J3130" ca="1">INDIRECT("b"&amp;K3130+2)</f>
        <v>2.575E+166</v>
      </c>
      <c r="K3130" s="19">
        <f t="shared" si="592"/>
        <v>5769</v>
      </c>
    </row>
    <row r="3131" spans="1:11">
      <c r="A3131">
        <v>3129</v>
      </c>
      <c r="B3131">
        <v>2.5750000000000003E+100</v>
      </c>
      <c r="D3131" s="18">
        <v>3129</v>
      </c>
      <c r="E3131" s="18" cm="1">
        <f t="array" aca="1" ref="E3131" ca="1">INDIRECT("b"&amp;F3131+2)</f>
        <v>2.8000000000000002E+136</v>
      </c>
      <c r="F3131" s="18">
        <f t="shared" si="596"/>
        <v>4570</v>
      </c>
      <c r="G3131" s="18"/>
      <c r="H3131" s="18"/>
      <c r="I3131" s="19">
        <v>3129</v>
      </c>
      <c r="J3131" s="19" cm="1">
        <f t="array" aca="1" ref="J3131" ca="1">INDIRECT("b"&amp;K3131+2)</f>
        <v>2.8E+166</v>
      </c>
      <c r="K3131" s="19">
        <f t="shared" si="592"/>
        <v>5770</v>
      </c>
    </row>
    <row r="3132" spans="1:11">
      <c r="A3132">
        <v>3130</v>
      </c>
      <c r="B3132">
        <v>2.8000000000000002E+100</v>
      </c>
      <c r="D3132" s="18">
        <v>3130</v>
      </c>
      <c r="E3132" s="18" cm="1">
        <f t="array" aca="1" ref="E3132" ca="1">INDIRECT("b"&amp;F3132+2)</f>
        <v>3.2500000000000004E+136</v>
      </c>
      <c r="F3132" s="18">
        <f t="shared" si="596"/>
        <v>4572</v>
      </c>
      <c r="G3132" s="18"/>
      <c r="H3132" s="18"/>
      <c r="I3132" s="19">
        <v>3130</v>
      </c>
      <c r="J3132" s="19" cm="1">
        <f t="array" aca="1" ref="J3132" ca="1">INDIRECT("b"&amp;K3132+2)</f>
        <v>3.2499999999999996E+166</v>
      </c>
      <c r="K3132" s="19">
        <f t="shared" si="592"/>
        <v>5772</v>
      </c>
    </row>
    <row r="3133" spans="1:11">
      <c r="A3133">
        <v>3131</v>
      </c>
      <c r="B3133">
        <v>3.0250000000000001E+100</v>
      </c>
      <c r="D3133" s="18">
        <v>3131</v>
      </c>
      <c r="E3133" s="18" cm="1">
        <f t="array" aca="1" ref="E3133" ca="1">INDIRECT("b"&amp;F3133+2)</f>
        <v>3.4750000000000003E+136</v>
      </c>
      <c r="F3133" s="18">
        <f t="shared" si="596"/>
        <v>4573</v>
      </c>
      <c r="G3133" s="18"/>
      <c r="H3133" s="18"/>
      <c r="I3133" s="19">
        <v>3131</v>
      </c>
      <c r="J3133" s="19" cm="1">
        <f t="array" aca="1" ref="J3133" ca="1">INDIRECT("b"&amp;K3133+2)</f>
        <v>3.4749999999999999E+166</v>
      </c>
      <c r="K3133" s="19">
        <f t="shared" si="592"/>
        <v>5773</v>
      </c>
    </row>
    <row r="3134" spans="1:11">
      <c r="A3134">
        <v>3132</v>
      </c>
      <c r="B3134">
        <v>3.25E+100</v>
      </c>
      <c r="D3134" s="18">
        <v>3132</v>
      </c>
      <c r="E3134" s="18" cm="1">
        <f t="array" aca="1" ref="E3134" ca="1">INDIRECT("b"&amp;F3134+2)</f>
        <v>3.7000000000000001E+136</v>
      </c>
      <c r="F3134" s="18">
        <f t="shared" si="596"/>
        <v>4574</v>
      </c>
      <c r="G3134" s="18"/>
      <c r="H3134" s="18"/>
      <c r="I3134" s="19">
        <v>3132</v>
      </c>
      <c r="J3134" s="19" cm="1">
        <f t="array" aca="1" ref="J3134" ca="1">INDIRECT("b"&amp;K3134+2)</f>
        <v>3.6999999999999996E+166</v>
      </c>
      <c r="K3134" s="19">
        <f t="shared" si="592"/>
        <v>5774</v>
      </c>
    </row>
    <row r="3135" spans="1:11">
      <c r="A3135">
        <v>3133</v>
      </c>
      <c r="B3135">
        <v>3.4750000000000003E+100</v>
      </c>
      <c r="D3135" s="18">
        <v>3133</v>
      </c>
      <c r="E3135" s="18" cm="1">
        <f t="array" aca="1" ref="E3135" ca="1">INDIRECT("b"&amp;F3135+2)</f>
        <v>4.1500000000000003E+136</v>
      </c>
      <c r="F3135" s="18">
        <f t="shared" si="596"/>
        <v>4576</v>
      </c>
      <c r="G3135" s="18">
        <f t="shared" ref="G3135" ca="1" si="606">E3135/E3130</f>
        <v>1.6116504854368932</v>
      </c>
      <c r="H3135" s="18"/>
      <c r="I3135" s="19">
        <v>3133</v>
      </c>
      <c r="J3135" s="19" cm="1">
        <f t="array" aca="1" ref="J3135" ca="1">INDIRECT("b"&amp;K3135+2)</f>
        <v>4.1499999999999995E+166</v>
      </c>
      <c r="K3135" s="19">
        <f t="shared" si="592"/>
        <v>5776</v>
      </c>
    </row>
    <row r="3136" spans="1:11">
      <c r="A3136">
        <v>3134</v>
      </c>
      <c r="B3136">
        <v>3.7000000000000002E+100</v>
      </c>
      <c r="D3136" s="18">
        <v>3134</v>
      </c>
      <c r="E3136" s="18" cm="1">
        <f t="array" aca="1" ref="E3136" ca="1">INDIRECT("b"&amp;F3136+2)</f>
        <v>4.3750000000000001E+136</v>
      </c>
      <c r="F3136" s="18">
        <f t="shared" si="596"/>
        <v>4577</v>
      </c>
      <c r="G3136" s="18"/>
      <c r="H3136" s="18"/>
      <c r="I3136" s="19">
        <v>3134</v>
      </c>
      <c r="J3136" s="19" cm="1">
        <f t="array" aca="1" ref="J3136" ca="1">INDIRECT("b"&amp;K3136+2)</f>
        <v>4.3749999999999998E+166</v>
      </c>
      <c r="K3136" s="19">
        <f t="shared" si="592"/>
        <v>5777</v>
      </c>
    </row>
    <row r="3137" spans="1:11">
      <c r="A3137">
        <v>3135</v>
      </c>
      <c r="B3137">
        <v>3.9250000000000005E+100</v>
      </c>
      <c r="D3137" s="18">
        <v>3135</v>
      </c>
      <c r="E3137" s="18" cm="1">
        <f t="array" aca="1" ref="E3137" ca="1">INDIRECT("b"&amp;F3137+2)</f>
        <v>4.6000000000000005E+136</v>
      </c>
      <c r="F3137" s="18">
        <f t="shared" si="596"/>
        <v>4578</v>
      </c>
      <c r="G3137" s="18"/>
      <c r="H3137" s="18"/>
      <c r="I3137" s="19">
        <v>3135</v>
      </c>
      <c r="J3137" s="19" cm="1">
        <f t="array" aca="1" ref="J3137" ca="1">INDIRECT("b"&amp;K3137+2)</f>
        <v>4.5999999999999995E+166</v>
      </c>
      <c r="K3137" s="19">
        <f t="shared" si="592"/>
        <v>5778</v>
      </c>
    </row>
    <row r="3138" spans="1:11">
      <c r="A3138">
        <v>3136</v>
      </c>
      <c r="B3138">
        <v>4.15E+100</v>
      </c>
      <c r="D3138" s="18">
        <v>3136</v>
      </c>
      <c r="E3138" s="18" cm="1">
        <f t="array" aca="1" ref="E3138" ca="1">INDIRECT("b"&amp;F3138+2)</f>
        <v>5.0500000000000007E+136</v>
      </c>
      <c r="F3138" s="18">
        <f t="shared" si="596"/>
        <v>4580</v>
      </c>
      <c r="G3138" s="18"/>
      <c r="H3138" s="18"/>
      <c r="I3138" s="19">
        <v>3136</v>
      </c>
      <c r="J3138" s="19" cm="1">
        <f t="array" aca="1" ref="J3138" ca="1">INDIRECT("b"&amp;K3138+2)</f>
        <v>5.0499999999999995E+166</v>
      </c>
      <c r="K3138" s="19">
        <f t="shared" si="592"/>
        <v>5780</v>
      </c>
    </row>
    <row r="3139" spans="1:11">
      <c r="A3139">
        <v>3137</v>
      </c>
      <c r="B3139">
        <v>4.3750000000000003E+100</v>
      </c>
      <c r="D3139" s="18">
        <v>3137</v>
      </c>
      <c r="E3139" s="18" cm="1">
        <f t="array" aca="1" ref="E3139" ca="1">INDIRECT("b"&amp;F3139+2)</f>
        <v>5.2750000000000005E+136</v>
      </c>
      <c r="F3139" s="18">
        <f t="shared" si="596"/>
        <v>4581</v>
      </c>
      <c r="G3139" s="18"/>
      <c r="H3139" s="18"/>
      <c r="I3139" s="19">
        <v>3137</v>
      </c>
      <c r="J3139" s="19" cm="1">
        <f t="array" aca="1" ref="J3139" ca="1">INDIRECT("b"&amp;K3139+2)</f>
        <v>5.2749999999999998E+166</v>
      </c>
      <c r="K3139" s="19">
        <f t="shared" si="592"/>
        <v>5781</v>
      </c>
    </row>
    <row r="3140" spans="1:11">
      <c r="A3140">
        <v>3138</v>
      </c>
      <c r="B3140">
        <v>4.6000000000000006E+100</v>
      </c>
      <c r="D3140" s="18">
        <v>3138</v>
      </c>
      <c r="E3140" s="18" cm="1">
        <f t="array" aca="1" ref="E3140" ca="1">INDIRECT("b"&amp;F3140+2)</f>
        <v>5.5000000000000004E+136</v>
      </c>
      <c r="F3140" s="18">
        <f t="shared" si="596"/>
        <v>4582</v>
      </c>
      <c r="G3140" s="18">
        <f t="shared" ref="G3140" ca="1" si="607">E3140/E3135</f>
        <v>1.3253012048192772</v>
      </c>
      <c r="H3140" s="18"/>
      <c r="I3140" s="19">
        <v>3138</v>
      </c>
      <c r="J3140" s="19" cm="1">
        <f t="array" aca="1" ref="J3140" ca="1">INDIRECT("b"&amp;K3140+2)</f>
        <v>5.4999999999999994E+166</v>
      </c>
      <c r="K3140" s="19">
        <f t="shared" ref="K3140:K3203" si="608">INT((A3140-1)*40/30+900*40/30)+400</f>
        <v>5782</v>
      </c>
    </row>
    <row r="3141" spans="1:11">
      <c r="A3141">
        <v>3139</v>
      </c>
      <c r="B3141">
        <v>4.8250000000000001E+100</v>
      </c>
      <c r="D3141" s="18">
        <v>3139</v>
      </c>
      <c r="E3141" s="18" cm="1">
        <f t="array" aca="1" ref="E3141" ca="1">INDIRECT("b"&amp;F3141+2)</f>
        <v>5.9500000000000001E+136</v>
      </c>
      <c r="F3141" s="18">
        <f t="shared" si="596"/>
        <v>4584</v>
      </c>
      <c r="G3141" s="18"/>
      <c r="H3141" s="18"/>
      <c r="I3141" s="19">
        <v>3139</v>
      </c>
      <c r="J3141" s="19" cm="1">
        <f t="array" aca="1" ref="J3141" ca="1">INDIRECT("b"&amp;K3141+2)</f>
        <v>5.95E+166</v>
      </c>
      <c r="K3141" s="19">
        <f t="shared" si="608"/>
        <v>5784</v>
      </c>
    </row>
    <row r="3142" spans="1:11">
      <c r="A3142">
        <v>3140</v>
      </c>
      <c r="B3142">
        <v>5.0500000000000004E+100</v>
      </c>
      <c r="D3142" s="18">
        <v>3140</v>
      </c>
      <c r="E3142" s="18" cm="1">
        <f t="array" aca="1" ref="E3142" ca="1">INDIRECT("b"&amp;F3142+2)</f>
        <v>6.1750000000000009E+136</v>
      </c>
      <c r="F3142" s="18">
        <f t="shared" si="596"/>
        <v>4585</v>
      </c>
      <c r="G3142" s="18"/>
      <c r="H3142" s="18"/>
      <c r="I3142" s="19">
        <v>3140</v>
      </c>
      <c r="J3142" s="19" cm="1">
        <f t="array" aca="1" ref="J3142" ca="1">INDIRECT("b"&amp;K3142+2)</f>
        <v>6.1750000000000004E+166</v>
      </c>
      <c r="K3142" s="19">
        <f t="shared" si="608"/>
        <v>5785</v>
      </c>
    </row>
    <row r="3143" spans="1:11">
      <c r="A3143">
        <v>3141</v>
      </c>
      <c r="B3143">
        <v>5.2749999999999999E+100</v>
      </c>
      <c r="D3143" s="18">
        <v>3141</v>
      </c>
      <c r="E3143" s="18" cm="1">
        <f t="array" aca="1" ref="E3143" ca="1">INDIRECT("b"&amp;F3143+2)</f>
        <v>6.4000000000000008E+136</v>
      </c>
      <c r="F3143" s="18">
        <f t="shared" si="596"/>
        <v>4586</v>
      </c>
      <c r="G3143" s="18"/>
      <c r="H3143" s="18"/>
      <c r="I3143" s="19">
        <v>3141</v>
      </c>
      <c r="J3143" s="19" cm="1">
        <f t="array" aca="1" ref="J3143" ca="1">INDIRECT("b"&amp;K3143+2)</f>
        <v>6.3999999999999994E+166</v>
      </c>
      <c r="K3143" s="19">
        <f t="shared" si="608"/>
        <v>5786</v>
      </c>
    </row>
    <row r="3144" spans="1:11">
      <c r="A3144">
        <v>3142</v>
      </c>
      <c r="B3144">
        <v>5.5000000000000002E+100</v>
      </c>
      <c r="D3144" s="18">
        <v>3142</v>
      </c>
      <c r="E3144" s="18" cm="1">
        <f t="array" aca="1" ref="E3144" ca="1">INDIRECT("b"&amp;F3144+2)</f>
        <v>6.8500000000000005E+136</v>
      </c>
      <c r="F3144" s="18">
        <f t="shared" si="596"/>
        <v>4588</v>
      </c>
      <c r="G3144" s="18"/>
      <c r="H3144" s="18"/>
      <c r="I3144" s="19">
        <v>3142</v>
      </c>
      <c r="J3144" s="19" cm="1">
        <f t="array" aca="1" ref="J3144" ca="1">INDIRECT("b"&amp;K3144+2)</f>
        <v>6.85E+166</v>
      </c>
      <c r="K3144" s="19">
        <f t="shared" si="608"/>
        <v>5788</v>
      </c>
    </row>
    <row r="3145" spans="1:11">
      <c r="A3145">
        <v>3143</v>
      </c>
      <c r="B3145">
        <v>5.7250000000000005E+100</v>
      </c>
      <c r="D3145" s="18">
        <v>3143</v>
      </c>
      <c r="E3145" s="18" cm="1">
        <f t="array" aca="1" ref="E3145" ca="1">INDIRECT("b"&amp;F3145+2)</f>
        <v>7.0750000000000003E+136</v>
      </c>
      <c r="F3145" s="18">
        <f t="shared" si="596"/>
        <v>4589</v>
      </c>
      <c r="G3145" s="18">
        <f t="shared" ref="G3145" ca="1" si="609">E3145/E3140</f>
        <v>1.2863636363636364</v>
      </c>
      <c r="H3145" s="18"/>
      <c r="I3145" s="19">
        <v>3143</v>
      </c>
      <c r="J3145" s="19" cm="1">
        <f t="array" aca="1" ref="J3145" ca="1">INDIRECT("b"&amp;K3145+2)</f>
        <v>7.0750000000000003E+166</v>
      </c>
      <c r="K3145" s="19">
        <f t="shared" si="608"/>
        <v>5789</v>
      </c>
    </row>
    <row r="3146" spans="1:11">
      <c r="A3146">
        <v>3144</v>
      </c>
      <c r="B3146">
        <v>5.95E+100</v>
      </c>
      <c r="D3146" s="18">
        <v>3144</v>
      </c>
      <c r="E3146" s="18" cm="1">
        <f t="array" aca="1" ref="E3146" ca="1">INDIRECT("b"&amp;F3146+2)</f>
        <v>7.3000000000000002E+136</v>
      </c>
      <c r="F3146" s="18">
        <f t="shared" si="596"/>
        <v>4590</v>
      </c>
      <c r="G3146" s="18"/>
      <c r="H3146" s="18"/>
      <c r="I3146" s="19">
        <v>3144</v>
      </c>
      <c r="J3146" s="19" cm="1">
        <f t="array" aca="1" ref="J3146" ca="1">INDIRECT("b"&amp;K3146+2)</f>
        <v>7.2999999999999993E+166</v>
      </c>
      <c r="K3146" s="19">
        <f t="shared" si="608"/>
        <v>5790</v>
      </c>
    </row>
    <row r="3147" spans="1:11">
      <c r="A3147">
        <v>3145</v>
      </c>
      <c r="B3147">
        <v>6.1750000000000003E+100</v>
      </c>
      <c r="D3147" s="18">
        <v>3145</v>
      </c>
      <c r="E3147" s="18" cm="1">
        <f t="array" aca="1" ref="E3147" ca="1">INDIRECT("b"&amp;F3147+2)</f>
        <v>7.7500000000000009E+136</v>
      </c>
      <c r="F3147" s="18">
        <f t="shared" si="596"/>
        <v>4592</v>
      </c>
      <c r="G3147" s="18"/>
      <c r="H3147" s="18"/>
      <c r="I3147" s="19">
        <v>3145</v>
      </c>
      <c r="J3147" s="19" cm="1">
        <f t="array" aca="1" ref="J3147" ca="1">INDIRECT("b"&amp;K3147+2)</f>
        <v>7.7499999999999999E+166</v>
      </c>
      <c r="K3147" s="19">
        <f t="shared" si="608"/>
        <v>5792</v>
      </c>
    </row>
    <row r="3148" spans="1:11">
      <c r="A3148">
        <v>3146</v>
      </c>
      <c r="B3148">
        <v>6.4000000000000006E+100</v>
      </c>
      <c r="D3148" s="18">
        <v>3146</v>
      </c>
      <c r="E3148" s="18" cm="1">
        <f t="array" aca="1" ref="E3148" ca="1">INDIRECT("b"&amp;F3148+2)</f>
        <v>7.9750000000000007E+136</v>
      </c>
      <c r="F3148" s="18">
        <f t="shared" si="596"/>
        <v>4593</v>
      </c>
      <c r="G3148" s="18"/>
      <c r="H3148" s="18"/>
      <c r="I3148" s="19">
        <v>3146</v>
      </c>
      <c r="J3148" s="19" cm="1">
        <f t="array" aca="1" ref="J3148" ca="1">INDIRECT("b"&amp;K3148+2)</f>
        <v>7.9750000000000002E+166</v>
      </c>
      <c r="K3148" s="19">
        <f t="shared" si="608"/>
        <v>5793</v>
      </c>
    </row>
    <row r="3149" spans="1:11">
      <c r="A3149">
        <v>3147</v>
      </c>
      <c r="B3149">
        <v>6.6250000000000001E+100</v>
      </c>
      <c r="D3149" s="18">
        <v>3147</v>
      </c>
      <c r="E3149" s="18" cm="1">
        <f t="array" aca="1" ref="E3149" ca="1">INDIRECT("b"&amp;F3149+2)</f>
        <v>8.2000000000000006E+136</v>
      </c>
      <c r="F3149" s="18">
        <f t="shared" si="596"/>
        <v>4594</v>
      </c>
      <c r="G3149" s="18"/>
      <c r="H3149" s="18"/>
      <c r="I3149" s="19">
        <v>3147</v>
      </c>
      <c r="J3149" s="19" cm="1">
        <f t="array" aca="1" ref="J3149" ca="1">INDIRECT("b"&amp;K3149+2)</f>
        <v>8.1999999999999992E+166</v>
      </c>
      <c r="K3149" s="19">
        <f t="shared" si="608"/>
        <v>5794</v>
      </c>
    </row>
    <row r="3150" spans="1:11">
      <c r="A3150">
        <v>3148</v>
      </c>
      <c r="B3150">
        <v>6.8500000000000004E+100</v>
      </c>
      <c r="D3150" s="18">
        <v>3148</v>
      </c>
      <c r="E3150" s="18" cm="1">
        <f t="array" aca="1" ref="E3150" ca="1">INDIRECT("b"&amp;F3150+2)</f>
        <v>8.6500000000000002E+136</v>
      </c>
      <c r="F3150" s="18">
        <f t="shared" si="596"/>
        <v>4596</v>
      </c>
      <c r="G3150" s="18">
        <f t="shared" ref="G3150" ca="1" si="610">E3150/E3145</f>
        <v>1.2226148409893993</v>
      </c>
      <c r="H3150" s="18"/>
      <c r="I3150" s="19">
        <v>3148</v>
      </c>
      <c r="J3150" s="19" cm="1">
        <f t="array" aca="1" ref="J3150" ca="1">INDIRECT("b"&amp;K3150+2)</f>
        <v>8.6499999999999998E+166</v>
      </c>
      <c r="K3150" s="19">
        <f t="shared" si="608"/>
        <v>5796</v>
      </c>
    </row>
    <row r="3151" spans="1:11">
      <c r="A3151">
        <v>3149</v>
      </c>
      <c r="B3151">
        <v>7.0749999999999999E+100</v>
      </c>
      <c r="D3151" s="18">
        <v>3149</v>
      </c>
      <c r="E3151" s="18" cm="1">
        <f t="array" aca="1" ref="E3151" ca="1">INDIRECT("b"&amp;F3151+2)</f>
        <v>8.8750000000000011E+136</v>
      </c>
      <c r="F3151" s="18">
        <f t="shared" si="596"/>
        <v>4597</v>
      </c>
      <c r="G3151" s="18"/>
      <c r="H3151" s="18"/>
      <c r="I3151" s="19">
        <v>3149</v>
      </c>
      <c r="J3151" s="19" cm="1">
        <f t="array" aca="1" ref="J3151" ca="1">INDIRECT("b"&amp;K3151+2)</f>
        <v>8.8750000000000001E+166</v>
      </c>
      <c r="K3151" s="19">
        <f t="shared" si="608"/>
        <v>5797</v>
      </c>
    </row>
    <row r="3152" spans="1:11">
      <c r="A3152">
        <v>3150</v>
      </c>
      <c r="B3152">
        <v>7.300000000000001E+100</v>
      </c>
      <c r="D3152" s="18">
        <v>3150</v>
      </c>
      <c r="E3152" s="18" cm="1">
        <f t="array" aca="1" ref="E3152" ca="1">INDIRECT("b"&amp;F3152+2)</f>
        <v>9.100000000000001E+136</v>
      </c>
      <c r="F3152" s="18">
        <f t="shared" si="596"/>
        <v>4598</v>
      </c>
      <c r="G3152" s="18"/>
      <c r="H3152" s="18"/>
      <c r="I3152" s="19">
        <v>3150</v>
      </c>
      <c r="J3152" s="19" cm="1">
        <f t="array" aca="1" ref="J3152" ca="1">INDIRECT("b"&amp;K3152+2)</f>
        <v>9.0999999999999991E+166</v>
      </c>
      <c r="K3152" s="19">
        <f t="shared" si="608"/>
        <v>5798</v>
      </c>
    </row>
    <row r="3153" spans="1:11">
      <c r="A3153">
        <v>3151</v>
      </c>
      <c r="B3153">
        <v>7.5250000000000005E+100</v>
      </c>
      <c r="D3153" s="18">
        <v>3151</v>
      </c>
      <c r="E3153" s="18" cm="1">
        <f t="array" aca="1" ref="E3153" ca="1">INDIRECT("b"&amp;F3153+2)</f>
        <v>9.5500000000000006E+136</v>
      </c>
      <c r="F3153" s="18">
        <f t="shared" si="596"/>
        <v>4600</v>
      </c>
      <c r="G3153" s="18"/>
      <c r="H3153" s="18"/>
      <c r="I3153" s="19">
        <v>3151</v>
      </c>
      <c r="J3153" s="19" cm="1">
        <f t="array" aca="1" ref="J3153" ca="1">INDIRECT("b"&amp;K3153+2)</f>
        <v>9.5499999999999998E+166</v>
      </c>
      <c r="K3153" s="19">
        <f t="shared" si="608"/>
        <v>5800</v>
      </c>
    </row>
    <row r="3154" spans="1:11">
      <c r="A3154">
        <v>3152</v>
      </c>
      <c r="B3154">
        <v>7.75E+100</v>
      </c>
      <c r="D3154" s="18">
        <v>3152</v>
      </c>
      <c r="E3154" s="18" cm="1">
        <f t="array" aca="1" ref="E3154" ca="1">INDIRECT("b"&amp;F3154+2)</f>
        <v>9.7750000000000005E+136</v>
      </c>
      <c r="F3154" s="18">
        <f t="shared" si="596"/>
        <v>4601</v>
      </c>
      <c r="G3154" s="18"/>
      <c r="H3154" s="18"/>
      <c r="I3154" s="19">
        <v>3152</v>
      </c>
      <c r="J3154" s="19" cm="1">
        <f t="array" aca="1" ref="J3154" ca="1">INDIRECT("b"&amp;K3154+2)</f>
        <v>9.7750000000000001E+166</v>
      </c>
      <c r="K3154" s="19">
        <f t="shared" si="608"/>
        <v>5801</v>
      </c>
    </row>
    <row r="3155" spans="1:11">
      <c r="A3155">
        <v>3153</v>
      </c>
      <c r="B3155">
        <v>7.975000000000001E+100</v>
      </c>
      <c r="D3155" s="18">
        <v>3153</v>
      </c>
      <c r="E3155" s="18" cm="1">
        <f t="array" aca="1" ref="E3155" ca="1">INDIRECT("b"&amp;F3155+2)</f>
        <v>1E+137</v>
      </c>
      <c r="F3155" s="18">
        <f t="shared" ref="F3155:F3218" si="611">INT((A3155-123)*1.333333)+563</f>
        <v>4602</v>
      </c>
      <c r="G3155" s="18">
        <f t="shared" ref="G3155" ca="1" si="612">E3155/E3150</f>
        <v>1.1560693641618498</v>
      </c>
      <c r="H3155" s="18"/>
      <c r="I3155" s="19">
        <v>3153</v>
      </c>
      <c r="J3155" s="19" cm="1">
        <f t="array" aca="1" ref="J3155" ca="1">INDIRECT("b"&amp;K3155+2)</f>
        <v>9.9999999999999991E+166</v>
      </c>
      <c r="K3155" s="19">
        <f t="shared" si="608"/>
        <v>5802</v>
      </c>
    </row>
    <row r="3156" spans="1:11">
      <c r="A3156">
        <v>3154</v>
      </c>
      <c r="B3156">
        <v>8.2000000000000006E+100</v>
      </c>
      <c r="D3156" s="18">
        <v>3154</v>
      </c>
      <c r="E3156" s="18" cm="1">
        <f t="array" aca="1" ref="E3156" ca="1">INDIRECT("b"&amp;F3156+2)</f>
        <v>1.4499999999999999E+137</v>
      </c>
      <c r="F3156" s="18">
        <f t="shared" si="611"/>
        <v>4604</v>
      </c>
      <c r="G3156" s="18"/>
      <c r="H3156" s="18"/>
      <c r="I3156" s="19">
        <v>3154</v>
      </c>
      <c r="J3156" s="19" cm="1">
        <f t="array" aca="1" ref="J3156" ca="1">INDIRECT("b"&amp;K3156+2)</f>
        <v>1.4499999999999999E+167</v>
      </c>
      <c r="K3156" s="19">
        <f t="shared" si="608"/>
        <v>5804</v>
      </c>
    </row>
    <row r="3157" spans="1:11">
      <c r="A3157">
        <v>3155</v>
      </c>
      <c r="B3157">
        <v>8.4250000000000001E+100</v>
      </c>
      <c r="D3157" s="18">
        <v>3155</v>
      </c>
      <c r="E3157" s="18" cm="1">
        <f t="array" aca="1" ref="E3157" ca="1">INDIRECT("b"&amp;F3157+2)</f>
        <v>1.675E+137</v>
      </c>
      <c r="F3157" s="18">
        <f t="shared" si="611"/>
        <v>4605</v>
      </c>
      <c r="G3157" s="18"/>
      <c r="H3157" s="18"/>
      <c r="I3157" s="19">
        <v>3155</v>
      </c>
      <c r="J3157" s="19" cm="1">
        <f t="array" aca="1" ref="J3157" ca="1">INDIRECT("b"&amp;K3157+2)</f>
        <v>1.6749999999999999E+167</v>
      </c>
      <c r="K3157" s="19">
        <f t="shared" si="608"/>
        <v>5805</v>
      </c>
    </row>
    <row r="3158" spans="1:11">
      <c r="A3158">
        <v>3156</v>
      </c>
      <c r="B3158">
        <v>8.6500000000000011E+100</v>
      </c>
      <c r="D3158" s="18">
        <v>3156</v>
      </c>
      <c r="E3158" s="18" cm="1">
        <f t="array" aca="1" ref="E3158" ca="1">INDIRECT("b"&amp;F3158+2)</f>
        <v>1.8999999999999998E+137</v>
      </c>
      <c r="F3158" s="18">
        <f t="shared" si="611"/>
        <v>4606</v>
      </c>
      <c r="G3158" s="18"/>
      <c r="H3158" s="18"/>
      <c r="I3158" s="19">
        <v>3156</v>
      </c>
      <c r="J3158" s="19" cm="1">
        <f t="array" aca="1" ref="J3158" ca="1">INDIRECT("b"&amp;K3158+2)</f>
        <v>1.9E+167</v>
      </c>
      <c r="K3158" s="19">
        <f t="shared" si="608"/>
        <v>5806</v>
      </c>
    </row>
    <row r="3159" spans="1:11">
      <c r="A3159">
        <v>3157</v>
      </c>
      <c r="B3159">
        <v>8.8750000000000007E+100</v>
      </c>
      <c r="D3159" s="18">
        <v>3157</v>
      </c>
      <c r="E3159" s="18" cm="1">
        <f t="array" aca="1" ref="E3159" ca="1">INDIRECT("b"&amp;F3159+2)</f>
        <v>2.3499999999999999E+137</v>
      </c>
      <c r="F3159" s="18">
        <f t="shared" si="611"/>
        <v>4608</v>
      </c>
      <c r="G3159" s="18"/>
      <c r="H3159" s="18"/>
      <c r="I3159" s="19">
        <v>3157</v>
      </c>
      <c r="J3159" s="19" cm="1">
        <f t="array" aca="1" ref="J3159" ca="1">INDIRECT("b"&amp;K3159+2)</f>
        <v>2.3499999999999998E+167</v>
      </c>
      <c r="K3159" s="19">
        <f t="shared" si="608"/>
        <v>5808</v>
      </c>
    </row>
    <row r="3160" spans="1:11">
      <c r="A3160">
        <v>3158</v>
      </c>
      <c r="B3160">
        <v>9.1000000000000002E+100</v>
      </c>
      <c r="D3160" s="18">
        <v>3158</v>
      </c>
      <c r="E3160" s="18" cm="1">
        <f t="array" aca="1" ref="E3160" ca="1">INDIRECT("b"&amp;F3160+2)</f>
        <v>2.5750000000000002E+137</v>
      </c>
      <c r="F3160" s="18">
        <f t="shared" si="611"/>
        <v>4609</v>
      </c>
      <c r="G3160" s="18">
        <f t="shared" ref="G3160" ca="1" si="613">E3160/E3155</f>
        <v>2.5750000000000002</v>
      </c>
      <c r="H3160" s="18"/>
      <c r="I3160" s="19">
        <v>3158</v>
      </c>
      <c r="J3160" s="19" cm="1">
        <f t="array" aca="1" ref="J3160" ca="1">INDIRECT("b"&amp;K3160+2)</f>
        <v>2.5749999999999999E+167</v>
      </c>
      <c r="K3160" s="19">
        <f t="shared" si="608"/>
        <v>5809</v>
      </c>
    </row>
    <row r="3161" spans="1:11">
      <c r="A3161">
        <v>3159</v>
      </c>
      <c r="B3161">
        <v>9.3249999999999997E+100</v>
      </c>
      <c r="D3161" s="18">
        <v>3159</v>
      </c>
      <c r="E3161" s="18" cm="1">
        <f t="array" aca="1" ref="E3161" ca="1">INDIRECT("b"&amp;F3161+2)</f>
        <v>2.8E+137</v>
      </c>
      <c r="F3161" s="18">
        <f t="shared" si="611"/>
        <v>4610</v>
      </c>
      <c r="G3161" s="18"/>
      <c r="H3161" s="18"/>
      <c r="I3161" s="19">
        <v>3159</v>
      </c>
      <c r="J3161" s="19" cm="1">
        <f t="array" aca="1" ref="J3161" ca="1">INDIRECT("b"&amp;K3161+2)</f>
        <v>2.7999999999999999E+167</v>
      </c>
      <c r="K3161" s="19">
        <f t="shared" si="608"/>
        <v>5810</v>
      </c>
    </row>
    <row r="3162" spans="1:11">
      <c r="A3162">
        <v>3160</v>
      </c>
      <c r="B3162">
        <v>9.5500000000000007E+100</v>
      </c>
      <c r="D3162" s="18">
        <v>3160</v>
      </c>
      <c r="E3162" s="18" cm="1">
        <f t="array" aca="1" ref="E3162" ca="1">INDIRECT("b"&amp;F3162+2)</f>
        <v>3.2500000000000001E+137</v>
      </c>
      <c r="F3162" s="18">
        <f t="shared" si="611"/>
        <v>4612</v>
      </c>
      <c r="G3162" s="18"/>
      <c r="H3162" s="18"/>
      <c r="I3162" s="19">
        <v>3160</v>
      </c>
      <c r="J3162" s="19" cm="1">
        <f t="array" aca="1" ref="J3162" ca="1">INDIRECT("b"&amp;K3162+2)</f>
        <v>3.25E+167</v>
      </c>
      <c r="K3162" s="19">
        <f t="shared" si="608"/>
        <v>5812</v>
      </c>
    </row>
    <row r="3163" spans="1:11">
      <c r="A3163">
        <v>3161</v>
      </c>
      <c r="B3163">
        <v>9.7750000000000003E+100</v>
      </c>
      <c r="D3163" s="18">
        <v>3161</v>
      </c>
      <c r="E3163" s="18" cm="1">
        <f t="array" aca="1" ref="E3163" ca="1">INDIRECT("b"&amp;F3163+2)</f>
        <v>3.4749999999999999E+137</v>
      </c>
      <c r="F3163" s="18">
        <f t="shared" si="611"/>
        <v>4613</v>
      </c>
      <c r="G3163" s="18"/>
      <c r="H3163" s="18"/>
      <c r="I3163" s="19">
        <v>3161</v>
      </c>
      <c r="J3163" s="19" cm="1">
        <f t="array" aca="1" ref="J3163" ca="1">INDIRECT("b"&amp;K3163+2)</f>
        <v>3.4749999999999995E+167</v>
      </c>
      <c r="K3163" s="19">
        <f t="shared" si="608"/>
        <v>5813</v>
      </c>
    </row>
    <row r="3164" spans="1:11">
      <c r="A3164">
        <v>3162</v>
      </c>
      <c r="B3164">
        <v>9.9999999999999998E+100</v>
      </c>
      <c r="D3164" s="18">
        <v>3162</v>
      </c>
      <c r="E3164" s="18" cm="1">
        <f t="array" aca="1" ref="E3164" ca="1">INDIRECT("b"&amp;F3164+2)</f>
        <v>3.6999999999999998E+137</v>
      </c>
      <c r="F3164" s="18">
        <f t="shared" si="611"/>
        <v>4614</v>
      </c>
      <c r="G3164" s="18"/>
      <c r="H3164" s="18"/>
      <c r="I3164" s="19">
        <v>3162</v>
      </c>
      <c r="J3164" s="19" cm="1">
        <f t="array" aca="1" ref="J3164" ca="1">INDIRECT("b"&amp;K3164+2)</f>
        <v>3.6999999999999996E+167</v>
      </c>
      <c r="K3164" s="19">
        <f t="shared" si="608"/>
        <v>5814</v>
      </c>
    </row>
    <row r="3165" spans="1:11">
      <c r="A3165">
        <v>3163</v>
      </c>
      <c r="B3165">
        <v>1.2250000000000001E+101</v>
      </c>
      <c r="D3165" s="18">
        <v>3163</v>
      </c>
      <c r="E3165" s="18" cm="1">
        <f t="array" aca="1" ref="E3165" ca="1">INDIRECT("b"&amp;F3165+2)</f>
        <v>4.1500000000000003E+137</v>
      </c>
      <c r="F3165" s="18">
        <f t="shared" si="611"/>
        <v>4616</v>
      </c>
      <c r="G3165" s="18">
        <f t="shared" ref="G3165" ca="1" si="614">E3165/E3160</f>
        <v>1.6116504854368932</v>
      </c>
      <c r="H3165" s="18"/>
      <c r="I3165" s="19">
        <v>3163</v>
      </c>
      <c r="J3165" s="19" cm="1">
        <f t="array" aca="1" ref="J3165" ca="1">INDIRECT("b"&amp;K3165+2)</f>
        <v>4.1499999999999997E+167</v>
      </c>
      <c r="K3165" s="19">
        <f t="shared" si="608"/>
        <v>5816</v>
      </c>
    </row>
    <row r="3166" spans="1:11">
      <c r="A3166">
        <v>3164</v>
      </c>
      <c r="B3166">
        <v>1.4499999999999999E+101</v>
      </c>
      <c r="D3166" s="18">
        <v>3164</v>
      </c>
      <c r="E3166" s="18" cm="1">
        <f t="array" aca="1" ref="E3166" ca="1">INDIRECT("b"&amp;F3166+2)</f>
        <v>4.3749999999999997E+137</v>
      </c>
      <c r="F3166" s="18">
        <f t="shared" si="611"/>
        <v>4617</v>
      </c>
      <c r="G3166" s="18"/>
      <c r="H3166" s="18"/>
      <c r="I3166" s="19">
        <v>3164</v>
      </c>
      <c r="J3166" s="19" cm="1">
        <f t="array" aca="1" ref="J3166" ca="1">INDIRECT("b"&amp;K3166+2)</f>
        <v>4.3749999999999997E+167</v>
      </c>
      <c r="K3166" s="19">
        <f t="shared" si="608"/>
        <v>5817</v>
      </c>
    </row>
    <row r="3167" spans="1:11">
      <c r="A3167">
        <v>3165</v>
      </c>
      <c r="B3167">
        <v>1.6750000000000001E+101</v>
      </c>
      <c r="D3167" s="18">
        <v>3165</v>
      </c>
      <c r="E3167" s="18" cm="1">
        <f t="array" aca="1" ref="E3167" ca="1">INDIRECT("b"&amp;F3167+2)</f>
        <v>4.6E+137</v>
      </c>
      <c r="F3167" s="18">
        <f t="shared" si="611"/>
        <v>4618</v>
      </c>
      <c r="G3167" s="18"/>
      <c r="H3167" s="18"/>
      <c r="I3167" s="19">
        <v>3165</v>
      </c>
      <c r="J3167" s="19" cm="1">
        <f t="array" aca="1" ref="J3167" ca="1">INDIRECT("b"&amp;K3167+2)</f>
        <v>4.5999999999999998E+167</v>
      </c>
      <c r="K3167" s="19">
        <f t="shared" si="608"/>
        <v>5818</v>
      </c>
    </row>
    <row r="3168" spans="1:11">
      <c r="A3168">
        <v>3166</v>
      </c>
      <c r="B3168">
        <v>1.9000000000000002E+101</v>
      </c>
      <c r="D3168" s="18">
        <v>3166</v>
      </c>
      <c r="E3168" s="18" cm="1">
        <f t="array" aca="1" ref="E3168" ca="1">INDIRECT("b"&amp;F3168+2)</f>
        <v>5.0499999999999997E+137</v>
      </c>
      <c r="F3168" s="18">
        <f t="shared" si="611"/>
        <v>4620</v>
      </c>
      <c r="G3168" s="18"/>
      <c r="H3168" s="18"/>
      <c r="I3168" s="19">
        <v>3166</v>
      </c>
      <c r="J3168" s="19" cm="1">
        <f t="array" aca="1" ref="J3168" ca="1">INDIRECT("b"&amp;K3168+2)</f>
        <v>5.0499999999999993E+167</v>
      </c>
      <c r="K3168" s="19">
        <f t="shared" si="608"/>
        <v>5820</v>
      </c>
    </row>
    <row r="3169" spans="1:11">
      <c r="A3169">
        <v>3167</v>
      </c>
      <c r="B3169">
        <v>2.125E+101</v>
      </c>
      <c r="D3169" s="18">
        <v>3167</v>
      </c>
      <c r="E3169" s="18" cm="1">
        <f t="array" aca="1" ref="E3169" ca="1">INDIRECT("b"&amp;F3169+2)</f>
        <v>5.2749999999999999E+137</v>
      </c>
      <c r="F3169" s="18">
        <f t="shared" si="611"/>
        <v>4621</v>
      </c>
      <c r="G3169" s="18"/>
      <c r="H3169" s="18"/>
      <c r="I3169" s="19">
        <v>3167</v>
      </c>
      <c r="J3169" s="19" cm="1">
        <f t="array" aca="1" ref="J3169" ca="1">INDIRECT("b"&amp;K3169+2)</f>
        <v>5.2749999999999994E+167</v>
      </c>
      <c r="K3169" s="19">
        <f t="shared" si="608"/>
        <v>5821</v>
      </c>
    </row>
    <row r="3170" spans="1:11">
      <c r="A3170">
        <v>3168</v>
      </c>
      <c r="B3170">
        <v>2.3500000000000002E+101</v>
      </c>
      <c r="D3170" s="18">
        <v>3168</v>
      </c>
      <c r="E3170" s="18" cm="1">
        <f t="array" aca="1" ref="E3170" ca="1">INDIRECT("b"&amp;F3170+2)</f>
        <v>5.5000000000000002E+137</v>
      </c>
      <c r="F3170" s="18">
        <f t="shared" si="611"/>
        <v>4622</v>
      </c>
      <c r="G3170" s="18">
        <f t="shared" ref="G3170" ca="1" si="615">E3170/E3165</f>
        <v>1.3253012048192772</v>
      </c>
      <c r="H3170" s="18"/>
      <c r="I3170" s="19">
        <v>3168</v>
      </c>
      <c r="J3170" s="19" cm="1">
        <f t="array" aca="1" ref="J3170" ca="1">INDIRECT("b"&amp;K3170+2)</f>
        <v>5.4999999999999994E+167</v>
      </c>
      <c r="K3170" s="19">
        <f t="shared" si="608"/>
        <v>5822</v>
      </c>
    </row>
    <row r="3171" spans="1:11">
      <c r="A3171">
        <v>3169</v>
      </c>
      <c r="B3171">
        <v>2.575E+101</v>
      </c>
      <c r="D3171" s="18">
        <v>3169</v>
      </c>
      <c r="E3171" s="18" cm="1">
        <f t="array" aca="1" ref="E3171" ca="1">INDIRECT("b"&amp;F3171+2)</f>
        <v>5.9499999999999999E+137</v>
      </c>
      <c r="F3171" s="18">
        <f t="shared" si="611"/>
        <v>4624</v>
      </c>
      <c r="G3171" s="18"/>
      <c r="H3171" s="18"/>
      <c r="I3171" s="19">
        <v>3169</v>
      </c>
      <c r="J3171" s="19" cm="1">
        <f t="array" aca="1" ref="J3171" ca="1">INDIRECT("b"&amp;K3171+2)</f>
        <v>5.9499999999999995E+167</v>
      </c>
      <c r="K3171" s="19">
        <f t="shared" si="608"/>
        <v>5824</v>
      </c>
    </row>
    <row r="3172" spans="1:11">
      <c r="A3172">
        <v>3170</v>
      </c>
      <c r="B3172">
        <v>2.7999999999999998E+101</v>
      </c>
      <c r="D3172" s="18">
        <v>3170</v>
      </c>
      <c r="E3172" s="18" cm="1">
        <f t="array" aca="1" ref="E3172" ca="1">INDIRECT("b"&amp;F3172+2)</f>
        <v>6.1750000000000001E+137</v>
      </c>
      <c r="F3172" s="18">
        <f t="shared" si="611"/>
        <v>4625</v>
      </c>
      <c r="G3172" s="18"/>
      <c r="H3172" s="18"/>
      <c r="I3172" s="19">
        <v>3170</v>
      </c>
      <c r="J3172" s="19" cm="1">
        <f t="array" aca="1" ref="J3172" ca="1">INDIRECT("b"&amp;K3172+2)</f>
        <v>6.1749999999999996E+167</v>
      </c>
      <c r="K3172" s="19">
        <f t="shared" si="608"/>
        <v>5825</v>
      </c>
    </row>
    <row r="3173" spans="1:11">
      <c r="A3173">
        <v>3171</v>
      </c>
      <c r="B3173">
        <v>3.0249999999999999E+101</v>
      </c>
      <c r="D3173" s="18">
        <v>3171</v>
      </c>
      <c r="E3173" s="18" cm="1">
        <f t="array" aca="1" ref="E3173" ca="1">INDIRECT("b"&amp;F3173+2)</f>
        <v>6.4000000000000004E+137</v>
      </c>
      <c r="F3173" s="18">
        <f t="shared" si="611"/>
        <v>4626</v>
      </c>
      <c r="G3173" s="18"/>
      <c r="H3173" s="18"/>
      <c r="I3173" s="19">
        <v>3171</v>
      </c>
      <c r="J3173" s="19" cm="1">
        <f t="array" aca="1" ref="J3173" ca="1">INDIRECT("b"&amp;K3173+2)</f>
        <v>6.3999999999999996E+167</v>
      </c>
      <c r="K3173" s="19">
        <f t="shared" si="608"/>
        <v>5826</v>
      </c>
    </row>
    <row r="3174" spans="1:11">
      <c r="A3174">
        <v>3172</v>
      </c>
      <c r="B3174">
        <v>3.2500000000000001E+101</v>
      </c>
      <c r="D3174" s="18">
        <v>3172</v>
      </c>
      <c r="E3174" s="18" cm="1">
        <f t="array" aca="1" ref="E3174" ca="1">INDIRECT("b"&amp;F3174+2)</f>
        <v>6.8500000000000001E+137</v>
      </c>
      <c r="F3174" s="18">
        <f t="shared" si="611"/>
        <v>4628</v>
      </c>
      <c r="G3174" s="18"/>
      <c r="H3174" s="18"/>
      <c r="I3174" s="19">
        <v>3172</v>
      </c>
      <c r="J3174" s="19" cm="1">
        <f t="array" aca="1" ref="J3174" ca="1">INDIRECT("b"&amp;K3174+2)</f>
        <v>6.8499999999999997E+167</v>
      </c>
      <c r="K3174" s="19">
        <f t="shared" si="608"/>
        <v>5828</v>
      </c>
    </row>
    <row r="3175" spans="1:11">
      <c r="A3175">
        <v>3173</v>
      </c>
      <c r="B3175">
        <v>3.4750000000000002E+101</v>
      </c>
      <c r="D3175" s="18">
        <v>3173</v>
      </c>
      <c r="E3175" s="18" cm="1">
        <f t="array" aca="1" ref="E3175" ca="1">INDIRECT("b"&amp;F3175+2)</f>
        <v>7.0750000000000003E+137</v>
      </c>
      <c r="F3175" s="18">
        <f t="shared" si="611"/>
        <v>4629</v>
      </c>
      <c r="G3175" s="18">
        <f t="shared" ref="G3175" ca="1" si="616">E3175/E3170</f>
        <v>1.2863636363636364</v>
      </c>
      <c r="H3175" s="18"/>
      <c r="I3175" s="19">
        <v>3173</v>
      </c>
      <c r="J3175" s="19" cm="1">
        <f t="array" aca="1" ref="J3175" ca="1">INDIRECT("b"&amp;K3175+2)</f>
        <v>7.0749999999999998E+167</v>
      </c>
      <c r="K3175" s="19">
        <f t="shared" si="608"/>
        <v>5829</v>
      </c>
    </row>
    <row r="3176" spans="1:11">
      <c r="A3176">
        <v>3174</v>
      </c>
      <c r="B3176">
        <v>3.7000000000000004E+101</v>
      </c>
      <c r="D3176" s="18">
        <v>3174</v>
      </c>
      <c r="E3176" s="18" cm="1">
        <f t="array" aca="1" ref="E3176" ca="1">INDIRECT("b"&amp;F3176+2)</f>
        <v>7.2999999999999997E+137</v>
      </c>
      <c r="F3176" s="18">
        <f t="shared" si="611"/>
        <v>4630</v>
      </c>
      <c r="G3176" s="18"/>
      <c r="H3176" s="18"/>
      <c r="I3176" s="19">
        <v>3174</v>
      </c>
      <c r="J3176" s="19" cm="1">
        <f t="array" aca="1" ref="J3176" ca="1">INDIRECT("b"&amp;K3176+2)</f>
        <v>7.2999999999999998E+167</v>
      </c>
      <c r="K3176" s="19">
        <f t="shared" si="608"/>
        <v>5830</v>
      </c>
    </row>
    <row r="3177" spans="1:11">
      <c r="A3177">
        <v>3175</v>
      </c>
      <c r="B3177">
        <v>3.9249999999999999E+101</v>
      </c>
      <c r="D3177" s="18">
        <v>3175</v>
      </c>
      <c r="E3177" s="18" cm="1">
        <f t="array" aca="1" ref="E3177" ca="1">INDIRECT("b"&amp;F3177+2)</f>
        <v>7.7499999999999994E+137</v>
      </c>
      <c r="F3177" s="18">
        <f t="shared" si="611"/>
        <v>4632</v>
      </c>
      <c r="G3177" s="18"/>
      <c r="H3177" s="18"/>
      <c r="I3177" s="19">
        <v>3175</v>
      </c>
      <c r="J3177" s="19" cm="1">
        <f t="array" aca="1" ref="J3177" ca="1">INDIRECT("b"&amp;K3177+2)</f>
        <v>7.7499999999999999E+167</v>
      </c>
      <c r="K3177" s="19">
        <f t="shared" si="608"/>
        <v>5832</v>
      </c>
    </row>
    <row r="3178" spans="1:11">
      <c r="A3178">
        <v>3176</v>
      </c>
      <c r="B3178">
        <v>4.15E+101</v>
      </c>
      <c r="D3178" s="18">
        <v>3176</v>
      </c>
      <c r="E3178" s="18" cm="1">
        <f t="array" aca="1" ref="E3178" ca="1">INDIRECT("b"&amp;F3178+2)</f>
        <v>7.9750000000000005E+137</v>
      </c>
      <c r="F3178" s="18">
        <f t="shared" si="611"/>
        <v>4633</v>
      </c>
      <c r="G3178" s="18"/>
      <c r="H3178" s="18"/>
      <c r="I3178" s="19">
        <v>3176</v>
      </c>
      <c r="J3178" s="19" cm="1">
        <f t="array" aca="1" ref="J3178" ca="1">INDIRECT("b"&amp;K3178+2)</f>
        <v>7.9749999999999989E+167</v>
      </c>
      <c r="K3178" s="19">
        <f t="shared" si="608"/>
        <v>5833</v>
      </c>
    </row>
    <row r="3179" spans="1:11">
      <c r="A3179">
        <v>3177</v>
      </c>
      <c r="B3179">
        <v>4.3750000000000001E+101</v>
      </c>
      <c r="D3179" s="18">
        <v>3177</v>
      </c>
      <c r="E3179" s="18" cm="1">
        <f t="array" aca="1" ref="E3179" ca="1">INDIRECT("b"&amp;F3179+2)</f>
        <v>8.1999999999999999E+137</v>
      </c>
      <c r="F3179" s="18">
        <f t="shared" si="611"/>
        <v>4634</v>
      </c>
      <c r="G3179" s="18"/>
      <c r="H3179" s="18"/>
      <c r="I3179" s="19">
        <v>3177</v>
      </c>
      <c r="J3179" s="19" cm="1">
        <f t="array" aca="1" ref="J3179" ca="1">INDIRECT("b"&amp;K3179+2)</f>
        <v>8.199999999999999E+167</v>
      </c>
      <c r="K3179" s="19">
        <f t="shared" si="608"/>
        <v>5834</v>
      </c>
    </row>
    <row r="3180" spans="1:11">
      <c r="A3180">
        <v>3178</v>
      </c>
      <c r="B3180">
        <v>4.6000000000000003E+101</v>
      </c>
      <c r="D3180" s="18">
        <v>3178</v>
      </c>
      <c r="E3180" s="18" cm="1">
        <f t="array" aca="1" ref="E3180" ca="1">INDIRECT("b"&amp;F3180+2)</f>
        <v>8.6500000000000004E+137</v>
      </c>
      <c r="F3180" s="18">
        <f t="shared" si="611"/>
        <v>4636</v>
      </c>
      <c r="G3180" s="18">
        <f t="shared" ref="G3180" ca="1" si="617">E3180/E3175</f>
        <v>1.2226148409893993</v>
      </c>
      <c r="H3180" s="18"/>
      <c r="I3180" s="19">
        <v>3178</v>
      </c>
      <c r="J3180" s="19" cm="1">
        <f t="array" aca="1" ref="J3180" ca="1">INDIRECT("b"&amp;K3180+2)</f>
        <v>8.6499999999999991E+167</v>
      </c>
      <c r="K3180" s="19">
        <f t="shared" si="608"/>
        <v>5836</v>
      </c>
    </row>
    <row r="3181" spans="1:11">
      <c r="A3181">
        <v>3179</v>
      </c>
      <c r="B3181">
        <v>4.8250000000000004E+101</v>
      </c>
      <c r="D3181" s="18">
        <v>3179</v>
      </c>
      <c r="E3181" s="18" cm="1">
        <f t="array" aca="1" ref="E3181" ca="1">INDIRECT("b"&amp;F3181+2)</f>
        <v>8.8749999999999999E+137</v>
      </c>
      <c r="F3181" s="18">
        <f t="shared" si="611"/>
        <v>4637</v>
      </c>
      <c r="G3181" s="18"/>
      <c r="H3181" s="18"/>
      <c r="I3181" s="19">
        <v>3179</v>
      </c>
      <c r="J3181" s="19" cm="1">
        <f t="array" aca="1" ref="J3181" ca="1">INDIRECT("b"&amp;K3181+2)</f>
        <v>8.8749999999999991E+167</v>
      </c>
      <c r="K3181" s="19">
        <f t="shared" si="608"/>
        <v>5837</v>
      </c>
    </row>
    <row r="3182" spans="1:11">
      <c r="A3182">
        <v>3180</v>
      </c>
      <c r="B3182">
        <v>5.0499999999999999E+101</v>
      </c>
      <c r="D3182" s="18">
        <v>3180</v>
      </c>
      <c r="E3182" s="18" cm="1">
        <f t="array" aca="1" ref="E3182" ca="1">INDIRECT("b"&amp;F3182+2)</f>
        <v>9.0999999999999993E+137</v>
      </c>
      <c r="F3182" s="18">
        <f t="shared" si="611"/>
        <v>4638</v>
      </c>
      <c r="G3182" s="18"/>
      <c r="H3182" s="18"/>
      <c r="I3182" s="19">
        <v>3180</v>
      </c>
      <c r="J3182" s="19" cm="1">
        <f t="array" aca="1" ref="J3182" ca="1">INDIRECT("b"&amp;K3182+2)</f>
        <v>9.0999999999999991E+167</v>
      </c>
      <c r="K3182" s="19">
        <f t="shared" si="608"/>
        <v>5838</v>
      </c>
    </row>
    <row r="3183" spans="1:11">
      <c r="A3183">
        <v>3181</v>
      </c>
      <c r="B3183">
        <v>5.275E+101</v>
      </c>
      <c r="D3183" s="18">
        <v>3181</v>
      </c>
      <c r="E3183" s="18" cm="1">
        <f t="array" aca="1" ref="E3183" ca="1">INDIRECT("b"&amp;F3183+2)</f>
        <v>9.5499999999999998E+137</v>
      </c>
      <c r="F3183" s="18">
        <f t="shared" si="611"/>
        <v>4640</v>
      </c>
      <c r="G3183" s="18"/>
      <c r="H3183" s="18"/>
      <c r="I3183" s="19">
        <v>3181</v>
      </c>
      <c r="J3183" s="19" cm="1">
        <f t="array" aca="1" ref="J3183" ca="1">INDIRECT("b"&amp;K3183+2)</f>
        <v>9.5499999999999992E+167</v>
      </c>
      <c r="K3183" s="19">
        <f t="shared" si="608"/>
        <v>5840</v>
      </c>
    </row>
    <row r="3184" spans="1:11">
      <c r="A3184">
        <v>3182</v>
      </c>
      <c r="B3184">
        <v>5.5000000000000002E+101</v>
      </c>
      <c r="D3184" s="18">
        <v>3182</v>
      </c>
      <c r="E3184" s="18" cm="1">
        <f t="array" aca="1" ref="E3184" ca="1">INDIRECT("b"&amp;F3184+2)</f>
        <v>9.7749999999999992E+137</v>
      </c>
      <c r="F3184" s="18">
        <f t="shared" si="611"/>
        <v>4641</v>
      </c>
      <c r="G3184" s="18"/>
      <c r="H3184" s="18"/>
      <c r="I3184" s="19">
        <v>3182</v>
      </c>
      <c r="J3184" s="19" cm="1">
        <f t="array" aca="1" ref="J3184" ca="1">INDIRECT("b"&amp;K3184+2)</f>
        <v>9.7749999999999993E+167</v>
      </c>
      <c r="K3184" s="19">
        <f t="shared" si="608"/>
        <v>5841</v>
      </c>
    </row>
    <row r="3185" spans="1:11">
      <c r="A3185">
        <v>3183</v>
      </c>
      <c r="B3185">
        <v>5.7250000000000003E+101</v>
      </c>
      <c r="D3185" s="18">
        <v>3183</v>
      </c>
      <c r="E3185" s="18" cm="1">
        <f t="array" aca="1" ref="E3185" ca="1">INDIRECT("b"&amp;F3185+2)</f>
        <v>1E+138</v>
      </c>
      <c r="F3185" s="18">
        <f t="shared" si="611"/>
        <v>4642</v>
      </c>
      <c r="G3185" s="18">
        <f t="shared" ref="G3185" ca="1" si="618">E3185/E3180</f>
        <v>1.1560693641618498</v>
      </c>
      <c r="H3185" s="18"/>
      <c r="I3185" s="19">
        <v>3183</v>
      </c>
      <c r="J3185" s="19" cm="1">
        <f t="array" aca="1" ref="J3185" ca="1">INDIRECT("b"&amp;K3185+2)</f>
        <v>9.9999999999999993E+167</v>
      </c>
      <c r="K3185" s="19">
        <f t="shared" si="608"/>
        <v>5842</v>
      </c>
    </row>
    <row r="3186" spans="1:11">
      <c r="A3186">
        <v>3184</v>
      </c>
      <c r="B3186">
        <v>5.9499999999999998E+101</v>
      </c>
      <c r="D3186" s="18">
        <v>3184</v>
      </c>
      <c r="E3186" s="18" cm="1">
        <f t="array" aca="1" ref="E3186" ca="1">INDIRECT("b"&amp;F3186+2)</f>
        <v>1.45E+138</v>
      </c>
      <c r="F3186" s="18">
        <f t="shared" si="611"/>
        <v>4644</v>
      </c>
      <c r="G3186" s="18"/>
      <c r="H3186" s="18"/>
      <c r="I3186" s="19">
        <v>3184</v>
      </c>
      <c r="J3186" s="19" cm="1">
        <f t="array" aca="1" ref="J3186" ca="1">INDIRECT("b"&amp;K3186+2)</f>
        <v>1.45E+168</v>
      </c>
      <c r="K3186" s="19">
        <f t="shared" si="608"/>
        <v>5844</v>
      </c>
    </row>
    <row r="3187" spans="1:11">
      <c r="A3187">
        <v>3185</v>
      </c>
      <c r="B3187">
        <v>6.1750000000000006E+101</v>
      </c>
      <c r="D3187" s="18">
        <v>3185</v>
      </c>
      <c r="E3187" s="18" cm="1">
        <f t="array" aca="1" ref="E3187" ca="1">INDIRECT("b"&amp;F3187+2)</f>
        <v>1.675E+138</v>
      </c>
      <c r="F3187" s="18">
        <f t="shared" si="611"/>
        <v>4645</v>
      </c>
      <c r="G3187" s="18"/>
      <c r="H3187" s="18"/>
      <c r="I3187" s="19">
        <v>3185</v>
      </c>
      <c r="J3187" s="19" cm="1">
        <f t="array" aca="1" ref="J3187" ca="1">INDIRECT("b"&amp;K3187+2)</f>
        <v>1.6750000000000001E+168</v>
      </c>
      <c r="K3187" s="19">
        <f t="shared" si="608"/>
        <v>5845</v>
      </c>
    </row>
    <row r="3188" spans="1:11">
      <c r="A3188">
        <v>3186</v>
      </c>
      <c r="B3188">
        <v>6.4000000000000001E+101</v>
      </c>
      <c r="D3188" s="18">
        <v>3186</v>
      </c>
      <c r="E3188" s="18" cm="1">
        <f t="array" aca="1" ref="E3188" ca="1">INDIRECT("b"&amp;F3188+2)</f>
        <v>1.9000000000000001E+138</v>
      </c>
      <c r="F3188" s="18">
        <f t="shared" si="611"/>
        <v>4646</v>
      </c>
      <c r="G3188" s="18"/>
      <c r="H3188" s="18"/>
      <c r="I3188" s="19">
        <v>3186</v>
      </c>
      <c r="J3188" s="19" cm="1">
        <f t="array" aca="1" ref="J3188" ca="1">INDIRECT("b"&amp;K3188+2)</f>
        <v>1.9000000000000001E+168</v>
      </c>
      <c r="K3188" s="19">
        <f t="shared" si="608"/>
        <v>5846</v>
      </c>
    </row>
    <row r="3189" spans="1:11">
      <c r="A3189">
        <v>3187</v>
      </c>
      <c r="B3189">
        <v>6.6250000000000009E+101</v>
      </c>
      <c r="D3189" s="18">
        <v>3187</v>
      </c>
      <c r="E3189" s="18" cm="1">
        <f t="array" aca="1" ref="E3189" ca="1">INDIRECT("b"&amp;F3189+2)</f>
        <v>2.3500000000000002E+138</v>
      </c>
      <c r="F3189" s="18">
        <f t="shared" si="611"/>
        <v>4648</v>
      </c>
      <c r="G3189" s="18"/>
      <c r="H3189" s="18"/>
      <c r="I3189" s="19">
        <v>3187</v>
      </c>
      <c r="J3189" s="19" cm="1">
        <f t="array" aca="1" ref="J3189" ca="1">INDIRECT("b"&amp;K3189+2)</f>
        <v>2.3500000000000002E+168</v>
      </c>
      <c r="K3189" s="19">
        <f t="shared" si="608"/>
        <v>5848</v>
      </c>
    </row>
    <row r="3190" spans="1:11">
      <c r="A3190">
        <v>3188</v>
      </c>
      <c r="B3190">
        <v>6.8500000000000004E+101</v>
      </c>
      <c r="D3190" s="18">
        <v>3188</v>
      </c>
      <c r="E3190" s="18" cm="1">
        <f t="array" aca="1" ref="E3190" ca="1">INDIRECT("b"&amp;F3190+2)</f>
        <v>2.575E+138</v>
      </c>
      <c r="F3190" s="18">
        <f t="shared" si="611"/>
        <v>4649</v>
      </c>
      <c r="G3190" s="18">
        <f t="shared" ref="G3190" ca="1" si="619">E3190/E3185</f>
        <v>2.5749999999999997</v>
      </c>
      <c r="H3190" s="18"/>
      <c r="I3190" s="19">
        <v>3188</v>
      </c>
      <c r="J3190" s="19" cm="1">
        <f t="array" aca="1" ref="J3190" ca="1">INDIRECT("b"&amp;K3190+2)</f>
        <v>2.5749999999999999E+168</v>
      </c>
      <c r="K3190" s="19">
        <f t="shared" si="608"/>
        <v>5849</v>
      </c>
    </row>
    <row r="3191" spans="1:11">
      <c r="A3191">
        <v>3189</v>
      </c>
      <c r="B3191">
        <v>7.0749999999999999E+101</v>
      </c>
      <c r="D3191" s="18">
        <v>3189</v>
      </c>
      <c r="E3191" s="18" cm="1">
        <f t="array" aca="1" ref="E3191" ca="1">INDIRECT("b"&amp;F3191+2)</f>
        <v>2.8000000000000001E+138</v>
      </c>
      <c r="F3191" s="18">
        <f t="shared" si="611"/>
        <v>4650</v>
      </c>
      <c r="G3191" s="18"/>
      <c r="H3191" s="18"/>
      <c r="I3191" s="19">
        <v>3189</v>
      </c>
      <c r="J3191" s="19" cm="1">
        <f t="array" aca="1" ref="J3191" ca="1">INDIRECT("b"&amp;K3191+2)</f>
        <v>2.7999999999999999E+168</v>
      </c>
      <c r="K3191" s="19">
        <f t="shared" si="608"/>
        <v>5850</v>
      </c>
    </row>
    <row r="3192" spans="1:11">
      <c r="A3192">
        <v>3190</v>
      </c>
      <c r="B3192">
        <v>7.3000000000000006E+101</v>
      </c>
      <c r="D3192" s="18">
        <v>3190</v>
      </c>
      <c r="E3192" s="18" cm="1">
        <f t="array" aca="1" ref="E3192" ca="1">INDIRECT("b"&amp;F3192+2)</f>
        <v>3.2500000000000003E+138</v>
      </c>
      <c r="F3192" s="18">
        <f t="shared" si="611"/>
        <v>4652</v>
      </c>
      <c r="G3192" s="18"/>
      <c r="H3192" s="18"/>
      <c r="I3192" s="19">
        <v>3190</v>
      </c>
      <c r="J3192" s="19" cm="1">
        <f t="array" aca="1" ref="J3192" ca="1">INDIRECT("b"&amp;K3192+2)</f>
        <v>3.25E+168</v>
      </c>
      <c r="K3192" s="19">
        <f t="shared" si="608"/>
        <v>5852</v>
      </c>
    </row>
    <row r="3193" spans="1:11">
      <c r="A3193">
        <v>3191</v>
      </c>
      <c r="B3193">
        <v>7.5250000000000002E+101</v>
      </c>
      <c r="D3193" s="18">
        <v>3191</v>
      </c>
      <c r="E3193" s="18" cm="1">
        <f t="array" aca="1" ref="E3193" ca="1">INDIRECT("b"&amp;F3193+2)</f>
        <v>3.475E+138</v>
      </c>
      <c r="F3193" s="18">
        <f t="shared" si="611"/>
        <v>4653</v>
      </c>
      <c r="G3193" s="18"/>
      <c r="H3193" s="18"/>
      <c r="I3193" s="19">
        <v>3191</v>
      </c>
      <c r="J3193" s="19" cm="1">
        <f t="array" aca="1" ref="J3193" ca="1">INDIRECT("b"&amp;K3193+2)</f>
        <v>3.475E+168</v>
      </c>
      <c r="K3193" s="19">
        <f t="shared" si="608"/>
        <v>5853</v>
      </c>
    </row>
    <row r="3194" spans="1:11">
      <c r="A3194">
        <v>3192</v>
      </c>
      <c r="B3194">
        <v>7.7500000000000009E+101</v>
      </c>
      <c r="D3194" s="18">
        <v>3192</v>
      </c>
      <c r="E3194" s="18" cm="1">
        <f t="array" aca="1" ref="E3194" ca="1">INDIRECT("b"&amp;F3194+2)</f>
        <v>3.7000000000000005E+138</v>
      </c>
      <c r="F3194" s="18">
        <f t="shared" si="611"/>
        <v>4654</v>
      </c>
      <c r="G3194" s="18"/>
      <c r="H3194" s="18"/>
      <c r="I3194" s="19">
        <v>3192</v>
      </c>
      <c r="J3194" s="19" cm="1">
        <f t="array" aca="1" ref="J3194" ca="1">INDIRECT("b"&amp;K3194+2)</f>
        <v>3.7000000000000001E+168</v>
      </c>
      <c r="K3194" s="19">
        <f t="shared" si="608"/>
        <v>5854</v>
      </c>
    </row>
    <row r="3195" spans="1:11">
      <c r="A3195">
        <v>3193</v>
      </c>
      <c r="B3195">
        <v>7.9750000000000004E+101</v>
      </c>
      <c r="D3195" s="18">
        <v>3193</v>
      </c>
      <c r="E3195" s="18" cm="1">
        <f t="array" aca="1" ref="E3195" ca="1">INDIRECT("b"&amp;F3195+2)</f>
        <v>4.15E+138</v>
      </c>
      <c r="F3195" s="18">
        <f t="shared" si="611"/>
        <v>4656</v>
      </c>
      <c r="G3195" s="18">
        <f t="shared" ref="G3195" ca="1" si="620">E3195/E3190</f>
        <v>1.6116504854368932</v>
      </c>
      <c r="H3195" s="18"/>
      <c r="I3195" s="19">
        <v>3193</v>
      </c>
      <c r="J3195" s="19" cm="1">
        <f t="array" aca="1" ref="J3195" ca="1">INDIRECT("b"&amp;K3195+2)</f>
        <v>4.1499999999999998E+168</v>
      </c>
      <c r="K3195" s="19">
        <f t="shared" si="608"/>
        <v>5856</v>
      </c>
    </row>
    <row r="3196" spans="1:11">
      <c r="A3196">
        <v>3194</v>
      </c>
      <c r="B3196">
        <v>8.1999999999999999E+101</v>
      </c>
      <c r="D3196" s="18">
        <v>3194</v>
      </c>
      <c r="E3196" s="18" cm="1">
        <f t="array" aca="1" ref="E3196" ca="1">INDIRECT("b"&amp;F3196+2)</f>
        <v>4.3750000000000004E+138</v>
      </c>
      <c r="F3196" s="18">
        <f t="shared" si="611"/>
        <v>4657</v>
      </c>
      <c r="G3196" s="18"/>
      <c r="H3196" s="18"/>
      <c r="I3196" s="19">
        <v>3194</v>
      </c>
      <c r="J3196" s="19" cm="1">
        <f t="array" aca="1" ref="J3196" ca="1">INDIRECT("b"&amp;K3196+2)</f>
        <v>4.3750000000000002E+168</v>
      </c>
      <c r="K3196" s="19">
        <f t="shared" si="608"/>
        <v>5857</v>
      </c>
    </row>
    <row r="3197" spans="1:11">
      <c r="A3197">
        <v>3195</v>
      </c>
      <c r="B3197">
        <v>8.4250000000000007E+101</v>
      </c>
      <c r="D3197" s="18">
        <v>3195</v>
      </c>
      <c r="E3197" s="18" cm="1">
        <f t="array" aca="1" ref="E3197" ca="1">INDIRECT("b"&amp;F3197+2)</f>
        <v>4.6000000000000002E+138</v>
      </c>
      <c r="F3197" s="18">
        <f t="shared" si="611"/>
        <v>4658</v>
      </c>
      <c r="G3197" s="18"/>
      <c r="H3197" s="18"/>
      <c r="I3197" s="19">
        <v>3195</v>
      </c>
      <c r="J3197" s="19" cm="1">
        <f t="array" aca="1" ref="J3197" ca="1">INDIRECT("b"&amp;K3197+2)</f>
        <v>4.5999999999999999E+168</v>
      </c>
      <c r="K3197" s="19">
        <f t="shared" si="608"/>
        <v>5858</v>
      </c>
    </row>
    <row r="3198" spans="1:11">
      <c r="A3198">
        <v>3196</v>
      </c>
      <c r="B3198">
        <v>8.6500000000000002E+101</v>
      </c>
      <c r="D3198" s="18">
        <v>3196</v>
      </c>
      <c r="E3198" s="18" cm="1">
        <f t="array" aca="1" ref="E3198" ca="1">INDIRECT("b"&amp;F3198+2)</f>
        <v>5.0500000000000003E+138</v>
      </c>
      <c r="F3198" s="18">
        <f t="shared" si="611"/>
        <v>4660</v>
      </c>
      <c r="G3198" s="18"/>
      <c r="H3198" s="18"/>
      <c r="I3198" s="19">
        <v>3196</v>
      </c>
      <c r="J3198" s="19" cm="1">
        <f t="array" aca="1" ref="J3198" ca="1">INDIRECT("b"&amp;K3198+2)</f>
        <v>5.05E+168</v>
      </c>
      <c r="K3198" s="19">
        <f t="shared" si="608"/>
        <v>5860</v>
      </c>
    </row>
    <row r="3199" spans="1:11">
      <c r="A3199">
        <v>3197</v>
      </c>
      <c r="B3199">
        <v>8.875000000000001E+101</v>
      </c>
      <c r="D3199" s="18">
        <v>3197</v>
      </c>
      <c r="E3199" s="18" cm="1">
        <f t="array" aca="1" ref="E3199" ca="1">INDIRECT("b"&amp;F3199+2)</f>
        <v>5.2750000000000001E+138</v>
      </c>
      <c r="F3199" s="18">
        <f t="shared" si="611"/>
        <v>4661</v>
      </c>
      <c r="G3199" s="18"/>
      <c r="H3199" s="18"/>
      <c r="I3199" s="19">
        <v>3197</v>
      </c>
      <c r="J3199" s="19" cm="1">
        <f t="array" aca="1" ref="J3199" ca="1">INDIRECT("b"&amp;K3199+2)</f>
        <v>5.2750000000000004E+168</v>
      </c>
      <c r="K3199" s="19">
        <f t="shared" si="608"/>
        <v>5861</v>
      </c>
    </row>
    <row r="3200" spans="1:11">
      <c r="A3200">
        <v>3198</v>
      </c>
      <c r="B3200">
        <v>9.1000000000000005E+101</v>
      </c>
      <c r="D3200" s="18">
        <v>3198</v>
      </c>
      <c r="E3200" s="18" cm="1">
        <f t="array" aca="1" ref="E3200" ca="1">INDIRECT("b"&amp;F3200+2)</f>
        <v>5.5000000000000005E+138</v>
      </c>
      <c r="F3200" s="18">
        <f t="shared" si="611"/>
        <v>4662</v>
      </c>
      <c r="G3200" s="18">
        <f t="shared" ref="G3200" ca="1" si="621">E3200/E3195</f>
        <v>1.3253012048192772</v>
      </c>
      <c r="H3200" s="18"/>
      <c r="I3200" s="19">
        <v>3198</v>
      </c>
      <c r="J3200" s="19" cm="1">
        <f t="array" aca="1" ref="J3200" ca="1">INDIRECT("b"&amp;K3200+2)</f>
        <v>5.5000000000000001E+168</v>
      </c>
      <c r="K3200" s="19">
        <f t="shared" si="608"/>
        <v>5862</v>
      </c>
    </row>
    <row r="3201" spans="1:11">
      <c r="A3201">
        <v>3199</v>
      </c>
      <c r="B3201">
        <v>9.325E+101</v>
      </c>
      <c r="D3201" s="18">
        <v>3199</v>
      </c>
      <c r="E3201" s="18" cm="1">
        <f t="array" aca="1" ref="E3201" ca="1">INDIRECT("b"&amp;F3201+2)</f>
        <v>5.95E+138</v>
      </c>
      <c r="F3201" s="18">
        <f t="shared" si="611"/>
        <v>4664</v>
      </c>
      <c r="G3201" s="18"/>
      <c r="H3201" s="18"/>
      <c r="I3201" s="19">
        <v>3199</v>
      </c>
      <c r="J3201" s="19" cm="1">
        <f t="array" aca="1" ref="J3201" ca="1">INDIRECT("b"&amp;K3201+2)</f>
        <v>5.9500000000000002E+168</v>
      </c>
      <c r="K3201" s="19">
        <f t="shared" si="608"/>
        <v>5864</v>
      </c>
    </row>
    <row r="3202" spans="1:11">
      <c r="A3202">
        <v>3200</v>
      </c>
      <c r="B3202">
        <v>9.5500000000000007E+101</v>
      </c>
      <c r="D3202" s="18">
        <v>3200</v>
      </c>
      <c r="E3202" s="18" cm="1">
        <f t="array" aca="1" ref="E3202" ca="1">INDIRECT("b"&amp;F3202+2)</f>
        <v>6.1749999999999998E+138</v>
      </c>
      <c r="F3202" s="18">
        <f t="shared" si="611"/>
        <v>4665</v>
      </c>
      <c r="G3202" s="18"/>
      <c r="H3202" s="18"/>
      <c r="I3202" s="19">
        <v>3200</v>
      </c>
      <c r="J3202" s="19" cm="1">
        <f t="array" aca="1" ref="J3202" ca="1">INDIRECT("b"&amp;K3202+2)</f>
        <v>6.1749999999999998E+168</v>
      </c>
      <c r="K3202" s="19">
        <f t="shared" si="608"/>
        <v>5865</v>
      </c>
    </row>
    <row r="3203" spans="1:11">
      <c r="A3203">
        <v>3201</v>
      </c>
      <c r="B3203">
        <v>9.7750000000000003E+101</v>
      </c>
      <c r="D3203" s="18">
        <v>3201</v>
      </c>
      <c r="E3203" s="18" cm="1">
        <f t="array" aca="1" ref="E3203" ca="1">INDIRECT("b"&amp;F3203+2)</f>
        <v>6.4000000000000002E+138</v>
      </c>
      <c r="F3203" s="18">
        <f t="shared" si="611"/>
        <v>4666</v>
      </c>
      <c r="G3203" s="18"/>
      <c r="H3203" s="18"/>
      <c r="I3203" s="19">
        <v>3201</v>
      </c>
      <c r="J3203" s="19" cm="1">
        <f t="array" aca="1" ref="J3203" ca="1">INDIRECT("b"&amp;K3203+2)</f>
        <v>6.4000000000000002E+168</v>
      </c>
      <c r="K3203" s="19">
        <f t="shared" si="608"/>
        <v>5866</v>
      </c>
    </row>
    <row r="3204" spans="1:11">
      <c r="A3204">
        <v>3202</v>
      </c>
      <c r="B3204">
        <v>9.9999999999999998E+101</v>
      </c>
      <c r="D3204" s="18">
        <v>3202</v>
      </c>
      <c r="E3204" s="18" cm="1">
        <f t="array" aca="1" ref="E3204" ca="1">INDIRECT("b"&amp;F3204+2)</f>
        <v>6.8500000000000011E+138</v>
      </c>
      <c r="F3204" s="18">
        <f t="shared" si="611"/>
        <v>4668</v>
      </c>
      <c r="G3204" s="18"/>
      <c r="H3204" s="18"/>
      <c r="I3204" s="19">
        <v>3202</v>
      </c>
      <c r="J3204" s="19" cm="1">
        <f t="array" aca="1" ref="J3204" ca="1">INDIRECT("b"&amp;K3204+2)</f>
        <v>6.8500000000000003E+168</v>
      </c>
      <c r="K3204" s="19">
        <f t="shared" ref="K3204:K3267" si="622">INT((A3204-1)*40/30+900*40/30)+400</f>
        <v>5868</v>
      </c>
    </row>
    <row r="3205" spans="1:11">
      <c r="A3205">
        <v>3203</v>
      </c>
      <c r="B3205">
        <v>1.2250000000000001E+102</v>
      </c>
      <c r="D3205" s="18">
        <v>3203</v>
      </c>
      <c r="E3205" s="18" cm="1">
        <f t="array" aca="1" ref="E3205" ca="1">INDIRECT("b"&amp;F3205+2)</f>
        <v>7.0750000000000001E+138</v>
      </c>
      <c r="F3205" s="18">
        <f t="shared" si="611"/>
        <v>4669</v>
      </c>
      <c r="G3205" s="18">
        <f t="shared" ref="G3205" ca="1" si="623">E3205/E3200</f>
        <v>1.2863636363636364</v>
      </c>
      <c r="H3205" s="18"/>
      <c r="I3205" s="19">
        <v>3203</v>
      </c>
      <c r="J3205" s="19" cm="1">
        <f t="array" aca="1" ref="J3205" ca="1">INDIRECT("b"&amp;K3205+2)</f>
        <v>7.075E+168</v>
      </c>
      <c r="K3205" s="19">
        <f t="shared" si="622"/>
        <v>5869</v>
      </c>
    </row>
    <row r="3206" spans="1:11">
      <c r="A3206">
        <v>3204</v>
      </c>
      <c r="B3206">
        <v>1.4500000000000001E+102</v>
      </c>
      <c r="D3206" s="18">
        <v>3204</v>
      </c>
      <c r="E3206" s="18" cm="1">
        <f t="array" aca="1" ref="E3206" ca="1">INDIRECT("b"&amp;F3206+2)</f>
        <v>7.3000000000000006E+138</v>
      </c>
      <c r="F3206" s="18">
        <f t="shared" si="611"/>
        <v>4670</v>
      </c>
      <c r="G3206" s="18"/>
      <c r="H3206" s="18"/>
      <c r="I3206" s="19">
        <v>3204</v>
      </c>
      <c r="J3206" s="19" cm="1">
        <f t="array" aca="1" ref="J3206" ca="1">INDIRECT("b"&amp;K3206+2)</f>
        <v>7.3000000000000004E+168</v>
      </c>
      <c r="K3206" s="19">
        <f t="shared" si="622"/>
        <v>5870</v>
      </c>
    </row>
    <row r="3207" spans="1:11">
      <c r="A3207">
        <v>3205</v>
      </c>
      <c r="B3207">
        <v>1.6750000000000001E+102</v>
      </c>
      <c r="D3207" s="18">
        <v>3205</v>
      </c>
      <c r="E3207" s="18" cm="1">
        <f t="array" aca="1" ref="E3207" ca="1">INDIRECT("b"&amp;F3207+2)</f>
        <v>7.7500000000000001E+138</v>
      </c>
      <c r="F3207" s="18">
        <f t="shared" si="611"/>
        <v>4672</v>
      </c>
      <c r="G3207" s="18"/>
      <c r="H3207" s="18"/>
      <c r="I3207" s="19">
        <v>3205</v>
      </c>
      <c r="J3207" s="19" cm="1">
        <f t="array" aca="1" ref="J3207" ca="1">INDIRECT("b"&amp;K3207+2)</f>
        <v>7.7499999999999997E+168</v>
      </c>
      <c r="K3207" s="19">
        <f t="shared" si="622"/>
        <v>5872</v>
      </c>
    </row>
    <row r="3208" spans="1:11">
      <c r="A3208">
        <v>3206</v>
      </c>
      <c r="B3208">
        <v>1.9000000000000001E+102</v>
      </c>
      <c r="D3208" s="18">
        <v>3206</v>
      </c>
      <c r="E3208" s="18" cm="1">
        <f t="array" aca="1" ref="E3208" ca="1">INDIRECT("b"&amp;F3208+2)</f>
        <v>7.9750000000000005E+138</v>
      </c>
      <c r="F3208" s="18">
        <f t="shared" si="611"/>
        <v>4673</v>
      </c>
      <c r="G3208" s="18"/>
      <c r="H3208" s="18"/>
      <c r="I3208" s="19">
        <v>3206</v>
      </c>
      <c r="J3208" s="19" cm="1">
        <f t="array" aca="1" ref="J3208" ca="1">INDIRECT("b"&amp;K3208+2)</f>
        <v>7.9750000000000002E+168</v>
      </c>
      <c r="K3208" s="19">
        <f t="shared" si="622"/>
        <v>5873</v>
      </c>
    </row>
    <row r="3209" spans="1:11">
      <c r="A3209">
        <v>3207</v>
      </c>
      <c r="B3209">
        <v>2.1250000000000002E+102</v>
      </c>
      <c r="D3209" s="18">
        <v>3207</v>
      </c>
      <c r="E3209" s="18" cm="1">
        <f t="array" aca="1" ref="E3209" ca="1">INDIRECT("b"&amp;F3209+2)</f>
        <v>8.2000000000000009E+138</v>
      </c>
      <c r="F3209" s="18">
        <f t="shared" si="611"/>
        <v>4674</v>
      </c>
      <c r="G3209" s="18"/>
      <c r="H3209" s="18"/>
      <c r="I3209" s="19">
        <v>3207</v>
      </c>
      <c r="J3209" s="19" cm="1">
        <f t="array" aca="1" ref="J3209" ca="1">INDIRECT("b"&amp;K3209+2)</f>
        <v>8.2000000000000006E+168</v>
      </c>
      <c r="K3209" s="19">
        <f t="shared" si="622"/>
        <v>5874</v>
      </c>
    </row>
    <row r="3210" spans="1:11">
      <c r="A3210">
        <v>3208</v>
      </c>
      <c r="B3210">
        <v>2.3500000000000002E+102</v>
      </c>
      <c r="D3210" s="18">
        <v>3208</v>
      </c>
      <c r="E3210" s="18" cm="1">
        <f t="array" aca="1" ref="E3210" ca="1">INDIRECT("b"&amp;F3210+2)</f>
        <v>8.6500000000000004E+138</v>
      </c>
      <c r="F3210" s="18">
        <f t="shared" si="611"/>
        <v>4676</v>
      </c>
      <c r="G3210" s="18">
        <f t="shared" ref="G3210" ca="1" si="624">E3210/E3205</f>
        <v>1.2226148409893993</v>
      </c>
      <c r="H3210" s="18"/>
      <c r="I3210" s="19">
        <v>3208</v>
      </c>
      <c r="J3210" s="19" cm="1">
        <f t="array" aca="1" ref="J3210" ca="1">INDIRECT("b"&amp;K3210+2)</f>
        <v>8.6499999999999999E+168</v>
      </c>
      <c r="K3210" s="19">
        <f t="shared" si="622"/>
        <v>5876</v>
      </c>
    </row>
    <row r="3211" spans="1:11">
      <c r="A3211">
        <v>3209</v>
      </c>
      <c r="B3211">
        <v>2.5749999999999999E+102</v>
      </c>
      <c r="D3211" s="18">
        <v>3209</v>
      </c>
      <c r="E3211" s="18" cm="1">
        <f t="array" aca="1" ref="E3211" ca="1">INDIRECT("b"&amp;F3211+2)</f>
        <v>8.8750000000000009E+138</v>
      </c>
      <c r="F3211" s="18">
        <f t="shared" si="611"/>
        <v>4677</v>
      </c>
      <c r="G3211" s="18"/>
      <c r="H3211" s="18"/>
      <c r="I3211" s="19">
        <v>3209</v>
      </c>
      <c r="J3211" s="19" cm="1">
        <f t="array" aca="1" ref="J3211" ca="1">INDIRECT("b"&amp;K3211+2)</f>
        <v>8.8750000000000004E+168</v>
      </c>
      <c r="K3211" s="19">
        <f t="shared" si="622"/>
        <v>5877</v>
      </c>
    </row>
    <row r="3212" spans="1:11">
      <c r="A3212">
        <v>3210</v>
      </c>
      <c r="B3212">
        <v>2.8000000000000002E+102</v>
      </c>
      <c r="D3212" s="18">
        <v>3210</v>
      </c>
      <c r="E3212" s="18" cm="1">
        <f t="array" aca="1" ref="E3212" ca="1">INDIRECT("b"&amp;F3212+2)</f>
        <v>9.1E+138</v>
      </c>
      <c r="F3212" s="18">
        <f t="shared" si="611"/>
        <v>4678</v>
      </c>
      <c r="G3212" s="18"/>
      <c r="H3212" s="18"/>
      <c r="I3212" s="19">
        <v>3210</v>
      </c>
      <c r="J3212" s="19" cm="1">
        <f t="array" aca="1" ref="J3212" ca="1">INDIRECT("b"&amp;K3212+2)</f>
        <v>9.1000000000000008E+168</v>
      </c>
      <c r="K3212" s="19">
        <f t="shared" si="622"/>
        <v>5878</v>
      </c>
    </row>
    <row r="3213" spans="1:11">
      <c r="A3213">
        <v>3211</v>
      </c>
      <c r="B3213">
        <v>3.0249999999999999E+102</v>
      </c>
      <c r="D3213" s="18">
        <v>3211</v>
      </c>
      <c r="E3213" s="18" cm="1">
        <f t="array" aca="1" ref="E3213" ca="1">INDIRECT("b"&amp;F3213+2)</f>
        <v>9.5500000000000008E+138</v>
      </c>
      <c r="F3213" s="18">
        <f t="shared" si="611"/>
        <v>4680</v>
      </c>
      <c r="G3213" s="18"/>
      <c r="H3213" s="18"/>
      <c r="I3213" s="19">
        <v>3211</v>
      </c>
      <c r="J3213" s="19" cm="1">
        <f t="array" aca="1" ref="J3213" ca="1">INDIRECT("b"&amp;K3213+2)</f>
        <v>9.5500000000000001E+168</v>
      </c>
      <c r="K3213" s="19">
        <f t="shared" si="622"/>
        <v>5880</v>
      </c>
    </row>
    <row r="3214" spans="1:11">
      <c r="A3214">
        <v>3212</v>
      </c>
      <c r="B3214">
        <v>3.2500000000000002E+102</v>
      </c>
      <c r="D3214" s="18">
        <v>3212</v>
      </c>
      <c r="E3214" s="18" cm="1">
        <f t="array" aca="1" ref="E3214" ca="1">INDIRECT("b"&amp;F3214+2)</f>
        <v>9.7750000000000012E+138</v>
      </c>
      <c r="F3214" s="18">
        <f t="shared" si="611"/>
        <v>4681</v>
      </c>
      <c r="G3214" s="18"/>
      <c r="H3214" s="18"/>
      <c r="I3214" s="19">
        <v>3212</v>
      </c>
      <c r="J3214" s="19" cm="1">
        <f t="array" aca="1" ref="J3214" ca="1">INDIRECT("b"&amp;K3214+2)</f>
        <v>9.7750000000000005E+168</v>
      </c>
      <c r="K3214" s="19">
        <f t="shared" si="622"/>
        <v>5881</v>
      </c>
    </row>
    <row r="3215" spans="1:11">
      <c r="A3215">
        <v>3213</v>
      </c>
      <c r="B3215">
        <v>3.475E+102</v>
      </c>
      <c r="D3215" s="18">
        <v>3213</v>
      </c>
      <c r="E3215" s="18" cm="1">
        <f t="array" aca="1" ref="E3215" ca="1">INDIRECT("b"&amp;F3215+2)</f>
        <v>9.999999999999999E+138</v>
      </c>
      <c r="F3215" s="18">
        <f t="shared" si="611"/>
        <v>4682</v>
      </c>
      <c r="G3215" s="18">
        <f t="shared" ref="G3215" ca="1" si="625">E3215/E3210</f>
        <v>1.1560693641618496</v>
      </c>
      <c r="H3215" s="18"/>
      <c r="I3215" s="19">
        <v>3213</v>
      </c>
      <c r="J3215" s="19" cm="1">
        <f t="array" aca="1" ref="J3215" ca="1">INDIRECT("b"&amp;K3215+2)</f>
        <v>1.0000000000000001E+169</v>
      </c>
      <c r="K3215" s="19">
        <f t="shared" si="622"/>
        <v>5882</v>
      </c>
    </row>
    <row r="3216" spans="1:11">
      <c r="A3216">
        <v>3214</v>
      </c>
      <c r="B3216">
        <v>3.7000000000000002E+102</v>
      </c>
      <c r="D3216" s="18">
        <v>3214</v>
      </c>
      <c r="E3216" s="18" cm="1">
        <f t="array" aca="1" ref="E3216" ca="1">INDIRECT("b"&amp;F3216+2)</f>
        <v>1.4499999999999999E+139</v>
      </c>
      <c r="F3216" s="18">
        <f t="shared" si="611"/>
        <v>4684</v>
      </c>
      <c r="G3216" s="18"/>
      <c r="H3216" s="18"/>
      <c r="I3216" s="19">
        <v>3214</v>
      </c>
      <c r="J3216" s="19" cm="1">
        <f t="array" aca="1" ref="J3216" ca="1">INDIRECT("b"&amp;K3216+2)</f>
        <v>1.45E+169</v>
      </c>
      <c r="K3216" s="19">
        <f t="shared" si="622"/>
        <v>5884</v>
      </c>
    </row>
    <row r="3217" spans="1:11">
      <c r="A3217">
        <v>3215</v>
      </c>
      <c r="B3217">
        <v>3.925E+102</v>
      </c>
      <c r="D3217" s="18">
        <v>3215</v>
      </c>
      <c r="E3217" s="18" cm="1">
        <f t="array" aca="1" ref="E3217" ca="1">INDIRECT("b"&amp;F3217+2)</f>
        <v>1.6749999999999998E+139</v>
      </c>
      <c r="F3217" s="18">
        <f t="shared" si="611"/>
        <v>4685</v>
      </c>
      <c r="G3217" s="18"/>
      <c r="H3217" s="18"/>
      <c r="I3217" s="19">
        <v>3215</v>
      </c>
      <c r="J3217" s="19" cm="1">
        <f t="array" aca="1" ref="J3217" ca="1">INDIRECT("b"&amp;K3217+2)</f>
        <v>1.6750000000000002E+169</v>
      </c>
      <c r="K3217" s="19">
        <f t="shared" si="622"/>
        <v>5885</v>
      </c>
    </row>
    <row r="3218" spans="1:11">
      <c r="A3218">
        <v>3216</v>
      </c>
      <c r="B3218">
        <v>4.1500000000000002E+102</v>
      </c>
      <c r="D3218" s="18">
        <v>3216</v>
      </c>
      <c r="E3218" s="18" cm="1">
        <f t="array" aca="1" ref="E3218" ca="1">INDIRECT("b"&amp;F3218+2)</f>
        <v>1.8999999999999997E+139</v>
      </c>
      <c r="F3218" s="18">
        <f t="shared" si="611"/>
        <v>4686</v>
      </c>
      <c r="G3218" s="18"/>
      <c r="H3218" s="18"/>
      <c r="I3218" s="19">
        <v>3216</v>
      </c>
      <c r="J3218" s="19" cm="1">
        <f t="array" aca="1" ref="J3218" ca="1">INDIRECT("b"&amp;K3218+2)</f>
        <v>1.9E+169</v>
      </c>
      <c r="K3218" s="19">
        <f t="shared" si="622"/>
        <v>5886</v>
      </c>
    </row>
    <row r="3219" spans="1:11">
      <c r="A3219">
        <v>3217</v>
      </c>
      <c r="B3219">
        <v>4.375E+102</v>
      </c>
      <c r="D3219" s="18">
        <v>3217</v>
      </c>
      <c r="E3219" s="18" cm="1">
        <f t="array" aca="1" ref="E3219" ca="1">INDIRECT("b"&amp;F3219+2)</f>
        <v>2.3499999999999998E+139</v>
      </c>
      <c r="F3219" s="18">
        <f t="shared" ref="F3219:F3282" si="626">INT((A3219-123)*1.333333)+563</f>
        <v>4688</v>
      </c>
      <c r="G3219" s="18"/>
      <c r="H3219" s="18"/>
      <c r="I3219" s="19">
        <v>3217</v>
      </c>
      <c r="J3219" s="19" cm="1">
        <f t="array" aca="1" ref="J3219" ca="1">INDIRECT("b"&amp;K3219+2)</f>
        <v>2.3500000000000002E+169</v>
      </c>
      <c r="K3219" s="19">
        <f t="shared" si="622"/>
        <v>5888</v>
      </c>
    </row>
    <row r="3220" spans="1:11">
      <c r="A3220">
        <v>3218</v>
      </c>
      <c r="B3220">
        <v>4.5999999999999998E+102</v>
      </c>
      <c r="D3220" s="18">
        <v>3218</v>
      </c>
      <c r="E3220" s="18" cm="1">
        <f t="array" aca="1" ref="E3220" ca="1">INDIRECT("b"&amp;F3220+2)</f>
        <v>2.5749999999999997E+139</v>
      </c>
      <c r="F3220" s="18">
        <f t="shared" si="626"/>
        <v>4689</v>
      </c>
      <c r="G3220" s="18">
        <f t="shared" ref="G3220" ca="1" si="627">E3220/E3215</f>
        <v>2.5749999999999997</v>
      </c>
      <c r="H3220" s="18"/>
      <c r="I3220" s="19">
        <v>3218</v>
      </c>
      <c r="J3220" s="19" cm="1">
        <f t="array" aca="1" ref="J3220" ca="1">INDIRECT("b"&amp;K3220+2)</f>
        <v>2.575E+169</v>
      </c>
      <c r="K3220" s="19">
        <f t="shared" si="622"/>
        <v>5889</v>
      </c>
    </row>
    <row r="3221" spans="1:11">
      <c r="A3221">
        <v>3219</v>
      </c>
      <c r="B3221">
        <v>4.8250000000000005E+102</v>
      </c>
      <c r="D3221" s="18">
        <v>3219</v>
      </c>
      <c r="E3221" s="18" cm="1">
        <f t="array" aca="1" ref="E3221" ca="1">INDIRECT("b"&amp;F3221+2)</f>
        <v>2.7999999999999998E+139</v>
      </c>
      <c r="F3221" s="18">
        <f t="shared" si="626"/>
        <v>4690</v>
      </c>
      <c r="G3221" s="18"/>
      <c r="H3221" s="18"/>
      <c r="I3221" s="19">
        <v>3219</v>
      </c>
      <c r="J3221" s="19" cm="1">
        <f t="array" aca="1" ref="J3221" ca="1">INDIRECT("b"&amp;K3221+2)</f>
        <v>2.8000000000000002E+169</v>
      </c>
      <c r="K3221" s="19">
        <f t="shared" si="622"/>
        <v>5890</v>
      </c>
    </row>
    <row r="3222" spans="1:11">
      <c r="A3222">
        <v>3220</v>
      </c>
      <c r="B3222">
        <v>5.0500000000000003E+102</v>
      </c>
      <c r="D3222" s="18">
        <v>3220</v>
      </c>
      <c r="E3222" s="18" cm="1">
        <f t="array" aca="1" ref="E3222" ca="1">INDIRECT("b"&amp;F3222+2)</f>
        <v>3.2499999999999996E+139</v>
      </c>
      <c r="F3222" s="18">
        <f t="shared" si="626"/>
        <v>4692</v>
      </c>
      <c r="G3222" s="18"/>
      <c r="H3222" s="18"/>
      <c r="I3222" s="19">
        <v>3220</v>
      </c>
      <c r="J3222" s="19" cm="1">
        <f t="array" aca="1" ref="J3222" ca="1">INDIRECT("b"&amp;K3222+2)</f>
        <v>3.2500000000000004E+169</v>
      </c>
      <c r="K3222" s="19">
        <f t="shared" si="622"/>
        <v>5892</v>
      </c>
    </row>
    <row r="3223" spans="1:11">
      <c r="A3223">
        <v>3221</v>
      </c>
      <c r="B3223">
        <v>5.275E+102</v>
      </c>
      <c r="D3223" s="18">
        <v>3221</v>
      </c>
      <c r="E3223" s="18" cm="1">
        <f t="array" aca="1" ref="E3223" ca="1">INDIRECT("b"&amp;F3223+2)</f>
        <v>3.4749999999999998E+139</v>
      </c>
      <c r="F3223" s="18">
        <f t="shared" si="626"/>
        <v>4693</v>
      </c>
      <c r="G3223" s="18"/>
      <c r="H3223" s="18"/>
      <c r="I3223" s="19">
        <v>3221</v>
      </c>
      <c r="J3223" s="19" cm="1">
        <f t="array" aca="1" ref="J3223" ca="1">INDIRECT("b"&amp;K3223+2)</f>
        <v>3.4750000000000002E+169</v>
      </c>
      <c r="K3223" s="19">
        <f t="shared" si="622"/>
        <v>5893</v>
      </c>
    </row>
    <row r="3224" spans="1:11">
      <c r="A3224">
        <v>3222</v>
      </c>
      <c r="B3224">
        <v>5.4999999999999998E+102</v>
      </c>
      <c r="D3224" s="18">
        <v>3222</v>
      </c>
      <c r="E3224" s="18" cm="1">
        <f t="array" aca="1" ref="E3224" ca="1">INDIRECT("b"&amp;F3224+2)</f>
        <v>3.6999999999999999E+139</v>
      </c>
      <c r="F3224" s="18">
        <f t="shared" si="626"/>
        <v>4694</v>
      </c>
      <c r="G3224" s="18"/>
      <c r="H3224" s="18"/>
      <c r="I3224" s="19">
        <v>3222</v>
      </c>
      <c r="J3224" s="19" cm="1">
        <f t="array" aca="1" ref="J3224" ca="1">INDIRECT("b"&amp;K3224+2)</f>
        <v>3.7E+169</v>
      </c>
      <c r="K3224" s="19">
        <f t="shared" si="622"/>
        <v>5894</v>
      </c>
    </row>
    <row r="3225" spans="1:11">
      <c r="A3225">
        <v>3223</v>
      </c>
      <c r="B3225">
        <v>5.7250000000000006E+102</v>
      </c>
      <c r="D3225" s="18">
        <v>3223</v>
      </c>
      <c r="E3225" s="18" cm="1">
        <f t="array" aca="1" ref="E3225" ca="1">INDIRECT("b"&amp;F3225+2)</f>
        <v>4.1499999999999997E+139</v>
      </c>
      <c r="F3225" s="18">
        <f t="shared" si="626"/>
        <v>4696</v>
      </c>
      <c r="G3225" s="18">
        <f t="shared" ref="G3225" ca="1" si="628">E3225/E3220</f>
        <v>1.6116504854368934</v>
      </c>
      <c r="H3225" s="18"/>
      <c r="I3225" s="19">
        <v>3223</v>
      </c>
      <c r="J3225" s="19" cm="1">
        <f t="array" aca="1" ref="J3225" ca="1">INDIRECT("b"&amp;K3225+2)</f>
        <v>4.1500000000000003E+169</v>
      </c>
      <c r="K3225" s="19">
        <f t="shared" si="622"/>
        <v>5896</v>
      </c>
    </row>
    <row r="3226" spans="1:11">
      <c r="A3226">
        <v>3224</v>
      </c>
      <c r="B3226">
        <v>5.9500000000000003E+102</v>
      </c>
      <c r="D3226" s="18">
        <v>3224</v>
      </c>
      <c r="E3226" s="18" cm="1">
        <f t="array" aca="1" ref="E3226" ca="1">INDIRECT("b"&amp;F3226+2)</f>
        <v>4.3749999999999999E+139</v>
      </c>
      <c r="F3226" s="18">
        <f t="shared" si="626"/>
        <v>4697</v>
      </c>
      <c r="G3226" s="18"/>
      <c r="H3226" s="18"/>
      <c r="I3226" s="19">
        <v>3224</v>
      </c>
      <c r="J3226" s="19" cm="1">
        <f t="array" aca="1" ref="J3226" ca="1">INDIRECT("b"&amp;K3226+2)</f>
        <v>4.3750000000000001E+169</v>
      </c>
      <c r="K3226" s="19">
        <f t="shared" si="622"/>
        <v>5897</v>
      </c>
    </row>
    <row r="3227" spans="1:11">
      <c r="A3227">
        <v>3225</v>
      </c>
      <c r="B3227">
        <v>6.1750000000000001E+102</v>
      </c>
      <c r="D3227" s="18">
        <v>3225</v>
      </c>
      <c r="E3227" s="18" cm="1">
        <f t="array" aca="1" ref="E3227" ca="1">INDIRECT("b"&amp;F3227+2)</f>
        <v>4.5999999999999995E+139</v>
      </c>
      <c r="F3227" s="18">
        <f t="shared" si="626"/>
        <v>4698</v>
      </c>
      <c r="G3227" s="18"/>
      <c r="H3227" s="18"/>
      <c r="I3227" s="19">
        <v>3225</v>
      </c>
      <c r="J3227" s="19" cm="1">
        <f t="array" aca="1" ref="J3227" ca="1">INDIRECT("b"&amp;K3227+2)</f>
        <v>4.5999999999999999E+169</v>
      </c>
      <c r="K3227" s="19">
        <f t="shared" si="622"/>
        <v>5898</v>
      </c>
    </row>
    <row r="3228" spans="1:11">
      <c r="A3228">
        <v>3226</v>
      </c>
      <c r="B3228">
        <v>6.3999999999999999E+102</v>
      </c>
      <c r="D3228" s="18">
        <v>3226</v>
      </c>
      <c r="E3228" s="18" cm="1">
        <f t="array" aca="1" ref="E3228" ca="1">INDIRECT("b"&amp;F3228+2)</f>
        <v>5.0499999999999993E+139</v>
      </c>
      <c r="F3228" s="18">
        <f t="shared" si="626"/>
        <v>4700</v>
      </c>
      <c r="G3228" s="18"/>
      <c r="H3228" s="18"/>
      <c r="I3228" s="19">
        <v>3226</v>
      </c>
      <c r="J3228" s="19" cm="1">
        <f t="array" aca="1" ref="J3228" ca="1">INDIRECT("b"&amp;K3228+2)</f>
        <v>5.0500000000000001E+169</v>
      </c>
      <c r="K3228" s="19">
        <f t="shared" si="622"/>
        <v>5900</v>
      </c>
    </row>
    <row r="3229" spans="1:11">
      <c r="A3229">
        <v>3227</v>
      </c>
      <c r="B3229">
        <v>6.6250000000000006E+102</v>
      </c>
      <c r="D3229" s="18">
        <v>3227</v>
      </c>
      <c r="E3229" s="18" cm="1">
        <f t="array" aca="1" ref="E3229" ca="1">INDIRECT("b"&amp;F3229+2)</f>
        <v>5.275E+139</v>
      </c>
      <c r="F3229" s="18">
        <f t="shared" si="626"/>
        <v>4701</v>
      </c>
      <c r="G3229" s="18"/>
      <c r="H3229" s="18"/>
      <c r="I3229" s="19">
        <v>3227</v>
      </c>
      <c r="J3229" s="19" cm="1">
        <f t="array" aca="1" ref="J3229" ca="1">INDIRECT("b"&amp;K3229+2)</f>
        <v>5.2749999999999999E+169</v>
      </c>
      <c r="K3229" s="19">
        <f t="shared" si="622"/>
        <v>5901</v>
      </c>
    </row>
    <row r="3230" spans="1:11">
      <c r="A3230">
        <v>3228</v>
      </c>
      <c r="B3230">
        <v>6.8500000000000004E+102</v>
      </c>
      <c r="D3230" s="18">
        <v>3228</v>
      </c>
      <c r="E3230" s="18" cm="1">
        <f t="array" aca="1" ref="E3230" ca="1">INDIRECT("b"&amp;F3230+2)</f>
        <v>5.4999999999999996E+139</v>
      </c>
      <c r="F3230" s="18">
        <f t="shared" si="626"/>
        <v>4702</v>
      </c>
      <c r="G3230" s="18">
        <f t="shared" ref="G3230" ca="1" si="629">E3230/E3225</f>
        <v>1.3253012048192772</v>
      </c>
      <c r="H3230" s="18"/>
      <c r="I3230" s="19">
        <v>3228</v>
      </c>
      <c r="J3230" s="19" cm="1">
        <f t="array" aca="1" ref="J3230" ca="1">INDIRECT("b"&amp;K3230+2)</f>
        <v>5.5000000000000004E+169</v>
      </c>
      <c r="K3230" s="19">
        <f t="shared" si="622"/>
        <v>5902</v>
      </c>
    </row>
    <row r="3231" spans="1:11">
      <c r="A3231">
        <v>3229</v>
      </c>
      <c r="B3231">
        <v>7.0750000000000001E+102</v>
      </c>
      <c r="D3231" s="18">
        <v>3229</v>
      </c>
      <c r="E3231" s="18" cm="1">
        <f t="array" aca="1" ref="E3231" ca="1">INDIRECT("b"&amp;F3231+2)</f>
        <v>5.9499999999999999E+139</v>
      </c>
      <c r="F3231" s="18">
        <f t="shared" si="626"/>
        <v>4704</v>
      </c>
      <c r="G3231" s="18"/>
      <c r="H3231" s="18"/>
      <c r="I3231" s="19">
        <v>3229</v>
      </c>
      <c r="J3231" s="19" cm="1">
        <f t="array" aca="1" ref="J3231" ca="1">INDIRECT("b"&amp;K3231+2)</f>
        <v>5.95E+169</v>
      </c>
      <c r="K3231" s="19">
        <f t="shared" si="622"/>
        <v>5904</v>
      </c>
    </row>
    <row r="3232" spans="1:11">
      <c r="A3232">
        <v>3230</v>
      </c>
      <c r="B3232">
        <v>7.2999999999999999E+102</v>
      </c>
      <c r="D3232" s="18">
        <v>3230</v>
      </c>
      <c r="E3232" s="18" cm="1">
        <f t="array" aca="1" ref="E3232" ca="1">INDIRECT("b"&amp;F3232+2)</f>
        <v>6.1749999999999995E+139</v>
      </c>
      <c r="F3232" s="18">
        <f t="shared" si="626"/>
        <v>4705</v>
      </c>
      <c r="G3232" s="18"/>
      <c r="H3232" s="18"/>
      <c r="I3232" s="19">
        <v>3230</v>
      </c>
      <c r="J3232" s="19" cm="1">
        <f t="array" aca="1" ref="J3232" ca="1">INDIRECT("b"&amp;K3232+2)</f>
        <v>6.1750000000000005E+169</v>
      </c>
      <c r="K3232" s="19">
        <f t="shared" si="622"/>
        <v>5905</v>
      </c>
    </row>
    <row r="3233" spans="1:11">
      <c r="A3233">
        <v>3231</v>
      </c>
      <c r="B3233">
        <v>7.5249999999999997E+102</v>
      </c>
      <c r="D3233" s="18">
        <v>3231</v>
      </c>
      <c r="E3233" s="18" cm="1">
        <f t="array" aca="1" ref="E3233" ca="1">INDIRECT("b"&amp;F3233+2)</f>
        <v>6.3999999999999992E+139</v>
      </c>
      <c r="F3233" s="18">
        <f t="shared" si="626"/>
        <v>4706</v>
      </c>
      <c r="G3233" s="18"/>
      <c r="H3233" s="18"/>
      <c r="I3233" s="19">
        <v>3231</v>
      </c>
      <c r="J3233" s="19" cm="1">
        <f t="array" aca="1" ref="J3233" ca="1">INDIRECT("b"&amp;K3233+2)</f>
        <v>6.3999999999999996E+169</v>
      </c>
      <c r="K3233" s="19">
        <f t="shared" si="622"/>
        <v>5906</v>
      </c>
    </row>
    <row r="3234" spans="1:11">
      <c r="A3234">
        <v>3232</v>
      </c>
      <c r="B3234">
        <v>7.7500000000000004E+102</v>
      </c>
      <c r="D3234" s="18">
        <v>3232</v>
      </c>
      <c r="E3234" s="18" cm="1">
        <f t="array" aca="1" ref="E3234" ca="1">INDIRECT("b"&amp;F3234+2)</f>
        <v>6.8499999999999995E+139</v>
      </c>
      <c r="F3234" s="18">
        <f t="shared" si="626"/>
        <v>4708</v>
      </c>
      <c r="G3234" s="18"/>
      <c r="H3234" s="18"/>
      <c r="I3234" s="19">
        <v>3232</v>
      </c>
      <c r="J3234" s="19" cm="1">
        <f t="array" aca="1" ref="J3234" ca="1">INDIRECT("b"&amp;K3234+2)</f>
        <v>6.8500000000000005E+169</v>
      </c>
      <c r="K3234" s="19">
        <f t="shared" si="622"/>
        <v>5908</v>
      </c>
    </row>
    <row r="3235" spans="1:11">
      <c r="A3235">
        <v>3233</v>
      </c>
      <c r="B3235">
        <v>7.9750000000000002E+102</v>
      </c>
      <c r="D3235" s="18">
        <v>3233</v>
      </c>
      <c r="E3235" s="18" cm="1">
        <f t="array" aca="1" ref="E3235" ca="1">INDIRECT("b"&amp;F3235+2)</f>
        <v>7.0749999999999991E+139</v>
      </c>
      <c r="F3235" s="18">
        <f t="shared" si="626"/>
        <v>4709</v>
      </c>
      <c r="G3235" s="18">
        <f t="shared" ref="G3235" ca="1" si="630">E3235/E3230</f>
        <v>1.2863636363636364</v>
      </c>
      <c r="H3235" s="18"/>
      <c r="I3235" s="19">
        <v>3233</v>
      </c>
      <c r="J3235" s="19" cm="1">
        <f t="array" aca="1" ref="J3235" ca="1">INDIRECT("b"&amp;K3235+2)</f>
        <v>7.0749999999999996E+169</v>
      </c>
      <c r="K3235" s="19">
        <f t="shared" si="622"/>
        <v>5909</v>
      </c>
    </row>
    <row r="3236" spans="1:11">
      <c r="A3236">
        <v>3234</v>
      </c>
      <c r="B3236">
        <v>8.1999999999999999E+102</v>
      </c>
      <c r="D3236" s="18">
        <v>3234</v>
      </c>
      <c r="E3236" s="18" cm="1">
        <f t="array" aca="1" ref="E3236" ca="1">INDIRECT("b"&amp;F3236+2)</f>
        <v>7.2999999999999998E+139</v>
      </c>
      <c r="F3236" s="18">
        <f t="shared" si="626"/>
        <v>4710</v>
      </c>
      <c r="G3236" s="18"/>
      <c r="H3236" s="18"/>
      <c r="I3236" s="19">
        <v>3234</v>
      </c>
      <c r="J3236" s="19" cm="1">
        <f t="array" aca="1" ref="J3236" ca="1">INDIRECT("b"&amp;K3236+2)</f>
        <v>7.3000000000000001E+169</v>
      </c>
      <c r="K3236" s="19">
        <f t="shared" si="622"/>
        <v>5910</v>
      </c>
    </row>
    <row r="3237" spans="1:11">
      <c r="A3237">
        <v>3235</v>
      </c>
      <c r="B3237">
        <v>8.4249999999999997E+102</v>
      </c>
      <c r="D3237" s="18">
        <v>3235</v>
      </c>
      <c r="E3237" s="18" cm="1">
        <f t="array" aca="1" ref="E3237" ca="1">INDIRECT("b"&amp;F3237+2)</f>
        <v>7.749999999999999E+139</v>
      </c>
      <c r="F3237" s="18">
        <f t="shared" si="626"/>
        <v>4712</v>
      </c>
      <c r="G3237" s="18"/>
      <c r="H3237" s="18"/>
      <c r="I3237" s="19">
        <v>3235</v>
      </c>
      <c r="J3237" s="19" cm="1">
        <f t="array" aca="1" ref="J3237" ca="1">INDIRECT("b"&amp;K3237+2)</f>
        <v>7.7499999999999997E+169</v>
      </c>
      <c r="K3237" s="19">
        <f t="shared" si="622"/>
        <v>5912</v>
      </c>
    </row>
    <row r="3238" spans="1:11">
      <c r="A3238">
        <v>3236</v>
      </c>
      <c r="B3238">
        <v>8.6500000000000005E+102</v>
      </c>
      <c r="D3238" s="18">
        <v>3236</v>
      </c>
      <c r="E3238" s="18" cm="1">
        <f t="array" aca="1" ref="E3238" ca="1">INDIRECT("b"&amp;F3238+2)</f>
        <v>7.9749999999999997E+139</v>
      </c>
      <c r="F3238" s="18">
        <f t="shared" si="626"/>
        <v>4713</v>
      </c>
      <c r="G3238" s="18"/>
      <c r="H3238" s="18"/>
      <c r="I3238" s="19">
        <v>3236</v>
      </c>
      <c r="J3238" s="19" cm="1">
        <f t="array" aca="1" ref="J3238" ca="1">INDIRECT("b"&amp;K3238+2)</f>
        <v>7.9750000000000002E+169</v>
      </c>
      <c r="K3238" s="19">
        <f t="shared" si="622"/>
        <v>5913</v>
      </c>
    </row>
    <row r="3239" spans="1:11">
      <c r="A3239">
        <v>3237</v>
      </c>
      <c r="B3239">
        <v>8.8750000000000002E+102</v>
      </c>
      <c r="D3239" s="18">
        <v>3237</v>
      </c>
      <c r="E3239" s="18" cm="1">
        <f t="array" aca="1" ref="E3239" ca="1">INDIRECT("b"&amp;F3239+2)</f>
        <v>8.1999999999999993E+139</v>
      </c>
      <c r="F3239" s="18">
        <f t="shared" si="626"/>
        <v>4714</v>
      </c>
      <c r="G3239" s="18"/>
      <c r="H3239" s="18"/>
      <c r="I3239" s="19">
        <v>3237</v>
      </c>
      <c r="J3239" s="19" cm="1">
        <f t="array" aca="1" ref="J3239" ca="1">INDIRECT("b"&amp;K3239+2)</f>
        <v>8.2000000000000006E+169</v>
      </c>
      <c r="K3239" s="19">
        <f t="shared" si="622"/>
        <v>5914</v>
      </c>
    </row>
    <row r="3240" spans="1:11">
      <c r="A3240">
        <v>3238</v>
      </c>
      <c r="B3240">
        <v>9.100000000000001E+102</v>
      </c>
      <c r="D3240" s="18">
        <v>3238</v>
      </c>
      <c r="E3240" s="18" cm="1">
        <f t="array" aca="1" ref="E3240" ca="1">INDIRECT("b"&amp;F3240+2)</f>
        <v>8.6499999999999997E+139</v>
      </c>
      <c r="F3240" s="18">
        <f t="shared" si="626"/>
        <v>4716</v>
      </c>
      <c r="G3240" s="18">
        <f t="shared" ref="G3240" ca="1" si="631">E3240/E3235</f>
        <v>1.2226148409893993</v>
      </c>
      <c r="H3240" s="18"/>
      <c r="I3240" s="19">
        <v>3238</v>
      </c>
      <c r="J3240" s="19" cm="1">
        <f t="array" aca="1" ref="J3240" ca="1">INDIRECT("b"&amp;K3240+2)</f>
        <v>8.6500000000000002E+169</v>
      </c>
      <c r="K3240" s="19">
        <f t="shared" si="622"/>
        <v>5916</v>
      </c>
    </row>
    <row r="3241" spans="1:11">
      <c r="A3241">
        <v>3239</v>
      </c>
      <c r="B3241">
        <v>9.3249999999999997E+102</v>
      </c>
      <c r="D3241" s="18">
        <v>3239</v>
      </c>
      <c r="E3241" s="18" cm="1">
        <f t="array" aca="1" ref="E3241" ca="1">INDIRECT("b"&amp;F3241+2)</f>
        <v>8.8749999999999993E+139</v>
      </c>
      <c r="F3241" s="18">
        <f t="shared" si="626"/>
        <v>4717</v>
      </c>
      <c r="G3241" s="18"/>
      <c r="H3241" s="18"/>
      <c r="I3241" s="19">
        <v>3239</v>
      </c>
      <c r="J3241" s="19" cm="1">
        <f t="array" aca="1" ref="J3241" ca="1">INDIRECT("b"&amp;K3241+2)</f>
        <v>8.8750000000000007E+169</v>
      </c>
      <c r="K3241" s="19">
        <f t="shared" si="622"/>
        <v>5917</v>
      </c>
    </row>
    <row r="3242" spans="1:11">
      <c r="A3242">
        <v>3240</v>
      </c>
      <c r="B3242">
        <v>9.5500000000000005E+102</v>
      </c>
      <c r="D3242" s="18">
        <v>3240</v>
      </c>
      <c r="E3242" s="18" cm="1">
        <f t="array" aca="1" ref="E3242" ca="1">INDIRECT("b"&amp;F3242+2)</f>
        <v>9.0999999999999989E+139</v>
      </c>
      <c r="F3242" s="18">
        <f t="shared" si="626"/>
        <v>4718</v>
      </c>
      <c r="G3242" s="18"/>
      <c r="H3242" s="18"/>
      <c r="I3242" s="19">
        <v>3240</v>
      </c>
      <c r="J3242" s="19" cm="1">
        <f t="array" aca="1" ref="J3242" ca="1">INDIRECT("b"&amp;K3242+2)</f>
        <v>9.0999999999999998E+169</v>
      </c>
      <c r="K3242" s="19">
        <f t="shared" si="622"/>
        <v>5918</v>
      </c>
    </row>
    <row r="3243" spans="1:11">
      <c r="A3243">
        <v>3241</v>
      </c>
      <c r="B3243">
        <v>9.7749999999999993E+102</v>
      </c>
      <c r="D3243" s="18">
        <v>3241</v>
      </c>
      <c r="E3243" s="18" cm="1">
        <f t="array" aca="1" ref="E3243" ca="1">INDIRECT("b"&amp;F3243+2)</f>
        <v>9.5499999999999992E+139</v>
      </c>
      <c r="F3243" s="18">
        <f t="shared" si="626"/>
        <v>4720</v>
      </c>
      <c r="G3243" s="18"/>
      <c r="H3243" s="18"/>
      <c r="I3243" s="19">
        <v>3241</v>
      </c>
      <c r="J3243" s="19" cm="1">
        <f t="array" aca="1" ref="J3243" ca="1">INDIRECT("b"&amp;K3243+2)</f>
        <v>9.5500000000000008E+169</v>
      </c>
      <c r="K3243" s="19">
        <f t="shared" si="622"/>
        <v>5920</v>
      </c>
    </row>
    <row r="3244" spans="1:11">
      <c r="A3244">
        <v>3242</v>
      </c>
      <c r="B3244">
        <v>1E+103</v>
      </c>
      <c r="D3244" s="18">
        <v>3242</v>
      </c>
      <c r="E3244" s="18" cm="1">
        <f t="array" aca="1" ref="E3244" ca="1">INDIRECT("b"&amp;F3244+2)</f>
        <v>9.7749999999999999E+139</v>
      </c>
      <c r="F3244" s="18">
        <f t="shared" si="626"/>
        <v>4721</v>
      </c>
      <c r="G3244" s="18"/>
      <c r="H3244" s="18"/>
      <c r="I3244" s="19">
        <v>3242</v>
      </c>
      <c r="J3244" s="19" cm="1">
        <f t="array" aca="1" ref="J3244" ca="1">INDIRECT("b"&amp;K3244+2)</f>
        <v>9.7749999999999999E+169</v>
      </c>
      <c r="K3244" s="19">
        <f t="shared" si="622"/>
        <v>5921</v>
      </c>
    </row>
    <row r="3245" spans="1:11">
      <c r="A3245">
        <v>3243</v>
      </c>
      <c r="B3245">
        <v>1.225E+103</v>
      </c>
      <c r="D3245" s="18">
        <v>3243</v>
      </c>
      <c r="E3245" s="18" cm="1">
        <f t="array" aca="1" ref="E3245" ca="1">INDIRECT("b"&amp;F3245+2)</f>
        <v>1.0000000000000001E+140</v>
      </c>
      <c r="F3245" s="18">
        <f t="shared" si="626"/>
        <v>4722</v>
      </c>
      <c r="G3245" s="18">
        <f t="shared" ref="G3245" ca="1" si="632">E3245/E3240</f>
        <v>1.1560693641618498</v>
      </c>
      <c r="H3245" s="18"/>
      <c r="I3245" s="19">
        <v>3243</v>
      </c>
      <c r="J3245" s="19" cm="1">
        <f t="array" aca="1" ref="J3245" ca="1">INDIRECT("b"&amp;K3245+2)</f>
        <v>9.999999999999999E+169</v>
      </c>
      <c r="K3245" s="19">
        <f t="shared" si="622"/>
        <v>5922</v>
      </c>
    </row>
    <row r="3246" spans="1:11">
      <c r="A3246">
        <v>3244</v>
      </c>
      <c r="B3246">
        <v>1.4500000000000001E+103</v>
      </c>
      <c r="D3246" s="18">
        <v>3244</v>
      </c>
      <c r="E3246" s="18" cm="1">
        <f t="array" aca="1" ref="E3246" ca="1">INDIRECT("b"&amp;F3246+2)</f>
        <v>1.4499999999999999E+140</v>
      </c>
      <c r="F3246" s="18">
        <f t="shared" si="626"/>
        <v>4724</v>
      </c>
      <c r="G3246" s="18"/>
      <c r="H3246" s="18"/>
      <c r="I3246" s="19">
        <v>3244</v>
      </c>
      <c r="J3246" s="19" cm="1">
        <f t="array" aca="1" ref="J3246" ca="1">INDIRECT("b"&amp;K3246+2)</f>
        <v>1.45E+170</v>
      </c>
      <c r="K3246" s="19">
        <f t="shared" si="622"/>
        <v>5924</v>
      </c>
    </row>
    <row r="3247" spans="1:11">
      <c r="A3247">
        <v>3245</v>
      </c>
      <c r="B3247">
        <v>1.6750000000000001E+103</v>
      </c>
      <c r="D3247" s="18">
        <v>3245</v>
      </c>
      <c r="E3247" s="18" cm="1">
        <f t="array" aca="1" ref="E3247" ca="1">INDIRECT("b"&amp;F3247+2)</f>
        <v>1.675E+140</v>
      </c>
      <c r="F3247" s="18">
        <f t="shared" si="626"/>
        <v>4725</v>
      </c>
      <c r="G3247" s="18"/>
      <c r="H3247" s="18"/>
      <c r="I3247" s="19">
        <v>3245</v>
      </c>
      <c r="J3247" s="19" cm="1">
        <f t="array" aca="1" ref="J3247" ca="1">INDIRECT("b"&amp;K3247+2)</f>
        <v>1.675E+170</v>
      </c>
      <c r="K3247" s="19">
        <f t="shared" si="622"/>
        <v>5925</v>
      </c>
    </row>
    <row r="3248" spans="1:11">
      <c r="A3248">
        <v>3246</v>
      </c>
      <c r="B3248">
        <v>1.8999999999999998E+103</v>
      </c>
      <c r="D3248" s="18">
        <v>3246</v>
      </c>
      <c r="E3248" s="18" cm="1">
        <f t="array" aca="1" ref="E3248" ca="1">INDIRECT("b"&amp;F3248+2)</f>
        <v>1.9E+140</v>
      </c>
      <c r="F3248" s="18">
        <f t="shared" si="626"/>
        <v>4726</v>
      </c>
      <c r="G3248" s="18"/>
      <c r="H3248" s="18"/>
      <c r="I3248" s="19">
        <v>3246</v>
      </c>
      <c r="J3248" s="19" cm="1">
        <f t="array" aca="1" ref="J3248" ca="1">INDIRECT("b"&amp;K3248+2)</f>
        <v>1.8999999999999999E+170</v>
      </c>
      <c r="K3248" s="19">
        <f t="shared" si="622"/>
        <v>5926</v>
      </c>
    </row>
    <row r="3249" spans="1:11">
      <c r="A3249">
        <v>3247</v>
      </c>
      <c r="B3249">
        <v>2.1250000000000002E+103</v>
      </c>
      <c r="D3249" s="18">
        <v>3247</v>
      </c>
      <c r="E3249" s="18" cm="1">
        <f t="array" aca="1" ref="E3249" ca="1">INDIRECT("b"&amp;F3249+2)</f>
        <v>2.3500000000000001E+140</v>
      </c>
      <c r="F3249" s="18">
        <f t="shared" si="626"/>
        <v>4728</v>
      </c>
      <c r="G3249" s="18"/>
      <c r="H3249" s="18"/>
      <c r="I3249" s="19">
        <v>3247</v>
      </c>
      <c r="J3249" s="19" cm="1">
        <f t="array" aca="1" ref="J3249" ca="1">INDIRECT("b"&amp;K3249+2)</f>
        <v>2.3499999999999998E+170</v>
      </c>
      <c r="K3249" s="19">
        <f t="shared" si="622"/>
        <v>5928</v>
      </c>
    </row>
    <row r="3250" spans="1:11">
      <c r="A3250">
        <v>3248</v>
      </c>
      <c r="B3250">
        <v>2.3500000000000002E+103</v>
      </c>
      <c r="D3250" s="18">
        <v>3248</v>
      </c>
      <c r="E3250" s="18" cm="1">
        <f t="array" aca="1" ref="E3250" ca="1">INDIRECT("b"&amp;F3250+2)</f>
        <v>2.575E+140</v>
      </c>
      <c r="F3250" s="18">
        <f t="shared" si="626"/>
        <v>4729</v>
      </c>
      <c r="G3250" s="18">
        <f t="shared" ref="G3250" ca="1" si="633">E3250/E3245</f>
        <v>2.5749999999999997</v>
      </c>
      <c r="H3250" s="18"/>
      <c r="I3250" s="19">
        <v>3248</v>
      </c>
      <c r="J3250" s="19" cm="1">
        <f t="array" aca="1" ref="J3250" ca="1">INDIRECT("b"&amp;K3250+2)</f>
        <v>2.575E+170</v>
      </c>
      <c r="K3250" s="19">
        <f t="shared" si="622"/>
        <v>5929</v>
      </c>
    </row>
    <row r="3251" spans="1:11">
      <c r="A3251">
        <v>3249</v>
      </c>
      <c r="B3251">
        <v>2.5750000000000001E+103</v>
      </c>
      <c r="D3251" s="18">
        <v>3249</v>
      </c>
      <c r="E3251" s="18" cm="1">
        <f t="array" aca="1" ref="E3251" ca="1">INDIRECT("b"&amp;F3251+2)</f>
        <v>2.7999999999999998E+140</v>
      </c>
      <c r="F3251" s="18">
        <f t="shared" si="626"/>
        <v>4730</v>
      </c>
      <c r="G3251" s="18"/>
      <c r="H3251" s="18"/>
      <c r="I3251" s="19">
        <v>3249</v>
      </c>
      <c r="J3251" s="19" cm="1">
        <f t="array" aca="1" ref="J3251" ca="1">INDIRECT("b"&amp;K3251+2)</f>
        <v>2.7999999999999996E+170</v>
      </c>
      <c r="K3251" s="19">
        <f t="shared" si="622"/>
        <v>5930</v>
      </c>
    </row>
    <row r="3252" spans="1:11">
      <c r="A3252">
        <v>3250</v>
      </c>
      <c r="B3252">
        <v>2.8000000000000001E+103</v>
      </c>
      <c r="D3252" s="18">
        <v>3250</v>
      </c>
      <c r="E3252" s="18" cm="1">
        <f t="array" aca="1" ref="E3252" ca="1">INDIRECT("b"&amp;F3252+2)</f>
        <v>3.2499999999999999E+140</v>
      </c>
      <c r="F3252" s="18">
        <f t="shared" si="626"/>
        <v>4732</v>
      </c>
      <c r="G3252" s="18"/>
      <c r="H3252" s="18"/>
      <c r="I3252" s="19">
        <v>3250</v>
      </c>
      <c r="J3252" s="19" cm="1">
        <f t="array" aca="1" ref="J3252" ca="1">INDIRECT("b"&amp;K3252+2)</f>
        <v>3.25E+170</v>
      </c>
      <c r="K3252" s="19">
        <f t="shared" si="622"/>
        <v>5932</v>
      </c>
    </row>
    <row r="3253" spans="1:11">
      <c r="A3253">
        <v>3251</v>
      </c>
      <c r="B3253">
        <v>3.025E+103</v>
      </c>
      <c r="D3253" s="18">
        <v>3251</v>
      </c>
      <c r="E3253" s="18" cm="1">
        <f t="array" aca="1" ref="E3253" ca="1">INDIRECT("b"&amp;F3253+2)</f>
        <v>3.4749999999999998E+140</v>
      </c>
      <c r="F3253" s="18">
        <f t="shared" si="626"/>
        <v>4733</v>
      </c>
      <c r="G3253" s="18"/>
      <c r="H3253" s="18"/>
      <c r="I3253" s="19">
        <v>3251</v>
      </c>
      <c r="J3253" s="19" cm="1">
        <f t="array" aca="1" ref="J3253" ca="1">INDIRECT("b"&amp;K3253+2)</f>
        <v>3.4749999999999997E+170</v>
      </c>
      <c r="K3253" s="19">
        <f t="shared" si="622"/>
        <v>5933</v>
      </c>
    </row>
    <row r="3254" spans="1:11">
      <c r="A3254">
        <v>3252</v>
      </c>
      <c r="B3254">
        <v>3.25E+103</v>
      </c>
      <c r="D3254" s="18">
        <v>3252</v>
      </c>
      <c r="E3254" s="18" cm="1">
        <f t="array" aca="1" ref="E3254" ca="1">INDIRECT("b"&amp;F3254+2)</f>
        <v>3.7E+140</v>
      </c>
      <c r="F3254" s="18">
        <f t="shared" si="626"/>
        <v>4734</v>
      </c>
      <c r="G3254" s="18"/>
      <c r="H3254" s="18"/>
      <c r="I3254" s="19">
        <v>3252</v>
      </c>
      <c r="J3254" s="19" cm="1">
        <f t="array" aca="1" ref="J3254" ca="1">INDIRECT("b"&amp;K3254+2)</f>
        <v>3.6999999999999999E+170</v>
      </c>
      <c r="K3254" s="19">
        <f t="shared" si="622"/>
        <v>5934</v>
      </c>
    </row>
    <row r="3255" spans="1:11">
      <c r="A3255">
        <v>3253</v>
      </c>
      <c r="B3255">
        <v>3.475E+103</v>
      </c>
      <c r="D3255" s="18">
        <v>3253</v>
      </c>
      <c r="E3255" s="18" cm="1">
        <f t="array" aca="1" ref="E3255" ca="1">INDIRECT("b"&amp;F3255+2)</f>
        <v>4.1500000000000001E+140</v>
      </c>
      <c r="F3255" s="18">
        <f t="shared" si="626"/>
        <v>4736</v>
      </c>
      <c r="G3255" s="18">
        <f t="shared" ref="G3255" ca="1" si="634">E3255/E3250</f>
        <v>1.6116504854368932</v>
      </c>
      <c r="H3255" s="18"/>
      <c r="I3255" s="19">
        <v>3253</v>
      </c>
      <c r="J3255" s="19" cm="1">
        <f t="array" aca="1" ref="J3255" ca="1">INDIRECT("b"&amp;K3255+2)</f>
        <v>4.1499999999999997E+170</v>
      </c>
      <c r="K3255" s="19">
        <f t="shared" si="622"/>
        <v>5936</v>
      </c>
    </row>
    <row r="3256" spans="1:11">
      <c r="A3256">
        <v>3254</v>
      </c>
      <c r="B3256">
        <v>3.7000000000000003E+103</v>
      </c>
      <c r="D3256" s="18">
        <v>3254</v>
      </c>
      <c r="E3256" s="18" cm="1">
        <f t="array" aca="1" ref="E3256" ca="1">INDIRECT("b"&amp;F3256+2)</f>
        <v>4.375E+140</v>
      </c>
      <c r="F3256" s="18">
        <f t="shared" si="626"/>
        <v>4737</v>
      </c>
      <c r="G3256" s="18"/>
      <c r="H3256" s="18"/>
      <c r="I3256" s="19">
        <v>3254</v>
      </c>
      <c r="J3256" s="19" cm="1">
        <f t="array" aca="1" ref="J3256" ca="1">INDIRECT("b"&amp;K3256+2)</f>
        <v>4.3749999999999999E+170</v>
      </c>
      <c r="K3256" s="19">
        <f t="shared" si="622"/>
        <v>5937</v>
      </c>
    </row>
    <row r="3257" spans="1:11">
      <c r="A3257">
        <v>3255</v>
      </c>
      <c r="B3257">
        <v>3.9250000000000003E+103</v>
      </c>
      <c r="D3257" s="18">
        <v>3255</v>
      </c>
      <c r="E3257" s="18" cm="1">
        <f t="array" aca="1" ref="E3257" ca="1">INDIRECT("b"&amp;F3257+2)</f>
        <v>4.5999999999999998E+140</v>
      </c>
      <c r="F3257" s="18">
        <f t="shared" si="626"/>
        <v>4738</v>
      </c>
      <c r="G3257" s="18"/>
      <c r="H3257" s="18"/>
      <c r="I3257" s="19">
        <v>3255</v>
      </c>
      <c r="J3257" s="19" cm="1">
        <f t="array" aca="1" ref="J3257" ca="1">INDIRECT("b"&amp;K3257+2)</f>
        <v>4.5999999999999996E+170</v>
      </c>
      <c r="K3257" s="19">
        <f t="shared" si="622"/>
        <v>5938</v>
      </c>
    </row>
    <row r="3258" spans="1:11">
      <c r="A3258">
        <v>3256</v>
      </c>
      <c r="B3258">
        <v>4.1500000000000002E+103</v>
      </c>
      <c r="D3258" s="18">
        <v>3256</v>
      </c>
      <c r="E3258" s="18" cm="1">
        <f t="array" aca="1" ref="E3258" ca="1">INDIRECT("b"&amp;F3258+2)</f>
        <v>5.0500000000000003E+140</v>
      </c>
      <c r="F3258" s="18">
        <f t="shared" si="626"/>
        <v>4740</v>
      </c>
      <c r="G3258" s="18"/>
      <c r="H3258" s="18"/>
      <c r="I3258" s="19">
        <v>3256</v>
      </c>
      <c r="J3258" s="19" cm="1">
        <f t="array" aca="1" ref="J3258" ca="1">INDIRECT("b"&amp;K3258+2)</f>
        <v>5.0499999999999995E+170</v>
      </c>
      <c r="K3258" s="19">
        <f t="shared" si="622"/>
        <v>5940</v>
      </c>
    </row>
    <row r="3259" spans="1:11">
      <c r="A3259">
        <v>3257</v>
      </c>
      <c r="B3259">
        <v>4.3750000000000002E+103</v>
      </c>
      <c r="D3259" s="18">
        <v>3257</v>
      </c>
      <c r="E3259" s="18" cm="1">
        <f t="array" aca="1" ref="E3259" ca="1">INDIRECT("b"&amp;F3259+2)</f>
        <v>5.2750000000000002E+140</v>
      </c>
      <c r="F3259" s="18">
        <f t="shared" si="626"/>
        <v>4741</v>
      </c>
      <c r="G3259" s="18"/>
      <c r="H3259" s="18"/>
      <c r="I3259" s="19">
        <v>3257</v>
      </c>
      <c r="J3259" s="19" cm="1">
        <f t="array" aca="1" ref="J3259" ca="1">INDIRECT("b"&amp;K3259+2)</f>
        <v>5.2749999999999997E+170</v>
      </c>
      <c r="K3259" s="19">
        <f t="shared" si="622"/>
        <v>5941</v>
      </c>
    </row>
    <row r="3260" spans="1:11">
      <c r="A3260">
        <v>3258</v>
      </c>
      <c r="B3260">
        <v>4.6000000000000002E+103</v>
      </c>
      <c r="D3260" s="18">
        <v>3258</v>
      </c>
      <c r="E3260" s="18" cm="1">
        <f t="array" aca="1" ref="E3260" ca="1">INDIRECT("b"&amp;F3260+2)</f>
        <v>5.5E+140</v>
      </c>
      <c r="F3260" s="18">
        <f t="shared" si="626"/>
        <v>4742</v>
      </c>
      <c r="G3260" s="18">
        <f t="shared" ref="G3260" ca="1" si="635">E3260/E3255</f>
        <v>1.3253012048192772</v>
      </c>
      <c r="H3260" s="18"/>
      <c r="I3260" s="19">
        <v>3258</v>
      </c>
      <c r="J3260" s="19" cm="1">
        <f t="array" aca="1" ref="J3260" ca="1">INDIRECT("b"&amp;K3260+2)</f>
        <v>5.4999999999999999E+170</v>
      </c>
      <c r="K3260" s="19">
        <f t="shared" si="622"/>
        <v>5942</v>
      </c>
    </row>
    <row r="3261" spans="1:11">
      <c r="A3261">
        <v>3259</v>
      </c>
      <c r="B3261">
        <v>4.8250000000000001E+103</v>
      </c>
      <c r="D3261" s="18">
        <v>3259</v>
      </c>
      <c r="E3261" s="18" cm="1">
        <f t="array" aca="1" ref="E3261" ca="1">INDIRECT("b"&amp;F3261+2)</f>
        <v>5.9499999999999997E+140</v>
      </c>
      <c r="F3261" s="18">
        <f t="shared" si="626"/>
        <v>4744</v>
      </c>
      <c r="G3261" s="18"/>
      <c r="H3261" s="18"/>
      <c r="I3261" s="19">
        <v>3259</v>
      </c>
      <c r="J3261" s="19" cm="1">
        <f t="array" aca="1" ref="J3261" ca="1">INDIRECT("b"&amp;K3261+2)</f>
        <v>5.9499999999999992E+170</v>
      </c>
      <c r="K3261" s="19">
        <f t="shared" si="622"/>
        <v>5944</v>
      </c>
    </row>
    <row r="3262" spans="1:11">
      <c r="A3262">
        <v>3260</v>
      </c>
      <c r="B3262">
        <v>5.0500000000000001E+103</v>
      </c>
      <c r="D3262" s="18">
        <v>3260</v>
      </c>
      <c r="E3262" s="18" cm="1">
        <f t="array" aca="1" ref="E3262" ca="1">INDIRECT("b"&amp;F3262+2)</f>
        <v>6.1749999999999995E+140</v>
      </c>
      <c r="F3262" s="18">
        <f t="shared" si="626"/>
        <v>4745</v>
      </c>
      <c r="G3262" s="18"/>
      <c r="H3262" s="18"/>
      <c r="I3262" s="19">
        <v>3260</v>
      </c>
      <c r="J3262" s="19" cm="1">
        <f t="array" aca="1" ref="J3262" ca="1">INDIRECT("b"&amp;K3262+2)</f>
        <v>6.1749999999999994E+170</v>
      </c>
      <c r="K3262" s="19">
        <f t="shared" si="622"/>
        <v>5945</v>
      </c>
    </row>
    <row r="3263" spans="1:11">
      <c r="A3263">
        <v>3261</v>
      </c>
      <c r="B3263">
        <v>5.275E+103</v>
      </c>
      <c r="D3263" s="18">
        <v>3261</v>
      </c>
      <c r="E3263" s="18" cm="1">
        <f t="array" aca="1" ref="E3263" ca="1">INDIRECT("b"&amp;F3263+2)</f>
        <v>6.4000000000000002E+140</v>
      </c>
      <c r="F3263" s="18">
        <f t="shared" si="626"/>
        <v>4746</v>
      </c>
      <c r="G3263" s="18"/>
      <c r="H3263" s="18"/>
      <c r="I3263" s="19">
        <v>3261</v>
      </c>
      <c r="J3263" s="19" cm="1">
        <f t="array" aca="1" ref="J3263" ca="1">INDIRECT("b"&amp;K3263+2)</f>
        <v>6.3999999999999996E+170</v>
      </c>
      <c r="K3263" s="19">
        <f t="shared" si="622"/>
        <v>5946</v>
      </c>
    </row>
    <row r="3264" spans="1:11">
      <c r="A3264">
        <v>3262</v>
      </c>
      <c r="B3264">
        <v>5.5E+103</v>
      </c>
      <c r="D3264" s="18">
        <v>3262</v>
      </c>
      <c r="E3264" s="18" cm="1">
        <f t="array" aca="1" ref="E3264" ca="1">INDIRECT("b"&amp;F3264+2)</f>
        <v>6.8499999999999999E+140</v>
      </c>
      <c r="F3264" s="18">
        <f t="shared" si="626"/>
        <v>4748</v>
      </c>
      <c r="G3264" s="18"/>
      <c r="H3264" s="18"/>
      <c r="I3264" s="19">
        <v>3262</v>
      </c>
      <c r="J3264" s="19" cm="1">
        <f t="array" aca="1" ref="J3264" ca="1">INDIRECT("b"&amp;K3264+2)</f>
        <v>6.85E+170</v>
      </c>
      <c r="K3264" s="19">
        <f t="shared" si="622"/>
        <v>5948</v>
      </c>
    </row>
    <row r="3265" spans="1:11">
      <c r="A3265">
        <v>3263</v>
      </c>
      <c r="B3265">
        <v>5.725E+103</v>
      </c>
      <c r="D3265" s="18">
        <v>3263</v>
      </c>
      <c r="E3265" s="18" cm="1">
        <f t="array" aca="1" ref="E3265" ca="1">INDIRECT("b"&amp;F3265+2)</f>
        <v>7.0749999999999997E+140</v>
      </c>
      <c r="F3265" s="18">
        <f t="shared" si="626"/>
        <v>4749</v>
      </c>
      <c r="G3265" s="18">
        <f t="shared" ref="G3265" ca="1" si="636">E3265/E3260</f>
        <v>1.2863636363636364</v>
      </c>
      <c r="H3265" s="18"/>
      <c r="I3265" s="19">
        <v>3263</v>
      </c>
      <c r="J3265" s="19" cm="1">
        <f t="array" aca="1" ref="J3265" ca="1">INDIRECT("b"&amp;K3265+2)</f>
        <v>7.0749999999999991E+170</v>
      </c>
      <c r="K3265" s="19">
        <f t="shared" si="622"/>
        <v>5949</v>
      </c>
    </row>
    <row r="3266" spans="1:11">
      <c r="A3266">
        <v>3264</v>
      </c>
      <c r="B3266">
        <v>5.9499999999999999E+103</v>
      </c>
      <c r="D3266" s="18">
        <v>3264</v>
      </c>
      <c r="E3266" s="18" cm="1">
        <f t="array" aca="1" ref="E3266" ca="1">INDIRECT("b"&amp;F3266+2)</f>
        <v>7.2999999999999996E+140</v>
      </c>
      <c r="F3266" s="18">
        <f t="shared" si="626"/>
        <v>4750</v>
      </c>
      <c r="G3266" s="18"/>
      <c r="H3266" s="18"/>
      <c r="I3266" s="19">
        <v>3264</v>
      </c>
      <c r="J3266" s="19" cm="1">
        <f t="array" aca="1" ref="J3266" ca="1">INDIRECT("b"&amp;K3266+2)</f>
        <v>7.2999999999999993E+170</v>
      </c>
      <c r="K3266" s="19">
        <f t="shared" si="622"/>
        <v>5950</v>
      </c>
    </row>
    <row r="3267" spans="1:11">
      <c r="A3267">
        <v>3265</v>
      </c>
      <c r="B3267">
        <v>6.1749999999999999E+103</v>
      </c>
      <c r="D3267" s="18">
        <v>3265</v>
      </c>
      <c r="E3267" s="18" cm="1">
        <f t="array" aca="1" ref="E3267" ca="1">INDIRECT("b"&amp;F3267+2)</f>
        <v>7.7500000000000001E+140</v>
      </c>
      <c r="F3267" s="18">
        <f t="shared" si="626"/>
        <v>4752</v>
      </c>
      <c r="G3267" s="18"/>
      <c r="H3267" s="18"/>
      <c r="I3267" s="19">
        <v>3265</v>
      </c>
      <c r="J3267" s="19" cm="1">
        <f t="array" aca="1" ref="J3267" ca="1">INDIRECT("b"&amp;K3267+2)</f>
        <v>7.7499999999999997E+170</v>
      </c>
      <c r="K3267" s="19">
        <f t="shared" si="622"/>
        <v>5952</v>
      </c>
    </row>
    <row r="3268" spans="1:11">
      <c r="A3268">
        <v>3266</v>
      </c>
      <c r="B3268">
        <v>6.3999999999999999E+103</v>
      </c>
      <c r="D3268" s="18">
        <v>3266</v>
      </c>
      <c r="E3268" s="18" cm="1">
        <f t="array" aca="1" ref="E3268" ca="1">INDIRECT("b"&amp;F3268+2)</f>
        <v>7.9749999999999991E+140</v>
      </c>
      <c r="F3268" s="18">
        <f t="shared" si="626"/>
        <v>4753</v>
      </c>
      <c r="G3268" s="18"/>
      <c r="H3268" s="18"/>
      <c r="I3268" s="19">
        <v>3266</v>
      </c>
      <c r="J3268" s="19" cm="1">
        <f t="array" aca="1" ref="J3268" ca="1">INDIRECT("b"&amp;K3268+2)</f>
        <v>7.9749999999999999E+170</v>
      </c>
      <c r="K3268" s="19">
        <f t="shared" ref="K3268:K3331" si="637">INT((A3268-1)*40/30+900*40/30)+400</f>
        <v>5953</v>
      </c>
    </row>
    <row r="3269" spans="1:11">
      <c r="A3269">
        <v>3267</v>
      </c>
      <c r="B3269">
        <v>6.6249999999999998E+103</v>
      </c>
      <c r="D3269" s="18">
        <v>3267</v>
      </c>
      <c r="E3269" s="18" cm="1">
        <f t="array" aca="1" ref="E3269" ca="1">INDIRECT("b"&amp;F3269+2)</f>
        <v>8.1999999999999998E+140</v>
      </c>
      <c r="F3269" s="18">
        <f t="shared" si="626"/>
        <v>4754</v>
      </c>
      <c r="G3269" s="18"/>
      <c r="H3269" s="18"/>
      <c r="I3269" s="19">
        <v>3267</v>
      </c>
      <c r="J3269" s="19" cm="1">
        <f t="array" aca="1" ref="J3269" ca="1">INDIRECT("b"&amp;K3269+2)</f>
        <v>8.199999999999999E+170</v>
      </c>
      <c r="K3269" s="19">
        <f t="shared" si="637"/>
        <v>5954</v>
      </c>
    </row>
    <row r="3270" spans="1:11">
      <c r="A3270">
        <v>3268</v>
      </c>
      <c r="B3270">
        <v>6.8499999999999998E+103</v>
      </c>
      <c r="D3270" s="18">
        <v>3268</v>
      </c>
      <c r="E3270" s="18" cm="1">
        <f t="array" aca="1" ref="E3270" ca="1">INDIRECT("b"&amp;F3270+2)</f>
        <v>8.6499999999999994E+140</v>
      </c>
      <c r="F3270" s="18">
        <f t="shared" si="626"/>
        <v>4756</v>
      </c>
      <c r="G3270" s="18">
        <f t="shared" ref="G3270" ca="1" si="638">E3270/E3265</f>
        <v>1.2226148409893993</v>
      </c>
      <c r="H3270" s="18"/>
      <c r="I3270" s="19">
        <v>3268</v>
      </c>
      <c r="J3270" s="19" cm="1">
        <f t="array" aca="1" ref="J3270" ca="1">INDIRECT("b"&amp;K3270+2)</f>
        <v>8.6499999999999994E+170</v>
      </c>
      <c r="K3270" s="19">
        <f t="shared" si="637"/>
        <v>5956</v>
      </c>
    </row>
    <row r="3271" spans="1:11">
      <c r="A3271">
        <v>3269</v>
      </c>
      <c r="B3271">
        <v>7.0750000000000005E+103</v>
      </c>
      <c r="D3271" s="18">
        <v>3269</v>
      </c>
      <c r="E3271" s="18" cm="1">
        <f t="array" aca="1" ref="E3271" ca="1">INDIRECT("b"&amp;F3271+2)</f>
        <v>8.8750000000000001E+140</v>
      </c>
      <c r="F3271" s="18">
        <f t="shared" si="626"/>
        <v>4757</v>
      </c>
      <c r="G3271" s="18"/>
      <c r="H3271" s="18"/>
      <c r="I3271" s="19">
        <v>3269</v>
      </c>
      <c r="J3271" s="19" cm="1">
        <f t="array" aca="1" ref="J3271" ca="1">INDIRECT("b"&amp;K3271+2)</f>
        <v>8.8749999999999996E+170</v>
      </c>
      <c r="K3271" s="19">
        <f t="shared" si="637"/>
        <v>5957</v>
      </c>
    </row>
    <row r="3272" spans="1:11">
      <c r="A3272">
        <v>3270</v>
      </c>
      <c r="B3272">
        <v>7.3000000000000005E+103</v>
      </c>
      <c r="D3272" s="18">
        <v>3270</v>
      </c>
      <c r="E3272" s="18" cm="1">
        <f t="array" aca="1" ref="E3272" ca="1">INDIRECT("b"&amp;F3272+2)</f>
        <v>9.0999999999999991E+140</v>
      </c>
      <c r="F3272" s="18">
        <f t="shared" si="626"/>
        <v>4758</v>
      </c>
      <c r="G3272" s="18"/>
      <c r="H3272" s="18"/>
      <c r="I3272" s="19">
        <v>3270</v>
      </c>
      <c r="J3272" s="19" cm="1">
        <f t="array" aca="1" ref="J3272" ca="1">INDIRECT("b"&amp;K3272+2)</f>
        <v>9.0999999999999998E+170</v>
      </c>
      <c r="K3272" s="19">
        <f t="shared" si="637"/>
        <v>5958</v>
      </c>
    </row>
    <row r="3273" spans="1:11">
      <c r="A3273">
        <v>3271</v>
      </c>
      <c r="B3273">
        <v>7.5249999999999997E+103</v>
      </c>
      <c r="D3273" s="18">
        <v>3271</v>
      </c>
      <c r="E3273" s="18" cm="1">
        <f t="array" aca="1" ref="E3273" ca="1">INDIRECT("b"&amp;F3273+2)</f>
        <v>9.5500000000000005E+140</v>
      </c>
      <c r="F3273" s="18">
        <f t="shared" si="626"/>
        <v>4760</v>
      </c>
      <c r="G3273" s="18"/>
      <c r="H3273" s="18"/>
      <c r="I3273" s="19">
        <v>3271</v>
      </c>
      <c r="J3273" s="19" cm="1">
        <f t="array" aca="1" ref="J3273" ca="1">INDIRECT("b"&amp;K3273+2)</f>
        <v>9.5499999999999991E+170</v>
      </c>
      <c r="K3273" s="19">
        <f t="shared" si="637"/>
        <v>5960</v>
      </c>
    </row>
    <row r="3274" spans="1:11">
      <c r="A3274">
        <v>3272</v>
      </c>
      <c r="B3274">
        <v>7.7500000000000004E+103</v>
      </c>
      <c r="D3274" s="18">
        <v>3272</v>
      </c>
      <c r="E3274" s="18" cm="1">
        <f t="array" aca="1" ref="E3274" ca="1">INDIRECT("b"&amp;F3274+2)</f>
        <v>9.7749999999999995E+140</v>
      </c>
      <c r="F3274" s="18">
        <f t="shared" si="626"/>
        <v>4761</v>
      </c>
      <c r="G3274" s="18"/>
      <c r="H3274" s="18"/>
      <c r="I3274" s="19">
        <v>3272</v>
      </c>
      <c r="J3274" s="19" cm="1">
        <f t="array" aca="1" ref="J3274" ca="1">INDIRECT("b"&amp;K3274+2)</f>
        <v>9.7749999999999993E+170</v>
      </c>
      <c r="K3274" s="19">
        <f t="shared" si="637"/>
        <v>5961</v>
      </c>
    </row>
    <row r="3275" spans="1:11">
      <c r="A3275">
        <v>3273</v>
      </c>
      <c r="B3275">
        <v>7.9749999999999996E+103</v>
      </c>
      <c r="D3275" s="18">
        <v>3273</v>
      </c>
      <c r="E3275" s="18" cm="1">
        <f t="array" aca="1" ref="E3275" ca="1">INDIRECT("b"&amp;F3275+2)</f>
        <v>1E+141</v>
      </c>
      <c r="F3275" s="18">
        <f t="shared" si="626"/>
        <v>4762</v>
      </c>
      <c r="G3275" s="18">
        <f t="shared" ref="G3275" ca="1" si="639">E3275/E3270</f>
        <v>1.1560693641618498</v>
      </c>
      <c r="H3275" s="18"/>
      <c r="I3275" s="19">
        <v>3273</v>
      </c>
      <c r="J3275" s="19" cm="1">
        <f t="array" aca="1" ref="J3275" ca="1">INDIRECT("b"&amp;K3275+2)</f>
        <v>9.9999999999999995E+170</v>
      </c>
      <c r="K3275" s="19">
        <f t="shared" si="637"/>
        <v>5962</v>
      </c>
    </row>
    <row r="3276" spans="1:11">
      <c r="A3276">
        <v>3274</v>
      </c>
      <c r="B3276">
        <v>8.2000000000000003E+103</v>
      </c>
      <c r="D3276" s="18">
        <v>3274</v>
      </c>
      <c r="E3276" s="18" cm="1">
        <f t="array" aca="1" ref="E3276" ca="1">INDIRECT("b"&amp;F3276+2)</f>
        <v>1.45E+141</v>
      </c>
      <c r="F3276" s="18">
        <f t="shared" si="626"/>
        <v>4764</v>
      </c>
      <c r="G3276" s="18"/>
      <c r="H3276" s="18"/>
      <c r="I3276" s="19">
        <v>3274</v>
      </c>
      <c r="J3276" s="19" cm="1">
        <f t="array" aca="1" ref="J3276" ca="1">INDIRECT("b"&amp;K3276+2)</f>
        <v>1.4499999999999999E+171</v>
      </c>
      <c r="K3276" s="19">
        <f t="shared" si="637"/>
        <v>5964</v>
      </c>
    </row>
    <row r="3277" spans="1:11">
      <c r="A3277">
        <v>3275</v>
      </c>
      <c r="B3277">
        <v>8.4249999999999995E+103</v>
      </c>
      <c r="D3277" s="18">
        <v>3275</v>
      </c>
      <c r="E3277" s="18" cm="1">
        <f t="array" aca="1" ref="E3277" ca="1">INDIRECT("b"&amp;F3277+2)</f>
        <v>1.6749999999999999E+141</v>
      </c>
      <c r="F3277" s="18">
        <f t="shared" si="626"/>
        <v>4765</v>
      </c>
      <c r="G3277" s="18"/>
      <c r="H3277" s="18"/>
      <c r="I3277" s="19">
        <v>3275</v>
      </c>
      <c r="J3277" s="19" cm="1">
        <f t="array" aca="1" ref="J3277" ca="1">INDIRECT("b"&amp;K3277+2)</f>
        <v>1.6749999999999999E+171</v>
      </c>
      <c r="K3277" s="19">
        <f t="shared" si="637"/>
        <v>5965</v>
      </c>
    </row>
    <row r="3278" spans="1:11">
      <c r="A3278">
        <v>3276</v>
      </c>
      <c r="B3278">
        <v>8.6500000000000003E+103</v>
      </c>
      <c r="D3278" s="18">
        <v>3276</v>
      </c>
      <c r="E3278" s="18" cm="1">
        <f t="array" aca="1" ref="E3278" ca="1">INDIRECT("b"&amp;F3278+2)</f>
        <v>1.8999999999999999E+141</v>
      </c>
      <c r="F3278" s="18">
        <f t="shared" si="626"/>
        <v>4766</v>
      </c>
      <c r="G3278" s="18"/>
      <c r="H3278" s="18"/>
      <c r="I3278" s="19">
        <v>3276</v>
      </c>
      <c r="J3278" s="19" cm="1">
        <f t="array" aca="1" ref="J3278" ca="1">INDIRECT("b"&amp;K3278+2)</f>
        <v>1.8999999999999999E+171</v>
      </c>
      <c r="K3278" s="19">
        <f t="shared" si="637"/>
        <v>5966</v>
      </c>
    </row>
    <row r="3279" spans="1:11">
      <c r="A3279">
        <v>3277</v>
      </c>
      <c r="B3279">
        <v>8.8749999999999994E+103</v>
      </c>
      <c r="D3279" s="18">
        <v>3277</v>
      </c>
      <c r="E3279" s="18" cm="1">
        <f t="array" aca="1" ref="E3279" ca="1">INDIRECT("b"&amp;F3279+2)</f>
        <v>2.3499999999999999E+141</v>
      </c>
      <c r="F3279" s="18">
        <f t="shared" si="626"/>
        <v>4768</v>
      </c>
      <c r="G3279" s="18"/>
      <c r="H3279" s="18"/>
      <c r="I3279" s="19">
        <v>3277</v>
      </c>
      <c r="J3279" s="19" cm="1">
        <f t="array" aca="1" ref="J3279" ca="1">INDIRECT("b"&amp;K3279+2)</f>
        <v>2.3499999999999996E+171</v>
      </c>
      <c r="K3279" s="19">
        <f t="shared" si="637"/>
        <v>5968</v>
      </c>
    </row>
    <row r="3280" spans="1:11">
      <c r="A3280">
        <v>3278</v>
      </c>
      <c r="B3280">
        <v>9.1000000000000002E+103</v>
      </c>
      <c r="D3280" s="18">
        <v>3278</v>
      </c>
      <c r="E3280" s="18" cm="1">
        <f t="array" aca="1" ref="E3280" ca="1">INDIRECT("b"&amp;F3280+2)</f>
        <v>2.5749999999999999E+141</v>
      </c>
      <c r="F3280" s="18">
        <f t="shared" si="626"/>
        <v>4769</v>
      </c>
      <c r="G3280" s="18">
        <f t="shared" ref="G3280" ca="1" si="640">E3280/E3275</f>
        <v>2.5749999999999997</v>
      </c>
      <c r="H3280" s="18"/>
      <c r="I3280" s="19">
        <v>3278</v>
      </c>
      <c r="J3280" s="19" cm="1">
        <f t="array" aca="1" ref="J3280" ca="1">INDIRECT("b"&amp;K3280+2)</f>
        <v>2.5749999999999998E+171</v>
      </c>
      <c r="K3280" s="19">
        <f t="shared" si="637"/>
        <v>5969</v>
      </c>
    </row>
    <row r="3281" spans="1:11">
      <c r="A3281">
        <v>3279</v>
      </c>
      <c r="B3281">
        <v>9.3250000000000009E+103</v>
      </c>
      <c r="D3281" s="18">
        <v>3279</v>
      </c>
      <c r="E3281" s="18" cm="1">
        <f t="array" aca="1" ref="E3281" ca="1">INDIRECT("b"&amp;F3281+2)</f>
        <v>2.7999999999999999E+141</v>
      </c>
      <c r="F3281" s="18">
        <f t="shared" si="626"/>
        <v>4770</v>
      </c>
      <c r="G3281" s="18"/>
      <c r="H3281" s="18"/>
      <c r="I3281" s="19">
        <v>3279</v>
      </c>
      <c r="J3281" s="19" cm="1">
        <f t="array" aca="1" ref="J3281" ca="1">INDIRECT("b"&amp;K3281+2)</f>
        <v>2.7999999999999996E+171</v>
      </c>
      <c r="K3281" s="19">
        <f t="shared" si="637"/>
        <v>5970</v>
      </c>
    </row>
    <row r="3282" spans="1:11">
      <c r="A3282">
        <v>3280</v>
      </c>
      <c r="B3282">
        <v>9.5500000000000001E+103</v>
      </c>
      <c r="D3282" s="18">
        <v>3280</v>
      </c>
      <c r="E3282" s="18" cm="1">
        <f t="array" aca="1" ref="E3282" ca="1">INDIRECT("b"&amp;F3282+2)</f>
        <v>3.2500000000000003E+141</v>
      </c>
      <c r="F3282" s="18">
        <f t="shared" si="626"/>
        <v>4772</v>
      </c>
      <c r="G3282" s="18"/>
      <c r="H3282" s="18"/>
      <c r="I3282" s="19">
        <v>3280</v>
      </c>
      <c r="J3282" s="19" cm="1">
        <f t="array" aca="1" ref="J3282" ca="1">INDIRECT("b"&amp;K3282+2)</f>
        <v>3.25E+171</v>
      </c>
      <c r="K3282" s="19">
        <f t="shared" si="637"/>
        <v>5972</v>
      </c>
    </row>
    <row r="3283" spans="1:11">
      <c r="A3283">
        <v>3281</v>
      </c>
      <c r="B3283">
        <v>9.7750000000000009E+103</v>
      </c>
      <c r="D3283" s="18">
        <v>3281</v>
      </c>
      <c r="E3283" s="18" cm="1">
        <f t="array" aca="1" ref="E3283" ca="1">INDIRECT("b"&amp;F3283+2)</f>
        <v>3.4749999999999999E+141</v>
      </c>
      <c r="F3283" s="18">
        <f t="shared" ref="F3283:F3346" si="641">INT((A3283-123)*1.333333)+563</f>
        <v>4773</v>
      </c>
      <c r="G3283" s="18"/>
      <c r="H3283" s="18"/>
      <c r="I3283" s="19">
        <v>3281</v>
      </c>
      <c r="J3283" s="19" cm="1">
        <f t="array" aca="1" ref="J3283" ca="1">INDIRECT("b"&amp;K3283+2)</f>
        <v>3.4749999999999998E+171</v>
      </c>
      <c r="K3283" s="19">
        <f t="shared" si="637"/>
        <v>5973</v>
      </c>
    </row>
    <row r="3284" spans="1:11">
      <c r="A3284">
        <v>3282</v>
      </c>
      <c r="B3284">
        <v>1E+104</v>
      </c>
      <c r="D3284" s="18">
        <v>3282</v>
      </c>
      <c r="E3284" s="18" cm="1">
        <f t="array" aca="1" ref="E3284" ca="1">INDIRECT("b"&amp;F3284+2)</f>
        <v>3.7000000000000003E+141</v>
      </c>
      <c r="F3284" s="18">
        <f t="shared" si="641"/>
        <v>4774</v>
      </c>
      <c r="G3284" s="18"/>
      <c r="H3284" s="18"/>
      <c r="I3284" s="19">
        <v>3282</v>
      </c>
      <c r="J3284" s="19" cm="1">
        <f t="array" aca="1" ref="J3284" ca="1">INDIRECT("b"&amp;K3284+2)</f>
        <v>3.7E+171</v>
      </c>
      <c r="K3284" s="19">
        <f t="shared" si="637"/>
        <v>5974</v>
      </c>
    </row>
    <row r="3285" spans="1:11">
      <c r="A3285">
        <v>3283</v>
      </c>
      <c r="B3285">
        <v>1.2250000000000001E+104</v>
      </c>
      <c r="D3285" s="18">
        <v>3283</v>
      </c>
      <c r="E3285" s="18" cm="1">
        <f t="array" aca="1" ref="E3285" ca="1">INDIRECT("b"&amp;F3285+2)</f>
        <v>4.1500000000000003E+141</v>
      </c>
      <c r="F3285" s="18">
        <f t="shared" si="641"/>
        <v>4776</v>
      </c>
      <c r="G3285" s="18">
        <f t="shared" ref="G3285" ca="1" si="642">E3285/E3280</f>
        <v>1.6116504854368934</v>
      </c>
      <c r="H3285" s="18"/>
      <c r="I3285" s="19">
        <v>3283</v>
      </c>
      <c r="J3285" s="19" cm="1">
        <f t="array" aca="1" ref="J3285" ca="1">INDIRECT("b"&amp;K3285+2)</f>
        <v>4.1499999999999999E+171</v>
      </c>
      <c r="K3285" s="19">
        <f t="shared" si="637"/>
        <v>5976</v>
      </c>
    </row>
    <row r="3286" spans="1:11">
      <c r="A3286">
        <v>3284</v>
      </c>
      <c r="B3286">
        <v>1.4499999999999999E+104</v>
      </c>
      <c r="D3286" s="18">
        <v>3284</v>
      </c>
      <c r="E3286" s="18" cm="1">
        <f t="array" aca="1" ref="E3286" ca="1">INDIRECT("b"&amp;F3286+2)</f>
        <v>4.375E+141</v>
      </c>
      <c r="F3286" s="18">
        <f t="shared" si="641"/>
        <v>4777</v>
      </c>
      <c r="G3286" s="18"/>
      <c r="H3286" s="18"/>
      <c r="I3286" s="19">
        <v>3284</v>
      </c>
      <c r="J3286" s="19" cm="1">
        <f t="array" aca="1" ref="J3286" ca="1">INDIRECT("b"&amp;K3286+2)</f>
        <v>4.3749999999999997E+171</v>
      </c>
      <c r="K3286" s="19">
        <f t="shared" si="637"/>
        <v>5977</v>
      </c>
    </row>
    <row r="3287" spans="1:11">
      <c r="A3287">
        <v>3285</v>
      </c>
      <c r="B3287">
        <v>1.675E+104</v>
      </c>
      <c r="D3287" s="18">
        <v>3285</v>
      </c>
      <c r="E3287" s="18" cm="1">
        <f t="array" aca="1" ref="E3287" ca="1">INDIRECT("b"&amp;F3287+2)</f>
        <v>4.6000000000000003E+141</v>
      </c>
      <c r="F3287" s="18">
        <f t="shared" si="641"/>
        <v>4778</v>
      </c>
      <c r="G3287" s="18"/>
      <c r="H3287" s="18"/>
      <c r="I3287" s="19">
        <v>3285</v>
      </c>
      <c r="J3287" s="19" cm="1">
        <f t="array" aca="1" ref="J3287" ca="1">INDIRECT("b"&amp;K3287+2)</f>
        <v>4.5999999999999995E+171</v>
      </c>
      <c r="K3287" s="19">
        <f t="shared" si="637"/>
        <v>5978</v>
      </c>
    </row>
    <row r="3288" spans="1:11">
      <c r="A3288">
        <v>3286</v>
      </c>
      <c r="B3288">
        <v>1.9000000000000002E+104</v>
      </c>
      <c r="D3288" s="18">
        <v>3286</v>
      </c>
      <c r="E3288" s="18" cm="1">
        <f t="array" aca="1" ref="E3288" ca="1">INDIRECT("b"&amp;F3288+2)</f>
        <v>5.0500000000000003E+141</v>
      </c>
      <c r="F3288" s="18">
        <f t="shared" si="641"/>
        <v>4780</v>
      </c>
      <c r="G3288" s="18"/>
      <c r="H3288" s="18"/>
      <c r="I3288" s="19">
        <v>3286</v>
      </c>
      <c r="J3288" s="19" cm="1">
        <f t="array" aca="1" ref="J3288" ca="1">INDIRECT("b"&amp;K3288+2)</f>
        <v>5.0499999999999999E+171</v>
      </c>
      <c r="K3288" s="19">
        <f t="shared" si="637"/>
        <v>5980</v>
      </c>
    </row>
    <row r="3289" spans="1:11">
      <c r="A3289">
        <v>3287</v>
      </c>
      <c r="B3289">
        <v>2.125E+104</v>
      </c>
      <c r="D3289" s="18">
        <v>3287</v>
      </c>
      <c r="E3289" s="18" cm="1">
        <f t="array" aca="1" ref="E3289" ca="1">INDIRECT("b"&amp;F3289+2)</f>
        <v>5.275E+141</v>
      </c>
      <c r="F3289" s="18">
        <f t="shared" si="641"/>
        <v>4781</v>
      </c>
      <c r="G3289" s="18"/>
      <c r="H3289" s="18"/>
      <c r="I3289" s="19">
        <v>3287</v>
      </c>
      <c r="J3289" s="19" cm="1">
        <f t="array" aca="1" ref="J3289" ca="1">INDIRECT("b"&amp;K3289+2)</f>
        <v>5.2749999999999997E+171</v>
      </c>
      <c r="K3289" s="19">
        <f t="shared" si="637"/>
        <v>5981</v>
      </c>
    </row>
    <row r="3290" spans="1:11">
      <c r="A3290">
        <v>3288</v>
      </c>
      <c r="B3290">
        <v>2.3500000000000001E+104</v>
      </c>
      <c r="D3290" s="18">
        <v>3288</v>
      </c>
      <c r="E3290" s="18" cm="1">
        <f t="array" aca="1" ref="E3290" ca="1">INDIRECT("b"&amp;F3290+2)</f>
        <v>5.5000000000000003E+141</v>
      </c>
      <c r="F3290" s="18">
        <f t="shared" si="641"/>
        <v>4782</v>
      </c>
      <c r="G3290" s="18">
        <f t="shared" ref="G3290" ca="1" si="643">E3290/E3285</f>
        <v>1.3253012048192772</v>
      </c>
      <c r="H3290" s="18"/>
      <c r="I3290" s="19">
        <v>3288</v>
      </c>
      <c r="J3290" s="19" cm="1">
        <f t="array" aca="1" ref="J3290" ca="1">INDIRECT("b"&amp;K3290+2)</f>
        <v>5.4999999999999994E+171</v>
      </c>
      <c r="K3290" s="19">
        <f t="shared" si="637"/>
        <v>5982</v>
      </c>
    </row>
    <row r="3291" spans="1:11">
      <c r="A3291">
        <v>3289</v>
      </c>
      <c r="B3291">
        <v>2.5750000000000002E+104</v>
      </c>
      <c r="D3291" s="18">
        <v>3289</v>
      </c>
      <c r="E3291" s="18" cm="1">
        <f t="array" aca="1" ref="E3291" ca="1">INDIRECT("b"&amp;F3291+2)</f>
        <v>5.9500000000000004E+141</v>
      </c>
      <c r="F3291" s="18">
        <f t="shared" si="641"/>
        <v>4784</v>
      </c>
      <c r="G3291" s="18"/>
      <c r="H3291" s="18"/>
      <c r="I3291" s="19">
        <v>3289</v>
      </c>
      <c r="J3291" s="19" cm="1">
        <f t="array" aca="1" ref="J3291" ca="1">INDIRECT("b"&amp;K3291+2)</f>
        <v>5.9499999999999998E+171</v>
      </c>
      <c r="K3291" s="19">
        <f t="shared" si="637"/>
        <v>5984</v>
      </c>
    </row>
    <row r="3292" spans="1:11">
      <c r="A3292">
        <v>3290</v>
      </c>
      <c r="B3292">
        <v>2.8E+104</v>
      </c>
      <c r="D3292" s="18">
        <v>3290</v>
      </c>
      <c r="E3292" s="18" cm="1">
        <f t="array" aca="1" ref="E3292" ca="1">INDIRECT("b"&amp;F3292+2)</f>
        <v>6.1750000000000007E+141</v>
      </c>
      <c r="F3292" s="18">
        <f t="shared" si="641"/>
        <v>4785</v>
      </c>
      <c r="G3292" s="18"/>
      <c r="H3292" s="18"/>
      <c r="I3292" s="19">
        <v>3290</v>
      </c>
      <c r="J3292" s="19" cm="1">
        <f t="array" aca="1" ref="J3292" ca="1">INDIRECT("b"&amp;K3292+2)</f>
        <v>6.1749999999999996E+171</v>
      </c>
      <c r="K3292" s="19">
        <f t="shared" si="637"/>
        <v>5985</v>
      </c>
    </row>
    <row r="3293" spans="1:11">
      <c r="A3293">
        <v>3291</v>
      </c>
      <c r="B3293">
        <v>3.0250000000000004E+104</v>
      </c>
      <c r="D3293" s="18">
        <v>3291</v>
      </c>
      <c r="E3293" s="18" cm="1">
        <f t="array" aca="1" ref="E3293" ca="1">INDIRECT("b"&amp;F3293+2)</f>
        <v>6.4000000000000004E+141</v>
      </c>
      <c r="F3293" s="18">
        <f t="shared" si="641"/>
        <v>4786</v>
      </c>
      <c r="G3293" s="18"/>
      <c r="H3293" s="18"/>
      <c r="I3293" s="19">
        <v>3291</v>
      </c>
      <c r="J3293" s="19" cm="1">
        <f t="array" aca="1" ref="J3293" ca="1">INDIRECT("b"&amp;K3293+2)</f>
        <v>6.3999999999999994E+171</v>
      </c>
      <c r="K3293" s="19">
        <f t="shared" si="637"/>
        <v>5986</v>
      </c>
    </row>
    <row r="3294" spans="1:11">
      <c r="A3294">
        <v>3292</v>
      </c>
      <c r="B3294">
        <v>3.2500000000000002E+104</v>
      </c>
      <c r="D3294" s="18">
        <v>3292</v>
      </c>
      <c r="E3294" s="18" cm="1">
        <f t="array" aca="1" ref="E3294" ca="1">INDIRECT("b"&amp;F3294+2)</f>
        <v>6.8499999999999997E+141</v>
      </c>
      <c r="F3294" s="18">
        <f t="shared" si="641"/>
        <v>4788</v>
      </c>
      <c r="G3294" s="18"/>
      <c r="H3294" s="18"/>
      <c r="I3294" s="19">
        <v>3292</v>
      </c>
      <c r="J3294" s="19" cm="1">
        <f t="array" aca="1" ref="J3294" ca="1">INDIRECT("b"&amp;K3294+2)</f>
        <v>6.8499999999999998E+171</v>
      </c>
      <c r="K3294" s="19">
        <f t="shared" si="637"/>
        <v>5988</v>
      </c>
    </row>
    <row r="3295" spans="1:11">
      <c r="A3295">
        <v>3293</v>
      </c>
      <c r="B3295">
        <v>3.475E+104</v>
      </c>
      <c r="D3295" s="18">
        <v>3293</v>
      </c>
      <c r="E3295" s="18" cm="1">
        <f t="array" aca="1" ref="E3295" ca="1">INDIRECT("b"&amp;F3295+2)</f>
        <v>7.0750000000000007E+141</v>
      </c>
      <c r="F3295" s="18">
        <f t="shared" si="641"/>
        <v>4789</v>
      </c>
      <c r="G3295" s="18">
        <f t="shared" ref="G3295" ca="1" si="644">E3295/E3290</f>
        <v>1.2863636363636364</v>
      </c>
      <c r="H3295" s="18"/>
      <c r="I3295" s="19">
        <v>3293</v>
      </c>
      <c r="J3295" s="19" cm="1">
        <f t="array" aca="1" ref="J3295" ca="1">INDIRECT("b"&amp;K3295+2)</f>
        <v>7.0749999999999995E+171</v>
      </c>
      <c r="K3295" s="19">
        <f t="shared" si="637"/>
        <v>5989</v>
      </c>
    </row>
    <row r="3296" spans="1:11">
      <c r="A3296">
        <v>3294</v>
      </c>
      <c r="B3296">
        <v>3.7000000000000005E+104</v>
      </c>
      <c r="D3296" s="18">
        <v>3294</v>
      </c>
      <c r="E3296" s="18" cm="1">
        <f t="array" aca="1" ref="E3296" ca="1">INDIRECT("b"&amp;F3296+2)</f>
        <v>7.3000000000000004E+141</v>
      </c>
      <c r="F3296" s="18">
        <f t="shared" si="641"/>
        <v>4790</v>
      </c>
      <c r="G3296" s="18"/>
      <c r="H3296" s="18"/>
      <c r="I3296" s="19">
        <v>3294</v>
      </c>
      <c r="J3296" s="19" cm="1">
        <f t="array" aca="1" ref="J3296" ca="1">INDIRECT("b"&amp;K3296+2)</f>
        <v>7.2999999999999993E+171</v>
      </c>
      <c r="K3296" s="19">
        <f t="shared" si="637"/>
        <v>5990</v>
      </c>
    </row>
    <row r="3297" spans="1:11">
      <c r="A3297">
        <v>3295</v>
      </c>
      <c r="B3297">
        <v>3.9250000000000003E+104</v>
      </c>
      <c r="D3297" s="18">
        <v>3295</v>
      </c>
      <c r="E3297" s="18" cm="1">
        <f t="array" aca="1" ref="E3297" ca="1">INDIRECT("b"&amp;F3297+2)</f>
        <v>7.7499999999999998E+141</v>
      </c>
      <c r="F3297" s="18">
        <f t="shared" si="641"/>
        <v>4792</v>
      </c>
      <c r="G3297" s="18"/>
      <c r="H3297" s="18"/>
      <c r="I3297" s="19">
        <v>3295</v>
      </c>
      <c r="J3297" s="19" cm="1">
        <f t="array" aca="1" ref="J3297" ca="1">INDIRECT("b"&amp;K3297+2)</f>
        <v>7.7499999999999997E+171</v>
      </c>
      <c r="K3297" s="19">
        <f t="shared" si="637"/>
        <v>5992</v>
      </c>
    </row>
    <row r="3298" spans="1:11">
      <c r="A3298">
        <v>3296</v>
      </c>
      <c r="B3298">
        <v>4.1500000000000001E+104</v>
      </c>
      <c r="D3298" s="18">
        <v>3296</v>
      </c>
      <c r="E3298" s="18" cm="1">
        <f t="array" aca="1" ref="E3298" ca="1">INDIRECT("b"&amp;F3298+2)</f>
        <v>7.9750000000000008E+141</v>
      </c>
      <c r="F3298" s="18">
        <f t="shared" si="641"/>
        <v>4793</v>
      </c>
      <c r="G3298" s="18"/>
      <c r="H3298" s="18"/>
      <c r="I3298" s="19">
        <v>3296</v>
      </c>
      <c r="J3298" s="19" cm="1">
        <f t="array" aca="1" ref="J3298" ca="1">INDIRECT("b"&amp;K3298+2)</f>
        <v>7.9750000000000003E+171</v>
      </c>
      <c r="K3298" s="19">
        <f t="shared" si="637"/>
        <v>5993</v>
      </c>
    </row>
    <row r="3299" spans="1:11">
      <c r="A3299">
        <v>3297</v>
      </c>
      <c r="B3299">
        <v>4.3750000000000005E+104</v>
      </c>
      <c r="D3299" s="18">
        <v>3297</v>
      </c>
      <c r="E3299" s="18" cm="1">
        <f t="array" aca="1" ref="E3299" ca="1">INDIRECT("b"&amp;F3299+2)</f>
        <v>8.2000000000000004E+141</v>
      </c>
      <c r="F3299" s="18">
        <f t="shared" si="641"/>
        <v>4794</v>
      </c>
      <c r="G3299" s="18"/>
      <c r="H3299" s="18"/>
      <c r="I3299" s="19">
        <v>3297</v>
      </c>
      <c r="J3299" s="19" cm="1">
        <f t="array" aca="1" ref="J3299" ca="1">INDIRECT("b"&amp;K3299+2)</f>
        <v>8.1999999999999992E+171</v>
      </c>
      <c r="K3299" s="19">
        <f t="shared" si="637"/>
        <v>5994</v>
      </c>
    </row>
    <row r="3300" spans="1:11">
      <c r="A3300">
        <v>3298</v>
      </c>
      <c r="B3300">
        <v>4.6000000000000003E+104</v>
      </c>
      <c r="D3300" s="18">
        <v>3298</v>
      </c>
      <c r="E3300" s="18" cm="1">
        <f t="array" aca="1" ref="E3300" ca="1">INDIRECT("b"&amp;F3300+2)</f>
        <v>8.6499999999999998E+141</v>
      </c>
      <c r="F3300" s="18">
        <f t="shared" si="641"/>
        <v>4796</v>
      </c>
      <c r="G3300" s="18">
        <f t="shared" ref="G3300" ca="1" si="645">E3300/E3295</f>
        <v>1.2226148409893991</v>
      </c>
      <c r="H3300" s="18"/>
      <c r="I3300" s="19">
        <v>3298</v>
      </c>
      <c r="J3300" s="19" cm="1">
        <f t="array" aca="1" ref="J3300" ca="1">INDIRECT("b"&amp;K3300+2)</f>
        <v>8.6499999999999988E+171</v>
      </c>
      <c r="K3300" s="19">
        <f t="shared" si="637"/>
        <v>5996</v>
      </c>
    </row>
    <row r="3301" spans="1:11">
      <c r="A3301">
        <v>3299</v>
      </c>
      <c r="B3301">
        <v>4.8250000000000001E+104</v>
      </c>
      <c r="D3301" s="18">
        <v>3299</v>
      </c>
      <c r="E3301" s="18" cm="1">
        <f t="array" aca="1" ref="E3301" ca="1">INDIRECT("b"&amp;F3301+2)</f>
        <v>8.8750000000000008E+141</v>
      </c>
      <c r="F3301" s="18">
        <f t="shared" si="641"/>
        <v>4797</v>
      </c>
      <c r="G3301" s="18"/>
      <c r="H3301" s="18"/>
      <c r="I3301" s="19">
        <v>3299</v>
      </c>
      <c r="J3301" s="19" cm="1">
        <f t="array" aca="1" ref="J3301" ca="1">INDIRECT("b"&amp;K3301+2)</f>
        <v>8.8749999999999994E+171</v>
      </c>
      <c r="K3301" s="19">
        <f t="shared" si="637"/>
        <v>5997</v>
      </c>
    </row>
    <row r="3302" spans="1:11">
      <c r="A3302">
        <v>3300</v>
      </c>
      <c r="B3302">
        <v>5.0500000000000006E+104</v>
      </c>
      <c r="D3302" s="18">
        <v>3300</v>
      </c>
      <c r="E3302" s="18" cm="1">
        <f t="array" aca="1" ref="E3302" ca="1">INDIRECT("b"&amp;F3302+2)</f>
        <v>9.1000000000000005E+141</v>
      </c>
      <c r="F3302" s="18">
        <f t="shared" si="641"/>
        <v>4798</v>
      </c>
      <c r="G3302" s="18">
        <f t="shared" ref="G3302" ca="1" si="646">E3302/E3297</f>
        <v>1.1741935483870969</v>
      </c>
      <c r="H3302" s="18"/>
      <c r="I3302" s="19">
        <v>3300</v>
      </c>
      <c r="J3302" s="19" cm="1">
        <f t="array" aca="1" ref="J3302" ca="1">INDIRECT("b"&amp;K3302+2)</f>
        <v>9.1E+171</v>
      </c>
      <c r="K3302" s="19">
        <f t="shared" si="637"/>
        <v>5998</v>
      </c>
    </row>
    <row r="3303" spans="1:11">
      <c r="A3303">
        <v>3301</v>
      </c>
      <c r="B3303">
        <v>5.2750000000000004E+104</v>
      </c>
      <c r="D3303" s="18">
        <v>3301</v>
      </c>
      <c r="E3303" s="18" cm="1">
        <f t="array" aca="1" ref="E3303" ca="1">INDIRECT("b"&amp;F3303+2)</f>
        <v>9.5499999999999998E+141</v>
      </c>
      <c r="F3303" s="18">
        <f t="shared" si="641"/>
        <v>4800</v>
      </c>
      <c r="G3303" s="18"/>
      <c r="H3303" s="18"/>
      <c r="I3303" s="19">
        <v>3301</v>
      </c>
      <c r="J3303" s="19" cm="1">
        <f t="array" aca="1" ref="J3303" ca="1">INDIRECT("b"&amp;K3303+2)</f>
        <v>9.5499999999999996E+171</v>
      </c>
      <c r="K3303" s="19">
        <f t="shared" si="637"/>
        <v>6000</v>
      </c>
    </row>
    <row r="3304" spans="1:11">
      <c r="A3304">
        <v>3302</v>
      </c>
      <c r="B3304">
        <v>5.5000000000000002E+104</v>
      </c>
      <c r="D3304" s="18">
        <v>3302</v>
      </c>
      <c r="E3304" s="18" cm="1">
        <f t="array" aca="1" ref="E3304" ca="1">INDIRECT("b"&amp;F3304+2)</f>
        <v>9.7750000000000008E+141</v>
      </c>
      <c r="F3304" s="18">
        <f t="shared" si="641"/>
        <v>4801</v>
      </c>
      <c r="G3304" s="18"/>
      <c r="H3304" s="18"/>
      <c r="I3304" s="19">
        <v>3302</v>
      </c>
      <c r="J3304" s="19" cm="1">
        <f t="array" aca="1" ref="J3304" ca="1">INDIRECT("b"&amp;K3304+2)</f>
        <v>9.7750000000000002E+171</v>
      </c>
      <c r="K3304" s="19">
        <f t="shared" si="637"/>
        <v>6001</v>
      </c>
    </row>
    <row r="3305" spans="1:11">
      <c r="A3305">
        <v>3303</v>
      </c>
      <c r="B3305">
        <v>5.725E+104</v>
      </c>
      <c r="D3305" s="18">
        <v>3303</v>
      </c>
      <c r="E3305" s="18" cm="1">
        <f t="array" aca="1" ref="E3305" ca="1">INDIRECT("b"&amp;F3305+2)</f>
        <v>9.9999999999999992E+141</v>
      </c>
      <c r="F3305" s="18">
        <f t="shared" si="641"/>
        <v>4802</v>
      </c>
      <c r="G3305" s="18"/>
      <c r="H3305" s="18"/>
      <c r="I3305" s="19">
        <v>3303</v>
      </c>
      <c r="J3305" s="19" cm="1">
        <f t="array" aca="1" ref="J3305" ca="1">INDIRECT("b"&amp;K3305+2)</f>
        <v>1.0000000000000001E+172</v>
      </c>
      <c r="K3305" s="19">
        <f t="shared" si="637"/>
        <v>6002</v>
      </c>
    </row>
    <row r="3306" spans="1:11">
      <c r="A3306">
        <v>3304</v>
      </c>
      <c r="B3306">
        <v>5.9500000000000004E+104</v>
      </c>
      <c r="D3306" s="18">
        <v>3304</v>
      </c>
      <c r="E3306" s="18" cm="1">
        <f t="array" aca="1" ref="E3306" ca="1">INDIRECT("b"&amp;F3306+2)</f>
        <v>1.4499999999999998E+142</v>
      </c>
      <c r="F3306" s="18">
        <f t="shared" si="641"/>
        <v>4804</v>
      </c>
      <c r="G3306" s="18"/>
      <c r="H3306" s="18"/>
      <c r="I3306" s="19">
        <v>3304</v>
      </c>
      <c r="J3306" s="19" cm="1">
        <f t="array" aca="1" ref="J3306" ca="1">INDIRECT("b"&amp;K3306+2)</f>
        <v>1.45E+172</v>
      </c>
      <c r="K3306" s="19">
        <f t="shared" si="637"/>
        <v>6004</v>
      </c>
    </row>
    <row r="3307" spans="1:11">
      <c r="A3307">
        <v>3305</v>
      </c>
      <c r="B3307">
        <v>6.1750000000000002E+104</v>
      </c>
      <c r="D3307" s="18">
        <v>3305</v>
      </c>
      <c r="E3307" s="18" cm="1">
        <f t="array" aca="1" ref="E3307" ca="1">INDIRECT("b"&amp;F3307+2)</f>
        <v>1.6749999999999997E+142</v>
      </c>
      <c r="F3307" s="18">
        <f t="shared" si="641"/>
        <v>4805</v>
      </c>
      <c r="G3307" s="18">
        <f t="shared" ref="G3307" ca="1" si="647">E3307/E3302</f>
        <v>1.8406593406593403</v>
      </c>
      <c r="H3307" s="18"/>
      <c r="I3307" s="19">
        <v>3305</v>
      </c>
      <c r="J3307" s="19" cm="1">
        <f t="array" aca="1" ref="J3307" ca="1">INDIRECT("b"&amp;K3307+2)</f>
        <v>1.6749999999999999E+172</v>
      </c>
      <c r="K3307" s="19">
        <f t="shared" si="637"/>
        <v>6005</v>
      </c>
    </row>
    <row r="3308" spans="1:11">
      <c r="A3308">
        <v>3306</v>
      </c>
      <c r="B3308">
        <v>6.4E+104</v>
      </c>
      <c r="D3308" s="18">
        <v>3306</v>
      </c>
      <c r="E3308" s="18" cm="1">
        <f t="array" aca="1" ref="E3308" ca="1">INDIRECT("b"&amp;F3308+2)</f>
        <v>1.8999999999999999E+142</v>
      </c>
      <c r="F3308" s="18">
        <f t="shared" si="641"/>
        <v>4806</v>
      </c>
      <c r="G3308" s="18"/>
      <c r="H3308" s="18"/>
      <c r="I3308" s="19">
        <v>3306</v>
      </c>
      <c r="J3308" s="19" cm="1">
        <f t="array" aca="1" ref="J3308" ca="1">INDIRECT("b"&amp;K3308+2)</f>
        <v>1.8999999999999998E+172</v>
      </c>
      <c r="K3308" s="19">
        <f t="shared" si="637"/>
        <v>6006</v>
      </c>
    </row>
    <row r="3309" spans="1:11">
      <c r="A3309">
        <v>3307</v>
      </c>
      <c r="B3309">
        <v>6.6249999999999998E+104</v>
      </c>
      <c r="D3309" s="18">
        <v>3307</v>
      </c>
      <c r="E3309" s="18" cm="1">
        <f t="array" aca="1" ref="E3309" ca="1">INDIRECT("b"&amp;F3309+2)</f>
        <v>2.3499999999999998E+142</v>
      </c>
      <c r="F3309" s="18">
        <f t="shared" si="641"/>
        <v>4808</v>
      </c>
      <c r="G3309" s="18"/>
      <c r="H3309" s="18"/>
      <c r="I3309" s="19">
        <v>3307</v>
      </c>
      <c r="J3309" s="19" cm="1">
        <f t="array" aca="1" ref="J3309" ca="1">INDIRECT("b"&amp;K3309+2)</f>
        <v>2.3500000000000001E+172</v>
      </c>
      <c r="K3309" s="19">
        <f t="shared" si="637"/>
        <v>6008</v>
      </c>
    </row>
    <row r="3310" spans="1:11">
      <c r="A3310">
        <v>3308</v>
      </c>
      <c r="B3310">
        <v>6.8500000000000009E+104</v>
      </c>
      <c r="D3310" s="18">
        <v>3308</v>
      </c>
      <c r="E3310" s="18" cm="1">
        <f t="array" aca="1" ref="E3310" ca="1">INDIRECT("b"&amp;F3310+2)</f>
        <v>2.575E+142</v>
      </c>
      <c r="F3310" s="18">
        <f t="shared" si="641"/>
        <v>4809</v>
      </c>
      <c r="G3310" s="18"/>
      <c r="H3310" s="18"/>
      <c r="I3310" s="19">
        <v>3308</v>
      </c>
      <c r="J3310" s="19" cm="1">
        <f t="array" aca="1" ref="J3310" ca="1">INDIRECT("b"&amp;K3310+2)</f>
        <v>2.575E+172</v>
      </c>
      <c r="K3310" s="19">
        <f t="shared" si="637"/>
        <v>6009</v>
      </c>
    </row>
    <row r="3311" spans="1:11">
      <c r="A3311">
        <v>3309</v>
      </c>
      <c r="B3311">
        <v>7.0750000000000007E+104</v>
      </c>
      <c r="D3311" s="18">
        <v>3309</v>
      </c>
      <c r="E3311" s="18" cm="1">
        <f t="array" aca="1" ref="E3311" ca="1">INDIRECT("b"&amp;F3311+2)</f>
        <v>2.8E+142</v>
      </c>
      <c r="F3311" s="18">
        <f t="shared" si="641"/>
        <v>4810</v>
      </c>
      <c r="G3311" s="18"/>
      <c r="H3311" s="18"/>
      <c r="I3311" s="19">
        <v>3309</v>
      </c>
      <c r="J3311" s="19" cm="1">
        <f t="array" aca="1" ref="J3311" ca="1">INDIRECT("b"&amp;K3311+2)</f>
        <v>2.8E+172</v>
      </c>
      <c r="K3311" s="19">
        <f t="shared" si="637"/>
        <v>6010</v>
      </c>
    </row>
    <row r="3312" spans="1:11">
      <c r="A3312">
        <v>3310</v>
      </c>
      <c r="B3312">
        <v>7.3000000000000005E+104</v>
      </c>
      <c r="D3312" s="18">
        <v>3310</v>
      </c>
      <c r="E3312" s="18" cm="1">
        <f t="array" aca="1" ref="E3312" ca="1">INDIRECT("b"&amp;F3312+2)</f>
        <v>3.2499999999999999E+142</v>
      </c>
      <c r="F3312" s="18">
        <f t="shared" si="641"/>
        <v>4812</v>
      </c>
      <c r="G3312" s="18">
        <f t="shared" ref="G3312" ca="1" si="648">E3312/E3307</f>
        <v>1.9402985074626868</v>
      </c>
      <c r="H3312" s="18"/>
      <c r="I3312" s="19">
        <v>3310</v>
      </c>
      <c r="J3312" s="19" cm="1">
        <f t="array" aca="1" ref="J3312" ca="1">INDIRECT("b"&amp;K3312+2)</f>
        <v>3.2499999999999998E+172</v>
      </c>
      <c r="K3312" s="19">
        <f t="shared" si="637"/>
        <v>6012</v>
      </c>
    </row>
    <row r="3313" spans="1:11">
      <c r="A3313">
        <v>3311</v>
      </c>
      <c r="B3313">
        <v>7.5250000000000003E+104</v>
      </c>
      <c r="D3313" s="18">
        <v>3311</v>
      </c>
      <c r="E3313" s="18" cm="1">
        <f t="array" aca="1" ref="E3313" ca="1">INDIRECT("b"&amp;F3313+2)</f>
        <v>3.4749999999999998E+142</v>
      </c>
      <c r="F3313" s="18">
        <f t="shared" si="641"/>
        <v>4813</v>
      </c>
      <c r="G3313" s="18"/>
      <c r="H3313" s="18"/>
      <c r="I3313" s="19">
        <v>3311</v>
      </c>
      <c r="J3313" s="19" cm="1">
        <f t="array" aca="1" ref="J3313" ca="1">INDIRECT("b"&amp;K3313+2)</f>
        <v>3.4750000000000001E+172</v>
      </c>
      <c r="K3313" s="19">
        <f t="shared" si="637"/>
        <v>6013</v>
      </c>
    </row>
    <row r="3314" spans="1:11">
      <c r="A3314">
        <v>3312</v>
      </c>
      <c r="B3314">
        <v>7.7500000000000001E+104</v>
      </c>
      <c r="D3314" s="18">
        <v>3312</v>
      </c>
      <c r="E3314" s="18" cm="1">
        <f t="array" aca="1" ref="E3314" ca="1">INDIRECT("b"&amp;F3314+2)</f>
        <v>3.6999999999999997E+142</v>
      </c>
      <c r="F3314" s="18">
        <f t="shared" si="641"/>
        <v>4814</v>
      </c>
      <c r="G3314" s="18"/>
      <c r="H3314" s="18"/>
      <c r="I3314" s="19">
        <v>3312</v>
      </c>
      <c r="J3314" s="19" cm="1">
        <f t="array" aca="1" ref="J3314" ca="1">INDIRECT("b"&amp;K3314+2)</f>
        <v>3.6999999999999997E+172</v>
      </c>
      <c r="K3314" s="19">
        <f t="shared" si="637"/>
        <v>6014</v>
      </c>
    </row>
    <row r="3315" spans="1:11">
      <c r="A3315">
        <v>3313</v>
      </c>
      <c r="B3315">
        <v>7.9749999999999999E+104</v>
      </c>
      <c r="D3315" s="18">
        <v>3313</v>
      </c>
      <c r="E3315" s="18" cm="1">
        <f t="array" aca="1" ref="E3315" ca="1">INDIRECT("b"&amp;F3315+2)</f>
        <v>4.1499999999999996E+142</v>
      </c>
      <c r="F3315" s="18">
        <f t="shared" si="641"/>
        <v>4816</v>
      </c>
      <c r="G3315" s="18"/>
      <c r="H3315" s="18"/>
      <c r="I3315" s="19">
        <v>3313</v>
      </c>
      <c r="J3315" s="19" cm="1">
        <f t="array" aca="1" ref="J3315" ca="1">INDIRECT("b"&amp;K3315+2)</f>
        <v>4.1500000000000003E+172</v>
      </c>
      <c r="K3315" s="19">
        <f t="shared" si="637"/>
        <v>6016</v>
      </c>
    </row>
    <row r="3316" spans="1:11">
      <c r="A3316">
        <v>3314</v>
      </c>
      <c r="B3316">
        <v>8.200000000000001E+104</v>
      </c>
      <c r="D3316" s="18">
        <v>3314</v>
      </c>
      <c r="E3316" s="18" cm="1">
        <f t="array" aca="1" ref="E3316" ca="1">INDIRECT("b"&amp;F3316+2)</f>
        <v>4.3749999999999996E+142</v>
      </c>
      <c r="F3316" s="18">
        <f t="shared" si="641"/>
        <v>4817</v>
      </c>
      <c r="G3316" s="18"/>
      <c r="H3316" s="18"/>
      <c r="I3316" s="19">
        <v>3314</v>
      </c>
      <c r="J3316" s="19" cm="1">
        <f t="array" aca="1" ref="J3316" ca="1">INDIRECT("b"&amp;K3316+2)</f>
        <v>4.3749999999999999E+172</v>
      </c>
      <c r="K3316" s="19">
        <f t="shared" si="637"/>
        <v>6017</v>
      </c>
    </row>
    <row r="3317" spans="1:11">
      <c r="A3317">
        <v>3315</v>
      </c>
      <c r="B3317">
        <v>8.4250000000000008E+104</v>
      </c>
      <c r="D3317" s="18">
        <v>3315</v>
      </c>
      <c r="E3317" s="18" cm="1">
        <f t="array" aca="1" ref="E3317" ca="1">INDIRECT("b"&amp;F3317+2)</f>
        <v>4.5999999999999995E+142</v>
      </c>
      <c r="F3317" s="18">
        <f t="shared" si="641"/>
        <v>4818</v>
      </c>
      <c r="G3317" s="18">
        <f t="shared" ref="G3317" ca="1" si="649">E3317/E3312</f>
        <v>1.4153846153846152</v>
      </c>
      <c r="H3317" s="18"/>
      <c r="I3317" s="19">
        <v>3315</v>
      </c>
      <c r="J3317" s="19" cm="1">
        <f t="array" aca="1" ref="J3317" ca="1">INDIRECT("b"&amp;K3317+2)</f>
        <v>4.6000000000000002E+172</v>
      </c>
      <c r="K3317" s="19">
        <f t="shared" si="637"/>
        <v>6018</v>
      </c>
    </row>
    <row r="3318" spans="1:11">
      <c r="A3318">
        <v>3316</v>
      </c>
      <c r="B3318">
        <v>8.6500000000000006E+104</v>
      </c>
      <c r="D3318" s="18">
        <v>3316</v>
      </c>
      <c r="E3318" s="18" cm="1">
        <f t="array" aca="1" ref="E3318" ca="1">INDIRECT("b"&amp;F3318+2)</f>
        <v>5.0499999999999994E+142</v>
      </c>
      <c r="F3318" s="18">
        <f t="shared" si="641"/>
        <v>4820</v>
      </c>
      <c r="G3318" s="18"/>
      <c r="H3318" s="18"/>
      <c r="I3318" s="19">
        <v>3316</v>
      </c>
      <c r="J3318" s="19" cm="1">
        <f t="array" aca="1" ref="J3318" ca="1">INDIRECT("b"&amp;K3318+2)</f>
        <v>5.0500000000000001E+172</v>
      </c>
      <c r="K3318" s="19">
        <f t="shared" si="637"/>
        <v>6020</v>
      </c>
    </row>
    <row r="3319" spans="1:11">
      <c r="A3319">
        <v>3317</v>
      </c>
      <c r="B3319">
        <v>8.8750000000000004E+104</v>
      </c>
      <c r="D3319" s="18">
        <v>3317</v>
      </c>
      <c r="E3319" s="18" cm="1">
        <f t="array" aca="1" ref="E3319" ca="1">INDIRECT("b"&amp;F3319+2)</f>
        <v>5.2749999999999993E+142</v>
      </c>
      <c r="F3319" s="18">
        <f t="shared" si="641"/>
        <v>4821</v>
      </c>
      <c r="G3319" s="18"/>
      <c r="H3319" s="18"/>
      <c r="I3319" s="19">
        <v>3317</v>
      </c>
      <c r="J3319" s="19" cm="1">
        <f t="array" aca="1" ref="J3319" ca="1">INDIRECT("b"&amp;K3319+2)</f>
        <v>5.2750000000000003E+172</v>
      </c>
      <c r="K3319" s="19">
        <f t="shared" si="637"/>
        <v>6021</v>
      </c>
    </row>
    <row r="3320" spans="1:11">
      <c r="A3320">
        <v>3318</v>
      </c>
      <c r="B3320">
        <v>9.1000000000000002E+104</v>
      </c>
      <c r="D3320" s="18">
        <v>3318</v>
      </c>
      <c r="E3320" s="18" cm="1">
        <f t="array" aca="1" ref="E3320" ca="1">INDIRECT("b"&amp;F3320+2)</f>
        <v>5.4999999999999993E+142</v>
      </c>
      <c r="F3320" s="18">
        <f t="shared" si="641"/>
        <v>4822</v>
      </c>
      <c r="G3320" s="18"/>
      <c r="H3320" s="18"/>
      <c r="I3320" s="19">
        <v>3318</v>
      </c>
      <c r="J3320" s="19" cm="1">
        <f t="array" aca="1" ref="J3320" ca="1">INDIRECT("b"&amp;K3320+2)</f>
        <v>5.4999999999999999E+172</v>
      </c>
      <c r="K3320" s="19">
        <f t="shared" si="637"/>
        <v>6022</v>
      </c>
    </row>
    <row r="3321" spans="1:11">
      <c r="A3321">
        <v>3319</v>
      </c>
      <c r="B3321">
        <v>9.325E+104</v>
      </c>
      <c r="D3321" s="18">
        <v>3319</v>
      </c>
      <c r="E3321" s="18" cm="1">
        <f t="array" aca="1" ref="E3321" ca="1">INDIRECT("b"&amp;F3321+2)</f>
        <v>5.9499999999999991E+142</v>
      </c>
      <c r="F3321" s="18">
        <f t="shared" si="641"/>
        <v>4824</v>
      </c>
      <c r="G3321" s="18"/>
      <c r="H3321" s="18"/>
      <c r="I3321" s="19">
        <v>3319</v>
      </c>
      <c r="J3321" s="19" cm="1">
        <f t="array" aca="1" ref="J3321" ca="1">INDIRECT("b"&amp;K3321+2)</f>
        <v>0</v>
      </c>
      <c r="K3321" s="19">
        <f t="shared" si="637"/>
        <v>6024</v>
      </c>
    </row>
    <row r="3322" spans="1:11">
      <c r="A3322">
        <v>3320</v>
      </c>
      <c r="B3322">
        <v>9.5500000000000011E+104</v>
      </c>
      <c r="D3322" s="18">
        <v>3320</v>
      </c>
      <c r="E3322" s="18" cm="1">
        <f t="array" aca="1" ref="E3322" ca="1">INDIRECT("b"&amp;F3322+2)</f>
        <v>6.1749999999999991E+142</v>
      </c>
      <c r="F3322" s="18">
        <f t="shared" si="641"/>
        <v>4825</v>
      </c>
      <c r="G3322" s="18">
        <f t="shared" ref="G3322" ca="1" si="650">E3322/E3317</f>
        <v>1.3423913043478259</v>
      </c>
      <c r="H3322" s="18"/>
      <c r="I3322" s="19">
        <v>3320</v>
      </c>
      <c r="J3322" s="19" cm="1">
        <f t="array" aca="1" ref="J3322" ca="1">INDIRECT("b"&amp;K3322+2)</f>
        <v>0</v>
      </c>
      <c r="K3322" s="19">
        <f t="shared" si="637"/>
        <v>6025</v>
      </c>
    </row>
    <row r="3323" spans="1:11">
      <c r="A3323">
        <v>3321</v>
      </c>
      <c r="B3323">
        <v>9.7750000000000009E+104</v>
      </c>
      <c r="D3323" s="18">
        <v>3321</v>
      </c>
      <c r="E3323" s="18" cm="1">
        <f t="array" aca="1" ref="E3323" ca="1">INDIRECT("b"&amp;F3323+2)</f>
        <v>6.399999999999999E+142</v>
      </c>
      <c r="F3323" s="18">
        <f t="shared" si="641"/>
        <v>4826</v>
      </c>
      <c r="G3323" s="18"/>
      <c r="H3323" s="18"/>
      <c r="I3323" s="19">
        <v>3321</v>
      </c>
      <c r="J3323" s="19" cm="1">
        <f t="array" aca="1" ref="J3323" ca="1">INDIRECT("b"&amp;K3323+2)</f>
        <v>0</v>
      </c>
      <c r="K3323" s="19">
        <f t="shared" si="637"/>
        <v>6026</v>
      </c>
    </row>
    <row r="3324" spans="1:11">
      <c r="A3324">
        <v>3322</v>
      </c>
      <c r="B3324">
        <v>1.0000000000000001E+105</v>
      </c>
      <c r="D3324" s="18">
        <v>3322</v>
      </c>
      <c r="E3324" s="18" cm="1">
        <f t="array" aca="1" ref="E3324" ca="1">INDIRECT("b"&amp;F3324+2)</f>
        <v>6.85E+142</v>
      </c>
      <c r="F3324" s="18">
        <f t="shared" si="641"/>
        <v>4828</v>
      </c>
      <c r="G3324" s="18"/>
      <c r="H3324" s="18"/>
      <c r="I3324" s="19">
        <v>3322</v>
      </c>
      <c r="J3324" s="19" cm="1">
        <f t="array" aca="1" ref="J3324" ca="1">INDIRECT("b"&amp;K3324+2)</f>
        <v>0</v>
      </c>
      <c r="K3324" s="19">
        <f t="shared" si="637"/>
        <v>6028</v>
      </c>
    </row>
    <row r="3325" spans="1:11">
      <c r="A3325">
        <v>3323</v>
      </c>
      <c r="B3325">
        <v>1.225E+105</v>
      </c>
      <c r="D3325" s="18">
        <v>3323</v>
      </c>
      <c r="E3325" s="18" cm="1">
        <f t="array" aca="1" ref="E3325" ca="1">INDIRECT("b"&amp;F3325+2)</f>
        <v>7.0749999999999999E+142</v>
      </c>
      <c r="F3325" s="18">
        <f t="shared" si="641"/>
        <v>4829</v>
      </c>
      <c r="G3325" s="18"/>
      <c r="H3325" s="18"/>
      <c r="I3325" s="19">
        <v>3323</v>
      </c>
      <c r="J3325" s="19" cm="1">
        <f t="array" aca="1" ref="J3325" ca="1">INDIRECT("b"&amp;K3325+2)</f>
        <v>0</v>
      </c>
      <c r="K3325" s="19">
        <f t="shared" si="637"/>
        <v>6029</v>
      </c>
    </row>
    <row r="3326" spans="1:11">
      <c r="A3326">
        <v>3324</v>
      </c>
      <c r="B3326">
        <v>1.4500000000000001E+105</v>
      </c>
      <c r="D3326" s="18">
        <v>3324</v>
      </c>
      <c r="E3326" s="18" cm="1">
        <f t="array" aca="1" ref="E3326" ca="1">INDIRECT("b"&amp;F3326+2)</f>
        <v>7.2999999999999999E+142</v>
      </c>
      <c r="F3326" s="18">
        <f t="shared" si="641"/>
        <v>4830</v>
      </c>
      <c r="G3326" s="18"/>
      <c r="H3326" s="18"/>
      <c r="I3326" s="19">
        <v>3324</v>
      </c>
      <c r="J3326" s="19" cm="1">
        <f t="array" aca="1" ref="J3326" ca="1">INDIRECT("b"&amp;K3326+2)</f>
        <v>0</v>
      </c>
      <c r="K3326" s="19">
        <f t="shared" si="637"/>
        <v>6030</v>
      </c>
    </row>
    <row r="3327" spans="1:11">
      <c r="A3327">
        <v>3325</v>
      </c>
      <c r="B3327">
        <v>1.6750000000000001E+105</v>
      </c>
      <c r="D3327" s="18">
        <v>3325</v>
      </c>
      <c r="E3327" s="18" cm="1">
        <f t="array" aca="1" ref="E3327" ca="1">INDIRECT("b"&amp;F3327+2)</f>
        <v>7.7499999999999998E+142</v>
      </c>
      <c r="F3327" s="18">
        <f t="shared" si="641"/>
        <v>4832</v>
      </c>
      <c r="G3327" s="18">
        <f t="shared" ref="G3327" ca="1" si="651">E3327/E3322</f>
        <v>1.2550607287449393</v>
      </c>
      <c r="H3327" s="18"/>
      <c r="I3327" s="19">
        <v>3325</v>
      </c>
      <c r="J3327" s="19" cm="1">
        <f t="array" aca="1" ref="J3327" ca="1">INDIRECT("b"&amp;K3327+2)</f>
        <v>0</v>
      </c>
      <c r="K3327" s="19">
        <f t="shared" si="637"/>
        <v>6032</v>
      </c>
    </row>
    <row r="3328" spans="1:11">
      <c r="A3328">
        <v>3326</v>
      </c>
      <c r="B3328">
        <v>1.9000000000000002E+105</v>
      </c>
      <c r="D3328" s="18">
        <v>3326</v>
      </c>
      <c r="E3328" s="18" cm="1">
        <f t="array" aca="1" ref="E3328" ca="1">INDIRECT("b"&amp;F3328+2)</f>
        <v>7.9749999999999997E+142</v>
      </c>
      <c r="F3328" s="18">
        <f t="shared" si="641"/>
        <v>4833</v>
      </c>
      <c r="G3328" s="18"/>
      <c r="H3328" s="18"/>
      <c r="I3328" s="19">
        <v>3326</v>
      </c>
      <c r="J3328" s="19" cm="1">
        <f t="array" aca="1" ref="J3328" ca="1">INDIRECT("b"&amp;K3328+2)</f>
        <v>0</v>
      </c>
      <c r="K3328" s="19">
        <f t="shared" si="637"/>
        <v>6033</v>
      </c>
    </row>
    <row r="3329" spans="1:11">
      <c r="A3329">
        <v>3327</v>
      </c>
      <c r="B3329">
        <v>2.1250000000000002E+105</v>
      </c>
      <c r="D3329" s="18">
        <v>3327</v>
      </c>
      <c r="E3329" s="18" cm="1">
        <f t="array" aca="1" ref="E3329" ca="1">INDIRECT("b"&amp;F3329+2)</f>
        <v>8.1999999999999996E+142</v>
      </c>
      <c r="F3329" s="18">
        <f t="shared" si="641"/>
        <v>4834</v>
      </c>
      <c r="G3329" s="18"/>
      <c r="H3329" s="18"/>
      <c r="I3329" s="19">
        <v>3327</v>
      </c>
      <c r="J3329" s="19" cm="1">
        <f t="array" aca="1" ref="J3329" ca="1">INDIRECT("b"&amp;K3329+2)</f>
        <v>0</v>
      </c>
      <c r="K3329" s="19">
        <f t="shared" si="637"/>
        <v>6034</v>
      </c>
    </row>
    <row r="3330" spans="1:11">
      <c r="A3330">
        <v>3328</v>
      </c>
      <c r="B3330">
        <v>2.35E+105</v>
      </c>
      <c r="D3330" s="18">
        <v>3328</v>
      </c>
      <c r="E3330" s="18" cm="1">
        <f t="array" aca="1" ref="E3330" ca="1">INDIRECT("b"&amp;F3330+2)</f>
        <v>8.6499999999999995E+142</v>
      </c>
      <c r="F3330" s="18">
        <f t="shared" si="641"/>
        <v>4836</v>
      </c>
      <c r="G3330" s="18"/>
      <c r="H3330" s="18"/>
      <c r="I3330" s="19">
        <v>3328</v>
      </c>
      <c r="J3330" s="19" cm="1">
        <f t="array" aca="1" ref="J3330" ca="1">INDIRECT("b"&amp;K3330+2)</f>
        <v>0</v>
      </c>
      <c r="K3330" s="19">
        <f t="shared" si="637"/>
        <v>6036</v>
      </c>
    </row>
    <row r="3331" spans="1:11">
      <c r="A3331">
        <v>3329</v>
      </c>
      <c r="B3331">
        <v>2.5750000000000003E+105</v>
      </c>
      <c r="D3331" s="18">
        <v>3329</v>
      </c>
      <c r="E3331" s="18" cm="1">
        <f t="array" aca="1" ref="E3331" ca="1">INDIRECT("b"&amp;F3331+2)</f>
        <v>8.8749999999999995E+142</v>
      </c>
      <c r="F3331" s="18">
        <f t="shared" si="641"/>
        <v>4837</v>
      </c>
      <c r="G3331" s="18"/>
      <c r="H3331" s="18"/>
      <c r="I3331" s="19">
        <v>3329</v>
      </c>
      <c r="J3331" s="19" cm="1">
        <f t="array" aca="1" ref="J3331" ca="1">INDIRECT("b"&amp;K3331+2)</f>
        <v>0</v>
      </c>
      <c r="K3331" s="19">
        <f t="shared" si="637"/>
        <v>6037</v>
      </c>
    </row>
    <row r="3332" spans="1:11">
      <c r="A3332">
        <v>3330</v>
      </c>
      <c r="B3332">
        <v>2.8000000000000001E+105</v>
      </c>
      <c r="D3332" s="18">
        <v>3330</v>
      </c>
      <c r="E3332" s="18" cm="1">
        <f t="array" aca="1" ref="E3332" ca="1">INDIRECT("b"&amp;F3332+2)</f>
        <v>9.0999999999999994E+142</v>
      </c>
      <c r="F3332" s="18">
        <f t="shared" si="641"/>
        <v>4838</v>
      </c>
      <c r="G3332" s="18">
        <f t="shared" ref="G3332" ca="1" si="652">E3332/E3327</f>
        <v>1.1741935483870967</v>
      </c>
      <c r="H3332" s="18"/>
      <c r="I3332" s="19">
        <v>3330</v>
      </c>
      <c r="J3332" s="19" cm="1">
        <f t="array" aca="1" ref="J3332" ca="1">INDIRECT("b"&amp;K3332+2)</f>
        <v>0</v>
      </c>
      <c r="K3332" s="19">
        <f t="shared" ref="K3332:K3395" si="653">INT((A3332-1)*40/30+900*40/30)+400</f>
        <v>6038</v>
      </c>
    </row>
    <row r="3333" spans="1:11">
      <c r="A3333">
        <v>3331</v>
      </c>
      <c r="B3333">
        <v>3.0250000000000004E+105</v>
      </c>
      <c r="D3333" s="18">
        <v>3331</v>
      </c>
      <c r="E3333" s="18" cm="1">
        <f t="array" aca="1" ref="E3333" ca="1">INDIRECT("b"&amp;F3333+2)</f>
        <v>9.5499999999999993E+142</v>
      </c>
      <c r="F3333" s="18">
        <f t="shared" si="641"/>
        <v>4840</v>
      </c>
      <c r="G3333" s="18"/>
      <c r="H3333" s="18"/>
      <c r="I3333" s="19">
        <v>3331</v>
      </c>
      <c r="J3333" s="19" cm="1">
        <f t="array" aca="1" ref="J3333" ca="1">INDIRECT("b"&amp;K3333+2)</f>
        <v>0</v>
      </c>
      <c r="K3333" s="19">
        <f t="shared" si="653"/>
        <v>6040</v>
      </c>
    </row>
    <row r="3334" spans="1:11">
      <c r="A3334">
        <v>3332</v>
      </c>
      <c r="B3334">
        <v>3.2500000000000002E+105</v>
      </c>
      <c r="D3334" s="18">
        <v>3332</v>
      </c>
      <c r="E3334" s="18" cm="1">
        <f t="array" aca="1" ref="E3334" ca="1">INDIRECT("b"&amp;F3334+2)</f>
        <v>9.7749999999999992E+142</v>
      </c>
      <c r="F3334" s="18">
        <f t="shared" si="641"/>
        <v>4841</v>
      </c>
      <c r="G3334" s="18"/>
      <c r="H3334" s="18"/>
      <c r="I3334" s="19">
        <v>3332</v>
      </c>
      <c r="J3334" s="19" cm="1">
        <f t="array" aca="1" ref="J3334" ca="1">INDIRECT("b"&amp;K3334+2)</f>
        <v>0</v>
      </c>
      <c r="K3334" s="19">
        <f t="shared" si="653"/>
        <v>6041</v>
      </c>
    </row>
    <row r="3335" spans="1:11">
      <c r="A3335">
        <v>3333</v>
      </c>
      <c r="B3335">
        <v>3.475E+105</v>
      </c>
      <c r="D3335" s="18">
        <v>3333</v>
      </c>
      <c r="E3335" s="18" cm="1">
        <f t="array" aca="1" ref="E3335" ca="1">INDIRECT("b"&amp;F3335+2)</f>
        <v>1E+143</v>
      </c>
      <c r="F3335" s="18">
        <f t="shared" si="641"/>
        <v>4842</v>
      </c>
      <c r="G3335" s="18"/>
      <c r="H3335" s="18"/>
      <c r="I3335" s="19">
        <v>3333</v>
      </c>
      <c r="J3335" s="19" cm="1">
        <f t="array" aca="1" ref="J3335" ca="1">INDIRECT("b"&amp;K3335+2)</f>
        <v>0</v>
      </c>
      <c r="K3335" s="19">
        <f t="shared" si="653"/>
        <v>6042</v>
      </c>
    </row>
    <row r="3336" spans="1:11">
      <c r="A3336">
        <v>3334</v>
      </c>
      <c r="B3336">
        <v>3.7000000000000004E+105</v>
      </c>
      <c r="D3336" s="18">
        <v>3334</v>
      </c>
      <c r="E3336" s="18" cm="1">
        <f t="array" aca="1" ref="E3336" ca="1">INDIRECT("b"&amp;F3336+2)</f>
        <v>1.4499999999999999E+143</v>
      </c>
      <c r="F3336" s="18">
        <f t="shared" si="641"/>
        <v>4844</v>
      </c>
      <c r="G3336" s="18"/>
      <c r="H3336" s="18"/>
      <c r="I3336" s="19">
        <v>3334</v>
      </c>
      <c r="J3336" s="19" cm="1">
        <f t="array" aca="1" ref="J3336" ca="1">INDIRECT("b"&amp;K3336+2)</f>
        <v>0</v>
      </c>
      <c r="K3336" s="19">
        <f t="shared" si="653"/>
        <v>6044</v>
      </c>
    </row>
    <row r="3337" spans="1:11">
      <c r="A3337">
        <v>3335</v>
      </c>
      <c r="B3337">
        <v>3.9250000000000002E+105</v>
      </c>
      <c r="D3337" s="18">
        <v>3335</v>
      </c>
      <c r="E3337" s="18" cm="1">
        <f t="array" aca="1" ref="E3337" ca="1">INDIRECT("b"&amp;F3337+2)</f>
        <v>1.6749999999999998E+143</v>
      </c>
      <c r="F3337" s="18">
        <f t="shared" si="641"/>
        <v>4845</v>
      </c>
      <c r="G3337" s="18">
        <f t="shared" ref="G3337" ca="1" si="654">E3337/E3332</f>
        <v>1.8406593406593406</v>
      </c>
      <c r="H3337" s="18"/>
      <c r="I3337" s="19">
        <v>3335</v>
      </c>
      <c r="J3337" s="19" cm="1">
        <f t="array" aca="1" ref="J3337" ca="1">INDIRECT("b"&amp;K3337+2)</f>
        <v>0</v>
      </c>
      <c r="K3337" s="19">
        <f t="shared" si="653"/>
        <v>6045</v>
      </c>
    </row>
    <row r="3338" spans="1:11">
      <c r="A3338">
        <v>3336</v>
      </c>
      <c r="B3338">
        <v>4.1500000000000005E+105</v>
      </c>
      <c r="D3338" s="18">
        <v>3336</v>
      </c>
      <c r="E3338" s="18" cm="1">
        <f t="array" aca="1" ref="E3338" ca="1">INDIRECT("b"&amp;F3338+2)</f>
        <v>1.9E+143</v>
      </c>
      <c r="F3338" s="18">
        <f t="shared" si="641"/>
        <v>4846</v>
      </c>
      <c r="G3338" s="18"/>
      <c r="H3338" s="18"/>
      <c r="I3338" s="19">
        <v>3336</v>
      </c>
      <c r="J3338" s="19" cm="1">
        <f t="array" aca="1" ref="J3338" ca="1">INDIRECT("b"&amp;K3338+2)</f>
        <v>0</v>
      </c>
      <c r="K3338" s="19">
        <f t="shared" si="653"/>
        <v>6046</v>
      </c>
    </row>
    <row r="3339" spans="1:11">
      <c r="A3339">
        <v>3337</v>
      </c>
      <c r="B3339">
        <v>4.3750000000000003E+105</v>
      </c>
      <c r="D3339" s="18">
        <v>3337</v>
      </c>
      <c r="E3339" s="18" cm="1">
        <f t="array" aca="1" ref="E3339" ca="1">INDIRECT("b"&amp;F3339+2)</f>
        <v>2.3500000000000001E+143</v>
      </c>
      <c r="F3339" s="18">
        <f t="shared" si="641"/>
        <v>4848</v>
      </c>
      <c r="G3339" s="18"/>
      <c r="H3339" s="18"/>
      <c r="I3339" s="19">
        <v>3337</v>
      </c>
      <c r="J3339" s="19" cm="1">
        <f t="array" aca="1" ref="J3339" ca="1">INDIRECT("b"&amp;K3339+2)</f>
        <v>0</v>
      </c>
      <c r="K3339" s="19">
        <f t="shared" si="653"/>
        <v>6048</v>
      </c>
    </row>
    <row r="3340" spans="1:11">
      <c r="A3340">
        <v>3338</v>
      </c>
      <c r="B3340">
        <v>4.6000000000000006E+105</v>
      </c>
      <c r="D3340" s="18">
        <v>3338</v>
      </c>
      <c r="E3340" s="18" cm="1">
        <f t="array" aca="1" ref="E3340" ca="1">INDIRECT("b"&amp;F3340+2)</f>
        <v>2.5749999999999998E+143</v>
      </c>
      <c r="F3340" s="18">
        <f t="shared" si="641"/>
        <v>4849</v>
      </c>
      <c r="G3340" s="18"/>
      <c r="H3340" s="18"/>
      <c r="I3340" s="19">
        <v>3338</v>
      </c>
      <c r="J3340" s="19" cm="1">
        <f t="array" aca="1" ref="J3340" ca="1">INDIRECT("b"&amp;K3340+2)</f>
        <v>0</v>
      </c>
      <c r="K3340" s="19">
        <f t="shared" si="653"/>
        <v>6049</v>
      </c>
    </row>
    <row r="3341" spans="1:11">
      <c r="A3341">
        <v>3339</v>
      </c>
      <c r="B3341">
        <v>4.8249999999999999E+105</v>
      </c>
      <c r="D3341" s="18">
        <v>3339</v>
      </c>
      <c r="E3341" s="18" cm="1">
        <f t="array" aca="1" ref="E3341" ca="1">INDIRECT("b"&amp;F3341+2)</f>
        <v>2.8E+143</v>
      </c>
      <c r="F3341" s="18">
        <f t="shared" si="641"/>
        <v>4850</v>
      </c>
      <c r="G3341" s="18"/>
      <c r="H3341" s="18"/>
      <c r="I3341" s="19">
        <v>3339</v>
      </c>
      <c r="J3341" s="19" cm="1">
        <f t="array" aca="1" ref="J3341" ca="1">INDIRECT("b"&amp;K3341+2)</f>
        <v>0</v>
      </c>
      <c r="K3341" s="19">
        <f t="shared" si="653"/>
        <v>6050</v>
      </c>
    </row>
    <row r="3342" spans="1:11">
      <c r="A3342">
        <v>3340</v>
      </c>
      <c r="B3342">
        <v>5.0500000000000002E+105</v>
      </c>
      <c r="D3342" s="18">
        <v>3340</v>
      </c>
      <c r="E3342" s="18" cm="1">
        <f t="array" aca="1" ref="E3342" ca="1">INDIRECT("b"&amp;F3342+2)</f>
        <v>3.2499999999999999E+143</v>
      </c>
      <c r="F3342" s="18">
        <f t="shared" si="641"/>
        <v>4852</v>
      </c>
      <c r="G3342" s="18">
        <f t="shared" ref="G3342" ca="1" si="655">E3342/E3337</f>
        <v>1.9402985074626866</v>
      </c>
      <c r="H3342" s="18"/>
      <c r="I3342" s="19">
        <v>3340</v>
      </c>
      <c r="J3342" s="19" cm="1">
        <f t="array" aca="1" ref="J3342" ca="1">INDIRECT("b"&amp;K3342+2)</f>
        <v>0</v>
      </c>
      <c r="K3342" s="19">
        <f t="shared" si="653"/>
        <v>6052</v>
      </c>
    </row>
    <row r="3343" spans="1:11">
      <c r="A3343">
        <v>3341</v>
      </c>
      <c r="B3343">
        <v>5.2750000000000005E+105</v>
      </c>
      <c r="D3343" s="18">
        <v>3341</v>
      </c>
      <c r="E3343" s="18" cm="1">
        <f t="array" aca="1" ref="E3343" ca="1">INDIRECT("b"&amp;F3343+2)</f>
        <v>3.475E+143</v>
      </c>
      <c r="F3343" s="18">
        <f t="shared" si="641"/>
        <v>4853</v>
      </c>
      <c r="G3343" s="18"/>
      <c r="H3343" s="18"/>
      <c r="I3343" s="19">
        <v>3341</v>
      </c>
      <c r="J3343" s="19" cm="1">
        <f t="array" aca="1" ref="J3343" ca="1">INDIRECT("b"&amp;K3343+2)</f>
        <v>0</v>
      </c>
      <c r="K3343" s="19">
        <f t="shared" si="653"/>
        <v>6053</v>
      </c>
    </row>
    <row r="3344" spans="1:11">
      <c r="A3344">
        <v>3342</v>
      </c>
      <c r="B3344">
        <v>5.5000000000000008E+105</v>
      </c>
      <c r="D3344" s="18">
        <v>3342</v>
      </c>
      <c r="E3344" s="18" cm="1">
        <f t="array" aca="1" ref="E3344" ca="1">INDIRECT("b"&amp;F3344+2)</f>
        <v>3.6999999999999997E+143</v>
      </c>
      <c r="F3344" s="18">
        <f t="shared" si="641"/>
        <v>4854</v>
      </c>
      <c r="G3344" s="18"/>
      <c r="H3344" s="18"/>
      <c r="I3344" s="19">
        <v>3342</v>
      </c>
      <c r="J3344" s="19" cm="1">
        <f t="array" aca="1" ref="J3344" ca="1">INDIRECT("b"&amp;K3344+2)</f>
        <v>0</v>
      </c>
      <c r="K3344" s="19">
        <f t="shared" si="653"/>
        <v>6054</v>
      </c>
    </row>
    <row r="3345" spans="1:11">
      <c r="A3345">
        <v>3343</v>
      </c>
      <c r="B3345">
        <v>5.7250000000000001E+105</v>
      </c>
      <c r="D3345" s="18">
        <v>3343</v>
      </c>
      <c r="E3345" s="18" cm="1">
        <f t="array" aca="1" ref="E3345" ca="1">INDIRECT("b"&amp;F3345+2)</f>
        <v>4.1499999999999996E+143</v>
      </c>
      <c r="F3345" s="18">
        <f t="shared" si="641"/>
        <v>4856</v>
      </c>
      <c r="G3345" s="18"/>
      <c r="H3345" s="18"/>
      <c r="I3345" s="19">
        <v>3343</v>
      </c>
      <c r="J3345" s="19" cm="1">
        <f t="array" aca="1" ref="J3345" ca="1">INDIRECT("b"&amp;K3345+2)</f>
        <v>0</v>
      </c>
      <c r="K3345" s="19">
        <f t="shared" si="653"/>
        <v>6056</v>
      </c>
    </row>
    <row r="3346" spans="1:11">
      <c r="A3346">
        <v>3344</v>
      </c>
      <c r="B3346">
        <v>5.9500000000000004E+105</v>
      </c>
      <c r="D3346" s="18">
        <v>3344</v>
      </c>
      <c r="E3346" s="18" cm="1">
        <f t="array" aca="1" ref="E3346" ca="1">INDIRECT("b"&amp;F3346+2)</f>
        <v>4.3749999999999998E+143</v>
      </c>
      <c r="F3346" s="18">
        <f t="shared" si="641"/>
        <v>4857</v>
      </c>
      <c r="G3346" s="18"/>
      <c r="H3346" s="18"/>
      <c r="I3346" s="19">
        <v>3344</v>
      </c>
      <c r="J3346" s="19" cm="1">
        <f t="array" aca="1" ref="J3346" ca="1">INDIRECT("b"&amp;K3346+2)</f>
        <v>0</v>
      </c>
      <c r="K3346" s="19">
        <f t="shared" si="653"/>
        <v>6057</v>
      </c>
    </row>
    <row r="3347" spans="1:11">
      <c r="A3347">
        <v>3345</v>
      </c>
      <c r="B3347">
        <v>6.1750000000000007E+105</v>
      </c>
      <c r="D3347" s="18">
        <v>3345</v>
      </c>
      <c r="E3347" s="18" cm="1">
        <f t="array" aca="1" ref="E3347" ca="1">INDIRECT("b"&amp;F3347+2)</f>
        <v>4.5999999999999999E+143</v>
      </c>
      <c r="F3347" s="18">
        <f t="shared" ref="F3347:F3410" si="656">INT((A3347-123)*1.333333)+563</f>
        <v>4858</v>
      </c>
      <c r="G3347" s="18">
        <f t="shared" ref="G3347" ca="1" si="657">E3347/E3342</f>
        <v>1.4153846153846155</v>
      </c>
      <c r="H3347" s="18"/>
      <c r="I3347" s="19">
        <v>3345</v>
      </c>
      <c r="J3347" s="19" cm="1">
        <f t="array" aca="1" ref="J3347" ca="1">INDIRECT("b"&amp;K3347+2)</f>
        <v>0</v>
      </c>
      <c r="K3347" s="19">
        <f t="shared" si="653"/>
        <v>6058</v>
      </c>
    </row>
    <row r="3348" spans="1:11">
      <c r="A3348">
        <v>3346</v>
      </c>
      <c r="B3348">
        <v>6.4E+105</v>
      </c>
      <c r="D3348" s="18">
        <v>3346</v>
      </c>
      <c r="E3348" s="18" cm="1">
        <f t="array" aca="1" ref="E3348" ca="1">INDIRECT("b"&amp;F3348+2)</f>
        <v>5.0499999999999994E+143</v>
      </c>
      <c r="F3348" s="18">
        <f t="shared" si="656"/>
        <v>4860</v>
      </c>
      <c r="G3348" s="18"/>
      <c r="H3348" s="18"/>
      <c r="I3348" s="19">
        <v>3346</v>
      </c>
      <c r="J3348" s="19" cm="1">
        <f t="array" aca="1" ref="J3348" ca="1">INDIRECT("b"&amp;K3348+2)</f>
        <v>0</v>
      </c>
      <c r="K3348" s="19">
        <f t="shared" si="653"/>
        <v>6060</v>
      </c>
    </row>
    <row r="3349" spans="1:11">
      <c r="A3349">
        <v>3347</v>
      </c>
      <c r="B3349">
        <v>6.6250000000000003E+105</v>
      </c>
      <c r="D3349" s="18">
        <v>3347</v>
      </c>
      <c r="E3349" s="18" cm="1">
        <f t="array" aca="1" ref="E3349" ca="1">INDIRECT("b"&amp;F3349+2)</f>
        <v>5.2749999999999995E+143</v>
      </c>
      <c r="F3349" s="18">
        <f t="shared" si="656"/>
        <v>4861</v>
      </c>
      <c r="G3349" s="18"/>
      <c r="H3349" s="18"/>
      <c r="I3349" s="19">
        <v>3347</v>
      </c>
      <c r="J3349" s="19" cm="1">
        <f t="array" aca="1" ref="J3349" ca="1">INDIRECT("b"&amp;K3349+2)</f>
        <v>0</v>
      </c>
      <c r="K3349" s="19">
        <f t="shared" si="653"/>
        <v>6061</v>
      </c>
    </row>
    <row r="3350" spans="1:11">
      <c r="A3350">
        <v>3348</v>
      </c>
      <c r="B3350">
        <v>6.8500000000000006E+105</v>
      </c>
      <c r="D3350" s="18">
        <v>3348</v>
      </c>
      <c r="E3350" s="18" cm="1">
        <f t="array" aca="1" ref="E3350" ca="1">INDIRECT("b"&amp;F3350+2)</f>
        <v>5.4999999999999997E+143</v>
      </c>
      <c r="F3350" s="18">
        <f t="shared" si="656"/>
        <v>4862</v>
      </c>
      <c r="G3350" s="18"/>
      <c r="H3350" s="18"/>
      <c r="I3350" s="19">
        <v>3348</v>
      </c>
      <c r="J3350" s="19" cm="1">
        <f t="array" aca="1" ref="J3350" ca="1">INDIRECT("b"&amp;K3350+2)</f>
        <v>0</v>
      </c>
      <c r="K3350" s="19">
        <f t="shared" si="653"/>
        <v>6062</v>
      </c>
    </row>
    <row r="3351" spans="1:11">
      <c r="A3351">
        <v>3349</v>
      </c>
      <c r="B3351">
        <v>7.0750000000000009E+105</v>
      </c>
      <c r="D3351" s="18">
        <v>3349</v>
      </c>
      <c r="E3351" s="18" cm="1">
        <f t="array" aca="1" ref="E3351" ca="1">INDIRECT("b"&amp;F3351+2)</f>
        <v>5.95E+143</v>
      </c>
      <c r="F3351" s="18">
        <f t="shared" si="656"/>
        <v>4864</v>
      </c>
      <c r="G3351" s="18"/>
      <c r="H3351" s="18"/>
      <c r="I3351" s="19">
        <v>3349</v>
      </c>
      <c r="J3351" s="19" cm="1">
        <f t="array" aca="1" ref="J3351" ca="1">INDIRECT("b"&amp;K3351+2)</f>
        <v>0</v>
      </c>
      <c r="K3351" s="19">
        <f t="shared" si="653"/>
        <v>6064</v>
      </c>
    </row>
    <row r="3352" spans="1:11">
      <c r="A3352">
        <v>3350</v>
      </c>
      <c r="B3352">
        <v>7.3000000000000002E+105</v>
      </c>
      <c r="D3352" s="18">
        <v>3350</v>
      </c>
      <c r="E3352" s="18" cm="1">
        <f t="array" aca="1" ref="E3352" ca="1">INDIRECT("b"&amp;F3352+2)</f>
        <v>6.1750000000000002E+143</v>
      </c>
      <c r="F3352" s="18">
        <f t="shared" si="656"/>
        <v>4865</v>
      </c>
      <c r="G3352" s="18">
        <f t="shared" ref="G3352" ca="1" si="658">E3352/E3347</f>
        <v>1.3423913043478262</v>
      </c>
      <c r="H3352" s="18"/>
      <c r="I3352" s="19">
        <v>3350</v>
      </c>
      <c r="J3352" s="19" cm="1">
        <f t="array" aca="1" ref="J3352" ca="1">INDIRECT("b"&amp;K3352+2)</f>
        <v>0</v>
      </c>
      <c r="K3352" s="19">
        <f t="shared" si="653"/>
        <v>6065</v>
      </c>
    </row>
    <row r="3353" spans="1:11">
      <c r="A3353">
        <v>3351</v>
      </c>
      <c r="B3353">
        <v>7.5250000000000005E+105</v>
      </c>
      <c r="D3353" s="18">
        <v>3351</v>
      </c>
      <c r="E3353" s="18" cm="1">
        <f t="array" aca="1" ref="E3353" ca="1">INDIRECT("b"&amp;F3353+2)</f>
        <v>6.3999999999999995E+143</v>
      </c>
      <c r="F3353" s="18">
        <f t="shared" si="656"/>
        <v>4866</v>
      </c>
      <c r="G3353" s="18"/>
      <c r="H3353" s="18"/>
      <c r="I3353" s="19">
        <v>3351</v>
      </c>
      <c r="J3353" s="19" cm="1">
        <f t="array" aca="1" ref="J3353" ca="1">INDIRECT("b"&amp;K3353+2)</f>
        <v>0</v>
      </c>
      <c r="K3353" s="19">
        <f t="shared" si="653"/>
        <v>6066</v>
      </c>
    </row>
    <row r="3354" spans="1:11">
      <c r="A3354">
        <v>3352</v>
      </c>
      <c r="B3354">
        <v>7.7500000000000009E+105</v>
      </c>
      <c r="D3354" s="18">
        <v>3352</v>
      </c>
      <c r="E3354" s="18" cm="1">
        <f t="array" aca="1" ref="E3354" ca="1">INDIRECT("b"&amp;F3354+2)</f>
        <v>6.8499999999999998E+143</v>
      </c>
      <c r="F3354" s="18">
        <f t="shared" si="656"/>
        <v>4868</v>
      </c>
      <c r="G3354" s="18"/>
      <c r="H3354" s="18"/>
      <c r="I3354" s="19">
        <v>3352</v>
      </c>
      <c r="J3354" s="19" cm="1">
        <f t="array" aca="1" ref="J3354" ca="1">INDIRECT("b"&amp;K3354+2)</f>
        <v>0</v>
      </c>
      <c r="K3354" s="19">
        <f t="shared" si="653"/>
        <v>6068</v>
      </c>
    </row>
    <row r="3355" spans="1:11">
      <c r="A3355">
        <v>3353</v>
      </c>
      <c r="B3355">
        <v>7.9750000000000002E+105</v>
      </c>
      <c r="D3355" s="18">
        <v>3353</v>
      </c>
      <c r="E3355" s="18" cm="1">
        <f t="array" aca="1" ref="E3355" ca="1">INDIRECT("b"&amp;F3355+2)</f>
        <v>7.0749999999999999E+143</v>
      </c>
      <c r="F3355" s="18">
        <f t="shared" si="656"/>
        <v>4869</v>
      </c>
      <c r="G3355" s="18"/>
      <c r="H3355" s="18"/>
      <c r="I3355" s="19">
        <v>3353</v>
      </c>
      <c r="J3355" s="19" cm="1">
        <f t="array" aca="1" ref="J3355" ca="1">INDIRECT("b"&amp;K3355+2)</f>
        <v>0</v>
      </c>
      <c r="K3355" s="19">
        <f t="shared" si="653"/>
        <v>6069</v>
      </c>
    </row>
    <row r="3356" spans="1:11">
      <c r="A3356">
        <v>3354</v>
      </c>
      <c r="B3356">
        <v>8.2000000000000005E+105</v>
      </c>
      <c r="D3356" s="18">
        <v>3354</v>
      </c>
      <c r="E3356" s="18" cm="1">
        <f t="array" aca="1" ref="E3356" ca="1">INDIRECT("b"&amp;F3356+2)</f>
        <v>7.3000000000000001E+143</v>
      </c>
      <c r="F3356" s="18">
        <f t="shared" si="656"/>
        <v>4870</v>
      </c>
      <c r="G3356" s="18"/>
      <c r="H3356" s="18"/>
      <c r="I3356" s="19">
        <v>3354</v>
      </c>
      <c r="J3356" s="19" cm="1">
        <f t="array" aca="1" ref="J3356" ca="1">INDIRECT("b"&amp;K3356+2)</f>
        <v>0</v>
      </c>
      <c r="K3356" s="19">
        <f t="shared" si="653"/>
        <v>6070</v>
      </c>
    </row>
    <row r="3357" spans="1:11">
      <c r="A3357">
        <v>3355</v>
      </c>
      <c r="B3357">
        <v>8.4250000000000008E+105</v>
      </c>
      <c r="D3357" s="18">
        <v>3355</v>
      </c>
      <c r="E3357" s="18" cm="1">
        <f t="array" aca="1" ref="E3357" ca="1">INDIRECT("b"&amp;F3357+2)</f>
        <v>7.7499999999999995E+143</v>
      </c>
      <c r="F3357" s="18">
        <f t="shared" si="656"/>
        <v>4872</v>
      </c>
      <c r="G3357" s="18">
        <f t="shared" ref="G3357" ca="1" si="659">E3357/E3352</f>
        <v>1.2550607287449391</v>
      </c>
      <c r="H3357" s="18"/>
      <c r="I3357" s="19">
        <v>3355</v>
      </c>
      <c r="J3357" s="19" cm="1">
        <f t="array" aca="1" ref="J3357" ca="1">INDIRECT("b"&amp;K3357+2)</f>
        <v>0</v>
      </c>
      <c r="K3357" s="19">
        <f t="shared" si="653"/>
        <v>6072</v>
      </c>
    </row>
    <row r="3358" spans="1:11">
      <c r="A3358">
        <v>3356</v>
      </c>
      <c r="B3358">
        <v>8.6500000000000011E+105</v>
      </c>
      <c r="D3358" s="18">
        <v>3356</v>
      </c>
      <c r="E3358" s="18" cm="1">
        <f t="array" aca="1" ref="E3358" ca="1">INDIRECT("b"&amp;F3358+2)</f>
        <v>7.9750000000000006E+143</v>
      </c>
      <c r="F3358" s="18">
        <f t="shared" si="656"/>
        <v>4873</v>
      </c>
      <c r="G3358" s="18"/>
      <c r="H3358" s="18"/>
      <c r="I3358" s="19">
        <v>3356</v>
      </c>
      <c r="J3358" s="19" cm="1">
        <f t="array" aca="1" ref="J3358" ca="1">INDIRECT("b"&amp;K3358+2)</f>
        <v>0</v>
      </c>
      <c r="K3358" s="19">
        <f t="shared" si="653"/>
        <v>6073</v>
      </c>
    </row>
    <row r="3359" spans="1:11">
      <c r="A3359">
        <v>3357</v>
      </c>
      <c r="B3359">
        <v>8.8750000000000004E+105</v>
      </c>
      <c r="D3359" s="18">
        <v>3357</v>
      </c>
      <c r="E3359" s="18" cm="1">
        <f t="array" aca="1" ref="E3359" ca="1">INDIRECT("b"&amp;F3359+2)</f>
        <v>8.199999999999999E+143</v>
      </c>
      <c r="F3359" s="18">
        <f t="shared" si="656"/>
        <v>4874</v>
      </c>
      <c r="G3359" s="18"/>
      <c r="H3359" s="18"/>
      <c r="I3359" s="19">
        <v>3357</v>
      </c>
      <c r="J3359" s="19" cm="1">
        <f t="array" aca="1" ref="J3359" ca="1">INDIRECT("b"&amp;K3359+2)</f>
        <v>0</v>
      </c>
      <c r="K3359" s="19">
        <f t="shared" si="653"/>
        <v>6074</v>
      </c>
    </row>
    <row r="3360" spans="1:11">
      <c r="A3360">
        <v>3358</v>
      </c>
      <c r="B3360">
        <v>9.1000000000000007E+105</v>
      </c>
      <c r="D3360" s="18">
        <v>3358</v>
      </c>
      <c r="E3360" s="18" cm="1">
        <f t="array" aca="1" ref="E3360" ca="1">INDIRECT("b"&amp;F3360+2)</f>
        <v>8.6499999999999993E+143</v>
      </c>
      <c r="F3360" s="18">
        <f t="shared" si="656"/>
        <v>4876</v>
      </c>
      <c r="G3360" s="18"/>
      <c r="H3360" s="18"/>
      <c r="I3360" s="19">
        <v>3358</v>
      </c>
      <c r="J3360" s="19" cm="1">
        <f t="array" aca="1" ref="J3360" ca="1">INDIRECT("b"&amp;K3360+2)</f>
        <v>0</v>
      </c>
      <c r="K3360" s="19">
        <f t="shared" si="653"/>
        <v>6076</v>
      </c>
    </row>
    <row r="3361" spans="1:11">
      <c r="A3361">
        <v>3359</v>
      </c>
      <c r="B3361">
        <v>9.325E+105</v>
      </c>
      <c r="D3361" s="18">
        <v>3359</v>
      </c>
      <c r="E3361" s="18" cm="1">
        <f t="array" aca="1" ref="E3361" ca="1">INDIRECT("b"&amp;F3361+2)</f>
        <v>8.8749999999999995E+143</v>
      </c>
      <c r="F3361" s="18">
        <f t="shared" si="656"/>
        <v>4877</v>
      </c>
      <c r="G3361" s="18"/>
      <c r="H3361" s="18"/>
      <c r="I3361" s="19">
        <v>3359</v>
      </c>
      <c r="J3361" s="19" cm="1">
        <f t="array" aca="1" ref="J3361" ca="1">INDIRECT("b"&amp;K3361+2)</f>
        <v>0</v>
      </c>
      <c r="K3361" s="19">
        <f t="shared" si="653"/>
        <v>6077</v>
      </c>
    </row>
    <row r="3362" spans="1:11">
      <c r="A3362">
        <v>3360</v>
      </c>
      <c r="B3362">
        <v>9.5500000000000003E+105</v>
      </c>
      <c r="D3362" s="18">
        <v>3360</v>
      </c>
      <c r="E3362" s="18" cm="1">
        <f t="array" aca="1" ref="E3362" ca="1">INDIRECT("b"&amp;F3362+2)</f>
        <v>9.0999999999999996E+143</v>
      </c>
      <c r="F3362" s="18">
        <f t="shared" si="656"/>
        <v>4878</v>
      </c>
      <c r="G3362" s="18">
        <f t="shared" ref="G3362" ca="1" si="660">E3362/E3357</f>
        <v>1.1741935483870969</v>
      </c>
      <c r="H3362" s="18"/>
      <c r="I3362" s="19">
        <v>3360</v>
      </c>
      <c r="J3362" s="19" cm="1">
        <f t="array" aca="1" ref="J3362" ca="1">INDIRECT("b"&amp;K3362+2)</f>
        <v>0</v>
      </c>
      <c r="K3362" s="19">
        <f t="shared" si="653"/>
        <v>6078</v>
      </c>
    </row>
    <row r="3363" spans="1:11">
      <c r="A3363">
        <v>3361</v>
      </c>
      <c r="B3363">
        <v>9.7750000000000006E+105</v>
      </c>
      <c r="D3363" s="18">
        <v>3361</v>
      </c>
      <c r="E3363" s="18" cm="1">
        <f t="array" aca="1" ref="E3363" ca="1">INDIRECT("b"&amp;F3363+2)</f>
        <v>9.5499999999999999E+143</v>
      </c>
      <c r="F3363" s="18">
        <f t="shared" si="656"/>
        <v>4880</v>
      </c>
      <c r="G3363" s="18"/>
      <c r="H3363" s="18"/>
      <c r="I3363" s="19">
        <v>3361</v>
      </c>
      <c r="J3363" s="19" cm="1">
        <f t="array" aca="1" ref="J3363" ca="1">INDIRECT("b"&amp;K3363+2)</f>
        <v>0</v>
      </c>
      <c r="K3363" s="19">
        <f t="shared" si="653"/>
        <v>6080</v>
      </c>
    </row>
    <row r="3364" spans="1:11">
      <c r="A3364">
        <v>3362</v>
      </c>
      <c r="B3364">
        <v>1.0000000000000001E+106</v>
      </c>
      <c r="D3364" s="18">
        <v>3362</v>
      </c>
      <c r="E3364" s="18" cm="1">
        <f t="array" aca="1" ref="E3364" ca="1">INDIRECT("b"&amp;F3364+2)</f>
        <v>9.7750000000000001E+143</v>
      </c>
      <c r="F3364" s="18">
        <f t="shared" si="656"/>
        <v>4881</v>
      </c>
      <c r="G3364" s="18"/>
      <c r="H3364" s="18"/>
      <c r="I3364" s="19">
        <v>3362</v>
      </c>
      <c r="J3364" s="19" cm="1">
        <f t="array" aca="1" ref="J3364" ca="1">INDIRECT("b"&amp;K3364+2)</f>
        <v>0</v>
      </c>
      <c r="K3364" s="19">
        <f t="shared" si="653"/>
        <v>6081</v>
      </c>
    </row>
    <row r="3365" spans="1:11">
      <c r="A3365">
        <v>3363</v>
      </c>
      <c r="B3365">
        <v>1.225E+106</v>
      </c>
      <c r="D3365" s="18">
        <v>3363</v>
      </c>
      <c r="E3365" s="18" cm="1">
        <f t="array" aca="1" ref="E3365" ca="1">INDIRECT("b"&amp;F3365+2)</f>
        <v>1E+144</v>
      </c>
      <c r="F3365" s="18">
        <f t="shared" si="656"/>
        <v>4882</v>
      </c>
      <c r="G3365" s="18"/>
      <c r="H3365" s="18"/>
      <c r="I3365" s="19">
        <v>3363</v>
      </c>
      <c r="J3365" s="19" cm="1">
        <f t="array" aca="1" ref="J3365" ca="1">INDIRECT("b"&amp;K3365+2)</f>
        <v>0</v>
      </c>
      <c r="K3365" s="19">
        <f t="shared" si="653"/>
        <v>6082</v>
      </c>
    </row>
    <row r="3366" spans="1:11">
      <c r="A3366">
        <v>3364</v>
      </c>
      <c r="B3366">
        <v>1.4499999999999999E+106</v>
      </c>
      <c r="D3366" s="18">
        <v>3364</v>
      </c>
      <c r="E3366" s="18" cm="1">
        <f t="array" aca="1" ref="E3366" ca="1">INDIRECT("b"&amp;F3366+2)</f>
        <v>1.4500000000000002E+144</v>
      </c>
      <c r="F3366" s="18">
        <f t="shared" si="656"/>
        <v>4884</v>
      </c>
      <c r="G3366" s="18"/>
      <c r="H3366" s="18"/>
      <c r="I3366" s="19">
        <v>3364</v>
      </c>
      <c r="J3366" s="19" cm="1">
        <f t="array" aca="1" ref="J3366" ca="1">INDIRECT("b"&amp;K3366+2)</f>
        <v>0</v>
      </c>
      <c r="K3366" s="19">
        <f t="shared" si="653"/>
        <v>6084</v>
      </c>
    </row>
    <row r="3367" spans="1:11">
      <c r="A3367">
        <v>3365</v>
      </c>
      <c r="B3367">
        <v>1.675E+106</v>
      </c>
      <c r="D3367" s="18">
        <v>3365</v>
      </c>
      <c r="E3367" s="18" cm="1">
        <f t="array" aca="1" ref="E3367" ca="1">INDIRECT("b"&amp;F3367+2)</f>
        <v>1.675E+144</v>
      </c>
      <c r="F3367" s="18">
        <f t="shared" si="656"/>
        <v>4885</v>
      </c>
      <c r="G3367" s="18">
        <f t="shared" ref="G3367" ca="1" si="661">E3367/E3362</f>
        <v>1.8406593406593408</v>
      </c>
      <c r="H3367" s="18"/>
      <c r="I3367" s="19">
        <v>3365</v>
      </c>
      <c r="J3367" s="19" cm="1">
        <f t="array" aca="1" ref="J3367" ca="1">INDIRECT("b"&amp;K3367+2)</f>
        <v>0</v>
      </c>
      <c r="K3367" s="19">
        <f t="shared" si="653"/>
        <v>6085</v>
      </c>
    </row>
    <row r="3368" spans="1:11">
      <c r="A3368">
        <v>3366</v>
      </c>
      <c r="B3368">
        <v>1.8999999999999999E+106</v>
      </c>
      <c r="D3368" s="18">
        <v>3366</v>
      </c>
      <c r="E3368" s="18" cm="1">
        <f t="array" aca="1" ref="E3368" ca="1">INDIRECT("b"&amp;F3368+2)</f>
        <v>1.9000000000000001E+144</v>
      </c>
      <c r="F3368" s="18">
        <f t="shared" si="656"/>
        <v>4886</v>
      </c>
      <c r="G3368" s="18"/>
      <c r="H3368" s="18"/>
      <c r="I3368" s="19">
        <v>3366</v>
      </c>
      <c r="J3368" s="19" cm="1">
        <f t="array" aca="1" ref="J3368" ca="1">INDIRECT("b"&amp;K3368+2)</f>
        <v>0</v>
      </c>
      <c r="K3368" s="19">
        <f t="shared" si="653"/>
        <v>6086</v>
      </c>
    </row>
    <row r="3369" spans="1:11">
      <c r="A3369">
        <v>3367</v>
      </c>
      <c r="B3369">
        <v>2.1249999999999998E+106</v>
      </c>
      <c r="D3369" s="18">
        <v>3367</v>
      </c>
      <c r="E3369" s="18" cm="1">
        <f t="array" aca="1" ref="E3369" ca="1">INDIRECT("b"&amp;F3369+2)</f>
        <v>2.3500000000000001E+144</v>
      </c>
      <c r="F3369" s="18">
        <f t="shared" si="656"/>
        <v>4888</v>
      </c>
      <c r="G3369" s="18"/>
      <c r="H3369" s="18"/>
      <c r="I3369" s="19">
        <v>3367</v>
      </c>
      <c r="J3369" s="19" cm="1">
        <f t="array" aca="1" ref="J3369" ca="1">INDIRECT("b"&amp;K3369+2)</f>
        <v>0</v>
      </c>
      <c r="K3369" s="19">
        <f t="shared" si="653"/>
        <v>6088</v>
      </c>
    </row>
    <row r="3370" spans="1:11">
      <c r="A3370">
        <v>3368</v>
      </c>
      <c r="B3370">
        <v>2.3500000000000001E+106</v>
      </c>
      <c r="D3370" s="18">
        <v>3368</v>
      </c>
      <c r="E3370" s="18" cm="1">
        <f t="array" aca="1" ref="E3370" ca="1">INDIRECT("b"&amp;F3370+2)</f>
        <v>2.5750000000000003E+144</v>
      </c>
      <c r="F3370" s="18">
        <f t="shared" si="656"/>
        <v>4889</v>
      </c>
      <c r="G3370" s="18"/>
      <c r="H3370" s="18"/>
      <c r="I3370" s="19">
        <v>3368</v>
      </c>
      <c r="J3370" s="19" cm="1">
        <f t="array" aca="1" ref="J3370" ca="1">INDIRECT("b"&amp;K3370+2)</f>
        <v>0</v>
      </c>
      <c r="K3370" s="19">
        <f t="shared" si="653"/>
        <v>6089</v>
      </c>
    </row>
    <row r="3371" spans="1:11">
      <c r="A3371">
        <v>3369</v>
      </c>
      <c r="B3371">
        <v>2.575E+106</v>
      </c>
      <c r="D3371" s="18">
        <v>3369</v>
      </c>
      <c r="E3371" s="18" cm="1">
        <f t="array" aca="1" ref="E3371" ca="1">INDIRECT("b"&amp;F3371+2)</f>
        <v>2.8000000000000001E+144</v>
      </c>
      <c r="F3371" s="18">
        <f t="shared" si="656"/>
        <v>4890</v>
      </c>
      <c r="G3371" s="18"/>
      <c r="H3371" s="18"/>
      <c r="I3371" s="19">
        <v>3369</v>
      </c>
      <c r="J3371" s="19" cm="1">
        <f t="array" aca="1" ref="J3371" ca="1">INDIRECT("b"&amp;K3371+2)</f>
        <v>0</v>
      </c>
      <c r="K3371" s="19">
        <f t="shared" si="653"/>
        <v>6090</v>
      </c>
    </row>
    <row r="3372" spans="1:11">
      <c r="A3372">
        <v>3370</v>
      </c>
      <c r="B3372">
        <v>2.7999999999999999E+106</v>
      </c>
      <c r="D3372" s="18">
        <v>3370</v>
      </c>
      <c r="E3372" s="18" cm="1">
        <f t="array" aca="1" ref="E3372" ca="1">INDIRECT("b"&amp;F3372+2)</f>
        <v>3.25E+144</v>
      </c>
      <c r="F3372" s="18">
        <f t="shared" si="656"/>
        <v>4892</v>
      </c>
      <c r="G3372" s="18">
        <f t="shared" ref="G3372" ca="1" si="662">E3372/E3367</f>
        <v>1.9402985074626866</v>
      </c>
      <c r="H3372" s="18"/>
      <c r="I3372" s="19">
        <v>3370</v>
      </c>
      <c r="J3372" s="19" cm="1">
        <f t="array" aca="1" ref="J3372" ca="1">INDIRECT("b"&amp;K3372+2)</f>
        <v>0</v>
      </c>
      <c r="K3372" s="19">
        <f t="shared" si="653"/>
        <v>6092</v>
      </c>
    </row>
    <row r="3373" spans="1:11">
      <c r="A3373">
        <v>3371</v>
      </c>
      <c r="B3373">
        <v>3.0249999999999998E+106</v>
      </c>
      <c r="D3373" s="18">
        <v>3371</v>
      </c>
      <c r="E3373" s="18" cm="1">
        <f t="array" aca="1" ref="E3373" ca="1">INDIRECT("b"&amp;F3373+2)</f>
        <v>3.4750000000000002E+144</v>
      </c>
      <c r="F3373" s="18">
        <f t="shared" si="656"/>
        <v>4893</v>
      </c>
      <c r="G3373" s="18"/>
      <c r="H3373" s="18"/>
      <c r="I3373" s="19">
        <v>3371</v>
      </c>
      <c r="J3373" s="19" cm="1">
        <f t="array" aca="1" ref="J3373" ca="1">INDIRECT("b"&amp;K3373+2)</f>
        <v>0</v>
      </c>
      <c r="K3373" s="19">
        <f t="shared" si="653"/>
        <v>6093</v>
      </c>
    </row>
    <row r="3374" spans="1:11">
      <c r="A3374">
        <v>3372</v>
      </c>
      <c r="B3374">
        <v>3.2500000000000001E+106</v>
      </c>
      <c r="D3374" s="18">
        <v>3372</v>
      </c>
      <c r="E3374" s="18" cm="1">
        <f t="array" aca="1" ref="E3374" ca="1">INDIRECT("b"&amp;F3374+2)</f>
        <v>3.7000000000000003E+144</v>
      </c>
      <c r="F3374" s="18">
        <f t="shared" si="656"/>
        <v>4894</v>
      </c>
      <c r="G3374" s="18"/>
      <c r="H3374" s="18"/>
      <c r="I3374" s="19">
        <v>3372</v>
      </c>
      <c r="J3374" s="19" cm="1">
        <f t="array" aca="1" ref="J3374" ca="1">INDIRECT("b"&amp;K3374+2)</f>
        <v>0</v>
      </c>
      <c r="K3374" s="19">
        <f t="shared" si="653"/>
        <v>6094</v>
      </c>
    </row>
    <row r="3375" spans="1:11">
      <c r="A3375">
        <v>3373</v>
      </c>
      <c r="B3375">
        <v>3.475E+106</v>
      </c>
      <c r="D3375" s="18">
        <v>3373</v>
      </c>
      <c r="E3375" s="18" cm="1">
        <f t="array" aca="1" ref="E3375" ca="1">INDIRECT("b"&amp;F3375+2)</f>
        <v>4.15E+144</v>
      </c>
      <c r="F3375" s="18">
        <f t="shared" si="656"/>
        <v>4896</v>
      </c>
      <c r="G3375" s="18"/>
      <c r="H3375" s="18"/>
      <c r="I3375" s="19">
        <v>3373</v>
      </c>
      <c r="J3375" s="19" cm="1">
        <f t="array" aca="1" ref="J3375" ca="1">INDIRECT("b"&amp;K3375+2)</f>
        <v>0</v>
      </c>
      <c r="K3375" s="19">
        <f t="shared" si="653"/>
        <v>6096</v>
      </c>
    </row>
    <row r="3376" spans="1:11">
      <c r="A3376">
        <v>3374</v>
      </c>
      <c r="B3376">
        <v>3.6999999999999999E+106</v>
      </c>
      <c r="D3376" s="18">
        <v>3374</v>
      </c>
      <c r="E3376" s="18" cm="1">
        <f t="array" aca="1" ref="E3376" ca="1">INDIRECT("b"&amp;F3376+2)</f>
        <v>4.3750000000000001E+144</v>
      </c>
      <c r="F3376" s="18">
        <f t="shared" si="656"/>
        <v>4897</v>
      </c>
      <c r="G3376" s="18"/>
      <c r="H3376" s="18"/>
      <c r="I3376" s="19">
        <v>3374</v>
      </c>
      <c r="J3376" s="19" cm="1">
        <f t="array" aca="1" ref="J3376" ca="1">INDIRECT("b"&amp;K3376+2)</f>
        <v>0</v>
      </c>
      <c r="K3376" s="19">
        <f t="shared" si="653"/>
        <v>6097</v>
      </c>
    </row>
    <row r="3377" spans="1:11">
      <c r="A3377">
        <v>3375</v>
      </c>
      <c r="B3377">
        <v>3.9249999999999999E+106</v>
      </c>
      <c r="D3377" s="18">
        <v>3375</v>
      </c>
      <c r="E3377" s="18" cm="1">
        <f t="array" aca="1" ref="E3377" ca="1">INDIRECT("b"&amp;F3377+2)</f>
        <v>4.6000000000000003E+144</v>
      </c>
      <c r="F3377" s="18">
        <f t="shared" si="656"/>
        <v>4898</v>
      </c>
      <c r="G3377" s="18">
        <f t="shared" ref="G3377" ca="1" si="663">E3377/E3372</f>
        <v>1.4153846153846155</v>
      </c>
      <c r="H3377" s="18"/>
      <c r="I3377" s="19">
        <v>3375</v>
      </c>
      <c r="J3377" s="19" cm="1">
        <f t="array" aca="1" ref="J3377" ca="1">INDIRECT("b"&amp;K3377+2)</f>
        <v>0</v>
      </c>
      <c r="K3377" s="19">
        <f t="shared" si="653"/>
        <v>6098</v>
      </c>
    </row>
    <row r="3378" spans="1:11">
      <c r="A3378">
        <v>3376</v>
      </c>
      <c r="B3378">
        <v>4.1499999999999998E+106</v>
      </c>
      <c r="D3378" s="18">
        <v>3376</v>
      </c>
      <c r="E3378" s="18" cm="1">
        <f t="array" aca="1" ref="E3378" ca="1">INDIRECT("b"&amp;F3378+2)</f>
        <v>5.0500000000000006E+144</v>
      </c>
      <c r="F3378" s="18">
        <f t="shared" si="656"/>
        <v>4900</v>
      </c>
      <c r="G3378" s="18"/>
      <c r="H3378" s="18"/>
      <c r="I3378" s="19">
        <v>3376</v>
      </c>
      <c r="J3378" s="19" cm="1">
        <f t="array" aca="1" ref="J3378" ca="1">INDIRECT("b"&amp;K3378+2)</f>
        <v>0</v>
      </c>
      <c r="K3378" s="19">
        <f t="shared" si="653"/>
        <v>6100</v>
      </c>
    </row>
    <row r="3379" spans="1:11">
      <c r="A3379">
        <v>3377</v>
      </c>
      <c r="B3379">
        <v>4.3749999999999997E+106</v>
      </c>
      <c r="D3379" s="18">
        <v>3377</v>
      </c>
      <c r="E3379" s="18" cm="1">
        <f t="array" aca="1" ref="E3379" ca="1">INDIRECT("b"&amp;F3379+2)</f>
        <v>5.2750000000000001E+144</v>
      </c>
      <c r="F3379" s="18">
        <f t="shared" si="656"/>
        <v>4901</v>
      </c>
      <c r="G3379" s="18"/>
      <c r="H3379" s="18"/>
      <c r="I3379" s="19">
        <v>3377</v>
      </c>
      <c r="J3379" s="19" cm="1">
        <f t="array" aca="1" ref="J3379" ca="1">INDIRECT("b"&amp;K3379+2)</f>
        <v>0</v>
      </c>
      <c r="K3379" s="19">
        <f t="shared" si="653"/>
        <v>6101</v>
      </c>
    </row>
    <row r="3380" spans="1:11">
      <c r="A3380">
        <v>3378</v>
      </c>
      <c r="B3380">
        <v>4.6000000000000004E+106</v>
      </c>
      <c r="D3380" s="18">
        <v>3378</v>
      </c>
      <c r="E3380" s="18" cm="1">
        <f t="array" aca="1" ref="E3380" ca="1">INDIRECT("b"&amp;F3380+2)</f>
        <v>5.5000000000000002E+144</v>
      </c>
      <c r="F3380" s="18">
        <f t="shared" si="656"/>
        <v>4902</v>
      </c>
      <c r="G3380" s="18"/>
      <c r="H3380" s="18"/>
      <c r="I3380" s="19">
        <v>3378</v>
      </c>
      <c r="J3380" s="19" cm="1">
        <f t="array" aca="1" ref="J3380" ca="1">INDIRECT("b"&amp;K3380+2)</f>
        <v>0</v>
      </c>
      <c r="K3380" s="19">
        <f t="shared" si="653"/>
        <v>6102</v>
      </c>
    </row>
    <row r="3381" spans="1:11">
      <c r="A3381">
        <v>3379</v>
      </c>
      <c r="B3381">
        <v>4.8250000000000003E+106</v>
      </c>
      <c r="D3381" s="18">
        <v>3379</v>
      </c>
      <c r="E3381" s="18" cm="1">
        <f t="array" aca="1" ref="E3381" ca="1">INDIRECT("b"&amp;F3381+2)</f>
        <v>5.9500000000000005E+144</v>
      </c>
      <c r="F3381" s="18">
        <f t="shared" si="656"/>
        <v>4904</v>
      </c>
      <c r="G3381" s="18"/>
      <c r="H3381" s="18"/>
      <c r="I3381" s="19">
        <v>3379</v>
      </c>
      <c r="J3381" s="19" cm="1">
        <f t="array" aca="1" ref="J3381" ca="1">INDIRECT("b"&amp;K3381+2)</f>
        <v>0</v>
      </c>
      <c r="K3381" s="19">
        <f t="shared" si="653"/>
        <v>6104</v>
      </c>
    </row>
    <row r="3382" spans="1:11">
      <c r="A3382">
        <v>3380</v>
      </c>
      <c r="B3382">
        <v>5.0500000000000002E+106</v>
      </c>
      <c r="D3382" s="18">
        <v>3380</v>
      </c>
      <c r="E3382" s="18" cm="1">
        <f t="array" aca="1" ref="E3382" ca="1">INDIRECT("b"&amp;F3382+2)</f>
        <v>6.1750000000000007E+144</v>
      </c>
      <c r="F3382" s="18">
        <f t="shared" si="656"/>
        <v>4905</v>
      </c>
      <c r="G3382" s="18">
        <f t="shared" ref="G3382" ca="1" si="664">E3382/E3377</f>
        <v>1.3423913043478262</v>
      </c>
      <c r="H3382" s="18"/>
      <c r="I3382" s="19">
        <v>3380</v>
      </c>
      <c r="J3382" s="19" cm="1">
        <f t="array" aca="1" ref="J3382" ca="1">INDIRECT("b"&amp;K3382+2)</f>
        <v>0</v>
      </c>
      <c r="K3382" s="19">
        <f t="shared" si="653"/>
        <v>6105</v>
      </c>
    </row>
    <row r="3383" spans="1:11">
      <c r="A3383">
        <v>3381</v>
      </c>
      <c r="B3383">
        <v>5.2750000000000001E+106</v>
      </c>
      <c r="D3383" s="18">
        <v>3381</v>
      </c>
      <c r="E3383" s="18" cm="1">
        <f t="array" aca="1" ref="E3383" ca="1">INDIRECT("b"&amp;F3383+2)</f>
        <v>6.4000000000000002E+144</v>
      </c>
      <c r="F3383" s="18">
        <f t="shared" si="656"/>
        <v>4906</v>
      </c>
      <c r="G3383" s="18"/>
      <c r="H3383" s="18"/>
      <c r="I3383" s="19">
        <v>3381</v>
      </c>
      <c r="J3383" s="19" cm="1">
        <f t="array" aca="1" ref="J3383" ca="1">INDIRECT("b"&amp;K3383+2)</f>
        <v>0</v>
      </c>
      <c r="K3383" s="19">
        <f t="shared" si="653"/>
        <v>6106</v>
      </c>
    </row>
    <row r="3384" spans="1:11">
      <c r="A3384">
        <v>3382</v>
      </c>
      <c r="B3384">
        <v>5.5E+106</v>
      </c>
      <c r="D3384" s="18">
        <v>3382</v>
      </c>
      <c r="E3384" s="18" cm="1">
        <f t="array" aca="1" ref="E3384" ca="1">INDIRECT("b"&amp;F3384+2)</f>
        <v>6.8500000000000005E+144</v>
      </c>
      <c r="F3384" s="18">
        <f t="shared" si="656"/>
        <v>4908</v>
      </c>
      <c r="G3384" s="18"/>
      <c r="H3384" s="18"/>
      <c r="I3384" s="19">
        <v>3382</v>
      </c>
      <c r="J3384" s="19" cm="1">
        <f t="array" aca="1" ref="J3384" ca="1">INDIRECT("b"&amp;K3384+2)</f>
        <v>0</v>
      </c>
      <c r="K3384" s="19">
        <f t="shared" si="653"/>
        <v>6108</v>
      </c>
    </row>
    <row r="3385" spans="1:11">
      <c r="A3385">
        <v>3383</v>
      </c>
      <c r="B3385">
        <v>5.7249999999999999E+106</v>
      </c>
      <c r="D3385" s="18">
        <v>3383</v>
      </c>
      <c r="E3385" s="18" cm="1">
        <f t="array" aca="1" ref="E3385" ca="1">INDIRECT("b"&amp;F3385+2)</f>
        <v>7.0750000000000006E+144</v>
      </c>
      <c r="F3385" s="18">
        <f t="shared" si="656"/>
        <v>4909</v>
      </c>
      <c r="G3385" s="18"/>
      <c r="H3385" s="18"/>
      <c r="I3385" s="19">
        <v>3383</v>
      </c>
      <c r="J3385" s="19" cm="1">
        <f t="array" aca="1" ref="J3385" ca="1">INDIRECT("b"&amp;K3385+2)</f>
        <v>0</v>
      </c>
      <c r="K3385" s="19">
        <f t="shared" si="653"/>
        <v>6109</v>
      </c>
    </row>
    <row r="3386" spans="1:11">
      <c r="A3386">
        <v>3384</v>
      </c>
      <c r="B3386">
        <v>5.9499999999999998E+106</v>
      </c>
      <c r="D3386" s="18">
        <v>3384</v>
      </c>
      <c r="E3386" s="18" cm="1">
        <f t="array" aca="1" ref="E3386" ca="1">INDIRECT("b"&amp;F3386+2)</f>
        <v>7.3000000000000008E+144</v>
      </c>
      <c r="F3386" s="18">
        <f t="shared" si="656"/>
        <v>4910</v>
      </c>
      <c r="G3386" s="18"/>
      <c r="H3386" s="18"/>
      <c r="I3386" s="19">
        <v>3384</v>
      </c>
      <c r="J3386" s="19" cm="1">
        <f t="array" aca="1" ref="J3386" ca="1">INDIRECT("b"&amp;K3386+2)</f>
        <v>0</v>
      </c>
      <c r="K3386" s="19">
        <f t="shared" si="653"/>
        <v>6110</v>
      </c>
    </row>
    <row r="3387" spans="1:11">
      <c r="A3387">
        <v>3385</v>
      </c>
      <c r="B3387">
        <v>6.1749999999999997E+106</v>
      </c>
      <c r="D3387" s="18">
        <v>3385</v>
      </c>
      <c r="E3387" s="18" cm="1">
        <f t="array" aca="1" ref="E3387" ca="1">INDIRECT("b"&amp;F3387+2)</f>
        <v>7.7500000000000011E+144</v>
      </c>
      <c r="F3387" s="18">
        <f t="shared" si="656"/>
        <v>4912</v>
      </c>
      <c r="G3387" s="18">
        <f t="shared" ref="G3387" ca="1" si="665">E3387/E3382</f>
        <v>1.2550607287449393</v>
      </c>
      <c r="H3387" s="18"/>
      <c r="I3387" s="19">
        <v>3385</v>
      </c>
      <c r="J3387" s="19" cm="1">
        <f t="array" aca="1" ref="J3387" ca="1">INDIRECT("b"&amp;K3387+2)</f>
        <v>0</v>
      </c>
      <c r="K3387" s="19">
        <f t="shared" si="653"/>
        <v>6112</v>
      </c>
    </row>
    <row r="3388" spans="1:11">
      <c r="A3388">
        <v>3386</v>
      </c>
      <c r="B3388">
        <v>6.3999999999999996E+106</v>
      </c>
      <c r="D3388" s="18">
        <v>3386</v>
      </c>
      <c r="E3388" s="18" cm="1">
        <f t="array" aca="1" ref="E3388" ca="1">INDIRECT("b"&amp;F3388+2)</f>
        <v>7.9749999999999999E+144</v>
      </c>
      <c r="F3388" s="18">
        <f t="shared" si="656"/>
        <v>4913</v>
      </c>
      <c r="G3388" s="18"/>
      <c r="H3388" s="18"/>
      <c r="I3388" s="19">
        <v>3386</v>
      </c>
      <c r="J3388" s="19" cm="1">
        <f t="array" aca="1" ref="J3388" ca="1">INDIRECT("b"&amp;K3388+2)</f>
        <v>0</v>
      </c>
      <c r="K3388" s="19">
        <f t="shared" si="653"/>
        <v>6113</v>
      </c>
    </row>
    <row r="3389" spans="1:11">
      <c r="A3389">
        <v>3387</v>
      </c>
      <c r="B3389">
        <v>6.6250000000000003E+106</v>
      </c>
      <c r="D3389" s="18">
        <v>3387</v>
      </c>
      <c r="E3389" s="18" cm="1">
        <f t="array" aca="1" ref="E3389" ca="1">INDIRECT("b"&amp;F3389+2)</f>
        <v>8.2E+144</v>
      </c>
      <c r="F3389" s="18">
        <f t="shared" si="656"/>
        <v>4914</v>
      </c>
      <c r="G3389" s="18"/>
      <c r="H3389" s="18"/>
      <c r="I3389" s="19">
        <v>3387</v>
      </c>
      <c r="J3389" s="19" cm="1">
        <f t="array" aca="1" ref="J3389" ca="1">INDIRECT("b"&amp;K3389+2)</f>
        <v>0</v>
      </c>
      <c r="K3389" s="19">
        <f t="shared" si="653"/>
        <v>6114</v>
      </c>
    </row>
    <row r="3390" spans="1:11">
      <c r="A3390">
        <v>3388</v>
      </c>
      <c r="B3390">
        <v>6.8500000000000002E+106</v>
      </c>
      <c r="D3390" s="18">
        <v>3388</v>
      </c>
      <c r="E3390" s="18" cm="1">
        <f t="array" aca="1" ref="E3390" ca="1">INDIRECT("b"&amp;F3390+2)</f>
        <v>8.6500000000000003E+144</v>
      </c>
      <c r="F3390" s="18">
        <f t="shared" si="656"/>
        <v>4916</v>
      </c>
      <c r="G3390" s="18"/>
      <c r="H3390" s="18"/>
      <c r="I3390" s="19">
        <v>3388</v>
      </c>
      <c r="J3390" s="19" cm="1">
        <f t="array" aca="1" ref="J3390" ca="1">INDIRECT("b"&amp;K3390+2)</f>
        <v>0</v>
      </c>
      <c r="K3390" s="19">
        <f t="shared" si="653"/>
        <v>6116</v>
      </c>
    </row>
    <row r="3391" spans="1:11">
      <c r="A3391">
        <v>3389</v>
      </c>
      <c r="B3391">
        <v>7.0750000000000001E+106</v>
      </c>
      <c r="D3391" s="18">
        <v>3389</v>
      </c>
      <c r="E3391" s="18" cm="1">
        <f t="array" aca="1" ref="E3391" ca="1">INDIRECT("b"&amp;F3391+2)</f>
        <v>8.8750000000000005E+144</v>
      </c>
      <c r="F3391" s="18">
        <f t="shared" si="656"/>
        <v>4917</v>
      </c>
      <c r="G3391" s="18"/>
      <c r="H3391" s="18"/>
      <c r="I3391" s="19">
        <v>3389</v>
      </c>
      <c r="J3391" s="19" cm="1">
        <f t="array" aca="1" ref="J3391" ca="1">INDIRECT("b"&amp;K3391+2)</f>
        <v>0</v>
      </c>
      <c r="K3391" s="19">
        <f t="shared" si="653"/>
        <v>6117</v>
      </c>
    </row>
    <row r="3392" spans="1:11">
      <c r="A3392">
        <v>3390</v>
      </c>
      <c r="B3392">
        <v>7.3E+106</v>
      </c>
      <c r="D3392" s="18">
        <v>3390</v>
      </c>
      <c r="E3392" s="18" cm="1">
        <f t="array" aca="1" ref="E3392" ca="1">INDIRECT("b"&amp;F3392+2)</f>
        <v>9.1000000000000006E+144</v>
      </c>
      <c r="F3392" s="18">
        <f t="shared" si="656"/>
        <v>4918</v>
      </c>
      <c r="G3392" s="18">
        <f t="shared" ref="G3392" ca="1" si="666">E3392/E3387</f>
        <v>1.1741935483870967</v>
      </c>
      <c r="H3392" s="18"/>
      <c r="I3392" s="19">
        <v>3390</v>
      </c>
      <c r="J3392" s="19" cm="1">
        <f t="array" aca="1" ref="J3392" ca="1">INDIRECT("b"&amp;K3392+2)</f>
        <v>0</v>
      </c>
      <c r="K3392" s="19">
        <f t="shared" si="653"/>
        <v>6118</v>
      </c>
    </row>
    <row r="3393" spans="1:11">
      <c r="A3393">
        <v>3391</v>
      </c>
      <c r="B3393">
        <v>7.5249999999999999E+106</v>
      </c>
      <c r="D3393" s="18">
        <v>3391</v>
      </c>
      <c r="E3393" s="18" cm="1">
        <f t="array" aca="1" ref="E3393" ca="1">INDIRECT("b"&amp;F3393+2)</f>
        <v>9.550000000000001E+144</v>
      </c>
      <c r="F3393" s="18">
        <f t="shared" si="656"/>
        <v>4920</v>
      </c>
      <c r="G3393" s="18"/>
      <c r="H3393" s="18"/>
      <c r="I3393" s="19">
        <v>3391</v>
      </c>
      <c r="J3393" s="19" cm="1">
        <f t="array" aca="1" ref="J3393" ca="1">INDIRECT("b"&amp;K3393+2)</f>
        <v>0</v>
      </c>
      <c r="K3393" s="19">
        <f t="shared" si="653"/>
        <v>6120</v>
      </c>
    </row>
    <row r="3394" spans="1:11">
      <c r="A3394">
        <v>3392</v>
      </c>
      <c r="B3394">
        <v>7.7500000000000007E+106</v>
      </c>
      <c r="D3394" s="18">
        <v>3392</v>
      </c>
      <c r="E3394" s="18" cm="1">
        <f t="array" aca="1" ref="E3394" ca="1">INDIRECT("b"&amp;F3394+2)</f>
        <v>9.7750000000000011E+144</v>
      </c>
      <c r="F3394" s="18">
        <f t="shared" si="656"/>
        <v>4921</v>
      </c>
      <c r="G3394" s="18"/>
      <c r="H3394" s="18"/>
      <c r="I3394" s="19">
        <v>3392</v>
      </c>
      <c r="J3394" s="19" cm="1">
        <f t="array" aca="1" ref="J3394" ca="1">INDIRECT("b"&amp;K3394+2)</f>
        <v>0</v>
      </c>
      <c r="K3394" s="19">
        <f t="shared" si="653"/>
        <v>6121</v>
      </c>
    </row>
    <row r="3395" spans="1:11">
      <c r="A3395">
        <v>3393</v>
      </c>
      <c r="B3395">
        <v>7.9749999999999997E+106</v>
      </c>
      <c r="D3395" s="18">
        <v>3393</v>
      </c>
      <c r="E3395" s="18" cm="1">
        <f t="array" aca="1" ref="E3395" ca="1">INDIRECT("b"&amp;F3395+2)</f>
        <v>9.9999999999999999E+144</v>
      </c>
      <c r="F3395" s="18">
        <f t="shared" si="656"/>
        <v>4922</v>
      </c>
      <c r="G3395" s="18"/>
      <c r="H3395" s="18"/>
      <c r="I3395" s="19">
        <v>3393</v>
      </c>
      <c r="J3395" s="19" cm="1">
        <f t="array" aca="1" ref="J3395" ca="1">INDIRECT("b"&amp;K3395+2)</f>
        <v>0</v>
      </c>
      <c r="K3395" s="19">
        <f t="shared" si="653"/>
        <v>6122</v>
      </c>
    </row>
    <row r="3396" spans="1:11">
      <c r="A3396">
        <v>3394</v>
      </c>
      <c r="B3396">
        <v>8.2000000000000005E+106</v>
      </c>
      <c r="D3396" s="18">
        <v>3394</v>
      </c>
      <c r="E3396" s="18" cm="1">
        <f t="array" aca="1" ref="E3396" ca="1">INDIRECT("b"&amp;F3396+2)</f>
        <v>1.45E+145</v>
      </c>
      <c r="F3396" s="18">
        <f t="shared" si="656"/>
        <v>4924</v>
      </c>
      <c r="G3396" s="18"/>
      <c r="H3396" s="18"/>
      <c r="I3396" s="19">
        <v>3394</v>
      </c>
      <c r="J3396" s="19" cm="1">
        <f t="array" aca="1" ref="J3396" ca="1">INDIRECT("b"&amp;K3396+2)</f>
        <v>0</v>
      </c>
      <c r="K3396" s="19">
        <f t="shared" ref="K3396:K3459" si="667">INT((A3396-1)*40/30+900*40/30)+400</f>
        <v>6124</v>
      </c>
    </row>
    <row r="3397" spans="1:11">
      <c r="A3397">
        <v>3395</v>
      </c>
      <c r="B3397">
        <v>8.4249999999999995E+106</v>
      </c>
      <c r="D3397" s="18">
        <v>3395</v>
      </c>
      <c r="E3397" s="18" cm="1">
        <f t="array" aca="1" ref="E3397" ca="1">INDIRECT("b"&amp;F3397+2)</f>
        <v>1.6750000000000002E+145</v>
      </c>
      <c r="F3397" s="18">
        <f t="shared" si="656"/>
        <v>4925</v>
      </c>
      <c r="G3397" s="18">
        <f t="shared" ref="G3397" ca="1" si="668">E3397/E3392</f>
        <v>1.8406593406593408</v>
      </c>
      <c r="H3397" s="18"/>
      <c r="I3397" s="19">
        <v>3395</v>
      </c>
      <c r="J3397" s="19" cm="1">
        <f t="array" aca="1" ref="J3397" ca="1">INDIRECT("b"&amp;K3397+2)</f>
        <v>0</v>
      </c>
      <c r="K3397" s="19">
        <f t="shared" si="667"/>
        <v>6125</v>
      </c>
    </row>
    <row r="3398" spans="1:11">
      <c r="A3398">
        <v>3396</v>
      </c>
      <c r="B3398">
        <v>8.6500000000000003E+106</v>
      </c>
      <c r="D3398" s="18">
        <v>3396</v>
      </c>
      <c r="E3398" s="18" cm="1">
        <f t="array" aca="1" ref="E3398" ca="1">INDIRECT("b"&amp;F3398+2)</f>
        <v>1.9000000000000001E+145</v>
      </c>
      <c r="F3398" s="18">
        <f t="shared" si="656"/>
        <v>4926</v>
      </c>
      <c r="G3398" s="18"/>
      <c r="H3398" s="18"/>
      <c r="I3398" s="19">
        <v>3396</v>
      </c>
      <c r="J3398" s="19" cm="1">
        <f t="array" aca="1" ref="J3398" ca="1">INDIRECT("b"&amp;K3398+2)</f>
        <v>0</v>
      </c>
      <c r="K3398" s="19">
        <f t="shared" si="667"/>
        <v>6126</v>
      </c>
    </row>
    <row r="3399" spans="1:11">
      <c r="A3399">
        <v>3397</v>
      </c>
      <c r="B3399">
        <v>8.8749999999999994E+106</v>
      </c>
      <c r="D3399" s="18">
        <v>3397</v>
      </c>
      <c r="E3399" s="18" cm="1">
        <f t="array" aca="1" ref="E3399" ca="1">INDIRECT("b"&amp;F3399+2)</f>
        <v>2.3500000000000001E+145</v>
      </c>
      <c r="F3399" s="18">
        <f t="shared" si="656"/>
        <v>4928</v>
      </c>
      <c r="G3399" s="18"/>
      <c r="H3399" s="18"/>
      <c r="I3399" s="19">
        <v>3397</v>
      </c>
      <c r="J3399" s="19" cm="1">
        <f t="array" aca="1" ref="J3399" ca="1">INDIRECT("b"&amp;K3399+2)</f>
        <v>0</v>
      </c>
      <c r="K3399" s="19">
        <f t="shared" si="667"/>
        <v>6128</v>
      </c>
    </row>
    <row r="3400" spans="1:11">
      <c r="A3400">
        <v>3398</v>
      </c>
      <c r="B3400">
        <v>9.1000000000000001E+106</v>
      </c>
      <c r="D3400" s="18">
        <v>3398</v>
      </c>
      <c r="E3400" s="18" cm="1">
        <f t="array" aca="1" ref="E3400" ca="1">INDIRECT("b"&amp;F3400+2)</f>
        <v>2.575E+145</v>
      </c>
      <c r="F3400" s="18">
        <f t="shared" si="656"/>
        <v>4929</v>
      </c>
      <c r="G3400" s="18"/>
      <c r="H3400" s="18"/>
      <c r="I3400" s="19">
        <v>3398</v>
      </c>
      <c r="J3400" s="19" cm="1">
        <f t="array" aca="1" ref="J3400" ca="1">INDIRECT("b"&amp;K3400+2)</f>
        <v>0</v>
      </c>
      <c r="K3400" s="19">
        <f t="shared" si="667"/>
        <v>6129</v>
      </c>
    </row>
    <row r="3401" spans="1:11">
      <c r="A3401">
        <v>3399</v>
      </c>
      <c r="B3401">
        <v>9.3249999999999992E+106</v>
      </c>
      <c r="D3401" s="18">
        <v>3399</v>
      </c>
      <c r="E3401" s="18" cm="1">
        <f t="array" aca="1" ref="E3401" ca="1">INDIRECT("b"&amp;F3401+2)</f>
        <v>2.7999999999999999E+145</v>
      </c>
      <c r="F3401" s="18">
        <f t="shared" si="656"/>
        <v>4930</v>
      </c>
      <c r="G3401" s="18"/>
      <c r="H3401" s="18"/>
      <c r="I3401" s="19">
        <v>3399</v>
      </c>
      <c r="J3401" s="19" cm="1">
        <f t="array" aca="1" ref="J3401" ca="1">INDIRECT("b"&amp;K3401+2)</f>
        <v>0</v>
      </c>
      <c r="K3401" s="19">
        <f t="shared" si="667"/>
        <v>6130</v>
      </c>
    </row>
    <row r="3402" spans="1:11">
      <c r="A3402">
        <v>3400</v>
      </c>
      <c r="B3402">
        <v>9.5499999999999999E+106</v>
      </c>
      <c r="D3402" s="18">
        <v>3400</v>
      </c>
      <c r="E3402" s="18" cm="1">
        <f t="array" aca="1" ref="E3402" ca="1">INDIRECT("b"&amp;F3402+2)</f>
        <v>3.2500000000000002E+145</v>
      </c>
      <c r="F3402" s="18">
        <f t="shared" si="656"/>
        <v>4932</v>
      </c>
      <c r="G3402" s="18">
        <f t="shared" ref="G3402" ca="1" si="669">E3402/E3397</f>
        <v>1.9402985074626864</v>
      </c>
      <c r="H3402" s="18"/>
      <c r="I3402" s="19">
        <v>3400</v>
      </c>
      <c r="J3402" s="19" cm="1">
        <f t="array" aca="1" ref="J3402" ca="1">INDIRECT("b"&amp;K3402+2)</f>
        <v>0</v>
      </c>
      <c r="K3402" s="19">
        <f t="shared" si="667"/>
        <v>6132</v>
      </c>
    </row>
    <row r="3403" spans="1:11">
      <c r="A3403">
        <v>3401</v>
      </c>
      <c r="B3403">
        <v>9.7750000000000006E+106</v>
      </c>
      <c r="D3403" s="18">
        <v>3401</v>
      </c>
      <c r="E3403" s="18" cm="1">
        <f t="array" aca="1" ref="E3403" ca="1">INDIRECT("b"&amp;F3403+2)</f>
        <v>3.4750000000000001E+145</v>
      </c>
      <c r="F3403" s="18">
        <f t="shared" si="656"/>
        <v>4933</v>
      </c>
      <c r="G3403" s="18"/>
      <c r="H3403" s="18"/>
      <c r="I3403" s="19">
        <v>3401</v>
      </c>
      <c r="J3403" s="19" cm="1">
        <f t="array" aca="1" ref="J3403" ca="1">INDIRECT("b"&amp;K3403+2)</f>
        <v>0</v>
      </c>
      <c r="K3403" s="19">
        <f t="shared" si="667"/>
        <v>6133</v>
      </c>
    </row>
    <row r="3404" spans="1:11">
      <c r="A3404">
        <v>3402</v>
      </c>
      <c r="B3404">
        <v>9.9999999999999997E+106</v>
      </c>
      <c r="D3404" s="18">
        <v>3402</v>
      </c>
      <c r="E3404" s="18" cm="1">
        <f t="array" aca="1" ref="E3404" ca="1">INDIRECT("b"&amp;F3404+2)</f>
        <v>3.6999999999999999E+145</v>
      </c>
      <c r="F3404" s="18">
        <f t="shared" si="656"/>
        <v>4934</v>
      </c>
      <c r="G3404" s="18"/>
      <c r="H3404" s="18"/>
      <c r="I3404" s="19">
        <v>3402</v>
      </c>
      <c r="J3404" s="19" cm="1">
        <f t="array" aca="1" ref="J3404" ca="1">INDIRECT("b"&amp;K3404+2)</f>
        <v>0</v>
      </c>
      <c r="K3404" s="19">
        <f t="shared" si="667"/>
        <v>6134</v>
      </c>
    </row>
    <row r="3405" spans="1:11">
      <c r="A3405">
        <v>3403</v>
      </c>
      <c r="B3405">
        <v>1.225E+107</v>
      </c>
      <c r="D3405" s="18">
        <v>3403</v>
      </c>
      <c r="E3405" s="18" cm="1">
        <f t="array" aca="1" ref="E3405" ca="1">INDIRECT("b"&amp;F3405+2)</f>
        <v>4.1500000000000002E+145</v>
      </c>
      <c r="F3405" s="18">
        <f t="shared" si="656"/>
        <v>4936</v>
      </c>
      <c r="G3405" s="18"/>
      <c r="H3405" s="18"/>
      <c r="I3405" s="19">
        <v>3403</v>
      </c>
      <c r="J3405" s="19" cm="1">
        <f t="array" aca="1" ref="J3405" ca="1">INDIRECT("b"&amp;K3405+2)</f>
        <v>0</v>
      </c>
      <c r="K3405" s="19">
        <f t="shared" si="667"/>
        <v>6136</v>
      </c>
    </row>
    <row r="3406" spans="1:11">
      <c r="A3406">
        <v>3404</v>
      </c>
      <c r="B3406">
        <v>1.4499999999999999E+107</v>
      </c>
      <c r="D3406" s="18">
        <v>3404</v>
      </c>
      <c r="E3406" s="18" cm="1">
        <f t="array" aca="1" ref="E3406" ca="1">INDIRECT("b"&amp;F3406+2)</f>
        <v>4.3750000000000001E+145</v>
      </c>
      <c r="F3406" s="18">
        <f t="shared" si="656"/>
        <v>4937</v>
      </c>
      <c r="G3406" s="18"/>
      <c r="H3406" s="18"/>
      <c r="I3406" s="19">
        <v>3404</v>
      </c>
      <c r="J3406" s="19" cm="1">
        <f t="array" aca="1" ref="J3406" ca="1">INDIRECT("b"&amp;K3406+2)</f>
        <v>0</v>
      </c>
      <c r="K3406" s="19">
        <f t="shared" si="667"/>
        <v>6137</v>
      </c>
    </row>
    <row r="3407" spans="1:11">
      <c r="A3407">
        <v>3405</v>
      </c>
      <c r="B3407">
        <v>1.6749999999999998E+107</v>
      </c>
      <c r="D3407" s="18">
        <v>3405</v>
      </c>
      <c r="E3407" s="18" cm="1">
        <f t="array" aca="1" ref="E3407" ca="1">INDIRECT("b"&amp;F3407+2)</f>
        <v>4.6E+145</v>
      </c>
      <c r="F3407" s="18">
        <f t="shared" si="656"/>
        <v>4938</v>
      </c>
      <c r="G3407" s="18">
        <f t="shared" ref="G3407" ca="1" si="670">E3407/E3402</f>
        <v>1.4153846153846152</v>
      </c>
      <c r="H3407" s="18"/>
      <c r="I3407" s="19">
        <v>3405</v>
      </c>
      <c r="J3407" s="19" cm="1">
        <f t="array" aca="1" ref="J3407" ca="1">INDIRECT("b"&amp;K3407+2)</f>
        <v>0</v>
      </c>
      <c r="K3407" s="19">
        <f t="shared" si="667"/>
        <v>6138</v>
      </c>
    </row>
    <row r="3408" spans="1:11">
      <c r="A3408">
        <v>3406</v>
      </c>
      <c r="B3408">
        <v>1.8999999999999999E+107</v>
      </c>
      <c r="D3408" s="18">
        <v>3406</v>
      </c>
      <c r="E3408" s="18" cm="1">
        <f t="array" aca="1" ref="E3408" ca="1">INDIRECT("b"&amp;F3408+2)</f>
        <v>5.0499999999999998E+145</v>
      </c>
      <c r="F3408" s="18">
        <f t="shared" si="656"/>
        <v>4940</v>
      </c>
      <c r="G3408" s="18"/>
      <c r="H3408" s="18"/>
      <c r="I3408" s="19">
        <v>3406</v>
      </c>
      <c r="J3408" s="19" cm="1">
        <f t="array" aca="1" ref="J3408" ca="1">INDIRECT("b"&amp;K3408+2)</f>
        <v>0</v>
      </c>
      <c r="K3408" s="19">
        <f t="shared" si="667"/>
        <v>6140</v>
      </c>
    </row>
    <row r="3409" spans="1:11">
      <c r="A3409">
        <v>3407</v>
      </c>
      <c r="B3409">
        <v>2.125E+107</v>
      </c>
      <c r="D3409" s="18">
        <v>3407</v>
      </c>
      <c r="E3409" s="18" cm="1">
        <f t="array" aca="1" ref="E3409" ca="1">INDIRECT("b"&amp;F3409+2)</f>
        <v>5.2749999999999996E+145</v>
      </c>
      <c r="F3409" s="18">
        <f t="shared" si="656"/>
        <v>4941</v>
      </c>
      <c r="G3409" s="18"/>
      <c r="H3409" s="18"/>
      <c r="I3409" s="19">
        <v>3407</v>
      </c>
      <c r="J3409" s="19" cm="1">
        <f t="array" aca="1" ref="J3409" ca="1">INDIRECT("b"&amp;K3409+2)</f>
        <v>0</v>
      </c>
      <c r="K3409" s="19">
        <f t="shared" si="667"/>
        <v>6141</v>
      </c>
    </row>
    <row r="3410" spans="1:11">
      <c r="A3410">
        <v>3408</v>
      </c>
      <c r="B3410">
        <v>2.35E+107</v>
      </c>
      <c r="D3410" s="18">
        <v>3408</v>
      </c>
      <c r="E3410" s="18" cm="1">
        <f t="array" aca="1" ref="E3410" ca="1">INDIRECT("b"&amp;F3410+2)</f>
        <v>5.5000000000000006E+145</v>
      </c>
      <c r="F3410" s="18">
        <f t="shared" si="656"/>
        <v>4942</v>
      </c>
      <c r="G3410" s="18"/>
      <c r="H3410" s="18"/>
      <c r="I3410" s="19">
        <v>3408</v>
      </c>
      <c r="J3410" s="19" cm="1">
        <f t="array" aca="1" ref="J3410" ca="1">INDIRECT("b"&amp;K3410+2)</f>
        <v>0</v>
      </c>
      <c r="K3410" s="19">
        <f t="shared" si="667"/>
        <v>6142</v>
      </c>
    </row>
    <row r="3411" spans="1:11">
      <c r="A3411">
        <v>3409</v>
      </c>
      <c r="B3411">
        <v>2.5749999999999998E+107</v>
      </c>
      <c r="D3411" s="18">
        <v>3409</v>
      </c>
      <c r="E3411" s="18" cm="1">
        <f t="array" aca="1" ref="E3411" ca="1">INDIRECT("b"&amp;F3411+2)</f>
        <v>5.9500000000000004E+145</v>
      </c>
      <c r="F3411" s="18">
        <f t="shared" ref="F3411:F3474" si="671">INT((A3411-123)*1.333333)+563</f>
        <v>4944</v>
      </c>
      <c r="G3411" s="18"/>
      <c r="H3411" s="18"/>
      <c r="I3411" s="19">
        <v>3409</v>
      </c>
      <c r="J3411" s="19" cm="1">
        <f t="array" aca="1" ref="J3411" ca="1">INDIRECT("b"&amp;K3411+2)</f>
        <v>0</v>
      </c>
      <c r="K3411" s="19">
        <f t="shared" si="667"/>
        <v>6144</v>
      </c>
    </row>
    <row r="3412" spans="1:11">
      <c r="A3412">
        <v>3410</v>
      </c>
      <c r="B3412">
        <v>2.7999999999999998E+107</v>
      </c>
      <c r="D3412" s="18">
        <v>3410</v>
      </c>
      <c r="E3412" s="18" cm="1">
        <f t="array" aca="1" ref="E3412" ca="1">INDIRECT("b"&amp;F3412+2)</f>
        <v>6.1750000000000003E+145</v>
      </c>
      <c r="F3412" s="18">
        <f t="shared" si="671"/>
        <v>4945</v>
      </c>
      <c r="G3412" s="18">
        <f t="shared" ref="G3412" ca="1" si="672">E3412/E3407</f>
        <v>1.3423913043478262</v>
      </c>
      <c r="H3412" s="18"/>
      <c r="I3412" s="19">
        <v>3410</v>
      </c>
      <c r="J3412" s="19" cm="1">
        <f t="array" aca="1" ref="J3412" ca="1">INDIRECT("b"&amp;K3412+2)</f>
        <v>0</v>
      </c>
      <c r="K3412" s="19">
        <f t="shared" si="667"/>
        <v>6145</v>
      </c>
    </row>
    <row r="3413" spans="1:11">
      <c r="A3413">
        <v>3411</v>
      </c>
      <c r="B3413">
        <v>3.0249999999999999E+107</v>
      </c>
      <c r="D3413" s="18">
        <v>3411</v>
      </c>
      <c r="E3413" s="18" cm="1">
        <f t="array" aca="1" ref="E3413" ca="1">INDIRECT("b"&amp;F3413+2)</f>
        <v>6.4000000000000002E+145</v>
      </c>
      <c r="F3413" s="18">
        <f t="shared" si="671"/>
        <v>4946</v>
      </c>
      <c r="G3413" s="18"/>
      <c r="H3413" s="18"/>
      <c r="I3413" s="19">
        <v>3411</v>
      </c>
      <c r="J3413" s="19" cm="1">
        <f t="array" aca="1" ref="J3413" ca="1">INDIRECT("b"&amp;K3413+2)</f>
        <v>0</v>
      </c>
      <c r="K3413" s="19">
        <f t="shared" si="667"/>
        <v>6146</v>
      </c>
    </row>
    <row r="3414" spans="1:11">
      <c r="A3414">
        <v>3412</v>
      </c>
      <c r="B3414">
        <v>3.2499999999999997E+107</v>
      </c>
      <c r="D3414" s="18">
        <v>3412</v>
      </c>
      <c r="E3414" s="18" cm="1">
        <f t="array" aca="1" ref="E3414" ca="1">INDIRECT("b"&amp;F3414+2)</f>
        <v>6.8499999999999999E+145</v>
      </c>
      <c r="F3414" s="18">
        <f t="shared" si="671"/>
        <v>4948</v>
      </c>
      <c r="G3414" s="18"/>
      <c r="H3414" s="18"/>
      <c r="I3414" s="19">
        <v>3412</v>
      </c>
      <c r="J3414" s="19" cm="1">
        <f t="array" aca="1" ref="J3414" ca="1">INDIRECT("b"&amp;K3414+2)</f>
        <v>0</v>
      </c>
      <c r="K3414" s="19">
        <f t="shared" si="667"/>
        <v>6148</v>
      </c>
    </row>
    <row r="3415" spans="1:11">
      <c r="A3415">
        <v>3413</v>
      </c>
      <c r="B3415">
        <v>3.475E+107</v>
      </c>
      <c r="D3415" s="18">
        <v>3413</v>
      </c>
      <c r="E3415" s="18" cm="1">
        <f t="array" aca="1" ref="E3415" ca="1">INDIRECT("b"&amp;F3415+2)</f>
        <v>7.0749999999999998E+145</v>
      </c>
      <c r="F3415" s="18">
        <f t="shared" si="671"/>
        <v>4949</v>
      </c>
      <c r="G3415" s="18"/>
      <c r="H3415" s="18"/>
      <c r="I3415" s="19">
        <v>3413</v>
      </c>
      <c r="J3415" s="19" cm="1">
        <f t="array" aca="1" ref="J3415" ca="1">INDIRECT("b"&amp;K3415+2)</f>
        <v>0</v>
      </c>
      <c r="K3415" s="19">
        <f t="shared" si="667"/>
        <v>6149</v>
      </c>
    </row>
    <row r="3416" spans="1:11">
      <c r="A3416">
        <v>3414</v>
      </c>
      <c r="B3416">
        <v>3.6999999999999998E+107</v>
      </c>
      <c r="D3416" s="18">
        <v>3414</v>
      </c>
      <c r="E3416" s="18" cm="1">
        <f t="array" aca="1" ref="E3416" ca="1">INDIRECT("b"&amp;F3416+2)</f>
        <v>7.3000000000000008E+145</v>
      </c>
      <c r="F3416" s="18">
        <f t="shared" si="671"/>
        <v>4950</v>
      </c>
      <c r="G3416" s="18"/>
      <c r="H3416" s="18"/>
      <c r="I3416" s="19">
        <v>3414</v>
      </c>
      <c r="J3416" s="19" cm="1">
        <f t="array" aca="1" ref="J3416" ca="1">INDIRECT("b"&amp;K3416+2)</f>
        <v>0</v>
      </c>
      <c r="K3416" s="19">
        <f t="shared" si="667"/>
        <v>6150</v>
      </c>
    </row>
    <row r="3417" spans="1:11">
      <c r="A3417">
        <v>3415</v>
      </c>
      <c r="B3417">
        <v>3.9250000000000002E+107</v>
      </c>
      <c r="D3417" s="18">
        <v>3415</v>
      </c>
      <c r="E3417" s="18" cm="1">
        <f t="array" aca="1" ref="E3417" ca="1">INDIRECT("b"&amp;F3417+2)</f>
        <v>7.7500000000000005E+145</v>
      </c>
      <c r="F3417" s="18">
        <f t="shared" si="671"/>
        <v>4952</v>
      </c>
      <c r="G3417" s="18">
        <f t="shared" ref="G3417" ca="1" si="673">E3417/E3412</f>
        <v>1.2550607287449393</v>
      </c>
      <c r="H3417" s="18"/>
      <c r="I3417" s="19">
        <v>3415</v>
      </c>
      <c r="J3417" s="19" cm="1">
        <f t="array" aca="1" ref="J3417" ca="1">INDIRECT("b"&amp;K3417+2)</f>
        <v>0</v>
      </c>
      <c r="K3417" s="19">
        <f t="shared" si="667"/>
        <v>6152</v>
      </c>
    </row>
    <row r="3418" spans="1:11">
      <c r="A3418">
        <v>3416</v>
      </c>
      <c r="B3418">
        <v>4.1499999999999999E+107</v>
      </c>
      <c r="D3418" s="18">
        <v>3416</v>
      </c>
      <c r="E3418" s="18" cm="1">
        <f t="array" aca="1" ref="E3418" ca="1">INDIRECT("b"&amp;F3418+2)</f>
        <v>7.9750000000000004E+145</v>
      </c>
      <c r="F3418" s="18">
        <f t="shared" si="671"/>
        <v>4953</v>
      </c>
      <c r="G3418" s="18"/>
      <c r="H3418" s="18"/>
      <c r="I3418" s="19">
        <v>3416</v>
      </c>
      <c r="J3418" s="19" cm="1">
        <f t="array" aca="1" ref="J3418" ca="1">INDIRECT("b"&amp;K3418+2)</f>
        <v>0</v>
      </c>
      <c r="K3418" s="19">
        <f t="shared" si="667"/>
        <v>6153</v>
      </c>
    </row>
    <row r="3419" spans="1:11">
      <c r="A3419">
        <v>3417</v>
      </c>
      <c r="B3419">
        <v>4.3749999999999997E+107</v>
      </c>
      <c r="D3419" s="18">
        <v>3417</v>
      </c>
      <c r="E3419" s="18" cm="1">
        <f t="array" aca="1" ref="E3419" ca="1">INDIRECT("b"&amp;F3419+2)</f>
        <v>8.2000000000000003E+145</v>
      </c>
      <c r="F3419" s="18">
        <f t="shared" si="671"/>
        <v>4954</v>
      </c>
      <c r="G3419" s="18"/>
      <c r="H3419" s="18"/>
      <c r="I3419" s="19">
        <v>3417</v>
      </c>
      <c r="J3419" s="19" cm="1">
        <f t="array" aca="1" ref="J3419" ca="1">INDIRECT("b"&amp;K3419+2)</f>
        <v>0</v>
      </c>
      <c r="K3419" s="19">
        <f t="shared" si="667"/>
        <v>6154</v>
      </c>
    </row>
    <row r="3420" spans="1:11">
      <c r="A3420">
        <v>3418</v>
      </c>
      <c r="B3420">
        <v>4.6000000000000001E+107</v>
      </c>
      <c r="D3420" s="18">
        <v>3418</v>
      </c>
      <c r="E3420" s="18" cm="1">
        <f t="array" aca="1" ref="E3420" ca="1">INDIRECT("b"&amp;F3420+2)</f>
        <v>8.6500000000000001E+145</v>
      </c>
      <c r="F3420" s="18">
        <f t="shared" si="671"/>
        <v>4956</v>
      </c>
      <c r="G3420" s="18"/>
      <c r="H3420" s="18"/>
      <c r="I3420" s="19">
        <v>3418</v>
      </c>
      <c r="J3420" s="19" cm="1">
        <f t="array" aca="1" ref="J3420" ca="1">INDIRECT("b"&amp;K3420+2)</f>
        <v>0</v>
      </c>
      <c r="K3420" s="19">
        <f t="shared" si="667"/>
        <v>6156</v>
      </c>
    </row>
    <row r="3421" spans="1:11">
      <c r="A3421">
        <v>3419</v>
      </c>
      <c r="B3421">
        <v>4.8249999999999998E+107</v>
      </c>
      <c r="D3421" s="18">
        <v>3419</v>
      </c>
      <c r="E3421" s="18" cm="1">
        <f t="array" aca="1" ref="E3421" ca="1">INDIRECT("b"&amp;F3421+2)</f>
        <v>8.8749999999999999E+145</v>
      </c>
      <c r="F3421" s="18">
        <f t="shared" si="671"/>
        <v>4957</v>
      </c>
      <c r="G3421" s="18"/>
      <c r="H3421" s="18"/>
      <c r="I3421" s="19">
        <v>3419</v>
      </c>
      <c r="J3421" s="19" cm="1">
        <f t="array" aca="1" ref="J3421" ca="1">INDIRECT("b"&amp;K3421+2)</f>
        <v>0</v>
      </c>
      <c r="K3421" s="19">
        <f t="shared" si="667"/>
        <v>6157</v>
      </c>
    </row>
    <row r="3422" spans="1:11">
      <c r="A3422">
        <v>3420</v>
      </c>
      <c r="B3422">
        <v>5.0499999999999995E+107</v>
      </c>
      <c r="D3422" s="18">
        <v>3420</v>
      </c>
      <c r="E3422" s="18" cm="1">
        <f t="array" aca="1" ref="E3422" ca="1">INDIRECT("b"&amp;F3422+2)</f>
        <v>9.0999999999999998E+145</v>
      </c>
      <c r="F3422" s="18">
        <f t="shared" si="671"/>
        <v>4958</v>
      </c>
      <c r="G3422" s="18">
        <f t="shared" ref="G3422" ca="1" si="674">E3422/E3417</f>
        <v>1.1741935483870967</v>
      </c>
      <c r="H3422" s="18"/>
      <c r="I3422" s="19">
        <v>3420</v>
      </c>
      <c r="J3422" s="19" cm="1">
        <f t="array" aca="1" ref="J3422" ca="1">INDIRECT("b"&amp;K3422+2)</f>
        <v>0</v>
      </c>
      <c r="K3422" s="19">
        <f t="shared" si="667"/>
        <v>6158</v>
      </c>
    </row>
    <row r="3423" spans="1:11">
      <c r="A3423">
        <v>3421</v>
      </c>
      <c r="B3423">
        <v>5.2749999999999999E+107</v>
      </c>
      <c r="D3423" s="18">
        <v>3421</v>
      </c>
      <c r="E3423" s="18" cm="1">
        <f t="array" aca="1" ref="E3423" ca="1">INDIRECT("b"&amp;F3423+2)</f>
        <v>9.5500000000000007E+145</v>
      </c>
      <c r="F3423" s="18">
        <f t="shared" si="671"/>
        <v>4960</v>
      </c>
      <c r="G3423" s="18"/>
      <c r="H3423" s="18"/>
      <c r="I3423" s="19">
        <v>3421</v>
      </c>
      <c r="J3423" s="19" cm="1">
        <f t="array" aca="1" ref="J3423" ca="1">INDIRECT("b"&amp;K3423+2)</f>
        <v>0</v>
      </c>
      <c r="K3423" s="19">
        <f t="shared" si="667"/>
        <v>6160</v>
      </c>
    </row>
    <row r="3424" spans="1:11">
      <c r="A3424">
        <v>3422</v>
      </c>
      <c r="B3424">
        <v>5.4999999999999997E+107</v>
      </c>
      <c r="D3424" s="18">
        <v>3422</v>
      </c>
      <c r="E3424" s="18" cm="1">
        <f t="array" aca="1" ref="E3424" ca="1">INDIRECT("b"&amp;F3424+2)</f>
        <v>9.7750000000000006E+145</v>
      </c>
      <c r="F3424" s="18">
        <f t="shared" si="671"/>
        <v>4961</v>
      </c>
      <c r="G3424" s="18"/>
      <c r="H3424" s="18"/>
      <c r="I3424" s="19">
        <v>3422</v>
      </c>
      <c r="J3424" s="19" cm="1">
        <f t="array" aca="1" ref="J3424" ca="1">INDIRECT("b"&amp;K3424+2)</f>
        <v>0</v>
      </c>
      <c r="K3424" s="19">
        <f t="shared" si="667"/>
        <v>6161</v>
      </c>
    </row>
    <row r="3425" spans="1:11">
      <c r="A3425">
        <v>3423</v>
      </c>
      <c r="B3425">
        <v>5.7250000000000001E+107</v>
      </c>
      <c r="D3425" s="18">
        <v>3423</v>
      </c>
      <c r="E3425" s="18" cm="1">
        <f t="array" aca="1" ref="E3425" ca="1">INDIRECT("b"&amp;F3425+2)</f>
        <v>9.9999999999999993E+145</v>
      </c>
      <c r="F3425" s="18">
        <f t="shared" si="671"/>
        <v>4962</v>
      </c>
      <c r="G3425" s="18"/>
      <c r="H3425" s="18"/>
      <c r="I3425" s="19">
        <v>3423</v>
      </c>
      <c r="J3425" s="19" cm="1">
        <f t="array" aca="1" ref="J3425" ca="1">INDIRECT("b"&amp;K3425+2)</f>
        <v>0</v>
      </c>
      <c r="K3425" s="19">
        <f t="shared" si="667"/>
        <v>6162</v>
      </c>
    </row>
    <row r="3426" spans="1:11">
      <c r="A3426">
        <v>3424</v>
      </c>
      <c r="B3426">
        <v>5.9499999999999998E+107</v>
      </c>
      <c r="D3426" s="18">
        <v>3424</v>
      </c>
      <c r="E3426" s="18" cm="1">
        <f t="array" aca="1" ref="E3426" ca="1">INDIRECT("b"&amp;F3426+2)</f>
        <v>1.4500000000000001E+146</v>
      </c>
      <c r="F3426" s="18">
        <f t="shared" si="671"/>
        <v>4964</v>
      </c>
      <c r="G3426" s="18"/>
      <c r="H3426" s="18"/>
      <c r="I3426" s="19">
        <v>3424</v>
      </c>
      <c r="J3426" s="19" cm="1">
        <f t="array" aca="1" ref="J3426" ca="1">INDIRECT("b"&amp;K3426+2)</f>
        <v>0</v>
      </c>
      <c r="K3426" s="19">
        <f t="shared" si="667"/>
        <v>6164</v>
      </c>
    </row>
    <row r="3427" spans="1:11">
      <c r="A3427">
        <v>3425</v>
      </c>
      <c r="B3427">
        <v>6.1749999999999995E+107</v>
      </c>
      <c r="D3427" s="18">
        <v>3425</v>
      </c>
      <c r="E3427" s="18" cm="1">
        <f t="array" aca="1" ref="E3427" ca="1">INDIRECT("b"&amp;F3427+2)</f>
        <v>1.675E+146</v>
      </c>
      <c r="F3427" s="18">
        <f t="shared" si="671"/>
        <v>4965</v>
      </c>
      <c r="G3427" s="18">
        <f t="shared" ref="G3427" ca="1" si="675">E3427/E3422</f>
        <v>1.8406593406593408</v>
      </c>
      <c r="H3427" s="18"/>
      <c r="I3427" s="19">
        <v>3425</v>
      </c>
      <c r="J3427" s="19" cm="1">
        <f t="array" aca="1" ref="J3427" ca="1">INDIRECT("b"&amp;K3427+2)</f>
        <v>0</v>
      </c>
      <c r="K3427" s="19">
        <f t="shared" si="667"/>
        <v>6165</v>
      </c>
    </row>
    <row r="3428" spans="1:11">
      <c r="A3428">
        <v>3426</v>
      </c>
      <c r="B3428">
        <v>6.3999999999999993E+107</v>
      </c>
      <c r="D3428" s="18">
        <v>3426</v>
      </c>
      <c r="E3428" s="18" cm="1">
        <f t="array" aca="1" ref="E3428" ca="1">INDIRECT("b"&amp;F3428+2)</f>
        <v>1.9000000000000001E+146</v>
      </c>
      <c r="F3428" s="18">
        <f t="shared" si="671"/>
        <v>4966</v>
      </c>
      <c r="G3428" s="18"/>
      <c r="H3428" s="18"/>
      <c r="I3428" s="19">
        <v>3426</v>
      </c>
      <c r="J3428" s="19" cm="1">
        <f t="array" aca="1" ref="J3428" ca="1">INDIRECT("b"&amp;K3428+2)</f>
        <v>0</v>
      </c>
      <c r="K3428" s="19">
        <f t="shared" si="667"/>
        <v>6166</v>
      </c>
    </row>
    <row r="3429" spans="1:11">
      <c r="A3429">
        <v>3427</v>
      </c>
      <c r="B3429">
        <v>6.6250000000000003E+107</v>
      </c>
      <c r="D3429" s="18">
        <v>3427</v>
      </c>
      <c r="E3429" s="18" cm="1">
        <f t="array" aca="1" ref="E3429" ca="1">INDIRECT("b"&amp;F3429+2)</f>
        <v>2.3499999999999999E+146</v>
      </c>
      <c r="F3429" s="18">
        <f t="shared" si="671"/>
        <v>4968</v>
      </c>
      <c r="G3429" s="18"/>
      <c r="H3429" s="18"/>
      <c r="I3429" s="19">
        <v>3427</v>
      </c>
      <c r="J3429" s="19" cm="1">
        <f t="array" aca="1" ref="J3429" ca="1">INDIRECT("b"&amp;K3429+2)</f>
        <v>0</v>
      </c>
      <c r="K3429" s="19">
        <f t="shared" si="667"/>
        <v>6168</v>
      </c>
    </row>
    <row r="3430" spans="1:11">
      <c r="A3430">
        <v>3428</v>
      </c>
      <c r="B3430">
        <v>6.8500000000000001E+107</v>
      </c>
      <c r="D3430" s="18">
        <v>3428</v>
      </c>
      <c r="E3430" s="18" cm="1">
        <f t="array" aca="1" ref="E3430" ca="1">INDIRECT("b"&amp;F3430+2)</f>
        <v>2.5750000000000002E+146</v>
      </c>
      <c r="F3430" s="18">
        <f t="shared" si="671"/>
        <v>4969</v>
      </c>
      <c r="G3430" s="18"/>
      <c r="H3430" s="18"/>
      <c r="I3430" s="19">
        <v>3428</v>
      </c>
      <c r="J3430" s="19" cm="1">
        <f t="array" aca="1" ref="J3430" ca="1">INDIRECT("b"&amp;K3430+2)</f>
        <v>0</v>
      </c>
      <c r="K3430" s="19">
        <f t="shared" si="667"/>
        <v>6169</v>
      </c>
    </row>
    <row r="3431" spans="1:11">
      <c r="A3431">
        <v>3429</v>
      </c>
      <c r="B3431">
        <v>7.0749999999999998E+107</v>
      </c>
      <c r="D3431" s="18">
        <v>3429</v>
      </c>
      <c r="E3431" s="18" cm="1">
        <f t="array" aca="1" ref="E3431" ca="1">INDIRECT("b"&amp;F3431+2)</f>
        <v>2.8000000000000001E+146</v>
      </c>
      <c r="F3431" s="18">
        <f t="shared" si="671"/>
        <v>4970</v>
      </c>
      <c r="G3431" s="18"/>
      <c r="H3431" s="18"/>
      <c r="I3431" s="19">
        <v>3429</v>
      </c>
      <c r="J3431" s="19" cm="1">
        <f t="array" aca="1" ref="J3431" ca="1">INDIRECT("b"&amp;K3431+2)</f>
        <v>0</v>
      </c>
      <c r="K3431" s="19">
        <f t="shared" si="667"/>
        <v>6170</v>
      </c>
    </row>
    <row r="3432" spans="1:11">
      <c r="A3432">
        <v>3430</v>
      </c>
      <c r="B3432">
        <v>7.2999999999999995E+107</v>
      </c>
      <c r="D3432" s="18">
        <v>3430</v>
      </c>
      <c r="E3432" s="18" cm="1">
        <f t="array" aca="1" ref="E3432" ca="1">INDIRECT("b"&amp;F3432+2)</f>
        <v>3.2500000000000003E+146</v>
      </c>
      <c r="F3432" s="18">
        <f t="shared" si="671"/>
        <v>4972</v>
      </c>
      <c r="G3432" s="18">
        <f t="shared" ref="G3432" ca="1" si="676">E3432/E3427</f>
        <v>1.9402985074626866</v>
      </c>
      <c r="H3432" s="18"/>
      <c r="I3432" s="19">
        <v>3430</v>
      </c>
      <c r="J3432" s="19" cm="1">
        <f t="array" aca="1" ref="J3432" ca="1">INDIRECT("b"&amp;K3432+2)</f>
        <v>0</v>
      </c>
      <c r="K3432" s="19">
        <f t="shared" si="667"/>
        <v>6172</v>
      </c>
    </row>
    <row r="3433" spans="1:11">
      <c r="A3433">
        <v>3431</v>
      </c>
      <c r="B3433">
        <v>7.5249999999999993E+107</v>
      </c>
      <c r="D3433" s="18">
        <v>3431</v>
      </c>
      <c r="E3433" s="18" cm="1">
        <f t="array" aca="1" ref="E3433" ca="1">INDIRECT("b"&amp;F3433+2)</f>
        <v>3.4750000000000002E+146</v>
      </c>
      <c r="F3433" s="18">
        <f t="shared" si="671"/>
        <v>4973</v>
      </c>
      <c r="G3433" s="18"/>
      <c r="H3433" s="18"/>
      <c r="I3433" s="19">
        <v>3431</v>
      </c>
      <c r="J3433" s="19" cm="1">
        <f t="array" aca="1" ref="J3433" ca="1">INDIRECT("b"&amp;K3433+2)</f>
        <v>0</v>
      </c>
      <c r="K3433" s="19">
        <f t="shared" si="667"/>
        <v>6173</v>
      </c>
    </row>
    <row r="3434" spans="1:11">
      <c r="A3434">
        <v>3432</v>
      </c>
      <c r="B3434">
        <v>7.7500000000000003E+107</v>
      </c>
      <c r="D3434" s="18">
        <v>3432</v>
      </c>
      <c r="E3434" s="18" cm="1">
        <f t="array" aca="1" ref="E3434" ca="1">INDIRECT("b"&amp;F3434+2)</f>
        <v>3.7E+146</v>
      </c>
      <c r="F3434" s="18">
        <f t="shared" si="671"/>
        <v>4974</v>
      </c>
      <c r="G3434" s="18"/>
      <c r="H3434" s="18"/>
      <c r="I3434" s="19">
        <v>3432</v>
      </c>
      <c r="J3434" s="19" cm="1">
        <f t="array" aca="1" ref="J3434" ca="1">INDIRECT("b"&amp;K3434+2)</f>
        <v>0</v>
      </c>
      <c r="K3434" s="19">
        <f t="shared" si="667"/>
        <v>6174</v>
      </c>
    </row>
    <row r="3435" spans="1:11">
      <c r="A3435">
        <v>3433</v>
      </c>
      <c r="B3435">
        <v>7.9750000000000001E+107</v>
      </c>
      <c r="D3435" s="18">
        <v>3433</v>
      </c>
      <c r="E3435" s="18" cm="1">
        <f t="array" aca="1" ref="E3435" ca="1">INDIRECT("b"&amp;F3435+2)</f>
        <v>4.1500000000000002E+146</v>
      </c>
      <c r="F3435" s="18">
        <f t="shared" si="671"/>
        <v>4976</v>
      </c>
      <c r="G3435" s="18"/>
      <c r="H3435" s="18"/>
      <c r="I3435" s="19">
        <v>3433</v>
      </c>
      <c r="J3435" s="19" cm="1">
        <f t="array" aca="1" ref="J3435" ca="1">INDIRECT("b"&amp;K3435+2)</f>
        <v>0</v>
      </c>
      <c r="K3435" s="19">
        <f t="shared" si="667"/>
        <v>6176</v>
      </c>
    </row>
    <row r="3436" spans="1:11">
      <c r="A3436">
        <v>3434</v>
      </c>
      <c r="B3436">
        <v>8.1999999999999998E+107</v>
      </c>
      <c r="D3436" s="18">
        <v>3434</v>
      </c>
      <c r="E3436" s="18" cm="1">
        <f t="array" aca="1" ref="E3436" ca="1">INDIRECT("b"&amp;F3436+2)</f>
        <v>4.3750000000000006E+146</v>
      </c>
      <c r="F3436" s="18">
        <f t="shared" si="671"/>
        <v>4977</v>
      </c>
      <c r="G3436" s="18"/>
      <c r="H3436" s="18"/>
      <c r="I3436" s="19">
        <v>3434</v>
      </c>
      <c r="J3436" s="19" cm="1">
        <f t="array" aca="1" ref="J3436" ca="1">INDIRECT("b"&amp;K3436+2)</f>
        <v>0</v>
      </c>
      <c r="K3436" s="19">
        <f t="shared" si="667"/>
        <v>6177</v>
      </c>
    </row>
    <row r="3437" spans="1:11">
      <c r="A3437">
        <v>3435</v>
      </c>
      <c r="B3437">
        <v>8.4249999999999995E+107</v>
      </c>
      <c r="D3437" s="18">
        <v>3435</v>
      </c>
      <c r="E3437" s="18" cm="1">
        <f t="array" aca="1" ref="E3437" ca="1">INDIRECT("b"&amp;F3437+2)</f>
        <v>4.6E+146</v>
      </c>
      <c r="F3437" s="18">
        <f t="shared" si="671"/>
        <v>4978</v>
      </c>
      <c r="G3437" s="18">
        <f t="shared" ref="G3437" ca="1" si="677">E3437/E3432</f>
        <v>1.4153846153846152</v>
      </c>
      <c r="H3437" s="18"/>
      <c r="I3437" s="19">
        <v>3435</v>
      </c>
      <c r="J3437" s="19" cm="1">
        <f t="array" aca="1" ref="J3437" ca="1">INDIRECT("b"&amp;K3437+2)</f>
        <v>0</v>
      </c>
      <c r="K3437" s="19">
        <f t="shared" si="667"/>
        <v>6178</v>
      </c>
    </row>
    <row r="3438" spans="1:11">
      <c r="A3438">
        <v>3436</v>
      </c>
      <c r="B3438">
        <v>8.6499999999999993E+107</v>
      </c>
      <c r="D3438" s="18">
        <v>3436</v>
      </c>
      <c r="E3438" s="18" cm="1">
        <f t="array" aca="1" ref="E3438" ca="1">INDIRECT("b"&amp;F3438+2)</f>
        <v>5.0499999999999998E+146</v>
      </c>
      <c r="F3438" s="18">
        <f t="shared" si="671"/>
        <v>4980</v>
      </c>
      <c r="G3438" s="18"/>
      <c r="H3438" s="18"/>
      <c r="I3438" s="19">
        <v>3436</v>
      </c>
      <c r="J3438" s="19" cm="1">
        <f t="array" aca="1" ref="J3438" ca="1">INDIRECT("b"&amp;K3438+2)</f>
        <v>0</v>
      </c>
      <c r="K3438" s="19">
        <f t="shared" si="667"/>
        <v>6180</v>
      </c>
    </row>
    <row r="3439" spans="1:11">
      <c r="A3439">
        <v>3437</v>
      </c>
      <c r="B3439">
        <v>8.8750000000000003E+107</v>
      </c>
      <c r="D3439" s="18">
        <v>3437</v>
      </c>
      <c r="E3439" s="18" cm="1">
        <f t="array" aca="1" ref="E3439" ca="1">INDIRECT("b"&amp;F3439+2)</f>
        <v>5.2750000000000001E+146</v>
      </c>
      <c r="F3439" s="18">
        <f t="shared" si="671"/>
        <v>4981</v>
      </c>
      <c r="G3439" s="18"/>
      <c r="H3439" s="18"/>
      <c r="I3439" s="19">
        <v>3437</v>
      </c>
      <c r="J3439" s="19" cm="1">
        <f t="array" aca="1" ref="J3439" ca="1">INDIRECT("b"&amp;K3439+2)</f>
        <v>0</v>
      </c>
      <c r="K3439" s="19">
        <f t="shared" si="667"/>
        <v>6181</v>
      </c>
    </row>
    <row r="3440" spans="1:11">
      <c r="A3440">
        <v>3438</v>
      </c>
      <c r="B3440">
        <v>9.1000000000000001E+107</v>
      </c>
      <c r="D3440" s="18">
        <v>3438</v>
      </c>
      <c r="E3440" s="18" cm="1">
        <f t="array" aca="1" ref="E3440" ca="1">INDIRECT("b"&amp;F3440+2)</f>
        <v>5.5000000000000004E+146</v>
      </c>
      <c r="F3440" s="18">
        <f t="shared" si="671"/>
        <v>4982</v>
      </c>
      <c r="G3440" s="18"/>
      <c r="H3440" s="18"/>
      <c r="I3440" s="19">
        <v>3438</v>
      </c>
      <c r="J3440" s="19" cm="1">
        <f t="array" aca="1" ref="J3440" ca="1">INDIRECT("b"&amp;K3440+2)</f>
        <v>0</v>
      </c>
      <c r="K3440" s="19">
        <f t="shared" si="667"/>
        <v>6182</v>
      </c>
    </row>
    <row r="3441" spans="1:11">
      <c r="A3441">
        <v>3439</v>
      </c>
      <c r="B3441">
        <v>9.3249999999999998E+107</v>
      </c>
      <c r="D3441" s="18">
        <v>3439</v>
      </c>
      <c r="E3441" s="18" cm="1">
        <f t="array" aca="1" ref="E3441" ca="1">INDIRECT("b"&amp;F3441+2)</f>
        <v>5.9500000000000002E+146</v>
      </c>
      <c r="F3441" s="18">
        <f t="shared" si="671"/>
        <v>4984</v>
      </c>
      <c r="G3441" s="18"/>
      <c r="H3441" s="18"/>
      <c r="I3441" s="19">
        <v>3439</v>
      </c>
      <c r="J3441" s="19" cm="1">
        <f t="array" aca="1" ref="J3441" ca="1">INDIRECT("b"&amp;K3441+2)</f>
        <v>0</v>
      </c>
      <c r="K3441" s="19">
        <f t="shared" si="667"/>
        <v>6184</v>
      </c>
    </row>
    <row r="3442" spans="1:11">
      <c r="A3442">
        <v>3440</v>
      </c>
      <c r="B3442">
        <v>9.5499999999999996E+107</v>
      </c>
      <c r="D3442" s="18">
        <v>3440</v>
      </c>
      <c r="E3442" s="18" cm="1">
        <f t="array" aca="1" ref="E3442" ca="1">INDIRECT("b"&amp;F3442+2)</f>
        <v>6.1750000000000005E+146</v>
      </c>
      <c r="F3442" s="18">
        <f t="shared" si="671"/>
        <v>4985</v>
      </c>
      <c r="G3442" s="18">
        <f t="shared" ref="G3442" ca="1" si="678">E3442/E3437</f>
        <v>1.3423913043478262</v>
      </c>
      <c r="H3442" s="18"/>
      <c r="I3442" s="19">
        <v>3440</v>
      </c>
      <c r="J3442" s="19" cm="1">
        <f t="array" aca="1" ref="J3442" ca="1">INDIRECT("b"&amp;K3442+2)</f>
        <v>0</v>
      </c>
      <c r="K3442" s="19">
        <f t="shared" si="667"/>
        <v>6185</v>
      </c>
    </row>
    <row r="3443" spans="1:11">
      <c r="A3443">
        <v>3441</v>
      </c>
      <c r="B3443">
        <v>9.7749999999999993E+107</v>
      </c>
      <c r="D3443" s="18">
        <v>3441</v>
      </c>
      <c r="E3443" s="18" cm="1">
        <f t="array" aca="1" ref="E3443" ca="1">INDIRECT("b"&amp;F3443+2)</f>
        <v>6.3999999999999999E+146</v>
      </c>
      <c r="F3443" s="18">
        <f t="shared" si="671"/>
        <v>4986</v>
      </c>
      <c r="G3443" s="18"/>
      <c r="H3443" s="18"/>
      <c r="I3443" s="19">
        <v>3441</v>
      </c>
      <c r="J3443" s="19" cm="1">
        <f t="array" aca="1" ref="J3443" ca="1">INDIRECT("b"&amp;K3443+2)</f>
        <v>0</v>
      </c>
      <c r="K3443" s="19">
        <f t="shared" si="667"/>
        <v>6186</v>
      </c>
    </row>
    <row r="3444" spans="1:11">
      <c r="A3444">
        <v>3442</v>
      </c>
      <c r="B3444">
        <v>1E+108</v>
      </c>
      <c r="D3444" s="18">
        <v>3442</v>
      </c>
      <c r="E3444" s="18" cm="1">
        <f t="array" aca="1" ref="E3444" ca="1">INDIRECT("b"&amp;F3444+2)</f>
        <v>6.8500000000000006E+146</v>
      </c>
      <c r="F3444" s="18">
        <f t="shared" si="671"/>
        <v>4988</v>
      </c>
      <c r="G3444" s="18"/>
      <c r="H3444" s="18"/>
      <c r="I3444" s="19">
        <v>3442</v>
      </c>
      <c r="J3444" s="19" cm="1">
        <f t="array" aca="1" ref="J3444" ca="1">INDIRECT("b"&amp;K3444+2)</f>
        <v>0</v>
      </c>
      <c r="K3444" s="19">
        <f t="shared" si="667"/>
        <v>6188</v>
      </c>
    </row>
    <row r="3445" spans="1:11">
      <c r="A3445">
        <v>3443</v>
      </c>
      <c r="B3445">
        <v>1.225E+108</v>
      </c>
      <c r="D3445" s="18">
        <v>3443</v>
      </c>
      <c r="E3445" s="18" cm="1">
        <f t="array" aca="1" ref="E3445" ca="1">INDIRECT("b"&amp;F3445+2)</f>
        <v>7.075E+146</v>
      </c>
      <c r="F3445" s="18">
        <f t="shared" si="671"/>
        <v>4989</v>
      </c>
      <c r="G3445" s="18"/>
      <c r="H3445" s="18"/>
      <c r="I3445" s="19">
        <v>3443</v>
      </c>
      <c r="J3445" s="19" cm="1">
        <f t="array" aca="1" ref="J3445" ca="1">INDIRECT("b"&amp;K3445+2)</f>
        <v>0</v>
      </c>
      <c r="K3445" s="19">
        <f t="shared" si="667"/>
        <v>6189</v>
      </c>
    </row>
    <row r="3446" spans="1:11">
      <c r="A3446">
        <v>3444</v>
      </c>
      <c r="B3446">
        <v>1.45E+108</v>
      </c>
      <c r="D3446" s="18">
        <v>3444</v>
      </c>
      <c r="E3446" s="18" cm="1">
        <f t="array" aca="1" ref="E3446" ca="1">INDIRECT("b"&amp;F3446+2)</f>
        <v>7.3000000000000003E+146</v>
      </c>
      <c r="F3446" s="18">
        <f t="shared" si="671"/>
        <v>4990</v>
      </c>
      <c r="G3446" s="18"/>
      <c r="H3446" s="18"/>
      <c r="I3446" s="19">
        <v>3444</v>
      </c>
      <c r="J3446" s="19" cm="1">
        <f t="array" aca="1" ref="J3446" ca="1">INDIRECT("b"&amp;K3446+2)</f>
        <v>0</v>
      </c>
      <c r="K3446" s="19">
        <f t="shared" si="667"/>
        <v>6190</v>
      </c>
    </row>
    <row r="3447" spans="1:11">
      <c r="A3447">
        <v>3445</v>
      </c>
      <c r="B3447">
        <v>1.675E+108</v>
      </c>
      <c r="D3447" s="18">
        <v>3445</v>
      </c>
      <c r="E3447" s="18" cm="1">
        <f t="array" aca="1" ref="E3447" ca="1">INDIRECT("b"&amp;F3447+2)</f>
        <v>7.7500000000000001E+146</v>
      </c>
      <c r="F3447" s="18">
        <f t="shared" si="671"/>
        <v>4992</v>
      </c>
      <c r="G3447" s="18">
        <f t="shared" ref="G3447" ca="1" si="679">E3447/E3442</f>
        <v>1.2550607287449391</v>
      </c>
      <c r="H3447" s="18"/>
      <c r="I3447" s="19">
        <v>3445</v>
      </c>
      <c r="J3447" s="19" cm="1">
        <f t="array" aca="1" ref="J3447" ca="1">INDIRECT("b"&amp;K3447+2)</f>
        <v>0</v>
      </c>
      <c r="K3447" s="19">
        <f t="shared" si="667"/>
        <v>6192</v>
      </c>
    </row>
    <row r="3448" spans="1:11">
      <c r="A3448">
        <v>3446</v>
      </c>
      <c r="B3448">
        <v>1.9E+108</v>
      </c>
      <c r="D3448" s="18">
        <v>3446</v>
      </c>
      <c r="E3448" s="18" cm="1">
        <f t="array" aca="1" ref="E3448" ca="1">INDIRECT("b"&amp;F3448+2)</f>
        <v>7.9750000000000004E+146</v>
      </c>
      <c r="F3448" s="18">
        <f t="shared" si="671"/>
        <v>4993</v>
      </c>
      <c r="G3448" s="18"/>
      <c r="H3448" s="18"/>
      <c r="I3448" s="19">
        <v>3446</v>
      </c>
      <c r="J3448" s="19" cm="1">
        <f t="array" aca="1" ref="J3448" ca="1">INDIRECT("b"&amp;K3448+2)</f>
        <v>0</v>
      </c>
      <c r="K3448" s="19">
        <f t="shared" si="667"/>
        <v>6193</v>
      </c>
    </row>
    <row r="3449" spans="1:11">
      <c r="A3449">
        <v>3447</v>
      </c>
      <c r="B3449">
        <v>2.125E+108</v>
      </c>
      <c r="D3449" s="18">
        <v>3447</v>
      </c>
      <c r="E3449" s="18" cm="1">
        <f t="array" aca="1" ref="E3449" ca="1">INDIRECT("b"&amp;F3449+2)</f>
        <v>8.2000000000000007E+146</v>
      </c>
      <c r="F3449" s="18">
        <f t="shared" si="671"/>
        <v>4994</v>
      </c>
      <c r="G3449" s="18"/>
      <c r="H3449" s="18"/>
      <c r="I3449" s="19">
        <v>3447</v>
      </c>
      <c r="J3449" s="19" cm="1">
        <f t="array" aca="1" ref="J3449" ca="1">INDIRECT("b"&amp;K3449+2)</f>
        <v>0</v>
      </c>
      <c r="K3449" s="19">
        <f t="shared" si="667"/>
        <v>6194</v>
      </c>
    </row>
    <row r="3450" spans="1:11">
      <c r="A3450">
        <v>3448</v>
      </c>
      <c r="B3450">
        <v>2.3499999999999998E+108</v>
      </c>
      <c r="D3450" s="18">
        <v>3448</v>
      </c>
      <c r="E3450" s="18" cm="1">
        <f t="array" aca="1" ref="E3450" ca="1">INDIRECT("b"&amp;F3450+2)</f>
        <v>8.6499999999999996E+146</v>
      </c>
      <c r="F3450" s="18">
        <f t="shared" si="671"/>
        <v>4996</v>
      </c>
      <c r="G3450" s="18"/>
      <c r="H3450" s="18"/>
      <c r="I3450" s="19">
        <v>3448</v>
      </c>
      <c r="J3450" s="19" cm="1">
        <f t="array" aca="1" ref="J3450" ca="1">INDIRECT("b"&amp;K3450+2)</f>
        <v>0</v>
      </c>
      <c r="K3450" s="19">
        <f t="shared" si="667"/>
        <v>6196</v>
      </c>
    </row>
    <row r="3451" spans="1:11">
      <c r="A3451">
        <v>3449</v>
      </c>
      <c r="B3451">
        <v>2.5749999999999998E+108</v>
      </c>
      <c r="D3451" s="18">
        <v>3449</v>
      </c>
      <c r="E3451" s="18" cm="1">
        <f t="array" aca="1" ref="E3451" ca="1">INDIRECT("b"&amp;F3451+2)</f>
        <v>8.8749999999999999E+146</v>
      </c>
      <c r="F3451" s="18">
        <f t="shared" si="671"/>
        <v>4997</v>
      </c>
      <c r="G3451" s="18"/>
      <c r="H3451" s="18"/>
      <c r="I3451" s="19">
        <v>3449</v>
      </c>
      <c r="J3451" s="19" cm="1">
        <f t="array" aca="1" ref="J3451" ca="1">INDIRECT("b"&amp;K3451+2)</f>
        <v>0</v>
      </c>
      <c r="K3451" s="19">
        <f t="shared" si="667"/>
        <v>6197</v>
      </c>
    </row>
    <row r="3452" spans="1:11">
      <c r="A3452">
        <v>3450</v>
      </c>
      <c r="B3452">
        <v>2.8000000000000003E+108</v>
      </c>
      <c r="D3452" s="18">
        <v>3450</v>
      </c>
      <c r="E3452" s="18" cm="1">
        <f t="array" aca="1" ref="E3452" ca="1">INDIRECT("b"&amp;F3452+2)</f>
        <v>9.1000000000000003E+146</v>
      </c>
      <c r="F3452" s="18">
        <f t="shared" si="671"/>
        <v>4998</v>
      </c>
      <c r="G3452" s="18">
        <f t="shared" ref="G3452" ca="1" si="680">E3452/E3447</f>
        <v>1.1741935483870969</v>
      </c>
      <c r="H3452" s="18"/>
      <c r="I3452" s="19">
        <v>3450</v>
      </c>
      <c r="J3452" s="19" cm="1">
        <f t="array" aca="1" ref="J3452" ca="1">INDIRECT("b"&amp;K3452+2)</f>
        <v>0</v>
      </c>
      <c r="K3452" s="19">
        <f t="shared" si="667"/>
        <v>6198</v>
      </c>
    </row>
    <row r="3453" spans="1:11">
      <c r="A3453">
        <v>3451</v>
      </c>
      <c r="B3453">
        <v>3.0250000000000003E+108</v>
      </c>
      <c r="D3453" s="18">
        <v>3451</v>
      </c>
      <c r="E3453" s="18" cm="1">
        <f t="array" aca="1" ref="E3453" ca="1">INDIRECT("b"&amp;F3453+2)</f>
        <v>9.5500000000000009E+146</v>
      </c>
      <c r="F3453" s="18">
        <f t="shared" si="671"/>
        <v>5000</v>
      </c>
      <c r="G3453" s="18"/>
      <c r="H3453" s="18"/>
      <c r="I3453" s="19">
        <v>3451</v>
      </c>
      <c r="J3453" s="19" cm="1">
        <f t="array" aca="1" ref="J3453" ca="1">INDIRECT("b"&amp;K3453+2)</f>
        <v>0</v>
      </c>
      <c r="K3453" s="19">
        <f t="shared" si="667"/>
        <v>6200</v>
      </c>
    </row>
    <row r="3454" spans="1:11">
      <c r="A3454">
        <v>3452</v>
      </c>
      <c r="B3454">
        <v>3.2500000000000003E+108</v>
      </c>
      <c r="D3454" s="18">
        <v>3452</v>
      </c>
      <c r="E3454" s="18" cm="1">
        <f t="array" aca="1" ref="E3454" ca="1">INDIRECT("b"&amp;F3454+2)</f>
        <v>9.7749999999999995E+146</v>
      </c>
      <c r="F3454" s="18">
        <f t="shared" si="671"/>
        <v>5001</v>
      </c>
      <c r="G3454" s="18"/>
      <c r="H3454" s="18"/>
      <c r="I3454" s="19">
        <v>3452</v>
      </c>
      <c r="J3454" s="19" cm="1">
        <f t="array" aca="1" ref="J3454" ca="1">INDIRECT("b"&amp;K3454+2)</f>
        <v>0</v>
      </c>
      <c r="K3454" s="19">
        <f t="shared" si="667"/>
        <v>6201</v>
      </c>
    </row>
    <row r="3455" spans="1:11">
      <c r="A3455">
        <v>3453</v>
      </c>
      <c r="B3455">
        <v>3.4750000000000003E+108</v>
      </c>
      <c r="D3455" s="18">
        <v>3453</v>
      </c>
      <c r="E3455" s="18" cm="1">
        <f t="array" aca="1" ref="E3455" ca="1">INDIRECT("b"&amp;F3455+2)</f>
        <v>9.9999999999999998E+146</v>
      </c>
      <c r="F3455" s="18">
        <f t="shared" si="671"/>
        <v>5002</v>
      </c>
      <c r="G3455" s="18"/>
      <c r="H3455" s="18"/>
      <c r="I3455" s="19">
        <v>3453</v>
      </c>
      <c r="J3455" s="19" cm="1">
        <f t="array" aca="1" ref="J3455" ca="1">INDIRECT("b"&amp;K3455+2)</f>
        <v>0</v>
      </c>
      <c r="K3455" s="19">
        <f t="shared" si="667"/>
        <v>6202</v>
      </c>
    </row>
    <row r="3456" spans="1:11">
      <c r="A3456">
        <v>3454</v>
      </c>
      <c r="B3456">
        <v>3.7000000000000003E+108</v>
      </c>
      <c r="D3456" s="18">
        <v>3454</v>
      </c>
      <c r="E3456" s="18" cm="1">
        <f t="array" aca="1" ref="E3456" ca="1">INDIRECT("b"&amp;F3456+2)</f>
        <v>1.4500000000000001E+147</v>
      </c>
      <c r="F3456" s="18">
        <f t="shared" si="671"/>
        <v>5004</v>
      </c>
      <c r="G3456" s="18"/>
      <c r="H3456" s="18"/>
      <c r="I3456" s="19">
        <v>3454</v>
      </c>
      <c r="J3456" s="19" cm="1">
        <f t="array" aca="1" ref="J3456" ca="1">INDIRECT("b"&amp;K3456+2)</f>
        <v>0</v>
      </c>
      <c r="K3456" s="19">
        <f t="shared" si="667"/>
        <v>6204</v>
      </c>
    </row>
    <row r="3457" spans="1:11">
      <c r="A3457">
        <v>3455</v>
      </c>
      <c r="B3457">
        <v>3.9250000000000003E+108</v>
      </c>
      <c r="D3457" s="18">
        <v>3455</v>
      </c>
      <c r="E3457" s="18" cm="1">
        <f t="array" aca="1" ref="E3457" ca="1">INDIRECT("b"&amp;F3457+2)</f>
        <v>1.6749999999999999E+147</v>
      </c>
      <c r="F3457" s="18">
        <f t="shared" si="671"/>
        <v>5005</v>
      </c>
      <c r="G3457" s="18">
        <f t="shared" ref="G3457" ca="1" si="681">E3457/E3452</f>
        <v>1.8406593406593406</v>
      </c>
      <c r="H3457" s="18"/>
      <c r="I3457" s="19">
        <v>3455</v>
      </c>
      <c r="J3457" s="19" cm="1">
        <f t="array" aca="1" ref="J3457" ca="1">INDIRECT("b"&amp;K3457+2)</f>
        <v>0</v>
      </c>
      <c r="K3457" s="19">
        <f t="shared" si="667"/>
        <v>6205</v>
      </c>
    </row>
    <row r="3458" spans="1:11">
      <c r="A3458">
        <v>3456</v>
      </c>
      <c r="B3458">
        <v>4.1500000000000003E+108</v>
      </c>
      <c r="D3458" s="18">
        <v>3456</v>
      </c>
      <c r="E3458" s="18" cm="1">
        <f t="array" aca="1" ref="E3458" ca="1">INDIRECT("b"&amp;F3458+2)</f>
        <v>1.9000000000000002E+147</v>
      </c>
      <c r="F3458" s="18">
        <f t="shared" si="671"/>
        <v>5006</v>
      </c>
      <c r="G3458" s="18"/>
      <c r="H3458" s="18"/>
      <c r="I3458" s="19">
        <v>3456</v>
      </c>
      <c r="J3458" s="19" cm="1">
        <f t="array" aca="1" ref="J3458" ca="1">INDIRECT("b"&amp;K3458+2)</f>
        <v>0</v>
      </c>
      <c r="K3458" s="19">
        <f t="shared" si="667"/>
        <v>6206</v>
      </c>
    </row>
    <row r="3459" spans="1:11">
      <c r="A3459">
        <v>3457</v>
      </c>
      <c r="B3459">
        <v>4.3750000000000003E+108</v>
      </c>
      <c r="D3459" s="18">
        <v>3457</v>
      </c>
      <c r="E3459" s="18" cm="1">
        <f t="array" aca="1" ref="E3459" ca="1">INDIRECT("b"&amp;F3459+2)</f>
        <v>2.3500000000000001E+147</v>
      </c>
      <c r="F3459" s="18">
        <f t="shared" si="671"/>
        <v>5008</v>
      </c>
      <c r="G3459" s="18"/>
      <c r="H3459" s="18"/>
      <c r="I3459" s="19">
        <v>3457</v>
      </c>
      <c r="J3459" s="19" cm="1">
        <f t="array" aca="1" ref="J3459" ca="1">INDIRECT("b"&amp;K3459+2)</f>
        <v>0</v>
      </c>
      <c r="K3459" s="19">
        <f t="shared" si="667"/>
        <v>6208</v>
      </c>
    </row>
    <row r="3460" spans="1:11">
      <c r="A3460">
        <v>3458</v>
      </c>
      <c r="B3460">
        <v>4.6000000000000003E+108</v>
      </c>
      <c r="D3460" s="18">
        <v>3458</v>
      </c>
      <c r="E3460" s="18" cm="1">
        <f t="array" aca="1" ref="E3460" ca="1">INDIRECT("b"&amp;F3460+2)</f>
        <v>2.5750000000000001E+147</v>
      </c>
      <c r="F3460" s="18">
        <f t="shared" si="671"/>
        <v>5009</v>
      </c>
      <c r="G3460" s="18"/>
      <c r="H3460" s="18"/>
      <c r="I3460" s="19">
        <v>3458</v>
      </c>
      <c r="J3460" s="19" cm="1">
        <f t="array" aca="1" ref="J3460" ca="1">INDIRECT("b"&amp;K3460+2)</f>
        <v>0</v>
      </c>
      <c r="K3460" s="19">
        <f t="shared" ref="K3460:K3523" si="682">INT((A3460-1)*40/30+900*40/30)+400</f>
        <v>6209</v>
      </c>
    </row>
    <row r="3461" spans="1:11">
      <c r="A3461">
        <v>3459</v>
      </c>
      <c r="B3461">
        <v>4.8250000000000003E+108</v>
      </c>
      <c r="D3461" s="18">
        <v>3459</v>
      </c>
      <c r="E3461" s="18" cm="1">
        <f t="array" aca="1" ref="E3461" ca="1">INDIRECT("b"&amp;F3461+2)</f>
        <v>2.8000000000000001E+147</v>
      </c>
      <c r="F3461" s="18">
        <f t="shared" si="671"/>
        <v>5010</v>
      </c>
      <c r="G3461" s="18"/>
      <c r="H3461" s="18"/>
      <c r="I3461" s="19">
        <v>3459</v>
      </c>
      <c r="J3461" s="19" cm="1">
        <f t="array" aca="1" ref="J3461" ca="1">INDIRECT("b"&amp;K3461+2)</f>
        <v>0</v>
      </c>
      <c r="K3461" s="19">
        <f t="shared" si="682"/>
        <v>6210</v>
      </c>
    </row>
    <row r="3462" spans="1:11">
      <c r="A3462">
        <v>3460</v>
      </c>
      <c r="B3462">
        <v>5.0499999999999998E+108</v>
      </c>
      <c r="D3462" s="18">
        <v>3460</v>
      </c>
      <c r="E3462" s="18" cm="1">
        <f t="array" aca="1" ref="E3462" ca="1">INDIRECT("b"&amp;F3462+2)</f>
        <v>3.25E+147</v>
      </c>
      <c r="F3462" s="18">
        <f t="shared" si="671"/>
        <v>5012</v>
      </c>
      <c r="G3462" s="18">
        <f t="shared" ref="G3462" ca="1" si="683">E3462/E3457</f>
        <v>1.9402985074626866</v>
      </c>
      <c r="H3462" s="18"/>
      <c r="I3462" s="19">
        <v>3460</v>
      </c>
      <c r="J3462" s="19" cm="1">
        <f t="array" aca="1" ref="J3462" ca="1">INDIRECT("b"&amp;K3462+2)</f>
        <v>0</v>
      </c>
      <c r="K3462" s="19">
        <f t="shared" si="682"/>
        <v>6212</v>
      </c>
    </row>
    <row r="3463" spans="1:11">
      <c r="A3463">
        <v>3461</v>
      </c>
      <c r="B3463">
        <v>5.2750000000000003E+108</v>
      </c>
      <c r="D3463" s="18">
        <v>3461</v>
      </c>
      <c r="E3463" s="18" cm="1">
        <f t="array" aca="1" ref="E3463" ca="1">INDIRECT("b"&amp;F3463+2)</f>
        <v>3.475E+147</v>
      </c>
      <c r="F3463" s="18">
        <f t="shared" si="671"/>
        <v>5013</v>
      </c>
      <c r="G3463" s="18"/>
      <c r="H3463" s="18"/>
      <c r="I3463" s="19">
        <v>3461</v>
      </c>
      <c r="J3463" s="19" cm="1">
        <f t="array" aca="1" ref="J3463" ca="1">INDIRECT("b"&amp;K3463+2)</f>
        <v>0</v>
      </c>
      <c r="K3463" s="19">
        <f t="shared" si="682"/>
        <v>6213</v>
      </c>
    </row>
    <row r="3464" spans="1:11">
      <c r="A3464">
        <v>3462</v>
      </c>
      <c r="B3464">
        <v>5.4999999999999998E+108</v>
      </c>
      <c r="D3464" s="18">
        <v>3462</v>
      </c>
      <c r="E3464" s="18" cm="1">
        <f t="array" aca="1" ref="E3464" ca="1">INDIRECT("b"&amp;F3464+2)</f>
        <v>3.7E+147</v>
      </c>
      <c r="F3464" s="18">
        <f t="shared" si="671"/>
        <v>5014</v>
      </c>
      <c r="G3464" s="18"/>
      <c r="H3464" s="18"/>
      <c r="I3464" s="19">
        <v>3462</v>
      </c>
      <c r="J3464" s="19" cm="1">
        <f t="array" aca="1" ref="J3464" ca="1">INDIRECT("b"&amp;K3464+2)</f>
        <v>0</v>
      </c>
      <c r="K3464" s="19">
        <f t="shared" si="682"/>
        <v>6214</v>
      </c>
    </row>
    <row r="3465" spans="1:11">
      <c r="A3465">
        <v>3463</v>
      </c>
      <c r="B3465">
        <v>5.7250000000000003E+108</v>
      </c>
      <c r="D3465" s="18">
        <v>3463</v>
      </c>
      <c r="E3465" s="18" cm="1">
        <f t="array" aca="1" ref="E3465" ca="1">INDIRECT("b"&amp;F3465+2)</f>
        <v>4.1499999999999999E+147</v>
      </c>
      <c r="F3465" s="18">
        <f t="shared" si="671"/>
        <v>5016</v>
      </c>
      <c r="G3465" s="18"/>
      <c r="H3465" s="18"/>
      <c r="I3465" s="19">
        <v>3463</v>
      </c>
      <c r="J3465" s="19" cm="1">
        <f t="array" aca="1" ref="J3465" ca="1">INDIRECT("b"&amp;K3465+2)</f>
        <v>0</v>
      </c>
      <c r="K3465" s="19">
        <f t="shared" si="682"/>
        <v>6216</v>
      </c>
    </row>
    <row r="3466" spans="1:11">
      <c r="A3466">
        <v>3464</v>
      </c>
      <c r="B3466">
        <v>5.9499999999999998E+108</v>
      </c>
      <c r="D3466" s="18">
        <v>3464</v>
      </c>
      <c r="E3466" s="18" cm="1">
        <f t="array" aca="1" ref="E3466" ca="1">INDIRECT("b"&amp;F3466+2)</f>
        <v>4.3749999999999999E+147</v>
      </c>
      <c r="F3466" s="18">
        <f t="shared" si="671"/>
        <v>5017</v>
      </c>
      <c r="G3466" s="18"/>
      <c r="H3466" s="18"/>
      <c r="I3466" s="19">
        <v>3464</v>
      </c>
      <c r="J3466" s="19" cm="1">
        <f t="array" aca="1" ref="J3466" ca="1">INDIRECT("b"&amp;K3466+2)</f>
        <v>0</v>
      </c>
      <c r="K3466" s="19">
        <f t="shared" si="682"/>
        <v>6217</v>
      </c>
    </row>
    <row r="3467" spans="1:11">
      <c r="A3467">
        <v>3465</v>
      </c>
      <c r="B3467">
        <v>6.1750000000000003E+108</v>
      </c>
      <c r="D3467" s="18">
        <v>3465</v>
      </c>
      <c r="E3467" s="18" cm="1">
        <f t="array" aca="1" ref="E3467" ca="1">INDIRECT("b"&amp;F3467+2)</f>
        <v>4.5999999999999998E+147</v>
      </c>
      <c r="F3467" s="18">
        <f t="shared" si="671"/>
        <v>5018</v>
      </c>
      <c r="G3467" s="18">
        <f t="shared" ref="G3467" ca="1" si="684">E3467/E3462</f>
        <v>1.4153846153846152</v>
      </c>
      <c r="H3467" s="18"/>
      <c r="I3467" s="19">
        <v>3465</v>
      </c>
      <c r="J3467" s="19" cm="1">
        <f t="array" aca="1" ref="J3467" ca="1">INDIRECT("b"&amp;K3467+2)</f>
        <v>0</v>
      </c>
      <c r="K3467" s="19">
        <f t="shared" si="682"/>
        <v>6218</v>
      </c>
    </row>
    <row r="3468" spans="1:11">
      <c r="A3468">
        <v>3466</v>
      </c>
      <c r="B3468">
        <v>6.3999999999999998E+108</v>
      </c>
      <c r="D3468" s="18">
        <v>3466</v>
      </c>
      <c r="E3468" s="18" cm="1">
        <f t="array" aca="1" ref="E3468" ca="1">INDIRECT("b"&amp;F3468+2)</f>
        <v>5.0500000000000005E+147</v>
      </c>
      <c r="F3468" s="18">
        <f t="shared" si="671"/>
        <v>5020</v>
      </c>
      <c r="G3468" s="18"/>
      <c r="H3468" s="18"/>
      <c r="I3468" s="19">
        <v>3466</v>
      </c>
      <c r="J3468" s="19" cm="1">
        <f t="array" aca="1" ref="J3468" ca="1">INDIRECT("b"&amp;K3468+2)</f>
        <v>0</v>
      </c>
      <c r="K3468" s="19">
        <f t="shared" si="682"/>
        <v>6220</v>
      </c>
    </row>
    <row r="3469" spans="1:11">
      <c r="A3469">
        <v>3467</v>
      </c>
      <c r="B3469">
        <v>6.6250000000000003E+108</v>
      </c>
      <c r="D3469" s="18">
        <v>3467</v>
      </c>
      <c r="E3469" s="18" cm="1">
        <f t="array" aca="1" ref="E3469" ca="1">INDIRECT("b"&amp;F3469+2)</f>
        <v>5.2750000000000004E+147</v>
      </c>
      <c r="F3469" s="18">
        <f t="shared" si="671"/>
        <v>5021</v>
      </c>
      <c r="G3469" s="18"/>
      <c r="H3469" s="18"/>
      <c r="I3469" s="19">
        <v>3467</v>
      </c>
      <c r="J3469" s="19" cm="1">
        <f t="array" aca="1" ref="J3469" ca="1">INDIRECT("b"&amp;K3469+2)</f>
        <v>0</v>
      </c>
      <c r="K3469" s="19">
        <f t="shared" si="682"/>
        <v>6221</v>
      </c>
    </row>
    <row r="3470" spans="1:11">
      <c r="A3470">
        <v>3468</v>
      </c>
      <c r="B3470">
        <v>6.8499999999999998E+108</v>
      </c>
      <c r="D3470" s="18">
        <v>3468</v>
      </c>
      <c r="E3470" s="18" cm="1">
        <f t="array" aca="1" ref="E3470" ca="1">INDIRECT("b"&amp;F3470+2)</f>
        <v>5.5000000000000004E+147</v>
      </c>
      <c r="F3470" s="18">
        <f t="shared" si="671"/>
        <v>5022</v>
      </c>
      <c r="G3470" s="18"/>
      <c r="H3470" s="18"/>
      <c r="I3470" s="19">
        <v>3468</v>
      </c>
      <c r="J3470" s="19" cm="1">
        <f t="array" aca="1" ref="J3470" ca="1">INDIRECT("b"&amp;K3470+2)</f>
        <v>0</v>
      </c>
      <c r="K3470" s="19">
        <f t="shared" si="682"/>
        <v>6222</v>
      </c>
    </row>
    <row r="3471" spans="1:11">
      <c r="A3471">
        <v>3469</v>
      </c>
      <c r="B3471">
        <v>7.0750000000000003E+108</v>
      </c>
      <c r="D3471" s="18">
        <v>3469</v>
      </c>
      <c r="E3471" s="18" cm="1">
        <f t="array" aca="1" ref="E3471" ca="1">INDIRECT("b"&amp;F3471+2)</f>
        <v>5.9500000000000003E+147</v>
      </c>
      <c r="F3471" s="18">
        <f t="shared" si="671"/>
        <v>5024</v>
      </c>
      <c r="G3471" s="18"/>
      <c r="H3471" s="18"/>
      <c r="I3471" s="19">
        <v>3469</v>
      </c>
      <c r="J3471" s="19" cm="1">
        <f t="array" aca="1" ref="J3471" ca="1">INDIRECT("b"&amp;K3471+2)</f>
        <v>0</v>
      </c>
      <c r="K3471" s="19">
        <f t="shared" si="682"/>
        <v>6224</v>
      </c>
    </row>
    <row r="3472" spans="1:11">
      <c r="A3472">
        <v>3470</v>
      </c>
      <c r="B3472">
        <v>7.2999999999999998E+108</v>
      </c>
      <c r="D3472" s="18">
        <v>3470</v>
      </c>
      <c r="E3472" s="18" cm="1">
        <f t="array" aca="1" ref="E3472" ca="1">INDIRECT("b"&amp;F3472+2)</f>
        <v>6.1750000000000003E+147</v>
      </c>
      <c r="F3472" s="18">
        <f t="shared" si="671"/>
        <v>5025</v>
      </c>
      <c r="G3472" s="18">
        <f t="shared" ref="G3472" ca="1" si="685">E3472/E3467</f>
        <v>1.3423913043478262</v>
      </c>
      <c r="H3472" s="18"/>
      <c r="I3472" s="19">
        <v>3470</v>
      </c>
      <c r="J3472" s="19" cm="1">
        <f t="array" aca="1" ref="J3472" ca="1">INDIRECT("b"&amp;K3472+2)</f>
        <v>0</v>
      </c>
      <c r="K3472" s="19">
        <f t="shared" si="682"/>
        <v>6225</v>
      </c>
    </row>
    <row r="3473" spans="1:11">
      <c r="A3473">
        <v>3471</v>
      </c>
      <c r="B3473">
        <v>7.5250000000000003E+108</v>
      </c>
      <c r="D3473" s="18">
        <v>3471</v>
      </c>
      <c r="E3473" s="18" cm="1">
        <f t="array" aca="1" ref="E3473" ca="1">INDIRECT("b"&amp;F3473+2)</f>
        <v>6.3999999999999996E+147</v>
      </c>
      <c r="F3473" s="18">
        <f t="shared" si="671"/>
        <v>5026</v>
      </c>
      <c r="G3473" s="18"/>
      <c r="H3473" s="18"/>
      <c r="I3473" s="19">
        <v>3471</v>
      </c>
      <c r="J3473" s="19" cm="1">
        <f t="array" aca="1" ref="J3473" ca="1">INDIRECT("b"&amp;K3473+2)</f>
        <v>0</v>
      </c>
      <c r="K3473" s="19">
        <f t="shared" si="682"/>
        <v>6226</v>
      </c>
    </row>
    <row r="3474" spans="1:11">
      <c r="A3474">
        <v>3472</v>
      </c>
      <c r="B3474">
        <v>7.7499999999999998E+108</v>
      </c>
      <c r="D3474" s="18">
        <v>3472</v>
      </c>
      <c r="E3474" s="18" cm="1">
        <f t="array" aca="1" ref="E3474" ca="1">INDIRECT("b"&amp;F3474+2)</f>
        <v>6.8500000000000009E+147</v>
      </c>
      <c r="F3474" s="18">
        <f t="shared" si="671"/>
        <v>5028</v>
      </c>
      <c r="G3474" s="18"/>
      <c r="H3474" s="18"/>
      <c r="I3474" s="19">
        <v>3472</v>
      </c>
      <c r="J3474" s="19" cm="1">
        <f t="array" aca="1" ref="J3474" ca="1">INDIRECT("b"&amp;K3474+2)</f>
        <v>0</v>
      </c>
      <c r="K3474" s="19">
        <f t="shared" si="682"/>
        <v>6228</v>
      </c>
    </row>
    <row r="3475" spans="1:11">
      <c r="A3475">
        <v>3473</v>
      </c>
      <c r="B3475">
        <v>7.9750000000000003E+108</v>
      </c>
      <c r="D3475" s="18">
        <v>3473</v>
      </c>
      <c r="E3475" s="18" cm="1">
        <f t="array" aca="1" ref="E3475" ca="1">INDIRECT("b"&amp;F3475+2)</f>
        <v>7.0750000000000009E+147</v>
      </c>
      <c r="F3475" s="18">
        <f t="shared" ref="F3475:F3538" si="686">INT((A3475-123)*1.333333)+563</f>
        <v>5029</v>
      </c>
      <c r="G3475" s="18"/>
      <c r="H3475" s="18"/>
      <c r="I3475" s="19">
        <v>3473</v>
      </c>
      <c r="J3475" s="19" cm="1">
        <f t="array" aca="1" ref="J3475" ca="1">INDIRECT("b"&amp;K3475+2)</f>
        <v>0</v>
      </c>
      <c r="K3475" s="19">
        <f t="shared" si="682"/>
        <v>6229</v>
      </c>
    </row>
    <row r="3476" spans="1:11">
      <c r="A3476">
        <v>3474</v>
      </c>
      <c r="B3476">
        <v>8.1999999999999998E+108</v>
      </c>
      <c r="D3476" s="18">
        <v>3474</v>
      </c>
      <c r="E3476" s="18" cm="1">
        <f t="array" aca="1" ref="E3476" ca="1">INDIRECT("b"&amp;F3476+2)</f>
        <v>7.3000000000000009E+147</v>
      </c>
      <c r="F3476" s="18">
        <f t="shared" si="686"/>
        <v>5030</v>
      </c>
      <c r="G3476" s="18"/>
      <c r="H3476" s="18"/>
      <c r="I3476" s="19">
        <v>3474</v>
      </c>
      <c r="J3476" s="19" cm="1">
        <f t="array" aca="1" ref="J3476" ca="1">INDIRECT("b"&amp;K3476+2)</f>
        <v>0</v>
      </c>
      <c r="K3476" s="19">
        <f t="shared" si="682"/>
        <v>6230</v>
      </c>
    </row>
    <row r="3477" spans="1:11">
      <c r="A3477">
        <v>3475</v>
      </c>
      <c r="B3477">
        <v>8.4250000000000003E+108</v>
      </c>
      <c r="D3477" s="18">
        <v>3475</v>
      </c>
      <c r="E3477" s="18" cm="1">
        <f t="array" aca="1" ref="E3477" ca="1">INDIRECT("b"&amp;F3477+2)</f>
        <v>7.7500000000000008E+147</v>
      </c>
      <c r="F3477" s="18">
        <f t="shared" si="686"/>
        <v>5032</v>
      </c>
      <c r="G3477" s="18">
        <f t="shared" ref="G3477" ca="1" si="687">E3477/E3472</f>
        <v>1.2550607287449393</v>
      </c>
      <c r="H3477" s="18"/>
      <c r="I3477" s="19">
        <v>3475</v>
      </c>
      <c r="J3477" s="19" cm="1">
        <f t="array" aca="1" ref="J3477" ca="1">INDIRECT("b"&amp;K3477+2)</f>
        <v>0</v>
      </c>
      <c r="K3477" s="19">
        <f t="shared" si="682"/>
        <v>6232</v>
      </c>
    </row>
    <row r="3478" spans="1:11">
      <c r="A3478">
        <v>3476</v>
      </c>
      <c r="B3478">
        <v>8.6499999999999998E+108</v>
      </c>
      <c r="D3478" s="18">
        <v>3476</v>
      </c>
      <c r="E3478" s="18" cm="1">
        <f t="array" aca="1" ref="E3478" ca="1">INDIRECT("b"&amp;F3478+2)</f>
        <v>7.9750000000000008E+147</v>
      </c>
      <c r="F3478" s="18">
        <f t="shared" si="686"/>
        <v>5033</v>
      </c>
      <c r="G3478" s="18"/>
      <c r="H3478" s="18"/>
      <c r="I3478" s="19">
        <v>3476</v>
      </c>
      <c r="J3478" s="19" cm="1">
        <f t="array" aca="1" ref="J3478" ca="1">INDIRECT("b"&amp;K3478+2)</f>
        <v>0</v>
      </c>
      <c r="K3478" s="19">
        <f t="shared" si="682"/>
        <v>6233</v>
      </c>
    </row>
    <row r="3479" spans="1:11">
      <c r="A3479">
        <v>3477</v>
      </c>
      <c r="B3479">
        <v>8.8750000000000003E+108</v>
      </c>
      <c r="D3479" s="18">
        <v>3477</v>
      </c>
      <c r="E3479" s="18" cm="1">
        <f t="array" aca="1" ref="E3479" ca="1">INDIRECT("b"&amp;F3479+2)</f>
        <v>8.2000000000000007E+147</v>
      </c>
      <c r="F3479" s="18">
        <f t="shared" si="686"/>
        <v>5034</v>
      </c>
      <c r="G3479" s="18"/>
      <c r="H3479" s="18"/>
      <c r="I3479" s="19">
        <v>3477</v>
      </c>
      <c r="J3479" s="19" cm="1">
        <f t="array" aca="1" ref="J3479" ca="1">INDIRECT("b"&amp;K3479+2)</f>
        <v>0</v>
      </c>
      <c r="K3479" s="19">
        <f t="shared" si="682"/>
        <v>6234</v>
      </c>
    </row>
    <row r="3480" spans="1:11">
      <c r="A3480">
        <v>3478</v>
      </c>
      <c r="B3480">
        <v>9.0999999999999998E+108</v>
      </c>
      <c r="D3480" s="18">
        <v>3478</v>
      </c>
      <c r="E3480" s="18" cm="1">
        <f t="array" aca="1" ref="E3480" ca="1">INDIRECT("b"&amp;F3480+2)</f>
        <v>8.6500000000000007E+147</v>
      </c>
      <c r="F3480" s="18">
        <f t="shared" si="686"/>
        <v>5036</v>
      </c>
      <c r="G3480" s="18"/>
      <c r="H3480" s="18"/>
      <c r="I3480" s="19">
        <v>3478</v>
      </c>
      <c r="J3480" s="19" cm="1">
        <f t="array" aca="1" ref="J3480" ca="1">INDIRECT("b"&amp;K3480+2)</f>
        <v>0</v>
      </c>
      <c r="K3480" s="19">
        <f t="shared" si="682"/>
        <v>6236</v>
      </c>
    </row>
    <row r="3481" spans="1:11">
      <c r="A3481">
        <v>3479</v>
      </c>
      <c r="B3481">
        <v>9.3250000000000003E+108</v>
      </c>
      <c r="D3481" s="18">
        <v>3479</v>
      </c>
      <c r="E3481" s="18" cm="1">
        <f t="array" aca="1" ref="E3481" ca="1">INDIRECT("b"&amp;F3481+2)</f>
        <v>8.8750000000000006E+147</v>
      </c>
      <c r="F3481" s="18">
        <f t="shared" si="686"/>
        <v>5037</v>
      </c>
      <c r="G3481" s="18"/>
      <c r="H3481" s="18"/>
      <c r="I3481" s="19">
        <v>3479</v>
      </c>
      <c r="J3481" s="19" cm="1">
        <f t="array" aca="1" ref="J3481" ca="1">INDIRECT("b"&amp;K3481+2)</f>
        <v>0</v>
      </c>
      <c r="K3481" s="19">
        <f t="shared" si="682"/>
        <v>6237</v>
      </c>
    </row>
    <row r="3482" spans="1:11">
      <c r="A3482">
        <v>3480</v>
      </c>
      <c r="B3482">
        <v>9.5500000000000009E+108</v>
      </c>
      <c r="D3482" s="18">
        <v>3480</v>
      </c>
      <c r="E3482" s="18" cm="1">
        <f t="array" aca="1" ref="E3482" ca="1">INDIRECT("b"&amp;F3482+2)</f>
        <v>9.1000000000000006E+147</v>
      </c>
      <c r="F3482" s="18">
        <f t="shared" si="686"/>
        <v>5038</v>
      </c>
      <c r="G3482" s="18">
        <f t="shared" ref="G3482" ca="1" si="688">E3482/E3477</f>
        <v>1.1741935483870967</v>
      </c>
      <c r="H3482" s="18"/>
      <c r="I3482" s="19">
        <v>3480</v>
      </c>
      <c r="J3482" s="19" cm="1">
        <f t="array" aca="1" ref="J3482" ca="1">INDIRECT("b"&amp;K3482+2)</f>
        <v>0</v>
      </c>
      <c r="K3482" s="19">
        <f t="shared" si="682"/>
        <v>6238</v>
      </c>
    </row>
    <row r="3483" spans="1:11">
      <c r="A3483">
        <v>3481</v>
      </c>
      <c r="B3483">
        <v>9.7750000000000003E+108</v>
      </c>
      <c r="D3483" s="18">
        <v>3481</v>
      </c>
      <c r="E3483" s="18" cm="1">
        <f t="array" aca="1" ref="E3483" ca="1">INDIRECT("b"&amp;F3483+2)</f>
        <v>9.5500000000000006E+147</v>
      </c>
      <c r="F3483" s="18">
        <f t="shared" si="686"/>
        <v>5040</v>
      </c>
      <c r="G3483" s="18"/>
      <c r="H3483" s="18"/>
      <c r="I3483" s="19">
        <v>3481</v>
      </c>
      <c r="J3483" s="19" cm="1">
        <f t="array" aca="1" ref="J3483" ca="1">INDIRECT("b"&amp;K3483+2)</f>
        <v>0</v>
      </c>
      <c r="K3483" s="19">
        <f t="shared" si="682"/>
        <v>6240</v>
      </c>
    </row>
    <row r="3484" spans="1:11">
      <c r="A3484">
        <v>3482</v>
      </c>
      <c r="B3484">
        <v>9.9999999999999998E+108</v>
      </c>
      <c r="D3484" s="18">
        <v>3482</v>
      </c>
      <c r="E3484" s="18" cm="1">
        <f t="array" aca="1" ref="E3484" ca="1">INDIRECT("b"&amp;F3484+2)</f>
        <v>9.7750000000000005E+147</v>
      </c>
      <c r="F3484" s="18">
        <f t="shared" si="686"/>
        <v>5041</v>
      </c>
      <c r="G3484" s="18">
        <f t="shared" ref="G3484" ca="1" si="689">E3484/E3479</f>
        <v>1.1920731707317074</v>
      </c>
      <c r="H3484" s="18"/>
      <c r="I3484" s="19">
        <v>3482</v>
      </c>
      <c r="J3484" s="19" cm="1">
        <f t="array" aca="1" ref="J3484" ca="1">INDIRECT("b"&amp;K3484+2)</f>
        <v>0</v>
      </c>
      <c r="K3484" s="19">
        <f t="shared" si="682"/>
        <v>6241</v>
      </c>
    </row>
    <row r="3485" spans="1:11">
      <c r="A3485">
        <v>3483</v>
      </c>
      <c r="B3485">
        <v>1.2249999999999999E+109</v>
      </c>
      <c r="D3485" s="18">
        <v>3483</v>
      </c>
      <c r="E3485" s="18" cm="1">
        <f t="array" aca="1" ref="E3485" ca="1">INDIRECT("b"&amp;F3485+2)</f>
        <v>1E+148</v>
      </c>
      <c r="F3485" s="18">
        <f t="shared" si="686"/>
        <v>5042</v>
      </c>
      <c r="G3485" s="18"/>
      <c r="H3485" s="18"/>
      <c r="I3485" s="19">
        <v>3483</v>
      </c>
      <c r="J3485" s="19" cm="1">
        <f t="array" aca="1" ref="J3485" ca="1">INDIRECT("b"&amp;K3485+2)</f>
        <v>0</v>
      </c>
      <c r="K3485" s="19">
        <f t="shared" si="682"/>
        <v>6242</v>
      </c>
    </row>
    <row r="3486" spans="1:11">
      <c r="A3486">
        <v>3484</v>
      </c>
      <c r="B3486">
        <v>1.45E+109</v>
      </c>
      <c r="D3486" s="18">
        <v>3484</v>
      </c>
      <c r="E3486" s="18" cm="1">
        <f t="array" aca="1" ref="E3486" ca="1">INDIRECT("b"&amp;F3486+2)</f>
        <v>1.45E+148</v>
      </c>
      <c r="F3486" s="18">
        <f t="shared" si="686"/>
        <v>5044</v>
      </c>
      <c r="G3486" s="18"/>
      <c r="H3486" s="18"/>
      <c r="I3486" s="19">
        <v>3484</v>
      </c>
      <c r="J3486" s="19" cm="1">
        <f t="array" aca="1" ref="J3486" ca="1">INDIRECT("b"&amp;K3486+2)</f>
        <v>0</v>
      </c>
      <c r="K3486" s="19">
        <f t="shared" si="682"/>
        <v>6244</v>
      </c>
    </row>
    <row r="3487" spans="1:11">
      <c r="A3487">
        <v>3485</v>
      </c>
      <c r="B3487">
        <v>1.6749999999999999E+109</v>
      </c>
      <c r="D3487" s="18">
        <v>3485</v>
      </c>
      <c r="E3487" s="18" cm="1">
        <f t="array" aca="1" ref="E3487" ca="1">INDIRECT("b"&amp;F3487+2)</f>
        <v>1.6750000000000002E+148</v>
      </c>
      <c r="F3487" s="18">
        <f t="shared" si="686"/>
        <v>5045</v>
      </c>
      <c r="G3487" s="18"/>
      <c r="H3487" s="18"/>
      <c r="I3487" s="19">
        <v>3485</v>
      </c>
      <c r="J3487" s="19" cm="1">
        <f t="array" aca="1" ref="J3487" ca="1">INDIRECT("b"&amp;K3487+2)</f>
        <v>0</v>
      </c>
      <c r="K3487" s="19">
        <f t="shared" si="682"/>
        <v>6245</v>
      </c>
    </row>
    <row r="3488" spans="1:11">
      <c r="A3488">
        <v>3486</v>
      </c>
      <c r="B3488">
        <v>1.8999999999999998E+109</v>
      </c>
      <c r="D3488" s="18">
        <v>3486</v>
      </c>
      <c r="E3488" s="18" cm="1">
        <f t="array" aca="1" ref="E3488" ca="1">INDIRECT("b"&amp;F3488+2)</f>
        <v>1.9000000000000002E+148</v>
      </c>
      <c r="F3488" s="18">
        <f t="shared" si="686"/>
        <v>5046</v>
      </c>
      <c r="G3488" s="18"/>
      <c r="H3488" s="18"/>
      <c r="I3488" s="19">
        <v>3486</v>
      </c>
      <c r="J3488" s="19" cm="1">
        <f t="array" aca="1" ref="J3488" ca="1">INDIRECT("b"&amp;K3488+2)</f>
        <v>0</v>
      </c>
      <c r="K3488" s="19">
        <f t="shared" si="682"/>
        <v>6246</v>
      </c>
    </row>
    <row r="3489" spans="1:11">
      <c r="A3489">
        <v>3487</v>
      </c>
      <c r="B3489">
        <v>2.1250000000000001E+109</v>
      </c>
      <c r="D3489" s="18">
        <v>3487</v>
      </c>
      <c r="E3489" s="18" cm="1">
        <f t="array" aca="1" ref="E3489" ca="1">INDIRECT("b"&amp;F3489+2)</f>
        <v>2.3500000000000001E+148</v>
      </c>
      <c r="F3489" s="18">
        <f t="shared" si="686"/>
        <v>5048</v>
      </c>
      <c r="G3489" s="18">
        <f t="shared" ref="G3489" ca="1" si="690">E3489/E3484</f>
        <v>2.4040920716112533</v>
      </c>
      <c r="H3489" s="18"/>
      <c r="I3489" s="19">
        <v>3487</v>
      </c>
      <c r="J3489" s="19" cm="1">
        <f t="array" aca="1" ref="J3489" ca="1">INDIRECT("b"&amp;K3489+2)</f>
        <v>0</v>
      </c>
      <c r="K3489" s="19">
        <f t="shared" si="682"/>
        <v>6248</v>
      </c>
    </row>
    <row r="3490" spans="1:11">
      <c r="A3490">
        <v>3488</v>
      </c>
      <c r="B3490">
        <v>2.35E+109</v>
      </c>
      <c r="D3490" s="18">
        <v>3488</v>
      </c>
      <c r="E3490" s="18" cm="1">
        <f t="array" aca="1" ref="E3490" ca="1">INDIRECT("b"&amp;F3490+2)</f>
        <v>2.5750000000000004E+148</v>
      </c>
      <c r="F3490" s="18">
        <f t="shared" si="686"/>
        <v>5049</v>
      </c>
      <c r="G3490" s="18"/>
      <c r="H3490" s="18"/>
      <c r="I3490" s="19">
        <v>3488</v>
      </c>
      <c r="J3490" s="19" cm="1">
        <f t="array" aca="1" ref="J3490" ca="1">INDIRECT("b"&amp;K3490+2)</f>
        <v>0</v>
      </c>
      <c r="K3490" s="19">
        <f t="shared" si="682"/>
        <v>6249</v>
      </c>
    </row>
    <row r="3491" spans="1:11">
      <c r="A3491">
        <v>3489</v>
      </c>
      <c r="B3491">
        <v>2.5749999999999999E+109</v>
      </c>
      <c r="D3491" s="18">
        <v>3489</v>
      </c>
      <c r="E3491" s="18" cm="1">
        <f t="array" aca="1" ref="E3491" ca="1">INDIRECT("b"&amp;F3491+2)</f>
        <v>2.8000000000000004E+148</v>
      </c>
      <c r="F3491" s="18">
        <f t="shared" si="686"/>
        <v>5050</v>
      </c>
      <c r="G3491" s="18"/>
      <c r="H3491" s="18"/>
      <c r="I3491" s="19">
        <v>3489</v>
      </c>
      <c r="J3491" s="19" cm="1">
        <f t="array" aca="1" ref="J3491" ca="1">INDIRECT("b"&amp;K3491+2)</f>
        <v>0</v>
      </c>
      <c r="K3491" s="19">
        <f t="shared" si="682"/>
        <v>6250</v>
      </c>
    </row>
    <row r="3492" spans="1:11">
      <c r="A3492">
        <v>3490</v>
      </c>
      <c r="B3492">
        <v>2.7999999999999998E+109</v>
      </c>
      <c r="D3492" s="18">
        <v>3490</v>
      </c>
      <c r="E3492" s="18" cm="1">
        <f t="array" aca="1" ref="E3492" ca="1">INDIRECT("b"&amp;F3492+2)</f>
        <v>3.2500000000000003E+148</v>
      </c>
      <c r="F3492" s="18">
        <f t="shared" si="686"/>
        <v>5052</v>
      </c>
      <c r="G3492" s="18"/>
      <c r="H3492" s="18"/>
      <c r="I3492" s="19">
        <v>3490</v>
      </c>
      <c r="J3492" s="19" cm="1">
        <f t="array" aca="1" ref="J3492" ca="1">INDIRECT("b"&amp;K3492+2)</f>
        <v>0</v>
      </c>
      <c r="K3492" s="19">
        <f t="shared" si="682"/>
        <v>6252</v>
      </c>
    </row>
    <row r="3493" spans="1:11">
      <c r="A3493">
        <v>3491</v>
      </c>
      <c r="B3493">
        <v>3.0250000000000001E+109</v>
      </c>
      <c r="D3493" s="18">
        <v>3491</v>
      </c>
      <c r="E3493" s="18" cm="1">
        <f t="array" aca="1" ref="E3493" ca="1">INDIRECT("b"&amp;F3493+2)</f>
        <v>3.4750000000000003E+148</v>
      </c>
      <c r="F3493" s="18">
        <f t="shared" si="686"/>
        <v>5053</v>
      </c>
      <c r="G3493" s="18"/>
      <c r="H3493" s="18"/>
      <c r="I3493" s="19">
        <v>3491</v>
      </c>
      <c r="J3493" s="19" cm="1">
        <f t="array" aca="1" ref="J3493" ca="1">INDIRECT("b"&amp;K3493+2)</f>
        <v>0</v>
      </c>
      <c r="K3493" s="19">
        <f t="shared" si="682"/>
        <v>6253</v>
      </c>
    </row>
    <row r="3494" spans="1:11">
      <c r="A3494">
        <v>3492</v>
      </c>
      <c r="B3494">
        <v>3.25E+109</v>
      </c>
      <c r="D3494" s="18">
        <v>3492</v>
      </c>
      <c r="E3494" s="18" cm="1">
        <f t="array" aca="1" ref="E3494" ca="1">INDIRECT("b"&amp;F3494+2)</f>
        <v>3.7000000000000002E+148</v>
      </c>
      <c r="F3494" s="18">
        <f t="shared" si="686"/>
        <v>5054</v>
      </c>
      <c r="G3494" s="18">
        <f t="shared" ref="G3494" ca="1" si="691">E3494/E3489</f>
        <v>1.574468085106383</v>
      </c>
      <c r="H3494" s="18"/>
      <c r="I3494" s="19">
        <v>3492</v>
      </c>
      <c r="J3494" s="19" cm="1">
        <f t="array" aca="1" ref="J3494" ca="1">INDIRECT("b"&amp;K3494+2)</f>
        <v>0</v>
      </c>
      <c r="K3494" s="19">
        <f t="shared" si="682"/>
        <v>6254</v>
      </c>
    </row>
    <row r="3495" spans="1:11">
      <c r="A3495">
        <v>3493</v>
      </c>
      <c r="B3495">
        <v>3.4749999999999999E+109</v>
      </c>
      <c r="D3495" s="18">
        <v>3493</v>
      </c>
      <c r="E3495" s="18" cm="1">
        <f t="array" aca="1" ref="E3495" ca="1">INDIRECT("b"&amp;F3495+2)</f>
        <v>4.1500000000000002E+148</v>
      </c>
      <c r="F3495" s="18">
        <f t="shared" si="686"/>
        <v>5056</v>
      </c>
      <c r="G3495" s="18"/>
      <c r="H3495" s="18"/>
      <c r="I3495" s="19">
        <v>3493</v>
      </c>
      <c r="J3495" s="19" cm="1">
        <f t="array" aca="1" ref="J3495" ca="1">INDIRECT("b"&amp;K3495+2)</f>
        <v>0</v>
      </c>
      <c r="K3495" s="19">
        <f t="shared" si="682"/>
        <v>6256</v>
      </c>
    </row>
    <row r="3496" spans="1:11">
      <c r="A3496">
        <v>3494</v>
      </c>
      <c r="B3496">
        <v>3.6999999999999998E+109</v>
      </c>
      <c r="D3496" s="18">
        <v>3494</v>
      </c>
      <c r="E3496" s="18" cm="1">
        <f t="array" aca="1" ref="E3496" ca="1">INDIRECT("b"&amp;F3496+2)</f>
        <v>4.3750000000000001E+148</v>
      </c>
      <c r="F3496" s="18">
        <f t="shared" si="686"/>
        <v>5057</v>
      </c>
      <c r="G3496" s="18"/>
      <c r="H3496" s="18"/>
      <c r="I3496" s="19">
        <v>3494</v>
      </c>
      <c r="J3496" s="19" cm="1">
        <f t="array" aca="1" ref="J3496" ca="1">INDIRECT("b"&amp;K3496+2)</f>
        <v>0</v>
      </c>
      <c r="K3496" s="19">
        <f t="shared" si="682"/>
        <v>6257</v>
      </c>
    </row>
    <row r="3497" spans="1:11">
      <c r="A3497">
        <v>3495</v>
      </c>
      <c r="B3497">
        <v>3.9250000000000001E+109</v>
      </c>
      <c r="D3497" s="18">
        <v>3495</v>
      </c>
      <c r="E3497" s="18" cm="1">
        <f t="array" aca="1" ref="E3497" ca="1">INDIRECT("b"&amp;F3497+2)</f>
        <v>4.6000000000000001E+148</v>
      </c>
      <c r="F3497" s="18">
        <f t="shared" si="686"/>
        <v>5058</v>
      </c>
      <c r="G3497" s="18"/>
      <c r="H3497" s="18"/>
      <c r="I3497" s="19">
        <v>3495</v>
      </c>
      <c r="J3497" s="19" cm="1">
        <f t="array" aca="1" ref="J3497" ca="1">INDIRECT("b"&amp;K3497+2)</f>
        <v>0</v>
      </c>
      <c r="K3497" s="19">
        <f t="shared" si="682"/>
        <v>6258</v>
      </c>
    </row>
    <row r="3498" spans="1:11">
      <c r="A3498">
        <v>3496</v>
      </c>
      <c r="B3498">
        <v>4.1499999999999996E+109</v>
      </c>
      <c r="D3498" s="18">
        <v>3496</v>
      </c>
      <c r="E3498" s="18" cm="1">
        <f t="array" aca="1" ref="E3498" ca="1">INDIRECT("b"&amp;F3498+2)</f>
        <v>5.05E+148</v>
      </c>
      <c r="F3498" s="18">
        <f t="shared" si="686"/>
        <v>5060</v>
      </c>
      <c r="G3498" s="18"/>
      <c r="H3498" s="18"/>
      <c r="I3498" s="19">
        <v>3496</v>
      </c>
      <c r="J3498" s="19" cm="1">
        <f t="array" aca="1" ref="J3498" ca="1">INDIRECT("b"&amp;K3498+2)</f>
        <v>0</v>
      </c>
      <c r="K3498" s="19">
        <f t="shared" si="682"/>
        <v>6260</v>
      </c>
    </row>
    <row r="3499" spans="1:11">
      <c r="A3499">
        <v>3497</v>
      </c>
      <c r="B3499">
        <v>4.3749999999999999E+109</v>
      </c>
      <c r="D3499" s="18">
        <v>3497</v>
      </c>
      <c r="E3499" s="18" cm="1">
        <f t="array" aca="1" ref="E3499" ca="1">INDIRECT("b"&amp;F3499+2)</f>
        <v>5.2750000000000006E+148</v>
      </c>
      <c r="F3499" s="18">
        <f t="shared" si="686"/>
        <v>5061</v>
      </c>
      <c r="G3499" s="18">
        <f t="shared" ref="G3499" ca="1" si="692">E3499/E3494</f>
        <v>1.4256756756756757</v>
      </c>
      <c r="H3499" s="18"/>
      <c r="I3499" s="19">
        <v>3497</v>
      </c>
      <c r="J3499" s="19" cm="1">
        <f t="array" aca="1" ref="J3499" ca="1">INDIRECT("b"&amp;K3499+2)</f>
        <v>0</v>
      </c>
      <c r="K3499" s="19">
        <f t="shared" si="682"/>
        <v>6261</v>
      </c>
    </row>
    <row r="3500" spans="1:11">
      <c r="A3500">
        <v>3498</v>
      </c>
      <c r="B3500">
        <v>4.6000000000000002E+109</v>
      </c>
      <c r="D3500" s="18">
        <v>3498</v>
      </c>
      <c r="E3500" s="18" cm="1">
        <f t="array" aca="1" ref="E3500" ca="1">INDIRECT("b"&amp;F3500+2)</f>
        <v>5.5E+148</v>
      </c>
      <c r="F3500" s="18">
        <f t="shared" si="686"/>
        <v>5062</v>
      </c>
      <c r="G3500" s="18"/>
      <c r="H3500" s="18"/>
      <c r="I3500" s="19">
        <v>3498</v>
      </c>
      <c r="J3500" s="19" cm="1">
        <f t="array" aca="1" ref="J3500" ca="1">INDIRECT("b"&amp;K3500+2)</f>
        <v>0</v>
      </c>
      <c r="K3500" s="19">
        <f t="shared" si="682"/>
        <v>6262</v>
      </c>
    </row>
    <row r="3501" spans="1:11">
      <c r="A3501">
        <v>3499</v>
      </c>
      <c r="B3501">
        <v>4.8249999999999997E+109</v>
      </c>
      <c r="D3501" s="18">
        <v>3499</v>
      </c>
      <c r="E3501" s="18" cm="1">
        <f t="array" aca="1" ref="E3501" ca="1">INDIRECT("b"&amp;F3501+2)</f>
        <v>5.9499999999999999E+148</v>
      </c>
      <c r="F3501" s="18">
        <f t="shared" si="686"/>
        <v>5064</v>
      </c>
      <c r="G3501" s="18"/>
      <c r="H3501" s="18"/>
      <c r="I3501" s="19">
        <v>3499</v>
      </c>
      <c r="J3501" s="19" cm="1">
        <f t="array" aca="1" ref="J3501" ca="1">INDIRECT("b"&amp;K3501+2)</f>
        <v>0</v>
      </c>
      <c r="K3501" s="19">
        <f t="shared" si="682"/>
        <v>6264</v>
      </c>
    </row>
    <row r="3502" spans="1:11">
      <c r="A3502">
        <v>3500</v>
      </c>
      <c r="B3502">
        <v>5.05E+109</v>
      </c>
      <c r="D3502" s="18">
        <v>3500</v>
      </c>
      <c r="E3502" s="18" cm="1">
        <f t="array" aca="1" ref="E3502" ca="1">INDIRECT("b"&amp;F3502+2)</f>
        <v>6.1750000000000005E+148</v>
      </c>
      <c r="F3502" s="18">
        <f t="shared" si="686"/>
        <v>5065</v>
      </c>
      <c r="G3502" s="18"/>
      <c r="H3502" s="18"/>
      <c r="I3502" s="19">
        <v>3500</v>
      </c>
      <c r="J3502" s="19" cm="1">
        <f t="array" aca="1" ref="J3502" ca="1">INDIRECT("b"&amp;K3502+2)</f>
        <v>0</v>
      </c>
      <c r="K3502" s="19">
        <f t="shared" si="682"/>
        <v>6265</v>
      </c>
    </row>
    <row r="3503" spans="1:11">
      <c r="A3503">
        <v>3501</v>
      </c>
      <c r="B3503">
        <v>5.2749999999999995E+109</v>
      </c>
      <c r="D3503" s="18">
        <v>3501</v>
      </c>
      <c r="E3503" s="18" cm="1">
        <f t="array" aca="1" ref="E3503" ca="1">INDIRECT("b"&amp;F3503+2)</f>
        <v>6.3999999999999999E+148</v>
      </c>
      <c r="F3503" s="18">
        <f t="shared" si="686"/>
        <v>5066</v>
      </c>
      <c r="G3503" s="18"/>
      <c r="H3503" s="18"/>
      <c r="I3503" s="19">
        <v>3501</v>
      </c>
      <c r="J3503" s="19" cm="1">
        <f t="array" aca="1" ref="J3503" ca="1">INDIRECT("b"&amp;K3503+2)</f>
        <v>0</v>
      </c>
      <c r="K3503" s="19">
        <f t="shared" si="682"/>
        <v>6266</v>
      </c>
    </row>
    <row r="3504" spans="1:11">
      <c r="A3504">
        <v>3502</v>
      </c>
      <c r="B3504">
        <v>5.4999999999999998E+109</v>
      </c>
      <c r="D3504" s="18">
        <v>3502</v>
      </c>
      <c r="E3504" s="18" cm="1">
        <f t="array" aca="1" ref="E3504" ca="1">INDIRECT("b"&amp;F3504+2)</f>
        <v>6.8500000000000009E+148</v>
      </c>
      <c r="F3504" s="18">
        <f t="shared" si="686"/>
        <v>5068</v>
      </c>
      <c r="G3504" s="18">
        <f t="shared" ref="G3504" ca="1" si="693">E3504/E3499</f>
        <v>1.2985781990521328</v>
      </c>
      <c r="H3504" s="18"/>
      <c r="I3504" s="19">
        <v>3502</v>
      </c>
      <c r="J3504" s="19" cm="1">
        <f t="array" aca="1" ref="J3504" ca="1">INDIRECT("b"&amp;K3504+2)</f>
        <v>0</v>
      </c>
      <c r="K3504" s="19">
        <f t="shared" si="682"/>
        <v>6268</v>
      </c>
    </row>
    <row r="3505" spans="1:11">
      <c r="A3505">
        <v>3503</v>
      </c>
      <c r="B3505">
        <v>5.7250000000000001E+109</v>
      </c>
      <c r="D3505" s="18">
        <v>3503</v>
      </c>
      <c r="E3505" s="18" cm="1">
        <f t="array" aca="1" ref="E3505" ca="1">INDIRECT("b"&amp;F3505+2)</f>
        <v>7.0750000000000003E+148</v>
      </c>
      <c r="F3505" s="18">
        <f t="shared" si="686"/>
        <v>5069</v>
      </c>
      <c r="G3505" s="18"/>
      <c r="H3505" s="18"/>
      <c r="I3505" s="19">
        <v>3503</v>
      </c>
      <c r="J3505" s="19" cm="1">
        <f t="array" aca="1" ref="J3505" ca="1">INDIRECT("b"&amp;K3505+2)</f>
        <v>0</v>
      </c>
      <c r="K3505" s="19">
        <f t="shared" si="682"/>
        <v>6269</v>
      </c>
    </row>
    <row r="3506" spans="1:11">
      <c r="A3506">
        <v>3504</v>
      </c>
      <c r="B3506">
        <v>5.9499999999999996E+109</v>
      </c>
      <c r="D3506" s="18">
        <v>3504</v>
      </c>
      <c r="E3506" s="18" cm="1">
        <f t="array" aca="1" ref="E3506" ca="1">INDIRECT("b"&amp;F3506+2)</f>
        <v>7.3000000000000009E+148</v>
      </c>
      <c r="F3506" s="18">
        <f t="shared" si="686"/>
        <v>5070</v>
      </c>
      <c r="G3506" s="18"/>
      <c r="H3506" s="18"/>
      <c r="I3506" s="19">
        <v>3504</v>
      </c>
      <c r="J3506" s="19" cm="1">
        <f t="array" aca="1" ref="J3506" ca="1">INDIRECT("b"&amp;K3506+2)</f>
        <v>0</v>
      </c>
      <c r="K3506" s="19">
        <f t="shared" si="682"/>
        <v>6270</v>
      </c>
    </row>
    <row r="3507" spans="1:11">
      <c r="A3507">
        <v>3505</v>
      </c>
      <c r="B3507">
        <v>6.1749999999999999E+109</v>
      </c>
      <c r="D3507" s="18">
        <v>3505</v>
      </c>
      <c r="E3507" s="18" cm="1">
        <f t="array" aca="1" ref="E3507" ca="1">INDIRECT("b"&amp;F3507+2)</f>
        <v>7.7500000000000008E+148</v>
      </c>
      <c r="F3507" s="18">
        <f t="shared" si="686"/>
        <v>5072</v>
      </c>
      <c r="G3507" s="18"/>
      <c r="H3507" s="18"/>
      <c r="I3507" s="19">
        <v>3505</v>
      </c>
      <c r="J3507" s="19" cm="1">
        <f t="array" aca="1" ref="J3507" ca="1">INDIRECT("b"&amp;K3507+2)</f>
        <v>0</v>
      </c>
      <c r="K3507" s="19">
        <f t="shared" si="682"/>
        <v>6272</v>
      </c>
    </row>
    <row r="3508" spans="1:11">
      <c r="A3508">
        <v>3506</v>
      </c>
      <c r="B3508">
        <v>6.4000000000000002E+109</v>
      </c>
      <c r="D3508" s="18">
        <v>3506</v>
      </c>
      <c r="E3508" s="18" cm="1">
        <f t="array" aca="1" ref="E3508" ca="1">INDIRECT("b"&amp;F3508+2)</f>
        <v>7.9750000000000002E+148</v>
      </c>
      <c r="F3508" s="18">
        <f t="shared" si="686"/>
        <v>5073</v>
      </c>
      <c r="G3508" s="18"/>
      <c r="H3508" s="18"/>
      <c r="I3508" s="19">
        <v>3506</v>
      </c>
      <c r="J3508" s="19" cm="1">
        <f t="array" aca="1" ref="J3508" ca="1">INDIRECT("b"&amp;K3508+2)</f>
        <v>0</v>
      </c>
      <c r="K3508" s="19">
        <f t="shared" si="682"/>
        <v>6273</v>
      </c>
    </row>
    <row r="3509" spans="1:11">
      <c r="A3509">
        <v>3507</v>
      </c>
      <c r="B3509">
        <v>6.6249999999999997E+109</v>
      </c>
      <c r="D3509" s="18">
        <v>3507</v>
      </c>
      <c r="E3509" s="18" cm="1">
        <f t="array" aca="1" ref="E3509" ca="1">INDIRECT("b"&amp;F3509+2)</f>
        <v>8.2000000000000007E+148</v>
      </c>
      <c r="F3509" s="18">
        <f t="shared" si="686"/>
        <v>5074</v>
      </c>
      <c r="G3509" s="18">
        <f t="shared" ref="G3509" ca="1" si="694">E3509/E3504</f>
        <v>1.1970802919708028</v>
      </c>
      <c r="H3509" s="18"/>
      <c r="I3509" s="19">
        <v>3507</v>
      </c>
      <c r="J3509" s="19" cm="1">
        <f t="array" aca="1" ref="J3509" ca="1">INDIRECT("b"&amp;K3509+2)</f>
        <v>0</v>
      </c>
      <c r="K3509" s="19">
        <f t="shared" si="682"/>
        <v>6274</v>
      </c>
    </row>
    <row r="3510" spans="1:11">
      <c r="A3510">
        <v>3508</v>
      </c>
      <c r="B3510">
        <v>6.85E+109</v>
      </c>
      <c r="D3510" s="18">
        <v>3508</v>
      </c>
      <c r="E3510" s="18" cm="1">
        <f t="array" aca="1" ref="E3510" ca="1">INDIRECT("b"&amp;F3510+2)</f>
        <v>8.6500000000000007E+148</v>
      </c>
      <c r="F3510" s="18">
        <f t="shared" si="686"/>
        <v>5076</v>
      </c>
      <c r="G3510" s="18"/>
      <c r="H3510" s="18"/>
      <c r="I3510" s="19">
        <v>3508</v>
      </c>
      <c r="J3510" s="19" cm="1">
        <f t="array" aca="1" ref="J3510" ca="1">INDIRECT("b"&amp;K3510+2)</f>
        <v>0</v>
      </c>
      <c r="K3510" s="19">
        <f t="shared" si="682"/>
        <v>6276</v>
      </c>
    </row>
    <row r="3511" spans="1:11">
      <c r="A3511">
        <v>3509</v>
      </c>
      <c r="B3511">
        <v>7.0749999999999995E+109</v>
      </c>
      <c r="D3511" s="18">
        <v>3509</v>
      </c>
      <c r="E3511" s="18" cm="1">
        <f t="array" aca="1" ref="E3511" ca="1">INDIRECT("b"&amp;F3511+2)</f>
        <v>8.8750000000000001E+148</v>
      </c>
      <c r="F3511" s="18">
        <f t="shared" si="686"/>
        <v>5077</v>
      </c>
      <c r="G3511" s="18"/>
      <c r="H3511" s="18"/>
      <c r="I3511" s="19">
        <v>3509</v>
      </c>
      <c r="J3511" s="19" cm="1">
        <f t="array" aca="1" ref="J3511" ca="1">INDIRECT("b"&amp;K3511+2)</f>
        <v>0</v>
      </c>
      <c r="K3511" s="19">
        <f t="shared" si="682"/>
        <v>6277</v>
      </c>
    </row>
    <row r="3512" spans="1:11">
      <c r="A3512">
        <v>3510</v>
      </c>
      <c r="B3512">
        <v>7.2999999999999998E+109</v>
      </c>
      <c r="D3512" s="18">
        <v>3510</v>
      </c>
      <c r="E3512" s="18" cm="1">
        <f t="array" aca="1" ref="E3512" ca="1">INDIRECT("b"&amp;F3512+2)</f>
        <v>9.1000000000000006E+148</v>
      </c>
      <c r="F3512" s="18">
        <f t="shared" si="686"/>
        <v>5078</v>
      </c>
      <c r="G3512" s="18"/>
      <c r="H3512" s="18"/>
      <c r="I3512" s="19">
        <v>3510</v>
      </c>
      <c r="J3512" s="19" cm="1">
        <f t="array" aca="1" ref="J3512" ca="1">INDIRECT("b"&amp;K3512+2)</f>
        <v>0</v>
      </c>
      <c r="K3512" s="19">
        <f t="shared" si="682"/>
        <v>6278</v>
      </c>
    </row>
    <row r="3513" spans="1:11">
      <c r="A3513">
        <v>3511</v>
      </c>
      <c r="B3513">
        <v>7.5249999999999993E+109</v>
      </c>
      <c r="D3513" s="18">
        <v>3511</v>
      </c>
      <c r="E3513" s="18" cm="1">
        <f t="array" aca="1" ref="E3513" ca="1">INDIRECT("b"&amp;F3513+2)</f>
        <v>9.5500000000000006E+148</v>
      </c>
      <c r="F3513" s="18">
        <f t="shared" si="686"/>
        <v>5080</v>
      </c>
      <c r="G3513" s="18"/>
      <c r="H3513" s="18"/>
      <c r="I3513" s="19">
        <v>3511</v>
      </c>
      <c r="J3513" s="19" cm="1">
        <f t="array" aca="1" ref="J3513" ca="1">INDIRECT("b"&amp;K3513+2)</f>
        <v>0</v>
      </c>
      <c r="K3513" s="19">
        <f t="shared" si="682"/>
        <v>6280</v>
      </c>
    </row>
    <row r="3514" spans="1:11">
      <c r="A3514">
        <v>3512</v>
      </c>
      <c r="B3514">
        <v>7.7500000000000004E+109</v>
      </c>
      <c r="D3514" s="18">
        <v>3512</v>
      </c>
      <c r="E3514" s="18" cm="1">
        <f t="array" aca="1" ref="E3514" ca="1">INDIRECT("b"&amp;F3514+2)</f>
        <v>9.7750000000000011E+148</v>
      </c>
      <c r="F3514" s="18">
        <f t="shared" si="686"/>
        <v>5081</v>
      </c>
      <c r="G3514" s="18">
        <f t="shared" ref="G3514" ca="1" si="695">E3514/E3509</f>
        <v>1.1920731707317074</v>
      </c>
      <c r="H3514" s="18"/>
      <c r="I3514" s="19">
        <v>3512</v>
      </c>
      <c r="J3514" s="19" cm="1">
        <f t="array" aca="1" ref="J3514" ca="1">INDIRECT("b"&amp;K3514+2)</f>
        <v>0</v>
      </c>
      <c r="K3514" s="19">
        <f t="shared" si="682"/>
        <v>6281</v>
      </c>
    </row>
    <row r="3515" spans="1:11">
      <c r="A3515">
        <v>3513</v>
      </c>
      <c r="B3515">
        <v>7.9749999999999999E+109</v>
      </c>
      <c r="D3515" s="18">
        <v>3513</v>
      </c>
      <c r="E3515" s="18" cm="1">
        <f t="array" aca="1" ref="E3515" ca="1">INDIRECT("b"&amp;F3515+2)</f>
        <v>1E+149</v>
      </c>
      <c r="F3515" s="18">
        <f t="shared" si="686"/>
        <v>5082</v>
      </c>
      <c r="G3515" s="18"/>
      <c r="H3515" s="18"/>
      <c r="I3515" s="19">
        <v>3513</v>
      </c>
      <c r="J3515" s="19" cm="1">
        <f t="array" aca="1" ref="J3515" ca="1">INDIRECT("b"&amp;K3515+2)</f>
        <v>0</v>
      </c>
      <c r="K3515" s="19">
        <f t="shared" si="682"/>
        <v>6282</v>
      </c>
    </row>
    <row r="3516" spans="1:11">
      <c r="A3516">
        <v>3514</v>
      </c>
      <c r="B3516">
        <v>8.1999999999999994E+109</v>
      </c>
      <c r="D3516" s="18">
        <v>3514</v>
      </c>
      <c r="E3516" s="18" cm="1">
        <f t="array" aca="1" ref="E3516" ca="1">INDIRECT("b"&amp;F3516+2)</f>
        <v>1.4500000000000001E+149</v>
      </c>
      <c r="F3516" s="18">
        <f t="shared" si="686"/>
        <v>5084</v>
      </c>
      <c r="G3516" s="18"/>
      <c r="H3516" s="18"/>
      <c r="I3516" s="19">
        <v>3514</v>
      </c>
      <c r="J3516" s="19" cm="1">
        <f t="array" aca="1" ref="J3516" ca="1">INDIRECT("b"&amp;K3516+2)</f>
        <v>0</v>
      </c>
      <c r="K3516" s="19">
        <f t="shared" si="682"/>
        <v>6284</v>
      </c>
    </row>
    <row r="3517" spans="1:11">
      <c r="A3517">
        <v>3515</v>
      </c>
      <c r="B3517">
        <v>8.4250000000000005E+109</v>
      </c>
      <c r="D3517" s="18">
        <v>3515</v>
      </c>
      <c r="E3517" s="18" cm="1">
        <f t="array" aca="1" ref="E3517" ca="1">INDIRECT("b"&amp;F3517+2)</f>
        <v>1.675E+149</v>
      </c>
      <c r="F3517" s="18">
        <f t="shared" si="686"/>
        <v>5085</v>
      </c>
      <c r="G3517" s="18"/>
      <c r="H3517" s="18"/>
      <c r="I3517" s="19">
        <v>3515</v>
      </c>
      <c r="J3517" s="19" cm="1">
        <f t="array" aca="1" ref="J3517" ca="1">INDIRECT("b"&amp;K3517+2)</f>
        <v>0</v>
      </c>
      <c r="K3517" s="19">
        <f t="shared" si="682"/>
        <v>6285</v>
      </c>
    </row>
    <row r="3518" spans="1:11">
      <c r="A3518">
        <v>3516</v>
      </c>
      <c r="B3518">
        <v>8.65E+109</v>
      </c>
      <c r="D3518" s="18">
        <v>3516</v>
      </c>
      <c r="E3518" s="18" cm="1">
        <f t="array" aca="1" ref="E3518" ca="1">INDIRECT("b"&amp;F3518+2)</f>
        <v>1.9E+149</v>
      </c>
      <c r="F3518" s="18">
        <f t="shared" si="686"/>
        <v>5086</v>
      </c>
      <c r="G3518" s="18"/>
      <c r="H3518" s="18"/>
      <c r="I3518" s="19">
        <v>3516</v>
      </c>
      <c r="J3518" s="19" cm="1">
        <f t="array" aca="1" ref="J3518" ca="1">INDIRECT("b"&amp;K3518+2)</f>
        <v>0</v>
      </c>
      <c r="K3518" s="19">
        <f t="shared" si="682"/>
        <v>6286</v>
      </c>
    </row>
    <row r="3519" spans="1:11">
      <c r="A3519">
        <v>3517</v>
      </c>
      <c r="B3519">
        <v>8.8749999999999995E+109</v>
      </c>
      <c r="D3519" s="18">
        <v>3517</v>
      </c>
      <c r="E3519" s="18" cm="1">
        <f t="array" aca="1" ref="E3519" ca="1">INDIRECT("b"&amp;F3519+2)</f>
        <v>2.3500000000000002E+149</v>
      </c>
      <c r="F3519" s="18">
        <f t="shared" si="686"/>
        <v>5088</v>
      </c>
      <c r="G3519" s="18">
        <f t="shared" ref="G3519" ca="1" si="696">E3519/E3514</f>
        <v>2.4040920716112533</v>
      </c>
      <c r="H3519" s="18"/>
      <c r="I3519" s="19">
        <v>3517</v>
      </c>
      <c r="J3519" s="19" cm="1">
        <f t="array" aca="1" ref="J3519" ca="1">INDIRECT("b"&amp;K3519+2)</f>
        <v>0</v>
      </c>
      <c r="K3519" s="19">
        <f t="shared" si="682"/>
        <v>6288</v>
      </c>
    </row>
    <row r="3520" spans="1:11">
      <c r="A3520">
        <v>3518</v>
      </c>
      <c r="B3520">
        <v>9.099999999999999E+109</v>
      </c>
      <c r="D3520" s="18">
        <v>3518</v>
      </c>
      <c r="E3520" s="18" cm="1">
        <f t="array" aca="1" ref="E3520" ca="1">INDIRECT("b"&amp;F3520+2)</f>
        <v>2.5750000000000001E+149</v>
      </c>
      <c r="F3520" s="18">
        <f t="shared" si="686"/>
        <v>5089</v>
      </c>
      <c r="G3520" s="18"/>
      <c r="H3520" s="18"/>
      <c r="I3520" s="19">
        <v>3518</v>
      </c>
      <c r="J3520" s="19" cm="1">
        <f t="array" aca="1" ref="J3520" ca="1">INDIRECT("b"&amp;K3520+2)</f>
        <v>0</v>
      </c>
      <c r="K3520" s="19">
        <f t="shared" si="682"/>
        <v>6289</v>
      </c>
    </row>
    <row r="3521" spans="1:11">
      <c r="A3521">
        <v>3519</v>
      </c>
      <c r="B3521">
        <v>9.3250000000000001E+109</v>
      </c>
      <c r="D3521" s="18">
        <v>3519</v>
      </c>
      <c r="E3521" s="18" cm="1">
        <f t="array" aca="1" ref="E3521" ca="1">INDIRECT("b"&amp;F3521+2)</f>
        <v>2.7999999999999999E+149</v>
      </c>
      <c r="F3521" s="18">
        <f t="shared" si="686"/>
        <v>5090</v>
      </c>
      <c r="G3521" s="18"/>
      <c r="H3521" s="18"/>
      <c r="I3521" s="19">
        <v>3519</v>
      </c>
      <c r="J3521" s="19" cm="1">
        <f t="array" aca="1" ref="J3521" ca="1">INDIRECT("b"&amp;K3521+2)</f>
        <v>0</v>
      </c>
      <c r="K3521" s="19">
        <f t="shared" si="682"/>
        <v>6290</v>
      </c>
    </row>
    <row r="3522" spans="1:11">
      <c r="A3522">
        <v>3520</v>
      </c>
      <c r="B3522">
        <v>9.5499999999999996E+109</v>
      </c>
      <c r="D3522" s="18">
        <v>3520</v>
      </c>
      <c r="E3522" s="18" cm="1">
        <f t="array" aca="1" ref="E3522" ca="1">INDIRECT("b"&amp;F3522+2)</f>
        <v>3.2500000000000001E+149</v>
      </c>
      <c r="F3522" s="18">
        <f t="shared" si="686"/>
        <v>5092</v>
      </c>
      <c r="G3522" s="18"/>
      <c r="H3522" s="18"/>
      <c r="I3522" s="19">
        <v>3520</v>
      </c>
      <c r="J3522" s="19" cm="1">
        <f t="array" aca="1" ref="J3522" ca="1">INDIRECT("b"&amp;K3522+2)</f>
        <v>0</v>
      </c>
      <c r="K3522" s="19">
        <f t="shared" si="682"/>
        <v>6292</v>
      </c>
    </row>
    <row r="3523" spans="1:11">
      <c r="A3523">
        <v>3521</v>
      </c>
      <c r="B3523">
        <v>9.7749999999999991E+109</v>
      </c>
      <c r="D3523" s="18">
        <v>3521</v>
      </c>
      <c r="E3523" s="18" cm="1">
        <f t="array" aca="1" ref="E3523" ca="1">INDIRECT("b"&amp;F3523+2)</f>
        <v>3.4749999999999999E+149</v>
      </c>
      <c r="F3523" s="18">
        <f t="shared" si="686"/>
        <v>5093</v>
      </c>
      <c r="G3523" s="18"/>
      <c r="H3523" s="18"/>
      <c r="I3523" s="19">
        <v>3521</v>
      </c>
      <c r="J3523" s="19" cm="1">
        <f t="array" aca="1" ref="J3523" ca="1">INDIRECT("b"&amp;K3523+2)</f>
        <v>0</v>
      </c>
      <c r="K3523" s="19">
        <f t="shared" si="682"/>
        <v>6293</v>
      </c>
    </row>
    <row r="3524" spans="1:11">
      <c r="A3524">
        <v>3522</v>
      </c>
      <c r="B3524">
        <v>1E+110</v>
      </c>
      <c r="D3524" s="18">
        <v>3522</v>
      </c>
      <c r="E3524" s="18" cm="1">
        <f t="array" aca="1" ref="E3524" ca="1">INDIRECT("b"&amp;F3524+2)</f>
        <v>3.7000000000000002E+149</v>
      </c>
      <c r="F3524" s="18">
        <f t="shared" si="686"/>
        <v>5094</v>
      </c>
      <c r="G3524" s="18">
        <f t="shared" ref="G3524" ca="1" si="697">E3524/E3519</f>
        <v>1.574468085106383</v>
      </c>
      <c r="H3524" s="18"/>
      <c r="I3524" s="19">
        <v>3522</v>
      </c>
      <c r="J3524" s="19" cm="1">
        <f t="array" aca="1" ref="J3524" ca="1">INDIRECT("b"&amp;K3524+2)</f>
        <v>0</v>
      </c>
      <c r="K3524" s="19">
        <f t="shared" ref="K3524:K3587" si="698">INT((A3524-1)*40/30+900*40/30)+400</f>
        <v>6294</v>
      </c>
    </row>
    <row r="3525" spans="1:11">
      <c r="A3525">
        <v>3523</v>
      </c>
      <c r="B3525">
        <v>1.225E+110</v>
      </c>
      <c r="D3525" s="18">
        <v>3523</v>
      </c>
      <c r="E3525" s="18" cm="1">
        <f t="array" aca="1" ref="E3525" ca="1">INDIRECT("b"&amp;F3525+2)</f>
        <v>4.1499999999999999E+149</v>
      </c>
      <c r="F3525" s="18">
        <f t="shared" si="686"/>
        <v>5096</v>
      </c>
      <c r="G3525" s="18"/>
      <c r="H3525" s="18"/>
      <c r="I3525" s="19">
        <v>3523</v>
      </c>
      <c r="J3525" s="19" cm="1">
        <f t="array" aca="1" ref="J3525" ca="1">INDIRECT("b"&amp;K3525+2)</f>
        <v>0</v>
      </c>
      <c r="K3525" s="19">
        <f t="shared" si="698"/>
        <v>6296</v>
      </c>
    </row>
    <row r="3526" spans="1:11">
      <c r="A3526">
        <v>3524</v>
      </c>
      <c r="B3526">
        <v>1.45E+110</v>
      </c>
      <c r="D3526" s="18">
        <v>3524</v>
      </c>
      <c r="E3526" s="18" cm="1">
        <f t="array" aca="1" ref="E3526" ca="1">INDIRECT("b"&amp;F3526+2)</f>
        <v>4.3749999999999998E+149</v>
      </c>
      <c r="F3526" s="18">
        <f t="shared" si="686"/>
        <v>5097</v>
      </c>
      <c r="G3526" s="18"/>
      <c r="H3526" s="18"/>
      <c r="I3526" s="19">
        <v>3524</v>
      </c>
      <c r="J3526" s="19" cm="1">
        <f t="array" aca="1" ref="J3526" ca="1">INDIRECT("b"&amp;K3526+2)</f>
        <v>0</v>
      </c>
      <c r="K3526" s="19">
        <f t="shared" si="698"/>
        <v>6297</v>
      </c>
    </row>
    <row r="3527" spans="1:11">
      <c r="A3527">
        <v>3525</v>
      </c>
      <c r="B3527">
        <v>1.6749999999999998E+110</v>
      </c>
      <c r="D3527" s="18">
        <v>3525</v>
      </c>
      <c r="E3527" s="18" cm="1">
        <f t="array" aca="1" ref="E3527" ca="1">INDIRECT("b"&amp;F3527+2)</f>
        <v>4.5999999999999997E+149</v>
      </c>
      <c r="F3527" s="18">
        <f t="shared" si="686"/>
        <v>5098</v>
      </c>
      <c r="G3527" s="18"/>
      <c r="H3527" s="18"/>
      <c r="I3527" s="19">
        <v>3525</v>
      </c>
      <c r="J3527" s="19" cm="1">
        <f t="array" aca="1" ref="J3527" ca="1">INDIRECT("b"&amp;K3527+2)</f>
        <v>0</v>
      </c>
      <c r="K3527" s="19">
        <f t="shared" si="698"/>
        <v>6298</v>
      </c>
    </row>
    <row r="3528" spans="1:11">
      <c r="A3528">
        <v>3526</v>
      </c>
      <c r="B3528">
        <v>1.8999999999999999E+110</v>
      </c>
      <c r="D3528" s="18">
        <v>3526</v>
      </c>
      <c r="E3528" s="18" cm="1">
        <f t="array" aca="1" ref="E3528" ca="1">INDIRECT("b"&amp;F3528+2)</f>
        <v>5.0500000000000003E+149</v>
      </c>
      <c r="F3528" s="18">
        <f t="shared" si="686"/>
        <v>5100</v>
      </c>
      <c r="G3528" s="18"/>
      <c r="H3528" s="18"/>
      <c r="I3528" s="19">
        <v>3526</v>
      </c>
      <c r="J3528" s="19" cm="1">
        <f t="array" aca="1" ref="J3528" ca="1">INDIRECT("b"&amp;K3528+2)</f>
        <v>0</v>
      </c>
      <c r="K3528" s="19">
        <f t="shared" si="698"/>
        <v>6300</v>
      </c>
    </row>
    <row r="3529" spans="1:11">
      <c r="A3529">
        <v>3527</v>
      </c>
      <c r="B3529">
        <v>2.1250000000000001E+110</v>
      </c>
      <c r="D3529" s="18">
        <v>3527</v>
      </c>
      <c r="E3529" s="18" cm="1">
        <f t="array" aca="1" ref="E3529" ca="1">INDIRECT("b"&amp;F3529+2)</f>
        <v>5.2750000000000001E+149</v>
      </c>
      <c r="F3529" s="18">
        <f t="shared" si="686"/>
        <v>5101</v>
      </c>
      <c r="G3529" s="18">
        <f t="shared" ref="G3529" ca="1" si="699">E3529/E3524</f>
        <v>1.4256756756756757</v>
      </c>
      <c r="H3529" s="18"/>
      <c r="I3529" s="19">
        <v>3527</v>
      </c>
      <c r="J3529" s="19" cm="1">
        <f t="array" aca="1" ref="J3529" ca="1">INDIRECT("b"&amp;K3529+2)</f>
        <v>0</v>
      </c>
      <c r="K3529" s="19">
        <f t="shared" si="698"/>
        <v>6301</v>
      </c>
    </row>
    <row r="3530" spans="1:11">
      <c r="A3530">
        <v>3528</v>
      </c>
      <c r="B3530">
        <v>2.3499999999999999E+110</v>
      </c>
      <c r="D3530" s="18">
        <v>3528</v>
      </c>
      <c r="E3530" s="18" cm="1">
        <f t="array" aca="1" ref="E3530" ca="1">INDIRECT("b"&amp;F3530+2)</f>
        <v>5.5E+149</v>
      </c>
      <c r="F3530" s="18">
        <f t="shared" si="686"/>
        <v>5102</v>
      </c>
      <c r="G3530" s="18"/>
      <c r="H3530" s="18"/>
      <c r="I3530" s="19">
        <v>3528</v>
      </c>
      <c r="J3530" s="19" cm="1">
        <f t="array" aca="1" ref="J3530" ca="1">INDIRECT("b"&amp;K3530+2)</f>
        <v>0</v>
      </c>
      <c r="K3530" s="19">
        <f t="shared" si="698"/>
        <v>6302</v>
      </c>
    </row>
    <row r="3531" spans="1:11">
      <c r="A3531">
        <v>3529</v>
      </c>
      <c r="B3531">
        <v>2.5750000000000001E+110</v>
      </c>
      <c r="D3531" s="18">
        <v>3529</v>
      </c>
      <c r="E3531" s="18" cm="1">
        <f t="array" aca="1" ref="E3531" ca="1">INDIRECT("b"&amp;F3531+2)</f>
        <v>5.9499999999999997E+149</v>
      </c>
      <c r="F3531" s="18">
        <f t="shared" si="686"/>
        <v>5104</v>
      </c>
      <c r="G3531" s="18"/>
      <c r="H3531" s="18"/>
      <c r="I3531" s="19">
        <v>3529</v>
      </c>
      <c r="J3531" s="19" cm="1">
        <f t="array" aca="1" ref="J3531" ca="1">INDIRECT("b"&amp;K3531+2)</f>
        <v>0</v>
      </c>
      <c r="K3531" s="19">
        <f t="shared" si="698"/>
        <v>6304</v>
      </c>
    </row>
    <row r="3532" spans="1:11">
      <c r="A3532">
        <v>3530</v>
      </c>
      <c r="B3532">
        <v>2.7999999999999999E+110</v>
      </c>
      <c r="D3532" s="18">
        <v>3530</v>
      </c>
      <c r="E3532" s="18" cm="1">
        <f t="array" aca="1" ref="E3532" ca="1">INDIRECT("b"&amp;F3532+2)</f>
        <v>6.1750000000000005E+149</v>
      </c>
      <c r="F3532" s="18">
        <f t="shared" si="686"/>
        <v>5105</v>
      </c>
      <c r="G3532" s="18"/>
      <c r="H3532" s="18"/>
      <c r="I3532" s="19">
        <v>3530</v>
      </c>
      <c r="J3532" s="19" cm="1">
        <f t="array" aca="1" ref="J3532" ca="1">INDIRECT("b"&amp;K3532+2)</f>
        <v>0</v>
      </c>
      <c r="K3532" s="19">
        <f t="shared" si="698"/>
        <v>6305</v>
      </c>
    </row>
    <row r="3533" spans="1:11">
      <c r="A3533">
        <v>3531</v>
      </c>
      <c r="B3533">
        <v>3.025E+110</v>
      </c>
      <c r="D3533" s="18">
        <v>3531</v>
      </c>
      <c r="E3533" s="18" cm="1">
        <f t="array" aca="1" ref="E3533" ca="1">INDIRECT("b"&amp;F3533+2)</f>
        <v>6.4000000000000003E+149</v>
      </c>
      <c r="F3533" s="18">
        <f t="shared" si="686"/>
        <v>5106</v>
      </c>
      <c r="G3533" s="18"/>
      <c r="H3533" s="18"/>
      <c r="I3533" s="19">
        <v>3531</v>
      </c>
      <c r="J3533" s="19" cm="1">
        <f t="array" aca="1" ref="J3533" ca="1">INDIRECT("b"&amp;K3533+2)</f>
        <v>0</v>
      </c>
      <c r="K3533" s="19">
        <f t="shared" si="698"/>
        <v>6306</v>
      </c>
    </row>
    <row r="3534" spans="1:11">
      <c r="A3534">
        <v>3532</v>
      </c>
      <c r="B3534">
        <v>3.2499999999999998E+110</v>
      </c>
      <c r="D3534" s="18">
        <v>3532</v>
      </c>
      <c r="E3534" s="18" cm="1">
        <f t="array" aca="1" ref="E3534" ca="1">INDIRECT("b"&amp;F3534+2)</f>
        <v>6.85E+149</v>
      </c>
      <c r="F3534" s="18">
        <f t="shared" si="686"/>
        <v>5108</v>
      </c>
      <c r="G3534" s="18">
        <f t="shared" ref="G3534" ca="1" si="700">E3534/E3529</f>
        <v>1.2985781990521326</v>
      </c>
      <c r="H3534" s="18"/>
      <c r="I3534" s="19">
        <v>3532</v>
      </c>
      <c r="J3534" s="19" cm="1">
        <f t="array" aca="1" ref="J3534" ca="1">INDIRECT("b"&amp;K3534+2)</f>
        <v>0</v>
      </c>
      <c r="K3534" s="19">
        <f t="shared" si="698"/>
        <v>6308</v>
      </c>
    </row>
    <row r="3535" spans="1:11">
      <c r="A3535">
        <v>3533</v>
      </c>
      <c r="B3535">
        <v>3.4749999999999996E+110</v>
      </c>
      <c r="D3535" s="18">
        <v>3533</v>
      </c>
      <c r="E3535" s="18" cm="1">
        <f t="array" aca="1" ref="E3535" ca="1">INDIRECT("b"&amp;F3535+2)</f>
        <v>7.0749999999999999E+149</v>
      </c>
      <c r="F3535" s="18">
        <f t="shared" si="686"/>
        <v>5109</v>
      </c>
      <c r="G3535" s="18"/>
      <c r="H3535" s="18"/>
      <c r="I3535" s="19">
        <v>3533</v>
      </c>
      <c r="J3535" s="19" cm="1">
        <f t="array" aca="1" ref="J3535" ca="1">INDIRECT("b"&amp;K3535+2)</f>
        <v>0</v>
      </c>
      <c r="K3535" s="19">
        <f t="shared" si="698"/>
        <v>6309</v>
      </c>
    </row>
    <row r="3536" spans="1:11">
      <c r="A3536">
        <v>3534</v>
      </c>
      <c r="B3536">
        <v>3.7000000000000001E+110</v>
      </c>
      <c r="D3536" s="18">
        <v>3534</v>
      </c>
      <c r="E3536" s="18" cm="1">
        <f t="array" aca="1" ref="E3536" ca="1">INDIRECT("b"&amp;F3536+2)</f>
        <v>7.2999999999999997E+149</v>
      </c>
      <c r="F3536" s="18">
        <f t="shared" si="686"/>
        <v>5110</v>
      </c>
      <c r="G3536" s="18"/>
      <c r="H3536" s="18"/>
      <c r="I3536" s="19">
        <v>3534</v>
      </c>
      <c r="J3536" s="19" cm="1">
        <f t="array" aca="1" ref="J3536" ca="1">INDIRECT("b"&amp;K3536+2)</f>
        <v>0</v>
      </c>
      <c r="K3536" s="19">
        <f t="shared" si="698"/>
        <v>6310</v>
      </c>
    </row>
    <row r="3537" spans="1:11">
      <c r="A3537">
        <v>3535</v>
      </c>
      <c r="B3537">
        <v>3.9249999999999999E+110</v>
      </c>
      <c r="D3537" s="18">
        <v>3535</v>
      </c>
      <c r="E3537" s="18" cm="1">
        <f t="array" aca="1" ref="E3537" ca="1">INDIRECT("b"&amp;F3537+2)</f>
        <v>7.7500000000000004E+149</v>
      </c>
      <c r="F3537" s="18">
        <f t="shared" si="686"/>
        <v>5112</v>
      </c>
      <c r="G3537" s="18"/>
      <c r="H3537" s="18"/>
      <c r="I3537" s="19">
        <v>3535</v>
      </c>
      <c r="J3537" s="19" cm="1">
        <f t="array" aca="1" ref="J3537" ca="1">INDIRECT("b"&amp;K3537+2)</f>
        <v>0</v>
      </c>
      <c r="K3537" s="19">
        <f t="shared" si="698"/>
        <v>6312</v>
      </c>
    </row>
    <row r="3538" spans="1:11">
      <c r="A3538">
        <v>3536</v>
      </c>
      <c r="B3538">
        <v>4.1499999999999997E+110</v>
      </c>
      <c r="D3538" s="18">
        <v>3536</v>
      </c>
      <c r="E3538" s="18" cm="1">
        <f t="array" aca="1" ref="E3538" ca="1">INDIRECT("b"&amp;F3538+2)</f>
        <v>7.9750000000000002E+149</v>
      </c>
      <c r="F3538" s="18">
        <f t="shared" si="686"/>
        <v>5113</v>
      </c>
      <c r="G3538" s="18"/>
      <c r="H3538" s="18"/>
      <c r="I3538" s="19">
        <v>3536</v>
      </c>
      <c r="J3538" s="19" cm="1">
        <f t="array" aca="1" ref="J3538" ca="1">INDIRECT("b"&amp;K3538+2)</f>
        <v>0</v>
      </c>
      <c r="K3538" s="19">
        <f t="shared" si="698"/>
        <v>6313</v>
      </c>
    </row>
    <row r="3539" spans="1:11">
      <c r="A3539">
        <v>3537</v>
      </c>
      <c r="B3539">
        <v>4.3750000000000002E+110</v>
      </c>
      <c r="D3539" s="18">
        <v>3537</v>
      </c>
      <c r="E3539" s="18" cm="1">
        <f t="array" aca="1" ref="E3539" ca="1">INDIRECT("b"&amp;F3539+2)</f>
        <v>8.200000000000001E+149</v>
      </c>
      <c r="F3539" s="18">
        <f t="shared" ref="F3539:F3602" si="701">INT((A3539-123)*1.333333)+563</f>
        <v>5114</v>
      </c>
      <c r="G3539" s="18">
        <f t="shared" ref="G3539" ca="1" si="702">E3539/E3534</f>
        <v>1.197080291970803</v>
      </c>
      <c r="H3539" s="18"/>
      <c r="I3539" s="19">
        <v>3537</v>
      </c>
      <c r="J3539" s="19" cm="1">
        <f t="array" aca="1" ref="J3539" ca="1">INDIRECT("b"&amp;K3539+2)</f>
        <v>0</v>
      </c>
      <c r="K3539" s="19">
        <f t="shared" si="698"/>
        <v>6314</v>
      </c>
    </row>
    <row r="3540" spans="1:11">
      <c r="A3540">
        <v>3538</v>
      </c>
      <c r="B3540">
        <v>4.6E+110</v>
      </c>
      <c r="D3540" s="18">
        <v>3538</v>
      </c>
      <c r="E3540" s="18" cm="1">
        <f t="array" aca="1" ref="E3540" ca="1">INDIRECT("b"&amp;F3540+2)</f>
        <v>8.6500000000000007E+149</v>
      </c>
      <c r="F3540" s="18">
        <f t="shared" si="701"/>
        <v>5116</v>
      </c>
      <c r="G3540" s="18"/>
      <c r="H3540" s="18"/>
      <c r="I3540" s="19">
        <v>3538</v>
      </c>
      <c r="J3540" s="19" cm="1">
        <f t="array" aca="1" ref="J3540" ca="1">INDIRECT("b"&amp;K3540+2)</f>
        <v>0</v>
      </c>
      <c r="K3540" s="19">
        <f t="shared" si="698"/>
        <v>6316</v>
      </c>
    </row>
    <row r="3541" spans="1:11">
      <c r="A3541">
        <v>3539</v>
      </c>
      <c r="B3541">
        <v>4.8249999999999999E+110</v>
      </c>
      <c r="D3541" s="18">
        <v>3539</v>
      </c>
      <c r="E3541" s="18" cm="1">
        <f t="array" aca="1" ref="E3541" ca="1">INDIRECT("b"&amp;F3541+2)</f>
        <v>8.8749999999999996E+149</v>
      </c>
      <c r="F3541" s="18">
        <f t="shared" si="701"/>
        <v>5117</v>
      </c>
      <c r="G3541" s="18"/>
      <c r="H3541" s="18"/>
      <c r="I3541" s="19">
        <v>3539</v>
      </c>
      <c r="J3541" s="19" cm="1">
        <f t="array" aca="1" ref="J3541" ca="1">INDIRECT("b"&amp;K3541+2)</f>
        <v>0</v>
      </c>
      <c r="K3541" s="19">
        <f t="shared" si="698"/>
        <v>6317</v>
      </c>
    </row>
    <row r="3542" spans="1:11">
      <c r="A3542">
        <v>3540</v>
      </c>
      <c r="B3542">
        <v>5.0499999999999997E+110</v>
      </c>
      <c r="D3542" s="18">
        <v>3540</v>
      </c>
      <c r="E3542" s="18" cm="1">
        <f t="array" aca="1" ref="E3542" ca="1">INDIRECT("b"&amp;F3542+2)</f>
        <v>9.1000000000000004E+149</v>
      </c>
      <c r="F3542" s="18">
        <f t="shared" si="701"/>
        <v>5118</v>
      </c>
      <c r="G3542" s="18"/>
      <c r="H3542" s="18"/>
      <c r="I3542" s="19">
        <v>3540</v>
      </c>
      <c r="J3542" s="19" cm="1">
        <f t="array" aca="1" ref="J3542" ca="1">INDIRECT("b"&amp;K3542+2)</f>
        <v>0</v>
      </c>
      <c r="K3542" s="19">
        <f t="shared" si="698"/>
        <v>6318</v>
      </c>
    </row>
    <row r="3543" spans="1:11">
      <c r="A3543">
        <v>3541</v>
      </c>
      <c r="B3543">
        <v>5.2750000000000001E+110</v>
      </c>
      <c r="D3543" s="18">
        <v>3541</v>
      </c>
      <c r="E3543" s="18" cm="1">
        <f t="array" aca="1" ref="E3543" ca="1">INDIRECT("b"&amp;F3543+2)</f>
        <v>9.5500000000000001E+149</v>
      </c>
      <c r="F3543" s="18">
        <f t="shared" si="701"/>
        <v>5120</v>
      </c>
      <c r="G3543" s="18"/>
      <c r="H3543" s="18"/>
      <c r="I3543" s="19">
        <v>3541</v>
      </c>
      <c r="J3543" s="19" cm="1">
        <f t="array" aca="1" ref="J3543" ca="1">INDIRECT("b"&amp;K3543+2)</f>
        <v>0</v>
      </c>
      <c r="K3543" s="19">
        <f t="shared" si="698"/>
        <v>6320</v>
      </c>
    </row>
    <row r="3544" spans="1:11">
      <c r="A3544">
        <v>3542</v>
      </c>
      <c r="B3544">
        <v>5.5E+110</v>
      </c>
      <c r="D3544" s="18">
        <v>3542</v>
      </c>
      <c r="E3544" s="18" cm="1">
        <f t="array" aca="1" ref="E3544" ca="1">INDIRECT("b"&amp;F3544+2)</f>
        <v>9.7750000000000009E+149</v>
      </c>
      <c r="F3544" s="18">
        <f t="shared" si="701"/>
        <v>5121</v>
      </c>
      <c r="G3544" s="18">
        <f t="shared" ref="G3544" ca="1" si="703">E3544/E3539</f>
        <v>1.1920731707317074</v>
      </c>
      <c r="H3544" s="18"/>
      <c r="I3544" s="19">
        <v>3542</v>
      </c>
      <c r="J3544" s="19" cm="1">
        <f t="array" aca="1" ref="J3544" ca="1">INDIRECT("b"&amp;K3544+2)</f>
        <v>0</v>
      </c>
      <c r="K3544" s="19">
        <f t="shared" si="698"/>
        <v>6321</v>
      </c>
    </row>
    <row r="3545" spans="1:11">
      <c r="A3545">
        <v>3543</v>
      </c>
      <c r="B3545">
        <v>5.7249999999999998E+110</v>
      </c>
      <c r="D3545" s="18">
        <v>3543</v>
      </c>
      <c r="E3545" s="18" cm="1">
        <f t="array" aca="1" ref="E3545" ca="1">INDIRECT("b"&amp;F3545+2)</f>
        <v>9.9999999999999998E+149</v>
      </c>
      <c r="F3545" s="18">
        <f t="shared" si="701"/>
        <v>5122</v>
      </c>
      <c r="G3545" s="18"/>
      <c r="H3545" s="18"/>
      <c r="I3545" s="19">
        <v>3543</v>
      </c>
      <c r="J3545" s="19" cm="1">
        <f t="array" aca="1" ref="J3545" ca="1">INDIRECT("b"&amp;K3545+2)</f>
        <v>0</v>
      </c>
      <c r="K3545" s="19">
        <f t="shared" si="698"/>
        <v>6322</v>
      </c>
    </row>
    <row r="3546" spans="1:11">
      <c r="A3546">
        <v>3544</v>
      </c>
      <c r="B3546">
        <v>5.9499999999999996E+110</v>
      </c>
      <c r="D3546" s="18">
        <v>3544</v>
      </c>
      <c r="E3546" s="18" cm="1">
        <f t="array" aca="1" ref="E3546" ca="1">INDIRECT("b"&amp;F3546+2)</f>
        <v>1.4500000000000001E+150</v>
      </c>
      <c r="F3546" s="18">
        <f t="shared" si="701"/>
        <v>5124</v>
      </c>
      <c r="G3546" s="18"/>
      <c r="H3546" s="18"/>
      <c r="I3546" s="19">
        <v>3544</v>
      </c>
      <c r="J3546" s="19" cm="1">
        <f t="array" aca="1" ref="J3546" ca="1">INDIRECT("b"&amp;K3546+2)</f>
        <v>0</v>
      </c>
      <c r="K3546" s="19">
        <f t="shared" si="698"/>
        <v>6324</v>
      </c>
    </row>
    <row r="3547" spans="1:11">
      <c r="A3547">
        <v>3545</v>
      </c>
      <c r="B3547">
        <v>6.1750000000000001E+110</v>
      </c>
      <c r="D3547" s="18">
        <v>3545</v>
      </c>
      <c r="E3547" s="18" cm="1">
        <f t="array" aca="1" ref="E3547" ca="1">INDIRECT("b"&amp;F3547+2)</f>
        <v>1.6749999999999999E+150</v>
      </c>
      <c r="F3547" s="18">
        <f t="shared" si="701"/>
        <v>5125</v>
      </c>
      <c r="G3547" s="18"/>
      <c r="H3547" s="18"/>
      <c r="I3547" s="19">
        <v>3545</v>
      </c>
      <c r="J3547" s="19" cm="1">
        <f t="array" aca="1" ref="J3547" ca="1">INDIRECT("b"&amp;K3547+2)</f>
        <v>0</v>
      </c>
      <c r="K3547" s="19">
        <f t="shared" si="698"/>
        <v>6325</v>
      </c>
    </row>
    <row r="3548" spans="1:11">
      <c r="A3548">
        <v>3546</v>
      </c>
      <c r="B3548">
        <v>6.3999999999999999E+110</v>
      </c>
      <c r="D3548" s="18">
        <v>3546</v>
      </c>
      <c r="E3548" s="18" cm="1">
        <f t="array" aca="1" ref="E3548" ca="1">INDIRECT("b"&amp;F3548+2)</f>
        <v>1.8999999999999999E+150</v>
      </c>
      <c r="F3548" s="18">
        <f t="shared" si="701"/>
        <v>5126</v>
      </c>
      <c r="G3548" s="18"/>
      <c r="H3548" s="18"/>
      <c r="I3548" s="19">
        <v>3546</v>
      </c>
      <c r="J3548" s="19" cm="1">
        <f t="array" aca="1" ref="J3548" ca="1">INDIRECT("b"&amp;K3548+2)</f>
        <v>0</v>
      </c>
      <c r="K3548" s="19">
        <f t="shared" si="698"/>
        <v>6326</v>
      </c>
    </row>
    <row r="3549" spans="1:11">
      <c r="A3549">
        <v>3547</v>
      </c>
      <c r="B3549">
        <v>6.6249999999999997E+110</v>
      </c>
      <c r="D3549" s="18">
        <v>3547</v>
      </c>
      <c r="E3549" s="18" cm="1">
        <f t="array" aca="1" ref="E3549" ca="1">INDIRECT("b"&amp;F3549+2)</f>
        <v>2.35E+150</v>
      </c>
      <c r="F3549" s="18">
        <f t="shared" si="701"/>
        <v>5128</v>
      </c>
      <c r="G3549" s="18">
        <f t="shared" ref="G3549" ca="1" si="704">E3549/E3544</f>
        <v>2.4040920716112528</v>
      </c>
      <c r="H3549" s="18"/>
      <c r="I3549" s="19">
        <v>3547</v>
      </c>
      <c r="J3549" s="19" cm="1">
        <f t="array" aca="1" ref="J3549" ca="1">INDIRECT("b"&amp;K3549+2)</f>
        <v>0</v>
      </c>
      <c r="K3549" s="19">
        <f t="shared" si="698"/>
        <v>6328</v>
      </c>
    </row>
    <row r="3550" spans="1:11">
      <c r="A3550">
        <v>3548</v>
      </c>
      <c r="B3550">
        <v>6.8499999999999995E+110</v>
      </c>
      <c r="D3550" s="18">
        <v>3548</v>
      </c>
      <c r="E3550" s="18" cm="1">
        <f t="array" aca="1" ref="E3550" ca="1">INDIRECT("b"&amp;F3550+2)</f>
        <v>2.5750000000000001E+150</v>
      </c>
      <c r="F3550" s="18">
        <f t="shared" si="701"/>
        <v>5129</v>
      </c>
      <c r="G3550" s="18"/>
      <c r="H3550" s="18"/>
      <c r="I3550" s="19">
        <v>3548</v>
      </c>
      <c r="J3550" s="19" cm="1">
        <f t="array" aca="1" ref="J3550" ca="1">INDIRECT("b"&amp;K3550+2)</f>
        <v>0</v>
      </c>
      <c r="K3550" s="19">
        <f t="shared" si="698"/>
        <v>6329</v>
      </c>
    </row>
    <row r="3551" spans="1:11">
      <c r="A3551">
        <v>3549</v>
      </c>
      <c r="B3551">
        <v>7.0749999999999993E+110</v>
      </c>
      <c r="D3551" s="18">
        <v>3549</v>
      </c>
      <c r="E3551" s="18" cm="1">
        <f t="array" aca="1" ref="E3551" ca="1">INDIRECT("b"&amp;F3551+2)</f>
        <v>2.8000000000000001E+150</v>
      </c>
      <c r="F3551" s="18">
        <f t="shared" si="701"/>
        <v>5130</v>
      </c>
      <c r="G3551" s="18"/>
      <c r="H3551" s="18"/>
      <c r="I3551" s="19">
        <v>3549</v>
      </c>
      <c r="J3551" s="19" cm="1">
        <f t="array" aca="1" ref="J3551" ca="1">INDIRECT("b"&amp;K3551+2)</f>
        <v>0</v>
      </c>
      <c r="K3551" s="19">
        <f t="shared" si="698"/>
        <v>6330</v>
      </c>
    </row>
    <row r="3552" spans="1:11">
      <c r="A3552">
        <v>3550</v>
      </c>
      <c r="B3552">
        <v>7.3000000000000005E+110</v>
      </c>
      <c r="D3552" s="18">
        <v>3550</v>
      </c>
      <c r="E3552" s="18" cm="1">
        <f t="array" aca="1" ref="E3552" ca="1">INDIRECT("b"&amp;F3552+2)</f>
        <v>3.2500000000000002E+150</v>
      </c>
      <c r="F3552" s="18">
        <f t="shared" si="701"/>
        <v>5132</v>
      </c>
      <c r="G3552" s="18"/>
      <c r="H3552" s="18"/>
      <c r="I3552" s="19">
        <v>3550</v>
      </c>
      <c r="J3552" s="19" cm="1">
        <f t="array" aca="1" ref="J3552" ca="1">INDIRECT("b"&amp;K3552+2)</f>
        <v>0</v>
      </c>
      <c r="K3552" s="19">
        <f t="shared" si="698"/>
        <v>6332</v>
      </c>
    </row>
    <row r="3553" spans="1:11">
      <c r="A3553">
        <v>3551</v>
      </c>
      <c r="B3553">
        <v>7.5250000000000003E+110</v>
      </c>
      <c r="D3553" s="18">
        <v>3551</v>
      </c>
      <c r="E3553" s="18" cm="1">
        <f t="array" aca="1" ref="E3553" ca="1">INDIRECT("b"&amp;F3553+2)</f>
        <v>3.4750000000000002E+150</v>
      </c>
      <c r="F3553" s="18">
        <f t="shared" si="701"/>
        <v>5133</v>
      </c>
      <c r="G3553" s="18"/>
      <c r="H3553" s="18"/>
      <c r="I3553" s="19">
        <v>3551</v>
      </c>
      <c r="J3553" s="19" cm="1">
        <f t="array" aca="1" ref="J3553" ca="1">INDIRECT("b"&amp;K3553+2)</f>
        <v>0</v>
      </c>
      <c r="K3553" s="19">
        <f t="shared" si="698"/>
        <v>6333</v>
      </c>
    </row>
    <row r="3554" spans="1:11">
      <c r="A3554">
        <v>3552</v>
      </c>
      <c r="B3554">
        <v>7.7500000000000001E+110</v>
      </c>
      <c r="D3554" s="18">
        <v>3552</v>
      </c>
      <c r="E3554" s="18" cm="1">
        <f t="array" aca="1" ref="E3554" ca="1">INDIRECT("b"&amp;F3554+2)</f>
        <v>3.6999999999999999E+150</v>
      </c>
      <c r="F3554" s="18">
        <f t="shared" si="701"/>
        <v>5134</v>
      </c>
      <c r="G3554" s="18">
        <f t="shared" ref="G3554" ca="1" si="705">E3554/E3549</f>
        <v>1.5744680851063828</v>
      </c>
      <c r="H3554" s="18"/>
      <c r="I3554" s="19">
        <v>3552</v>
      </c>
      <c r="J3554" s="19" cm="1">
        <f t="array" aca="1" ref="J3554" ca="1">INDIRECT("b"&amp;K3554+2)</f>
        <v>0</v>
      </c>
      <c r="K3554" s="19">
        <f t="shared" si="698"/>
        <v>6334</v>
      </c>
    </row>
    <row r="3555" spans="1:11">
      <c r="A3555">
        <v>3553</v>
      </c>
      <c r="B3555">
        <v>7.9749999999999999E+110</v>
      </c>
      <c r="D3555" s="18">
        <v>3553</v>
      </c>
      <c r="E3555" s="18" cm="1">
        <f t="array" aca="1" ref="E3555" ca="1">INDIRECT("b"&amp;F3555+2)</f>
        <v>4.1499999999999999E+150</v>
      </c>
      <c r="F3555" s="18">
        <f t="shared" si="701"/>
        <v>5136</v>
      </c>
      <c r="G3555" s="18"/>
      <c r="H3555" s="18"/>
      <c r="I3555" s="19">
        <v>3553</v>
      </c>
      <c r="J3555" s="19" cm="1">
        <f t="array" aca="1" ref="J3555" ca="1">INDIRECT("b"&amp;K3555+2)</f>
        <v>0</v>
      </c>
      <c r="K3555" s="19">
        <f t="shared" si="698"/>
        <v>6336</v>
      </c>
    </row>
    <row r="3556" spans="1:11">
      <c r="A3556">
        <v>3554</v>
      </c>
      <c r="B3556">
        <v>8.1999999999999997E+110</v>
      </c>
      <c r="D3556" s="18">
        <v>3554</v>
      </c>
      <c r="E3556" s="18" cm="1">
        <f t="array" aca="1" ref="E3556" ca="1">INDIRECT("b"&amp;F3556+2)</f>
        <v>4.3750000000000003E+150</v>
      </c>
      <c r="F3556" s="18">
        <f t="shared" si="701"/>
        <v>5137</v>
      </c>
      <c r="G3556" s="18"/>
      <c r="H3556" s="18"/>
      <c r="I3556" s="19">
        <v>3554</v>
      </c>
      <c r="J3556" s="19" cm="1">
        <f t="array" aca="1" ref="J3556" ca="1">INDIRECT("b"&amp;K3556+2)</f>
        <v>0</v>
      </c>
      <c r="K3556" s="19">
        <f t="shared" si="698"/>
        <v>6337</v>
      </c>
    </row>
    <row r="3557" spans="1:11">
      <c r="A3557">
        <v>3555</v>
      </c>
      <c r="B3557">
        <v>8.4249999999999995E+110</v>
      </c>
      <c r="D3557" s="18">
        <v>3555</v>
      </c>
      <c r="E3557" s="18" cm="1">
        <f t="array" aca="1" ref="E3557" ca="1">INDIRECT("b"&amp;F3557+2)</f>
        <v>4.6E+150</v>
      </c>
      <c r="F3557" s="18">
        <f t="shared" si="701"/>
        <v>5138</v>
      </c>
      <c r="G3557" s="18"/>
      <c r="H3557" s="18"/>
      <c r="I3557" s="19">
        <v>3555</v>
      </c>
      <c r="J3557" s="19" cm="1">
        <f t="array" aca="1" ref="J3557" ca="1">INDIRECT("b"&amp;K3557+2)</f>
        <v>0</v>
      </c>
      <c r="K3557" s="19">
        <f t="shared" si="698"/>
        <v>6338</v>
      </c>
    </row>
    <row r="3558" spans="1:11">
      <c r="A3558">
        <v>3556</v>
      </c>
      <c r="B3558">
        <v>8.6499999999999994E+110</v>
      </c>
      <c r="D3558" s="18">
        <v>3556</v>
      </c>
      <c r="E3558" s="18" cm="1">
        <f t="array" aca="1" ref="E3558" ca="1">INDIRECT("b"&amp;F3558+2)</f>
        <v>5.0500000000000001E+150</v>
      </c>
      <c r="F3558" s="18">
        <f t="shared" si="701"/>
        <v>5140</v>
      </c>
      <c r="G3558" s="18"/>
      <c r="H3558" s="18"/>
      <c r="I3558" s="19">
        <v>3556</v>
      </c>
      <c r="J3558" s="19" cm="1">
        <f t="array" aca="1" ref="J3558" ca="1">INDIRECT("b"&amp;K3558+2)</f>
        <v>0</v>
      </c>
      <c r="K3558" s="19">
        <f t="shared" si="698"/>
        <v>6340</v>
      </c>
    </row>
    <row r="3559" spans="1:11">
      <c r="A3559">
        <v>3557</v>
      </c>
      <c r="B3559">
        <v>8.8749999999999992E+110</v>
      </c>
      <c r="D3559" s="18">
        <v>3557</v>
      </c>
      <c r="E3559" s="18" cm="1">
        <f t="array" aca="1" ref="E3559" ca="1">INDIRECT("b"&amp;F3559+2)</f>
        <v>5.2750000000000005E+150</v>
      </c>
      <c r="F3559" s="18">
        <f t="shared" si="701"/>
        <v>5141</v>
      </c>
      <c r="G3559" s="18">
        <f t="shared" ref="G3559" ca="1" si="706">E3559/E3554</f>
        <v>1.4256756756756759</v>
      </c>
      <c r="H3559" s="18"/>
      <c r="I3559" s="19">
        <v>3557</v>
      </c>
      <c r="J3559" s="19" cm="1">
        <f t="array" aca="1" ref="J3559" ca="1">INDIRECT("b"&amp;K3559+2)</f>
        <v>0</v>
      </c>
      <c r="K3559" s="19">
        <f t="shared" si="698"/>
        <v>6341</v>
      </c>
    </row>
    <row r="3560" spans="1:11">
      <c r="A3560">
        <v>3558</v>
      </c>
      <c r="B3560">
        <v>9.1000000000000003E+110</v>
      </c>
      <c r="D3560" s="18">
        <v>3558</v>
      </c>
      <c r="E3560" s="18" cm="1">
        <f t="array" aca="1" ref="E3560" ca="1">INDIRECT("b"&amp;F3560+2)</f>
        <v>5.5000000000000002E+150</v>
      </c>
      <c r="F3560" s="18">
        <f t="shared" si="701"/>
        <v>5142</v>
      </c>
      <c r="G3560" s="18"/>
      <c r="H3560" s="18"/>
      <c r="I3560" s="19">
        <v>3558</v>
      </c>
      <c r="J3560" s="19" cm="1">
        <f t="array" aca="1" ref="J3560" ca="1">INDIRECT("b"&amp;K3560+2)</f>
        <v>0</v>
      </c>
      <c r="K3560" s="19">
        <f t="shared" si="698"/>
        <v>6342</v>
      </c>
    </row>
    <row r="3561" spans="1:11">
      <c r="A3561">
        <v>3559</v>
      </c>
      <c r="B3561">
        <v>9.3250000000000001E+110</v>
      </c>
      <c r="D3561" s="18">
        <v>3559</v>
      </c>
      <c r="E3561" s="18" cm="1">
        <f t="array" aca="1" ref="E3561" ca="1">INDIRECT("b"&amp;F3561+2)</f>
        <v>5.9500000000000002E+150</v>
      </c>
      <c r="F3561" s="18">
        <f t="shared" si="701"/>
        <v>5144</v>
      </c>
      <c r="G3561" s="18"/>
      <c r="H3561" s="18"/>
      <c r="I3561" s="19">
        <v>3559</v>
      </c>
      <c r="J3561" s="19" cm="1">
        <f t="array" aca="1" ref="J3561" ca="1">INDIRECT("b"&amp;K3561+2)</f>
        <v>0</v>
      </c>
      <c r="K3561" s="19">
        <f t="shared" si="698"/>
        <v>6344</v>
      </c>
    </row>
    <row r="3562" spans="1:11">
      <c r="A3562">
        <v>3560</v>
      </c>
      <c r="B3562">
        <v>9.5499999999999999E+110</v>
      </c>
      <c r="D3562" s="18">
        <v>3560</v>
      </c>
      <c r="E3562" s="18" cm="1">
        <f t="array" aca="1" ref="E3562" ca="1">INDIRECT("b"&amp;F3562+2)</f>
        <v>6.1750000000000006E+150</v>
      </c>
      <c r="F3562" s="18">
        <f t="shared" si="701"/>
        <v>5145</v>
      </c>
      <c r="G3562" s="18"/>
      <c r="H3562" s="18"/>
      <c r="I3562" s="19">
        <v>3560</v>
      </c>
      <c r="J3562" s="19" cm="1">
        <f t="array" aca="1" ref="J3562" ca="1">INDIRECT("b"&amp;K3562+2)</f>
        <v>0</v>
      </c>
      <c r="K3562" s="19">
        <f t="shared" si="698"/>
        <v>6345</v>
      </c>
    </row>
    <row r="3563" spans="1:11">
      <c r="A3563">
        <v>3561</v>
      </c>
      <c r="B3563">
        <v>9.7749999999999998E+110</v>
      </c>
      <c r="D3563" s="18">
        <v>3561</v>
      </c>
      <c r="E3563" s="18" cm="1">
        <f t="array" aca="1" ref="E3563" ca="1">INDIRECT("b"&amp;F3563+2)</f>
        <v>6.4000000000000003E+150</v>
      </c>
      <c r="F3563" s="18">
        <f t="shared" si="701"/>
        <v>5146</v>
      </c>
      <c r="G3563" s="18"/>
      <c r="H3563" s="18"/>
      <c r="I3563" s="19">
        <v>3561</v>
      </c>
      <c r="J3563" s="19" cm="1">
        <f t="array" aca="1" ref="J3563" ca="1">INDIRECT("b"&amp;K3563+2)</f>
        <v>0</v>
      </c>
      <c r="K3563" s="19">
        <f t="shared" si="698"/>
        <v>6346</v>
      </c>
    </row>
    <row r="3564" spans="1:11">
      <c r="A3564">
        <v>3562</v>
      </c>
      <c r="B3564">
        <v>9.9999999999999996E+110</v>
      </c>
      <c r="D3564" s="18">
        <v>3562</v>
      </c>
      <c r="E3564" s="18" cm="1">
        <f t="array" aca="1" ref="E3564" ca="1">INDIRECT("b"&amp;F3564+2)</f>
        <v>6.8500000000000004E+150</v>
      </c>
      <c r="F3564" s="18">
        <f t="shared" si="701"/>
        <v>5148</v>
      </c>
      <c r="G3564" s="18">
        <f t="shared" ref="G3564" ca="1" si="707">E3564/E3559</f>
        <v>1.2985781990521326</v>
      </c>
      <c r="H3564" s="18"/>
      <c r="I3564" s="19">
        <v>3562</v>
      </c>
      <c r="J3564" s="19" cm="1">
        <f t="array" aca="1" ref="J3564" ca="1">INDIRECT("b"&amp;K3564+2)</f>
        <v>0</v>
      </c>
      <c r="K3564" s="19">
        <f t="shared" si="698"/>
        <v>6348</v>
      </c>
    </row>
    <row r="3565" spans="1:11">
      <c r="A3565">
        <v>3563</v>
      </c>
      <c r="B3565">
        <v>1.2249999999999999E+111</v>
      </c>
      <c r="D3565" s="18">
        <v>3563</v>
      </c>
      <c r="E3565" s="18" cm="1">
        <f t="array" aca="1" ref="E3565" ca="1">INDIRECT("b"&amp;F3565+2)</f>
        <v>7.0750000000000008E+150</v>
      </c>
      <c r="F3565" s="18">
        <f t="shared" si="701"/>
        <v>5149</v>
      </c>
      <c r="G3565" s="18"/>
      <c r="H3565" s="18"/>
      <c r="I3565" s="19">
        <v>3563</v>
      </c>
      <c r="J3565" s="19" cm="1">
        <f t="array" aca="1" ref="J3565" ca="1">INDIRECT("b"&amp;K3565+2)</f>
        <v>0</v>
      </c>
      <c r="K3565" s="19">
        <f t="shared" si="698"/>
        <v>6349</v>
      </c>
    </row>
    <row r="3566" spans="1:11">
      <c r="A3566">
        <v>3564</v>
      </c>
      <c r="B3566">
        <v>1.45E+111</v>
      </c>
      <c r="D3566" s="18">
        <v>3564</v>
      </c>
      <c r="E3566" s="18" cm="1">
        <f t="array" aca="1" ref="E3566" ca="1">INDIRECT("b"&amp;F3566+2)</f>
        <v>7.2999999999999997E+150</v>
      </c>
      <c r="F3566" s="18">
        <f t="shared" si="701"/>
        <v>5150</v>
      </c>
      <c r="G3566" s="18"/>
      <c r="H3566" s="18"/>
      <c r="I3566" s="19">
        <v>3564</v>
      </c>
      <c r="J3566" s="19" cm="1">
        <f t="array" aca="1" ref="J3566" ca="1">INDIRECT("b"&amp;K3566+2)</f>
        <v>0</v>
      </c>
      <c r="K3566" s="19">
        <f t="shared" si="698"/>
        <v>6350</v>
      </c>
    </row>
    <row r="3567" spans="1:11">
      <c r="A3567">
        <v>3565</v>
      </c>
      <c r="B3567">
        <v>1.6750000000000001E+111</v>
      </c>
      <c r="D3567" s="18">
        <v>3565</v>
      </c>
      <c r="E3567" s="18" cm="1">
        <f t="array" aca="1" ref="E3567" ca="1">INDIRECT("b"&amp;F3567+2)</f>
        <v>7.7500000000000005E+150</v>
      </c>
      <c r="F3567" s="18">
        <f t="shared" si="701"/>
        <v>5152</v>
      </c>
      <c r="G3567" s="18"/>
      <c r="H3567" s="18"/>
      <c r="I3567" s="19">
        <v>3565</v>
      </c>
      <c r="J3567" s="19" cm="1">
        <f t="array" aca="1" ref="J3567" ca="1">INDIRECT("b"&amp;K3567+2)</f>
        <v>0</v>
      </c>
      <c r="K3567" s="19">
        <f t="shared" si="698"/>
        <v>6352</v>
      </c>
    </row>
    <row r="3568" spans="1:11">
      <c r="A3568">
        <v>3566</v>
      </c>
      <c r="B3568">
        <v>1.8999999999999999E+111</v>
      </c>
      <c r="D3568" s="18">
        <v>3566</v>
      </c>
      <c r="E3568" s="18" cm="1">
        <f t="array" aca="1" ref="E3568" ca="1">INDIRECT("b"&amp;F3568+2)</f>
        <v>7.9750000000000009E+150</v>
      </c>
      <c r="F3568" s="18">
        <f t="shared" si="701"/>
        <v>5153</v>
      </c>
      <c r="G3568" s="18"/>
      <c r="H3568" s="18"/>
      <c r="I3568" s="19">
        <v>3566</v>
      </c>
      <c r="J3568" s="19" cm="1">
        <f t="array" aca="1" ref="J3568" ca="1">INDIRECT("b"&amp;K3568+2)</f>
        <v>0</v>
      </c>
      <c r="K3568" s="19">
        <f t="shared" si="698"/>
        <v>6353</v>
      </c>
    </row>
    <row r="3569" spans="1:11">
      <c r="A3569">
        <v>3567</v>
      </c>
      <c r="B3569">
        <v>2.125E+111</v>
      </c>
      <c r="D3569" s="18">
        <v>3567</v>
      </c>
      <c r="E3569" s="18" cm="1">
        <f t="array" aca="1" ref="E3569" ca="1">INDIRECT("b"&amp;F3569+2)</f>
        <v>8.1999999999999999E+150</v>
      </c>
      <c r="F3569" s="18">
        <f t="shared" si="701"/>
        <v>5154</v>
      </c>
      <c r="G3569" s="18">
        <f t="shared" ref="G3569" ca="1" si="708">E3569/E3564</f>
        <v>1.1970802919708028</v>
      </c>
      <c r="H3569" s="18"/>
      <c r="I3569" s="19">
        <v>3567</v>
      </c>
      <c r="J3569" s="19" cm="1">
        <f t="array" aca="1" ref="J3569" ca="1">INDIRECT("b"&amp;K3569+2)</f>
        <v>0</v>
      </c>
      <c r="K3569" s="19">
        <f t="shared" si="698"/>
        <v>6354</v>
      </c>
    </row>
    <row r="3570" spans="1:11">
      <c r="A3570">
        <v>3568</v>
      </c>
      <c r="B3570">
        <v>2.35E+111</v>
      </c>
      <c r="D3570" s="18">
        <v>3568</v>
      </c>
      <c r="E3570" s="18" cm="1">
        <f t="array" aca="1" ref="E3570" ca="1">INDIRECT("b"&amp;F3570+2)</f>
        <v>8.6500000000000007E+150</v>
      </c>
      <c r="F3570" s="18">
        <f t="shared" si="701"/>
        <v>5156</v>
      </c>
      <c r="G3570" s="18"/>
      <c r="H3570" s="18"/>
      <c r="I3570" s="19">
        <v>3568</v>
      </c>
      <c r="J3570" s="19" cm="1">
        <f t="array" aca="1" ref="J3570" ca="1">INDIRECT("b"&amp;K3570+2)</f>
        <v>0</v>
      </c>
      <c r="K3570" s="19">
        <f t="shared" si="698"/>
        <v>6356</v>
      </c>
    </row>
    <row r="3571" spans="1:11">
      <c r="A3571">
        <v>3569</v>
      </c>
      <c r="B3571">
        <v>2.5749999999999999E+111</v>
      </c>
      <c r="D3571" s="18">
        <v>3569</v>
      </c>
      <c r="E3571" s="18" cm="1">
        <f t="array" aca="1" ref="E3571" ca="1">INDIRECT("b"&amp;F3571+2)</f>
        <v>8.8750000000000011E+150</v>
      </c>
      <c r="F3571" s="18">
        <f t="shared" si="701"/>
        <v>5157</v>
      </c>
      <c r="G3571" s="18"/>
      <c r="H3571" s="18"/>
      <c r="I3571" s="19">
        <v>3569</v>
      </c>
      <c r="J3571" s="19" cm="1">
        <f t="array" aca="1" ref="J3571" ca="1">INDIRECT("b"&amp;K3571+2)</f>
        <v>0</v>
      </c>
      <c r="K3571" s="19">
        <f t="shared" si="698"/>
        <v>6357</v>
      </c>
    </row>
    <row r="3572" spans="1:11">
      <c r="A3572">
        <v>3570</v>
      </c>
      <c r="B3572">
        <v>2.7999999999999999E+111</v>
      </c>
      <c r="D3572" s="18">
        <v>3570</v>
      </c>
      <c r="E3572" s="18" cm="1">
        <f t="array" aca="1" ref="E3572" ca="1">INDIRECT("b"&amp;F3572+2)</f>
        <v>9.1E+150</v>
      </c>
      <c r="F3572" s="18">
        <f t="shared" si="701"/>
        <v>5158</v>
      </c>
      <c r="G3572" s="18"/>
      <c r="H3572" s="18"/>
      <c r="I3572" s="19">
        <v>3570</v>
      </c>
      <c r="J3572" s="19" cm="1">
        <f t="array" aca="1" ref="J3572" ca="1">INDIRECT("b"&amp;K3572+2)</f>
        <v>0</v>
      </c>
      <c r="K3572" s="19">
        <f t="shared" si="698"/>
        <v>6358</v>
      </c>
    </row>
    <row r="3573" spans="1:11">
      <c r="A3573">
        <v>3571</v>
      </c>
      <c r="B3573">
        <v>3.025E+111</v>
      </c>
      <c r="D3573" s="18">
        <v>3571</v>
      </c>
      <c r="E3573" s="18" cm="1">
        <f t="array" aca="1" ref="E3573" ca="1">INDIRECT("b"&amp;F3573+2)</f>
        <v>9.5500000000000008E+150</v>
      </c>
      <c r="F3573" s="18">
        <f t="shared" si="701"/>
        <v>5160</v>
      </c>
      <c r="G3573" s="18"/>
      <c r="H3573" s="18"/>
      <c r="I3573" s="19">
        <v>3571</v>
      </c>
      <c r="J3573" s="19" cm="1">
        <f t="array" aca="1" ref="J3573" ca="1">INDIRECT("b"&amp;K3573+2)</f>
        <v>0</v>
      </c>
      <c r="K3573" s="19">
        <f t="shared" si="698"/>
        <v>6360</v>
      </c>
    </row>
    <row r="3574" spans="1:11">
      <c r="A3574">
        <v>3572</v>
      </c>
      <c r="B3574">
        <v>3.2500000000000001E+111</v>
      </c>
      <c r="D3574" s="18">
        <v>3572</v>
      </c>
      <c r="E3574" s="18" cm="1">
        <f t="array" aca="1" ref="E3574" ca="1">INDIRECT("b"&amp;F3574+2)</f>
        <v>9.7749999999999998E+150</v>
      </c>
      <c r="F3574" s="18">
        <f t="shared" si="701"/>
        <v>5161</v>
      </c>
      <c r="G3574" s="18">
        <f t="shared" ref="G3574" ca="1" si="709">E3574/E3569</f>
        <v>1.1920731707317074</v>
      </c>
      <c r="H3574" s="18"/>
      <c r="I3574" s="19">
        <v>3572</v>
      </c>
      <c r="J3574" s="19" cm="1">
        <f t="array" aca="1" ref="J3574" ca="1">INDIRECT("b"&amp;K3574+2)</f>
        <v>0</v>
      </c>
      <c r="K3574" s="19">
        <f t="shared" si="698"/>
        <v>6361</v>
      </c>
    </row>
    <row r="3575" spans="1:11">
      <c r="A3575">
        <v>3573</v>
      </c>
      <c r="B3575">
        <v>3.4750000000000002E+111</v>
      </c>
      <c r="D3575" s="18">
        <v>3573</v>
      </c>
      <c r="E3575" s="18" cm="1">
        <f t="array" aca="1" ref="E3575" ca="1">INDIRECT("b"&amp;F3575+2)</f>
        <v>1E+151</v>
      </c>
      <c r="F3575" s="18">
        <f t="shared" si="701"/>
        <v>5162</v>
      </c>
      <c r="G3575" s="18"/>
      <c r="H3575" s="18"/>
      <c r="I3575" s="19">
        <v>3573</v>
      </c>
      <c r="J3575" s="19" cm="1">
        <f t="array" aca="1" ref="J3575" ca="1">INDIRECT("b"&amp;K3575+2)</f>
        <v>0</v>
      </c>
      <c r="K3575" s="19">
        <f t="shared" si="698"/>
        <v>6362</v>
      </c>
    </row>
    <row r="3576" spans="1:11">
      <c r="A3576">
        <v>3574</v>
      </c>
      <c r="B3576">
        <v>3.7000000000000003E+111</v>
      </c>
      <c r="D3576" s="18">
        <v>3574</v>
      </c>
      <c r="E3576" s="18" cm="1">
        <f t="array" aca="1" ref="E3576" ca="1">INDIRECT("b"&amp;F3576+2)</f>
        <v>1.4500000000000001E+151</v>
      </c>
      <c r="F3576" s="18">
        <f t="shared" si="701"/>
        <v>5164</v>
      </c>
      <c r="G3576" s="18"/>
      <c r="H3576" s="18"/>
      <c r="I3576" s="19">
        <v>3574</v>
      </c>
      <c r="J3576" s="19" cm="1">
        <f t="array" aca="1" ref="J3576" ca="1">INDIRECT("b"&amp;K3576+2)</f>
        <v>0</v>
      </c>
      <c r="K3576" s="19">
        <f t="shared" si="698"/>
        <v>6364</v>
      </c>
    </row>
    <row r="3577" spans="1:11">
      <c r="A3577">
        <v>3575</v>
      </c>
      <c r="B3577">
        <v>3.9249999999999998E+111</v>
      </c>
      <c r="D3577" s="18">
        <v>3575</v>
      </c>
      <c r="E3577" s="18" cm="1">
        <f t="array" aca="1" ref="E3577" ca="1">INDIRECT("b"&amp;F3577+2)</f>
        <v>1.6749999999999999E+151</v>
      </c>
      <c r="F3577" s="18">
        <f t="shared" si="701"/>
        <v>5165</v>
      </c>
      <c r="G3577" s="18"/>
      <c r="H3577" s="18"/>
      <c r="I3577" s="19">
        <v>3575</v>
      </c>
      <c r="J3577" s="19" cm="1">
        <f t="array" aca="1" ref="J3577" ca="1">INDIRECT("b"&amp;K3577+2)</f>
        <v>0</v>
      </c>
      <c r="K3577" s="19">
        <f t="shared" si="698"/>
        <v>6365</v>
      </c>
    </row>
    <row r="3578" spans="1:11">
      <c r="A3578">
        <v>3576</v>
      </c>
      <c r="B3578">
        <v>4.1499999999999999E+111</v>
      </c>
      <c r="D3578" s="18">
        <v>3576</v>
      </c>
      <c r="E3578" s="18" cm="1">
        <f t="array" aca="1" ref="E3578" ca="1">INDIRECT("b"&amp;F3578+2)</f>
        <v>1.9E+151</v>
      </c>
      <c r="F3578" s="18">
        <f t="shared" si="701"/>
        <v>5166</v>
      </c>
      <c r="G3578" s="18"/>
      <c r="H3578" s="18"/>
      <c r="I3578" s="19">
        <v>3576</v>
      </c>
      <c r="J3578" s="19" cm="1">
        <f t="array" aca="1" ref="J3578" ca="1">INDIRECT("b"&amp;K3578+2)</f>
        <v>0</v>
      </c>
      <c r="K3578" s="19">
        <f t="shared" si="698"/>
        <v>6366</v>
      </c>
    </row>
    <row r="3579" spans="1:11">
      <c r="A3579">
        <v>3577</v>
      </c>
      <c r="B3579">
        <v>4.375E+111</v>
      </c>
      <c r="D3579" s="18">
        <v>3577</v>
      </c>
      <c r="E3579" s="18" cm="1">
        <f t="array" aca="1" ref="E3579" ca="1">INDIRECT("b"&amp;F3579+2)</f>
        <v>2.3499999999999999E+151</v>
      </c>
      <c r="F3579" s="18">
        <f t="shared" si="701"/>
        <v>5168</v>
      </c>
      <c r="G3579" s="18">
        <f t="shared" ref="G3579" ca="1" si="710">E3579/E3574</f>
        <v>2.4040920716112533</v>
      </c>
      <c r="H3579" s="18"/>
      <c r="I3579" s="19">
        <v>3577</v>
      </c>
      <c r="J3579" s="19" cm="1">
        <f t="array" aca="1" ref="J3579" ca="1">INDIRECT("b"&amp;K3579+2)</f>
        <v>0</v>
      </c>
      <c r="K3579" s="19">
        <f t="shared" si="698"/>
        <v>6368</v>
      </c>
    </row>
    <row r="3580" spans="1:11">
      <c r="A3580">
        <v>3578</v>
      </c>
      <c r="B3580">
        <v>4.6E+111</v>
      </c>
      <c r="D3580" s="18">
        <v>3578</v>
      </c>
      <c r="E3580" s="18" cm="1">
        <f t="array" aca="1" ref="E3580" ca="1">INDIRECT("b"&amp;F3580+2)</f>
        <v>2.5750000000000001E+151</v>
      </c>
      <c r="F3580" s="18">
        <f t="shared" si="701"/>
        <v>5169</v>
      </c>
      <c r="G3580" s="18"/>
      <c r="H3580" s="18"/>
      <c r="I3580" s="19">
        <v>3578</v>
      </c>
      <c r="J3580" s="19" cm="1">
        <f t="array" aca="1" ref="J3580" ca="1">INDIRECT("b"&amp;K3580+2)</f>
        <v>0</v>
      </c>
      <c r="K3580" s="19">
        <f t="shared" si="698"/>
        <v>6369</v>
      </c>
    </row>
    <row r="3581" spans="1:11">
      <c r="A3581">
        <v>3579</v>
      </c>
      <c r="B3581">
        <v>4.8249999999999996E+111</v>
      </c>
      <c r="D3581" s="18">
        <v>3579</v>
      </c>
      <c r="E3581" s="18" cm="1">
        <f t="array" aca="1" ref="E3581" ca="1">INDIRECT("b"&amp;F3581+2)</f>
        <v>2.7999999999999999E+151</v>
      </c>
      <c r="F3581" s="18">
        <f t="shared" si="701"/>
        <v>5170</v>
      </c>
      <c r="G3581" s="18"/>
      <c r="H3581" s="18"/>
      <c r="I3581" s="19">
        <v>3579</v>
      </c>
      <c r="J3581" s="19" cm="1">
        <f t="array" aca="1" ref="J3581" ca="1">INDIRECT("b"&amp;K3581+2)</f>
        <v>0</v>
      </c>
      <c r="K3581" s="19">
        <f t="shared" si="698"/>
        <v>6370</v>
      </c>
    </row>
    <row r="3582" spans="1:11">
      <c r="A3582">
        <v>3580</v>
      </c>
      <c r="B3582">
        <v>5.0499999999999997E+111</v>
      </c>
      <c r="D3582" s="18">
        <v>3580</v>
      </c>
      <c r="E3582" s="18" cm="1">
        <f t="array" aca="1" ref="E3582" ca="1">INDIRECT("b"&amp;F3582+2)</f>
        <v>3.2500000000000001E+151</v>
      </c>
      <c r="F3582" s="18">
        <f t="shared" si="701"/>
        <v>5172</v>
      </c>
      <c r="G3582" s="18"/>
      <c r="H3582" s="18"/>
      <c r="I3582" s="19">
        <v>3580</v>
      </c>
      <c r="J3582" s="19" cm="1">
        <f t="array" aca="1" ref="J3582" ca="1">INDIRECT("b"&amp;K3582+2)</f>
        <v>0</v>
      </c>
      <c r="K3582" s="19">
        <f t="shared" si="698"/>
        <v>6372</v>
      </c>
    </row>
    <row r="3583" spans="1:11">
      <c r="A3583">
        <v>3581</v>
      </c>
      <c r="B3583">
        <v>5.2749999999999997E+111</v>
      </c>
      <c r="D3583" s="18">
        <v>3581</v>
      </c>
      <c r="E3583" s="18" cm="1">
        <f t="array" aca="1" ref="E3583" ca="1">INDIRECT("b"&amp;F3583+2)</f>
        <v>3.4749999999999999E+151</v>
      </c>
      <c r="F3583" s="18">
        <f t="shared" si="701"/>
        <v>5173</v>
      </c>
      <c r="G3583" s="18"/>
      <c r="H3583" s="18"/>
      <c r="I3583" s="19">
        <v>3581</v>
      </c>
      <c r="J3583" s="19" cm="1">
        <f t="array" aca="1" ref="J3583" ca="1">INDIRECT("b"&amp;K3583+2)</f>
        <v>0</v>
      </c>
      <c r="K3583" s="19">
        <f t="shared" si="698"/>
        <v>6373</v>
      </c>
    </row>
    <row r="3584" spans="1:11">
      <c r="A3584">
        <v>3582</v>
      </c>
      <c r="B3584">
        <v>5.4999999999999998E+111</v>
      </c>
      <c r="D3584" s="18">
        <v>3582</v>
      </c>
      <c r="E3584" s="18" cm="1">
        <f t="array" aca="1" ref="E3584" ca="1">INDIRECT("b"&amp;F3584+2)</f>
        <v>3.7000000000000003E+151</v>
      </c>
      <c r="F3584" s="18">
        <f t="shared" si="701"/>
        <v>5174</v>
      </c>
      <c r="G3584" s="18">
        <f t="shared" ref="G3584" ca="1" si="711">E3584/E3579</f>
        <v>1.5744680851063833</v>
      </c>
      <c r="H3584" s="18"/>
      <c r="I3584" s="19">
        <v>3582</v>
      </c>
      <c r="J3584" s="19" cm="1">
        <f t="array" aca="1" ref="J3584" ca="1">INDIRECT("b"&amp;K3584+2)</f>
        <v>0</v>
      </c>
      <c r="K3584" s="19">
        <f t="shared" si="698"/>
        <v>6374</v>
      </c>
    </row>
    <row r="3585" spans="1:11">
      <c r="A3585">
        <v>3583</v>
      </c>
      <c r="B3585">
        <v>5.7249999999999999E+111</v>
      </c>
      <c r="D3585" s="18">
        <v>3583</v>
      </c>
      <c r="E3585" s="18" cm="1">
        <f t="array" aca="1" ref="E3585" ca="1">INDIRECT("b"&amp;F3585+2)</f>
        <v>4.1499999999999999E+151</v>
      </c>
      <c r="F3585" s="18">
        <f t="shared" si="701"/>
        <v>5176</v>
      </c>
      <c r="G3585" s="18"/>
      <c r="H3585" s="18"/>
      <c r="I3585" s="19">
        <v>3583</v>
      </c>
      <c r="J3585" s="19" cm="1">
        <f t="array" aca="1" ref="J3585" ca="1">INDIRECT("b"&amp;K3585+2)</f>
        <v>0</v>
      </c>
      <c r="K3585" s="19">
        <f t="shared" si="698"/>
        <v>6376</v>
      </c>
    </row>
    <row r="3586" spans="1:11">
      <c r="A3586">
        <v>3584</v>
      </c>
      <c r="B3586">
        <v>5.95E+111</v>
      </c>
      <c r="D3586" s="18">
        <v>3584</v>
      </c>
      <c r="E3586" s="18" cm="1">
        <f t="array" aca="1" ref="E3586" ca="1">INDIRECT("b"&amp;F3586+2)</f>
        <v>4.3750000000000003E+151</v>
      </c>
      <c r="F3586" s="18">
        <f t="shared" si="701"/>
        <v>5177</v>
      </c>
      <c r="G3586" s="18"/>
      <c r="H3586" s="18"/>
      <c r="I3586" s="19">
        <v>3584</v>
      </c>
      <c r="J3586" s="19" cm="1">
        <f t="array" aca="1" ref="J3586" ca="1">INDIRECT("b"&amp;K3586+2)</f>
        <v>0</v>
      </c>
      <c r="K3586" s="19">
        <f t="shared" si="698"/>
        <v>6377</v>
      </c>
    </row>
    <row r="3587" spans="1:11">
      <c r="A3587">
        <v>3585</v>
      </c>
      <c r="B3587">
        <v>6.1750000000000001E+111</v>
      </c>
      <c r="D3587" s="18">
        <v>3585</v>
      </c>
      <c r="E3587" s="18" cm="1">
        <f t="array" aca="1" ref="E3587" ca="1">INDIRECT("b"&amp;F3587+2)</f>
        <v>4.6000000000000002E+151</v>
      </c>
      <c r="F3587" s="18">
        <f t="shared" si="701"/>
        <v>5178</v>
      </c>
      <c r="G3587" s="18"/>
      <c r="H3587" s="18"/>
      <c r="I3587" s="19">
        <v>3585</v>
      </c>
      <c r="J3587" s="19" cm="1">
        <f t="array" aca="1" ref="J3587" ca="1">INDIRECT("b"&amp;K3587+2)</f>
        <v>0</v>
      </c>
      <c r="K3587" s="19">
        <f t="shared" si="698"/>
        <v>6378</v>
      </c>
    </row>
    <row r="3588" spans="1:11">
      <c r="A3588">
        <v>3586</v>
      </c>
      <c r="B3588">
        <v>6.4000000000000002E+111</v>
      </c>
      <c r="D3588" s="18">
        <v>3586</v>
      </c>
      <c r="E3588" s="18" cm="1">
        <f t="array" aca="1" ref="E3588" ca="1">INDIRECT("b"&amp;F3588+2)</f>
        <v>5.0500000000000004E+151</v>
      </c>
      <c r="F3588" s="18">
        <f t="shared" si="701"/>
        <v>5180</v>
      </c>
      <c r="G3588" s="18"/>
      <c r="H3588" s="18"/>
      <c r="I3588" s="19">
        <v>3586</v>
      </c>
      <c r="J3588" s="19" cm="1">
        <f t="array" aca="1" ref="J3588" ca="1">INDIRECT("b"&amp;K3588+2)</f>
        <v>0</v>
      </c>
      <c r="K3588" s="19">
        <f t="shared" ref="K3588:K3651" si="712">INT((A3588-1)*40/30+900*40/30)+400</f>
        <v>6380</v>
      </c>
    </row>
    <row r="3589" spans="1:11">
      <c r="A3589">
        <v>3587</v>
      </c>
      <c r="B3589">
        <v>6.6250000000000002E+111</v>
      </c>
      <c r="D3589" s="18">
        <v>3587</v>
      </c>
      <c r="E3589" s="18" cm="1">
        <f t="array" aca="1" ref="E3589" ca="1">INDIRECT("b"&amp;F3589+2)</f>
        <v>5.2749999999999996E+151</v>
      </c>
      <c r="F3589" s="18">
        <f t="shared" si="701"/>
        <v>5181</v>
      </c>
      <c r="G3589" s="18">
        <f t="shared" ref="G3589" ca="1" si="713">E3589/E3584</f>
        <v>1.4256756756756754</v>
      </c>
      <c r="H3589" s="18"/>
      <c r="I3589" s="19">
        <v>3587</v>
      </c>
      <c r="J3589" s="19" cm="1">
        <f t="array" aca="1" ref="J3589" ca="1">INDIRECT("b"&amp;K3589+2)</f>
        <v>0</v>
      </c>
      <c r="K3589" s="19">
        <f t="shared" si="712"/>
        <v>6381</v>
      </c>
    </row>
    <row r="3590" spans="1:11">
      <c r="A3590">
        <v>3588</v>
      </c>
      <c r="B3590">
        <v>6.8500000000000003E+111</v>
      </c>
      <c r="D3590" s="18">
        <v>3588</v>
      </c>
      <c r="E3590" s="18" cm="1">
        <f t="array" aca="1" ref="E3590" ca="1">INDIRECT("b"&amp;F3590+2)</f>
        <v>5.5000000000000006E+151</v>
      </c>
      <c r="F3590" s="18">
        <f t="shared" si="701"/>
        <v>5182</v>
      </c>
      <c r="G3590" s="18"/>
      <c r="H3590" s="18"/>
      <c r="I3590" s="19">
        <v>3588</v>
      </c>
      <c r="J3590" s="19" cm="1">
        <f t="array" aca="1" ref="J3590" ca="1">INDIRECT("b"&amp;K3590+2)</f>
        <v>0</v>
      </c>
      <c r="K3590" s="19">
        <f t="shared" si="712"/>
        <v>6382</v>
      </c>
    </row>
    <row r="3591" spans="1:11">
      <c r="A3591">
        <v>3589</v>
      </c>
      <c r="B3591">
        <v>7.0750000000000004E+111</v>
      </c>
      <c r="D3591" s="18">
        <v>3589</v>
      </c>
      <c r="E3591" s="18" cm="1">
        <f t="array" aca="1" ref="E3591" ca="1">INDIRECT("b"&amp;F3591+2)</f>
        <v>5.9500000000000002E+151</v>
      </c>
      <c r="F3591" s="18">
        <f t="shared" si="701"/>
        <v>5184</v>
      </c>
      <c r="G3591" s="18"/>
      <c r="H3591" s="18"/>
      <c r="I3591" s="19">
        <v>3589</v>
      </c>
      <c r="J3591" s="19" cm="1">
        <f t="array" aca="1" ref="J3591" ca="1">INDIRECT("b"&amp;K3591+2)</f>
        <v>0</v>
      </c>
      <c r="K3591" s="19">
        <f t="shared" si="712"/>
        <v>6384</v>
      </c>
    </row>
    <row r="3592" spans="1:11">
      <c r="A3592">
        <v>3590</v>
      </c>
      <c r="B3592">
        <v>7.3000000000000005E+111</v>
      </c>
      <c r="D3592" s="18">
        <v>3590</v>
      </c>
      <c r="E3592" s="18" cm="1">
        <f t="array" aca="1" ref="E3592" ca="1">INDIRECT("b"&amp;F3592+2)</f>
        <v>6.1750000000000001E+151</v>
      </c>
      <c r="F3592" s="18">
        <f t="shared" si="701"/>
        <v>5185</v>
      </c>
      <c r="G3592" s="18"/>
      <c r="H3592" s="18"/>
      <c r="I3592" s="19">
        <v>3590</v>
      </c>
      <c r="J3592" s="19" cm="1">
        <f t="array" aca="1" ref="J3592" ca="1">INDIRECT("b"&amp;K3592+2)</f>
        <v>0</v>
      </c>
      <c r="K3592" s="19">
        <f t="shared" si="712"/>
        <v>6385</v>
      </c>
    </row>
    <row r="3593" spans="1:11">
      <c r="A3593">
        <v>3591</v>
      </c>
      <c r="B3593">
        <v>7.5249999999999995E+111</v>
      </c>
      <c r="D3593" s="18">
        <v>3591</v>
      </c>
      <c r="E3593" s="18" cm="1">
        <f t="array" aca="1" ref="E3593" ca="1">INDIRECT("b"&amp;F3593+2)</f>
        <v>6.3999999999999999E+151</v>
      </c>
      <c r="F3593" s="18">
        <f t="shared" si="701"/>
        <v>5186</v>
      </c>
      <c r="G3593" s="18"/>
      <c r="H3593" s="18"/>
      <c r="I3593" s="19">
        <v>3591</v>
      </c>
      <c r="J3593" s="19" cm="1">
        <f t="array" aca="1" ref="J3593" ca="1">INDIRECT("b"&amp;K3593+2)</f>
        <v>0</v>
      </c>
      <c r="K3593" s="19">
        <f t="shared" si="712"/>
        <v>6386</v>
      </c>
    </row>
    <row r="3594" spans="1:11">
      <c r="A3594">
        <v>3592</v>
      </c>
      <c r="B3594">
        <v>7.7499999999999996E+111</v>
      </c>
      <c r="D3594" s="18">
        <v>3592</v>
      </c>
      <c r="E3594" s="18" cm="1">
        <f t="array" aca="1" ref="E3594" ca="1">INDIRECT("b"&amp;F3594+2)</f>
        <v>6.8500000000000007E+151</v>
      </c>
      <c r="F3594" s="18">
        <f t="shared" si="701"/>
        <v>5188</v>
      </c>
      <c r="G3594" s="18">
        <f t="shared" ref="G3594" ca="1" si="714">E3594/E3589</f>
        <v>1.298578199052133</v>
      </c>
      <c r="H3594" s="18"/>
      <c r="I3594" s="19">
        <v>3592</v>
      </c>
      <c r="J3594" s="19" cm="1">
        <f t="array" aca="1" ref="J3594" ca="1">INDIRECT("b"&amp;K3594+2)</f>
        <v>0</v>
      </c>
      <c r="K3594" s="19">
        <f t="shared" si="712"/>
        <v>6388</v>
      </c>
    </row>
    <row r="3595" spans="1:11">
      <c r="A3595">
        <v>3593</v>
      </c>
      <c r="B3595">
        <v>7.9749999999999996E+111</v>
      </c>
      <c r="D3595" s="18">
        <v>3593</v>
      </c>
      <c r="E3595" s="18" cm="1">
        <f t="array" aca="1" ref="E3595" ca="1">INDIRECT("b"&amp;F3595+2)</f>
        <v>7.0750000000000005E+151</v>
      </c>
      <c r="F3595" s="18">
        <f t="shared" si="701"/>
        <v>5189</v>
      </c>
      <c r="G3595" s="18"/>
      <c r="H3595" s="18"/>
      <c r="I3595" s="19">
        <v>3593</v>
      </c>
      <c r="J3595" s="19" cm="1">
        <f t="array" aca="1" ref="J3595" ca="1">INDIRECT("b"&amp;K3595+2)</f>
        <v>0</v>
      </c>
      <c r="K3595" s="19">
        <f t="shared" si="712"/>
        <v>6389</v>
      </c>
    </row>
    <row r="3596" spans="1:11">
      <c r="A3596">
        <v>3594</v>
      </c>
      <c r="B3596">
        <v>8.1999999999999997E+111</v>
      </c>
      <c r="D3596" s="18">
        <v>3594</v>
      </c>
      <c r="E3596" s="18" cm="1">
        <f t="array" aca="1" ref="E3596" ca="1">INDIRECT("b"&amp;F3596+2)</f>
        <v>7.3000000000000003E+151</v>
      </c>
      <c r="F3596" s="18">
        <f t="shared" si="701"/>
        <v>5190</v>
      </c>
      <c r="G3596" s="18"/>
      <c r="H3596" s="18"/>
      <c r="I3596" s="19">
        <v>3594</v>
      </c>
      <c r="J3596" s="19" cm="1">
        <f t="array" aca="1" ref="J3596" ca="1">INDIRECT("b"&amp;K3596+2)</f>
        <v>0</v>
      </c>
      <c r="K3596" s="19">
        <f t="shared" si="712"/>
        <v>6390</v>
      </c>
    </row>
    <row r="3597" spans="1:11">
      <c r="A3597">
        <v>3595</v>
      </c>
      <c r="B3597">
        <v>8.4249999999999998E+111</v>
      </c>
      <c r="D3597" s="18">
        <v>3595</v>
      </c>
      <c r="E3597" s="18" cm="1">
        <f t="array" aca="1" ref="E3597" ca="1">INDIRECT("b"&amp;F3597+2)</f>
        <v>7.75E+151</v>
      </c>
      <c r="F3597" s="18">
        <f t="shared" si="701"/>
        <v>5192</v>
      </c>
      <c r="G3597" s="18"/>
      <c r="H3597" s="18"/>
      <c r="I3597" s="19">
        <v>3595</v>
      </c>
      <c r="J3597" s="19" cm="1">
        <f t="array" aca="1" ref="J3597" ca="1">INDIRECT("b"&amp;K3597+2)</f>
        <v>0</v>
      </c>
      <c r="K3597" s="19">
        <f t="shared" si="712"/>
        <v>6392</v>
      </c>
    </row>
    <row r="3598" spans="1:11">
      <c r="A3598">
        <v>3596</v>
      </c>
      <c r="B3598">
        <v>8.6499999999999999E+111</v>
      </c>
      <c r="D3598" s="18">
        <v>3596</v>
      </c>
      <c r="E3598" s="18" cm="1">
        <f t="array" aca="1" ref="E3598" ca="1">INDIRECT("b"&amp;F3598+2)</f>
        <v>7.9749999999999998E+151</v>
      </c>
      <c r="F3598" s="18">
        <f t="shared" si="701"/>
        <v>5193</v>
      </c>
      <c r="G3598" s="18"/>
      <c r="H3598" s="18"/>
      <c r="I3598" s="19">
        <v>3596</v>
      </c>
      <c r="J3598" s="19" cm="1">
        <f t="array" aca="1" ref="J3598" ca="1">INDIRECT("b"&amp;K3598+2)</f>
        <v>0</v>
      </c>
      <c r="K3598" s="19">
        <f t="shared" si="712"/>
        <v>6393</v>
      </c>
    </row>
    <row r="3599" spans="1:11">
      <c r="A3599">
        <v>3597</v>
      </c>
      <c r="B3599">
        <v>8.875E+111</v>
      </c>
      <c r="D3599" s="18">
        <v>3597</v>
      </c>
      <c r="E3599" s="18" cm="1">
        <f t="array" aca="1" ref="E3599" ca="1">INDIRECT("b"&amp;F3599+2)</f>
        <v>8.2000000000000008E+151</v>
      </c>
      <c r="F3599" s="18">
        <f t="shared" si="701"/>
        <v>5194</v>
      </c>
      <c r="G3599" s="18">
        <f t="shared" ref="G3599" ca="1" si="715">E3599/E3594</f>
        <v>1.197080291970803</v>
      </c>
      <c r="H3599" s="18"/>
      <c r="I3599" s="19">
        <v>3597</v>
      </c>
      <c r="J3599" s="19" cm="1">
        <f t="array" aca="1" ref="J3599" ca="1">INDIRECT("b"&amp;K3599+2)</f>
        <v>0</v>
      </c>
      <c r="K3599" s="19">
        <f t="shared" si="712"/>
        <v>6394</v>
      </c>
    </row>
    <row r="3600" spans="1:11">
      <c r="A3600">
        <v>3598</v>
      </c>
      <c r="B3600">
        <v>9.1E+111</v>
      </c>
      <c r="D3600" s="18">
        <v>3598</v>
      </c>
      <c r="E3600" s="18" cm="1">
        <f t="array" aca="1" ref="E3600" ca="1">INDIRECT("b"&amp;F3600+2)</f>
        <v>8.6500000000000004E+151</v>
      </c>
      <c r="F3600" s="18">
        <f t="shared" si="701"/>
        <v>5196</v>
      </c>
      <c r="G3600" s="18"/>
      <c r="H3600" s="18"/>
      <c r="I3600" s="19">
        <v>3598</v>
      </c>
      <c r="J3600" s="19" cm="1">
        <f t="array" aca="1" ref="J3600" ca="1">INDIRECT("b"&amp;K3600+2)</f>
        <v>0</v>
      </c>
      <c r="K3600" s="19">
        <f t="shared" si="712"/>
        <v>6396</v>
      </c>
    </row>
    <row r="3601" spans="1:11">
      <c r="A3601">
        <v>3599</v>
      </c>
      <c r="B3601">
        <v>9.3250000000000001E+111</v>
      </c>
      <c r="D3601" s="18">
        <v>3599</v>
      </c>
      <c r="E3601" s="18" cm="1">
        <f t="array" aca="1" ref="E3601" ca="1">INDIRECT("b"&amp;F3601+2)</f>
        <v>8.8750000000000002E+151</v>
      </c>
      <c r="F3601" s="18">
        <f t="shared" si="701"/>
        <v>5197</v>
      </c>
      <c r="G3601" s="18"/>
      <c r="H3601" s="18"/>
      <c r="I3601" s="19">
        <v>3599</v>
      </c>
      <c r="J3601" s="19" cm="1">
        <f t="array" aca="1" ref="J3601" ca="1">INDIRECT("b"&amp;K3601+2)</f>
        <v>0</v>
      </c>
      <c r="K3601" s="19">
        <f t="shared" si="712"/>
        <v>6397</v>
      </c>
    </row>
    <row r="3602" spans="1:11">
      <c r="A3602">
        <v>3600</v>
      </c>
      <c r="B3602">
        <v>9.5500000000000002E+111</v>
      </c>
      <c r="D3602" s="18">
        <v>3600</v>
      </c>
      <c r="E3602" s="18" cm="1">
        <f t="array" aca="1" ref="E3602" ca="1">INDIRECT("b"&amp;F3602+2)</f>
        <v>9.1E+151</v>
      </c>
      <c r="F3602" s="18">
        <f t="shared" si="701"/>
        <v>5198</v>
      </c>
      <c r="G3602" s="18"/>
      <c r="H3602" s="18"/>
      <c r="I3602" s="19">
        <v>3600</v>
      </c>
      <c r="J3602" s="19" cm="1">
        <f t="array" aca="1" ref="J3602" ca="1">INDIRECT("b"&amp;K3602+2)</f>
        <v>0</v>
      </c>
      <c r="K3602" s="19">
        <f t="shared" si="712"/>
        <v>6398</v>
      </c>
    </row>
    <row r="3603" spans="1:11">
      <c r="A3603">
        <v>3601</v>
      </c>
      <c r="B3603">
        <v>9.7750000000000003E+111</v>
      </c>
      <c r="D3603" s="18">
        <v>3601</v>
      </c>
      <c r="E3603" s="18" cm="1">
        <f t="array" aca="1" ref="E3603" ca="1">INDIRECT("b"&amp;F3603+2)</f>
        <v>9.5499999999999997E+151</v>
      </c>
      <c r="F3603" s="18">
        <f t="shared" ref="F3603:F3666" si="716">INT((A3603-123)*1.333333)+563</f>
        <v>5200</v>
      </c>
      <c r="G3603" s="18"/>
      <c r="H3603" s="18"/>
      <c r="I3603" s="19">
        <v>3601</v>
      </c>
      <c r="J3603" s="19" cm="1">
        <f t="array" aca="1" ref="J3603" ca="1">INDIRECT("b"&amp;K3603+2)</f>
        <v>0</v>
      </c>
      <c r="K3603" s="19">
        <f t="shared" si="712"/>
        <v>6400</v>
      </c>
    </row>
    <row r="3604" spans="1:11">
      <c r="A3604">
        <v>3602</v>
      </c>
      <c r="B3604">
        <v>9.9999999999999993E+111</v>
      </c>
      <c r="D3604" s="18">
        <v>3602</v>
      </c>
      <c r="E3604" s="18" cm="1">
        <f t="array" aca="1" ref="E3604" ca="1">INDIRECT("b"&amp;F3604+2)</f>
        <v>9.7750000000000006E+151</v>
      </c>
      <c r="F3604" s="18">
        <f t="shared" si="716"/>
        <v>5201</v>
      </c>
      <c r="G3604" s="18">
        <f t="shared" ref="G3604" ca="1" si="717">E3604/E3599</f>
        <v>1.1920731707317074</v>
      </c>
      <c r="H3604" s="18"/>
      <c r="I3604" s="19">
        <v>3602</v>
      </c>
      <c r="J3604" s="19" cm="1">
        <f t="array" aca="1" ref="J3604" ca="1">INDIRECT("b"&amp;K3604+2)</f>
        <v>0</v>
      </c>
      <c r="K3604" s="19">
        <f t="shared" si="712"/>
        <v>6401</v>
      </c>
    </row>
    <row r="3605" spans="1:11">
      <c r="A3605">
        <v>3603</v>
      </c>
      <c r="B3605">
        <v>1.225E+112</v>
      </c>
      <c r="D3605" s="18">
        <v>3603</v>
      </c>
      <c r="E3605" s="18" cm="1">
        <f t="array" aca="1" ref="E3605" ca="1">INDIRECT("b"&amp;F3605+2)</f>
        <v>1E+152</v>
      </c>
      <c r="F3605" s="18">
        <f t="shared" si="716"/>
        <v>5202</v>
      </c>
      <c r="G3605" s="18"/>
      <c r="H3605" s="18"/>
      <c r="I3605" s="19">
        <v>3603</v>
      </c>
      <c r="J3605" s="19" cm="1">
        <f t="array" aca="1" ref="J3605" ca="1">INDIRECT("b"&amp;K3605+2)</f>
        <v>0</v>
      </c>
      <c r="K3605" s="19">
        <f t="shared" si="712"/>
        <v>6402</v>
      </c>
    </row>
    <row r="3606" spans="1:11">
      <c r="A3606">
        <v>3604</v>
      </c>
      <c r="B3606">
        <v>1.4500000000000001E+112</v>
      </c>
      <c r="D3606" s="18">
        <v>3604</v>
      </c>
      <c r="E3606" s="18" cm="1">
        <f t="array" aca="1" ref="E3606" ca="1">INDIRECT("b"&amp;F3606+2)</f>
        <v>1.4500000000000001E+152</v>
      </c>
      <c r="F3606" s="18">
        <f t="shared" si="716"/>
        <v>5204</v>
      </c>
      <c r="G3606" s="18"/>
      <c r="H3606" s="18"/>
      <c r="I3606" s="19">
        <v>3604</v>
      </c>
      <c r="J3606" s="19" cm="1">
        <f t="array" aca="1" ref="J3606" ca="1">INDIRECT("b"&amp;K3606+2)</f>
        <v>0</v>
      </c>
      <c r="K3606" s="19">
        <f t="shared" si="712"/>
        <v>6404</v>
      </c>
    </row>
    <row r="3607" spans="1:11">
      <c r="A3607">
        <v>3605</v>
      </c>
      <c r="B3607">
        <v>1.675E+112</v>
      </c>
      <c r="D3607" s="18">
        <v>3605</v>
      </c>
      <c r="E3607" s="18" cm="1">
        <f t="array" aca="1" ref="E3607" ca="1">INDIRECT("b"&amp;F3607+2)</f>
        <v>1.675E+152</v>
      </c>
      <c r="F3607" s="18">
        <f t="shared" si="716"/>
        <v>5205</v>
      </c>
      <c r="G3607" s="18"/>
      <c r="H3607" s="18"/>
      <c r="I3607" s="19">
        <v>3605</v>
      </c>
      <c r="J3607" s="19" cm="1">
        <f t="array" aca="1" ref="J3607" ca="1">INDIRECT("b"&amp;K3607+2)</f>
        <v>0</v>
      </c>
      <c r="K3607" s="19">
        <f t="shared" si="712"/>
        <v>6405</v>
      </c>
    </row>
    <row r="3608" spans="1:11">
      <c r="A3608">
        <v>3606</v>
      </c>
      <c r="B3608">
        <v>1.9E+112</v>
      </c>
      <c r="D3608" s="18">
        <v>3606</v>
      </c>
      <c r="E3608" s="18" cm="1">
        <f t="array" aca="1" ref="E3608" ca="1">INDIRECT("b"&amp;F3608+2)</f>
        <v>1.9E+152</v>
      </c>
      <c r="F3608" s="18">
        <f t="shared" si="716"/>
        <v>5206</v>
      </c>
      <c r="G3608" s="18"/>
      <c r="H3608" s="18"/>
      <c r="I3608" s="19">
        <v>3606</v>
      </c>
      <c r="J3608" s="19" cm="1">
        <f t="array" aca="1" ref="J3608" ca="1">INDIRECT("b"&amp;K3608+2)</f>
        <v>0</v>
      </c>
      <c r="K3608" s="19">
        <f t="shared" si="712"/>
        <v>6406</v>
      </c>
    </row>
    <row r="3609" spans="1:11">
      <c r="A3609">
        <v>3607</v>
      </c>
      <c r="B3609">
        <v>2.1250000000000001E+112</v>
      </c>
      <c r="D3609" s="18">
        <v>3607</v>
      </c>
      <c r="E3609" s="18" cm="1">
        <f t="array" aca="1" ref="E3609" ca="1">INDIRECT("b"&amp;F3609+2)</f>
        <v>2.3500000000000001E+152</v>
      </c>
      <c r="F3609" s="18">
        <f t="shared" si="716"/>
        <v>5208</v>
      </c>
      <c r="G3609" s="18">
        <f t="shared" ref="G3609" ca="1" si="718">E3609/E3604</f>
        <v>2.4040920716112533</v>
      </c>
      <c r="H3609" s="18"/>
      <c r="I3609" s="19">
        <v>3607</v>
      </c>
      <c r="J3609" s="19" cm="1">
        <f t="array" aca="1" ref="J3609" ca="1">INDIRECT("b"&amp;K3609+2)</f>
        <v>0</v>
      </c>
      <c r="K3609" s="19">
        <f t="shared" si="712"/>
        <v>6408</v>
      </c>
    </row>
    <row r="3610" spans="1:11">
      <c r="A3610">
        <v>3608</v>
      </c>
      <c r="B3610">
        <v>2.35E+112</v>
      </c>
      <c r="D3610" s="18">
        <v>3608</v>
      </c>
      <c r="E3610" s="18" cm="1">
        <f t="array" aca="1" ref="E3610" ca="1">INDIRECT("b"&amp;F3610+2)</f>
        <v>2.5749999999999999E+152</v>
      </c>
      <c r="F3610" s="18">
        <f t="shared" si="716"/>
        <v>5209</v>
      </c>
      <c r="G3610" s="18"/>
      <c r="H3610" s="18"/>
      <c r="I3610" s="19">
        <v>3608</v>
      </c>
      <c r="J3610" s="19" cm="1">
        <f t="array" aca="1" ref="J3610" ca="1">INDIRECT("b"&amp;K3610+2)</f>
        <v>0</v>
      </c>
      <c r="K3610" s="19">
        <f t="shared" si="712"/>
        <v>6409</v>
      </c>
    </row>
    <row r="3611" spans="1:11">
      <c r="A3611">
        <v>3609</v>
      </c>
      <c r="B3611">
        <v>2.5749999999999999E+112</v>
      </c>
      <c r="D3611" s="18">
        <v>3609</v>
      </c>
      <c r="E3611" s="18" cm="1">
        <f t="array" aca="1" ref="E3611" ca="1">INDIRECT("b"&amp;F3611+2)</f>
        <v>2.8000000000000002E+152</v>
      </c>
      <c r="F3611" s="18">
        <f t="shared" si="716"/>
        <v>5210</v>
      </c>
      <c r="G3611" s="18"/>
      <c r="H3611" s="18"/>
      <c r="I3611" s="19">
        <v>3609</v>
      </c>
      <c r="J3611" s="19" cm="1">
        <f t="array" aca="1" ref="J3611" ca="1">INDIRECT("b"&amp;K3611+2)</f>
        <v>0</v>
      </c>
      <c r="K3611" s="19">
        <f t="shared" si="712"/>
        <v>6410</v>
      </c>
    </row>
    <row r="3612" spans="1:11">
      <c r="A3612">
        <v>3610</v>
      </c>
      <c r="B3612">
        <v>2.8000000000000001E+112</v>
      </c>
      <c r="D3612" s="18">
        <v>3610</v>
      </c>
      <c r="E3612" s="18" cm="1">
        <f t="array" aca="1" ref="E3612" ca="1">INDIRECT("b"&amp;F3612+2)</f>
        <v>3.2499999999999999E+152</v>
      </c>
      <c r="F3612" s="18">
        <f t="shared" si="716"/>
        <v>5212</v>
      </c>
      <c r="G3612" s="18"/>
      <c r="H3612" s="18"/>
      <c r="I3612" s="19">
        <v>3610</v>
      </c>
      <c r="J3612" s="19" cm="1">
        <f t="array" aca="1" ref="J3612" ca="1">INDIRECT("b"&amp;K3612+2)</f>
        <v>0</v>
      </c>
      <c r="K3612" s="19">
        <f t="shared" si="712"/>
        <v>6412</v>
      </c>
    </row>
    <row r="3613" spans="1:11">
      <c r="A3613">
        <v>3611</v>
      </c>
      <c r="B3613">
        <v>3.025E+112</v>
      </c>
      <c r="D3613" s="18">
        <v>3611</v>
      </c>
      <c r="E3613" s="18" cm="1">
        <f t="array" aca="1" ref="E3613" ca="1">INDIRECT("b"&amp;F3613+2)</f>
        <v>3.4750000000000001E+152</v>
      </c>
      <c r="F3613" s="18">
        <f t="shared" si="716"/>
        <v>5213</v>
      </c>
      <c r="G3613" s="18"/>
      <c r="H3613" s="18"/>
      <c r="I3613" s="19">
        <v>3611</v>
      </c>
      <c r="J3613" s="19" cm="1">
        <f t="array" aca="1" ref="J3613" ca="1">INDIRECT("b"&amp;K3613+2)</f>
        <v>0</v>
      </c>
      <c r="K3613" s="19">
        <f t="shared" si="712"/>
        <v>6413</v>
      </c>
    </row>
    <row r="3614" spans="1:11">
      <c r="A3614">
        <v>3612</v>
      </c>
      <c r="B3614">
        <v>3.2499999999999999E+112</v>
      </c>
      <c r="D3614" s="18">
        <v>3612</v>
      </c>
      <c r="E3614" s="18" cm="1">
        <f t="array" aca="1" ref="E3614" ca="1">INDIRECT("b"&amp;F3614+2)</f>
        <v>3.7E+152</v>
      </c>
      <c r="F3614" s="18">
        <f t="shared" si="716"/>
        <v>5214</v>
      </c>
      <c r="G3614" s="18">
        <f t="shared" ref="G3614" ca="1" si="719">E3614/E3609</f>
        <v>1.5744680851063828</v>
      </c>
      <c r="H3614" s="18"/>
      <c r="I3614" s="19">
        <v>3612</v>
      </c>
      <c r="J3614" s="19" cm="1">
        <f t="array" aca="1" ref="J3614" ca="1">INDIRECT("b"&amp;K3614+2)</f>
        <v>0</v>
      </c>
      <c r="K3614" s="19">
        <f t="shared" si="712"/>
        <v>6414</v>
      </c>
    </row>
    <row r="3615" spans="1:11">
      <c r="A3615">
        <v>3613</v>
      </c>
      <c r="B3615">
        <v>3.4750000000000002E+112</v>
      </c>
      <c r="D3615" s="18">
        <v>3613</v>
      </c>
      <c r="E3615" s="18" cm="1">
        <f t="array" aca="1" ref="E3615" ca="1">INDIRECT("b"&amp;F3615+2)</f>
        <v>4.1500000000000001E+152</v>
      </c>
      <c r="F3615" s="18">
        <f t="shared" si="716"/>
        <v>5216</v>
      </c>
      <c r="G3615" s="18"/>
      <c r="H3615" s="18"/>
      <c r="I3615" s="19">
        <v>3613</v>
      </c>
      <c r="J3615" s="19" cm="1">
        <f t="array" aca="1" ref="J3615" ca="1">INDIRECT("b"&amp;K3615+2)</f>
        <v>0</v>
      </c>
      <c r="K3615" s="19">
        <f t="shared" si="712"/>
        <v>6416</v>
      </c>
    </row>
    <row r="3616" spans="1:11">
      <c r="A3616">
        <v>3614</v>
      </c>
      <c r="B3616">
        <v>3.7E+112</v>
      </c>
      <c r="D3616" s="18">
        <v>3614</v>
      </c>
      <c r="E3616" s="18" cm="1">
        <f t="array" aca="1" ref="E3616" ca="1">INDIRECT("b"&amp;F3616+2)</f>
        <v>4.3749999999999999E+152</v>
      </c>
      <c r="F3616" s="18">
        <f t="shared" si="716"/>
        <v>5217</v>
      </c>
      <c r="G3616" s="18"/>
      <c r="H3616" s="18"/>
      <c r="I3616" s="19">
        <v>3614</v>
      </c>
      <c r="J3616" s="19" cm="1">
        <f t="array" aca="1" ref="J3616" ca="1">INDIRECT("b"&amp;K3616+2)</f>
        <v>0</v>
      </c>
      <c r="K3616" s="19">
        <f t="shared" si="712"/>
        <v>6417</v>
      </c>
    </row>
    <row r="3617" spans="1:11">
      <c r="A3617">
        <v>3615</v>
      </c>
      <c r="B3617">
        <v>3.9250000000000003E+112</v>
      </c>
      <c r="D3617" s="18">
        <v>3615</v>
      </c>
      <c r="E3617" s="18" cm="1">
        <f t="array" aca="1" ref="E3617" ca="1">INDIRECT("b"&amp;F3617+2)</f>
        <v>4.5999999999999997E+152</v>
      </c>
      <c r="F3617" s="18">
        <f t="shared" si="716"/>
        <v>5218</v>
      </c>
      <c r="G3617" s="18"/>
      <c r="H3617" s="18"/>
      <c r="I3617" s="19">
        <v>3615</v>
      </c>
      <c r="J3617" s="19" cm="1">
        <f t="array" aca="1" ref="J3617" ca="1">INDIRECT("b"&amp;K3617+2)</f>
        <v>0</v>
      </c>
      <c r="K3617" s="19">
        <f t="shared" si="712"/>
        <v>6418</v>
      </c>
    </row>
    <row r="3618" spans="1:11">
      <c r="A3618">
        <v>3616</v>
      </c>
      <c r="B3618">
        <v>4.1500000000000002E+112</v>
      </c>
      <c r="D3618" s="18">
        <v>3616</v>
      </c>
      <c r="E3618" s="18" cm="1">
        <f t="array" aca="1" ref="E3618" ca="1">INDIRECT("b"&amp;F3618+2)</f>
        <v>5.0500000000000003E+152</v>
      </c>
      <c r="F3618" s="18">
        <f t="shared" si="716"/>
        <v>5220</v>
      </c>
      <c r="G3618" s="18"/>
      <c r="H3618" s="18"/>
      <c r="I3618" s="19">
        <v>3616</v>
      </c>
      <c r="J3618" s="19" cm="1">
        <f t="array" aca="1" ref="J3618" ca="1">INDIRECT("b"&amp;K3618+2)</f>
        <v>0</v>
      </c>
      <c r="K3618" s="19">
        <f t="shared" si="712"/>
        <v>6420</v>
      </c>
    </row>
    <row r="3619" spans="1:11">
      <c r="A3619">
        <v>3617</v>
      </c>
      <c r="B3619">
        <v>4.3750000000000001E+112</v>
      </c>
      <c r="D3619" s="18">
        <v>3617</v>
      </c>
      <c r="E3619" s="18" cm="1">
        <f t="array" aca="1" ref="E3619" ca="1">INDIRECT("b"&amp;F3619+2)</f>
        <v>5.2750000000000001E+152</v>
      </c>
      <c r="F3619" s="18">
        <f t="shared" si="716"/>
        <v>5221</v>
      </c>
      <c r="G3619" s="18">
        <f t="shared" ref="G3619" ca="1" si="720">E3619/E3614</f>
        <v>1.4256756756756757</v>
      </c>
      <c r="H3619" s="18"/>
      <c r="I3619" s="19">
        <v>3617</v>
      </c>
      <c r="J3619" s="19" cm="1">
        <f t="array" aca="1" ref="J3619" ca="1">INDIRECT("b"&amp;K3619+2)</f>
        <v>0</v>
      </c>
      <c r="K3619" s="19">
        <f t="shared" si="712"/>
        <v>6421</v>
      </c>
    </row>
    <row r="3620" spans="1:11">
      <c r="A3620">
        <v>3618</v>
      </c>
      <c r="B3620">
        <v>4.5999999999999999E+112</v>
      </c>
      <c r="D3620" s="18">
        <v>3618</v>
      </c>
      <c r="E3620" s="18" cm="1">
        <f t="array" aca="1" ref="E3620" ca="1">INDIRECT("b"&amp;F3620+2)</f>
        <v>5.4999999999999999E+152</v>
      </c>
      <c r="F3620" s="18">
        <f t="shared" si="716"/>
        <v>5222</v>
      </c>
      <c r="G3620" s="18"/>
      <c r="H3620" s="18"/>
      <c r="I3620" s="19">
        <v>3618</v>
      </c>
      <c r="J3620" s="19" cm="1">
        <f t="array" aca="1" ref="J3620" ca="1">INDIRECT("b"&amp;K3620+2)</f>
        <v>0</v>
      </c>
      <c r="K3620" s="19">
        <f t="shared" si="712"/>
        <v>6422</v>
      </c>
    </row>
    <row r="3621" spans="1:11">
      <c r="A3621">
        <v>3619</v>
      </c>
      <c r="B3621">
        <v>4.8249999999999998E+112</v>
      </c>
      <c r="D3621" s="18">
        <v>3619</v>
      </c>
      <c r="E3621" s="18" cm="1">
        <f t="array" aca="1" ref="E3621" ca="1">INDIRECT("b"&amp;F3621+2)</f>
        <v>5.9500000000000005E+152</v>
      </c>
      <c r="F3621" s="18">
        <f t="shared" si="716"/>
        <v>5224</v>
      </c>
      <c r="G3621" s="18"/>
      <c r="H3621" s="18"/>
      <c r="I3621" s="19">
        <v>3619</v>
      </c>
      <c r="J3621" s="19" cm="1">
        <f t="array" aca="1" ref="J3621" ca="1">INDIRECT("b"&amp;K3621+2)</f>
        <v>0</v>
      </c>
      <c r="K3621" s="19">
        <f t="shared" si="712"/>
        <v>6424</v>
      </c>
    </row>
    <row r="3622" spans="1:11">
      <c r="A3622">
        <v>3620</v>
      </c>
      <c r="B3622">
        <v>5.0499999999999997E+112</v>
      </c>
      <c r="D3622" s="18">
        <v>3620</v>
      </c>
      <c r="E3622" s="18" cm="1">
        <f t="array" aca="1" ref="E3622" ca="1">INDIRECT("b"&amp;F3622+2)</f>
        <v>6.1750000000000003E+152</v>
      </c>
      <c r="F3622" s="18">
        <f t="shared" si="716"/>
        <v>5225</v>
      </c>
      <c r="G3622" s="18"/>
      <c r="H3622" s="18"/>
      <c r="I3622" s="19">
        <v>3620</v>
      </c>
      <c r="J3622" s="19" cm="1">
        <f t="array" aca="1" ref="J3622" ca="1">INDIRECT("b"&amp;K3622+2)</f>
        <v>0</v>
      </c>
      <c r="K3622" s="19">
        <f t="shared" si="712"/>
        <v>6425</v>
      </c>
    </row>
    <row r="3623" spans="1:11">
      <c r="A3623">
        <v>3621</v>
      </c>
      <c r="B3623">
        <v>5.2750000000000004E+112</v>
      </c>
      <c r="D3623" s="18">
        <v>3621</v>
      </c>
      <c r="E3623" s="18" cm="1">
        <f t="array" aca="1" ref="E3623" ca="1">INDIRECT("b"&amp;F3623+2)</f>
        <v>6.4000000000000001E+152</v>
      </c>
      <c r="F3623" s="18">
        <f t="shared" si="716"/>
        <v>5226</v>
      </c>
      <c r="G3623" s="18"/>
      <c r="H3623" s="18"/>
      <c r="I3623" s="19">
        <v>3621</v>
      </c>
      <c r="J3623" s="19" cm="1">
        <f t="array" aca="1" ref="J3623" ca="1">INDIRECT("b"&amp;K3623+2)</f>
        <v>0</v>
      </c>
      <c r="K3623" s="19">
        <f t="shared" si="712"/>
        <v>6426</v>
      </c>
    </row>
    <row r="3624" spans="1:11">
      <c r="A3624">
        <v>3622</v>
      </c>
      <c r="B3624">
        <v>5.5000000000000003E+112</v>
      </c>
      <c r="D3624" s="18">
        <v>3622</v>
      </c>
      <c r="E3624" s="18" cm="1">
        <f t="array" aca="1" ref="E3624" ca="1">INDIRECT("b"&amp;F3624+2)</f>
        <v>6.8499999999999997E+152</v>
      </c>
      <c r="F3624" s="18">
        <f t="shared" si="716"/>
        <v>5228</v>
      </c>
      <c r="G3624" s="18">
        <f t="shared" ref="G3624" ca="1" si="721">E3624/E3619</f>
        <v>1.2985781990521326</v>
      </c>
      <c r="H3624" s="18"/>
      <c r="I3624" s="19">
        <v>3622</v>
      </c>
      <c r="J3624" s="19" cm="1">
        <f t="array" aca="1" ref="J3624" ca="1">INDIRECT("b"&amp;K3624+2)</f>
        <v>0</v>
      </c>
      <c r="K3624" s="19">
        <f t="shared" si="712"/>
        <v>6428</v>
      </c>
    </row>
    <row r="3625" spans="1:11">
      <c r="A3625">
        <v>3623</v>
      </c>
      <c r="B3625">
        <v>5.7250000000000001E+112</v>
      </c>
      <c r="D3625" s="18">
        <v>3623</v>
      </c>
      <c r="E3625" s="18" cm="1">
        <f t="array" aca="1" ref="E3625" ca="1">INDIRECT("b"&amp;F3625+2)</f>
        <v>7.0750000000000005E+152</v>
      </c>
      <c r="F3625" s="18">
        <f t="shared" si="716"/>
        <v>5229</v>
      </c>
      <c r="G3625" s="18"/>
      <c r="H3625" s="18"/>
      <c r="I3625" s="19">
        <v>3623</v>
      </c>
      <c r="J3625" s="19" cm="1">
        <f t="array" aca="1" ref="J3625" ca="1">INDIRECT("b"&amp;K3625+2)</f>
        <v>0</v>
      </c>
      <c r="K3625" s="19">
        <f t="shared" si="712"/>
        <v>6429</v>
      </c>
    </row>
    <row r="3626" spans="1:11">
      <c r="A3626">
        <v>3624</v>
      </c>
      <c r="B3626">
        <v>5.95E+112</v>
      </c>
      <c r="D3626" s="18">
        <v>3624</v>
      </c>
      <c r="E3626" s="18" cm="1">
        <f t="array" aca="1" ref="E3626" ca="1">INDIRECT("b"&amp;F3626+2)</f>
        <v>7.3000000000000003E+152</v>
      </c>
      <c r="F3626" s="18">
        <f t="shared" si="716"/>
        <v>5230</v>
      </c>
      <c r="G3626" s="18"/>
      <c r="H3626" s="18"/>
      <c r="I3626" s="19">
        <v>3624</v>
      </c>
      <c r="J3626" s="19" cm="1">
        <f t="array" aca="1" ref="J3626" ca="1">INDIRECT("b"&amp;K3626+2)</f>
        <v>0</v>
      </c>
      <c r="K3626" s="19">
        <f t="shared" si="712"/>
        <v>6430</v>
      </c>
    </row>
    <row r="3627" spans="1:11">
      <c r="A3627">
        <v>3625</v>
      </c>
      <c r="B3627">
        <v>6.1749999999999999E+112</v>
      </c>
      <c r="D3627" s="18">
        <v>3625</v>
      </c>
      <c r="E3627" s="18" cm="1">
        <f t="array" aca="1" ref="E3627" ca="1">INDIRECT("b"&amp;F3627+2)</f>
        <v>7.75E+152</v>
      </c>
      <c r="F3627" s="18">
        <f t="shared" si="716"/>
        <v>5232</v>
      </c>
      <c r="G3627" s="18"/>
      <c r="H3627" s="18"/>
      <c r="I3627" s="19">
        <v>3625</v>
      </c>
      <c r="J3627" s="19" cm="1">
        <f t="array" aca="1" ref="J3627" ca="1">INDIRECT("b"&amp;K3627+2)</f>
        <v>0</v>
      </c>
      <c r="K3627" s="19">
        <f t="shared" si="712"/>
        <v>6432</v>
      </c>
    </row>
    <row r="3628" spans="1:11">
      <c r="A3628">
        <v>3626</v>
      </c>
      <c r="B3628">
        <v>6.3999999999999997E+112</v>
      </c>
      <c r="D3628" s="18">
        <v>3626</v>
      </c>
      <c r="E3628" s="18" cm="1">
        <f t="array" aca="1" ref="E3628" ca="1">INDIRECT("b"&amp;F3628+2)</f>
        <v>7.9749999999999998E+152</v>
      </c>
      <c r="F3628" s="18">
        <f t="shared" si="716"/>
        <v>5233</v>
      </c>
      <c r="G3628" s="18"/>
      <c r="H3628" s="18"/>
      <c r="I3628" s="19">
        <v>3626</v>
      </c>
      <c r="J3628" s="19" cm="1">
        <f t="array" aca="1" ref="J3628" ca="1">INDIRECT("b"&amp;K3628+2)</f>
        <v>0</v>
      </c>
      <c r="K3628" s="19">
        <f t="shared" si="712"/>
        <v>6433</v>
      </c>
    </row>
    <row r="3629" spans="1:11">
      <c r="A3629">
        <v>3627</v>
      </c>
      <c r="B3629">
        <v>6.6249999999999996E+112</v>
      </c>
      <c r="D3629" s="18">
        <v>3627</v>
      </c>
      <c r="E3629" s="18" cm="1">
        <f t="array" aca="1" ref="E3629" ca="1">INDIRECT("b"&amp;F3629+2)</f>
        <v>8.2000000000000005E+152</v>
      </c>
      <c r="F3629" s="18">
        <f t="shared" si="716"/>
        <v>5234</v>
      </c>
      <c r="G3629" s="18">
        <f t="shared" ref="G3629" ca="1" si="722">E3629/E3624</f>
        <v>1.197080291970803</v>
      </c>
      <c r="H3629" s="18"/>
      <c r="I3629" s="19">
        <v>3627</v>
      </c>
      <c r="J3629" s="19" cm="1">
        <f t="array" aca="1" ref="J3629" ca="1">INDIRECT("b"&amp;K3629+2)</f>
        <v>0</v>
      </c>
      <c r="K3629" s="19">
        <f t="shared" si="712"/>
        <v>6434</v>
      </c>
    </row>
    <row r="3630" spans="1:11">
      <c r="A3630">
        <v>3628</v>
      </c>
      <c r="B3630">
        <v>6.8500000000000003E+112</v>
      </c>
      <c r="D3630" s="18">
        <v>3628</v>
      </c>
      <c r="E3630" s="18" cm="1">
        <f t="array" aca="1" ref="E3630" ca="1">INDIRECT("b"&amp;F3630+2)</f>
        <v>8.6500000000000011E+152</v>
      </c>
      <c r="F3630" s="18">
        <f t="shared" si="716"/>
        <v>5236</v>
      </c>
      <c r="G3630" s="18"/>
      <c r="H3630" s="18"/>
      <c r="I3630" s="19">
        <v>3628</v>
      </c>
      <c r="J3630" s="19" cm="1">
        <f t="array" aca="1" ref="J3630" ca="1">INDIRECT("b"&amp;K3630+2)</f>
        <v>0</v>
      </c>
      <c r="K3630" s="19">
        <f t="shared" si="712"/>
        <v>6436</v>
      </c>
    </row>
    <row r="3631" spans="1:11">
      <c r="A3631">
        <v>3629</v>
      </c>
      <c r="B3631">
        <v>7.0750000000000002E+112</v>
      </c>
      <c r="D3631" s="18">
        <v>3629</v>
      </c>
      <c r="E3631" s="18" cm="1">
        <f t="array" aca="1" ref="E3631" ca="1">INDIRECT("b"&amp;F3631+2)</f>
        <v>8.875E+152</v>
      </c>
      <c r="F3631" s="18">
        <f t="shared" si="716"/>
        <v>5237</v>
      </c>
      <c r="G3631" s="18"/>
      <c r="H3631" s="18"/>
      <c r="I3631" s="19">
        <v>3629</v>
      </c>
      <c r="J3631" s="19" cm="1">
        <f t="array" aca="1" ref="J3631" ca="1">INDIRECT("b"&amp;K3631+2)</f>
        <v>0</v>
      </c>
      <c r="K3631" s="19">
        <f t="shared" si="712"/>
        <v>6437</v>
      </c>
    </row>
    <row r="3632" spans="1:11">
      <c r="A3632">
        <v>3630</v>
      </c>
      <c r="B3632">
        <v>7.3E+112</v>
      </c>
      <c r="D3632" s="18">
        <v>3630</v>
      </c>
      <c r="E3632" s="18" cm="1">
        <f t="array" aca="1" ref="E3632" ca="1">INDIRECT("b"&amp;F3632+2)</f>
        <v>9.1000000000000007E+152</v>
      </c>
      <c r="F3632" s="18">
        <f t="shared" si="716"/>
        <v>5238</v>
      </c>
      <c r="G3632" s="18"/>
      <c r="H3632" s="18"/>
      <c r="I3632" s="19">
        <v>3630</v>
      </c>
      <c r="J3632" s="19" cm="1">
        <f t="array" aca="1" ref="J3632" ca="1">INDIRECT("b"&amp;K3632+2)</f>
        <v>0</v>
      </c>
      <c r="K3632" s="19">
        <f t="shared" si="712"/>
        <v>6438</v>
      </c>
    </row>
    <row r="3633" spans="1:11">
      <c r="A3633">
        <v>3631</v>
      </c>
      <c r="B3633">
        <v>7.5249999999999999E+112</v>
      </c>
      <c r="D3633" s="18">
        <v>3631</v>
      </c>
      <c r="E3633" s="18" cm="1">
        <f t="array" aca="1" ref="E3633" ca="1">INDIRECT("b"&amp;F3633+2)</f>
        <v>9.5500000000000004E+152</v>
      </c>
      <c r="F3633" s="18">
        <f t="shared" si="716"/>
        <v>5240</v>
      </c>
      <c r="G3633" s="18"/>
      <c r="H3633" s="18"/>
      <c r="I3633" s="19">
        <v>3631</v>
      </c>
      <c r="J3633" s="19" cm="1">
        <f t="array" aca="1" ref="J3633" ca="1">INDIRECT("b"&amp;K3633+2)</f>
        <v>0</v>
      </c>
      <c r="K3633" s="19">
        <f t="shared" si="712"/>
        <v>6440</v>
      </c>
    </row>
    <row r="3634" spans="1:11">
      <c r="A3634">
        <v>3632</v>
      </c>
      <c r="B3634">
        <v>7.7499999999999998E+112</v>
      </c>
      <c r="D3634" s="18">
        <v>3632</v>
      </c>
      <c r="E3634" s="18" cm="1">
        <f t="array" aca="1" ref="E3634" ca="1">INDIRECT("b"&amp;F3634+2)</f>
        <v>9.7750000000000011E+152</v>
      </c>
      <c r="F3634" s="18">
        <f t="shared" si="716"/>
        <v>5241</v>
      </c>
      <c r="G3634" s="18">
        <f t="shared" ref="G3634" ca="1" si="723">E3634/E3629</f>
        <v>1.1920731707317074</v>
      </c>
      <c r="H3634" s="18"/>
      <c r="I3634" s="19">
        <v>3632</v>
      </c>
      <c r="J3634" s="19" cm="1">
        <f t="array" aca="1" ref="J3634" ca="1">INDIRECT("b"&amp;K3634+2)</f>
        <v>0</v>
      </c>
      <c r="K3634" s="19">
        <f t="shared" si="712"/>
        <v>6441</v>
      </c>
    </row>
    <row r="3635" spans="1:11">
      <c r="A3635">
        <v>3633</v>
      </c>
      <c r="B3635">
        <v>7.9749999999999996E+112</v>
      </c>
      <c r="D3635" s="18">
        <v>3633</v>
      </c>
      <c r="E3635" s="18" cm="1">
        <f t="array" aca="1" ref="E3635" ca="1">INDIRECT("b"&amp;F3635+2)</f>
        <v>1E+153</v>
      </c>
      <c r="F3635" s="18">
        <f t="shared" si="716"/>
        <v>5242</v>
      </c>
      <c r="G3635" s="18"/>
      <c r="H3635" s="18"/>
      <c r="I3635" s="19">
        <v>3633</v>
      </c>
      <c r="J3635" s="19" cm="1">
        <f t="array" aca="1" ref="J3635" ca="1">INDIRECT("b"&amp;K3635+2)</f>
        <v>0</v>
      </c>
      <c r="K3635" s="19">
        <f t="shared" si="712"/>
        <v>6442</v>
      </c>
    </row>
    <row r="3636" spans="1:11">
      <c r="A3636">
        <v>3634</v>
      </c>
      <c r="B3636">
        <v>8.1999999999999995E+112</v>
      </c>
      <c r="D3636" s="18">
        <v>3634</v>
      </c>
      <c r="E3636" s="18" cm="1">
        <f t="array" aca="1" ref="E3636" ca="1">INDIRECT("b"&amp;F3636+2)</f>
        <v>1.45E+153</v>
      </c>
      <c r="F3636" s="18">
        <f t="shared" si="716"/>
        <v>5244</v>
      </c>
      <c r="G3636" s="18"/>
      <c r="H3636" s="18"/>
      <c r="I3636" s="19">
        <v>3634</v>
      </c>
      <c r="J3636" s="19" cm="1">
        <f t="array" aca="1" ref="J3636" ca="1">INDIRECT("b"&amp;K3636+2)</f>
        <v>0</v>
      </c>
      <c r="K3636" s="19">
        <f t="shared" si="712"/>
        <v>6444</v>
      </c>
    </row>
    <row r="3637" spans="1:11">
      <c r="A3637">
        <v>3635</v>
      </c>
      <c r="B3637">
        <v>8.4249999999999994E+112</v>
      </c>
      <c r="D3637" s="18">
        <v>3635</v>
      </c>
      <c r="E3637" s="18" cm="1">
        <f t="array" aca="1" ref="E3637" ca="1">INDIRECT("b"&amp;F3637+2)</f>
        <v>1.675E+153</v>
      </c>
      <c r="F3637" s="18">
        <f t="shared" si="716"/>
        <v>5245</v>
      </c>
      <c r="G3637" s="18"/>
      <c r="H3637" s="18"/>
      <c r="I3637" s="19">
        <v>3635</v>
      </c>
      <c r="J3637" s="19" cm="1">
        <f t="array" aca="1" ref="J3637" ca="1">INDIRECT("b"&amp;K3637+2)</f>
        <v>0</v>
      </c>
      <c r="K3637" s="19">
        <f t="shared" si="712"/>
        <v>6445</v>
      </c>
    </row>
    <row r="3638" spans="1:11">
      <c r="A3638">
        <v>3636</v>
      </c>
      <c r="B3638">
        <v>8.6499999999999992E+112</v>
      </c>
      <c r="D3638" s="18">
        <v>3636</v>
      </c>
      <c r="E3638" s="18" cm="1">
        <f t="array" aca="1" ref="E3638" ca="1">INDIRECT("b"&amp;F3638+2)</f>
        <v>1.8999999999999998E+153</v>
      </c>
      <c r="F3638" s="18">
        <f t="shared" si="716"/>
        <v>5246</v>
      </c>
      <c r="G3638" s="18"/>
      <c r="H3638" s="18"/>
      <c r="I3638" s="19">
        <v>3636</v>
      </c>
      <c r="J3638" s="19" cm="1">
        <f t="array" aca="1" ref="J3638" ca="1">INDIRECT("b"&amp;K3638+2)</f>
        <v>0</v>
      </c>
      <c r="K3638" s="19">
        <f t="shared" si="712"/>
        <v>6446</v>
      </c>
    </row>
    <row r="3639" spans="1:11">
      <c r="A3639">
        <v>3637</v>
      </c>
      <c r="B3639">
        <v>8.8750000000000008E+112</v>
      </c>
      <c r="D3639" s="18">
        <v>3637</v>
      </c>
      <c r="E3639" s="18" cm="1">
        <f t="array" aca="1" ref="E3639" ca="1">INDIRECT("b"&amp;F3639+2)</f>
        <v>2.3499999999999998E+153</v>
      </c>
      <c r="F3639" s="18">
        <f t="shared" si="716"/>
        <v>5248</v>
      </c>
      <c r="G3639" s="18">
        <f t="shared" ref="G3639" ca="1" si="724">E3639/E3634</f>
        <v>2.4040920716112528</v>
      </c>
      <c r="H3639" s="18"/>
      <c r="I3639" s="19">
        <v>3637</v>
      </c>
      <c r="J3639" s="19" cm="1">
        <f t="array" aca="1" ref="J3639" ca="1">INDIRECT("b"&amp;K3639+2)</f>
        <v>0</v>
      </c>
      <c r="K3639" s="19">
        <f t="shared" si="712"/>
        <v>6448</v>
      </c>
    </row>
    <row r="3640" spans="1:11">
      <c r="A3640">
        <v>3638</v>
      </c>
      <c r="B3640">
        <v>9.1000000000000007E+112</v>
      </c>
      <c r="D3640" s="18">
        <v>3638</v>
      </c>
      <c r="E3640" s="18" cm="1">
        <f t="array" aca="1" ref="E3640" ca="1">INDIRECT("b"&amp;F3640+2)</f>
        <v>2.5749999999999998E+153</v>
      </c>
      <c r="F3640" s="18">
        <f t="shared" si="716"/>
        <v>5249</v>
      </c>
      <c r="G3640" s="18"/>
      <c r="H3640" s="18"/>
      <c r="I3640" s="19">
        <v>3638</v>
      </c>
      <c r="J3640" s="19" cm="1">
        <f t="array" aca="1" ref="J3640" ca="1">INDIRECT("b"&amp;K3640+2)</f>
        <v>0</v>
      </c>
      <c r="K3640" s="19">
        <f t="shared" si="712"/>
        <v>6449</v>
      </c>
    </row>
    <row r="3641" spans="1:11">
      <c r="A3641">
        <v>3639</v>
      </c>
      <c r="B3641">
        <v>9.3250000000000006E+112</v>
      </c>
      <c r="D3641" s="18">
        <v>3639</v>
      </c>
      <c r="E3641" s="18" cm="1">
        <f t="array" aca="1" ref="E3641" ca="1">INDIRECT("b"&amp;F3641+2)</f>
        <v>2.7999999999999999E+153</v>
      </c>
      <c r="F3641" s="18">
        <f t="shared" si="716"/>
        <v>5250</v>
      </c>
      <c r="G3641" s="18"/>
      <c r="H3641" s="18"/>
      <c r="I3641" s="19">
        <v>3639</v>
      </c>
      <c r="J3641" s="19" cm="1">
        <f t="array" aca="1" ref="J3641" ca="1">INDIRECT("b"&amp;K3641+2)</f>
        <v>0</v>
      </c>
      <c r="K3641" s="19">
        <f t="shared" si="712"/>
        <v>6450</v>
      </c>
    </row>
    <row r="3642" spans="1:11">
      <c r="A3642">
        <v>3640</v>
      </c>
      <c r="B3642">
        <v>9.5500000000000004E+112</v>
      </c>
      <c r="D3642" s="18">
        <v>3640</v>
      </c>
      <c r="E3642" s="18" cm="1">
        <f t="array" aca="1" ref="E3642" ca="1">INDIRECT("b"&amp;F3642+2)</f>
        <v>3.2499999999999999E+153</v>
      </c>
      <c r="F3642" s="18">
        <f t="shared" si="716"/>
        <v>5252</v>
      </c>
      <c r="G3642" s="18"/>
      <c r="H3642" s="18"/>
      <c r="I3642" s="19">
        <v>3640</v>
      </c>
      <c r="J3642" s="19" cm="1">
        <f t="array" aca="1" ref="J3642" ca="1">INDIRECT("b"&amp;K3642+2)</f>
        <v>0</v>
      </c>
      <c r="K3642" s="19">
        <f t="shared" si="712"/>
        <v>6452</v>
      </c>
    </row>
    <row r="3643" spans="1:11">
      <c r="A3643">
        <v>3641</v>
      </c>
      <c r="B3643">
        <v>9.7750000000000003E+112</v>
      </c>
      <c r="D3643" s="18">
        <v>3641</v>
      </c>
      <c r="E3643" s="18" cm="1">
        <f t="array" aca="1" ref="E3643" ca="1">INDIRECT("b"&amp;F3643+2)</f>
        <v>3.4750000000000002E+153</v>
      </c>
      <c r="F3643" s="18">
        <f t="shared" si="716"/>
        <v>5253</v>
      </c>
      <c r="G3643" s="18"/>
      <c r="H3643" s="18"/>
      <c r="I3643" s="19">
        <v>3641</v>
      </c>
      <c r="J3643" s="19" cm="1">
        <f t="array" aca="1" ref="J3643" ca="1">INDIRECT("b"&amp;K3643+2)</f>
        <v>0</v>
      </c>
      <c r="K3643" s="19">
        <f t="shared" si="712"/>
        <v>6453</v>
      </c>
    </row>
    <row r="3644" spans="1:11">
      <c r="A3644">
        <v>3642</v>
      </c>
      <c r="B3644">
        <v>1E+113</v>
      </c>
      <c r="D3644" s="18">
        <v>3642</v>
      </c>
      <c r="E3644" s="18" cm="1">
        <f t="array" aca="1" ref="E3644" ca="1">INDIRECT("b"&amp;F3644+2)</f>
        <v>3.7000000000000002E+153</v>
      </c>
      <c r="F3644" s="18">
        <f t="shared" si="716"/>
        <v>5254</v>
      </c>
      <c r="G3644" s="18">
        <f t="shared" ref="G3644" ca="1" si="725">E3644/E3639</f>
        <v>1.5744680851063833</v>
      </c>
      <c r="H3644" s="18"/>
      <c r="I3644" s="19">
        <v>3642</v>
      </c>
      <c r="J3644" s="19" cm="1">
        <f t="array" aca="1" ref="J3644" ca="1">INDIRECT("b"&amp;K3644+2)</f>
        <v>0</v>
      </c>
      <c r="K3644" s="19">
        <f t="shared" si="712"/>
        <v>6454</v>
      </c>
    </row>
    <row r="3645" spans="1:11">
      <c r="A3645">
        <v>3643</v>
      </c>
      <c r="B3645">
        <v>1.2249999999999999E+113</v>
      </c>
      <c r="D3645" s="18">
        <v>3643</v>
      </c>
      <c r="E3645" s="18" cm="1">
        <f t="array" aca="1" ref="E3645" ca="1">INDIRECT("b"&amp;F3645+2)</f>
        <v>4.1500000000000003E+153</v>
      </c>
      <c r="F3645" s="18">
        <f t="shared" si="716"/>
        <v>5256</v>
      </c>
      <c r="G3645" s="18"/>
      <c r="H3645" s="18"/>
      <c r="I3645" s="19">
        <v>3643</v>
      </c>
      <c r="J3645" s="19" cm="1">
        <f t="array" aca="1" ref="J3645" ca="1">INDIRECT("b"&amp;K3645+2)</f>
        <v>0</v>
      </c>
      <c r="K3645" s="19">
        <f t="shared" si="712"/>
        <v>6456</v>
      </c>
    </row>
    <row r="3646" spans="1:11">
      <c r="A3646">
        <v>3644</v>
      </c>
      <c r="B3646">
        <v>1.4499999999999999E+113</v>
      </c>
      <c r="D3646" s="18">
        <v>3644</v>
      </c>
      <c r="E3646" s="18" cm="1">
        <f t="array" aca="1" ref="E3646" ca="1">INDIRECT("b"&amp;F3646+2)</f>
        <v>4.3750000000000003E+153</v>
      </c>
      <c r="F3646" s="18">
        <f t="shared" si="716"/>
        <v>5257</v>
      </c>
      <c r="G3646" s="18"/>
      <c r="H3646" s="18"/>
      <c r="I3646" s="19">
        <v>3644</v>
      </c>
      <c r="J3646" s="19" cm="1">
        <f t="array" aca="1" ref="J3646" ca="1">INDIRECT("b"&amp;K3646+2)</f>
        <v>0</v>
      </c>
      <c r="K3646" s="19">
        <f t="shared" si="712"/>
        <v>6457</v>
      </c>
    </row>
    <row r="3647" spans="1:11">
      <c r="A3647">
        <v>3645</v>
      </c>
      <c r="B3647">
        <v>1.675E+113</v>
      </c>
      <c r="D3647" s="18">
        <v>3645</v>
      </c>
      <c r="E3647" s="18" cm="1">
        <f t="array" aca="1" ref="E3647" ca="1">INDIRECT("b"&amp;F3647+2)</f>
        <v>4.6000000000000003E+153</v>
      </c>
      <c r="F3647" s="18">
        <f t="shared" si="716"/>
        <v>5258</v>
      </c>
      <c r="G3647" s="18"/>
      <c r="H3647" s="18"/>
      <c r="I3647" s="19">
        <v>3645</v>
      </c>
      <c r="J3647" s="19" cm="1">
        <f t="array" aca="1" ref="J3647" ca="1">INDIRECT("b"&amp;K3647+2)</f>
        <v>0</v>
      </c>
      <c r="K3647" s="19">
        <f t="shared" si="712"/>
        <v>6458</v>
      </c>
    </row>
    <row r="3648" spans="1:11">
      <c r="A3648">
        <v>3646</v>
      </c>
      <c r="B3648">
        <v>1.8999999999999998E+113</v>
      </c>
      <c r="D3648" s="18">
        <v>3646</v>
      </c>
      <c r="E3648" s="18" cm="1">
        <f t="array" aca="1" ref="E3648" ca="1">INDIRECT("b"&amp;F3648+2)</f>
        <v>5.0500000000000003E+153</v>
      </c>
      <c r="F3648" s="18">
        <f t="shared" si="716"/>
        <v>5260</v>
      </c>
      <c r="G3648" s="18"/>
      <c r="H3648" s="18"/>
      <c r="I3648" s="19">
        <v>3646</v>
      </c>
      <c r="J3648" s="19" cm="1">
        <f t="array" aca="1" ref="J3648" ca="1">INDIRECT("b"&amp;K3648+2)</f>
        <v>0</v>
      </c>
      <c r="K3648" s="19">
        <f t="shared" si="712"/>
        <v>6460</v>
      </c>
    </row>
    <row r="3649" spans="1:11">
      <c r="A3649">
        <v>3647</v>
      </c>
      <c r="B3649">
        <v>2.125E+113</v>
      </c>
      <c r="D3649" s="18">
        <v>3647</v>
      </c>
      <c r="E3649" s="18" cm="1">
        <f t="array" aca="1" ref="E3649" ca="1">INDIRECT("b"&amp;F3649+2)</f>
        <v>5.2750000000000003E+153</v>
      </c>
      <c r="F3649" s="18">
        <f t="shared" si="716"/>
        <v>5261</v>
      </c>
      <c r="G3649" s="18">
        <f t="shared" ref="G3649" ca="1" si="726">E3649/E3644</f>
        <v>1.4256756756756757</v>
      </c>
      <c r="H3649" s="18"/>
      <c r="I3649" s="19">
        <v>3647</v>
      </c>
      <c r="J3649" s="19" cm="1">
        <f t="array" aca="1" ref="J3649" ca="1">INDIRECT("b"&amp;K3649+2)</f>
        <v>0</v>
      </c>
      <c r="K3649" s="19">
        <f t="shared" si="712"/>
        <v>6461</v>
      </c>
    </row>
    <row r="3650" spans="1:11">
      <c r="A3650">
        <v>3648</v>
      </c>
      <c r="B3650">
        <v>2.3499999999999999E+113</v>
      </c>
      <c r="D3650" s="18">
        <v>3648</v>
      </c>
      <c r="E3650" s="18" cm="1">
        <f t="array" aca="1" ref="E3650" ca="1">INDIRECT("b"&amp;F3650+2)</f>
        <v>5.5000000000000003E+153</v>
      </c>
      <c r="F3650" s="18">
        <f t="shared" si="716"/>
        <v>5262</v>
      </c>
      <c r="G3650" s="18"/>
      <c r="H3650" s="18"/>
      <c r="I3650" s="19">
        <v>3648</v>
      </c>
      <c r="J3650" s="19" cm="1">
        <f t="array" aca="1" ref="J3650" ca="1">INDIRECT("b"&amp;K3650+2)</f>
        <v>0</v>
      </c>
      <c r="K3650" s="19">
        <f t="shared" si="712"/>
        <v>6462</v>
      </c>
    </row>
    <row r="3651" spans="1:11">
      <c r="A3651">
        <v>3649</v>
      </c>
      <c r="B3651">
        <v>2.5749999999999998E+113</v>
      </c>
      <c r="D3651" s="18">
        <v>3649</v>
      </c>
      <c r="E3651" s="18" cm="1">
        <f t="array" aca="1" ref="E3651" ca="1">INDIRECT("b"&amp;F3651+2)</f>
        <v>5.9500000000000003E+153</v>
      </c>
      <c r="F3651" s="18">
        <f t="shared" si="716"/>
        <v>5264</v>
      </c>
      <c r="G3651" s="18"/>
      <c r="H3651" s="18"/>
      <c r="I3651" s="19">
        <v>3649</v>
      </c>
      <c r="J3651" s="19" cm="1">
        <f t="array" aca="1" ref="J3651" ca="1">INDIRECT("b"&amp;K3651+2)</f>
        <v>0</v>
      </c>
      <c r="K3651" s="19">
        <f t="shared" si="712"/>
        <v>6464</v>
      </c>
    </row>
    <row r="3652" spans="1:11">
      <c r="A3652">
        <v>3650</v>
      </c>
      <c r="B3652">
        <v>2.8E+113</v>
      </c>
      <c r="D3652" s="18">
        <v>3650</v>
      </c>
      <c r="E3652" s="18" cm="1">
        <f t="array" aca="1" ref="E3652" ca="1">INDIRECT("b"&amp;F3652+2)</f>
        <v>6.1750000000000003E+153</v>
      </c>
      <c r="F3652" s="18">
        <f t="shared" si="716"/>
        <v>5265</v>
      </c>
      <c r="G3652" s="18"/>
      <c r="H3652" s="18"/>
      <c r="I3652" s="19">
        <v>3650</v>
      </c>
      <c r="J3652" s="19" cm="1">
        <f t="array" aca="1" ref="J3652" ca="1">INDIRECT("b"&amp;K3652+2)</f>
        <v>0</v>
      </c>
      <c r="K3652" s="19">
        <f t="shared" ref="K3652:K3715" si="727">INT((A3652-1)*40/30+900*40/30)+400</f>
        <v>6465</v>
      </c>
    </row>
    <row r="3653" spans="1:11">
      <c r="A3653">
        <v>3651</v>
      </c>
      <c r="B3653">
        <v>3.0249999999999998E+113</v>
      </c>
      <c r="D3653" s="18">
        <v>3651</v>
      </c>
      <c r="E3653" s="18" cm="1">
        <f t="array" aca="1" ref="E3653" ca="1">INDIRECT("b"&amp;F3653+2)</f>
        <v>6.4000000000000003E+153</v>
      </c>
      <c r="F3653" s="18">
        <f t="shared" si="716"/>
        <v>5266</v>
      </c>
      <c r="G3653" s="18"/>
      <c r="H3653" s="18"/>
      <c r="I3653" s="19">
        <v>3651</v>
      </c>
      <c r="J3653" s="19" cm="1">
        <f t="array" aca="1" ref="J3653" ca="1">INDIRECT("b"&amp;K3653+2)</f>
        <v>0</v>
      </c>
      <c r="K3653" s="19">
        <f t="shared" si="727"/>
        <v>6466</v>
      </c>
    </row>
    <row r="3654" spans="1:11">
      <c r="A3654">
        <v>3652</v>
      </c>
      <c r="B3654">
        <v>3.2500000000000001E+113</v>
      </c>
      <c r="D3654" s="18">
        <v>3652</v>
      </c>
      <c r="E3654" s="18" cm="1">
        <f t="array" aca="1" ref="E3654" ca="1">INDIRECT("b"&amp;F3654+2)</f>
        <v>6.8500000000000003E+153</v>
      </c>
      <c r="F3654" s="18">
        <f t="shared" si="716"/>
        <v>5268</v>
      </c>
      <c r="G3654" s="18">
        <f t="shared" ref="G3654" ca="1" si="728">E3654/E3649</f>
        <v>1.2985781990521328</v>
      </c>
      <c r="H3654" s="18"/>
      <c r="I3654" s="19">
        <v>3652</v>
      </c>
      <c r="J3654" s="19" cm="1">
        <f t="array" aca="1" ref="J3654" ca="1">INDIRECT("b"&amp;K3654+2)</f>
        <v>0</v>
      </c>
      <c r="K3654" s="19">
        <f t="shared" si="727"/>
        <v>6468</v>
      </c>
    </row>
    <row r="3655" spans="1:11">
      <c r="A3655">
        <v>3653</v>
      </c>
      <c r="B3655">
        <v>3.4749999999999999E+113</v>
      </c>
      <c r="D3655" s="18">
        <v>3653</v>
      </c>
      <c r="E3655" s="18" cm="1">
        <f t="array" aca="1" ref="E3655" ca="1">INDIRECT("b"&amp;F3655+2)</f>
        <v>7.0749999999999996E+153</v>
      </c>
      <c r="F3655" s="18">
        <f t="shared" si="716"/>
        <v>5269</v>
      </c>
      <c r="G3655" s="18"/>
      <c r="H3655" s="18"/>
      <c r="I3655" s="19">
        <v>3653</v>
      </c>
      <c r="J3655" s="19" cm="1">
        <f t="array" aca="1" ref="J3655" ca="1">INDIRECT("b"&amp;K3655+2)</f>
        <v>0</v>
      </c>
      <c r="K3655" s="19">
        <f t="shared" si="727"/>
        <v>6469</v>
      </c>
    </row>
    <row r="3656" spans="1:11">
      <c r="A3656">
        <v>3654</v>
      </c>
      <c r="B3656">
        <v>3.6999999999999998E+113</v>
      </c>
      <c r="D3656" s="18">
        <v>3654</v>
      </c>
      <c r="E3656" s="18" cm="1">
        <f t="array" aca="1" ref="E3656" ca="1">INDIRECT("b"&amp;F3656+2)</f>
        <v>7.3000000000000003E+153</v>
      </c>
      <c r="F3656" s="18">
        <f t="shared" si="716"/>
        <v>5270</v>
      </c>
      <c r="G3656" s="18"/>
      <c r="H3656" s="18"/>
      <c r="I3656" s="19">
        <v>3654</v>
      </c>
      <c r="J3656" s="19" cm="1">
        <f t="array" aca="1" ref="J3656" ca="1">INDIRECT("b"&amp;K3656+2)</f>
        <v>0</v>
      </c>
      <c r="K3656" s="19">
        <f t="shared" si="727"/>
        <v>6470</v>
      </c>
    </row>
    <row r="3657" spans="1:11">
      <c r="A3657">
        <v>3655</v>
      </c>
      <c r="B3657">
        <v>3.9249999999999997E+113</v>
      </c>
      <c r="D3657" s="18">
        <v>3655</v>
      </c>
      <c r="E3657" s="18" cm="1">
        <f t="array" aca="1" ref="E3657" ca="1">INDIRECT("b"&amp;F3657+2)</f>
        <v>7.7500000000000003E+153</v>
      </c>
      <c r="F3657" s="18">
        <f t="shared" si="716"/>
        <v>5272</v>
      </c>
      <c r="G3657" s="18"/>
      <c r="H3657" s="18"/>
      <c r="I3657" s="19">
        <v>3655</v>
      </c>
      <c r="J3657" s="19" cm="1">
        <f t="array" aca="1" ref="J3657" ca="1">INDIRECT("b"&amp;K3657+2)</f>
        <v>0</v>
      </c>
      <c r="K3657" s="19">
        <f t="shared" si="727"/>
        <v>6472</v>
      </c>
    </row>
    <row r="3658" spans="1:11">
      <c r="A3658">
        <v>3656</v>
      </c>
      <c r="B3658">
        <v>4.1499999999999995E+113</v>
      </c>
      <c r="D3658" s="18">
        <v>3656</v>
      </c>
      <c r="E3658" s="18" cm="1">
        <f t="array" aca="1" ref="E3658" ca="1">INDIRECT("b"&amp;F3658+2)</f>
        <v>7.9749999999999996E+153</v>
      </c>
      <c r="F3658" s="18">
        <f t="shared" si="716"/>
        <v>5273</v>
      </c>
      <c r="G3658" s="18"/>
      <c r="H3658" s="18"/>
      <c r="I3658" s="19">
        <v>3656</v>
      </c>
      <c r="J3658" s="19" cm="1">
        <f t="array" aca="1" ref="J3658" ca="1">INDIRECT("b"&amp;K3658+2)</f>
        <v>0</v>
      </c>
      <c r="K3658" s="19">
        <f t="shared" si="727"/>
        <v>6473</v>
      </c>
    </row>
    <row r="3659" spans="1:11">
      <c r="A3659">
        <v>3657</v>
      </c>
      <c r="B3659">
        <v>4.3750000000000001E+113</v>
      </c>
      <c r="D3659" s="18">
        <v>3657</v>
      </c>
      <c r="E3659" s="18" cm="1">
        <f t="array" aca="1" ref="E3659" ca="1">INDIRECT("b"&amp;F3659+2)</f>
        <v>8.2000000000000003E+153</v>
      </c>
      <c r="F3659" s="18">
        <f t="shared" si="716"/>
        <v>5274</v>
      </c>
      <c r="G3659" s="18">
        <f t="shared" ref="G3659" ca="1" si="729">E3659/E3654</f>
        <v>1.197080291970803</v>
      </c>
      <c r="H3659" s="18"/>
      <c r="I3659" s="19">
        <v>3657</v>
      </c>
      <c r="J3659" s="19" cm="1">
        <f t="array" aca="1" ref="J3659" ca="1">INDIRECT("b"&amp;K3659+2)</f>
        <v>0</v>
      </c>
      <c r="K3659" s="19">
        <f t="shared" si="727"/>
        <v>6474</v>
      </c>
    </row>
    <row r="3660" spans="1:11">
      <c r="A3660">
        <v>3658</v>
      </c>
      <c r="B3660">
        <v>4.5999999999999999E+113</v>
      </c>
      <c r="D3660" s="18">
        <v>3658</v>
      </c>
      <c r="E3660" s="18" cm="1">
        <f t="array" aca="1" ref="E3660" ca="1">INDIRECT("b"&amp;F3660+2)</f>
        <v>8.6500000000000003E+153</v>
      </c>
      <c r="F3660" s="18">
        <f t="shared" si="716"/>
        <v>5276</v>
      </c>
      <c r="G3660" s="18"/>
      <c r="H3660" s="18"/>
      <c r="I3660" s="19">
        <v>3658</v>
      </c>
      <c r="J3660" s="19" cm="1">
        <f t="array" aca="1" ref="J3660" ca="1">INDIRECT("b"&amp;K3660+2)</f>
        <v>0</v>
      </c>
      <c r="K3660" s="19">
        <f t="shared" si="727"/>
        <v>6476</v>
      </c>
    </row>
    <row r="3661" spans="1:11">
      <c r="A3661">
        <v>3659</v>
      </c>
      <c r="B3661">
        <v>4.8249999999999998E+113</v>
      </c>
      <c r="D3661" s="18">
        <v>3659</v>
      </c>
      <c r="E3661" s="18" cm="1">
        <f t="array" aca="1" ref="E3661" ca="1">INDIRECT("b"&amp;F3661+2)</f>
        <v>8.8749999999999996E+153</v>
      </c>
      <c r="F3661" s="18">
        <f t="shared" si="716"/>
        <v>5277</v>
      </c>
      <c r="G3661" s="18"/>
      <c r="H3661" s="18"/>
      <c r="I3661" s="19">
        <v>3659</v>
      </c>
      <c r="J3661" s="19" cm="1">
        <f t="array" aca="1" ref="J3661" ca="1">INDIRECT("b"&amp;K3661+2)</f>
        <v>0</v>
      </c>
      <c r="K3661" s="19">
        <f t="shared" si="727"/>
        <v>6477</v>
      </c>
    </row>
    <row r="3662" spans="1:11">
      <c r="A3662">
        <v>3660</v>
      </c>
      <c r="B3662">
        <v>5.0499999999999997E+113</v>
      </c>
      <c r="D3662" s="18">
        <v>3660</v>
      </c>
      <c r="E3662" s="18" cm="1">
        <f t="array" aca="1" ref="E3662" ca="1">INDIRECT("b"&amp;F3662+2)</f>
        <v>9.1000000000000004E+153</v>
      </c>
      <c r="F3662" s="18">
        <f t="shared" si="716"/>
        <v>5278</v>
      </c>
      <c r="G3662" s="18"/>
      <c r="H3662" s="18"/>
      <c r="I3662" s="19">
        <v>3660</v>
      </c>
      <c r="J3662" s="19" cm="1">
        <f t="array" aca="1" ref="J3662" ca="1">INDIRECT("b"&amp;K3662+2)</f>
        <v>0</v>
      </c>
      <c r="K3662" s="19">
        <f t="shared" si="727"/>
        <v>6478</v>
      </c>
    </row>
    <row r="3663" spans="1:11">
      <c r="A3663">
        <v>3661</v>
      </c>
      <c r="B3663">
        <v>5.2749999999999995E+113</v>
      </c>
      <c r="D3663" s="18">
        <v>3661</v>
      </c>
      <c r="E3663" s="18" cm="1">
        <f t="array" aca="1" ref="E3663" ca="1">INDIRECT("b"&amp;F3663+2)</f>
        <v>9.5500000000000004E+153</v>
      </c>
      <c r="F3663" s="18">
        <f t="shared" si="716"/>
        <v>5280</v>
      </c>
      <c r="G3663" s="18"/>
      <c r="H3663" s="18"/>
      <c r="I3663" s="19">
        <v>3661</v>
      </c>
      <c r="J3663" s="19" cm="1">
        <f t="array" aca="1" ref="J3663" ca="1">INDIRECT("b"&amp;K3663+2)</f>
        <v>0</v>
      </c>
      <c r="K3663" s="19">
        <f t="shared" si="727"/>
        <v>6480</v>
      </c>
    </row>
    <row r="3664" spans="1:11">
      <c r="A3664">
        <v>3662</v>
      </c>
      <c r="B3664">
        <v>5.4999999999999994E+113</v>
      </c>
      <c r="D3664" s="18">
        <v>3662</v>
      </c>
      <c r="E3664" s="18" cm="1">
        <f t="array" aca="1" ref="E3664" ca="1">INDIRECT("b"&amp;F3664+2)</f>
        <v>9.7749999999999996E+153</v>
      </c>
      <c r="F3664" s="18">
        <f t="shared" si="716"/>
        <v>5281</v>
      </c>
      <c r="G3664" s="18">
        <f t="shared" ref="G3664" ca="1" si="730">E3664/E3659</f>
        <v>1.1920731707317072</v>
      </c>
      <c r="H3664" s="18"/>
      <c r="I3664" s="19">
        <v>3662</v>
      </c>
      <c r="J3664" s="19" cm="1">
        <f t="array" aca="1" ref="J3664" ca="1">INDIRECT("b"&amp;K3664+2)</f>
        <v>0</v>
      </c>
      <c r="K3664" s="19">
        <f t="shared" si="727"/>
        <v>6481</v>
      </c>
    </row>
    <row r="3665" spans="1:11">
      <c r="A3665">
        <v>3663</v>
      </c>
      <c r="B3665">
        <v>5.725E+113</v>
      </c>
      <c r="D3665" s="18">
        <v>3663</v>
      </c>
      <c r="E3665" s="18" cm="1">
        <f t="array" aca="1" ref="E3665" ca="1">INDIRECT("b"&amp;F3665+2)</f>
        <v>9.9999999999999989E+153</v>
      </c>
      <c r="F3665" s="18">
        <f t="shared" si="716"/>
        <v>5282</v>
      </c>
      <c r="G3665" s="18"/>
      <c r="H3665" s="18"/>
      <c r="I3665" s="19">
        <v>3663</v>
      </c>
      <c r="J3665" s="19" cm="1">
        <f t="array" aca="1" ref="J3665" ca="1">INDIRECT("b"&amp;K3665+2)</f>
        <v>0</v>
      </c>
      <c r="K3665" s="19">
        <f t="shared" si="727"/>
        <v>6482</v>
      </c>
    </row>
    <row r="3666" spans="1:11">
      <c r="A3666">
        <v>3664</v>
      </c>
      <c r="B3666">
        <v>5.9499999999999998E+113</v>
      </c>
      <c r="D3666" s="18">
        <v>3664</v>
      </c>
      <c r="E3666" s="18" cm="1">
        <f t="array" aca="1" ref="E3666" ca="1">INDIRECT("b"&amp;F3666+2)</f>
        <v>1.4499999999999999E+154</v>
      </c>
      <c r="F3666" s="18">
        <f t="shared" si="716"/>
        <v>5284</v>
      </c>
      <c r="G3666" s="18">
        <f t="shared" ref="G3666" ca="1" si="731">E3666/E3661</f>
        <v>1.6338028169014085</v>
      </c>
      <c r="H3666" s="18"/>
      <c r="I3666" s="19">
        <v>3664</v>
      </c>
      <c r="J3666" s="19" cm="1">
        <f t="array" aca="1" ref="J3666" ca="1">INDIRECT("b"&amp;K3666+2)</f>
        <v>0</v>
      </c>
      <c r="K3666" s="19">
        <f t="shared" si="727"/>
        <v>6484</v>
      </c>
    </row>
    <row r="3667" spans="1:11">
      <c r="A3667">
        <v>3665</v>
      </c>
      <c r="B3667">
        <v>6.174999999999999E+113</v>
      </c>
      <c r="D3667" s="18">
        <v>3665</v>
      </c>
      <c r="E3667" s="18" cm="1">
        <f t="array" aca="1" ref="E3667" ca="1">INDIRECT("b"&amp;F3667+2)</f>
        <v>1.6749999999999998E+154</v>
      </c>
      <c r="F3667" s="18">
        <f t="shared" ref="F3667:F3730" si="732">INT((A3667-123)*1.333333)+563</f>
        <v>5285</v>
      </c>
      <c r="G3667" s="18"/>
      <c r="H3667" s="18"/>
      <c r="I3667" s="19">
        <v>3665</v>
      </c>
      <c r="J3667" s="19" cm="1">
        <f t="array" aca="1" ref="J3667" ca="1">INDIRECT("b"&amp;K3667+2)</f>
        <v>0</v>
      </c>
      <c r="K3667" s="19">
        <f t="shared" si="727"/>
        <v>6485</v>
      </c>
    </row>
    <row r="3668" spans="1:11">
      <c r="A3668">
        <v>3666</v>
      </c>
      <c r="B3668">
        <v>6.3999999999999996E+113</v>
      </c>
      <c r="D3668" s="18">
        <v>3666</v>
      </c>
      <c r="E3668" s="18" cm="1">
        <f t="array" aca="1" ref="E3668" ca="1">INDIRECT("b"&amp;F3668+2)</f>
        <v>1.8999999999999999E+154</v>
      </c>
      <c r="F3668" s="18">
        <f t="shared" si="732"/>
        <v>5286</v>
      </c>
      <c r="G3668" s="18"/>
      <c r="H3668" s="18"/>
      <c r="I3668" s="19">
        <v>3666</v>
      </c>
      <c r="J3668" s="19" cm="1">
        <f t="array" aca="1" ref="J3668" ca="1">INDIRECT("b"&amp;K3668+2)</f>
        <v>0</v>
      </c>
      <c r="K3668" s="19">
        <f t="shared" si="727"/>
        <v>6486</v>
      </c>
    </row>
    <row r="3669" spans="1:11">
      <c r="A3669">
        <v>3667</v>
      </c>
      <c r="B3669">
        <v>6.6250000000000001E+113</v>
      </c>
      <c r="D3669" s="18">
        <v>3667</v>
      </c>
      <c r="E3669" s="18" cm="1">
        <f t="array" aca="1" ref="E3669" ca="1">INDIRECT("b"&amp;F3669+2)</f>
        <v>2.3499999999999999E+154</v>
      </c>
      <c r="F3669" s="18">
        <f t="shared" si="732"/>
        <v>5288</v>
      </c>
      <c r="G3669" s="18"/>
      <c r="H3669" s="18"/>
      <c r="I3669" s="19">
        <v>3667</v>
      </c>
      <c r="J3669" s="19" cm="1">
        <f t="array" aca="1" ref="J3669" ca="1">INDIRECT("b"&amp;K3669+2)</f>
        <v>0</v>
      </c>
      <c r="K3669" s="19">
        <f t="shared" si="727"/>
        <v>6488</v>
      </c>
    </row>
    <row r="3670" spans="1:11">
      <c r="A3670">
        <v>3668</v>
      </c>
      <c r="B3670">
        <v>6.8499999999999993E+113</v>
      </c>
      <c r="D3670" s="18">
        <v>3668</v>
      </c>
      <c r="E3670" s="18" cm="1">
        <f t="array" aca="1" ref="E3670" ca="1">INDIRECT("b"&amp;F3670+2)</f>
        <v>2.5749999999999998E+154</v>
      </c>
      <c r="F3670" s="18">
        <f t="shared" si="732"/>
        <v>5289</v>
      </c>
      <c r="G3670" s="18"/>
      <c r="H3670" s="18"/>
      <c r="I3670" s="19">
        <v>3668</v>
      </c>
      <c r="J3670" s="19" cm="1">
        <f t="array" aca="1" ref="J3670" ca="1">INDIRECT("b"&amp;K3670+2)</f>
        <v>0</v>
      </c>
      <c r="K3670" s="19">
        <f t="shared" si="727"/>
        <v>6489</v>
      </c>
    </row>
    <row r="3671" spans="1:11">
      <c r="A3671">
        <v>3669</v>
      </c>
      <c r="B3671">
        <v>7.0749999999999998E+113</v>
      </c>
      <c r="D3671" s="18">
        <v>3669</v>
      </c>
      <c r="E3671" s="18" cm="1">
        <f t="array" aca="1" ref="E3671" ca="1">INDIRECT("b"&amp;F3671+2)</f>
        <v>2.7999999999999999E+154</v>
      </c>
      <c r="F3671" s="18">
        <f t="shared" si="732"/>
        <v>5290</v>
      </c>
      <c r="G3671" s="18">
        <f t="shared" ref="G3671" ca="1" si="733">E3671/E3666</f>
        <v>1.9310344827586208</v>
      </c>
      <c r="H3671" s="18"/>
      <c r="I3671" s="19">
        <v>3669</v>
      </c>
      <c r="J3671" s="19" cm="1">
        <f t="array" aca="1" ref="J3671" ca="1">INDIRECT("b"&amp;K3671+2)</f>
        <v>0</v>
      </c>
      <c r="K3671" s="19">
        <f t="shared" si="727"/>
        <v>6490</v>
      </c>
    </row>
    <row r="3672" spans="1:11">
      <c r="A3672">
        <v>3670</v>
      </c>
      <c r="B3672">
        <v>7.299999999999999E+113</v>
      </c>
      <c r="D3672" s="18">
        <v>3670</v>
      </c>
      <c r="E3672" s="18" cm="1">
        <f t="array" aca="1" ref="E3672" ca="1">INDIRECT("b"&amp;F3672+2)</f>
        <v>3.2499999999999996E+154</v>
      </c>
      <c r="F3672" s="18">
        <f t="shared" si="732"/>
        <v>5292</v>
      </c>
      <c r="G3672" s="18"/>
      <c r="H3672" s="18"/>
      <c r="I3672" s="19">
        <v>3670</v>
      </c>
      <c r="J3672" s="19" cm="1">
        <f t="array" aca="1" ref="J3672" ca="1">INDIRECT("b"&amp;K3672+2)</f>
        <v>0</v>
      </c>
      <c r="K3672" s="19">
        <f t="shared" si="727"/>
        <v>6492</v>
      </c>
    </row>
    <row r="3673" spans="1:11">
      <c r="A3673">
        <v>3671</v>
      </c>
      <c r="B3673">
        <v>7.5249999999999996E+113</v>
      </c>
      <c r="D3673" s="18">
        <v>3671</v>
      </c>
      <c r="E3673" s="18" cm="1">
        <f t="array" aca="1" ref="E3673" ca="1">INDIRECT("b"&amp;F3673+2)</f>
        <v>3.4749999999999998E+154</v>
      </c>
      <c r="F3673" s="18">
        <f t="shared" si="732"/>
        <v>5293</v>
      </c>
      <c r="G3673" s="18"/>
      <c r="H3673" s="18"/>
      <c r="I3673" s="19">
        <v>3671</v>
      </c>
      <c r="J3673" s="19" cm="1">
        <f t="array" aca="1" ref="J3673" ca="1">INDIRECT("b"&amp;K3673+2)</f>
        <v>0</v>
      </c>
      <c r="K3673" s="19">
        <f t="shared" si="727"/>
        <v>6493</v>
      </c>
    </row>
    <row r="3674" spans="1:11">
      <c r="A3674">
        <v>3672</v>
      </c>
      <c r="B3674">
        <v>7.7500000000000001E+113</v>
      </c>
      <c r="D3674" s="18">
        <v>3672</v>
      </c>
      <c r="E3674" s="18" cm="1">
        <f t="array" aca="1" ref="E3674" ca="1">INDIRECT("b"&amp;F3674+2)</f>
        <v>3.6999999999999999E+154</v>
      </c>
      <c r="F3674" s="18">
        <f t="shared" si="732"/>
        <v>5294</v>
      </c>
      <c r="G3674" s="18"/>
      <c r="H3674" s="18"/>
      <c r="I3674" s="19">
        <v>3672</v>
      </c>
      <c r="J3674" s="19" cm="1">
        <f t="array" aca="1" ref="J3674" ca="1">INDIRECT("b"&amp;K3674+2)</f>
        <v>0</v>
      </c>
      <c r="K3674" s="19">
        <f t="shared" si="727"/>
        <v>6494</v>
      </c>
    </row>
    <row r="3675" spans="1:11">
      <c r="A3675">
        <v>3673</v>
      </c>
      <c r="B3675">
        <v>7.9749999999999993E+113</v>
      </c>
      <c r="D3675" s="18">
        <v>3673</v>
      </c>
      <c r="E3675" s="18" cm="1">
        <f t="array" aca="1" ref="E3675" ca="1">INDIRECT("b"&amp;F3675+2)</f>
        <v>4.1499999999999997E+154</v>
      </c>
      <c r="F3675" s="18">
        <f t="shared" si="732"/>
        <v>5296</v>
      </c>
      <c r="G3675" s="18"/>
      <c r="H3675" s="18"/>
      <c r="I3675" s="19">
        <v>3673</v>
      </c>
      <c r="J3675" s="19" cm="1">
        <f t="array" aca="1" ref="J3675" ca="1">INDIRECT("b"&amp;K3675+2)</f>
        <v>0</v>
      </c>
      <c r="K3675" s="19">
        <f t="shared" si="727"/>
        <v>6496</v>
      </c>
    </row>
    <row r="3676" spans="1:11">
      <c r="A3676">
        <v>3674</v>
      </c>
      <c r="B3676">
        <v>8.1999999999999999E+113</v>
      </c>
      <c r="D3676" s="18">
        <v>3674</v>
      </c>
      <c r="E3676" s="18" cm="1">
        <f t="array" aca="1" ref="E3676" ca="1">INDIRECT("b"&amp;F3676+2)</f>
        <v>4.3749999999999998E+154</v>
      </c>
      <c r="F3676" s="18">
        <f t="shared" si="732"/>
        <v>5297</v>
      </c>
      <c r="G3676" s="18">
        <f t="shared" ref="G3676" ca="1" si="734">E3676/E3671</f>
        <v>1.5625</v>
      </c>
      <c r="H3676" s="18"/>
      <c r="I3676" s="19">
        <v>3674</v>
      </c>
      <c r="J3676" s="19" cm="1">
        <f t="array" aca="1" ref="J3676" ca="1">INDIRECT("b"&amp;K3676+2)</f>
        <v>0</v>
      </c>
      <c r="K3676" s="19">
        <f t="shared" si="727"/>
        <v>6497</v>
      </c>
    </row>
    <row r="3677" spans="1:11">
      <c r="A3677">
        <v>3675</v>
      </c>
      <c r="B3677">
        <v>8.424999999999999E+113</v>
      </c>
      <c r="D3677" s="18">
        <v>3675</v>
      </c>
      <c r="E3677" s="18" cm="1">
        <f t="array" aca="1" ref="E3677" ca="1">INDIRECT("b"&amp;F3677+2)</f>
        <v>4.6E+154</v>
      </c>
      <c r="F3677" s="18">
        <f t="shared" si="732"/>
        <v>5298</v>
      </c>
      <c r="G3677" s="18"/>
      <c r="H3677" s="18"/>
      <c r="I3677" s="19">
        <v>3675</v>
      </c>
      <c r="J3677" s="19" cm="1">
        <f t="array" aca="1" ref="J3677" ca="1">INDIRECT("b"&amp;K3677+2)</f>
        <v>0</v>
      </c>
      <c r="K3677" s="19">
        <f t="shared" si="727"/>
        <v>6498</v>
      </c>
    </row>
    <row r="3678" spans="1:11">
      <c r="A3678">
        <v>3676</v>
      </c>
      <c r="B3678">
        <v>8.6499999999999996E+113</v>
      </c>
      <c r="D3678" s="18">
        <v>3676</v>
      </c>
      <c r="E3678" s="18" cm="1">
        <f t="array" aca="1" ref="E3678" ca="1">INDIRECT("b"&amp;F3678+2)</f>
        <v>5.0499999999999997E+154</v>
      </c>
      <c r="F3678" s="18">
        <f t="shared" si="732"/>
        <v>5300</v>
      </c>
      <c r="G3678" s="18"/>
      <c r="H3678" s="18"/>
      <c r="I3678" s="19">
        <v>3676</v>
      </c>
      <c r="J3678" s="19" cm="1">
        <f t="array" aca="1" ref="J3678" ca="1">INDIRECT("b"&amp;K3678+2)</f>
        <v>0</v>
      </c>
      <c r="K3678" s="19">
        <f t="shared" si="727"/>
        <v>6500</v>
      </c>
    </row>
    <row r="3679" spans="1:11">
      <c r="A3679">
        <v>3677</v>
      </c>
      <c r="B3679">
        <v>8.8749999999999988E+113</v>
      </c>
      <c r="D3679" s="18">
        <v>3677</v>
      </c>
      <c r="E3679" s="18" cm="1">
        <f t="array" aca="1" ref="E3679" ca="1">INDIRECT("b"&amp;F3679+2)</f>
        <v>5.2749999999999998E+154</v>
      </c>
      <c r="F3679" s="18">
        <f t="shared" si="732"/>
        <v>5301</v>
      </c>
      <c r="G3679" s="18"/>
      <c r="H3679" s="18"/>
      <c r="I3679" s="19">
        <v>3677</v>
      </c>
      <c r="J3679" s="19" cm="1">
        <f t="array" aca="1" ref="J3679" ca="1">INDIRECT("b"&amp;K3679+2)</f>
        <v>0</v>
      </c>
      <c r="K3679" s="19">
        <f t="shared" si="727"/>
        <v>6501</v>
      </c>
    </row>
    <row r="3680" spans="1:11">
      <c r="A3680">
        <v>3678</v>
      </c>
      <c r="B3680">
        <v>9.0999999999999993E+113</v>
      </c>
      <c r="D3680" s="18">
        <v>3678</v>
      </c>
      <c r="E3680" s="18" cm="1">
        <f t="array" aca="1" ref="E3680" ca="1">INDIRECT("b"&amp;F3680+2)</f>
        <v>5.4999999999999994E+154</v>
      </c>
      <c r="F3680" s="18">
        <f t="shared" si="732"/>
        <v>5302</v>
      </c>
      <c r="G3680" s="18"/>
      <c r="H3680" s="18"/>
      <c r="I3680" s="19">
        <v>3678</v>
      </c>
      <c r="J3680" s="19" cm="1">
        <f t="array" aca="1" ref="J3680" ca="1">INDIRECT("b"&amp;K3680+2)</f>
        <v>0</v>
      </c>
      <c r="K3680" s="19">
        <f t="shared" si="727"/>
        <v>6502</v>
      </c>
    </row>
    <row r="3681" spans="1:11">
      <c r="A3681">
        <v>3679</v>
      </c>
      <c r="B3681">
        <v>9.3249999999999999E+113</v>
      </c>
      <c r="D3681" s="18">
        <v>3679</v>
      </c>
      <c r="E3681" s="18" cm="1">
        <f t="array" aca="1" ref="E3681" ca="1">INDIRECT("b"&amp;F3681+2)</f>
        <v>5.9499999999999997E+154</v>
      </c>
      <c r="F3681" s="18">
        <f t="shared" si="732"/>
        <v>5304</v>
      </c>
      <c r="G3681" s="18">
        <f t="shared" ref="G3681" ca="1" si="735">E3681/E3676</f>
        <v>1.36</v>
      </c>
      <c r="H3681" s="18"/>
      <c r="I3681" s="19">
        <v>3679</v>
      </c>
      <c r="J3681" s="19" cm="1">
        <f t="array" aca="1" ref="J3681" ca="1">INDIRECT("b"&amp;K3681+2)</f>
        <v>0</v>
      </c>
      <c r="K3681" s="19">
        <f t="shared" si="727"/>
        <v>6504</v>
      </c>
    </row>
    <row r="3682" spans="1:11">
      <c r="A3682">
        <v>3680</v>
      </c>
      <c r="B3682">
        <v>9.5499999999999991E+113</v>
      </c>
      <c r="D3682" s="18">
        <v>3680</v>
      </c>
      <c r="E3682" s="18" cm="1">
        <f t="array" aca="1" ref="E3682" ca="1">INDIRECT("b"&amp;F3682+2)</f>
        <v>6.1749999999999992E+154</v>
      </c>
      <c r="F3682" s="18">
        <f t="shared" si="732"/>
        <v>5305</v>
      </c>
      <c r="G3682" s="18"/>
      <c r="H3682" s="18"/>
      <c r="I3682" s="19">
        <v>3680</v>
      </c>
      <c r="J3682" s="19" cm="1">
        <f t="array" aca="1" ref="J3682" ca="1">INDIRECT("b"&amp;K3682+2)</f>
        <v>0</v>
      </c>
      <c r="K3682" s="19">
        <f t="shared" si="727"/>
        <v>6505</v>
      </c>
    </row>
    <row r="3683" spans="1:11">
      <c r="A3683">
        <v>3681</v>
      </c>
      <c r="B3683">
        <v>9.7749999999999996E+113</v>
      </c>
      <c r="D3683" s="18">
        <v>3681</v>
      </c>
      <c r="E3683" s="18" cm="1">
        <f t="array" aca="1" ref="E3683" ca="1">INDIRECT("b"&amp;F3683+2)</f>
        <v>6.4E+154</v>
      </c>
      <c r="F3683" s="18">
        <f t="shared" si="732"/>
        <v>5306</v>
      </c>
      <c r="G3683" s="18"/>
      <c r="H3683" s="18"/>
      <c r="I3683" s="19">
        <v>3681</v>
      </c>
      <c r="J3683" s="19" cm="1">
        <f t="array" aca="1" ref="J3683" ca="1">INDIRECT("b"&amp;K3683+2)</f>
        <v>0</v>
      </c>
      <c r="K3683" s="19">
        <f t="shared" si="727"/>
        <v>6506</v>
      </c>
    </row>
    <row r="3684" spans="1:11">
      <c r="A3684">
        <v>3682</v>
      </c>
      <c r="B3684">
        <v>1.0000000000000002E+114</v>
      </c>
      <c r="D3684" s="18">
        <v>3682</v>
      </c>
      <c r="E3684" s="18" cm="1">
        <f t="array" aca="1" ref="E3684" ca="1">INDIRECT("b"&amp;F3684+2)</f>
        <v>6.8499999999999991E+154</v>
      </c>
      <c r="F3684" s="18">
        <f t="shared" si="732"/>
        <v>5308</v>
      </c>
      <c r="G3684" s="18"/>
      <c r="H3684" s="18"/>
      <c r="I3684" s="19">
        <v>3682</v>
      </c>
      <c r="J3684" s="19" cm="1">
        <f t="array" aca="1" ref="J3684" ca="1">INDIRECT("b"&amp;K3684+2)</f>
        <v>0</v>
      </c>
      <c r="K3684" s="19">
        <f t="shared" si="727"/>
        <v>6508</v>
      </c>
    </row>
    <row r="3685" spans="1:11">
      <c r="A3685">
        <v>3683</v>
      </c>
      <c r="B3685">
        <v>1.2250000000000002E+114</v>
      </c>
      <c r="D3685" s="18">
        <v>3683</v>
      </c>
      <c r="E3685" s="18" cm="1">
        <f t="array" aca="1" ref="E3685" ca="1">INDIRECT("b"&amp;F3685+2)</f>
        <v>7.0749999999999999E+154</v>
      </c>
      <c r="F3685" s="18">
        <f t="shared" si="732"/>
        <v>5309</v>
      </c>
      <c r="G3685" s="18"/>
      <c r="H3685" s="18"/>
      <c r="I3685" s="19">
        <v>3683</v>
      </c>
      <c r="J3685" s="19" cm="1">
        <f t="array" aca="1" ref="J3685" ca="1">INDIRECT("b"&amp;K3685+2)</f>
        <v>0</v>
      </c>
      <c r="K3685" s="19">
        <f t="shared" si="727"/>
        <v>6509</v>
      </c>
    </row>
    <row r="3686" spans="1:11">
      <c r="A3686">
        <v>3684</v>
      </c>
      <c r="B3686">
        <v>1.45E+114</v>
      </c>
      <c r="D3686" s="18">
        <v>3684</v>
      </c>
      <c r="E3686" s="18" cm="1">
        <f t="array" aca="1" ref="E3686" ca="1">INDIRECT("b"&amp;F3686+2)</f>
        <v>7.2999999999999994E+154</v>
      </c>
      <c r="F3686" s="18">
        <f t="shared" si="732"/>
        <v>5310</v>
      </c>
      <c r="G3686" s="18">
        <f t="shared" ref="G3686" ca="1" si="736">E3686/E3681</f>
        <v>1.2268907563025209</v>
      </c>
      <c r="H3686" s="18"/>
      <c r="I3686" s="19">
        <v>3684</v>
      </c>
      <c r="J3686" s="19" cm="1">
        <f t="array" aca="1" ref="J3686" ca="1">INDIRECT("b"&amp;K3686+2)</f>
        <v>0</v>
      </c>
      <c r="K3686" s="19">
        <f t="shared" si="727"/>
        <v>6510</v>
      </c>
    </row>
    <row r="3687" spans="1:11">
      <c r="A3687">
        <v>3685</v>
      </c>
      <c r="B3687">
        <v>1.675E+114</v>
      </c>
      <c r="D3687" s="18">
        <v>3685</v>
      </c>
      <c r="E3687" s="18" cm="1">
        <f t="array" aca="1" ref="E3687" ca="1">INDIRECT("b"&amp;F3687+2)</f>
        <v>7.7499999999999997E+154</v>
      </c>
      <c r="F3687" s="18">
        <f t="shared" si="732"/>
        <v>5312</v>
      </c>
      <c r="G3687" s="18"/>
      <c r="H3687" s="18"/>
      <c r="I3687" s="19">
        <v>3685</v>
      </c>
      <c r="J3687" s="19" cm="1">
        <f t="array" aca="1" ref="J3687" ca="1">INDIRECT("b"&amp;K3687+2)</f>
        <v>0</v>
      </c>
      <c r="K3687" s="19">
        <f t="shared" si="727"/>
        <v>6512</v>
      </c>
    </row>
    <row r="3688" spans="1:11">
      <c r="A3688">
        <v>3686</v>
      </c>
      <c r="B3688">
        <v>1.9000000000000003E+114</v>
      </c>
      <c r="D3688" s="18">
        <v>3686</v>
      </c>
      <c r="E3688" s="18" cm="1">
        <f t="array" aca="1" ref="E3688" ca="1">INDIRECT("b"&amp;F3688+2)</f>
        <v>7.9749999999999993E+154</v>
      </c>
      <c r="F3688" s="18">
        <f t="shared" si="732"/>
        <v>5313</v>
      </c>
      <c r="G3688" s="18"/>
      <c r="H3688" s="18"/>
      <c r="I3688" s="19">
        <v>3686</v>
      </c>
      <c r="J3688" s="19" cm="1">
        <f t="array" aca="1" ref="J3688" ca="1">INDIRECT("b"&amp;K3688+2)</f>
        <v>0</v>
      </c>
      <c r="K3688" s="19">
        <f t="shared" si="727"/>
        <v>6513</v>
      </c>
    </row>
    <row r="3689" spans="1:11">
      <c r="A3689">
        <v>3687</v>
      </c>
      <c r="B3689">
        <v>2.1250000000000003E+114</v>
      </c>
      <c r="D3689" s="18">
        <v>3687</v>
      </c>
      <c r="E3689" s="18" cm="1">
        <f t="array" aca="1" ref="E3689" ca="1">INDIRECT("b"&amp;F3689+2)</f>
        <v>8.2E+154</v>
      </c>
      <c r="F3689" s="18">
        <f t="shared" si="732"/>
        <v>5314</v>
      </c>
      <c r="G3689" s="18"/>
      <c r="H3689" s="18"/>
      <c r="I3689" s="19">
        <v>3687</v>
      </c>
      <c r="J3689" s="19" cm="1">
        <f t="array" aca="1" ref="J3689" ca="1">INDIRECT("b"&amp;K3689+2)</f>
        <v>0</v>
      </c>
      <c r="K3689" s="19">
        <f t="shared" si="727"/>
        <v>6514</v>
      </c>
    </row>
    <row r="3690" spans="1:11">
      <c r="A3690">
        <v>3688</v>
      </c>
      <c r="B3690">
        <v>2.3500000000000003E+114</v>
      </c>
      <c r="D3690" s="18">
        <v>3688</v>
      </c>
      <c r="E3690" s="18" cm="1">
        <f t="array" aca="1" ref="E3690" ca="1">INDIRECT("b"&amp;F3690+2)</f>
        <v>8.6499999999999992E+154</v>
      </c>
      <c r="F3690" s="18">
        <f t="shared" si="732"/>
        <v>5316</v>
      </c>
      <c r="G3690" s="18"/>
      <c r="H3690" s="18"/>
      <c r="I3690" s="19">
        <v>3688</v>
      </c>
      <c r="J3690" s="19" cm="1">
        <f t="array" aca="1" ref="J3690" ca="1">INDIRECT("b"&amp;K3690+2)</f>
        <v>0</v>
      </c>
      <c r="K3690" s="19">
        <f t="shared" si="727"/>
        <v>6516</v>
      </c>
    </row>
    <row r="3691" spans="1:11">
      <c r="A3691">
        <v>3689</v>
      </c>
      <c r="B3691">
        <v>2.575E+114</v>
      </c>
      <c r="D3691" s="18">
        <v>3689</v>
      </c>
      <c r="E3691" s="18" cm="1">
        <f t="array" aca="1" ref="E3691" ca="1">INDIRECT("b"&amp;F3691+2)</f>
        <v>8.8749999999999999E+154</v>
      </c>
      <c r="F3691" s="18">
        <f t="shared" si="732"/>
        <v>5317</v>
      </c>
      <c r="G3691" s="18">
        <f t="shared" ref="G3691" ca="1" si="737">E3691/E3686</f>
        <v>1.2157534246575343</v>
      </c>
      <c r="H3691" s="18"/>
      <c r="I3691" s="19">
        <v>3689</v>
      </c>
      <c r="J3691" s="19" cm="1">
        <f t="array" aca="1" ref="J3691" ca="1">INDIRECT("b"&amp;K3691+2)</f>
        <v>0</v>
      </c>
      <c r="K3691" s="19">
        <f t="shared" si="727"/>
        <v>6517</v>
      </c>
    </row>
    <row r="3692" spans="1:11">
      <c r="A3692">
        <v>3690</v>
      </c>
      <c r="B3692">
        <v>2.8E+114</v>
      </c>
      <c r="D3692" s="18">
        <v>3690</v>
      </c>
      <c r="E3692" s="18" cm="1">
        <f t="array" aca="1" ref="E3692" ca="1">INDIRECT("b"&amp;F3692+2)</f>
        <v>9.0999999999999995E+154</v>
      </c>
      <c r="F3692" s="18">
        <f t="shared" si="732"/>
        <v>5318</v>
      </c>
      <c r="G3692" s="18"/>
      <c r="H3692" s="18"/>
      <c r="I3692" s="19">
        <v>3690</v>
      </c>
      <c r="J3692" s="19" cm="1">
        <f t="array" aca="1" ref="J3692" ca="1">INDIRECT("b"&amp;K3692+2)</f>
        <v>0</v>
      </c>
      <c r="K3692" s="19">
        <f t="shared" si="727"/>
        <v>6518</v>
      </c>
    </row>
    <row r="3693" spans="1:11">
      <c r="A3693">
        <v>3691</v>
      </c>
      <c r="B3693">
        <v>3.025E+114</v>
      </c>
      <c r="D3693" s="18">
        <v>3691</v>
      </c>
      <c r="E3693" s="18" cm="1">
        <f t="array" aca="1" ref="E3693" ca="1">INDIRECT("b"&amp;F3693+2)</f>
        <v>9.5499999999999998E+154</v>
      </c>
      <c r="F3693" s="18">
        <f t="shared" si="732"/>
        <v>5320</v>
      </c>
      <c r="G3693" s="18"/>
      <c r="H3693" s="18"/>
      <c r="I3693" s="19">
        <v>3691</v>
      </c>
      <c r="J3693" s="19" cm="1">
        <f t="array" aca="1" ref="J3693" ca="1">INDIRECT("b"&amp;K3693+2)</f>
        <v>0</v>
      </c>
      <c r="K3693" s="19">
        <f t="shared" si="727"/>
        <v>6520</v>
      </c>
    </row>
    <row r="3694" spans="1:11">
      <c r="A3694">
        <v>3692</v>
      </c>
      <c r="B3694">
        <v>3.2500000000000001E+114</v>
      </c>
      <c r="D3694" s="18">
        <v>3692</v>
      </c>
      <c r="E3694" s="18" cm="1">
        <f t="array" aca="1" ref="E3694" ca="1">INDIRECT("b"&amp;F3694+2)</f>
        <v>9.7749999999999993E+154</v>
      </c>
      <c r="F3694" s="18">
        <f t="shared" si="732"/>
        <v>5321</v>
      </c>
      <c r="G3694" s="18"/>
      <c r="H3694" s="18"/>
      <c r="I3694" s="19">
        <v>3692</v>
      </c>
      <c r="J3694" s="19" cm="1">
        <f t="array" aca="1" ref="J3694" ca="1">INDIRECT("b"&amp;K3694+2)</f>
        <v>0</v>
      </c>
      <c r="K3694" s="19">
        <f t="shared" si="727"/>
        <v>6521</v>
      </c>
    </row>
    <row r="3695" spans="1:11">
      <c r="A3695">
        <v>3693</v>
      </c>
      <c r="B3695">
        <v>3.4750000000000001E+114</v>
      </c>
      <c r="D3695" s="18">
        <v>3693</v>
      </c>
      <c r="E3695" s="18" cm="1">
        <f t="array" aca="1" ref="E3695" ca="1">INDIRECT("b"&amp;F3695+2)</f>
        <v>1E+155</v>
      </c>
      <c r="F3695" s="18">
        <f t="shared" si="732"/>
        <v>5322</v>
      </c>
      <c r="G3695" s="18"/>
      <c r="H3695" s="18"/>
      <c r="I3695" s="19">
        <v>3693</v>
      </c>
      <c r="J3695" s="19" cm="1">
        <f t="array" aca="1" ref="J3695" ca="1">INDIRECT("b"&amp;K3695+2)</f>
        <v>0</v>
      </c>
      <c r="K3695" s="19">
        <f t="shared" si="727"/>
        <v>6522</v>
      </c>
    </row>
    <row r="3696" spans="1:11">
      <c r="A3696">
        <v>3694</v>
      </c>
      <c r="B3696">
        <v>3.7000000000000006E+114</v>
      </c>
      <c r="D3696" s="18">
        <v>3694</v>
      </c>
      <c r="E3696" s="18" cm="1">
        <f t="array" aca="1" ref="E3696" ca="1">INDIRECT("b"&amp;F3696+2)</f>
        <v>1.45E+155</v>
      </c>
      <c r="F3696" s="18">
        <f t="shared" si="732"/>
        <v>5324</v>
      </c>
      <c r="G3696" s="18">
        <f t="shared" ref="G3696" ca="1" si="738">E3696/E3691</f>
        <v>1.6338028169014085</v>
      </c>
      <c r="H3696" s="18"/>
      <c r="I3696" s="19">
        <v>3694</v>
      </c>
      <c r="J3696" s="19" cm="1">
        <f t="array" aca="1" ref="J3696" ca="1">INDIRECT("b"&amp;K3696+2)</f>
        <v>0</v>
      </c>
      <c r="K3696" s="19">
        <f t="shared" si="727"/>
        <v>6524</v>
      </c>
    </row>
    <row r="3697" spans="1:11">
      <c r="A3697">
        <v>3695</v>
      </c>
      <c r="B3697">
        <v>3.9250000000000006E+114</v>
      </c>
      <c r="D3697" s="18">
        <v>3695</v>
      </c>
      <c r="E3697" s="18" cm="1">
        <f t="array" aca="1" ref="E3697" ca="1">INDIRECT("b"&amp;F3697+2)</f>
        <v>1.675E+155</v>
      </c>
      <c r="F3697" s="18">
        <f t="shared" si="732"/>
        <v>5325</v>
      </c>
      <c r="G3697" s="18"/>
      <c r="H3697" s="18"/>
      <c r="I3697" s="19">
        <v>3695</v>
      </c>
      <c r="J3697" s="19" cm="1">
        <f t="array" aca="1" ref="J3697" ca="1">INDIRECT("b"&amp;K3697+2)</f>
        <v>0</v>
      </c>
      <c r="K3697" s="19">
        <f t="shared" si="727"/>
        <v>6525</v>
      </c>
    </row>
    <row r="3698" spans="1:11">
      <c r="A3698">
        <v>3696</v>
      </c>
      <c r="B3698">
        <v>4.1500000000000006E+114</v>
      </c>
      <c r="D3698" s="18">
        <v>3696</v>
      </c>
      <c r="E3698" s="18" cm="1">
        <f t="array" aca="1" ref="E3698" ca="1">INDIRECT("b"&amp;F3698+2)</f>
        <v>1.9E+155</v>
      </c>
      <c r="F3698" s="18">
        <f t="shared" si="732"/>
        <v>5326</v>
      </c>
      <c r="G3698" s="18"/>
      <c r="H3698" s="18"/>
      <c r="I3698" s="19">
        <v>3696</v>
      </c>
      <c r="J3698" s="19" cm="1">
        <f t="array" aca="1" ref="J3698" ca="1">INDIRECT("b"&amp;K3698+2)</f>
        <v>0</v>
      </c>
      <c r="K3698" s="19">
        <f t="shared" si="727"/>
        <v>6526</v>
      </c>
    </row>
    <row r="3699" spans="1:11">
      <c r="A3699">
        <v>3697</v>
      </c>
      <c r="B3699">
        <v>4.3750000000000006E+114</v>
      </c>
      <c r="D3699" s="18">
        <v>3697</v>
      </c>
      <c r="E3699" s="18" cm="1">
        <f t="array" aca="1" ref="E3699" ca="1">INDIRECT("b"&amp;F3699+2)</f>
        <v>2.3500000000000001E+155</v>
      </c>
      <c r="F3699" s="18">
        <f t="shared" si="732"/>
        <v>5328</v>
      </c>
      <c r="G3699" s="18"/>
      <c r="H3699" s="18"/>
      <c r="I3699" s="19">
        <v>3697</v>
      </c>
      <c r="J3699" s="19" cm="1">
        <f t="array" aca="1" ref="J3699" ca="1">INDIRECT("b"&amp;K3699+2)</f>
        <v>0</v>
      </c>
      <c r="K3699" s="19">
        <f t="shared" si="727"/>
        <v>6528</v>
      </c>
    </row>
    <row r="3700" spans="1:11">
      <c r="A3700">
        <v>3698</v>
      </c>
      <c r="B3700">
        <v>4.6000000000000006E+114</v>
      </c>
      <c r="D3700" s="18">
        <v>3698</v>
      </c>
      <c r="E3700" s="18" cm="1">
        <f t="array" aca="1" ref="E3700" ca="1">INDIRECT("b"&amp;F3700+2)</f>
        <v>2.5750000000000001E+155</v>
      </c>
      <c r="F3700" s="18">
        <f t="shared" si="732"/>
        <v>5329</v>
      </c>
      <c r="G3700" s="18"/>
      <c r="H3700" s="18"/>
      <c r="I3700" s="19">
        <v>3698</v>
      </c>
      <c r="J3700" s="19" cm="1">
        <f t="array" aca="1" ref="J3700" ca="1">INDIRECT("b"&amp;K3700+2)</f>
        <v>0</v>
      </c>
      <c r="K3700" s="19">
        <f t="shared" si="727"/>
        <v>6529</v>
      </c>
    </row>
    <row r="3701" spans="1:11">
      <c r="A3701">
        <v>3699</v>
      </c>
      <c r="B3701">
        <v>4.8250000000000006E+114</v>
      </c>
      <c r="D3701" s="18">
        <v>3699</v>
      </c>
      <c r="E3701" s="18" cm="1">
        <f t="array" aca="1" ref="E3701" ca="1">INDIRECT("b"&amp;F3701+2)</f>
        <v>2.8000000000000002E+155</v>
      </c>
      <c r="F3701" s="18">
        <f t="shared" si="732"/>
        <v>5330</v>
      </c>
      <c r="G3701" s="18">
        <f t="shared" ref="G3701" ca="1" si="739">E3701/E3696</f>
        <v>1.9310344827586208</v>
      </c>
      <c r="H3701" s="18"/>
      <c r="I3701" s="19">
        <v>3699</v>
      </c>
      <c r="J3701" s="19" cm="1">
        <f t="array" aca="1" ref="J3701" ca="1">INDIRECT("b"&amp;K3701+2)</f>
        <v>0</v>
      </c>
      <c r="K3701" s="19">
        <f t="shared" si="727"/>
        <v>6530</v>
      </c>
    </row>
    <row r="3702" spans="1:11">
      <c r="A3702">
        <v>3700</v>
      </c>
      <c r="B3702">
        <v>5.0500000000000001E+114</v>
      </c>
      <c r="D3702" s="18">
        <v>3700</v>
      </c>
      <c r="E3702" s="18" cm="1">
        <f t="array" aca="1" ref="E3702" ca="1">INDIRECT("b"&amp;F3702+2)</f>
        <v>3.2499999999999998E+155</v>
      </c>
      <c r="F3702" s="18">
        <f t="shared" si="732"/>
        <v>5332</v>
      </c>
      <c r="G3702" s="18"/>
      <c r="H3702" s="18"/>
      <c r="I3702" s="19">
        <v>3700</v>
      </c>
      <c r="J3702" s="19" cm="1">
        <f t="array" aca="1" ref="J3702" ca="1">INDIRECT("b"&amp;K3702+2)</f>
        <v>0</v>
      </c>
      <c r="K3702" s="19">
        <f t="shared" si="727"/>
        <v>6532</v>
      </c>
    </row>
    <row r="3703" spans="1:11">
      <c r="A3703">
        <v>3701</v>
      </c>
      <c r="B3703">
        <v>5.2750000000000006E+114</v>
      </c>
      <c r="D3703" s="18">
        <v>3701</v>
      </c>
      <c r="E3703" s="18" cm="1">
        <f t="array" aca="1" ref="E3703" ca="1">INDIRECT("b"&amp;F3703+2)</f>
        <v>3.4749999999999998E+155</v>
      </c>
      <c r="F3703" s="18">
        <f t="shared" si="732"/>
        <v>5333</v>
      </c>
      <c r="G3703" s="18"/>
      <c r="H3703" s="18"/>
      <c r="I3703" s="19">
        <v>3701</v>
      </c>
      <c r="J3703" s="19" cm="1">
        <f t="array" aca="1" ref="J3703" ca="1">INDIRECT("b"&amp;K3703+2)</f>
        <v>0</v>
      </c>
      <c r="K3703" s="19">
        <f t="shared" si="727"/>
        <v>6533</v>
      </c>
    </row>
    <row r="3704" spans="1:11">
      <c r="A3704">
        <v>3702</v>
      </c>
      <c r="B3704">
        <v>5.5000000000000001E+114</v>
      </c>
      <c r="D3704" s="18">
        <v>3702</v>
      </c>
      <c r="E3704" s="18" cm="1">
        <f t="array" aca="1" ref="E3704" ca="1">INDIRECT("b"&amp;F3704+2)</f>
        <v>3.6999999999999998E+155</v>
      </c>
      <c r="F3704" s="18">
        <f t="shared" si="732"/>
        <v>5334</v>
      </c>
      <c r="G3704" s="18"/>
      <c r="H3704" s="18"/>
      <c r="I3704" s="19">
        <v>3702</v>
      </c>
      <c r="J3704" s="19" cm="1">
        <f t="array" aca="1" ref="J3704" ca="1">INDIRECT("b"&amp;K3704+2)</f>
        <v>0</v>
      </c>
      <c r="K3704" s="19">
        <f t="shared" si="727"/>
        <v>6534</v>
      </c>
    </row>
    <row r="3705" spans="1:11">
      <c r="A3705">
        <v>3703</v>
      </c>
      <c r="B3705">
        <v>5.7250000000000006E+114</v>
      </c>
      <c r="D3705" s="18">
        <v>3703</v>
      </c>
      <c r="E3705" s="18" cm="1">
        <f t="array" aca="1" ref="E3705" ca="1">INDIRECT("b"&amp;F3705+2)</f>
        <v>4.1499999999999999E+155</v>
      </c>
      <c r="F3705" s="18">
        <f t="shared" si="732"/>
        <v>5336</v>
      </c>
      <c r="G3705" s="18"/>
      <c r="H3705" s="18"/>
      <c r="I3705" s="19">
        <v>3703</v>
      </c>
      <c r="J3705" s="19" cm="1">
        <f t="array" aca="1" ref="J3705" ca="1">INDIRECT("b"&amp;K3705+2)</f>
        <v>0</v>
      </c>
      <c r="K3705" s="19">
        <f t="shared" si="727"/>
        <v>6536</v>
      </c>
    </row>
    <row r="3706" spans="1:11">
      <c r="A3706">
        <v>3704</v>
      </c>
      <c r="B3706">
        <v>5.9500000000000001E+114</v>
      </c>
      <c r="D3706" s="18">
        <v>3704</v>
      </c>
      <c r="E3706" s="18" cm="1">
        <f t="array" aca="1" ref="E3706" ca="1">INDIRECT("b"&amp;F3706+2)</f>
        <v>4.3749999999999995E+155</v>
      </c>
      <c r="F3706" s="18">
        <f t="shared" si="732"/>
        <v>5337</v>
      </c>
      <c r="G3706" s="18">
        <f t="shared" ref="G3706" ca="1" si="740">E3706/E3701</f>
        <v>1.5624999999999998</v>
      </c>
      <c r="H3706" s="18"/>
      <c r="I3706" s="19">
        <v>3704</v>
      </c>
      <c r="J3706" s="19" cm="1">
        <f t="array" aca="1" ref="J3706" ca="1">INDIRECT("b"&amp;K3706+2)</f>
        <v>0</v>
      </c>
      <c r="K3706" s="19">
        <f t="shared" si="727"/>
        <v>6537</v>
      </c>
    </row>
    <row r="3707" spans="1:11">
      <c r="A3707">
        <v>3705</v>
      </c>
      <c r="B3707">
        <v>6.1750000000000006E+114</v>
      </c>
      <c r="D3707" s="18">
        <v>3705</v>
      </c>
      <c r="E3707" s="18" cm="1">
        <f t="array" aca="1" ref="E3707" ca="1">INDIRECT("b"&amp;F3707+2)</f>
        <v>4.6E+155</v>
      </c>
      <c r="F3707" s="18">
        <f t="shared" si="732"/>
        <v>5338</v>
      </c>
      <c r="G3707" s="18"/>
      <c r="H3707" s="18"/>
      <c r="I3707" s="19">
        <v>3705</v>
      </c>
      <c r="J3707" s="19" cm="1">
        <f t="array" aca="1" ref="J3707" ca="1">INDIRECT("b"&amp;K3707+2)</f>
        <v>0</v>
      </c>
      <c r="K3707" s="19">
        <f t="shared" si="727"/>
        <v>6538</v>
      </c>
    </row>
    <row r="3708" spans="1:11">
      <c r="A3708">
        <v>3706</v>
      </c>
      <c r="B3708">
        <v>6.4000000000000001E+114</v>
      </c>
      <c r="D3708" s="18">
        <v>3706</v>
      </c>
      <c r="E3708" s="18" cm="1">
        <f t="array" aca="1" ref="E3708" ca="1">INDIRECT("b"&amp;F3708+2)</f>
        <v>5.05E+155</v>
      </c>
      <c r="F3708" s="18">
        <f t="shared" si="732"/>
        <v>5340</v>
      </c>
      <c r="G3708" s="18"/>
      <c r="H3708" s="18"/>
      <c r="I3708" s="19">
        <v>3706</v>
      </c>
      <c r="J3708" s="19" cm="1">
        <f t="array" aca="1" ref="J3708" ca="1">INDIRECT("b"&amp;K3708+2)</f>
        <v>0</v>
      </c>
      <c r="K3708" s="19">
        <f t="shared" si="727"/>
        <v>6540</v>
      </c>
    </row>
    <row r="3709" spans="1:11">
      <c r="A3709">
        <v>3707</v>
      </c>
      <c r="B3709">
        <v>6.6250000000000006E+114</v>
      </c>
      <c r="D3709" s="18">
        <v>3707</v>
      </c>
      <c r="E3709" s="18" cm="1">
        <f t="array" aca="1" ref="E3709" ca="1">INDIRECT("b"&amp;F3709+2)</f>
        <v>5.2749999999999996E+155</v>
      </c>
      <c r="F3709" s="18">
        <f t="shared" si="732"/>
        <v>5341</v>
      </c>
      <c r="G3709" s="18"/>
      <c r="H3709" s="18"/>
      <c r="I3709" s="19">
        <v>3707</v>
      </c>
      <c r="J3709" s="19" cm="1">
        <f t="array" aca="1" ref="J3709" ca="1">INDIRECT("b"&amp;K3709+2)</f>
        <v>0</v>
      </c>
      <c r="K3709" s="19">
        <f t="shared" si="727"/>
        <v>6541</v>
      </c>
    </row>
    <row r="3710" spans="1:11">
      <c r="A3710">
        <v>3708</v>
      </c>
      <c r="B3710">
        <v>6.8500000000000001E+114</v>
      </c>
      <c r="D3710" s="18">
        <v>3708</v>
      </c>
      <c r="E3710" s="18" cm="1">
        <f t="array" aca="1" ref="E3710" ca="1">INDIRECT("b"&amp;F3710+2)</f>
        <v>5.5000000000000001E+155</v>
      </c>
      <c r="F3710" s="18">
        <f t="shared" si="732"/>
        <v>5342</v>
      </c>
      <c r="G3710" s="18"/>
      <c r="H3710" s="18"/>
      <c r="I3710" s="19">
        <v>3708</v>
      </c>
      <c r="J3710" s="19" cm="1">
        <f t="array" aca="1" ref="J3710" ca="1">INDIRECT("b"&amp;K3710+2)</f>
        <v>0</v>
      </c>
      <c r="K3710" s="19">
        <f t="shared" si="727"/>
        <v>6542</v>
      </c>
    </row>
    <row r="3711" spans="1:11">
      <c r="A3711">
        <v>3709</v>
      </c>
      <c r="B3711">
        <v>7.0750000000000007E+114</v>
      </c>
      <c r="D3711" s="18">
        <v>3709</v>
      </c>
      <c r="E3711" s="18" cm="1">
        <f t="array" aca="1" ref="E3711" ca="1">INDIRECT("b"&amp;F3711+2)</f>
        <v>5.9500000000000002E+155</v>
      </c>
      <c r="F3711" s="18">
        <f t="shared" si="732"/>
        <v>5344</v>
      </c>
      <c r="G3711" s="18">
        <f t="shared" ref="G3711" ca="1" si="741">E3711/E3706</f>
        <v>1.3600000000000003</v>
      </c>
      <c r="H3711" s="18"/>
      <c r="I3711" s="19">
        <v>3709</v>
      </c>
      <c r="J3711" s="19" cm="1">
        <f t="array" aca="1" ref="J3711" ca="1">INDIRECT("b"&amp;K3711+2)</f>
        <v>0</v>
      </c>
      <c r="K3711" s="19">
        <f t="shared" si="727"/>
        <v>6544</v>
      </c>
    </row>
    <row r="3712" spans="1:11">
      <c r="A3712">
        <v>3710</v>
      </c>
      <c r="B3712">
        <v>7.3000000000000012E+114</v>
      </c>
      <c r="D3712" s="18">
        <v>3710</v>
      </c>
      <c r="E3712" s="18" cm="1">
        <f t="array" aca="1" ref="E3712" ca="1">INDIRECT("b"&amp;F3712+2)</f>
        <v>6.1749999999999997E+155</v>
      </c>
      <c r="F3712" s="18">
        <f t="shared" si="732"/>
        <v>5345</v>
      </c>
      <c r="G3712" s="18"/>
      <c r="H3712" s="18"/>
      <c r="I3712" s="19">
        <v>3710</v>
      </c>
      <c r="J3712" s="19" cm="1">
        <f t="array" aca="1" ref="J3712" ca="1">INDIRECT("b"&amp;K3712+2)</f>
        <v>0</v>
      </c>
      <c r="K3712" s="19">
        <f t="shared" si="727"/>
        <v>6545</v>
      </c>
    </row>
    <row r="3713" spans="1:11">
      <c r="A3713">
        <v>3711</v>
      </c>
      <c r="B3713">
        <v>7.5250000000000007E+114</v>
      </c>
      <c r="D3713" s="18">
        <v>3711</v>
      </c>
      <c r="E3713" s="18" cm="1">
        <f t="array" aca="1" ref="E3713" ca="1">INDIRECT("b"&amp;F3713+2)</f>
        <v>6.4000000000000002E+155</v>
      </c>
      <c r="F3713" s="18">
        <f t="shared" si="732"/>
        <v>5346</v>
      </c>
      <c r="G3713" s="18"/>
      <c r="H3713" s="18"/>
      <c r="I3713" s="19">
        <v>3711</v>
      </c>
      <c r="J3713" s="19" cm="1">
        <f t="array" aca="1" ref="J3713" ca="1">INDIRECT("b"&amp;K3713+2)</f>
        <v>0</v>
      </c>
      <c r="K3713" s="19">
        <f t="shared" si="727"/>
        <v>6546</v>
      </c>
    </row>
    <row r="3714" spans="1:11">
      <c r="A3714">
        <v>3712</v>
      </c>
      <c r="B3714">
        <v>7.7500000000000012E+114</v>
      </c>
      <c r="D3714" s="18">
        <v>3712</v>
      </c>
      <c r="E3714" s="18" cm="1">
        <f t="array" aca="1" ref="E3714" ca="1">INDIRECT("b"&amp;F3714+2)</f>
        <v>6.8500000000000003E+155</v>
      </c>
      <c r="F3714" s="18">
        <f t="shared" si="732"/>
        <v>5348</v>
      </c>
      <c r="G3714" s="18"/>
      <c r="H3714" s="18"/>
      <c r="I3714" s="19">
        <v>3712</v>
      </c>
      <c r="J3714" s="19" cm="1">
        <f t="array" aca="1" ref="J3714" ca="1">INDIRECT("b"&amp;K3714+2)</f>
        <v>0</v>
      </c>
      <c r="K3714" s="19">
        <f t="shared" si="727"/>
        <v>6548</v>
      </c>
    </row>
    <row r="3715" spans="1:11">
      <c r="A3715">
        <v>3713</v>
      </c>
      <c r="B3715">
        <v>7.9750000000000007E+114</v>
      </c>
      <c r="D3715" s="18">
        <v>3713</v>
      </c>
      <c r="E3715" s="18" cm="1">
        <f t="array" aca="1" ref="E3715" ca="1">INDIRECT("b"&amp;F3715+2)</f>
        <v>7.0749999999999999E+155</v>
      </c>
      <c r="F3715" s="18">
        <f t="shared" si="732"/>
        <v>5349</v>
      </c>
      <c r="G3715" s="18"/>
      <c r="H3715" s="18"/>
      <c r="I3715" s="19">
        <v>3713</v>
      </c>
      <c r="J3715" s="19" cm="1">
        <f t="array" aca="1" ref="J3715" ca="1">INDIRECT("b"&amp;K3715+2)</f>
        <v>0</v>
      </c>
      <c r="K3715" s="19">
        <f t="shared" si="727"/>
        <v>6549</v>
      </c>
    </row>
    <row r="3716" spans="1:11">
      <c r="A3716">
        <v>3714</v>
      </c>
      <c r="B3716">
        <v>8.2000000000000012E+114</v>
      </c>
      <c r="D3716" s="18">
        <v>3714</v>
      </c>
      <c r="E3716" s="18" cm="1">
        <f t="array" aca="1" ref="E3716" ca="1">INDIRECT("b"&amp;F3716+2)</f>
        <v>7.2999999999999994E+155</v>
      </c>
      <c r="F3716" s="18">
        <f t="shared" si="732"/>
        <v>5350</v>
      </c>
      <c r="G3716" s="18">
        <f t="shared" ref="G3716" ca="1" si="742">E3716/E3711</f>
        <v>1.2268907563025209</v>
      </c>
      <c r="H3716" s="18"/>
      <c r="I3716" s="19">
        <v>3714</v>
      </c>
      <c r="J3716" s="19" cm="1">
        <f t="array" aca="1" ref="J3716" ca="1">INDIRECT("b"&amp;K3716+2)</f>
        <v>0</v>
      </c>
      <c r="K3716" s="19">
        <f t="shared" ref="K3716:K3779" si="743">INT((A3716-1)*40/30+900*40/30)+400</f>
        <v>6550</v>
      </c>
    </row>
    <row r="3717" spans="1:11">
      <c r="A3717">
        <v>3715</v>
      </c>
      <c r="B3717">
        <v>8.4250000000000007E+114</v>
      </c>
      <c r="D3717" s="18">
        <v>3715</v>
      </c>
      <c r="E3717" s="18" cm="1">
        <f t="array" aca="1" ref="E3717" ca="1">INDIRECT("b"&amp;F3717+2)</f>
        <v>7.7499999999999995E+155</v>
      </c>
      <c r="F3717" s="18">
        <f t="shared" si="732"/>
        <v>5352</v>
      </c>
      <c r="G3717" s="18"/>
      <c r="H3717" s="18"/>
      <c r="I3717" s="19">
        <v>3715</v>
      </c>
      <c r="J3717" s="19" cm="1">
        <f t="array" aca="1" ref="J3717" ca="1">INDIRECT("b"&amp;K3717+2)</f>
        <v>0</v>
      </c>
      <c r="K3717" s="19">
        <f t="shared" si="743"/>
        <v>6552</v>
      </c>
    </row>
    <row r="3718" spans="1:11">
      <c r="A3718">
        <v>3716</v>
      </c>
      <c r="B3718">
        <v>8.6500000000000012E+114</v>
      </c>
      <c r="D3718" s="18">
        <v>3716</v>
      </c>
      <c r="E3718" s="18" cm="1">
        <f t="array" aca="1" ref="E3718" ca="1">INDIRECT("b"&amp;F3718+2)</f>
        <v>7.975E+155</v>
      </c>
      <c r="F3718" s="18">
        <f t="shared" si="732"/>
        <v>5353</v>
      </c>
      <c r="G3718" s="18"/>
      <c r="H3718" s="18"/>
      <c r="I3718" s="19">
        <v>3716</v>
      </c>
      <c r="J3718" s="19" cm="1">
        <f t="array" aca="1" ref="J3718" ca="1">INDIRECT("b"&amp;K3718+2)</f>
        <v>0</v>
      </c>
      <c r="K3718" s="19">
        <f t="shared" si="743"/>
        <v>6553</v>
      </c>
    </row>
    <row r="3719" spans="1:11">
      <c r="A3719">
        <v>3717</v>
      </c>
      <c r="B3719">
        <v>8.8750000000000007E+114</v>
      </c>
      <c r="D3719" s="18">
        <v>3717</v>
      </c>
      <c r="E3719" s="18" cm="1">
        <f t="array" aca="1" ref="E3719" ca="1">INDIRECT("b"&amp;F3719+2)</f>
        <v>8.1999999999999996E+155</v>
      </c>
      <c r="F3719" s="18">
        <f t="shared" si="732"/>
        <v>5354</v>
      </c>
      <c r="G3719" s="18"/>
      <c r="H3719" s="18"/>
      <c r="I3719" s="19">
        <v>3717</v>
      </c>
      <c r="J3719" s="19" cm="1">
        <f t="array" aca="1" ref="J3719" ca="1">INDIRECT("b"&amp;K3719+2)</f>
        <v>0</v>
      </c>
      <c r="K3719" s="19">
        <f t="shared" si="743"/>
        <v>6554</v>
      </c>
    </row>
    <row r="3720" spans="1:11">
      <c r="A3720">
        <v>3718</v>
      </c>
      <c r="B3720">
        <v>9.1000000000000012E+114</v>
      </c>
      <c r="D3720" s="18">
        <v>3718</v>
      </c>
      <c r="E3720" s="18" cm="1">
        <f t="array" aca="1" ref="E3720" ca="1">INDIRECT("b"&amp;F3720+2)</f>
        <v>8.6500000000000006E+155</v>
      </c>
      <c r="F3720" s="18">
        <f t="shared" si="732"/>
        <v>5356</v>
      </c>
      <c r="G3720" s="18"/>
      <c r="H3720" s="18"/>
      <c r="I3720" s="19">
        <v>3718</v>
      </c>
      <c r="J3720" s="19" cm="1">
        <f t="array" aca="1" ref="J3720" ca="1">INDIRECT("b"&amp;K3720+2)</f>
        <v>0</v>
      </c>
      <c r="K3720" s="19">
        <f t="shared" si="743"/>
        <v>6556</v>
      </c>
    </row>
    <row r="3721" spans="1:11">
      <c r="A3721">
        <v>3719</v>
      </c>
      <c r="B3721">
        <v>9.3250000000000007E+114</v>
      </c>
      <c r="D3721" s="18">
        <v>3719</v>
      </c>
      <c r="E3721" s="18" cm="1">
        <f t="array" aca="1" ref="E3721" ca="1">INDIRECT("b"&amp;F3721+2)</f>
        <v>8.8749999999999992E+155</v>
      </c>
      <c r="F3721" s="18">
        <f t="shared" si="732"/>
        <v>5357</v>
      </c>
      <c r="G3721" s="18">
        <f t="shared" ref="G3721" ca="1" si="744">E3721/E3716</f>
        <v>1.2157534246575343</v>
      </c>
      <c r="H3721" s="18"/>
      <c r="I3721" s="19">
        <v>3719</v>
      </c>
      <c r="J3721" s="19" cm="1">
        <f t="array" aca="1" ref="J3721" ca="1">INDIRECT("b"&amp;K3721+2)</f>
        <v>0</v>
      </c>
      <c r="K3721" s="19">
        <f t="shared" si="743"/>
        <v>6557</v>
      </c>
    </row>
    <row r="3722" spans="1:11">
      <c r="A3722">
        <v>3720</v>
      </c>
      <c r="B3722">
        <v>9.5500000000000012E+114</v>
      </c>
      <c r="D3722" s="18">
        <v>3720</v>
      </c>
      <c r="E3722" s="18" cm="1">
        <f t="array" aca="1" ref="E3722" ca="1">INDIRECT("b"&amp;F3722+2)</f>
        <v>9.0999999999999997E+155</v>
      </c>
      <c r="F3722" s="18">
        <f t="shared" si="732"/>
        <v>5358</v>
      </c>
      <c r="G3722" s="18"/>
      <c r="H3722" s="18"/>
      <c r="I3722" s="19">
        <v>3720</v>
      </c>
      <c r="J3722" s="19" cm="1">
        <f t="array" aca="1" ref="J3722" ca="1">INDIRECT("b"&amp;K3722+2)</f>
        <v>0</v>
      </c>
      <c r="K3722" s="19">
        <f t="shared" si="743"/>
        <v>6558</v>
      </c>
    </row>
    <row r="3723" spans="1:11">
      <c r="A3723">
        <v>3721</v>
      </c>
      <c r="B3723">
        <v>9.7750000000000007E+114</v>
      </c>
      <c r="D3723" s="18">
        <v>3721</v>
      </c>
      <c r="E3723" s="18" cm="1">
        <f t="array" aca="1" ref="E3723" ca="1">INDIRECT("b"&amp;F3723+2)</f>
        <v>9.5500000000000007E+155</v>
      </c>
      <c r="F3723" s="18">
        <f t="shared" si="732"/>
        <v>5360</v>
      </c>
      <c r="G3723" s="18"/>
      <c r="H3723" s="18"/>
      <c r="I3723" s="19">
        <v>3721</v>
      </c>
      <c r="J3723" s="19" cm="1">
        <f t="array" aca="1" ref="J3723" ca="1">INDIRECT("b"&amp;K3723+2)</f>
        <v>0</v>
      </c>
      <c r="K3723" s="19">
        <f t="shared" si="743"/>
        <v>6560</v>
      </c>
    </row>
    <row r="3724" spans="1:11">
      <c r="A3724">
        <v>3722</v>
      </c>
      <c r="B3724">
        <v>1E+115</v>
      </c>
      <c r="D3724" s="18">
        <v>3722</v>
      </c>
      <c r="E3724" s="18" cm="1">
        <f t="array" aca="1" ref="E3724" ca="1">INDIRECT("b"&amp;F3724+2)</f>
        <v>9.7749999999999993E+155</v>
      </c>
      <c r="F3724" s="18">
        <f t="shared" si="732"/>
        <v>5361</v>
      </c>
      <c r="G3724" s="18"/>
      <c r="H3724" s="18"/>
      <c r="I3724" s="19">
        <v>3722</v>
      </c>
      <c r="J3724" s="19" cm="1">
        <f t="array" aca="1" ref="J3724" ca="1">INDIRECT("b"&amp;K3724+2)</f>
        <v>0</v>
      </c>
      <c r="K3724" s="19">
        <f t="shared" si="743"/>
        <v>6561</v>
      </c>
    </row>
    <row r="3725" spans="1:11">
      <c r="A3725">
        <v>3723</v>
      </c>
      <c r="B3725">
        <v>1.2249999999999999E+115</v>
      </c>
      <c r="D3725" s="18">
        <v>3723</v>
      </c>
      <c r="E3725" s="18" cm="1">
        <f t="array" aca="1" ref="E3725" ca="1">INDIRECT("b"&amp;F3725+2)</f>
        <v>9.9999999999999998E+155</v>
      </c>
      <c r="F3725" s="18">
        <f t="shared" si="732"/>
        <v>5362</v>
      </c>
      <c r="G3725" s="18"/>
      <c r="H3725" s="18"/>
      <c r="I3725" s="19">
        <v>3723</v>
      </c>
      <c r="J3725" s="19" cm="1">
        <f t="array" aca="1" ref="J3725" ca="1">INDIRECT("b"&amp;K3725+2)</f>
        <v>0</v>
      </c>
      <c r="K3725" s="19">
        <f t="shared" si="743"/>
        <v>6562</v>
      </c>
    </row>
    <row r="3726" spans="1:11">
      <c r="A3726">
        <v>3724</v>
      </c>
      <c r="B3726">
        <v>1.45E+115</v>
      </c>
      <c r="D3726" s="18">
        <v>3724</v>
      </c>
      <c r="E3726" s="18" cm="1">
        <f t="array" aca="1" ref="E3726" ca="1">INDIRECT("b"&amp;F3726+2)</f>
        <v>1.4500000000000001E+156</v>
      </c>
      <c r="F3726" s="18">
        <f t="shared" si="732"/>
        <v>5364</v>
      </c>
      <c r="G3726" s="18">
        <f t="shared" ref="G3726" ca="1" si="745">E3726/E3721</f>
        <v>1.6338028169014087</v>
      </c>
      <c r="H3726" s="18"/>
      <c r="I3726" s="19">
        <v>3724</v>
      </c>
      <c r="J3726" s="19" cm="1">
        <f t="array" aca="1" ref="J3726" ca="1">INDIRECT("b"&amp;K3726+2)</f>
        <v>0</v>
      </c>
      <c r="K3726" s="19">
        <f t="shared" si="743"/>
        <v>6564</v>
      </c>
    </row>
    <row r="3727" spans="1:11">
      <c r="A3727">
        <v>3725</v>
      </c>
      <c r="B3727">
        <v>1.6749999999999999E+115</v>
      </c>
      <c r="D3727" s="18">
        <v>3725</v>
      </c>
      <c r="E3727" s="18" cm="1">
        <f t="array" aca="1" ref="E3727" ca="1">INDIRECT("b"&amp;F3727+2)</f>
        <v>1.675E+156</v>
      </c>
      <c r="F3727" s="18">
        <f t="shared" si="732"/>
        <v>5365</v>
      </c>
      <c r="G3727" s="18"/>
      <c r="H3727" s="18"/>
      <c r="I3727" s="19">
        <v>3725</v>
      </c>
      <c r="J3727" s="19" cm="1">
        <f t="array" aca="1" ref="J3727" ca="1">INDIRECT("b"&amp;K3727+2)</f>
        <v>0</v>
      </c>
      <c r="K3727" s="19">
        <f t="shared" si="743"/>
        <v>6565</v>
      </c>
    </row>
    <row r="3728" spans="1:11">
      <c r="A3728">
        <v>3726</v>
      </c>
      <c r="B3728">
        <v>1.9E+115</v>
      </c>
      <c r="D3728" s="18">
        <v>3726</v>
      </c>
      <c r="E3728" s="18" cm="1">
        <f t="array" aca="1" ref="E3728" ca="1">INDIRECT("b"&amp;F3728+2)</f>
        <v>1.9000000000000001E+156</v>
      </c>
      <c r="F3728" s="18">
        <f t="shared" si="732"/>
        <v>5366</v>
      </c>
      <c r="G3728" s="18"/>
      <c r="H3728" s="18"/>
      <c r="I3728" s="19">
        <v>3726</v>
      </c>
      <c r="J3728" s="19" cm="1">
        <f t="array" aca="1" ref="J3728" ca="1">INDIRECT("b"&amp;K3728+2)</f>
        <v>0</v>
      </c>
      <c r="K3728" s="19">
        <f t="shared" si="743"/>
        <v>6566</v>
      </c>
    </row>
    <row r="3729" spans="1:11">
      <c r="A3729">
        <v>3727</v>
      </c>
      <c r="B3729">
        <v>2.1250000000000001E+115</v>
      </c>
      <c r="D3729" s="18">
        <v>3727</v>
      </c>
      <c r="E3729" s="18" cm="1">
        <f t="array" aca="1" ref="E3729" ca="1">INDIRECT("b"&amp;F3729+2)</f>
        <v>2.35E+156</v>
      </c>
      <c r="F3729" s="18">
        <f t="shared" si="732"/>
        <v>5368</v>
      </c>
      <c r="G3729" s="18"/>
      <c r="H3729" s="18"/>
      <c r="I3729" s="19">
        <v>3727</v>
      </c>
      <c r="J3729" s="19" cm="1">
        <f t="array" aca="1" ref="J3729" ca="1">INDIRECT("b"&amp;K3729+2)</f>
        <v>0</v>
      </c>
      <c r="K3729" s="19">
        <f t="shared" si="743"/>
        <v>6568</v>
      </c>
    </row>
    <row r="3730" spans="1:11">
      <c r="A3730">
        <v>3728</v>
      </c>
      <c r="B3730">
        <v>2.3499999999999998E+115</v>
      </c>
      <c r="D3730" s="18">
        <v>3728</v>
      </c>
      <c r="E3730" s="18" cm="1">
        <f t="array" aca="1" ref="E3730" ca="1">INDIRECT("b"&amp;F3730+2)</f>
        <v>2.5750000000000001E+156</v>
      </c>
      <c r="F3730" s="18">
        <f t="shared" si="732"/>
        <v>5369</v>
      </c>
      <c r="G3730" s="18"/>
      <c r="H3730" s="18"/>
      <c r="I3730" s="19">
        <v>3728</v>
      </c>
      <c r="J3730" s="19" cm="1">
        <f t="array" aca="1" ref="J3730" ca="1">INDIRECT("b"&amp;K3730+2)</f>
        <v>0</v>
      </c>
      <c r="K3730" s="19">
        <f t="shared" si="743"/>
        <v>6569</v>
      </c>
    </row>
    <row r="3731" spans="1:11">
      <c r="A3731">
        <v>3729</v>
      </c>
      <c r="B3731">
        <v>2.5749999999999999E+115</v>
      </c>
      <c r="D3731" s="18">
        <v>3729</v>
      </c>
      <c r="E3731" s="18" cm="1">
        <f t="array" aca="1" ref="E3731" ca="1">INDIRECT("b"&amp;F3731+2)</f>
        <v>2.8000000000000003E+156</v>
      </c>
      <c r="F3731" s="18">
        <f t="shared" ref="F3731:F3794" si="746">INT((A3731-123)*1.333333)+563</f>
        <v>5370</v>
      </c>
      <c r="G3731" s="18">
        <f t="shared" ref="G3731" ca="1" si="747">E3731/E3726</f>
        <v>1.9310344827586208</v>
      </c>
      <c r="H3731" s="18"/>
      <c r="I3731" s="19">
        <v>3729</v>
      </c>
      <c r="J3731" s="19" cm="1">
        <f t="array" aca="1" ref="J3731" ca="1">INDIRECT("b"&amp;K3731+2)</f>
        <v>0</v>
      </c>
      <c r="K3731" s="19">
        <f t="shared" si="743"/>
        <v>6570</v>
      </c>
    </row>
    <row r="3732" spans="1:11">
      <c r="A3732">
        <v>3730</v>
      </c>
      <c r="B3732">
        <v>2.8E+115</v>
      </c>
      <c r="D3732" s="18">
        <v>3730</v>
      </c>
      <c r="E3732" s="18" cm="1">
        <f t="array" aca="1" ref="E3732" ca="1">INDIRECT("b"&amp;F3732+2)</f>
        <v>3.2500000000000001E+156</v>
      </c>
      <c r="F3732" s="18">
        <f t="shared" si="746"/>
        <v>5372</v>
      </c>
      <c r="G3732" s="18"/>
      <c r="H3732" s="18"/>
      <c r="I3732" s="19">
        <v>3730</v>
      </c>
      <c r="J3732" s="19" cm="1">
        <f t="array" aca="1" ref="J3732" ca="1">INDIRECT("b"&amp;K3732+2)</f>
        <v>0</v>
      </c>
      <c r="K3732" s="19">
        <f t="shared" si="743"/>
        <v>6572</v>
      </c>
    </row>
    <row r="3733" spans="1:11">
      <c r="A3733">
        <v>3731</v>
      </c>
      <c r="B3733">
        <v>3.0249999999999997E+115</v>
      </c>
      <c r="D3733" s="18">
        <v>3731</v>
      </c>
      <c r="E3733" s="18" cm="1">
        <f t="array" aca="1" ref="E3733" ca="1">INDIRECT("b"&amp;F3733+2)</f>
        <v>3.4750000000000003E+156</v>
      </c>
      <c r="F3733" s="18">
        <f t="shared" si="746"/>
        <v>5373</v>
      </c>
      <c r="G3733" s="18"/>
      <c r="H3733" s="18"/>
      <c r="I3733" s="19">
        <v>3731</v>
      </c>
      <c r="J3733" s="19" cm="1">
        <f t="array" aca="1" ref="J3733" ca="1">INDIRECT("b"&amp;K3733+2)</f>
        <v>0</v>
      </c>
      <c r="K3733" s="19">
        <f t="shared" si="743"/>
        <v>6573</v>
      </c>
    </row>
    <row r="3734" spans="1:11">
      <c r="A3734">
        <v>3732</v>
      </c>
      <c r="B3734">
        <v>3.2499999999999998E+115</v>
      </c>
      <c r="D3734" s="18">
        <v>3732</v>
      </c>
      <c r="E3734" s="18" cm="1">
        <f t="array" aca="1" ref="E3734" ca="1">INDIRECT("b"&amp;F3734+2)</f>
        <v>3.7E+156</v>
      </c>
      <c r="F3734" s="18">
        <f t="shared" si="746"/>
        <v>5374</v>
      </c>
      <c r="G3734" s="18"/>
      <c r="H3734" s="18"/>
      <c r="I3734" s="19">
        <v>3732</v>
      </c>
      <c r="J3734" s="19" cm="1">
        <f t="array" aca="1" ref="J3734" ca="1">INDIRECT("b"&amp;K3734+2)</f>
        <v>0</v>
      </c>
      <c r="K3734" s="19">
        <f t="shared" si="743"/>
        <v>6574</v>
      </c>
    </row>
    <row r="3735" spans="1:11">
      <c r="A3735">
        <v>3733</v>
      </c>
      <c r="B3735">
        <v>3.4749999999999999E+115</v>
      </c>
      <c r="D3735" s="18">
        <v>3733</v>
      </c>
      <c r="E3735" s="18" cm="1">
        <f t="array" aca="1" ref="E3735" ca="1">INDIRECT("b"&amp;F3735+2)</f>
        <v>4.1500000000000003E+156</v>
      </c>
      <c r="F3735" s="18">
        <f t="shared" si="746"/>
        <v>5376</v>
      </c>
      <c r="G3735" s="18"/>
      <c r="H3735" s="18"/>
      <c r="I3735" s="19">
        <v>3733</v>
      </c>
      <c r="J3735" s="19" cm="1">
        <f t="array" aca="1" ref="J3735" ca="1">INDIRECT("b"&amp;K3735+2)</f>
        <v>0</v>
      </c>
      <c r="K3735" s="19">
        <f t="shared" si="743"/>
        <v>6576</v>
      </c>
    </row>
    <row r="3736" spans="1:11">
      <c r="A3736">
        <v>3734</v>
      </c>
      <c r="B3736">
        <v>3.7000000000000001E+115</v>
      </c>
      <c r="D3736" s="18">
        <v>3734</v>
      </c>
      <c r="E3736" s="18" cm="1">
        <f t="array" aca="1" ref="E3736" ca="1">INDIRECT("b"&amp;F3736+2)</f>
        <v>4.375E+156</v>
      </c>
      <c r="F3736" s="18">
        <f t="shared" si="746"/>
        <v>5377</v>
      </c>
      <c r="G3736" s="18">
        <f t="shared" ref="G3736" ca="1" si="748">E3736/E3731</f>
        <v>1.5624999999999998</v>
      </c>
      <c r="H3736" s="18"/>
      <c r="I3736" s="19">
        <v>3734</v>
      </c>
      <c r="J3736" s="19" cm="1">
        <f t="array" aca="1" ref="J3736" ca="1">INDIRECT("b"&amp;K3736+2)</f>
        <v>0</v>
      </c>
      <c r="K3736" s="19">
        <f t="shared" si="743"/>
        <v>6577</v>
      </c>
    </row>
    <row r="3737" spans="1:11">
      <c r="A3737">
        <v>3735</v>
      </c>
      <c r="B3737">
        <v>3.9249999999999997E+115</v>
      </c>
      <c r="D3737" s="18">
        <v>3735</v>
      </c>
      <c r="E3737" s="18" cm="1">
        <f t="array" aca="1" ref="E3737" ca="1">INDIRECT("b"&amp;F3737+2)</f>
        <v>4.6000000000000005E+156</v>
      </c>
      <c r="F3737" s="18">
        <f t="shared" si="746"/>
        <v>5378</v>
      </c>
      <c r="G3737" s="18"/>
      <c r="H3737" s="18"/>
      <c r="I3737" s="19">
        <v>3735</v>
      </c>
      <c r="J3737" s="19" cm="1">
        <f t="array" aca="1" ref="J3737" ca="1">INDIRECT("b"&amp;K3737+2)</f>
        <v>0</v>
      </c>
      <c r="K3737" s="19">
        <f t="shared" si="743"/>
        <v>6578</v>
      </c>
    </row>
    <row r="3738" spans="1:11">
      <c r="A3738">
        <v>3736</v>
      </c>
      <c r="B3738">
        <v>4.1499999999999998E+115</v>
      </c>
      <c r="D3738" s="18">
        <v>3736</v>
      </c>
      <c r="E3738" s="18" cm="1">
        <f t="array" aca="1" ref="E3738" ca="1">INDIRECT("b"&amp;F3738+2)</f>
        <v>5.05E+156</v>
      </c>
      <c r="F3738" s="18">
        <f t="shared" si="746"/>
        <v>5380</v>
      </c>
      <c r="G3738" s="18"/>
      <c r="H3738" s="18"/>
      <c r="I3738" s="19">
        <v>3736</v>
      </c>
      <c r="J3738" s="19" cm="1">
        <f t="array" aca="1" ref="J3738" ca="1">INDIRECT("b"&amp;K3738+2)</f>
        <v>0</v>
      </c>
      <c r="K3738" s="19">
        <f t="shared" si="743"/>
        <v>6580</v>
      </c>
    </row>
    <row r="3739" spans="1:11">
      <c r="A3739">
        <v>3737</v>
      </c>
      <c r="B3739">
        <v>4.375E+115</v>
      </c>
      <c r="D3739" s="18">
        <v>3737</v>
      </c>
      <c r="E3739" s="18" cm="1">
        <f t="array" aca="1" ref="E3739" ca="1">INDIRECT("b"&amp;F3739+2)</f>
        <v>5.2750000000000005E+156</v>
      </c>
      <c r="F3739" s="18">
        <f t="shared" si="746"/>
        <v>5381</v>
      </c>
      <c r="G3739" s="18"/>
      <c r="H3739" s="18"/>
      <c r="I3739" s="19">
        <v>3737</v>
      </c>
      <c r="J3739" s="19" cm="1">
        <f t="array" aca="1" ref="J3739" ca="1">INDIRECT("b"&amp;K3739+2)</f>
        <v>0</v>
      </c>
      <c r="K3739" s="19">
        <f t="shared" si="743"/>
        <v>6581</v>
      </c>
    </row>
    <row r="3740" spans="1:11">
      <c r="A3740">
        <v>3738</v>
      </c>
      <c r="B3740">
        <v>4.6000000000000001E+115</v>
      </c>
      <c r="D3740" s="18">
        <v>3738</v>
      </c>
      <c r="E3740" s="18" cm="1">
        <f t="array" aca="1" ref="E3740" ca="1">INDIRECT("b"&amp;F3740+2)</f>
        <v>5.5000000000000003E+156</v>
      </c>
      <c r="F3740" s="18">
        <f t="shared" si="746"/>
        <v>5382</v>
      </c>
      <c r="G3740" s="18"/>
      <c r="H3740" s="18"/>
      <c r="I3740" s="19">
        <v>3738</v>
      </c>
      <c r="J3740" s="19" cm="1">
        <f t="array" aca="1" ref="J3740" ca="1">INDIRECT("b"&amp;K3740+2)</f>
        <v>0</v>
      </c>
      <c r="K3740" s="19">
        <f t="shared" si="743"/>
        <v>6582</v>
      </c>
    </row>
    <row r="3741" spans="1:11">
      <c r="A3741">
        <v>3739</v>
      </c>
      <c r="B3741">
        <v>4.8250000000000002E+115</v>
      </c>
      <c r="D3741" s="18">
        <v>3739</v>
      </c>
      <c r="E3741" s="18" cm="1">
        <f t="array" aca="1" ref="E3741" ca="1">INDIRECT("b"&amp;F3741+2)</f>
        <v>5.9500000000000005E+156</v>
      </c>
      <c r="F3741" s="18">
        <f t="shared" si="746"/>
        <v>5384</v>
      </c>
      <c r="G3741" s="18">
        <f t="shared" ref="G3741" ca="1" si="749">E3741/E3736</f>
        <v>1.36</v>
      </c>
      <c r="H3741" s="18"/>
      <c r="I3741" s="19">
        <v>3739</v>
      </c>
      <c r="J3741" s="19" cm="1">
        <f t="array" aca="1" ref="J3741" ca="1">INDIRECT("b"&amp;K3741+2)</f>
        <v>0</v>
      </c>
      <c r="K3741" s="19">
        <f t="shared" si="743"/>
        <v>6584</v>
      </c>
    </row>
    <row r="3742" spans="1:11">
      <c r="A3742">
        <v>3740</v>
      </c>
      <c r="B3742">
        <v>5.0499999999999994E+115</v>
      </c>
      <c r="D3742" s="18">
        <v>3740</v>
      </c>
      <c r="E3742" s="18" cm="1">
        <f t="array" aca="1" ref="E3742" ca="1">INDIRECT("b"&amp;F3742+2)</f>
        <v>6.1750000000000003E+156</v>
      </c>
      <c r="F3742" s="18">
        <f t="shared" si="746"/>
        <v>5385</v>
      </c>
      <c r="G3742" s="18"/>
      <c r="H3742" s="18"/>
      <c r="I3742" s="19">
        <v>3740</v>
      </c>
      <c r="J3742" s="19" cm="1">
        <f t="array" aca="1" ref="J3742" ca="1">INDIRECT("b"&amp;K3742+2)</f>
        <v>0</v>
      </c>
      <c r="K3742" s="19">
        <f t="shared" si="743"/>
        <v>6585</v>
      </c>
    </row>
    <row r="3743" spans="1:11">
      <c r="A3743">
        <v>3741</v>
      </c>
      <c r="B3743">
        <v>5.2749999999999995E+115</v>
      </c>
      <c r="D3743" s="18">
        <v>3741</v>
      </c>
      <c r="E3743" s="18" cm="1">
        <f t="array" aca="1" ref="E3743" ca="1">INDIRECT("b"&amp;F3743+2)</f>
        <v>6.4E+156</v>
      </c>
      <c r="F3743" s="18">
        <f t="shared" si="746"/>
        <v>5386</v>
      </c>
      <c r="G3743" s="18"/>
      <c r="H3743" s="18"/>
      <c r="I3743" s="19">
        <v>3741</v>
      </c>
      <c r="J3743" s="19" cm="1">
        <f t="array" aca="1" ref="J3743" ca="1">INDIRECT("b"&amp;K3743+2)</f>
        <v>0</v>
      </c>
      <c r="K3743" s="19">
        <f t="shared" si="743"/>
        <v>6586</v>
      </c>
    </row>
    <row r="3744" spans="1:11">
      <c r="A3744">
        <v>3742</v>
      </c>
      <c r="B3744">
        <v>5.4999999999999996E+115</v>
      </c>
      <c r="D3744" s="18">
        <v>3742</v>
      </c>
      <c r="E3744" s="18" cm="1">
        <f t="array" aca="1" ref="E3744" ca="1">INDIRECT("b"&amp;F3744+2)</f>
        <v>6.8500000000000003E+156</v>
      </c>
      <c r="F3744" s="18">
        <f t="shared" si="746"/>
        <v>5388</v>
      </c>
      <c r="G3744" s="18"/>
      <c r="H3744" s="18"/>
      <c r="I3744" s="19">
        <v>3742</v>
      </c>
      <c r="J3744" s="19" cm="1">
        <f t="array" aca="1" ref="J3744" ca="1">INDIRECT("b"&amp;K3744+2)</f>
        <v>0</v>
      </c>
      <c r="K3744" s="19">
        <f t="shared" si="743"/>
        <v>6588</v>
      </c>
    </row>
    <row r="3745" spans="1:11">
      <c r="A3745">
        <v>3743</v>
      </c>
      <c r="B3745">
        <v>5.7249999999999998E+115</v>
      </c>
      <c r="D3745" s="18">
        <v>3743</v>
      </c>
      <c r="E3745" s="18" cm="1">
        <f t="array" aca="1" ref="E3745" ca="1">INDIRECT("b"&amp;F3745+2)</f>
        <v>7.0750000000000008E+156</v>
      </c>
      <c r="F3745" s="18">
        <f t="shared" si="746"/>
        <v>5389</v>
      </c>
      <c r="G3745" s="18"/>
      <c r="H3745" s="18"/>
      <c r="I3745" s="19">
        <v>3743</v>
      </c>
      <c r="J3745" s="19" cm="1">
        <f t="array" aca="1" ref="J3745" ca="1">INDIRECT("b"&amp;K3745+2)</f>
        <v>0</v>
      </c>
      <c r="K3745" s="19">
        <f t="shared" si="743"/>
        <v>6589</v>
      </c>
    </row>
    <row r="3746" spans="1:11">
      <c r="A3746">
        <v>3744</v>
      </c>
      <c r="B3746">
        <v>5.9499999999999999E+115</v>
      </c>
      <c r="D3746" s="18">
        <v>3744</v>
      </c>
      <c r="E3746" s="18" cm="1">
        <f t="array" aca="1" ref="E3746" ca="1">INDIRECT("b"&amp;F3746+2)</f>
        <v>7.2999999999999998E+156</v>
      </c>
      <c r="F3746" s="18">
        <f t="shared" si="746"/>
        <v>5390</v>
      </c>
      <c r="G3746" s="18">
        <f t="shared" ref="G3746" ca="1" si="750">E3746/E3741</f>
        <v>1.2268907563025209</v>
      </c>
      <c r="H3746" s="18"/>
      <c r="I3746" s="19">
        <v>3744</v>
      </c>
      <c r="J3746" s="19" cm="1">
        <f t="array" aca="1" ref="J3746" ca="1">INDIRECT("b"&amp;K3746+2)</f>
        <v>0</v>
      </c>
      <c r="K3746" s="19">
        <f t="shared" si="743"/>
        <v>6590</v>
      </c>
    </row>
    <row r="3747" spans="1:11">
      <c r="A3747">
        <v>3745</v>
      </c>
      <c r="B3747">
        <v>6.175E+115</v>
      </c>
      <c r="D3747" s="18">
        <v>3745</v>
      </c>
      <c r="E3747" s="18" cm="1">
        <f t="array" aca="1" ref="E3747" ca="1">INDIRECT("b"&amp;F3747+2)</f>
        <v>7.7500000000000008E+156</v>
      </c>
      <c r="F3747" s="18">
        <f t="shared" si="746"/>
        <v>5392</v>
      </c>
      <c r="G3747" s="18"/>
      <c r="H3747" s="18"/>
      <c r="I3747" s="19">
        <v>3745</v>
      </c>
      <c r="J3747" s="19" cm="1">
        <f t="array" aca="1" ref="J3747" ca="1">INDIRECT("b"&amp;K3747+2)</f>
        <v>0</v>
      </c>
      <c r="K3747" s="19">
        <f t="shared" si="743"/>
        <v>6592</v>
      </c>
    </row>
    <row r="3748" spans="1:11">
      <c r="A3748">
        <v>3746</v>
      </c>
      <c r="B3748">
        <v>6.4000000000000001E+115</v>
      </c>
      <c r="D3748" s="18">
        <v>3746</v>
      </c>
      <c r="E3748" s="18" cm="1">
        <f t="array" aca="1" ref="E3748" ca="1">INDIRECT("b"&amp;F3748+2)</f>
        <v>7.9749999999999998E+156</v>
      </c>
      <c r="F3748" s="18">
        <f t="shared" si="746"/>
        <v>5393</v>
      </c>
      <c r="G3748" s="18"/>
      <c r="H3748" s="18"/>
      <c r="I3748" s="19">
        <v>3746</v>
      </c>
      <c r="J3748" s="19" cm="1">
        <f t="array" aca="1" ref="J3748" ca="1">INDIRECT("b"&amp;K3748+2)</f>
        <v>0</v>
      </c>
      <c r="K3748" s="19">
        <f t="shared" si="743"/>
        <v>6593</v>
      </c>
    </row>
    <row r="3749" spans="1:11">
      <c r="A3749">
        <v>3747</v>
      </c>
      <c r="B3749">
        <v>6.6250000000000002E+115</v>
      </c>
      <c r="D3749" s="18">
        <v>3747</v>
      </c>
      <c r="E3749" s="18" cm="1">
        <f t="array" aca="1" ref="E3749" ca="1">INDIRECT("b"&amp;F3749+2)</f>
        <v>8.2000000000000003E+156</v>
      </c>
      <c r="F3749" s="18">
        <f t="shared" si="746"/>
        <v>5394</v>
      </c>
      <c r="G3749" s="18"/>
      <c r="H3749" s="18"/>
      <c r="I3749" s="19">
        <v>3747</v>
      </c>
      <c r="J3749" s="19" cm="1">
        <f t="array" aca="1" ref="J3749" ca="1">INDIRECT("b"&amp;K3749+2)</f>
        <v>0</v>
      </c>
      <c r="K3749" s="19">
        <f t="shared" si="743"/>
        <v>6594</v>
      </c>
    </row>
    <row r="3750" spans="1:11">
      <c r="A3750">
        <v>3748</v>
      </c>
      <c r="B3750">
        <v>6.8499999999999995E+115</v>
      </c>
      <c r="D3750" s="18">
        <v>3748</v>
      </c>
      <c r="E3750" s="18" cm="1">
        <f t="array" aca="1" ref="E3750" ca="1">INDIRECT("b"&amp;F3750+2)</f>
        <v>8.6499999999999998E+156</v>
      </c>
      <c r="F3750" s="18">
        <f t="shared" si="746"/>
        <v>5396</v>
      </c>
      <c r="G3750" s="18"/>
      <c r="H3750" s="18"/>
      <c r="I3750" s="19">
        <v>3748</v>
      </c>
      <c r="J3750" s="19" cm="1">
        <f t="array" aca="1" ref="J3750" ca="1">INDIRECT("b"&amp;K3750+2)</f>
        <v>0</v>
      </c>
      <c r="K3750" s="19">
        <f t="shared" si="743"/>
        <v>6596</v>
      </c>
    </row>
    <row r="3751" spans="1:11">
      <c r="A3751">
        <v>3749</v>
      </c>
      <c r="B3751">
        <v>7.0749999999999996E+115</v>
      </c>
      <c r="D3751" s="18">
        <v>3749</v>
      </c>
      <c r="E3751" s="18" cm="1">
        <f t="array" aca="1" ref="E3751" ca="1">INDIRECT("b"&amp;F3751+2)</f>
        <v>8.8750000000000003E+156</v>
      </c>
      <c r="F3751" s="18">
        <f t="shared" si="746"/>
        <v>5397</v>
      </c>
      <c r="G3751" s="18">
        <f t="shared" ref="G3751" ca="1" si="751">E3751/E3746</f>
        <v>1.2157534246575343</v>
      </c>
      <c r="H3751" s="18"/>
      <c r="I3751" s="19">
        <v>3749</v>
      </c>
      <c r="J3751" s="19" cm="1">
        <f t="array" aca="1" ref="J3751" ca="1">INDIRECT("b"&amp;K3751+2)</f>
        <v>0</v>
      </c>
      <c r="K3751" s="19">
        <f t="shared" si="743"/>
        <v>6597</v>
      </c>
    </row>
    <row r="3752" spans="1:11">
      <c r="A3752">
        <v>3750</v>
      </c>
      <c r="B3752">
        <v>7.2999999999999997E+115</v>
      </c>
      <c r="D3752" s="18">
        <v>3750</v>
      </c>
      <c r="E3752" s="18" cm="1">
        <f t="array" aca="1" ref="E3752" ca="1">INDIRECT("b"&amp;F3752+2)</f>
        <v>9.1000000000000008E+156</v>
      </c>
      <c r="F3752" s="18">
        <f t="shared" si="746"/>
        <v>5398</v>
      </c>
      <c r="G3752" s="18"/>
      <c r="H3752" s="18"/>
      <c r="I3752" s="19">
        <v>3750</v>
      </c>
      <c r="J3752" s="19" cm="1">
        <f t="array" aca="1" ref="J3752" ca="1">INDIRECT("b"&amp;K3752+2)</f>
        <v>0</v>
      </c>
      <c r="K3752" s="19">
        <f t="shared" si="743"/>
        <v>6598</v>
      </c>
    </row>
    <row r="3753" spans="1:11">
      <c r="A3753">
        <v>3751</v>
      </c>
      <c r="B3753">
        <v>7.5249999999999998E+115</v>
      </c>
      <c r="D3753" s="18">
        <v>3751</v>
      </c>
      <c r="E3753" s="18" cm="1">
        <f t="array" aca="1" ref="E3753" ca="1">INDIRECT("b"&amp;F3753+2)</f>
        <v>9.5500000000000003E+156</v>
      </c>
      <c r="F3753" s="18">
        <f t="shared" si="746"/>
        <v>5400</v>
      </c>
      <c r="G3753" s="18"/>
      <c r="H3753" s="18"/>
      <c r="I3753" s="19">
        <v>3751</v>
      </c>
      <c r="J3753" s="19" cm="1">
        <f t="array" aca="1" ref="J3753" ca="1">INDIRECT("b"&amp;K3753+2)</f>
        <v>0</v>
      </c>
      <c r="K3753" s="19">
        <f t="shared" si="743"/>
        <v>6600</v>
      </c>
    </row>
    <row r="3754" spans="1:11">
      <c r="A3754">
        <v>3752</v>
      </c>
      <c r="B3754">
        <v>7.7499999999999999E+115</v>
      </c>
      <c r="D3754" s="18">
        <v>3752</v>
      </c>
      <c r="E3754" s="18" cm="1">
        <f t="array" aca="1" ref="E3754" ca="1">INDIRECT("b"&amp;F3754+2)</f>
        <v>9.7750000000000008E+156</v>
      </c>
      <c r="F3754" s="18">
        <f t="shared" si="746"/>
        <v>5401</v>
      </c>
      <c r="G3754" s="18"/>
      <c r="H3754" s="18"/>
      <c r="I3754" s="19">
        <v>3752</v>
      </c>
      <c r="J3754" s="19" cm="1">
        <f t="array" aca="1" ref="J3754" ca="1">INDIRECT("b"&amp;K3754+2)</f>
        <v>0</v>
      </c>
      <c r="K3754" s="19">
        <f t="shared" si="743"/>
        <v>6601</v>
      </c>
    </row>
    <row r="3755" spans="1:11">
      <c r="A3755">
        <v>3753</v>
      </c>
      <c r="B3755">
        <v>7.9749999999999991E+115</v>
      </c>
      <c r="D3755" s="18">
        <v>3753</v>
      </c>
      <c r="E3755" s="18" cm="1">
        <f t="array" aca="1" ref="E3755" ca="1">INDIRECT("b"&amp;F3755+2)</f>
        <v>9.9999999999999998E+156</v>
      </c>
      <c r="F3755" s="18">
        <f t="shared" si="746"/>
        <v>5402</v>
      </c>
      <c r="G3755" s="18"/>
      <c r="H3755" s="18"/>
      <c r="I3755" s="19">
        <v>3753</v>
      </c>
      <c r="J3755" s="19" cm="1">
        <f t="array" aca="1" ref="J3755" ca="1">INDIRECT("b"&amp;K3755+2)</f>
        <v>0</v>
      </c>
      <c r="K3755" s="19">
        <f t="shared" si="743"/>
        <v>6602</v>
      </c>
    </row>
    <row r="3756" spans="1:11">
      <c r="A3756">
        <v>3754</v>
      </c>
      <c r="B3756">
        <v>8.1999999999999993E+115</v>
      </c>
      <c r="D3756" s="18">
        <v>3754</v>
      </c>
      <c r="E3756" s="18" cm="1">
        <f t="array" aca="1" ref="E3756" ca="1">INDIRECT("b"&amp;F3756+2)</f>
        <v>1.4499999999999999E+157</v>
      </c>
      <c r="F3756" s="18">
        <f t="shared" si="746"/>
        <v>5404</v>
      </c>
      <c r="G3756" s="18">
        <f t="shared" ref="G3756" ca="1" si="752">E3756/E3751</f>
        <v>1.6338028169014083</v>
      </c>
      <c r="H3756" s="18"/>
      <c r="I3756" s="19">
        <v>3754</v>
      </c>
      <c r="J3756" s="19" cm="1">
        <f t="array" aca="1" ref="J3756" ca="1">INDIRECT("b"&amp;K3756+2)</f>
        <v>0</v>
      </c>
      <c r="K3756" s="19">
        <f t="shared" si="743"/>
        <v>6604</v>
      </c>
    </row>
    <row r="3757" spans="1:11">
      <c r="A3757">
        <v>3755</v>
      </c>
      <c r="B3757">
        <v>8.4249999999999994E+115</v>
      </c>
      <c r="D3757" s="18">
        <v>3755</v>
      </c>
      <c r="E3757" s="18" cm="1">
        <f t="array" aca="1" ref="E3757" ca="1">INDIRECT("b"&amp;F3757+2)</f>
        <v>1.6750000000000001E+157</v>
      </c>
      <c r="F3757" s="18">
        <f t="shared" si="746"/>
        <v>5405</v>
      </c>
      <c r="G3757" s="18"/>
      <c r="H3757" s="18"/>
      <c r="I3757" s="19">
        <v>3755</v>
      </c>
      <c r="J3757" s="19" cm="1">
        <f t="array" aca="1" ref="J3757" ca="1">INDIRECT("b"&amp;K3757+2)</f>
        <v>0</v>
      </c>
      <c r="K3757" s="19">
        <f t="shared" si="743"/>
        <v>6605</v>
      </c>
    </row>
    <row r="3758" spans="1:11">
      <c r="A3758">
        <v>3756</v>
      </c>
      <c r="B3758">
        <v>8.6499999999999995E+115</v>
      </c>
      <c r="D3758" s="18">
        <v>3756</v>
      </c>
      <c r="E3758" s="18" cm="1">
        <f t="array" aca="1" ref="E3758" ca="1">INDIRECT("b"&amp;F3758+2)</f>
        <v>1.9E+157</v>
      </c>
      <c r="F3758" s="18">
        <f t="shared" si="746"/>
        <v>5406</v>
      </c>
      <c r="G3758" s="18"/>
      <c r="H3758" s="18"/>
      <c r="I3758" s="19">
        <v>3756</v>
      </c>
      <c r="J3758" s="19" cm="1">
        <f t="array" aca="1" ref="J3758" ca="1">INDIRECT("b"&amp;K3758+2)</f>
        <v>0</v>
      </c>
      <c r="K3758" s="19">
        <f t="shared" si="743"/>
        <v>6606</v>
      </c>
    </row>
    <row r="3759" spans="1:11">
      <c r="A3759">
        <v>3757</v>
      </c>
      <c r="B3759">
        <v>8.8749999999999996E+115</v>
      </c>
      <c r="D3759" s="18">
        <v>3757</v>
      </c>
      <c r="E3759" s="18" cm="1">
        <f t="array" aca="1" ref="E3759" ca="1">INDIRECT("b"&amp;F3759+2)</f>
        <v>2.3500000000000002E+157</v>
      </c>
      <c r="F3759" s="18">
        <f t="shared" si="746"/>
        <v>5408</v>
      </c>
      <c r="G3759" s="18"/>
      <c r="H3759" s="18"/>
      <c r="I3759" s="19">
        <v>3757</v>
      </c>
      <c r="J3759" s="19" cm="1">
        <f t="array" aca="1" ref="J3759" ca="1">INDIRECT("b"&amp;K3759+2)</f>
        <v>0</v>
      </c>
      <c r="K3759" s="19">
        <f t="shared" si="743"/>
        <v>6608</v>
      </c>
    </row>
    <row r="3760" spans="1:11">
      <c r="A3760">
        <v>3758</v>
      </c>
      <c r="B3760">
        <v>9.0999999999999997E+115</v>
      </c>
      <c r="D3760" s="18">
        <v>3758</v>
      </c>
      <c r="E3760" s="18" cm="1">
        <f t="array" aca="1" ref="E3760" ca="1">INDIRECT("b"&amp;F3760+2)</f>
        <v>2.5750000000000001E+157</v>
      </c>
      <c r="F3760" s="18">
        <f t="shared" si="746"/>
        <v>5409</v>
      </c>
      <c r="G3760" s="18"/>
      <c r="H3760" s="18"/>
      <c r="I3760" s="19">
        <v>3758</v>
      </c>
      <c r="J3760" s="19" cm="1">
        <f t="array" aca="1" ref="J3760" ca="1">INDIRECT("b"&amp;K3760+2)</f>
        <v>0</v>
      </c>
      <c r="K3760" s="19">
        <f t="shared" si="743"/>
        <v>6609</v>
      </c>
    </row>
    <row r="3761" spans="1:11">
      <c r="A3761">
        <v>3759</v>
      </c>
      <c r="B3761">
        <v>9.3249999999999998E+115</v>
      </c>
      <c r="D3761" s="18">
        <v>3759</v>
      </c>
      <c r="E3761" s="18" cm="1">
        <f t="array" aca="1" ref="E3761" ca="1">INDIRECT("b"&amp;F3761+2)</f>
        <v>2.8000000000000003E+157</v>
      </c>
      <c r="F3761" s="18">
        <f t="shared" si="746"/>
        <v>5410</v>
      </c>
      <c r="G3761" s="18">
        <f t="shared" ref="G3761" ca="1" si="753">E3761/E3756</f>
        <v>1.931034482758621</v>
      </c>
      <c r="H3761" s="18"/>
      <c r="I3761" s="19">
        <v>3759</v>
      </c>
      <c r="J3761" s="19" cm="1">
        <f t="array" aca="1" ref="J3761" ca="1">INDIRECT("b"&amp;K3761+2)</f>
        <v>0</v>
      </c>
      <c r="K3761" s="19">
        <f t="shared" si="743"/>
        <v>6610</v>
      </c>
    </row>
    <row r="3762" spans="1:11">
      <c r="A3762">
        <v>3760</v>
      </c>
      <c r="B3762">
        <v>9.5499999999999999E+115</v>
      </c>
      <c r="D3762" s="18">
        <v>3760</v>
      </c>
      <c r="E3762" s="18" cm="1">
        <f t="array" aca="1" ref="E3762" ca="1">INDIRECT("b"&amp;F3762+2)</f>
        <v>3.2500000000000001E+157</v>
      </c>
      <c r="F3762" s="18">
        <f t="shared" si="746"/>
        <v>5412</v>
      </c>
      <c r="G3762" s="18"/>
      <c r="H3762" s="18"/>
      <c r="I3762" s="19">
        <v>3760</v>
      </c>
      <c r="J3762" s="19" cm="1">
        <f t="array" aca="1" ref="J3762" ca="1">INDIRECT("b"&amp;K3762+2)</f>
        <v>0</v>
      </c>
      <c r="K3762" s="19">
        <f t="shared" si="743"/>
        <v>6612</v>
      </c>
    </row>
    <row r="3763" spans="1:11">
      <c r="A3763">
        <v>3761</v>
      </c>
      <c r="B3763">
        <v>9.775E+115</v>
      </c>
      <c r="D3763" s="18">
        <v>3761</v>
      </c>
      <c r="E3763" s="18" cm="1">
        <f t="array" aca="1" ref="E3763" ca="1">INDIRECT("b"&amp;F3763+2)</f>
        <v>3.475E+157</v>
      </c>
      <c r="F3763" s="18">
        <f t="shared" si="746"/>
        <v>5413</v>
      </c>
      <c r="G3763" s="18"/>
      <c r="H3763" s="18"/>
      <c r="I3763" s="19">
        <v>3761</v>
      </c>
      <c r="J3763" s="19" cm="1">
        <f t="array" aca="1" ref="J3763" ca="1">INDIRECT("b"&amp;K3763+2)</f>
        <v>0</v>
      </c>
      <c r="K3763" s="19">
        <f t="shared" si="743"/>
        <v>6613</v>
      </c>
    </row>
    <row r="3764" spans="1:11">
      <c r="A3764">
        <v>3762</v>
      </c>
      <c r="B3764">
        <v>1E+116</v>
      </c>
      <c r="D3764" s="18">
        <v>3762</v>
      </c>
      <c r="E3764" s="18" cm="1">
        <f t="array" aca="1" ref="E3764" ca="1">INDIRECT("b"&amp;F3764+2)</f>
        <v>3.7000000000000005E+157</v>
      </c>
      <c r="F3764" s="18">
        <f t="shared" si="746"/>
        <v>5414</v>
      </c>
      <c r="G3764" s="18"/>
      <c r="H3764" s="18"/>
      <c r="I3764" s="19">
        <v>3762</v>
      </c>
      <c r="J3764" s="19" cm="1">
        <f t="array" aca="1" ref="J3764" ca="1">INDIRECT("b"&amp;K3764+2)</f>
        <v>0</v>
      </c>
      <c r="K3764" s="19">
        <f t="shared" si="743"/>
        <v>6614</v>
      </c>
    </row>
    <row r="3765" spans="1:11">
      <c r="A3765">
        <v>3763</v>
      </c>
      <c r="B3765">
        <v>1.2250000000000001E+116</v>
      </c>
      <c r="D3765" s="18">
        <v>3763</v>
      </c>
      <c r="E3765" s="18" cm="1">
        <f t="array" aca="1" ref="E3765" ca="1">INDIRECT("b"&amp;F3765+2)</f>
        <v>4.1500000000000003E+157</v>
      </c>
      <c r="F3765" s="18">
        <f t="shared" si="746"/>
        <v>5416</v>
      </c>
      <c r="G3765" s="18"/>
      <c r="H3765" s="18"/>
      <c r="I3765" s="19">
        <v>3763</v>
      </c>
      <c r="J3765" s="19" cm="1">
        <f t="array" aca="1" ref="J3765" ca="1">INDIRECT("b"&amp;K3765+2)</f>
        <v>0</v>
      </c>
      <c r="K3765" s="19">
        <f t="shared" si="743"/>
        <v>6616</v>
      </c>
    </row>
    <row r="3766" spans="1:11">
      <c r="A3766">
        <v>3764</v>
      </c>
      <c r="B3766">
        <v>1.4500000000000001E+116</v>
      </c>
      <c r="D3766" s="18">
        <v>3764</v>
      </c>
      <c r="E3766" s="18" cm="1">
        <f t="array" aca="1" ref="E3766" ca="1">INDIRECT("b"&amp;F3766+2)</f>
        <v>4.3750000000000002E+157</v>
      </c>
      <c r="F3766" s="18">
        <f t="shared" si="746"/>
        <v>5417</v>
      </c>
      <c r="G3766" s="18">
        <f t="shared" ref="G3766" ca="1" si="754">E3766/E3761</f>
        <v>1.5625</v>
      </c>
      <c r="H3766" s="18"/>
      <c r="I3766" s="19">
        <v>3764</v>
      </c>
      <c r="J3766" s="19" cm="1">
        <f t="array" aca="1" ref="J3766" ca="1">INDIRECT("b"&amp;K3766+2)</f>
        <v>0</v>
      </c>
      <c r="K3766" s="19">
        <f t="shared" si="743"/>
        <v>6617</v>
      </c>
    </row>
    <row r="3767" spans="1:11">
      <c r="A3767">
        <v>3765</v>
      </c>
      <c r="B3767">
        <v>1.6750000000000002E+116</v>
      </c>
      <c r="D3767" s="18">
        <v>3765</v>
      </c>
      <c r="E3767" s="18" cm="1">
        <f t="array" aca="1" ref="E3767" ca="1">INDIRECT("b"&amp;F3767+2)</f>
        <v>4.6000000000000001E+157</v>
      </c>
      <c r="F3767" s="18">
        <f t="shared" si="746"/>
        <v>5418</v>
      </c>
      <c r="G3767" s="18"/>
      <c r="H3767" s="18"/>
      <c r="I3767" s="19">
        <v>3765</v>
      </c>
      <c r="J3767" s="19" cm="1">
        <f t="array" aca="1" ref="J3767" ca="1">INDIRECT("b"&amp;K3767+2)</f>
        <v>0</v>
      </c>
      <c r="K3767" s="19">
        <f t="shared" si="743"/>
        <v>6618</v>
      </c>
    </row>
    <row r="3768" spans="1:11">
      <c r="A3768">
        <v>3766</v>
      </c>
      <c r="B3768">
        <v>1.8999999999999999E+116</v>
      </c>
      <c r="D3768" s="18">
        <v>3766</v>
      </c>
      <c r="E3768" s="18" cm="1">
        <f t="array" aca="1" ref="E3768" ca="1">INDIRECT("b"&amp;F3768+2)</f>
        <v>5.0500000000000005E+157</v>
      </c>
      <c r="F3768" s="18">
        <f t="shared" si="746"/>
        <v>5420</v>
      </c>
      <c r="G3768" s="18"/>
      <c r="H3768" s="18"/>
      <c r="I3768" s="19">
        <v>3766</v>
      </c>
      <c r="J3768" s="19" cm="1">
        <f t="array" aca="1" ref="J3768" ca="1">INDIRECT("b"&amp;K3768+2)</f>
        <v>0</v>
      </c>
      <c r="K3768" s="19">
        <f t="shared" si="743"/>
        <v>6620</v>
      </c>
    </row>
    <row r="3769" spans="1:11">
      <c r="A3769">
        <v>3767</v>
      </c>
      <c r="B3769">
        <v>2.1250000000000001E+116</v>
      </c>
      <c r="D3769" s="18">
        <v>3767</v>
      </c>
      <c r="E3769" s="18" cm="1">
        <f t="array" aca="1" ref="E3769" ca="1">INDIRECT("b"&amp;F3769+2)</f>
        <v>5.2750000000000004E+157</v>
      </c>
      <c r="F3769" s="18">
        <f t="shared" si="746"/>
        <v>5421</v>
      </c>
      <c r="G3769" s="18"/>
      <c r="H3769" s="18"/>
      <c r="I3769" s="19">
        <v>3767</v>
      </c>
      <c r="J3769" s="19" cm="1">
        <f t="array" aca="1" ref="J3769" ca="1">INDIRECT("b"&amp;K3769+2)</f>
        <v>0</v>
      </c>
      <c r="K3769" s="19">
        <f t="shared" si="743"/>
        <v>6621</v>
      </c>
    </row>
    <row r="3770" spans="1:11">
      <c r="A3770">
        <v>3768</v>
      </c>
      <c r="B3770">
        <v>2.3500000000000002E+116</v>
      </c>
      <c r="D3770" s="18">
        <v>3768</v>
      </c>
      <c r="E3770" s="18" cm="1">
        <f t="array" aca="1" ref="E3770" ca="1">INDIRECT("b"&amp;F3770+2)</f>
        <v>5.5000000000000003E+157</v>
      </c>
      <c r="F3770" s="18">
        <f t="shared" si="746"/>
        <v>5422</v>
      </c>
      <c r="G3770" s="18"/>
      <c r="H3770" s="18"/>
      <c r="I3770" s="19">
        <v>3768</v>
      </c>
      <c r="J3770" s="19" cm="1">
        <f t="array" aca="1" ref="J3770" ca="1">INDIRECT("b"&amp;K3770+2)</f>
        <v>0</v>
      </c>
      <c r="K3770" s="19">
        <f t="shared" si="743"/>
        <v>6622</v>
      </c>
    </row>
    <row r="3771" spans="1:11">
      <c r="A3771">
        <v>3769</v>
      </c>
      <c r="B3771">
        <v>2.5749999999999999E+116</v>
      </c>
      <c r="D3771" s="18">
        <v>3769</v>
      </c>
      <c r="E3771" s="18" cm="1">
        <f t="array" aca="1" ref="E3771" ca="1">INDIRECT("b"&amp;F3771+2)</f>
        <v>5.9500000000000001E+157</v>
      </c>
      <c r="F3771" s="18">
        <f t="shared" si="746"/>
        <v>5424</v>
      </c>
      <c r="G3771" s="18">
        <f t="shared" ref="G3771" ca="1" si="755">E3771/E3766</f>
        <v>1.3599999999999999</v>
      </c>
      <c r="H3771" s="18"/>
      <c r="I3771" s="19">
        <v>3769</v>
      </c>
      <c r="J3771" s="19" cm="1">
        <f t="array" aca="1" ref="J3771" ca="1">INDIRECT("b"&amp;K3771+2)</f>
        <v>0</v>
      </c>
      <c r="K3771" s="19">
        <f t="shared" si="743"/>
        <v>6624</v>
      </c>
    </row>
    <row r="3772" spans="1:11">
      <c r="A3772">
        <v>3770</v>
      </c>
      <c r="B3772">
        <v>2.8E+116</v>
      </c>
      <c r="D3772" s="18">
        <v>3770</v>
      </c>
      <c r="E3772" s="18" cm="1">
        <f t="array" aca="1" ref="E3772" ca="1">INDIRECT("b"&amp;F3772+2)</f>
        <v>6.1750000000000006E+157</v>
      </c>
      <c r="F3772" s="18">
        <f t="shared" si="746"/>
        <v>5425</v>
      </c>
      <c r="G3772" s="18"/>
      <c r="H3772" s="18"/>
      <c r="I3772" s="19">
        <v>3770</v>
      </c>
      <c r="J3772" s="19" cm="1">
        <f t="array" aca="1" ref="J3772" ca="1">INDIRECT("b"&amp;K3772+2)</f>
        <v>0</v>
      </c>
      <c r="K3772" s="19">
        <f t="shared" si="743"/>
        <v>6625</v>
      </c>
    </row>
    <row r="3773" spans="1:11">
      <c r="A3773">
        <v>3771</v>
      </c>
      <c r="B3773">
        <v>3.0250000000000002E+116</v>
      </c>
      <c r="D3773" s="18">
        <v>3771</v>
      </c>
      <c r="E3773" s="18" cm="1">
        <f t="array" aca="1" ref="E3773" ca="1">INDIRECT("b"&amp;F3773+2)</f>
        <v>6.3999999999999999E+157</v>
      </c>
      <c r="F3773" s="18">
        <f t="shared" si="746"/>
        <v>5426</v>
      </c>
      <c r="G3773" s="18"/>
      <c r="H3773" s="18"/>
      <c r="I3773" s="19">
        <v>3771</v>
      </c>
      <c r="J3773" s="19" cm="1">
        <f t="array" aca="1" ref="J3773" ca="1">INDIRECT("b"&amp;K3773+2)</f>
        <v>0</v>
      </c>
      <c r="K3773" s="19">
        <f t="shared" si="743"/>
        <v>6626</v>
      </c>
    </row>
    <row r="3774" spans="1:11">
      <c r="A3774">
        <v>3772</v>
      </c>
      <c r="B3774">
        <v>3.2499999999999999E+116</v>
      </c>
      <c r="D3774" s="18">
        <v>3772</v>
      </c>
      <c r="E3774" s="18" cm="1">
        <f t="array" aca="1" ref="E3774" ca="1">INDIRECT("b"&amp;F3774+2)</f>
        <v>6.8500000000000009E+157</v>
      </c>
      <c r="F3774" s="18">
        <f t="shared" si="746"/>
        <v>5428</v>
      </c>
      <c r="G3774" s="18"/>
      <c r="H3774" s="18"/>
      <c r="I3774" s="19">
        <v>3772</v>
      </c>
      <c r="J3774" s="19" cm="1">
        <f t="array" aca="1" ref="J3774" ca="1">INDIRECT("b"&amp;K3774+2)</f>
        <v>0</v>
      </c>
      <c r="K3774" s="19">
        <f t="shared" si="743"/>
        <v>6628</v>
      </c>
    </row>
    <row r="3775" spans="1:11">
      <c r="A3775">
        <v>3773</v>
      </c>
      <c r="B3775">
        <v>3.475E+116</v>
      </c>
      <c r="D3775" s="18">
        <v>3773</v>
      </c>
      <c r="E3775" s="18" cm="1">
        <f t="array" aca="1" ref="E3775" ca="1">INDIRECT("b"&amp;F3775+2)</f>
        <v>7.0750000000000002E+157</v>
      </c>
      <c r="F3775" s="18">
        <f t="shared" si="746"/>
        <v>5429</v>
      </c>
      <c r="G3775" s="18"/>
      <c r="H3775" s="18"/>
      <c r="I3775" s="19">
        <v>3773</v>
      </c>
      <c r="J3775" s="19" cm="1">
        <f t="array" aca="1" ref="J3775" ca="1">INDIRECT("b"&amp;K3775+2)</f>
        <v>0</v>
      </c>
      <c r="K3775" s="19">
        <f t="shared" si="743"/>
        <v>6629</v>
      </c>
    </row>
    <row r="3776" spans="1:11">
      <c r="A3776">
        <v>3774</v>
      </c>
      <c r="B3776">
        <v>3.7000000000000001E+116</v>
      </c>
      <c r="D3776" s="18">
        <v>3774</v>
      </c>
      <c r="E3776" s="18" cm="1">
        <f t="array" aca="1" ref="E3776" ca="1">INDIRECT("b"&amp;F3776+2)</f>
        <v>7.3000000000000007E+157</v>
      </c>
      <c r="F3776" s="18">
        <f t="shared" si="746"/>
        <v>5430</v>
      </c>
      <c r="G3776" s="18">
        <f t="shared" ref="G3776" ca="1" si="756">E3776/E3771</f>
        <v>1.2268907563025211</v>
      </c>
      <c r="H3776" s="18"/>
      <c r="I3776" s="19">
        <v>3774</v>
      </c>
      <c r="J3776" s="19" cm="1">
        <f t="array" aca="1" ref="J3776" ca="1">INDIRECT("b"&amp;K3776+2)</f>
        <v>0</v>
      </c>
      <c r="K3776" s="19">
        <f t="shared" si="743"/>
        <v>6630</v>
      </c>
    </row>
    <row r="3777" spans="1:11">
      <c r="A3777">
        <v>3775</v>
      </c>
      <c r="B3777">
        <v>3.9250000000000003E+116</v>
      </c>
      <c r="D3777" s="18">
        <v>3775</v>
      </c>
      <c r="E3777" s="18" cm="1">
        <f t="array" aca="1" ref="E3777" ca="1">INDIRECT("b"&amp;F3777+2)</f>
        <v>7.7500000000000005E+157</v>
      </c>
      <c r="F3777" s="18">
        <f t="shared" si="746"/>
        <v>5432</v>
      </c>
      <c r="G3777" s="18"/>
      <c r="H3777" s="18"/>
      <c r="I3777" s="19">
        <v>3775</v>
      </c>
      <c r="J3777" s="19" cm="1">
        <f t="array" aca="1" ref="J3777" ca="1">INDIRECT("b"&amp;K3777+2)</f>
        <v>0</v>
      </c>
      <c r="K3777" s="19">
        <f t="shared" si="743"/>
        <v>6632</v>
      </c>
    </row>
    <row r="3778" spans="1:11">
      <c r="A3778">
        <v>3776</v>
      </c>
      <c r="B3778">
        <v>4.1500000000000004E+116</v>
      </c>
      <c r="D3778" s="18">
        <v>3776</v>
      </c>
      <c r="E3778" s="18" cm="1">
        <f t="array" aca="1" ref="E3778" ca="1">INDIRECT("b"&amp;F3778+2)</f>
        <v>7.9749999999999998E+157</v>
      </c>
      <c r="F3778" s="18">
        <f t="shared" si="746"/>
        <v>5433</v>
      </c>
      <c r="G3778" s="18"/>
      <c r="H3778" s="18"/>
      <c r="I3778" s="19">
        <v>3776</v>
      </c>
      <c r="J3778" s="19" cm="1">
        <f t="array" aca="1" ref="J3778" ca="1">INDIRECT("b"&amp;K3778+2)</f>
        <v>0</v>
      </c>
      <c r="K3778" s="19">
        <f t="shared" si="743"/>
        <v>6633</v>
      </c>
    </row>
    <row r="3779" spans="1:11">
      <c r="A3779">
        <v>3777</v>
      </c>
      <c r="B3779">
        <v>4.3750000000000005E+116</v>
      </c>
      <c r="D3779" s="18">
        <v>3777</v>
      </c>
      <c r="E3779" s="18" cm="1">
        <f t="array" aca="1" ref="E3779" ca="1">INDIRECT("b"&amp;F3779+2)</f>
        <v>8.2000000000000003E+157</v>
      </c>
      <c r="F3779" s="18">
        <f t="shared" si="746"/>
        <v>5434</v>
      </c>
      <c r="G3779" s="18"/>
      <c r="H3779" s="18"/>
      <c r="I3779" s="19">
        <v>3777</v>
      </c>
      <c r="J3779" s="19" cm="1">
        <f t="array" aca="1" ref="J3779" ca="1">INDIRECT("b"&amp;K3779+2)</f>
        <v>0</v>
      </c>
      <c r="K3779" s="19">
        <f t="shared" si="743"/>
        <v>6634</v>
      </c>
    </row>
    <row r="3780" spans="1:11">
      <c r="A3780">
        <v>3778</v>
      </c>
      <c r="B3780">
        <v>4.5999999999999999E+116</v>
      </c>
      <c r="D3780" s="18">
        <v>3778</v>
      </c>
      <c r="E3780" s="18" cm="1">
        <f t="array" aca="1" ref="E3780" ca="1">INDIRECT("b"&amp;F3780+2)</f>
        <v>8.6500000000000001E+157</v>
      </c>
      <c r="F3780" s="18">
        <f t="shared" si="746"/>
        <v>5436</v>
      </c>
      <c r="G3780" s="18"/>
      <c r="H3780" s="18"/>
      <c r="I3780" s="19">
        <v>3778</v>
      </c>
      <c r="J3780" s="19" cm="1">
        <f t="array" aca="1" ref="J3780" ca="1">INDIRECT("b"&amp;K3780+2)</f>
        <v>0</v>
      </c>
      <c r="K3780" s="19">
        <f t="shared" ref="K3780:K3843" si="757">INT((A3780-1)*40/30+900*40/30)+400</f>
        <v>6636</v>
      </c>
    </row>
    <row r="3781" spans="1:11">
      <c r="A3781">
        <v>3779</v>
      </c>
      <c r="B3781">
        <v>4.825E+116</v>
      </c>
      <c r="D3781" s="18">
        <v>3779</v>
      </c>
      <c r="E3781" s="18" cm="1">
        <f t="array" aca="1" ref="E3781" ca="1">INDIRECT("b"&amp;F3781+2)</f>
        <v>8.8750000000000006E+157</v>
      </c>
      <c r="F3781" s="18">
        <f t="shared" si="746"/>
        <v>5437</v>
      </c>
      <c r="G3781" s="18">
        <f t="shared" ref="G3781" ca="1" si="758">E3781/E3776</f>
        <v>1.2157534246575341</v>
      </c>
      <c r="H3781" s="18"/>
      <c r="I3781" s="19">
        <v>3779</v>
      </c>
      <c r="J3781" s="19" cm="1">
        <f t="array" aca="1" ref="J3781" ca="1">INDIRECT("b"&amp;K3781+2)</f>
        <v>0</v>
      </c>
      <c r="K3781" s="19">
        <f t="shared" si="757"/>
        <v>6637</v>
      </c>
    </row>
    <row r="3782" spans="1:11">
      <c r="A3782">
        <v>3780</v>
      </c>
      <c r="B3782">
        <v>5.0500000000000001E+116</v>
      </c>
      <c r="D3782" s="18">
        <v>3780</v>
      </c>
      <c r="E3782" s="18" cm="1">
        <f t="array" aca="1" ref="E3782" ca="1">INDIRECT("b"&amp;F3782+2)</f>
        <v>9.0999999999999999E+157</v>
      </c>
      <c r="F3782" s="18">
        <f t="shared" si="746"/>
        <v>5438</v>
      </c>
      <c r="G3782" s="18"/>
      <c r="H3782" s="18"/>
      <c r="I3782" s="19">
        <v>3780</v>
      </c>
      <c r="J3782" s="19" cm="1">
        <f t="array" aca="1" ref="J3782" ca="1">INDIRECT("b"&amp;K3782+2)</f>
        <v>0</v>
      </c>
      <c r="K3782" s="19">
        <f t="shared" si="757"/>
        <v>6638</v>
      </c>
    </row>
    <row r="3783" spans="1:11">
      <c r="A3783">
        <v>3781</v>
      </c>
      <c r="B3783">
        <v>5.2750000000000002E+116</v>
      </c>
      <c r="D3783" s="18">
        <v>3781</v>
      </c>
      <c r="E3783" s="18" cm="1">
        <f t="array" aca="1" ref="E3783" ca="1">INDIRECT("b"&amp;F3783+2)</f>
        <v>9.5500000000000009E+157</v>
      </c>
      <c r="F3783" s="18">
        <f t="shared" si="746"/>
        <v>5440</v>
      </c>
      <c r="G3783" s="18"/>
      <c r="H3783" s="18"/>
      <c r="I3783" s="19">
        <v>3781</v>
      </c>
      <c r="J3783" s="19" cm="1">
        <f t="array" aca="1" ref="J3783" ca="1">INDIRECT("b"&amp;K3783+2)</f>
        <v>0</v>
      </c>
      <c r="K3783" s="19">
        <f t="shared" si="757"/>
        <v>6640</v>
      </c>
    </row>
    <row r="3784" spans="1:11">
      <c r="A3784">
        <v>3782</v>
      </c>
      <c r="B3784">
        <v>5.5000000000000003E+116</v>
      </c>
      <c r="D3784" s="18">
        <v>3782</v>
      </c>
      <c r="E3784" s="18" cm="1">
        <f t="array" aca="1" ref="E3784" ca="1">INDIRECT("b"&amp;F3784+2)</f>
        <v>9.7750000000000002E+157</v>
      </c>
      <c r="F3784" s="18">
        <f t="shared" si="746"/>
        <v>5441</v>
      </c>
      <c r="G3784" s="18"/>
      <c r="H3784" s="18"/>
      <c r="I3784" s="19">
        <v>3782</v>
      </c>
      <c r="J3784" s="19" cm="1">
        <f t="array" aca="1" ref="J3784" ca="1">INDIRECT("b"&amp;K3784+2)</f>
        <v>0</v>
      </c>
      <c r="K3784" s="19">
        <f t="shared" si="757"/>
        <v>6641</v>
      </c>
    </row>
    <row r="3785" spans="1:11">
      <c r="A3785">
        <v>3783</v>
      </c>
      <c r="B3785">
        <v>5.7250000000000005E+116</v>
      </c>
      <c r="D3785" s="18">
        <v>3783</v>
      </c>
      <c r="E3785" s="18" cm="1">
        <f t="array" aca="1" ref="E3785" ca="1">INDIRECT("b"&amp;F3785+2)</f>
        <v>9.9999999999999995E+157</v>
      </c>
      <c r="F3785" s="18">
        <f t="shared" si="746"/>
        <v>5442</v>
      </c>
      <c r="G3785" s="18"/>
      <c r="H3785" s="18"/>
      <c r="I3785" s="19">
        <v>3783</v>
      </c>
      <c r="J3785" s="19" cm="1">
        <f t="array" aca="1" ref="J3785" ca="1">INDIRECT("b"&amp;K3785+2)</f>
        <v>0</v>
      </c>
      <c r="K3785" s="19">
        <f t="shared" si="757"/>
        <v>6642</v>
      </c>
    </row>
    <row r="3786" spans="1:11">
      <c r="A3786">
        <v>3784</v>
      </c>
      <c r="B3786">
        <v>5.9499999999999999E+116</v>
      </c>
      <c r="D3786" s="18">
        <v>3784</v>
      </c>
      <c r="E3786" s="18" cm="1">
        <f t="array" aca="1" ref="E3786" ca="1">INDIRECT("b"&amp;F3786+2)</f>
        <v>1.4499999999999999E+158</v>
      </c>
      <c r="F3786" s="18">
        <f t="shared" si="746"/>
        <v>5444</v>
      </c>
      <c r="G3786" s="18">
        <f t="shared" ref="G3786" ca="1" si="759">E3786/E3781</f>
        <v>1.6338028169014083</v>
      </c>
      <c r="H3786" s="18"/>
      <c r="I3786" s="19">
        <v>3784</v>
      </c>
      <c r="J3786" s="19" cm="1">
        <f t="array" aca="1" ref="J3786" ca="1">INDIRECT("b"&amp;K3786+2)</f>
        <v>0</v>
      </c>
      <c r="K3786" s="19">
        <f t="shared" si="757"/>
        <v>6644</v>
      </c>
    </row>
    <row r="3787" spans="1:11">
      <c r="A3787">
        <v>3785</v>
      </c>
      <c r="B3787">
        <v>6.175E+116</v>
      </c>
      <c r="D3787" s="18">
        <v>3785</v>
      </c>
      <c r="E3787" s="18" cm="1">
        <f t="array" aca="1" ref="E3787" ca="1">INDIRECT("b"&amp;F3787+2)</f>
        <v>1.6749999999999999E+158</v>
      </c>
      <c r="F3787" s="18">
        <f t="shared" si="746"/>
        <v>5445</v>
      </c>
      <c r="G3787" s="18"/>
      <c r="H3787" s="18"/>
      <c r="I3787" s="19">
        <v>3785</v>
      </c>
      <c r="J3787" s="19" cm="1">
        <f t="array" aca="1" ref="J3787" ca="1">INDIRECT("b"&amp;K3787+2)</f>
        <v>0</v>
      </c>
      <c r="K3787" s="19">
        <f t="shared" si="757"/>
        <v>6645</v>
      </c>
    </row>
    <row r="3788" spans="1:11">
      <c r="A3788">
        <v>3786</v>
      </c>
      <c r="B3788">
        <v>6.4000000000000001E+116</v>
      </c>
      <c r="D3788" s="18">
        <v>3786</v>
      </c>
      <c r="E3788" s="18" cm="1">
        <f t="array" aca="1" ref="E3788" ca="1">INDIRECT("b"&amp;F3788+2)</f>
        <v>1.8999999999999999E+158</v>
      </c>
      <c r="F3788" s="18">
        <f t="shared" si="746"/>
        <v>5446</v>
      </c>
      <c r="G3788" s="18"/>
      <c r="H3788" s="18"/>
      <c r="I3788" s="19">
        <v>3786</v>
      </c>
      <c r="J3788" s="19" cm="1">
        <f t="array" aca="1" ref="J3788" ca="1">INDIRECT("b"&amp;K3788+2)</f>
        <v>0</v>
      </c>
      <c r="K3788" s="19">
        <f t="shared" si="757"/>
        <v>6646</v>
      </c>
    </row>
    <row r="3789" spans="1:11">
      <c r="A3789">
        <v>3787</v>
      </c>
      <c r="B3789">
        <v>6.6250000000000002E+116</v>
      </c>
      <c r="D3789" s="18">
        <v>3787</v>
      </c>
      <c r="E3789" s="18" cm="1">
        <f t="array" aca="1" ref="E3789" ca="1">INDIRECT("b"&amp;F3789+2)</f>
        <v>2.35E+158</v>
      </c>
      <c r="F3789" s="18">
        <f t="shared" si="746"/>
        <v>5448</v>
      </c>
      <c r="G3789" s="18"/>
      <c r="H3789" s="18"/>
      <c r="I3789" s="19">
        <v>3787</v>
      </c>
      <c r="J3789" s="19" cm="1">
        <f t="array" aca="1" ref="J3789" ca="1">INDIRECT("b"&amp;K3789+2)</f>
        <v>0</v>
      </c>
      <c r="K3789" s="19">
        <f t="shared" si="757"/>
        <v>6648</v>
      </c>
    </row>
    <row r="3790" spans="1:11">
      <c r="A3790">
        <v>3788</v>
      </c>
      <c r="B3790">
        <v>6.8500000000000003E+116</v>
      </c>
      <c r="D3790" s="18">
        <v>3788</v>
      </c>
      <c r="E3790" s="18" cm="1">
        <f t="array" aca="1" ref="E3790" ca="1">INDIRECT("b"&amp;F3790+2)</f>
        <v>2.5749999999999997E+158</v>
      </c>
      <c r="F3790" s="18">
        <f t="shared" si="746"/>
        <v>5449</v>
      </c>
      <c r="G3790" s="18"/>
      <c r="H3790" s="18"/>
      <c r="I3790" s="19">
        <v>3788</v>
      </c>
      <c r="J3790" s="19" cm="1">
        <f t="array" aca="1" ref="J3790" ca="1">INDIRECT("b"&amp;K3790+2)</f>
        <v>0</v>
      </c>
      <c r="K3790" s="19">
        <f t="shared" si="757"/>
        <v>6649</v>
      </c>
    </row>
    <row r="3791" spans="1:11">
      <c r="A3791">
        <v>3789</v>
      </c>
      <c r="B3791">
        <v>7.0750000000000004E+116</v>
      </c>
      <c r="D3791" s="18">
        <v>3789</v>
      </c>
      <c r="E3791" s="18" cm="1">
        <f t="array" aca="1" ref="E3791" ca="1">INDIRECT("b"&amp;F3791+2)</f>
        <v>2.8E+158</v>
      </c>
      <c r="F3791" s="18">
        <f t="shared" si="746"/>
        <v>5450</v>
      </c>
      <c r="G3791" s="18">
        <f t="shared" ref="G3791" ca="1" si="760">E3791/E3786</f>
        <v>1.9310344827586208</v>
      </c>
      <c r="H3791" s="18"/>
      <c r="I3791" s="19">
        <v>3789</v>
      </c>
      <c r="J3791" s="19" cm="1">
        <f t="array" aca="1" ref="J3791" ca="1">INDIRECT("b"&amp;K3791+2)</f>
        <v>0</v>
      </c>
      <c r="K3791" s="19">
        <f t="shared" si="757"/>
        <v>6650</v>
      </c>
    </row>
    <row r="3792" spans="1:11">
      <c r="A3792">
        <v>3790</v>
      </c>
      <c r="B3792">
        <v>7.3000000000000006E+116</v>
      </c>
      <c r="D3792" s="18">
        <v>3790</v>
      </c>
      <c r="E3792" s="18" cm="1">
        <f t="array" aca="1" ref="E3792" ca="1">INDIRECT("b"&amp;F3792+2)</f>
        <v>3.2500000000000001E+158</v>
      </c>
      <c r="F3792" s="18">
        <f t="shared" si="746"/>
        <v>5452</v>
      </c>
      <c r="G3792" s="18"/>
      <c r="H3792" s="18"/>
      <c r="I3792" s="19">
        <v>3790</v>
      </c>
      <c r="J3792" s="19" cm="1">
        <f t="array" aca="1" ref="J3792" ca="1">INDIRECT("b"&amp;K3792+2)</f>
        <v>0</v>
      </c>
      <c r="K3792" s="19">
        <f t="shared" si="757"/>
        <v>6652</v>
      </c>
    </row>
    <row r="3793" spans="1:11">
      <c r="A3793">
        <v>3791</v>
      </c>
      <c r="B3793">
        <v>7.5250000000000007E+116</v>
      </c>
      <c r="D3793" s="18">
        <v>3791</v>
      </c>
      <c r="E3793" s="18" cm="1">
        <f t="array" aca="1" ref="E3793" ca="1">INDIRECT("b"&amp;F3793+2)</f>
        <v>3.4749999999999998E+158</v>
      </c>
      <c r="F3793" s="18">
        <f t="shared" si="746"/>
        <v>5453</v>
      </c>
      <c r="G3793" s="18"/>
      <c r="H3793" s="18"/>
      <c r="I3793" s="19">
        <v>3791</v>
      </c>
      <c r="J3793" s="19" cm="1">
        <f t="array" aca="1" ref="J3793" ca="1">INDIRECT("b"&amp;K3793+2)</f>
        <v>0</v>
      </c>
      <c r="K3793" s="19">
        <f t="shared" si="757"/>
        <v>6653</v>
      </c>
    </row>
    <row r="3794" spans="1:11">
      <c r="A3794">
        <v>3792</v>
      </c>
      <c r="B3794">
        <v>7.7500000000000008E+116</v>
      </c>
      <c r="D3794" s="18">
        <v>3792</v>
      </c>
      <c r="E3794" s="18" cm="1">
        <f t="array" aca="1" ref="E3794" ca="1">INDIRECT("b"&amp;F3794+2)</f>
        <v>3.7000000000000001E+158</v>
      </c>
      <c r="F3794" s="18">
        <f t="shared" si="746"/>
        <v>5454</v>
      </c>
      <c r="G3794" s="18"/>
      <c r="H3794" s="18"/>
      <c r="I3794" s="19">
        <v>3792</v>
      </c>
      <c r="J3794" s="19" cm="1">
        <f t="array" aca="1" ref="J3794" ca="1">INDIRECT("b"&amp;K3794+2)</f>
        <v>0</v>
      </c>
      <c r="K3794" s="19">
        <f t="shared" si="757"/>
        <v>6654</v>
      </c>
    </row>
    <row r="3795" spans="1:11">
      <c r="A3795">
        <v>3793</v>
      </c>
      <c r="B3795">
        <v>7.9750000000000009E+116</v>
      </c>
      <c r="D3795" s="18">
        <v>3793</v>
      </c>
      <c r="E3795" s="18" cm="1">
        <f t="array" aca="1" ref="E3795" ca="1">INDIRECT("b"&amp;F3795+2)</f>
        <v>4.1500000000000002E+158</v>
      </c>
      <c r="F3795" s="18">
        <f t="shared" ref="F3795:F3858" si="761">INT((A3795-123)*1.333333)+563</f>
        <v>5456</v>
      </c>
      <c r="G3795" s="18"/>
      <c r="H3795" s="18"/>
      <c r="I3795" s="19">
        <v>3793</v>
      </c>
      <c r="J3795" s="19" cm="1">
        <f t="array" aca="1" ref="J3795" ca="1">INDIRECT("b"&amp;K3795+2)</f>
        <v>0</v>
      </c>
      <c r="K3795" s="19">
        <f t="shared" si="757"/>
        <v>6656</v>
      </c>
    </row>
    <row r="3796" spans="1:11">
      <c r="A3796">
        <v>3794</v>
      </c>
      <c r="B3796">
        <v>8.1999999999999996E+116</v>
      </c>
      <c r="D3796" s="18">
        <v>3794</v>
      </c>
      <c r="E3796" s="18" cm="1">
        <f t="array" aca="1" ref="E3796" ca="1">INDIRECT("b"&amp;F3796+2)</f>
        <v>4.3749999999999999E+158</v>
      </c>
      <c r="F3796" s="18">
        <f t="shared" si="761"/>
        <v>5457</v>
      </c>
      <c r="G3796" s="18">
        <f t="shared" ref="G3796" ca="1" si="762">E3796/E3791</f>
        <v>1.5625</v>
      </c>
      <c r="H3796" s="18"/>
      <c r="I3796" s="19">
        <v>3794</v>
      </c>
      <c r="J3796" s="19" cm="1">
        <f t="array" aca="1" ref="J3796" ca="1">INDIRECT("b"&amp;K3796+2)</f>
        <v>0</v>
      </c>
      <c r="K3796" s="19">
        <f t="shared" si="757"/>
        <v>6657</v>
      </c>
    </row>
    <row r="3797" spans="1:11">
      <c r="A3797">
        <v>3795</v>
      </c>
      <c r="B3797">
        <v>8.4249999999999997E+116</v>
      </c>
      <c r="D3797" s="18">
        <v>3795</v>
      </c>
      <c r="E3797" s="18" cm="1">
        <f t="array" aca="1" ref="E3797" ca="1">INDIRECT("b"&amp;F3797+2)</f>
        <v>4.5999999999999997E+158</v>
      </c>
      <c r="F3797" s="18">
        <f t="shared" si="761"/>
        <v>5458</v>
      </c>
      <c r="G3797" s="18"/>
      <c r="H3797" s="18"/>
      <c r="I3797" s="19">
        <v>3795</v>
      </c>
      <c r="J3797" s="19" cm="1">
        <f t="array" aca="1" ref="J3797" ca="1">INDIRECT("b"&amp;K3797+2)</f>
        <v>0</v>
      </c>
      <c r="K3797" s="19">
        <f t="shared" si="757"/>
        <v>6658</v>
      </c>
    </row>
    <row r="3798" spans="1:11">
      <c r="A3798">
        <v>3796</v>
      </c>
      <c r="B3798">
        <v>8.6499999999999998E+116</v>
      </c>
      <c r="D3798" s="18">
        <v>3796</v>
      </c>
      <c r="E3798" s="18" cm="1">
        <f t="array" aca="1" ref="E3798" ca="1">INDIRECT("b"&amp;F3798+2)</f>
        <v>5.0500000000000002E+158</v>
      </c>
      <c r="F3798" s="18">
        <f t="shared" si="761"/>
        <v>5460</v>
      </c>
      <c r="G3798" s="18"/>
      <c r="H3798" s="18"/>
      <c r="I3798" s="19">
        <v>3796</v>
      </c>
      <c r="J3798" s="19" cm="1">
        <f t="array" aca="1" ref="J3798" ca="1">INDIRECT("b"&amp;K3798+2)</f>
        <v>0</v>
      </c>
      <c r="K3798" s="19">
        <f t="shared" si="757"/>
        <v>6660</v>
      </c>
    </row>
    <row r="3799" spans="1:11">
      <c r="A3799">
        <v>3797</v>
      </c>
      <c r="B3799">
        <v>8.8749999999999999E+116</v>
      </c>
      <c r="D3799" s="18">
        <v>3797</v>
      </c>
      <c r="E3799" s="18" cm="1">
        <f t="array" aca="1" ref="E3799" ca="1">INDIRECT("b"&amp;F3799+2)</f>
        <v>5.275E+158</v>
      </c>
      <c r="F3799" s="18">
        <f t="shared" si="761"/>
        <v>5461</v>
      </c>
      <c r="G3799" s="18"/>
      <c r="H3799" s="18"/>
      <c r="I3799" s="19">
        <v>3797</v>
      </c>
      <c r="J3799" s="19" cm="1">
        <f t="array" aca="1" ref="J3799" ca="1">INDIRECT("b"&amp;K3799+2)</f>
        <v>0</v>
      </c>
      <c r="K3799" s="19">
        <f t="shared" si="757"/>
        <v>6661</v>
      </c>
    </row>
    <row r="3800" spans="1:11">
      <c r="A3800">
        <v>3798</v>
      </c>
      <c r="B3800">
        <v>9.1000000000000001E+116</v>
      </c>
      <c r="D3800" s="18">
        <v>3798</v>
      </c>
      <c r="E3800" s="18" cm="1">
        <f t="array" aca="1" ref="E3800" ca="1">INDIRECT("b"&amp;F3800+2)</f>
        <v>5.4999999999999998E+158</v>
      </c>
      <c r="F3800" s="18">
        <f t="shared" si="761"/>
        <v>5462</v>
      </c>
      <c r="G3800" s="18"/>
      <c r="H3800" s="18"/>
      <c r="I3800" s="19">
        <v>3798</v>
      </c>
      <c r="J3800" s="19" cm="1">
        <f t="array" aca="1" ref="J3800" ca="1">INDIRECT("b"&amp;K3800+2)</f>
        <v>0</v>
      </c>
      <c r="K3800" s="19">
        <f t="shared" si="757"/>
        <v>6662</v>
      </c>
    </row>
    <row r="3801" spans="1:11">
      <c r="A3801">
        <v>3799</v>
      </c>
      <c r="B3801">
        <v>9.3250000000000002E+116</v>
      </c>
      <c r="D3801" s="18">
        <v>3799</v>
      </c>
      <c r="E3801" s="18" cm="1">
        <f t="array" aca="1" ref="E3801" ca="1">INDIRECT("b"&amp;F3801+2)</f>
        <v>5.9500000000000003E+158</v>
      </c>
      <c r="F3801" s="18">
        <f t="shared" si="761"/>
        <v>5464</v>
      </c>
      <c r="G3801" s="18">
        <f t="shared" ref="G3801" ca="1" si="763">E3801/E3796</f>
        <v>1.36</v>
      </c>
      <c r="H3801" s="18"/>
      <c r="I3801" s="19">
        <v>3799</v>
      </c>
      <c r="J3801" s="19" cm="1">
        <f t="array" aca="1" ref="J3801" ca="1">INDIRECT("b"&amp;K3801+2)</f>
        <v>0</v>
      </c>
      <c r="K3801" s="19">
        <f t="shared" si="757"/>
        <v>6664</v>
      </c>
    </row>
    <row r="3802" spans="1:11">
      <c r="A3802">
        <v>3800</v>
      </c>
      <c r="B3802">
        <v>9.5500000000000003E+116</v>
      </c>
      <c r="D3802" s="18">
        <v>3800</v>
      </c>
      <c r="E3802" s="18" cm="1">
        <f t="array" aca="1" ref="E3802" ca="1">INDIRECT("b"&amp;F3802+2)</f>
        <v>6.1750000000000001E+158</v>
      </c>
      <c r="F3802" s="18">
        <f t="shared" si="761"/>
        <v>5465</v>
      </c>
      <c r="G3802" s="18"/>
      <c r="H3802" s="18"/>
      <c r="I3802" s="19">
        <v>3800</v>
      </c>
      <c r="J3802" s="19" cm="1">
        <f t="array" aca="1" ref="J3802" ca="1">INDIRECT("b"&amp;K3802+2)</f>
        <v>0</v>
      </c>
      <c r="K3802" s="19">
        <f t="shared" si="757"/>
        <v>6665</v>
      </c>
    </row>
    <row r="3803" spans="1:11">
      <c r="A3803">
        <v>3801</v>
      </c>
      <c r="B3803">
        <v>9.7750000000000004E+116</v>
      </c>
      <c r="D3803" s="18">
        <v>3801</v>
      </c>
      <c r="E3803" s="18" cm="1">
        <f t="array" aca="1" ref="E3803" ca="1">INDIRECT("b"&amp;F3803+2)</f>
        <v>6.3999999999999999E+158</v>
      </c>
      <c r="F3803" s="18">
        <f t="shared" si="761"/>
        <v>5466</v>
      </c>
      <c r="G3803" s="18"/>
      <c r="H3803" s="18"/>
      <c r="I3803" s="19">
        <v>3801</v>
      </c>
      <c r="J3803" s="19" cm="1">
        <f t="array" aca="1" ref="J3803" ca="1">INDIRECT("b"&amp;K3803+2)</f>
        <v>0</v>
      </c>
      <c r="K3803" s="19">
        <f t="shared" si="757"/>
        <v>6666</v>
      </c>
    </row>
    <row r="3804" spans="1:11">
      <c r="A3804">
        <v>3802</v>
      </c>
      <c r="B3804">
        <v>1.0000000000000001E+117</v>
      </c>
      <c r="D3804" s="18">
        <v>3802</v>
      </c>
      <c r="E3804" s="18" cm="1">
        <f t="array" aca="1" ref="E3804" ca="1">INDIRECT("b"&amp;F3804+2)</f>
        <v>6.8499999999999995E+158</v>
      </c>
      <c r="F3804" s="18">
        <f t="shared" si="761"/>
        <v>5468</v>
      </c>
      <c r="G3804" s="18"/>
      <c r="H3804" s="18"/>
      <c r="I3804" s="19">
        <v>3802</v>
      </c>
      <c r="J3804" s="19" cm="1">
        <f t="array" aca="1" ref="J3804" ca="1">INDIRECT("b"&amp;K3804+2)</f>
        <v>0</v>
      </c>
      <c r="K3804" s="19">
        <f t="shared" si="757"/>
        <v>6668</v>
      </c>
    </row>
    <row r="3805" spans="1:11">
      <c r="A3805">
        <v>3803</v>
      </c>
      <c r="B3805">
        <v>1.225E+117</v>
      </c>
      <c r="D3805" s="18">
        <v>3803</v>
      </c>
      <c r="E3805" s="18" cm="1">
        <f t="array" aca="1" ref="E3805" ca="1">INDIRECT("b"&amp;F3805+2)</f>
        <v>7.0750000000000002E+158</v>
      </c>
      <c r="F3805" s="18">
        <f t="shared" si="761"/>
        <v>5469</v>
      </c>
      <c r="G3805" s="18"/>
      <c r="H3805" s="18"/>
      <c r="I3805" s="19">
        <v>3803</v>
      </c>
      <c r="J3805" s="19" cm="1">
        <f t="array" aca="1" ref="J3805" ca="1">INDIRECT("b"&amp;K3805+2)</f>
        <v>0</v>
      </c>
      <c r="K3805" s="19">
        <f t="shared" si="757"/>
        <v>6669</v>
      </c>
    </row>
    <row r="3806" spans="1:11">
      <c r="A3806">
        <v>3804</v>
      </c>
      <c r="B3806">
        <v>1.4499999999999999E+117</v>
      </c>
      <c r="D3806" s="18">
        <v>3804</v>
      </c>
      <c r="E3806" s="18" cm="1">
        <f t="array" aca="1" ref="E3806" ca="1">INDIRECT("b"&amp;F3806+2)</f>
        <v>7.3E+158</v>
      </c>
      <c r="F3806" s="18">
        <f t="shared" si="761"/>
        <v>5470</v>
      </c>
      <c r="G3806" s="18">
        <f t="shared" ref="G3806" ca="1" si="764">E3806/E3801</f>
        <v>1.2268907563025209</v>
      </c>
      <c r="H3806" s="18"/>
      <c r="I3806" s="19">
        <v>3804</v>
      </c>
      <c r="J3806" s="19" cm="1">
        <f t="array" aca="1" ref="J3806" ca="1">INDIRECT("b"&amp;K3806+2)</f>
        <v>0</v>
      </c>
      <c r="K3806" s="19">
        <f t="shared" si="757"/>
        <v>6670</v>
      </c>
    </row>
    <row r="3807" spans="1:11">
      <c r="A3807">
        <v>3805</v>
      </c>
      <c r="B3807">
        <v>1.675E+117</v>
      </c>
      <c r="D3807" s="18">
        <v>3805</v>
      </c>
      <c r="E3807" s="18" cm="1">
        <f t="array" aca="1" ref="E3807" ca="1">INDIRECT("b"&amp;F3807+2)</f>
        <v>7.7499999999999995E+158</v>
      </c>
      <c r="F3807" s="18">
        <f t="shared" si="761"/>
        <v>5472</v>
      </c>
      <c r="G3807" s="18"/>
      <c r="H3807" s="18"/>
      <c r="I3807" s="19">
        <v>3805</v>
      </c>
      <c r="J3807" s="19" cm="1">
        <f t="array" aca="1" ref="J3807" ca="1">INDIRECT("b"&amp;K3807+2)</f>
        <v>0</v>
      </c>
      <c r="K3807" s="19">
        <f t="shared" si="757"/>
        <v>6672</v>
      </c>
    </row>
    <row r="3808" spans="1:11">
      <c r="A3808">
        <v>3806</v>
      </c>
      <c r="B3808">
        <v>1.9000000000000001E+117</v>
      </c>
      <c r="D3808" s="18">
        <v>3806</v>
      </c>
      <c r="E3808" s="18" cm="1">
        <f t="array" aca="1" ref="E3808" ca="1">INDIRECT("b"&amp;F3808+2)</f>
        <v>7.9750000000000003E+158</v>
      </c>
      <c r="F3808" s="18">
        <f t="shared" si="761"/>
        <v>5473</v>
      </c>
      <c r="G3808" s="18"/>
      <c r="H3808" s="18"/>
      <c r="I3808" s="19">
        <v>3806</v>
      </c>
      <c r="J3808" s="19" cm="1">
        <f t="array" aca="1" ref="J3808" ca="1">INDIRECT("b"&amp;K3808+2)</f>
        <v>0</v>
      </c>
      <c r="K3808" s="19">
        <f t="shared" si="757"/>
        <v>6673</v>
      </c>
    </row>
    <row r="3809" spans="1:11">
      <c r="A3809">
        <v>3807</v>
      </c>
      <c r="B3809">
        <v>2.1249999999999999E+117</v>
      </c>
      <c r="D3809" s="18">
        <v>3807</v>
      </c>
      <c r="E3809" s="18" cm="1">
        <f t="array" aca="1" ref="E3809" ca="1">INDIRECT("b"&amp;F3809+2)</f>
        <v>8.2000000000000001E+158</v>
      </c>
      <c r="F3809" s="18">
        <f t="shared" si="761"/>
        <v>5474</v>
      </c>
      <c r="G3809" s="18"/>
      <c r="H3809" s="18"/>
      <c r="I3809" s="19">
        <v>3807</v>
      </c>
      <c r="J3809" s="19" cm="1">
        <f t="array" aca="1" ref="J3809" ca="1">INDIRECT("b"&amp;K3809+2)</f>
        <v>0</v>
      </c>
      <c r="K3809" s="19">
        <f t="shared" si="757"/>
        <v>6674</v>
      </c>
    </row>
    <row r="3810" spans="1:11">
      <c r="A3810">
        <v>3808</v>
      </c>
      <c r="B3810">
        <v>2.35E+117</v>
      </c>
      <c r="D3810" s="18">
        <v>3808</v>
      </c>
      <c r="E3810" s="18" cm="1">
        <f t="array" aca="1" ref="E3810" ca="1">INDIRECT("b"&amp;F3810+2)</f>
        <v>8.6499999999999996E+158</v>
      </c>
      <c r="F3810" s="18">
        <f t="shared" si="761"/>
        <v>5476</v>
      </c>
      <c r="G3810" s="18"/>
      <c r="H3810" s="18"/>
      <c r="I3810" s="19">
        <v>3808</v>
      </c>
      <c r="J3810" s="19" cm="1">
        <f t="array" aca="1" ref="J3810" ca="1">INDIRECT("b"&amp;K3810+2)</f>
        <v>0</v>
      </c>
      <c r="K3810" s="19">
        <f t="shared" si="757"/>
        <v>6676</v>
      </c>
    </row>
    <row r="3811" spans="1:11">
      <c r="A3811">
        <v>3809</v>
      </c>
      <c r="B3811">
        <v>2.5749999999999999E+117</v>
      </c>
      <c r="D3811" s="18">
        <v>3809</v>
      </c>
      <c r="E3811" s="18" cm="1">
        <f t="array" aca="1" ref="E3811" ca="1">INDIRECT("b"&amp;F3811+2)</f>
        <v>8.8749999999999994E+158</v>
      </c>
      <c r="F3811" s="18">
        <f t="shared" si="761"/>
        <v>5477</v>
      </c>
      <c r="G3811" s="18">
        <f t="shared" ref="G3811" ca="1" si="765">E3811/E3806</f>
        <v>1.2157534246575341</v>
      </c>
      <c r="H3811" s="18"/>
      <c r="I3811" s="19">
        <v>3809</v>
      </c>
      <c r="J3811" s="19" cm="1">
        <f t="array" aca="1" ref="J3811" ca="1">INDIRECT("b"&amp;K3811+2)</f>
        <v>0</v>
      </c>
      <c r="K3811" s="19">
        <f t="shared" si="757"/>
        <v>6677</v>
      </c>
    </row>
    <row r="3812" spans="1:11">
      <c r="A3812">
        <v>3810</v>
      </c>
      <c r="B3812">
        <v>2.8E+117</v>
      </c>
      <c r="D3812" s="18">
        <v>3810</v>
      </c>
      <c r="E3812" s="18" cm="1">
        <f t="array" aca="1" ref="E3812" ca="1">INDIRECT("b"&amp;F3812+2)</f>
        <v>9.1000000000000002E+158</v>
      </c>
      <c r="F3812" s="18">
        <f t="shared" si="761"/>
        <v>5478</v>
      </c>
      <c r="G3812" s="18"/>
      <c r="H3812" s="18"/>
      <c r="I3812" s="19">
        <v>3810</v>
      </c>
      <c r="J3812" s="19" cm="1">
        <f t="array" aca="1" ref="J3812" ca="1">INDIRECT("b"&amp;K3812+2)</f>
        <v>0</v>
      </c>
      <c r="K3812" s="19">
        <f t="shared" si="757"/>
        <v>6678</v>
      </c>
    </row>
    <row r="3813" spans="1:11">
      <c r="A3813">
        <v>3811</v>
      </c>
      <c r="B3813">
        <v>3.0250000000000001E+117</v>
      </c>
      <c r="D3813" s="18">
        <v>3811</v>
      </c>
      <c r="E3813" s="18" cm="1">
        <f t="array" aca="1" ref="E3813" ca="1">INDIRECT("b"&amp;F3813+2)</f>
        <v>9.5499999999999997E+158</v>
      </c>
      <c r="F3813" s="18">
        <f t="shared" si="761"/>
        <v>5480</v>
      </c>
      <c r="G3813" s="18"/>
      <c r="H3813" s="18"/>
      <c r="I3813" s="19">
        <v>3811</v>
      </c>
      <c r="J3813" s="19" cm="1">
        <f t="array" aca="1" ref="J3813" ca="1">INDIRECT("b"&amp;K3813+2)</f>
        <v>0</v>
      </c>
      <c r="K3813" s="19">
        <f t="shared" si="757"/>
        <v>6680</v>
      </c>
    </row>
    <row r="3814" spans="1:11">
      <c r="A3814">
        <v>3812</v>
      </c>
      <c r="B3814">
        <v>3.2500000000000002E+117</v>
      </c>
      <c r="D3814" s="18">
        <v>3812</v>
      </c>
      <c r="E3814" s="18" cm="1">
        <f t="array" aca="1" ref="E3814" ca="1">INDIRECT("b"&amp;F3814+2)</f>
        <v>9.7750000000000005E+158</v>
      </c>
      <c r="F3814" s="18">
        <f t="shared" si="761"/>
        <v>5481</v>
      </c>
      <c r="G3814" s="18"/>
      <c r="H3814" s="18"/>
      <c r="I3814" s="19">
        <v>3812</v>
      </c>
      <c r="J3814" s="19" cm="1">
        <f t="array" aca="1" ref="J3814" ca="1">INDIRECT("b"&amp;K3814+2)</f>
        <v>0</v>
      </c>
      <c r="K3814" s="19">
        <f t="shared" si="757"/>
        <v>6681</v>
      </c>
    </row>
    <row r="3815" spans="1:11">
      <c r="A3815">
        <v>3813</v>
      </c>
      <c r="B3815">
        <v>3.4749999999999998E+117</v>
      </c>
      <c r="D3815" s="18">
        <v>3813</v>
      </c>
      <c r="E3815" s="18" cm="1">
        <f t="array" aca="1" ref="E3815" ca="1">INDIRECT("b"&amp;F3815+2)</f>
        <v>9.9999999999999993E+158</v>
      </c>
      <c r="F3815" s="18">
        <f t="shared" si="761"/>
        <v>5482</v>
      </c>
      <c r="G3815" s="18"/>
      <c r="H3815" s="18"/>
      <c r="I3815" s="19">
        <v>3813</v>
      </c>
      <c r="J3815" s="19" cm="1">
        <f t="array" aca="1" ref="J3815" ca="1">INDIRECT("b"&amp;K3815+2)</f>
        <v>0</v>
      </c>
      <c r="K3815" s="19">
        <f t="shared" si="757"/>
        <v>6682</v>
      </c>
    </row>
    <row r="3816" spans="1:11">
      <c r="A3816">
        <v>3814</v>
      </c>
      <c r="B3816">
        <v>3.6999999999999999E+117</v>
      </c>
      <c r="D3816" s="18">
        <v>3814</v>
      </c>
      <c r="E3816" s="18" cm="1">
        <f t="array" aca="1" ref="E3816" ca="1">INDIRECT("b"&amp;F3816+2)</f>
        <v>1.4500000000000001E+159</v>
      </c>
      <c r="F3816" s="18">
        <f t="shared" si="761"/>
        <v>5484</v>
      </c>
      <c r="G3816" s="18">
        <f t="shared" ref="G3816" ca="1" si="766">E3816/E3811</f>
        <v>1.6338028169014087</v>
      </c>
      <c r="H3816" s="18"/>
      <c r="I3816" s="19">
        <v>3814</v>
      </c>
      <c r="J3816" s="19" cm="1">
        <f t="array" aca="1" ref="J3816" ca="1">INDIRECT("b"&amp;K3816+2)</f>
        <v>0</v>
      </c>
      <c r="K3816" s="19">
        <f t="shared" si="757"/>
        <v>6684</v>
      </c>
    </row>
    <row r="3817" spans="1:11">
      <c r="A3817">
        <v>3815</v>
      </c>
      <c r="B3817">
        <v>3.925E+117</v>
      </c>
      <c r="D3817" s="18">
        <v>3815</v>
      </c>
      <c r="E3817" s="18" cm="1">
        <f t="array" aca="1" ref="E3817" ca="1">INDIRECT("b"&amp;F3817+2)</f>
        <v>1.675E+159</v>
      </c>
      <c r="F3817" s="18">
        <f t="shared" si="761"/>
        <v>5485</v>
      </c>
      <c r="G3817" s="18"/>
      <c r="H3817" s="18"/>
      <c r="I3817" s="19">
        <v>3815</v>
      </c>
      <c r="J3817" s="19" cm="1">
        <f t="array" aca="1" ref="J3817" ca="1">INDIRECT("b"&amp;K3817+2)</f>
        <v>0</v>
      </c>
      <c r="K3817" s="19">
        <f t="shared" si="757"/>
        <v>6685</v>
      </c>
    </row>
    <row r="3818" spans="1:11">
      <c r="A3818">
        <v>3816</v>
      </c>
      <c r="B3818">
        <v>4.1500000000000001E+117</v>
      </c>
      <c r="D3818" s="18">
        <v>3816</v>
      </c>
      <c r="E3818" s="18" cm="1">
        <f t="array" aca="1" ref="E3818" ca="1">INDIRECT("b"&amp;F3818+2)</f>
        <v>1.9000000000000002E+159</v>
      </c>
      <c r="F3818" s="18">
        <f t="shared" si="761"/>
        <v>5486</v>
      </c>
      <c r="G3818" s="18"/>
      <c r="H3818" s="18"/>
      <c r="I3818" s="19">
        <v>3816</v>
      </c>
      <c r="J3818" s="19" cm="1">
        <f t="array" aca="1" ref="J3818" ca="1">INDIRECT("b"&amp;K3818+2)</f>
        <v>0</v>
      </c>
      <c r="K3818" s="19">
        <f t="shared" si="757"/>
        <v>6686</v>
      </c>
    </row>
    <row r="3819" spans="1:11">
      <c r="A3819">
        <v>3817</v>
      </c>
      <c r="B3819">
        <v>4.3749999999999996E+117</v>
      </c>
      <c r="D3819" s="18">
        <v>3817</v>
      </c>
      <c r="E3819" s="18" cm="1">
        <f t="array" aca="1" ref="E3819" ca="1">INDIRECT("b"&amp;F3819+2)</f>
        <v>2.3500000000000002E+159</v>
      </c>
      <c r="F3819" s="18">
        <f t="shared" si="761"/>
        <v>5488</v>
      </c>
      <c r="G3819" s="18"/>
      <c r="H3819" s="18"/>
      <c r="I3819" s="19">
        <v>3817</v>
      </c>
      <c r="J3819" s="19" cm="1">
        <f t="array" aca="1" ref="J3819" ca="1">INDIRECT("b"&amp;K3819+2)</f>
        <v>0</v>
      </c>
      <c r="K3819" s="19">
        <f t="shared" si="757"/>
        <v>6688</v>
      </c>
    </row>
    <row r="3820" spans="1:11">
      <c r="A3820">
        <v>3818</v>
      </c>
      <c r="B3820">
        <v>4.5999999999999998E+117</v>
      </c>
      <c r="D3820" s="18">
        <v>3818</v>
      </c>
      <c r="E3820" s="18" cm="1">
        <f t="array" aca="1" ref="E3820" ca="1">INDIRECT("b"&amp;F3820+2)</f>
        <v>2.5750000000000001E+159</v>
      </c>
      <c r="F3820" s="18">
        <f t="shared" si="761"/>
        <v>5489</v>
      </c>
      <c r="G3820" s="18"/>
      <c r="H3820" s="18"/>
      <c r="I3820" s="19">
        <v>3818</v>
      </c>
      <c r="J3820" s="19" cm="1">
        <f t="array" aca="1" ref="J3820" ca="1">INDIRECT("b"&amp;K3820+2)</f>
        <v>0</v>
      </c>
      <c r="K3820" s="19">
        <f t="shared" si="757"/>
        <v>6689</v>
      </c>
    </row>
    <row r="3821" spans="1:11">
      <c r="A3821">
        <v>3819</v>
      </c>
      <c r="B3821">
        <v>4.8249999999999999E+117</v>
      </c>
      <c r="D3821" s="18">
        <v>3819</v>
      </c>
      <c r="E3821" s="18" cm="1">
        <f t="array" aca="1" ref="E3821" ca="1">INDIRECT("b"&amp;F3821+2)</f>
        <v>2.8000000000000001E+159</v>
      </c>
      <c r="F3821" s="18">
        <f t="shared" si="761"/>
        <v>5490</v>
      </c>
      <c r="G3821" s="18">
        <f t="shared" ref="G3821" ca="1" si="767">E3821/E3816</f>
        <v>1.9310344827586208</v>
      </c>
      <c r="H3821" s="18"/>
      <c r="I3821" s="19">
        <v>3819</v>
      </c>
      <c r="J3821" s="19" cm="1">
        <f t="array" aca="1" ref="J3821" ca="1">INDIRECT("b"&amp;K3821+2)</f>
        <v>0</v>
      </c>
      <c r="K3821" s="19">
        <f t="shared" si="757"/>
        <v>6690</v>
      </c>
    </row>
    <row r="3822" spans="1:11">
      <c r="A3822">
        <v>3820</v>
      </c>
      <c r="B3822">
        <v>5.0499999999999994E+117</v>
      </c>
      <c r="D3822" s="18">
        <v>3820</v>
      </c>
      <c r="E3822" s="18" cm="1">
        <f t="array" aca="1" ref="E3822" ca="1">INDIRECT("b"&amp;F3822+2)</f>
        <v>3.2500000000000001E+159</v>
      </c>
      <c r="F3822" s="18">
        <f t="shared" si="761"/>
        <v>5492</v>
      </c>
      <c r="G3822" s="18"/>
      <c r="H3822" s="18"/>
      <c r="I3822" s="19">
        <v>3820</v>
      </c>
      <c r="J3822" s="19" cm="1">
        <f t="array" aca="1" ref="J3822" ca="1">INDIRECT("b"&amp;K3822+2)</f>
        <v>0</v>
      </c>
      <c r="K3822" s="19">
        <f t="shared" si="757"/>
        <v>6692</v>
      </c>
    </row>
    <row r="3823" spans="1:11">
      <c r="A3823">
        <v>3821</v>
      </c>
      <c r="B3823">
        <v>5.2750000000000001E+117</v>
      </c>
      <c r="D3823" s="18">
        <v>3821</v>
      </c>
      <c r="E3823" s="18" cm="1">
        <f t="array" aca="1" ref="E3823" ca="1">INDIRECT("b"&amp;F3823+2)</f>
        <v>3.475E+159</v>
      </c>
      <c r="F3823" s="18">
        <f t="shared" si="761"/>
        <v>5493</v>
      </c>
      <c r="G3823" s="18"/>
      <c r="H3823" s="18"/>
      <c r="I3823" s="19">
        <v>3821</v>
      </c>
      <c r="J3823" s="19" cm="1">
        <f t="array" aca="1" ref="J3823" ca="1">INDIRECT("b"&amp;K3823+2)</f>
        <v>0</v>
      </c>
      <c r="K3823" s="19">
        <f t="shared" si="757"/>
        <v>6693</v>
      </c>
    </row>
    <row r="3824" spans="1:11">
      <c r="A3824">
        <v>3822</v>
      </c>
      <c r="B3824">
        <v>5.4999999999999996E+117</v>
      </c>
      <c r="D3824" s="18">
        <v>3822</v>
      </c>
      <c r="E3824" s="18" cm="1">
        <f t="array" aca="1" ref="E3824" ca="1">INDIRECT("b"&amp;F3824+2)</f>
        <v>3.7E+159</v>
      </c>
      <c r="F3824" s="18">
        <f t="shared" si="761"/>
        <v>5494</v>
      </c>
      <c r="G3824" s="18"/>
      <c r="H3824" s="18"/>
      <c r="I3824" s="19">
        <v>3822</v>
      </c>
      <c r="J3824" s="19" cm="1">
        <f t="array" aca="1" ref="J3824" ca="1">INDIRECT("b"&amp;K3824+2)</f>
        <v>0</v>
      </c>
      <c r="K3824" s="19">
        <f t="shared" si="757"/>
        <v>6694</v>
      </c>
    </row>
    <row r="3825" spans="1:11">
      <c r="A3825">
        <v>3823</v>
      </c>
      <c r="B3825">
        <v>5.7250000000000003E+117</v>
      </c>
      <c r="D3825" s="18">
        <v>3823</v>
      </c>
      <c r="E3825" s="18" cm="1">
        <f t="array" aca="1" ref="E3825" ca="1">INDIRECT("b"&amp;F3825+2)</f>
        <v>4.15E+159</v>
      </c>
      <c r="F3825" s="18">
        <f t="shared" si="761"/>
        <v>5496</v>
      </c>
      <c r="G3825" s="18"/>
      <c r="H3825" s="18"/>
      <c r="I3825" s="19">
        <v>3823</v>
      </c>
      <c r="J3825" s="19" cm="1">
        <f t="array" aca="1" ref="J3825" ca="1">INDIRECT("b"&amp;K3825+2)</f>
        <v>0</v>
      </c>
      <c r="K3825" s="19">
        <f t="shared" si="757"/>
        <v>6696</v>
      </c>
    </row>
    <row r="3826" spans="1:11">
      <c r="A3826">
        <v>3824</v>
      </c>
      <c r="B3826">
        <v>5.9499999999999999E+117</v>
      </c>
      <c r="D3826" s="18">
        <v>3824</v>
      </c>
      <c r="E3826" s="18" cm="1">
        <f t="array" aca="1" ref="E3826" ca="1">INDIRECT("b"&amp;F3826+2)</f>
        <v>4.3750000000000003E+159</v>
      </c>
      <c r="F3826" s="18">
        <f t="shared" si="761"/>
        <v>5497</v>
      </c>
      <c r="G3826" s="18">
        <f t="shared" ref="G3826" ca="1" si="768">E3826/E3821</f>
        <v>1.5625</v>
      </c>
      <c r="H3826" s="18"/>
      <c r="I3826" s="19">
        <v>3824</v>
      </c>
      <c r="J3826" s="19" cm="1">
        <f t="array" aca="1" ref="J3826" ca="1">INDIRECT("b"&amp;K3826+2)</f>
        <v>0</v>
      </c>
      <c r="K3826" s="19">
        <f t="shared" si="757"/>
        <v>6697</v>
      </c>
    </row>
    <row r="3827" spans="1:11">
      <c r="A3827">
        <v>3825</v>
      </c>
      <c r="B3827">
        <v>6.1749999999999994E+117</v>
      </c>
      <c r="D3827" s="18">
        <v>3825</v>
      </c>
      <c r="E3827" s="18" cm="1">
        <f t="array" aca="1" ref="E3827" ca="1">INDIRECT("b"&amp;F3827+2)</f>
        <v>4.5999999999999999E+159</v>
      </c>
      <c r="F3827" s="18">
        <f t="shared" si="761"/>
        <v>5498</v>
      </c>
      <c r="G3827" s="18"/>
      <c r="H3827" s="18"/>
      <c r="I3827" s="19">
        <v>3825</v>
      </c>
      <c r="J3827" s="19" cm="1">
        <f t="array" aca="1" ref="J3827" ca="1">INDIRECT("b"&amp;K3827+2)</f>
        <v>0</v>
      </c>
      <c r="K3827" s="19">
        <f t="shared" si="757"/>
        <v>6698</v>
      </c>
    </row>
    <row r="3828" spans="1:11">
      <c r="A3828">
        <v>3826</v>
      </c>
      <c r="B3828">
        <v>6.4000000000000001E+117</v>
      </c>
      <c r="D3828" s="18">
        <v>3826</v>
      </c>
      <c r="E3828" s="18" cm="1">
        <f t="array" aca="1" ref="E3828" ca="1">INDIRECT("b"&amp;F3828+2)</f>
        <v>5.0499999999999999E+159</v>
      </c>
      <c r="F3828" s="18">
        <f t="shared" si="761"/>
        <v>5500</v>
      </c>
      <c r="G3828" s="18"/>
      <c r="H3828" s="18"/>
      <c r="I3828" s="19">
        <v>3826</v>
      </c>
      <c r="J3828" s="19" cm="1">
        <f t="array" aca="1" ref="J3828" ca="1">INDIRECT("b"&amp;K3828+2)</f>
        <v>0</v>
      </c>
      <c r="K3828" s="19">
        <f t="shared" si="757"/>
        <v>6700</v>
      </c>
    </row>
    <row r="3829" spans="1:11">
      <c r="A3829">
        <v>3827</v>
      </c>
      <c r="B3829">
        <v>6.6249999999999997E+117</v>
      </c>
      <c r="D3829" s="18">
        <v>3827</v>
      </c>
      <c r="E3829" s="18" cm="1">
        <f t="array" aca="1" ref="E3829" ca="1">INDIRECT("b"&amp;F3829+2)</f>
        <v>5.2750000000000002E+159</v>
      </c>
      <c r="F3829" s="18">
        <f t="shared" si="761"/>
        <v>5501</v>
      </c>
      <c r="G3829" s="18"/>
      <c r="H3829" s="18"/>
      <c r="I3829" s="19">
        <v>3827</v>
      </c>
      <c r="J3829" s="19" cm="1">
        <f t="array" aca="1" ref="J3829" ca="1">INDIRECT("b"&amp;K3829+2)</f>
        <v>0</v>
      </c>
      <c r="K3829" s="19">
        <f t="shared" si="757"/>
        <v>6701</v>
      </c>
    </row>
    <row r="3830" spans="1:11">
      <c r="A3830">
        <v>3828</v>
      </c>
      <c r="B3830">
        <v>6.8500000000000003E+117</v>
      </c>
      <c r="D3830" s="18">
        <v>3828</v>
      </c>
      <c r="E3830" s="18" cm="1">
        <f t="array" aca="1" ref="E3830" ca="1">INDIRECT("b"&amp;F3830+2)</f>
        <v>5.4999999999999998E+159</v>
      </c>
      <c r="F3830" s="18">
        <f t="shared" si="761"/>
        <v>5502</v>
      </c>
      <c r="G3830" s="18"/>
      <c r="H3830" s="18"/>
      <c r="I3830" s="19">
        <v>3828</v>
      </c>
      <c r="J3830" s="19" cm="1">
        <f t="array" aca="1" ref="J3830" ca="1">INDIRECT("b"&amp;K3830+2)</f>
        <v>0</v>
      </c>
      <c r="K3830" s="19">
        <f t="shared" si="757"/>
        <v>6702</v>
      </c>
    </row>
    <row r="3831" spans="1:11">
      <c r="A3831">
        <v>3829</v>
      </c>
      <c r="B3831">
        <v>7.0749999999999999E+117</v>
      </c>
      <c r="D3831" s="18">
        <v>3829</v>
      </c>
      <c r="E3831" s="18" cm="1">
        <f t="array" aca="1" ref="E3831" ca="1">INDIRECT("b"&amp;F3831+2)</f>
        <v>5.9499999999999998E+159</v>
      </c>
      <c r="F3831" s="18">
        <f t="shared" si="761"/>
        <v>5504</v>
      </c>
      <c r="G3831" s="18">
        <f t="shared" ref="G3831" ca="1" si="769">E3831/E3826</f>
        <v>1.3599999999999999</v>
      </c>
      <c r="H3831" s="18"/>
      <c r="I3831" s="19">
        <v>3829</v>
      </c>
      <c r="J3831" s="19" cm="1">
        <f t="array" aca="1" ref="J3831" ca="1">INDIRECT("b"&amp;K3831+2)</f>
        <v>0</v>
      </c>
      <c r="K3831" s="19">
        <f t="shared" si="757"/>
        <v>6704</v>
      </c>
    </row>
    <row r="3832" spans="1:11">
      <c r="A3832">
        <v>3830</v>
      </c>
      <c r="B3832">
        <v>7.2999999999999994E+117</v>
      </c>
      <c r="D3832" s="18">
        <v>3830</v>
      </c>
      <c r="E3832" s="18" cm="1">
        <f t="array" aca="1" ref="E3832" ca="1">INDIRECT("b"&amp;F3832+2)</f>
        <v>6.1750000000000001E+159</v>
      </c>
      <c r="F3832" s="18">
        <f t="shared" si="761"/>
        <v>5505</v>
      </c>
      <c r="G3832" s="18"/>
      <c r="H3832" s="18"/>
      <c r="I3832" s="19">
        <v>3830</v>
      </c>
      <c r="J3832" s="19" cm="1">
        <f t="array" aca="1" ref="J3832" ca="1">INDIRECT("b"&amp;K3832+2)</f>
        <v>0</v>
      </c>
      <c r="K3832" s="19">
        <f t="shared" si="757"/>
        <v>6705</v>
      </c>
    </row>
    <row r="3833" spans="1:11">
      <c r="A3833">
        <v>3831</v>
      </c>
      <c r="B3833">
        <v>7.5250000000000001E+117</v>
      </c>
      <c r="D3833" s="18">
        <v>3831</v>
      </c>
      <c r="E3833" s="18" cm="1">
        <f t="array" aca="1" ref="E3833" ca="1">INDIRECT("b"&amp;F3833+2)</f>
        <v>6.4000000000000005E+159</v>
      </c>
      <c r="F3833" s="18">
        <f t="shared" si="761"/>
        <v>5506</v>
      </c>
      <c r="G3833" s="18"/>
      <c r="H3833" s="18"/>
      <c r="I3833" s="19">
        <v>3831</v>
      </c>
      <c r="J3833" s="19" cm="1">
        <f t="array" aca="1" ref="J3833" ca="1">INDIRECT("b"&amp;K3833+2)</f>
        <v>0</v>
      </c>
      <c r="K3833" s="19">
        <f t="shared" si="757"/>
        <v>6706</v>
      </c>
    </row>
    <row r="3834" spans="1:11">
      <c r="A3834">
        <v>3832</v>
      </c>
      <c r="B3834">
        <v>7.7499999999999997E+117</v>
      </c>
      <c r="D3834" s="18">
        <v>3832</v>
      </c>
      <c r="E3834" s="18" cm="1">
        <f t="array" aca="1" ref="E3834" ca="1">INDIRECT("b"&amp;F3834+2)</f>
        <v>6.8500000000000004E+159</v>
      </c>
      <c r="F3834" s="18">
        <f t="shared" si="761"/>
        <v>5508</v>
      </c>
      <c r="G3834" s="18"/>
      <c r="H3834" s="18"/>
      <c r="I3834" s="19">
        <v>3832</v>
      </c>
      <c r="J3834" s="19" cm="1">
        <f t="array" aca="1" ref="J3834" ca="1">INDIRECT("b"&amp;K3834+2)</f>
        <v>0</v>
      </c>
      <c r="K3834" s="19">
        <f t="shared" si="757"/>
        <v>6708</v>
      </c>
    </row>
    <row r="3835" spans="1:11">
      <c r="A3835">
        <v>3833</v>
      </c>
      <c r="B3835">
        <v>7.9750000000000003E+117</v>
      </c>
      <c r="D3835" s="18">
        <v>3833</v>
      </c>
      <c r="E3835" s="18" cm="1">
        <f t="array" aca="1" ref="E3835" ca="1">INDIRECT("b"&amp;F3835+2)</f>
        <v>7.0750000000000008E+159</v>
      </c>
      <c r="F3835" s="18">
        <f t="shared" si="761"/>
        <v>5509</v>
      </c>
      <c r="G3835" s="18"/>
      <c r="H3835" s="18"/>
      <c r="I3835" s="19">
        <v>3833</v>
      </c>
      <c r="J3835" s="19" cm="1">
        <f t="array" aca="1" ref="J3835" ca="1">INDIRECT("b"&amp;K3835+2)</f>
        <v>0</v>
      </c>
      <c r="K3835" s="19">
        <f t="shared" si="757"/>
        <v>6709</v>
      </c>
    </row>
    <row r="3836" spans="1:11">
      <c r="A3836">
        <v>3834</v>
      </c>
      <c r="B3836">
        <v>8.1999999999999999E+117</v>
      </c>
      <c r="D3836" s="18">
        <v>3834</v>
      </c>
      <c r="E3836" s="18" cm="1">
        <f t="array" aca="1" ref="E3836" ca="1">INDIRECT("b"&amp;F3836+2)</f>
        <v>7.3000000000000004E+159</v>
      </c>
      <c r="F3836" s="18">
        <f t="shared" si="761"/>
        <v>5510</v>
      </c>
      <c r="G3836" s="18">
        <f t="shared" ref="G3836" ca="1" si="770">E3836/E3831</f>
        <v>1.2268907563025211</v>
      </c>
      <c r="H3836" s="18"/>
      <c r="I3836" s="19">
        <v>3834</v>
      </c>
      <c r="J3836" s="19" cm="1">
        <f t="array" aca="1" ref="J3836" ca="1">INDIRECT("b"&amp;K3836+2)</f>
        <v>0</v>
      </c>
      <c r="K3836" s="19">
        <f t="shared" si="757"/>
        <v>6710</v>
      </c>
    </row>
    <row r="3837" spans="1:11">
      <c r="A3837">
        <v>3835</v>
      </c>
      <c r="B3837">
        <v>8.4249999999999994E+117</v>
      </c>
      <c r="D3837" s="18">
        <v>3835</v>
      </c>
      <c r="E3837" s="18" cm="1">
        <f t="array" aca="1" ref="E3837" ca="1">INDIRECT("b"&amp;F3837+2)</f>
        <v>7.7499999999999995E+159</v>
      </c>
      <c r="F3837" s="18">
        <f t="shared" si="761"/>
        <v>5512</v>
      </c>
      <c r="G3837" s="18"/>
      <c r="H3837" s="18"/>
      <c r="I3837" s="19">
        <v>3835</v>
      </c>
      <c r="J3837" s="19" cm="1">
        <f t="array" aca="1" ref="J3837" ca="1">INDIRECT("b"&amp;K3837+2)</f>
        <v>0</v>
      </c>
      <c r="K3837" s="19">
        <f t="shared" si="757"/>
        <v>6712</v>
      </c>
    </row>
    <row r="3838" spans="1:11">
      <c r="A3838">
        <v>3836</v>
      </c>
      <c r="B3838">
        <v>8.6500000000000001E+117</v>
      </c>
      <c r="D3838" s="18">
        <v>3836</v>
      </c>
      <c r="E3838" s="18" cm="1">
        <f t="array" aca="1" ref="E3838" ca="1">INDIRECT("b"&amp;F3838+2)</f>
        <v>7.9750000000000007E+159</v>
      </c>
      <c r="F3838" s="18">
        <f t="shared" si="761"/>
        <v>5513</v>
      </c>
      <c r="G3838" s="18"/>
      <c r="H3838" s="18"/>
      <c r="I3838" s="19">
        <v>3836</v>
      </c>
      <c r="J3838" s="19" cm="1">
        <f t="array" aca="1" ref="J3838" ca="1">INDIRECT("b"&amp;K3838+2)</f>
        <v>0</v>
      </c>
      <c r="K3838" s="19">
        <f t="shared" si="757"/>
        <v>6713</v>
      </c>
    </row>
    <row r="3839" spans="1:11">
      <c r="A3839">
        <v>3837</v>
      </c>
      <c r="B3839">
        <v>8.8749999999999997E+117</v>
      </c>
      <c r="D3839" s="18">
        <v>3837</v>
      </c>
      <c r="E3839" s="18" cm="1">
        <f t="array" aca="1" ref="E3839" ca="1">INDIRECT("b"&amp;F3839+2)</f>
        <v>8.2000000000000003E+159</v>
      </c>
      <c r="F3839" s="18">
        <f t="shared" si="761"/>
        <v>5514</v>
      </c>
      <c r="G3839" s="18"/>
      <c r="H3839" s="18"/>
      <c r="I3839" s="19">
        <v>3837</v>
      </c>
      <c r="J3839" s="19" cm="1">
        <f t="array" aca="1" ref="J3839" ca="1">INDIRECT("b"&amp;K3839+2)</f>
        <v>0</v>
      </c>
      <c r="K3839" s="19">
        <f t="shared" si="757"/>
        <v>6714</v>
      </c>
    </row>
    <row r="3840" spans="1:11">
      <c r="A3840">
        <v>3838</v>
      </c>
      <c r="B3840">
        <v>9.1000000000000003E+117</v>
      </c>
      <c r="D3840" s="18">
        <v>3838</v>
      </c>
      <c r="E3840" s="18" cm="1">
        <f t="array" aca="1" ref="E3840" ca="1">INDIRECT("b"&amp;F3840+2)</f>
        <v>8.6499999999999994E+159</v>
      </c>
      <c r="F3840" s="18">
        <f t="shared" si="761"/>
        <v>5516</v>
      </c>
      <c r="G3840" s="18"/>
      <c r="H3840" s="18"/>
      <c r="I3840" s="19">
        <v>3838</v>
      </c>
      <c r="J3840" s="19" cm="1">
        <f t="array" aca="1" ref="J3840" ca="1">INDIRECT("b"&amp;K3840+2)</f>
        <v>0</v>
      </c>
      <c r="K3840" s="19">
        <f t="shared" si="757"/>
        <v>6716</v>
      </c>
    </row>
    <row r="3841" spans="1:11">
      <c r="A3841">
        <v>3839</v>
      </c>
      <c r="B3841">
        <v>9.3249999999999999E+117</v>
      </c>
      <c r="D3841" s="18">
        <v>3839</v>
      </c>
      <c r="E3841" s="18" cm="1">
        <f t="array" aca="1" ref="E3841" ca="1">INDIRECT("b"&amp;F3841+2)</f>
        <v>8.8750000000000006E+159</v>
      </c>
      <c r="F3841" s="18">
        <f t="shared" si="761"/>
        <v>5517</v>
      </c>
      <c r="G3841" s="18">
        <f t="shared" ref="G3841" ca="1" si="771">E3841/E3836</f>
        <v>1.2157534246575343</v>
      </c>
      <c r="H3841" s="18"/>
      <c r="I3841" s="19">
        <v>3839</v>
      </c>
      <c r="J3841" s="19" cm="1">
        <f t="array" aca="1" ref="J3841" ca="1">INDIRECT("b"&amp;K3841+2)</f>
        <v>0</v>
      </c>
      <c r="K3841" s="19">
        <f t="shared" si="757"/>
        <v>6717</v>
      </c>
    </row>
    <row r="3842" spans="1:11">
      <c r="A3842">
        <v>3840</v>
      </c>
      <c r="B3842">
        <v>9.5499999999999994E+117</v>
      </c>
      <c r="D3842" s="18">
        <v>3840</v>
      </c>
      <c r="E3842" s="18" cm="1">
        <f t="array" aca="1" ref="E3842" ca="1">INDIRECT("b"&amp;F3842+2)</f>
        <v>9.1000000000000002E+159</v>
      </c>
      <c r="F3842" s="18">
        <f t="shared" si="761"/>
        <v>5518</v>
      </c>
      <c r="G3842" s="18"/>
      <c r="H3842" s="18"/>
      <c r="I3842" s="19">
        <v>3840</v>
      </c>
      <c r="J3842" s="19" cm="1">
        <f t="array" aca="1" ref="J3842" ca="1">INDIRECT("b"&amp;K3842+2)</f>
        <v>0</v>
      </c>
      <c r="K3842" s="19">
        <f t="shared" si="757"/>
        <v>6718</v>
      </c>
    </row>
    <row r="3843" spans="1:11">
      <c r="A3843">
        <v>3841</v>
      </c>
      <c r="B3843">
        <v>9.7750000000000001E+117</v>
      </c>
      <c r="D3843" s="18">
        <v>3841</v>
      </c>
      <c r="E3843" s="18" cm="1">
        <f t="array" aca="1" ref="E3843" ca="1">INDIRECT("b"&amp;F3843+2)</f>
        <v>9.5500000000000009E+159</v>
      </c>
      <c r="F3843" s="18">
        <f t="shared" si="761"/>
        <v>5520</v>
      </c>
      <c r="G3843" s="18"/>
      <c r="H3843" s="18"/>
      <c r="I3843" s="19">
        <v>3841</v>
      </c>
      <c r="J3843" s="19" cm="1">
        <f t="array" aca="1" ref="J3843" ca="1">INDIRECT("b"&amp;K3843+2)</f>
        <v>0</v>
      </c>
      <c r="K3843" s="19">
        <f t="shared" si="757"/>
        <v>6720</v>
      </c>
    </row>
    <row r="3844" spans="1:11">
      <c r="A3844">
        <v>3842</v>
      </c>
      <c r="B3844">
        <v>1.0000000000000001E+118</v>
      </c>
      <c r="D3844" s="18">
        <v>3842</v>
      </c>
      <c r="E3844" s="18" cm="1">
        <f t="array" aca="1" ref="E3844" ca="1">INDIRECT("b"&amp;F3844+2)</f>
        <v>9.7750000000000005E+159</v>
      </c>
      <c r="F3844" s="18">
        <f t="shared" si="761"/>
        <v>5521</v>
      </c>
      <c r="G3844" s="18"/>
      <c r="H3844" s="18"/>
      <c r="I3844" s="19">
        <v>3842</v>
      </c>
      <c r="J3844" s="19" cm="1">
        <f t="array" aca="1" ref="J3844" ca="1">INDIRECT("b"&amp;K3844+2)</f>
        <v>0</v>
      </c>
      <c r="K3844" s="19">
        <f t="shared" ref="K3844:K3907" si="772">INT((A3844-1)*40/30+900*40/30)+400</f>
        <v>6721</v>
      </c>
    </row>
    <row r="3845" spans="1:11">
      <c r="A3845">
        <v>3843</v>
      </c>
      <c r="B3845">
        <v>1.2250000000000001E+118</v>
      </c>
      <c r="D3845" s="18">
        <v>3843</v>
      </c>
      <c r="E3845" s="18" cm="1">
        <f t="array" aca="1" ref="E3845" ca="1">INDIRECT("b"&amp;F3845+2)</f>
        <v>1E+160</v>
      </c>
      <c r="F3845" s="18">
        <f t="shared" si="761"/>
        <v>5522</v>
      </c>
      <c r="G3845" s="18"/>
      <c r="H3845" s="18"/>
      <c r="I3845" s="19">
        <v>3843</v>
      </c>
      <c r="J3845" s="19" cm="1">
        <f t="array" aca="1" ref="J3845" ca="1">INDIRECT("b"&amp;K3845+2)</f>
        <v>0</v>
      </c>
      <c r="K3845" s="19">
        <f t="shared" si="772"/>
        <v>6722</v>
      </c>
    </row>
    <row r="3846" spans="1:11">
      <c r="A3846">
        <v>3844</v>
      </c>
      <c r="B3846">
        <v>1.4500000000000001E+118</v>
      </c>
      <c r="D3846" s="18">
        <v>3844</v>
      </c>
      <c r="E3846" s="18" cm="1">
        <f t="array" aca="1" ref="E3846" ca="1">INDIRECT("b"&amp;F3846+2)</f>
        <v>1.45E+160</v>
      </c>
      <c r="F3846" s="18">
        <f t="shared" si="761"/>
        <v>5524</v>
      </c>
      <c r="G3846" s="18">
        <f t="shared" ref="G3846" ca="1" si="773">E3846/E3841</f>
        <v>1.6338028169014083</v>
      </c>
      <c r="H3846" s="18"/>
      <c r="I3846" s="19">
        <v>3844</v>
      </c>
      <c r="J3846" s="19" cm="1">
        <f t="array" aca="1" ref="J3846" ca="1">INDIRECT("b"&amp;K3846+2)</f>
        <v>0</v>
      </c>
      <c r="K3846" s="19">
        <f t="shared" si="772"/>
        <v>6724</v>
      </c>
    </row>
    <row r="3847" spans="1:11">
      <c r="A3847">
        <v>3845</v>
      </c>
      <c r="B3847">
        <v>1.6750000000000001E+118</v>
      </c>
      <c r="D3847" s="18">
        <v>3845</v>
      </c>
      <c r="E3847" s="18" cm="1">
        <f t="array" aca="1" ref="E3847" ca="1">INDIRECT("b"&amp;F3847+2)</f>
        <v>1.6750000000000002E+160</v>
      </c>
      <c r="F3847" s="18">
        <f t="shared" si="761"/>
        <v>5525</v>
      </c>
      <c r="G3847" s="18"/>
      <c r="H3847" s="18"/>
      <c r="I3847" s="19">
        <v>3845</v>
      </c>
      <c r="J3847" s="19" cm="1">
        <f t="array" aca="1" ref="J3847" ca="1">INDIRECT("b"&amp;K3847+2)</f>
        <v>0</v>
      </c>
      <c r="K3847" s="19">
        <f t="shared" si="772"/>
        <v>6725</v>
      </c>
    </row>
    <row r="3848" spans="1:11">
      <c r="A3848">
        <v>3846</v>
      </c>
      <c r="B3848">
        <v>1.9000000000000001E+118</v>
      </c>
      <c r="D3848" s="18">
        <v>3846</v>
      </c>
      <c r="E3848" s="18" cm="1">
        <f t="array" aca="1" ref="E3848" ca="1">INDIRECT("b"&amp;F3848+2)</f>
        <v>1.9000000000000001E+160</v>
      </c>
      <c r="F3848" s="18">
        <f t="shared" si="761"/>
        <v>5526</v>
      </c>
      <c r="G3848" s="18">
        <f t="shared" ref="G3848" ca="1" si="774">E3848/E3843</f>
        <v>1.9895287958115182</v>
      </c>
      <c r="H3848" s="18"/>
      <c r="I3848" s="19">
        <v>3846</v>
      </c>
      <c r="J3848" s="19" cm="1">
        <f t="array" aca="1" ref="J3848" ca="1">INDIRECT("b"&amp;K3848+2)</f>
        <v>0</v>
      </c>
      <c r="K3848" s="19">
        <f t="shared" si="772"/>
        <v>6726</v>
      </c>
    </row>
    <row r="3849" spans="1:11">
      <c r="A3849">
        <v>3847</v>
      </c>
      <c r="B3849">
        <v>2.1250000000000001E+118</v>
      </c>
      <c r="D3849" s="18">
        <v>3847</v>
      </c>
      <c r="E3849" s="18" cm="1">
        <f t="array" aca="1" ref="E3849" ca="1">INDIRECT("b"&amp;F3849+2)</f>
        <v>2.3500000000000002E+160</v>
      </c>
      <c r="F3849" s="18">
        <f t="shared" si="761"/>
        <v>5528</v>
      </c>
      <c r="G3849" s="18"/>
      <c r="H3849" s="18"/>
      <c r="I3849" s="19">
        <v>3847</v>
      </c>
      <c r="J3849" s="19" cm="1">
        <f t="array" aca="1" ref="J3849" ca="1">INDIRECT("b"&amp;K3849+2)</f>
        <v>0</v>
      </c>
      <c r="K3849" s="19">
        <f t="shared" si="772"/>
        <v>6728</v>
      </c>
    </row>
    <row r="3850" spans="1:11">
      <c r="A3850">
        <v>3848</v>
      </c>
      <c r="B3850">
        <v>2.3499999999999999E+118</v>
      </c>
      <c r="D3850" s="18">
        <v>3848</v>
      </c>
      <c r="E3850" s="18" cm="1">
        <f t="array" aca="1" ref="E3850" ca="1">INDIRECT("b"&amp;F3850+2)</f>
        <v>2.5750000000000001E+160</v>
      </c>
      <c r="F3850" s="18">
        <f t="shared" si="761"/>
        <v>5529</v>
      </c>
      <c r="G3850" s="18"/>
      <c r="H3850" s="18"/>
      <c r="I3850" s="19">
        <v>3848</v>
      </c>
      <c r="J3850" s="19" cm="1">
        <f t="array" aca="1" ref="J3850" ca="1">INDIRECT("b"&amp;K3850+2)</f>
        <v>0</v>
      </c>
      <c r="K3850" s="19">
        <f t="shared" si="772"/>
        <v>6729</v>
      </c>
    </row>
    <row r="3851" spans="1:11">
      <c r="A3851">
        <v>3849</v>
      </c>
      <c r="B3851">
        <v>2.5750000000000001E+118</v>
      </c>
      <c r="D3851" s="18">
        <v>3849</v>
      </c>
      <c r="E3851" s="18" cm="1">
        <f t="array" aca="1" ref="E3851" ca="1">INDIRECT("b"&amp;F3851+2)</f>
        <v>2.8000000000000003E+160</v>
      </c>
      <c r="F3851" s="18">
        <f t="shared" si="761"/>
        <v>5530</v>
      </c>
      <c r="G3851" s="18"/>
      <c r="H3851" s="18"/>
      <c r="I3851" s="19">
        <v>3849</v>
      </c>
      <c r="J3851" s="19" cm="1">
        <f t="array" aca="1" ref="J3851" ca="1">INDIRECT("b"&amp;K3851+2)</f>
        <v>0</v>
      </c>
      <c r="K3851" s="19">
        <f t="shared" si="772"/>
        <v>6730</v>
      </c>
    </row>
    <row r="3852" spans="1:11">
      <c r="A3852">
        <v>3850</v>
      </c>
      <c r="B3852">
        <v>2.7999999999999999E+118</v>
      </c>
      <c r="D3852" s="18">
        <v>3850</v>
      </c>
      <c r="E3852" s="18" cm="1">
        <f t="array" aca="1" ref="E3852" ca="1">INDIRECT("b"&amp;F3852+2)</f>
        <v>3.2500000000000004E+160</v>
      </c>
      <c r="F3852" s="18">
        <f t="shared" si="761"/>
        <v>5532</v>
      </c>
      <c r="G3852" s="18"/>
      <c r="H3852" s="18"/>
      <c r="I3852" s="19">
        <v>3850</v>
      </c>
      <c r="J3852" s="19" cm="1">
        <f t="array" aca="1" ref="J3852" ca="1">INDIRECT("b"&amp;K3852+2)</f>
        <v>0</v>
      </c>
      <c r="K3852" s="19">
        <f t="shared" si="772"/>
        <v>6732</v>
      </c>
    </row>
    <row r="3853" spans="1:11">
      <c r="A3853">
        <v>3851</v>
      </c>
      <c r="B3853">
        <v>3.0250000000000001E+118</v>
      </c>
      <c r="D3853" s="18">
        <v>3851</v>
      </c>
      <c r="E3853" s="18" cm="1">
        <f t="array" aca="1" ref="E3853" ca="1">INDIRECT("b"&amp;F3853+2)</f>
        <v>3.4750000000000003E+160</v>
      </c>
      <c r="F3853" s="18">
        <f t="shared" si="761"/>
        <v>5533</v>
      </c>
      <c r="G3853" s="18">
        <f t="shared" ref="G3853" ca="1" si="775">E3853/E3848</f>
        <v>1.8289473684210527</v>
      </c>
      <c r="H3853" s="18"/>
      <c r="I3853" s="19">
        <v>3851</v>
      </c>
      <c r="J3853" s="19" cm="1">
        <f t="array" aca="1" ref="J3853" ca="1">INDIRECT("b"&amp;K3853+2)</f>
        <v>0</v>
      </c>
      <c r="K3853" s="19">
        <f t="shared" si="772"/>
        <v>6733</v>
      </c>
    </row>
    <row r="3854" spans="1:11">
      <c r="A3854">
        <v>3852</v>
      </c>
      <c r="B3854">
        <v>3.2499999999999999E+118</v>
      </c>
      <c r="D3854" s="18">
        <v>3852</v>
      </c>
      <c r="E3854" s="18" cm="1">
        <f t="array" aca="1" ref="E3854" ca="1">INDIRECT("b"&amp;F3854+2)</f>
        <v>3.7000000000000002E+160</v>
      </c>
      <c r="F3854" s="18">
        <f t="shared" si="761"/>
        <v>5534</v>
      </c>
      <c r="G3854" s="18"/>
      <c r="H3854" s="18"/>
      <c r="I3854" s="19">
        <v>3852</v>
      </c>
      <c r="J3854" s="19" cm="1">
        <f t="array" aca="1" ref="J3854" ca="1">INDIRECT("b"&amp;K3854+2)</f>
        <v>0</v>
      </c>
      <c r="K3854" s="19">
        <f t="shared" si="772"/>
        <v>6734</v>
      </c>
    </row>
    <row r="3855" spans="1:11">
      <c r="A3855">
        <v>3853</v>
      </c>
      <c r="B3855">
        <v>3.4750000000000001E+118</v>
      </c>
      <c r="D3855" s="18">
        <v>3853</v>
      </c>
      <c r="E3855" s="18" cm="1">
        <f t="array" aca="1" ref="E3855" ca="1">INDIRECT("b"&amp;F3855+2)</f>
        <v>4.15E+160</v>
      </c>
      <c r="F3855" s="18">
        <f t="shared" si="761"/>
        <v>5536</v>
      </c>
      <c r="G3855" s="18"/>
      <c r="H3855" s="18"/>
      <c r="I3855" s="19">
        <v>3853</v>
      </c>
      <c r="J3855" s="19" cm="1">
        <f t="array" aca="1" ref="J3855" ca="1">INDIRECT("b"&amp;K3855+2)</f>
        <v>0</v>
      </c>
      <c r="K3855" s="19">
        <f t="shared" si="772"/>
        <v>6736</v>
      </c>
    </row>
    <row r="3856" spans="1:11">
      <c r="A3856">
        <v>3854</v>
      </c>
      <c r="B3856">
        <v>3.6999999999999999E+118</v>
      </c>
      <c r="D3856" s="18">
        <v>3854</v>
      </c>
      <c r="E3856" s="18" cm="1">
        <f t="array" aca="1" ref="E3856" ca="1">INDIRECT("b"&amp;F3856+2)</f>
        <v>4.3750000000000005E+160</v>
      </c>
      <c r="F3856" s="18">
        <f t="shared" si="761"/>
        <v>5537</v>
      </c>
      <c r="G3856" s="18"/>
      <c r="H3856" s="18"/>
      <c r="I3856" s="19">
        <v>3854</v>
      </c>
      <c r="J3856" s="19" cm="1">
        <f t="array" aca="1" ref="J3856" ca="1">INDIRECT("b"&amp;K3856+2)</f>
        <v>0</v>
      </c>
      <c r="K3856" s="19">
        <f t="shared" si="772"/>
        <v>6737</v>
      </c>
    </row>
    <row r="3857" spans="1:11">
      <c r="A3857">
        <v>3855</v>
      </c>
      <c r="B3857">
        <v>3.9250000000000001E+118</v>
      </c>
      <c r="D3857" s="18">
        <v>3855</v>
      </c>
      <c r="E3857" s="18" cm="1">
        <f t="array" aca="1" ref="E3857" ca="1">INDIRECT("b"&amp;F3857+2)</f>
        <v>4.6000000000000004E+160</v>
      </c>
      <c r="F3857" s="18">
        <f t="shared" si="761"/>
        <v>5538</v>
      </c>
      <c r="G3857" s="18"/>
      <c r="H3857" s="18"/>
      <c r="I3857" s="19">
        <v>3855</v>
      </c>
      <c r="J3857" s="19" cm="1">
        <f t="array" aca="1" ref="J3857" ca="1">INDIRECT("b"&amp;K3857+2)</f>
        <v>0</v>
      </c>
      <c r="K3857" s="19">
        <f t="shared" si="772"/>
        <v>6738</v>
      </c>
    </row>
    <row r="3858" spans="1:11">
      <c r="A3858">
        <v>3856</v>
      </c>
      <c r="B3858">
        <v>4.1499999999999999E+118</v>
      </c>
      <c r="D3858" s="18">
        <v>3856</v>
      </c>
      <c r="E3858" s="18" cm="1">
        <f t="array" aca="1" ref="E3858" ca="1">INDIRECT("b"&amp;F3858+2)</f>
        <v>5.0500000000000002E+160</v>
      </c>
      <c r="F3858" s="18">
        <f t="shared" si="761"/>
        <v>5540</v>
      </c>
      <c r="G3858" s="18">
        <f t="shared" ref="G3858" ca="1" si="776">E3858/E3853</f>
        <v>1.4532374100719423</v>
      </c>
      <c r="H3858" s="18"/>
      <c r="I3858" s="19">
        <v>3856</v>
      </c>
      <c r="J3858" s="19" cm="1">
        <f t="array" aca="1" ref="J3858" ca="1">INDIRECT("b"&amp;K3858+2)</f>
        <v>0</v>
      </c>
      <c r="K3858" s="19">
        <f t="shared" si="772"/>
        <v>6740</v>
      </c>
    </row>
    <row r="3859" spans="1:11">
      <c r="A3859">
        <v>3857</v>
      </c>
      <c r="B3859">
        <v>4.3750000000000001E+118</v>
      </c>
      <c r="D3859" s="18">
        <v>3857</v>
      </c>
      <c r="E3859" s="18" cm="1">
        <f t="array" aca="1" ref="E3859" ca="1">INDIRECT("b"&amp;F3859+2)</f>
        <v>5.2750000000000001E+160</v>
      </c>
      <c r="F3859" s="18">
        <f t="shared" ref="F3859:F3922" si="777">INT((A3859-123)*1.333333)+563</f>
        <v>5541</v>
      </c>
      <c r="G3859" s="18"/>
      <c r="H3859" s="18"/>
      <c r="I3859" s="19">
        <v>3857</v>
      </c>
      <c r="J3859" s="19" cm="1">
        <f t="array" aca="1" ref="J3859" ca="1">INDIRECT("b"&amp;K3859+2)</f>
        <v>0</v>
      </c>
      <c r="K3859" s="19">
        <f t="shared" si="772"/>
        <v>6741</v>
      </c>
    </row>
    <row r="3860" spans="1:11">
      <c r="A3860">
        <v>3858</v>
      </c>
      <c r="B3860">
        <v>4.6000000000000003E+118</v>
      </c>
      <c r="D3860" s="18">
        <v>3858</v>
      </c>
      <c r="E3860" s="18" cm="1">
        <f t="array" aca="1" ref="E3860" ca="1">INDIRECT("b"&amp;F3860+2)</f>
        <v>5.5E+160</v>
      </c>
      <c r="F3860" s="18">
        <f t="shared" si="777"/>
        <v>5542</v>
      </c>
      <c r="G3860" s="18"/>
      <c r="H3860" s="18"/>
      <c r="I3860" s="19">
        <v>3858</v>
      </c>
      <c r="J3860" s="19" cm="1">
        <f t="array" aca="1" ref="J3860" ca="1">INDIRECT("b"&amp;K3860+2)</f>
        <v>0</v>
      </c>
      <c r="K3860" s="19">
        <f t="shared" si="772"/>
        <v>6742</v>
      </c>
    </row>
    <row r="3861" spans="1:11">
      <c r="A3861">
        <v>3859</v>
      </c>
      <c r="B3861">
        <v>4.8250000000000005E+118</v>
      </c>
      <c r="D3861" s="18">
        <v>3859</v>
      </c>
      <c r="E3861" s="18" cm="1">
        <f t="array" aca="1" ref="E3861" ca="1">INDIRECT("b"&amp;F3861+2)</f>
        <v>5.9499999999999998E+160</v>
      </c>
      <c r="F3861" s="18">
        <f t="shared" si="777"/>
        <v>5544</v>
      </c>
      <c r="G3861" s="18"/>
      <c r="H3861" s="18"/>
      <c r="I3861" s="19">
        <v>3859</v>
      </c>
      <c r="J3861" s="19" cm="1">
        <f t="array" aca="1" ref="J3861" ca="1">INDIRECT("b"&amp;K3861+2)</f>
        <v>0</v>
      </c>
      <c r="K3861" s="19">
        <f t="shared" si="772"/>
        <v>6744</v>
      </c>
    </row>
    <row r="3862" spans="1:11">
      <c r="A3862">
        <v>3860</v>
      </c>
      <c r="B3862">
        <v>5.0499999999999999E+118</v>
      </c>
      <c r="D3862" s="18">
        <v>3860</v>
      </c>
      <c r="E3862" s="18" cm="1">
        <f t="array" aca="1" ref="E3862" ca="1">INDIRECT("b"&amp;F3862+2)</f>
        <v>6.1750000000000009E+160</v>
      </c>
      <c r="F3862" s="18">
        <f t="shared" si="777"/>
        <v>5545</v>
      </c>
      <c r="G3862" s="18"/>
      <c r="H3862" s="18"/>
      <c r="I3862" s="19">
        <v>3860</v>
      </c>
      <c r="J3862" s="19" cm="1">
        <f t="array" aca="1" ref="J3862" ca="1">INDIRECT("b"&amp;K3862+2)</f>
        <v>0</v>
      </c>
      <c r="K3862" s="19">
        <f t="shared" si="772"/>
        <v>6745</v>
      </c>
    </row>
    <row r="3863" spans="1:11">
      <c r="A3863">
        <v>3861</v>
      </c>
      <c r="B3863">
        <v>5.2750000000000001E+118</v>
      </c>
      <c r="D3863" s="18">
        <v>3861</v>
      </c>
      <c r="E3863" s="18" cm="1">
        <f t="array" aca="1" ref="E3863" ca="1">INDIRECT("b"&amp;F3863+2)</f>
        <v>6.4000000000000008E+160</v>
      </c>
      <c r="F3863" s="18">
        <f t="shared" si="777"/>
        <v>5546</v>
      </c>
      <c r="G3863" s="18">
        <f t="shared" ref="G3863" ca="1" si="778">E3863/E3858</f>
        <v>1.2673267326732673</v>
      </c>
      <c r="H3863" s="18"/>
      <c r="I3863" s="19">
        <v>3861</v>
      </c>
      <c r="J3863" s="19" cm="1">
        <f t="array" aca="1" ref="J3863" ca="1">INDIRECT("b"&amp;K3863+2)</f>
        <v>0</v>
      </c>
      <c r="K3863" s="19">
        <f t="shared" si="772"/>
        <v>6746</v>
      </c>
    </row>
    <row r="3864" spans="1:11">
      <c r="A3864">
        <v>3862</v>
      </c>
      <c r="B3864">
        <v>5.5000000000000003E+118</v>
      </c>
      <c r="D3864" s="18">
        <v>3862</v>
      </c>
      <c r="E3864" s="18" cm="1">
        <f t="array" aca="1" ref="E3864" ca="1">INDIRECT("b"&amp;F3864+2)</f>
        <v>6.8500000000000006E+160</v>
      </c>
      <c r="F3864" s="18">
        <f t="shared" si="777"/>
        <v>5548</v>
      </c>
      <c r="G3864" s="18"/>
      <c r="H3864" s="18"/>
      <c r="I3864" s="19">
        <v>3862</v>
      </c>
      <c r="J3864" s="19" cm="1">
        <f t="array" aca="1" ref="J3864" ca="1">INDIRECT("b"&amp;K3864+2)</f>
        <v>0</v>
      </c>
      <c r="K3864" s="19">
        <f t="shared" si="772"/>
        <v>6748</v>
      </c>
    </row>
    <row r="3865" spans="1:11">
      <c r="A3865">
        <v>3863</v>
      </c>
      <c r="B3865">
        <v>5.7250000000000005E+118</v>
      </c>
      <c r="D3865" s="18">
        <v>3863</v>
      </c>
      <c r="E3865" s="18" cm="1">
        <f t="array" aca="1" ref="E3865" ca="1">INDIRECT("b"&amp;F3865+2)</f>
        <v>7.0750000000000005E+160</v>
      </c>
      <c r="F3865" s="18">
        <f t="shared" si="777"/>
        <v>5549</v>
      </c>
      <c r="G3865" s="18"/>
      <c r="H3865" s="18"/>
      <c r="I3865" s="19">
        <v>3863</v>
      </c>
      <c r="J3865" s="19" cm="1">
        <f t="array" aca="1" ref="J3865" ca="1">INDIRECT("b"&amp;K3865+2)</f>
        <v>0</v>
      </c>
      <c r="K3865" s="19">
        <f t="shared" si="772"/>
        <v>6749</v>
      </c>
    </row>
    <row r="3866" spans="1:11">
      <c r="A3866">
        <v>3864</v>
      </c>
      <c r="B3866">
        <v>5.9499999999999999E+118</v>
      </c>
      <c r="D3866" s="18">
        <v>3864</v>
      </c>
      <c r="E3866" s="18" cm="1">
        <f t="array" aca="1" ref="E3866" ca="1">INDIRECT("b"&amp;F3866+2)</f>
        <v>7.3000000000000004E+160</v>
      </c>
      <c r="F3866" s="18">
        <f t="shared" si="777"/>
        <v>5550</v>
      </c>
      <c r="G3866" s="18"/>
      <c r="H3866" s="18"/>
      <c r="I3866" s="19">
        <v>3864</v>
      </c>
      <c r="J3866" s="19" cm="1">
        <f t="array" aca="1" ref="J3866" ca="1">INDIRECT("b"&amp;K3866+2)</f>
        <v>0</v>
      </c>
      <c r="K3866" s="19">
        <f t="shared" si="772"/>
        <v>6750</v>
      </c>
    </row>
    <row r="3867" spans="1:11">
      <c r="A3867">
        <v>3865</v>
      </c>
      <c r="B3867">
        <v>6.1750000000000001E+118</v>
      </c>
      <c r="D3867" s="18">
        <v>3865</v>
      </c>
      <c r="E3867" s="18" cm="1">
        <f t="array" aca="1" ref="E3867" ca="1">INDIRECT("b"&amp;F3867+2)</f>
        <v>7.7500000000000002E+160</v>
      </c>
      <c r="F3867" s="18">
        <f t="shared" si="777"/>
        <v>5552</v>
      </c>
      <c r="G3867" s="18"/>
      <c r="H3867" s="18"/>
      <c r="I3867" s="19">
        <v>3865</v>
      </c>
      <c r="J3867" s="19" cm="1">
        <f t="array" aca="1" ref="J3867" ca="1">INDIRECT("b"&amp;K3867+2)</f>
        <v>0</v>
      </c>
      <c r="K3867" s="19">
        <f t="shared" si="772"/>
        <v>6752</v>
      </c>
    </row>
    <row r="3868" spans="1:11">
      <c r="A3868">
        <v>3866</v>
      </c>
      <c r="B3868">
        <v>6.4000000000000003E+118</v>
      </c>
      <c r="D3868" s="18">
        <v>3866</v>
      </c>
      <c r="E3868" s="18" cm="1">
        <f t="array" aca="1" ref="E3868" ca="1">INDIRECT("b"&amp;F3868+2)</f>
        <v>7.9750000000000001E+160</v>
      </c>
      <c r="F3868" s="18">
        <f t="shared" si="777"/>
        <v>5553</v>
      </c>
      <c r="G3868" s="18">
        <f t="shared" ref="G3868" ca="1" si="779">E3868/E3863</f>
        <v>1.2460937499999998</v>
      </c>
      <c r="H3868" s="18"/>
      <c r="I3868" s="19">
        <v>3866</v>
      </c>
      <c r="J3868" s="19" cm="1">
        <f t="array" aca="1" ref="J3868" ca="1">INDIRECT("b"&amp;K3868+2)</f>
        <v>0</v>
      </c>
      <c r="K3868" s="19">
        <f t="shared" si="772"/>
        <v>6753</v>
      </c>
    </row>
    <row r="3869" spans="1:11">
      <c r="A3869">
        <v>3867</v>
      </c>
      <c r="B3869">
        <v>6.6250000000000005E+118</v>
      </c>
      <c r="D3869" s="18">
        <v>3867</v>
      </c>
      <c r="E3869" s="18" cm="1">
        <f t="array" aca="1" ref="E3869" ca="1">INDIRECT("b"&amp;F3869+2)</f>
        <v>8.2E+160</v>
      </c>
      <c r="F3869" s="18">
        <f t="shared" si="777"/>
        <v>5554</v>
      </c>
      <c r="G3869" s="18"/>
      <c r="H3869" s="18"/>
      <c r="I3869" s="19">
        <v>3867</v>
      </c>
      <c r="J3869" s="19" cm="1">
        <f t="array" aca="1" ref="J3869" ca="1">INDIRECT("b"&amp;K3869+2)</f>
        <v>0</v>
      </c>
      <c r="K3869" s="19">
        <f t="shared" si="772"/>
        <v>6754</v>
      </c>
    </row>
    <row r="3870" spans="1:11">
      <c r="A3870">
        <v>3868</v>
      </c>
      <c r="B3870">
        <v>6.8499999999999999E+118</v>
      </c>
      <c r="D3870" s="18">
        <v>3868</v>
      </c>
      <c r="E3870" s="18" cm="1">
        <f t="array" aca="1" ref="E3870" ca="1">INDIRECT("b"&amp;F3870+2)</f>
        <v>8.650000000000001E+160</v>
      </c>
      <c r="F3870" s="18">
        <f t="shared" si="777"/>
        <v>5556</v>
      </c>
      <c r="G3870" s="18"/>
      <c r="H3870" s="18"/>
      <c r="I3870" s="19">
        <v>3868</v>
      </c>
      <c r="J3870" s="19" cm="1">
        <f t="array" aca="1" ref="J3870" ca="1">INDIRECT("b"&amp;K3870+2)</f>
        <v>0</v>
      </c>
      <c r="K3870" s="19">
        <f t="shared" si="772"/>
        <v>6756</v>
      </c>
    </row>
    <row r="3871" spans="1:11">
      <c r="A3871">
        <v>3869</v>
      </c>
      <c r="B3871">
        <v>7.0750000000000001E+118</v>
      </c>
      <c r="D3871" s="18">
        <v>3869</v>
      </c>
      <c r="E3871" s="18" cm="1">
        <f t="array" aca="1" ref="E3871" ca="1">INDIRECT("b"&amp;F3871+2)</f>
        <v>8.8750000000000009E+160</v>
      </c>
      <c r="F3871" s="18">
        <f t="shared" si="777"/>
        <v>5557</v>
      </c>
      <c r="G3871" s="18"/>
      <c r="H3871" s="18"/>
      <c r="I3871" s="19">
        <v>3869</v>
      </c>
      <c r="J3871" s="19" cm="1">
        <f t="array" aca="1" ref="J3871" ca="1">INDIRECT("b"&amp;K3871+2)</f>
        <v>0</v>
      </c>
      <c r="K3871" s="19">
        <f t="shared" si="772"/>
        <v>6757</v>
      </c>
    </row>
    <row r="3872" spans="1:11">
      <c r="A3872">
        <v>3870</v>
      </c>
      <c r="B3872">
        <v>7.3000000000000003E+118</v>
      </c>
      <c r="D3872" s="18">
        <v>3870</v>
      </c>
      <c r="E3872" s="18" cm="1">
        <f t="array" aca="1" ref="E3872" ca="1">INDIRECT("b"&amp;F3872+2)</f>
        <v>9.1000000000000008E+160</v>
      </c>
      <c r="F3872" s="18">
        <f t="shared" si="777"/>
        <v>5558</v>
      </c>
      <c r="G3872" s="18"/>
      <c r="H3872" s="18"/>
      <c r="I3872" s="19">
        <v>3870</v>
      </c>
      <c r="J3872" s="19" cm="1">
        <f t="array" aca="1" ref="J3872" ca="1">INDIRECT("b"&amp;K3872+2)</f>
        <v>0</v>
      </c>
      <c r="K3872" s="19">
        <f t="shared" si="772"/>
        <v>6758</v>
      </c>
    </row>
    <row r="3873" spans="1:11">
      <c r="A3873">
        <v>3871</v>
      </c>
      <c r="B3873">
        <v>7.5250000000000006E+118</v>
      </c>
      <c r="D3873" s="18">
        <v>3871</v>
      </c>
      <c r="E3873" s="18" cm="1">
        <f t="array" aca="1" ref="E3873" ca="1">INDIRECT("b"&amp;F3873+2)</f>
        <v>9.5500000000000006E+160</v>
      </c>
      <c r="F3873" s="18">
        <f t="shared" si="777"/>
        <v>5560</v>
      </c>
      <c r="G3873" s="18">
        <f t="shared" ref="G3873" ca="1" si="780">E3873/E3868</f>
        <v>1.1974921630094044</v>
      </c>
      <c r="H3873" s="18"/>
      <c r="I3873" s="19">
        <v>3871</v>
      </c>
      <c r="J3873" s="19" cm="1">
        <f t="array" aca="1" ref="J3873" ca="1">INDIRECT("b"&amp;K3873+2)</f>
        <v>0</v>
      </c>
      <c r="K3873" s="19">
        <f t="shared" si="772"/>
        <v>6760</v>
      </c>
    </row>
    <row r="3874" spans="1:11">
      <c r="A3874">
        <v>3872</v>
      </c>
      <c r="B3874">
        <v>7.7499999999999999E+118</v>
      </c>
      <c r="D3874" s="18">
        <v>3872</v>
      </c>
      <c r="E3874" s="18" cm="1">
        <f t="array" aca="1" ref="E3874" ca="1">INDIRECT("b"&amp;F3874+2)</f>
        <v>9.7750000000000005E+160</v>
      </c>
      <c r="F3874" s="18">
        <f t="shared" si="777"/>
        <v>5561</v>
      </c>
      <c r="G3874" s="18"/>
      <c r="H3874" s="18"/>
      <c r="I3874" s="19">
        <v>3872</v>
      </c>
      <c r="J3874" s="19" cm="1">
        <f t="array" aca="1" ref="J3874" ca="1">INDIRECT("b"&amp;K3874+2)</f>
        <v>0</v>
      </c>
      <c r="K3874" s="19">
        <f t="shared" si="772"/>
        <v>6761</v>
      </c>
    </row>
    <row r="3875" spans="1:11">
      <c r="A3875">
        <v>3873</v>
      </c>
      <c r="B3875">
        <v>7.9750000000000001E+118</v>
      </c>
      <c r="D3875" s="18">
        <v>3873</v>
      </c>
      <c r="E3875" s="18" cm="1">
        <f t="array" aca="1" ref="E3875" ca="1">INDIRECT("b"&amp;F3875+2)</f>
        <v>1E+161</v>
      </c>
      <c r="F3875" s="18">
        <f t="shared" si="777"/>
        <v>5562</v>
      </c>
      <c r="G3875" s="18"/>
      <c r="H3875" s="18"/>
      <c r="I3875" s="19">
        <v>3873</v>
      </c>
      <c r="J3875" s="19" cm="1">
        <f t="array" aca="1" ref="J3875" ca="1">INDIRECT("b"&amp;K3875+2)</f>
        <v>0</v>
      </c>
      <c r="K3875" s="19">
        <f t="shared" si="772"/>
        <v>6762</v>
      </c>
    </row>
    <row r="3876" spans="1:11">
      <c r="A3876">
        <v>3874</v>
      </c>
      <c r="B3876">
        <v>8.1999999999999994E+118</v>
      </c>
      <c r="D3876" s="18">
        <v>3874</v>
      </c>
      <c r="E3876" s="18" cm="1">
        <f t="array" aca="1" ref="E3876" ca="1">INDIRECT("b"&amp;F3876+2)</f>
        <v>1.4500000000000001E+161</v>
      </c>
      <c r="F3876" s="18">
        <f t="shared" si="777"/>
        <v>5564</v>
      </c>
      <c r="G3876" s="18"/>
      <c r="H3876" s="18"/>
      <c r="I3876" s="19">
        <v>3874</v>
      </c>
      <c r="J3876" s="19" cm="1">
        <f t="array" aca="1" ref="J3876" ca="1">INDIRECT("b"&amp;K3876+2)</f>
        <v>0</v>
      </c>
      <c r="K3876" s="19">
        <f t="shared" si="772"/>
        <v>6764</v>
      </c>
    </row>
    <row r="3877" spans="1:11">
      <c r="A3877">
        <v>3875</v>
      </c>
      <c r="B3877">
        <v>8.4250000000000006E+118</v>
      </c>
      <c r="D3877" s="18">
        <v>3875</v>
      </c>
      <c r="E3877" s="18" cm="1">
        <f t="array" aca="1" ref="E3877" ca="1">INDIRECT("b"&amp;F3877+2)</f>
        <v>1.675E+161</v>
      </c>
      <c r="F3877" s="18">
        <f t="shared" si="777"/>
        <v>5565</v>
      </c>
      <c r="G3877" s="18"/>
      <c r="H3877" s="18"/>
      <c r="I3877" s="19">
        <v>3875</v>
      </c>
      <c r="J3877" s="19" cm="1">
        <f t="array" aca="1" ref="J3877" ca="1">INDIRECT("b"&amp;K3877+2)</f>
        <v>0</v>
      </c>
      <c r="K3877" s="19">
        <f t="shared" si="772"/>
        <v>6765</v>
      </c>
    </row>
    <row r="3878" spans="1:11">
      <c r="A3878">
        <v>3876</v>
      </c>
      <c r="B3878">
        <v>8.6499999999999999E+118</v>
      </c>
      <c r="D3878" s="18">
        <v>3876</v>
      </c>
      <c r="E3878" s="18" cm="1">
        <f t="array" aca="1" ref="E3878" ca="1">INDIRECT("b"&amp;F3878+2)</f>
        <v>1.9000000000000001E+161</v>
      </c>
      <c r="F3878" s="18">
        <f t="shared" si="777"/>
        <v>5566</v>
      </c>
      <c r="G3878" s="18">
        <f t="shared" ref="G3878" ca="1" si="781">E3878/E3873</f>
        <v>1.9895287958115184</v>
      </c>
      <c r="H3878" s="18"/>
      <c r="I3878" s="19">
        <v>3876</v>
      </c>
      <c r="J3878" s="19" cm="1">
        <f t="array" aca="1" ref="J3878" ca="1">INDIRECT("b"&amp;K3878+2)</f>
        <v>0</v>
      </c>
      <c r="K3878" s="19">
        <f t="shared" si="772"/>
        <v>6766</v>
      </c>
    </row>
    <row r="3879" spans="1:11">
      <c r="A3879">
        <v>3877</v>
      </c>
      <c r="B3879">
        <v>8.875000000000001E+118</v>
      </c>
      <c r="D3879" s="18">
        <v>3877</v>
      </c>
      <c r="E3879" s="18" cm="1">
        <f t="array" aca="1" ref="E3879" ca="1">INDIRECT("b"&amp;F3879+2)</f>
        <v>2.3499999999999999E+161</v>
      </c>
      <c r="F3879" s="18">
        <f t="shared" si="777"/>
        <v>5568</v>
      </c>
      <c r="G3879" s="18"/>
      <c r="H3879" s="18"/>
      <c r="I3879" s="19">
        <v>3877</v>
      </c>
      <c r="J3879" s="19" cm="1">
        <f t="array" aca="1" ref="J3879" ca="1">INDIRECT("b"&amp;K3879+2)</f>
        <v>0</v>
      </c>
      <c r="K3879" s="19">
        <f t="shared" si="772"/>
        <v>6768</v>
      </c>
    </row>
    <row r="3880" spans="1:11">
      <c r="A3880">
        <v>3878</v>
      </c>
      <c r="B3880">
        <v>9.1000000000000003E+118</v>
      </c>
      <c r="D3880" s="18">
        <v>3878</v>
      </c>
      <c r="E3880" s="18" cm="1">
        <f t="array" aca="1" ref="E3880" ca="1">INDIRECT("b"&amp;F3880+2)</f>
        <v>2.5750000000000001E+161</v>
      </c>
      <c r="F3880" s="18">
        <f t="shared" si="777"/>
        <v>5569</v>
      </c>
      <c r="G3880" s="18"/>
      <c r="H3880" s="18"/>
      <c r="I3880" s="19">
        <v>3878</v>
      </c>
      <c r="J3880" s="19" cm="1">
        <f t="array" aca="1" ref="J3880" ca="1">INDIRECT("b"&amp;K3880+2)</f>
        <v>0</v>
      </c>
      <c r="K3880" s="19">
        <f t="shared" si="772"/>
        <v>6769</v>
      </c>
    </row>
    <row r="3881" spans="1:11">
      <c r="A3881">
        <v>3879</v>
      </c>
      <c r="B3881">
        <v>9.3249999999999997E+118</v>
      </c>
      <c r="D3881" s="18">
        <v>3879</v>
      </c>
      <c r="E3881" s="18" cm="1">
        <f t="array" aca="1" ref="E3881" ca="1">INDIRECT("b"&amp;F3881+2)</f>
        <v>2.8000000000000002E+161</v>
      </c>
      <c r="F3881" s="18">
        <f t="shared" si="777"/>
        <v>5570</v>
      </c>
      <c r="G3881" s="18"/>
      <c r="H3881" s="18"/>
      <c r="I3881" s="19">
        <v>3879</v>
      </c>
      <c r="J3881" s="19" cm="1">
        <f t="array" aca="1" ref="J3881" ca="1">INDIRECT("b"&amp;K3881+2)</f>
        <v>0</v>
      </c>
      <c r="K3881" s="19">
        <f t="shared" si="772"/>
        <v>6770</v>
      </c>
    </row>
    <row r="3882" spans="1:11">
      <c r="A3882">
        <v>3880</v>
      </c>
      <c r="B3882">
        <v>9.5500000000000008E+118</v>
      </c>
      <c r="D3882" s="18">
        <v>3880</v>
      </c>
      <c r="E3882" s="18" cm="1">
        <f t="array" aca="1" ref="E3882" ca="1">INDIRECT("b"&amp;F3882+2)</f>
        <v>3.25E+161</v>
      </c>
      <c r="F3882" s="18">
        <f t="shared" si="777"/>
        <v>5572</v>
      </c>
      <c r="G3882" s="18"/>
      <c r="H3882" s="18"/>
      <c r="I3882" s="19">
        <v>3880</v>
      </c>
      <c r="J3882" s="19" cm="1">
        <f t="array" aca="1" ref="J3882" ca="1">INDIRECT("b"&amp;K3882+2)</f>
        <v>0</v>
      </c>
      <c r="K3882" s="19">
        <f t="shared" si="772"/>
        <v>6772</v>
      </c>
    </row>
    <row r="3883" spans="1:11">
      <c r="A3883">
        <v>3881</v>
      </c>
      <c r="B3883">
        <v>9.7750000000000001E+118</v>
      </c>
      <c r="D3883" s="18">
        <v>3881</v>
      </c>
      <c r="E3883" s="18" cm="1">
        <f t="array" aca="1" ref="E3883" ca="1">INDIRECT("b"&amp;F3883+2)</f>
        <v>3.4750000000000001E+161</v>
      </c>
      <c r="F3883" s="18">
        <f t="shared" si="777"/>
        <v>5573</v>
      </c>
      <c r="G3883" s="18">
        <f t="shared" ref="G3883" ca="1" si="782">E3883/E3878</f>
        <v>1.8289473684210527</v>
      </c>
      <c r="H3883" s="18"/>
      <c r="I3883" s="19">
        <v>3881</v>
      </c>
      <c r="J3883" s="19" cm="1">
        <f t="array" aca="1" ref="J3883" ca="1">INDIRECT("b"&amp;K3883+2)</f>
        <v>0</v>
      </c>
      <c r="K3883" s="19">
        <f t="shared" si="772"/>
        <v>6773</v>
      </c>
    </row>
    <row r="3884" spans="1:11">
      <c r="A3884">
        <v>3882</v>
      </c>
      <c r="B3884">
        <v>9.9999999999999994E+118</v>
      </c>
      <c r="D3884" s="18">
        <v>3882</v>
      </c>
      <c r="E3884" s="18" cm="1">
        <f t="array" aca="1" ref="E3884" ca="1">INDIRECT("b"&amp;F3884+2)</f>
        <v>3.6999999999999998E+161</v>
      </c>
      <c r="F3884" s="18">
        <f t="shared" si="777"/>
        <v>5574</v>
      </c>
      <c r="G3884" s="18"/>
      <c r="H3884" s="18"/>
      <c r="I3884" s="19">
        <v>3882</v>
      </c>
      <c r="J3884" s="19" cm="1">
        <f t="array" aca="1" ref="J3884" ca="1">INDIRECT("b"&amp;K3884+2)</f>
        <v>0</v>
      </c>
      <c r="K3884" s="19">
        <f t="shared" si="772"/>
        <v>6774</v>
      </c>
    </row>
    <row r="3885" spans="1:11">
      <c r="A3885">
        <v>3883</v>
      </c>
      <c r="B3885">
        <v>1.225E+119</v>
      </c>
      <c r="D3885" s="18">
        <v>3883</v>
      </c>
      <c r="E3885" s="18" cm="1">
        <f t="array" aca="1" ref="E3885" ca="1">INDIRECT("b"&amp;F3885+2)</f>
        <v>4.1500000000000001E+161</v>
      </c>
      <c r="F3885" s="18">
        <f t="shared" si="777"/>
        <v>5576</v>
      </c>
      <c r="G3885" s="18"/>
      <c r="H3885" s="18"/>
      <c r="I3885" s="19">
        <v>3883</v>
      </c>
      <c r="J3885" s="19" cm="1">
        <f t="array" aca="1" ref="J3885" ca="1">INDIRECT("b"&amp;K3885+2)</f>
        <v>0</v>
      </c>
      <c r="K3885" s="19">
        <f t="shared" si="772"/>
        <v>6776</v>
      </c>
    </row>
    <row r="3886" spans="1:11">
      <c r="A3886">
        <v>3884</v>
      </c>
      <c r="B3886">
        <v>1.4499999999999999E+119</v>
      </c>
      <c r="D3886" s="18">
        <v>3884</v>
      </c>
      <c r="E3886" s="18" cm="1">
        <f t="array" aca="1" ref="E3886" ca="1">INDIRECT("b"&amp;F3886+2)</f>
        <v>4.3750000000000002E+161</v>
      </c>
      <c r="F3886" s="18">
        <f t="shared" si="777"/>
        <v>5577</v>
      </c>
      <c r="G3886" s="18"/>
      <c r="H3886" s="18"/>
      <c r="I3886" s="19">
        <v>3884</v>
      </c>
      <c r="J3886" s="19" cm="1">
        <f t="array" aca="1" ref="J3886" ca="1">INDIRECT("b"&amp;K3886+2)</f>
        <v>0</v>
      </c>
      <c r="K3886" s="19">
        <f t="shared" si="772"/>
        <v>6777</v>
      </c>
    </row>
    <row r="3887" spans="1:11">
      <c r="A3887">
        <v>3885</v>
      </c>
      <c r="B3887">
        <v>1.6749999999999999E+119</v>
      </c>
      <c r="D3887" s="18">
        <v>3885</v>
      </c>
      <c r="E3887" s="18" cm="1">
        <f t="array" aca="1" ref="E3887" ca="1">INDIRECT("b"&amp;F3887+2)</f>
        <v>4.5999999999999999E+161</v>
      </c>
      <c r="F3887" s="18">
        <f t="shared" si="777"/>
        <v>5578</v>
      </c>
      <c r="G3887" s="18"/>
      <c r="H3887" s="18"/>
      <c r="I3887" s="19">
        <v>3885</v>
      </c>
      <c r="J3887" s="19" cm="1">
        <f t="array" aca="1" ref="J3887" ca="1">INDIRECT("b"&amp;K3887+2)</f>
        <v>0</v>
      </c>
      <c r="K3887" s="19">
        <f t="shared" si="772"/>
        <v>6778</v>
      </c>
    </row>
    <row r="3888" spans="1:11">
      <c r="A3888">
        <v>3886</v>
      </c>
      <c r="B3888">
        <v>1.8999999999999999E+119</v>
      </c>
      <c r="D3888" s="18">
        <v>3886</v>
      </c>
      <c r="E3888" s="18" cm="1">
        <f t="array" aca="1" ref="E3888" ca="1">INDIRECT("b"&amp;F3888+2)</f>
        <v>5.0500000000000002E+161</v>
      </c>
      <c r="F3888" s="18">
        <f t="shared" si="777"/>
        <v>5580</v>
      </c>
      <c r="G3888" s="18">
        <f t="shared" ref="G3888" ca="1" si="783">E3888/E3883</f>
        <v>1.4532374100719425</v>
      </c>
      <c r="H3888" s="18"/>
      <c r="I3888" s="19">
        <v>3886</v>
      </c>
      <c r="J3888" s="19" cm="1">
        <f t="array" aca="1" ref="J3888" ca="1">INDIRECT("b"&amp;K3888+2)</f>
        <v>0</v>
      </c>
      <c r="K3888" s="19">
        <f t="shared" si="772"/>
        <v>6780</v>
      </c>
    </row>
    <row r="3889" spans="1:11">
      <c r="A3889">
        <v>3887</v>
      </c>
      <c r="B3889">
        <v>2.125E+119</v>
      </c>
      <c r="D3889" s="18">
        <v>3887</v>
      </c>
      <c r="E3889" s="18" cm="1">
        <f t="array" aca="1" ref="E3889" ca="1">INDIRECT("b"&amp;F3889+2)</f>
        <v>5.2750000000000003E+161</v>
      </c>
      <c r="F3889" s="18">
        <f t="shared" si="777"/>
        <v>5581</v>
      </c>
      <c r="G3889" s="18"/>
      <c r="H3889" s="18"/>
      <c r="I3889" s="19">
        <v>3887</v>
      </c>
      <c r="J3889" s="19" cm="1">
        <f t="array" aca="1" ref="J3889" ca="1">INDIRECT("b"&amp;K3889+2)</f>
        <v>0</v>
      </c>
      <c r="K3889" s="19">
        <f t="shared" si="772"/>
        <v>6781</v>
      </c>
    </row>
    <row r="3890" spans="1:11">
      <c r="A3890">
        <v>3888</v>
      </c>
      <c r="B3890">
        <v>2.35E+119</v>
      </c>
      <c r="D3890" s="18">
        <v>3888</v>
      </c>
      <c r="E3890" s="18" cm="1">
        <f t="array" aca="1" ref="E3890" ca="1">INDIRECT("b"&amp;F3890+2)</f>
        <v>5.5000000000000005E+161</v>
      </c>
      <c r="F3890" s="18">
        <f t="shared" si="777"/>
        <v>5582</v>
      </c>
      <c r="G3890" s="18"/>
      <c r="H3890" s="18"/>
      <c r="I3890" s="19">
        <v>3888</v>
      </c>
      <c r="J3890" s="19" cm="1">
        <f t="array" aca="1" ref="J3890" ca="1">INDIRECT("b"&amp;K3890+2)</f>
        <v>0</v>
      </c>
      <c r="K3890" s="19">
        <f t="shared" si="772"/>
        <v>6782</v>
      </c>
    </row>
    <row r="3891" spans="1:11">
      <c r="A3891">
        <v>3889</v>
      </c>
      <c r="B3891">
        <v>2.5749999999999997E+119</v>
      </c>
      <c r="D3891" s="18">
        <v>3889</v>
      </c>
      <c r="E3891" s="18" cm="1">
        <f t="array" aca="1" ref="E3891" ca="1">INDIRECT("b"&amp;F3891+2)</f>
        <v>5.9499999999999998E+161</v>
      </c>
      <c r="F3891" s="18">
        <f t="shared" si="777"/>
        <v>5584</v>
      </c>
      <c r="G3891" s="18"/>
      <c r="H3891" s="18"/>
      <c r="I3891" s="19">
        <v>3889</v>
      </c>
      <c r="J3891" s="19" cm="1">
        <f t="array" aca="1" ref="J3891" ca="1">INDIRECT("b"&amp;K3891+2)</f>
        <v>0</v>
      </c>
      <c r="K3891" s="19">
        <f t="shared" si="772"/>
        <v>6784</v>
      </c>
    </row>
    <row r="3892" spans="1:11">
      <c r="A3892">
        <v>3890</v>
      </c>
      <c r="B3892">
        <v>2.7999999999999998E+119</v>
      </c>
      <c r="D3892" s="18">
        <v>3890</v>
      </c>
      <c r="E3892" s="18" cm="1">
        <f t="array" aca="1" ref="E3892" ca="1">INDIRECT("b"&amp;F3892+2)</f>
        <v>6.1749999999999999E+161</v>
      </c>
      <c r="F3892" s="18">
        <f t="shared" si="777"/>
        <v>5585</v>
      </c>
      <c r="G3892" s="18"/>
      <c r="H3892" s="18"/>
      <c r="I3892" s="19">
        <v>3890</v>
      </c>
      <c r="J3892" s="19" cm="1">
        <f t="array" aca="1" ref="J3892" ca="1">INDIRECT("b"&amp;K3892+2)</f>
        <v>0</v>
      </c>
      <c r="K3892" s="19">
        <f t="shared" si="772"/>
        <v>6785</v>
      </c>
    </row>
    <row r="3893" spans="1:11">
      <c r="A3893">
        <v>3891</v>
      </c>
      <c r="B3893">
        <v>3.0249999999999998E+119</v>
      </c>
      <c r="D3893" s="18">
        <v>3891</v>
      </c>
      <c r="E3893" s="18" cm="1">
        <f t="array" aca="1" ref="E3893" ca="1">INDIRECT("b"&amp;F3893+2)</f>
        <v>6.4E+161</v>
      </c>
      <c r="F3893" s="18">
        <f t="shared" si="777"/>
        <v>5586</v>
      </c>
      <c r="G3893" s="18">
        <f t="shared" ref="G3893" ca="1" si="784">E3893/E3888</f>
        <v>1.2673267326732673</v>
      </c>
      <c r="H3893" s="18"/>
      <c r="I3893" s="19">
        <v>3891</v>
      </c>
      <c r="J3893" s="19" cm="1">
        <f t="array" aca="1" ref="J3893" ca="1">INDIRECT("b"&amp;K3893+2)</f>
        <v>0</v>
      </c>
      <c r="K3893" s="19">
        <f t="shared" si="772"/>
        <v>6786</v>
      </c>
    </row>
    <row r="3894" spans="1:11">
      <c r="A3894">
        <v>3892</v>
      </c>
      <c r="B3894">
        <v>3.2499999999999999E+119</v>
      </c>
      <c r="D3894" s="18">
        <v>3892</v>
      </c>
      <c r="E3894" s="18" cm="1">
        <f t="array" aca="1" ref="E3894" ca="1">INDIRECT("b"&amp;F3894+2)</f>
        <v>6.8500000000000003E+161</v>
      </c>
      <c r="F3894" s="18">
        <f t="shared" si="777"/>
        <v>5588</v>
      </c>
      <c r="G3894" s="18"/>
      <c r="H3894" s="18"/>
      <c r="I3894" s="19">
        <v>3892</v>
      </c>
      <c r="J3894" s="19" cm="1">
        <f t="array" aca="1" ref="J3894" ca="1">INDIRECT("b"&amp;K3894+2)</f>
        <v>0</v>
      </c>
      <c r="K3894" s="19">
        <f t="shared" si="772"/>
        <v>6788</v>
      </c>
    </row>
    <row r="3895" spans="1:11">
      <c r="A3895">
        <v>3893</v>
      </c>
      <c r="B3895">
        <v>3.4749999999999999E+119</v>
      </c>
      <c r="D3895" s="18">
        <v>3893</v>
      </c>
      <c r="E3895" s="18" cm="1">
        <f t="array" aca="1" ref="E3895" ca="1">INDIRECT("b"&amp;F3895+2)</f>
        <v>7.0750000000000005E+161</v>
      </c>
      <c r="F3895" s="18">
        <f t="shared" si="777"/>
        <v>5589</v>
      </c>
      <c r="G3895" s="18"/>
      <c r="H3895" s="18"/>
      <c r="I3895" s="19">
        <v>3893</v>
      </c>
      <c r="J3895" s="19" cm="1">
        <f t="array" aca="1" ref="J3895" ca="1">INDIRECT("b"&amp;K3895+2)</f>
        <v>0</v>
      </c>
      <c r="K3895" s="19">
        <f t="shared" si="772"/>
        <v>6789</v>
      </c>
    </row>
    <row r="3896" spans="1:11">
      <c r="A3896">
        <v>3894</v>
      </c>
      <c r="B3896">
        <v>3.7E+119</v>
      </c>
      <c r="D3896" s="18">
        <v>3894</v>
      </c>
      <c r="E3896" s="18" cm="1">
        <f t="array" aca="1" ref="E3896" ca="1">INDIRECT("b"&amp;F3896+2)</f>
        <v>7.2999999999999996E+161</v>
      </c>
      <c r="F3896" s="18">
        <f t="shared" si="777"/>
        <v>5590</v>
      </c>
      <c r="G3896" s="18"/>
      <c r="H3896" s="18"/>
      <c r="I3896" s="19">
        <v>3894</v>
      </c>
      <c r="J3896" s="19" cm="1">
        <f t="array" aca="1" ref="J3896" ca="1">INDIRECT("b"&amp;K3896+2)</f>
        <v>0</v>
      </c>
      <c r="K3896" s="19">
        <f t="shared" si="772"/>
        <v>6790</v>
      </c>
    </row>
    <row r="3897" spans="1:11">
      <c r="A3897">
        <v>3895</v>
      </c>
      <c r="B3897">
        <v>3.925E+119</v>
      </c>
      <c r="D3897" s="18">
        <v>3895</v>
      </c>
      <c r="E3897" s="18" cm="1">
        <f t="array" aca="1" ref="E3897" ca="1">INDIRECT("b"&amp;F3897+2)</f>
        <v>7.7499999999999999E+161</v>
      </c>
      <c r="F3897" s="18">
        <f t="shared" si="777"/>
        <v>5592</v>
      </c>
      <c r="G3897" s="18"/>
      <c r="H3897" s="18"/>
      <c r="I3897" s="19">
        <v>3895</v>
      </c>
      <c r="J3897" s="19" cm="1">
        <f t="array" aca="1" ref="J3897" ca="1">INDIRECT("b"&amp;K3897+2)</f>
        <v>0</v>
      </c>
      <c r="K3897" s="19">
        <f t="shared" si="772"/>
        <v>6792</v>
      </c>
    </row>
    <row r="3898" spans="1:11">
      <c r="A3898">
        <v>3896</v>
      </c>
      <c r="B3898">
        <v>4.15E+119</v>
      </c>
      <c r="D3898" s="18">
        <v>3896</v>
      </c>
      <c r="E3898" s="18" cm="1">
        <f t="array" aca="1" ref="E3898" ca="1">INDIRECT("b"&amp;F3898+2)</f>
        <v>7.9750000000000001E+161</v>
      </c>
      <c r="F3898" s="18">
        <f t="shared" si="777"/>
        <v>5593</v>
      </c>
      <c r="G3898" s="18">
        <f t="shared" ref="G3898" ca="1" si="785">E3898/E3893</f>
        <v>1.24609375</v>
      </c>
      <c r="H3898" s="18"/>
      <c r="I3898" s="19">
        <v>3896</v>
      </c>
      <c r="J3898" s="19" cm="1">
        <f t="array" aca="1" ref="J3898" ca="1">INDIRECT("b"&amp;K3898+2)</f>
        <v>0</v>
      </c>
      <c r="K3898" s="19">
        <f t="shared" si="772"/>
        <v>6793</v>
      </c>
    </row>
    <row r="3899" spans="1:11">
      <c r="A3899">
        <v>3897</v>
      </c>
      <c r="B3899">
        <v>4.3750000000000001E+119</v>
      </c>
      <c r="D3899" s="18">
        <v>3897</v>
      </c>
      <c r="E3899" s="18" cm="1">
        <f t="array" aca="1" ref="E3899" ca="1">INDIRECT("b"&amp;F3899+2)</f>
        <v>8.2000000000000002E+161</v>
      </c>
      <c r="F3899" s="18">
        <f t="shared" si="777"/>
        <v>5594</v>
      </c>
      <c r="G3899" s="18"/>
      <c r="H3899" s="18"/>
      <c r="I3899" s="19">
        <v>3897</v>
      </c>
      <c r="J3899" s="19" cm="1">
        <f t="array" aca="1" ref="J3899" ca="1">INDIRECT("b"&amp;K3899+2)</f>
        <v>0</v>
      </c>
      <c r="K3899" s="19">
        <f t="shared" si="772"/>
        <v>6794</v>
      </c>
    </row>
    <row r="3900" spans="1:11">
      <c r="A3900">
        <v>3898</v>
      </c>
      <c r="B3900">
        <v>4.6000000000000001E+119</v>
      </c>
      <c r="D3900" s="18">
        <v>3898</v>
      </c>
      <c r="E3900" s="18" cm="1">
        <f t="array" aca="1" ref="E3900" ca="1">INDIRECT("b"&amp;F3900+2)</f>
        <v>8.6499999999999995E+161</v>
      </c>
      <c r="F3900" s="18">
        <f t="shared" si="777"/>
        <v>5596</v>
      </c>
      <c r="G3900" s="18"/>
      <c r="H3900" s="18"/>
      <c r="I3900" s="19">
        <v>3898</v>
      </c>
      <c r="J3900" s="19" cm="1">
        <f t="array" aca="1" ref="J3900" ca="1">INDIRECT("b"&amp;K3900+2)</f>
        <v>0</v>
      </c>
      <c r="K3900" s="19">
        <f t="shared" si="772"/>
        <v>6796</v>
      </c>
    </row>
    <row r="3901" spans="1:11">
      <c r="A3901">
        <v>3899</v>
      </c>
      <c r="B3901">
        <v>4.8249999999999995E+119</v>
      </c>
      <c r="D3901" s="18">
        <v>3899</v>
      </c>
      <c r="E3901" s="18" cm="1">
        <f t="array" aca="1" ref="E3901" ca="1">INDIRECT("b"&amp;F3901+2)</f>
        <v>8.8749999999999996E+161</v>
      </c>
      <c r="F3901" s="18">
        <f t="shared" si="777"/>
        <v>5597</v>
      </c>
      <c r="G3901" s="18"/>
      <c r="H3901" s="18"/>
      <c r="I3901" s="19">
        <v>3899</v>
      </c>
      <c r="J3901" s="19" cm="1">
        <f t="array" aca="1" ref="J3901" ca="1">INDIRECT("b"&amp;K3901+2)</f>
        <v>0</v>
      </c>
      <c r="K3901" s="19">
        <f t="shared" si="772"/>
        <v>6797</v>
      </c>
    </row>
    <row r="3902" spans="1:11">
      <c r="A3902">
        <v>3900</v>
      </c>
      <c r="B3902">
        <v>5.0499999999999995E+119</v>
      </c>
      <c r="D3902" s="18">
        <v>3900</v>
      </c>
      <c r="E3902" s="18" cm="1">
        <f t="array" aca="1" ref="E3902" ca="1">INDIRECT("b"&amp;F3902+2)</f>
        <v>9.1000000000000008E+161</v>
      </c>
      <c r="F3902" s="18">
        <f t="shared" si="777"/>
        <v>5598</v>
      </c>
      <c r="G3902" s="18"/>
      <c r="H3902" s="18"/>
      <c r="I3902" s="19">
        <v>3900</v>
      </c>
      <c r="J3902" s="19" cm="1">
        <f t="array" aca="1" ref="J3902" ca="1">INDIRECT("b"&amp;K3902+2)</f>
        <v>0</v>
      </c>
      <c r="K3902" s="19">
        <f t="shared" si="772"/>
        <v>6798</v>
      </c>
    </row>
    <row r="3903" spans="1:11">
      <c r="A3903">
        <v>3901</v>
      </c>
      <c r="B3903">
        <v>5.2749999999999996E+119</v>
      </c>
      <c r="D3903" s="18">
        <v>3901</v>
      </c>
      <c r="E3903" s="18" cm="1">
        <f t="array" aca="1" ref="E3903" ca="1">INDIRECT("b"&amp;F3903+2)</f>
        <v>9.5499999999999991E+161</v>
      </c>
      <c r="F3903" s="18">
        <f t="shared" si="777"/>
        <v>5600</v>
      </c>
      <c r="G3903" s="18">
        <f t="shared" ref="G3903" ca="1" si="786">E3903/E3898</f>
        <v>1.1974921630094042</v>
      </c>
      <c r="H3903" s="18"/>
      <c r="I3903" s="19">
        <v>3901</v>
      </c>
      <c r="J3903" s="19" cm="1">
        <f t="array" aca="1" ref="J3903" ca="1">INDIRECT("b"&amp;K3903+2)</f>
        <v>0</v>
      </c>
      <c r="K3903" s="19">
        <f t="shared" si="772"/>
        <v>6800</v>
      </c>
    </row>
    <row r="3904" spans="1:11">
      <c r="A3904">
        <v>3902</v>
      </c>
      <c r="B3904">
        <v>5.4999999999999996E+119</v>
      </c>
      <c r="D3904" s="18">
        <v>3902</v>
      </c>
      <c r="E3904" s="18" cm="1">
        <f t="array" aca="1" ref="E3904" ca="1">INDIRECT("b"&amp;F3904+2)</f>
        <v>9.7750000000000002E+161</v>
      </c>
      <c r="F3904" s="18">
        <f t="shared" si="777"/>
        <v>5601</v>
      </c>
      <c r="G3904" s="18"/>
      <c r="H3904" s="18"/>
      <c r="I3904" s="19">
        <v>3902</v>
      </c>
      <c r="J3904" s="19" cm="1">
        <f t="array" aca="1" ref="J3904" ca="1">INDIRECT("b"&amp;K3904+2)</f>
        <v>0</v>
      </c>
      <c r="K3904" s="19">
        <f t="shared" si="772"/>
        <v>6801</v>
      </c>
    </row>
    <row r="3905" spans="1:11">
      <c r="A3905">
        <v>3903</v>
      </c>
      <c r="B3905">
        <v>5.7249999999999996E+119</v>
      </c>
      <c r="D3905" s="18">
        <v>3903</v>
      </c>
      <c r="E3905" s="18" cm="1">
        <f t="array" aca="1" ref="E3905" ca="1">INDIRECT("b"&amp;F3905+2)</f>
        <v>9.9999999999999994E+161</v>
      </c>
      <c r="F3905" s="18">
        <f t="shared" si="777"/>
        <v>5602</v>
      </c>
      <c r="G3905" s="18"/>
      <c r="H3905" s="18"/>
      <c r="I3905" s="19">
        <v>3903</v>
      </c>
      <c r="J3905" s="19" cm="1">
        <f t="array" aca="1" ref="J3905" ca="1">INDIRECT("b"&amp;K3905+2)</f>
        <v>0</v>
      </c>
      <c r="K3905" s="19">
        <f t="shared" si="772"/>
        <v>6802</v>
      </c>
    </row>
    <row r="3906" spans="1:11">
      <c r="A3906">
        <v>3904</v>
      </c>
      <c r="B3906">
        <v>5.9499999999999997E+119</v>
      </c>
      <c r="D3906" s="18">
        <v>3904</v>
      </c>
      <c r="E3906" s="18" cm="1">
        <f t="array" aca="1" ref="E3906" ca="1">INDIRECT("b"&amp;F3906+2)</f>
        <v>1.45E+162</v>
      </c>
      <c r="F3906" s="18">
        <f t="shared" si="777"/>
        <v>5604</v>
      </c>
      <c r="G3906" s="18"/>
      <c r="H3906" s="18"/>
      <c r="I3906" s="19">
        <v>3904</v>
      </c>
      <c r="J3906" s="19" cm="1">
        <f t="array" aca="1" ref="J3906" ca="1">INDIRECT("b"&amp;K3906+2)</f>
        <v>0</v>
      </c>
      <c r="K3906" s="19">
        <f t="shared" si="772"/>
        <v>6804</v>
      </c>
    </row>
    <row r="3907" spans="1:11">
      <c r="A3907">
        <v>3905</v>
      </c>
      <c r="B3907">
        <v>6.1749999999999997E+119</v>
      </c>
      <c r="D3907" s="18">
        <v>3905</v>
      </c>
      <c r="E3907" s="18" cm="1">
        <f t="array" aca="1" ref="E3907" ca="1">INDIRECT("b"&amp;F3907+2)</f>
        <v>1.675E+162</v>
      </c>
      <c r="F3907" s="18">
        <f t="shared" si="777"/>
        <v>5605</v>
      </c>
      <c r="G3907" s="18"/>
      <c r="H3907" s="18"/>
      <c r="I3907" s="19">
        <v>3905</v>
      </c>
      <c r="J3907" s="19" cm="1">
        <f t="array" aca="1" ref="J3907" ca="1">INDIRECT("b"&amp;K3907+2)</f>
        <v>0</v>
      </c>
      <c r="K3907" s="19">
        <f t="shared" si="772"/>
        <v>6805</v>
      </c>
    </row>
    <row r="3908" spans="1:11">
      <c r="A3908">
        <v>3906</v>
      </c>
      <c r="B3908">
        <v>6.3999999999999998E+119</v>
      </c>
      <c r="D3908" s="18">
        <v>3906</v>
      </c>
      <c r="E3908" s="18" cm="1">
        <f t="array" aca="1" ref="E3908" ca="1">INDIRECT("b"&amp;F3908+2)</f>
        <v>1.9000000000000001E+162</v>
      </c>
      <c r="F3908" s="18">
        <f t="shared" si="777"/>
        <v>5606</v>
      </c>
      <c r="G3908" s="18">
        <f t="shared" ref="G3908" ca="1" si="787">E3908/E3903</f>
        <v>1.9895287958115186</v>
      </c>
      <c r="H3908" s="18"/>
      <c r="I3908" s="19">
        <v>3906</v>
      </c>
      <c r="J3908" s="19" cm="1">
        <f t="array" aca="1" ref="J3908" ca="1">INDIRECT("b"&amp;K3908+2)</f>
        <v>0</v>
      </c>
      <c r="K3908" s="19">
        <f t="shared" ref="K3908:K3971" si="788">INT((A3908-1)*40/30+900*40/30)+400</f>
        <v>6806</v>
      </c>
    </row>
    <row r="3909" spans="1:11">
      <c r="A3909">
        <v>3907</v>
      </c>
      <c r="B3909">
        <v>6.6249999999999998E+119</v>
      </c>
      <c r="D3909" s="18">
        <v>3907</v>
      </c>
      <c r="E3909" s="18" cm="1">
        <f t="array" aca="1" ref="E3909" ca="1">INDIRECT("b"&amp;F3909+2)</f>
        <v>2.35E+162</v>
      </c>
      <c r="F3909" s="18">
        <f t="shared" si="777"/>
        <v>5608</v>
      </c>
      <c r="G3909" s="18"/>
      <c r="H3909" s="18"/>
      <c r="I3909" s="19">
        <v>3907</v>
      </c>
      <c r="J3909" s="19" cm="1">
        <f t="array" aca="1" ref="J3909" ca="1">INDIRECT("b"&amp;K3909+2)</f>
        <v>0</v>
      </c>
      <c r="K3909" s="19">
        <f t="shared" si="788"/>
        <v>6808</v>
      </c>
    </row>
    <row r="3910" spans="1:11">
      <c r="A3910">
        <v>3908</v>
      </c>
      <c r="B3910">
        <v>6.8499999999999992E+119</v>
      </c>
      <c r="D3910" s="18">
        <v>3908</v>
      </c>
      <c r="E3910" s="18" cm="1">
        <f t="array" aca="1" ref="E3910" ca="1">INDIRECT("b"&amp;F3910+2)</f>
        <v>2.575E+162</v>
      </c>
      <c r="F3910" s="18">
        <f t="shared" si="777"/>
        <v>5609</v>
      </c>
      <c r="G3910" s="18"/>
      <c r="H3910" s="18"/>
      <c r="I3910" s="19">
        <v>3908</v>
      </c>
      <c r="J3910" s="19" cm="1">
        <f t="array" aca="1" ref="J3910" ca="1">INDIRECT("b"&amp;K3910+2)</f>
        <v>0</v>
      </c>
      <c r="K3910" s="19">
        <f t="shared" si="788"/>
        <v>6809</v>
      </c>
    </row>
    <row r="3911" spans="1:11">
      <c r="A3911">
        <v>3909</v>
      </c>
      <c r="B3911">
        <v>7.0749999999999999E+119</v>
      </c>
      <c r="D3911" s="18">
        <v>3909</v>
      </c>
      <c r="E3911" s="18" cm="1">
        <f t="array" aca="1" ref="E3911" ca="1">INDIRECT("b"&amp;F3911+2)</f>
        <v>2.7999999999999999E+162</v>
      </c>
      <c r="F3911" s="18">
        <f t="shared" si="777"/>
        <v>5610</v>
      </c>
      <c r="G3911" s="18"/>
      <c r="H3911" s="18"/>
      <c r="I3911" s="19">
        <v>3909</v>
      </c>
      <c r="J3911" s="19" cm="1">
        <f t="array" aca="1" ref="J3911" ca="1">INDIRECT("b"&amp;K3911+2)</f>
        <v>0</v>
      </c>
      <c r="K3911" s="19">
        <f t="shared" si="788"/>
        <v>6810</v>
      </c>
    </row>
    <row r="3912" spans="1:11">
      <c r="A3912">
        <v>3910</v>
      </c>
      <c r="B3912">
        <v>7.2999999999999993E+119</v>
      </c>
      <c r="D3912" s="18">
        <v>3910</v>
      </c>
      <c r="E3912" s="18" cm="1">
        <f t="array" aca="1" ref="E3912" ca="1">INDIRECT("b"&amp;F3912+2)</f>
        <v>3.2500000000000002E+162</v>
      </c>
      <c r="F3912" s="18">
        <f t="shared" si="777"/>
        <v>5612</v>
      </c>
      <c r="G3912" s="18"/>
      <c r="H3912" s="18"/>
      <c r="I3912" s="19">
        <v>3910</v>
      </c>
      <c r="J3912" s="19" cm="1">
        <f t="array" aca="1" ref="J3912" ca="1">INDIRECT("b"&amp;K3912+2)</f>
        <v>0</v>
      </c>
      <c r="K3912" s="19">
        <f t="shared" si="788"/>
        <v>6812</v>
      </c>
    </row>
    <row r="3913" spans="1:11">
      <c r="A3913">
        <v>3911</v>
      </c>
      <c r="B3913">
        <v>7.525E+119</v>
      </c>
      <c r="D3913" s="18">
        <v>3911</v>
      </c>
      <c r="E3913" s="18" cm="1">
        <f t="array" aca="1" ref="E3913" ca="1">INDIRECT("b"&amp;F3913+2)</f>
        <v>3.4750000000000001E+162</v>
      </c>
      <c r="F3913" s="18">
        <f t="shared" si="777"/>
        <v>5613</v>
      </c>
      <c r="G3913" s="18">
        <f t="shared" ref="G3913" ca="1" si="789">E3913/E3908</f>
        <v>1.8289473684210527</v>
      </c>
      <c r="H3913" s="18"/>
      <c r="I3913" s="19">
        <v>3911</v>
      </c>
      <c r="J3913" s="19" cm="1">
        <f t="array" aca="1" ref="J3913" ca="1">INDIRECT("b"&amp;K3913+2)</f>
        <v>0</v>
      </c>
      <c r="K3913" s="19">
        <f t="shared" si="788"/>
        <v>6813</v>
      </c>
    </row>
    <row r="3914" spans="1:11">
      <c r="A3914">
        <v>3912</v>
      </c>
      <c r="B3914">
        <v>7.7499999999999993E+119</v>
      </c>
      <c r="D3914" s="18">
        <v>3912</v>
      </c>
      <c r="E3914" s="18" cm="1">
        <f t="array" aca="1" ref="E3914" ca="1">INDIRECT("b"&amp;F3914+2)</f>
        <v>3.7000000000000001E+162</v>
      </c>
      <c r="F3914" s="18">
        <f t="shared" si="777"/>
        <v>5614</v>
      </c>
      <c r="G3914" s="18"/>
      <c r="H3914" s="18"/>
      <c r="I3914" s="19">
        <v>3912</v>
      </c>
      <c r="J3914" s="19" cm="1">
        <f t="array" aca="1" ref="J3914" ca="1">INDIRECT("b"&amp;K3914+2)</f>
        <v>0</v>
      </c>
      <c r="K3914" s="19">
        <f t="shared" si="788"/>
        <v>6814</v>
      </c>
    </row>
    <row r="3915" spans="1:11">
      <c r="A3915">
        <v>3913</v>
      </c>
      <c r="B3915">
        <v>7.9750000000000001E+119</v>
      </c>
      <c r="D3915" s="18">
        <v>3913</v>
      </c>
      <c r="E3915" s="18" cm="1">
        <f t="array" aca="1" ref="E3915" ca="1">INDIRECT("b"&amp;F3915+2)</f>
        <v>4.15E+162</v>
      </c>
      <c r="F3915" s="18">
        <f t="shared" si="777"/>
        <v>5616</v>
      </c>
      <c r="G3915" s="18"/>
      <c r="H3915" s="18"/>
      <c r="I3915" s="19">
        <v>3913</v>
      </c>
      <c r="J3915" s="19" cm="1">
        <f t="array" aca="1" ref="J3915" ca="1">INDIRECT("b"&amp;K3915+2)</f>
        <v>0</v>
      </c>
      <c r="K3915" s="19">
        <f t="shared" si="788"/>
        <v>6816</v>
      </c>
    </row>
    <row r="3916" spans="1:11">
      <c r="A3916">
        <v>3914</v>
      </c>
      <c r="B3916">
        <v>8.1999999999999994E+119</v>
      </c>
      <c r="D3916" s="18">
        <v>3914</v>
      </c>
      <c r="E3916" s="18" cm="1">
        <f t="array" aca="1" ref="E3916" ca="1">INDIRECT("b"&amp;F3916+2)</f>
        <v>4.3750000000000003E+162</v>
      </c>
      <c r="F3916" s="18">
        <f t="shared" si="777"/>
        <v>5617</v>
      </c>
      <c r="G3916" s="18"/>
      <c r="H3916" s="18"/>
      <c r="I3916" s="19">
        <v>3914</v>
      </c>
      <c r="J3916" s="19" cm="1">
        <f t="array" aca="1" ref="J3916" ca="1">INDIRECT("b"&amp;K3916+2)</f>
        <v>0</v>
      </c>
      <c r="K3916" s="19">
        <f t="shared" si="788"/>
        <v>6817</v>
      </c>
    </row>
    <row r="3917" spans="1:11">
      <c r="A3917">
        <v>3915</v>
      </c>
      <c r="B3917">
        <v>8.4250000000000002E+119</v>
      </c>
      <c r="D3917" s="18">
        <v>3915</v>
      </c>
      <c r="E3917" s="18" cm="1">
        <f t="array" aca="1" ref="E3917" ca="1">INDIRECT("b"&amp;F3917+2)</f>
        <v>4.5999999999999999E+162</v>
      </c>
      <c r="F3917" s="18">
        <f t="shared" si="777"/>
        <v>5618</v>
      </c>
      <c r="G3917" s="18"/>
      <c r="H3917" s="18"/>
      <c r="I3917" s="19">
        <v>3915</v>
      </c>
      <c r="J3917" s="19" cm="1">
        <f t="array" aca="1" ref="J3917" ca="1">INDIRECT("b"&amp;K3917+2)</f>
        <v>0</v>
      </c>
      <c r="K3917" s="19">
        <f t="shared" si="788"/>
        <v>6818</v>
      </c>
    </row>
    <row r="3918" spans="1:11">
      <c r="A3918">
        <v>3916</v>
      </c>
      <c r="B3918">
        <v>8.6499999999999995E+119</v>
      </c>
      <c r="D3918" s="18">
        <v>3916</v>
      </c>
      <c r="E3918" s="18" cm="1">
        <f t="array" aca="1" ref="E3918" ca="1">INDIRECT("b"&amp;F3918+2)</f>
        <v>5.0500000000000006E+162</v>
      </c>
      <c r="F3918" s="18">
        <f t="shared" si="777"/>
        <v>5620</v>
      </c>
      <c r="G3918" s="18">
        <f t="shared" ref="G3918" ca="1" si="790">E3918/E3913</f>
        <v>1.4532374100719425</v>
      </c>
      <c r="H3918" s="18"/>
      <c r="I3918" s="19">
        <v>3916</v>
      </c>
      <c r="J3918" s="19" cm="1">
        <f t="array" aca="1" ref="J3918" ca="1">INDIRECT("b"&amp;K3918+2)</f>
        <v>0</v>
      </c>
      <c r="K3918" s="19">
        <f t="shared" si="788"/>
        <v>6820</v>
      </c>
    </row>
    <row r="3919" spans="1:11">
      <c r="A3919">
        <v>3917</v>
      </c>
      <c r="B3919">
        <v>8.8750000000000003E+119</v>
      </c>
      <c r="D3919" s="18">
        <v>3917</v>
      </c>
      <c r="E3919" s="18" cm="1">
        <f t="array" aca="1" ref="E3919" ca="1">INDIRECT("b"&amp;F3919+2)</f>
        <v>5.2750000000000001E+162</v>
      </c>
      <c r="F3919" s="18">
        <f t="shared" si="777"/>
        <v>5621</v>
      </c>
      <c r="G3919" s="18"/>
      <c r="H3919" s="18"/>
      <c r="I3919" s="19">
        <v>3917</v>
      </c>
      <c r="J3919" s="19" cm="1">
        <f t="array" aca="1" ref="J3919" ca="1">INDIRECT("b"&amp;K3919+2)</f>
        <v>0</v>
      </c>
      <c r="K3919" s="19">
        <f t="shared" si="788"/>
        <v>6821</v>
      </c>
    </row>
    <row r="3920" spans="1:11">
      <c r="A3920">
        <v>3918</v>
      </c>
      <c r="B3920">
        <v>9.0999999999999996E+119</v>
      </c>
      <c r="D3920" s="18">
        <v>3918</v>
      </c>
      <c r="E3920" s="18" cm="1">
        <f t="array" aca="1" ref="E3920" ca="1">INDIRECT("b"&amp;F3920+2)</f>
        <v>5.5000000000000005E+162</v>
      </c>
      <c r="F3920" s="18">
        <f t="shared" si="777"/>
        <v>5622</v>
      </c>
      <c r="G3920" s="18"/>
      <c r="H3920" s="18"/>
      <c r="I3920" s="19">
        <v>3918</v>
      </c>
      <c r="J3920" s="19" cm="1">
        <f t="array" aca="1" ref="J3920" ca="1">INDIRECT("b"&amp;K3920+2)</f>
        <v>0</v>
      </c>
      <c r="K3920" s="19">
        <f t="shared" si="788"/>
        <v>6822</v>
      </c>
    </row>
    <row r="3921" spans="1:11">
      <c r="A3921">
        <v>3919</v>
      </c>
      <c r="B3921">
        <v>9.3249999999999989E+119</v>
      </c>
      <c r="D3921" s="18">
        <v>3919</v>
      </c>
      <c r="E3921" s="18" cm="1">
        <f t="array" aca="1" ref="E3921" ca="1">INDIRECT("b"&amp;F3921+2)</f>
        <v>5.9500000000000003E+162</v>
      </c>
      <c r="F3921" s="18">
        <f t="shared" si="777"/>
        <v>5624</v>
      </c>
      <c r="G3921" s="18"/>
      <c r="H3921" s="18"/>
      <c r="I3921" s="19">
        <v>3919</v>
      </c>
      <c r="J3921" s="19" cm="1">
        <f t="array" aca="1" ref="J3921" ca="1">INDIRECT("b"&amp;K3921+2)</f>
        <v>0</v>
      </c>
      <c r="K3921" s="19">
        <f t="shared" si="788"/>
        <v>6824</v>
      </c>
    </row>
    <row r="3922" spans="1:11">
      <c r="A3922">
        <v>3920</v>
      </c>
      <c r="B3922">
        <v>9.5499999999999997E+119</v>
      </c>
      <c r="D3922" s="18">
        <v>3920</v>
      </c>
      <c r="E3922" s="18" cm="1">
        <f t="array" aca="1" ref="E3922" ca="1">INDIRECT("b"&amp;F3922+2)</f>
        <v>6.1749999999999999E+162</v>
      </c>
      <c r="F3922" s="18">
        <f t="shared" si="777"/>
        <v>5625</v>
      </c>
      <c r="G3922" s="18"/>
      <c r="H3922" s="18"/>
      <c r="I3922" s="19">
        <v>3920</v>
      </c>
      <c r="J3922" s="19" cm="1">
        <f t="array" aca="1" ref="J3922" ca="1">INDIRECT("b"&amp;K3922+2)</f>
        <v>0</v>
      </c>
      <c r="K3922" s="19">
        <f t="shared" si="788"/>
        <v>6825</v>
      </c>
    </row>
    <row r="3923" spans="1:11">
      <c r="A3923">
        <v>3921</v>
      </c>
      <c r="B3923">
        <v>9.774999999999999E+119</v>
      </c>
      <c r="D3923" s="18">
        <v>3921</v>
      </c>
      <c r="E3923" s="18" cm="1">
        <f t="array" aca="1" ref="E3923" ca="1">INDIRECT("b"&amp;F3923+2)</f>
        <v>6.4000000000000002E+162</v>
      </c>
      <c r="F3923" s="18">
        <f t="shared" ref="F3923:F3986" si="791">INT((A3923-123)*1.333333)+563</f>
        <v>5626</v>
      </c>
      <c r="G3923" s="18">
        <f t="shared" ref="G3923" ca="1" si="792">E3923/E3918</f>
        <v>1.2673267326732673</v>
      </c>
      <c r="H3923" s="18"/>
      <c r="I3923" s="19">
        <v>3921</v>
      </c>
      <c r="J3923" s="19" cm="1">
        <f t="array" aca="1" ref="J3923" ca="1">INDIRECT("b"&amp;K3923+2)</f>
        <v>0</v>
      </c>
      <c r="K3923" s="19">
        <f t="shared" si="788"/>
        <v>6826</v>
      </c>
    </row>
    <row r="3924" spans="1:11">
      <c r="A3924">
        <v>3922</v>
      </c>
      <c r="B3924">
        <v>9.9999999999999998E+119</v>
      </c>
      <c r="D3924" s="18">
        <v>3922</v>
      </c>
      <c r="E3924" s="18" cm="1">
        <f t="array" aca="1" ref="E3924" ca="1">INDIRECT("b"&amp;F3924+2)</f>
        <v>6.8500000000000001E+162</v>
      </c>
      <c r="F3924" s="18">
        <f t="shared" si="791"/>
        <v>5628</v>
      </c>
      <c r="G3924" s="18"/>
      <c r="H3924" s="18"/>
      <c r="I3924" s="19">
        <v>3922</v>
      </c>
      <c r="J3924" s="19" cm="1">
        <f t="array" aca="1" ref="J3924" ca="1">INDIRECT("b"&amp;K3924+2)</f>
        <v>0</v>
      </c>
      <c r="K3924" s="19">
        <f t="shared" si="788"/>
        <v>6828</v>
      </c>
    </row>
    <row r="3925" spans="1:11">
      <c r="A3925">
        <v>3923</v>
      </c>
      <c r="B3925">
        <v>1.2249999999999999E+120</v>
      </c>
      <c r="D3925" s="18">
        <v>3923</v>
      </c>
      <c r="E3925" s="18" cm="1">
        <f t="array" aca="1" ref="E3925" ca="1">INDIRECT("b"&amp;F3925+2)</f>
        <v>7.0750000000000005E+162</v>
      </c>
      <c r="F3925" s="18">
        <f t="shared" si="791"/>
        <v>5629</v>
      </c>
      <c r="G3925" s="18"/>
      <c r="H3925" s="18"/>
      <c r="I3925" s="19">
        <v>3923</v>
      </c>
      <c r="J3925" s="19" cm="1">
        <f t="array" aca="1" ref="J3925" ca="1">INDIRECT("b"&amp;K3925+2)</f>
        <v>0</v>
      </c>
      <c r="K3925" s="19">
        <f t="shared" si="788"/>
        <v>6829</v>
      </c>
    </row>
    <row r="3926" spans="1:11">
      <c r="A3926">
        <v>3924</v>
      </c>
      <c r="B3926">
        <v>1.4499999999999998E+120</v>
      </c>
      <c r="D3926" s="18">
        <v>3924</v>
      </c>
      <c r="E3926" s="18" cm="1">
        <f t="array" aca="1" ref="E3926" ca="1">INDIRECT("b"&amp;F3926+2)</f>
        <v>7.3E+162</v>
      </c>
      <c r="F3926" s="18">
        <f t="shared" si="791"/>
        <v>5630</v>
      </c>
      <c r="G3926" s="18"/>
      <c r="H3926" s="18"/>
      <c r="I3926" s="19">
        <v>3924</v>
      </c>
      <c r="J3926" s="19" cm="1">
        <f t="array" aca="1" ref="J3926" ca="1">INDIRECT("b"&amp;K3926+2)</f>
        <v>0</v>
      </c>
      <c r="K3926" s="19">
        <f t="shared" si="788"/>
        <v>6830</v>
      </c>
    </row>
    <row r="3927" spans="1:11">
      <c r="A3927">
        <v>3925</v>
      </c>
      <c r="B3927">
        <v>1.675E+120</v>
      </c>
      <c r="D3927" s="18">
        <v>3925</v>
      </c>
      <c r="E3927" s="18" cm="1">
        <f t="array" aca="1" ref="E3927" ca="1">INDIRECT("b"&amp;F3927+2)</f>
        <v>7.7500000000000007E+162</v>
      </c>
      <c r="F3927" s="18">
        <f t="shared" si="791"/>
        <v>5632</v>
      </c>
      <c r="G3927" s="18"/>
      <c r="H3927" s="18"/>
      <c r="I3927" s="19">
        <v>3925</v>
      </c>
      <c r="J3927" s="19" cm="1">
        <f t="array" aca="1" ref="J3927" ca="1">INDIRECT("b"&amp;K3927+2)</f>
        <v>0</v>
      </c>
      <c r="K3927" s="19">
        <f t="shared" si="788"/>
        <v>6832</v>
      </c>
    </row>
    <row r="3928" spans="1:11">
      <c r="A3928">
        <v>3926</v>
      </c>
      <c r="B3928">
        <v>1.8999999999999999E+120</v>
      </c>
      <c r="D3928" s="18">
        <v>3926</v>
      </c>
      <c r="E3928" s="18" cm="1">
        <f t="array" aca="1" ref="E3928" ca="1">INDIRECT("b"&amp;F3928+2)</f>
        <v>7.9750000000000011E+162</v>
      </c>
      <c r="F3928" s="18">
        <f t="shared" si="791"/>
        <v>5633</v>
      </c>
      <c r="G3928" s="18">
        <f t="shared" ref="G3928" ca="1" si="793">E3928/E3923</f>
        <v>1.2460937500000002</v>
      </c>
      <c r="H3928" s="18"/>
      <c r="I3928" s="19">
        <v>3926</v>
      </c>
      <c r="J3928" s="19" cm="1">
        <f t="array" aca="1" ref="J3928" ca="1">INDIRECT("b"&amp;K3928+2)</f>
        <v>0</v>
      </c>
      <c r="K3928" s="19">
        <f t="shared" si="788"/>
        <v>6833</v>
      </c>
    </row>
    <row r="3929" spans="1:11">
      <c r="A3929">
        <v>3927</v>
      </c>
      <c r="B3929">
        <v>2.1249999999999998E+120</v>
      </c>
      <c r="D3929" s="18">
        <v>3927</v>
      </c>
      <c r="E3929" s="18" cm="1">
        <f t="array" aca="1" ref="E3929" ca="1">INDIRECT("b"&amp;F3929+2)</f>
        <v>8.1999999999999998E+162</v>
      </c>
      <c r="F3929" s="18">
        <f t="shared" si="791"/>
        <v>5634</v>
      </c>
      <c r="G3929" s="18"/>
      <c r="H3929" s="18"/>
      <c r="I3929" s="19">
        <v>3927</v>
      </c>
      <c r="J3929" s="19" cm="1">
        <f t="array" aca="1" ref="J3929" ca="1">INDIRECT("b"&amp;K3929+2)</f>
        <v>0</v>
      </c>
      <c r="K3929" s="19">
        <f t="shared" si="788"/>
        <v>6834</v>
      </c>
    </row>
    <row r="3930" spans="1:11">
      <c r="A3930">
        <v>3928</v>
      </c>
      <c r="B3930">
        <v>2.35E+120</v>
      </c>
      <c r="D3930" s="18">
        <v>3928</v>
      </c>
      <c r="E3930" s="18" cm="1">
        <f t="array" aca="1" ref="E3930" ca="1">INDIRECT("b"&amp;F3930+2)</f>
        <v>8.6500000000000005E+162</v>
      </c>
      <c r="F3930" s="18">
        <f t="shared" si="791"/>
        <v>5636</v>
      </c>
      <c r="G3930" s="18"/>
      <c r="H3930" s="18"/>
      <c r="I3930" s="19">
        <v>3928</v>
      </c>
      <c r="J3930" s="19" cm="1">
        <f t="array" aca="1" ref="J3930" ca="1">INDIRECT("b"&amp;K3930+2)</f>
        <v>0</v>
      </c>
      <c r="K3930" s="19">
        <f t="shared" si="788"/>
        <v>6836</v>
      </c>
    </row>
    <row r="3931" spans="1:11">
      <c r="A3931">
        <v>3929</v>
      </c>
      <c r="B3931">
        <v>2.5749999999999999E+120</v>
      </c>
      <c r="D3931" s="18">
        <v>3929</v>
      </c>
      <c r="E3931" s="18" cm="1">
        <f t="array" aca="1" ref="E3931" ca="1">INDIRECT("b"&amp;F3931+2)</f>
        <v>8.8750000000000008E+162</v>
      </c>
      <c r="F3931" s="18">
        <f t="shared" si="791"/>
        <v>5637</v>
      </c>
      <c r="G3931" s="18"/>
      <c r="H3931" s="18"/>
      <c r="I3931" s="19">
        <v>3929</v>
      </c>
      <c r="J3931" s="19" cm="1">
        <f t="array" aca="1" ref="J3931" ca="1">INDIRECT("b"&amp;K3931+2)</f>
        <v>0</v>
      </c>
      <c r="K3931" s="19">
        <f t="shared" si="788"/>
        <v>6837</v>
      </c>
    </row>
    <row r="3932" spans="1:11">
      <c r="A3932">
        <v>3930</v>
      </c>
      <c r="B3932">
        <v>2.8000000000000001E+120</v>
      </c>
      <c r="D3932" s="18">
        <v>3930</v>
      </c>
      <c r="E3932" s="18" cm="1">
        <f t="array" aca="1" ref="E3932" ca="1">INDIRECT("b"&amp;F3932+2)</f>
        <v>9.0999999999999996E+162</v>
      </c>
      <c r="F3932" s="18">
        <f t="shared" si="791"/>
        <v>5638</v>
      </c>
      <c r="G3932" s="18"/>
      <c r="H3932" s="18"/>
      <c r="I3932" s="19">
        <v>3930</v>
      </c>
      <c r="J3932" s="19" cm="1">
        <f t="array" aca="1" ref="J3932" ca="1">INDIRECT("b"&amp;K3932+2)</f>
        <v>0</v>
      </c>
      <c r="K3932" s="19">
        <f t="shared" si="788"/>
        <v>6838</v>
      </c>
    </row>
    <row r="3933" spans="1:11">
      <c r="A3933">
        <v>3931</v>
      </c>
      <c r="B3933">
        <v>3.025E+120</v>
      </c>
      <c r="D3933" s="18">
        <v>3931</v>
      </c>
      <c r="E3933" s="18" cm="1">
        <f t="array" aca="1" ref="E3933" ca="1">INDIRECT("b"&amp;F3933+2)</f>
        <v>9.5500000000000003E+162</v>
      </c>
      <c r="F3933" s="18">
        <f t="shared" si="791"/>
        <v>5640</v>
      </c>
      <c r="G3933" s="18">
        <f t="shared" ref="G3933" ca="1" si="794">E3933/E3928</f>
        <v>1.1974921630094042</v>
      </c>
      <c r="H3933" s="18"/>
      <c r="I3933" s="19">
        <v>3931</v>
      </c>
      <c r="J3933" s="19" cm="1">
        <f t="array" aca="1" ref="J3933" ca="1">INDIRECT("b"&amp;K3933+2)</f>
        <v>0</v>
      </c>
      <c r="K3933" s="19">
        <f t="shared" si="788"/>
        <v>6840</v>
      </c>
    </row>
    <row r="3934" spans="1:11">
      <c r="A3934">
        <v>3932</v>
      </c>
      <c r="B3934">
        <v>3.2499999999999999E+120</v>
      </c>
      <c r="D3934" s="18">
        <v>3932</v>
      </c>
      <c r="E3934" s="18" cm="1">
        <f t="array" aca="1" ref="E3934" ca="1">INDIRECT("b"&amp;F3934+2)</f>
        <v>9.7750000000000006E+162</v>
      </c>
      <c r="F3934" s="18">
        <f t="shared" si="791"/>
        <v>5641</v>
      </c>
      <c r="G3934" s="18"/>
      <c r="H3934" s="18"/>
      <c r="I3934" s="19">
        <v>3932</v>
      </c>
      <c r="J3934" s="19" cm="1">
        <f t="array" aca="1" ref="J3934" ca="1">INDIRECT("b"&amp;K3934+2)</f>
        <v>0</v>
      </c>
      <c r="K3934" s="19">
        <f t="shared" si="788"/>
        <v>6841</v>
      </c>
    </row>
    <row r="3935" spans="1:11">
      <c r="A3935">
        <v>3933</v>
      </c>
      <c r="B3935">
        <v>3.4749999999999998E+120</v>
      </c>
      <c r="D3935" s="18">
        <v>3933</v>
      </c>
      <c r="E3935" s="18" cm="1">
        <f t="array" aca="1" ref="E3935" ca="1">INDIRECT("b"&amp;F3935+2)</f>
        <v>9.9999999999999994E+162</v>
      </c>
      <c r="F3935" s="18">
        <f t="shared" si="791"/>
        <v>5642</v>
      </c>
      <c r="G3935" s="18"/>
      <c r="H3935" s="18"/>
      <c r="I3935" s="19">
        <v>3933</v>
      </c>
      <c r="J3935" s="19" cm="1">
        <f t="array" aca="1" ref="J3935" ca="1">INDIRECT("b"&amp;K3935+2)</f>
        <v>0</v>
      </c>
      <c r="K3935" s="19">
        <f t="shared" si="788"/>
        <v>6842</v>
      </c>
    </row>
    <row r="3936" spans="1:11">
      <c r="A3936">
        <v>3934</v>
      </c>
      <c r="B3936">
        <v>3.6999999999999997E+120</v>
      </c>
      <c r="D3936" s="18">
        <v>3934</v>
      </c>
      <c r="E3936" s="18" cm="1">
        <f t="array" aca="1" ref="E3936" ca="1">INDIRECT("b"&amp;F3936+2)</f>
        <v>1.45E+163</v>
      </c>
      <c r="F3936" s="18">
        <f t="shared" si="791"/>
        <v>5644</v>
      </c>
      <c r="G3936" s="18"/>
      <c r="H3936" s="18"/>
      <c r="I3936" s="19">
        <v>3934</v>
      </c>
      <c r="J3936" s="19" cm="1">
        <f t="array" aca="1" ref="J3936" ca="1">INDIRECT("b"&amp;K3936+2)</f>
        <v>0</v>
      </c>
      <c r="K3936" s="19">
        <f t="shared" si="788"/>
        <v>6844</v>
      </c>
    </row>
    <row r="3937" spans="1:11">
      <c r="A3937">
        <v>3935</v>
      </c>
      <c r="B3937">
        <v>3.9249999999999996E+120</v>
      </c>
      <c r="D3937" s="18">
        <v>3935</v>
      </c>
      <c r="E3937" s="18" cm="1">
        <f t="array" aca="1" ref="E3937" ca="1">INDIRECT("b"&amp;F3937+2)</f>
        <v>1.675E+163</v>
      </c>
      <c r="F3937" s="18">
        <f t="shared" si="791"/>
        <v>5645</v>
      </c>
      <c r="G3937" s="18"/>
      <c r="H3937" s="18"/>
      <c r="I3937" s="19">
        <v>3935</v>
      </c>
      <c r="J3937" s="19" cm="1">
        <f t="array" aca="1" ref="J3937" ca="1">INDIRECT("b"&amp;K3937+2)</f>
        <v>0</v>
      </c>
      <c r="K3937" s="19">
        <f t="shared" si="788"/>
        <v>6845</v>
      </c>
    </row>
    <row r="3938" spans="1:11">
      <c r="A3938">
        <v>3936</v>
      </c>
      <c r="B3938">
        <v>4.1499999999999995E+120</v>
      </c>
      <c r="D3938" s="18">
        <v>3936</v>
      </c>
      <c r="E3938" s="18" cm="1">
        <f t="array" aca="1" ref="E3938" ca="1">INDIRECT("b"&amp;F3938+2)</f>
        <v>1.9E+163</v>
      </c>
      <c r="F3938" s="18">
        <f t="shared" si="791"/>
        <v>5646</v>
      </c>
      <c r="G3938" s="18">
        <f t="shared" ref="G3938" ca="1" si="795">E3938/E3933</f>
        <v>1.9895287958115182</v>
      </c>
      <c r="H3938" s="18"/>
      <c r="I3938" s="19">
        <v>3936</v>
      </c>
      <c r="J3938" s="19" cm="1">
        <f t="array" aca="1" ref="J3938" ca="1">INDIRECT("b"&amp;K3938+2)</f>
        <v>0</v>
      </c>
      <c r="K3938" s="19">
        <f t="shared" si="788"/>
        <v>6846</v>
      </c>
    </row>
    <row r="3939" spans="1:11">
      <c r="A3939">
        <v>3937</v>
      </c>
      <c r="B3939">
        <v>4.3749999999999999E+120</v>
      </c>
      <c r="D3939" s="18">
        <v>3937</v>
      </c>
      <c r="E3939" s="18" cm="1">
        <f t="array" aca="1" ref="E3939" ca="1">INDIRECT("b"&amp;F3939+2)</f>
        <v>2.3500000000000001E+163</v>
      </c>
      <c r="F3939" s="18">
        <f t="shared" si="791"/>
        <v>5648</v>
      </c>
      <c r="G3939" s="18"/>
      <c r="H3939" s="18"/>
      <c r="I3939" s="19">
        <v>3937</v>
      </c>
      <c r="J3939" s="19" cm="1">
        <f t="array" aca="1" ref="J3939" ca="1">INDIRECT("b"&amp;K3939+2)</f>
        <v>0</v>
      </c>
      <c r="K3939" s="19">
        <f t="shared" si="788"/>
        <v>6848</v>
      </c>
    </row>
    <row r="3940" spans="1:11">
      <c r="A3940">
        <v>3938</v>
      </c>
      <c r="B3940">
        <v>4.5999999999999999E+120</v>
      </c>
      <c r="D3940" s="18">
        <v>3938</v>
      </c>
      <c r="E3940" s="18" cm="1">
        <f t="array" aca="1" ref="E3940" ca="1">INDIRECT("b"&amp;F3940+2)</f>
        <v>2.5750000000000001E+163</v>
      </c>
      <c r="F3940" s="18">
        <f t="shared" si="791"/>
        <v>5649</v>
      </c>
      <c r="G3940" s="18"/>
      <c r="H3940" s="18"/>
      <c r="I3940" s="19">
        <v>3938</v>
      </c>
      <c r="J3940" s="19" cm="1">
        <f t="array" aca="1" ref="J3940" ca="1">INDIRECT("b"&amp;K3940+2)</f>
        <v>0</v>
      </c>
      <c r="K3940" s="19">
        <f t="shared" si="788"/>
        <v>6849</v>
      </c>
    </row>
    <row r="3941" spans="1:11">
      <c r="A3941">
        <v>3939</v>
      </c>
      <c r="B3941">
        <v>4.8249999999999998E+120</v>
      </c>
      <c r="D3941" s="18">
        <v>3939</v>
      </c>
      <c r="E3941" s="18" cm="1">
        <f t="array" aca="1" ref="E3941" ca="1">INDIRECT("b"&amp;F3941+2)</f>
        <v>2.8000000000000001E+163</v>
      </c>
      <c r="F3941" s="18">
        <f t="shared" si="791"/>
        <v>5650</v>
      </c>
      <c r="G3941" s="18"/>
      <c r="H3941" s="18"/>
      <c r="I3941" s="19">
        <v>3939</v>
      </c>
      <c r="J3941" s="19" cm="1">
        <f t="array" aca="1" ref="J3941" ca="1">INDIRECT("b"&amp;K3941+2)</f>
        <v>0</v>
      </c>
      <c r="K3941" s="19">
        <f t="shared" si="788"/>
        <v>6850</v>
      </c>
    </row>
    <row r="3942" spans="1:11">
      <c r="A3942">
        <v>3940</v>
      </c>
      <c r="B3942">
        <v>5.0499999999999997E+120</v>
      </c>
      <c r="D3942" s="18">
        <v>3940</v>
      </c>
      <c r="E3942" s="18" cm="1">
        <f t="array" aca="1" ref="E3942" ca="1">INDIRECT("b"&amp;F3942+2)</f>
        <v>3.2499999999999999E+163</v>
      </c>
      <c r="F3942" s="18">
        <f t="shared" si="791"/>
        <v>5652</v>
      </c>
      <c r="G3942" s="18"/>
      <c r="H3942" s="18"/>
      <c r="I3942" s="19">
        <v>3940</v>
      </c>
      <c r="J3942" s="19" cm="1">
        <f t="array" aca="1" ref="J3942" ca="1">INDIRECT("b"&amp;K3942+2)</f>
        <v>0</v>
      </c>
      <c r="K3942" s="19">
        <f t="shared" si="788"/>
        <v>6852</v>
      </c>
    </row>
    <row r="3943" spans="1:11">
      <c r="A3943">
        <v>3941</v>
      </c>
      <c r="B3943">
        <v>5.2749999999999996E+120</v>
      </c>
      <c r="D3943" s="18">
        <v>3941</v>
      </c>
      <c r="E3943" s="18" cm="1">
        <f t="array" aca="1" ref="E3943" ca="1">INDIRECT("b"&amp;F3943+2)</f>
        <v>3.4750000000000002E+163</v>
      </c>
      <c r="F3943" s="18">
        <f t="shared" si="791"/>
        <v>5653</v>
      </c>
      <c r="G3943" s="18">
        <f t="shared" ref="G3943" ca="1" si="796">E3943/E3938</f>
        <v>1.8289473684210527</v>
      </c>
      <c r="H3943" s="18"/>
      <c r="I3943" s="19">
        <v>3941</v>
      </c>
      <c r="J3943" s="19" cm="1">
        <f t="array" aca="1" ref="J3943" ca="1">INDIRECT("b"&amp;K3943+2)</f>
        <v>0</v>
      </c>
      <c r="K3943" s="19">
        <f t="shared" si="788"/>
        <v>6853</v>
      </c>
    </row>
    <row r="3944" spans="1:11">
      <c r="A3944">
        <v>3942</v>
      </c>
      <c r="B3944">
        <v>5.5E+120</v>
      </c>
      <c r="D3944" s="18">
        <v>3942</v>
      </c>
      <c r="E3944" s="18" cm="1">
        <f t="array" aca="1" ref="E3944" ca="1">INDIRECT("b"&amp;F3944+2)</f>
        <v>3.6999999999999999E+163</v>
      </c>
      <c r="F3944" s="18">
        <f t="shared" si="791"/>
        <v>5654</v>
      </c>
      <c r="G3944" s="18"/>
      <c r="H3944" s="18"/>
      <c r="I3944" s="19">
        <v>3942</v>
      </c>
      <c r="J3944" s="19" cm="1">
        <f t="array" aca="1" ref="J3944" ca="1">INDIRECT("b"&amp;K3944+2)</f>
        <v>0</v>
      </c>
      <c r="K3944" s="19">
        <f t="shared" si="788"/>
        <v>6854</v>
      </c>
    </row>
    <row r="3945" spans="1:11">
      <c r="A3945">
        <v>3943</v>
      </c>
      <c r="B3945">
        <v>5.7249999999999994E+120</v>
      </c>
      <c r="D3945" s="18">
        <v>3943</v>
      </c>
      <c r="E3945" s="18" cm="1">
        <f t="array" aca="1" ref="E3945" ca="1">INDIRECT("b"&amp;F3945+2)</f>
        <v>4.15E+163</v>
      </c>
      <c r="F3945" s="18">
        <f t="shared" si="791"/>
        <v>5656</v>
      </c>
      <c r="G3945" s="18"/>
      <c r="H3945" s="18"/>
      <c r="I3945" s="19">
        <v>3943</v>
      </c>
      <c r="J3945" s="19" cm="1">
        <f t="array" aca="1" ref="J3945" ca="1">INDIRECT("b"&amp;K3945+2)</f>
        <v>0</v>
      </c>
      <c r="K3945" s="19">
        <f t="shared" si="788"/>
        <v>6856</v>
      </c>
    </row>
    <row r="3946" spans="1:11">
      <c r="A3946">
        <v>3944</v>
      </c>
      <c r="B3946">
        <v>5.9499999999999998E+120</v>
      </c>
      <c r="D3946" s="18">
        <v>3944</v>
      </c>
      <c r="E3946" s="18" cm="1">
        <f t="array" aca="1" ref="E3946" ca="1">INDIRECT("b"&amp;F3946+2)</f>
        <v>4.3750000000000003E+163</v>
      </c>
      <c r="F3946" s="18">
        <f t="shared" si="791"/>
        <v>5657</v>
      </c>
      <c r="G3946" s="18"/>
      <c r="H3946" s="18"/>
      <c r="I3946" s="19">
        <v>3944</v>
      </c>
      <c r="J3946" s="19" cm="1">
        <f t="array" aca="1" ref="J3946" ca="1">INDIRECT("b"&amp;K3946+2)</f>
        <v>0</v>
      </c>
      <c r="K3946" s="19">
        <f t="shared" si="788"/>
        <v>6857</v>
      </c>
    </row>
    <row r="3947" spans="1:11">
      <c r="A3947">
        <v>3945</v>
      </c>
      <c r="B3947">
        <v>6.1749999999999992E+120</v>
      </c>
      <c r="D3947" s="18">
        <v>3945</v>
      </c>
      <c r="E3947" s="18" cm="1">
        <f t="array" aca="1" ref="E3947" ca="1">INDIRECT("b"&amp;F3947+2)</f>
        <v>4.6E+163</v>
      </c>
      <c r="F3947" s="18">
        <f t="shared" si="791"/>
        <v>5658</v>
      </c>
      <c r="G3947" s="18"/>
      <c r="H3947" s="18"/>
      <c r="I3947" s="19">
        <v>3945</v>
      </c>
      <c r="J3947" s="19" cm="1">
        <f t="array" aca="1" ref="J3947" ca="1">INDIRECT("b"&amp;K3947+2)</f>
        <v>0</v>
      </c>
      <c r="K3947" s="19">
        <f t="shared" si="788"/>
        <v>6858</v>
      </c>
    </row>
    <row r="3948" spans="1:11">
      <c r="A3948">
        <v>3946</v>
      </c>
      <c r="B3948">
        <v>6.3999999999999996E+120</v>
      </c>
      <c r="D3948" s="18">
        <v>3946</v>
      </c>
      <c r="E3948" s="18" cm="1">
        <f t="array" aca="1" ref="E3948" ca="1">INDIRECT("b"&amp;F3948+2)</f>
        <v>5.0500000000000001E+163</v>
      </c>
      <c r="F3948" s="18">
        <f t="shared" si="791"/>
        <v>5660</v>
      </c>
      <c r="G3948" s="18">
        <f t="shared" ref="G3948" ca="1" si="797">E3948/E3943</f>
        <v>1.4532374100719423</v>
      </c>
      <c r="H3948" s="18"/>
      <c r="I3948" s="19">
        <v>3946</v>
      </c>
      <c r="J3948" s="19" cm="1">
        <f t="array" aca="1" ref="J3948" ca="1">INDIRECT("b"&amp;K3948+2)</f>
        <v>0</v>
      </c>
      <c r="K3948" s="19">
        <f t="shared" si="788"/>
        <v>6860</v>
      </c>
    </row>
    <row r="3949" spans="1:11">
      <c r="A3949">
        <v>3947</v>
      </c>
      <c r="B3949">
        <v>6.624999999999999E+120</v>
      </c>
      <c r="D3949" s="18">
        <v>3947</v>
      </c>
      <c r="E3949" s="18" cm="1">
        <f t="array" aca="1" ref="E3949" ca="1">INDIRECT("b"&amp;F3949+2)</f>
        <v>5.2749999999999998E+163</v>
      </c>
      <c r="F3949" s="18">
        <f t="shared" si="791"/>
        <v>5661</v>
      </c>
      <c r="G3949" s="18"/>
      <c r="H3949" s="18"/>
      <c r="I3949" s="19">
        <v>3947</v>
      </c>
      <c r="J3949" s="19" cm="1">
        <f t="array" aca="1" ref="J3949" ca="1">INDIRECT("b"&amp;K3949+2)</f>
        <v>0</v>
      </c>
      <c r="K3949" s="19">
        <f t="shared" si="788"/>
        <v>6861</v>
      </c>
    </row>
    <row r="3950" spans="1:11">
      <c r="A3950">
        <v>3948</v>
      </c>
      <c r="B3950">
        <v>6.8499999999999994E+120</v>
      </c>
      <c r="D3950" s="18">
        <v>3948</v>
      </c>
      <c r="E3950" s="18" cm="1">
        <f t="array" aca="1" ref="E3950" ca="1">INDIRECT("b"&amp;F3950+2)</f>
        <v>5.5000000000000001E+163</v>
      </c>
      <c r="F3950" s="18">
        <f t="shared" si="791"/>
        <v>5662</v>
      </c>
      <c r="G3950" s="18"/>
      <c r="H3950" s="18"/>
      <c r="I3950" s="19">
        <v>3948</v>
      </c>
      <c r="J3950" s="19" cm="1">
        <f t="array" aca="1" ref="J3950" ca="1">INDIRECT("b"&amp;K3950+2)</f>
        <v>0</v>
      </c>
      <c r="K3950" s="19">
        <f t="shared" si="788"/>
        <v>6862</v>
      </c>
    </row>
    <row r="3951" spans="1:11">
      <c r="A3951">
        <v>3949</v>
      </c>
      <c r="B3951">
        <v>7.0749999999999999E+120</v>
      </c>
      <c r="D3951" s="18">
        <v>3949</v>
      </c>
      <c r="E3951" s="18" cm="1">
        <f t="array" aca="1" ref="E3951" ca="1">INDIRECT("b"&amp;F3951+2)</f>
        <v>5.9500000000000002E+163</v>
      </c>
      <c r="F3951" s="18">
        <f t="shared" si="791"/>
        <v>5664</v>
      </c>
      <c r="G3951" s="18"/>
      <c r="H3951" s="18"/>
      <c r="I3951" s="19">
        <v>3949</v>
      </c>
      <c r="J3951" s="19" cm="1">
        <f t="array" aca="1" ref="J3951" ca="1">INDIRECT("b"&amp;K3951+2)</f>
        <v>0</v>
      </c>
      <c r="K3951" s="19">
        <f t="shared" si="788"/>
        <v>6864</v>
      </c>
    </row>
    <row r="3952" spans="1:11">
      <c r="A3952">
        <v>3950</v>
      </c>
      <c r="B3952">
        <v>7.2999999999999993E+120</v>
      </c>
      <c r="D3952" s="18">
        <v>3950</v>
      </c>
      <c r="E3952" s="18" cm="1">
        <f t="array" aca="1" ref="E3952" ca="1">INDIRECT("b"&amp;F3952+2)</f>
        <v>6.1749999999999999E+163</v>
      </c>
      <c r="F3952" s="18">
        <f t="shared" si="791"/>
        <v>5665</v>
      </c>
      <c r="G3952" s="18"/>
      <c r="H3952" s="18"/>
      <c r="I3952" s="19">
        <v>3950</v>
      </c>
      <c r="J3952" s="19" cm="1">
        <f t="array" aca="1" ref="J3952" ca="1">INDIRECT("b"&amp;K3952+2)</f>
        <v>0</v>
      </c>
      <c r="K3952" s="19">
        <f t="shared" si="788"/>
        <v>6865</v>
      </c>
    </row>
    <row r="3953" spans="1:11">
      <c r="A3953">
        <v>3951</v>
      </c>
      <c r="B3953">
        <v>7.5249999999999997E+120</v>
      </c>
      <c r="D3953" s="18">
        <v>3951</v>
      </c>
      <c r="E3953" s="18" cm="1">
        <f t="array" aca="1" ref="E3953" ca="1">INDIRECT("b"&amp;F3953+2)</f>
        <v>6.3999999999999996E+163</v>
      </c>
      <c r="F3953" s="18">
        <f t="shared" si="791"/>
        <v>5666</v>
      </c>
      <c r="G3953" s="18">
        <f t="shared" ref="G3953" ca="1" si="798">E3953/E3948</f>
        <v>1.2673267326732671</v>
      </c>
      <c r="H3953" s="18"/>
      <c r="I3953" s="19">
        <v>3951</v>
      </c>
      <c r="J3953" s="19" cm="1">
        <f t="array" aca="1" ref="J3953" ca="1">INDIRECT("b"&amp;K3953+2)</f>
        <v>0</v>
      </c>
      <c r="K3953" s="19">
        <f t="shared" si="788"/>
        <v>6866</v>
      </c>
    </row>
    <row r="3954" spans="1:11">
      <c r="A3954">
        <v>3952</v>
      </c>
      <c r="B3954">
        <v>7.7499999999999991E+120</v>
      </c>
      <c r="D3954" s="18">
        <v>3952</v>
      </c>
      <c r="E3954" s="18" cm="1">
        <f t="array" aca="1" ref="E3954" ca="1">INDIRECT("b"&amp;F3954+2)</f>
        <v>6.8500000000000003E+163</v>
      </c>
      <c r="F3954" s="18">
        <f t="shared" si="791"/>
        <v>5668</v>
      </c>
      <c r="G3954" s="18"/>
      <c r="H3954" s="18"/>
      <c r="I3954" s="19">
        <v>3952</v>
      </c>
      <c r="J3954" s="19" cm="1">
        <f t="array" aca="1" ref="J3954" ca="1">INDIRECT("b"&amp;K3954+2)</f>
        <v>0</v>
      </c>
      <c r="K3954" s="19">
        <f t="shared" si="788"/>
        <v>6868</v>
      </c>
    </row>
    <row r="3955" spans="1:11">
      <c r="A3955">
        <v>3953</v>
      </c>
      <c r="B3955">
        <v>7.9749999999999995E+120</v>
      </c>
      <c r="D3955" s="18">
        <v>3953</v>
      </c>
      <c r="E3955" s="18" cm="1">
        <f t="array" aca="1" ref="E3955" ca="1">INDIRECT("b"&amp;F3955+2)</f>
        <v>7.075E+163</v>
      </c>
      <c r="F3955" s="18">
        <f t="shared" si="791"/>
        <v>5669</v>
      </c>
      <c r="G3955" s="18"/>
      <c r="H3955" s="18"/>
      <c r="I3955" s="19">
        <v>3953</v>
      </c>
      <c r="J3955" s="19" cm="1">
        <f t="array" aca="1" ref="J3955" ca="1">INDIRECT("b"&amp;K3955+2)</f>
        <v>0</v>
      </c>
      <c r="K3955" s="19">
        <f t="shared" si="788"/>
        <v>6869</v>
      </c>
    </row>
    <row r="3956" spans="1:11">
      <c r="A3956">
        <v>3954</v>
      </c>
      <c r="B3956">
        <v>8.1999999999999989E+120</v>
      </c>
      <c r="D3956" s="18">
        <v>3954</v>
      </c>
      <c r="E3956" s="18" cm="1">
        <f t="array" aca="1" ref="E3956" ca="1">INDIRECT("b"&amp;F3956+2)</f>
        <v>7.2999999999999997E+163</v>
      </c>
      <c r="F3956" s="18">
        <f t="shared" si="791"/>
        <v>5670</v>
      </c>
      <c r="G3956" s="18"/>
      <c r="H3956" s="18"/>
      <c r="I3956" s="19">
        <v>3954</v>
      </c>
      <c r="J3956" s="19" cm="1">
        <f t="array" aca="1" ref="J3956" ca="1">INDIRECT("b"&amp;K3956+2)</f>
        <v>0</v>
      </c>
      <c r="K3956" s="19">
        <f t="shared" si="788"/>
        <v>6870</v>
      </c>
    </row>
    <row r="3957" spans="1:11">
      <c r="A3957">
        <v>3955</v>
      </c>
      <c r="B3957">
        <v>8.4249999999999993E+120</v>
      </c>
      <c r="D3957" s="18">
        <v>3955</v>
      </c>
      <c r="E3957" s="18" cm="1">
        <f t="array" aca="1" ref="E3957" ca="1">INDIRECT("b"&amp;F3957+2)</f>
        <v>7.7500000000000004E+163</v>
      </c>
      <c r="F3957" s="18">
        <f t="shared" si="791"/>
        <v>5672</v>
      </c>
      <c r="G3957" s="18"/>
      <c r="H3957" s="18"/>
      <c r="I3957" s="19">
        <v>3955</v>
      </c>
      <c r="J3957" s="19" cm="1">
        <f t="array" aca="1" ref="J3957" ca="1">INDIRECT("b"&amp;K3957+2)</f>
        <v>0</v>
      </c>
      <c r="K3957" s="19">
        <f t="shared" si="788"/>
        <v>6872</v>
      </c>
    </row>
    <row r="3958" spans="1:11">
      <c r="A3958">
        <v>3956</v>
      </c>
      <c r="B3958">
        <v>8.6499999999999998E+120</v>
      </c>
      <c r="D3958" s="18">
        <v>3956</v>
      </c>
      <c r="E3958" s="18" cm="1">
        <f t="array" aca="1" ref="E3958" ca="1">INDIRECT("b"&amp;F3958+2)</f>
        <v>7.9750000000000001E+163</v>
      </c>
      <c r="F3958" s="18">
        <f t="shared" si="791"/>
        <v>5673</v>
      </c>
      <c r="G3958" s="18">
        <f t="shared" ref="G3958" ca="1" si="799">E3958/E3953</f>
        <v>1.24609375</v>
      </c>
      <c r="H3958" s="18"/>
      <c r="I3958" s="19">
        <v>3956</v>
      </c>
      <c r="J3958" s="19" cm="1">
        <f t="array" aca="1" ref="J3958" ca="1">INDIRECT("b"&amp;K3958+2)</f>
        <v>0</v>
      </c>
      <c r="K3958" s="19">
        <f t="shared" si="788"/>
        <v>6873</v>
      </c>
    </row>
    <row r="3959" spans="1:11">
      <c r="A3959">
        <v>3957</v>
      </c>
      <c r="B3959">
        <v>8.8749999999999991E+120</v>
      </c>
      <c r="D3959" s="18">
        <v>3957</v>
      </c>
      <c r="E3959" s="18" cm="1">
        <f t="array" aca="1" ref="E3959" ca="1">INDIRECT("b"&amp;F3959+2)</f>
        <v>8.1999999999999998E+163</v>
      </c>
      <c r="F3959" s="18">
        <f t="shared" si="791"/>
        <v>5674</v>
      </c>
      <c r="G3959" s="18"/>
      <c r="H3959" s="18"/>
      <c r="I3959" s="19">
        <v>3957</v>
      </c>
      <c r="J3959" s="19" cm="1">
        <f t="array" aca="1" ref="J3959" ca="1">INDIRECT("b"&amp;K3959+2)</f>
        <v>0</v>
      </c>
      <c r="K3959" s="19">
        <f t="shared" si="788"/>
        <v>6874</v>
      </c>
    </row>
    <row r="3960" spans="1:11">
      <c r="A3960">
        <v>3958</v>
      </c>
      <c r="B3960">
        <v>9.0999999999999996E+120</v>
      </c>
      <c r="D3960" s="18">
        <v>3958</v>
      </c>
      <c r="E3960" s="18" cm="1">
        <f t="array" aca="1" ref="E3960" ca="1">INDIRECT("b"&amp;F3960+2)</f>
        <v>8.6500000000000005E+163</v>
      </c>
      <c r="F3960" s="18">
        <f t="shared" si="791"/>
        <v>5676</v>
      </c>
      <c r="G3960" s="18"/>
      <c r="H3960" s="18"/>
      <c r="I3960" s="19">
        <v>3958</v>
      </c>
      <c r="J3960" s="19" cm="1">
        <f t="array" aca="1" ref="J3960" ca="1">INDIRECT("b"&amp;K3960+2)</f>
        <v>0</v>
      </c>
      <c r="K3960" s="19">
        <f t="shared" si="788"/>
        <v>6876</v>
      </c>
    </row>
    <row r="3961" spans="1:11">
      <c r="A3961">
        <v>3959</v>
      </c>
      <c r="B3961">
        <v>9.3249999999999989E+120</v>
      </c>
      <c r="D3961" s="18">
        <v>3959</v>
      </c>
      <c r="E3961" s="18" cm="1">
        <f t="array" aca="1" ref="E3961" ca="1">INDIRECT("b"&amp;F3961+2)</f>
        <v>8.8750000000000002E+163</v>
      </c>
      <c r="F3961" s="18">
        <f t="shared" si="791"/>
        <v>5677</v>
      </c>
      <c r="G3961" s="18"/>
      <c r="H3961" s="18"/>
      <c r="I3961" s="19">
        <v>3959</v>
      </c>
      <c r="J3961" s="19" cm="1">
        <f t="array" aca="1" ref="J3961" ca="1">INDIRECT("b"&amp;K3961+2)</f>
        <v>0</v>
      </c>
      <c r="K3961" s="19">
        <f t="shared" si="788"/>
        <v>6877</v>
      </c>
    </row>
    <row r="3962" spans="1:11">
      <c r="A3962">
        <v>3960</v>
      </c>
      <c r="B3962">
        <v>9.5499999999999994E+120</v>
      </c>
      <c r="D3962" s="18">
        <v>3960</v>
      </c>
      <c r="E3962" s="18" cm="1">
        <f t="array" aca="1" ref="E3962" ca="1">INDIRECT("b"&amp;F3962+2)</f>
        <v>9.0999999999999999E+163</v>
      </c>
      <c r="F3962" s="18">
        <f t="shared" si="791"/>
        <v>5678</v>
      </c>
      <c r="G3962" s="18"/>
      <c r="H3962" s="18"/>
      <c r="I3962" s="19">
        <v>3960</v>
      </c>
      <c r="J3962" s="19" cm="1">
        <f t="array" aca="1" ref="J3962" ca="1">INDIRECT("b"&amp;K3962+2)</f>
        <v>0</v>
      </c>
      <c r="K3962" s="19">
        <f t="shared" si="788"/>
        <v>6878</v>
      </c>
    </row>
    <row r="3963" spans="1:11">
      <c r="A3963">
        <v>3961</v>
      </c>
      <c r="B3963">
        <v>9.7749999999999988E+120</v>
      </c>
      <c r="D3963" s="18">
        <v>3961</v>
      </c>
      <c r="E3963" s="18" cm="1">
        <f t="array" aca="1" ref="E3963" ca="1">INDIRECT("b"&amp;F3963+2)</f>
        <v>9.5500000000000006E+163</v>
      </c>
      <c r="F3963" s="18">
        <f t="shared" si="791"/>
        <v>5680</v>
      </c>
      <c r="G3963" s="18">
        <f t="shared" ref="G3963" ca="1" si="800">E3963/E3958</f>
        <v>1.1974921630094044</v>
      </c>
      <c r="H3963" s="18"/>
      <c r="I3963" s="19">
        <v>3961</v>
      </c>
      <c r="J3963" s="19" cm="1">
        <f t="array" aca="1" ref="J3963" ca="1">INDIRECT("b"&amp;K3963+2)</f>
        <v>0</v>
      </c>
      <c r="K3963" s="19">
        <f t="shared" si="788"/>
        <v>6880</v>
      </c>
    </row>
    <row r="3964" spans="1:11">
      <c r="A3964">
        <v>3962</v>
      </c>
      <c r="B3964">
        <v>1E+121</v>
      </c>
      <c r="D3964" s="18">
        <v>3962</v>
      </c>
      <c r="E3964" s="18" cm="1">
        <f t="array" aca="1" ref="E3964" ca="1">INDIRECT("b"&amp;F3964+2)</f>
        <v>9.7750000000000003E+163</v>
      </c>
      <c r="F3964" s="18">
        <f t="shared" si="791"/>
        <v>5681</v>
      </c>
      <c r="G3964" s="18"/>
      <c r="H3964" s="18"/>
      <c r="I3964" s="19">
        <v>3962</v>
      </c>
      <c r="J3964" s="19" cm="1">
        <f t="array" aca="1" ref="J3964" ca="1">INDIRECT("b"&amp;K3964+2)</f>
        <v>0</v>
      </c>
      <c r="K3964" s="19">
        <f t="shared" si="788"/>
        <v>6881</v>
      </c>
    </row>
    <row r="3965" spans="1:11">
      <c r="A3965">
        <v>3963</v>
      </c>
      <c r="B3965">
        <v>1.2249999999999999E+121</v>
      </c>
      <c r="D3965" s="18">
        <v>3963</v>
      </c>
      <c r="E3965" s="18" cm="1">
        <f t="array" aca="1" ref="E3965" ca="1">INDIRECT("b"&amp;F3965+2)</f>
        <v>1E+164</v>
      </c>
      <c r="F3965" s="18">
        <f t="shared" si="791"/>
        <v>5682</v>
      </c>
      <c r="G3965" s="18"/>
      <c r="H3965" s="18"/>
      <c r="I3965" s="19">
        <v>3963</v>
      </c>
      <c r="J3965" s="19" cm="1">
        <f t="array" aca="1" ref="J3965" ca="1">INDIRECT("b"&amp;K3965+2)</f>
        <v>0</v>
      </c>
      <c r="K3965" s="19">
        <f t="shared" si="788"/>
        <v>6882</v>
      </c>
    </row>
    <row r="3966" spans="1:11">
      <c r="A3966">
        <v>3964</v>
      </c>
      <c r="B3966">
        <v>1.45E+121</v>
      </c>
      <c r="D3966" s="18">
        <v>3964</v>
      </c>
      <c r="E3966" s="18" cm="1">
        <f t="array" aca="1" ref="E3966" ca="1">INDIRECT("b"&amp;F3966+2)</f>
        <v>1.4499999999999999E+164</v>
      </c>
      <c r="F3966" s="18">
        <f t="shared" si="791"/>
        <v>5684</v>
      </c>
      <c r="G3966" s="18"/>
      <c r="H3966" s="18"/>
      <c r="I3966" s="19">
        <v>3964</v>
      </c>
      <c r="J3966" s="19" cm="1">
        <f t="array" aca="1" ref="J3966" ca="1">INDIRECT("b"&amp;K3966+2)</f>
        <v>0</v>
      </c>
      <c r="K3966" s="19">
        <f t="shared" si="788"/>
        <v>6884</v>
      </c>
    </row>
    <row r="3967" spans="1:11">
      <c r="A3967">
        <v>3965</v>
      </c>
      <c r="B3967">
        <v>1.675E+121</v>
      </c>
      <c r="D3967" s="18">
        <v>3965</v>
      </c>
      <c r="E3967" s="18" cm="1">
        <f t="array" aca="1" ref="E3967" ca="1">INDIRECT("b"&amp;F3967+2)</f>
        <v>1.6749999999999999E+164</v>
      </c>
      <c r="F3967" s="18">
        <f t="shared" si="791"/>
        <v>5685</v>
      </c>
      <c r="G3967" s="18"/>
      <c r="H3967" s="18"/>
      <c r="I3967" s="19">
        <v>3965</v>
      </c>
      <c r="J3967" s="19" cm="1">
        <f t="array" aca="1" ref="J3967" ca="1">INDIRECT("b"&amp;K3967+2)</f>
        <v>0</v>
      </c>
      <c r="K3967" s="19">
        <f t="shared" si="788"/>
        <v>6885</v>
      </c>
    </row>
    <row r="3968" spans="1:11">
      <c r="A3968">
        <v>3966</v>
      </c>
      <c r="B3968">
        <v>1.9E+121</v>
      </c>
      <c r="D3968" s="18">
        <v>3966</v>
      </c>
      <c r="E3968" s="18" cm="1">
        <f t="array" aca="1" ref="E3968" ca="1">INDIRECT("b"&amp;F3968+2)</f>
        <v>1.8999999999999998E+164</v>
      </c>
      <c r="F3968" s="18">
        <f t="shared" si="791"/>
        <v>5686</v>
      </c>
      <c r="G3968" s="18">
        <f t="shared" ref="G3968" ca="1" si="801">E3968/E3963</f>
        <v>1.989528795811518</v>
      </c>
      <c r="H3968" s="18"/>
      <c r="I3968" s="19">
        <v>3966</v>
      </c>
      <c r="J3968" s="19" cm="1">
        <f t="array" aca="1" ref="J3968" ca="1">INDIRECT("b"&amp;K3968+2)</f>
        <v>0</v>
      </c>
      <c r="K3968" s="19">
        <f t="shared" si="788"/>
        <v>6886</v>
      </c>
    </row>
    <row r="3969" spans="1:11">
      <c r="A3969">
        <v>3967</v>
      </c>
      <c r="B3969">
        <v>2.125E+121</v>
      </c>
      <c r="D3969" s="18">
        <v>3967</v>
      </c>
      <c r="E3969" s="18" cm="1">
        <f t="array" aca="1" ref="E3969" ca="1">INDIRECT("b"&amp;F3969+2)</f>
        <v>2.3499999999999998E+164</v>
      </c>
      <c r="F3969" s="18">
        <f t="shared" si="791"/>
        <v>5688</v>
      </c>
      <c r="G3969" s="18"/>
      <c r="H3969" s="18"/>
      <c r="I3969" s="19">
        <v>3967</v>
      </c>
      <c r="J3969" s="19" cm="1">
        <f t="array" aca="1" ref="J3969" ca="1">INDIRECT("b"&amp;K3969+2)</f>
        <v>0</v>
      </c>
      <c r="K3969" s="19">
        <f t="shared" si="788"/>
        <v>6888</v>
      </c>
    </row>
    <row r="3970" spans="1:11">
      <c r="A3970">
        <v>3968</v>
      </c>
      <c r="B3970">
        <v>2.35E+121</v>
      </c>
      <c r="D3970" s="18">
        <v>3968</v>
      </c>
      <c r="E3970" s="18" cm="1">
        <f t="array" aca="1" ref="E3970" ca="1">INDIRECT("b"&amp;F3970+2)</f>
        <v>2.5749999999999997E+164</v>
      </c>
      <c r="F3970" s="18">
        <f t="shared" si="791"/>
        <v>5689</v>
      </c>
      <c r="G3970" s="18"/>
      <c r="H3970" s="18"/>
      <c r="I3970" s="19">
        <v>3968</v>
      </c>
      <c r="J3970" s="19" cm="1">
        <f t="array" aca="1" ref="J3970" ca="1">INDIRECT("b"&amp;K3970+2)</f>
        <v>0</v>
      </c>
      <c r="K3970" s="19">
        <f t="shared" si="788"/>
        <v>6889</v>
      </c>
    </row>
    <row r="3971" spans="1:11">
      <c r="A3971">
        <v>3969</v>
      </c>
      <c r="B3971">
        <v>2.575E+121</v>
      </c>
      <c r="D3971" s="18">
        <v>3969</v>
      </c>
      <c r="E3971" s="18" cm="1">
        <f t="array" aca="1" ref="E3971" ca="1">INDIRECT("b"&amp;F3971+2)</f>
        <v>2.7999999999999997E+164</v>
      </c>
      <c r="F3971" s="18">
        <f t="shared" si="791"/>
        <v>5690</v>
      </c>
      <c r="G3971" s="18"/>
      <c r="H3971" s="18"/>
      <c r="I3971" s="19">
        <v>3969</v>
      </c>
      <c r="J3971" s="19" cm="1">
        <f t="array" aca="1" ref="J3971" ca="1">INDIRECT("b"&amp;K3971+2)</f>
        <v>0</v>
      </c>
      <c r="K3971" s="19">
        <f t="shared" si="788"/>
        <v>6890</v>
      </c>
    </row>
    <row r="3972" spans="1:11">
      <c r="A3972">
        <v>3970</v>
      </c>
      <c r="B3972">
        <v>2.8000000000000001E+121</v>
      </c>
      <c r="D3972" s="18">
        <v>3970</v>
      </c>
      <c r="E3972" s="18" cm="1">
        <f t="array" aca="1" ref="E3972" ca="1">INDIRECT("b"&amp;F3972+2)</f>
        <v>3.2500000000000001E+164</v>
      </c>
      <c r="F3972" s="18">
        <f t="shared" si="791"/>
        <v>5692</v>
      </c>
      <c r="G3972" s="18"/>
      <c r="H3972" s="18"/>
      <c r="I3972" s="19">
        <v>3970</v>
      </c>
      <c r="J3972" s="19" cm="1">
        <f t="array" aca="1" ref="J3972" ca="1">INDIRECT("b"&amp;K3972+2)</f>
        <v>0</v>
      </c>
      <c r="K3972" s="19">
        <f t="shared" ref="K3972:K4035" si="802">INT((A3972-1)*40/30+900*40/30)+400</f>
        <v>6892</v>
      </c>
    </row>
    <row r="3973" spans="1:11">
      <c r="A3973">
        <v>3971</v>
      </c>
      <c r="B3973">
        <v>3.0250000000000001E+121</v>
      </c>
      <c r="D3973" s="18">
        <v>3971</v>
      </c>
      <c r="E3973" s="18" cm="1">
        <f t="array" aca="1" ref="E3973" ca="1">INDIRECT("b"&amp;F3973+2)</f>
        <v>3.4750000000000001E+164</v>
      </c>
      <c r="F3973" s="18">
        <f t="shared" si="791"/>
        <v>5693</v>
      </c>
      <c r="G3973" s="18">
        <f t="shared" ref="G3973" ca="1" si="803">E3973/E3968</f>
        <v>1.8289473684210529</v>
      </c>
      <c r="H3973" s="18"/>
      <c r="I3973" s="19">
        <v>3971</v>
      </c>
      <c r="J3973" s="19" cm="1">
        <f t="array" aca="1" ref="J3973" ca="1">INDIRECT("b"&amp;K3973+2)</f>
        <v>0</v>
      </c>
      <c r="K3973" s="19">
        <f t="shared" si="802"/>
        <v>6893</v>
      </c>
    </row>
    <row r="3974" spans="1:11">
      <c r="A3974">
        <v>3972</v>
      </c>
      <c r="B3974">
        <v>3.2500000000000001E+121</v>
      </c>
      <c r="D3974" s="18">
        <v>3972</v>
      </c>
      <c r="E3974" s="18" cm="1">
        <f t="array" aca="1" ref="E3974" ca="1">INDIRECT("b"&amp;F3974+2)</f>
        <v>3.7000000000000001E+164</v>
      </c>
      <c r="F3974" s="18">
        <f t="shared" si="791"/>
        <v>5694</v>
      </c>
      <c r="G3974" s="18"/>
      <c r="H3974" s="18"/>
      <c r="I3974" s="19">
        <v>3972</v>
      </c>
      <c r="J3974" s="19" cm="1">
        <f t="array" aca="1" ref="J3974" ca="1">INDIRECT("b"&amp;K3974+2)</f>
        <v>0</v>
      </c>
      <c r="K3974" s="19">
        <f t="shared" si="802"/>
        <v>6894</v>
      </c>
    </row>
    <row r="3975" spans="1:11">
      <c r="A3975">
        <v>3973</v>
      </c>
      <c r="B3975">
        <v>3.4750000000000001E+121</v>
      </c>
      <c r="D3975" s="18">
        <v>3973</v>
      </c>
      <c r="E3975" s="18" cm="1">
        <f t="array" aca="1" ref="E3975" ca="1">INDIRECT("b"&amp;F3975+2)</f>
        <v>4.15E+164</v>
      </c>
      <c r="F3975" s="18">
        <f t="shared" si="791"/>
        <v>5696</v>
      </c>
      <c r="G3975" s="18"/>
      <c r="H3975" s="18"/>
      <c r="I3975" s="19">
        <v>3973</v>
      </c>
      <c r="J3975" s="19" cm="1">
        <f t="array" aca="1" ref="J3975" ca="1">INDIRECT("b"&amp;K3975+2)</f>
        <v>0</v>
      </c>
      <c r="K3975" s="19">
        <f t="shared" si="802"/>
        <v>6896</v>
      </c>
    </row>
    <row r="3976" spans="1:11">
      <c r="A3976">
        <v>3974</v>
      </c>
      <c r="B3976">
        <v>3.7000000000000001E+121</v>
      </c>
      <c r="D3976" s="18">
        <v>3974</v>
      </c>
      <c r="E3976" s="18" cm="1">
        <f t="array" aca="1" ref="E3976" ca="1">INDIRECT("b"&amp;F3976+2)</f>
        <v>4.3749999999999999E+164</v>
      </c>
      <c r="F3976" s="18">
        <f t="shared" si="791"/>
        <v>5697</v>
      </c>
      <c r="G3976" s="18"/>
      <c r="H3976" s="18"/>
      <c r="I3976" s="19">
        <v>3974</v>
      </c>
      <c r="J3976" s="19" cm="1">
        <f t="array" aca="1" ref="J3976" ca="1">INDIRECT("b"&amp;K3976+2)</f>
        <v>0</v>
      </c>
      <c r="K3976" s="19">
        <f t="shared" si="802"/>
        <v>6897</v>
      </c>
    </row>
    <row r="3977" spans="1:11">
      <c r="A3977">
        <v>3975</v>
      </c>
      <c r="B3977">
        <v>3.9250000000000001E+121</v>
      </c>
      <c r="D3977" s="18">
        <v>3975</v>
      </c>
      <c r="E3977" s="18" cm="1">
        <f t="array" aca="1" ref="E3977" ca="1">INDIRECT("b"&amp;F3977+2)</f>
        <v>4.5999999999999999E+164</v>
      </c>
      <c r="F3977" s="18">
        <f t="shared" si="791"/>
        <v>5698</v>
      </c>
      <c r="G3977" s="18"/>
      <c r="H3977" s="18"/>
      <c r="I3977" s="19">
        <v>3975</v>
      </c>
      <c r="J3977" s="19" cm="1">
        <f t="array" aca="1" ref="J3977" ca="1">INDIRECT("b"&amp;K3977+2)</f>
        <v>0</v>
      </c>
      <c r="K3977" s="19">
        <f t="shared" si="802"/>
        <v>6898</v>
      </c>
    </row>
    <row r="3978" spans="1:11">
      <c r="A3978">
        <v>3976</v>
      </c>
      <c r="B3978">
        <v>4.1499999999999997E+121</v>
      </c>
      <c r="D3978" s="18">
        <v>3976</v>
      </c>
      <c r="E3978" s="18" cm="1">
        <f t="array" aca="1" ref="E3978" ca="1">INDIRECT("b"&amp;F3978+2)</f>
        <v>5.0499999999999998E+164</v>
      </c>
      <c r="F3978" s="18">
        <f t="shared" si="791"/>
        <v>5700</v>
      </c>
      <c r="G3978" s="18">
        <f t="shared" ref="G3978" ca="1" si="804">E3978/E3973</f>
        <v>1.4532374100719423</v>
      </c>
      <c r="H3978" s="18"/>
      <c r="I3978" s="19">
        <v>3976</v>
      </c>
      <c r="J3978" s="19" cm="1">
        <f t="array" aca="1" ref="J3978" ca="1">INDIRECT("b"&amp;K3978+2)</f>
        <v>0</v>
      </c>
      <c r="K3978" s="19">
        <f t="shared" si="802"/>
        <v>6900</v>
      </c>
    </row>
    <row r="3979" spans="1:11">
      <c r="A3979">
        <v>3977</v>
      </c>
      <c r="B3979">
        <v>4.3750000000000002E+121</v>
      </c>
      <c r="D3979" s="18">
        <v>3977</v>
      </c>
      <c r="E3979" s="18" cm="1">
        <f t="array" aca="1" ref="E3979" ca="1">INDIRECT("b"&amp;F3979+2)</f>
        <v>5.2750000000000003E+164</v>
      </c>
      <c r="F3979" s="18">
        <f t="shared" si="791"/>
        <v>5701</v>
      </c>
      <c r="G3979" s="18"/>
      <c r="H3979" s="18"/>
      <c r="I3979" s="19">
        <v>3977</v>
      </c>
      <c r="J3979" s="19" cm="1">
        <f t="array" aca="1" ref="J3979" ca="1">INDIRECT("b"&amp;K3979+2)</f>
        <v>0</v>
      </c>
      <c r="K3979" s="19">
        <f t="shared" si="802"/>
        <v>6901</v>
      </c>
    </row>
    <row r="3980" spans="1:11">
      <c r="A3980">
        <v>3978</v>
      </c>
      <c r="B3980">
        <v>4.5999999999999997E+121</v>
      </c>
      <c r="D3980" s="18">
        <v>3978</v>
      </c>
      <c r="E3980" s="18" cm="1">
        <f t="array" aca="1" ref="E3980" ca="1">INDIRECT("b"&amp;F3980+2)</f>
        <v>5.4999999999999998E+164</v>
      </c>
      <c r="F3980" s="18">
        <f t="shared" si="791"/>
        <v>5702</v>
      </c>
      <c r="G3980" s="18"/>
      <c r="H3980" s="18"/>
      <c r="I3980" s="19">
        <v>3978</v>
      </c>
      <c r="J3980" s="19" cm="1">
        <f t="array" aca="1" ref="J3980" ca="1">INDIRECT("b"&amp;K3980+2)</f>
        <v>0</v>
      </c>
      <c r="K3980" s="19">
        <f t="shared" si="802"/>
        <v>6902</v>
      </c>
    </row>
    <row r="3981" spans="1:11">
      <c r="A3981">
        <v>3979</v>
      </c>
      <c r="B3981">
        <v>4.8250000000000002E+121</v>
      </c>
      <c r="D3981" s="18">
        <v>3979</v>
      </c>
      <c r="E3981" s="18" cm="1">
        <f t="array" aca="1" ref="E3981" ca="1">INDIRECT("b"&amp;F3981+2)</f>
        <v>5.9499999999999997E+164</v>
      </c>
      <c r="F3981" s="18">
        <f t="shared" si="791"/>
        <v>5704</v>
      </c>
      <c r="G3981" s="18"/>
      <c r="H3981" s="18"/>
      <c r="I3981" s="19">
        <v>3979</v>
      </c>
      <c r="J3981" s="19" cm="1">
        <f t="array" aca="1" ref="J3981" ca="1">INDIRECT("b"&amp;K3981+2)</f>
        <v>0</v>
      </c>
      <c r="K3981" s="19">
        <f t="shared" si="802"/>
        <v>6904</v>
      </c>
    </row>
    <row r="3982" spans="1:11">
      <c r="A3982">
        <v>3980</v>
      </c>
      <c r="B3982">
        <v>5.0499999999999998E+121</v>
      </c>
      <c r="D3982" s="18">
        <v>3980</v>
      </c>
      <c r="E3982" s="18" cm="1">
        <f t="array" aca="1" ref="E3982" ca="1">INDIRECT("b"&amp;F3982+2)</f>
        <v>6.1750000000000002E+164</v>
      </c>
      <c r="F3982" s="18">
        <f t="shared" si="791"/>
        <v>5705</v>
      </c>
      <c r="G3982" s="18"/>
      <c r="H3982" s="18"/>
      <c r="I3982" s="19">
        <v>3980</v>
      </c>
      <c r="J3982" s="19" cm="1">
        <f t="array" aca="1" ref="J3982" ca="1">INDIRECT("b"&amp;K3982+2)</f>
        <v>0</v>
      </c>
      <c r="K3982" s="19">
        <f t="shared" si="802"/>
        <v>6905</v>
      </c>
    </row>
    <row r="3983" spans="1:11">
      <c r="A3983">
        <v>3981</v>
      </c>
      <c r="B3983">
        <v>5.2750000000000002E+121</v>
      </c>
      <c r="D3983" s="18">
        <v>3981</v>
      </c>
      <c r="E3983" s="18" cm="1">
        <f t="array" aca="1" ref="E3983" ca="1">INDIRECT("b"&amp;F3983+2)</f>
        <v>6.3999999999999996E+164</v>
      </c>
      <c r="F3983" s="18">
        <f t="shared" si="791"/>
        <v>5706</v>
      </c>
      <c r="G3983" s="18">
        <f t="shared" ref="G3983" ca="1" si="805">E3983/E3978</f>
        <v>1.2673267326732673</v>
      </c>
      <c r="H3983" s="18"/>
      <c r="I3983" s="19">
        <v>3981</v>
      </c>
      <c r="J3983" s="19" cm="1">
        <f t="array" aca="1" ref="J3983" ca="1">INDIRECT("b"&amp;K3983+2)</f>
        <v>0</v>
      </c>
      <c r="K3983" s="19">
        <f t="shared" si="802"/>
        <v>6906</v>
      </c>
    </row>
    <row r="3984" spans="1:11">
      <c r="A3984">
        <v>3982</v>
      </c>
      <c r="B3984">
        <v>5.4999999999999998E+121</v>
      </c>
      <c r="D3984" s="18">
        <v>3982</v>
      </c>
      <c r="E3984" s="18" cm="1">
        <f t="array" aca="1" ref="E3984" ca="1">INDIRECT("b"&amp;F3984+2)</f>
        <v>6.8499999999999995E+164</v>
      </c>
      <c r="F3984" s="18">
        <f t="shared" si="791"/>
        <v>5708</v>
      </c>
      <c r="G3984" s="18"/>
      <c r="H3984" s="18"/>
      <c r="I3984" s="19">
        <v>3982</v>
      </c>
      <c r="J3984" s="19" cm="1">
        <f t="array" aca="1" ref="J3984" ca="1">INDIRECT("b"&amp;K3984+2)</f>
        <v>0</v>
      </c>
      <c r="K3984" s="19">
        <f t="shared" si="802"/>
        <v>6908</v>
      </c>
    </row>
    <row r="3985" spans="1:11">
      <c r="A3985">
        <v>3983</v>
      </c>
      <c r="B3985">
        <v>5.7250000000000003E+121</v>
      </c>
      <c r="D3985" s="18">
        <v>3983</v>
      </c>
      <c r="E3985" s="18" cm="1">
        <f t="array" aca="1" ref="E3985" ca="1">INDIRECT("b"&amp;F3985+2)</f>
        <v>7.075E+164</v>
      </c>
      <c r="F3985" s="18">
        <f t="shared" si="791"/>
        <v>5709</v>
      </c>
      <c r="G3985" s="18"/>
      <c r="H3985" s="18"/>
      <c r="I3985" s="19">
        <v>3983</v>
      </c>
      <c r="J3985" s="19" cm="1">
        <f t="array" aca="1" ref="J3985" ca="1">INDIRECT("b"&amp;K3985+2)</f>
        <v>0</v>
      </c>
      <c r="K3985" s="19">
        <f t="shared" si="802"/>
        <v>6909</v>
      </c>
    </row>
    <row r="3986" spans="1:11">
      <c r="A3986">
        <v>3984</v>
      </c>
      <c r="B3986">
        <v>5.9499999999999998E+121</v>
      </c>
      <c r="D3986" s="18">
        <v>3984</v>
      </c>
      <c r="E3986" s="18" cm="1">
        <f t="array" aca="1" ref="E3986" ca="1">INDIRECT("b"&amp;F3986+2)</f>
        <v>7.2999999999999995E+164</v>
      </c>
      <c r="F3986" s="18">
        <f t="shared" si="791"/>
        <v>5710</v>
      </c>
      <c r="G3986" s="18"/>
      <c r="H3986" s="18"/>
      <c r="I3986" s="19">
        <v>3984</v>
      </c>
      <c r="J3986" s="19" cm="1">
        <f t="array" aca="1" ref="J3986" ca="1">INDIRECT("b"&amp;K3986+2)</f>
        <v>0</v>
      </c>
      <c r="K3986" s="19">
        <f t="shared" si="802"/>
        <v>6910</v>
      </c>
    </row>
    <row r="3987" spans="1:11">
      <c r="A3987">
        <v>3985</v>
      </c>
      <c r="B3987">
        <v>6.1750000000000003E+121</v>
      </c>
      <c r="D3987" s="18">
        <v>3985</v>
      </c>
      <c r="E3987" s="18" cm="1">
        <f t="array" aca="1" ref="E3987" ca="1">INDIRECT("b"&amp;F3987+2)</f>
        <v>7.7499999999999994E+164</v>
      </c>
      <c r="F3987" s="18">
        <f t="shared" ref="F3987:F4050" si="806">INT((A3987-123)*1.333333)+563</f>
        <v>5712</v>
      </c>
      <c r="G3987" s="18"/>
      <c r="H3987" s="18"/>
      <c r="I3987" s="19">
        <v>3985</v>
      </c>
      <c r="J3987" s="19" cm="1">
        <f t="array" aca="1" ref="J3987" ca="1">INDIRECT("b"&amp;K3987+2)</f>
        <v>0</v>
      </c>
      <c r="K3987" s="19">
        <f t="shared" si="802"/>
        <v>6912</v>
      </c>
    </row>
    <row r="3988" spans="1:11">
      <c r="A3988">
        <v>3986</v>
      </c>
      <c r="B3988">
        <v>6.3999999999999999E+121</v>
      </c>
      <c r="D3988" s="18">
        <v>3986</v>
      </c>
      <c r="E3988" s="18" cm="1">
        <f t="array" aca="1" ref="E3988" ca="1">INDIRECT("b"&amp;F3988+2)</f>
        <v>7.9749999999999998E+164</v>
      </c>
      <c r="F3988" s="18">
        <f t="shared" si="806"/>
        <v>5713</v>
      </c>
      <c r="G3988" s="18">
        <f t="shared" ref="G3988" ca="1" si="807">E3988/E3983</f>
        <v>1.24609375</v>
      </c>
      <c r="H3988" s="18"/>
      <c r="I3988" s="19">
        <v>3986</v>
      </c>
      <c r="J3988" s="19" cm="1">
        <f t="array" aca="1" ref="J3988" ca="1">INDIRECT("b"&amp;K3988+2)</f>
        <v>0</v>
      </c>
      <c r="K3988" s="19">
        <f t="shared" si="802"/>
        <v>6913</v>
      </c>
    </row>
    <row r="3989" spans="1:11">
      <c r="A3989">
        <v>3987</v>
      </c>
      <c r="B3989">
        <v>6.6250000000000003E+121</v>
      </c>
      <c r="D3989" s="18">
        <v>3987</v>
      </c>
      <c r="E3989" s="18" cm="1">
        <f t="array" aca="1" ref="E3989" ca="1">INDIRECT("b"&amp;F3989+2)</f>
        <v>8.2000000000000003E+164</v>
      </c>
      <c r="F3989" s="18">
        <f t="shared" si="806"/>
        <v>5714</v>
      </c>
      <c r="G3989" s="18"/>
      <c r="H3989" s="18"/>
      <c r="I3989" s="19">
        <v>3987</v>
      </c>
      <c r="J3989" s="19" cm="1">
        <f t="array" aca="1" ref="J3989" ca="1">INDIRECT("b"&amp;K3989+2)</f>
        <v>0</v>
      </c>
      <c r="K3989" s="19">
        <f t="shared" si="802"/>
        <v>6914</v>
      </c>
    </row>
    <row r="3990" spans="1:11">
      <c r="A3990">
        <v>3988</v>
      </c>
      <c r="B3990">
        <v>6.8499999999999999E+121</v>
      </c>
      <c r="D3990" s="18">
        <v>3988</v>
      </c>
      <c r="E3990" s="18" cm="1">
        <f t="array" aca="1" ref="E3990" ca="1">INDIRECT("b"&amp;F3990+2)</f>
        <v>8.6500000000000002E+164</v>
      </c>
      <c r="F3990" s="18">
        <f t="shared" si="806"/>
        <v>5716</v>
      </c>
      <c r="G3990" s="18"/>
      <c r="H3990" s="18"/>
      <c r="I3990" s="19">
        <v>3988</v>
      </c>
      <c r="J3990" s="19" cm="1">
        <f t="array" aca="1" ref="J3990" ca="1">INDIRECT("b"&amp;K3990+2)</f>
        <v>0</v>
      </c>
      <c r="K3990" s="19">
        <f t="shared" si="802"/>
        <v>6916</v>
      </c>
    </row>
    <row r="3991" spans="1:11">
      <c r="A3991">
        <v>3989</v>
      </c>
      <c r="B3991">
        <v>7.0750000000000004E+121</v>
      </c>
      <c r="D3991" s="18">
        <v>3989</v>
      </c>
      <c r="E3991" s="18" cm="1">
        <f t="array" aca="1" ref="E3991" ca="1">INDIRECT("b"&amp;F3991+2)</f>
        <v>8.8749999999999997E+164</v>
      </c>
      <c r="F3991" s="18">
        <f t="shared" si="806"/>
        <v>5717</v>
      </c>
      <c r="G3991" s="18"/>
      <c r="H3991" s="18"/>
      <c r="I3991" s="19">
        <v>3989</v>
      </c>
      <c r="J3991" s="19" cm="1">
        <f t="array" aca="1" ref="J3991" ca="1">INDIRECT("b"&amp;K3991+2)</f>
        <v>0</v>
      </c>
      <c r="K3991" s="19">
        <f t="shared" si="802"/>
        <v>6917</v>
      </c>
    </row>
    <row r="3992" spans="1:11">
      <c r="A3992">
        <v>3990</v>
      </c>
      <c r="B3992">
        <v>7.2999999999999999E+121</v>
      </c>
      <c r="D3992" s="18">
        <v>3990</v>
      </c>
      <c r="E3992" s="18" cm="1">
        <f t="array" aca="1" ref="E3992" ca="1">INDIRECT("b"&amp;F3992+2)</f>
        <v>9.1000000000000002E+164</v>
      </c>
      <c r="F3992" s="18">
        <f t="shared" si="806"/>
        <v>5718</v>
      </c>
      <c r="G3992" s="18"/>
      <c r="H3992" s="18"/>
      <c r="I3992" s="19">
        <v>3990</v>
      </c>
      <c r="J3992" s="19" cm="1">
        <f t="array" aca="1" ref="J3992" ca="1">INDIRECT("b"&amp;K3992+2)</f>
        <v>0</v>
      </c>
      <c r="K3992" s="19">
        <f t="shared" si="802"/>
        <v>6918</v>
      </c>
    </row>
    <row r="3993" spans="1:11">
      <c r="A3993">
        <v>3991</v>
      </c>
      <c r="B3993">
        <v>7.5250000000000004E+121</v>
      </c>
      <c r="D3993" s="18">
        <v>3991</v>
      </c>
      <c r="E3993" s="18" cm="1">
        <f t="array" aca="1" ref="E3993" ca="1">INDIRECT("b"&amp;F3993+2)</f>
        <v>9.5500000000000001E+164</v>
      </c>
      <c r="F3993" s="18">
        <f t="shared" si="806"/>
        <v>5720</v>
      </c>
      <c r="G3993" s="18">
        <f t="shared" ref="G3993" ca="1" si="808">E3993/E3988</f>
        <v>1.1974921630094044</v>
      </c>
      <c r="H3993" s="18"/>
      <c r="I3993" s="19">
        <v>3991</v>
      </c>
      <c r="J3993" s="19" cm="1">
        <f t="array" aca="1" ref="J3993" ca="1">INDIRECT("b"&amp;K3993+2)</f>
        <v>0</v>
      </c>
      <c r="K3993" s="19">
        <f t="shared" si="802"/>
        <v>6920</v>
      </c>
    </row>
    <row r="3994" spans="1:11">
      <c r="A3994">
        <v>3992</v>
      </c>
      <c r="B3994">
        <v>7.75E+121</v>
      </c>
      <c r="D3994" s="18">
        <v>3992</v>
      </c>
      <c r="E3994" s="18" cm="1">
        <f t="array" aca="1" ref="E3994" ca="1">INDIRECT("b"&amp;F3994+2)</f>
        <v>9.7750000000000006E+164</v>
      </c>
      <c r="F3994" s="18">
        <f t="shared" si="806"/>
        <v>5721</v>
      </c>
      <c r="G3994" s="18"/>
      <c r="H3994" s="18"/>
      <c r="I3994" s="19">
        <v>3992</v>
      </c>
      <c r="J3994" s="19" cm="1">
        <f t="array" aca="1" ref="J3994" ca="1">INDIRECT("b"&amp;K3994+2)</f>
        <v>0</v>
      </c>
      <c r="K3994" s="19">
        <f t="shared" si="802"/>
        <v>6921</v>
      </c>
    </row>
    <row r="3995" spans="1:11">
      <c r="A3995">
        <v>3993</v>
      </c>
      <c r="B3995">
        <v>7.9750000000000004E+121</v>
      </c>
      <c r="D3995" s="18">
        <v>3993</v>
      </c>
      <c r="E3995" s="18" cm="1">
        <f t="array" aca="1" ref="E3995" ca="1">INDIRECT("b"&amp;F3995+2)</f>
        <v>9.999999999999999E+164</v>
      </c>
      <c r="F3995" s="18">
        <f t="shared" si="806"/>
        <v>5722</v>
      </c>
      <c r="G3995" s="18"/>
      <c r="H3995" s="18"/>
      <c r="I3995" s="19">
        <v>3993</v>
      </c>
      <c r="J3995" s="19" cm="1">
        <f t="array" aca="1" ref="J3995" ca="1">INDIRECT("b"&amp;K3995+2)</f>
        <v>0</v>
      </c>
      <c r="K3995" s="19">
        <f t="shared" si="802"/>
        <v>6922</v>
      </c>
    </row>
    <row r="3996" spans="1:11">
      <c r="A3996">
        <v>3994</v>
      </c>
      <c r="B3996">
        <v>8.2E+121</v>
      </c>
      <c r="D3996" s="18">
        <v>3994</v>
      </c>
      <c r="E3996" s="18" cm="1">
        <f t="array" aca="1" ref="E3996" ca="1">INDIRECT("b"&amp;F3996+2)</f>
        <v>1.45E+165</v>
      </c>
      <c r="F3996" s="18">
        <f t="shared" si="806"/>
        <v>5724</v>
      </c>
      <c r="G3996" s="18"/>
      <c r="H3996" s="18"/>
      <c r="I3996" s="19">
        <v>3994</v>
      </c>
      <c r="J3996" s="19" cm="1">
        <f t="array" aca="1" ref="J3996" ca="1">INDIRECT("b"&amp;K3996+2)</f>
        <v>0</v>
      </c>
      <c r="K3996" s="19">
        <f t="shared" si="802"/>
        <v>6924</v>
      </c>
    </row>
    <row r="3997" spans="1:11">
      <c r="A3997">
        <v>3995</v>
      </c>
      <c r="B3997">
        <v>8.4250000000000005E+121</v>
      </c>
      <c r="D3997" s="18">
        <v>3995</v>
      </c>
      <c r="E3997" s="18" cm="1">
        <f t="array" aca="1" ref="E3997" ca="1">INDIRECT("b"&amp;F3997+2)</f>
        <v>1.6749999999999999E+165</v>
      </c>
      <c r="F3997" s="18">
        <f t="shared" si="806"/>
        <v>5725</v>
      </c>
      <c r="G3997" s="18"/>
      <c r="H3997" s="18"/>
      <c r="I3997" s="19">
        <v>3995</v>
      </c>
      <c r="J3997" s="19" cm="1">
        <f t="array" aca="1" ref="J3997" ca="1">INDIRECT("b"&amp;K3997+2)</f>
        <v>0</v>
      </c>
      <c r="K3997" s="19">
        <f t="shared" si="802"/>
        <v>6925</v>
      </c>
    </row>
    <row r="3998" spans="1:11">
      <c r="A3998">
        <v>3996</v>
      </c>
      <c r="B3998">
        <v>8.650000000000001E+121</v>
      </c>
      <c r="D3998" s="18">
        <v>3996</v>
      </c>
      <c r="E3998" s="18" cm="1">
        <f t="array" aca="1" ref="E3998" ca="1">INDIRECT("b"&amp;F3998+2)</f>
        <v>1.9E+165</v>
      </c>
      <c r="F3998" s="18">
        <f t="shared" si="806"/>
        <v>5726</v>
      </c>
      <c r="G3998" s="18">
        <f t="shared" ref="G3998" ca="1" si="809">E3998/E3993</f>
        <v>1.9895287958115182</v>
      </c>
      <c r="H3998" s="18"/>
      <c r="I3998" s="19">
        <v>3996</v>
      </c>
      <c r="J3998" s="19" cm="1">
        <f t="array" aca="1" ref="J3998" ca="1">INDIRECT("b"&amp;K3998+2)</f>
        <v>0</v>
      </c>
      <c r="K3998" s="19">
        <f t="shared" si="802"/>
        <v>6926</v>
      </c>
    </row>
    <row r="3999" spans="1:11">
      <c r="A3999">
        <v>3997</v>
      </c>
      <c r="B3999">
        <v>8.8749999999999996E+121</v>
      </c>
      <c r="D3999" s="18">
        <v>3997</v>
      </c>
      <c r="E3999" s="18" cm="1">
        <f t="array" aca="1" ref="E3999" ca="1">INDIRECT("b"&amp;F3999+2)</f>
        <v>2.3500000000000001E+165</v>
      </c>
      <c r="F3999" s="18">
        <f t="shared" si="806"/>
        <v>5728</v>
      </c>
      <c r="G3999" s="18"/>
      <c r="H3999" s="18"/>
      <c r="I3999" s="19">
        <v>3997</v>
      </c>
      <c r="J3999" s="19" cm="1">
        <f t="array" aca="1" ref="J3999" ca="1">INDIRECT("b"&amp;K3999+2)</f>
        <v>0</v>
      </c>
      <c r="K3999" s="19">
        <f t="shared" si="802"/>
        <v>6928</v>
      </c>
    </row>
    <row r="4000" spans="1:11">
      <c r="A4000">
        <v>3998</v>
      </c>
      <c r="B4000">
        <v>9.1000000000000001E+121</v>
      </c>
      <c r="D4000" s="18">
        <v>3998</v>
      </c>
      <c r="E4000" s="18" cm="1">
        <f t="array" aca="1" ref="E4000" ca="1">INDIRECT("b"&amp;F4000+2)</f>
        <v>2.5750000000000001E+165</v>
      </c>
      <c r="F4000" s="18">
        <f t="shared" si="806"/>
        <v>5729</v>
      </c>
      <c r="G4000" s="18"/>
      <c r="H4000" s="18"/>
      <c r="I4000" s="19">
        <v>3998</v>
      </c>
      <c r="J4000" s="19" cm="1">
        <f t="array" aca="1" ref="J4000" ca="1">INDIRECT("b"&amp;K4000+2)</f>
        <v>0</v>
      </c>
      <c r="K4000" s="19">
        <f t="shared" si="802"/>
        <v>6929</v>
      </c>
    </row>
    <row r="4001" spans="1:11">
      <c r="A4001">
        <v>3999</v>
      </c>
      <c r="B4001">
        <v>9.3250000000000006E+121</v>
      </c>
      <c r="D4001" s="18">
        <v>3999</v>
      </c>
      <c r="E4001" s="18" cm="1">
        <f t="array" aca="1" ref="E4001" ca="1">INDIRECT("b"&amp;F4001+2)</f>
        <v>2.7999999999999998E+165</v>
      </c>
      <c r="F4001" s="18">
        <f t="shared" si="806"/>
        <v>5730</v>
      </c>
      <c r="G4001" s="18"/>
      <c r="H4001" s="18"/>
      <c r="I4001" s="19">
        <v>3999</v>
      </c>
      <c r="J4001" s="19" cm="1">
        <f t="array" aca="1" ref="J4001" ca="1">INDIRECT("b"&amp;K4001+2)</f>
        <v>0</v>
      </c>
      <c r="K4001" s="19">
        <f t="shared" si="802"/>
        <v>6930</v>
      </c>
    </row>
    <row r="4002" spans="1:11">
      <c r="A4002">
        <v>4000</v>
      </c>
      <c r="B4002">
        <v>9.550000000000001E+121</v>
      </c>
      <c r="D4002" s="18">
        <v>4000</v>
      </c>
      <c r="E4002" s="18" cm="1">
        <f t="array" aca="1" ref="E4002" ca="1">INDIRECT("b"&amp;F4002+2)</f>
        <v>3.2499999999999999E+165</v>
      </c>
      <c r="F4002" s="18">
        <f t="shared" si="806"/>
        <v>5732</v>
      </c>
      <c r="G4002" s="18"/>
      <c r="H4002" s="18"/>
      <c r="I4002" s="19">
        <v>4000</v>
      </c>
      <c r="J4002" s="19" cm="1">
        <f t="array" aca="1" ref="J4002" ca="1">INDIRECT("b"&amp;K4002+2)</f>
        <v>0</v>
      </c>
      <c r="K4002" s="19">
        <f t="shared" si="802"/>
        <v>6932</v>
      </c>
    </row>
    <row r="4003" spans="1:11">
      <c r="A4003">
        <v>4001</v>
      </c>
      <c r="B4003">
        <v>9.7749999999999997E+121</v>
      </c>
      <c r="D4003" s="18">
        <v>4001</v>
      </c>
      <c r="E4003" s="18" cm="1">
        <f t="array" aca="1" ref="E4003" ca="1">INDIRECT("b"&amp;F4003+2)</f>
        <v>3.475E+165</v>
      </c>
      <c r="F4003" s="18">
        <f t="shared" si="806"/>
        <v>5733</v>
      </c>
      <c r="G4003" s="18">
        <f t="shared" ref="G4003" ca="1" si="810">E4003/E3998</f>
        <v>1.8289473684210527</v>
      </c>
      <c r="H4003" s="18"/>
      <c r="I4003" s="19">
        <v>4001</v>
      </c>
      <c r="J4003" s="19" cm="1">
        <f t="array" aca="1" ref="J4003" ca="1">INDIRECT("b"&amp;K4003+2)</f>
        <v>0</v>
      </c>
      <c r="K4003" s="19">
        <f t="shared" si="802"/>
        <v>6933</v>
      </c>
    </row>
    <row r="4004" spans="1:11">
      <c r="A4004">
        <v>4002</v>
      </c>
      <c r="B4004">
        <v>1E+122</v>
      </c>
      <c r="D4004" s="18">
        <v>4002</v>
      </c>
      <c r="E4004" s="18" cm="1">
        <f t="array" aca="1" ref="E4004" ca="1">INDIRECT("b"&amp;F4004+2)</f>
        <v>3.7000000000000001E+165</v>
      </c>
      <c r="F4004" s="18">
        <f t="shared" si="806"/>
        <v>5734</v>
      </c>
      <c r="G4004" s="18"/>
      <c r="H4004" s="18"/>
      <c r="I4004" s="19">
        <v>4002</v>
      </c>
      <c r="J4004" s="19" cm="1">
        <f t="array" aca="1" ref="J4004" ca="1">INDIRECT("b"&amp;K4004+2)</f>
        <v>0</v>
      </c>
      <c r="K4004" s="19">
        <f t="shared" si="802"/>
        <v>6934</v>
      </c>
    </row>
    <row r="4005" spans="1:11">
      <c r="A4005">
        <v>4003</v>
      </c>
      <c r="B4005">
        <v>1.2249999999999999E+122</v>
      </c>
      <c r="D4005" s="18">
        <v>4003</v>
      </c>
      <c r="E4005" s="18" cm="1">
        <f t="array" aca="1" ref="E4005" ca="1">INDIRECT("b"&amp;F4005+2)</f>
        <v>4.1500000000000002E+165</v>
      </c>
      <c r="F4005" s="18">
        <f t="shared" si="806"/>
        <v>5736</v>
      </c>
      <c r="G4005" s="18"/>
      <c r="H4005" s="18"/>
      <c r="I4005" s="19">
        <v>4003</v>
      </c>
      <c r="J4005" s="19" cm="1">
        <f t="array" aca="1" ref="J4005" ca="1">INDIRECT("b"&amp;K4005+2)</f>
        <v>0</v>
      </c>
      <c r="K4005" s="19">
        <f t="shared" si="802"/>
        <v>6936</v>
      </c>
    </row>
    <row r="4006" spans="1:11">
      <c r="A4006">
        <v>4004</v>
      </c>
      <c r="B4006">
        <v>1.45E+122</v>
      </c>
      <c r="D4006" s="18">
        <v>4004</v>
      </c>
      <c r="E4006" s="18" cm="1">
        <f t="array" aca="1" ref="E4006" ca="1">INDIRECT("b"&amp;F4006+2)</f>
        <v>4.3749999999999998E+165</v>
      </c>
      <c r="F4006" s="18">
        <f t="shared" si="806"/>
        <v>5737</v>
      </c>
      <c r="G4006" s="18"/>
      <c r="H4006" s="18"/>
      <c r="I4006" s="19">
        <v>4004</v>
      </c>
      <c r="J4006" s="19" cm="1">
        <f t="array" aca="1" ref="J4006" ca="1">INDIRECT("b"&amp;K4006+2)</f>
        <v>0</v>
      </c>
      <c r="K4006" s="19">
        <f t="shared" si="802"/>
        <v>6937</v>
      </c>
    </row>
    <row r="4007" spans="1:11">
      <c r="A4007">
        <v>4005</v>
      </c>
      <c r="B4007">
        <v>1.6750000000000002E+122</v>
      </c>
      <c r="D4007" s="18">
        <v>4005</v>
      </c>
      <c r="E4007" s="18" cm="1">
        <f t="array" aca="1" ref="E4007" ca="1">INDIRECT("b"&amp;F4007+2)</f>
        <v>4.6000000000000003E+165</v>
      </c>
      <c r="F4007" s="18">
        <f t="shared" si="806"/>
        <v>5738</v>
      </c>
      <c r="G4007" s="18"/>
      <c r="H4007" s="18"/>
      <c r="I4007" s="19">
        <v>4005</v>
      </c>
      <c r="J4007" s="19" cm="1">
        <f t="array" aca="1" ref="J4007" ca="1">INDIRECT("b"&amp;K4007+2)</f>
        <v>0</v>
      </c>
      <c r="K4007" s="19">
        <f t="shared" si="802"/>
        <v>6938</v>
      </c>
    </row>
    <row r="4008" spans="1:11">
      <c r="A4008">
        <v>4006</v>
      </c>
      <c r="B4008">
        <v>1.8999999999999999E+122</v>
      </c>
      <c r="D4008" s="18">
        <v>4006</v>
      </c>
      <c r="E4008" s="18" cm="1">
        <f t="array" aca="1" ref="E4008" ca="1">INDIRECT("b"&amp;F4008+2)</f>
        <v>5.0499999999999996E+165</v>
      </c>
      <c r="F4008" s="18">
        <f t="shared" si="806"/>
        <v>5740</v>
      </c>
      <c r="G4008" s="18">
        <f t="shared" ref="G4008" ca="1" si="811">E4008/E4003</f>
        <v>1.4532374100719423</v>
      </c>
      <c r="H4008" s="18"/>
      <c r="I4008" s="19">
        <v>4006</v>
      </c>
      <c r="J4008" s="19" cm="1">
        <f t="array" aca="1" ref="J4008" ca="1">INDIRECT("b"&amp;K4008+2)</f>
        <v>0</v>
      </c>
      <c r="K4008" s="19">
        <f t="shared" si="802"/>
        <v>6940</v>
      </c>
    </row>
    <row r="4009" spans="1:11">
      <c r="A4009">
        <v>4007</v>
      </c>
      <c r="B4009">
        <v>2.125E+122</v>
      </c>
      <c r="D4009" s="18">
        <v>4007</v>
      </c>
      <c r="E4009" s="18" cm="1">
        <f t="array" aca="1" ref="E4009" ca="1">INDIRECT("b"&amp;F4009+2)</f>
        <v>5.2750000000000001E+165</v>
      </c>
      <c r="F4009" s="18">
        <f t="shared" si="806"/>
        <v>5741</v>
      </c>
      <c r="G4009" s="18"/>
      <c r="H4009" s="18"/>
      <c r="I4009" s="19">
        <v>4007</v>
      </c>
      <c r="J4009" s="19" cm="1">
        <f t="array" aca="1" ref="J4009" ca="1">INDIRECT("b"&amp;K4009+2)</f>
        <v>0</v>
      </c>
      <c r="K4009" s="19">
        <f t="shared" si="802"/>
        <v>6941</v>
      </c>
    </row>
    <row r="4010" spans="1:11">
      <c r="A4010">
        <v>4008</v>
      </c>
      <c r="B4010">
        <v>2.3500000000000001E+122</v>
      </c>
      <c r="D4010" s="18">
        <v>4008</v>
      </c>
      <c r="E4010" s="18" cm="1">
        <f t="array" aca="1" ref="E4010" ca="1">INDIRECT("b"&amp;F4010+2)</f>
        <v>5.4999999999999998E+165</v>
      </c>
      <c r="F4010" s="18">
        <f t="shared" si="806"/>
        <v>5742</v>
      </c>
      <c r="G4010" s="18"/>
      <c r="H4010" s="18"/>
      <c r="I4010" s="19">
        <v>4008</v>
      </c>
      <c r="J4010" s="19" cm="1">
        <f t="array" aca="1" ref="J4010" ca="1">INDIRECT("b"&amp;K4010+2)</f>
        <v>0</v>
      </c>
      <c r="K4010" s="19">
        <f t="shared" si="802"/>
        <v>6942</v>
      </c>
    </row>
    <row r="4011" spans="1:11">
      <c r="A4011">
        <v>4009</v>
      </c>
      <c r="B4011">
        <v>2.5749999999999999E+122</v>
      </c>
      <c r="D4011" s="18">
        <v>4009</v>
      </c>
      <c r="E4011" s="18" cm="1">
        <f t="array" aca="1" ref="E4011" ca="1">INDIRECT("b"&amp;F4011+2)</f>
        <v>5.9499999999999999E+165</v>
      </c>
      <c r="F4011" s="18">
        <f t="shared" si="806"/>
        <v>5744</v>
      </c>
      <c r="G4011" s="18"/>
      <c r="H4011" s="18"/>
      <c r="I4011" s="19">
        <v>4009</v>
      </c>
      <c r="J4011" s="19" cm="1">
        <f t="array" aca="1" ref="J4011" ca="1">INDIRECT("b"&amp;K4011+2)</f>
        <v>0</v>
      </c>
      <c r="K4011" s="19">
        <f t="shared" si="802"/>
        <v>6944</v>
      </c>
    </row>
    <row r="4012" spans="1:11">
      <c r="A4012">
        <v>4010</v>
      </c>
      <c r="B4012">
        <v>2.8E+122</v>
      </c>
      <c r="D4012" s="18">
        <v>4010</v>
      </c>
      <c r="E4012" s="18" cm="1">
        <f t="array" aca="1" ref="E4012" ca="1">INDIRECT("b"&amp;F4012+2)</f>
        <v>6.1749999999999995E+165</v>
      </c>
      <c r="F4012" s="18">
        <f t="shared" si="806"/>
        <v>5745</v>
      </c>
      <c r="G4012" s="18"/>
      <c r="H4012" s="18"/>
      <c r="I4012" s="19">
        <v>4010</v>
      </c>
      <c r="J4012" s="19" cm="1">
        <f t="array" aca="1" ref="J4012" ca="1">INDIRECT("b"&amp;K4012+2)</f>
        <v>0</v>
      </c>
      <c r="K4012" s="19">
        <f t="shared" si="802"/>
        <v>6945</v>
      </c>
    </row>
    <row r="4013" spans="1:11">
      <c r="A4013">
        <v>4011</v>
      </c>
      <c r="B4013">
        <v>3.0250000000000001E+122</v>
      </c>
      <c r="D4013" s="18">
        <v>4011</v>
      </c>
      <c r="E4013" s="18" cm="1">
        <f t="array" aca="1" ref="E4013" ca="1">INDIRECT("b"&amp;F4013+2)</f>
        <v>6.4E+165</v>
      </c>
      <c r="F4013" s="18">
        <f t="shared" si="806"/>
        <v>5746</v>
      </c>
      <c r="G4013" s="18">
        <f t="shared" ref="G4013" ca="1" si="812">E4013/E4008</f>
        <v>1.2673267326732673</v>
      </c>
      <c r="H4013" s="18"/>
      <c r="I4013" s="19">
        <v>4011</v>
      </c>
      <c r="J4013" s="19" cm="1">
        <f t="array" aca="1" ref="J4013" ca="1">INDIRECT("b"&amp;K4013+2)</f>
        <v>0</v>
      </c>
      <c r="K4013" s="19">
        <f t="shared" si="802"/>
        <v>6946</v>
      </c>
    </row>
    <row r="4014" spans="1:11">
      <c r="A4014">
        <v>4012</v>
      </c>
      <c r="B4014">
        <v>3.2500000000000002E+122</v>
      </c>
      <c r="D4014" s="18">
        <v>4012</v>
      </c>
      <c r="E4014" s="18" cm="1">
        <f t="array" aca="1" ref="E4014" ca="1">INDIRECT("b"&amp;F4014+2)</f>
        <v>6.8500000000000001E+165</v>
      </c>
      <c r="F4014" s="18">
        <f t="shared" si="806"/>
        <v>5748</v>
      </c>
      <c r="G4014" s="18"/>
      <c r="H4014" s="18"/>
      <c r="I4014" s="19">
        <v>4012</v>
      </c>
      <c r="J4014" s="19" cm="1">
        <f t="array" aca="1" ref="J4014" ca="1">INDIRECT("b"&amp;K4014+2)</f>
        <v>0</v>
      </c>
      <c r="K4014" s="19">
        <f t="shared" si="802"/>
        <v>6948</v>
      </c>
    </row>
    <row r="4015" spans="1:11">
      <c r="A4015">
        <v>4013</v>
      </c>
      <c r="B4015">
        <v>3.4750000000000003E+122</v>
      </c>
      <c r="D4015" s="18">
        <v>4013</v>
      </c>
      <c r="E4015" s="18" cm="1">
        <f t="array" aca="1" ref="E4015" ca="1">INDIRECT("b"&amp;F4015+2)</f>
        <v>7.0749999999999998E+165</v>
      </c>
      <c r="F4015" s="18">
        <f t="shared" si="806"/>
        <v>5749</v>
      </c>
      <c r="G4015" s="18"/>
      <c r="H4015" s="18"/>
      <c r="I4015" s="19">
        <v>4013</v>
      </c>
      <c r="J4015" s="19" cm="1">
        <f t="array" aca="1" ref="J4015" ca="1">INDIRECT("b"&amp;K4015+2)</f>
        <v>0</v>
      </c>
      <c r="K4015" s="19">
        <f t="shared" si="802"/>
        <v>6949</v>
      </c>
    </row>
    <row r="4016" spans="1:11">
      <c r="A4016">
        <v>4014</v>
      </c>
      <c r="B4016">
        <v>3.7000000000000004E+122</v>
      </c>
      <c r="D4016" s="18">
        <v>4014</v>
      </c>
      <c r="E4016" s="18" cm="1">
        <f t="array" aca="1" ref="E4016" ca="1">INDIRECT("b"&amp;F4016+2)</f>
        <v>7.3000000000000003E+165</v>
      </c>
      <c r="F4016" s="18">
        <f t="shared" si="806"/>
        <v>5750</v>
      </c>
      <c r="G4016" s="18"/>
      <c r="H4016" s="18"/>
      <c r="I4016" s="19">
        <v>4014</v>
      </c>
      <c r="J4016" s="19" cm="1">
        <f t="array" aca="1" ref="J4016" ca="1">INDIRECT("b"&amp;K4016+2)</f>
        <v>0</v>
      </c>
      <c r="K4016" s="19">
        <f t="shared" si="802"/>
        <v>6950</v>
      </c>
    </row>
    <row r="4017" spans="1:11">
      <c r="A4017">
        <v>4015</v>
      </c>
      <c r="B4017">
        <v>3.9249999999999998E+122</v>
      </c>
      <c r="D4017" s="18">
        <v>4015</v>
      </c>
      <c r="E4017" s="18" cm="1">
        <f t="array" aca="1" ref="E4017" ca="1">INDIRECT("b"&amp;F4017+2)</f>
        <v>7.7499999999999996E+165</v>
      </c>
      <c r="F4017" s="18">
        <f t="shared" si="806"/>
        <v>5752</v>
      </c>
      <c r="G4017" s="18"/>
      <c r="H4017" s="18"/>
      <c r="I4017" s="19">
        <v>4015</v>
      </c>
      <c r="J4017" s="19" cm="1">
        <f t="array" aca="1" ref="J4017" ca="1">INDIRECT("b"&amp;K4017+2)</f>
        <v>0</v>
      </c>
      <c r="K4017" s="19">
        <f t="shared" si="802"/>
        <v>6952</v>
      </c>
    </row>
    <row r="4018" spans="1:11">
      <c r="A4018">
        <v>4016</v>
      </c>
      <c r="B4018">
        <v>4.1499999999999999E+122</v>
      </c>
      <c r="D4018" s="18">
        <v>4016</v>
      </c>
      <c r="E4018" s="18" cm="1">
        <f t="array" aca="1" ref="E4018" ca="1">INDIRECT("b"&amp;F4018+2)</f>
        <v>7.9749999999999992E+165</v>
      </c>
      <c r="F4018" s="18">
        <f t="shared" si="806"/>
        <v>5753</v>
      </c>
      <c r="G4018" s="18">
        <f t="shared" ref="G4018" ca="1" si="813">E4018/E4013</f>
        <v>1.2460937499999998</v>
      </c>
      <c r="H4018" s="18"/>
      <c r="I4018" s="19">
        <v>4016</v>
      </c>
      <c r="J4018" s="19" cm="1">
        <f t="array" aca="1" ref="J4018" ca="1">INDIRECT("b"&amp;K4018+2)</f>
        <v>0</v>
      </c>
      <c r="K4018" s="19">
        <f t="shared" si="802"/>
        <v>6953</v>
      </c>
    </row>
    <row r="4019" spans="1:11">
      <c r="A4019">
        <v>4017</v>
      </c>
      <c r="B4019">
        <v>4.375E+122</v>
      </c>
      <c r="D4019" s="18">
        <v>4017</v>
      </c>
      <c r="E4019" s="18" cm="1">
        <f t="array" aca="1" ref="E4019" ca="1">INDIRECT("b"&amp;F4019+2)</f>
        <v>8.2000000000000005E+165</v>
      </c>
      <c r="F4019" s="18">
        <f t="shared" si="806"/>
        <v>5754</v>
      </c>
      <c r="G4019" s="18"/>
      <c r="H4019" s="18"/>
      <c r="I4019" s="19">
        <v>4017</v>
      </c>
      <c r="J4019" s="19" cm="1">
        <f t="array" aca="1" ref="J4019" ca="1">INDIRECT("b"&amp;K4019+2)</f>
        <v>0</v>
      </c>
      <c r="K4019" s="19">
        <f t="shared" si="802"/>
        <v>6954</v>
      </c>
    </row>
    <row r="4020" spans="1:11">
      <c r="A4020">
        <v>4018</v>
      </c>
      <c r="B4020">
        <v>4.6000000000000001E+122</v>
      </c>
      <c r="D4020" s="18">
        <v>4018</v>
      </c>
      <c r="E4020" s="18" cm="1">
        <f t="array" aca="1" ref="E4020" ca="1">INDIRECT("b"&amp;F4020+2)</f>
        <v>8.6499999999999998E+165</v>
      </c>
      <c r="F4020" s="18">
        <f t="shared" si="806"/>
        <v>5756</v>
      </c>
      <c r="G4020" s="18"/>
      <c r="H4020" s="18"/>
      <c r="I4020" s="19">
        <v>4018</v>
      </c>
      <c r="J4020" s="19" cm="1">
        <f t="array" aca="1" ref="J4020" ca="1">INDIRECT("b"&amp;K4020+2)</f>
        <v>0</v>
      </c>
      <c r="K4020" s="19">
        <f t="shared" si="802"/>
        <v>6956</v>
      </c>
    </row>
    <row r="4021" spans="1:11">
      <c r="A4021">
        <v>4019</v>
      </c>
      <c r="B4021">
        <v>4.8250000000000002E+122</v>
      </c>
      <c r="D4021" s="18">
        <v>4019</v>
      </c>
      <c r="E4021" s="18" cm="1">
        <f t="array" aca="1" ref="E4021" ca="1">INDIRECT("b"&amp;F4021+2)</f>
        <v>8.8749999999999995E+165</v>
      </c>
      <c r="F4021" s="18">
        <f t="shared" si="806"/>
        <v>5757</v>
      </c>
      <c r="G4021" s="18"/>
      <c r="H4021" s="18"/>
      <c r="I4021" s="19">
        <v>4019</v>
      </c>
      <c r="J4021" s="19" cm="1">
        <f t="array" aca="1" ref="J4021" ca="1">INDIRECT("b"&amp;K4021+2)</f>
        <v>0</v>
      </c>
      <c r="K4021" s="19">
        <f t="shared" si="802"/>
        <v>6957</v>
      </c>
    </row>
    <row r="4022" spans="1:11">
      <c r="A4022">
        <v>4020</v>
      </c>
      <c r="B4022">
        <v>5.0500000000000003E+122</v>
      </c>
      <c r="D4022" s="18">
        <v>4020</v>
      </c>
      <c r="E4022" s="18" cm="1">
        <f t="array" aca="1" ref="E4022" ca="1">INDIRECT("b"&amp;F4022+2)</f>
        <v>9.0999999999999991E+165</v>
      </c>
      <c r="F4022" s="18">
        <f t="shared" si="806"/>
        <v>5758</v>
      </c>
      <c r="G4022" s="18"/>
      <c r="H4022" s="18"/>
      <c r="I4022" s="19">
        <v>4020</v>
      </c>
      <c r="J4022" s="19" cm="1">
        <f t="array" aca="1" ref="J4022" ca="1">INDIRECT("b"&amp;K4022+2)</f>
        <v>0</v>
      </c>
      <c r="K4022" s="19">
        <f t="shared" si="802"/>
        <v>6958</v>
      </c>
    </row>
    <row r="4023" spans="1:11">
      <c r="A4023">
        <v>4021</v>
      </c>
      <c r="B4023">
        <v>5.2750000000000004E+122</v>
      </c>
      <c r="D4023" s="18">
        <v>4021</v>
      </c>
      <c r="E4023" s="18" cm="1">
        <f t="array" aca="1" ref="E4023" ca="1">INDIRECT("b"&amp;F4023+2)</f>
        <v>9.5500000000000001E+165</v>
      </c>
      <c r="F4023" s="18">
        <f t="shared" si="806"/>
        <v>5760</v>
      </c>
      <c r="G4023" s="18">
        <f t="shared" ref="G4023" ca="1" si="814">E4023/E4018</f>
        <v>1.1974921630094044</v>
      </c>
      <c r="H4023" s="18"/>
      <c r="I4023" s="19">
        <v>4021</v>
      </c>
      <c r="J4023" s="19" cm="1">
        <f t="array" aca="1" ref="J4023" ca="1">INDIRECT("b"&amp;K4023+2)</f>
        <v>0</v>
      </c>
      <c r="K4023" s="19">
        <f t="shared" si="802"/>
        <v>6960</v>
      </c>
    </row>
    <row r="4024" spans="1:11">
      <c r="A4024">
        <v>4022</v>
      </c>
      <c r="B4024">
        <v>5.4999999999999998E+122</v>
      </c>
      <c r="D4024" s="18">
        <v>4022</v>
      </c>
      <c r="E4024" s="18" cm="1">
        <f t="array" aca="1" ref="E4024" ca="1">INDIRECT("b"&amp;F4024+2)</f>
        <v>9.7749999999999997E+165</v>
      </c>
      <c r="F4024" s="18">
        <f t="shared" si="806"/>
        <v>5761</v>
      </c>
      <c r="G4024" s="18"/>
      <c r="H4024" s="18"/>
      <c r="I4024" s="19">
        <v>4022</v>
      </c>
      <c r="J4024" s="19" cm="1">
        <f t="array" aca="1" ref="J4024" ca="1">INDIRECT("b"&amp;K4024+2)</f>
        <v>0</v>
      </c>
      <c r="K4024" s="19">
        <f t="shared" si="802"/>
        <v>6961</v>
      </c>
    </row>
    <row r="4025" spans="1:11">
      <c r="A4025">
        <v>4023</v>
      </c>
      <c r="B4025">
        <v>5.7249999999999999E+122</v>
      </c>
      <c r="D4025" s="18">
        <v>4023</v>
      </c>
      <c r="E4025" s="18" cm="1">
        <f t="array" aca="1" ref="E4025" ca="1">INDIRECT("b"&amp;F4025+2)</f>
        <v>9.9999999999999994E+165</v>
      </c>
      <c r="F4025" s="18">
        <f t="shared" si="806"/>
        <v>5762</v>
      </c>
      <c r="G4025" s="18"/>
      <c r="H4025" s="18"/>
      <c r="I4025" s="19">
        <v>4023</v>
      </c>
      <c r="J4025" s="19" cm="1">
        <f t="array" aca="1" ref="J4025" ca="1">INDIRECT("b"&amp;K4025+2)</f>
        <v>0</v>
      </c>
      <c r="K4025" s="19">
        <f t="shared" si="802"/>
        <v>6962</v>
      </c>
    </row>
    <row r="4026" spans="1:11">
      <c r="A4026">
        <v>4024</v>
      </c>
      <c r="B4026">
        <v>5.95E+122</v>
      </c>
      <c r="D4026" s="18">
        <v>4024</v>
      </c>
      <c r="E4026" s="18" cm="1">
        <f t="array" aca="1" ref="E4026" ca="1">INDIRECT("b"&amp;F4026+2)</f>
        <v>1.4499999999999999E+166</v>
      </c>
      <c r="F4026" s="18">
        <f t="shared" si="806"/>
        <v>5764</v>
      </c>
      <c r="G4026" s="18"/>
      <c r="H4026" s="18"/>
      <c r="I4026" s="19">
        <v>4024</v>
      </c>
      <c r="J4026" s="19" cm="1">
        <f t="array" aca="1" ref="J4026" ca="1">INDIRECT("b"&amp;K4026+2)</f>
        <v>0</v>
      </c>
      <c r="K4026" s="19">
        <f t="shared" si="802"/>
        <v>6964</v>
      </c>
    </row>
    <row r="4027" spans="1:11">
      <c r="A4027">
        <v>4025</v>
      </c>
      <c r="B4027">
        <v>6.1750000000000001E+122</v>
      </c>
      <c r="D4027" s="18">
        <v>4025</v>
      </c>
      <c r="E4027" s="18" cm="1">
        <f t="array" aca="1" ref="E4027" ca="1">INDIRECT("b"&amp;F4027+2)</f>
        <v>1.6750000000000001E+166</v>
      </c>
      <c r="F4027" s="18">
        <f t="shared" si="806"/>
        <v>5765</v>
      </c>
      <c r="G4027" s="18"/>
      <c r="H4027" s="18"/>
      <c r="I4027" s="19">
        <v>4025</v>
      </c>
      <c r="J4027" s="19" cm="1">
        <f t="array" aca="1" ref="J4027" ca="1">INDIRECT("b"&amp;K4027+2)</f>
        <v>0</v>
      </c>
      <c r="K4027" s="19">
        <f t="shared" si="802"/>
        <v>6965</v>
      </c>
    </row>
    <row r="4028" spans="1:11">
      <c r="A4028">
        <v>4026</v>
      </c>
      <c r="B4028">
        <v>6.4000000000000002E+122</v>
      </c>
      <c r="D4028" s="18">
        <v>4026</v>
      </c>
      <c r="E4028" s="18" cm="1">
        <f t="array" aca="1" ref="E4028" ca="1">INDIRECT("b"&amp;F4028+2)</f>
        <v>1.9E+166</v>
      </c>
      <c r="F4028" s="18">
        <f t="shared" si="806"/>
        <v>5766</v>
      </c>
      <c r="G4028" s="18">
        <f t="shared" ref="G4028" ca="1" si="815">E4028/E4023</f>
        <v>1.9895287958115184</v>
      </c>
      <c r="H4028" s="18"/>
      <c r="I4028" s="19">
        <v>4026</v>
      </c>
      <c r="J4028" s="19" cm="1">
        <f t="array" aca="1" ref="J4028" ca="1">INDIRECT("b"&amp;K4028+2)</f>
        <v>0</v>
      </c>
      <c r="K4028" s="19">
        <f t="shared" si="802"/>
        <v>6966</v>
      </c>
    </row>
    <row r="4029" spans="1:11">
      <c r="A4029">
        <v>4027</v>
      </c>
      <c r="B4029">
        <v>6.6250000000000003E+122</v>
      </c>
      <c r="D4029" s="18">
        <v>4027</v>
      </c>
      <c r="E4029" s="18" cm="1">
        <f t="array" aca="1" ref="E4029" ca="1">INDIRECT("b"&amp;F4029+2)</f>
        <v>2.35E+166</v>
      </c>
      <c r="F4029" s="18">
        <f t="shared" si="806"/>
        <v>5768</v>
      </c>
      <c r="G4029" s="18"/>
      <c r="H4029" s="18"/>
      <c r="I4029" s="19">
        <v>4027</v>
      </c>
      <c r="J4029" s="19" cm="1">
        <f t="array" aca="1" ref="J4029" ca="1">INDIRECT("b"&amp;K4029+2)</f>
        <v>0</v>
      </c>
      <c r="K4029" s="19">
        <f t="shared" si="802"/>
        <v>6968</v>
      </c>
    </row>
    <row r="4030" spans="1:11">
      <c r="A4030">
        <v>4028</v>
      </c>
      <c r="B4030">
        <v>6.8499999999999997E+122</v>
      </c>
      <c r="D4030" s="18">
        <v>4028</v>
      </c>
      <c r="E4030" s="18" cm="1">
        <f t="array" aca="1" ref="E4030" ca="1">INDIRECT("b"&amp;F4030+2)</f>
        <v>2.575E+166</v>
      </c>
      <c r="F4030" s="18">
        <f t="shared" si="806"/>
        <v>5769</v>
      </c>
      <c r="G4030" s="18">
        <f t="shared" ref="G4030" ca="1" si="816">E4030/E4025</f>
        <v>2.5750000000000002</v>
      </c>
      <c r="H4030" s="18"/>
      <c r="I4030" s="19">
        <v>4028</v>
      </c>
      <c r="J4030" s="19" cm="1">
        <f t="array" aca="1" ref="J4030" ca="1">INDIRECT("b"&amp;K4030+2)</f>
        <v>0</v>
      </c>
      <c r="K4030" s="19">
        <f t="shared" si="802"/>
        <v>6969</v>
      </c>
    </row>
    <row r="4031" spans="1:11">
      <c r="A4031">
        <v>4029</v>
      </c>
      <c r="B4031">
        <v>7.0750000000000006E+122</v>
      </c>
      <c r="D4031" s="18">
        <v>4029</v>
      </c>
      <c r="E4031" s="18" cm="1">
        <f t="array" aca="1" ref="E4031" ca="1">INDIRECT("b"&amp;F4031+2)</f>
        <v>2.8E+166</v>
      </c>
      <c r="F4031" s="18">
        <f t="shared" si="806"/>
        <v>5770</v>
      </c>
      <c r="G4031" s="18"/>
      <c r="H4031" s="18"/>
      <c r="I4031" s="19">
        <v>4029</v>
      </c>
      <c r="J4031" s="19" cm="1">
        <f t="array" aca="1" ref="J4031" ca="1">INDIRECT("b"&amp;K4031+2)</f>
        <v>0</v>
      </c>
      <c r="K4031" s="19">
        <f t="shared" si="802"/>
        <v>6970</v>
      </c>
    </row>
    <row r="4032" spans="1:11">
      <c r="A4032">
        <v>4030</v>
      </c>
      <c r="B4032">
        <v>7.2999999999999999E+122</v>
      </c>
      <c r="D4032" s="18">
        <v>4030</v>
      </c>
      <c r="E4032" s="18" cm="1">
        <f t="array" aca="1" ref="E4032" ca="1">INDIRECT("b"&amp;F4032+2)</f>
        <v>3.2499999999999996E+166</v>
      </c>
      <c r="F4032" s="18">
        <f t="shared" si="806"/>
        <v>5772</v>
      </c>
      <c r="G4032" s="18"/>
      <c r="H4032" s="18"/>
      <c r="I4032" s="19">
        <v>4030</v>
      </c>
      <c r="J4032" s="19" cm="1">
        <f t="array" aca="1" ref="J4032" ca="1">INDIRECT("b"&amp;K4032+2)</f>
        <v>0</v>
      </c>
      <c r="K4032" s="19">
        <f t="shared" si="802"/>
        <v>6972</v>
      </c>
    </row>
    <row r="4033" spans="1:11">
      <c r="A4033">
        <v>4031</v>
      </c>
      <c r="B4033">
        <v>7.5250000000000008E+122</v>
      </c>
      <c r="D4033" s="18">
        <v>4031</v>
      </c>
      <c r="E4033" s="18" cm="1">
        <f t="array" aca="1" ref="E4033" ca="1">INDIRECT("b"&amp;F4033+2)</f>
        <v>3.4749999999999999E+166</v>
      </c>
      <c r="F4033" s="18">
        <f t="shared" si="806"/>
        <v>5773</v>
      </c>
      <c r="G4033" s="18"/>
      <c r="H4033" s="18"/>
      <c r="I4033" s="19">
        <v>4031</v>
      </c>
      <c r="J4033" s="19" cm="1">
        <f t="array" aca="1" ref="J4033" ca="1">INDIRECT("b"&amp;K4033+2)</f>
        <v>0</v>
      </c>
      <c r="K4033" s="19">
        <f t="shared" si="802"/>
        <v>6973</v>
      </c>
    </row>
    <row r="4034" spans="1:11">
      <c r="A4034">
        <v>4032</v>
      </c>
      <c r="B4034">
        <v>7.7500000000000002E+122</v>
      </c>
      <c r="D4034" s="18">
        <v>4032</v>
      </c>
      <c r="E4034" s="18" cm="1">
        <f t="array" aca="1" ref="E4034" ca="1">INDIRECT("b"&amp;F4034+2)</f>
        <v>3.6999999999999996E+166</v>
      </c>
      <c r="F4034" s="18">
        <f t="shared" si="806"/>
        <v>5774</v>
      </c>
      <c r="G4034" s="18"/>
      <c r="H4034" s="18"/>
      <c r="I4034" s="19">
        <v>4032</v>
      </c>
      <c r="J4034" s="19" cm="1">
        <f t="array" aca="1" ref="J4034" ca="1">INDIRECT("b"&amp;K4034+2)</f>
        <v>0</v>
      </c>
      <c r="K4034" s="19">
        <f t="shared" si="802"/>
        <v>6974</v>
      </c>
    </row>
    <row r="4035" spans="1:11">
      <c r="A4035">
        <v>4033</v>
      </c>
      <c r="B4035">
        <v>7.9749999999999995E+122</v>
      </c>
      <c r="D4035" s="18">
        <v>4033</v>
      </c>
      <c r="E4035" s="18" cm="1">
        <f t="array" aca="1" ref="E4035" ca="1">INDIRECT("b"&amp;F4035+2)</f>
        <v>4.1499999999999995E+166</v>
      </c>
      <c r="F4035" s="18">
        <f t="shared" si="806"/>
        <v>5776</v>
      </c>
      <c r="G4035" s="18">
        <f t="shared" ref="G4035" ca="1" si="817">E4035/E4030</f>
        <v>1.6116504854368929</v>
      </c>
      <c r="H4035" s="18"/>
      <c r="I4035" s="19">
        <v>4033</v>
      </c>
      <c r="J4035" s="19" cm="1">
        <f t="array" aca="1" ref="J4035" ca="1">INDIRECT("b"&amp;K4035+2)</f>
        <v>0</v>
      </c>
      <c r="K4035" s="19">
        <f t="shared" si="802"/>
        <v>6976</v>
      </c>
    </row>
    <row r="4036" spans="1:11">
      <c r="A4036">
        <v>4034</v>
      </c>
      <c r="B4036">
        <v>8.2000000000000004E+122</v>
      </c>
      <c r="D4036" s="18">
        <v>4034</v>
      </c>
      <c r="E4036" s="18" cm="1">
        <f t="array" aca="1" ref="E4036" ca="1">INDIRECT("b"&amp;F4036+2)</f>
        <v>4.3749999999999998E+166</v>
      </c>
      <c r="F4036" s="18">
        <f t="shared" si="806"/>
        <v>5777</v>
      </c>
      <c r="G4036" s="18"/>
      <c r="H4036" s="18"/>
      <c r="I4036" s="19">
        <v>4034</v>
      </c>
      <c r="J4036" s="19" cm="1">
        <f t="array" aca="1" ref="J4036" ca="1">INDIRECT("b"&amp;K4036+2)</f>
        <v>0</v>
      </c>
      <c r="K4036" s="19">
        <f t="shared" ref="K4036:K4099" si="818">INT((A4036-1)*40/30+900*40/30)+400</f>
        <v>6977</v>
      </c>
    </row>
    <row r="4037" spans="1:11">
      <c r="A4037">
        <v>4035</v>
      </c>
      <c r="B4037">
        <v>8.4249999999999997E+122</v>
      </c>
      <c r="D4037" s="18">
        <v>4035</v>
      </c>
      <c r="E4037" s="18" cm="1">
        <f t="array" aca="1" ref="E4037" ca="1">INDIRECT("b"&amp;F4037+2)</f>
        <v>4.5999999999999995E+166</v>
      </c>
      <c r="F4037" s="18">
        <f t="shared" si="806"/>
        <v>5778</v>
      </c>
      <c r="G4037" s="18"/>
      <c r="H4037" s="18"/>
      <c r="I4037" s="19">
        <v>4035</v>
      </c>
      <c r="J4037" s="19" cm="1">
        <f t="array" aca="1" ref="J4037" ca="1">INDIRECT("b"&amp;K4037+2)</f>
        <v>0</v>
      </c>
      <c r="K4037" s="19">
        <f t="shared" si="818"/>
        <v>6978</v>
      </c>
    </row>
    <row r="4038" spans="1:11">
      <c r="A4038">
        <v>4036</v>
      </c>
      <c r="B4038">
        <v>8.6500000000000006E+122</v>
      </c>
      <c r="D4038" s="18">
        <v>4036</v>
      </c>
      <c r="E4038" s="18" cm="1">
        <f t="array" aca="1" ref="E4038" ca="1">INDIRECT("b"&amp;F4038+2)</f>
        <v>5.0499999999999995E+166</v>
      </c>
      <c r="F4038" s="18">
        <f t="shared" si="806"/>
        <v>5780</v>
      </c>
      <c r="G4038" s="18"/>
      <c r="H4038" s="18"/>
      <c r="I4038" s="19">
        <v>4036</v>
      </c>
      <c r="J4038" s="19" cm="1">
        <f t="array" aca="1" ref="J4038" ca="1">INDIRECT("b"&amp;K4038+2)</f>
        <v>0</v>
      </c>
      <c r="K4038" s="19">
        <f t="shared" si="818"/>
        <v>6980</v>
      </c>
    </row>
    <row r="4039" spans="1:11">
      <c r="A4039">
        <v>4037</v>
      </c>
      <c r="B4039">
        <v>8.875E+122</v>
      </c>
      <c r="D4039" s="18">
        <v>4037</v>
      </c>
      <c r="E4039" s="18" cm="1">
        <f t="array" aca="1" ref="E4039" ca="1">INDIRECT("b"&amp;F4039+2)</f>
        <v>5.2749999999999998E+166</v>
      </c>
      <c r="F4039" s="18">
        <f t="shared" si="806"/>
        <v>5781</v>
      </c>
      <c r="G4039" s="18"/>
      <c r="H4039" s="18"/>
      <c r="I4039" s="19">
        <v>4037</v>
      </c>
      <c r="J4039" s="19" cm="1">
        <f t="array" aca="1" ref="J4039" ca="1">INDIRECT("b"&amp;K4039+2)</f>
        <v>0</v>
      </c>
      <c r="K4039" s="19">
        <f t="shared" si="818"/>
        <v>6981</v>
      </c>
    </row>
    <row r="4040" spans="1:11">
      <c r="A4040">
        <v>4038</v>
      </c>
      <c r="B4040">
        <v>9.1000000000000008E+122</v>
      </c>
      <c r="D4040" s="18">
        <v>4038</v>
      </c>
      <c r="E4040" s="18" cm="1">
        <f t="array" aca="1" ref="E4040" ca="1">INDIRECT("b"&amp;F4040+2)</f>
        <v>5.4999999999999994E+166</v>
      </c>
      <c r="F4040" s="18">
        <f t="shared" si="806"/>
        <v>5782</v>
      </c>
      <c r="G4040" s="18">
        <f t="shared" ref="G4040" ca="1" si="819">E4040/E4035</f>
        <v>1.3253012048192772</v>
      </c>
      <c r="H4040" s="18"/>
      <c r="I4040" s="19">
        <v>4038</v>
      </c>
      <c r="J4040" s="19" cm="1">
        <f t="array" aca="1" ref="J4040" ca="1">INDIRECT("b"&amp;K4040+2)</f>
        <v>0</v>
      </c>
      <c r="K4040" s="19">
        <f t="shared" si="818"/>
        <v>6982</v>
      </c>
    </row>
    <row r="4041" spans="1:11">
      <c r="A4041">
        <v>4039</v>
      </c>
      <c r="B4041">
        <v>9.3250000000000002E+122</v>
      </c>
      <c r="D4041" s="18">
        <v>4039</v>
      </c>
      <c r="E4041" s="18" cm="1">
        <f t="array" aca="1" ref="E4041" ca="1">INDIRECT("b"&amp;F4041+2)</f>
        <v>5.95E+166</v>
      </c>
      <c r="F4041" s="18">
        <f t="shared" si="806"/>
        <v>5784</v>
      </c>
      <c r="G4041" s="18"/>
      <c r="H4041" s="18"/>
      <c r="I4041" s="19">
        <v>4039</v>
      </c>
      <c r="J4041" s="19" cm="1">
        <f t="array" aca="1" ref="J4041" ca="1">INDIRECT("b"&amp;K4041+2)</f>
        <v>0</v>
      </c>
      <c r="K4041" s="19">
        <f t="shared" si="818"/>
        <v>6984</v>
      </c>
    </row>
    <row r="4042" spans="1:11">
      <c r="A4042">
        <v>4040</v>
      </c>
      <c r="B4042">
        <v>9.5499999999999996E+122</v>
      </c>
      <c r="D4042" s="18">
        <v>4040</v>
      </c>
      <c r="E4042" s="18" cm="1">
        <f t="array" aca="1" ref="E4042" ca="1">INDIRECT("b"&amp;F4042+2)</f>
        <v>6.1750000000000004E+166</v>
      </c>
      <c r="F4042" s="18">
        <f t="shared" si="806"/>
        <v>5785</v>
      </c>
      <c r="G4042" s="18"/>
      <c r="H4042" s="18"/>
      <c r="I4042" s="19">
        <v>4040</v>
      </c>
      <c r="J4042" s="19" cm="1">
        <f t="array" aca="1" ref="J4042" ca="1">INDIRECT("b"&amp;K4042+2)</f>
        <v>0</v>
      </c>
      <c r="K4042" s="19">
        <f t="shared" si="818"/>
        <v>6985</v>
      </c>
    </row>
    <row r="4043" spans="1:11">
      <c r="A4043">
        <v>4041</v>
      </c>
      <c r="B4043">
        <v>9.7750000000000004E+122</v>
      </c>
      <c r="D4043" s="18">
        <v>4041</v>
      </c>
      <c r="E4043" s="18" cm="1">
        <f t="array" aca="1" ref="E4043" ca="1">INDIRECT("b"&amp;F4043+2)</f>
        <v>6.3999999999999994E+166</v>
      </c>
      <c r="F4043" s="18">
        <f t="shared" si="806"/>
        <v>5786</v>
      </c>
      <c r="G4043" s="18"/>
      <c r="H4043" s="18"/>
      <c r="I4043" s="19">
        <v>4041</v>
      </c>
      <c r="J4043" s="19" cm="1">
        <f t="array" aca="1" ref="J4043" ca="1">INDIRECT("b"&amp;K4043+2)</f>
        <v>0</v>
      </c>
      <c r="K4043" s="19">
        <f t="shared" si="818"/>
        <v>6986</v>
      </c>
    </row>
    <row r="4044" spans="1:11">
      <c r="A4044">
        <v>4042</v>
      </c>
      <c r="B4044">
        <v>9.9999999999999998E+122</v>
      </c>
      <c r="D4044" s="18">
        <v>4042</v>
      </c>
      <c r="E4044" s="18" cm="1">
        <f t="array" aca="1" ref="E4044" ca="1">INDIRECT("b"&amp;F4044+2)</f>
        <v>6.85E+166</v>
      </c>
      <c r="F4044" s="18">
        <f t="shared" si="806"/>
        <v>5788</v>
      </c>
      <c r="G4044" s="18"/>
      <c r="H4044" s="18"/>
      <c r="I4044" s="19">
        <v>4042</v>
      </c>
      <c r="J4044" s="19" cm="1">
        <f t="array" aca="1" ref="J4044" ca="1">INDIRECT("b"&amp;K4044+2)</f>
        <v>0</v>
      </c>
      <c r="K4044" s="19">
        <f t="shared" si="818"/>
        <v>6988</v>
      </c>
    </row>
    <row r="4045" spans="1:11">
      <c r="A4045">
        <v>4043</v>
      </c>
      <c r="B4045">
        <v>1.2250000000000001E+123</v>
      </c>
      <c r="D4045" s="18">
        <v>4043</v>
      </c>
      <c r="E4045" s="18" cm="1">
        <f t="array" aca="1" ref="E4045" ca="1">INDIRECT("b"&amp;F4045+2)</f>
        <v>7.0750000000000003E+166</v>
      </c>
      <c r="F4045" s="18">
        <f t="shared" si="806"/>
        <v>5789</v>
      </c>
      <c r="G4045" s="18">
        <f t="shared" ref="G4045" ca="1" si="820">E4045/E4040</f>
        <v>1.2863636363636366</v>
      </c>
      <c r="H4045" s="18"/>
      <c r="I4045" s="19">
        <v>4043</v>
      </c>
      <c r="J4045" s="19" cm="1">
        <f t="array" aca="1" ref="J4045" ca="1">INDIRECT("b"&amp;K4045+2)</f>
        <v>0</v>
      </c>
      <c r="K4045" s="19">
        <f t="shared" si="818"/>
        <v>6989</v>
      </c>
    </row>
    <row r="4046" spans="1:11">
      <c r="A4046">
        <v>4044</v>
      </c>
      <c r="B4046">
        <v>1.45E+123</v>
      </c>
      <c r="D4046" s="18">
        <v>4044</v>
      </c>
      <c r="E4046" s="18" cm="1">
        <f t="array" aca="1" ref="E4046" ca="1">INDIRECT("b"&amp;F4046+2)</f>
        <v>7.2999999999999993E+166</v>
      </c>
      <c r="F4046" s="18">
        <f t="shared" si="806"/>
        <v>5790</v>
      </c>
      <c r="G4046" s="18"/>
      <c r="H4046" s="18"/>
      <c r="I4046" s="19">
        <v>4044</v>
      </c>
      <c r="J4046" s="19" cm="1">
        <f t="array" aca="1" ref="J4046" ca="1">INDIRECT("b"&amp;K4046+2)</f>
        <v>0</v>
      </c>
      <c r="K4046" s="19">
        <f t="shared" si="818"/>
        <v>6990</v>
      </c>
    </row>
    <row r="4047" spans="1:11">
      <c r="A4047">
        <v>4045</v>
      </c>
      <c r="B4047">
        <v>1.675E+123</v>
      </c>
      <c r="D4047" s="18">
        <v>4045</v>
      </c>
      <c r="E4047" s="18" cm="1">
        <f t="array" aca="1" ref="E4047" ca="1">INDIRECT("b"&amp;F4047+2)</f>
        <v>7.7499999999999999E+166</v>
      </c>
      <c r="F4047" s="18">
        <f t="shared" si="806"/>
        <v>5792</v>
      </c>
      <c r="G4047" s="18"/>
      <c r="H4047" s="18"/>
      <c r="I4047" s="19">
        <v>4045</v>
      </c>
      <c r="J4047" s="19" cm="1">
        <f t="array" aca="1" ref="J4047" ca="1">INDIRECT("b"&amp;K4047+2)</f>
        <v>0</v>
      </c>
      <c r="K4047" s="19">
        <f t="shared" si="818"/>
        <v>6992</v>
      </c>
    </row>
    <row r="4048" spans="1:11">
      <c r="A4048">
        <v>4046</v>
      </c>
      <c r="B4048">
        <v>1.9E+123</v>
      </c>
      <c r="D4048" s="18">
        <v>4046</v>
      </c>
      <c r="E4048" s="18" cm="1">
        <f t="array" aca="1" ref="E4048" ca="1">INDIRECT("b"&amp;F4048+2)</f>
        <v>7.9750000000000002E+166</v>
      </c>
      <c r="F4048" s="18">
        <f t="shared" si="806"/>
        <v>5793</v>
      </c>
      <c r="G4048" s="18"/>
      <c r="H4048" s="18"/>
      <c r="I4048" s="19">
        <v>4046</v>
      </c>
      <c r="J4048" s="19" cm="1">
        <f t="array" aca="1" ref="J4048" ca="1">INDIRECT("b"&amp;K4048+2)</f>
        <v>0</v>
      </c>
      <c r="K4048" s="19">
        <f t="shared" si="818"/>
        <v>6993</v>
      </c>
    </row>
    <row r="4049" spans="1:11">
      <c r="A4049">
        <v>4047</v>
      </c>
      <c r="B4049">
        <v>2.1249999999999999E+123</v>
      </c>
      <c r="D4049" s="18">
        <v>4047</v>
      </c>
      <c r="E4049" s="18" cm="1">
        <f t="array" aca="1" ref="E4049" ca="1">INDIRECT("b"&amp;F4049+2)</f>
        <v>8.1999999999999992E+166</v>
      </c>
      <c r="F4049" s="18">
        <f t="shared" si="806"/>
        <v>5794</v>
      </c>
      <c r="G4049" s="18"/>
      <c r="H4049" s="18"/>
      <c r="I4049" s="19">
        <v>4047</v>
      </c>
      <c r="J4049" s="19" cm="1">
        <f t="array" aca="1" ref="J4049" ca="1">INDIRECT("b"&amp;K4049+2)</f>
        <v>0</v>
      </c>
      <c r="K4049" s="19">
        <f t="shared" si="818"/>
        <v>6994</v>
      </c>
    </row>
    <row r="4050" spans="1:11">
      <c r="A4050">
        <v>4048</v>
      </c>
      <c r="B4050">
        <v>2.3499999999999999E+123</v>
      </c>
      <c r="D4050" s="18">
        <v>4048</v>
      </c>
      <c r="E4050" s="18" cm="1">
        <f t="array" aca="1" ref="E4050" ca="1">INDIRECT("b"&amp;F4050+2)</f>
        <v>8.6499999999999998E+166</v>
      </c>
      <c r="F4050" s="18">
        <f t="shared" si="806"/>
        <v>5796</v>
      </c>
      <c r="G4050" s="18">
        <f t="shared" ref="G4050" ca="1" si="821">E4050/E4045</f>
        <v>1.2226148409893993</v>
      </c>
      <c r="H4050" s="18"/>
      <c r="I4050" s="19">
        <v>4048</v>
      </c>
      <c r="J4050" s="19" cm="1">
        <f t="array" aca="1" ref="J4050" ca="1">INDIRECT("b"&amp;K4050+2)</f>
        <v>0</v>
      </c>
      <c r="K4050" s="19">
        <f t="shared" si="818"/>
        <v>6996</v>
      </c>
    </row>
    <row r="4051" spans="1:11">
      <c r="A4051">
        <v>4049</v>
      </c>
      <c r="B4051">
        <v>2.5750000000000002E+123</v>
      </c>
      <c r="D4051" s="18">
        <v>4049</v>
      </c>
      <c r="E4051" s="18" cm="1">
        <f t="array" aca="1" ref="E4051" ca="1">INDIRECT("b"&amp;F4051+2)</f>
        <v>8.8750000000000001E+166</v>
      </c>
      <c r="F4051" s="18">
        <f t="shared" ref="F4051:F4114" si="822">INT((A4051-123)*1.333333)+563</f>
        <v>5797</v>
      </c>
      <c r="G4051" s="18"/>
      <c r="H4051" s="18"/>
      <c r="I4051" s="19">
        <v>4049</v>
      </c>
      <c r="J4051" s="19" cm="1">
        <f t="array" aca="1" ref="J4051" ca="1">INDIRECT("b"&amp;K4051+2)</f>
        <v>0</v>
      </c>
      <c r="K4051" s="19">
        <f t="shared" si="818"/>
        <v>6997</v>
      </c>
    </row>
    <row r="4052" spans="1:11">
      <c r="A4052">
        <v>4050</v>
      </c>
      <c r="B4052">
        <v>2.8000000000000001E+123</v>
      </c>
      <c r="D4052" s="18">
        <v>4050</v>
      </c>
      <c r="E4052" s="18" cm="1">
        <f t="array" aca="1" ref="E4052" ca="1">INDIRECT("b"&amp;F4052+2)</f>
        <v>9.0999999999999991E+166</v>
      </c>
      <c r="F4052" s="18">
        <f t="shared" si="822"/>
        <v>5798</v>
      </c>
      <c r="G4052" s="18"/>
      <c r="H4052" s="18"/>
      <c r="I4052" s="19">
        <v>4050</v>
      </c>
      <c r="J4052" s="19" cm="1">
        <f t="array" aca="1" ref="J4052" ca="1">INDIRECT("b"&amp;K4052+2)</f>
        <v>0</v>
      </c>
      <c r="K4052" s="19">
        <f t="shared" si="818"/>
        <v>6998</v>
      </c>
    </row>
    <row r="4053" spans="1:11">
      <c r="A4053">
        <v>4051</v>
      </c>
      <c r="B4053">
        <v>3.0249999999999998E+123</v>
      </c>
      <c r="D4053" s="18">
        <v>4051</v>
      </c>
      <c r="E4053" s="18" cm="1">
        <f t="array" aca="1" ref="E4053" ca="1">INDIRECT("b"&amp;F4053+2)</f>
        <v>9.5499999999999998E+166</v>
      </c>
      <c r="F4053" s="18">
        <f t="shared" si="822"/>
        <v>5800</v>
      </c>
      <c r="G4053" s="18"/>
      <c r="H4053" s="18"/>
      <c r="I4053" s="19">
        <v>4051</v>
      </c>
      <c r="J4053" s="19" cm="1">
        <f t="array" aca="1" ref="J4053" ca="1">INDIRECT("b"&amp;K4053+2)</f>
        <v>0</v>
      </c>
      <c r="K4053" s="19">
        <f t="shared" si="818"/>
        <v>7000</v>
      </c>
    </row>
    <row r="4054" spans="1:11">
      <c r="A4054">
        <v>4052</v>
      </c>
      <c r="B4054">
        <v>3.25E+123</v>
      </c>
      <c r="D4054" s="18">
        <v>4052</v>
      </c>
      <c r="E4054" s="18" cm="1">
        <f t="array" aca="1" ref="E4054" ca="1">INDIRECT("b"&amp;F4054+2)</f>
        <v>9.7750000000000001E+166</v>
      </c>
      <c r="F4054" s="18">
        <f t="shared" si="822"/>
        <v>5801</v>
      </c>
      <c r="G4054" s="18"/>
      <c r="H4054" s="18"/>
      <c r="I4054" s="19">
        <v>4052</v>
      </c>
      <c r="J4054" s="19" cm="1">
        <f t="array" aca="1" ref="J4054" ca="1">INDIRECT("b"&amp;K4054+2)</f>
        <v>0</v>
      </c>
      <c r="K4054" s="19">
        <f t="shared" si="818"/>
        <v>7001</v>
      </c>
    </row>
    <row r="4055" spans="1:11">
      <c r="A4055">
        <v>4053</v>
      </c>
      <c r="B4055">
        <v>3.4750000000000003E+123</v>
      </c>
      <c r="D4055" s="18">
        <v>4053</v>
      </c>
      <c r="E4055" s="18" cm="1">
        <f t="array" aca="1" ref="E4055" ca="1">INDIRECT("b"&amp;F4055+2)</f>
        <v>9.9999999999999991E+166</v>
      </c>
      <c r="F4055" s="18">
        <f t="shared" si="822"/>
        <v>5802</v>
      </c>
      <c r="G4055" s="18">
        <f t="shared" ref="G4055" ca="1" si="823">E4055/E4050</f>
        <v>1.1560693641618496</v>
      </c>
      <c r="H4055" s="18"/>
      <c r="I4055" s="19">
        <v>4053</v>
      </c>
      <c r="J4055" s="19" cm="1">
        <f t="array" aca="1" ref="J4055" ca="1">INDIRECT("b"&amp;K4055+2)</f>
        <v>0</v>
      </c>
      <c r="K4055" s="19">
        <f t="shared" si="818"/>
        <v>7002</v>
      </c>
    </row>
    <row r="4056" spans="1:11">
      <c r="A4056">
        <v>4054</v>
      </c>
      <c r="B4056">
        <v>3.7E+123</v>
      </c>
      <c r="D4056" s="18">
        <v>4054</v>
      </c>
      <c r="E4056" s="18" cm="1">
        <f t="array" aca="1" ref="E4056" ca="1">INDIRECT("b"&amp;F4056+2)</f>
        <v>1.4499999999999999E+167</v>
      </c>
      <c r="F4056" s="18">
        <f t="shared" si="822"/>
        <v>5804</v>
      </c>
      <c r="G4056" s="18"/>
      <c r="H4056" s="18"/>
      <c r="I4056" s="19">
        <v>4054</v>
      </c>
      <c r="J4056" s="19" cm="1">
        <f t="array" aca="1" ref="J4056" ca="1">INDIRECT("b"&amp;K4056+2)</f>
        <v>0</v>
      </c>
      <c r="K4056" s="19">
        <f t="shared" si="818"/>
        <v>7004</v>
      </c>
    </row>
    <row r="4057" spans="1:11">
      <c r="A4057">
        <v>4055</v>
      </c>
      <c r="B4057">
        <v>3.9250000000000002E+123</v>
      </c>
      <c r="D4057" s="18">
        <v>4055</v>
      </c>
      <c r="E4057" s="18" cm="1">
        <f t="array" aca="1" ref="E4057" ca="1">INDIRECT("b"&amp;F4057+2)</f>
        <v>1.6749999999999999E+167</v>
      </c>
      <c r="F4057" s="18">
        <f t="shared" si="822"/>
        <v>5805</v>
      </c>
      <c r="G4057" s="18"/>
      <c r="H4057" s="18"/>
      <c r="I4057" s="19">
        <v>4055</v>
      </c>
      <c r="J4057" s="19" cm="1">
        <f t="array" aca="1" ref="J4057" ca="1">INDIRECT("b"&amp;K4057+2)</f>
        <v>0</v>
      </c>
      <c r="K4057" s="19">
        <f t="shared" si="818"/>
        <v>7005</v>
      </c>
    </row>
    <row r="4058" spans="1:11">
      <c r="A4058">
        <v>4056</v>
      </c>
      <c r="B4058">
        <v>4.1499999999999999E+123</v>
      </c>
      <c r="D4058" s="18">
        <v>4056</v>
      </c>
      <c r="E4058" s="18" cm="1">
        <f t="array" aca="1" ref="E4058" ca="1">INDIRECT("b"&amp;F4058+2)</f>
        <v>1.9E+167</v>
      </c>
      <c r="F4058" s="18">
        <f t="shared" si="822"/>
        <v>5806</v>
      </c>
      <c r="G4058" s="18"/>
      <c r="H4058" s="18"/>
      <c r="I4058" s="19">
        <v>4056</v>
      </c>
      <c r="J4058" s="19" cm="1">
        <f t="array" aca="1" ref="J4058" ca="1">INDIRECT("b"&amp;K4058+2)</f>
        <v>0</v>
      </c>
      <c r="K4058" s="19">
        <f t="shared" si="818"/>
        <v>7006</v>
      </c>
    </row>
    <row r="4059" spans="1:11">
      <c r="A4059">
        <v>4057</v>
      </c>
      <c r="B4059">
        <v>4.3750000000000001E+123</v>
      </c>
      <c r="D4059" s="18">
        <v>4057</v>
      </c>
      <c r="E4059" s="18" cm="1">
        <f t="array" aca="1" ref="E4059" ca="1">INDIRECT("b"&amp;F4059+2)</f>
        <v>2.3499999999999998E+167</v>
      </c>
      <c r="F4059" s="18">
        <f t="shared" si="822"/>
        <v>5808</v>
      </c>
      <c r="G4059" s="18"/>
      <c r="H4059" s="18"/>
      <c r="I4059" s="19">
        <v>4057</v>
      </c>
      <c r="J4059" s="19" cm="1">
        <f t="array" aca="1" ref="J4059" ca="1">INDIRECT("b"&amp;K4059+2)</f>
        <v>0</v>
      </c>
      <c r="K4059" s="19">
        <f t="shared" si="818"/>
        <v>7008</v>
      </c>
    </row>
    <row r="4060" spans="1:11">
      <c r="A4060">
        <v>4058</v>
      </c>
      <c r="B4060">
        <v>4.5999999999999998E+123</v>
      </c>
      <c r="D4060" s="18">
        <v>4058</v>
      </c>
      <c r="E4060" s="18" cm="1">
        <f t="array" aca="1" ref="E4060" ca="1">INDIRECT("b"&amp;F4060+2)</f>
        <v>2.5749999999999999E+167</v>
      </c>
      <c r="F4060" s="18">
        <f t="shared" si="822"/>
        <v>5809</v>
      </c>
      <c r="G4060" s="18">
        <f t="shared" ref="G4060" ca="1" si="824">E4060/E4055</f>
        <v>2.5750000000000002</v>
      </c>
      <c r="H4060" s="18"/>
      <c r="I4060" s="19">
        <v>4058</v>
      </c>
      <c r="J4060" s="19" cm="1">
        <f t="array" aca="1" ref="J4060" ca="1">INDIRECT("b"&amp;K4060+2)</f>
        <v>0</v>
      </c>
      <c r="K4060" s="19">
        <f t="shared" si="818"/>
        <v>7009</v>
      </c>
    </row>
    <row r="4061" spans="1:11">
      <c r="A4061">
        <v>4059</v>
      </c>
      <c r="B4061">
        <v>4.8250000000000001E+123</v>
      </c>
      <c r="D4061" s="18">
        <v>4059</v>
      </c>
      <c r="E4061" s="18" cm="1">
        <f t="array" aca="1" ref="E4061" ca="1">INDIRECT("b"&amp;F4061+2)</f>
        <v>2.7999999999999999E+167</v>
      </c>
      <c r="F4061" s="18">
        <f t="shared" si="822"/>
        <v>5810</v>
      </c>
      <c r="G4061" s="18"/>
      <c r="H4061" s="18"/>
      <c r="I4061" s="19">
        <v>4059</v>
      </c>
      <c r="J4061" s="19" cm="1">
        <f t="array" aca="1" ref="J4061" ca="1">INDIRECT("b"&amp;K4061+2)</f>
        <v>0</v>
      </c>
      <c r="K4061" s="19">
        <f t="shared" si="818"/>
        <v>7010</v>
      </c>
    </row>
    <row r="4062" spans="1:11">
      <c r="A4062">
        <v>4060</v>
      </c>
      <c r="B4062">
        <v>5.0500000000000003E+123</v>
      </c>
      <c r="D4062" s="18">
        <v>4060</v>
      </c>
      <c r="E4062" s="18" cm="1">
        <f t="array" aca="1" ref="E4062" ca="1">INDIRECT("b"&amp;F4062+2)</f>
        <v>3.25E+167</v>
      </c>
      <c r="F4062" s="18">
        <f t="shared" si="822"/>
        <v>5812</v>
      </c>
      <c r="G4062" s="18"/>
      <c r="H4062" s="18"/>
      <c r="I4062" s="19">
        <v>4060</v>
      </c>
      <c r="J4062" s="19" cm="1">
        <f t="array" aca="1" ref="J4062" ca="1">INDIRECT("b"&amp;K4062+2)</f>
        <v>0</v>
      </c>
      <c r="K4062" s="19">
        <f t="shared" si="818"/>
        <v>7012</v>
      </c>
    </row>
    <row r="4063" spans="1:11">
      <c r="A4063">
        <v>4061</v>
      </c>
      <c r="B4063">
        <v>5.275E+123</v>
      </c>
      <c r="D4063" s="18">
        <v>4061</v>
      </c>
      <c r="E4063" s="18" cm="1">
        <f t="array" aca="1" ref="E4063" ca="1">INDIRECT("b"&amp;F4063+2)</f>
        <v>3.4749999999999995E+167</v>
      </c>
      <c r="F4063" s="18">
        <f t="shared" si="822"/>
        <v>5813</v>
      </c>
      <c r="G4063" s="18"/>
      <c r="H4063" s="18"/>
      <c r="I4063" s="19">
        <v>4061</v>
      </c>
      <c r="J4063" s="19" cm="1">
        <f t="array" aca="1" ref="J4063" ca="1">INDIRECT("b"&amp;K4063+2)</f>
        <v>0</v>
      </c>
      <c r="K4063" s="19">
        <f t="shared" si="818"/>
        <v>7013</v>
      </c>
    </row>
    <row r="4064" spans="1:11">
      <c r="A4064">
        <v>4062</v>
      </c>
      <c r="B4064">
        <v>5.5000000000000002E+123</v>
      </c>
      <c r="D4064" s="18">
        <v>4062</v>
      </c>
      <c r="E4064" s="18" cm="1">
        <f t="array" aca="1" ref="E4064" ca="1">INDIRECT("b"&amp;F4064+2)</f>
        <v>3.6999999999999996E+167</v>
      </c>
      <c r="F4064" s="18">
        <f t="shared" si="822"/>
        <v>5814</v>
      </c>
      <c r="G4064" s="18"/>
      <c r="H4064" s="18"/>
      <c r="I4064" s="19">
        <v>4062</v>
      </c>
      <c r="J4064" s="19" cm="1">
        <f t="array" aca="1" ref="J4064" ca="1">INDIRECT("b"&amp;K4064+2)</f>
        <v>0</v>
      </c>
      <c r="K4064" s="19">
        <f t="shared" si="818"/>
        <v>7014</v>
      </c>
    </row>
    <row r="4065" spans="1:11">
      <c r="A4065">
        <v>4063</v>
      </c>
      <c r="B4065">
        <v>5.7250000000000005E+123</v>
      </c>
      <c r="D4065" s="18">
        <v>4063</v>
      </c>
      <c r="E4065" s="18" cm="1">
        <f t="array" aca="1" ref="E4065" ca="1">INDIRECT("b"&amp;F4065+2)</f>
        <v>4.1499999999999997E+167</v>
      </c>
      <c r="F4065" s="18">
        <f t="shared" si="822"/>
        <v>5816</v>
      </c>
      <c r="G4065" s="18">
        <f t="shared" ref="G4065" ca="1" si="825">E4065/E4060</f>
        <v>1.6116504854368932</v>
      </c>
      <c r="H4065" s="18"/>
      <c r="I4065" s="19">
        <v>4063</v>
      </c>
      <c r="J4065" s="19" cm="1">
        <f t="array" aca="1" ref="J4065" ca="1">INDIRECT("b"&amp;K4065+2)</f>
        <v>0</v>
      </c>
      <c r="K4065" s="19">
        <f t="shared" si="818"/>
        <v>7016</v>
      </c>
    </row>
    <row r="4066" spans="1:11">
      <c r="A4066">
        <v>4064</v>
      </c>
      <c r="B4066">
        <v>5.9499999999999996E+123</v>
      </c>
      <c r="D4066" s="18">
        <v>4064</v>
      </c>
      <c r="E4066" s="18" cm="1">
        <f t="array" aca="1" ref="E4066" ca="1">INDIRECT("b"&amp;F4066+2)</f>
        <v>4.3749999999999997E+167</v>
      </c>
      <c r="F4066" s="18">
        <f t="shared" si="822"/>
        <v>5817</v>
      </c>
      <c r="G4066" s="18"/>
      <c r="H4066" s="18"/>
      <c r="I4066" s="19">
        <v>4064</v>
      </c>
      <c r="J4066" s="19" cm="1">
        <f t="array" aca="1" ref="J4066" ca="1">INDIRECT("b"&amp;K4066+2)</f>
        <v>0</v>
      </c>
      <c r="K4066" s="19">
        <f t="shared" si="818"/>
        <v>7017</v>
      </c>
    </row>
    <row r="4067" spans="1:11">
      <c r="A4067">
        <v>4065</v>
      </c>
      <c r="B4067">
        <v>6.1749999999999998E+123</v>
      </c>
      <c r="D4067" s="18">
        <v>4065</v>
      </c>
      <c r="E4067" s="18" cm="1">
        <f t="array" aca="1" ref="E4067" ca="1">INDIRECT("b"&amp;F4067+2)</f>
        <v>4.5999999999999998E+167</v>
      </c>
      <c r="F4067" s="18">
        <f t="shared" si="822"/>
        <v>5818</v>
      </c>
      <c r="G4067" s="18"/>
      <c r="H4067" s="18"/>
      <c r="I4067" s="19">
        <v>4065</v>
      </c>
      <c r="J4067" s="19" cm="1">
        <f t="array" aca="1" ref="J4067" ca="1">INDIRECT("b"&amp;K4067+2)</f>
        <v>0</v>
      </c>
      <c r="K4067" s="19">
        <f t="shared" si="818"/>
        <v>7018</v>
      </c>
    </row>
    <row r="4068" spans="1:11">
      <c r="A4068">
        <v>4066</v>
      </c>
      <c r="B4068">
        <v>6.4000000000000001E+123</v>
      </c>
      <c r="D4068" s="18">
        <v>4066</v>
      </c>
      <c r="E4068" s="18" cm="1">
        <f t="array" aca="1" ref="E4068" ca="1">INDIRECT("b"&amp;F4068+2)</f>
        <v>5.0499999999999993E+167</v>
      </c>
      <c r="F4068" s="18">
        <f t="shared" si="822"/>
        <v>5820</v>
      </c>
      <c r="G4068" s="18"/>
      <c r="H4068" s="18"/>
      <c r="I4068" s="19">
        <v>4066</v>
      </c>
      <c r="J4068" s="19" cm="1">
        <f t="array" aca="1" ref="J4068" ca="1">INDIRECT("b"&amp;K4068+2)</f>
        <v>0</v>
      </c>
      <c r="K4068" s="19">
        <f t="shared" si="818"/>
        <v>7020</v>
      </c>
    </row>
    <row r="4069" spans="1:11">
      <c r="A4069">
        <v>4067</v>
      </c>
      <c r="B4069">
        <v>6.6250000000000003E+123</v>
      </c>
      <c r="D4069" s="18">
        <v>4067</v>
      </c>
      <c r="E4069" s="18" cm="1">
        <f t="array" aca="1" ref="E4069" ca="1">INDIRECT("b"&amp;F4069+2)</f>
        <v>5.2749999999999994E+167</v>
      </c>
      <c r="F4069" s="18">
        <f t="shared" si="822"/>
        <v>5821</v>
      </c>
      <c r="G4069" s="18"/>
      <c r="H4069" s="18"/>
      <c r="I4069" s="19">
        <v>4067</v>
      </c>
      <c r="J4069" s="19" cm="1">
        <f t="array" aca="1" ref="J4069" ca="1">INDIRECT("b"&amp;K4069+2)</f>
        <v>0</v>
      </c>
      <c r="K4069" s="19">
        <f t="shared" si="818"/>
        <v>7021</v>
      </c>
    </row>
    <row r="4070" spans="1:11">
      <c r="A4070">
        <v>4068</v>
      </c>
      <c r="B4070">
        <v>6.8500000000000006E+123</v>
      </c>
      <c r="D4070" s="18">
        <v>4068</v>
      </c>
      <c r="E4070" s="18" cm="1">
        <f t="array" aca="1" ref="E4070" ca="1">INDIRECT("b"&amp;F4070+2)</f>
        <v>5.4999999999999994E+167</v>
      </c>
      <c r="F4070" s="18">
        <f t="shared" si="822"/>
        <v>5822</v>
      </c>
      <c r="G4070" s="18">
        <f t="shared" ref="G4070" ca="1" si="826">E4070/E4065</f>
        <v>1.3253012048192772</v>
      </c>
      <c r="H4070" s="18"/>
      <c r="I4070" s="19">
        <v>4068</v>
      </c>
      <c r="J4070" s="19" cm="1">
        <f t="array" aca="1" ref="J4070" ca="1">INDIRECT("b"&amp;K4070+2)</f>
        <v>0</v>
      </c>
      <c r="K4070" s="19">
        <f t="shared" si="818"/>
        <v>7022</v>
      </c>
    </row>
    <row r="4071" spans="1:11">
      <c r="A4071">
        <v>4069</v>
      </c>
      <c r="B4071">
        <v>7.0749999999999997E+123</v>
      </c>
      <c r="D4071" s="18">
        <v>4069</v>
      </c>
      <c r="E4071" s="18" cm="1">
        <f t="array" aca="1" ref="E4071" ca="1">INDIRECT("b"&amp;F4071+2)</f>
        <v>5.9499999999999995E+167</v>
      </c>
      <c r="F4071" s="18">
        <f t="shared" si="822"/>
        <v>5824</v>
      </c>
      <c r="G4071" s="18"/>
      <c r="H4071" s="18"/>
      <c r="I4071" s="19">
        <v>4069</v>
      </c>
      <c r="J4071" s="19" cm="1">
        <f t="array" aca="1" ref="J4071" ca="1">INDIRECT("b"&amp;K4071+2)</f>
        <v>0</v>
      </c>
      <c r="K4071" s="19">
        <f t="shared" si="818"/>
        <v>7024</v>
      </c>
    </row>
    <row r="4072" spans="1:11">
      <c r="A4072">
        <v>4070</v>
      </c>
      <c r="B4072">
        <v>7.2999999999999999E+123</v>
      </c>
      <c r="D4072" s="18">
        <v>4070</v>
      </c>
      <c r="E4072" s="18" cm="1">
        <f t="array" aca="1" ref="E4072" ca="1">INDIRECT("b"&amp;F4072+2)</f>
        <v>6.1749999999999996E+167</v>
      </c>
      <c r="F4072" s="18">
        <f t="shared" si="822"/>
        <v>5825</v>
      </c>
      <c r="G4072" s="18"/>
      <c r="H4072" s="18"/>
      <c r="I4072" s="19">
        <v>4070</v>
      </c>
      <c r="J4072" s="19" cm="1">
        <f t="array" aca="1" ref="J4072" ca="1">INDIRECT("b"&amp;K4072+2)</f>
        <v>0</v>
      </c>
      <c r="K4072" s="19">
        <f t="shared" si="818"/>
        <v>7025</v>
      </c>
    </row>
    <row r="4073" spans="1:11">
      <c r="A4073">
        <v>4071</v>
      </c>
      <c r="B4073">
        <v>7.5250000000000002E+123</v>
      </c>
      <c r="D4073" s="18">
        <v>4071</v>
      </c>
      <c r="E4073" s="18" cm="1">
        <f t="array" aca="1" ref="E4073" ca="1">INDIRECT("b"&amp;F4073+2)</f>
        <v>6.3999999999999996E+167</v>
      </c>
      <c r="F4073" s="18">
        <f t="shared" si="822"/>
        <v>5826</v>
      </c>
      <c r="G4073" s="18"/>
      <c r="H4073" s="18"/>
      <c r="I4073" s="19">
        <v>4071</v>
      </c>
      <c r="J4073" s="19" cm="1">
        <f t="array" aca="1" ref="J4073" ca="1">INDIRECT("b"&amp;K4073+2)</f>
        <v>0</v>
      </c>
      <c r="K4073" s="19">
        <f t="shared" si="818"/>
        <v>7026</v>
      </c>
    </row>
    <row r="4074" spans="1:11">
      <c r="A4074">
        <v>4072</v>
      </c>
      <c r="B4074">
        <v>7.7500000000000005E+123</v>
      </c>
      <c r="D4074" s="18">
        <v>4072</v>
      </c>
      <c r="E4074" s="18" cm="1">
        <f t="array" aca="1" ref="E4074" ca="1">INDIRECT("b"&amp;F4074+2)</f>
        <v>6.8499999999999997E+167</v>
      </c>
      <c r="F4074" s="18">
        <f t="shared" si="822"/>
        <v>5828</v>
      </c>
      <c r="G4074" s="18"/>
      <c r="H4074" s="18"/>
      <c r="I4074" s="19">
        <v>4072</v>
      </c>
      <c r="J4074" s="19" cm="1">
        <f t="array" aca="1" ref="J4074" ca="1">INDIRECT("b"&amp;K4074+2)</f>
        <v>0</v>
      </c>
      <c r="K4074" s="19">
        <f t="shared" si="818"/>
        <v>7028</v>
      </c>
    </row>
    <row r="4075" spans="1:11">
      <c r="A4075">
        <v>4073</v>
      </c>
      <c r="B4075">
        <v>7.9750000000000007E+123</v>
      </c>
      <c r="D4075" s="18">
        <v>4073</v>
      </c>
      <c r="E4075" s="18" cm="1">
        <f t="array" aca="1" ref="E4075" ca="1">INDIRECT("b"&amp;F4075+2)</f>
        <v>7.0749999999999998E+167</v>
      </c>
      <c r="F4075" s="18">
        <f t="shared" si="822"/>
        <v>5829</v>
      </c>
      <c r="G4075" s="18">
        <f t="shared" ref="G4075" ca="1" si="827">E4075/E4070</f>
        <v>1.2863636363636364</v>
      </c>
      <c r="H4075" s="18"/>
      <c r="I4075" s="19">
        <v>4073</v>
      </c>
      <c r="J4075" s="19" cm="1">
        <f t="array" aca="1" ref="J4075" ca="1">INDIRECT("b"&amp;K4075+2)</f>
        <v>0</v>
      </c>
      <c r="K4075" s="19">
        <f t="shared" si="818"/>
        <v>7029</v>
      </c>
    </row>
    <row r="4076" spans="1:11">
      <c r="A4076">
        <v>4074</v>
      </c>
      <c r="B4076">
        <v>8.1999999999999998E+123</v>
      </c>
      <c r="D4076" s="18">
        <v>4074</v>
      </c>
      <c r="E4076" s="18" cm="1">
        <f t="array" aca="1" ref="E4076" ca="1">INDIRECT("b"&amp;F4076+2)</f>
        <v>7.2999999999999998E+167</v>
      </c>
      <c r="F4076" s="18">
        <f t="shared" si="822"/>
        <v>5830</v>
      </c>
      <c r="G4076" s="18"/>
      <c r="H4076" s="18"/>
      <c r="I4076" s="19">
        <v>4074</v>
      </c>
      <c r="J4076" s="19" cm="1">
        <f t="array" aca="1" ref="J4076" ca="1">INDIRECT("b"&amp;K4076+2)</f>
        <v>0</v>
      </c>
      <c r="K4076" s="19">
        <f t="shared" si="818"/>
        <v>7030</v>
      </c>
    </row>
    <row r="4077" spans="1:11">
      <c r="A4077">
        <v>4075</v>
      </c>
      <c r="B4077">
        <v>8.425E+123</v>
      </c>
      <c r="D4077" s="18">
        <v>4075</v>
      </c>
      <c r="E4077" s="18" cm="1">
        <f t="array" aca="1" ref="E4077" ca="1">INDIRECT("b"&amp;F4077+2)</f>
        <v>7.7499999999999999E+167</v>
      </c>
      <c r="F4077" s="18">
        <f t="shared" si="822"/>
        <v>5832</v>
      </c>
      <c r="G4077" s="18"/>
      <c r="H4077" s="18"/>
      <c r="I4077" s="19">
        <v>4075</v>
      </c>
      <c r="J4077" s="19" cm="1">
        <f t="array" aca="1" ref="J4077" ca="1">INDIRECT("b"&amp;K4077+2)</f>
        <v>0</v>
      </c>
      <c r="K4077" s="19">
        <f t="shared" si="818"/>
        <v>7032</v>
      </c>
    </row>
    <row r="4078" spans="1:11">
      <c r="A4078">
        <v>4076</v>
      </c>
      <c r="B4078">
        <v>8.6500000000000003E+123</v>
      </c>
      <c r="D4078" s="18">
        <v>4076</v>
      </c>
      <c r="E4078" s="18" cm="1">
        <f t="array" aca="1" ref="E4078" ca="1">INDIRECT("b"&amp;F4078+2)</f>
        <v>7.9749999999999989E+167</v>
      </c>
      <c r="F4078" s="18">
        <f t="shared" si="822"/>
        <v>5833</v>
      </c>
      <c r="G4078" s="18"/>
      <c r="H4078" s="18"/>
      <c r="I4078" s="19">
        <v>4076</v>
      </c>
      <c r="J4078" s="19" cm="1">
        <f t="array" aca="1" ref="J4078" ca="1">INDIRECT("b"&amp;K4078+2)</f>
        <v>0</v>
      </c>
      <c r="K4078" s="19">
        <f t="shared" si="818"/>
        <v>7033</v>
      </c>
    </row>
    <row r="4079" spans="1:11">
      <c r="A4079">
        <v>4077</v>
      </c>
      <c r="B4079">
        <v>8.8750000000000006E+123</v>
      </c>
      <c r="D4079" s="18">
        <v>4077</v>
      </c>
      <c r="E4079" s="18" cm="1">
        <f t="array" aca="1" ref="E4079" ca="1">INDIRECT("b"&amp;F4079+2)</f>
        <v>8.199999999999999E+167</v>
      </c>
      <c r="F4079" s="18">
        <f t="shared" si="822"/>
        <v>5834</v>
      </c>
      <c r="G4079" s="18"/>
      <c r="H4079" s="18"/>
      <c r="I4079" s="19">
        <v>4077</v>
      </c>
      <c r="J4079" s="19" cm="1">
        <f t="array" aca="1" ref="J4079" ca="1">INDIRECT("b"&amp;K4079+2)</f>
        <v>0</v>
      </c>
      <c r="K4079" s="19">
        <f t="shared" si="818"/>
        <v>7034</v>
      </c>
    </row>
    <row r="4080" spans="1:11">
      <c r="A4080">
        <v>4078</v>
      </c>
      <c r="B4080">
        <v>9.0999999999999996E+123</v>
      </c>
      <c r="D4080" s="18">
        <v>4078</v>
      </c>
      <c r="E4080" s="18" cm="1">
        <f t="array" aca="1" ref="E4080" ca="1">INDIRECT("b"&amp;F4080+2)</f>
        <v>8.6499999999999991E+167</v>
      </c>
      <c r="F4080" s="18">
        <f t="shared" si="822"/>
        <v>5836</v>
      </c>
      <c r="G4080" s="18">
        <f t="shared" ref="G4080" ca="1" si="828">E4080/E4075</f>
        <v>1.2226148409893991</v>
      </c>
      <c r="H4080" s="18"/>
      <c r="I4080" s="19">
        <v>4078</v>
      </c>
      <c r="J4080" s="19" cm="1">
        <f t="array" aca="1" ref="J4080" ca="1">INDIRECT("b"&amp;K4080+2)</f>
        <v>0</v>
      </c>
      <c r="K4080" s="19">
        <f t="shared" si="818"/>
        <v>7036</v>
      </c>
    </row>
    <row r="4081" spans="1:11">
      <c r="A4081">
        <v>4079</v>
      </c>
      <c r="B4081">
        <v>9.3249999999999999E+123</v>
      </c>
      <c r="D4081" s="18">
        <v>4079</v>
      </c>
      <c r="E4081" s="18" cm="1">
        <f t="array" aca="1" ref="E4081" ca="1">INDIRECT("b"&amp;F4081+2)</f>
        <v>8.8749999999999991E+167</v>
      </c>
      <c r="F4081" s="18">
        <f t="shared" si="822"/>
        <v>5837</v>
      </c>
      <c r="G4081" s="18"/>
      <c r="H4081" s="18"/>
      <c r="I4081" s="19">
        <v>4079</v>
      </c>
      <c r="J4081" s="19" cm="1">
        <f t="array" aca="1" ref="J4081" ca="1">INDIRECT("b"&amp;K4081+2)</f>
        <v>0</v>
      </c>
      <c r="K4081" s="19">
        <f t="shared" si="818"/>
        <v>7037</v>
      </c>
    </row>
    <row r="4082" spans="1:11">
      <c r="A4082">
        <v>4080</v>
      </c>
      <c r="B4082">
        <v>9.5500000000000001E+123</v>
      </c>
      <c r="D4082" s="18">
        <v>4080</v>
      </c>
      <c r="E4082" s="18" cm="1">
        <f t="array" aca="1" ref="E4082" ca="1">INDIRECT("b"&amp;F4082+2)</f>
        <v>9.0999999999999991E+167</v>
      </c>
      <c r="F4082" s="18">
        <f t="shared" si="822"/>
        <v>5838</v>
      </c>
      <c r="G4082" s="18"/>
      <c r="H4082" s="18"/>
      <c r="I4082" s="19">
        <v>4080</v>
      </c>
      <c r="J4082" s="19" cm="1">
        <f t="array" aca="1" ref="J4082" ca="1">INDIRECT("b"&amp;K4082+2)</f>
        <v>0</v>
      </c>
      <c r="K4082" s="19">
        <f t="shared" si="818"/>
        <v>7038</v>
      </c>
    </row>
    <row r="4083" spans="1:11">
      <c r="A4083">
        <v>4081</v>
      </c>
      <c r="B4083">
        <v>9.7750000000000004E+123</v>
      </c>
      <c r="D4083" s="18">
        <v>4081</v>
      </c>
      <c r="E4083" s="18" cm="1">
        <f t="array" aca="1" ref="E4083" ca="1">INDIRECT("b"&amp;F4083+2)</f>
        <v>9.5499999999999992E+167</v>
      </c>
      <c r="F4083" s="18">
        <f t="shared" si="822"/>
        <v>5840</v>
      </c>
      <c r="G4083" s="18"/>
      <c r="H4083" s="18"/>
      <c r="I4083" s="19">
        <v>4081</v>
      </c>
      <c r="J4083" s="19" cm="1">
        <f t="array" aca="1" ref="J4083" ca="1">INDIRECT("b"&amp;K4083+2)</f>
        <v>0</v>
      </c>
      <c r="K4083" s="19">
        <f t="shared" si="818"/>
        <v>7040</v>
      </c>
    </row>
    <row r="4084" spans="1:11">
      <c r="A4084">
        <v>4082</v>
      </c>
      <c r="B4084">
        <v>1.0000000000000001E+124</v>
      </c>
      <c r="D4084" s="18">
        <v>4082</v>
      </c>
      <c r="E4084" s="18" cm="1">
        <f t="array" aca="1" ref="E4084" ca="1">INDIRECT("b"&amp;F4084+2)</f>
        <v>9.7749999999999993E+167</v>
      </c>
      <c r="F4084" s="18">
        <f t="shared" si="822"/>
        <v>5841</v>
      </c>
      <c r="G4084" s="18"/>
      <c r="H4084" s="18"/>
      <c r="I4084" s="19">
        <v>4082</v>
      </c>
      <c r="J4084" s="19" cm="1">
        <f t="array" aca="1" ref="J4084" ca="1">INDIRECT("b"&amp;K4084+2)</f>
        <v>0</v>
      </c>
      <c r="K4084" s="19">
        <f t="shared" si="818"/>
        <v>7041</v>
      </c>
    </row>
    <row r="4085" spans="1:11">
      <c r="A4085">
        <v>4083</v>
      </c>
      <c r="B4085">
        <v>1.2250000000000001E+124</v>
      </c>
      <c r="D4085" s="18">
        <v>4083</v>
      </c>
      <c r="E4085" s="18" cm="1">
        <f t="array" aca="1" ref="E4085" ca="1">INDIRECT("b"&amp;F4085+2)</f>
        <v>9.9999999999999993E+167</v>
      </c>
      <c r="F4085" s="18">
        <f t="shared" si="822"/>
        <v>5842</v>
      </c>
      <c r="G4085" s="18">
        <f t="shared" ref="G4085" ca="1" si="829">E4085/E4080</f>
        <v>1.1560693641618498</v>
      </c>
      <c r="H4085" s="18"/>
      <c r="I4085" s="19">
        <v>4083</v>
      </c>
      <c r="J4085" s="19" cm="1">
        <f t="array" aca="1" ref="J4085" ca="1">INDIRECT("b"&amp;K4085+2)</f>
        <v>0</v>
      </c>
      <c r="K4085" s="19">
        <f t="shared" si="818"/>
        <v>7042</v>
      </c>
    </row>
    <row r="4086" spans="1:11">
      <c r="A4086">
        <v>4084</v>
      </c>
      <c r="B4086">
        <v>1.4500000000000001E+124</v>
      </c>
      <c r="D4086" s="18">
        <v>4084</v>
      </c>
      <c r="E4086" s="18" cm="1">
        <f t="array" aca="1" ref="E4086" ca="1">INDIRECT("b"&amp;F4086+2)</f>
        <v>1.45E+168</v>
      </c>
      <c r="F4086" s="18">
        <f t="shared" si="822"/>
        <v>5844</v>
      </c>
      <c r="G4086" s="18"/>
      <c r="H4086" s="18"/>
      <c r="I4086" s="19">
        <v>4084</v>
      </c>
      <c r="J4086" s="19" cm="1">
        <f t="array" aca="1" ref="J4086" ca="1">INDIRECT("b"&amp;K4086+2)</f>
        <v>0</v>
      </c>
      <c r="K4086" s="19">
        <f t="shared" si="818"/>
        <v>7044</v>
      </c>
    </row>
    <row r="4087" spans="1:11">
      <c r="A4087">
        <v>4085</v>
      </c>
      <c r="B4087">
        <v>1.6750000000000001E+124</v>
      </c>
      <c r="D4087" s="18">
        <v>4085</v>
      </c>
      <c r="E4087" s="18" cm="1">
        <f t="array" aca="1" ref="E4087" ca="1">INDIRECT("b"&amp;F4087+2)</f>
        <v>1.6750000000000001E+168</v>
      </c>
      <c r="F4087" s="18">
        <f t="shared" si="822"/>
        <v>5845</v>
      </c>
      <c r="G4087" s="18"/>
      <c r="H4087" s="18"/>
      <c r="I4087" s="19">
        <v>4085</v>
      </c>
      <c r="J4087" s="19" cm="1">
        <f t="array" aca="1" ref="J4087" ca="1">INDIRECT("b"&amp;K4087+2)</f>
        <v>0</v>
      </c>
      <c r="K4087" s="19">
        <f t="shared" si="818"/>
        <v>7045</v>
      </c>
    </row>
    <row r="4088" spans="1:11">
      <c r="A4088">
        <v>4086</v>
      </c>
      <c r="B4088">
        <v>1.8999999999999999E+124</v>
      </c>
      <c r="D4088" s="18">
        <v>4086</v>
      </c>
      <c r="E4088" s="18" cm="1">
        <f t="array" aca="1" ref="E4088" ca="1">INDIRECT("b"&amp;F4088+2)</f>
        <v>1.9000000000000001E+168</v>
      </c>
      <c r="F4088" s="18">
        <f t="shared" si="822"/>
        <v>5846</v>
      </c>
      <c r="G4088" s="18"/>
      <c r="H4088" s="18"/>
      <c r="I4088" s="19">
        <v>4086</v>
      </c>
      <c r="J4088" s="19" cm="1">
        <f t="array" aca="1" ref="J4088" ca="1">INDIRECT("b"&amp;K4088+2)</f>
        <v>0</v>
      </c>
      <c r="K4088" s="19">
        <f t="shared" si="818"/>
        <v>7046</v>
      </c>
    </row>
    <row r="4089" spans="1:11">
      <c r="A4089">
        <v>4087</v>
      </c>
      <c r="B4089">
        <v>2.1249999999999999E+124</v>
      </c>
      <c r="D4089" s="18">
        <v>4087</v>
      </c>
      <c r="E4089" s="18" cm="1">
        <f t="array" aca="1" ref="E4089" ca="1">INDIRECT("b"&amp;F4089+2)</f>
        <v>2.3500000000000002E+168</v>
      </c>
      <c r="F4089" s="18">
        <f t="shared" si="822"/>
        <v>5848</v>
      </c>
      <c r="G4089" s="18"/>
      <c r="H4089" s="18"/>
      <c r="I4089" s="19">
        <v>4087</v>
      </c>
      <c r="J4089" s="19" cm="1">
        <f t="array" aca="1" ref="J4089" ca="1">INDIRECT("b"&amp;K4089+2)</f>
        <v>0</v>
      </c>
      <c r="K4089" s="19">
        <f t="shared" si="818"/>
        <v>7048</v>
      </c>
    </row>
    <row r="4090" spans="1:11">
      <c r="A4090">
        <v>4088</v>
      </c>
      <c r="B4090">
        <v>2.35E+124</v>
      </c>
      <c r="D4090" s="18">
        <v>4088</v>
      </c>
      <c r="E4090" s="18" cm="1">
        <f t="array" aca="1" ref="E4090" ca="1">INDIRECT("b"&amp;F4090+2)</f>
        <v>2.5749999999999999E+168</v>
      </c>
      <c r="F4090" s="18">
        <f t="shared" si="822"/>
        <v>5849</v>
      </c>
      <c r="G4090" s="18">
        <f t="shared" ref="G4090" ca="1" si="830">E4090/E4085</f>
        <v>2.5750000000000002</v>
      </c>
      <c r="H4090" s="18"/>
      <c r="I4090" s="19">
        <v>4088</v>
      </c>
      <c r="J4090" s="19" cm="1">
        <f t="array" aca="1" ref="J4090" ca="1">INDIRECT("b"&amp;K4090+2)</f>
        <v>0</v>
      </c>
      <c r="K4090" s="19">
        <f t="shared" si="818"/>
        <v>7049</v>
      </c>
    </row>
    <row r="4091" spans="1:11">
      <c r="A4091">
        <v>4089</v>
      </c>
      <c r="B4091">
        <v>2.575E+124</v>
      </c>
      <c r="D4091" s="18">
        <v>4089</v>
      </c>
      <c r="E4091" s="18" cm="1">
        <f t="array" aca="1" ref="E4091" ca="1">INDIRECT("b"&amp;F4091+2)</f>
        <v>2.7999999999999999E+168</v>
      </c>
      <c r="F4091" s="18">
        <f t="shared" si="822"/>
        <v>5850</v>
      </c>
      <c r="G4091" s="18"/>
      <c r="H4091" s="18"/>
      <c r="I4091" s="19">
        <v>4089</v>
      </c>
      <c r="J4091" s="19" cm="1">
        <f t="array" aca="1" ref="J4091" ca="1">INDIRECT("b"&amp;K4091+2)</f>
        <v>0</v>
      </c>
      <c r="K4091" s="19">
        <f t="shared" si="818"/>
        <v>7050</v>
      </c>
    </row>
    <row r="4092" spans="1:11">
      <c r="A4092">
        <v>4090</v>
      </c>
      <c r="B4092">
        <v>2.8E+124</v>
      </c>
      <c r="D4092" s="18">
        <v>4090</v>
      </c>
      <c r="E4092" s="18" cm="1">
        <f t="array" aca="1" ref="E4092" ca="1">INDIRECT("b"&amp;F4092+2)</f>
        <v>3.25E+168</v>
      </c>
      <c r="F4092" s="18">
        <f t="shared" si="822"/>
        <v>5852</v>
      </c>
      <c r="G4092" s="18"/>
      <c r="H4092" s="18"/>
      <c r="I4092" s="19">
        <v>4090</v>
      </c>
      <c r="J4092" s="19" cm="1">
        <f t="array" aca="1" ref="J4092" ca="1">INDIRECT("b"&amp;K4092+2)</f>
        <v>0</v>
      </c>
      <c r="K4092" s="19">
        <f t="shared" si="818"/>
        <v>7052</v>
      </c>
    </row>
    <row r="4093" spans="1:11">
      <c r="A4093">
        <v>4091</v>
      </c>
      <c r="B4093">
        <v>3.025E+124</v>
      </c>
      <c r="D4093" s="18">
        <v>4091</v>
      </c>
      <c r="E4093" s="18" cm="1">
        <f t="array" aca="1" ref="E4093" ca="1">INDIRECT("b"&amp;F4093+2)</f>
        <v>3.475E+168</v>
      </c>
      <c r="F4093" s="18">
        <f t="shared" si="822"/>
        <v>5853</v>
      </c>
      <c r="G4093" s="18"/>
      <c r="H4093" s="18"/>
      <c r="I4093" s="19">
        <v>4091</v>
      </c>
      <c r="J4093" s="19" cm="1">
        <f t="array" aca="1" ref="J4093" ca="1">INDIRECT("b"&amp;K4093+2)</f>
        <v>0</v>
      </c>
      <c r="K4093" s="19">
        <f t="shared" si="818"/>
        <v>7053</v>
      </c>
    </row>
    <row r="4094" spans="1:11">
      <c r="A4094">
        <v>4092</v>
      </c>
      <c r="B4094">
        <v>3.25E+124</v>
      </c>
      <c r="D4094" s="18">
        <v>4092</v>
      </c>
      <c r="E4094" s="18" cm="1">
        <f t="array" aca="1" ref="E4094" ca="1">INDIRECT("b"&amp;F4094+2)</f>
        <v>3.7000000000000001E+168</v>
      </c>
      <c r="F4094" s="18">
        <f t="shared" si="822"/>
        <v>5854</v>
      </c>
      <c r="G4094" s="18"/>
      <c r="H4094" s="18"/>
      <c r="I4094" s="19">
        <v>4092</v>
      </c>
      <c r="J4094" s="19" cm="1">
        <f t="array" aca="1" ref="J4094" ca="1">INDIRECT("b"&amp;K4094+2)</f>
        <v>0</v>
      </c>
      <c r="K4094" s="19">
        <f t="shared" si="818"/>
        <v>7054</v>
      </c>
    </row>
    <row r="4095" spans="1:11">
      <c r="A4095">
        <v>4093</v>
      </c>
      <c r="B4095">
        <v>3.4750000000000001E+124</v>
      </c>
      <c r="D4095" s="18">
        <v>4093</v>
      </c>
      <c r="E4095" s="18" cm="1">
        <f t="array" aca="1" ref="E4095" ca="1">INDIRECT("b"&amp;F4095+2)</f>
        <v>4.1499999999999998E+168</v>
      </c>
      <c r="F4095" s="18">
        <f t="shared" si="822"/>
        <v>5856</v>
      </c>
      <c r="G4095" s="18">
        <f t="shared" ref="G4095" ca="1" si="831">E4095/E4090</f>
        <v>1.6116504854368932</v>
      </c>
      <c r="H4095" s="18"/>
      <c r="I4095" s="19">
        <v>4093</v>
      </c>
      <c r="J4095" s="19" cm="1">
        <f t="array" aca="1" ref="J4095" ca="1">INDIRECT("b"&amp;K4095+2)</f>
        <v>0</v>
      </c>
      <c r="K4095" s="19">
        <f t="shared" si="818"/>
        <v>7056</v>
      </c>
    </row>
    <row r="4096" spans="1:11">
      <c r="A4096">
        <v>4094</v>
      </c>
      <c r="B4096">
        <v>3.7000000000000001E+124</v>
      </c>
      <c r="D4096" s="18">
        <v>4094</v>
      </c>
      <c r="E4096" s="18" cm="1">
        <f t="array" aca="1" ref="E4096" ca="1">INDIRECT("b"&amp;F4096+2)</f>
        <v>4.3750000000000002E+168</v>
      </c>
      <c r="F4096" s="18">
        <f t="shared" si="822"/>
        <v>5857</v>
      </c>
      <c r="G4096" s="18"/>
      <c r="H4096" s="18"/>
      <c r="I4096" s="19">
        <v>4094</v>
      </c>
      <c r="J4096" s="19" cm="1">
        <f t="array" aca="1" ref="J4096" ca="1">INDIRECT("b"&amp;K4096+2)</f>
        <v>0</v>
      </c>
      <c r="K4096" s="19">
        <f t="shared" si="818"/>
        <v>7057</v>
      </c>
    </row>
    <row r="4097" spans="1:11">
      <c r="A4097">
        <v>4095</v>
      </c>
      <c r="B4097">
        <v>3.9250000000000001E+124</v>
      </c>
      <c r="D4097" s="18">
        <v>4095</v>
      </c>
      <c r="E4097" s="18" cm="1">
        <f t="array" aca="1" ref="E4097" ca="1">INDIRECT("b"&amp;F4097+2)</f>
        <v>4.5999999999999999E+168</v>
      </c>
      <c r="F4097" s="18">
        <f t="shared" si="822"/>
        <v>5858</v>
      </c>
      <c r="G4097" s="18"/>
      <c r="H4097" s="18"/>
      <c r="I4097" s="19">
        <v>4095</v>
      </c>
      <c r="J4097" s="19" cm="1">
        <f t="array" aca="1" ref="J4097" ca="1">INDIRECT("b"&amp;K4097+2)</f>
        <v>0</v>
      </c>
      <c r="K4097" s="19">
        <f t="shared" si="818"/>
        <v>7058</v>
      </c>
    </row>
    <row r="4098" spans="1:11">
      <c r="A4098">
        <v>4096</v>
      </c>
      <c r="B4098">
        <v>4.1500000000000001E+124</v>
      </c>
      <c r="D4098" s="18">
        <v>4096</v>
      </c>
      <c r="E4098" s="18" cm="1">
        <f t="array" aca="1" ref="E4098" ca="1">INDIRECT("b"&amp;F4098+2)</f>
        <v>5.05E+168</v>
      </c>
      <c r="F4098" s="18">
        <f t="shared" si="822"/>
        <v>5860</v>
      </c>
      <c r="G4098" s="18"/>
      <c r="H4098" s="18"/>
      <c r="I4098" s="19">
        <v>4096</v>
      </c>
      <c r="J4098" s="19" cm="1">
        <f t="array" aca="1" ref="J4098" ca="1">INDIRECT("b"&amp;K4098+2)</f>
        <v>0</v>
      </c>
      <c r="K4098" s="19">
        <f t="shared" si="818"/>
        <v>7060</v>
      </c>
    </row>
    <row r="4099" spans="1:11">
      <c r="A4099">
        <v>4097</v>
      </c>
      <c r="B4099">
        <v>4.3750000000000001E+124</v>
      </c>
      <c r="D4099" s="18">
        <v>4097</v>
      </c>
      <c r="E4099" s="18" cm="1">
        <f t="array" aca="1" ref="E4099" ca="1">INDIRECT("b"&amp;F4099+2)</f>
        <v>5.2750000000000004E+168</v>
      </c>
      <c r="F4099" s="18">
        <f t="shared" si="822"/>
        <v>5861</v>
      </c>
      <c r="G4099" s="18"/>
      <c r="H4099" s="18"/>
      <c r="I4099" s="19">
        <v>4097</v>
      </c>
      <c r="J4099" s="19" cm="1">
        <f t="array" aca="1" ref="J4099" ca="1">INDIRECT("b"&amp;K4099+2)</f>
        <v>0</v>
      </c>
      <c r="K4099" s="19">
        <f t="shared" si="818"/>
        <v>7061</v>
      </c>
    </row>
    <row r="4100" spans="1:11">
      <c r="A4100">
        <v>4098</v>
      </c>
      <c r="B4100">
        <v>4.5999999999999997E+124</v>
      </c>
      <c r="D4100" s="18">
        <v>4098</v>
      </c>
      <c r="E4100" s="18" cm="1">
        <f t="array" aca="1" ref="E4100" ca="1">INDIRECT("b"&amp;F4100+2)</f>
        <v>5.5000000000000001E+168</v>
      </c>
      <c r="F4100" s="18">
        <f t="shared" si="822"/>
        <v>5862</v>
      </c>
      <c r="G4100" s="18">
        <f t="shared" ref="G4100" ca="1" si="832">E4100/E4095</f>
        <v>1.3253012048192772</v>
      </c>
      <c r="H4100" s="18"/>
      <c r="I4100" s="19">
        <v>4098</v>
      </c>
      <c r="J4100" s="19" cm="1">
        <f t="array" aca="1" ref="J4100" ca="1">INDIRECT("b"&amp;K4100+2)</f>
        <v>0</v>
      </c>
      <c r="K4100" s="19">
        <f t="shared" ref="K4100:K4163" si="833">INT((A4100-1)*40/30+900*40/30)+400</f>
        <v>7062</v>
      </c>
    </row>
    <row r="4101" spans="1:11">
      <c r="A4101">
        <v>4099</v>
      </c>
      <c r="B4101">
        <v>4.8250000000000002E+124</v>
      </c>
      <c r="D4101" s="18">
        <v>4099</v>
      </c>
      <c r="E4101" s="18" cm="1">
        <f t="array" aca="1" ref="E4101" ca="1">INDIRECT("b"&amp;F4101+2)</f>
        <v>5.9500000000000002E+168</v>
      </c>
      <c r="F4101" s="18">
        <f t="shared" si="822"/>
        <v>5864</v>
      </c>
      <c r="G4101" s="18"/>
      <c r="H4101" s="18"/>
      <c r="I4101" s="19">
        <v>4099</v>
      </c>
      <c r="J4101" s="19" cm="1">
        <f t="array" aca="1" ref="J4101" ca="1">INDIRECT("b"&amp;K4101+2)</f>
        <v>0</v>
      </c>
      <c r="K4101" s="19">
        <f t="shared" si="833"/>
        <v>7064</v>
      </c>
    </row>
    <row r="4102" spans="1:11">
      <c r="A4102">
        <v>4100</v>
      </c>
      <c r="B4102">
        <v>5.0499999999999997E+124</v>
      </c>
      <c r="D4102" s="18">
        <v>4100</v>
      </c>
      <c r="E4102" s="18" cm="1">
        <f t="array" aca="1" ref="E4102" ca="1">INDIRECT("b"&amp;F4102+2)</f>
        <v>6.1749999999999998E+168</v>
      </c>
      <c r="F4102" s="18">
        <f t="shared" si="822"/>
        <v>5865</v>
      </c>
      <c r="G4102" s="18"/>
      <c r="H4102" s="18"/>
      <c r="I4102" s="19">
        <v>4100</v>
      </c>
      <c r="J4102" s="19" cm="1">
        <f t="array" aca="1" ref="J4102" ca="1">INDIRECT("b"&amp;K4102+2)</f>
        <v>0</v>
      </c>
      <c r="K4102" s="19">
        <f t="shared" si="833"/>
        <v>7065</v>
      </c>
    </row>
    <row r="4103" spans="1:11">
      <c r="A4103">
        <v>4101</v>
      </c>
      <c r="B4103">
        <v>5.2750000000000002E+124</v>
      </c>
      <c r="D4103" s="18">
        <v>4101</v>
      </c>
      <c r="E4103" s="18" cm="1">
        <f t="array" aca="1" ref="E4103" ca="1">INDIRECT("b"&amp;F4103+2)</f>
        <v>6.4000000000000002E+168</v>
      </c>
      <c r="F4103" s="18">
        <f t="shared" si="822"/>
        <v>5866</v>
      </c>
      <c r="G4103" s="18"/>
      <c r="H4103" s="18"/>
      <c r="I4103" s="19">
        <v>4101</v>
      </c>
      <c r="J4103" s="19" cm="1">
        <f t="array" aca="1" ref="J4103" ca="1">INDIRECT("b"&amp;K4103+2)</f>
        <v>0</v>
      </c>
      <c r="K4103" s="19">
        <f t="shared" si="833"/>
        <v>7066</v>
      </c>
    </row>
    <row r="4104" spans="1:11">
      <c r="A4104">
        <v>4102</v>
      </c>
      <c r="B4104">
        <v>5.4999999999999998E+124</v>
      </c>
      <c r="D4104" s="18">
        <v>4102</v>
      </c>
      <c r="E4104" s="18" cm="1">
        <f t="array" aca="1" ref="E4104" ca="1">INDIRECT("b"&amp;F4104+2)</f>
        <v>6.8500000000000003E+168</v>
      </c>
      <c r="F4104" s="18">
        <f t="shared" si="822"/>
        <v>5868</v>
      </c>
      <c r="G4104" s="18"/>
      <c r="H4104" s="18"/>
      <c r="I4104" s="19">
        <v>4102</v>
      </c>
      <c r="J4104" s="19" cm="1">
        <f t="array" aca="1" ref="J4104" ca="1">INDIRECT("b"&amp;K4104+2)</f>
        <v>0</v>
      </c>
      <c r="K4104" s="19">
        <f t="shared" si="833"/>
        <v>7068</v>
      </c>
    </row>
    <row r="4105" spans="1:11">
      <c r="A4105">
        <v>4103</v>
      </c>
      <c r="B4105">
        <v>5.7250000000000003E+124</v>
      </c>
      <c r="D4105" s="18">
        <v>4103</v>
      </c>
      <c r="E4105" s="18" cm="1">
        <f t="array" aca="1" ref="E4105" ca="1">INDIRECT("b"&amp;F4105+2)</f>
        <v>7.075E+168</v>
      </c>
      <c r="F4105" s="18">
        <f t="shared" si="822"/>
        <v>5869</v>
      </c>
      <c r="G4105" s="18">
        <f t="shared" ref="G4105" ca="1" si="834">E4105/E4100</f>
        <v>1.2863636363636364</v>
      </c>
      <c r="H4105" s="18"/>
      <c r="I4105" s="19">
        <v>4103</v>
      </c>
      <c r="J4105" s="19" cm="1">
        <f t="array" aca="1" ref="J4105" ca="1">INDIRECT("b"&amp;K4105+2)</f>
        <v>0</v>
      </c>
      <c r="K4105" s="19">
        <f t="shared" si="833"/>
        <v>7069</v>
      </c>
    </row>
    <row r="4106" spans="1:11">
      <c r="A4106">
        <v>4104</v>
      </c>
      <c r="B4106">
        <v>5.9499999999999998E+124</v>
      </c>
      <c r="D4106" s="18">
        <v>4104</v>
      </c>
      <c r="E4106" s="18" cm="1">
        <f t="array" aca="1" ref="E4106" ca="1">INDIRECT("b"&amp;F4106+2)</f>
        <v>7.3000000000000004E+168</v>
      </c>
      <c r="F4106" s="18">
        <f t="shared" si="822"/>
        <v>5870</v>
      </c>
      <c r="G4106" s="18"/>
      <c r="H4106" s="18"/>
      <c r="I4106" s="19">
        <v>4104</v>
      </c>
      <c r="J4106" s="19" cm="1">
        <f t="array" aca="1" ref="J4106" ca="1">INDIRECT("b"&amp;K4106+2)</f>
        <v>0</v>
      </c>
      <c r="K4106" s="19">
        <f t="shared" si="833"/>
        <v>7070</v>
      </c>
    </row>
    <row r="4107" spans="1:11">
      <c r="A4107">
        <v>4105</v>
      </c>
      <c r="B4107">
        <v>6.1750000000000003E+124</v>
      </c>
      <c r="D4107" s="18">
        <v>4105</v>
      </c>
      <c r="E4107" s="18" cm="1">
        <f t="array" aca="1" ref="E4107" ca="1">INDIRECT("b"&amp;F4107+2)</f>
        <v>7.7499999999999997E+168</v>
      </c>
      <c r="F4107" s="18">
        <f t="shared" si="822"/>
        <v>5872</v>
      </c>
      <c r="G4107" s="18"/>
      <c r="H4107" s="18"/>
      <c r="I4107" s="19">
        <v>4105</v>
      </c>
      <c r="J4107" s="19" cm="1">
        <f t="array" aca="1" ref="J4107" ca="1">INDIRECT("b"&amp;K4107+2)</f>
        <v>0</v>
      </c>
      <c r="K4107" s="19">
        <f t="shared" si="833"/>
        <v>7072</v>
      </c>
    </row>
    <row r="4108" spans="1:11">
      <c r="A4108">
        <v>4106</v>
      </c>
      <c r="B4108">
        <v>6.3999999999999999E+124</v>
      </c>
      <c r="D4108" s="18">
        <v>4106</v>
      </c>
      <c r="E4108" s="18" cm="1">
        <f t="array" aca="1" ref="E4108" ca="1">INDIRECT("b"&amp;F4108+2)</f>
        <v>7.9750000000000002E+168</v>
      </c>
      <c r="F4108" s="18">
        <f t="shared" si="822"/>
        <v>5873</v>
      </c>
      <c r="G4108" s="18"/>
      <c r="H4108" s="18"/>
      <c r="I4108" s="19">
        <v>4106</v>
      </c>
      <c r="J4108" s="19" cm="1">
        <f t="array" aca="1" ref="J4108" ca="1">INDIRECT("b"&amp;K4108+2)</f>
        <v>0</v>
      </c>
      <c r="K4108" s="19">
        <f t="shared" si="833"/>
        <v>7073</v>
      </c>
    </row>
    <row r="4109" spans="1:11">
      <c r="A4109">
        <v>4107</v>
      </c>
      <c r="B4109">
        <v>6.6250000000000003E+124</v>
      </c>
      <c r="D4109" s="18">
        <v>4107</v>
      </c>
      <c r="E4109" s="18" cm="1">
        <f t="array" aca="1" ref="E4109" ca="1">INDIRECT("b"&amp;F4109+2)</f>
        <v>8.2000000000000006E+168</v>
      </c>
      <c r="F4109" s="18">
        <f t="shared" si="822"/>
        <v>5874</v>
      </c>
      <c r="G4109" s="18"/>
      <c r="H4109" s="18"/>
      <c r="I4109" s="19">
        <v>4107</v>
      </c>
      <c r="J4109" s="19" cm="1">
        <f t="array" aca="1" ref="J4109" ca="1">INDIRECT("b"&amp;K4109+2)</f>
        <v>0</v>
      </c>
      <c r="K4109" s="19">
        <f t="shared" si="833"/>
        <v>7074</v>
      </c>
    </row>
    <row r="4110" spans="1:11">
      <c r="A4110">
        <v>4108</v>
      </c>
      <c r="B4110">
        <v>6.8499999999999999E+124</v>
      </c>
      <c r="D4110" s="18">
        <v>4108</v>
      </c>
      <c r="E4110" s="18" cm="1">
        <f t="array" aca="1" ref="E4110" ca="1">INDIRECT("b"&amp;F4110+2)</f>
        <v>8.6499999999999999E+168</v>
      </c>
      <c r="F4110" s="18">
        <f t="shared" si="822"/>
        <v>5876</v>
      </c>
      <c r="G4110" s="18">
        <f t="shared" ref="G4110" ca="1" si="835">E4110/E4105</f>
        <v>1.2226148409893993</v>
      </c>
      <c r="H4110" s="18"/>
      <c r="I4110" s="19">
        <v>4108</v>
      </c>
      <c r="J4110" s="19" cm="1">
        <f t="array" aca="1" ref="J4110" ca="1">INDIRECT("b"&amp;K4110+2)</f>
        <v>0</v>
      </c>
      <c r="K4110" s="19">
        <f t="shared" si="833"/>
        <v>7076</v>
      </c>
    </row>
    <row r="4111" spans="1:11">
      <c r="A4111">
        <v>4109</v>
      </c>
      <c r="B4111">
        <v>7.0750000000000004E+124</v>
      </c>
      <c r="D4111" s="18">
        <v>4109</v>
      </c>
      <c r="E4111" s="18" cm="1">
        <f t="array" aca="1" ref="E4111" ca="1">INDIRECT("b"&amp;F4111+2)</f>
        <v>8.8750000000000004E+168</v>
      </c>
      <c r="F4111" s="18">
        <f t="shared" si="822"/>
        <v>5877</v>
      </c>
      <c r="G4111" s="18"/>
      <c r="H4111" s="18"/>
      <c r="I4111" s="19">
        <v>4109</v>
      </c>
      <c r="J4111" s="19" cm="1">
        <f t="array" aca="1" ref="J4111" ca="1">INDIRECT("b"&amp;K4111+2)</f>
        <v>0</v>
      </c>
      <c r="K4111" s="19">
        <f t="shared" si="833"/>
        <v>7077</v>
      </c>
    </row>
    <row r="4112" spans="1:11">
      <c r="A4112">
        <v>4110</v>
      </c>
      <c r="B4112">
        <v>7.2999999999999999E+124</v>
      </c>
      <c r="D4112" s="18">
        <v>4110</v>
      </c>
      <c r="E4112" s="18" cm="1">
        <f t="array" aca="1" ref="E4112" ca="1">INDIRECT("b"&amp;F4112+2)</f>
        <v>9.1000000000000008E+168</v>
      </c>
      <c r="F4112" s="18">
        <f t="shared" si="822"/>
        <v>5878</v>
      </c>
      <c r="G4112" s="18"/>
      <c r="H4112" s="18"/>
      <c r="I4112" s="19">
        <v>4110</v>
      </c>
      <c r="J4112" s="19" cm="1">
        <f t="array" aca="1" ref="J4112" ca="1">INDIRECT("b"&amp;K4112+2)</f>
        <v>0</v>
      </c>
      <c r="K4112" s="19">
        <f t="shared" si="833"/>
        <v>7078</v>
      </c>
    </row>
    <row r="4113" spans="1:11">
      <c r="A4113">
        <v>4111</v>
      </c>
      <c r="B4113">
        <v>7.5250000000000004E+124</v>
      </c>
      <c r="D4113" s="18">
        <v>4111</v>
      </c>
      <c r="E4113" s="18" cm="1">
        <f t="array" aca="1" ref="E4113" ca="1">INDIRECT("b"&amp;F4113+2)</f>
        <v>9.5500000000000001E+168</v>
      </c>
      <c r="F4113" s="18">
        <f t="shared" si="822"/>
        <v>5880</v>
      </c>
      <c r="G4113" s="18"/>
      <c r="H4113" s="18"/>
      <c r="I4113" s="19">
        <v>4111</v>
      </c>
      <c r="J4113" s="19" cm="1">
        <f t="array" aca="1" ref="J4113" ca="1">INDIRECT("b"&amp;K4113+2)</f>
        <v>0</v>
      </c>
      <c r="K4113" s="19">
        <f t="shared" si="833"/>
        <v>7080</v>
      </c>
    </row>
    <row r="4114" spans="1:11">
      <c r="A4114">
        <v>4112</v>
      </c>
      <c r="B4114">
        <v>7.75E+124</v>
      </c>
      <c r="D4114" s="18">
        <v>4112</v>
      </c>
      <c r="E4114" s="18" cm="1">
        <f t="array" aca="1" ref="E4114" ca="1">INDIRECT("b"&amp;F4114+2)</f>
        <v>9.7750000000000005E+168</v>
      </c>
      <c r="F4114" s="18">
        <f t="shared" si="822"/>
        <v>5881</v>
      </c>
      <c r="G4114" s="18"/>
      <c r="H4114" s="18"/>
      <c r="I4114" s="19">
        <v>4112</v>
      </c>
      <c r="J4114" s="19" cm="1">
        <f t="array" aca="1" ref="J4114" ca="1">INDIRECT("b"&amp;K4114+2)</f>
        <v>0</v>
      </c>
      <c r="K4114" s="19">
        <f t="shared" si="833"/>
        <v>7081</v>
      </c>
    </row>
    <row r="4115" spans="1:11">
      <c r="A4115">
        <v>4113</v>
      </c>
      <c r="B4115">
        <v>7.9750000000000005E+124</v>
      </c>
      <c r="D4115" s="18">
        <v>4113</v>
      </c>
      <c r="E4115" s="18" cm="1">
        <f t="array" aca="1" ref="E4115" ca="1">INDIRECT("b"&amp;F4115+2)</f>
        <v>1.0000000000000001E+169</v>
      </c>
      <c r="F4115" s="18">
        <f t="shared" ref="F4115:F4178" si="836">INT((A4115-123)*1.333333)+563</f>
        <v>5882</v>
      </c>
      <c r="G4115" s="18">
        <f t="shared" ref="G4115" ca="1" si="837">E4115/E4110</f>
        <v>1.1560693641618498</v>
      </c>
      <c r="H4115" s="18"/>
      <c r="I4115" s="19">
        <v>4113</v>
      </c>
      <c r="J4115" s="19" cm="1">
        <f t="array" aca="1" ref="J4115" ca="1">INDIRECT("b"&amp;K4115+2)</f>
        <v>0</v>
      </c>
      <c r="K4115" s="19">
        <f t="shared" si="833"/>
        <v>7082</v>
      </c>
    </row>
    <row r="4116" spans="1:11">
      <c r="A4116">
        <v>4114</v>
      </c>
      <c r="B4116">
        <v>8.2E+124</v>
      </c>
      <c r="D4116" s="18">
        <v>4114</v>
      </c>
      <c r="E4116" s="18" cm="1">
        <f t="array" aca="1" ref="E4116" ca="1">INDIRECT("b"&amp;F4116+2)</f>
        <v>1.45E+169</v>
      </c>
      <c r="F4116" s="18">
        <f t="shared" si="836"/>
        <v>5884</v>
      </c>
      <c r="G4116" s="18"/>
      <c r="H4116" s="18"/>
      <c r="I4116" s="19">
        <v>4114</v>
      </c>
      <c r="J4116" s="19" cm="1">
        <f t="array" aca="1" ref="J4116" ca="1">INDIRECT("b"&amp;K4116+2)</f>
        <v>0</v>
      </c>
      <c r="K4116" s="19">
        <f t="shared" si="833"/>
        <v>7084</v>
      </c>
    </row>
    <row r="4117" spans="1:11">
      <c r="A4117">
        <v>4115</v>
      </c>
      <c r="B4117">
        <v>8.4250000000000005E+124</v>
      </c>
      <c r="D4117" s="18">
        <v>4115</v>
      </c>
      <c r="E4117" s="18" cm="1">
        <f t="array" aca="1" ref="E4117" ca="1">INDIRECT("b"&amp;F4117+2)</f>
        <v>1.6750000000000002E+169</v>
      </c>
      <c r="F4117" s="18">
        <f t="shared" si="836"/>
        <v>5885</v>
      </c>
      <c r="G4117" s="18"/>
      <c r="H4117" s="18"/>
      <c r="I4117" s="19">
        <v>4115</v>
      </c>
      <c r="J4117" s="19" cm="1">
        <f t="array" aca="1" ref="J4117" ca="1">INDIRECT("b"&amp;K4117+2)</f>
        <v>0</v>
      </c>
      <c r="K4117" s="19">
        <f t="shared" si="833"/>
        <v>7085</v>
      </c>
    </row>
    <row r="4118" spans="1:11">
      <c r="A4118">
        <v>4116</v>
      </c>
      <c r="B4118">
        <v>8.6500000000000001E+124</v>
      </c>
      <c r="D4118" s="18">
        <v>4116</v>
      </c>
      <c r="E4118" s="18" cm="1">
        <f t="array" aca="1" ref="E4118" ca="1">INDIRECT("b"&amp;F4118+2)</f>
        <v>1.9E+169</v>
      </c>
      <c r="F4118" s="18">
        <f t="shared" si="836"/>
        <v>5886</v>
      </c>
      <c r="G4118" s="18"/>
      <c r="H4118" s="18"/>
      <c r="I4118" s="19">
        <v>4116</v>
      </c>
      <c r="J4118" s="19" cm="1">
        <f t="array" aca="1" ref="J4118" ca="1">INDIRECT("b"&amp;K4118+2)</f>
        <v>0</v>
      </c>
      <c r="K4118" s="19">
        <f t="shared" si="833"/>
        <v>7086</v>
      </c>
    </row>
    <row r="4119" spans="1:11">
      <c r="A4119">
        <v>4117</v>
      </c>
      <c r="B4119">
        <v>8.8749999999999996E+124</v>
      </c>
      <c r="D4119" s="18">
        <v>4117</v>
      </c>
      <c r="E4119" s="18" cm="1">
        <f t="array" aca="1" ref="E4119" ca="1">INDIRECT("b"&amp;F4119+2)</f>
        <v>2.3500000000000002E+169</v>
      </c>
      <c r="F4119" s="18">
        <f t="shared" si="836"/>
        <v>5888</v>
      </c>
      <c r="G4119" s="18"/>
      <c r="H4119" s="18"/>
      <c r="I4119" s="19">
        <v>4117</v>
      </c>
      <c r="J4119" s="19" cm="1">
        <f t="array" aca="1" ref="J4119" ca="1">INDIRECT("b"&amp;K4119+2)</f>
        <v>0</v>
      </c>
      <c r="K4119" s="19">
        <f t="shared" si="833"/>
        <v>7088</v>
      </c>
    </row>
    <row r="4120" spans="1:11">
      <c r="A4120">
        <v>4118</v>
      </c>
      <c r="B4120">
        <v>9.100000000000001E+124</v>
      </c>
      <c r="D4120" s="18">
        <v>4118</v>
      </c>
      <c r="E4120" s="18" cm="1">
        <f t="array" aca="1" ref="E4120" ca="1">INDIRECT("b"&amp;F4120+2)</f>
        <v>2.575E+169</v>
      </c>
      <c r="F4120" s="18">
        <f t="shared" si="836"/>
        <v>5889</v>
      </c>
      <c r="G4120" s="18">
        <f t="shared" ref="G4120" ca="1" si="838">E4120/E4115</f>
        <v>2.5749999999999997</v>
      </c>
      <c r="H4120" s="18"/>
      <c r="I4120" s="19">
        <v>4118</v>
      </c>
      <c r="J4120" s="19" cm="1">
        <f t="array" aca="1" ref="J4120" ca="1">INDIRECT("b"&amp;K4120+2)</f>
        <v>0</v>
      </c>
      <c r="K4120" s="19">
        <f t="shared" si="833"/>
        <v>7089</v>
      </c>
    </row>
    <row r="4121" spans="1:11">
      <c r="A4121">
        <v>4119</v>
      </c>
      <c r="B4121">
        <v>9.3250000000000006E+124</v>
      </c>
      <c r="D4121" s="18">
        <v>4119</v>
      </c>
      <c r="E4121" s="18" cm="1">
        <f t="array" aca="1" ref="E4121" ca="1">INDIRECT("b"&amp;F4121+2)</f>
        <v>2.8000000000000002E+169</v>
      </c>
      <c r="F4121" s="18">
        <f t="shared" si="836"/>
        <v>5890</v>
      </c>
      <c r="G4121" s="18"/>
      <c r="H4121" s="18"/>
      <c r="I4121" s="19">
        <v>4119</v>
      </c>
      <c r="J4121" s="19" cm="1">
        <f t="array" aca="1" ref="J4121" ca="1">INDIRECT("b"&amp;K4121+2)</f>
        <v>0</v>
      </c>
      <c r="K4121" s="19">
        <f t="shared" si="833"/>
        <v>7090</v>
      </c>
    </row>
    <row r="4122" spans="1:11">
      <c r="A4122">
        <v>4120</v>
      </c>
      <c r="B4122">
        <v>9.5500000000000001E+124</v>
      </c>
      <c r="D4122" s="18">
        <v>4120</v>
      </c>
      <c r="E4122" s="18" cm="1">
        <f t="array" aca="1" ref="E4122" ca="1">INDIRECT("b"&amp;F4122+2)</f>
        <v>3.2500000000000004E+169</v>
      </c>
      <c r="F4122" s="18">
        <f t="shared" si="836"/>
        <v>5892</v>
      </c>
      <c r="G4122" s="18"/>
      <c r="H4122" s="18"/>
      <c r="I4122" s="19">
        <v>4120</v>
      </c>
      <c r="J4122" s="19" cm="1">
        <f t="array" aca="1" ref="J4122" ca="1">INDIRECT("b"&amp;K4122+2)</f>
        <v>0</v>
      </c>
      <c r="K4122" s="19">
        <f t="shared" si="833"/>
        <v>7092</v>
      </c>
    </row>
    <row r="4123" spans="1:11">
      <c r="A4123">
        <v>4121</v>
      </c>
      <c r="B4123">
        <v>9.7749999999999997E+124</v>
      </c>
      <c r="D4123" s="18">
        <v>4121</v>
      </c>
      <c r="E4123" s="18" cm="1">
        <f t="array" aca="1" ref="E4123" ca="1">INDIRECT("b"&amp;F4123+2)</f>
        <v>3.4750000000000002E+169</v>
      </c>
      <c r="F4123" s="18">
        <f t="shared" si="836"/>
        <v>5893</v>
      </c>
      <c r="G4123" s="18"/>
      <c r="H4123" s="18"/>
      <c r="I4123" s="19">
        <v>4121</v>
      </c>
      <c r="J4123" s="19" cm="1">
        <f t="array" aca="1" ref="J4123" ca="1">INDIRECT("b"&amp;K4123+2)</f>
        <v>0</v>
      </c>
      <c r="K4123" s="19">
        <f t="shared" si="833"/>
        <v>7093</v>
      </c>
    </row>
    <row r="4124" spans="1:11">
      <c r="A4124">
        <v>4122</v>
      </c>
      <c r="B4124">
        <v>1.0000000000000001E+125</v>
      </c>
      <c r="D4124" s="18">
        <v>4122</v>
      </c>
      <c r="E4124" s="18" cm="1">
        <f t="array" aca="1" ref="E4124" ca="1">INDIRECT("b"&amp;F4124+2)</f>
        <v>3.7E+169</v>
      </c>
      <c r="F4124" s="18">
        <f t="shared" si="836"/>
        <v>5894</v>
      </c>
      <c r="G4124" s="18"/>
      <c r="H4124" s="18"/>
      <c r="I4124" s="19">
        <v>4122</v>
      </c>
      <c r="J4124" s="19" cm="1">
        <f t="array" aca="1" ref="J4124" ca="1">INDIRECT("b"&amp;K4124+2)</f>
        <v>0</v>
      </c>
      <c r="K4124" s="19">
        <f t="shared" si="833"/>
        <v>7094</v>
      </c>
    </row>
    <row r="4125" spans="1:11">
      <c r="A4125">
        <v>4123</v>
      </c>
      <c r="B4125">
        <v>1.225E+125</v>
      </c>
      <c r="D4125" s="18">
        <v>4123</v>
      </c>
      <c r="E4125" s="18" cm="1">
        <f t="array" aca="1" ref="E4125" ca="1">INDIRECT("b"&amp;F4125+2)</f>
        <v>4.1500000000000003E+169</v>
      </c>
      <c r="F4125" s="18">
        <f t="shared" si="836"/>
        <v>5896</v>
      </c>
      <c r="G4125" s="18">
        <f t="shared" ref="G4125" ca="1" si="839">E4125/E4120</f>
        <v>1.6116504854368934</v>
      </c>
      <c r="H4125" s="18"/>
      <c r="I4125" s="19">
        <v>4123</v>
      </c>
      <c r="J4125" s="19" cm="1">
        <f t="array" aca="1" ref="J4125" ca="1">INDIRECT("b"&amp;K4125+2)</f>
        <v>0</v>
      </c>
      <c r="K4125" s="19">
        <f t="shared" si="833"/>
        <v>7096</v>
      </c>
    </row>
    <row r="4126" spans="1:11">
      <c r="A4126">
        <v>4124</v>
      </c>
      <c r="B4126">
        <v>1.4500000000000002E+125</v>
      </c>
      <c r="D4126" s="18">
        <v>4124</v>
      </c>
      <c r="E4126" s="18" cm="1">
        <f t="array" aca="1" ref="E4126" ca="1">INDIRECT("b"&amp;F4126+2)</f>
        <v>4.3750000000000001E+169</v>
      </c>
      <c r="F4126" s="18">
        <f t="shared" si="836"/>
        <v>5897</v>
      </c>
      <c r="G4126" s="18"/>
      <c r="H4126" s="18"/>
      <c r="I4126" s="19">
        <v>4124</v>
      </c>
      <c r="J4126" s="19" cm="1">
        <f t="array" aca="1" ref="J4126" ca="1">INDIRECT("b"&amp;K4126+2)</f>
        <v>0</v>
      </c>
      <c r="K4126" s="19">
        <f t="shared" si="833"/>
        <v>7097</v>
      </c>
    </row>
    <row r="4127" spans="1:11">
      <c r="A4127">
        <v>4125</v>
      </c>
      <c r="B4127">
        <v>1.6750000000000001E+125</v>
      </c>
      <c r="D4127" s="18">
        <v>4125</v>
      </c>
      <c r="E4127" s="18" cm="1">
        <f t="array" aca="1" ref="E4127" ca="1">INDIRECT("b"&amp;F4127+2)</f>
        <v>4.5999999999999999E+169</v>
      </c>
      <c r="F4127" s="18">
        <f t="shared" si="836"/>
        <v>5898</v>
      </c>
      <c r="G4127" s="18"/>
      <c r="H4127" s="18"/>
      <c r="I4127" s="19">
        <v>4125</v>
      </c>
      <c r="J4127" s="19" cm="1">
        <f t="array" aca="1" ref="J4127" ca="1">INDIRECT("b"&amp;K4127+2)</f>
        <v>0</v>
      </c>
      <c r="K4127" s="19">
        <f t="shared" si="833"/>
        <v>7098</v>
      </c>
    </row>
    <row r="4128" spans="1:11">
      <c r="A4128">
        <v>4126</v>
      </c>
      <c r="B4128">
        <v>1.9E+125</v>
      </c>
      <c r="D4128" s="18">
        <v>4126</v>
      </c>
      <c r="E4128" s="18" cm="1">
        <f t="array" aca="1" ref="E4128" ca="1">INDIRECT("b"&amp;F4128+2)</f>
        <v>5.0500000000000001E+169</v>
      </c>
      <c r="F4128" s="18">
        <f t="shared" si="836"/>
        <v>5900</v>
      </c>
      <c r="G4128" s="18"/>
      <c r="H4128" s="18"/>
      <c r="I4128" s="19">
        <v>4126</v>
      </c>
      <c r="J4128" s="19" cm="1">
        <f t="array" aca="1" ref="J4128" ca="1">INDIRECT("b"&amp;K4128+2)</f>
        <v>0</v>
      </c>
      <c r="K4128" s="19">
        <f t="shared" si="833"/>
        <v>7100</v>
      </c>
    </row>
    <row r="4129" spans="1:11">
      <c r="A4129">
        <v>4127</v>
      </c>
      <c r="B4129">
        <v>2.1249999999999999E+125</v>
      </c>
      <c r="D4129" s="18">
        <v>4127</v>
      </c>
      <c r="E4129" s="18" cm="1">
        <f t="array" aca="1" ref="E4129" ca="1">INDIRECT("b"&amp;F4129+2)</f>
        <v>5.2749999999999999E+169</v>
      </c>
      <c r="F4129" s="18">
        <f t="shared" si="836"/>
        <v>5901</v>
      </c>
      <c r="G4129" s="18"/>
      <c r="H4129" s="18"/>
      <c r="I4129" s="19">
        <v>4127</v>
      </c>
      <c r="J4129" s="19" cm="1">
        <f t="array" aca="1" ref="J4129" ca="1">INDIRECT("b"&amp;K4129+2)</f>
        <v>0</v>
      </c>
      <c r="K4129" s="19">
        <f t="shared" si="833"/>
        <v>7101</v>
      </c>
    </row>
    <row r="4130" spans="1:11">
      <c r="A4130">
        <v>4128</v>
      </c>
      <c r="B4130">
        <v>2.3500000000000002E+125</v>
      </c>
      <c r="D4130" s="18">
        <v>4128</v>
      </c>
      <c r="E4130" s="18" cm="1">
        <f t="array" aca="1" ref="E4130" ca="1">INDIRECT("b"&amp;F4130+2)</f>
        <v>5.5000000000000004E+169</v>
      </c>
      <c r="F4130" s="18">
        <f t="shared" si="836"/>
        <v>5902</v>
      </c>
      <c r="G4130" s="18">
        <f t="shared" ref="G4130" ca="1" si="840">E4130/E4125</f>
        <v>1.3253012048192772</v>
      </c>
      <c r="H4130" s="18"/>
      <c r="I4130" s="19">
        <v>4128</v>
      </c>
      <c r="J4130" s="19" cm="1">
        <f t="array" aca="1" ref="J4130" ca="1">INDIRECT("b"&amp;K4130+2)</f>
        <v>0</v>
      </c>
      <c r="K4130" s="19">
        <f t="shared" si="833"/>
        <v>7102</v>
      </c>
    </row>
    <row r="4131" spans="1:11">
      <c r="A4131">
        <v>4129</v>
      </c>
      <c r="B4131">
        <v>2.5750000000000002E+125</v>
      </c>
      <c r="D4131" s="18">
        <v>4129</v>
      </c>
      <c r="E4131" s="18" cm="1">
        <f t="array" aca="1" ref="E4131" ca="1">INDIRECT("b"&amp;F4131+2)</f>
        <v>5.95E+169</v>
      </c>
      <c r="F4131" s="18">
        <f t="shared" si="836"/>
        <v>5904</v>
      </c>
      <c r="G4131" s="18"/>
      <c r="H4131" s="18"/>
      <c r="I4131" s="19">
        <v>4129</v>
      </c>
      <c r="J4131" s="19" cm="1">
        <f t="array" aca="1" ref="J4131" ca="1">INDIRECT("b"&amp;K4131+2)</f>
        <v>0</v>
      </c>
      <c r="K4131" s="19">
        <f t="shared" si="833"/>
        <v>7104</v>
      </c>
    </row>
    <row r="4132" spans="1:11">
      <c r="A4132">
        <v>4130</v>
      </c>
      <c r="B4132">
        <v>2.8000000000000001E+125</v>
      </c>
      <c r="D4132" s="18">
        <v>4130</v>
      </c>
      <c r="E4132" s="18" cm="1">
        <f t="array" aca="1" ref="E4132" ca="1">INDIRECT("b"&amp;F4132+2)</f>
        <v>6.1750000000000005E+169</v>
      </c>
      <c r="F4132" s="18">
        <f t="shared" si="836"/>
        <v>5905</v>
      </c>
      <c r="G4132" s="18"/>
      <c r="H4132" s="18"/>
      <c r="I4132" s="19">
        <v>4130</v>
      </c>
      <c r="J4132" s="19" cm="1">
        <f t="array" aca="1" ref="J4132" ca="1">INDIRECT("b"&amp;K4132+2)</f>
        <v>0</v>
      </c>
      <c r="K4132" s="19">
        <f t="shared" si="833"/>
        <v>7105</v>
      </c>
    </row>
    <row r="4133" spans="1:11">
      <c r="A4133">
        <v>4131</v>
      </c>
      <c r="B4133">
        <v>3.025E+125</v>
      </c>
      <c r="D4133" s="18">
        <v>4131</v>
      </c>
      <c r="E4133" s="18" cm="1">
        <f t="array" aca="1" ref="E4133" ca="1">INDIRECT("b"&amp;F4133+2)</f>
        <v>6.3999999999999996E+169</v>
      </c>
      <c r="F4133" s="18">
        <f t="shared" si="836"/>
        <v>5906</v>
      </c>
      <c r="G4133" s="18"/>
      <c r="H4133" s="18"/>
      <c r="I4133" s="19">
        <v>4131</v>
      </c>
      <c r="J4133" s="19" cm="1">
        <f t="array" aca="1" ref="J4133" ca="1">INDIRECT("b"&amp;K4133+2)</f>
        <v>0</v>
      </c>
      <c r="K4133" s="19">
        <f t="shared" si="833"/>
        <v>7106</v>
      </c>
    </row>
    <row r="4134" spans="1:11">
      <c r="A4134">
        <v>4132</v>
      </c>
      <c r="B4134">
        <v>3.2500000000000003E+125</v>
      </c>
      <c r="D4134" s="18">
        <v>4132</v>
      </c>
      <c r="E4134" s="18" cm="1">
        <f t="array" aca="1" ref="E4134" ca="1">INDIRECT("b"&amp;F4134+2)</f>
        <v>6.8500000000000005E+169</v>
      </c>
      <c r="F4134" s="18">
        <f t="shared" si="836"/>
        <v>5908</v>
      </c>
      <c r="G4134" s="18"/>
      <c r="H4134" s="18"/>
      <c r="I4134" s="19">
        <v>4132</v>
      </c>
      <c r="J4134" s="19" cm="1">
        <f t="array" aca="1" ref="J4134" ca="1">INDIRECT("b"&amp;K4134+2)</f>
        <v>0</v>
      </c>
      <c r="K4134" s="19">
        <f t="shared" si="833"/>
        <v>7108</v>
      </c>
    </row>
    <row r="4135" spans="1:11">
      <c r="A4135">
        <v>4133</v>
      </c>
      <c r="B4135">
        <v>3.4749999999999999E+125</v>
      </c>
      <c r="D4135" s="18">
        <v>4133</v>
      </c>
      <c r="E4135" s="18" cm="1">
        <f t="array" aca="1" ref="E4135" ca="1">INDIRECT("b"&amp;F4135+2)</f>
        <v>7.0749999999999996E+169</v>
      </c>
      <c r="F4135" s="18">
        <f t="shared" si="836"/>
        <v>5909</v>
      </c>
      <c r="G4135" s="18">
        <f t="shared" ref="G4135" ca="1" si="841">E4135/E4130</f>
        <v>1.2863636363636362</v>
      </c>
      <c r="H4135" s="18"/>
      <c r="I4135" s="19">
        <v>4133</v>
      </c>
      <c r="J4135" s="19" cm="1">
        <f t="array" aca="1" ref="J4135" ca="1">INDIRECT("b"&amp;K4135+2)</f>
        <v>0</v>
      </c>
      <c r="K4135" s="19">
        <f t="shared" si="833"/>
        <v>7109</v>
      </c>
    </row>
    <row r="4136" spans="1:11">
      <c r="A4136">
        <v>4134</v>
      </c>
      <c r="B4136">
        <v>3.7000000000000005E+125</v>
      </c>
      <c r="D4136" s="18">
        <v>4134</v>
      </c>
      <c r="E4136" s="18" cm="1">
        <f t="array" aca="1" ref="E4136" ca="1">INDIRECT("b"&amp;F4136+2)</f>
        <v>7.3000000000000001E+169</v>
      </c>
      <c r="F4136" s="18">
        <f t="shared" si="836"/>
        <v>5910</v>
      </c>
      <c r="G4136" s="18"/>
      <c r="H4136" s="18"/>
      <c r="I4136" s="19">
        <v>4134</v>
      </c>
      <c r="J4136" s="19" cm="1">
        <f t="array" aca="1" ref="J4136" ca="1">INDIRECT("b"&amp;K4136+2)</f>
        <v>0</v>
      </c>
      <c r="K4136" s="19">
        <f t="shared" si="833"/>
        <v>7110</v>
      </c>
    </row>
    <row r="4137" spans="1:11">
      <c r="A4137">
        <v>4135</v>
      </c>
      <c r="B4137">
        <v>3.9250000000000005E+125</v>
      </c>
      <c r="D4137" s="18">
        <v>4135</v>
      </c>
      <c r="E4137" s="18" cm="1">
        <f t="array" aca="1" ref="E4137" ca="1">INDIRECT("b"&amp;F4137+2)</f>
        <v>7.7499999999999997E+169</v>
      </c>
      <c r="F4137" s="18">
        <f t="shared" si="836"/>
        <v>5912</v>
      </c>
      <c r="G4137" s="18"/>
      <c r="H4137" s="18"/>
      <c r="I4137" s="19">
        <v>4135</v>
      </c>
      <c r="J4137" s="19" cm="1">
        <f t="array" aca="1" ref="J4137" ca="1">INDIRECT("b"&amp;K4137+2)</f>
        <v>0</v>
      </c>
      <c r="K4137" s="19">
        <f t="shared" si="833"/>
        <v>7112</v>
      </c>
    </row>
    <row r="4138" spans="1:11">
      <c r="A4138">
        <v>4136</v>
      </c>
      <c r="B4138">
        <v>4.1500000000000004E+125</v>
      </c>
      <c r="D4138" s="18">
        <v>4136</v>
      </c>
      <c r="E4138" s="18" cm="1">
        <f t="array" aca="1" ref="E4138" ca="1">INDIRECT("b"&amp;F4138+2)</f>
        <v>7.9750000000000002E+169</v>
      </c>
      <c r="F4138" s="18">
        <f t="shared" si="836"/>
        <v>5913</v>
      </c>
      <c r="G4138" s="18"/>
      <c r="H4138" s="18"/>
      <c r="I4138" s="19">
        <v>4136</v>
      </c>
      <c r="J4138" s="19" cm="1">
        <f t="array" aca="1" ref="J4138" ca="1">INDIRECT("b"&amp;K4138+2)</f>
        <v>0</v>
      </c>
      <c r="K4138" s="19">
        <f t="shared" si="833"/>
        <v>7113</v>
      </c>
    </row>
    <row r="4139" spans="1:11">
      <c r="A4139">
        <v>4137</v>
      </c>
      <c r="B4139">
        <v>4.3750000000000003E+125</v>
      </c>
      <c r="D4139" s="18">
        <v>4137</v>
      </c>
      <c r="E4139" s="18" cm="1">
        <f t="array" aca="1" ref="E4139" ca="1">INDIRECT("b"&amp;F4139+2)</f>
        <v>8.2000000000000006E+169</v>
      </c>
      <c r="F4139" s="18">
        <f t="shared" si="836"/>
        <v>5914</v>
      </c>
      <c r="G4139" s="18"/>
      <c r="H4139" s="18"/>
      <c r="I4139" s="19">
        <v>4137</v>
      </c>
      <c r="J4139" s="19" cm="1">
        <f t="array" aca="1" ref="J4139" ca="1">INDIRECT("b"&amp;K4139+2)</f>
        <v>0</v>
      </c>
      <c r="K4139" s="19">
        <f t="shared" si="833"/>
        <v>7114</v>
      </c>
    </row>
    <row r="4140" spans="1:11">
      <c r="A4140">
        <v>4138</v>
      </c>
      <c r="B4140">
        <v>4.6000000000000003E+125</v>
      </c>
      <c r="D4140" s="18">
        <v>4138</v>
      </c>
      <c r="E4140" s="18" cm="1">
        <f t="array" aca="1" ref="E4140" ca="1">INDIRECT("b"&amp;F4140+2)</f>
        <v>8.6500000000000002E+169</v>
      </c>
      <c r="F4140" s="18">
        <f t="shared" si="836"/>
        <v>5916</v>
      </c>
      <c r="G4140" s="18">
        <f t="shared" ref="G4140" ca="1" si="842">E4140/E4135</f>
        <v>1.2226148409893993</v>
      </c>
      <c r="H4140" s="18"/>
      <c r="I4140" s="19">
        <v>4138</v>
      </c>
      <c r="J4140" s="19" cm="1">
        <f t="array" aca="1" ref="J4140" ca="1">INDIRECT("b"&amp;K4140+2)</f>
        <v>0</v>
      </c>
      <c r="K4140" s="19">
        <f t="shared" si="833"/>
        <v>7116</v>
      </c>
    </row>
    <row r="4141" spans="1:11">
      <c r="A4141">
        <v>4139</v>
      </c>
      <c r="B4141">
        <v>4.8250000000000002E+125</v>
      </c>
      <c r="D4141" s="18">
        <v>4139</v>
      </c>
      <c r="E4141" s="18" cm="1">
        <f t="array" aca="1" ref="E4141" ca="1">INDIRECT("b"&amp;F4141+2)</f>
        <v>8.8750000000000007E+169</v>
      </c>
      <c r="F4141" s="18">
        <f t="shared" si="836"/>
        <v>5917</v>
      </c>
      <c r="G4141" s="18"/>
      <c r="H4141" s="18"/>
      <c r="I4141" s="19">
        <v>4139</v>
      </c>
      <c r="J4141" s="19" cm="1">
        <f t="array" aca="1" ref="J4141" ca="1">INDIRECT("b"&amp;K4141+2)</f>
        <v>0</v>
      </c>
      <c r="K4141" s="19">
        <f t="shared" si="833"/>
        <v>7117</v>
      </c>
    </row>
    <row r="4142" spans="1:11">
      <c r="A4142">
        <v>4140</v>
      </c>
      <c r="B4142">
        <v>5.0500000000000001E+125</v>
      </c>
      <c r="D4142" s="18">
        <v>4140</v>
      </c>
      <c r="E4142" s="18" cm="1">
        <f t="array" aca="1" ref="E4142" ca="1">INDIRECT("b"&amp;F4142+2)</f>
        <v>9.0999999999999998E+169</v>
      </c>
      <c r="F4142" s="18">
        <f t="shared" si="836"/>
        <v>5918</v>
      </c>
      <c r="G4142" s="18"/>
      <c r="H4142" s="18"/>
      <c r="I4142" s="19">
        <v>4140</v>
      </c>
      <c r="J4142" s="19" cm="1">
        <f t="array" aca="1" ref="J4142" ca="1">INDIRECT("b"&amp;K4142+2)</f>
        <v>0</v>
      </c>
      <c r="K4142" s="19">
        <f t="shared" si="833"/>
        <v>7118</v>
      </c>
    </row>
    <row r="4143" spans="1:11">
      <c r="A4143">
        <v>4141</v>
      </c>
      <c r="B4143">
        <v>5.275E+125</v>
      </c>
      <c r="D4143" s="18">
        <v>4141</v>
      </c>
      <c r="E4143" s="18" cm="1">
        <f t="array" aca="1" ref="E4143" ca="1">INDIRECT("b"&amp;F4143+2)</f>
        <v>9.5500000000000008E+169</v>
      </c>
      <c r="F4143" s="18">
        <f t="shared" si="836"/>
        <v>5920</v>
      </c>
      <c r="G4143" s="18"/>
      <c r="H4143" s="18"/>
      <c r="I4143" s="19">
        <v>4141</v>
      </c>
      <c r="J4143" s="19" cm="1">
        <f t="array" aca="1" ref="J4143" ca="1">INDIRECT("b"&amp;K4143+2)</f>
        <v>0</v>
      </c>
      <c r="K4143" s="19">
        <f t="shared" si="833"/>
        <v>7120</v>
      </c>
    </row>
    <row r="4144" spans="1:11">
      <c r="A4144">
        <v>4142</v>
      </c>
      <c r="B4144">
        <v>5.5E+125</v>
      </c>
      <c r="D4144" s="18">
        <v>4142</v>
      </c>
      <c r="E4144" s="18" cm="1">
        <f t="array" aca="1" ref="E4144" ca="1">INDIRECT("b"&amp;F4144+2)</f>
        <v>9.7749999999999999E+169</v>
      </c>
      <c r="F4144" s="18">
        <f t="shared" si="836"/>
        <v>5921</v>
      </c>
      <c r="G4144" s="18"/>
      <c r="H4144" s="18"/>
      <c r="I4144" s="19">
        <v>4142</v>
      </c>
      <c r="J4144" s="19" cm="1">
        <f t="array" aca="1" ref="J4144" ca="1">INDIRECT("b"&amp;K4144+2)</f>
        <v>0</v>
      </c>
      <c r="K4144" s="19">
        <f t="shared" si="833"/>
        <v>7121</v>
      </c>
    </row>
    <row r="4145" spans="1:11">
      <c r="A4145">
        <v>4143</v>
      </c>
      <c r="B4145">
        <v>5.7250000000000006E+125</v>
      </c>
      <c r="D4145" s="18">
        <v>4143</v>
      </c>
      <c r="E4145" s="18" cm="1">
        <f t="array" aca="1" ref="E4145" ca="1">INDIRECT("b"&amp;F4145+2)</f>
        <v>9.999999999999999E+169</v>
      </c>
      <c r="F4145" s="18">
        <f t="shared" si="836"/>
        <v>5922</v>
      </c>
      <c r="G4145" s="18">
        <f t="shared" ref="G4145" ca="1" si="843">E4145/E4140</f>
        <v>1.1560693641618496</v>
      </c>
      <c r="H4145" s="18"/>
      <c r="I4145" s="19">
        <v>4143</v>
      </c>
      <c r="J4145" s="19" cm="1">
        <f t="array" aca="1" ref="J4145" ca="1">INDIRECT("b"&amp;K4145+2)</f>
        <v>0</v>
      </c>
      <c r="K4145" s="19">
        <f t="shared" si="833"/>
        <v>7122</v>
      </c>
    </row>
    <row r="4146" spans="1:11">
      <c r="A4146">
        <v>4144</v>
      </c>
      <c r="B4146">
        <v>5.9500000000000006E+125</v>
      </c>
      <c r="D4146" s="18">
        <v>4144</v>
      </c>
      <c r="E4146" s="18" cm="1">
        <f t="array" aca="1" ref="E4146" ca="1">INDIRECT("b"&amp;F4146+2)</f>
        <v>1.45E+170</v>
      </c>
      <c r="F4146" s="18">
        <f t="shared" si="836"/>
        <v>5924</v>
      </c>
      <c r="G4146" s="18"/>
      <c r="H4146" s="18"/>
      <c r="I4146" s="19">
        <v>4144</v>
      </c>
      <c r="J4146" s="19" cm="1">
        <f t="array" aca="1" ref="J4146" ca="1">INDIRECT("b"&amp;K4146+2)</f>
        <v>0</v>
      </c>
      <c r="K4146" s="19">
        <f t="shared" si="833"/>
        <v>7124</v>
      </c>
    </row>
    <row r="4147" spans="1:11">
      <c r="A4147">
        <v>4145</v>
      </c>
      <c r="B4147">
        <v>6.1750000000000005E+125</v>
      </c>
      <c r="D4147" s="18">
        <v>4145</v>
      </c>
      <c r="E4147" s="18" cm="1">
        <f t="array" aca="1" ref="E4147" ca="1">INDIRECT("b"&amp;F4147+2)</f>
        <v>1.675E+170</v>
      </c>
      <c r="F4147" s="18">
        <f t="shared" si="836"/>
        <v>5925</v>
      </c>
      <c r="G4147" s="18"/>
      <c r="H4147" s="18"/>
      <c r="I4147" s="19">
        <v>4145</v>
      </c>
      <c r="J4147" s="19" cm="1">
        <f t="array" aca="1" ref="J4147" ca="1">INDIRECT("b"&amp;K4147+2)</f>
        <v>0</v>
      </c>
      <c r="K4147" s="19">
        <f t="shared" si="833"/>
        <v>7125</v>
      </c>
    </row>
    <row r="4148" spans="1:11">
      <c r="A4148">
        <v>4146</v>
      </c>
      <c r="B4148">
        <v>6.4000000000000004E+125</v>
      </c>
      <c r="D4148" s="18">
        <v>4146</v>
      </c>
      <c r="E4148" s="18" cm="1">
        <f t="array" aca="1" ref="E4148" ca="1">INDIRECT("b"&amp;F4148+2)</f>
        <v>1.8999999999999999E+170</v>
      </c>
      <c r="F4148" s="18">
        <f t="shared" si="836"/>
        <v>5926</v>
      </c>
      <c r="G4148" s="18"/>
      <c r="H4148" s="18"/>
      <c r="I4148" s="19">
        <v>4146</v>
      </c>
      <c r="J4148" s="19" cm="1">
        <f t="array" aca="1" ref="J4148" ca="1">INDIRECT("b"&amp;K4148+2)</f>
        <v>0</v>
      </c>
      <c r="K4148" s="19">
        <f t="shared" si="833"/>
        <v>7126</v>
      </c>
    </row>
    <row r="4149" spans="1:11">
      <c r="A4149">
        <v>4147</v>
      </c>
      <c r="B4149">
        <v>6.6250000000000003E+125</v>
      </c>
      <c r="D4149" s="18">
        <v>4147</v>
      </c>
      <c r="E4149" s="18" cm="1">
        <f t="array" aca="1" ref="E4149" ca="1">INDIRECT("b"&amp;F4149+2)</f>
        <v>2.3499999999999998E+170</v>
      </c>
      <c r="F4149" s="18">
        <f t="shared" si="836"/>
        <v>5928</v>
      </c>
      <c r="G4149" s="18"/>
      <c r="H4149" s="18"/>
      <c r="I4149" s="19">
        <v>4147</v>
      </c>
      <c r="J4149" s="19" cm="1">
        <f t="array" aca="1" ref="J4149" ca="1">INDIRECT("b"&amp;K4149+2)</f>
        <v>0</v>
      </c>
      <c r="K4149" s="19">
        <f t="shared" si="833"/>
        <v>7128</v>
      </c>
    </row>
    <row r="4150" spans="1:11">
      <c r="A4150">
        <v>4148</v>
      </c>
      <c r="B4150">
        <v>6.8500000000000003E+125</v>
      </c>
      <c r="D4150" s="18">
        <v>4148</v>
      </c>
      <c r="E4150" s="18" cm="1">
        <f t="array" aca="1" ref="E4150" ca="1">INDIRECT("b"&amp;F4150+2)</f>
        <v>2.575E+170</v>
      </c>
      <c r="F4150" s="18">
        <f t="shared" si="836"/>
        <v>5929</v>
      </c>
      <c r="G4150" s="18">
        <f t="shared" ref="G4150" ca="1" si="844">E4150/E4145</f>
        <v>2.5750000000000002</v>
      </c>
      <c r="H4150" s="18"/>
      <c r="I4150" s="19">
        <v>4148</v>
      </c>
      <c r="J4150" s="19" cm="1">
        <f t="array" aca="1" ref="J4150" ca="1">INDIRECT("b"&amp;K4150+2)</f>
        <v>0</v>
      </c>
      <c r="K4150" s="19">
        <f t="shared" si="833"/>
        <v>7129</v>
      </c>
    </row>
    <row r="4151" spans="1:11">
      <c r="A4151">
        <v>4149</v>
      </c>
      <c r="B4151">
        <v>7.075000000000001E+125</v>
      </c>
      <c r="D4151" s="18">
        <v>4149</v>
      </c>
      <c r="E4151" s="18" cm="1">
        <f t="array" aca="1" ref="E4151" ca="1">INDIRECT("b"&amp;F4151+2)</f>
        <v>2.7999999999999996E+170</v>
      </c>
      <c r="F4151" s="18">
        <f t="shared" si="836"/>
        <v>5930</v>
      </c>
      <c r="G4151" s="18"/>
      <c r="H4151" s="18"/>
      <c r="I4151" s="19">
        <v>4149</v>
      </c>
      <c r="J4151" s="19" cm="1">
        <f t="array" aca="1" ref="J4151" ca="1">INDIRECT("b"&amp;K4151+2)</f>
        <v>0</v>
      </c>
      <c r="K4151" s="19">
        <f t="shared" si="833"/>
        <v>7130</v>
      </c>
    </row>
    <row r="4152" spans="1:11">
      <c r="A4152">
        <v>4150</v>
      </c>
      <c r="B4152">
        <v>7.3000000000000001E+125</v>
      </c>
      <c r="D4152" s="18">
        <v>4150</v>
      </c>
      <c r="E4152" s="18" cm="1">
        <f t="array" aca="1" ref="E4152" ca="1">INDIRECT("b"&amp;F4152+2)</f>
        <v>3.25E+170</v>
      </c>
      <c r="F4152" s="18">
        <f t="shared" si="836"/>
        <v>5932</v>
      </c>
      <c r="G4152" s="18"/>
      <c r="H4152" s="18"/>
      <c r="I4152" s="19">
        <v>4150</v>
      </c>
      <c r="J4152" s="19" cm="1">
        <f t="array" aca="1" ref="J4152" ca="1">INDIRECT("b"&amp;K4152+2)</f>
        <v>0</v>
      </c>
      <c r="K4152" s="19">
        <f t="shared" si="833"/>
        <v>7132</v>
      </c>
    </row>
    <row r="4153" spans="1:11">
      <c r="A4153">
        <v>4151</v>
      </c>
      <c r="B4153">
        <v>7.5250000000000008E+125</v>
      </c>
      <c r="D4153" s="18">
        <v>4151</v>
      </c>
      <c r="E4153" s="18" cm="1">
        <f t="array" aca="1" ref="E4153" ca="1">INDIRECT("b"&amp;F4153+2)</f>
        <v>3.4749999999999997E+170</v>
      </c>
      <c r="F4153" s="18">
        <f t="shared" si="836"/>
        <v>5933</v>
      </c>
      <c r="G4153" s="18"/>
      <c r="H4153" s="18"/>
      <c r="I4153" s="19">
        <v>4151</v>
      </c>
      <c r="J4153" s="19" cm="1">
        <f t="array" aca="1" ref="J4153" ca="1">INDIRECT("b"&amp;K4153+2)</f>
        <v>0</v>
      </c>
      <c r="K4153" s="19">
        <f t="shared" si="833"/>
        <v>7133</v>
      </c>
    </row>
    <row r="4154" spans="1:11">
      <c r="A4154">
        <v>4152</v>
      </c>
      <c r="B4154">
        <v>7.75E+125</v>
      </c>
      <c r="D4154" s="18">
        <v>4152</v>
      </c>
      <c r="E4154" s="18" cm="1">
        <f t="array" aca="1" ref="E4154" ca="1">INDIRECT("b"&amp;F4154+2)</f>
        <v>3.6999999999999999E+170</v>
      </c>
      <c r="F4154" s="18">
        <f t="shared" si="836"/>
        <v>5934</v>
      </c>
      <c r="G4154" s="18"/>
      <c r="H4154" s="18"/>
      <c r="I4154" s="19">
        <v>4152</v>
      </c>
      <c r="J4154" s="19" cm="1">
        <f t="array" aca="1" ref="J4154" ca="1">INDIRECT("b"&amp;K4154+2)</f>
        <v>0</v>
      </c>
      <c r="K4154" s="19">
        <f t="shared" si="833"/>
        <v>7134</v>
      </c>
    </row>
    <row r="4155" spans="1:11">
      <c r="A4155">
        <v>4153</v>
      </c>
      <c r="B4155">
        <v>7.9750000000000007E+125</v>
      </c>
      <c r="D4155" s="18">
        <v>4153</v>
      </c>
      <c r="E4155" s="18" cm="1">
        <f t="array" aca="1" ref="E4155" ca="1">INDIRECT("b"&amp;F4155+2)</f>
        <v>4.1499999999999997E+170</v>
      </c>
      <c r="F4155" s="18">
        <f t="shared" si="836"/>
        <v>5936</v>
      </c>
      <c r="G4155" s="18">
        <f t="shared" ref="G4155" ca="1" si="845">E4155/E4150</f>
        <v>1.6116504854368932</v>
      </c>
      <c r="H4155" s="18"/>
      <c r="I4155" s="19">
        <v>4153</v>
      </c>
      <c r="J4155" s="19" cm="1">
        <f t="array" aca="1" ref="J4155" ca="1">INDIRECT("b"&amp;K4155+2)</f>
        <v>0</v>
      </c>
      <c r="K4155" s="19">
        <f t="shared" si="833"/>
        <v>7136</v>
      </c>
    </row>
    <row r="4156" spans="1:11">
      <c r="A4156">
        <v>4154</v>
      </c>
      <c r="B4156">
        <v>8.1999999999999998E+125</v>
      </c>
      <c r="D4156" s="18">
        <v>4154</v>
      </c>
      <c r="E4156" s="18" cm="1">
        <f t="array" aca="1" ref="E4156" ca="1">INDIRECT("b"&amp;F4156+2)</f>
        <v>4.3749999999999999E+170</v>
      </c>
      <c r="F4156" s="18">
        <f t="shared" si="836"/>
        <v>5937</v>
      </c>
      <c r="G4156" s="18"/>
      <c r="H4156" s="18"/>
      <c r="I4156" s="19">
        <v>4154</v>
      </c>
      <c r="J4156" s="19" cm="1">
        <f t="array" aca="1" ref="J4156" ca="1">INDIRECT("b"&amp;K4156+2)</f>
        <v>0</v>
      </c>
      <c r="K4156" s="19">
        <f t="shared" si="833"/>
        <v>7137</v>
      </c>
    </row>
    <row r="4157" spans="1:11">
      <c r="A4157">
        <v>4155</v>
      </c>
      <c r="B4157">
        <v>8.4250000000000005E+125</v>
      </c>
      <c r="D4157" s="18">
        <v>4155</v>
      </c>
      <c r="E4157" s="18" cm="1">
        <f t="array" aca="1" ref="E4157" ca="1">INDIRECT("b"&amp;F4157+2)</f>
        <v>4.5999999999999996E+170</v>
      </c>
      <c r="F4157" s="18">
        <f t="shared" si="836"/>
        <v>5938</v>
      </c>
      <c r="G4157" s="18"/>
      <c r="H4157" s="18"/>
      <c r="I4157" s="19">
        <v>4155</v>
      </c>
      <c r="J4157" s="19" cm="1">
        <f t="array" aca="1" ref="J4157" ca="1">INDIRECT("b"&amp;K4157+2)</f>
        <v>0</v>
      </c>
      <c r="K4157" s="19">
        <f t="shared" si="833"/>
        <v>7138</v>
      </c>
    </row>
    <row r="4158" spans="1:11">
      <c r="A4158">
        <v>4156</v>
      </c>
      <c r="B4158">
        <v>8.6499999999999997E+125</v>
      </c>
      <c r="D4158" s="18">
        <v>4156</v>
      </c>
      <c r="E4158" s="18" cm="1">
        <f t="array" aca="1" ref="E4158" ca="1">INDIRECT("b"&amp;F4158+2)</f>
        <v>5.0499999999999995E+170</v>
      </c>
      <c r="F4158" s="18">
        <f t="shared" si="836"/>
        <v>5940</v>
      </c>
      <c r="G4158" s="18"/>
      <c r="H4158" s="18"/>
      <c r="I4158" s="19">
        <v>4156</v>
      </c>
      <c r="J4158" s="19" cm="1">
        <f t="array" aca="1" ref="J4158" ca="1">INDIRECT("b"&amp;K4158+2)</f>
        <v>0</v>
      </c>
      <c r="K4158" s="19">
        <f t="shared" si="833"/>
        <v>7140</v>
      </c>
    </row>
    <row r="4159" spans="1:11">
      <c r="A4159">
        <v>4157</v>
      </c>
      <c r="B4159">
        <v>8.8750000000000004E+125</v>
      </c>
      <c r="D4159" s="18">
        <v>4157</v>
      </c>
      <c r="E4159" s="18" cm="1">
        <f t="array" aca="1" ref="E4159" ca="1">INDIRECT("b"&amp;F4159+2)</f>
        <v>5.2749999999999997E+170</v>
      </c>
      <c r="F4159" s="18">
        <f t="shared" si="836"/>
        <v>5941</v>
      </c>
      <c r="G4159" s="18"/>
      <c r="H4159" s="18"/>
      <c r="I4159" s="19">
        <v>4157</v>
      </c>
      <c r="J4159" s="19" cm="1">
        <f t="array" aca="1" ref="J4159" ca="1">INDIRECT("b"&amp;K4159+2)</f>
        <v>0</v>
      </c>
      <c r="K4159" s="19">
        <f t="shared" si="833"/>
        <v>7141</v>
      </c>
    </row>
    <row r="4160" spans="1:11">
      <c r="A4160">
        <v>4158</v>
      </c>
      <c r="B4160">
        <v>9.100000000000001E+125</v>
      </c>
      <c r="D4160" s="18">
        <v>4158</v>
      </c>
      <c r="E4160" s="18" cm="1">
        <f t="array" aca="1" ref="E4160" ca="1">INDIRECT("b"&amp;F4160+2)</f>
        <v>5.4999999999999999E+170</v>
      </c>
      <c r="F4160" s="18">
        <f t="shared" si="836"/>
        <v>5942</v>
      </c>
      <c r="G4160" s="18">
        <f t="shared" ref="G4160" ca="1" si="846">E4160/E4155</f>
        <v>1.3253012048192772</v>
      </c>
      <c r="H4160" s="18"/>
      <c r="I4160" s="19">
        <v>4158</v>
      </c>
      <c r="J4160" s="19" cm="1">
        <f t="array" aca="1" ref="J4160" ca="1">INDIRECT("b"&amp;K4160+2)</f>
        <v>0</v>
      </c>
      <c r="K4160" s="19">
        <f t="shared" si="833"/>
        <v>7142</v>
      </c>
    </row>
    <row r="4161" spans="1:11">
      <c r="A4161">
        <v>4159</v>
      </c>
      <c r="B4161">
        <v>9.3250000000000002E+125</v>
      </c>
      <c r="D4161" s="18">
        <v>4159</v>
      </c>
      <c r="E4161" s="18" cm="1">
        <f t="array" aca="1" ref="E4161" ca="1">INDIRECT("b"&amp;F4161+2)</f>
        <v>5.9499999999999992E+170</v>
      </c>
      <c r="F4161" s="18">
        <f t="shared" si="836"/>
        <v>5944</v>
      </c>
      <c r="G4161" s="18"/>
      <c r="H4161" s="18"/>
      <c r="I4161" s="19">
        <v>4159</v>
      </c>
      <c r="J4161" s="19" cm="1">
        <f t="array" aca="1" ref="J4161" ca="1">INDIRECT("b"&amp;K4161+2)</f>
        <v>0</v>
      </c>
      <c r="K4161" s="19">
        <f t="shared" si="833"/>
        <v>7144</v>
      </c>
    </row>
    <row r="4162" spans="1:11">
      <c r="A4162">
        <v>4160</v>
      </c>
      <c r="B4162">
        <v>9.5500000000000009E+125</v>
      </c>
      <c r="D4162" s="18">
        <v>4160</v>
      </c>
      <c r="E4162" s="18" cm="1">
        <f t="array" aca="1" ref="E4162" ca="1">INDIRECT("b"&amp;F4162+2)</f>
        <v>6.1749999999999994E+170</v>
      </c>
      <c r="F4162" s="18">
        <f t="shared" si="836"/>
        <v>5945</v>
      </c>
      <c r="G4162" s="18"/>
      <c r="H4162" s="18"/>
      <c r="I4162" s="19">
        <v>4160</v>
      </c>
      <c r="J4162" s="19" cm="1">
        <f t="array" aca="1" ref="J4162" ca="1">INDIRECT("b"&amp;K4162+2)</f>
        <v>0</v>
      </c>
      <c r="K4162" s="19">
        <f t="shared" si="833"/>
        <v>7145</v>
      </c>
    </row>
    <row r="4163" spans="1:11">
      <c r="A4163">
        <v>4161</v>
      </c>
      <c r="B4163">
        <v>9.7750000000000001E+125</v>
      </c>
      <c r="D4163" s="18">
        <v>4161</v>
      </c>
      <c r="E4163" s="18" cm="1">
        <f t="array" aca="1" ref="E4163" ca="1">INDIRECT("b"&amp;F4163+2)</f>
        <v>6.3999999999999996E+170</v>
      </c>
      <c r="F4163" s="18">
        <f t="shared" si="836"/>
        <v>5946</v>
      </c>
      <c r="G4163" s="18"/>
      <c r="H4163" s="18"/>
      <c r="I4163" s="19">
        <v>4161</v>
      </c>
      <c r="J4163" s="19" cm="1">
        <f t="array" aca="1" ref="J4163" ca="1">INDIRECT("b"&amp;K4163+2)</f>
        <v>0</v>
      </c>
      <c r="K4163" s="19">
        <f t="shared" si="833"/>
        <v>7146</v>
      </c>
    </row>
    <row r="4164" spans="1:11">
      <c r="A4164">
        <v>4162</v>
      </c>
      <c r="B4164">
        <v>9.9999999999999992E+125</v>
      </c>
      <c r="D4164" s="18">
        <v>4162</v>
      </c>
      <c r="E4164" s="18" cm="1">
        <f t="array" aca="1" ref="E4164" ca="1">INDIRECT("b"&amp;F4164+2)</f>
        <v>6.85E+170</v>
      </c>
      <c r="F4164" s="18">
        <f t="shared" si="836"/>
        <v>5948</v>
      </c>
      <c r="G4164" s="18"/>
      <c r="H4164" s="18"/>
      <c r="I4164" s="19">
        <v>4162</v>
      </c>
      <c r="J4164" s="19" cm="1">
        <f t="array" aca="1" ref="J4164" ca="1">INDIRECT("b"&amp;K4164+2)</f>
        <v>0</v>
      </c>
      <c r="K4164" s="19">
        <f t="shared" ref="K4164:K4227" si="847">INT((A4164-1)*40/30+900*40/30)+400</f>
        <v>7148</v>
      </c>
    </row>
    <row r="4165" spans="1:11">
      <c r="A4165">
        <v>4163</v>
      </c>
      <c r="B4165">
        <v>1.225E+126</v>
      </c>
      <c r="D4165" s="18">
        <v>4163</v>
      </c>
      <c r="E4165" s="18" cm="1">
        <f t="array" aca="1" ref="E4165" ca="1">INDIRECT("b"&amp;F4165+2)</f>
        <v>7.0749999999999991E+170</v>
      </c>
      <c r="F4165" s="18">
        <f t="shared" si="836"/>
        <v>5949</v>
      </c>
      <c r="G4165" s="18">
        <f t="shared" ref="G4165" ca="1" si="848">E4165/E4160</f>
        <v>1.2863636363636362</v>
      </c>
      <c r="H4165" s="18"/>
      <c r="I4165" s="19">
        <v>4163</v>
      </c>
      <c r="J4165" s="19" cm="1">
        <f t="array" aca="1" ref="J4165" ca="1">INDIRECT("b"&amp;K4165+2)</f>
        <v>0</v>
      </c>
      <c r="K4165" s="19">
        <f t="shared" si="847"/>
        <v>7149</v>
      </c>
    </row>
    <row r="4166" spans="1:11">
      <c r="A4166">
        <v>4164</v>
      </c>
      <c r="B4166">
        <v>1.4499999999999999E+126</v>
      </c>
      <c r="D4166" s="18">
        <v>4164</v>
      </c>
      <c r="E4166" s="18" cm="1">
        <f t="array" aca="1" ref="E4166" ca="1">INDIRECT("b"&amp;F4166+2)</f>
        <v>7.2999999999999993E+170</v>
      </c>
      <c r="F4166" s="18">
        <f t="shared" si="836"/>
        <v>5950</v>
      </c>
      <c r="G4166" s="18"/>
      <c r="H4166" s="18"/>
      <c r="I4166" s="19">
        <v>4164</v>
      </c>
      <c r="J4166" s="19" cm="1">
        <f t="array" aca="1" ref="J4166" ca="1">INDIRECT("b"&amp;K4166+2)</f>
        <v>0</v>
      </c>
      <c r="K4166" s="19">
        <f t="shared" si="847"/>
        <v>7150</v>
      </c>
    </row>
    <row r="4167" spans="1:11">
      <c r="A4167">
        <v>4165</v>
      </c>
      <c r="B4167">
        <v>1.675E+126</v>
      </c>
      <c r="D4167" s="18">
        <v>4165</v>
      </c>
      <c r="E4167" s="18" cm="1">
        <f t="array" aca="1" ref="E4167" ca="1">INDIRECT("b"&amp;F4167+2)</f>
        <v>7.7499999999999997E+170</v>
      </c>
      <c r="F4167" s="18">
        <f t="shared" si="836"/>
        <v>5952</v>
      </c>
      <c r="G4167" s="18"/>
      <c r="H4167" s="18"/>
      <c r="I4167" s="19">
        <v>4165</v>
      </c>
      <c r="J4167" s="19" cm="1">
        <f t="array" aca="1" ref="J4167" ca="1">INDIRECT("b"&amp;K4167+2)</f>
        <v>0</v>
      </c>
      <c r="K4167" s="19">
        <f t="shared" si="847"/>
        <v>7152</v>
      </c>
    </row>
    <row r="4168" spans="1:11">
      <c r="A4168">
        <v>4166</v>
      </c>
      <c r="B4168">
        <v>1.9000000000000001E+126</v>
      </c>
      <c r="D4168" s="18">
        <v>4166</v>
      </c>
      <c r="E4168" s="18" cm="1">
        <f t="array" aca="1" ref="E4168" ca="1">INDIRECT("b"&amp;F4168+2)</f>
        <v>7.9749999999999999E+170</v>
      </c>
      <c r="F4168" s="18">
        <f t="shared" si="836"/>
        <v>5953</v>
      </c>
      <c r="G4168" s="18"/>
      <c r="H4168" s="18"/>
      <c r="I4168" s="19">
        <v>4166</v>
      </c>
      <c r="J4168" s="19" cm="1">
        <f t="array" aca="1" ref="J4168" ca="1">INDIRECT("b"&amp;K4168+2)</f>
        <v>0</v>
      </c>
      <c r="K4168" s="19">
        <f t="shared" si="847"/>
        <v>7153</v>
      </c>
    </row>
    <row r="4169" spans="1:11">
      <c r="A4169">
        <v>4167</v>
      </c>
      <c r="B4169">
        <v>2.1249999999999999E+126</v>
      </c>
      <c r="D4169" s="18">
        <v>4167</v>
      </c>
      <c r="E4169" s="18" cm="1">
        <f t="array" aca="1" ref="E4169" ca="1">INDIRECT("b"&amp;F4169+2)</f>
        <v>8.199999999999999E+170</v>
      </c>
      <c r="F4169" s="18">
        <f t="shared" si="836"/>
        <v>5954</v>
      </c>
      <c r="G4169" s="18"/>
      <c r="H4169" s="18"/>
      <c r="I4169" s="19">
        <v>4167</v>
      </c>
      <c r="J4169" s="19" cm="1">
        <f t="array" aca="1" ref="J4169" ca="1">INDIRECT("b"&amp;K4169+2)</f>
        <v>0</v>
      </c>
      <c r="K4169" s="19">
        <f t="shared" si="847"/>
        <v>7154</v>
      </c>
    </row>
    <row r="4170" spans="1:11">
      <c r="A4170">
        <v>4168</v>
      </c>
      <c r="B4170">
        <v>2.3499999999999999E+126</v>
      </c>
      <c r="D4170" s="18">
        <v>4168</v>
      </c>
      <c r="E4170" s="18" cm="1">
        <f t="array" aca="1" ref="E4170" ca="1">INDIRECT("b"&amp;F4170+2)</f>
        <v>8.6499999999999994E+170</v>
      </c>
      <c r="F4170" s="18">
        <f t="shared" si="836"/>
        <v>5956</v>
      </c>
      <c r="G4170" s="18">
        <f t="shared" ref="G4170" ca="1" si="849">E4170/E4165</f>
        <v>1.2226148409893993</v>
      </c>
      <c r="H4170" s="18"/>
      <c r="I4170" s="19">
        <v>4168</v>
      </c>
      <c r="J4170" s="19" cm="1">
        <f t="array" aca="1" ref="J4170" ca="1">INDIRECT("b"&amp;K4170+2)</f>
        <v>0</v>
      </c>
      <c r="K4170" s="19">
        <f t="shared" si="847"/>
        <v>7156</v>
      </c>
    </row>
    <row r="4171" spans="1:11">
      <c r="A4171">
        <v>4169</v>
      </c>
      <c r="B4171">
        <v>2.575E+126</v>
      </c>
      <c r="D4171" s="18">
        <v>4169</v>
      </c>
      <c r="E4171" s="18" cm="1">
        <f t="array" aca="1" ref="E4171" ca="1">INDIRECT("b"&amp;F4171+2)</f>
        <v>8.8749999999999996E+170</v>
      </c>
      <c r="F4171" s="18">
        <f t="shared" si="836"/>
        <v>5957</v>
      </c>
      <c r="G4171" s="18"/>
      <c r="H4171" s="18"/>
      <c r="I4171" s="19">
        <v>4169</v>
      </c>
      <c r="J4171" s="19" cm="1">
        <f t="array" aca="1" ref="J4171" ca="1">INDIRECT("b"&amp;K4171+2)</f>
        <v>0</v>
      </c>
      <c r="K4171" s="19">
        <f t="shared" si="847"/>
        <v>7157</v>
      </c>
    </row>
    <row r="4172" spans="1:11">
      <c r="A4172">
        <v>4170</v>
      </c>
      <c r="B4172">
        <v>2.8000000000000001E+126</v>
      </c>
      <c r="D4172" s="18">
        <v>4170</v>
      </c>
      <c r="E4172" s="18" cm="1">
        <f t="array" aca="1" ref="E4172" ca="1">INDIRECT("b"&amp;F4172+2)</f>
        <v>9.0999999999999998E+170</v>
      </c>
      <c r="F4172" s="18">
        <f t="shared" si="836"/>
        <v>5958</v>
      </c>
      <c r="G4172" s="18"/>
      <c r="H4172" s="18"/>
      <c r="I4172" s="19">
        <v>4170</v>
      </c>
      <c r="J4172" s="19" cm="1">
        <f t="array" aca="1" ref="J4172" ca="1">INDIRECT("b"&amp;K4172+2)</f>
        <v>0</v>
      </c>
      <c r="K4172" s="19">
        <f t="shared" si="847"/>
        <v>7158</v>
      </c>
    </row>
    <row r="4173" spans="1:11">
      <c r="A4173">
        <v>4171</v>
      </c>
      <c r="B4173">
        <v>3.0249999999999999E+126</v>
      </c>
      <c r="D4173" s="18">
        <v>4171</v>
      </c>
      <c r="E4173" s="18" cm="1">
        <f t="array" aca="1" ref="E4173" ca="1">INDIRECT("b"&amp;F4173+2)</f>
        <v>9.5499999999999991E+170</v>
      </c>
      <c r="F4173" s="18">
        <f t="shared" si="836"/>
        <v>5960</v>
      </c>
      <c r="G4173" s="18"/>
      <c r="H4173" s="18"/>
      <c r="I4173" s="19">
        <v>4171</v>
      </c>
      <c r="J4173" s="19" cm="1">
        <f t="array" aca="1" ref="J4173" ca="1">INDIRECT("b"&amp;K4173+2)</f>
        <v>0</v>
      </c>
      <c r="K4173" s="19">
        <f t="shared" si="847"/>
        <v>7160</v>
      </c>
    </row>
    <row r="4174" spans="1:11">
      <c r="A4174">
        <v>4172</v>
      </c>
      <c r="B4174">
        <v>3.2499999999999996E+126</v>
      </c>
      <c r="D4174" s="18">
        <v>4172</v>
      </c>
      <c r="E4174" s="18" cm="1">
        <f t="array" aca="1" ref="E4174" ca="1">INDIRECT("b"&amp;F4174+2)</f>
        <v>9.7749999999999993E+170</v>
      </c>
      <c r="F4174" s="18">
        <f t="shared" si="836"/>
        <v>5961</v>
      </c>
      <c r="G4174" s="18"/>
      <c r="H4174" s="18"/>
      <c r="I4174" s="19">
        <v>4172</v>
      </c>
      <c r="J4174" s="19" cm="1">
        <f t="array" aca="1" ref="J4174" ca="1">INDIRECT("b"&amp;K4174+2)</f>
        <v>0</v>
      </c>
      <c r="K4174" s="19">
        <f t="shared" si="847"/>
        <v>7161</v>
      </c>
    </row>
    <row r="4175" spans="1:11">
      <c r="A4175">
        <v>4173</v>
      </c>
      <c r="B4175">
        <v>3.475E+126</v>
      </c>
      <c r="D4175" s="18">
        <v>4173</v>
      </c>
      <c r="E4175" s="18" cm="1">
        <f t="array" aca="1" ref="E4175" ca="1">INDIRECT("b"&amp;F4175+2)</f>
        <v>9.9999999999999995E+170</v>
      </c>
      <c r="F4175" s="18">
        <f t="shared" si="836"/>
        <v>5962</v>
      </c>
      <c r="G4175" s="18">
        <f t="shared" ref="G4175" ca="1" si="850">E4175/E4170</f>
        <v>1.1560693641618498</v>
      </c>
      <c r="H4175" s="18"/>
      <c r="I4175" s="19">
        <v>4173</v>
      </c>
      <c r="J4175" s="19" cm="1">
        <f t="array" aca="1" ref="J4175" ca="1">INDIRECT("b"&amp;K4175+2)</f>
        <v>0</v>
      </c>
      <c r="K4175" s="19">
        <f t="shared" si="847"/>
        <v>7162</v>
      </c>
    </row>
    <row r="4176" spans="1:11">
      <c r="A4176">
        <v>4174</v>
      </c>
      <c r="B4176">
        <v>3.6999999999999998E+126</v>
      </c>
      <c r="D4176" s="18">
        <v>4174</v>
      </c>
      <c r="E4176" s="18" cm="1">
        <f t="array" aca="1" ref="E4176" ca="1">INDIRECT("b"&amp;F4176+2)</f>
        <v>1.4499999999999999E+171</v>
      </c>
      <c r="F4176" s="18">
        <f t="shared" si="836"/>
        <v>5964</v>
      </c>
      <c r="G4176" s="18"/>
      <c r="H4176" s="18"/>
      <c r="I4176" s="19">
        <v>4174</v>
      </c>
      <c r="J4176" s="19" cm="1">
        <f t="array" aca="1" ref="J4176" ca="1">INDIRECT("b"&amp;K4176+2)</f>
        <v>0</v>
      </c>
      <c r="K4176" s="19">
        <f t="shared" si="847"/>
        <v>7164</v>
      </c>
    </row>
    <row r="4177" spans="1:11">
      <c r="A4177">
        <v>4175</v>
      </c>
      <c r="B4177">
        <v>3.9249999999999996E+126</v>
      </c>
      <c r="D4177" s="18">
        <v>4175</v>
      </c>
      <c r="E4177" s="18" cm="1">
        <f t="array" aca="1" ref="E4177" ca="1">INDIRECT("b"&amp;F4177+2)</f>
        <v>1.6749999999999999E+171</v>
      </c>
      <c r="F4177" s="18">
        <f t="shared" si="836"/>
        <v>5965</v>
      </c>
      <c r="G4177" s="18"/>
      <c r="H4177" s="18"/>
      <c r="I4177" s="19">
        <v>4175</v>
      </c>
      <c r="J4177" s="19" cm="1">
        <f t="array" aca="1" ref="J4177" ca="1">INDIRECT("b"&amp;K4177+2)</f>
        <v>0</v>
      </c>
      <c r="K4177" s="19">
        <f t="shared" si="847"/>
        <v>7165</v>
      </c>
    </row>
    <row r="4178" spans="1:11">
      <c r="A4178">
        <v>4176</v>
      </c>
      <c r="B4178">
        <v>4.15E+126</v>
      </c>
      <c r="D4178" s="18">
        <v>4176</v>
      </c>
      <c r="E4178" s="18" cm="1">
        <f t="array" aca="1" ref="E4178" ca="1">INDIRECT("b"&amp;F4178+2)</f>
        <v>1.8999999999999999E+171</v>
      </c>
      <c r="F4178" s="18">
        <f t="shared" si="836"/>
        <v>5966</v>
      </c>
      <c r="G4178" s="18"/>
      <c r="H4178" s="18"/>
      <c r="I4178" s="19">
        <v>4176</v>
      </c>
      <c r="J4178" s="19" cm="1">
        <f t="array" aca="1" ref="J4178" ca="1">INDIRECT("b"&amp;K4178+2)</f>
        <v>0</v>
      </c>
      <c r="K4178" s="19">
        <f t="shared" si="847"/>
        <v>7166</v>
      </c>
    </row>
    <row r="4179" spans="1:11">
      <c r="A4179">
        <v>4177</v>
      </c>
      <c r="B4179">
        <v>4.3749999999999997E+126</v>
      </c>
      <c r="D4179" s="18">
        <v>4177</v>
      </c>
      <c r="E4179" s="18" cm="1">
        <f t="array" aca="1" ref="E4179" ca="1">INDIRECT("b"&amp;F4179+2)</f>
        <v>2.3499999999999996E+171</v>
      </c>
      <c r="F4179" s="18">
        <f t="shared" ref="F4179:F4242" si="851">INT((A4179-123)*1.333333)+563</f>
        <v>5968</v>
      </c>
      <c r="G4179" s="18"/>
      <c r="H4179" s="18"/>
      <c r="I4179" s="19">
        <v>4177</v>
      </c>
      <c r="J4179" s="19" cm="1">
        <f t="array" aca="1" ref="J4179" ca="1">INDIRECT("b"&amp;K4179+2)</f>
        <v>0</v>
      </c>
      <c r="K4179" s="19">
        <f t="shared" si="847"/>
        <v>7168</v>
      </c>
    </row>
    <row r="4180" spans="1:11">
      <c r="A4180">
        <v>4178</v>
      </c>
      <c r="B4180">
        <v>4.6000000000000001E+126</v>
      </c>
      <c r="D4180" s="18">
        <v>4178</v>
      </c>
      <c r="E4180" s="18" cm="1">
        <f t="array" aca="1" ref="E4180" ca="1">INDIRECT("b"&amp;F4180+2)</f>
        <v>2.5749999999999998E+171</v>
      </c>
      <c r="F4180" s="18">
        <f t="shared" si="851"/>
        <v>5969</v>
      </c>
      <c r="G4180" s="18">
        <f t="shared" ref="G4180" ca="1" si="852">E4180/E4175</f>
        <v>2.5750000000000002</v>
      </c>
      <c r="H4180" s="18"/>
      <c r="I4180" s="19">
        <v>4178</v>
      </c>
      <c r="J4180" s="19" cm="1">
        <f t="array" aca="1" ref="J4180" ca="1">INDIRECT("b"&amp;K4180+2)</f>
        <v>0</v>
      </c>
      <c r="K4180" s="19">
        <f t="shared" si="847"/>
        <v>7169</v>
      </c>
    </row>
    <row r="4181" spans="1:11">
      <c r="A4181">
        <v>4179</v>
      </c>
      <c r="B4181">
        <v>4.8249999999999999E+126</v>
      </c>
      <c r="D4181" s="18">
        <v>4179</v>
      </c>
      <c r="E4181" s="18" cm="1">
        <f t="array" aca="1" ref="E4181" ca="1">INDIRECT("b"&amp;F4181+2)</f>
        <v>2.7999999999999996E+171</v>
      </c>
      <c r="F4181" s="18">
        <f t="shared" si="851"/>
        <v>5970</v>
      </c>
      <c r="G4181" s="18"/>
      <c r="H4181" s="18"/>
      <c r="I4181" s="19">
        <v>4179</v>
      </c>
      <c r="J4181" s="19" cm="1">
        <f t="array" aca="1" ref="J4181" ca="1">INDIRECT("b"&amp;K4181+2)</f>
        <v>0</v>
      </c>
      <c r="K4181" s="19">
        <f t="shared" si="847"/>
        <v>7170</v>
      </c>
    </row>
    <row r="4182" spans="1:11">
      <c r="A4182">
        <v>4180</v>
      </c>
      <c r="B4182">
        <v>5.0499999999999997E+126</v>
      </c>
      <c r="D4182" s="18">
        <v>4180</v>
      </c>
      <c r="E4182" s="18" cm="1">
        <f t="array" aca="1" ref="E4182" ca="1">INDIRECT("b"&amp;F4182+2)</f>
        <v>3.25E+171</v>
      </c>
      <c r="F4182" s="18">
        <f t="shared" si="851"/>
        <v>5972</v>
      </c>
      <c r="G4182" s="18"/>
      <c r="H4182" s="18"/>
      <c r="I4182" s="19">
        <v>4180</v>
      </c>
      <c r="J4182" s="19" cm="1">
        <f t="array" aca="1" ref="J4182" ca="1">INDIRECT("b"&amp;K4182+2)</f>
        <v>0</v>
      </c>
      <c r="K4182" s="19">
        <f t="shared" si="847"/>
        <v>7172</v>
      </c>
    </row>
    <row r="4183" spans="1:11">
      <c r="A4183">
        <v>4181</v>
      </c>
      <c r="B4183">
        <v>5.275E+126</v>
      </c>
      <c r="D4183" s="18">
        <v>4181</v>
      </c>
      <c r="E4183" s="18" cm="1">
        <f t="array" aca="1" ref="E4183" ca="1">INDIRECT("b"&amp;F4183+2)</f>
        <v>3.4749999999999998E+171</v>
      </c>
      <c r="F4183" s="18">
        <f t="shared" si="851"/>
        <v>5973</v>
      </c>
      <c r="G4183" s="18"/>
      <c r="H4183" s="18"/>
      <c r="I4183" s="19">
        <v>4181</v>
      </c>
      <c r="J4183" s="19" cm="1">
        <f t="array" aca="1" ref="J4183" ca="1">INDIRECT("b"&amp;K4183+2)</f>
        <v>0</v>
      </c>
      <c r="K4183" s="19">
        <f t="shared" si="847"/>
        <v>7173</v>
      </c>
    </row>
    <row r="4184" spans="1:11">
      <c r="A4184">
        <v>4182</v>
      </c>
      <c r="B4184">
        <v>5.5000000000000004E+126</v>
      </c>
      <c r="D4184" s="18">
        <v>4182</v>
      </c>
      <c r="E4184" s="18" cm="1">
        <f t="array" aca="1" ref="E4184" ca="1">INDIRECT("b"&amp;F4184+2)</f>
        <v>3.7E+171</v>
      </c>
      <c r="F4184" s="18">
        <f t="shared" si="851"/>
        <v>5974</v>
      </c>
      <c r="G4184" s="18"/>
      <c r="H4184" s="18"/>
      <c r="I4184" s="19">
        <v>4182</v>
      </c>
      <c r="J4184" s="19" cm="1">
        <f t="array" aca="1" ref="J4184" ca="1">INDIRECT("b"&amp;K4184+2)</f>
        <v>0</v>
      </c>
      <c r="K4184" s="19">
        <f t="shared" si="847"/>
        <v>7174</v>
      </c>
    </row>
    <row r="4185" spans="1:11">
      <c r="A4185">
        <v>4183</v>
      </c>
      <c r="B4185">
        <v>5.7250000000000002E+126</v>
      </c>
      <c r="D4185" s="18">
        <v>4183</v>
      </c>
      <c r="E4185" s="18" cm="1">
        <f t="array" aca="1" ref="E4185" ca="1">INDIRECT("b"&amp;F4185+2)</f>
        <v>4.1499999999999999E+171</v>
      </c>
      <c r="F4185" s="18">
        <f t="shared" si="851"/>
        <v>5976</v>
      </c>
      <c r="G4185" s="18">
        <f t="shared" ref="G4185" ca="1" si="853">E4185/E4180</f>
        <v>1.6116504854368934</v>
      </c>
      <c r="H4185" s="18"/>
      <c r="I4185" s="19">
        <v>4183</v>
      </c>
      <c r="J4185" s="19" cm="1">
        <f t="array" aca="1" ref="J4185" ca="1">INDIRECT("b"&amp;K4185+2)</f>
        <v>0</v>
      </c>
      <c r="K4185" s="19">
        <f t="shared" si="847"/>
        <v>7176</v>
      </c>
    </row>
    <row r="4186" spans="1:11">
      <c r="A4186">
        <v>4184</v>
      </c>
      <c r="B4186">
        <v>5.95E+126</v>
      </c>
      <c r="D4186" s="18">
        <v>4184</v>
      </c>
      <c r="E4186" s="18" cm="1">
        <f t="array" aca="1" ref="E4186" ca="1">INDIRECT("b"&amp;F4186+2)</f>
        <v>4.3749999999999997E+171</v>
      </c>
      <c r="F4186" s="18">
        <f t="shared" si="851"/>
        <v>5977</v>
      </c>
      <c r="G4186" s="18"/>
      <c r="H4186" s="18"/>
      <c r="I4186" s="19">
        <v>4184</v>
      </c>
      <c r="J4186" s="19" cm="1">
        <f t="array" aca="1" ref="J4186" ca="1">INDIRECT("b"&amp;K4186+2)</f>
        <v>0</v>
      </c>
      <c r="K4186" s="19">
        <f t="shared" si="847"/>
        <v>7177</v>
      </c>
    </row>
    <row r="4187" spans="1:11">
      <c r="A4187">
        <v>4185</v>
      </c>
      <c r="B4187">
        <v>6.1749999999999997E+126</v>
      </c>
      <c r="D4187" s="18">
        <v>4185</v>
      </c>
      <c r="E4187" s="18" cm="1">
        <f t="array" aca="1" ref="E4187" ca="1">INDIRECT("b"&amp;F4187+2)</f>
        <v>4.5999999999999995E+171</v>
      </c>
      <c r="F4187" s="18">
        <f t="shared" si="851"/>
        <v>5978</v>
      </c>
      <c r="G4187" s="18"/>
      <c r="H4187" s="18"/>
      <c r="I4187" s="19">
        <v>4185</v>
      </c>
      <c r="J4187" s="19" cm="1">
        <f t="array" aca="1" ref="J4187" ca="1">INDIRECT("b"&amp;K4187+2)</f>
        <v>0</v>
      </c>
      <c r="K4187" s="19">
        <f t="shared" si="847"/>
        <v>7178</v>
      </c>
    </row>
    <row r="4188" spans="1:11">
      <c r="A4188">
        <v>4186</v>
      </c>
      <c r="B4188">
        <v>6.3999999999999995E+126</v>
      </c>
      <c r="D4188" s="18">
        <v>4186</v>
      </c>
      <c r="E4188" s="18" cm="1">
        <f t="array" aca="1" ref="E4188" ca="1">INDIRECT("b"&amp;F4188+2)</f>
        <v>5.0499999999999999E+171</v>
      </c>
      <c r="F4188" s="18">
        <f t="shared" si="851"/>
        <v>5980</v>
      </c>
      <c r="G4188" s="18"/>
      <c r="H4188" s="18"/>
      <c r="I4188" s="19">
        <v>4186</v>
      </c>
      <c r="J4188" s="19" cm="1">
        <f t="array" aca="1" ref="J4188" ca="1">INDIRECT("b"&amp;K4188+2)</f>
        <v>0</v>
      </c>
      <c r="K4188" s="19">
        <f t="shared" si="847"/>
        <v>7180</v>
      </c>
    </row>
    <row r="4189" spans="1:11">
      <c r="A4189">
        <v>4187</v>
      </c>
      <c r="B4189">
        <v>6.6249999999999993E+126</v>
      </c>
      <c r="D4189" s="18">
        <v>4187</v>
      </c>
      <c r="E4189" s="18" cm="1">
        <f t="array" aca="1" ref="E4189" ca="1">INDIRECT("b"&amp;F4189+2)</f>
        <v>5.2749999999999997E+171</v>
      </c>
      <c r="F4189" s="18">
        <f t="shared" si="851"/>
        <v>5981</v>
      </c>
      <c r="G4189" s="18"/>
      <c r="H4189" s="18"/>
      <c r="I4189" s="19">
        <v>4187</v>
      </c>
      <c r="J4189" s="19" cm="1">
        <f t="array" aca="1" ref="J4189" ca="1">INDIRECT("b"&amp;K4189+2)</f>
        <v>0</v>
      </c>
      <c r="K4189" s="19">
        <f t="shared" si="847"/>
        <v>7181</v>
      </c>
    </row>
    <row r="4190" spans="1:11">
      <c r="A4190">
        <v>4188</v>
      </c>
      <c r="B4190">
        <v>6.8500000000000003E+126</v>
      </c>
      <c r="D4190" s="18">
        <v>4188</v>
      </c>
      <c r="E4190" s="18" cm="1">
        <f t="array" aca="1" ref="E4190" ca="1">INDIRECT("b"&amp;F4190+2)</f>
        <v>5.4999999999999994E+171</v>
      </c>
      <c r="F4190" s="18">
        <f t="shared" si="851"/>
        <v>5982</v>
      </c>
      <c r="G4190" s="18">
        <f t="shared" ref="G4190" ca="1" si="854">E4190/E4185</f>
        <v>1.3253012048192769</v>
      </c>
      <c r="H4190" s="18"/>
      <c r="I4190" s="19">
        <v>4188</v>
      </c>
      <c r="J4190" s="19" cm="1">
        <f t="array" aca="1" ref="J4190" ca="1">INDIRECT("b"&amp;K4190+2)</f>
        <v>0</v>
      </c>
      <c r="K4190" s="19">
        <f t="shared" si="847"/>
        <v>7182</v>
      </c>
    </row>
    <row r="4191" spans="1:11">
      <c r="A4191">
        <v>4189</v>
      </c>
      <c r="B4191">
        <v>7.0750000000000001E+126</v>
      </c>
      <c r="D4191" s="18">
        <v>4189</v>
      </c>
      <c r="E4191" s="18" cm="1">
        <f t="array" aca="1" ref="E4191" ca="1">INDIRECT("b"&amp;F4191+2)</f>
        <v>5.9499999999999998E+171</v>
      </c>
      <c r="F4191" s="18">
        <f t="shared" si="851"/>
        <v>5984</v>
      </c>
      <c r="G4191" s="18"/>
      <c r="H4191" s="18"/>
      <c r="I4191" s="19">
        <v>4189</v>
      </c>
      <c r="J4191" s="19" cm="1">
        <f t="array" aca="1" ref="J4191" ca="1">INDIRECT("b"&amp;K4191+2)</f>
        <v>0</v>
      </c>
      <c r="K4191" s="19">
        <f t="shared" si="847"/>
        <v>7184</v>
      </c>
    </row>
    <row r="4192" spans="1:11">
      <c r="A4192">
        <v>4190</v>
      </c>
      <c r="B4192">
        <v>7.2999999999999998E+126</v>
      </c>
      <c r="D4192" s="18">
        <v>4190</v>
      </c>
      <c r="E4192" s="18" cm="1">
        <f t="array" aca="1" ref="E4192" ca="1">INDIRECT("b"&amp;F4192+2)</f>
        <v>6.1749999999999996E+171</v>
      </c>
      <c r="F4192" s="18">
        <f t="shared" si="851"/>
        <v>5985</v>
      </c>
      <c r="G4192" s="18"/>
      <c r="H4192" s="18"/>
      <c r="I4192" s="19">
        <v>4190</v>
      </c>
      <c r="J4192" s="19" cm="1">
        <f t="array" aca="1" ref="J4192" ca="1">INDIRECT("b"&amp;K4192+2)</f>
        <v>0</v>
      </c>
      <c r="K4192" s="19">
        <f t="shared" si="847"/>
        <v>7185</v>
      </c>
    </row>
    <row r="4193" spans="1:11">
      <c r="A4193">
        <v>4191</v>
      </c>
      <c r="B4193">
        <v>7.5249999999999996E+126</v>
      </c>
      <c r="D4193" s="18">
        <v>4191</v>
      </c>
      <c r="E4193" s="18" cm="1">
        <f t="array" aca="1" ref="E4193" ca="1">INDIRECT("b"&amp;F4193+2)</f>
        <v>6.3999999999999994E+171</v>
      </c>
      <c r="F4193" s="18">
        <f t="shared" si="851"/>
        <v>5986</v>
      </c>
      <c r="G4193" s="18"/>
      <c r="H4193" s="18"/>
      <c r="I4193" s="19">
        <v>4191</v>
      </c>
      <c r="J4193" s="19" cm="1">
        <f t="array" aca="1" ref="J4193" ca="1">INDIRECT("b"&amp;K4193+2)</f>
        <v>0</v>
      </c>
      <c r="K4193" s="19">
        <f t="shared" si="847"/>
        <v>7186</v>
      </c>
    </row>
    <row r="4194" spans="1:11">
      <c r="A4194">
        <v>4192</v>
      </c>
      <c r="B4194">
        <v>7.7499999999999994E+126</v>
      </c>
      <c r="D4194" s="18">
        <v>4192</v>
      </c>
      <c r="E4194" s="18" cm="1">
        <f t="array" aca="1" ref="E4194" ca="1">INDIRECT("b"&amp;F4194+2)</f>
        <v>6.8499999999999998E+171</v>
      </c>
      <c r="F4194" s="18">
        <f t="shared" si="851"/>
        <v>5988</v>
      </c>
      <c r="G4194" s="18"/>
      <c r="H4194" s="18"/>
      <c r="I4194" s="19">
        <v>4192</v>
      </c>
      <c r="J4194" s="19" cm="1">
        <f t="array" aca="1" ref="J4194" ca="1">INDIRECT("b"&amp;K4194+2)</f>
        <v>0</v>
      </c>
      <c r="K4194" s="19">
        <f t="shared" si="847"/>
        <v>7188</v>
      </c>
    </row>
    <row r="4195" spans="1:11">
      <c r="A4195">
        <v>4193</v>
      </c>
      <c r="B4195">
        <v>7.9749999999999992E+126</v>
      </c>
      <c r="D4195" s="18">
        <v>4193</v>
      </c>
      <c r="E4195" s="18" cm="1">
        <f t="array" aca="1" ref="E4195" ca="1">INDIRECT("b"&amp;F4195+2)</f>
        <v>7.0749999999999995E+171</v>
      </c>
      <c r="F4195" s="18">
        <f t="shared" si="851"/>
        <v>5989</v>
      </c>
      <c r="G4195" s="18">
        <f t="shared" ref="G4195" ca="1" si="855">E4195/E4190</f>
        <v>1.2863636363636364</v>
      </c>
      <c r="H4195" s="18"/>
      <c r="I4195" s="19">
        <v>4193</v>
      </c>
      <c r="J4195" s="19" cm="1">
        <f t="array" aca="1" ref="J4195" ca="1">INDIRECT("b"&amp;K4195+2)</f>
        <v>0</v>
      </c>
      <c r="K4195" s="19">
        <f t="shared" si="847"/>
        <v>7189</v>
      </c>
    </row>
    <row r="4196" spans="1:11">
      <c r="A4196">
        <v>4194</v>
      </c>
      <c r="B4196">
        <v>8.2000000000000001E+126</v>
      </c>
      <c r="D4196" s="18">
        <v>4194</v>
      </c>
      <c r="E4196" s="18" cm="1">
        <f t="array" aca="1" ref="E4196" ca="1">INDIRECT("b"&amp;F4196+2)</f>
        <v>7.2999999999999993E+171</v>
      </c>
      <c r="F4196" s="18">
        <f t="shared" si="851"/>
        <v>5990</v>
      </c>
      <c r="G4196" s="18"/>
      <c r="H4196" s="18"/>
      <c r="I4196" s="19">
        <v>4194</v>
      </c>
      <c r="J4196" s="19" cm="1">
        <f t="array" aca="1" ref="J4196" ca="1">INDIRECT("b"&amp;K4196+2)</f>
        <v>0</v>
      </c>
      <c r="K4196" s="19">
        <f t="shared" si="847"/>
        <v>7190</v>
      </c>
    </row>
    <row r="4197" spans="1:11">
      <c r="A4197">
        <v>4195</v>
      </c>
      <c r="B4197">
        <v>8.4249999999999999E+126</v>
      </c>
      <c r="D4197" s="18">
        <v>4195</v>
      </c>
      <c r="E4197" s="18" cm="1">
        <f t="array" aca="1" ref="E4197" ca="1">INDIRECT("b"&amp;F4197+2)</f>
        <v>7.7499999999999997E+171</v>
      </c>
      <c r="F4197" s="18">
        <f t="shared" si="851"/>
        <v>5992</v>
      </c>
      <c r="G4197" s="18"/>
      <c r="H4197" s="18"/>
      <c r="I4197" s="19">
        <v>4195</v>
      </c>
      <c r="J4197" s="19" cm="1">
        <f t="array" aca="1" ref="J4197" ca="1">INDIRECT("b"&amp;K4197+2)</f>
        <v>0</v>
      </c>
      <c r="K4197" s="19">
        <f t="shared" si="847"/>
        <v>7192</v>
      </c>
    </row>
    <row r="4198" spans="1:11">
      <c r="A4198">
        <v>4196</v>
      </c>
      <c r="B4198">
        <v>8.6499999999999997E+126</v>
      </c>
      <c r="D4198" s="18">
        <v>4196</v>
      </c>
      <c r="E4198" s="18" cm="1">
        <f t="array" aca="1" ref="E4198" ca="1">INDIRECT("b"&amp;F4198+2)</f>
        <v>7.9750000000000003E+171</v>
      </c>
      <c r="F4198" s="18">
        <f t="shared" si="851"/>
        <v>5993</v>
      </c>
      <c r="G4198" s="18"/>
      <c r="H4198" s="18"/>
      <c r="I4198" s="19">
        <v>4196</v>
      </c>
      <c r="J4198" s="19" cm="1">
        <f t="array" aca="1" ref="J4198" ca="1">INDIRECT("b"&amp;K4198+2)</f>
        <v>0</v>
      </c>
      <c r="K4198" s="19">
        <f t="shared" si="847"/>
        <v>7193</v>
      </c>
    </row>
    <row r="4199" spans="1:11">
      <c r="A4199">
        <v>4197</v>
      </c>
      <c r="B4199">
        <v>8.8749999999999995E+126</v>
      </c>
      <c r="D4199" s="18">
        <v>4197</v>
      </c>
      <c r="E4199" s="18" cm="1">
        <f t="array" aca="1" ref="E4199" ca="1">INDIRECT("b"&amp;F4199+2)</f>
        <v>8.1999999999999992E+171</v>
      </c>
      <c r="F4199" s="18">
        <f t="shared" si="851"/>
        <v>5994</v>
      </c>
      <c r="G4199" s="18"/>
      <c r="H4199" s="18"/>
      <c r="I4199" s="19">
        <v>4197</v>
      </c>
      <c r="J4199" s="19" cm="1">
        <f t="array" aca="1" ref="J4199" ca="1">INDIRECT("b"&amp;K4199+2)</f>
        <v>0</v>
      </c>
      <c r="K4199" s="19">
        <f t="shared" si="847"/>
        <v>7194</v>
      </c>
    </row>
    <row r="4200" spans="1:11">
      <c r="A4200">
        <v>4198</v>
      </c>
      <c r="B4200">
        <v>9.0999999999999992E+126</v>
      </c>
      <c r="D4200" s="18">
        <v>4198</v>
      </c>
      <c r="E4200" s="18" cm="1">
        <f t="array" aca="1" ref="E4200" ca="1">INDIRECT("b"&amp;F4200+2)</f>
        <v>8.6499999999999988E+171</v>
      </c>
      <c r="F4200" s="18">
        <f t="shared" si="851"/>
        <v>5996</v>
      </c>
      <c r="G4200" s="18">
        <f t="shared" ref="G4200" ca="1" si="856">E4200/E4195</f>
        <v>1.2226148409893991</v>
      </c>
      <c r="H4200" s="18"/>
      <c r="I4200" s="19">
        <v>4198</v>
      </c>
      <c r="J4200" s="19" cm="1">
        <f t="array" aca="1" ref="J4200" ca="1">INDIRECT("b"&amp;K4200+2)</f>
        <v>0</v>
      </c>
      <c r="K4200" s="19">
        <f t="shared" si="847"/>
        <v>7196</v>
      </c>
    </row>
    <row r="4201" spans="1:11">
      <c r="A4201">
        <v>4199</v>
      </c>
      <c r="B4201">
        <v>9.3250000000000002E+126</v>
      </c>
      <c r="D4201" s="18">
        <v>4199</v>
      </c>
      <c r="E4201" s="18" cm="1">
        <f t="array" aca="1" ref="E4201" ca="1">INDIRECT("b"&amp;F4201+2)</f>
        <v>8.8749999999999994E+171</v>
      </c>
      <c r="F4201" s="18">
        <f t="shared" si="851"/>
        <v>5997</v>
      </c>
      <c r="G4201" s="18"/>
      <c r="H4201" s="18"/>
      <c r="I4201" s="19">
        <v>4199</v>
      </c>
      <c r="J4201" s="19" cm="1">
        <f t="array" aca="1" ref="J4201" ca="1">INDIRECT("b"&amp;K4201+2)</f>
        <v>0</v>
      </c>
      <c r="K4201" s="19">
        <f t="shared" si="847"/>
        <v>7197</v>
      </c>
    </row>
    <row r="4202" spans="1:11">
      <c r="A4202">
        <v>4200</v>
      </c>
      <c r="B4202">
        <v>9.55E+126</v>
      </c>
      <c r="D4202" s="18">
        <v>4200</v>
      </c>
      <c r="E4202" s="18" cm="1">
        <f t="array" aca="1" ref="E4202" ca="1">INDIRECT("b"&amp;F4202+2)</f>
        <v>9.1E+171</v>
      </c>
      <c r="F4202" s="18">
        <f t="shared" si="851"/>
        <v>5998</v>
      </c>
      <c r="G4202" s="18"/>
      <c r="H4202" s="18"/>
      <c r="I4202" s="19">
        <v>4200</v>
      </c>
      <c r="J4202" s="19" cm="1">
        <f t="array" aca="1" ref="J4202" ca="1">INDIRECT("b"&amp;K4202+2)</f>
        <v>0</v>
      </c>
      <c r="K4202" s="19">
        <f t="shared" si="847"/>
        <v>7198</v>
      </c>
    </row>
    <row r="4203" spans="1:11">
      <c r="A4203">
        <v>4201</v>
      </c>
      <c r="B4203">
        <v>9.7749999999999998E+126</v>
      </c>
      <c r="D4203" s="18">
        <v>4201</v>
      </c>
      <c r="E4203" s="18" cm="1">
        <f t="array" aca="1" ref="E4203" ca="1">INDIRECT("b"&amp;F4203+2)</f>
        <v>9.5499999999999996E+171</v>
      </c>
      <c r="F4203" s="18">
        <f t="shared" si="851"/>
        <v>6000</v>
      </c>
      <c r="G4203" s="18"/>
      <c r="H4203" s="18"/>
      <c r="I4203" s="19">
        <v>4201</v>
      </c>
      <c r="J4203" s="19" cm="1">
        <f t="array" aca="1" ref="J4203" ca="1">INDIRECT("b"&amp;K4203+2)</f>
        <v>0</v>
      </c>
      <c r="K4203" s="19">
        <f t="shared" si="847"/>
        <v>7200</v>
      </c>
    </row>
    <row r="4204" spans="1:11">
      <c r="A4204">
        <v>4202</v>
      </c>
      <c r="B4204">
        <v>9.9999999999999995E+126</v>
      </c>
      <c r="D4204" s="18">
        <v>4202</v>
      </c>
      <c r="E4204" s="18" cm="1">
        <f t="array" aca="1" ref="E4204" ca="1">INDIRECT("b"&amp;F4204+2)</f>
        <v>9.7750000000000002E+171</v>
      </c>
      <c r="F4204" s="18">
        <f t="shared" si="851"/>
        <v>6001</v>
      </c>
      <c r="G4204" s="18"/>
      <c r="H4204" s="18"/>
      <c r="I4204" s="19">
        <v>4202</v>
      </c>
      <c r="J4204" s="19" cm="1">
        <f t="array" aca="1" ref="J4204" ca="1">INDIRECT("b"&amp;K4204+2)</f>
        <v>0</v>
      </c>
      <c r="K4204" s="19">
        <f t="shared" si="847"/>
        <v>7201</v>
      </c>
    </row>
    <row r="4205" spans="1:11">
      <c r="A4205">
        <v>4203</v>
      </c>
      <c r="B4205">
        <v>1.2249999999999999E+127</v>
      </c>
      <c r="D4205" s="18">
        <v>4203</v>
      </c>
      <c r="E4205" s="18" cm="1">
        <f t="array" aca="1" ref="E4205" ca="1">INDIRECT("b"&amp;F4205+2)</f>
        <v>1.0000000000000001E+172</v>
      </c>
      <c r="F4205" s="18">
        <f t="shared" si="851"/>
        <v>6002</v>
      </c>
      <c r="G4205" s="18">
        <f t="shared" ref="G4205" ca="1" si="857">E4205/E4200</f>
        <v>1.15606936416185</v>
      </c>
      <c r="H4205" s="18"/>
      <c r="I4205" s="19">
        <v>4203</v>
      </c>
      <c r="J4205" s="19" cm="1">
        <f t="array" aca="1" ref="J4205" ca="1">INDIRECT("b"&amp;K4205+2)</f>
        <v>0</v>
      </c>
      <c r="K4205" s="19">
        <f t="shared" si="847"/>
        <v>7202</v>
      </c>
    </row>
    <row r="4206" spans="1:11">
      <c r="A4206">
        <v>4204</v>
      </c>
      <c r="B4206">
        <v>1.4499999999999999E+127</v>
      </c>
      <c r="D4206" s="18">
        <v>4204</v>
      </c>
      <c r="E4206" s="18" cm="1">
        <f t="array" aca="1" ref="E4206" ca="1">INDIRECT("b"&amp;F4206+2)</f>
        <v>1.45E+172</v>
      </c>
      <c r="F4206" s="18">
        <f t="shared" si="851"/>
        <v>6004</v>
      </c>
      <c r="G4206" s="18"/>
      <c r="H4206" s="18"/>
      <c r="I4206" s="19">
        <v>4204</v>
      </c>
      <c r="J4206" s="19" cm="1">
        <f t="array" aca="1" ref="J4206" ca="1">INDIRECT("b"&amp;K4206+2)</f>
        <v>0</v>
      </c>
      <c r="K4206" s="19">
        <f t="shared" si="847"/>
        <v>7204</v>
      </c>
    </row>
    <row r="4207" spans="1:11">
      <c r="A4207">
        <v>4205</v>
      </c>
      <c r="B4207">
        <v>1.6749999999999999E+127</v>
      </c>
      <c r="D4207" s="18">
        <v>4205</v>
      </c>
      <c r="E4207" s="18" cm="1">
        <f t="array" aca="1" ref="E4207" ca="1">INDIRECT("b"&amp;F4207+2)</f>
        <v>1.6749999999999999E+172</v>
      </c>
      <c r="F4207" s="18">
        <f t="shared" si="851"/>
        <v>6005</v>
      </c>
      <c r="G4207" s="18"/>
      <c r="H4207" s="18"/>
      <c r="I4207" s="19">
        <v>4205</v>
      </c>
      <c r="J4207" s="19" cm="1">
        <f t="array" aca="1" ref="J4207" ca="1">INDIRECT("b"&amp;K4207+2)</f>
        <v>0</v>
      </c>
      <c r="K4207" s="19">
        <f t="shared" si="847"/>
        <v>7205</v>
      </c>
    </row>
    <row r="4208" spans="1:11">
      <c r="A4208">
        <v>4206</v>
      </c>
      <c r="B4208">
        <v>1.8999999999999999E+127</v>
      </c>
      <c r="D4208" s="18">
        <v>4206</v>
      </c>
      <c r="E4208" s="18" cm="1">
        <f t="array" aca="1" ref="E4208" ca="1">INDIRECT("b"&amp;F4208+2)</f>
        <v>1.8999999999999998E+172</v>
      </c>
      <c r="F4208" s="18">
        <f t="shared" si="851"/>
        <v>6006</v>
      </c>
      <c r="G4208" s="18"/>
      <c r="H4208" s="18"/>
      <c r="I4208" s="19">
        <v>4206</v>
      </c>
      <c r="J4208" s="19" cm="1">
        <f t="array" aca="1" ref="J4208" ca="1">INDIRECT("b"&amp;K4208+2)</f>
        <v>0</v>
      </c>
      <c r="K4208" s="19">
        <f t="shared" si="847"/>
        <v>7206</v>
      </c>
    </row>
    <row r="4209" spans="1:11">
      <c r="A4209">
        <v>4207</v>
      </c>
      <c r="B4209">
        <v>2.1249999999999999E+127</v>
      </c>
      <c r="D4209" s="18">
        <v>4207</v>
      </c>
      <c r="E4209" s="18" cm="1">
        <f t="array" aca="1" ref="E4209" ca="1">INDIRECT("b"&amp;F4209+2)</f>
        <v>2.3500000000000001E+172</v>
      </c>
      <c r="F4209" s="18">
        <f t="shared" si="851"/>
        <v>6008</v>
      </c>
      <c r="G4209" s="18"/>
      <c r="H4209" s="18"/>
      <c r="I4209" s="19">
        <v>4207</v>
      </c>
      <c r="J4209" s="19" cm="1">
        <f t="array" aca="1" ref="J4209" ca="1">INDIRECT("b"&amp;K4209+2)</f>
        <v>0</v>
      </c>
      <c r="K4209" s="19">
        <f t="shared" si="847"/>
        <v>7208</v>
      </c>
    </row>
    <row r="4210" spans="1:11">
      <c r="A4210">
        <v>4208</v>
      </c>
      <c r="B4210">
        <v>2.3499999999999997E+127</v>
      </c>
      <c r="D4210" s="18">
        <v>4208</v>
      </c>
      <c r="E4210" s="18" cm="1">
        <f t="array" aca="1" ref="E4210" ca="1">INDIRECT("b"&amp;F4210+2)</f>
        <v>2.575E+172</v>
      </c>
      <c r="F4210" s="18">
        <f t="shared" si="851"/>
        <v>6009</v>
      </c>
      <c r="G4210" s="18">
        <f t="shared" ref="G4210" ca="1" si="858">E4210/E4205</f>
        <v>2.5749999999999997</v>
      </c>
      <c r="H4210" s="18"/>
      <c r="I4210" s="19">
        <v>4208</v>
      </c>
      <c r="J4210" s="19" cm="1">
        <f t="array" aca="1" ref="J4210" ca="1">INDIRECT("b"&amp;K4210+2)</f>
        <v>0</v>
      </c>
      <c r="K4210" s="19">
        <f t="shared" si="847"/>
        <v>7209</v>
      </c>
    </row>
    <row r="4211" spans="1:11">
      <c r="A4211">
        <v>4209</v>
      </c>
      <c r="B4211">
        <v>2.575E+127</v>
      </c>
      <c r="D4211" s="18">
        <v>4209</v>
      </c>
      <c r="E4211" s="18" cm="1">
        <f t="array" aca="1" ref="E4211" ca="1">INDIRECT("b"&amp;F4211+2)</f>
        <v>2.8E+172</v>
      </c>
      <c r="F4211" s="18">
        <f t="shared" si="851"/>
        <v>6010</v>
      </c>
      <c r="G4211" s="18"/>
      <c r="H4211" s="18"/>
      <c r="I4211" s="19">
        <v>4209</v>
      </c>
      <c r="J4211" s="19" cm="1">
        <f t="array" aca="1" ref="J4211" ca="1">INDIRECT("b"&amp;K4211+2)</f>
        <v>0</v>
      </c>
      <c r="K4211" s="19">
        <f t="shared" si="847"/>
        <v>7210</v>
      </c>
    </row>
    <row r="4212" spans="1:11">
      <c r="A4212">
        <v>4210</v>
      </c>
      <c r="B4212">
        <v>2.7999999999999997E+127</v>
      </c>
      <c r="D4212" s="18">
        <v>4210</v>
      </c>
      <c r="E4212" s="18" cm="1">
        <f t="array" aca="1" ref="E4212" ca="1">INDIRECT("b"&amp;F4212+2)</f>
        <v>3.2499999999999998E+172</v>
      </c>
      <c r="F4212" s="18">
        <f t="shared" si="851"/>
        <v>6012</v>
      </c>
      <c r="G4212" s="18">
        <f t="shared" ref="G4212" ca="1" si="859">E4212/E4207</f>
        <v>1.9402985074626866</v>
      </c>
      <c r="H4212" s="18"/>
      <c r="I4212" s="19">
        <v>4210</v>
      </c>
      <c r="J4212" s="19" cm="1">
        <f t="array" aca="1" ref="J4212" ca="1">INDIRECT("b"&amp;K4212+2)</f>
        <v>0</v>
      </c>
      <c r="K4212" s="19">
        <f t="shared" si="847"/>
        <v>7212</v>
      </c>
    </row>
    <row r="4213" spans="1:11">
      <c r="A4213">
        <v>4211</v>
      </c>
      <c r="B4213">
        <v>3.025E+127</v>
      </c>
      <c r="D4213" s="18">
        <v>4211</v>
      </c>
      <c r="E4213" s="18" cm="1">
        <f t="array" aca="1" ref="E4213" ca="1">INDIRECT("b"&amp;F4213+2)</f>
        <v>3.4750000000000001E+172</v>
      </c>
      <c r="F4213" s="18">
        <f t="shared" si="851"/>
        <v>6013</v>
      </c>
      <c r="G4213" s="18"/>
      <c r="H4213" s="18"/>
      <c r="I4213" s="19">
        <v>4211</v>
      </c>
      <c r="J4213" s="19" cm="1">
        <f t="array" aca="1" ref="J4213" ca="1">INDIRECT("b"&amp;K4213+2)</f>
        <v>0</v>
      </c>
      <c r="K4213" s="19">
        <f t="shared" si="847"/>
        <v>7213</v>
      </c>
    </row>
    <row r="4214" spans="1:11">
      <c r="A4214">
        <v>4212</v>
      </c>
      <c r="B4214">
        <v>3.2499999999999998E+127</v>
      </c>
      <c r="D4214" s="18">
        <v>4212</v>
      </c>
      <c r="E4214" s="18" cm="1">
        <f t="array" aca="1" ref="E4214" ca="1">INDIRECT("b"&amp;F4214+2)</f>
        <v>3.6999999999999997E+172</v>
      </c>
      <c r="F4214" s="18">
        <f t="shared" si="851"/>
        <v>6014</v>
      </c>
      <c r="G4214" s="18"/>
      <c r="H4214" s="18"/>
      <c r="I4214" s="19">
        <v>4212</v>
      </c>
      <c r="J4214" s="19" cm="1">
        <f t="array" aca="1" ref="J4214" ca="1">INDIRECT("b"&amp;K4214+2)</f>
        <v>0</v>
      </c>
      <c r="K4214" s="19">
        <f t="shared" si="847"/>
        <v>7214</v>
      </c>
    </row>
    <row r="4215" spans="1:11">
      <c r="A4215">
        <v>4213</v>
      </c>
      <c r="B4215">
        <v>3.475E+127</v>
      </c>
      <c r="D4215" s="18">
        <v>4213</v>
      </c>
      <c r="E4215" s="18" cm="1">
        <f t="array" aca="1" ref="E4215" ca="1">INDIRECT("b"&amp;F4215+2)</f>
        <v>4.1500000000000003E+172</v>
      </c>
      <c r="F4215" s="18">
        <f t="shared" si="851"/>
        <v>6016</v>
      </c>
      <c r="G4215" s="18"/>
      <c r="H4215" s="18"/>
      <c r="I4215" s="19">
        <v>4213</v>
      </c>
      <c r="J4215" s="19" cm="1">
        <f t="array" aca="1" ref="J4215" ca="1">INDIRECT("b"&amp;K4215+2)</f>
        <v>0</v>
      </c>
      <c r="K4215" s="19">
        <f t="shared" si="847"/>
        <v>7216</v>
      </c>
    </row>
    <row r="4216" spans="1:11">
      <c r="A4216">
        <v>4214</v>
      </c>
      <c r="B4216">
        <v>3.6999999999999998E+127</v>
      </c>
      <c r="D4216" s="18">
        <v>4214</v>
      </c>
      <c r="E4216" s="18" cm="1">
        <f t="array" aca="1" ref="E4216" ca="1">INDIRECT("b"&amp;F4216+2)</f>
        <v>4.3749999999999999E+172</v>
      </c>
      <c r="F4216" s="18">
        <f t="shared" si="851"/>
        <v>6017</v>
      </c>
      <c r="G4216" s="18"/>
      <c r="H4216" s="18"/>
      <c r="I4216" s="19">
        <v>4214</v>
      </c>
      <c r="J4216" s="19" cm="1">
        <f t="array" aca="1" ref="J4216" ca="1">INDIRECT("b"&amp;K4216+2)</f>
        <v>0</v>
      </c>
      <c r="K4216" s="19">
        <f t="shared" si="847"/>
        <v>7217</v>
      </c>
    </row>
    <row r="4217" spans="1:11">
      <c r="A4217">
        <v>4215</v>
      </c>
      <c r="B4217">
        <v>3.9249999999999996E+127</v>
      </c>
      <c r="D4217" s="18">
        <v>4215</v>
      </c>
      <c r="E4217" s="18" cm="1">
        <f t="array" aca="1" ref="E4217" ca="1">INDIRECT("b"&amp;F4217+2)</f>
        <v>4.6000000000000002E+172</v>
      </c>
      <c r="F4217" s="18">
        <f t="shared" si="851"/>
        <v>6018</v>
      </c>
      <c r="G4217" s="18">
        <f t="shared" ref="G4217" ca="1" si="860">E4217/E4212</f>
        <v>1.4153846153846155</v>
      </c>
      <c r="H4217" s="18"/>
      <c r="I4217" s="19">
        <v>4215</v>
      </c>
      <c r="J4217" s="19" cm="1">
        <f t="array" aca="1" ref="J4217" ca="1">INDIRECT("b"&amp;K4217+2)</f>
        <v>0</v>
      </c>
      <c r="K4217" s="19">
        <f t="shared" si="847"/>
        <v>7218</v>
      </c>
    </row>
    <row r="4218" spans="1:11">
      <c r="A4218">
        <v>4216</v>
      </c>
      <c r="B4218">
        <v>4.1499999999999998E+127</v>
      </c>
      <c r="D4218" s="18">
        <v>4216</v>
      </c>
      <c r="E4218" s="18" cm="1">
        <f t="array" aca="1" ref="E4218" ca="1">INDIRECT("b"&amp;F4218+2)</f>
        <v>5.0500000000000001E+172</v>
      </c>
      <c r="F4218" s="18">
        <f t="shared" si="851"/>
        <v>6020</v>
      </c>
      <c r="G4218" s="18"/>
      <c r="H4218" s="18"/>
      <c r="I4218" s="19">
        <v>4216</v>
      </c>
      <c r="J4218" s="19" cm="1">
        <f t="array" aca="1" ref="J4218" ca="1">INDIRECT("b"&amp;K4218+2)</f>
        <v>0</v>
      </c>
      <c r="K4218" s="19">
        <f t="shared" si="847"/>
        <v>7220</v>
      </c>
    </row>
    <row r="4219" spans="1:11">
      <c r="A4219">
        <v>4217</v>
      </c>
      <c r="B4219">
        <v>4.3749999999999996E+127</v>
      </c>
      <c r="D4219" s="18">
        <v>4217</v>
      </c>
      <c r="E4219" s="18" cm="1">
        <f t="array" aca="1" ref="E4219" ca="1">INDIRECT("b"&amp;F4219+2)</f>
        <v>5.2750000000000003E+172</v>
      </c>
      <c r="F4219" s="18">
        <f t="shared" si="851"/>
        <v>6021</v>
      </c>
      <c r="G4219" s="18"/>
      <c r="H4219" s="18"/>
      <c r="I4219" s="19">
        <v>4217</v>
      </c>
      <c r="J4219" s="19" cm="1">
        <f t="array" aca="1" ref="J4219" ca="1">INDIRECT("b"&amp;K4219+2)</f>
        <v>0</v>
      </c>
      <c r="K4219" s="19">
        <f t="shared" si="847"/>
        <v>7221</v>
      </c>
    </row>
    <row r="4220" spans="1:11">
      <c r="A4220">
        <v>4218</v>
      </c>
      <c r="B4220">
        <v>4.5999999999999994E+127</v>
      </c>
      <c r="D4220" s="18">
        <v>4218</v>
      </c>
      <c r="E4220" s="18" cm="1">
        <f t="array" aca="1" ref="E4220" ca="1">INDIRECT("b"&amp;F4220+2)</f>
        <v>5.4999999999999999E+172</v>
      </c>
      <c r="F4220" s="18">
        <f t="shared" si="851"/>
        <v>6022</v>
      </c>
      <c r="G4220" s="18"/>
      <c r="H4220" s="18"/>
      <c r="I4220" s="19">
        <v>4218</v>
      </c>
      <c r="J4220" s="19" cm="1">
        <f t="array" aca="1" ref="J4220" ca="1">INDIRECT("b"&amp;K4220+2)</f>
        <v>0</v>
      </c>
      <c r="K4220" s="19">
        <f t="shared" si="847"/>
        <v>7222</v>
      </c>
    </row>
    <row r="4221" spans="1:11">
      <c r="A4221">
        <v>4219</v>
      </c>
      <c r="B4221">
        <v>4.8250000000000001E+127</v>
      </c>
      <c r="D4221" s="18">
        <v>4219</v>
      </c>
      <c r="E4221" s="18" cm="1">
        <f t="array" aca="1" ref="E4221" ca="1">INDIRECT("b"&amp;F4221+2)</f>
        <v>0</v>
      </c>
      <c r="F4221" s="18">
        <f t="shared" si="851"/>
        <v>6024</v>
      </c>
      <c r="G4221" s="18"/>
      <c r="H4221" s="18"/>
      <c r="I4221" s="19">
        <v>4219</v>
      </c>
      <c r="J4221" s="19" cm="1">
        <f t="array" aca="1" ref="J4221" ca="1">INDIRECT("b"&amp;K4221+2)</f>
        <v>0</v>
      </c>
      <c r="K4221" s="19">
        <f t="shared" si="847"/>
        <v>7224</v>
      </c>
    </row>
    <row r="4222" spans="1:11">
      <c r="A4222">
        <v>4220</v>
      </c>
      <c r="B4222">
        <v>5.0499999999999999E+127</v>
      </c>
      <c r="D4222" s="18">
        <v>4220</v>
      </c>
      <c r="E4222" s="18" cm="1">
        <f t="array" aca="1" ref="E4222" ca="1">INDIRECT("b"&amp;F4222+2)</f>
        <v>0</v>
      </c>
      <c r="F4222" s="18">
        <f t="shared" si="851"/>
        <v>6025</v>
      </c>
      <c r="G4222" s="18">
        <f t="shared" ref="G4222" ca="1" si="861">E4222/E4217</f>
        <v>0</v>
      </c>
      <c r="H4222" s="18"/>
      <c r="I4222" s="19">
        <v>4220</v>
      </c>
      <c r="J4222" s="19" cm="1">
        <f t="array" aca="1" ref="J4222" ca="1">INDIRECT("b"&amp;K4222+2)</f>
        <v>0</v>
      </c>
      <c r="K4222" s="19">
        <f t="shared" si="847"/>
        <v>7225</v>
      </c>
    </row>
    <row r="4223" spans="1:11">
      <c r="A4223">
        <v>4221</v>
      </c>
      <c r="B4223">
        <v>5.2749999999999997E+127</v>
      </c>
      <c r="D4223" s="18">
        <v>4221</v>
      </c>
      <c r="E4223" s="18" cm="1">
        <f t="array" aca="1" ref="E4223" ca="1">INDIRECT("b"&amp;F4223+2)</f>
        <v>0</v>
      </c>
      <c r="F4223" s="18">
        <f t="shared" si="851"/>
        <v>6026</v>
      </c>
      <c r="G4223" s="18"/>
      <c r="H4223" s="18"/>
      <c r="I4223" s="19">
        <v>4221</v>
      </c>
      <c r="J4223" s="19" cm="1">
        <f t="array" aca="1" ref="J4223" ca="1">INDIRECT("b"&amp;K4223+2)</f>
        <v>0</v>
      </c>
      <c r="K4223" s="19">
        <f t="shared" si="847"/>
        <v>7226</v>
      </c>
    </row>
    <row r="4224" spans="1:11">
      <c r="A4224">
        <v>4222</v>
      </c>
      <c r="B4224">
        <v>5.4999999999999995E+127</v>
      </c>
      <c r="D4224" s="18">
        <v>4222</v>
      </c>
      <c r="E4224" s="18" cm="1">
        <f t="array" aca="1" ref="E4224" ca="1">INDIRECT("b"&amp;F4224+2)</f>
        <v>0</v>
      </c>
      <c r="F4224" s="18">
        <f t="shared" si="851"/>
        <v>6028</v>
      </c>
      <c r="G4224" s="18"/>
      <c r="H4224" s="18"/>
      <c r="I4224" s="19">
        <v>4222</v>
      </c>
      <c r="J4224" s="19" cm="1">
        <f t="array" aca="1" ref="J4224" ca="1">INDIRECT("b"&amp;K4224+2)</f>
        <v>0</v>
      </c>
      <c r="K4224" s="19">
        <f t="shared" si="847"/>
        <v>7228</v>
      </c>
    </row>
    <row r="4225" spans="1:11">
      <c r="A4225">
        <v>4223</v>
      </c>
      <c r="B4225">
        <v>5.7249999999999992E+127</v>
      </c>
      <c r="D4225" s="18">
        <v>4223</v>
      </c>
      <c r="E4225" s="18" cm="1">
        <f t="array" aca="1" ref="E4225" ca="1">INDIRECT("b"&amp;F4225+2)</f>
        <v>0</v>
      </c>
      <c r="F4225" s="18">
        <f t="shared" si="851"/>
        <v>6029</v>
      </c>
      <c r="G4225" s="18"/>
      <c r="H4225" s="18"/>
      <c r="I4225" s="19">
        <v>4223</v>
      </c>
      <c r="J4225" s="19" cm="1">
        <f t="array" aca="1" ref="J4225" ca="1">INDIRECT("b"&amp;K4225+2)</f>
        <v>0</v>
      </c>
      <c r="K4225" s="19">
        <f t="shared" si="847"/>
        <v>7229</v>
      </c>
    </row>
    <row r="4226" spans="1:11">
      <c r="A4226">
        <v>4224</v>
      </c>
      <c r="B4226">
        <v>5.95E+127</v>
      </c>
      <c r="D4226" s="18">
        <v>4224</v>
      </c>
      <c r="E4226" s="18" cm="1">
        <f t="array" aca="1" ref="E4226" ca="1">INDIRECT("b"&amp;F4226+2)</f>
        <v>0</v>
      </c>
      <c r="F4226" s="18">
        <f t="shared" si="851"/>
        <v>6030</v>
      </c>
      <c r="G4226" s="18"/>
      <c r="H4226" s="18"/>
      <c r="I4226" s="19">
        <v>4224</v>
      </c>
      <c r="J4226" s="19" cm="1">
        <f t="array" aca="1" ref="J4226" ca="1">INDIRECT("b"&amp;K4226+2)</f>
        <v>0</v>
      </c>
      <c r="K4226" s="19">
        <f t="shared" si="847"/>
        <v>7230</v>
      </c>
    </row>
    <row r="4227" spans="1:11">
      <c r="A4227">
        <v>4225</v>
      </c>
      <c r="B4227">
        <v>6.1749999999999997E+127</v>
      </c>
      <c r="D4227" s="18">
        <v>4225</v>
      </c>
      <c r="E4227" s="18" cm="1">
        <f t="array" aca="1" ref="E4227" ca="1">INDIRECT("b"&amp;F4227+2)</f>
        <v>0</v>
      </c>
      <c r="F4227" s="18">
        <f t="shared" si="851"/>
        <v>6032</v>
      </c>
      <c r="G4227" s="18" t="e">
        <f t="shared" ref="G4227" ca="1" si="862">E4227/E4222</f>
        <v>#DIV/0!</v>
      </c>
      <c r="H4227" s="18"/>
      <c r="I4227" s="19">
        <v>4225</v>
      </c>
      <c r="J4227" s="19" cm="1">
        <f t="array" aca="1" ref="J4227" ca="1">INDIRECT("b"&amp;K4227+2)</f>
        <v>0</v>
      </c>
      <c r="K4227" s="19">
        <f t="shared" si="847"/>
        <v>7232</v>
      </c>
    </row>
    <row r="4228" spans="1:11">
      <c r="A4228">
        <v>4226</v>
      </c>
      <c r="B4228">
        <v>6.3999999999999995E+127</v>
      </c>
      <c r="D4228" s="18">
        <v>4226</v>
      </c>
      <c r="E4228" s="18" cm="1">
        <f t="array" aca="1" ref="E4228" ca="1">INDIRECT("b"&amp;F4228+2)</f>
        <v>0</v>
      </c>
      <c r="F4228" s="18">
        <f t="shared" si="851"/>
        <v>6033</v>
      </c>
      <c r="G4228" s="18"/>
      <c r="H4228" s="18"/>
      <c r="I4228" s="19">
        <v>4226</v>
      </c>
      <c r="J4228" s="19" cm="1">
        <f t="array" aca="1" ref="J4228" ca="1">INDIRECT("b"&amp;K4228+2)</f>
        <v>0</v>
      </c>
      <c r="K4228" s="19">
        <f t="shared" ref="K4228:K4291" si="863">INT((A4228-1)*40/30+900*40/30)+400</f>
        <v>7233</v>
      </c>
    </row>
    <row r="4229" spans="1:11">
      <c r="A4229">
        <v>4227</v>
      </c>
      <c r="B4229">
        <v>6.6249999999999993E+127</v>
      </c>
      <c r="D4229" s="18">
        <v>4227</v>
      </c>
      <c r="E4229" s="18" cm="1">
        <f t="array" aca="1" ref="E4229" ca="1">INDIRECT("b"&amp;F4229+2)</f>
        <v>0</v>
      </c>
      <c r="F4229" s="18">
        <f t="shared" si="851"/>
        <v>6034</v>
      </c>
      <c r="G4229" s="18"/>
      <c r="H4229" s="18"/>
      <c r="I4229" s="19">
        <v>4227</v>
      </c>
      <c r="J4229" s="19" cm="1">
        <f t="array" aca="1" ref="J4229" ca="1">INDIRECT("b"&amp;K4229+2)</f>
        <v>0</v>
      </c>
      <c r="K4229" s="19">
        <f t="shared" si="863"/>
        <v>7234</v>
      </c>
    </row>
    <row r="4230" spans="1:11">
      <c r="A4230">
        <v>4228</v>
      </c>
      <c r="B4230">
        <v>6.85E+127</v>
      </c>
      <c r="D4230" s="18">
        <v>4228</v>
      </c>
      <c r="E4230" s="18" cm="1">
        <f t="array" aca="1" ref="E4230" ca="1">INDIRECT("b"&amp;F4230+2)</f>
        <v>0</v>
      </c>
      <c r="F4230" s="18">
        <f t="shared" si="851"/>
        <v>6036</v>
      </c>
      <c r="G4230" s="18"/>
      <c r="H4230" s="18"/>
      <c r="I4230" s="19">
        <v>4228</v>
      </c>
      <c r="J4230" s="19" cm="1">
        <f t="array" aca="1" ref="J4230" ca="1">INDIRECT("b"&amp;K4230+2)</f>
        <v>0</v>
      </c>
      <c r="K4230" s="19">
        <f t="shared" si="863"/>
        <v>7236</v>
      </c>
    </row>
    <row r="4231" spans="1:11">
      <c r="A4231">
        <v>4229</v>
      </c>
      <c r="B4231">
        <v>7.0749999999999998E+127</v>
      </c>
      <c r="D4231" s="18">
        <v>4229</v>
      </c>
      <c r="E4231" s="18" cm="1">
        <f t="array" aca="1" ref="E4231" ca="1">INDIRECT("b"&amp;F4231+2)</f>
        <v>0</v>
      </c>
      <c r="F4231" s="18">
        <f t="shared" si="851"/>
        <v>6037</v>
      </c>
      <c r="G4231" s="18"/>
      <c r="H4231" s="18"/>
      <c r="I4231" s="19">
        <v>4229</v>
      </c>
      <c r="J4231" s="19" cm="1">
        <f t="array" aca="1" ref="J4231" ca="1">INDIRECT("b"&amp;K4231+2)</f>
        <v>0</v>
      </c>
      <c r="K4231" s="19">
        <f t="shared" si="863"/>
        <v>7237</v>
      </c>
    </row>
    <row r="4232" spans="1:11">
      <c r="A4232">
        <v>4230</v>
      </c>
      <c r="B4232">
        <v>7.2999999999999996E+127</v>
      </c>
      <c r="D4232" s="18">
        <v>4230</v>
      </c>
      <c r="E4232" s="18" cm="1">
        <f t="array" aca="1" ref="E4232" ca="1">INDIRECT("b"&amp;F4232+2)</f>
        <v>0</v>
      </c>
      <c r="F4232" s="18">
        <f t="shared" si="851"/>
        <v>6038</v>
      </c>
      <c r="G4232" s="18" t="e">
        <f t="shared" ref="G4232" ca="1" si="864">E4232/E4227</f>
        <v>#DIV/0!</v>
      </c>
      <c r="H4232" s="18"/>
      <c r="I4232" s="19">
        <v>4230</v>
      </c>
      <c r="J4232" s="19" cm="1">
        <f t="array" aca="1" ref="J4232" ca="1">INDIRECT("b"&amp;K4232+2)</f>
        <v>0</v>
      </c>
      <c r="K4232" s="19">
        <f t="shared" si="863"/>
        <v>7238</v>
      </c>
    </row>
    <row r="4233" spans="1:11">
      <c r="A4233">
        <v>4231</v>
      </c>
      <c r="B4233">
        <v>7.5249999999999994E+127</v>
      </c>
      <c r="D4233" s="18">
        <v>4231</v>
      </c>
      <c r="E4233" s="18" cm="1">
        <f t="array" aca="1" ref="E4233" ca="1">INDIRECT("b"&amp;F4233+2)</f>
        <v>0</v>
      </c>
      <c r="F4233" s="18">
        <f t="shared" si="851"/>
        <v>6040</v>
      </c>
      <c r="G4233" s="18"/>
      <c r="H4233" s="18"/>
      <c r="I4233" s="19">
        <v>4231</v>
      </c>
      <c r="J4233" s="19" cm="1">
        <f t="array" aca="1" ref="J4233" ca="1">INDIRECT("b"&amp;K4233+2)</f>
        <v>0</v>
      </c>
      <c r="K4233" s="19">
        <f t="shared" si="863"/>
        <v>7240</v>
      </c>
    </row>
    <row r="4234" spans="1:11">
      <c r="A4234">
        <v>4232</v>
      </c>
      <c r="B4234">
        <v>7.7499999999999991E+127</v>
      </c>
      <c r="D4234" s="18">
        <v>4232</v>
      </c>
      <c r="E4234" s="18" cm="1">
        <f t="array" aca="1" ref="E4234" ca="1">INDIRECT("b"&amp;F4234+2)</f>
        <v>0</v>
      </c>
      <c r="F4234" s="18">
        <f t="shared" si="851"/>
        <v>6041</v>
      </c>
      <c r="G4234" s="18"/>
      <c r="H4234" s="18"/>
      <c r="I4234" s="19">
        <v>4232</v>
      </c>
      <c r="J4234" s="19" cm="1">
        <f t="array" aca="1" ref="J4234" ca="1">INDIRECT("b"&amp;K4234+2)</f>
        <v>0</v>
      </c>
      <c r="K4234" s="19">
        <f t="shared" si="863"/>
        <v>7241</v>
      </c>
    </row>
    <row r="4235" spans="1:11">
      <c r="A4235">
        <v>4233</v>
      </c>
      <c r="B4235">
        <v>7.9749999999999999E+127</v>
      </c>
      <c r="D4235" s="18">
        <v>4233</v>
      </c>
      <c r="E4235" s="18" cm="1">
        <f t="array" aca="1" ref="E4235" ca="1">INDIRECT("b"&amp;F4235+2)</f>
        <v>0</v>
      </c>
      <c r="F4235" s="18">
        <f t="shared" si="851"/>
        <v>6042</v>
      </c>
      <c r="G4235" s="18"/>
      <c r="H4235" s="18"/>
      <c r="I4235" s="19">
        <v>4233</v>
      </c>
      <c r="J4235" s="19" cm="1">
        <f t="array" aca="1" ref="J4235" ca="1">INDIRECT("b"&amp;K4235+2)</f>
        <v>0</v>
      </c>
      <c r="K4235" s="19">
        <f t="shared" si="863"/>
        <v>7242</v>
      </c>
    </row>
    <row r="4236" spans="1:11">
      <c r="A4236">
        <v>4234</v>
      </c>
      <c r="B4236">
        <v>8.1999999999999997E+127</v>
      </c>
      <c r="D4236" s="18">
        <v>4234</v>
      </c>
      <c r="E4236" s="18" cm="1">
        <f t="array" aca="1" ref="E4236" ca="1">INDIRECT("b"&amp;F4236+2)</f>
        <v>0</v>
      </c>
      <c r="F4236" s="18">
        <f t="shared" si="851"/>
        <v>6044</v>
      </c>
      <c r="G4236" s="18"/>
      <c r="H4236" s="18"/>
      <c r="I4236" s="19">
        <v>4234</v>
      </c>
      <c r="J4236" s="19" cm="1">
        <f t="array" aca="1" ref="J4236" ca="1">INDIRECT("b"&amp;K4236+2)</f>
        <v>0</v>
      </c>
      <c r="K4236" s="19">
        <f t="shared" si="863"/>
        <v>7244</v>
      </c>
    </row>
    <row r="4237" spans="1:11">
      <c r="A4237">
        <v>4235</v>
      </c>
      <c r="B4237">
        <v>8.4249999999999994E+127</v>
      </c>
      <c r="D4237" s="18">
        <v>4235</v>
      </c>
      <c r="E4237" s="18" cm="1">
        <f t="array" aca="1" ref="E4237" ca="1">INDIRECT("b"&amp;F4237+2)</f>
        <v>0</v>
      </c>
      <c r="F4237" s="18">
        <f t="shared" si="851"/>
        <v>6045</v>
      </c>
      <c r="G4237" s="18" t="e">
        <f t="shared" ref="G4237" ca="1" si="865">E4237/E4232</f>
        <v>#DIV/0!</v>
      </c>
      <c r="H4237" s="18"/>
      <c r="I4237" s="19">
        <v>4235</v>
      </c>
      <c r="J4237" s="19" cm="1">
        <f t="array" aca="1" ref="J4237" ca="1">INDIRECT("b"&amp;K4237+2)</f>
        <v>0</v>
      </c>
      <c r="K4237" s="19">
        <f t="shared" si="863"/>
        <v>7245</v>
      </c>
    </row>
    <row r="4238" spans="1:11">
      <c r="A4238">
        <v>4236</v>
      </c>
      <c r="B4238">
        <v>8.6499999999999992E+127</v>
      </c>
      <c r="D4238" s="18">
        <v>4236</v>
      </c>
      <c r="E4238" s="18" cm="1">
        <f t="array" aca="1" ref="E4238" ca="1">INDIRECT("b"&amp;F4238+2)</f>
        <v>0</v>
      </c>
      <c r="F4238" s="18">
        <f t="shared" si="851"/>
        <v>6046</v>
      </c>
      <c r="G4238" s="18"/>
      <c r="H4238" s="18"/>
      <c r="I4238" s="19">
        <v>4236</v>
      </c>
      <c r="J4238" s="19" cm="1">
        <f t="array" aca="1" ref="J4238" ca="1">INDIRECT("b"&amp;K4238+2)</f>
        <v>0</v>
      </c>
      <c r="K4238" s="19">
        <f t="shared" si="863"/>
        <v>7246</v>
      </c>
    </row>
    <row r="4239" spans="1:11">
      <c r="A4239">
        <v>4237</v>
      </c>
      <c r="B4239">
        <v>8.8749999999999999E+127</v>
      </c>
      <c r="D4239" s="18">
        <v>4237</v>
      </c>
      <c r="E4239" s="18" cm="1">
        <f t="array" aca="1" ref="E4239" ca="1">INDIRECT("b"&amp;F4239+2)</f>
        <v>0</v>
      </c>
      <c r="F4239" s="18">
        <f t="shared" si="851"/>
        <v>6048</v>
      </c>
      <c r="G4239" s="18"/>
      <c r="H4239" s="18"/>
      <c r="I4239" s="19">
        <v>4237</v>
      </c>
      <c r="J4239" s="19" cm="1">
        <f t="array" aca="1" ref="J4239" ca="1">INDIRECT("b"&amp;K4239+2)</f>
        <v>0</v>
      </c>
      <c r="K4239" s="19">
        <f t="shared" si="863"/>
        <v>7248</v>
      </c>
    </row>
    <row r="4240" spans="1:11">
      <c r="A4240">
        <v>4238</v>
      </c>
      <c r="B4240">
        <v>9.0999999999999997E+127</v>
      </c>
      <c r="D4240" s="18">
        <v>4238</v>
      </c>
      <c r="E4240" s="18" cm="1">
        <f t="array" aca="1" ref="E4240" ca="1">INDIRECT("b"&amp;F4240+2)</f>
        <v>0</v>
      </c>
      <c r="F4240" s="18">
        <f t="shared" si="851"/>
        <v>6049</v>
      </c>
      <c r="G4240" s="18"/>
      <c r="H4240" s="18"/>
      <c r="I4240" s="19">
        <v>4238</v>
      </c>
      <c r="J4240" s="19" cm="1">
        <f t="array" aca="1" ref="J4240" ca="1">INDIRECT("b"&amp;K4240+2)</f>
        <v>0</v>
      </c>
      <c r="K4240" s="19">
        <f t="shared" si="863"/>
        <v>7249</v>
      </c>
    </row>
    <row r="4241" spans="1:11">
      <c r="A4241">
        <v>4239</v>
      </c>
      <c r="B4241">
        <v>9.3249999999999995E+127</v>
      </c>
      <c r="D4241" s="18">
        <v>4239</v>
      </c>
      <c r="E4241" s="18" cm="1">
        <f t="array" aca="1" ref="E4241" ca="1">INDIRECT("b"&amp;F4241+2)</f>
        <v>0</v>
      </c>
      <c r="F4241" s="18">
        <f t="shared" si="851"/>
        <v>6050</v>
      </c>
      <c r="G4241" s="18"/>
      <c r="H4241" s="18"/>
      <c r="I4241" s="19">
        <v>4239</v>
      </c>
      <c r="J4241" s="19" cm="1">
        <f t="array" aca="1" ref="J4241" ca="1">INDIRECT("b"&amp;K4241+2)</f>
        <v>0</v>
      </c>
      <c r="K4241" s="19">
        <f t="shared" si="863"/>
        <v>7250</v>
      </c>
    </row>
    <row r="4242" spans="1:11">
      <c r="A4242">
        <v>4240</v>
      </c>
      <c r="B4242">
        <v>9.5499999999999993E+127</v>
      </c>
      <c r="D4242" s="18">
        <v>4240</v>
      </c>
      <c r="E4242" s="18" cm="1">
        <f t="array" aca="1" ref="E4242" ca="1">INDIRECT("b"&amp;F4242+2)</f>
        <v>0</v>
      </c>
      <c r="F4242" s="18">
        <f t="shared" si="851"/>
        <v>6052</v>
      </c>
      <c r="G4242" s="18" t="e">
        <f t="shared" ref="G4242" ca="1" si="866">E4242/E4237</f>
        <v>#DIV/0!</v>
      </c>
      <c r="H4242" s="18"/>
      <c r="I4242" s="19">
        <v>4240</v>
      </c>
      <c r="J4242" s="19" cm="1">
        <f t="array" aca="1" ref="J4242" ca="1">INDIRECT("b"&amp;K4242+2)</f>
        <v>0</v>
      </c>
      <c r="K4242" s="19">
        <f t="shared" si="863"/>
        <v>7252</v>
      </c>
    </row>
    <row r="4243" spans="1:11">
      <c r="A4243">
        <v>4241</v>
      </c>
      <c r="B4243">
        <v>9.7749999999999991E+127</v>
      </c>
      <c r="D4243" s="18">
        <v>4241</v>
      </c>
      <c r="E4243" s="18" cm="1">
        <f t="array" aca="1" ref="E4243" ca="1">INDIRECT("b"&amp;F4243+2)</f>
        <v>0</v>
      </c>
      <c r="F4243" s="18">
        <f t="shared" ref="F4243:F4306" si="867">INT((A4243-123)*1.333333)+563</f>
        <v>6053</v>
      </c>
      <c r="G4243" s="18"/>
      <c r="H4243" s="18"/>
      <c r="I4243" s="19">
        <v>4241</v>
      </c>
      <c r="J4243" s="19" cm="1">
        <f t="array" aca="1" ref="J4243" ca="1">INDIRECT("b"&amp;K4243+2)</f>
        <v>0</v>
      </c>
      <c r="K4243" s="19">
        <f t="shared" si="863"/>
        <v>7253</v>
      </c>
    </row>
    <row r="4244" spans="1:11">
      <c r="A4244">
        <v>4242</v>
      </c>
      <c r="B4244">
        <v>1.0000000000000001E+128</v>
      </c>
      <c r="D4244" s="18">
        <v>4242</v>
      </c>
      <c r="E4244" s="18" cm="1">
        <f t="array" aca="1" ref="E4244" ca="1">INDIRECT("b"&amp;F4244+2)</f>
        <v>0</v>
      </c>
      <c r="F4244" s="18">
        <f t="shared" si="867"/>
        <v>6054</v>
      </c>
      <c r="G4244" s="18"/>
      <c r="H4244" s="18"/>
      <c r="I4244" s="19">
        <v>4242</v>
      </c>
      <c r="J4244" s="19" cm="1">
        <f t="array" aca="1" ref="J4244" ca="1">INDIRECT("b"&amp;K4244+2)</f>
        <v>0</v>
      </c>
      <c r="K4244" s="19">
        <f t="shared" si="863"/>
        <v>7254</v>
      </c>
    </row>
    <row r="4245" spans="1:11">
      <c r="A4245">
        <v>4243</v>
      </c>
      <c r="B4245">
        <v>1.225E+128</v>
      </c>
      <c r="D4245" s="18">
        <v>4243</v>
      </c>
      <c r="E4245" s="18" cm="1">
        <f t="array" aca="1" ref="E4245" ca="1">INDIRECT("b"&amp;F4245+2)</f>
        <v>0</v>
      </c>
      <c r="F4245" s="18">
        <f t="shared" si="867"/>
        <v>6056</v>
      </c>
      <c r="G4245" s="18"/>
      <c r="H4245" s="18"/>
      <c r="I4245" s="19">
        <v>4243</v>
      </c>
      <c r="J4245" s="19" cm="1">
        <f t="array" aca="1" ref="J4245" ca="1">INDIRECT("b"&amp;K4245+2)</f>
        <v>0</v>
      </c>
      <c r="K4245" s="19">
        <f t="shared" si="863"/>
        <v>7256</v>
      </c>
    </row>
    <row r="4246" spans="1:11">
      <c r="A4246">
        <v>4244</v>
      </c>
      <c r="B4246">
        <v>1.45E+128</v>
      </c>
      <c r="D4246" s="18">
        <v>4244</v>
      </c>
      <c r="E4246" s="18" cm="1">
        <f t="array" aca="1" ref="E4246" ca="1">INDIRECT("b"&amp;F4246+2)</f>
        <v>0</v>
      </c>
      <c r="F4246" s="18">
        <f t="shared" si="867"/>
        <v>6057</v>
      </c>
      <c r="G4246" s="18"/>
      <c r="H4246" s="18"/>
      <c r="I4246" s="19">
        <v>4244</v>
      </c>
      <c r="J4246" s="19" cm="1">
        <f t="array" aca="1" ref="J4246" ca="1">INDIRECT("b"&amp;K4246+2)</f>
        <v>0</v>
      </c>
      <c r="K4246" s="19">
        <f t="shared" si="863"/>
        <v>7257</v>
      </c>
    </row>
    <row r="4247" spans="1:11">
      <c r="A4247">
        <v>4245</v>
      </c>
      <c r="B4247">
        <v>1.675E+128</v>
      </c>
      <c r="D4247" s="18">
        <v>4245</v>
      </c>
      <c r="E4247" s="18" cm="1">
        <f t="array" aca="1" ref="E4247" ca="1">INDIRECT("b"&amp;F4247+2)</f>
        <v>0</v>
      </c>
      <c r="F4247" s="18">
        <f t="shared" si="867"/>
        <v>6058</v>
      </c>
      <c r="G4247" s="18" t="e">
        <f t="shared" ref="G4247" ca="1" si="868">E4247/E4242</f>
        <v>#DIV/0!</v>
      </c>
      <c r="H4247" s="18"/>
      <c r="I4247" s="19">
        <v>4245</v>
      </c>
      <c r="J4247" s="19" cm="1">
        <f t="array" aca="1" ref="J4247" ca="1">INDIRECT("b"&amp;K4247+2)</f>
        <v>0</v>
      </c>
      <c r="K4247" s="19">
        <f t="shared" si="863"/>
        <v>7258</v>
      </c>
    </row>
    <row r="4248" spans="1:11">
      <c r="A4248">
        <v>4246</v>
      </c>
      <c r="B4248">
        <v>1.9E+128</v>
      </c>
      <c r="D4248" s="18">
        <v>4246</v>
      </c>
      <c r="E4248" s="18" cm="1">
        <f t="array" aca="1" ref="E4248" ca="1">INDIRECT("b"&amp;F4248+2)</f>
        <v>0</v>
      </c>
      <c r="F4248" s="18">
        <f t="shared" si="867"/>
        <v>6060</v>
      </c>
      <c r="G4248" s="18"/>
      <c r="H4248" s="18"/>
      <c r="I4248" s="19">
        <v>4246</v>
      </c>
      <c r="J4248" s="19" cm="1">
        <f t="array" aca="1" ref="J4248" ca="1">INDIRECT("b"&amp;K4248+2)</f>
        <v>0</v>
      </c>
      <c r="K4248" s="19">
        <f t="shared" si="863"/>
        <v>7260</v>
      </c>
    </row>
    <row r="4249" spans="1:11">
      <c r="A4249">
        <v>4247</v>
      </c>
      <c r="B4249">
        <v>2.1250000000000001E+128</v>
      </c>
      <c r="D4249" s="18">
        <v>4247</v>
      </c>
      <c r="E4249" s="18" cm="1">
        <f t="array" aca="1" ref="E4249" ca="1">INDIRECT("b"&amp;F4249+2)</f>
        <v>0</v>
      </c>
      <c r="F4249" s="18">
        <f t="shared" si="867"/>
        <v>6061</v>
      </c>
      <c r="G4249" s="18"/>
      <c r="H4249" s="18"/>
      <c r="I4249" s="19">
        <v>4247</v>
      </c>
      <c r="J4249" s="19" cm="1">
        <f t="array" aca="1" ref="J4249" ca="1">INDIRECT("b"&amp;K4249+2)</f>
        <v>0</v>
      </c>
      <c r="K4249" s="19">
        <f t="shared" si="863"/>
        <v>7261</v>
      </c>
    </row>
    <row r="4250" spans="1:11">
      <c r="A4250">
        <v>4248</v>
      </c>
      <c r="B4250">
        <v>2.3499999999999999E+128</v>
      </c>
      <c r="D4250" s="18">
        <v>4248</v>
      </c>
      <c r="E4250" s="18" cm="1">
        <f t="array" aca="1" ref="E4250" ca="1">INDIRECT("b"&amp;F4250+2)</f>
        <v>0</v>
      </c>
      <c r="F4250" s="18">
        <f t="shared" si="867"/>
        <v>6062</v>
      </c>
      <c r="G4250" s="18"/>
      <c r="H4250" s="18"/>
      <c r="I4250" s="19">
        <v>4248</v>
      </c>
      <c r="J4250" s="19" cm="1">
        <f t="array" aca="1" ref="J4250" ca="1">INDIRECT("b"&amp;K4250+2)</f>
        <v>0</v>
      </c>
      <c r="K4250" s="19">
        <f t="shared" si="863"/>
        <v>7262</v>
      </c>
    </row>
    <row r="4251" spans="1:11">
      <c r="A4251">
        <v>4249</v>
      </c>
      <c r="B4251">
        <v>2.575E+128</v>
      </c>
      <c r="D4251" s="18">
        <v>4249</v>
      </c>
      <c r="E4251" s="18" cm="1">
        <f t="array" aca="1" ref="E4251" ca="1">INDIRECT("b"&amp;F4251+2)</f>
        <v>0</v>
      </c>
      <c r="F4251" s="18">
        <f t="shared" si="867"/>
        <v>6064</v>
      </c>
      <c r="G4251" s="18"/>
      <c r="H4251" s="18"/>
      <c r="I4251" s="19">
        <v>4249</v>
      </c>
      <c r="J4251" s="19" cm="1">
        <f t="array" aca="1" ref="J4251" ca="1">INDIRECT("b"&amp;K4251+2)</f>
        <v>0</v>
      </c>
      <c r="K4251" s="19">
        <f t="shared" si="863"/>
        <v>7264</v>
      </c>
    </row>
    <row r="4252" spans="1:11">
      <c r="A4252">
        <v>4250</v>
      </c>
      <c r="B4252">
        <v>2.7999999999999998E+128</v>
      </c>
      <c r="D4252" s="18">
        <v>4250</v>
      </c>
      <c r="E4252" s="18" cm="1">
        <f t="array" aca="1" ref="E4252" ca="1">INDIRECT("b"&amp;F4252+2)</f>
        <v>0</v>
      </c>
      <c r="F4252" s="18">
        <f t="shared" si="867"/>
        <v>6065</v>
      </c>
      <c r="G4252" s="18" t="e">
        <f t="shared" ref="G4252" ca="1" si="869">E4252/E4247</f>
        <v>#DIV/0!</v>
      </c>
      <c r="H4252" s="18"/>
      <c r="I4252" s="19">
        <v>4250</v>
      </c>
      <c r="J4252" s="19" cm="1">
        <f t="array" aca="1" ref="J4252" ca="1">INDIRECT("b"&amp;K4252+2)</f>
        <v>0</v>
      </c>
      <c r="K4252" s="19">
        <f t="shared" si="863"/>
        <v>7265</v>
      </c>
    </row>
    <row r="4253" spans="1:11">
      <c r="A4253">
        <v>4251</v>
      </c>
      <c r="B4253">
        <v>3.025E+128</v>
      </c>
      <c r="D4253" s="18">
        <v>4251</v>
      </c>
      <c r="E4253" s="18" cm="1">
        <f t="array" aca="1" ref="E4253" ca="1">INDIRECT("b"&amp;F4253+2)</f>
        <v>0</v>
      </c>
      <c r="F4253" s="18">
        <f t="shared" si="867"/>
        <v>6066</v>
      </c>
      <c r="G4253" s="18"/>
      <c r="H4253" s="18"/>
      <c r="I4253" s="19">
        <v>4251</v>
      </c>
      <c r="J4253" s="19" cm="1">
        <f t="array" aca="1" ref="J4253" ca="1">INDIRECT("b"&amp;K4253+2)</f>
        <v>0</v>
      </c>
      <c r="K4253" s="19">
        <f t="shared" si="863"/>
        <v>7266</v>
      </c>
    </row>
    <row r="4254" spans="1:11">
      <c r="A4254">
        <v>4252</v>
      </c>
      <c r="B4254">
        <v>3.2499999999999998E+128</v>
      </c>
      <c r="D4254" s="18">
        <v>4252</v>
      </c>
      <c r="E4254" s="18" cm="1">
        <f t="array" aca="1" ref="E4254" ca="1">INDIRECT("b"&amp;F4254+2)</f>
        <v>0</v>
      </c>
      <c r="F4254" s="18">
        <f t="shared" si="867"/>
        <v>6068</v>
      </c>
      <c r="G4254" s="18"/>
      <c r="H4254" s="18"/>
      <c r="I4254" s="19">
        <v>4252</v>
      </c>
      <c r="J4254" s="19" cm="1">
        <f t="array" aca="1" ref="J4254" ca="1">INDIRECT("b"&amp;K4254+2)</f>
        <v>0</v>
      </c>
      <c r="K4254" s="19">
        <f t="shared" si="863"/>
        <v>7268</v>
      </c>
    </row>
    <row r="4255" spans="1:11">
      <c r="A4255">
        <v>4253</v>
      </c>
      <c r="B4255">
        <v>3.4749999999999999E+128</v>
      </c>
      <c r="D4255" s="18">
        <v>4253</v>
      </c>
      <c r="E4255" s="18" cm="1">
        <f t="array" aca="1" ref="E4255" ca="1">INDIRECT("b"&amp;F4255+2)</f>
        <v>0</v>
      </c>
      <c r="F4255" s="18">
        <f t="shared" si="867"/>
        <v>6069</v>
      </c>
      <c r="G4255" s="18"/>
      <c r="H4255" s="18"/>
      <c r="I4255" s="19">
        <v>4253</v>
      </c>
      <c r="J4255" s="19" cm="1">
        <f t="array" aca="1" ref="J4255" ca="1">INDIRECT("b"&amp;K4255+2)</f>
        <v>0</v>
      </c>
      <c r="K4255" s="19">
        <f t="shared" si="863"/>
        <v>7269</v>
      </c>
    </row>
    <row r="4256" spans="1:11">
      <c r="A4256">
        <v>4254</v>
      </c>
      <c r="B4256">
        <v>3.7000000000000001E+128</v>
      </c>
      <c r="D4256" s="18">
        <v>4254</v>
      </c>
      <c r="E4256" s="18" cm="1">
        <f t="array" aca="1" ref="E4256" ca="1">INDIRECT("b"&amp;F4256+2)</f>
        <v>0</v>
      </c>
      <c r="F4256" s="18">
        <f t="shared" si="867"/>
        <v>6070</v>
      </c>
      <c r="G4256" s="18"/>
      <c r="H4256" s="18"/>
      <c r="I4256" s="19">
        <v>4254</v>
      </c>
      <c r="J4256" s="19" cm="1">
        <f t="array" aca="1" ref="J4256" ca="1">INDIRECT("b"&amp;K4256+2)</f>
        <v>0</v>
      </c>
      <c r="K4256" s="19">
        <f t="shared" si="863"/>
        <v>7270</v>
      </c>
    </row>
    <row r="4257" spans="1:11">
      <c r="A4257">
        <v>4255</v>
      </c>
      <c r="B4257">
        <v>3.9250000000000002E+128</v>
      </c>
      <c r="D4257" s="18">
        <v>4255</v>
      </c>
      <c r="E4257" s="18" cm="1">
        <f t="array" aca="1" ref="E4257" ca="1">INDIRECT("b"&amp;F4257+2)</f>
        <v>0</v>
      </c>
      <c r="F4257" s="18">
        <f t="shared" si="867"/>
        <v>6072</v>
      </c>
      <c r="G4257" s="18" t="e">
        <f t="shared" ref="G4257" ca="1" si="870">E4257/E4252</f>
        <v>#DIV/0!</v>
      </c>
      <c r="H4257" s="18"/>
      <c r="I4257" s="19">
        <v>4255</v>
      </c>
      <c r="J4257" s="19" cm="1">
        <f t="array" aca="1" ref="J4257" ca="1">INDIRECT("b"&amp;K4257+2)</f>
        <v>0</v>
      </c>
      <c r="K4257" s="19">
        <f t="shared" si="863"/>
        <v>7272</v>
      </c>
    </row>
    <row r="4258" spans="1:11">
      <c r="A4258">
        <v>4256</v>
      </c>
      <c r="B4258">
        <v>4.1499999999999996E+128</v>
      </c>
      <c r="D4258" s="18">
        <v>4256</v>
      </c>
      <c r="E4258" s="18" cm="1">
        <f t="array" aca="1" ref="E4258" ca="1">INDIRECT("b"&amp;F4258+2)</f>
        <v>0</v>
      </c>
      <c r="F4258" s="18">
        <f t="shared" si="867"/>
        <v>6073</v>
      </c>
      <c r="G4258" s="18"/>
      <c r="H4258" s="18"/>
      <c r="I4258" s="19">
        <v>4256</v>
      </c>
      <c r="J4258" s="19" cm="1">
        <f t="array" aca="1" ref="J4258" ca="1">INDIRECT("b"&amp;K4258+2)</f>
        <v>0</v>
      </c>
      <c r="K4258" s="19">
        <f t="shared" si="863"/>
        <v>7273</v>
      </c>
    </row>
    <row r="4259" spans="1:11">
      <c r="A4259">
        <v>4257</v>
      </c>
      <c r="B4259">
        <v>4.3749999999999998E+128</v>
      </c>
      <c r="D4259" s="18">
        <v>4257</v>
      </c>
      <c r="E4259" s="18" cm="1">
        <f t="array" aca="1" ref="E4259" ca="1">INDIRECT("b"&amp;F4259+2)</f>
        <v>0</v>
      </c>
      <c r="F4259" s="18">
        <f t="shared" si="867"/>
        <v>6074</v>
      </c>
      <c r="G4259" s="18"/>
      <c r="H4259" s="18"/>
      <c r="I4259" s="19">
        <v>4257</v>
      </c>
      <c r="J4259" s="19" cm="1">
        <f t="array" aca="1" ref="J4259" ca="1">INDIRECT("b"&amp;K4259+2)</f>
        <v>0</v>
      </c>
      <c r="K4259" s="19">
        <f t="shared" si="863"/>
        <v>7274</v>
      </c>
    </row>
    <row r="4260" spans="1:11">
      <c r="A4260">
        <v>4258</v>
      </c>
      <c r="B4260">
        <v>4.6E+128</v>
      </c>
      <c r="D4260" s="18">
        <v>4258</v>
      </c>
      <c r="E4260" s="18" cm="1">
        <f t="array" aca="1" ref="E4260" ca="1">INDIRECT("b"&amp;F4260+2)</f>
        <v>0</v>
      </c>
      <c r="F4260" s="18">
        <f t="shared" si="867"/>
        <v>6076</v>
      </c>
      <c r="G4260" s="18"/>
      <c r="H4260" s="18"/>
      <c r="I4260" s="19">
        <v>4258</v>
      </c>
      <c r="J4260" s="19" cm="1">
        <f t="array" aca="1" ref="J4260" ca="1">INDIRECT("b"&amp;K4260+2)</f>
        <v>0</v>
      </c>
      <c r="K4260" s="19">
        <f t="shared" si="863"/>
        <v>7276</v>
      </c>
    </row>
    <row r="4261" spans="1:11">
      <c r="A4261">
        <v>4259</v>
      </c>
      <c r="B4261">
        <v>4.8250000000000001E+128</v>
      </c>
      <c r="D4261" s="18">
        <v>4259</v>
      </c>
      <c r="E4261" s="18" cm="1">
        <f t="array" aca="1" ref="E4261" ca="1">INDIRECT("b"&amp;F4261+2)</f>
        <v>0</v>
      </c>
      <c r="F4261" s="18">
        <f t="shared" si="867"/>
        <v>6077</v>
      </c>
      <c r="G4261" s="18"/>
      <c r="H4261" s="18"/>
      <c r="I4261" s="19">
        <v>4259</v>
      </c>
      <c r="J4261" s="19" cm="1">
        <f t="array" aca="1" ref="J4261" ca="1">INDIRECT("b"&amp;K4261+2)</f>
        <v>0</v>
      </c>
      <c r="K4261" s="19">
        <f t="shared" si="863"/>
        <v>7277</v>
      </c>
    </row>
    <row r="4262" spans="1:11">
      <c r="A4262">
        <v>4260</v>
      </c>
      <c r="B4262">
        <v>5.0500000000000003E+128</v>
      </c>
      <c r="D4262" s="18">
        <v>4260</v>
      </c>
      <c r="E4262" s="18" cm="1">
        <f t="array" aca="1" ref="E4262" ca="1">INDIRECT("b"&amp;F4262+2)</f>
        <v>0</v>
      </c>
      <c r="F4262" s="18">
        <f t="shared" si="867"/>
        <v>6078</v>
      </c>
      <c r="G4262" s="18" t="e">
        <f t="shared" ref="G4262" ca="1" si="871">E4262/E4257</f>
        <v>#DIV/0!</v>
      </c>
      <c r="H4262" s="18"/>
      <c r="I4262" s="19">
        <v>4260</v>
      </c>
      <c r="J4262" s="19" cm="1">
        <f t="array" aca="1" ref="J4262" ca="1">INDIRECT("b"&amp;K4262+2)</f>
        <v>0</v>
      </c>
      <c r="K4262" s="19">
        <f t="shared" si="863"/>
        <v>7278</v>
      </c>
    </row>
    <row r="4263" spans="1:11">
      <c r="A4263">
        <v>4261</v>
      </c>
      <c r="B4263">
        <v>5.2749999999999997E+128</v>
      </c>
      <c r="D4263" s="18">
        <v>4261</v>
      </c>
      <c r="E4263" s="18" cm="1">
        <f t="array" aca="1" ref="E4263" ca="1">INDIRECT("b"&amp;F4263+2)</f>
        <v>0</v>
      </c>
      <c r="F4263" s="18">
        <f t="shared" si="867"/>
        <v>6080</v>
      </c>
      <c r="G4263" s="18"/>
      <c r="H4263" s="18"/>
      <c r="I4263" s="19">
        <v>4261</v>
      </c>
      <c r="J4263" s="19" cm="1">
        <f t="array" aca="1" ref="J4263" ca="1">INDIRECT("b"&amp;K4263+2)</f>
        <v>0</v>
      </c>
      <c r="K4263" s="19">
        <f t="shared" si="863"/>
        <v>7280</v>
      </c>
    </row>
    <row r="4264" spans="1:11">
      <c r="A4264">
        <v>4262</v>
      </c>
      <c r="B4264">
        <v>5.4999999999999998E+128</v>
      </c>
      <c r="D4264" s="18">
        <v>4262</v>
      </c>
      <c r="E4264" s="18" cm="1">
        <f t="array" aca="1" ref="E4264" ca="1">INDIRECT("b"&amp;F4264+2)</f>
        <v>0</v>
      </c>
      <c r="F4264" s="18">
        <f t="shared" si="867"/>
        <v>6081</v>
      </c>
      <c r="G4264" s="18"/>
      <c r="H4264" s="18"/>
      <c r="I4264" s="19">
        <v>4262</v>
      </c>
      <c r="J4264" s="19" cm="1">
        <f t="array" aca="1" ref="J4264" ca="1">INDIRECT("b"&amp;K4264+2)</f>
        <v>0</v>
      </c>
      <c r="K4264" s="19">
        <f t="shared" si="863"/>
        <v>7281</v>
      </c>
    </row>
    <row r="4265" spans="1:11">
      <c r="A4265">
        <v>4263</v>
      </c>
      <c r="B4265">
        <v>5.725E+128</v>
      </c>
      <c r="D4265" s="18">
        <v>4263</v>
      </c>
      <c r="E4265" s="18" cm="1">
        <f t="array" aca="1" ref="E4265" ca="1">INDIRECT("b"&amp;F4265+2)</f>
        <v>0</v>
      </c>
      <c r="F4265" s="18">
        <f t="shared" si="867"/>
        <v>6082</v>
      </c>
      <c r="G4265" s="18"/>
      <c r="H4265" s="18"/>
      <c r="I4265" s="19">
        <v>4263</v>
      </c>
      <c r="J4265" s="19" cm="1">
        <f t="array" aca="1" ref="J4265" ca="1">INDIRECT("b"&amp;K4265+2)</f>
        <v>0</v>
      </c>
      <c r="K4265" s="19">
        <f t="shared" si="863"/>
        <v>7282</v>
      </c>
    </row>
    <row r="4266" spans="1:11">
      <c r="A4266">
        <v>4264</v>
      </c>
      <c r="B4266">
        <v>5.9500000000000002E+128</v>
      </c>
      <c r="D4266" s="18">
        <v>4264</v>
      </c>
      <c r="E4266" s="18" cm="1">
        <f t="array" aca="1" ref="E4266" ca="1">INDIRECT("b"&amp;F4266+2)</f>
        <v>0</v>
      </c>
      <c r="F4266" s="18">
        <f t="shared" si="867"/>
        <v>6084</v>
      </c>
      <c r="G4266" s="18"/>
      <c r="H4266" s="18"/>
      <c r="I4266" s="19">
        <v>4264</v>
      </c>
      <c r="J4266" s="19" cm="1">
        <f t="array" aca="1" ref="J4266" ca="1">INDIRECT("b"&amp;K4266+2)</f>
        <v>0</v>
      </c>
      <c r="K4266" s="19">
        <f t="shared" si="863"/>
        <v>7284</v>
      </c>
    </row>
    <row r="4267" spans="1:11">
      <c r="A4267">
        <v>4265</v>
      </c>
      <c r="B4267">
        <v>6.1749999999999996E+128</v>
      </c>
      <c r="D4267" s="18">
        <v>4265</v>
      </c>
      <c r="E4267" s="18" cm="1">
        <f t="array" aca="1" ref="E4267" ca="1">INDIRECT("b"&amp;F4267+2)</f>
        <v>0</v>
      </c>
      <c r="F4267" s="18">
        <f t="shared" si="867"/>
        <v>6085</v>
      </c>
      <c r="G4267" s="18" t="e">
        <f t="shared" ref="G4267" ca="1" si="872">E4267/E4262</f>
        <v>#DIV/0!</v>
      </c>
      <c r="H4267" s="18"/>
      <c r="I4267" s="19">
        <v>4265</v>
      </c>
      <c r="J4267" s="19" cm="1">
        <f t="array" aca="1" ref="J4267" ca="1">INDIRECT("b"&amp;K4267+2)</f>
        <v>0</v>
      </c>
      <c r="K4267" s="19">
        <f t="shared" si="863"/>
        <v>7285</v>
      </c>
    </row>
    <row r="4268" spans="1:11">
      <c r="A4268">
        <v>4266</v>
      </c>
      <c r="B4268">
        <v>6.3999999999999997E+128</v>
      </c>
      <c r="D4268" s="18">
        <v>4266</v>
      </c>
      <c r="E4268" s="18" cm="1">
        <f t="array" aca="1" ref="E4268" ca="1">INDIRECT("b"&amp;F4268+2)</f>
        <v>0</v>
      </c>
      <c r="F4268" s="18">
        <f t="shared" si="867"/>
        <v>6086</v>
      </c>
      <c r="G4268" s="18"/>
      <c r="H4268" s="18"/>
      <c r="I4268" s="19">
        <v>4266</v>
      </c>
      <c r="J4268" s="19" cm="1">
        <f t="array" aca="1" ref="J4268" ca="1">INDIRECT("b"&amp;K4268+2)</f>
        <v>0</v>
      </c>
      <c r="K4268" s="19">
        <f t="shared" si="863"/>
        <v>7286</v>
      </c>
    </row>
    <row r="4269" spans="1:11">
      <c r="A4269">
        <v>4267</v>
      </c>
      <c r="B4269">
        <v>6.6249999999999999E+128</v>
      </c>
      <c r="D4269" s="18">
        <v>4267</v>
      </c>
      <c r="E4269" s="18" cm="1">
        <f t="array" aca="1" ref="E4269" ca="1">INDIRECT("b"&amp;F4269+2)</f>
        <v>0</v>
      </c>
      <c r="F4269" s="18">
        <f t="shared" si="867"/>
        <v>6088</v>
      </c>
      <c r="G4269" s="18"/>
      <c r="H4269" s="18"/>
      <c r="I4269" s="19">
        <v>4267</v>
      </c>
      <c r="J4269" s="19" cm="1">
        <f t="array" aca="1" ref="J4269" ca="1">INDIRECT("b"&amp;K4269+2)</f>
        <v>0</v>
      </c>
      <c r="K4269" s="19">
        <f t="shared" si="863"/>
        <v>7288</v>
      </c>
    </row>
    <row r="4270" spans="1:11">
      <c r="A4270">
        <v>4268</v>
      </c>
      <c r="B4270">
        <v>6.85E+128</v>
      </c>
      <c r="D4270" s="18">
        <v>4268</v>
      </c>
      <c r="E4270" s="18" cm="1">
        <f t="array" aca="1" ref="E4270" ca="1">INDIRECT("b"&amp;F4270+2)</f>
        <v>0</v>
      </c>
      <c r="F4270" s="18">
        <f t="shared" si="867"/>
        <v>6089</v>
      </c>
      <c r="G4270" s="18"/>
      <c r="H4270" s="18"/>
      <c r="I4270" s="19">
        <v>4268</v>
      </c>
      <c r="J4270" s="19" cm="1">
        <f t="array" aca="1" ref="J4270" ca="1">INDIRECT("b"&amp;K4270+2)</f>
        <v>0</v>
      </c>
      <c r="K4270" s="19">
        <f t="shared" si="863"/>
        <v>7289</v>
      </c>
    </row>
    <row r="4271" spans="1:11">
      <c r="A4271">
        <v>4269</v>
      </c>
      <c r="B4271">
        <v>7.0750000000000002E+128</v>
      </c>
      <c r="D4271" s="18">
        <v>4269</v>
      </c>
      <c r="E4271" s="18" cm="1">
        <f t="array" aca="1" ref="E4271" ca="1">INDIRECT("b"&amp;F4271+2)</f>
        <v>0</v>
      </c>
      <c r="F4271" s="18">
        <f t="shared" si="867"/>
        <v>6090</v>
      </c>
      <c r="G4271" s="18"/>
      <c r="H4271" s="18"/>
      <c r="I4271" s="19">
        <v>4269</v>
      </c>
      <c r="J4271" s="19" cm="1">
        <f t="array" aca="1" ref="J4271" ca="1">INDIRECT("b"&amp;K4271+2)</f>
        <v>0</v>
      </c>
      <c r="K4271" s="19">
        <f t="shared" si="863"/>
        <v>7290</v>
      </c>
    </row>
    <row r="4272" spans="1:11">
      <c r="A4272">
        <v>4270</v>
      </c>
      <c r="B4272">
        <v>7.2999999999999996E+128</v>
      </c>
      <c r="D4272" s="18">
        <v>4270</v>
      </c>
      <c r="E4272" s="18" cm="1">
        <f t="array" aca="1" ref="E4272" ca="1">INDIRECT("b"&amp;F4272+2)</f>
        <v>0</v>
      </c>
      <c r="F4272" s="18">
        <f t="shared" si="867"/>
        <v>6092</v>
      </c>
      <c r="G4272" s="18" t="e">
        <f t="shared" ref="G4272" ca="1" si="873">E4272/E4267</f>
        <v>#DIV/0!</v>
      </c>
      <c r="H4272" s="18"/>
      <c r="I4272" s="19">
        <v>4270</v>
      </c>
      <c r="J4272" s="19" cm="1">
        <f t="array" aca="1" ref="J4272" ca="1">INDIRECT("b"&amp;K4272+2)</f>
        <v>0</v>
      </c>
      <c r="K4272" s="19">
        <f t="shared" si="863"/>
        <v>7292</v>
      </c>
    </row>
    <row r="4273" spans="1:11">
      <c r="A4273">
        <v>4271</v>
      </c>
      <c r="B4273">
        <v>7.5250000000000005E+128</v>
      </c>
      <c r="D4273" s="18">
        <v>4271</v>
      </c>
      <c r="E4273" s="18" cm="1">
        <f t="array" aca="1" ref="E4273" ca="1">INDIRECT("b"&amp;F4273+2)</f>
        <v>0</v>
      </c>
      <c r="F4273" s="18">
        <f t="shared" si="867"/>
        <v>6093</v>
      </c>
      <c r="G4273" s="18"/>
      <c r="H4273" s="18"/>
      <c r="I4273" s="19">
        <v>4271</v>
      </c>
      <c r="J4273" s="19" cm="1">
        <f t="array" aca="1" ref="J4273" ca="1">INDIRECT("b"&amp;K4273+2)</f>
        <v>0</v>
      </c>
      <c r="K4273" s="19">
        <f t="shared" si="863"/>
        <v>7293</v>
      </c>
    </row>
    <row r="4274" spans="1:11">
      <c r="A4274">
        <v>4272</v>
      </c>
      <c r="B4274">
        <v>7.7499999999999999E+128</v>
      </c>
      <c r="D4274" s="18">
        <v>4272</v>
      </c>
      <c r="E4274" s="18" cm="1">
        <f t="array" aca="1" ref="E4274" ca="1">INDIRECT("b"&amp;F4274+2)</f>
        <v>0</v>
      </c>
      <c r="F4274" s="18">
        <f t="shared" si="867"/>
        <v>6094</v>
      </c>
      <c r="G4274" s="18"/>
      <c r="H4274" s="18"/>
      <c r="I4274" s="19">
        <v>4272</v>
      </c>
      <c r="J4274" s="19" cm="1">
        <f t="array" aca="1" ref="J4274" ca="1">INDIRECT("b"&amp;K4274+2)</f>
        <v>0</v>
      </c>
      <c r="K4274" s="19">
        <f t="shared" si="863"/>
        <v>7294</v>
      </c>
    </row>
    <row r="4275" spans="1:11">
      <c r="A4275">
        <v>4273</v>
      </c>
      <c r="B4275">
        <v>7.9749999999999993E+128</v>
      </c>
      <c r="D4275" s="18">
        <v>4273</v>
      </c>
      <c r="E4275" s="18" cm="1">
        <f t="array" aca="1" ref="E4275" ca="1">INDIRECT("b"&amp;F4275+2)</f>
        <v>0</v>
      </c>
      <c r="F4275" s="18">
        <f t="shared" si="867"/>
        <v>6096</v>
      </c>
      <c r="G4275" s="18"/>
      <c r="H4275" s="18"/>
      <c r="I4275" s="19">
        <v>4273</v>
      </c>
      <c r="J4275" s="19" cm="1">
        <f t="array" aca="1" ref="J4275" ca="1">INDIRECT("b"&amp;K4275+2)</f>
        <v>0</v>
      </c>
      <c r="K4275" s="19">
        <f t="shared" si="863"/>
        <v>7296</v>
      </c>
    </row>
    <row r="4276" spans="1:11">
      <c r="A4276">
        <v>4274</v>
      </c>
      <c r="B4276">
        <v>8.2000000000000002E+128</v>
      </c>
      <c r="D4276" s="18">
        <v>4274</v>
      </c>
      <c r="E4276" s="18" cm="1">
        <f t="array" aca="1" ref="E4276" ca="1">INDIRECT("b"&amp;F4276+2)</f>
        <v>0</v>
      </c>
      <c r="F4276" s="18">
        <f t="shared" si="867"/>
        <v>6097</v>
      </c>
      <c r="G4276" s="18"/>
      <c r="H4276" s="18"/>
      <c r="I4276" s="19">
        <v>4274</v>
      </c>
      <c r="J4276" s="19" cm="1">
        <f t="array" aca="1" ref="J4276" ca="1">INDIRECT("b"&amp;K4276+2)</f>
        <v>0</v>
      </c>
      <c r="K4276" s="19">
        <f t="shared" si="863"/>
        <v>7297</v>
      </c>
    </row>
    <row r="4277" spans="1:11">
      <c r="A4277">
        <v>4275</v>
      </c>
      <c r="B4277">
        <v>8.4249999999999996E+128</v>
      </c>
      <c r="D4277" s="18">
        <v>4275</v>
      </c>
      <c r="E4277" s="18" cm="1">
        <f t="array" aca="1" ref="E4277" ca="1">INDIRECT("b"&amp;F4277+2)</f>
        <v>0</v>
      </c>
      <c r="F4277" s="18">
        <f t="shared" si="867"/>
        <v>6098</v>
      </c>
      <c r="G4277" s="18" t="e">
        <f t="shared" ref="G4277" ca="1" si="874">E4277/E4272</f>
        <v>#DIV/0!</v>
      </c>
      <c r="H4277" s="18"/>
      <c r="I4277" s="19">
        <v>4275</v>
      </c>
      <c r="J4277" s="19" cm="1">
        <f t="array" aca="1" ref="J4277" ca="1">INDIRECT("b"&amp;K4277+2)</f>
        <v>0</v>
      </c>
      <c r="K4277" s="19">
        <f t="shared" si="863"/>
        <v>7298</v>
      </c>
    </row>
    <row r="4278" spans="1:11">
      <c r="A4278">
        <v>4276</v>
      </c>
      <c r="B4278">
        <v>8.6500000000000006E+128</v>
      </c>
      <c r="D4278" s="18">
        <v>4276</v>
      </c>
      <c r="E4278" s="18" cm="1">
        <f t="array" aca="1" ref="E4278" ca="1">INDIRECT("b"&amp;F4278+2)</f>
        <v>0</v>
      </c>
      <c r="F4278" s="18">
        <f t="shared" si="867"/>
        <v>6100</v>
      </c>
      <c r="G4278" s="18"/>
      <c r="H4278" s="18"/>
      <c r="I4278" s="19">
        <v>4276</v>
      </c>
      <c r="J4278" s="19" cm="1">
        <f t="array" aca="1" ref="J4278" ca="1">INDIRECT("b"&amp;K4278+2)</f>
        <v>0</v>
      </c>
      <c r="K4278" s="19">
        <f t="shared" si="863"/>
        <v>7300</v>
      </c>
    </row>
    <row r="4279" spans="1:11">
      <c r="A4279">
        <v>4277</v>
      </c>
      <c r="B4279">
        <v>8.8749999999999999E+128</v>
      </c>
      <c r="D4279" s="18">
        <v>4277</v>
      </c>
      <c r="E4279" s="18" cm="1">
        <f t="array" aca="1" ref="E4279" ca="1">INDIRECT("b"&amp;F4279+2)</f>
        <v>0</v>
      </c>
      <c r="F4279" s="18">
        <f t="shared" si="867"/>
        <v>6101</v>
      </c>
      <c r="G4279" s="18"/>
      <c r="H4279" s="18"/>
      <c r="I4279" s="19">
        <v>4277</v>
      </c>
      <c r="J4279" s="19" cm="1">
        <f t="array" aca="1" ref="J4279" ca="1">INDIRECT("b"&amp;K4279+2)</f>
        <v>0</v>
      </c>
      <c r="K4279" s="19">
        <f t="shared" si="863"/>
        <v>7301</v>
      </c>
    </row>
    <row r="4280" spans="1:11">
      <c r="A4280">
        <v>4278</v>
      </c>
      <c r="B4280">
        <v>9.0999999999999993E+128</v>
      </c>
      <c r="D4280" s="18">
        <v>4278</v>
      </c>
      <c r="E4280" s="18" cm="1">
        <f t="array" aca="1" ref="E4280" ca="1">INDIRECT("b"&amp;F4280+2)</f>
        <v>0</v>
      </c>
      <c r="F4280" s="18">
        <f t="shared" si="867"/>
        <v>6102</v>
      </c>
      <c r="G4280" s="18"/>
      <c r="H4280" s="18"/>
      <c r="I4280" s="19">
        <v>4278</v>
      </c>
      <c r="J4280" s="19" cm="1">
        <f t="array" aca="1" ref="J4280" ca="1">INDIRECT("b"&amp;K4280+2)</f>
        <v>0</v>
      </c>
      <c r="K4280" s="19">
        <f t="shared" si="863"/>
        <v>7302</v>
      </c>
    </row>
    <row r="4281" spans="1:11">
      <c r="A4281">
        <v>4279</v>
      </c>
      <c r="B4281">
        <v>9.3250000000000003E+128</v>
      </c>
      <c r="D4281" s="18">
        <v>4279</v>
      </c>
      <c r="E4281" s="18" cm="1">
        <f t="array" aca="1" ref="E4281" ca="1">INDIRECT("b"&amp;F4281+2)</f>
        <v>0</v>
      </c>
      <c r="F4281" s="18">
        <f t="shared" si="867"/>
        <v>6104</v>
      </c>
      <c r="G4281" s="18"/>
      <c r="H4281" s="18"/>
      <c r="I4281" s="19">
        <v>4279</v>
      </c>
      <c r="J4281" s="19" cm="1">
        <f t="array" aca="1" ref="J4281" ca="1">INDIRECT("b"&amp;K4281+2)</f>
        <v>0</v>
      </c>
      <c r="K4281" s="19">
        <f t="shared" si="863"/>
        <v>7304</v>
      </c>
    </row>
    <row r="4282" spans="1:11">
      <c r="A4282">
        <v>4280</v>
      </c>
      <c r="B4282">
        <v>9.5499999999999997E+128</v>
      </c>
      <c r="D4282" s="18">
        <v>4280</v>
      </c>
      <c r="E4282" s="18" cm="1">
        <f t="array" aca="1" ref="E4282" ca="1">INDIRECT("b"&amp;F4282+2)</f>
        <v>0</v>
      </c>
      <c r="F4282" s="18">
        <f t="shared" si="867"/>
        <v>6105</v>
      </c>
      <c r="G4282" s="18" t="e">
        <f t="shared" ref="G4282" ca="1" si="875">E4282/E4277</f>
        <v>#DIV/0!</v>
      </c>
      <c r="H4282" s="18"/>
      <c r="I4282" s="19">
        <v>4280</v>
      </c>
      <c r="J4282" s="19" cm="1">
        <f t="array" aca="1" ref="J4282" ca="1">INDIRECT("b"&amp;K4282+2)</f>
        <v>0</v>
      </c>
      <c r="K4282" s="19">
        <f t="shared" si="863"/>
        <v>7305</v>
      </c>
    </row>
    <row r="4283" spans="1:11">
      <c r="A4283">
        <v>4281</v>
      </c>
      <c r="B4283">
        <v>9.7749999999999991E+128</v>
      </c>
      <c r="D4283" s="18">
        <v>4281</v>
      </c>
      <c r="E4283" s="18" cm="1">
        <f t="array" aca="1" ref="E4283" ca="1">INDIRECT("b"&amp;F4283+2)</f>
        <v>0</v>
      </c>
      <c r="F4283" s="18">
        <f t="shared" si="867"/>
        <v>6106</v>
      </c>
      <c r="G4283" s="18"/>
      <c r="H4283" s="18"/>
      <c r="I4283" s="19">
        <v>4281</v>
      </c>
      <c r="J4283" s="19" cm="1">
        <f t="array" aca="1" ref="J4283" ca="1">INDIRECT("b"&amp;K4283+2)</f>
        <v>0</v>
      </c>
      <c r="K4283" s="19">
        <f t="shared" si="863"/>
        <v>7306</v>
      </c>
    </row>
    <row r="4284" spans="1:11">
      <c r="A4284">
        <v>4282</v>
      </c>
      <c r="B4284">
        <v>1E+129</v>
      </c>
      <c r="D4284" s="18">
        <v>4282</v>
      </c>
      <c r="E4284" s="18" cm="1">
        <f t="array" aca="1" ref="E4284" ca="1">INDIRECT("b"&amp;F4284+2)</f>
        <v>0</v>
      </c>
      <c r="F4284" s="18">
        <f t="shared" si="867"/>
        <v>6108</v>
      </c>
      <c r="G4284" s="18"/>
      <c r="H4284" s="18"/>
      <c r="I4284" s="19">
        <v>4282</v>
      </c>
      <c r="J4284" s="19" cm="1">
        <f t="array" aca="1" ref="J4284" ca="1">INDIRECT("b"&amp;K4284+2)</f>
        <v>0</v>
      </c>
      <c r="K4284" s="19">
        <f t="shared" si="863"/>
        <v>7308</v>
      </c>
    </row>
    <row r="4285" spans="1:11">
      <c r="A4285">
        <v>4283</v>
      </c>
      <c r="B4285">
        <v>1.225E+129</v>
      </c>
      <c r="D4285" s="18">
        <v>4283</v>
      </c>
      <c r="E4285" s="18" cm="1">
        <f t="array" aca="1" ref="E4285" ca="1">INDIRECT("b"&amp;F4285+2)</f>
        <v>0</v>
      </c>
      <c r="F4285" s="18">
        <f t="shared" si="867"/>
        <v>6109</v>
      </c>
      <c r="G4285" s="18"/>
      <c r="H4285" s="18"/>
      <c r="I4285" s="19">
        <v>4283</v>
      </c>
      <c r="J4285" s="19" cm="1">
        <f t="array" aca="1" ref="J4285" ca="1">INDIRECT("b"&amp;K4285+2)</f>
        <v>0</v>
      </c>
      <c r="K4285" s="19">
        <f t="shared" si="863"/>
        <v>7309</v>
      </c>
    </row>
    <row r="4286" spans="1:11">
      <c r="A4286">
        <v>4284</v>
      </c>
      <c r="B4286">
        <v>1.45E+129</v>
      </c>
      <c r="D4286" s="18">
        <v>4284</v>
      </c>
      <c r="E4286" s="18" cm="1">
        <f t="array" aca="1" ref="E4286" ca="1">INDIRECT("b"&amp;F4286+2)</f>
        <v>0</v>
      </c>
      <c r="F4286" s="18">
        <f t="shared" si="867"/>
        <v>6110</v>
      </c>
      <c r="G4286" s="18"/>
      <c r="H4286" s="18"/>
      <c r="I4286" s="19">
        <v>4284</v>
      </c>
      <c r="J4286" s="19" cm="1">
        <f t="array" aca="1" ref="J4286" ca="1">INDIRECT("b"&amp;K4286+2)</f>
        <v>0</v>
      </c>
      <c r="K4286" s="19">
        <f t="shared" si="863"/>
        <v>7310</v>
      </c>
    </row>
    <row r="4287" spans="1:11">
      <c r="A4287">
        <v>4285</v>
      </c>
      <c r="B4287">
        <v>1.675E+129</v>
      </c>
      <c r="D4287" s="18">
        <v>4285</v>
      </c>
      <c r="E4287" s="18" cm="1">
        <f t="array" aca="1" ref="E4287" ca="1">INDIRECT("b"&amp;F4287+2)</f>
        <v>0</v>
      </c>
      <c r="F4287" s="18">
        <f t="shared" si="867"/>
        <v>6112</v>
      </c>
      <c r="G4287" s="18" t="e">
        <f t="shared" ref="G4287" ca="1" si="876">E4287/E4282</f>
        <v>#DIV/0!</v>
      </c>
      <c r="H4287" s="18"/>
      <c r="I4287" s="19">
        <v>4285</v>
      </c>
      <c r="J4287" s="19" cm="1">
        <f t="array" aca="1" ref="J4287" ca="1">INDIRECT("b"&amp;K4287+2)</f>
        <v>0</v>
      </c>
      <c r="K4287" s="19">
        <f t="shared" si="863"/>
        <v>7312</v>
      </c>
    </row>
    <row r="4288" spans="1:11">
      <c r="A4288">
        <v>4286</v>
      </c>
      <c r="B4288">
        <v>1.9E+129</v>
      </c>
      <c r="D4288" s="18">
        <v>4286</v>
      </c>
      <c r="E4288" s="18" cm="1">
        <f t="array" aca="1" ref="E4288" ca="1">INDIRECT("b"&amp;F4288+2)</f>
        <v>0</v>
      </c>
      <c r="F4288" s="18">
        <f t="shared" si="867"/>
        <v>6113</v>
      </c>
      <c r="G4288" s="18"/>
      <c r="H4288" s="18"/>
      <c r="I4288" s="19">
        <v>4286</v>
      </c>
      <c r="J4288" s="19" cm="1">
        <f t="array" aca="1" ref="J4288" ca="1">INDIRECT("b"&amp;K4288+2)</f>
        <v>0</v>
      </c>
      <c r="K4288" s="19">
        <f t="shared" si="863"/>
        <v>7313</v>
      </c>
    </row>
    <row r="4289" spans="1:11">
      <c r="A4289">
        <v>4287</v>
      </c>
      <c r="B4289">
        <v>2.125E+129</v>
      </c>
      <c r="D4289" s="18">
        <v>4287</v>
      </c>
      <c r="E4289" s="18" cm="1">
        <f t="array" aca="1" ref="E4289" ca="1">INDIRECT("b"&amp;F4289+2)</f>
        <v>0</v>
      </c>
      <c r="F4289" s="18">
        <f t="shared" si="867"/>
        <v>6114</v>
      </c>
      <c r="G4289" s="18"/>
      <c r="H4289" s="18"/>
      <c r="I4289" s="19">
        <v>4287</v>
      </c>
      <c r="J4289" s="19" cm="1">
        <f t="array" aca="1" ref="J4289" ca="1">INDIRECT("b"&amp;K4289+2)</f>
        <v>0</v>
      </c>
      <c r="K4289" s="19">
        <f t="shared" si="863"/>
        <v>7314</v>
      </c>
    </row>
    <row r="4290" spans="1:11">
      <c r="A4290">
        <v>4288</v>
      </c>
      <c r="B4290">
        <v>2.35E+129</v>
      </c>
      <c r="D4290" s="18">
        <v>4288</v>
      </c>
      <c r="E4290" s="18" cm="1">
        <f t="array" aca="1" ref="E4290" ca="1">INDIRECT("b"&amp;F4290+2)</f>
        <v>0</v>
      </c>
      <c r="F4290" s="18">
        <f t="shared" si="867"/>
        <v>6116</v>
      </c>
      <c r="G4290" s="18"/>
      <c r="H4290" s="18"/>
      <c r="I4290" s="19">
        <v>4288</v>
      </c>
      <c r="J4290" s="19" cm="1">
        <f t="array" aca="1" ref="J4290" ca="1">INDIRECT("b"&amp;K4290+2)</f>
        <v>0</v>
      </c>
      <c r="K4290" s="19">
        <f t="shared" si="863"/>
        <v>7316</v>
      </c>
    </row>
    <row r="4291" spans="1:11">
      <c r="A4291">
        <v>4289</v>
      </c>
      <c r="B4291">
        <v>2.575E+129</v>
      </c>
      <c r="D4291" s="18">
        <v>4289</v>
      </c>
      <c r="E4291" s="18" cm="1">
        <f t="array" aca="1" ref="E4291" ca="1">INDIRECT("b"&amp;F4291+2)</f>
        <v>0</v>
      </c>
      <c r="F4291" s="18">
        <f t="shared" si="867"/>
        <v>6117</v>
      </c>
      <c r="G4291" s="18"/>
      <c r="H4291" s="18"/>
      <c r="I4291" s="19">
        <v>4289</v>
      </c>
      <c r="J4291" s="19" cm="1">
        <f t="array" aca="1" ref="J4291" ca="1">INDIRECT("b"&amp;K4291+2)</f>
        <v>0</v>
      </c>
      <c r="K4291" s="19">
        <f t="shared" si="863"/>
        <v>7317</v>
      </c>
    </row>
    <row r="4292" spans="1:11">
      <c r="A4292">
        <v>4290</v>
      </c>
      <c r="B4292">
        <v>2.8000000000000004E+129</v>
      </c>
      <c r="D4292" s="18">
        <v>4290</v>
      </c>
      <c r="E4292" s="18" cm="1">
        <f t="array" aca="1" ref="E4292" ca="1">INDIRECT("b"&amp;F4292+2)</f>
        <v>0</v>
      </c>
      <c r="F4292" s="18">
        <f t="shared" si="867"/>
        <v>6118</v>
      </c>
      <c r="G4292" s="18" t="e">
        <f t="shared" ref="G4292" ca="1" si="877">E4292/E4287</f>
        <v>#DIV/0!</v>
      </c>
      <c r="H4292" s="18"/>
      <c r="I4292" s="19">
        <v>4290</v>
      </c>
      <c r="J4292" s="19" cm="1">
        <f t="array" aca="1" ref="J4292" ca="1">INDIRECT("b"&amp;K4292+2)</f>
        <v>0</v>
      </c>
      <c r="K4292" s="19">
        <f t="shared" ref="K4292:K4355" si="878">INT((A4292-1)*40/30+900*40/30)+400</f>
        <v>7318</v>
      </c>
    </row>
    <row r="4293" spans="1:11">
      <c r="A4293">
        <v>4291</v>
      </c>
      <c r="B4293">
        <v>3.0250000000000001E+129</v>
      </c>
      <c r="D4293" s="18">
        <v>4291</v>
      </c>
      <c r="E4293" s="18" cm="1">
        <f t="array" aca="1" ref="E4293" ca="1">INDIRECT("b"&amp;F4293+2)</f>
        <v>0</v>
      </c>
      <c r="F4293" s="18">
        <f t="shared" si="867"/>
        <v>6120</v>
      </c>
      <c r="G4293" s="18"/>
      <c r="H4293" s="18"/>
      <c r="I4293" s="19">
        <v>4291</v>
      </c>
      <c r="J4293" s="19" cm="1">
        <f t="array" aca="1" ref="J4293" ca="1">INDIRECT("b"&amp;K4293+2)</f>
        <v>0</v>
      </c>
      <c r="K4293" s="19">
        <f t="shared" si="878"/>
        <v>7320</v>
      </c>
    </row>
    <row r="4294" spans="1:11">
      <c r="A4294">
        <v>4292</v>
      </c>
      <c r="B4294">
        <v>3.2500000000000004E+129</v>
      </c>
      <c r="D4294" s="18">
        <v>4292</v>
      </c>
      <c r="E4294" s="18" cm="1">
        <f t="array" aca="1" ref="E4294" ca="1">INDIRECT("b"&amp;F4294+2)</f>
        <v>0</v>
      </c>
      <c r="F4294" s="18">
        <f t="shared" si="867"/>
        <v>6121</v>
      </c>
      <c r="G4294" s="18"/>
      <c r="H4294" s="18"/>
      <c r="I4294" s="19">
        <v>4292</v>
      </c>
      <c r="J4294" s="19" cm="1">
        <f t="array" aca="1" ref="J4294" ca="1">INDIRECT("b"&amp;K4294+2)</f>
        <v>0</v>
      </c>
      <c r="K4294" s="19">
        <f t="shared" si="878"/>
        <v>7321</v>
      </c>
    </row>
    <row r="4295" spans="1:11">
      <c r="A4295">
        <v>4293</v>
      </c>
      <c r="B4295">
        <v>3.4750000000000001E+129</v>
      </c>
      <c r="D4295" s="18">
        <v>4293</v>
      </c>
      <c r="E4295" s="18" cm="1">
        <f t="array" aca="1" ref="E4295" ca="1">INDIRECT("b"&amp;F4295+2)</f>
        <v>0</v>
      </c>
      <c r="F4295" s="18">
        <f t="shared" si="867"/>
        <v>6122</v>
      </c>
      <c r="G4295" s="18"/>
      <c r="H4295" s="18"/>
      <c r="I4295" s="19">
        <v>4293</v>
      </c>
      <c r="J4295" s="19" cm="1">
        <f t="array" aca="1" ref="J4295" ca="1">INDIRECT("b"&amp;K4295+2)</f>
        <v>0</v>
      </c>
      <c r="K4295" s="19">
        <f t="shared" si="878"/>
        <v>7322</v>
      </c>
    </row>
    <row r="4296" spans="1:11">
      <c r="A4296">
        <v>4294</v>
      </c>
      <c r="B4296">
        <v>3.7000000000000004E+129</v>
      </c>
      <c r="D4296" s="18">
        <v>4294</v>
      </c>
      <c r="E4296" s="18" cm="1">
        <f t="array" aca="1" ref="E4296" ca="1">INDIRECT("b"&amp;F4296+2)</f>
        <v>0</v>
      </c>
      <c r="F4296" s="18">
        <f t="shared" si="867"/>
        <v>6124</v>
      </c>
      <c r="G4296" s="18"/>
      <c r="H4296" s="18"/>
      <c r="I4296" s="19">
        <v>4294</v>
      </c>
      <c r="J4296" s="19" cm="1">
        <f t="array" aca="1" ref="J4296" ca="1">INDIRECT("b"&amp;K4296+2)</f>
        <v>0</v>
      </c>
      <c r="K4296" s="19">
        <f t="shared" si="878"/>
        <v>7324</v>
      </c>
    </row>
    <row r="4297" spans="1:11">
      <c r="A4297">
        <v>4295</v>
      </c>
      <c r="B4297">
        <v>3.9250000000000001E+129</v>
      </c>
      <c r="D4297" s="18">
        <v>4295</v>
      </c>
      <c r="E4297" s="18" cm="1">
        <f t="array" aca="1" ref="E4297" ca="1">INDIRECT("b"&amp;F4297+2)</f>
        <v>0</v>
      </c>
      <c r="F4297" s="18">
        <f t="shared" si="867"/>
        <v>6125</v>
      </c>
      <c r="G4297" s="18" t="e">
        <f t="shared" ref="G4297" ca="1" si="879">E4297/E4292</f>
        <v>#DIV/0!</v>
      </c>
      <c r="H4297" s="18"/>
      <c r="I4297" s="19">
        <v>4295</v>
      </c>
      <c r="J4297" s="19" cm="1">
        <f t="array" aca="1" ref="J4297" ca="1">INDIRECT("b"&amp;K4297+2)</f>
        <v>0</v>
      </c>
      <c r="K4297" s="19">
        <f t="shared" si="878"/>
        <v>7325</v>
      </c>
    </row>
    <row r="4298" spans="1:11">
      <c r="A4298">
        <v>4296</v>
      </c>
      <c r="B4298">
        <v>4.1500000000000004E+129</v>
      </c>
      <c r="D4298" s="18">
        <v>4296</v>
      </c>
      <c r="E4298" s="18" cm="1">
        <f t="array" aca="1" ref="E4298" ca="1">INDIRECT("b"&amp;F4298+2)</f>
        <v>0</v>
      </c>
      <c r="F4298" s="18">
        <f t="shared" si="867"/>
        <v>6126</v>
      </c>
      <c r="G4298" s="18"/>
      <c r="H4298" s="18"/>
      <c r="I4298" s="19">
        <v>4296</v>
      </c>
      <c r="J4298" s="19" cm="1">
        <f t="array" aca="1" ref="J4298" ca="1">INDIRECT("b"&amp;K4298+2)</f>
        <v>0</v>
      </c>
      <c r="K4298" s="19">
        <f t="shared" si="878"/>
        <v>7326</v>
      </c>
    </row>
    <row r="4299" spans="1:11">
      <c r="A4299">
        <v>4297</v>
      </c>
      <c r="B4299">
        <v>4.3750000000000001E+129</v>
      </c>
      <c r="D4299" s="18">
        <v>4297</v>
      </c>
      <c r="E4299" s="18" cm="1">
        <f t="array" aca="1" ref="E4299" ca="1">INDIRECT("b"&amp;F4299+2)</f>
        <v>0</v>
      </c>
      <c r="F4299" s="18">
        <f t="shared" si="867"/>
        <v>6128</v>
      </c>
      <c r="G4299" s="18"/>
      <c r="H4299" s="18"/>
      <c r="I4299" s="19">
        <v>4297</v>
      </c>
      <c r="J4299" s="19" cm="1">
        <f t="array" aca="1" ref="J4299" ca="1">INDIRECT("b"&amp;K4299+2)</f>
        <v>0</v>
      </c>
      <c r="K4299" s="19">
        <f t="shared" si="878"/>
        <v>7328</v>
      </c>
    </row>
    <row r="4300" spans="1:11">
      <c r="A4300">
        <v>4298</v>
      </c>
      <c r="B4300">
        <v>4.6000000000000004E+129</v>
      </c>
      <c r="D4300" s="18">
        <v>4298</v>
      </c>
      <c r="E4300" s="18" cm="1">
        <f t="array" aca="1" ref="E4300" ca="1">INDIRECT("b"&amp;F4300+2)</f>
        <v>0</v>
      </c>
      <c r="F4300" s="18">
        <f t="shared" si="867"/>
        <v>6129</v>
      </c>
      <c r="G4300" s="18"/>
      <c r="H4300" s="18"/>
      <c r="I4300" s="19">
        <v>4298</v>
      </c>
      <c r="J4300" s="19" cm="1">
        <f t="array" aca="1" ref="J4300" ca="1">INDIRECT("b"&amp;K4300+2)</f>
        <v>0</v>
      </c>
      <c r="K4300" s="19">
        <f t="shared" si="878"/>
        <v>7329</v>
      </c>
    </row>
    <row r="4301" spans="1:11">
      <c r="A4301">
        <v>4299</v>
      </c>
      <c r="B4301">
        <v>4.8250000000000001E+129</v>
      </c>
      <c r="D4301" s="18">
        <v>4299</v>
      </c>
      <c r="E4301" s="18" cm="1">
        <f t="array" aca="1" ref="E4301" ca="1">INDIRECT("b"&amp;F4301+2)</f>
        <v>0</v>
      </c>
      <c r="F4301" s="18">
        <f t="shared" si="867"/>
        <v>6130</v>
      </c>
      <c r="G4301" s="18"/>
      <c r="H4301" s="18"/>
      <c r="I4301" s="19">
        <v>4299</v>
      </c>
      <c r="J4301" s="19" cm="1">
        <f t="array" aca="1" ref="J4301" ca="1">INDIRECT("b"&amp;K4301+2)</f>
        <v>0</v>
      </c>
      <c r="K4301" s="19">
        <f t="shared" si="878"/>
        <v>7330</v>
      </c>
    </row>
    <row r="4302" spans="1:11">
      <c r="A4302">
        <v>4300</v>
      </c>
      <c r="B4302">
        <v>5.0500000000000004E+129</v>
      </c>
      <c r="D4302" s="18">
        <v>4300</v>
      </c>
      <c r="E4302" s="18" cm="1">
        <f t="array" aca="1" ref="E4302" ca="1">INDIRECT("b"&amp;F4302+2)</f>
        <v>0</v>
      </c>
      <c r="F4302" s="18">
        <f t="shared" si="867"/>
        <v>6132</v>
      </c>
      <c r="G4302" s="18" t="e">
        <f t="shared" ref="G4302" ca="1" si="880">E4302/E4297</f>
        <v>#DIV/0!</v>
      </c>
      <c r="H4302" s="18"/>
      <c r="I4302" s="19">
        <v>4300</v>
      </c>
      <c r="J4302" s="19" cm="1">
        <f t="array" aca="1" ref="J4302" ca="1">INDIRECT("b"&amp;K4302+2)</f>
        <v>0</v>
      </c>
      <c r="K4302" s="19">
        <f t="shared" si="878"/>
        <v>7332</v>
      </c>
    </row>
    <row r="4303" spans="1:11">
      <c r="A4303">
        <v>4301</v>
      </c>
      <c r="B4303">
        <v>5.2750000000000001E+129</v>
      </c>
      <c r="D4303" s="18">
        <v>4301</v>
      </c>
      <c r="E4303" s="18" cm="1">
        <f t="array" aca="1" ref="E4303" ca="1">INDIRECT("b"&amp;F4303+2)</f>
        <v>0</v>
      </c>
      <c r="F4303" s="18">
        <f t="shared" si="867"/>
        <v>6133</v>
      </c>
      <c r="G4303" s="18"/>
      <c r="H4303" s="18"/>
      <c r="I4303" s="19">
        <v>4301</v>
      </c>
      <c r="J4303" s="19" cm="1">
        <f t="array" aca="1" ref="J4303" ca="1">INDIRECT("b"&amp;K4303+2)</f>
        <v>0</v>
      </c>
      <c r="K4303" s="19">
        <f t="shared" si="878"/>
        <v>7333</v>
      </c>
    </row>
    <row r="4304" spans="1:11">
      <c r="A4304">
        <v>4302</v>
      </c>
      <c r="B4304">
        <v>5.5000000000000005E+129</v>
      </c>
      <c r="D4304" s="18">
        <v>4302</v>
      </c>
      <c r="E4304" s="18" cm="1">
        <f t="array" aca="1" ref="E4304" ca="1">INDIRECT("b"&amp;F4304+2)</f>
        <v>0</v>
      </c>
      <c r="F4304" s="18">
        <f t="shared" si="867"/>
        <v>6134</v>
      </c>
      <c r="G4304" s="18"/>
      <c r="H4304" s="18"/>
      <c r="I4304" s="19">
        <v>4302</v>
      </c>
      <c r="J4304" s="19" cm="1">
        <f t="array" aca="1" ref="J4304" ca="1">INDIRECT("b"&amp;K4304+2)</f>
        <v>0</v>
      </c>
      <c r="K4304" s="19">
        <f t="shared" si="878"/>
        <v>7334</v>
      </c>
    </row>
    <row r="4305" spans="1:11">
      <c r="A4305">
        <v>4303</v>
      </c>
      <c r="B4305">
        <v>5.7250000000000008E+129</v>
      </c>
      <c r="D4305" s="18">
        <v>4303</v>
      </c>
      <c r="E4305" s="18" cm="1">
        <f t="array" aca="1" ref="E4305" ca="1">INDIRECT("b"&amp;F4305+2)</f>
        <v>0</v>
      </c>
      <c r="F4305" s="18">
        <f t="shared" si="867"/>
        <v>6136</v>
      </c>
      <c r="G4305" s="18"/>
      <c r="H4305" s="18"/>
      <c r="I4305" s="19">
        <v>4303</v>
      </c>
      <c r="J4305" s="19" cm="1">
        <f t="array" aca="1" ref="J4305" ca="1">INDIRECT("b"&amp;K4305+2)</f>
        <v>0</v>
      </c>
      <c r="K4305" s="19">
        <f t="shared" si="878"/>
        <v>7336</v>
      </c>
    </row>
    <row r="4306" spans="1:11">
      <c r="A4306">
        <v>4304</v>
      </c>
      <c r="B4306">
        <v>5.9499999999999999E+129</v>
      </c>
      <c r="D4306" s="18">
        <v>4304</v>
      </c>
      <c r="E4306" s="18" cm="1">
        <f t="array" aca="1" ref="E4306" ca="1">INDIRECT("b"&amp;F4306+2)</f>
        <v>0</v>
      </c>
      <c r="F4306" s="18">
        <f t="shared" si="867"/>
        <v>6137</v>
      </c>
      <c r="G4306" s="18"/>
      <c r="H4306" s="18"/>
      <c r="I4306" s="19">
        <v>4304</v>
      </c>
      <c r="J4306" s="19" cm="1">
        <f t="array" aca="1" ref="J4306" ca="1">INDIRECT("b"&amp;K4306+2)</f>
        <v>0</v>
      </c>
      <c r="K4306" s="19">
        <f t="shared" si="878"/>
        <v>7337</v>
      </c>
    </row>
    <row r="4307" spans="1:11">
      <c r="A4307">
        <v>4305</v>
      </c>
      <c r="B4307">
        <v>6.1750000000000002E+129</v>
      </c>
      <c r="D4307" s="18">
        <v>4305</v>
      </c>
      <c r="E4307" s="18" cm="1">
        <f t="array" aca="1" ref="E4307" ca="1">INDIRECT("b"&amp;F4307+2)</f>
        <v>0</v>
      </c>
      <c r="F4307" s="18">
        <f t="shared" ref="F4307:F4370" si="881">INT((A4307-123)*1.333333)+563</f>
        <v>6138</v>
      </c>
      <c r="G4307" s="18" t="e">
        <f t="shared" ref="G4307" ca="1" si="882">E4307/E4302</f>
        <v>#DIV/0!</v>
      </c>
      <c r="H4307" s="18"/>
      <c r="I4307" s="19">
        <v>4305</v>
      </c>
      <c r="J4307" s="19" cm="1">
        <f t="array" aca="1" ref="J4307" ca="1">INDIRECT("b"&amp;K4307+2)</f>
        <v>0</v>
      </c>
      <c r="K4307" s="19">
        <f t="shared" si="878"/>
        <v>7338</v>
      </c>
    </row>
    <row r="4308" spans="1:11">
      <c r="A4308">
        <v>4306</v>
      </c>
      <c r="B4308">
        <v>6.4000000000000005E+129</v>
      </c>
      <c r="D4308" s="18">
        <v>4306</v>
      </c>
      <c r="E4308" s="18" cm="1">
        <f t="array" aca="1" ref="E4308" ca="1">INDIRECT("b"&amp;F4308+2)</f>
        <v>0</v>
      </c>
      <c r="F4308" s="18">
        <f t="shared" si="881"/>
        <v>6140</v>
      </c>
      <c r="G4308" s="18"/>
      <c r="H4308" s="18"/>
      <c r="I4308" s="19">
        <v>4306</v>
      </c>
      <c r="J4308" s="19" cm="1">
        <f t="array" aca="1" ref="J4308" ca="1">INDIRECT("b"&amp;K4308+2)</f>
        <v>0</v>
      </c>
      <c r="K4308" s="19">
        <f t="shared" si="878"/>
        <v>7340</v>
      </c>
    </row>
    <row r="4309" spans="1:11">
      <c r="A4309">
        <v>4307</v>
      </c>
      <c r="B4309">
        <v>6.6250000000000008E+129</v>
      </c>
      <c r="D4309" s="18">
        <v>4307</v>
      </c>
      <c r="E4309" s="18" cm="1">
        <f t="array" aca="1" ref="E4309" ca="1">INDIRECT("b"&amp;F4309+2)</f>
        <v>0</v>
      </c>
      <c r="F4309" s="18">
        <f t="shared" si="881"/>
        <v>6141</v>
      </c>
      <c r="G4309" s="18"/>
      <c r="H4309" s="18"/>
      <c r="I4309" s="19">
        <v>4307</v>
      </c>
      <c r="J4309" s="19" cm="1">
        <f t="array" aca="1" ref="J4309" ca="1">INDIRECT("b"&amp;K4309+2)</f>
        <v>0</v>
      </c>
      <c r="K4309" s="19">
        <f t="shared" si="878"/>
        <v>7341</v>
      </c>
    </row>
    <row r="4310" spans="1:11">
      <c r="A4310">
        <v>4308</v>
      </c>
      <c r="B4310">
        <v>6.8499999999999999E+129</v>
      </c>
      <c r="D4310" s="18">
        <v>4308</v>
      </c>
      <c r="E4310" s="18" cm="1">
        <f t="array" aca="1" ref="E4310" ca="1">INDIRECT("b"&amp;F4310+2)</f>
        <v>0</v>
      </c>
      <c r="F4310" s="18">
        <f t="shared" si="881"/>
        <v>6142</v>
      </c>
      <c r="G4310" s="18"/>
      <c r="H4310" s="18"/>
      <c r="I4310" s="19">
        <v>4308</v>
      </c>
      <c r="J4310" s="19" cm="1">
        <f t="array" aca="1" ref="J4310" ca="1">INDIRECT("b"&amp;K4310+2)</f>
        <v>0</v>
      </c>
      <c r="K4310" s="19">
        <f t="shared" si="878"/>
        <v>7342</v>
      </c>
    </row>
    <row r="4311" spans="1:11">
      <c r="A4311">
        <v>4309</v>
      </c>
      <c r="B4311">
        <v>7.0750000000000002E+129</v>
      </c>
      <c r="D4311" s="18">
        <v>4309</v>
      </c>
      <c r="E4311" s="18" cm="1">
        <f t="array" aca="1" ref="E4311" ca="1">INDIRECT("b"&amp;F4311+2)</f>
        <v>0</v>
      </c>
      <c r="F4311" s="18">
        <f t="shared" si="881"/>
        <v>6144</v>
      </c>
      <c r="G4311" s="18"/>
      <c r="H4311" s="18"/>
      <c r="I4311" s="19">
        <v>4309</v>
      </c>
      <c r="J4311" s="19" cm="1">
        <f t="array" aca="1" ref="J4311" ca="1">INDIRECT("b"&amp;K4311+2)</f>
        <v>0</v>
      </c>
      <c r="K4311" s="19">
        <f t="shared" si="878"/>
        <v>7344</v>
      </c>
    </row>
    <row r="4312" spans="1:11">
      <c r="A4312">
        <v>4310</v>
      </c>
      <c r="B4312">
        <v>7.3000000000000005E+129</v>
      </c>
      <c r="D4312" s="18">
        <v>4310</v>
      </c>
      <c r="E4312" s="18" cm="1">
        <f t="array" aca="1" ref="E4312" ca="1">INDIRECT("b"&amp;F4312+2)</f>
        <v>0</v>
      </c>
      <c r="F4312" s="18">
        <f t="shared" si="881"/>
        <v>6145</v>
      </c>
      <c r="G4312" s="18" t="e">
        <f t="shared" ref="G4312" ca="1" si="883">E4312/E4307</f>
        <v>#DIV/0!</v>
      </c>
      <c r="H4312" s="18"/>
      <c r="I4312" s="19">
        <v>4310</v>
      </c>
      <c r="J4312" s="19" cm="1">
        <f t="array" aca="1" ref="J4312" ca="1">INDIRECT("b"&amp;K4312+2)</f>
        <v>0</v>
      </c>
      <c r="K4312" s="19">
        <f t="shared" si="878"/>
        <v>7345</v>
      </c>
    </row>
    <row r="4313" spans="1:11">
      <c r="A4313">
        <v>4311</v>
      </c>
      <c r="B4313">
        <v>7.5250000000000008E+129</v>
      </c>
      <c r="D4313" s="18">
        <v>4311</v>
      </c>
      <c r="E4313" s="18" cm="1">
        <f t="array" aca="1" ref="E4313" ca="1">INDIRECT("b"&amp;F4313+2)</f>
        <v>0</v>
      </c>
      <c r="F4313" s="18">
        <f t="shared" si="881"/>
        <v>6146</v>
      </c>
      <c r="G4313" s="18"/>
      <c r="H4313" s="18"/>
      <c r="I4313" s="19">
        <v>4311</v>
      </c>
      <c r="J4313" s="19" cm="1">
        <f t="array" aca="1" ref="J4313" ca="1">INDIRECT("b"&amp;K4313+2)</f>
        <v>0</v>
      </c>
      <c r="K4313" s="19">
        <f t="shared" si="878"/>
        <v>7346</v>
      </c>
    </row>
    <row r="4314" spans="1:11">
      <c r="A4314">
        <v>4312</v>
      </c>
      <c r="B4314">
        <v>7.7499999999999999E+129</v>
      </c>
      <c r="D4314" s="18">
        <v>4312</v>
      </c>
      <c r="E4314" s="18" cm="1">
        <f t="array" aca="1" ref="E4314" ca="1">INDIRECT("b"&amp;F4314+2)</f>
        <v>0</v>
      </c>
      <c r="F4314" s="18">
        <f t="shared" si="881"/>
        <v>6148</v>
      </c>
      <c r="G4314" s="18"/>
      <c r="H4314" s="18"/>
      <c r="I4314" s="19">
        <v>4312</v>
      </c>
      <c r="J4314" s="19" cm="1">
        <f t="array" aca="1" ref="J4314" ca="1">INDIRECT("b"&amp;K4314+2)</f>
        <v>0</v>
      </c>
      <c r="K4314" s="19">
        <f t="shared" si="878"/>
        <v>7348</v>
      </c>
    </row>
    <row r="4315" spans="1:11">
      <c r="A4315">
        <v>4313</v>
      </c>
      <c r="B4315">
        <v>7.9750000000000002E+129</v>
      </c>
      <c r="D4315" s="18">
        <v>4313</v>
      </c>
      <c r="E4315" s="18" cm="1">
        <f t="array" aca="1" ref="E4315" ca="1">INDIRECT("b"&amp;F4315+2)</f>
        <v>0</v>
      </c>
      <c r="F4315" s="18">
        <f t="shared" si="881"/>
        <v>6149</v>
      </c>
      <c r="G4315" s="18"/>
      <c r="H4315" s="18"/>
      <c r="I4315" s="19">
        <v>4313</v>
      </c>
      <c r="J4315" s="19" cm="1">
        <f t="array" aca="1" ref="J4315" ca="1">INDIRECT("b"&amp;K4315+2)</f>
        <v>0</v>
      </c>
      <c r="K4315" s="19">
        <f t="shared" si="878"/>
        <v>7349</v>
      </c>
    </row>
    <row r="4316" spans="1:11">
      <c r="A4316">
        <v>4314</v>
      </c>
      <c r="B4316">
        <v>8.2000000000000005E+129</v>
      </c>
      <c r="D4316" s="18">
        <v>4314</v>
      </c>
      <c r="E4316" s="18" cm="1">
        <f t="array" aca="1" ref="E4316" ca="1">INDIRECT("b"&amp;F4316+2)</f>
        <v>0</v>
      </c>
      <c r="F4316" s="18">
        <f t="shared" si="881"/>
        <v>6150</v>
      </c>
      <c r="G4316" s="18"/>
      <c r="H4316" s="18"/>
      <c r="I4316" s="19">
        <v>4314</v>
      </c>
      <c r="J4316" s="19" cm="1">
        <f t="array" aca="1" ref="J4316" ca="1">INDIRECT("b"&amp;K4316+2)</f>
        <v>0</v>
      </c>
      <c r="K4316" s="19">
        <f t="shared" si="878"/>
        <v>7350</v>
      </c>
    </row>
    <row r="4317" spans="1:11">
      <c r="A4317">
        <v>4315</v>
      </c>
      <c r="B4317">
        <v>8.4250000000000009E+129</v>
      </c>
      <c r="D4317" s="18">
        <v>4315</v>
      </c>
      <c r="E4317" s="18" cm="1">
        <f t="array" aca="1" ref="E4317" ca="1">INDIRECT("b"&amp;F4317+2)</f>
        <v>0</v>
      </c>
      <c r="F4317" s="18">
        <f t="shared" si="881"/>
        <v>6152</v>
      </c>
      <c r="G4317" s="18" t="e">
        <f t="shared" ref="G4317" ca="1" si="884">E4317/E4312</f>
        <v>#DIV/0!</v>
      </c>
      <c r="H4317" s="18"/>
      <c r="I4317" s="19">
        <v>4315</v>
      </c>
      <c r="J4317" s="19" cm="1">
        <f t="array" aca="1" ref="J4317" ca="1">INDIRECT("b"&amp;K4317+2)</f>
        <v>0</v>
      </c>
      <c r="K4317" s="19">
        <f t="shared" si="878"/>
        <v>7352</v>
      </c>
    </row>
    <row r="4318" spans="1:11">
      <c r="A4318">
        <v>4316</v>
      </c>
      <c r="B4318">
        <v>8.6499999999999999E+129</v>
      </c>
      <c r="D4318" s="18">
        <v>4316</v>
      </c>
      <c r="E4318" s="18" cm="1">
        <f t="array" aca="1" ref="E4318" ca="1">INDIRECT("b"&amp;F4318+2)</f>
        <v>0</v>
      </c>
      <c r="F4318" s="18">
        <f t="shared" si="881"/>
        <v>6153</v>
      </c>
      <c r="G4318" s="18"/>
      <c r="H4318" s="18"/>
      <c r="I4318" s="19">
        <v>4316</v>
      </c>
      <c r="J4318" s="19" cm="1">
        <f t="array" aca="1" ref="J4318" ca="1">INDIRECT("b"&amp;K4318+2)</f>
        <v>0</v>
      </c>
      <c r="K4318" s="19">
        <f t="shared" si="878"/>
        <v>7353</v>
      </c>
    </row>
    <row r="4319" spans="1:11">
      <c r="A4319">
        <v>4317</v>
      </c>
      <c r="B4319">
        <v>8.8750000000000003E+129</v>
      </c>
      <c r="D4319" s="18">
        <v>4317</v>
      </c>
      <c r="E4319" s="18" cm="1">
        <f t="array" aca="1" ref="E4319" ca="1">INDIRECT("b"&amp;F4319+2)</f>
        <v>0</v>
      </c>
      <c r="F4319" s="18">
        <f t="shared" si="881"/>
        <v>6154</v>
      </c>
      <c r="G4319" s="18"/>
      <c r="H4319" s="18"/>
      <c r="I4319" s="19">
        <v>4317</v>
      </c>
      <c r="J4319" s="19" cm="1">
        <f t="array" aca="1" ref="J4319" ca="1">INDIRECT("b"&amp;K4319+2)</f>
        <v>0</v>
      </c>
      <c r="K4319" s="19">
        <f t="shared" si="878"/>
        <v>7354</v>
      </c>
    </row>
    <row r="4320" spans="1:11">
      <c r="A4320">
        <v>4318</v>
      </c>
      <c r="B4320">
        <v>9.1000000000000006E+129</v>
      </c>
      <c r="D4320" s="18">
        <v>4318</v>
      </c>
      <c r="E4320" s="18" cm="1">
        <f t="array" aca="1" ref="E4320" ca="1">INDIRECT("b"&amp;F4320+2)</f>
        <v>0</v>
      </c>
      <c r="F4320" s="18">
        <f t="shared" si="881"/>
        <v>6156</v>
      </c>
      <c r="G4320" s="18"/>
      <c r="H4320" s="18"/>
      <c r="I4320" s="19">
        <v>4318</v>
      </c>
      <c r="J4320" s="19" cm="1">
        <f t="array" aca="1" ref="J4320" ca="1">INDIRECT("b"&amp;K4320+2)</f>
        <v>0</v>
      </c>
      <c r="K4320" s="19">
        <f t="shared" si="878"/>
        <v>7356</v>
      </c>
    </row>
    <row r="4321" spans="1:11">
      <c r="A4321">
        <v>4319</v>
      </c>
      <c r="B4321">
        <v>9.3250000000000009E+129</v>
      </c>
      <c r="D4321" s="18">
        <v>4319</v>
      </c>
      <c r="E4321" s="18" cm="1">
        <f t="array" aca="1" ref="E4321" ca="1">INDIRECT("b"&amp;F4321+2)</f>
        <v>0</v>
      </c>
      <c r="F4321" s="18">
        <f t="shared" si="881"/>
        <v>6157</v>
      </c>
      <c r="G4321" s="18"/>
      <c r="H4321" s="18"/>
      <c r="I4321" s="19">
        <v>4319</v>
      </c>
      <c r="J4321" s="19" cm="1">
        <f t="array" aca="1" ref="J4321" ca="1">INDIRECT("b"&amp;K4321+2)</f>
        <v>0</v>
      </c>
      <c r="K4321" s="19">
        <f t="shared" si="878"/>
        <v>7357</v>
      </c>
    </row>
    <row r="4322" spans="1:11">
      <c r="A4322">
        <v>4320</v>
      </c>
      <c r="B4322">
        <v>9.55E+129</v>
      </c>
      <c r="D4322" s="18">
        <v>4320</v>
      </c>
      <c r="E4322" s="18" cm="1">
        <f t="array" aca="1" ref="E4322" ca="1">INDIRECT("b"&amp;F4322+2)</f>
        <v>0</v>
      </c>
      <c r="F4322" s="18">
        <f t="shared" si="881"/>
        <v>6158</v>
      </c>
      <c r="G4322" s="18" t="e">
        <f t="shared" ref="G4322" ca="1" si="885">E4322/E4317</f>
        <v>#DIV/0!</v>
      </c>
      <c r="H4322" s="18"/>
      <c r="I4322" s="19">
        <v>4320</v>
      </c>
      <c r="J4322" s="19" cm="1">
        <f t="array" aca="1" ref="J4322" ca="1">INDIRECT("b"&amp;K4322+2)</f>
        <v>0</v>
      </c>
      <c r="K4322" s="19">
        <f t="shared" si="878"/>
        <v>7358</v>
      </c>
    </row>
    <row r="4323" spans="1:11">
      <c r="A4323">
        <v>4321</v>
      </c>
      <c r="B4323">
        <v>9.7750000000000003E+129</v>
      </c>
      <c r="D4323" s="18">
        <v>4321</v>
      </c>
      <c r="E4323" s="18" cm="1">
        <f t="array" aca="1" ref="E4323" ca="1">INDIRECT("b"&amp;F4323+2)</f>
        <v>0</v>
      </c>
      <c r="F4323" s="18">
        <f t="shared" si="881"/>
        <v>6160</v>
      </c>
      <c r="G4323" s="18"/>
      <c r="H4323" s="18"/>
      <c r="I4323" s="19">
        <v>4321</v>
      </c>
      <c r="J4323" s="19" cm="1">
        <f t="array" aca="1" ref="J4323" ca="1">INDIRECT("b"&amp;K4323+2)</f>
        <v>0</v>
      </c>
      <c r="K4323" s="19">
        <f t="shared" si="878"/>
        <v>7360</v>
      </c>
    </row>
    <row r="4324" spans="1:11">
      <c r="A4324">
        <v>4322</v>
      </c>
      <c r="B4324">
        <v>1.0000000000000001E+130</v>
      </c>
      <c r="D4324" s="18">
        <v>4322</v>
      </c>
      <c r="E4324" s="18" cm="1">
        <f t="array" aca="1" ref="E4324" ca="1">INDIRECT("b"&amp;F4324+2)</f>
        <v>0</v>
      </c>
      <c r="F4324" s="18">
        <f t="shared" si="881"/>
        <v>6161</v>
      </c>
      <c r="G4324" s="18"/>
      <c r="H4324" s="18"/>
      <c r="I4324" s="19">
        <v>4322</v>
      </c>
      <c r="J4324" s="19" cm="1">
        <f t="array" aca="1" ref="J4324" ca="1">INDIRECT("b"&amp;K4324+2)</f>
        <v>0</v>
      </c>
      <c r="K4324" s="19">
        <f t="shared" si="878"/>
        <v>7361</v>
      </c>
    </row>
    <row r="4325" spans="1:11">
      <c r="A4325">
        <v>4323</v>
      </c>
      <c r="B4325">
        <v>1.2250000000000001E+130</v>
      </c>
      <c r="D4325" s="18">
        <v>4323</v>
      </c>
      <c r="E4325" s="18" cm="1">
        <f t="array" aca="1" ref="E4325" ca="1">INDIRECT("b"&amp;F4325+2)</f>
        <v>0</v>
      </c>
      <c r="F4325" s="18">
        <f t="shared" si="881"/>
        <v>6162</v>
      </c>
      <c r="G4325" s="18"/>
      <c r="H4325" s="18"/>
      <c r="I4325" s="19">
        <v>4323</v>
      </c>
      <c r="J4325" s="19" cm="1">
        <f t="array" aca="1" ref="J4325" ca="1">INDIRECT("b"&amp;K4325+2)</f>
        <v>0</v>
      </c>
      <c r="K4325" s="19">
        <f t="shared" si="878"/>
        <v>7362</v>
      </c>
    </row>
    <row r="4326" spans="1:11">
      <c r="A4326">
        <v>4324</v>
      </c>
      <c r="B4326">
        <v>1.45E+130</v>
      </c>
      <c r="D4326" s="18">
        <v>4324</v>
      </c>
      <c r="E4326" s="18" cm="1">
        <f t="array" aca="1" ref="E4326" ca="1">INDIRECT("b"&amp;F4326+2)</f>
        <v>0</v>
      </c>
      <c r="F4326" s="18">
        <f t="shared" si="881"/>
        <v>6164</v>
      </c>
      <c r="G4326" s="18"/>
      <c r="H4326" s="18"/>
      <c r="I4326" s="19">
        <v>4324</v>
      </c>
      <c r="J4326" s="19" cm="1">
        <f t="array" aca="1" ref="J4326" ca="1">INDIRECT("b"&amp;K4326+2)</f>
        <v>0</v>
      </c>
      <c r="K4326" s="19">
        <f t="shared" si="878"/>
        <v>7364</v>
      </c>
    </row>
    <row r="4327" spans="1:11">
      <c r="A4327">
        <v>4325</v>
      </c>
      <c r="B4327">
        <v>1.675E+130</v>
      </c>
      <c r="D4327" s="18">
        <v>4325</v>
      </c>
      <c r="E4327" s="18" cm="1">
        <f t="array" aca="1" ref="E4327" ca="1">INDIRECT("b"&amp;F4327+2)</f>
        <v>0</v>
      </c>
      <c r="F4327" s="18">
        <f t="shared" si="881"/>
        <v>6165</v>
      </c>
      <c r="G4327" s="18" t="e">
        <f t="shared" ref="G4327" ca="1" si="886">E4327/E4322</f>
        <v>#DIV/0!</v>
      </c>
      <c r="H4327" s="18"/>
      <c r="I4327" s="19">
        <v>4325</v>
      </c>
      <c r="J4327" s="19" cm="1">
        <f t="array" aca="1" ref="J4327" ca="1">INDIRECT("b"&amp;K4327+2)</f>
        <v>0</v>
      </c>
      <c r="K4327" s="19">
        <f t="shared" si="878"/>
        <v>7365</v>
      </c>
    </row>
    <row r="4328" spans="1:11">
      <c r="A4328">
        <v>4326</v>
      </c>
      <c r="B4328">
        <v>1.9000000000000001E+130</v>
      </c>
      <c r="D4328" s="18">
        <v>4326</v>
      </c>
      <c r="E4328" s="18" cm="1">
        <f t="array" aca="1" ref="E4328" ca="1">INDIRECT("b"&amp;F4328+2)</f>
        <v>0</v>
      </c>
      <c r="F4328" s="18">
        <f t="shared" si="881"/>
        <v>6166</v>
      </c>
      <c r="G4328" s="18"/>
      <c r="H4328" s="18"/>
      <c r="I4328" s="19">
        <v>4326</v>
      </c>
      <c r="J4328" s="19" cm="1">
        <f t="array" aca="1" ref="J4328" ca="1">INDIRECT("b"&amp;K4328+2)</f>
        <v>0</v>
      </c>
      <c r="K4328" s="19">
        <f t="shared" si="878"/>
        <v>7366</v>
      </c>
    </row>
    <row r="4329" spans="1:11">
      <c r="A4329">
        <v>4327</v>
      </c>
      <c r="B4329">
        <v>2.1249999999999999E+130</v>
      </c>
      <c r="D4329" s="18">
        <v>4327</v>
      </c>
      <c r="E4329" s="18" cm="1">
        <f t="array" aca="1" ref="E4329" ca="1">INDIRECT("b"&amp;F4329+2)</f>
        <v>0</v>
      </c>
      <c r="F4329" s="18">
        <f t="shared" si="881"/>
        <v>6168</v>
      </c>
      <c r="G4329" s="18"/>
      <c r="H4329" s="18"/>
      <c r="I4329" s="19">
        <v>4327</v>
      </c>
      <c r="J4329" s="19" cm="1">
        <f t="array" aca="1" ref="J4329" ca="1">INDIRECT("b"&amp;K4329+2)</f>
        <v>0</v>
      </c>
      <c r="K4329" s="19">
        <f t="shared" si="878"/>
        <v>7368</v>
      </c>
    </row>
    <row r="4330" spans="1:11">
      <c r="A4330">
        <v>4328</v>
      </c>
      <c r="B4330">
        <v>2.3500000000000002E+130</v>
      </c>
      <c r="D4330" s="18">
        <v>4328</v>
      </c>
      <c r="E4330" s="18" cm="1">
        <f t="array" aca="1" ref="E4330" ca="1">INDIRECT("b"&amp;F4330+2)</f>
        <v>0</v>
      </c>
      <c r="F4330" s="18">
        <f t="shared" si="881"/>
        <v>6169</v>
      </c>
      <c r="G4330" s="18"/>
      <c r="H4330" s="18"/>
      <c r="I4330" s="19">
        <v>4328</v>
      </c>
      <c r="J4330" s="19" cm="1">
        <f t="array" aca="1" ref="J4330" ca="1">INDIRECT("b"&amp;K4330+2)</f>
        <v>0</v>
      </c>
      <c r="K4330" s="19">
        <f t="shared" si="878"/>
        <v>7369</v>
      </c>
    </row>
    <row r="4331" spans="1:11">
      <c r="A4331">
        <v>4329</v>
      </c>
      <c r="B4331">
        <v>2.5749999999999998E+130</v>
      </c>
      <c r="D4331" s="18">
        <v>4329</v>
      </c>
      <c r="E4331" s="18" cm="1">
        <f t="array" aca="1" ref="E4331" ca="1">INDIRECT("b"&amp;F4331+2)</f>
        <v>0</v>
      </c>
      <c r="F4331" s="18">
        <f t="shared" si="881"/>
        <v>6170</v>
      </c>
      <c r="G4331" s="18"/>
      <c r="H4331" s="18"/>
      <c r="I4331" s="19">
        <v>4329</v>
      </c>
      <c r="J4331" s="19" cm="1">
        <f t="array" aca="1" ref="J4331" ca="1">INDIRECT("b"&amp;K4331+2)</f>
        <v>0</v>
      </c>
      <c r="K4331" s="19">
        <f t="shared" si="878"/>
        <v>7370</v>
      </c>
    </row>
    <row r="4332" spans="1:11">
      <c r="A4332">
        <v>4330</v>
      </c>
      <c r="B4332">
        <v>2.7999999999999999E+130</v>
      </c>
      <c r="D4332" s="18">
        <v>4330</v>
      </c>
      <c r="E4332" s="18" cm="1">
        <f t="array" aca="1" ref="E4332" ca="1">INDIRECT("b"&amp;F4332+2)</f>
        <v>0</v>
      </c>
      <c r="F4332" s="18">
        <f t="shared" si="881"/>
        <v>6172</v>
      </c>
      <c r="G4332" s="18" t="e">
        <f t="shared" ref="G4332" ca="1" si="887">E4332/E4327</f>
        <v>#DIV/0!</v>
      </c>
      <c r="H4332" s="18"/>
      <c r="I4332" s="19">
        <v>4330</v>
      </c>
      <c r="J4332" s="19" cm="1">
        <f t="array" aca="1" ref="J4332" ca="1">INDIRECT("b"&amp;K4332+2)</f>
        <v>0</v>
      </c>
      <c r="K4332" s="19">
        <f t="shared" si="878"/>
        <v>7372</v>
      </c>
    </row>
    <row r="4333" spans="1:11">
      <c r="A4333">
        <v>4331</v>
      </c>
      <c r="B4333">
        <v>3.0249999999999999E+130</v>
      </c>
      <c r="D4333" s="18">
        <v>4331</v>
      </c>
      <c r="E4333" s="18" cm="1">
        <f t="array" aca="1" ref="E4333" ca="1">INDIRECT("b"&amp;F4333+2)</f>
        <v>0</v>
      </c>
      <c r="F4333" s="18">
        <f t="shared" si="881"/>
        <v>6173</v>
      </c>
      <c r="G4333" s="18"/>
      <c r="H4333" s="18"/>
      <c r="I4333" s="19">
        <v>4331</v>
      </c>
      <c r="J4333" s="19" cm="1">
        <f t="array" aca="1" ref="J4333" ca="1">INDIRECT("b"&amp;K4333+2)</f>
        <v>0</v>
      </c>
      <c r="K4333" s="19">
        <f t="shared" si="878"/>
        <v>7373</v>
      </c>
    </row>
    <row r="4334" spans="1:11">
      <c r="A4334">
        <v>4332</v>
      </c>
      <c r="B4334">
        <v>3.25E+130</v>
      </c>
      <c r="D4334" s="18">
        <v>4332</v>
      </c>
      <c r="E4334" s="18" cm="1">
        <f t="array" aca="1" ref="E4334" ca="1">INDIRECT("b"&amp;F4334+2)</f>
        <v>0</v>
      </c>
      <c r="F4334" s="18">
        <f t="shared" si="881"/>
        <v>6174</v>
      </c>
      <c r="G4334" s="18"/>
      <c r="H4334" s="18"/>
      <c r="I4334" s="19">
        <v>4332</v>
      </c>
      <c r="J4334" s="19" cm="1">
        <f t="array" aca="1" ref="J4334" ca="1">INDIRECT("b"&amp;K4334+2)</f>
        <v>0</v>
      </c>
      <c r="K4334" s="19">
        <f t="shared" si="878"/>
        <v>7374</v>
      </c>
    </row>
    <row r="4335" spans="1:11">
      <c r="A4335">
        <v>4333</v>
      </c>
      <c r="B4335">
        <v>3.4750000000000001E+130</v>
      </c>
      <c r="D4335" s="18">
        <v>4333</v>
      </c>
      <c r="E4335" s="18" cm="1">
        <f t="array" aca="1" ref="E4335" ca="1">INDIRECT("b"&amp;F4335+2)</f>
        <v>0</v>
      </c>
      <c r="F4335" s="18">
        <f t="shared" si="881"/>
        <v>6176</v>
      </c>
      <c r="G4335" s="18"/>
      <c r="H4335" s="18"/>
      <c r="I4335" s="19">
        <v>4333</v>
      </c>
      <c r="J4335" s="19" cm="1">
        <f t="array" aca="1" ref="J4335" ca="1">INDIRECT("b"&amp;K4335+2)</f>
        <v>0</v>
      </c>
      <c r="K4335" s="19">
        <f t="shared" si="878"/>
        <v>7376</v>
      </c>
    </row>
    <row r="4336" spans="1:11">
      <c r="A4336">
        <v>4334</v>
      </c>
      <c r="B4336">
        <v>3.7000000000000001E+130</v>
      </c>
      <c r="D4336" s="18">
        <v>4334</v>
      </c>
      <c r="E4336" s="18" cm="1">
        <f t="array" aca="1" ref="E4336" ca="1">INDIRECT("b"&amp;F4336+2)</f>
        <v>0</v>
      </c>
      <c r="F4336" s="18">
        <f t="shared" si="881"/>
        <v>6177</v>
      </c>
      <c r="G4336" s="18"/>
      <c r="H4336" s="18"/>
      <c r="I4336" s="19">
        <v>4334</v>
      </c>
      <c r="J4336" s="19" cm="1">
        <f t="array" aca="1" ref="J4336" ca="1">INDIRECT("b"&amp;K4336+2)</f>
        <v>0</v>
      </c>
      <c r="K4336" s="19">
        <f t="shared" si="878"/>
        <v>7377</v>
      </c>
    </row>
    <row r="4337" spans="1:11">
      <c r="A4337">
        <v>4335</v>
      </c>
      <c r="B4337">
        <v>3.9250000000000002E+130</v>
      </c>
      <c r="D4337" s="18">
        <v>4335</v>
      </c>
      <c r="E4337" s="18" cm="1">
        <f t="array" aca="1" ref="E4337" ca="1">INDIRECT("b"&amp;F4337+2)</f>
        <v>0</v>
      </c>
      <c r="F4337" s="18">
        <f t="shared" si="881"/>
        <v>6178</v>
      </c>
      <c r="G4337" s="18" t="e">
        <f t="shared" ref="G4337" ca="1" si="888">E4337/E4332</f>
        <v>#DIV/0!</v>
      </c>
      <c r="H4337" s="18"/>
      <c r="I4337" s="19">
        <v>4335</v>
      </c>
      <c r="J4337" s="19" cm="1">
        <f t="array" aca="1" ref="J4337" ca="1">INDIRECT("b"&amp;K4337+2)</f>
        <v>0</v>
      </c>
      <c r="K4337" s="19">
        <f t="shared" si="878"/>
        <v>7378</v>
      </c>
    </row>
    <row r="4338" spans="1:11">
      <c r="A4338">
        <v>4336</v>
      </c>
      <c r="B4338">
        <v>4.1500000000000003E+130</v>
      </c>
      <c r="D4338" s="18">
        <v>4336</v>
      </c>
      <c r="E4338" s="18" cm="1">
        <f t="array" aca="1" ref="E4338" ca="1">INDIRECT("b"&amp;F4338+2)</f>
        <v>0</v>
      </c>
      <c r="F4338" s="18">
        <f t="shared" si="881"/>
        <v>6180</v>
      </c>
      <c r="G4338" s="18"/>
      <c r="H4338" s="18"/>
      <c r="I4338" s="19">
        <v>4336</v>
      </c>
      <c r="J4338" s="19" cm="1">
        <f t="array" aca="1" ref="J4338" ca="1">INDIRECT("b"&amp;K4338+2)</f>
        <v>0</v>
      </c>
      <c r="K4338" s="19">
        <f t="shared" si="878"/>
        <v>7380</v>
      </c>
    </row>
    <row r="4339" spans="1:11">
      <c r="A4339">
        <v>4337</v>
      </c>
      <c r="B4339">
        <v>4.3749999999999999E+130</v>
      </c>
      <c r="D4339" s="18">
        <v>4337</v>
      </c>
      <c r="E4339" s="18" cm="1">
        <f t="array" aca="1" ref="E4339" ca="1">INDIRECT("b"&amp;F4339+2)</f>
        <v>0</v>
      </c>
      <c r="F4339" s="18">
        <f t="shared" si="881"/>
        <v>6181</v>
      </c>
      <c r="G4339" s="18"/>
      <c r="H4339" s="18"/>
      <c r="I4339" s="19">
        <v>4337</v>
      </c>
      <c r="J4339" s="19" cm="1">
        <f t="array" aca="1" ref="J4339" ca="1">INDIRECT("b"&amp;K4339+2)</f>
        <v>0</v>
      </c>
      <c r="K4339" s="19">
        <f t="shared" si="878"/>
        <v>7381</v>
      </c>
    </row>
    <row r="4340" spans="1:11">
      <c r="A4340">
        <v>4338</v>
      </c>
      <c r="B4340">
        <v>4.6000000000000004E+130</v>
      </c>
      <c r="D4340" s="18">
        <v>4338</v>
      </c>
      <c r="E4340" s="18" cm="1">
        <f t="array" aca="1" ref="E4340" ca="1">INDIRECT("b"&amp;F4340+2)</f>
        <v>0</v>
      </c>
      <c r="F4340" s="18">
        <f t="shared" si="881"/>
        <v>6182</v>
      </c>
      <c r="G4340" s="18"/>
      <c r="H4340" s="18"/>
      <c r="I4340" s="19">
        <v>4338</v>
      </c>
      <c r="J4340" s="19" cm="1">
        <f t="array" aca="1" ref="J4340" ca="1">INDIRECT("b"&amp;K4340+2)</f>
        <v>0</v>
      </c>
      <c r="K4340" s="19">
        <f t="shared" si="878"/>
        <v>7382</v>
      </c>
    </row>
    <row r="4341" spans="1:11">
      <c r="A4341">
        <v>4339</v>
      </c>
      <c r="B4341">
        <v>4.825E+130</v>
      </c>
      <c r="D4341" s="18">
        <v>4339</v>
      </c>
      <c r="E4341" s="18" cm="1">
        <f t="array" aca="1" ref="E4341" ca="1">INDIRECT("b"&amp;F4341+2)</f>
        <v>0</v>
      </c>
      <c r="F4341" s="18">
        <f t="shared" si="881"/>
        <v>6184</v>
      </c>
      <c r="G4341" s="18"/>
      <c r="H4341" s="18"/>
      <c r="I4341" s="19">
        <v>4339</v>
      </c>
      <c r="J4341" s="19" cm="1">
        <f t="array" aca="1" ref="J4341" ca="1">INDIRECT("b"&amp;K4341+2)</f>
        <v>0</v>
      </c>
      <c r="K4341" s="19">
        <f t="shared" si="878"/>
        <v>7384</v>
      </c>
    </row>
    <row r="4342" spans="1:11">
      <c r="A4342">
        <v>4340</v>
      </c>
      <c r="B4342">
        <v>5.0500000000000006E+130</v>
      </c>
      <c r="D4342" s="18">
        <v>4340</v>
      </c>
      <c r="E4342" s="18" cm="1">
        <f t="array" aca="1" ref="E4342" ca="1">INDIRECT("b"&amp;F4342+2)</f>
        <v>0</v>
      </c>
      <c r="F4342" s="18">
        <f t="shared" si="881"/>
        <v>6185</v>
      </c>
      <c r="G4342" s="18" t="e">
        <f t="shared" ref="G4342" ca="1" si="889">E4342/E4337</f>
        <v>#DIV/0!</v>
      </c>
      <c r="H4342" s="18"/>
      <c r="I4342" s="19">
        <v>4340</v>
      </c>
      <c r="J4342" s="19" cm="1">
        <f t="array" aca="1" ref="J4342" ca="1">INDIRECT("b"&amp;K4342+2)</f>
        <v>0</v>
      </c>
      <c r="K4342" s="19">
        <f t="shared" si="878"/>
        <v>7385</v>
      </c>
    </row>
    <row r="4343" spans="1:11">
      <c r="A4343">
        <v>4341</v>
      </c>
      <c r="B4343">
        <v>5.2750000000000001E+130</v>
      </c>
      <c r="D4343" s="18">
        <v>4341</v>
      </c>
      <c r="E4343" s="18" cm="1">
        <f t="array" aca="1" ref="E4343" ca="1">INDIRECT("b"&amp;F4343+2)</f>
        <v>0</v>
      </c>
      <c r="F4343" s="18">
        <f t="shared" si="881"/>
        <v>6186</v>
      </c>
      <c r="G4343" s="18"/>
      <c r="H4343" s="18"/>
      <c r="I4343" s="19">
        <v>4341</v>
      </c>
      <c r="J4343" s="19" cm="1">
        <f t="array" aca="1" ref="J4343" ca="1">INDIRECT("b"&amp;K4343+2)</f>
        <v>0</v>
      </c>
      <c r="K4343" s="19">
        <f t="shared" si="878"/>
        <v>7386</v>
      </c>
    </row>
    <row r="4344" spans="1:11">
      <c r="A4344">
        <v>4342</v>
      </c>
      <c r="B4344">
        <v>5.4999999999999997E+130</v>
      </c>
      <c r="D4344" s="18">
        <v>4342</v>
      </c>
      <c r="E4344" s="18" cm="1">
        <f t="array" aca="1" ref="E4344" ca="1">INDIRECT("b"&amp;F4344+2)</f>
        <v>0</v>
      </c>
      <c r="F4344" s="18">
        <f t="shared" si="881"/>
        <v>6188</v>
      </c>
      <c r="G4344" s="18"/>
      <c r="H4344" s="18"/>
      <c r="I4344" s="19">
        <v>4342</v>
      </c>
      <c r="J4344" s="19" cm="1">
        <f t="array" aca="1" ref="J4344" ca="1">INDIRECT("b"&amp;K4344+2)</f>
        <v>0</v>
      </c>
      <c r="K4344" s="19">
        <f t="shared" si="878"/>
        <v>7388</v>
      </c>
    </row>
    <row r="4345" spans="1:11">
      <c r="A4345">
        <v>4343</v>
      </c>
      <c r="B4345">
        <v>5.7250000000000003E+130</v>
      </c>
      <c r="D4345" s="18">
        <v>4343</v>
      </c>
      <c r="E4345" s="18" cm="1">
        <f t="array" aca="1" ref="E4345" ca="1">INDIRECT("b"&amp;F4345+2)</f>
        <v>0</v>
      </c>
      <c r="F4345" s="18">
        <f t="shared" si="881"/>
        <v>6189</v>
      </c>
      <c r="G4345" s="18"/>
      <c r="H4345" s="18"/>
      <c r="I4345" s="19">
        <v>4343</v>
      </c>
      <c r="J4345" s="19" cm="1">
        <f t="array" aca="1" ref="J4345" ca="1">INDIRECT("b"&amp;K4345+2)</f>
        <v>0</v>
      </c>
      <c r="K4345" s="19">
        <f t="shared" si="878"/>
        <v>7389</v>
      </c>
    </row>
    <row r="4346" spans="1:11">
      <c r="A4346">
        <v>4344</v>
      </c>
      <c r="B4346">
        <v>5.9499999999999999E+130</v>
      </c>
      <c r="D4346" s="18">
        <v>4344</v>
      </c>
      <c r="E4346" s="18" cm="1">
        <f t="array" aca="1" ref="E4346" ca="1">INDIRECT("b"&amp;F4346+2)</f>
        <v>0</v>
      </c>
      <c r="F4346" s="18">
        <f t="shared" si="881"/>
        <v>6190</v>
      </c>
      <c r="G4346" s="18"/>
      <c r="H4346" s="18"/>
      <c r="I4346" s="19">
        <v>4344</v>
      </c>
      <c r="J4346" s="19" cm="1">
        <f t="array" aca="1" ref="J4346" ca="1">INDIRECT("b"&amp;K4346+2)</f>
        <v>0</v>
      </c>
      <c r="K4346" s="19">
        <f t="shared" si="878"/>
        <v>7390</v>
      </c>
    </row>
    <row r="4347" spans="1:11">
      <c r="A4347">
        <v>4345</v>
      </c>
      <c r="B4347">
        <v>6.1750000000000004E+130</v>
      </c>
      <c r="D4347" s="18">
        <v>4345</v>
      </c>
      <c r="E4347" s="18" cm="1">
        <f t="array" aca="1" ref="E4347" ca="1">INDIRECT("b"&amp;F4347+2)</f>
        <v>0</v>
      </c>
      <c r="F4347" s="18">
        <f t="shared" si="881"/>
        <v>6192</v>
      </c>
      <c r="G4347" s="18" t="e">
        <f t="shared" ref="G4347" ca="1" si="890">E4347/E4342</f>
        <v>#DIV/0!</v>
      </c>
      <c r="H4347" s="18"/>
      <c r="I4347" s="19">
        <v>4345</v>
      </c>
      <c r="J4347" s="19" cm="1">
        <f t="array" aca="1" ref="J4347" ca="1">INDIRECT("b"&amp;K4347+2)</f>
        <v>0</v>
      </c>
      <c r="K4347" s="19">
        <f t="shared" si="878"/>
        <v>7392</v>
      </c>
    </row>
    <row r="4348" spans="1:11">
      <c r="A4348">
        <v>4346</v>
      </c>
      <c r="B4348">
        <v>6.4E+130</v>
      </c>
      <c r="D4348" s="18">
        <v>4346</v>
      </c>
      <c r="E4348" s="18" cm="1">
        <f t="array" aca="1" ref="E4348" ca="1">INDIRECT("b"&amp;F4348+2)</f>
        <v>0</v>
      </c>
      <c r="F4348" s="18">
        <f t="shared" si="881"/>
        <v>6193</v>
      </c>
      <c r="G4348" s="18"/>
      <c r="H4348" s="18"/>
      <c r="I4348" s="19">
        <v>4346</v>
      </c>
      <c r="J4348" s="19" cm="1">
        <f t="array" aca="1" ref="J4348" ca="1">INDIRECT("b"&amp;K4348+2)</f>
        <v>0</v>
      </c>
      <c r="K4348" s="19">
        <f t="shared" si="878"/>
        <v>7393</v>
      </c>
    </row>
    <row r="4349" spans="1:11">
      <c r="A4349">
        <v>4347</v>
      </c>
      <c r="B4349">
        <v>6.6250000000000005E+130</v>
      </c>
      <c r="D4349" s="18">
        <v>4347</v>
      </c>
      <c r="E4349" s="18" cm="1">
        <f t="array" aca="1" ref="E4349" ca="1">INDIRECT("b"&amp;F4349+2)</f>
        <v>0</v>
      </c>
      <c r="F4349" s="18">
        <f t="shared" si="881"/>
        <v>6194</v>
      </c>
      <c r="G4349" s="18"/>
      <c r="H4349" s="18"/>
      <c r="I4349" s="19">
        <v>4347</v>
      </c>
      <c r="J4349" s="19" cm="1">
        <f t="array" aca="1" ref="J4349" ca="1">INDIRECT("b"&amp;K4349+2)</f>
        <v>0</v>
      </c>
      <c r="K4349" s="19">
        <f t="shared" si="878"/>
        <v>7394</v>
      </c>
    </row>
    <row r="4350" spans="1:11">
      <c r="A4350">
        <v>4348</v>
      </c>
      <c r="B4350">
        <v>6.8500000000000001E+130</v>
      </c>
      <c r="D4350" s="18">
        <v>4348</v>
      </c>
      <c r="E4350" s="18" cm="1">
        <f t="array" aca="1" ref="E4350" ca="1">INDIRECT("b"&amp;F4350+2)</f>
        <v>0</v>
      </c>
      <c r="F4350" s="18">
        <f t="shared" si="881"/>
        <v>6196</v>
      </c>
      <c r="G4350" s="18"/>
      <c r="H4350" s="18"/>
      <c r="I4350" s="19">
        <v>4348</v>
      </c>
      <c r="J4350" s="19" cm="1">
        <f t="array" aca="1" ref="J4350" ca="1">INDIRECT("b"&amp;K4350+2)</f>
        <v>0</v>
      </c>
      <c r="K4350" s="19">
        <f t="shared" si="878"/>
        <v>7396</v>
      </c>
    </row>
    <row r="4351" spans="1:11">
      <c r="A4351">
        <v>4349</v>
      </c>
      <c r="B4351">
        <v>7.0749999999999997E+130</v>
      </c>
      <c r="D4351" s="18">
        <v>4349</v>
      </c>
      <c r="E4351" s="18" cm="1">
        <f t="array" aca="1" ref="E4351" ca="1">INDIRECT("b"&amp;F4351+2)</f>
        <v>0</v>
      </c>
      <c r="F4351" s="18">
        <f t="shared" si="881"/>
        <v>6197</v>
      </c>
      <c r="G4351" s="18"/>
      <c r="H4351" s="18"/>
      <c r="I4351" s="19">
        <v>4349</v>
      </c>
      <c r="J4351" s="19" cm="1">
        <f t="array" aca="1" ref="J4351" ca="1">INDIRECT("b"&amp;K4351+2)</f>
        <v>0</v>
      </c>
      <c r="K4351" s="19">
        <f t="shared" si="878"/>
        <v>7397</v>
      </c>
    </row>
    <row r="4352" spans="1:11">
      <c r="A4352">
        <v>4350</v>
      </c>
      <c r="B4352">
        <v>7.3000000000000003E+130</v>
      </c>
      <c r="D4352" s="18">
        <v>4350</v>
      </c>
      <c r="E4352" s="18" cm="1">
        <f t="array" aca="1" ref="E4352" ca="1">INDIRECT("b"&amp;F4352+2)</f>
        <v>0</v>
      </c>
      <c r="F4352" s="18">
        <f t="shared" si="881"/>
        <v>6198</v>
      </c>
      <c r="G4352" s="18" t="e">
        <f t="shared" ref="G4352" ca="1" si="891">E4352/E4347</f>
        <v>#DIV/0!</v>
      </c>
      <c r="H4352" s="18"/>
      <c r="I4352" s="19">
        <v>4350</v>
      </c>
      <c r="J4352" s="19" cm="1">
        <f t="array" aca="1" ref="J4352" ca="1">INDIRECT("b"&amp;K4352+2)</f>
        <v>0</v>
      </c>
      <c r="K4352" s="19">
        <f t="shared" si="878"/>
        <v>7398</v>
      </c>
    </row>
    <row r="4353" spans="1:11">
      <c r="A4353">
        <v>4351</v>
      </c>
      <c r="B4353">
        <v>7.5249999999999998E+130</v>
      </c>
      <c r="D4353" s="18">
        <v>4351</v>
      </c>
      <c r="E4353" s="18" cm="1">
        <f t="array" aca="1" ref="E4353" ca="1">INDIRECT("b"&amp;F4353+2)</f>
        <v>0</v>
      </c>
      <c r="F4353" s="18">
        <f t="shared" si="881"/>
        <v>6200</v>
      </c>
      <c r="G4353" s="18"/>
      <c r="H4353" s="18"/>
      <c r="I4353" s="19">
        <v>4351</v>
      </c>
      <c r="J4353" s="19" cm="1">
        <f t="array" aca="1" ref="J4353" ca="1">INDIRECT("b"&amp;K4353+2)</f>
        <v>0</v>
      </c>
      <c r="K4353" s="19">
        <f t="shared" si="878"/>
        <v>7400</v>
      </c>
    </row>
    <row r="4354" spans="1:11">
      <c r="A4354">
        <v>4352</v>
      </c>
      <c r="B4354">
        <v>7.7500000000000004E+130</v>
      </c>
      <c r="D4354" s="18">
        <v>4352</v>
      </c>
      <c r="E4354" s="18" cm="1">
        <f t="array" aca="1" ref="E4354" ca="1">INDIRECT("b"&amp;F4354+2)</f>
        <v>0</v>
      </c>
      <c r="F4354" s="18">
        <f t="shared" si="881"/>
        <v>6201</v>
      </c>
      <c r="G4354" s="18"/>
      <c r="H4354" s="18"/>
      <c r="I4354" s="19">
        <v>4352</v>
      </c>
      <c r="J4354" s="19" cm="1">
        <f t="array" aca="1" ref="J4354" ca="1">INDIRECT("b"&amp;K4354+2)</f>
        <v>0</v>
      </c>
      <c r="K4354" s="19">
        <f t="shared" si="878"/>
        <v>7401</v>
      </c>
    </row>
    <row r="4355" spans="1:11">
      <c r="A4355">
        <v>4353</v>
      </c>
      <c r="B4355">
        <v>7.975E+130</v>
      </c>
      <c r="D4355" s="18">
        <v>4353</v>
      </c>
      <c r="E4355" s="18" cm="1">
        <f t="array" aca="1" ref="E4355" ca="1">INDIRECT("b"&amp;F4355+2)</f>
        <v>0</v>
      </c>
      <c r="F4355" s="18">
        <f t="shared" si="881"/>
        <v>6202</v>
      </c>
      <c r="G4355" s="18"/>
      <c r="H4355" s="18"/>
      <c r="I4355" s="19">
        <v>4353</v>
      </c>
      <c r="J4355" s="19" cm="1">
        <f t="array" aca="1" ref="J4355" ca="1">INDIRECT("b"&amp;K4355+2)</f>
        <v>0</v>
      </c>
      <c r="K4355" s="19">
        <f t="shared" si="878"/>
        <v>7402</v>
      </c>
    </row>
    <row r="4356" spans="1:11">
      <c r="A4356">
        <v>4354</v>
      </c>
      <c r="B4356">
        <v>8.2000000000000005E+130</v>
      </c>
      <c r="D4356" s="18">
        <v>4354</v>
      </c>
      <c r="E4356" s="18" cm="1">
        <f t="array" aca="1" ref="E4356" ca="1">INDIRECT("b"&amp;F4356+2)</f>
        <v>0</v>
      </c>
      <c r="F4356" s="18">
        <f t="shared" si="881"/>
        <v>6204</v>
      </c>
      <c r="G4356" s="18"/>
      <c r="H4356" s="18"/>
      <c r="I4356" s="19">
        <v>4354</v>
      </c>
      <c r="J4356" s="19" cm="1">
        <f t="array" aca="1" ref="J4356" ca="1">INDIRECT("b"&amp;K4356+2)</f>
        <v>0</v>
      </c>
      <c r="K4356" s="19">
        <f t="shared" ref="K4356:K4419" si="892">INT((A4356-1)*40/30+900*40/30)+400</f>
        <v>7404</v>
      </c>
    </row>
    <row r="4357" spans="1:11">
      <c r="A4357">
        <v>4355</v>
      </c>
      <c r="B4357">
        <v>8.4250000000000001E+130</v>
      </c>
      <c r="D4357" s="18">
        <v>4355</v>
      </c>
      <c r="E4357" s="18" cm="1">
        <f t="array" aca="1" ref="E4357" ca="1">INDIRECT("b"&amp;F4357+2)</f>
        <v>0</v>
      </c>
      <c r="F4357" s="18">
        <f t="shared" si="881"/>
        <v>6205</v>
      </c>
      <c r="G4357" s="18" t="e">
        <f t="shared" ref="G4357" ca="1" si="893">E4357/E4352</f>
        <v>#DIV/0!</v>
      </c>
      <c r="H4357" s="18"/>
      <c r="I4357" s="19">
        <v>4355</v>
      </c>
      <c r="J4357" s="19" cm="1">
        <f t="array" aca="1" ref="J4357" ca="1">INDIRECT("b"&amp;K4357+2)</f>
        <v>0</v>
      </c>
      <c r="K4357" s="19">
        <f t="shared" si="892"/>
        <v>7405</v>
      </c>
    </row>
    <row r="4358" spans="1:11">
      <c r="A4358">
        <v>4356</v>
      </c>
      <c r="B4358">
        <v>8.6499999999999997E+130</v>
      </c>
      <c r="D4358" s="18">
        <v>4356</v>
      </c>
      <c r="E4358" s="18" cm="1">
        <f t="array" aca="1" ref="E4358" ca="1">INDIRECT("b"&amp;F4358+2)</f>
        <v>0</v>
      </c>
      <c r="F4358" s="18">
        <f t="shared" si="881"/>
        <v>6206</v>
      </c>
      <c r="G4358" s="18"/>
      <c r="H4358" s="18"/>
      <c r="I4358" s="19">
        <v>4356</v>
      </c>
      <c r="J4358" s="19" cm="1">
        <f t="array" aca="1" ref="J4358" ca="1">INDIRECT("b"&amp;K4358+2)</f>
        <v>0</v>
      </c>
      <c r="K4358" s="19">
        <f t="shared" si="892"/>
        <v>7406</v>
      </c>
    </row>
    <row r="4359" spans="1:11">
      <c r="A4359">
        <v>4357</v>
      </c>
      <c r="B4359">
        <v>8.8749999999999993E+130</v>
      </c>
      <c r="D4359" s="18">
        <v>4357</v>
      </c>
      <c r="E4359" s="18" cm="1">
        <f t="array" aca="1" ref="E4359" ca="1">INDIRECT("b"&amp;F4359+2)</f>
        <v>0</v>
      </c>
      <c r="F4359" s="18">
        <f t="shared" si="881"/>
        <v>6208</v>
      </c>
      <c r="G4359" s="18"/>
      <c r="H4359" s="18"/>
      <c r="I4359" s="19">
        <v>4357</v>
      </c>
      <c r="J4359" s="19" cm="1">
        <f t="array" aca="1" ref="J4359" ca="1">INDIRECT("b"&amp;K4359+2)</f>
        <v>0</v>
      </c>
      <c r="K4359" s="19">
        <f t="shared" si="892"/>
        <v>7408</v>
      </c>
    </row>
    <row r="4360" spans="1:11">
      <c r="A4360">
        <v>4358</v>
      </c>
      <c r="B4360">
        <v>9.1000000000000008E+130</v>
      </c>
      <c r="D4360" s="18">
        <v>4358</v>
      </c>
      <c r="E4360" s="18" cm="1">
        <f t="array" aca="1" ref="E4360" ca="1">INDIRECT("b"&amp;F4360+2)</f>
        <v>0</v>
      </c>
      <c r="F4360" s="18">
        <f t="shared" si="881"/>
        <v>6209</v>
      </c>
      <c r="G4360" s="18"/>
      <c r="H4360" s="18"/>
      <c r="I4360" s="19">
        <v>4358</v>
      </c>
      <c r="J4360" s="19" cm="1">
        <f t="array" aca="1" ref="J4360" ca="1">INDIRECT("b"&amp;K4360+2)</f>
        <v>0</v>
      </c>
      <c r="K4360" s="19">
        <f t="shared" si="892"/>
        <v>7409</v>
      </c>
    </row>
    <row r="4361" spans="1:11">
      <c r="A4361">
        <v>4359</v>
      </c>
      <c r="B4361">
        <v>9.3250000000000004E+130</v>
      </c>
      <c r="D4361" s="18">
        <v>4359</v>
      </c>
      <c r="E4361" s="18" cm="1">
        <f t="array" aca="1" ref="E4361" ca="1">INDIRECT("b"&amp;F4361+2)</f>
        <v>0</v>
      </c>
      <c r="F4361" s="18">
        <f t="shared" si="881"/>
        <v>6210</v>
      </c>
      <c r="G4361" s="18"/>
      <c r="H4361" s="18"/>
      <c r="I4361" s="19">
        <v>4359</v>
      </c>
      <c r="J4361" s="19" cm="1">
        <f t="array" aca="1" ref="J4361" ca="1">INDIRECT("b"&amp;K4361+2)</f>
        <v>0</v>
      </c>
      <c r="K4361" s="19">
        <f t="shared" si="892"/>
        <v>7410</v>
      </c>
    </row>
    <row r="4362" spans="1:11">
      <c r="A4362">
        <v>4360</v>
      </c>
      <c r="B4362">
        <v>9.55E+130</v>
      </c>
      <c r="D4362" s="18">
        <v>4360</v>
      </c>
      <c r="E4362" s="18" cm="1">
        <f t="array" aca="1" ref="E4362" ca="1">INDIRECT("b"&amp;F4362+2)</f>
        <v>0</v>
      </c>
      <c r="F4362" s="18">
        <f t="shared" si="881"/>
        <v>6212</v>
      </c>
      <c r="G4362" s="18" t="e">
        <f t="shared" ref="G4362" ca="1" si="894">E4362/E4357</f>
        <v>#DIV/0!</v>
      </c>
      <c r="H4362" s="18"/>
      <c r="I4362" s="19">
        <v>4360</v>
      </c>
      <c r="J4362" s="19" cm="1">
        <f t="array" aca="1" ref="J4362" ca="1">INDIRECT("b"&amp;K4362+2)</f>
        <v>0</v>
      </c>
      <c r="K4362" s="19">
        <f t="shared" si="892"/>
        <v>7412</v>
      </c>
    </row>
    <row r="4363" spans="1:11">
      <c r="A4363">
        <v>4361</v>
      </c>
      <c r="B4363">
        <v>9.7749999999999995E+130</v>
      </c>
      <c r="D4363" s="18">
        <v>4361</v>
      </c>
      <c r="E4363" s="18" cm="1">
        <f t="array" aca="1" ref="E4363" ca="1">INDIRECT("b"&amp;F4363+2)</f>
        <v>0</v>
      </c>
      <c r="F4363" s="18">
        <f t="shared" si="881"/>
        <v>6213</v>
      </c>
      <c r="G4363" s="18"/>
      <c r="H4363" s="18"/>
      <c r="I4363" s="19">
        <v>4361</v>
      </c>
      <c r="J4363" s="19" cm="1">
        <f t="array" aca="1" ref="J4363" ca="1">INDIRECT("b"&amp;K4363+2)</f>
        <v>0</v>
      </c>
      <c r="K4363" s="19">
        <f t="shared" si="892"/>
        <v>7413</v>
      </c>
    </row>
    <row r="4364" spans="1:11">
      <c r="A4364">
        <v>4362</v>
      </c>
      <c r="B4364">
        <v>9.9999999999999991E+130</v>
      </c>
      <c r="D4364" s="18">
        <v>4362</v>
      </c>
      <c r="E4364" s="18" cm="1">
        <f t="array" aca="1" ref="E4364" ca="1">INDIRECT("b"&amp;F4364+2)</f>
        <v>0</v>
      </c>
      <c r="F4364" s="18">
        <f t="shared" si="881"/>
        <v>6214</v>
      </c>
      <c r="G4364" s="18"/>
      <c r="H4364" s="18"/>
      <c r="I4364" s="19">
        <v>4362</v>
      </c>
      <c r="J4364" s="19" cm="1">
        <f t="array" aca="1" ref="J4364" ca="1">INDIRECT("b"&amp;K4364+2)</f>
        <v>0</v>
      </c>
      <c r="K4364" s="19">
        <f t="shared" si="892"/>
        <v>7414</v>
      </c>
    </row>
    <row r="4365" spans="1:11">
      <c r="A4365">
        <v>4363</v>
      </c>
      <c r="B4365">
        <v>1.2249999999999999E+131</v>
      </c>
      <c r="D4365" s="18">
        <v>4363</v>
      </c>
      <c r="E4365" s="18" cm="1">
        <f t="array" aca="1" ref="E4365" ca="1">INDIRECT("b"&amp;F4365+2)</f>
        <v>0</v>
      </c>
      <c r="F4365" s="18">
        <f t="shared" si="881"/>
        <v>6216</v>
      </c>
      <c r="G4365" s="18"/>
      <c r="H4365" s="18"/>
      <c r="I4365" s="19">
        <v>4363</v>
      </c>
      <c r="J4365" s="19" cm="1">
        <f t="array" aca="1" ref="J4365" ca="1">INDIRECT("b"&amp;K4365+2)</f>
        <v>0</v>
      </c>
      <c r="K4365" s="19">
        <f t="shared" si="892"/>
        <v>7416</v>
      </c>
    </row>
    <row r="4366" spans="1:11">
      <c r="A4366">
        <v>4364</v>
      </c>
      <c r="B4366">
        <v>1.45E+131</v>
      </c>
      <c r="D4366" s="18">
        <v>4364</v>
      </c>
      <c r="E4366" s="18" cm="1">
        <f t="array" aca="1" ref="E4366" ca="1">INDIRECT("b"&amp;F4366+2)</f>
        <v>0</v>
      </c>
      <c r="F4366" s="18">
        <f t="shared" si="881"/>
        <v>6217</v>
      </c>
      <c r="G4366" s="18"/>
      <c r="H4366" s="18"/>
      <c r="I4366" s="19">
        <v>4364</v>
      </c>
      <c r="J4366" s="19" cm="1">
        <f t="array" aca="1" ref="J4366" ca="1">INDIRECT("b"&amp;K4366+2)</f>
        <v>0</v>
      </c>
      <c r="K4366" s="19">
        <f t="shared" si="892"/>
        <v>7417</v>
      </c>
    </row>
    <row r="4367" spans="1:11">
      <c r="A4367">
        <v>4365</v>
      </c>
      <c r="B4367">
        <v>1.675E+131</v>
      </c>
      <c r="D4367" s="18">
        <v>4365</v>
      </c>
      <c r="E4367" s="18" cm="1">
        <f t="array" aca="1" ref="E4367" ca="1">INDIRECT("b"&amp;F4367+2)</f>
        <v>0</v>
      </c>
      <c r="F4367" s="18">
        <f t="shared" si="881"/>
        <v>6218</v>
      </c>
      <c r="G4367" s="18" t="e">
        <f t="shared" ref="G4367" ca="1" si="895">E4367/E4362</f>
        <v>#DIV/0!</v>
      </c>
      <c r="H4367" s="18"/>
      <c r="I4367" s="19">
        <v>4365</v>
      </c>
      <c r="J4367" s="19" cm="1">
        <f t="array" aca="1" ref="J4367" ca="1">INDIRECT("b"&amp;K4367+2)</f>
        <v>0</v>
      </c>
      <c r="K4367" s="19">
        <f t="shared" si="892"/>
        <v>7418</v>
      </c>
    </row>
    <row r="4368" spans="1:11">
      <c r="A4368">
        <v>4366</v>
      </c>
      <c r="B4368">
        <v>1.8999999999999998E+131</v>
      </c>
      <c r="D4368" s="18">
        <v>4366</v>
      </c>
      <c r="E4368" s="18" cm="1">
        <f t="array" aca="1" ref="E4368" ca="1">INDIRECT("b"&amp;F4368+2)</f>
        <v>0</v>
      </c>
      <c r="F4368" s="18">
        <f t="shared" si="881"/>
        <v>6220</v>
      </c>
      <c r="G4368" s="18"/>
      <c r="H4368" s="18"/>
      <c r="I4368" s="19">
        <v>4366</v>
      </c>
      <c r="J4368" s="19" cm="1">
        <f t="array" aca="1" ref="J4368" ca="1">INDIRECT("b"&amp;K4368+2)</f>
        <v>0</v>
      </c>
      <c r="K4368" s="19">
        <f t="shared" si="892"/>
        <v>7420</v>
      </c>
    </row>
    <row r="4369" spans="1:11">
      <c r="A4369">
        <v>4367</v>
      </c>
      <c r="B4369">
        <v>2.1249999999999998E+131</v>
      </c>
      <c r="D4369" s="18">
        <v>4367</v>
      </c>
      <c r="E4369" s="18" cm="1">
        <f t="array" aca="1" ref="E4369" ca="1">INDIRECT("b"&amp;F4369+2)</f>
        <v>0</v>
      </c>
      <c r="F4369" s="18">
        <f t="shared" si="881"/>
        <v>6221</v>
      </c>
      <c r="G4369" s="18"/>
      <c r="H4369" s="18"/>
      <c r="I4369" s="19">
        <v>4367</v>
      </c>
      <c r="J4369" s="19" cm="1">
        <f t="array" aca="1" ref="J4369" ca="1">INDIRECT("b"&amp;K4369+2)</f>
        <v>0</v>
      </c>
      <c r="K4369" s="19">
        <f t="shared" si="892"/>
        <v>7421</v>
      </c>
    </row>
    <row r="4370" spans="1:11">
      <c r="A4370">
        <v>4368</v>
      </c>
      <c r="B4370">
        <v>2.3500000000000001E+131</v>
      </c>
      <c r="D4370" s="18">
        <v>4368</v>
      </c>
      <c r="E4370" s="18" cm="1">
        <f t="array" aca="1" ref="E4370" ca="1">INDIRECT("b"&amp;F4370+2)</f>
        <v>0</v>
      </c>
      <c r="F4370" s="18">
        <f t="shared" si="881"/>
        <v>6222</v>
      </c>
      <c r="G4370" s="18"/>
      <c r="H4370" s="18"/>
      <c r="I4370" s="19">
        <v>4368</v>
      </c>
      <c r="J4370" s="19" cm="1">
        <f t="array" aca="1" ref="J4370" ca="1">INDIRECT("b"&amp;K4370+2)</f>
        <v>0</v>
      </c>
      <c r="K4370" s="19">
        <f t="shared" si="892"/>
        <v>7422</v>
      </c>
    </row>
    <row r="4371" spans="1:11">
      <c r="A4371">
        <v>4369</v>
      </c>
      <c r="B4371">
        <v>2.5750000000000001E+131</v>
      </c>
      <c r="D4371" s="18">
        <v>4369</v>
      </c>
      <c r="E4371" s="18" cm="1">
        <f t="array" aca="1" ref="E4371" ca="1">INDIRECT("b"&amp;F4371+2)</f>
        <v>0</v>
      </c>
      <c r="F4371" s="18">
        <f t="shared" ref="F4371:F4434" si="896">INT((A4371-123)*1.333333)+563</f>
        <v>6224</v>
      </c>
      <c r="G4371" s="18"/>
      <c r="H4371" s="18"/>
      <c r="I4371" s="19">
        <v>4369</v>
      </c>
      <c r="J4371" s="19" cm="1">
        <f t="array" aca="1" ref="J4371" ca="1">INDIRECT("b"&amp;K4371+2)</f>
        <v>0</v>
      </c>
      <c r="K4371" s="19">
        <f t="shared" si="892"/>
        <v>7424</v>
      </c>
    </row>
    <row r="4372" spans="1:11">
      <c r="A4372">
        <v>4370</v>
      </c>
      <c r="B4372">
        <v>2.8000000000000001E+131</v>
      </c>
      <c r="D4372" s="18">
        <v>4370</v>
      </c>
      <c r="E4372" s="18" cm="1">
        <f t="array" aca="1" ref="E4372" ca="1">INDIRECT("b"&amp;F4372+2)</f>
        <v>0</v>
      </c>
      <c r="F4372" s="18">
        <f t="shared" si="896"/>
        <v>6225</v>
      </c>
      <c r="G4372" s="18" t="e">
        <f t="shared" ref="G4372" ca="1" si="897">E4372/E4367</f>
        <v>#DIV/0!</v>
      </c>
      <c r="H4372" s="18"/>
      <c r="I4372" s="19">
        <v>4370</v>
      </c>
      <c r="J4372" s="19" cm="1">
        <f t="array" aca="1" ref="J4372" ca="1">INDIRECT("b"&amp;K4372+2)</f>
        <v>0</v>
      </c>
      <c r="K4372" s="19">
        <f t="shared" si="892"/>
        <v>7425</v>
      </c>
    </row>
    <row r="4373" spans="1:11">
      <c r="A4373">
        <v>4371</v>
      </c>
      <c r="B4373">
        <v>3.025E+131</v>
      </c>
      <c r="D4373" s="18">
        <v>4371</v>
      </c>
      <c r="E4373" s="18" cm="1">
        <f t="array" aca="1" ref="E4373" ca="1">INDIRECT("b"&amp;F4373+2)</f>
        <v>0</v>
      </c>
      <c r="F4373" s="18">
        <f t="shared" si="896"/>
        <v>6226</v>
      </c>
      <c r="G4373" s="18"/>
      <c r="H4373" s="18"/>
      <c r="I4373" s="19">
        <v>4371</v>
      </c>
      <c r="J4373" s="19" cm="1">
        <f t="array" aca="1" ref="J4373" ca="1">INDIRECT("b"&amp;K4373+2)</f>
        <v>0</v>
      </c>
      <c r="K4373" s="19">
        <f t="shared" si="892"/>
        <v>7426</v>
      </c>
    </row>
    <row r="4374" spans="1:11">
      <c r="A4374">
        <v>4372</v>
      </c>
      <c r="B4374">
        <v>3.25E+131</v>
      </c>
      <c r="D4374" s="18">
        <v>4372</v>
      </c>
      <c r="E4374" s="18" cm="1">
        <f t="array" aca="1" ref="E4374" ca="1">INDIRECT("b"&amp;F4374+2)</f>
        <v>0</v>
      </c>
      <c r="F4374" s="18">
        <f t="shared" si="896"/>
        <v>6228</v>
      </c>
      <c r="G4374" s="18"/>
      <c r="H4374" s="18"/>
      <c r="I4374" s="19">
        <v>4372</v>
      </c>
      <c r="J4374" s="19" cm="1">
        <f t="array" aca="1" ref="J4374" ca="1">INDIRECT("b"&amp;K4374+2)</f>
        <v>0</v>
      </c>
      <c r="K4374" s="19">
        <f t="shared" si="892"/>
        <v>7428</v>
      </c>
    </row>
    <row r="4375" spans="1:11">
      <c r="A4375">
        <v>4373</v>
      </c>
      <c r="B4375">
        <v>3.475E+131</v>
      </c>
      <c r="D4375" s="18">
        <v>4373</v>
      </c>
      <c r="E4375" s="18" cm="1">
        <f t="array" aca="1" ref="E4375" ca="1">INDIRECT("b"&amp;F4375+2)</f>
        <v>0</v>
      </c>
      <c r="F4375" s="18">
        <f t="shared" si="896"/>
        <v>6229</v>
      </c>
      <c r="G4375" s="18"/>
      <c r="H4375" s="18"/>
      <c r="I4375" s="19">
        <v>4373</v>
      </c>
      <c r="J4375" s="19" cm="1">
        <f t="array" aca="1" ref="J4375" ca="1">INDIRECT("b"&amp;K4375+2)</f>
        <v>0</v>
      </c>
      <c r="K4375" s="19">
        <f t="shared" si="892"/>
        <v>7429</v>
      </c>
    </row>
    <row r="4376" spans="1:11">
      <c r="A4376">
        <v>4374</v>
      </c>
      <c r="B4376">
        <v>3.7E+131</v>
      </c>
      <c r="D4376" s="18">
        <v>4374</v>
      </c>
      <c r="E4376" s="18" cm="1">
        <f t="array" aca="1" ref="E4376" ca="1">INDIRECT("b"&amp;F4376+2)</f>
        <v>0</v>
      </c>
      <c r="F4376" s="18">
        <f t="shared" si="896"/>
        <v>6230</v>
      </c>
      <c r="G4376" s="18"/>
      <c r="H4376" s="18"/>
      <c r="I4376" s="19">
        <v>4374</v>
      </c>
      <c r="J4376" s="19" cm="1">
        <f t="array" aca="1" ref="J4376" ca="1">INDIRECT("b"&amp;K4376+2)</f>
        <v>0</v>
      </c>
      <c r="K4376" s="19">
        <f t="shared" si="892"/>
        <v>7430</v>
      </c>
    </row>
    <row r="4377" spans="1:11">
      <c r="A4377">
        <v>4375</v>
      </c>
      <c r="B4377">
        <v>3.9249999999999995E+131</v>
      </c>
      <c r="D4377" s="18">
        <v>4375</v>
      </c>
      <c r="E4377" s="18" cm="1">
        <f t="array" aca="1" ref="E4377" ca="1">INDIRECT("b"&amp;F4377+2)</f>
        <v>0</v>
      </c>
      <c r="F4377" s="18">
        <f t="shared" si="896"/>
        <v>6232</v>
      </c>
      <c r="G4377" s="18" t="e">
        <f t="shared" ref="G4377" ca="1" si="898">E4377/E4372</f>
        <v>#DIV/0!</v>
      </c>
      <c r="H4377" s="18"/>
      <c r="I4377" s="19">
        <v>4375</v>
      </c>
      <c r="J4377" s="19" cm="1">
        <f t="array" aca="1" ref="J4377" ca="1">INDIRECT("b"&amp;K4377+2)</f>
        <v>0</v>
      </c>
      <c r="K4377" s="19">
        <f t="shared" si="892"/>
        <v>7432</v>
      </c>
    </row>
    <row r="4378" spans="1:11">
      <c r="A4378">
        <v>4376</v>
      </c>
      <c r="B4378">
        <v>4.1499999999999999E+131</v>
      </c>
      <c r="D4378" s="18">
        <v>4376</v>
      </c>
      <c r="E4378" s="18" cm="1">
        <f t="array" aca="1" ref="E4378" ca="1">INDIRECT("b"&amp;F4378+2)</f>
        <v>0</v>
      </c>
      <c r="F4378" s="18">
        <f t="shared" si="896"/>
        <v>6233</v>
      </c>
      <c r="G4378" s="18"/>
      <c r="H4378" s="18"/>
      <c r="I4378" s="19">
        <v>4376</v>
      </c>
      <c r="J4378" s="19" cm="1">
        <f t="array" aca="1" ref="J4378" ca="1">INDIRECT("b"&amp;K4378+2)</f>
        <v>0</v>
      </c>
      <c r="K4378" s="19">
        <f t="shared" si="892"/>
        <v>7433</v>
      </c>
    </row>
    <row r="4379" spans="1:11">
      <c r="A4379">
        <v>4377</v>
      </c>
      <c r="B4379">
        <v>4.3750000000000003E+131</v>
      </c>
      <c r="D4379" s="18">
        <v>4377</v>
      </c>
      <c r="E4379" s="18" cm="1">
        <f t="array" aca="1" ref="E4379" ca="1">INDIRECT("b"&amp;F4379+2)</f>
        <v>0</v>
      </c>
      <c r="F4379" s="18">
        <f t="shared" si="896"/>
        <v>6234</v>
      </c>
      <c r="G4379" s="18"/>
      <c r="H4379" s="18"/>
      <c r="I4379" s="19">
        <v>4377</v>
      </c>
      <c r="J4379" s="19" cm="1">
        <f t="array" aca="1" ref="J4379" ca="1">INDIRECT("b"&amp;K4379+2)</f>
        <v>0</v>
      </c>
      <c r="K4379" s="19">
        <f t="shared" si="892"/>
        <v>7434</v>
      </c>
    </row>
    <row r="4380" spans="1:11">
      <c r="A4380">
        <v>4378</v>
      </c>
      <c r="B4380">
        <v>4.5999999999999998E+131</v>
      </c>
      <c r="D4380" s="18">
        <v>4378</v>
      </c>
      <c r="E4380" s="18" cm="1">
        <f t="array" aca="1" ref="E4380" ca="1">INDIRECT("b"&amp;F4380+2)</f>
        <v>0</v>
      </c>
      <c r="F4380" s="18">
        <f t="shared" si="896"/>
        <v>6236</v>
      </c>
      <c r="G4380" s="18"/>
      <c r="H4380" s="18"/>
      <c r="I4380" s="19">
        <v>4378</v>
      </c>
      <c r="J4380" s="19" cm="1">
        <f t="array" aca="1" ref="J4380" ca="1">INDIRECT("b"&amp;K4380+2)</f>
        <v>0</v>
      </c>
      <c r="K4380" s="19">
        <f t="shared" si="892"/>
        <v>7436</v>
      </c>
    </row>
    <row r="4381" spans="1:11">
      <c r="A4381">
        <v>4379</v>
      </c>
      <c r="B4381">
        <v>4.8250000000000002E+131</v>
      </c>
      <c r="D4381" s="18">
        <v>4379</v>
      </c>
      <c r="E4381" s="18" cm="1">
        <f t="array" aca="1" ref="E4381" ca="1">INDIRECT("b"&amp;F4381+2)</f>
        <v>0</v>
      </c>
      <c r="F4381" s="18">
        <f t="shared" si="896"/>
        <v>6237</v>
      </c>
      <c r="G4381" s="18"/>
      <c r="H4381" s="18"/>
      <c r="I4381" s="19">
        <v>4379</v>
      </c>
      <c r="J4381" s="19" cm="1">
        <f t="array" aca="1" ref="J4381" ca="1">INDIRECT("b"&amp;K4381+2)</f>
        <v>0</v>
      </c>
      <c r="K4381" s="19">
        <f t="shared" si="892"/>
        <v>7437</v>
      </c>
    </row>
    <row r="4382" spans="1:11">
      <c r="A4382">
        <v>4380</v>
      </c>
      <c r="B4382">
        <v>5.0499999999999998E+131</v>
      </c>
      <c r="D4382" s="18">
        <v>4380</v>
      </c>
      <c r="E4382" s="18" cm="1">
        <f t="array" aca="1" ref="E4382" ca="1">INDIRECT("b"&amp;F4382+2)</f>
        <v>0</v>
      </c>
      <c r="F4382" s="18">
        <f t="shared" si="896"/>
        <v>6238</v>
      </c>
      <c r="G4382" s="18" t="e">
        <f t="shared" ref="G4382" ca="1" si="899">E4382/E4377</f>
        <v>#DIV/0!</v>
      </c>
      <c r="H4382" s="18"/>
      <c r="I4382" s="19">
        <v>4380</v>
      </c>
      <c r="J4382" s="19" cm="1">
        <f t="array" aca="1" ref="J4382" ca="1">INDIRECT("b"&amp;K4382+2)</f>
        <v>0</v>
      </c>
      <c r="K4382" s="19">
        <f t="shared" si="892"/>
        <v>7438</v>
      </c>
    </row>
    <row r="4383" spans="1:11">
      <c r="A4383">
        <v>4381</v>
      </c>
      <c r="B4383">
        <v>5.2750000000000001E+131</v>
      </c>
      <c r="D4383" s="18">
        <v>4381</v>
      </c>
      <c r="E4383" s="18" cm="1">
        <f t="array" aca="1" ref="E4383" ca="1">INDIRECT("b"&amp;F4383+2)</f>
        <v>0</v>
      </c>
      <c r="F4383" s="18">
        <f t="shared" si="896"/>
        <v>6240</v>
      </c>
      <c r="G4383" s="18"/>
      <c r="H4383" s="18"/>
      <c r="I4383" s="19">
        <v>4381</v>
      </c>
      <c r="J4383" s="19" cm="1">
        <f t="array" aca="1" ref="J4383" ca="1">INDIRECT("b"&amp;K4383+2)</f>
        <v>0</v>
      </c>
      <c r="K4383" s="19">
        <f t="shared" si="892"/>
        <v>7440</v>
      </c>
    </row>
    <row r="4384" spans="1:11">
      <c r="A4384">
        <v>4382</v>
      </c>
      <c r="B4384">
        <v>5.4999999999999997E+131</v>
      </c>
      <c r="D4384" s="18">
        <v>4382</v>
      </c>
      <c r="E4384" s="18" cm="1">
        <f t="array" aca="1" ref="E4384" ca="1">INDIRECT("b"&amp;F4384+2)</f>
        <v>0</v>
      </c>
      <c r="F4384" s="18">
        <f t="shared" si="896"/>
        <v>6241</v>
      </c>
      <c r="G4384" s="18"/>
      <c r="H4384" s="18"/>
      <c r="I4384" s="19">
        <v>4382</v>
      </c>
      <c r="J4384" s="19" cm="1">
        <f t="array" aca="1" ref="J4384" ca="1">INDIRECT("b"&amp;K4384+2)</f>
        <v>0</v>
      </c>
      <c r="K4384" s="19">
        <f t="shared" si="892"/>
        <v>7441</v>
      </c>
    </row>
    <row r="4385" spans="1:11">
      <c r="A4385">
        <v>4383</v>
      </c>
      <c r="B4385">
        <v>5.7250000000000001E+131</v>
      </c>
      <c r="D4385" s="18">
        <v>4383</v>
      </c>
      <c r="E4385" s="18" cm="1">
        <f t="array" aca="1" ref="E4385" ca="1">INDIRECT("b"&amp;F4385+2)</f>
        <v>0</v>
      </c>
      <c r="F4385" s="18">
        <f t="shared" si="896"/>
        <v>6242</v>
      </c>
      <c r="G4385" s="18"/>
      <c r="H4385" s="18"/>
      <c r="I4385" s="19">
        <v>4383</v>
      </c>
      <c r="J4385" s="19" cm="1">
        <f t="array" aca="1" ref="J4385" ca="1">INDIRECT("b"&amp;K4385+2)</f>
        <v>0</v>
      </c>
      <c r="K4385" s="19">
        <f t="shared" si="892"/>
        <v>7442</v>
      </c>
    </row>
    <row r="4386" spans="1:11">
      <c r="A4386">
        <v>4384</v>
      </c>
      <c r="B4386">
        <v>5.9499999999999997E+131</v>
      </c>
      <c r="D4386" s="18">
        <v>4384</v>
      </c>
      <c r="E4386" s="18" cm="1">
        <f t="array" aca="1" ref="E4386" ca="1">INDIRECT("b"&amp;F4386+2)</f>
        <v>0</v>
      </c>
      <c r="F4386" s="18">
        <f t="shared" si="896"/>
        <v>6244</v>
      </c>
      <c r="G4386" s="18"/>
      <c r="H4386" s="18"/>
      <c r="I4386" s="19">
        <v>4384</v>
      </c>
      <c r="J4386" s="19" cm="1">
        <f t="array" aca="1" ref="J4386" ca="1">INDIRECT("b"&amp;K4386+2)</f>
        <v>0</v>
      </c>
      <c r="K4386" s="19">
        <f t="shared" si="892"/>
        <v>7444</v>
      </c>
    </row>
    <row r="4387" spans="1:11">
      <c r="A4387">
        <v>4385</v>
      </c>
      <c r="B4387">
        <v>6.175E+131</v>
      </c>
      <c r="D4387" s="18">
        <v>4385</v>
      </c>
      <c r="E4387" s="18" cm="1">
        <f t="array" aca="1" ref="E4387" ca="1">INDIRECT("b"&amp;F4387+2)</f>
        <v>0</v>
      </c>
      <c r="F4387" s="18">
        <f t="shared" si="896"/>
        <v>6245</v>
      </c>
      <c r="G4387" s="18" t="e">
        <f t="shared" ref="G4387" ca="1" si="900">E4387/E4382</f>
        <v>#DIV/0!</v>
      </c>
      <c r="H4387" s="18"/>
      <c r="I4387" s="19">
        <v>4385</v>
      </c>
      <c r="J4387" s="19" cm="1">
        <f t="array" aca="1" ref="J4387" ca="1">INDIRECT("b"&amp;K4387+2)</f>
        <v>0</v>
      </c>
      <c r="K4387" s="19">
        <f t="shared" si="892"/>
        <v>7445</v>
      </c>
    </row>
    <row r="4388" spans="1:11">
      <c r="A4388">
        <v>4386</v>
      </c>
      <c r="B4388">
        <v>6.3999999999999996E+131</v>
      </c>
      <c r="D4388" s="18">
        <v>4386</v>
      </c>
      <c r="E4388" s="18" cm="1">
        <f t="array" aca="1" ref="E4388" ca="1">INDIRECT("b"&amp;F4388+2)</f>
        <v>0</v>
      </c>
      <c r="F4388" s="18">
        <f t="shared" si="896"/>
        <v>6246</v>
      </c>
      <c r="G4388" s="18"/>
      <c r="H4388" s="18"/>
      <c r="I4388" s="19">
        <v>4386</v>
      </c>
      <c r="J4388" s="19" cm="1">
        <f t="array" aca="1" ref="J4388" ca="1">INDIRECT("b"&amp;K4388+2)</f>
        <v>0</v>
      </c>
      <c r="K4388" s="19">
        <f t="shared" si="892"/>
        <v>7446</v>
      </c>
    </row>
    <row r="4389" spans="1:11">
      <c r="A4389">
        <v>4387</v>
      </c>
      <c r="B4389">
        <v>6.625E+131</v>
      </c>
      <c r="D4389" s="18">
        <v>4387</v>
      </c>
      <c r="E4389" s="18" cm="1">
        <f t="array" aca="1" ref="E4389" ca="1">INDIRECT("b"&amp;F4389+2)</f>
        <v>0</v>
      </c>
      <c r="F4389" s="18">
        <f t="shared" si="896"/>
        <v>6248</v>
      </c>
      <c r="G4389" s="18"/>
      <c r="H4389" s="18"/>
      <c r="I4389" s="19">
        <v>4387</v>
      </c>
      <c r="J4389" s="19" cm="1">
        <f t="array" aca="1" ref="J4389" ca="1">INDIRECT("b"&amp;K4389+2)</f>
        <v>0</v>
      </c>
      <c r="K4389" s="19">
        <f t="shared" si="892"/>
        <v>7448</v>
      </c>
    </row>
    <row r="4390" spans="1:11">
      <c r="A4390">
        <v>4388</v>
      </c>
      <c r="B4390">
        <v>6.8499999999999995E+131</v>
      </c>
      <c r="D4390" s="18">
        <v>4388</v>
      </c>
      <c r="E4390" s="18" cm="1">
        <f t="array" aca="1" ref="E4390" ca="1">INDIRECT("b"&amp;F4390+2)</f>
        <v>0</v>
      </c>
      <c r="F4390" s="18">
        <f t="shared" si="896"/>
        <v>6249</v>
      </c>
      <c r="G4390" s="18"/>
      <c r="H4390" s="18"/>
      <c r="I4390" s="19">
        <v>4388</v>
      </c>
      <c r="J4390" s="19" cm="1">
        <f t="array" aca="1" ref="J4390" ca="1">INDIRECT("b"&amp;K4390+2)</f>
        <v>0</v>
      </c>
      <c r="K4390" s="19">
        <f t="shared" si="892"/>
        <v>7449</v>
      </c>
    </row>
    <row r="4391" spans="1:11">
      <c r="A4391">
        <v>4389</v>
      </c>
      <c r="B4391">
        <v>7.0749999999999999E+131</v>
      </c>
      <c r="D4391" s="18">
        <v>4389</v>
      </c>
      <c r="E4391" s="18" cm="1">
        <f t="array" aca="1" ref="E4391" ca="1">INDIRECT("b"&amp;F4391+2)</f>
        <v>0</v>
      </c>
      <c r="F4391" s="18">
        <f t="shared" si="896"/>
        <v>6250</v>
      </c>
      <c r="G4391" s="18"/>
      <c r="H4391" s="18"/>
      <c r="I4391" s="19">
        <v>4389</v>
      </c>
      <c r="J4391" s="19" cm="1">
        <f t="array" aca="1" ref="J4391" ca="1">INDIRECT("b"&amp;K4391+2)</f>
        <v>0</v>
      </c>
      <c r="K4391" s="19">
        <f t="shared" si="892"/>
        <v>7450</v>
      </c>
    </row>
    <row r="4392" spans="1:11">
      <c r="A4392">
        <v>4390</v>
      </c>
      <c r="B4392">
        <v>7.3000000000000003E+131</v>
      </c>
      <c r="D4392" s="18">
        <v>4390</v>
      </c>
      <c r="E4392" s="18" cm="1">
        <f t="array" aca="1" ref="E4392" ca="1">INDIRECT("b"&amp;F4392+2)</f>
        <v>0</v>
      </c>
      <c r="F4392" s="18">
        <f t="shared" si="896"/>
        <v>6252</v>
      </c>
      <c r="G4392" s="18" t="e">
        <f t="shared" ref="G4392" ca="1" si="901">E4392/E4387</f>
        <v>#DIV/0!</v>
      </c>
      <c r="H4392" s="18"/>
      <c r="I4392" s="19">
        <v>4390</v>
      </c>
      <c r="J4392" s="19" cm="1">
        <f t="array" aca="1" ref="J4392" ca="1">INDIRECT("b"&amp;K4392+2)</f>
        <v>0</v>
      </c>
      <c r="K4392" s="19">
        <f t="shared" si="892"/>
        <v>7452</v>
      </c>
    </row>
    <row r="4393" spans="1:11">
      <c r="A4393">
        <v>4391</v>
      </c>
      <c r="B4393">
        <v>7.5249999999999998E+131</v>
      </c>
      <c r="D4393" s="18">
        <v>4391</v>
      </c>
      <c r="E4393" s="18" cm="1">
        <f t="array" aca="1" ref="E4393" ca="1">INDIRECT("b"&amp;F4393+2)</f>
        <v>0</v>
      </c>
      <c r="F4393" s="18">
        <f t="shared" si="896"/>
        <v>6253</v>
      </c>
      <c r="G4393" s="18"/>
      <c r="H4393" s="18"/>
      <c r="I4393" s="19">
        <v>4391</v>
      </c>
      <c r="J4393" s="19" cm="1">
        <f t="array" aca="1" ref="J4393" ca="1">INDIRECT("b"&amp;K4393+2)</f>
        <v>0</v>
      </c>
      <c r="K4393" s="19">
        <f t="shared" si="892"/>
        <v>7453</v>
      </c>
    </row>
    <row r="4394" spans="1:11">
      <c r="A4394">
        <v>4392</v>
      </c>
      <c r="B4394">
        <v>7.7499999999999994E+131</v>
      </c>
      <c r="D4394" s="18">
        <v>4392</v>
      </c>
      <c r="E4394" s="18" cm="1">
        <f t="array" aca="1" ref="E4394" ca="1">INDIRECT("b"&amp;F4394+2)</f>
        <v>0</v>
      </c>
      <c r="F4394" s="18">
        <f t="shared" si="896"/>
        <v>6254</v>
      </c>
      <c r="G4394" s="18" t="e">
        <f t="shared" ref="G4394" ca="1" si="902">E4394/E4389</f>
        <v>#DIV/0!</v>
      </c>
      <c r="H4394" s="18"/>
      <c r="I4394" s="19">
        <v>4392</v>
      </c>
      <c r="J4394" s="19" cm="1">
        <f t="array" aca="1" ref="J4394" ca="1">INDIRECT("b"&amp;K4394+2)</f>
        <v>0</v>
      </c>
      <c r="K4394" s="19">
        <f t="shared" si="892"/>
        <v>7454</v>
      </c>
    </row>
    <row r="4395" spans="1:11">
      <c r="A4395">
        <v>4393</v>
      </c>
      <c r="B4395">
        <v>7.9750000000000006E+131</v>
      </c>
      <c r="D4395" s="18">
        <v>4393</v>
      </c>
      <c r="E4395" s="18" cm="1">
        <f t="array" aca="1" ref="E4395" ca="1">INDIRECT("b"&amp;F4395+2)</f>
        <v>0</v>
      </c>
      <c r="F4395" s="18">
        <f t="shared" si="896"/>
        <v>6256</v>
      </c>
      <c r="G4395" s="18"/>
      <c r="H4395" s="18"/>
      <c r="I4395" s="19">
        <v>4393</v>
      </c>
      <c r="J4395" s="19" cm="1">
        <f t="array" aca="1" ref="J4395" ca="1">INDIRECT("b"&amp;K4395+2)</f>
        <v>0</v>
      </c>
      <c r="K4395" s="19">
        <f t="shared" si="892"/>
        <v>7456</v>
      </c>
    </row>
    <row r="4396" spans="1:11">
      <c r="A4396">
        <v>4394</v>
      </c>
      <c r="B4396">
        <v>8.2000000000000001E+131</v>
      </c>
      <c r="D4396" s="18">
        <v>4394</v>
      </c>
      <c r="E4396" s="18" cm="1">
        <f t="array" aca="1" ref="E4396" ca="1">INDIRECT("b"&amp;F4396+2)</f>
        <v>0</v>
      </c>
      <c r="F4396" s="18">
        <f t="shared" si="896"/>
        <v>6257</v>
      </c>
      <c r="G4396" s="18"/>
      <c r="H4396" s="18"/>
      <c r="I4396" s="19">
        <v>4394</v>
      </c>
      <c r="J4396" s="19" cm="1">
        <f t="array" aca="1" ref="J4396" ca="1">INDIRECT("b"&amp;K4396+2)</f>
        <v>0</v>
      </c>
      <c r="K4396" s="19">
        <f t="shared" si="892"/>
        <v>7457</v>
      </c>
    </row>
    <row r="4397" spans="1:11">
      <c r="A4397">
        <v>4395</v>
      </c>
      <c r="B4397">
        <v>8.4249999999999997E+131</v>
      </c>
      <c r="D4397" s="18">
        <v>4395</v>
      </c>
      <c r="E4397" s="18" cm="1">
        <f t="array" aca="1" ref="E4397" ca="1">INDIRECT("b"&amp;F4397+2)</f>
        <v>0</v>
      </c>
      <c r="F4397" s="18">
        <f t="shared" si="896"/>
        <v>6258</v>
      </c>
      <c r="G4397" s="18"/>
      <c r="H4397" s="18"/>
      <c r="I4397" s="19">
        <v>4395</v>
      </c>
      <c r="J4397" s="19" cm="1">
        <f t="array" aca="1" ref="J4397" ca="1">INDIRECT("b"&amp;K4397+2)</f>
        <v>0</v>
      </c>
      <c r="K4397" s="19">
        <f t="shared" si="892"/>
        <v>7458</v>
      </c>
    </row>
    <row r="4398" spans="1:11">
      <c r="A4398">
        <v>4396</v>
      </c>
      <c r="B4398">
        <v>8.6499999999999993E+131</v>
      </c>
      <c r="D4398" s="18">
        <v>4396</v>
      </c>
      <c r="E4398" s="18" cm="1">
        <f t="array" aca="1" ref="E4398" ca="1">INDIRECT("b"&amp;F4398+2)</f>
        <v>0</v>
      </c>
      <c r="F4398" s="18">
        <f t="shared" si="896"/>
        <v>6260</v>
      </c>
      <c r="G4398" s="18"/>
      <c r="H4398" s="18"/>
      <c r="I4398" s="19">
        <v>4396</v>
      </c>
      <c r="J4398" s="19" cm="1">
        <f t="array" aca="1" ref="J4398" ca="1">INDIRECT("b"&amp;K4398+2)</f>
        <v>0</v>
      </c>
      <c r="K4398" s="19">
        <f t="shared" si="892"/>
        <v>7460</v>
      </c>
    </row>
    <row r="4399" spans="1:11">
      <c r="A4399">
        <v>4397</v>
      </c>
      <c r="B4399">
        <v>8.8750000000000005E+131</v>
      </c>
      <c r="D4399" s="18">
        <v>4397</v>
      </c>
      <c r="E4399" s="18" cm="1">
        <f t="array" aca="1" ref="E4399" ca="1">INDIRECT("b"&amp;F4399+2)</f>
        <v>0</v>
      </c>
      <c r="F4399" s="18">
        <f t="shared" si="896"/>
        <v>6261</v>
      </c>
      <c r="G4399" s="18" t="e">
        <f t="shared" ref="G4399" ca="1" si="903">E4399/E4394</f>
        <v>#DIV/0!</v>
      </c>
      <c r="H4399" s="18"/>
      <c r="I4399" s="19">
        <v>4397</v>
      </c>
      <c r="J4399" s="19" cm="1">
        <f t="array" aca="1" ref="J4399" ca="1">INDIRECT("b"&amp;K4399+2)</f>
        <v>0</v>
      </c>
      <c r="K4399" s="19">
        <f t="shared" si="892"/>
        <v>7461</v>
      </c>
    </row>
    <row r="4400" spans="1:11">
      <c r="A4400">
        <v>4398</v>
      </c>
      <c r="B4400">
        <v>9.1E+131</v>
      </c>
      <c r="D4400" s="18">
        <v>4398</v>
      </c>
      <c r="E4400" s="18" cm="1">
        <f t="array" aca="1" ref="E4400" ca="1">INDIRECT("b"&amp;F4400+2)</f>
        <v>0</v>
      </c>
      <c r="F4400" s="18">
        <f t="shared" si="896"/>
        <v>6262</v>
      </c>
      <c r="G4400" s="18"/>
      <c r="H4400" s="18"/>
      <c r="I4400" s="19">
        <v>4398</v>
      </c>
      <c r="J4400" s="19" cm="1">
        <f t="array" aca="1" ref="J4400" ca="1">INDIRECT("b"&amp;K4400+2)</f>
        <v>0</v>
      </c>
      <c r="K4400" s="19">
        <f t="shared" si="892"/>
        <v>7462</v>
      </c>
    </row>
    <row r="4401" spans="1:11">
      <c r="A4401">
        <v>4399</v>
      </c>
      <c r="B4401">
        <v>9.3249999999999996E+131</v>
      </c>
      <c r="D4401" s="18">
        <v>4399</v>
      </c>
      <c r="E4401" s="18" cm="1">
        <f t="array" aca="1" ref="E4401" ca="1">INDIRECT("b"&amp;F4401+2)</f>
        <v>0</v>
      </c>
      <c r="F4401" s="18">
        <f t="shared" si="896"/>
        <v>6264</v>
      </c>
      <c r="G4401" s="18"/>
      <c r="H4401" s="18"/>
      <c r="I4401" s="19">
        <v>4399</v>
      </c>
      <c r="J4401" s="19" cm="1">
        <f t="array" aca="1" ref="J4401" ca="1">INDIRECT("b"&amp;K4401+2)</f>
        <v>0</v>
      </c>
      <c r="K4401" s="19">
        <f t="shared" si="892"/>
        <v>7464</v>
      </c>
    </row>
    <row r="4402" spans="1:11">
      <c r="A4402">
        <v>4400</v>
      </c>
      <c r="B4402">
        <v>9.5499999999999992E+131</v>
      </c>
      <c r="D4402" s="18">
        <v>4400</v>
      </c>
      <c r="E4402" s="18" cm="1">
        <f t="array" aca="1" ref="E4402" ca="1">INDIRECT("b"&amp;F4402+2)</f>
        <v>0</v>
      </c>
      <c r="F4402" s="18">
        <f t="shared" si="896"/>
        <v>6265</v>
      </c>
      <c r="G4402" s="18"/>
      <c r="H4402" s="18"/>
      <c r="I4402" s="19">
        <v>4400</v>
      </c>
      <c r="J4402" s="19" cm="1">
        <f t="array" aca="1" ref="J4402" ca="1">INDIRECT("b"&amp;K4402+2)</f>
        <v>0</v>
      </c>
      <c r="K4402" s="19">
        <f t="shared" si="892"/>
        <v>7465</v>
      </c>
    </row>
    <row r="4403" spans="1:11">
      <c r="A4403">
        <v>4401</v>
      </c>
      <c r="B4403">
        <v>9.7750000000000003E+131</v>
      </c>
      <c r="D4403" s="18">
        <v>4401</v>
      </c>
      <c r="E4403" s="18" cm="1">
        <f t="array" aca="1" ref="E4403" ca="1">INDIRECT("b"&amp;F4403+2)</f>
        <v>0</v>
      </c>
      <c r="F4403" s="18">
        <f t="shared" si="896"/>
        <v>6266</v>
      </c>
      <c r="G4403" s="18"/>
      <c r="H4403" s="18"/>
      <c r="I4403" s="19">
        <v>4401</v>
      </c>
      <c r="J4403" s="19" cm="1">
        <f t="array" aca="1" ref="J4403" ca="1">INDIRECT("b"&amp;K4403+2)</f>
        <v>0</v>
      </c>
      <c r="K4403" s="19">
        <f t="shared" si="892"/>
        <v>7466</v>
      </c>
    </row>
    <row r="4404" spans="1:11">
      <c r="A4404">
        <v>4402</v>
      </c>
      <c r="B4404">
        <v>9.9999999999999999E+131</v>
      </c>
      <c r="D4404" s="18">
        <v>4402</v>
      </c>
      <c r="E4404" s="18" cm="1">
        <f t="array" aca="1" ref="E4404" ca="1">INDIRECT("b"&amp;F4404+2)</f>
        <v>0</v>
      </c>
      <c r="F4404" s="18">
        <f t="shared" si="896"/>
        <v>6268</v>
      </c>
      <c r="G4404" s="18" t="e">
        <f t="shared" ref="G4404" ca="1" si="904">E4404/E4399</f>
        <v>#DIV/0!</v>
      </c>
      <c r="H4404" s="18"/>
      <c r="I4404" s="19">
        <v>4402</v>
      </c>
      <c r="J4404" s="19" cm="1">
        <f t="array" aca="1" ref="J4404" ca="1">INDIRECT("b"&amp;K4404+2)</f>
        <v>0</v>
      </c>
      <c r="K4404" s="19">
        <f t="shared" si="892"/>
        <v>7468</v>
      </c>
    </row>
    <row r="4405" spans="1:11">
      <c r="A4405">
        <v>4403</v>
      </c>
      <c r="B4405">
        <v>1.2249999999999999E+132</v>
      </c>
      <c r="D4405" s="18">
        <v>4403</v>
      </c>
      <c r="E4405" s="18" cm="1">
        <f t="array" aca="1" ref="E4405" ca="1">INDIRECT("b"&amp;F4405+2)</f>
        <v>0</v>
      </c>
      <c r="F4405" s="18">
        <f t="shared" si="896"/>
        <v>6269</v>
      </c>
      <c r="G4405" s="18"/>
      <c r="H4405" s="18"/>
      <c r="I4405" s="19">
        <v>4403</v>
      </c>
      <c r="J4405" s="19" cm="1">
        <f t="array" aca="1" ref="J4405" ca="1">INDIRECT("b"&amp;K4405+2)</f>
        <v>0</v>
      </c>
      <c r="K4405" s="19">
        <f t="shared" si="892"/>
        <v>7469</v>
      </c>
    </row>
    <row r="4406" spans="1:11">
      <c r="A4406">
        <v>4404</v>
      </c>
      <c r="B4406">
        <v>1.4499999999999999E+132</v>
      </c>
      <c r="D4406" s="18">
        <v>4404</v>
      </c>
      <c r="E4406" s="18" cm="1">
        <f t="array" aca="1" ref="E4406" ca="1">INDIRECT("b"&amp;F4406+2)</f>
        <v>0</v>
      </c>
      <c r="F4406" s="18">
        <f t="shared" si="896"/>
        <v>6270</v>
      </c>
      <c r="G4406" s="18"/>
      <c r="H4406" s="18"/>
      <c r="I4406" s="19">
        <v>4404</v>
      </c>
      <c r="J4406" s="19" cm="1">
        <f t="array" aca="1" ref="J4406" ca="1">INDIRECT("b"&amp;K4406+2)</f>
        <v>0</v>
      </c>
      <c r="K4406" s="19">
        <f t="shared" si="892"/>
        <v>7470</v>
      </c>
    </row>
    <row r="4407" spans="1:11">
      <c r="A4407">
        <v>4405</v>
      </c>
      <c r="B4407">
        <v>1.6749999999999998E+132</v>
      </c>
      <c r="D4407" s="18">
        <v>4405</v>
      </c>
      <c r="E4407" s="18" cm="1">
        <f t="array" aca="1" ref="E4407" ca="1">INDIRECT("b"&amp;F4407+2)</f>
        <v>0</v>
      </c>
      <c r="F4407" s="18">
        <f t="shared" si="896"/>
        <v>6272</v>
      </c>
      <c r="G4407" s="18"/>
      <c r="H4407" s="18"/>
      <c r="I4407" s="19">
        <v>4405</v>
      </c>
      <c r="J4407" s="19" cm="1">
        <f t="array" aca="1" ref="J4407" ca="1">INDIRECT("b"&amp;K4407+2)</f>
        <v>0</v>
      </c>
      <c r="K4407" s="19">
        <f t="shared" si="892"/>
        <v>7472</v>
      </c>
    </row>
    <row r="4408" spans="1:11">
      <c r="A4408">
        <v>4406</v>
      </c>
      <c r="B4408">
        <v>1.9E+132</v>
      </c>
      <c r="D4408" s="18">
        <v>4406</v>
      </c>
      <c r="E4408" s="18" cm="1">
        <f t="array" aca="1" ref="E4408" ca="1">INDIRECT("b"&amp;F4408+2)</f>
        <v>0</v>
      </c>
      <c r="F4408" s="18">
        <f t="shared" si="896"/>
        <v>6273</v>
      </c>
      <c r="G4408" s="18"/>
      <c r="H4408" s="18"/>
      <c r="I4408" s="19">
        <v>4406</v>
      </c>
      <c r="J4408" s="19" cm="1">
        <f t="array" aca="1" ref="J4408" ca="1">INDIRECT("b"&amp;K4408+2)</f>
        <v>0</v>
      </c>
      <c r="K4408" s="19">
        <f t="shared" si="892"/>
        <v>7473</v>
      </c>
    </row>
    <row r="4409" spans="1:11">
      <c r="A4409">
        <v>4407</v>
      </c>
      <c r="B4409">
        <v>2.1249999999999999E+132</v>
      </c>
      <c r="D4409" s="18">
        <v>4407</v>
      </c>
      <c r="E4409" s="18" cm="1">
        <f t="array" aca="1" ref="E4409" ca="1">INDIRECT("b"&amp;F4409+2)</f>
        <v>0</v>
      </c>
      <c r="F4409" s="18">
        <f t="shared" si="896"/>
        <v>6274</v>
      </c>
      <c r="G4409" s="18" t="e">
        <f t="shared" ref="G4409" ca="1" si="905">E4409/E4404</f>
        <v>#DIV/0!</v>
      </c>
      <c r="H4409" s="18"/>
      <c r="I4409" s="19">
        <v>4407</v>
      </c>
      <c r="J4409" s="19" cm="1">
        <f t="array" aca="1" ref="J4409" ca="1">INDIRECT("b"&amp;K4409+2)</f>
        <v>0</v>
      </c>
      <c r="K4409" s="19">
        <f t="shared" si="892"/>
        <v>7474</v>
      </c>
    </row>
    <row r="4410" spans="1:11">
      <c r="A4410">
        <v>4408</v>
      </c>
      <c r="B4410">
        <v>2.3499999999999998E+132</v>
      </c>
      <c r="D4410" s="18">
        <v>4408</v>
      </c>
      <c r="E4410" s="18" cm="1">
        <f t="array" aca="1" ref="E4410" ca="1">INDIRECT("b"&amp;F4410+2)</f>
        <v>0</v>
      </c>
      <c r="F4410" s="18">
        <f t="shared" si="896"/>
        <v>6276</v>
      </c>
      <c r="G4410" s="18"/>
      <c r="H4410" s="18"/>
      <c r="I4410" s="19">
        <v>4408</v>
      </c>
      <c r="J4410" s="19" cm="1">
        <f t="array" aca="1" ref="J4410" ca="1">INDIRECT("b"&amp;K4410+2)</f>
        <v>0</v>
      </c>
      <c r="K4410" s="19">
        <f t="shared" si="892"/>
        <v>7476</v>
      </c>
    </row>
    <row r="4411" spans="1:11">
      <c r="A4411">
        <v>4409</v>
      </c>
      <c r="B4411">
        <v>2.575E+132</v>
      </c>
      <c r="D4411" s="18">
        <v>4409</v>
      </c>
      <c r="E4411" s="18" cm="1">
        <f t="array" aca="1" ref="E4411" ca="1">INDIRECT("b"&amp;F4411+2)</f>
        <v>0</v>
      </c>
      <c r="F4411" s="18">
        <f t="shared" si="896"/>
        <v>6277</v>
      </c>
      <c r="G4411" s="18"/>
      <c r="H4411" s="18"/>
      <c r="I4411" s="19">
        <v>4409</v>
      </c>
      <c r="J4411" s="19" cm="1">
        <f t="array" aca="1" ref="J4411" ca="1">INDIRECT("b"&amp;K4411+2)</f>
        <v>0</v>
      </c>
      <c r="K4411" s="19">
        <f t="shared" si="892"/>
        <v>7477</v>
      </c>
    </row>
    <row r="4412" spans="1:11">
      <c r="A4412">
        <v>4410</v>
      </c>
      <c r="B4412">
        <v>2.7999999999999999E+132</v>
      </c>
      <c r="D4412" s="18">
        <v>4410</v>
      </c>
      <c r="E4412" s="18" cm="1">
        <f t="array" aca="1" ref="E4412" ca="1">INDIRECT("b"&amp;F4412+2)</f>
        <v>0</v>
      </c>
      <c r="F4412" s="18">
        <f t="shared" si="896"/>
        <v>6278</v>
      </c>
      <c r="G4412" s="18"/>
      <c r="H4412" s="18"/>
      <c r="I4412" s="19">
        <v>4410</v>
      </c>
      <c r="J4412" s="19" cm="1">
        <f t="array" aca="1" ref="J4412" ca="1">INDIRECT("b"&amp;K4412+2)</f>
        <v>0</v>
      </c>
      <c r="K4412" s="19">
        <f t="shared" si="892"/>
        <v>7478</v>
      </c>
    </row>
    <row r="4413" spans="1:11">
      <c r="A4413">
        <v>4411</v>
      </c>
      <c r="B4413">
        <v>3.0249999999999998E+132</v>
      </c>
      <c r="D4413" s="18">
        <v>4411</v>
      </c>
      <c r="E4413" s="18" cm="1">
        <f t="array" aca="1" ref="E4413" ca="1">INDIRECT("b"&amp;F4413+2)</f>
        <v>0</v>
      </c>
      <c r="F4413" s="18">
        <f t="shared" si="896"/>
        <v>6280</v>
      </c>
      <c r="G4413" s="18"/>
      <c r="H4413" s="18"/>
      <c r="I4413" s="19">
        <v>4411</v>
      </c>
      <c r="J4413" s="19" cm="1">
        <f t="array" aca="1" ref="J4413" ca="1">INDIRECT("b"&amp;K4413+2)</f>
        <v>0</v>
      </c>
      <c r="K4413" s="19">
        <f t="shared" si="892"/>
        <v>7480</v>
      </c>
    </row>
    <row r="4414" spans="1:11">
      <c r="A4414">
        <v>4412</v>
      </c>
      <c r="B4414">
        <v>3.2499999999999997E+132</v>
      </c>
      <c r="D4414" s="18">
        <v>4412</v>
      </c>
      <c r="E4414" s="18" cm="1">
        <f t="array" aca="1" ref="E4414" ca="1">INDIRECT("b"&amp;F4414+2)</f>
        <v>0</v>
      </c>
      <c r="F4414" s="18">
        <f t="shared" si="896"/>
        <v>6281</v>
      </c>
      <c r="G4414" s="18" t="e">
        <f t="shared" ref="G4414" ca="1" si="906">E4414/E4409</f>
        <v>#DIV/0!</v>
      </c>
      <c r="H4414" s="18"/>
      <c r="I4414" s="19">
        <v>4412</v>
      </c>
      <c r="J4414" s="19" cm="1">
        <f t="array" aca="1" ref="J4414" ca="1">INDIRECT("b"&amp;K4414+2)</f>
        <v>0</v>
      </c>
      <c r="K4414" s="19">
        <f t="shared" si="892"/>
        <v>7481</v>
      </c>
    </row>
    <row r="4415" spans="1:11">
      <c r="A4415">
        <v>4413</v>
      </c>
      <c r="B4415">
        <v>3.4749999999999996E+132</v>
      </c>
      <c r="D4415" s="18">
        <v>4413</v>
      </c>
      <c r="E4415" s="18" cm="1">
        <f t="array" aca="1" ref="E4415" ca="1">INDIRECT("b"&amp;F4415+2)</f>
        <v>0</v>
      </c>
      <c r="F4415" s="18">
        <f t="shared" si="896"/>
        <v>6282</v>
      </c>
      <c r="G4415" s="18"/>
      <c r="H4415" s="18"/>
      <c r="I4415" s="19">
        <v>4413</v>
      </c>
      <c r="J4415" s="19" cm="1">
        <f t="array" aca="1" ref="J4415" ca="1">INDIRECT("b"&amp;K4415+2)</f>
        <v>0</v>
      </c>
      <c r="K4415" s="19">
        <f t="shared" si="892"/>
        <v>7482</v>
      </c>
    </row>
    <row r="4416" spans="1:11">
      <c r="A4416">
        <v>4414</v>
      </c>
      <c r="B4416">
        <v>3.7000000000000001E+132</v>
      </c>
      <c r="D4416" s="18">
        <v>4414</v>
      </c>
      <c r="E4416" s="18" cm="1">
        <f t="array" aca="1" ref="E4416" ca="1">INDIRECT("b"&amp;F4416+2)</f>
        <v>0</v>
      </c>
      <c r="F4416" s="18">
        <f t="shared" si="896"/>
        <v>6284</v>
      </c>
      <c r="G4416" s="18"/>
      <c r="H4416" s="18"/>
      <c r="I4416" s="19">
        <v>4414</v>
      </c>
      <c r="J4416" s="19" cm="1">
        <f t="array" aca="1" ref="J4416" ca="1">INDIRECT("b"&amp;K4416+2)</f>
        <v>0</v>
      </c>
      <c r="K4416" s="19">
        <f t="shared" si="892"/>
        <v>7484</v>
      </c>
    </row>
    <row r="4417" spans="1:11">
      <c r="A4417">
        <v>4415</v>
      </c>
      <c r="B4417">
        <v>3.925E+132</v>
      </c>
      <c r="D4417" s="18">
        <v>4415</v>
      </c>
      <c r="E4417" s="18" cm="1">
        <f t="array" aca="1" ref="E4417" ca="1">INDIRECT("b"&amp;F4417+2)</f>
        <v>0</v>
      </c>
      <c r="F4417" s="18">
        <f t="shared" si="896"/>
        <v>6285</v>
      </c>
      <c r="G4417" s="18"/>
      <c r="H4417" s="18"/>
      <c r="I4417" s="19">
        <v>4415</v>
      </c>
      <c r="J4417" s="19" cm="1">
        <f t="array" aca="1" ref="J4417" ca="1">INDIRECT("b"&amp;K4417+2)</f>
        <v>0</v>
      </c>
      <c r="K4417" s="19">
        <f t="shared" si="892"/>
        <v>7485</v>
      </c>
    </row>
    <row r="4418" spans="1:11">
      <c r="A4418">
        <v>4416</v>
      </c>
      <c r="B4418">
        <v>4.1499999999999999E+132</v>
      </c>
      <c r="D4418" s="18">
        <v>4416</v>
      </c>
      <c r="E4418" s="18" cm="1">
        <f t="array" aca="1" ref="E4418" ca="1">INDIRECT("b"&amp;F4418+2)</f>
        <v>0</v>
      </c>
      <c r="F4418" s="18">
        <f t="shared" si="896"/>
        <v>6286</v>
      </c>
      <c r="G4418" s="18"/>
      <c r="H4418" s="18"/>
      <c r="I4418" s="19">
        <v>4416</v>
      </c>
      <c r="J4418" s="19" cm="1">
        <f t="array" aca="1" ref="J4418" ca="1">INDIRECT("b"&amp;K4418+2)</f>
        <v>0</v>
      </c>
      <c r="K4418" s="19">
        <f t="shared" si="892"/>
        <v>7486</v>
      </c>
    </row>
    <row r="4419" spans="1:11">
      <c r="A4419">
        <v>4417</v>
      </c>
      <c r="B4419">
        <v>4.3749999999999998E+132</v>
      </c>
      <c r="D4419" s="18">
        <v>4417</v>
      </c>
      <c r="E4419" s="18" cm="1">
        <f t="array" aca="1" ref="E4419" ca="1">INDIRECT("b"&amp;F4419+2)</f>
        <v>0</v>
      </c>
      <c r="F4419" s="18">
        <f t="shared" si="896"/>
        <v>6288</v>
      </c>
      <c r="G4419" s="18" t="e">
        <f t="shared" ref="G4419" ca="1" si="907">E4419/E4414</f>
        <v>#DIV/0!</v>
      </c>
      <c r="H4419" s="18"/>
      <c r="I4419" s="19">
        <v>4417</v>
      </c>
      <c r="J4419" s="19" cm="1">
        <f t="array" aca="1" ref="J4419" ca="1">INDIRECT("b"&amp;K4419+2)</f>
        <v>0</v>
      </c>
      <c r="K4419" s="19">
        <f t="shared" si="892"/>
        <v>7488</v>
      </c>
    </row>
    <row r="4420" spans="1:11">
      <c r="A4420">
        <v>4418</v>
      </c>
      <c r="B4420">
        <v>4.5999999999999997E+132</v>
      </c>
      <c r="D4420" s="18">
        <v>4418</v>
      </c>
      <c r="E4420" s="18" cm="1">
        <f t="array" aca="1" ref="E4420" ca="1">INDIRECT("b"&amp;F4420+2)</f>
        <v>0</v>
      </c>
      <c r="F4420" s="18">
        <f t="shared" si="896"/>
        <v>6289</v>
      </c>
      <c r="G4420" s="18"/>
      <c r="H4420" s="18"/>
      <c r="I4420" s="19">
        <v>4418</v>
      </c>
      <c r="J4420" s="19" cm="1">
        <f t="array" aca="1" ref="J4420" ca="1">INDIRECT("b"&amp;K4420+2)</f>
        <v>0</v>
      </c>
      <c r="K4420" s="19">
        <f t="shared" ref="K4420:K4483" si="908">INT((A4420-1)*40/30+900*40/30)+400</f>
        <v>7489</v>
      </c>
    </row>
    <row r="4421" spans="1:11">
      <c r="A4421">
        <v>4419</v>
      </c>
      <c r="B4421">
        <v>4.8249999999999996E+132</v>
      </c>
      <c r="D4421" s="18">
        <v>4419</v>
      </c>
      <c r="E4421" s="18" cm="1">
        <f t="array" aca="1" ref="E4421" ca="1">INDIRECT("b"&amp;F4421+2)</f>
        <v>0</v>
      </c>
      <c r="F4421" s="18">
        <f t="shared" si="896"/>
        <v>6290</v>
      </c>
      <c r="G4421" s="18"/>
      <c r="H4421" s="18"/>
      <c r="I4421" s="19">
        <v>4419</v>
      </c>
      <c r="J4421" s="19" cm="1">
        <f t="array" aca="1" ref="J4421" ca="1">INDIRECT("b"&amp;K4421+2)</f>
        <v>0</v>
      </c>
      <c r="K4421" s="19">
        <f t="shared" si="908"/>
        <v>7490</v>
      </c>
    </row>
    <row r="4422" spans="1:11">
      <c r="A4422">
        <v>4420</v>
      </c>
      <c r="B4422">
        <v>5.0499999999999995E+132</v>
      </c>
      <c r="D4422" s="18">
        <v>4420</v>
      </c>
      <c r="E4422" s="18" cm="1">
        <f t="array" aca="1" ref="E4422" ca="1">INDIRECT("b"&amp;F4422+2)</f>
        <v>0</v>
      </c>
      <c r="F4422" s="18">
        <f t="shared" si="896"/>
        <v>6292</v>
      </c>
      <c r="G4422" s="18"/>
      <c r="H4422" s="18"/>
      <c r="I4422" s="19">
        <v>4420</v>
      </c>
      <c r="J4422" s="19" cm="1">
        <f t="array" aca="1" ref="J4422" ca="1">INDIRECT("b"&amp;K4422+2)</f>
        <v>0</v>
      </c>
      <c r="K4422" s="19">
        <f t="shared" si="908"/>
        <v>7492</v>
      </c>
    </row>
    <row r="4423" spans="1:11">
      <c r="A4423">
        <v>4421</v>
      </c>
      <c r="B4423">
        <v>5.275E+132</v>
      </c>
      <c r="D4423" s="18">
        <v>4421</v>
      </c>
      <c r="E4423" s="18" cm="1">
        <f t="array" aca="1" ref="E4423" ca="1">INDIRECT("b"&amp;F4423+2)</f>
        <v>0</v>
      </c>
      <c r="F4423" s="18">
        <f t="shared" si="896"/>
        <v>6293</v>
      </c>
      <c r="G4423" s="18"/>
      <c r="H4423" s="18"/>
      <c r="I4423" s="19">
        <v>4421</v>
      </c>
      <c r="J4423" s="19" cm="1">
        <f t="array" aca="1" ref="J4423" ca="1">INDIRECT("b"&amp;K4423+2)</f>
        <v>0</v>
      </c>
      <c r="K4423" s="19">
        <f t="shared" si="908"/>
        <v>7493</v>
      </c>
    </row>
    <row r="4424" spans="1:11">
      <c r="A4424">
        <v>4422</v>
      </c>
      <c r="B4424">
        <v>5.4999999999999999E+132</v>
      </c>
      <c r="D4424" s="18">
        <v>4422</v>
      </c>
      <c r="E4424" s="18" cm="1">
        <f t="array" aca="1" ref="E4424" ca="1">INDIRECT("b"&amp;F4424+2)</f>
        <v>0</v>
      </c>
      <c r="F4424" s="18">
        <f t="shared" si="896"/>
        <v>6294</v>
      </c>
      <c r="G4424" s="18" t="e">
        <f t="shared" ref="G4424" ca="1" si="909">E4424/E4419</f>
        <v>#DIV/0!</v>
      </c>
      <c r="H4424" s="18"/>
      <c r="I4424" s="19">
        <v>4422</v>
      </c>
      <c r="J4424" s="19" cm="1">
        <f t="array" aca="1" ref="J4424" ca="1">INDIRECT("b"&amp;K4424+2)</f>
        <v>0</v>
      </c>
      <c r="K4424" s="19">
        <f t="shared" si="908"/>
        <v>7494</v>
      </c>
    </row>
    <row r="4425" spans="1:11">
      <c r="A4425">
        <v>4423</v>
      </c>
      <c r="B4425">
        <v>5.7249999999999991E+132</v>
      </c>
      <c r="D4425" s="18">
        <v>4423</v>
      </c>
      <c r="E4425" s="18" cm="1">
        <f t="array" aca="1" ref="E4425" ca="1">INDIRECT("b"&amp;F4425+2)</f>
        <v>0</v>
      </c>
      <c r="F4425" s="18">
        <f t="shared" si="896"/>
        <v>6296</v>
      </c>
      <c r="G4425" s="18"/>
      <c r="H4425" s="18"/>
      <c r="I4425" s="19">
        <v>4423</v>
      </c>
      <c r="J4425" s="19" cm="1">
        <f t="array" aca="1" ref="J4425" ca="1">INDIRECT("b"&amp;K4425+2)</f>
        <v>0</v>
      </c>
      <c r="K4425" s="19">
        <f t="shared" si="908"/>
        <v>7496</v>
      </c>
    </row>
    <row r="4426" spans="1:11">
      <c r="A4426">
        <v>4424</v>
      </c>
      <c r="B4426">
        <v>5.9499999999999997E+132</v>
      </c>
      <c r="D4426" s="18">
        <v>4424</v>
      </c>
      <c r="E4426" s="18" cm="1">
        <f t="array" aca="1" ref="E4426" ca="1">INDIRECT("b"&amp;F4426+2)</f>
        <v>0</v>
      </c>
      <c r="F4426" s="18">
        <f t="shared" si="896"/>
        <v>6297</v>
      </c>
      <c r="G4426" s="18"/>
      <c r="H4426" s="18"/>
      <c r="I4426" s="19">
        <v>4424</v>
      </c>
      <c r="J4426" s="19" cm="1">
        <f t="array" aca="1" ref="J4426" ca="1">INDIRECT("b"&amp;K4426+2)</f>
        <v>0</v>
      </c>
      <c r="K4426" s="19">
        <f t="shared" si="908"/>
        <v>7497</v>
      </c>
    </row>
    <row r="4427" spans="1:11">
      <c r="A4427">
        <v>4425</v>
      </c>
      <c r="B4427">
        <v>6.1750000000000002E+132</v>
      </c>
      <c r="D4427" s="18">
        <v>4425</v>
      </c>
      <c r="E4427" s="18" cm="1">
        <f t="array" aca="1" ref="E4427" ca="1">INDIRECT("b"&amp;F4427+2)</f>
        <v>0</v>
      </c>
      <c r="F4427" s="18">
        <f t="shared" si="896"/>
        <v>6298</v>
      </c>
      <c r="G4427" s="18"/>
      <c r="H4427" s="18"/>
      <c r="I4427" s="19">
        <v>4425</v>
      </c>
      <c r="J4427" s="19" cm="1">
        <f t="array" aca="1" ref="J4427" ca="1">INDIRECT("b"&amp;K4427+2)</f>
        <v>0</v>
      </c>
      <c r="K4427" s="19">
        <f t="shared" si="908"/>
        <v>7498</v>
      </c>
    </row>
    <row r="4428" spans="1:11">
      <c r="A4428">
        <v>4426</v>
      </c>
      <c r="B4428">
        <v>6.3999999999999994E+132</v>
      </c>
      <c r="D4428" s="18">
        <v>4426</v>
      </c>
      <c r="E4428" s="18" cm="1">
        <f t="array" aca="1" ref="E4428" ca="1">INDIRECT("b"&amp;F4428+2)</f>
        <v>0</v>
      </c>
      <c r="F4428" s="18">
        <f t="shared" si="896"/>
        <v>6300</v>
      </c>
      <c r="G4428" s="18"/>
      <c r="H4428" s="18"/>
      <c r="I4428" s="19">
        <v>4426</v>
      </c>
      <c r="J4428" s="19" cm="1">
        <f t="array" aca="1" ref="J4428" ca="1">INDIRECT("b"&amp;K4428+2)</f>
        <v>0</v>
      </c>
      <c r="K4428" s="19">
        <f t="shared" si="908"/>
        <v>7500</v>
      </c>
    </row>
    <row r="4429" spans="1:11">
      <c r="A4429">
        <v>4427</v>
      </c>
      <c r="B4429">
        <v>6.625E+132</v>
      </c>
      <c r="D4429" s="18">
        <v>4427</v>
      </c>
      <c r="E4429" s="18" cm="1">
        <f t="array" aca="1" ref="E4429" ca="1">INDIRECT("b"&amp;F4429+2)</f>
        <v>0</v>
      </c>
      <c r="F4429" s="18">
        <f t="shared" si="896"/>
        <v>6301</v>
      </c>
      <c r="G4429" s="18" t="e">
        <f t="shared" ref="G4429" ca="1" si="910">E4429/E4424</f>
        <v>#DIV/0!</v>
      </c>
      <c r="H4429" s="18"/>
      <c r="I4429" s="19">
        <v>4427</v>
      </c>
      <c r="J4429" s="19" cm="1">
        <f t="array" aca="1" ref="J4429" ca="1">INDIRECT("b"&amp;K4429+2)</f>
        <v>0</v>
      </c>
      <c r="K4429" s="19">
        <f t="shared" si="908"/>
        <v>7501</v>
      </c>
    </row>
    <row r="4430" spans="1:11">
      <c r="A4430">
        <v>4428</v>
      </c>
      <c r="B4430">
        <v>6.8499999999999992E+132</v>
      </c>
      <c r="D4430" s="18">
        <v>4428</v>
      </c>
      <c r="E4430" s="18" cm="1">
        <f t="array" aca="1" ref="E4430" ca="1">INDIRECT("b"&amp;F4430+2)</f>
        <v>0</v>
      </c>
      <c r="F4430" s="18">
        <f t="shared" si="896"/>
        <v>6302</v>
      </c>
      <c r="G4430" s="18"/>
      <c r="H4430" s="18"/>
      <c r="I4430" s="19">
        <v>4428</v>
      </c>
      <c r="J4430" s="19" cm="1">
        <f t="array" aca="1" ref="J4430" ca="1">INDIRECT("b"&amp;K4430+2)</f>
        <v>0</v>
      </c>
      <c r="K4430" s="19">
        <f t="shared" si="908"/>
        <v>7502</v>
      </c>
    </row>
    <row r="4431" spans="1:11">
      <c r="A4431">
        <v>4429</v>
      </c>
      <c r="B4431">
        <v>7.0749999999999997E+132</v>
      </c>
      <c r="D4431" s="18">
        <v>4429</v>
      </c>
      <c r="E4431" s="18" cm="1">
        <f t="array" aca="1" ref="E4431" ca="1">INDIRECT("b"&amp;F4431+2)</f>
        <v>0</v>
      </c>
      <c r="F4431" s="18">
        <f t="shared" si="896"/>
        <v>6304</v>
      </c>
      <c r="G4431" s="18"/>
      <c r="H4431" s="18"/>
      <c r="I4431" s="19">
        <v>4429</v>
      </c>
      <c r="J4431" s="19" cm="1">
        <f t="array" aca="1" ref="J4431" ca="1">INDIRECT("b"&amp;K4431+2)</f>
        <v>0</v>
      </c>
      <c r="K4431" s="19">
        <f t="shared" si="908"/>
        <v>7504</v>
      </c>
    </row>
    <row r="4432" spans="1:11">
      <c r="A4432">
        <v>4430</v>
      </c>
      <c r="B4432">
        <v>7.299999999999999E+132</v>
      </c>
      <c r="D4432" s="18">
        <v>4430</v>
      </c>
      <c r="E4432" s="18" cm="1">
        <f t="array" aca="1" ref="E4432" ca="1">INDIRECT("b"&amp;F4432+2)</f>
        <v>0</v>
      </c>
      <c r="F4432" s="18">
        <f t="shared" si="896"/>
        <v>6305</v>
      </c>
      <c r="G4432" s="18"/>
      <c r="H4432" s="18"/>
      <c r="I4432" s="19">
        <v>4430</v>
      </c>
      <c r="J4432" s="19" cm="1">
        <f t="array" aca="1" ref="J4432" ca="1">INDIRECT("b"&amp;K4432+2)</f>
        <v>0</v>
      </c>
      <c r="K4432" s="19">
        <f t="shared" si="908"/>
        <v>7505</v>
      </c>
    </row>
    <row r="4433" spans="1:11">
      <c r="A4433">
        <v>4431</v>
      </c>
      <c r="B4433">
        <v>7.5249999999999995E+132</v>
      </c>
      <c r="D4433" s="18">
        <v>4431</v>
      </c>
      <c r="E4433" s="18" cm="1">
        <f t="array" aca="1" ref="E4433" ca="1">INDIRECT("b"&amp;F4433+2)</f>
        <v>0</v>
      </c>
      <c r="F4433" s="18">
        <f t="shared" si="896"/>
        <v>6306</v>
      </c>
      <c r="G4433" s="18"/>
      <c r="H4433" s="18"/>
      <c r="I4433" s="19">
        <v>4431</v>
      </c>
      <c r="J4433" s="19" cm="1">
        <f t="array" aca="1" ref="J4433" ca="1">INDIRECT("b"&amp;K4433+2)</f>
        <v>0</v>
      </c>
      <c r="K4433" s="19">
        <f t="shared" si="908"/>
        <v>7506</v>
      </c>
    </row>
    <row r="4434" spans="1:11">
      <c r="A4434">
        <v>4432</v>
      </c>
      <c r="B4434">
        <v>7.75E+132</v>
      </c>
      <c r="D4434" s="18">
        <v>4432</v>
      </c>
      <c r="E4434" s="18" cm="1">
        <f t="array" aca="1" ref="E4434" ca="1">INDIRECT("b"&amp;F4434+2)</f>
        <v>0</v>
      </c>
      <c r="F4434" s="18">
        <f t="shared" si="896"/>
        <v>6308</v>
      </c>
      <c r="G4434" s="18" t="e">
        <f t="shared" ref="G4434" ca="1" si="911">E4434/E4429</f>
        <v>#DIV/0!</v>
      </c>
      <c r="H4434" s="18"/>
      <c r="I4434" s="19">
        <v>4432</v>
      </c>
      <c r="J4434" s="19" cm="1">
        <f t="array" aca="1" ref="J4434" ca="1">INDIRECT("b"&amp;K4434+2)</f>
        <v>0</v>
      </c>
      <c r="K4434" s="19">
        <f t="shared" si="908"/>
        <v>7508</v>
      </c>
    </row>
    <row r="4435" spans="1:11">
      <c r="A4435">
        <v>4433</v>
      </c>
      <c r="B4435">
        <v>7.9749999999999993E+132</v>
      </c>
      <c r="D4435" s="18">
        <v>4433</v>
      </c>
      <c r="E4435" s="18" cm="1">
        <f t="array" aca="1" ref="E4435" ca="1">INDIRECT("b"&amp;F4435+2)</f>
        <v>0</v>
      </c>
      <c r="F4435" s="18">
        <f t="shared" ref="F4435:F4498" si="912">INT((A4435-123)*1.333333)+563</f>
        <v>6309</v>
      </c>
      <c r="G4435" s="18"/>
      <c r="H4435" s="18"/>
      <c r="I4435" s="19">
        <v>4433</v>
      </c>
      <c r="J4435" s="19" cm="1">
        <f t="array" aca="1" ref="J4435" ca="1">INDIRECT("b"&amp;K4435+2)</f>
        <v>0</v>
      </c>
      <c r="K4435" s="19">
        <f t="shared" si="908"/>
        <v>7509</v>
      </c>
    </row>
    <row r="4436" spans="1:11">
      <c r="A4436">
        <v>4434</v>
      </c>
      <c r="B4436">
        <v>8.1999999999999998E+132</v>
      </c>
      <c r="D4436" s="18">
        <v>4434</v>
      </c>
      <c r="E4436" s="18" cm="1">
        <f t="array" aca="1" ref="E4436" ca="1">INDIRECT("b"&amp;F4436+2)</f>
        <v>0</v>
      </c>
      <c r="F4436" s="18">
        <f t="shared" si="912"/>
        <v>6310</v>
      </c>
      <c r="G4436" s="18"/>
      <c r="H4436" s="18"/>
      <c r="I4436" s="19">
        <v>4434</v>
      </c>
      <c r="J4436" s="19" cm="1">
        <f t="array" aca="1" ref="J4436" ca="1">INDIRECT("b"&amp;K4436+2)</f>
        <v>0</v>
      </c>
      <c r="K4436" s="19">
        <f t="shared" si="908"/>
        <v>7510</v>
      </c>
    </row>
    <row r="4437" spans="1:11">
      <c r="A4437">
        <v>4435</v>
      </c>
      <c r="B4437">
        <v>8.4249999999999991E+132</v>
      </c>
      <c r="D4437" s="18">
        <v>4435</v>
      </c>
      <c r="E4437" s="18" cm="1">
        <f t="array" aca="1" ref="E4437" ca="1">INDIRECT("b"&amp;F4437+2)</f>
        <v>0</v>
      </c>
      <c r="F4437" s="18">
        <f t="shared" si="912"/>
        <v>6312</v>
      </c>
      <c r="G4437" s="18"/>
      <c r="H4437" s="18"/>
      <c r="I4437" s="19">
        <v>4435</v>
      </c>
      <c r="J4437" s="19" cm="1">
        <f t="array" aca="1" ref="J4437" ca="1">INDIRECT("b"&amp;K4437+2)</f>
        <v>0</v>
      </c>
      <c r="K4437" s="19">
        <f t="shared" si="908"/>
        <v>7512</v>
      </c>
    </row>
    <row r="4438" spans="1:11">
      <c r="A4438">
        <v>4436</v>
      </c>
      <c r="B4438">
        <v>8.6499999999999996E+132</v>
      </c>
      <c r="D4438" s="18">
        <v>4436</v>
      </c>
      <c r="E4438" s="18" cm="1">
        <f t="array" aca="1" ref="E4438" ca="1">INDIRECT("b"&amp;F4438+2)</f>
        <v>0</v>
      </c>
      <c r="F4438" s="18">
        <f t="shared" si="912"/>
        <v>6313</v>
      </c>
      <c r="G4438" s="18"/>
      <c r="H4438" s="18"/>
      <c r="I4438" s="19">
        <v>4436</v>
      </c>
      <c r="J4438" s="19" cm="1">
        <f t="array" aca="1" ref="J4438" ca="1">INDIRECT("b"&amp;K4438+2)</f>
        <v>0</v>
      </c>
      <c r="K4438" s="19">
        <f t="shared" si="908"/>
        <v>7513</v>
      </c>
    </row>
    <row r="4439" spans="1:11">
      <c r="A4439">
        <v>4437</v>
      </c>
      <c r="B4439">
        <v>8.8750000000000001E+132</v>
      </c>
      <c r="D4439" s="18">
        <v>4437</v>
      </c>
      <c r="E4439" s="18" cm="1">
        <f t="array" aca="1" ref="E4439" ca="1">INDIRECT("b"&amp;F4439+2)</f>
        <v>0</v>
      </c>
      <c r="F4439" s="18">
        <f t="shared" si="912"/>
        <v>6314</v>
      </c>
      <c r="G4439" s="18" t="e">
        <f t="shared" ref="G4439" ca="1" si="913">E4439/E4434</f>
        <v>#DIV/0!</v>
      </c>
      <c r="H4439" s="18"/>
      <c r="I4439" s="19">
        <v>4437</v>
      </c>
      <c r="J4439" s="19" cm="1">
        <f t="array" aca="1" ref="J4439" ca="1">INDIRECT("b"&amp;K4439+2)</f>
        <v>0</v>
      </c>
      <c r="K4439" s="19">
        <f t="shared" si="908"/>
        <v>7514</v>
      </c>
    </row>
    <row r="4440" spans="1:11">
      <c r="A4440">
        <v>4438</v>
      </c>
      <c r="B4440">
        <v>9.0999999999999994E+132</v>
      </c>
      <c r="D4440" s="18">
        <v>4438</v>
      </c>
      <c r="E4440" s="18" cm="1">
        <f t="array" aca="1" ref="E4440" ca="1">INDIRECT("b"&amp;F4440+2)</f>
        <v>0</v>
      </c>
      <c r="F4440" s="18">
        <f t="shared" si="912"/>
        <v>6316</v>
      </c>
      <c r="G4440" s="18"/>
      <c r="H4440" s="18"/>
      <c r="I4440" s="19">
        <v>4438</v>
      </c>
      <c r="J4440" s="19" cm="1">
        <f t="array" aca="1" ref="J4440" ca="1">INDIRECT("b"&amp;K4440+2)</f>
        <v>0</v>
      </c>
      <c r="K4440" s="19">
        <f t="shared" si="908"/>
        <v>7516</v>
      </c>
    </row>
    <row r="4441" spans="1:11">
      <c r="A4441">
        <v>4439</v>
      </c>
      <c r="B4441">
        <v>9.3249999999999999E+132</v>
      </c>
      <c r="D4441" s="18">
        <v>4439</v>
      </c>
      <c r="E4441" s="18" cm="1">
        <f t="array" aca="1" ref="E4441" ca="1">INDIRECT("b"&amp;F4441+2)</f>
        <v>0</v>
      </c>
      <c r="F4441" s="18">
        <f t="shared" si="912"/>
        <v>6317</v>
      </c>
      <c r="G4441" s="18"/>
      <c r="H4441" s="18"/>
      <c r="I4441" s="19">
        <v>4439</v>
      </c>
      <c r="J4441" s="19" cm="1">
        <f t="array" aca="1" ref="J4441" ca="1">INDIRECT("b"&amp;K4441+2)</f>
        <v>0</v>
      </c>
      <c r="K4441" s="19">
        <f t="shared" si="908"/>
        <v>7517</v>
      </c>
    </row>
    <row r="4442" spans="1:11">
      <c r="A4442">
        <v>4440</v>
      </c>
      <c r="B4442">
        <v>9.5499999999999992E+132</v>
      </c>
      <c r="D4442" s="18">
        <v>4440</v>
      </c>
      <c r="E4442" s="18" cm="1">
        <f t="array" aca="1" ref="E4442" ca="1">INDIRECT("b"&amp;F4442+2)</f>
        <v>0</v>
      </c>
      <c r="F4442" s="18">
        <f t="shared" si="912"/>
        <v>6318</v>
      </c>
      <c r="G4442" s="18"/>
      <c r="H4442" s="18"/>
      <c r="I4442" s="19">
        <v>4440</v>
      </c>
      <c r="J4442" s="19" cm="1">
        <f t="array" aca="1" ref="J4442" ca="1">INDIRECT("b"&amp;K4442+2)</f>
        <v>0</v>
      </c>
      <c r="K4442" s="19">
        <f t="shared" si="908"/>
        <v>7518</v>
      </c>
    </row>
    <row r="4443" spans="1:11">
      <c r="A4443">
        <v>4441</v>
      </c>
      <c r="B4443">
        <v>9.7749999999999997E+132</v>
      </c>
      <c r="D4443" s="18">
        <v>4441</v>
      </c>
      <c r="E4443" s="18" cm="1">
        <f t="array" aca="1" ref="E4443" ca="1">INDIRECT("b"&amp;F4443+2)</f>
        <v>0</v>
      </c>
      <c r="F4443" s="18">
        <f t="shared" si="912"/>
        <v>6320</v>
      </c>
      <c r="G4443" s="18"/>
      <c r="H4443" s="18"/>
      <c r="I4443" s="19">
        <v>4441</v>
      </c>
      <c r="J4443" s="19" cm="1">
        <f t="array" aca="1" ref="J4443" ca="1">INDIRECT("b"&amp;K4443+2)</f>
        <v>0</v>
      </c>
      <c r="K4443" s="19">
        <f t="shared" si="908"/>
        <v>7520</v>
      </c>
    </row>
    <row r="4444" spans="1:11">
      <c r="A4444">
        <v>4442</v>
      </c>
      <c r="B4444">
        <v>9.999999999999999E+132</v>
      </c>
      <c r="D4444" s="18">
        <v>4442</v>
      </c>
      <c r="E4444" s="18" cm="1">
        <f t="array" aca="1" ref="E4444" ca="1">INDIRECT("b"&amp;F4444+2)</f>
        <v>0</v>
      </c>
      <c r="F4444" s="18">
        <f t="shared" si="912"/>
        <v>6321</v>
      </c>
      <c r="G4444" s="18" t="e">
        <f t="shared" ref="G4444" ca="1" si="914">E4444/E4439</f>
        <v>#DIV/0!</v>
      </c>
      <c r="H4444" s="18"/>
      <c r="I4444" s="19">
        <v>4442</v>
      </c>
      <c r="J4444" s="19" cm="1">
        <f t="array" aca="1" ref="J4444" ca="1">INDIRECT("b"&amp;K4444+2)</f>
        <v>0</v>
      </c>
      <c r="K4444" s="19">
        <f t="shared" si="908"/>
        <v>7521</v>
      </c>
    </row>
    <row r="4445" spans="1:11">
      <c r="A4445">
        <v>4443</v>
      </c>
      <c r="B4445">
        <v>1.2249999999999998E+133</v>
      </c>
      <c r="D4445" s="18">
        <v>4443</v>
      </c>
      <c r="E4445" s="18" cm="1">
        <f t="array" aca="1" ref="E4445" ca="1">INDIRECT("b"&amp;F4445+2)</f>
        <v>0</v>
      </c>
      <c r="F4445" s="18">
        <f t="shared" si="912"/>
        <v>6322</v>
      </c>
      <c r="G4445" s="18"/>
      <c r="H4445" s="18"/>
      <c r="I4445" s="19">
        <v>4443</v>
      </c>
      <c r="J4445" s="19" cm="1">
        <f t="array" aca="1" ref="J4445" ca="1">INDIRECT("b"&amp;K4445+2)</f>
        <v>0</v>
      </c>
      <c r="K4445" s="19">
        <f t="shared" si="908"/>
        <v>7522</v>
      </c>
    </row>
    <row r="4446" spans="1:11">
      <c r="A4446">
        <v>4444</v>
      </c>
      <c r="B4446">
        <v>1.4499999999999998E+133</v>
      </c>
      <c r="D4446" s="18">
        <v>4444</v>
      </c>
      <c r="E4446" s="18" cm="1">
        <f t="array" aca="1" ref="E4446" ca="1">INDIRECT("b"&amp;F4446+2)</f>
        <v>0</v>
      </c>
      <c r="F4446" s="18">
        <f t="shared" si="912"/>
        <v>6324</v>
      </c>
      <c r="G4446" s="18"/>
      <c r="H4446" s="18"/>
      <c r="I4446" s="19">
        <v>4444</v>
      </c>
      <c r="J4446" s="19" cm="1">
        <f t="array" aca="1" ref="J4446" ca="1">INDIRECT("b"&amp;K4446+2)</f>
        <v>0</v>
      </c>
      <c r="K4446" s="19">
        <f t="shared" si="908"/>
        <v>7524</v>
      </c>
    </row>
    <row r="4447" spans="1:11">
      <c r="A4447">
        <v>4445</v>
      </c>
      <c r="B4447">
        <v>1.6749999999999998E+133</v>
      </c>
      <c r="D4447" s="18">
        <v>4445</v>
      </c>
      <c r="E4447" s="18" cm="1">
        <f t="array" aca="1" ref="E4447" ca="1">INDIRECT("b"&amp;F4447+2)</f>
        <v>0</v>
      </c>
      <c r="F4447" s="18">
        <f t="shared" si="912"/>
        <v>6325</v>
      </c>
      <c r="G4447" s="18"/>
      <c r="H4447" s="18"/>
      <c r="I4447" s="19">
        <v>4445</v>
      </c>
      <c r="J4447" s="19" cm="1">
        <f t="array" aca="1" ref="J4447" ca="1">INDIRECT("b"&amp;K4447+2)</f>
        <v>0</v>
      </c>
      <c r="K4447" s="19">
        <f t="shared" si="908"/>
        <v>7525</v>
      </c>
    </row>
    <row r="4448" spans="1:11">
      <c r="A4448">
        <v>4446</v>
      </c>
      <c r="B4448">
        <v>1.8999999999999998E+133</v>
      </c>
      <c r="D4448" s="18">
        <v>4446</v>
      </c>
      <c r="E4448" s="18" cm="1">
        <f t="array" aca="1" ref="E4448" ca="1">INDIRECT("b"&amp;F4448+2)</f>
        <v>0</v>
      </c>
      <c r="F4448" s="18">
        <f t="shared" si="912"/>
        <v>6326</v>
      </c>
      <c r="G4448" s="18"/>
      <c r="H4448" s="18"/>
      <c r="I4448" s="19">
        <v>4446</v>
      </c>
      <c r="J4448" s="19" cm="1">
        <f t="array" aca="1" ref="J4448" ca="1">INDIRECT("b"&amp;K4448+2)</f>
        <v>0</v>
      </c>
      <c r="K4448" s="19">
        <f t="shared" si="908"/>
        <v>7526</v>
      </c>
    </row>
    <row r="4449" spans="1:11">
      <c r="A4449">
        <v>4447</v>
      </c>
      <c r="B4449">
        <v>2.1249999999999999E+133</v>
      </c>
      <c r="D4449" s="18">
        <v>4447</v>
      </c>
      <c r="E4449" s="18" cm="1">
        <f t="array" aca="1" ref="E4449" ca="1">INDIRECT("b"&amp;F4449+2)</f>
        <v>0</v>
      </c>
      <c r="F4449" s="18">
        <f t="shared" si="912"/>
        <v>6328</v>
      </c>
      <c r="G4449" s="18" t="e">
        <f t="shared" ref="G4449" ca="1" si="915">E4449/E4444</f>
        <v>#DIV/0!</v>
      </c>
      <c r="H4449" s="18"/>
      <c r="I4449" s="19">
        <v>4447</v>
      </c>
      <c r="J4449" s="19" cm="1">
        <f t="array" aca="1" ref="J4449" ca="1">INDIRECT("b"&amp;K4449+2)</f>
        <v>0</v>
      </c>
      <c r="K4449" s="19">
        <f t="shared" si="908"/>
        <v>7528</v>
      </c>
    </row>
    <row r="4450" spans="1:11">
      <c r="A4450">
        <v>4448</v>
      </c>
      <c r="B4450">
        <v>2.3499999999999996E+133</v>
      </c>
      <c r="D4450" s="18">
        <v>4448</v>
      </c>
      <c r="E4450" s="18" cm="1">
        <f t="array" aca="1" ref="E4450" ca="1">INDIRECT("b"&amp;F4450+2)</f>
        <v>0</v>
      </c>
      <c r="F4450" s="18">
        <f t="shared" si="912"/>
        <v>6329</v>
      </c>
      <c r="G4450" s="18"/>
      <c r="H4450" s="18"/>
      <c r="I4450" s="19">
        <v>4448</v>
      </c>
      <c r="J4450" s="19" cm="1">
        <f t="array" aca="1" ref="J4450" ca="1">INDIRECT("b"&amp;K4450+2)</f>
        <v>0</v>
      </c>
      <c r="K4450" s="19">
        <f t="shared" si="908"/>
        <v>7529</v>
      </c>
    </row>
    <row r="4451" spans="1:11">
      <c r="A4451">
        <v>4449</v>
      </c>
      <c r="B4451">
        <v>2.5749999999999999E+133</v>
      </c>
      <c r="D4451" s="18">
        <v>4449</v>
      </c>
      <c r="E4451" s="18" cm="1">
        <f t="array" aca="1" ref="E4451" ca="1">INDIRECT("b"&amp;F4451+2)</f>
        <v>0</v>
      </c>
      <c r="F4451" s="18">
        <f t="shared" si="912"/>
        <v>6330</v>
      </c>
      <c r="G4451" s="18"/>
      <c r="H4451" s="18"/>
      <c r="I4451" s="19">
        <v>4449</v>
      </c>
      <c r="J4451" s="19" cm="1">
        <f t="array" aca="1" ref="J4451" ca="1">INDIRECT("b"&amp;K4451+2)</f>
        <v>0</v>
      </c>
      <c r="K4451" s="19">
        <f t="shared" si="908"/>
        <v>7530</v>
      </c>
    </row>
    <row r="4452" spans="1:11">
      <c r="A4452">
        <v>4450</v>
      </c>
      <c r="B4452">
        <v>2.7999999999999997E+133</v>
      </c>
      <c r="D4452" s="18">
        <v>4450</v>
      </c>
      <c r="E4452" s="18" cm="1">
        <f t="array" aca="1" ref="E4452" ca="1">INDIRECT("b"&amp;F4452+2)</f>
        <v>0</v>
      </c>
      <c r="F4452" s="18">
        <f t="shared" si="912"/>
        <v>6332</v>
      </c>
      <c r="G4452" s="18"/>
      <c r="H4452" s="18"/>
      <c r="I4452" s="19">
        <v>4450</v>
      </c>
      <c r="J4452" s="19" cm="1">
        <f t="array" aca="1" ref="J4452" ca="1">INDIRECT("b"&amp;K4452+2)</f>
        <v>0</v>
      </c>
      <c r="K4452" s="19">
        <f t="shared" si="908"/>
        <v>7532</v>
      </c>
    </row>
    <row r="4453" spans="1:11">
      <c r="A4453">
        <v>4451</v>
      </c>
      <c r="B4453">
        <v>3.0249999999999999E+133</v>
      </c>
      <c r="D4453" s="18">
        <v>4451</v>
      </c>
      <c r="E4453" s="18" cm="1">
        <f t="array" aca="1" ref="E4453" ca="1">INDIRECT("b"&amp;F4453+2)</f>
        <v>0</v>
      </c>
      <c r="F4453" s="18">
        <f t="shared" si="912"/>
        <v>6333</v>
      </c>
      <c r="G4453" s="18"/>
      <c r="H4453" s="18"/>
      <c r="I4453" s="19">
        <v>4451</v>
      </c>
      <c r="J4453" s="19" cm="1">
        <f t="array" aca="1" ref="J4453" ca="1">INDIRECT("b"&amp;K4453+2)</f>
        <v>0</v>
      </c>
      <c r="K4453" s="19">
        <f t="shared" si="908"/>
        <v>7533</v>
      </c>
    </row>
    <row r="4454" spans="1:11">
      <c r="A4454">
        <v>4452</v>
      </c>
      <c r="B4454">
        <v>3.2499999999999997E+133</v>
      </c>
      <c r="D4454" s="18">
        <v>4452</v>
      </c>
      <c r="E4454" s="18" cm="1">
        <f t="array" aca="1" ref="E4454" ca="1">INDIRECT("b"&amp;F4454+2)</f>
        <v>0</v>
      </c>
      <c r="F4454" s="18">
        <f t="shared" si="912"/>
        <v>6334</v>
      </c>
      <c r="G4454" s="18" t="e">
        <f t="shared" ref="G4454" ca="1" si="916">E4454/E4449</f>
        <v>#DIV/0!</v>
      </c>
      <c r="H4454" s="18"/>
      <c r="I4454" s="19">
        <v>4452</v>
      </c>
      <c r="J4454" s="19" cm="1">
        <f t="array" aca="1" ref="J4454" ca="1">INDIRECT("b"&amp;K4454+2)</f>
        <v>0</v>
      </c>
      <c r="K4454" s="19">
        <f t="shared" si="908"/>
        <v>7534</v>
      </c>
    </row>
    <row r="4455" spans="1:11">
      <c r="A4455">
        <v>4453</v>
      </c>
      <c r="B4455">
        <v>3.475E+133</v>
      </c>
      <c r="D4455" s="18">
        <v>4453</v>
      </c>
      <c r="E4455" s="18" cm="1">
        <f t="array" aca="1" ref="E4455" ca="1">INDIRECT("b"&amp;F4455+2)</f>
        <v>0</v>
      </c>
      <c r="F4455" s="18">
        <f t="shared" si="912"/>
        <v>6336</v>
      </c>
      <c r="G4455" s="18"/>
      <c r="H4455" s="18"/>
      <c r="I4455" s="19">
        <v>4453</v>
      </c>
      <c r="J4455" s="19" cm="1">
        <f t="array" aca="1" ref="J4455" ca="1">INDIRECT("b"&amp;K4455+2)</f>
        <v>0</v>
      </c>
      <c r="K4455" s="19">
        <f t="shared" si="908"/>
        <v>7536</v>
      </c>
    </row>
    <row r="4456" spans="1:11">
      <c r="A4456">
        <v>4454</v>
      </c>
      <c r="B4456">
        <v>3.6999999999999997E+133</v>
      </c>
      <c r="D4456" s="18">
        <v>4454</v>
      </c>
      <c r="E4456" s="18" cm="1">
        <f t="array" aca="1" ref="E4456" ca="1">INDIRECT("b"&amp;F4456+2)</f>
        <v>0</v>
      </c>
      <c r="F4456" s="18">
        <f t="shared" si="912"/>
        <v>6337</v>
      </c>
      <c r="G4456" s="18"/>
      <c r="H4456" s="18"/>
      <c r="I4456" s="19">
        <v>4454</v>
      </c>
      <c r="J4456" s="19" cm="1">
        <f t="array" aca="1" ref="J4456" ca="1">INDIRECT("b"&amp;K4456+2)</f>
        <v>0</v>
      </c>
      <c r="K4456" s="19">
        <f t="shared" si="908"/>
        <v>7537</v>
      </c>
    </row>
    <row r="4457" spans="1:11">
      <c r="A4457">
        <v>4455</v>
      </c>
      <c r="B4457">
        <v>3.9249999999999995E+133</v>
      </c>
      <c r="D4457" s="18">
        <v>4455</v>
      </c>
      <c r="E4457" s="18" cm="1">
        <f t="array" aca="1" ref="E4457" ca="1">INDIRECT("b"&amp;F4457+2)</f>
        <v>0</v>
      </c>
      <c r="F4457" s="18">
        <f t="shared" si="912"/>
        <v>6338</v>
      </c>
      <c r="G4457" s="18"/>
      <c r="H4457" s="18"/>
      <c r="I4457" s="19">
        <v>4455</v>
      </c>
      <c r="J4457" s="19" cm="1">
        <f t="array" aca="1" ref="J4457" ca="1">INDIRECT("b"&amp;K4457+2)</f>
        <v>0</v>
      </c>
      <c r="K4457" s="19">
        <f t="shared" si="908"/>
        <v>7538</v>
      </c>
    </row>
    <row r="4458" spans="1:11">
      <c r="A4458">
        <v>4456</v>
      </c>
      <c r="B4458">
        <v>4.1499999999999998E+133</v>
      </c>
      <c r="D4458" s="18">
        <v>4456</v>
      </c>
      <c r="E4458" s="18" cm="1">
        <f t="array" aca="1" ref="E4458" ca="1">INDIRECT("b"&amp;F4458+2)</f>
        <v>0</v>
      </c>
      <c r="F4458" s="18">
        <f t="shared" si="912"/>
        <v>6340</v>
      </c>
      <c r="G4458" s="18"/>
      <c r="H4458" s="18"/>
      <c r="I4458" s="19">
        <v>4456</v>
      </c>
      <c r="J4458" s="19" cm="1">
        <f t="array" aca="1" ref="J4458" ca="1">INDIRECT("b"&amp;K4458+2)</f>
        <v>0</v>
      </c>
      <c r="K4458" s="19">
        <f t="shared" si="908"/>
        <v>7540</v>
      </c>
    </row>
    <row r="4459" spans="1:11">
      <c r="A4459">
        <v>4457</v>
      </c>
      <c r="B4459">
        <v>4.3749999999999995E+133</v>
      </c>
      <c r="D4459" s="18">
        <v>4457</v>
      </c>
      <c r="E4459" s="18" cm="1">
        <f t="array" aca="1" ref="E4459" ca="1">INDIRECT("b"&amp;F4459+2)</f>
        <v>0</v>
      </c>
      <c r="F4459" s="18">
        <f t="shared" si="912"/>
        <v>6341</v>
      </c>
      <c r="G4459" s="18" t="e">
        <f t="shared" ref="G4459" ca="1" si="917">E4459/E4454</f>
        <v>#DIV/0!</v>
      </c>
      <c r="H4459" s="18"/>
      <c r="I4459" s="19">
        <v>4457</v>
      </c>
      <c r="J4459" s="19" cm="1">
        <f t="array" aca="1" ref="J4459" ca="1">INDIRECT("b"&amp;K4459+2)</f>
        <v>0</v>
      </c>
      <c r="K4459" s="19">
        <f t="shared" si="908"/>
        <v>7541</v>
      </c>
    </row>
    <row r="4460" spans="1:11">
      <c r="A4460">
        <v>4458</v>
      </c>
      <c r="B4460">
        <v>4.5999999999999998E+133</v>
      </c>
      <c r="D4460" s="18">
        <v>4458</v>
      </c>
      <c r="E4460" s="18" cm="1">
        <f t="array" aca="1" ref="E4460" ca="1">INDIRECT("b"&amp;F4460+2)</f>
        <v>0</v>
      </c>
      <c r="F4460" s="18">
        <f t="shared" si="912"/>
        <v>6342</v>
      </c>
      <c r="G4460" s="18"/>
      <c r="H4460" s="18"/>
      <c r="I4460" s="19">
        <v>4458</v>
      </c>
      <c r="J4460" s="19" cm="1">
        <f t="array" aca="1" ref="J4460" ca="1">INDIRECT("b"&amp;K4460+2)</f>
        <v>0</v>
      </c>
      <c r="K4460" s="19">
        <f t="shared" si="908"/>
        <v>7542</v>
      </c>
    </row>
    <row r="4461" spans="1:11">
      <c r="A4461">
        <v>4459</v>
      </c>
      <c r="B4461">
        <v>4.8250000000000001E+133</v>
      </c>
      <c r="D4461" s="18">
        <v>4459</v>
      </c>
      <c r="E4461" s="18" cm="1">
        <f t="array" aca="1" ref="E4461" ca="1">INDIRECT("b"&amp;F4461+2)</f>
        <v>0</v>
      </c>
      <c r="F4461" s="18">
        <f t="shared" si="912"/>
        <v>6344</v>
      </c>
      <c r="G4461" s="18"/>
      <c r="H4461" s="18"/>
      <c r="I4461" s="19">
        <v>4459</v>
      </c>
      <c r="J4461" s="19" cm="1">
        <f t="array" aca="1" ref="J4461" ca="1">INDIRECT("b"&amp;K4461+2)</f>
        <v>0</v>
      </c>
      <c r="K4461" s="19">
        <f t="shared" si="908"/>
        <v>7544</v>
      </c>
    </row>
    <row r="4462" spans="1:11">
      <c r="A4462">
        <v>4460</v>
      </c>
      <c r="B4462">
        <v>5.0499999999999993E+133</v>
      </c>
      <c r="D4462" s="18">
        <v>4460</v>
      </c>
      <c r="E4462" s="18" cm="1">
        <f t="array" aca="1" ref="E4462" ca="1">INDIRECT("b"&amp;F4462+2)</f>
        <v>0</v>
      </c>
      <c r="F4462" s="18">
        <f t="shared" si="912"/>
        <v>6345</v>
      </c>
      <c r="G4462" s="18"/>
      <c r="H4462" s="18"/>
      <c r="I4462" s="19">
        <v>4460</v>
      </c>
      <c r="J4462" s="19" cm="1">
        <f t="array" aca="1" ref="J4462" ca="1">INDIRECT("b"&amp;K4462+2)</f>
        <v>0</v>
      </c>
      <c r="K4462" s="19">
        <f t="shared" si="908"/>
        <v>7545</v>
      </c>
    </row>
    <row r="4463" spans="1:11">
      <c r="A4463">
        <v>4461</v>
      </c>
      <c r="B4463">
        <v>5.2749999999999996E+133</v>
      </c>
      <c r="D4463" s="18">
        <v>4461</v>
      </c>
      <c r="E4463" s="18" cm="1">
        <f t="array" aca="1" ref="E4463" ca="1">INDIRECT("b"&amp;F4463+2)</f>
        <v>0</v>
      </c>
      <c r="F4463" s="18">
        <f t="shared" si="912"/>
        <v>6346</v>
      </c>
      <c r="G4463" s="18"/>
      <c r="H4463" s="18"/>
      <c r="I4463" s="19">
        <v>4461</v>
      </c>
      <c r="J4463" s="19" cm="1">
        <f t="array" aca="1" ref="J4463" ca="1">INDIRECT("b"&amp;K4463+2)</f>
        <v>0</v>
      </c>
      <c r="K4463" s="19">
        <f t="shared" si="908"/>
        <v>7546</v>
      </c>
    </row>
    <row r="4464" spans="1:11">
      <c r="A4464">
        <v>4462</v>
      </c>
      <c r="B4464">
        <v>5.4999999999999999E+133</v>
      </c>
      <c r="D4464" s="18">
        <v>4462</v>
      </c>
      <c r="E4464" s="18" cm="1">
        <f t="array" aca="1" ref="E4464" ca="1">INDIRECT("b"&amp;F4464+2)</f>
        <v>0</v>
      </c>
      <c r="F4464" s="18">
        <f t="shared" si="912"/>
        <v>6348</v>
      </c>
      <c r="G4464" s="18" t="e">
        <f t="shared" ref="G4464" ca="1" si="918">E4464/E4459</f>
        <v>#DIV/0!</v>
      </c>
      <c r="H4464" s="18"/>
      <c r="I4464" s="19">
        <v>4462</v>
      </c>
      <c r="J4464" s="19" cm="1">
        <f t="array" aca="1" ref="J4464" ca="1">INDIRECT("b"&amp;K4464+2)</f>
        <v>0</v>
      </c>
      <c r="K4464" s="19">
        <f t="shared" si="908"/>
        <v>7548</v>
      </c>
    </row>
    <row r="4465" spans="1:11">
      <c r="A4465">
        <v>4463</v>
      </c>
      <c r="B4465">
        <v>5.7249999999999991E+133</v>
      </c>
      <c r="D4465" s="18">
        <v>4463</v>
      </c>
      <c r="E4465" s="18" cm="1">
        <f t="array" aca="1" ref="E4465" ca="1">INDIRECT("b"&amp;F4465+2)</f>
        <v>0</v>
      </c>
      <c r="F4465" s="18">
        <f t="shared" si="912"/>
        <v>6349</v>
      </c>
      <c r="G4465" s="18"/>
      <c r="H4465" s="18"/>
      <c r="I4465" s="19">
        <v>4463</v>
      </c>
      <c r="J4465" s="19" cm="1">
        <f t="array" aca="1" ref="J4465" ca="1">INDIRECT("b"&amp;K4465+2)</f>
        <v>0</v>
      </c>
      <c r="K4465" s="19">
        <f t="shared" si="908"/>
        <v>7549</v>
      </c>
    </row>
    <row r="4466" spans="1:11">
      <c r="A4466">
        <v>4464</v>
      </c>
      <c r="B4466">
        <v>5.9499999999999994E+133</v>
      </c>
      <c r="D4466" s="18">
        <v>4464</v>
      </c>
      <c r="E4466" s="18" cm="1">
        <f t="array" aca="1" ref="E4466" ca="1">INDIRECT("b"&amp;F4466+2)</f>
        <v>0</v>
      </c>
      <c r="F4466" s="18">
        <f t="shared" si="912"/>
        <v>6350</v>
      </c>
      <c r="G4466" s="18"/>
      <c r="H4466" s="18"/>
      <c r="I4466" s="19">
        <v>4464</v>
      </c>
      <c r="J4466" s="19" cm="1">
        <f t="array" aca="1" ref="J4466" ca="1">INDIRECT("b"&amp;K4466+2)</f>
        <v>0</v>
      </c>
      <c r="K4466" s="19">
        <f t="shared" si="908"/>
        <v>7550</v>
      </c>
    </row>
    <row r="4467" spans="1:11">
      <c r="A4467">
        <v>4465</v>
      </c>
      <c r="B4467">
        <v>6.1749999999999997E+133</v>
      </c>
      <c r="D4467" s="18">
        <v>4465</v>
      </c>
      <c r="E4467" s="18" cm="1">
        <f t="array" aca="1" ref="E4467" ca="1">INDIRECT("b"&amp;F4467+2)</f>
        <v>0</v>
      </c>
      <c r="F4467" s="18">
        <f t="shared" si="912"/>
        <v>6352</v>
      </c>
      <c r="G4467" s="18"/>
      <c r="H4467" s="18"/>
      <c r="I4467" s="19">
        <v>4465</v>
      </c>
      <c r="J4467" s="19" cm="1">
        <f t="array" aca="1" ref="J4467" ca="1">INDIRECT("b"&amp;K4467+2)</f>
        <v>0</v>
      </c>
      <c r="K4467" s="19">
        <f t="shared" si="908"/>
        <v>7552</v>
      </c>
    </row>
    <row r="4468" spans="1:11">
      <c r="A4468">
        <v>4466</v>
      </c>
      <c r="B4468">
        <v>6.3999999999999999E+133</v>
      </c>
      <c r="D4468" s="18">
        <v>4466</v>
      </c>
      <c r="E4468" s="18" cm="1">
        <f t="array" aca="1" ref="E4468" ca="1">INDIRECT("b"&amp;F4468+2)</f>
        <v>0</v>
      </c>
      <c r="F4468" s="18">
        <f t="shared" si="912"/>
        <v>6353</v>
      </c>
      <c r="G4468" s="18"/>
      <c r="H4468" s="18"/>
      <c r="I4468" s="19">
        <v>4466</v>
      </c>
      <c r="J4468" s="19" cm="1">
        <f t="array" aca="1" ref="J4468" ca="1">INDIRECT("b"&amp;K4468+2)</f>
        <v>0</v>
      </c>
      <c r="K4468" s="19">
        <f t="shared" si="908"/>
        <v>7553</v>
      </c>
    </row>
    <row r="4469" spans="1:11">
      <c r="A4469">
        <v>4467</v>
      </c>
      <c r="B4469">
        <v>6.6249999999999992E+133</v>
      </c>
      <c r="D4469" s="18">
        <v>4467</v>
      </c>
      <c r="E4469" s="18" cm="1">
        <f t="array" aca="1" ref="E4469" ca="1">INDIRECT("b"&amp;F4469+2)</f>
        <v>0</v>
      </c>
      <c r="F4469" s="18">
        <f t="shared" si="912"/>
        <v>6354</v>
      </c>
      <c r="G4469" s="18" t="e">
        <f t="shared" ref="G4469" ca="1" si="919">E4469/E4464</f>
        <v>#DIV/0!</v>
      </c>
      <c r="H4469" s="18"/>
      <c r="I4469" s="19">
        <v>4467</v>
      </c>
      <c r="J4469" s="19" cm="1">
        <f t="array" aca="1" ref="J4469" ca="1">INDIRECT("b"&amp;K4469+2)</f>
        <v>0</v>
      </c>
      <c r="K4469" s="19">
        <f t="shared" si="908"/>
        <v>7554</v>
      </c>
    </row>
    <row r="4470" spans="1:11">
      <c r="A4470">
        <v>4468</v>
      </c>
      <c r="B4470">
        <v>6.8499999999999995E+133</v>
      </c>
      <c r="D4470" s="18">
        <v>4468</v>
      </c>
      <c r="E4470" s="18" cm="1">
        <f t="array" aca="1" ref="E4470" ca="1">INDIRECT("b"&amp;F4470+2)</f>
        <v>0</v>
      </c>
      <c r="F4470" s="18">
        <f t="shared" si="912"/>
        <v>6356</v>
      </c>
      <c r="G4470" s="18"/>
      <c r="H4470" s="18"/>
      <c r="I4470" s="19">
        <v>4468</v>
      </c>
      <c r="J4470" s="19" cm="1">
        <f t="array" aca="1" ref="J4470" ca="1">INDIRECT("b"&amp;K4470+2)</f>
        <v>0</v>
      </c>
      <c r="K4470" s="19">
        <f t="shared" si="908"/>
        <v>7556</v>
      </c>
    </row>
    <row r="4471" spans="1:11">
      <c r="A4471">
        <v>4469</v>
      </c>
      <c r="B4471">
        <v>7.0749999999999997E+133</v>
      </c>
      <c r="D4471" s="18">
        <v>4469</v>
      </c>
      <c r="E4471" s="18" cm="1">
        <f t="array" aca="1" ref="E4471" ca="1">INDIRECT("b"&amp;F4471+2)</f>
        <v>0</v>
      </c>
      <c r="F4471" s="18">
        <f t="shared" si="912"/>
        <v>6357</v>
      </c>
      <c r="G4471" s="18"/>
      <c r="H4471" s="18"/>
      <c r="I4471" s="19">
        <v>4469</v>
      </c>
      <c r="J4471" s="19" cm="1">
        <f t="array" aca="1" ref="J4471" ca="1">INDIRECT("b"&amp;K4471+2)</f>
        <v>0</v>
      </c>
      <c r="K4471" s="19">
        <f t="shared" si="908"/>
        <v>7557</v>
      </c>
    </row>
    <row r="4472" spans="1:11">
      <c r="A4472">
        <v>4470</v>
      </c>
      <c r="B4472">
        <v>7.299999999999999E+133</v>
      </c>
      <c r="D4472" s="18">
        <v>4470</v>
      </c>
      <c r="E4472" s="18" cm="1">
        <f t="array" aca="1" ref="E4472" ca="1">INDIRECT("b"&amp;F4472+2)</f>
        <v>0</v>
      </c>
      <c r="F4472" s="18">
        <f t="shared" si="912"/>
        <v>6358</v>
      </c>
      <c r="G4472" s="18"/>
      <c r="H4472" s="18"/>
      <c r="I4472" s="19">
        <v>4470</v>
      </c>
      <c r="J4472" s="19" cm="1">
        <f t="array" aca="1" ref="J4472" ca="1">INDIRECT("b"&amp;K4472+2)</f>
        <v>0</v>
      </c>
      <c r="K4472" s="19">
        <f t="shared" si="908"/>
        <v>7558</v>
      </c>
    </row>
    <row r="4473" spans="1:11">
      <c r="A4473">
        <v>4471</v>
      </c>
      <c r="B4473">
        <v>7.5249999999999993E+133</v>
      </c>
      <c r="D4473" s="18">
        <v>4471</v>
      </c>
      <c r="E4473" s="18" cm="1">
        <f t="array" aca="1" ref="E4473" ca="1">INDIRECT("b"&amp;F4473+2)</f>
        <v>0</v>
      </c>
      <c r="F4473" s="18">
        <f t="shared" si="912"/>
        <v>6360</v>
      </c>
      <c r="G4473" s="18"/>
      <c r="H4473" s="18"/>
      <c r="I4473" s="19">
        <v>4471</v>
      </c>
      <c r="J4473" s="19" cm="1">
        <f t="array" aca="1" ref="J4473" ca="1">INDIRECT("b"&amp;K4473+2)</f>
        <v>0</v>
      </c>
      <c r="K4473" s="19">
        <f t="shared" si="908"/>
        <v>7560</v>
      </c>
    </row>
    <row r="4474" spans="1:11">
      <c r="A4474">
        <v>4472</v>
      </c>
      <c r="B4474">
        <v>7.7499999999999995E+133</v>
      </c>
      <c r="D4474" s="18">
        <v>4472</v>
      </c>
      <c r="E4474" s="18" cm="1">
        <f t="array" aca="1" ref="E4474" ca="1">INDIRECT("b"&amp;F4474+2)</f>
        <v>0</v>
      </c>
      <c r="F4474" s="18">
        <f t="shared" si="912"/>
        <v>6361</v>
      </c>
      <c r="G4474" s="18" t="e">
        <f t="shared" ref="G4474" ca="1" si="920">E4474/E4469</f>
        <v>#DIV/0!</v>
      </c>
      <c r="H4474" s="18"/>
      <c r="I4474" s="19">
        <v>4472</v>
      </c>
      <c r="J4474" s="19" cm="1">
        <f t="array" aca="1" ref="J4474" ca="1">INDIRECT("b"&amp;K4474+2)</f>
        <v>0</v>
      </c>
      <c r="K4474" s="19">
        <f t="shared" si="908"/>
        <v>7561</v>
      </c>
    </row>
    <row r="4475" spans="1:11">
      <c r="A4475">
        <v>4473</v>
      </c>
      <c r="B4475">
        <v>7.9749999999999998E+133</v>
      </c>
      <c r="D4475" s="18">
        <v>4473</v>
      </c>
      <c r="E4475" s="18" cm="1">
        <f t="array" aca="1" ref="E4475" ca="1">INDIRECT("b"&amp;F4475+2)</f>
        <v>0</v>
      </c>
      <c r="F4475" s="18">
        <f t="shared" si="912"/>
        <v>6362</v>
      </c>
      <c r="G4475" s="18"/>
      <c r="H4475" s="18"/>
      <c r="I4475" s="19">
        <v>4473</v>
      </c>
      <c r="J4475" s="19" cm="1">
        <f t="array" aca="1" ref="J4475" ca="1">INDIRECT("b"&amp;K4475+2)</f>
        <v>0</v>
      </c>
      <c r="K4475" s="19">
        <f t="shared" si="908"/>
        <v>7562</v>
      </c>
    </row>
    <row r="4476" spans="1:11">
      <c r="A4476">
        <v>4474</v>
      </c>
      <c r="B4476">
        <v>8.1999999999999991E+133</v>
      </c>
      <c r="D4476" s="18">
        <v>4474</v>
      </c>
      <c r="E4476" s="18" cm="1">
        <f t="array" aca="1" ref="E4476" ca="1">INDIRECT("b"&amp;F4476+2)</f>
        <v>0</v>
      </c>
      <c r="F4476" s="18">
        <f t="shared" si="912"/>
        <v>6364</v>
      </c>
      <c r="G4476" s="18"/>
      <c r="H4476" s="18"/>
      <c r="I4476" s="19">
        <v>4474</v>
      </c>
      <c r="J4476" s="19" cm="1">
        <f t="array" aca="1" ref="J4476" ca="1">INDIRECT("b"&amp;K4476+2)</f>
        <v>0</v>
      </c>
      <c r="K4476" s="19">
        <f t="shared" si="908"/>
        <v>7564</v>
      </c>
    </row>
    <row r="4477" spans="1:11">
      <c r="A4477">
        <v>4475</v>
      </c>
      <c r="B4477">
        <v>8.4249999999999993E+133</v>
      </c>
      <c r="D4477" s="18">
        <v>4475</v>
      </c>
      <c r="E4477" s="18" cm="1">
        <f t="array" aca="1" ref="E4477" ca="1">INDIRECT("b"&amp;F4477+2)</f>
        <v>0</v>
      </c>
      <c r="F4477" s="18">
        <f t="shared" si="912"/>
        <v>6365</v>
      </c>
      <c r="G4477" s="18"/>
      <c r="H4477" s="18"/>
      <c r="I4477" s="19">
        <v>4475</v>
      </c>
      <c r="J4477" s="19" cm="1">
        <f t="array" aca="1" ref="J4477" ca="1">INDIRECT("b"&amp;K4477+2)</f>
        <v>0</v>
      </c>
      <c r="K4477" s="19">
        <f t="shared" si="908"/>
        <v>7565</v>
      </c>
    </row>
    <row r="4478" spans="1:11">
      <c r="A4478">
        <v>4476</v>
      </c>
      <c r="B4478">
        <v>8.6499999999999996E+133</v>
      </c>
      <c r="D4478" s="18">
        <v>4476</v>
      </c>
      <c r="E4478" s="18" cm="1">
        <f t="array" aca="1" ref="E4478" ca="1">INDIRECT("b"&amp;F4478+2)</f>
        <v>0</v>
      </c>
      <c r="F4478" s="18">
        <f t="shared" si="912"/>
        <v>6366</v>
      </c>
      <c r="G4478" s="18"/>
      <c r="H4478" s="18"/>
      <c r="I4478" s="19">
        <v>4476</v>
      </c>
      <c r="J4478" s="19" cm="1">
        <f t="array" aca="1" ref="J4478" ca="1">INDIRECT("b"&amp;K4478+2)</f>
        <v>0</v>
      </c>
      <c r="K4478" s="19">
        <f t="shared" si="908"/>
        <v>7566</v>
      </c>
    </row>
    <row r="4479" spans="1:11">
      <c r="A4479">
        <v>4477</v>
      </c>
      <c r="B4479">
        <v>8.8749999999999989E+133</v>
      </c>
      <c r="D4479" s="18">
        <v>4477</v>
      </c>
      <c r="E4479" s="18" cm="1">
        <f t="array" aca="1" ref="E4479" ca="1">INDIRECT("b"&amp;F4479+2)</f>
        <v>0</v>
      </c>
      <c r="F4479" s="18">
        <f t="shared" si="912"/>
        <v>6368</v>
      </c>
      <c r="G4479" s="18" t="e">
        <f t="shared" ref="G4479" ca="1" si="921">E4479/E4474</f>
        <v>#DIV/0!</v>
      </c>
      <c r="H4479" s="18"/>
      <c r="I4479" s="19">
        <v>4477</v>
      </c>
      <c r="J4479" s="19" cm="1">
        <f t="array" aca="1" ref="J4479" ca="1">INDIRECT("b"&amp;K4479+2)</f>
        <v>0</v>
      </c>
      <c r="K4479" s="19">
        <f t="shared" si="908"/>
        <v>7568</v>
      </c>
    </row>
    <row r="4480" spans="1:11">
      <c r="A4480">
        <v>4478</v>
      </c>
      <c r="B4480">
        <v>9.1000000000000002E+133</v>
      </c>
      <c r="D4480" s="18">
        <v>4478</v>
      </c>
      <c r="E4480" s="18" cm="1">
        <f t="array" aca="1" ref="E4480" ca="1">INDIRECT("b"&amp;F4480+2)</f>
        <v>0</v>
      </c>
      <c r="F4480" s="18">
        <f t="shared" si="912"/>
        <v>6369</v>
      </c>
      <c r="G4480" s="18"/>
      <c r="H4480" s="18"/>
      <c r="I4480" s="19">
        <v>4478</v>
      </c>
      <c r="J4480" s="19" cm="1">
        <f t="array" aca="1" ref="J4480" ca="1">INDIRECT("b"&amp;K4480+2)</f>
        <v>0</v>
      </c>
      <c r="K4480" s="19">
        <f t="shared" si="908"/>
        <v>7569</v>
      </c>
    </row>
    <row r="4481" spans="1:11">
      <c r="A4481">
        <v>4479</v>
      </c>
      <c r="B4481">
        <v>9.3249999999999994E+133</v>
      </c>
      <c r="D4481" s="18">
        <v>4479</v>
      </c>
      <c r="E4481" s="18" cm="1">
        <f t="array" aca="1" ref="E4481" ca="1">INDIRECT("b"&amp;F4481+2)</f>
        <v>0</v>
      </c>
      <c r="F4481" s="18">
        <f t="shared" si="912"/>
        <v>6370</v>
      </c>
      <c r="G4481" s="18"/>
      <c r="H4481" s="18"/>
      <c r="I4481" s="19">
        <v>4479</v>
      </c>
      <c r="J4481" s="19" cm="1">
        <f t="array" aca="1" ref="J4481" ca="1">INDIRECT("b"&amp;K4481+2)</f>
        <v>0</v>
      </c>
      <c r="K4481" s="19">
        <f t="shared" si="908"/>
        <v>7570</v>
      </c>
    </row>
    <row r="4482" spans="1:11">
      <c r="A4482">
        <v>4480</v>
      </c>
      <c r="B4482">
        <v>9.5499999999999987E+133</v>
      </c>
      <c r="D4482" s="18">
        <v>4480</v>
      </c>
      <c r="E4482" s="18" cm="1">
        <f t="array" aca="1" ref="E4482" ca="1">INDIRECT("b"&amp;F4482+2)</f>
        <v>0</v>
      </c>
      <c r="F4482" s="18">
        <f t="shared" si="912"/>
        <v>6372</v>
      </c>
      <c r="G4482" s="18"/>
      <c r="H4482" s="18"/>
      <c r="I4482" s="19">
        <v>4480</v>
      </c>
      <c r="J4482" s="19" cm="1">
        <f t="array" aca="1" ref="J4482" ca="1">INDIRECT("b"&amp;K4482+2)</f>
        <v>0</v>
      </c>
      <c r="K4482" s="19">
        <f t="shared" si="908"/>
        <v>7572</v>
      </c>
    </row>
    <row r="4483" spans="1:11">
      <c r="A4483">
        <v>4481</v>
      </c>
      <c r="B4483">
        <v>9.775E+133</v>
      </c>
      <c r="D4483" s="18">
        <v>4481</v>
      </c>
      <c r="E4483" s="18" cm="1">
        <f t="array" aca="1" ref="E4483" ca="1">INDIRECT("b"&amp;F4483+2)</f>
        <v>0</v>
      </c>
      <c r="F4483" s="18">
        <f t="shared" si="912"/>
        <v>6373</v>
      </c>
      <c r="G4483" s="18"/>
      <c r="H4483" s="18"/>
      <c r="I4483" s="19">
        <v>4481</v>
      </c>
      <c r="J4483" s="19" cm="1">
        <f t="array" aca="1" ref="J4483" ca="1">INDIRECT("b"&amp;K4483+2)</f>
        <v>0</v>
      </c>
      <c r="K4483" s="19">
        <f t="shared" si="908"/>
        <v>7573</v>
      </c>
    </row>
    <row r="4484" spans="1:11">
      <c r="A4484">
        <v>4482</v>
      </c>
      <c r="B4484">
        <v>1.0000000000000001E+134</v>
      </c>
      <c r="D4484" s="18">
        <v>4482</v>
      </c>
      <c r="E4484" s="18" cm="1">
        <f t="array" aca="1" ref="E4484" ca="1">INDIRECT("b"&amp;F4484+2)</f>
        <v>0</v>
      </c>
      <c r="F4484" s="18">
        <f t="shared" si="912"/>
        <v>6374</v>
      </c>
      <c r="G4484" s="18" t="e">
        <f t="shared" ref="G4484" ca="1" si="922">E4484/E4479</f>
        <v>#DIV/0!</v>
      </c>
      <c r="H4484" s="18"/>
      <c r="I4484" s="19">
        <v>4482</v>
      </c>
      <c r="J4484" s="19" cm="1">
        <f t="array" aca="1" ref="J4484" ca="1">INDIRECT("b"&amp;K4484+2)</f>
        <v>0</v>
      </c>
      <c r="K4484" s="19">
        <f t="shared" ref="K4484:K4547" si="923">INT((A4484-1)*40/30+900*40/30)+400</f>
        <v>7574</v>
      </c>
    </row>
    <row r="4485" spans="1:11">
      <c r="A4485">
        <v>4483</v>
      </c>
      <c r="B4485">
        <v>1.2250000000000002E+134</v>
      </c>
      <c r="D4485" s="18">
        <v>4483</v>
      </c>
      <c r="E4485" s="18" cm="1">
        <f t="array" aca="1" ref="E4485" ca="1">INDIRECT("b"&amp;F4485+2)</f>
        <v>0</v>
      </c>
      <c r="F4485" s="18">
        <f t="shared" si="912"/>
        <v>6376</v>
      </c>
      <c r="G4485" s="18"/>
      <c r="H4485" s="18"/>
      <c r="I4485" s="19">
        <v>4483</v>
      </c>
      <c r="J4485" s="19" cm="1">
        <f t="array" aca="1" ref="J4485" ca="1">INDIRECT("b"&amp;K4485+2)</f>
        <v>0</v>
      </c>
      <c r="K4485" s="19">
        <f t="shared" si="923"/>
        <v>7576</v>
      </c>
    </row>
    <row r="4486" spans="1:11">
      <c r="A4486">
        <v>4484</v>
      </c>
      <c r="B4486">
        <v>1.4500000000000001E+134</v>
      </c>
      <c r="D4486" s="18">
        <v>4484</v>
      </c>
      <c r="E4486" s="18" cm="1">
        <f t="array" aca="1" ref="E4486" ca="1">INDIRECT("b"&amp;F4486+2)</f>
        <v>0</v>
      </c>
      <c r="F4486" s="18">
        <f t="shared" si="912"/>
        <v>6377</v>
      </c>
      <c r="G4486" s="18"/>
      <c r="H4486" s="18"/>
      <c r="I4486" s="19">
        <v>4484</v>
      </c>
      <c r="J4486" s="19" cm="1">
        <f t="array" aca="1" ref="J4486" ca="1">INDIRECT("b"&amp;K4486+2)</f>
        <v>0</v>
      </c>
      <c r="K4486" s="19">
        <f t="shared" si="923"/>
        <v>7577</v>
      </c>
    </row>
    <row r="4487" spans="1:11">
      <c r="A4487">
        <v>4485</v>
      </c>
      <c r="B4487">
        <v>1.6750000000000001E+134</v>
      </c>
      <c r="D4487" s="18">
        <v>4485</v>
      </c>
      <c r="E4487" s="18" cm="1">
        <f t="array" aca="1" ref="E4487" ca="1">INDIRECT("b"&amp;F4487+2)</f>
        <v>0</v>
      </c>
      <c r="F4487" s="18">
        <f t="shared" si="912"/>
        <v>6378</v>
      </c>
      <c r="G4487" s="18"/>
      <c r="H4487" s="18"/>
      <c r="I4487" s="19">
        <v>4485</v>
      </c>
      <c r="J4487" s="19" cm="1">
        <f t="array" aca="1" ref="J4487" ca="1">INDIRECT("b"&amp;K4487+2)</f>
        <v>0</v>
      </c>
      <c r="K4487" s="19">
        <f t="shared" si="923"/>
        <v>7578</v>
      </c>
    </row>
    <row r="4488" spans="1:11">
      <c r="A4488">
        <v>4486</v>
      </c>
      <c r="B4488">
        <v>1.9E+134</v>
      </c>
      <c r="D4488" s="18">
        <v>4486</v>
      </c>
      <c r="E4488" s="18" cm="1">
        <f t="array" aca="1" ref="E4488" ca="1">INDIRECT("b"&amp;F4488+2)</f>
        <v>0</v>
      </c>
      <c r="F4488" s="18">
        <f t="shared" si="912"/>
        <v>6380</v>
      </c>
      <c r="G4488" s="18"/>
      <c r="H4488" s="18"/>
      <c r="I4488" s="19">
        <v>4486</v>
      </c>
      <c r="J4488" s="19" cm="1">
        <f t="array" aca="1" ref="J4488" ca="1">INDIRECT("b"&amp;K4488+2)</f>
        <v>0</v>
      </c>
      <c r="K4488" s="19">
        <f t="shared" si="923"/>
        <v>7580</v>
      </c>
    </row>
    <row r="4489" spans="1:11">
      <c r="A4489">
        <v>4487</v>
      </c>
      <c r="B4489">
        <v>2.1250000000000001E+134</v>
      </c>
      <c r="D4489" s="18">
        <v>4487</v>
      </c>
      <c r="E4489" s="18" cm="1">
        <f t="array" aca="1" ref="E4489" ca="1">INDIRECT("b"&amp;F4489+2)</f>
        <v>0</v>
      </c>
      <c r="F4489" s="18">
        <f t="shared" si="912"/>
        <v>6381</v>
      </c>
      <c r="G4489" s="18" t="e">
        <f t="shared" ref="G4489" ca="1" si="924">E4489/E4484</f>
        <v>#DIV/0!</v>
      </c>
      <c r="H4489" s="18"/>
      <c r="I4489" s="19">
        <v>4487</v>
      </c>
      <c r="J4489" s="19" cm="1">
        <f t="array" aca="1" ref="J4489" ca="1">INDIRECT("b"&amp;K4489+2)</f>
        <v>0</v>
      </c>
      <c r="K4489" s="19">
        <f t="shared" si="923"/>
        <v>7581</v>
      </c>
    </row>
    <row r="4490" spans="1:11">
      <c r="A4490">
        <v>4488</v>
      </c>
      <c r="B4490">
        <v>2.3500000000000001E+134</v>
      </c>
      <c r="D4490" s="18">
        <v>4488</v>
      </c>
      <c r="E4490" s="18" cm="1">
        <f t="array" aca="1" ref="E4490" ca="1">INDIRECT("b"&amp;F4490+2)</f>
        <v>0</v>
      </c>
      <c r="F4490" s="18">
        <f t="shared" si="912"/>
        <v>6382</v>
      </c>
      <c r="G4490" s="18"/>
      <c r="H4490" s="18"/>
      <c r="I4490" s="19">
        <v>4488</v>
      </c>
      <c r="J4490" s="19" cm="1">
        <f t="array" aca="1" ref="J4490" ca="1">INDIRECT("b"&amp;K4490+2)</f>
        <v>0</v>
      </c>
      <c r="K4490" s="19">
        <f t="shared" si="923"/>
        <v>7582</v>
      </c>
    </row>
    <row r="4491" spans="1:11">
      <c r="A4491">
        <v>4489</v>
      </c>
      <c r="B4491">
        <v>2.5750000000000002E+134</v>
      </c>
      <c r="D4491" s="18">
        <v>4489</v>
      </c>
      <c r="E4491" s="18" cm="1">
        <f t="array" aca="1" ref="E4491" ca="1">INDIRECT("b"&amp;F4491+2)</f>
        <v>0</v>
      </c>
      <c r="F4491" s="18">
        <f t="shared" si="912"/>
        <v>6384</v>
      </c>
      <c r="G4491" s="18"/>
      <c r="H4491" s="18"/>
      <c r="I4491" s="19">
        <v>4489</v>
      </c>
      <c r="J4491" s="19" cm="1">
        <f t="array" aca="1" ref="J4491" ca="1">INDIRECT("b"&amp;K4491+2)</f>
        <v>0</v>
      </c>
      <c r="K4491" s="19">
        <f t="shared" si="923"/>
        <v>7584</v>
      </c>
    </row>
    <row r="4492" spans="1:11">
      <c r="A4492">
        <v>4490</v>
      </c>
      <c r="B4492">
        <v>2.8000000000000003E+134</v>
      </c>
      <c r="D4492" s="18">
        <v>4490</v>
      </c>
      <c r="E4492" s="18" cm="1">
        <f t="array" aca="1" ref="E4492" ca="1">INDIRECT("b"&amp;F4492+2)</f>
        <v>0</v>
      </c>
      <c r="F4492" s="18">
        <f t="shared" si="912"/>
        <v>6385</v>
      </c>
      <c r="G4492" s="18"/>
      <c r="H4492" s="18"/>
      <c r="I4492" s="19">
        <v>4490</v>
      </c>
      <c r="J4492" s="19" cm="1">
        <f t="array" aca="1" ref="J4492" ca="1">INDIRECT("b"&amp;K4492+2)</f>
        <v>0</v>
      </c>
      <c r="K4492" s="19">
        <f t="shared" si="923"/>
        <v>7585</v>
      </c>
    </row>
    <row r="4493" spans="1:11">
      <c r="A4493">
        <v>4491</v>
      </c>
      <c r="B4493">
        <v>3.0250000000000003E+134</v>
      </c>
      <c r="D4493" s="18">
        <v>4491</v>
      </c>
      <c r="E4493" s="18" cm="1">
        <f t="array" aca="1" ref="E4493" ca="1">INDIRECT("b"&amp;F4493+2)</f>
        <v>0</v>
      </c>
      <c r="F4493" s="18">
        <f t="shared" si="912"/>
        <v>6386</v>
      </c>
      <c r="G4493" s="18"/>
      <c r="H4493" s="18"/>
      <c r="I4493" s="19">
        <v>4491</v>
      </c>
      <c r="J4493" s="19" cm="1">
        <f t="array" aca="1" ref="J4493" ca="1">INDIRECT("b"&amp;K4493+2)</f>
        <v>0</v>
      </c>
      <c r="K4493" s="19">
        <f t="shared" si="923"/>
        <v>7586</v>
      </c>
    </row>
    <row r="4494" spans="1:11">
      <c r="A4494">
        <v>4492</v>
      </c>
      <c r="B4494">
        <v>3.2500000000000004E+134</v>
      </c>
      <c r="D4494" s="18">
        <v>4492</v>
      </c>
      <c r="E4494" s="18" cm="1">
        <f t="array" aca="1" ref="E4494" ca="1">INDIRECT("b"&amp;F4494+2)</f>
        <v>0</v>
      </c>
      <c r="F4494" s="18">
        <f t="shared" si="912"/>
        <v>6388</v>
      </c>
      <c r="G4494" s="18" t="e">
        <f t="shared" ref="G4494" ca="1" si="925">E4494/E4489</f>
        <v>#DIV/0!</v>
      </c>
      <c r="H4494" s="18"/>
      <c r="I4494" s="19">
        <v>4492</v>
      </c>
      <c r="J4494" s="19" cm="1">
        <f t="array" aca="1" ref="J4494" ca="1">INDIRECT("b"&amp;K4494+2)</f>
        <v>0</v>
      </c>
      <c r="K4494" s="19">
        <f t="shared" si="923"/>
        <v>7588</v>
      </c>
    </row>
    <row r="4495" spans="1:11">
      <c r="A4495">
        <v>4493</v>
      </c>
      <c r="B4495">
        <v>3.4750000000000001E+134</v>
      </c>
      <c r="D4495" s="18">
        <v>4493</v>
      </c>
      <c r="E4495" s="18" cm="1">
        <f t="array" aca="1" ref="E4495" ca="1">INDIRECT("b"&amp;F4495+2)</f>
        <v>0</v>
      </c>
      <c r="F4495" s="18">
        <f t="shared" si="912"/>
        <v>6389</v>
      </c>
      <c r="G4495" s="18"/>
      <c r="H4495" s="18"/>
      <c r="I4495" s="19">
        <v>4493</v>
      </c>
      <c r="J4495" s="19" cm="1">
        <f t="array" aca="1" ref="J4495" ca="1">INDIRECT("b"&amp;K4495+2)</f>
        <v>0</v>
      </c>
      <c r="K4495" s="19">
        <f t="shared" si="923"/>
        <v>7589</v>
      </c>
    </row>
    <row r="4496" spans="1:11">
      <c r="A4496">
        <v>4494</v>
      </c>
      <c r="B4496">
        <v>3.7000000000000001E+134</v>
      </c>
      <c r="D4496" s="18">
        <v>4494</v>
      </c>
      <c r="E4496" s="18" cm="1">
        <f t="array" aca="1" ref="E4496" ca="1">INDIRECT("b"&amp;F4496+2)</f>
        <v>0</v>
      </c>
      <c r="F4496" s="18">
        <f t="shared" si="912"/>
        <v>6390</v>
      </c>
      <c r="G4496" s="18"/>
      <c r="H4496" s="18"/>
      <c r="I4496" s="19">
        <v>4494</v>
      </c>
      <c r="J4496" s="19" cm="1">
        <f t="array" aca="1" ref="J4496" ca="1">INDIRECT("b"&amp;K4496+2)</f>
        <v>0</v>
      </c>
      <c r="K4496" s="19">
        <f t="shared" si="923"/>
        <v>7590</v>
      </c>
    </row>
    <row r="4497" spans="1:11">
      <c r="A4497">
        <v>4495</v>
      </c>
      <c r="B4497">
        <v>3.9250000000000002E+134</v>
      </c>
      <c r="D4497" s="18">
        <v>4495</v>
      </c>
      <c r="E4497" s="18" cm="1">
        <f t="array" aca="1" ref="E4497" ca="1">INDIRECT("b"&amp;F4497+2)</f>
        <v>0</v>
      </c>
      <c r="F4497" s="18">
        <f t="shared" si="912"/>
        <v>6392</v>
      </c>
      <c r="G4497" s="18"/>
      <c r="H4497" s="18"/>
      <c r="I4497" s="19">
        <v>4495</v>
      </c>
      <c r="J4497" s="19" cm="1">
        <f t="array" aca="1" ref="J4497" ca="1">INDIRECT("b"&amp;K4497+2)</f>
        <v>0</v>
      </c>
      <c r="K4497" s="19">
        <f t="shared" si="923"/>
        <v>7592</v>
      </c>
    </row>
    <row r="4498" spans="1:11">
      <c r="A4498">
        <v>4496</v>
      </c>
      <c r="B4498">
        <v>4.1500000000000003E+134</v>
      </c>
      <c r="D4498" s="18">
        <v>4496</v>
      </c>
      <c r="E4498" s="18" cm="1">
        <f t="array" aca="1" ref="E4498" ca="1">INDIRECT("b"&amp;F4498+2)</f>
        <v>0</v>
      </c>
      <c r="F4498" s="18">
        <f t="shared" si="912"/>
        <v>6393</v>
      </c>
      <c r="G4498" s="18"/>
      <c r="H4498" s="18"/>
      <c r="I4498" s="19">
        <v>4496</v>
      </c>
      <c r="J4498" s="19" cm="1">
        <f t="array" aca="1" ref="J4498" ca="1">INDIRECT("b"&amp;K4498+2)</f>
        <v>0</v>
      </c>
      <c r="K4498" s="19">
        <f t="shared" si="923"/>
        <v>7593</v>
      </c>
    </row>
    <row r="4499" spans="1:11">
      <c r="A4499">
        <v>4497</v>
      </c>
      <c r="B4499">
        <v>4.3750000000000003E+134</v>
      </c>
      <c r="D4499" s="18">
        <v>4497</v>
      </c>
      <c r="E4499" s="18" cm="1">
        <f t="array" aca="1" ref="E4499" ca="1">INDIRECT("b"&amp;F4499+2)</f>
        <v>0</v>
      </c>
      <c r="F4499" s="18">
        <f t="shared" ref="F4499:F4562" si="926">INT((A4499-123)*1.333333)+563</f>
        <v>6394</v>
      </c>
      <c r="G4499" s="18" t="e">
        <f t="shared" ref="G4499" ca="1" si="927">E4499/E4494</f>
        <v>#DIV/0!</v>
      </c>
      <c r="H4499" s="18"/>
      <c r="I4499" s="19">
        <v>4497</v>
      </c>
      <c r="J4499" s="19" cm="1">
        <f t="array" aca="1" ref="J4499" ca="1">INDIRECT("b"&amp;K4499+2)</f>
        <v>0</v>
      </c>
      <c r="K4499" s="19">
        <f t="shared" si="923"/>
        <v>7594</v>
      </c>
    </row>
    <row r="4500" spans="1:11">
      <c r="A4500">
        <v>4498</v>
      </c>
      <c r="B4500">
        <v>4.6000000000000004E+134</v>
      </c>
      <c r="D4500" s="18">
        <v>4498</v>
      </c>
      <c r="E4500" s="18" cm="1">
        <f t="array" aca="1" ref="E4500" ca="1">INDIRECT("b"&amp;F4500+2)</f>
        <v>0</v>
      </c>
      <c r="F4500" s="18">
        <f t="shared" si="926"/>
        <v>6396</v>
      </c>
      <c r="G4500" s="18"/>
      <c r="H4500" s="18"/>
      <c r="I4500" s="19">
        <v>4498</v>
      </c>
      <c r="J4500" s="19" cm="1">
        <f t="array" aca="1" ref="J4500" ca="1">INDIRECT("b"&amp;K4500+2)</f>
        <v>0</v>
      </c>
      <c r="K4500" s="19">
        <f t="shared" si="923"/>
        <v>7596</v>
      </c>
    </row>
    <row r="4501" spans="1:11">
      <c r="A4501">
        <v>4499</v>
      </c>
      <c r="B4501">
        <v>4.8250000000000005E+134</v>
      </c>
      <c r="D4501" s="18">
        <v>4499</v>
      </c>
      <c r="E4501" s="18" cm="1">
        <f t="array" aca="1" ref="E4501" ca="1">INDIRECT("b"&amp;F4501+2)</f>
        <v>0</v>
      </c>
      <c r="F4501" s="18">
        <f t="shared" si="926"/>
        <v>6397</v>
      </c>
      <c r="G4501" s="18"/>
      <c r="H4501" s="18"/>
      <c r="I4501" s="19">
        <v>4499</v>
      </c>
      <c r="J4501" s="19" cm="1">
        <f t="array" aca="1" ref="J4501" ca="1">INDIRECT("b"&amp;K4501+2)</f>
        <v>0</v>
      </c>
      <c r="K4501" s="19">
        <f t="shared" si="923"/>
        <v>7597</v>
      </c>
    </row>
    <row r="4502" spans="1:11">
      <c r="A4502">
        <v>4500</v>
      </c>
      <c r="B4502">
        <v>5.0500000000000005E+134</v>
      </c>
      <c r="D4502" s="18">
        <v>4500</v>
      </c>
      <c r="E4502" s="18" cm="1">
        <f t="array" aca="1" ref="E4502" ca="1">INDIRECT("b"&amp;F4502+2)</f>
        <v>0</v>
      </c>
      <c r="F4502" s="18">
        <f t="shared" si="926"/>
        <v>6398</v>
      </c>
      <c r="G4502" s="18"/>
      <c r="H4502" s="18"/>
      <c r="I4502" s="19">
        <v>4500</v>
      </c>
      <c r="J4502" s="19" cm="1">
        <f t="array" aca="1" ref="J4502" ca="1">INDIRECT("b"&amp;K4502+2)</f>
        <v>0</v>
      </c>
      <c r="K4502" s="19">
        <f t="shared" si="923"/>
        <v>7598</v>
      </c>
    </row>
    <row r="4503" spans="1:11">
      <c r="A4503">
        <v>4501</v>
      </c>
      <c r="B4503">
        <v>5.2750000000000006E+134</v>
      </c>
      <c r="D4503" s="18">
        <v>4501</v>
      </c>
      <c r="E4503" s="18" cm="1">
        <f t="array" aca="1" ref="E4503" ca="1">INDIRECT("b"&amp;F4503+2)</f>
        <v>0</v>
      </c>
      <c r="F4503" s="18">
        <f t="shared" si="926"/>
        <v>6400</v>
      </c>
      <c r="G4503" s="18"/>
      <c r="H4503" s="18"/>
      <c r="I4503" s="19">
        <v>4501</v>
      </c>
      <c r="J4503" s="19" cm="1">
        <f t="array" aca="1" ref="J4503" ca="1">INDIRECT("b"&amp;K4503+2)</f>
        <v>0</v>
      </c>
      <c r="K4503" s="19">
        <f t="shared" si="923"/>
        <v>7600</v>
      </c>
    </row>
    <row r="4504" spans="1:11">
      <c r="A4504">
        <v>4502</v>
      </c>
      <c r="B4504">
        <v>5.5000000000000007E+134</v>
      </c>
      <c r="D4504" s="18">
        <v>4502</v>
      </c>
      <c r="E4504" s="18" cm="1">
        <f t="array" aca="1" ref="E4504" ca="1">INDIRECT("b"&amp;F4504+2)</f>
        <v>0</v>
      </c>
      <c r="F4504" s="18">
        <f t="shared" si="926"/>
        <v>6401</v>
      </c>
      <c r="G4504" s="18" t="e">
        <f t="shared" ref="G4504" ca="1" si="928">E4504/E4499</f>
        <v>#DIV/0!</v>
      </c>
      <c r="H4504" s="18"/>
      <c r="I4504" s="19">
        <v>4502</v>
      </c>
      <c r="J4504" s="19" cm="1">
        <f t="array" aca="1" ref="J4504" ca="1">INDIRECT("b"&amp;K4504+2)</f>
        <v>0</v>
      </c>
      <c r="K4504" s="19">
        <f t="shared" si="923"/>
        <v>7601</v>
      </c>
    </row>
    <row r="4505" spans="1:11">
      <c r="A4505">
        <v>4503</v>
      </c>
      <c r="B4505">
        <v>5.7250000000000007E+134</v>
      </c>
      <c r="D4505" s="18">
        <v>4503</v>
      </c>
      <c r="E4505" s="18" cm="1">
        <f t="array" aca="1" ref="E4505" ca="1">INDIRECT("b"&amp;F4505+2)</f>
        <v>0</v>
      </c>
      <c r="F4505" s="18">
        <f t="shared" si="926"/>
        <v>6402</v>
      </c>
      <c r="G4505" s="18"/>
      <c r="H4505" s="18"/>
      <c r="I4505" s="19">
        <v>4503</v>
      </c>
      <c r="J4505" s="19" cm="1">
        <f t="array" aca="1" ref="J4505" ca="1">INDIRECT("b"&amp;K4505+2)</f>
        <v>0</v>
      </c>
      <c r="K4505" s="19">
        <f t="shared" si="923"/>
        <v>7602</v>
      </c>
    </row>
    <row r="4506" spans="1:11">
      <c r="A4506">
        <v>4504</v>
      </c>
      <c r="B4506">
        <v>5.9500000000000008E+134</v>
      </c>
      <c r="D4506" s="18">
        <v>4504</v>
      </c>
      <c r="E4506" s="18" cm="1">
        <f t="array" aca="1" ref="E4506" ca="1">INDIRECT("b"&amp;F4506+2)</f>
        <v>0</v>
      </c>
      <c r="F4506" s="18">
        <f t="shared" si="926"/>
        <v>6404</v>
      </c>
      <c r="G4506" s="18"/>
      <c r="H4506" s="18"/>
      <c r="I4506" s="19">
        <v>4504</v>
      </c>
      <c r="J4506" s="19" cm="1">
        <f t="array" aca="1" ref="J4506" ca="1">INDIRECT("b"&amp;K4506+2)</f>
        <v>0</v>
      </c>
      <c r="K4506" s="19">
        <f t="shared" si="923"/>
        <v>7604</v>
      </c>
    </row>
    <row r="4507" spans="1:11">
      <c r="A4507">
        <v>4505</v>
      </c>
      <c r="B4507">
        <v>6.1750000000000001E+134</v>
      </c>
      <c r="D4507" s="18">
        <v>4505</v>
      </c>
      <c r="E4507" s="18" cm="1">
        <f t="array" aca="1" ref="E4507" ca="1">INDIRECT("b"&amp;F4507+2)</f>
        <v>0</v>
      </c>
      <c r="F4507" s="18">
        <f t="shared" si="926"/>
        <v>6405</v>
      </c>
      <c r="G4507" s="18"/>
      <c r="H4507" s="18"/>
      <c r="I4507" s="19">
        <v>4505</v>
      </c>
      <c r="J4507" s="19" cm="1">
        <f t="array" aca="1" ref="J4507" ca="1">INDIRECT("b"&amp;K4507+2)</f>
        <v>0</v>
      </c>
      <c r="K4507" s="19">
        <f t="shared" si="923"/>
        <v>7605</v>
      </c>
    </row>
    <row r="4508" spans="1:11">
      <c r="A4508">
        <v>4506</v>
      </c>
      <c r="B4508">
        <v>6.4000000000000001E+134</v>
      </c>
      <c r="D4508" s="18">
        <v>4506</v>
      </c>
      <c r="E4508" s="18" cm="1">
        <f t="array" aca="1" ref="E4508" ca="1">INDIRECT("b"&amp;F4508+2)</f>
        <v>0</v>
      </c>
      <c r="F4508" s="18">
        <f t="shared" si="926"/>
        <v>6406</v>
      </c>
      <c r="G4508" s="18"/>
      <c r="H4508" s="18"/>
      <c r="I4508" s="19">
        <v>4506</v>
      </c>
      <c r="J4508" s="19" cm="1">
        <f t="array" aca="1" ref="J4508" ca="1">INDIRECT("b"&amp;K4508+2)</f>
        <v>0</v>
      </c>
      <c r="K4508" s="19">
        <f t="shared" si="923"/>
        <v>7606</v>
      </c>
    </row>
    <row r="4509" spans="1:11">
      <c r="A4509">
        <v>4507</v>
      </c>
      <c r="B4509">
        <v>6.6250000000000002E+134</v>
      </c>
      <c r="D4509" s="18">
        <v>4507</v>
      </c>
      <c r="E4509" s="18" cm="1">
        <f t="array" aca="1" ref="E4509" ca="1">INDIRECT("b"&amp;F4509+2)</f>
        <v>0</v>
      </c>
      <c r="F4509" s="18">
        <f t="shared" si="926"/>
        <v>6408</v>
      </c>
      <c r="G4509" s="18" t="e">
        <f t="shared" ref="G4509" ca="1" si="929">E4509/E4504</f>
        <v>#DIV/0!</v>
      </c>
      <c r="H4509" s="18"/>
      <c r="I4509" s="19">
        <v>4507</v>
      </c>
      <c r="J4509" s="19" cm="1">
        <f t="array" aca="1" ref="J4509" ca="1">INDIRECT("b"&amp;K4509+2)</f>
        <v>0</v>
      </c>
      <c r="K4509" s="19">
        <f t="shared" si="923"/>
        <v>7608</v>
      </c>
    </row>
    <row r="4510" spans="1:11">
      <c r="A4510">
        <v>4508</v>
      </c>
      <c r="B4510">
        <v>6.8500000000000003E+134</v>
      </c>
      <c r="D4510" s="18">
        <v>4508</v>
      </c>
      <c r="E4510" s="18" cm="1">
        <f t="array" aca="1" ref="E4510" ca="1">INDIRECT("b"&amp;F4510+2)</f>
        <v>0</v>
      </c>
      <c r="F4510" s="18">
        <f t="shared" si="926"/>
        <v>6409</v>
      </c>
      <c r="G4510" s="18"/>
      <c r="H4510" s="18"/>
      <c r="I4510" s="19">
        <v>4508</v>
      </c>
      <c r="J4510" s="19" cm="1">
        <f t="array" aca="1" ref="J4510" ca="1">INDIRECT("b"&amp;K4510+2)</f>
        <v>0</v>
      </c>
      <c r="K4510" s="19">
        <f t="shared" si="923"/>
        <v>7609</v>
      </c>
    </row>
    <row r="4511" spans="1:11">
      <c r="A4511">
        <v>4509</v>
      </c>
      <c r="B4511">
        <v>7.0750000000000003E+134</v>
      </c>
      <c r="D4511" s="18">
        <v>4509</v>
      </c>
      <c r="E4511" s="18" cm="1">
        <f t="array" aca="1" ref="E4511" ca="1">INDIRECT("b"&amp;F4511+2)</f>
        <v>0</v>
      </c>
      <c r="F4511" s="18">
        <f t="shared" si="926"/>
        <v>6410</v>
      </c>
      <c r="G4511" s="18"/>
      <c r="H4511" s="18"/>
      <c r="I4511" s="19">
        <v>4509</v>
      </c>
      <c r="J4511" s="19" cm="1">
        <f t="array" aca="1" ref="J4511" ca="1">INDIRECT("b"&amp;K4511+2)</f>
        <v>0</v>
      </c>
      <c r="K4511" s="19">
        <f t="shared" si="923"/>
        <v>7610</v>
      </c>
    </row>
    <row r="4512" spans="1:11">
      <c r="A4512">
        <v>4510</v>
      </c>
      <c r="B4512">
        <v>7.3000000000000004E+134</v>
      </c>
      <c r="D4512" s="18">
        <v>4510</v>
      </c>
      <c r="E4512" s="18" cm="1">
        <f t="array" aca="1" ref="E4512" ca="1">INDIRECT("b"&amp;F4512+2)</f>
        <v>0</v>
      </c>
      <c r="F4512" s="18">
        <f t="shared" si="926"/>
        <v>6412</v>
      </c>
      <c r="G4512" s="18"/>
      <c r="H4512" s="18"/>
      <c r="I4512" s="19">
        <v>4510</v>
      </c>
      <c r="J4512" s="19" cm="1">
        <f t="array" aca="1" ref="J4512" ca="1">INDIRECT("b"&amp;K4512+2)</f>
        <v>0</v>
      </c>
      <c r="K4512" s="19">
        <f t="shared" si="923"/>
        <v>7612</v>
      </c>
    </row>
    <row r="4513" spans="1:11">
      <c r="A4513">
        <v>4511</v>
      </c>
      <c r="B4513">
        <v>7.5250000000000013E+134</v>
      </c>
      <c r="D4513" s="18">
        <v>4511</v>
      </c>
      <c r="E4513" s="18" cm="1">
        <f t="array" aca="1" ref="E4513" ca="1">INDIRECT("b"&amp;F4513+2)</f>
        <v>0</v>
      </c>
      <c r="F4513" s="18">
        <f t="shared" si="926"/>
        <v>6413</v>
      </c>
      <c r="G4513" s="18"/>
      <c r="H4513" s="18"/>
      <c r="I4513" s="19">
        <v>4511</v>
      </c>
      <c r="J4513" s="19" cm="1">
        <f t="array" aca="1" ref="J4513" ca="1">INDIRECT("b"&amp;K4513+2)</f>
        <v>0</v>
      </c>
      <c r="K4513" s="19">
        <f t="shared" si="923"/>
        <v>7613</v>
      </c>
    </row>
    <row r="4514" spans="1:11">
      <c r="A4514">
        <v>4512</v>
      </c>
      <c r="B4514">
        <v>7.7500000000000006E+134</v>
      </c>
      <c r="D4514" s="18">
        <v>4512</v>
      </c>
      <c r="E4514" s="18" cm="1">
        <f t="array" aca="1" ref="E4514" ca="1">INDIRECT("b"&amp;F4514+2)</f>
        <v>0</v>
      </c>
      <c r="F4514" s="18">
        <f t="shared" si="926"/>
        <v>6414</v>
      </c>
      <c r="G4514" s="18" t="e">
        <f t="shared" ref="G4514" ca="1" si="930">E4514/E4509</f>
        <v>#DIV/0!</v>
      </c>
      <c r="H4514" s="18"/>
      <c r="I4514" s="19">
        <v>4512</v>
      </c>
      <c r="J4514" s="19" cm="1">
        <f t="array" aca="1" ref="J4514" ca="1">INDIRECT("b"&amp;K4514+2)</f>
        <v>0</v>
      </c>
      <c r="K4514" s="19">
        <f t="shared" si="923"/>
        <v>7614</v>
      </c>
    </row>
    <row r="4515" spans="1:11">
      <c r="A4515">
        <v>4513</v>
      </c>
      <c r="B4515">
        <v>7.9749999999999998E+134</v>
      </c>
      <c r="D4515" s="18">
        <v>4513</v>
      </c>
      <c r="E4515" s="18" cm="1">
        <f t="array" aca="1" ref="E4515" ca="1">INDIRECT("b"&amp;F4515+2)</f>
        <v>0</v>
      </c>
      <c r="F4515" s="18">
        <f t="shared" si="926"/>
        <v>6416</v>
      </c>
      <c r="G4515" s="18"/>
      <c r="H4515" s="18"/>
      <c r="I4515" s="19">
        <v>4513</v>
      </c>
      <c r="J4515" s="19" cm="1">
        <f t="array" aca="1" ref="J4515" ca="1">INDIRECT("b"&amp;K4515+2)</f>
        <v>0</v>
      </c>
      <c r="K4515" s="19">
        <f t="shared" si="923"/>
        <v>7616</v>
      </c>
    </row>
    <row r="4516" spans="1:11">
      <c r="A4516">
        <v>4514</v>
      </c>
      <c r="B4516">
        <v>8.2000000000000007E+134</v>
      </c>
      <c r="D4516" s="18">
        <v>4514</v>
      </c>
      <c r="E4516" s="18" cm="1">
        <f t="array" aca="1" ref="E4516" ca="1">INDIRECT("b"&amp;F4516+2)</f>
        <v>0</v>
      </c>
      <c r="F4516" s="18">
        <f t="shared" si="926"/>
        <v>6417</v>
      </c>
      <c r="G4516" s="18"/>
      <c r="H4516" s="18"/>
      <c r="I4516" s="19">
        <v>4514</v>
      </c>
      <c r="J4516" s="19" cm="1">
        <f t="array" aca="1" ref="J4516" ca="1">INDIRECT("b"&amp;K4516+2)</f>
        <v>0</v>
      </c>
      <c r="K4516" s="19">
        <f t="shared" si="923"/>
        <v>7617</v>
      </c>
    </row>
    <row r="4517" spans="1:11">
      <c r="A4517">
        <v>4515</v>
      </c>
      <c r="B4517">
        <v>8.4249999999999999E+134</v>
      </c>
      <c r="D4517" s="18">
        <v>4515</v>
      </c>
      <c r="E4517" s="18" cm="1">
        <f t="array" aca="1" ref="E4517" ca="1">INDIRECT("b"&amp;F4517+2)</f>
        <v>0</v>
      </c>
      <c r="F4517" s="18">
        <f t="shared" si="926"/>
        <v>6418</v>
      </c>
      <c r="G4517" s="18"/>
      <c r="H4517" s="18"/>
      <c r="I4517" s="19">
        <v>4515</v>
      </c>
      <c r="J4517" s="19" cm="1">
        <f t="array" aca="1" ref="J4517" ca="1">INDIRECT("b"&amp;K4517+2)</f>
        <v>0</v>
      </c>
      <c r="K4517" s="19">
        <f t="shared" si="923"/>
        <v>7618</v>
      </c>
    </row>
    <row r="4518" spans="1:11">
      <c r="A4518">
        <v>4516</v>
      </c>
      <c r="B4518">
        <v>8.6500000000000008E+134</v>
      </c>
      <c r="D4518" s="18">
        <v>4516</v>
      </c>
      <c r="E4518" s="18" cm="1">
        <f t="array" aca="1" ref="E4518" ca="1">INDIRECT("b"&amp;F4518+2)</f>
        <v>0</v>
      </c>
      <c r="F4518" s="18">
        <f t="shared" si="926"/>
        <v>6420</v>
      </c>
      <c r="G4518" s="18"/>
      <c r="H4518" s="18"/>
      <c r="I4518" s="19">
        <v>4516</v>
      </c>
      <c r="J4518" s="19" cm="1">
        <f t="array" aca="1" ref="J4518" ca="1">INDIRECT("b"&amp;K4518+2)</f>
        <v>0</v>
      </c>
      <c r="K4518" s="19">
        <f t="shared" si="923"/>
        <v>7620</v>
      </c>
    </row>
    <row r="4519" spans="1:11">
      <c r="A4519">
        <v>4517</v>
      </c>
      <c r="B4519">
        <v>8.8750000000000001E+134</v>
      </c>
      <c r="D4519" s="18">
        <v>4517</v>
      </c>
      <c r="E4519" s="18" cm="1">
        <f t="array" aca="1" ref="E4519" ca="1">INDIRECT("b"&amp;F4519+2)</f>
        <v>0</v>
      </c>
      <c r="F4519" s="18">
        <f t="shared" si="926"/>
        <v>6421</v>
      </c>
      <c r="G4519" s="18" t="e">
        <f t="shared" ref="G4519" ca="1" si="931">E4519/E4514</f>
        <v>#DIV/0!</v>
      </c>
      <c r="H4519" s="18"/>
      <c r="I4519" s="19">
        <v>4517</v>
      </c>
      <c r="J4519" s="19" cm="1">
        <f t="array" aca="1" ref="J4519" ca="1">INDIRECT("b"&amp;K4519+2)</f>
        <v>0</v>
      </c>
      <c r="K4519" s="19">
        <f t="shared" si="923"/>
        <v>7621</v>
      </c>
    </row>
    <row r="4520" spans="1:11">
      <c r="A4520">
        <v>4518</v>
      </c>
      <c r="B4520">
        <v>9.100000000000001E+134</v>
      </c>
      <c r="D4520" s="18">
        <v>4518</v>
      </c>
      <c r="E4520" s="18" cm="1">
        <f t="array" aca="1" ref="E4520" ca="1">INDIRECT("b"&amp;F4520+2)</f>
        <v>0</v>
      </c>
      <c r="F4520" s="18">
        <f t="shared" si="926"/>
        <v>6422</v>
      </c>
      <c r="G4520" s="18"/>
      <c r="H4520" s="18"/>
      <c r="I4520" s="19">
        <v>4518</v>
      </c>
      <c r="J4520" s="19" cm="1">
        <f t="array" aca="1" ref="J4520" ca="1">INDIRECT("b"&amp;K4520+2)</f>
        <v>0</v>
      </c>
      <c r="K4520" s="19">
        <f t="shared" si="923"/>
        <v>7622</v>
      </c>
    </row>
    <row r="4521" spans="1:11">
      <c r="A4521">
        <v>4519</v>
      </c>
      <c r="B4521">
        <v>9.3250000000000002E+134</v>
      </c>
      <c r="D4521" s="18">
        <v>4519</v>
      </c>
      <c r="E4521" s="18" cm="1">
        <f t="array" aca="1" ref="E4521" ca="1">INDIRECT("b"&amp;F4521+2)</f>
        <v>0</v>
      </c>
      <c r="F4521" s="18">
        <f t="shared" si="926"/>
        <v>6424</v>
      </c>
      <c r="G4521" s="18"/>
      <c r="H4521" s="18"/>
      <c r="I4521" s="19">
        <v>4519</v>
      </c>
      <c r="J4521" s="19" cm="1">
        <f t="array" aca="1" ref="J4521" ca="1">INDIRECT("b"&amp;K4521+2)</f>
        <v>0</v>
      </c>
      <c r="K4521" s="19">
        <f t="shared" si="923"/>
        <v>7624</v>
      </c>
    </row>
    <row r="4522" spans="1:11">
      <c r="A4522">
        <v>4520</v>
      </c>
      <c r="B4522">
        <v>9.5500000000000011E+134</v>
      </c>
      <c r="D4522" s="18">
        <v>4520</v>
      </c>
      <c r="E4522" s="18" cm="1">
        <f t="array" aca="1" ref="E4522" ca="1">INDIRECT("b"&amp;F4522+2)</f>
        <v>0</v>
      </c>
      <c r="F4522" s="18">
        <f t="shared" si="926"/>
        <v>6425</v>
      </c>
      <c r="G4522" s="18"/>
      <c r="H4522" s="18"/>
      <c r="I4522" s="19">
        <v>4520</v>
      </c>
      <c r="J4522" s="19" cm="1">
        <f t="array" aca="1" ref="J4522" ca="1">INDIRECT("b"&amp;K4522+2)</f>
        <v>0</v>
      </c>
      <c r="K4522" s="19">
        <f t="shared" si="923"/>
        <v>7625</v>
      </c>
    </row>
    <row r="4523" spans="1:11">
      <c r="A4523">
        <v>4521</v>
      </c>
      <c r="B4523">
        <v>9.7750000000000004E+134</v>
      </c>
      <c r="D4523" s="18">
        <v>4521</v>
      </c>
      <c r="E4523" s="18" cm="1">
        <f t="array" aca="1" ref="E4523" ca="1">INDIRECT("b"&amp;F4523+2)</f>
        <v>0</v>
      </c>
      <c r="F4523" s="18">
        <f t="shared" si="926"/>
        <v>6426</v>
      </c>
      <c r="G4523" s="18"/>
      <c r="H4523" s="18"/>
      <c r="I4523" s="19">
        <v>4521</v>
      </c>
      <c r="J4523" s="19" cm="1">
        <f t="array" aca="1" ref="J4523" ca="1">INDIRECT("b"&amp;K4523+2)</f>
        <v>0</v>
      </c>
      <c r="K4523" s="19">
        <f t="shared" si="923"/>
        <v>7626</v>
      </c>
    </row>
    <row r="4524" spans="1:11">
      <c r="A4524">
        <v>4522</v>
      </c>
      <c r="B4524">
        <v>9.9999999999999996E+134</v>
      </c>
      <c r="D4524" s="18">
        <v>4522</v>
      </c>
      <c r="E4524" s="18" cm="1">
        <f t="array" aca="1" ref="E4524" ca="1">INDIRECT("b"&amp;F4524+2)</f>
        <v>0</v>
      </c>
      <c r="F4524" s="18">
        <f t="shared" si="926"/>
        <v>6428</v>
      </c>
      <c r="G4524" s="18" t="e">
        <f t="shared" ref="G4524" ca="1" si="932">E4524/E4519</f>
        <v>#DIV/0!</v>
      </c>
      <c r="H4524" s="18"/>
      <c r="I4524" s="19">
        <v>4522</v>
      </c>
      <c r="J4524" s="19" cm="1">
        <f t="array" aca="1" ref="J4524" ca="1">INDIRECT("b"&amp;K4524+2)</f>
        <v>0</v>
      </c>
      <c r="K4524" s="19">
        <f t="shared" si="923"/>
        <v>7628</v>
      </c>
    </row>
    <row r="4525" spans="1:11">
      <c r="A4525">
        <v>4523</v>
      </c>
      <c r="B4525">
        <v>1.2249999999999999E+135</v>
      </c>
      <c r="D4525" s="18">
        <v>4523</v>
      </c>
      <c r="E4525" s="18" cm="1">
        <f t="array" aca="1" ref="E4525" ca="1">INDIRECT("b"&amp;F4525+2)</f>
        <v>0</v>
      </c>
      <c r="F4525" s="18">
        <f t="shared" si="926"/>
        <v>6429</v>
      </c>
      <c r="G4525" s="18"/>
      <c r="H4525" s="18"/>
      <c r="I4525" s="19">
        <v>4523</v>
      </c>
      <c r="J4525" s="19" cm="1">
        <f t="array" aca="1" ref="J4525" ca="1">INDIRECT("b"&amp;K4525+2)</f>
        <v>0</v>
      </c>
      <c r="K4525" s="19">
        <f t="shared" si="923"/>
        <v>7629</v>
      </c>
    </row>
    <row r="4526" spans="1:11">
      <c r="A4526">
        <v>4524</v>
      </c>
      <c r="B4526">
        <v>1.4499999999999999E+135</v>
      </c>
      <c r="D4526" s="18">
        <v>4524</v>
      </c>
      <c r="E4526" s="18" cm="1">
        <f t="array" aca="1" ref="E4526" ca="1">INDIRECT("b"&amp;F4526+2)</f>
        <v>0</v>
      </c>
      <c r="F4526" s="18">
        <f t="shared" si="926"/>
        <v>6430</v>
      </c>
      <c r="G4526" s="18"/>
      <c r="H4526" s="18"/>
      <c r="I4526" s="19">
        <v>4524</v>
      </c>
      <c r="J4526" s="19" cm="1">
        <f t="array" aca="1" ref="J4526" ca="1">INDIRECT("b"&amp;K4526+2)</f>
        <v>0</v>
      </c>
      <c r="K4526" s="19">
        <f t="shared" si="923"/>
        <v>7630</v>
      </c>
    </row>
    <row r="4527" spans="1:11">
      <c r="A4527">
        <v>4525</v>
      </c>
      <c r="B4527">
        <v>1.6749999999999998E+135</v>
      </c>
      <c r="D4527" s="18">
        <v>4525</v>
      </c>
      <c r="E4527" s="18" cm="1">
        <f t="array" aca="1" ref="E4527" ca="1">INDIRECT("b"&amp;F4527+2)</f>
        <v>0</v>
      </c>
      <c r="F4527" s="18">
        <f t="shared" si="926"/>
        <v>6432</v>
      </c>
      <c r="G4527" s="18"/>
      <c r="H4527" s="18"/>
      <c r="I4527" s="19">
        <v>4525</v>
      </c>
      <c r="J4527" s="19" cm="1">
        <f t="array" aca="1" ref="J4527" ca="1">INDIRECT("b"&amp;K4527+2)</f>
        <v>0</v>
      </c>
      <c r="K4527" s="19">
        <f t="shared" si="923"/>
        <v>7632</v>
      </c>
    </row>
    <row r="4528" spans="1:11">
      <c r="A4528">
        <v>4526</v>
      </c>
      <c r="B4528">
        <v>1.9000000000000001E+135</v>
      </c>
      <c r="D4528" s="18">
        <v>4526</v>
      </c>
      <c r="E4528" s="18" cm="1">
        <f t="array" aca="1" ref="E4528" ca="1">INDIRECT("b"&amp;F4528+2)</f>
        <v>0</v>
      </c>
      <c r="F4528" s="18">
        <f t="shared" si="926"/>
        <v>6433</v>
      </c>
      <c r="G4528" s="18"/>
      <c r="H4528" s="18"/>
      <c r="I4528" s="19">
        <v>4526</v>
      </c>
      <c r="J4528" s="19" cm="1">
        <f t="array" aca="1" ref="J4528" ca="1">INDIRECT("b"&amp;K4528+2)</f>
        <v>0</v>
      </c>
      <c r="K4528" s="19">
        <f t="shared" si="923"/>
        <v>7633</v>
      </c>
    </row>
    <row r="4529" spans="1:11">
      <c r="A4529">
        <v>4527</v>
      </c>
      <c r="B4529">
        <v>2.125E+135</v>
      </c>
      <c r="D4529" s="18">
        <v>4527</v>
      </c>
      <c r="E4529" s="18" cm="1">
        <f t="array" aca="1" ref="E4529" ca="1">INDIRECT("b"&amp;F4529+2)</f>
        <v>0</v>
      </c>
      <c r="F4529" s="18">
        <f t="shared" si="926"/>
        <v>6434</v>
      </c>
      <c r="G4529" s="18" t="e">
        <f t="shared" ref="G4529" ca="1" si="933">E4529/E4524</f>
        <v>#DIV/0!</v>
      </c>
      <c r="H4529" s="18"/>
      <c r="I4529" s="19">
        <v>4527</v>
      </c>
      <c r="J4529" s="19" cm="1">
        <f t="array" aca="1" ref="J4529" ca="1">INDIRECT("b"&amp;K4529+2)</f>
        <v>0</v>
      </c>
      <c r="K4529" s="19">
        <f t="shared" si="923"/>
        <v>7634</v>
      </c>
    </row>
    <row r="4530" spans="1:11">
      <c r="A4530">
        <v>4528</v>
      </c>
      <c r="B4530">
        <v>2.3499999999999999E+135</v>
      </c>
      <c r="D4530" s="18">
        <v>4528</v>
      </c>
      <c r="E4530" s="18" cm="1">
        <f t="array" aca="1" ref="E4530" ca="1">INDIRECT("b"&amp;F4530+2)</f>
        <v>0</v>
      </c>
      <c r="F4530" s="18">
        <f t="shared" si="926"/>
        <v>6436</v>
      </c>
      <c r="G4530" s="18"/>
      <c r="H4530" s="18"/>
      <c r="I4530" s="19">
        <v>4528</v>
      </c>
      <c r="J4530" s="19" cm="1">
        <f t="array" aca="1" ref="J4530" ca="1">INDIRECT("b"&amp;K4530+2)</f>
        <v>0</v>
      </c>
      <c r="K4530" s="19">
        <f t="shared" si="923"/>
        <v>7636</v>
      </c>
    </row>
    <row r="4531" spans="1:11">
      <c r="A4531">
        <v>4529</v>
      </c>
      <c r="B4531">
        <v>2.5749999999999998E+135</v>
      </c>
      <c r="D4531" s="18">
        <v>4529</v>
      </c>
      <c r="E4531" s="18" cm="1">
        <f t="array" aca="1" ref="E4531" ca="1">INDIRECT("b"&amp;F4531+2)</f>
        <v>0</v>
      </c>
      <c r="F4531" s="18">
        <f t="shared" si="926"/>
        <v>6437</v>
      </c>
      <c r="G4531" s="18"/>
      <c r="H4531" s="18"/>
      <c r="I4531" s="19">
        <v>4529</v>
      </c>
      <c r="J4531" s="19" cm="1">
        <f t="array" aca="1" ref="J4531" ca="1">INDIRECT("b"&amp;K4531+2)</f>
        <v>0</v>
      </c>
      <c r="K4531" s="19">
        <f t="shared" si="923"/>
        <v>7637</v>
      </c>
    </row>
    <row r="4532" spans="1:11">
      <c r="A4532">
        <v>4530</v>
      </c>
      <c r="B4532">
        <v>2.8E+135</v>
      </c>
      <c r="D4532" s="18">
        <v>4530</v>
      </c>
      <c r="E4532" s="18" cm="1">
        <f t="array" aca="1" ref="E4532" ca="1">INDIRECT("b"&amp;F4532+2)</f>
        <v>0</v>
      </c>
      <c r="F4532" s="18">
        <f t="shared" si="926"/>
        <v>6438</v>
      </c>
      <c r="G4532" s="18"/>
      <c r="H4532" s="18"/>
      <c r="I4532" s="19">
        <v>4530</v>
      </c>
      <c r="J4532" s="19" cm="1">
        <f t="array" aca="1" ref="J4532" ca="1">INDIRECT("b"&amp;K4532+2)</f>
        <v>0</v>
      </c>
      <c r="K4532" s="19">
        <f t="shared" si="923"/>
        <v>7638</v>
      </c>
    </row>
    <row r="4533" spans="1:11">
      <c r="A4533">
        <v>4531</v>
      </c>
      <c r="B4533">
        <v>3.0249999999999999E+135</v>
      </c>
      <c r="D4533" s="18">
        <v>4531</v>
      </c>
      <c r="E4533" s="18" cm="1">
        <f t="array" aca="1" ref="E4533" ca="1">INDIRECT("b"&amp;F4533+2)</f>
        <v>0</v>
      </c>
      <c r="F4533" s="18">
        <f t="shared" si="926"/>
        <v>6440</v>
      </c>
      <c r="G4533" s="18"/>
      <c r="H4533" s="18"/>
      <c r="I4533" s="19">
        <v>4531</v>
      </c>
      <c r="J4533" s="19" cm="1">
        <f t="array" aca="1" ref="J4533" ca="1">INDIRECT("b"&amp;K4533+2)</f>
        <v>0</v>
      </c>
      <c r="K4533" s="19">
        <f t="shared" si="923"/>
        <v>7640</v>
      </c>
    </row>
    <row r="4534" spans="1:11">
      <c r="A4534">
        <v>4532</v>
      </c>
      <c r="B4534">
        <v>3.2500000000000002E+135</v>
      </c>
      <c r="D4534" s="18">
        <v>4532</v>
      </c>
      <c r="E4534" s="18" cm="1">
        <f t="array" aca="1" ref="E4534" ca="1">INDIRECT("b"&amp;F4534+2)</f>
        <v>0</v>
      </c>
      <c r="F4534" s="18">
        <f t="shared" si="926"/>
        <v>6441</v>
      </c>
      <c r="G4534" s="18" t="e">
        <f t="shared" ref="G4534" ca="1" si="934">E4534/E4529</f>
        <v>#DIV/0!</v>
      </c>
      <c r="H4534" s="18"/>
      <c r="I4534" s="19">
        <v>4532</v>
      </c>
      <c r="J4534" s="19" cm="1">
        <f t="array" aca="1" ref="J4534" ca="1">INDIRECT("b"&amp;K4534+2)</f>
        <v>0</v>
      </c>
      <c r="K4534" s="19">
        <f t="shared" si="923"/>
        <v>7641</v>
      </c>
    </row>
    <row r="4535" spans="1:11">
      <c r="A4535">
        <v>4533</v>
      </c>
      <c r="B4535">
        <v>3.4749999999999997E+135</v>
      </c>
      <c r="D4535" s="18">
        <v>4533</v>
      </c>
      <c r="E4535" s="18" cm="1">
        <f t="array" aca="1" ref="E4535" ca="1">INDIRECT("b"&amp;F4535+2)</f>
        <v>0</v>
      </c>
      <c r="F4535" s="18">
        <f t="shared" si="926"/>
        <v>6442</v>
      </c>
      <c r="G4535" s="18"/>
      <c r="H4535" s="18"/>
      <c r="I4535" s="19">
        <v>4533</v>
      </c>
      <c r="J4535" s="19" cm="1">
        <f t="array" aca="1" ref="J4535" ca="1">INDIRECT("b"&amp;K4535+2)</f>
        <v>0</v>
      </c>
      <c r="K4535" s="19">
        <f t="shared" si="923"/>
        <v>7642</v>
      </c>
    </row>
    <row r="4536" spans="1:11">
      <c r="A4536">
        <v>4534</v>
      </c>
      <c r="B4536">
        <v>3.7E+135</v>
      </c>
      <c r="D4536" s="18">
        <v>4534</v>
      </c>
      <c r="E4536" s="18" cm="1">
        <f t="array" aca="1" ref="E4536" ca="1">INDIRECT("b"&amp;F4536+2)</f>
        <v>0</v>
      </c>
      <c r="F4536" s="18">
        <f t="shared" si="926"/>
        <v>6444</v>
      </c>
      <c r="G4536" s="18"/>
      <c r="H4536" s="18"/>
      <c r="I4536" s="19">
        <v>4534</v>
      </c>
      <c r="J4536" s="19" cm="1">
        <f t="array" aca="1" ref="J4536" ca="1">INDIRECT("b"&amp;K4536+2)</f>
        <v>0</v>
      </c>
      <c r="K4536" s="19">
        <f t="shared" si="923"/>
        <v>7644</v>
      </c>
    </row>
    <row r="4537" spans="1:11">
      <c r="A4537">
        <v>4535</v>
      </c>
      <c r="B4537">
        <v>3.9249999999999996E+135</v>
      </c>
      <c r="D4537" s="18">
        <v>4535</v>
      </c>
      <c r="E4537" s="18" cm="1">
        <f t="array" aca="1" ref="E4537" ca="1">INDIRECT("b"&amp;F4537+2)</f>
        <v>0</v>
      </c>
      <c r="F4537" s="18">
        <f t="shared" si="926"/>
        <v>6445</v>
      </c>
      <c r="G4537" s="18"/>
      <c r="H4537" s="18"/>
      <c r="I4537" s="19">
        <v>4535</v>
      </c>
      <c r="J4537" s="19" cm="1">
        <f t="array" aca="1" ref="J4537" ca="1">INDIRECT("b"&amp;K4537+2)</f>
        <v>0</v>
      </c>
      <c r="K4537" s="19">
        <f t="shared" si="923"/>
        <v>7645</v>
      </c>
    </row>
    <row r="4538" spans="1:11">
      <c r="A4538">
        <v>4536</v>
      </c>
      <c r="B4538">
        <v>4.1499999999999998E+135</v>
      </c>
      <c r="D4538" s="18">
        <v>4536</v>
      </c>
      <c r="E4538" s="18" cm="1">
        <f t="array" aca="1" ref="E4538" ca="1">INDIRECT("b"&amp;F4538+2)</f>
        <v>0</v>
      </c>
      <c r="F4538" s="18">
        <f t="shared" si="926"/>
        <v>6446</v>
      </c>
      <c r="G4538" s="18"/>
      <c r="H4538" s="18"/>
      <c r="I4538" s="19">
        <v>4536</v>
      </c>
      <c r="J4538" s="19" cm="1">
        <f t="array" aca="1" ref="J4538" ca="1">INDIRECT("b"&amp;K4538+2)</f>
        <v>0</v>
      </c>
      <c r="K4538" s="19">
        <f t="shared" si="923"/>
        <v>7646</v>
      </c>
    </row>
    <row r="4539" spans="1:11">
      <c r="A4539">
        <v>4537</v>
      </c>
      <c r="B4539">
        <v>4.375E+135</v>
      </c>
      <c r="D4539" s="18">
        <v>4537</v>
      </c>
      <c r="E4539" s="18" cm="1">
        <f t="array" aca="1" ref="E4539" ca="1">INDIRECT("b"&amp;F4539+2)</f>
        <v>0</v>
      </c>
      <c r="F4539" s="18">
        <f t="shared" si="926"/>
        <v>6448</v>
      </c>
      <c r="G4539" s="18" t="e">
        <f t="shared" ref="G4539" ca="1" si="935">E4539/E4534</f>
        <v>#DIV/0!</v>
      </c>
      <c r="H4539" s="18"/>
      <c r="I4539" s="19">
        <v>4537</v>
      </c>
      <c r="J4539" s="19" cm="1">
        <f t="array" aca="1" ref="J4539" ca="1">INDIRECT("b"&amp;K4539+2)</f>
        <v>0</v>
      </c>
      <c r="K4539" s="19">
        <f t="shared" si="923"/>
        <v>7648</v>
      </c>
    </row>
    <row r="4540" spans="1:11">
      <c r="A4540">
        <v>4538</v>
      </c>
      <c r="B4540">
        <v>4.5999999999999996E+135</v>
      </c>
      <c r="D4540" s="18">
        <v>4538</v>
      </c>
      <c r="E4540" s="18" cm="1">
        <f t="array" aca="1" ref="E4540" ca="1">INDIRECT("b"&amp;F4540+2)</f>
        <v>0</v>
      </c>
      <c r="F4540" s="18">
        <f t="shared" si="926"/>
        <v>6449</v>
      </c>
      <c r="G4540" s="18"/>
      <c r="H4540" s="18"/>
      <c r="I4540" s="19">
        <v>4538</v>
      </c>
      <c r="J4540" s="19" cm="1">
        <f t="array" aca="1" ref="J4540" ca="1">INDIRECT("b"&amp;K4540+2)</f>
        <v>0</v>
      </c>
      <c r="K4540" s="19">
        <f t="shared" si="923"/>
        <v>7649</v>
      </c>
    </row>
    <row r="4541" spans="1:11">
      <c r="A4541">
        <v>4539</v>
      </c>
      <c r="B4541">
        <v>4.8249999999999998E+135</v>
      </c>
      <c r="D4541" s="18">
        <v>4539</v>
      </c>
      <c r="E4541" s="18" cm="1">
        <f t="array" aca="1" ref="E4541" ca="1">INDIRECT("b"&amp;F4541+2)</f>
        <v>0</v>
      </c>
      <c r="F4541" s="18">
        <f t="shared" si="926"/>
        <v>6450</v>
      </c>
      <c r="G4541" s="18"/>
      <c r="H4541" s="18"/>
      <c r="I4541" s="19">
        <v>4539</v>
      </c>
      <c r="J4541" s="19" cm="1">
        <f t="array" aca="1" ref="J4541" ca="1">INDIRECT("b"&amp;K4541+2)</f>
        <v>0</v>
      </c>
      <c r="K4541" s="19">
        <f t="shared" si="923"/>
        <v>7650</v>
      </c>
    </row>
    <row r="4542" spans="1:11">
      <c r="A4542">
        <v>4540</v>
      </c>
      <c r="B4542">
        <v>5.0500000000000001E+135</v>
      </c>
      <c r="D4542" s="18">
        <v>4540</v>
      </c>
      <c r="E4542" s="18" cm="1">
        <f t="array" aca="1" ref="E4542" ca="1">INDIRECT("b"&amp;F4542+2)</f>
        <v>0</v>
      </c>
      <c r="F4542" s="18">
        <f t="shared" si="926"/>
        <v>6452</v>
      </c>
      <c r="G4542" s="18"/>
      <c r="H4542" s="18"/>
      <c r="I4542" s="19">
        <v>4540</v>
      </c>
      <c r="J4542" s="19" cm="1">
        <f t="array" aca="1" ref="J4542" ca="1">INDIRECT("b"&amp;K4542+2)</f>
        <v>0</v>
      </c>
      <c r="K4542" s="19">
        <f t="shared" si="923"/>
        <v>7652</v>
      </c>
    </row>
    <row r="4543" spans="1:11">
      <c r="A4543">
        <v>4541</v>
      </c>
      <c r="B4543">
        <v>5.2749999999999996E+135</v>
      </c>
      <c r="D4543" s="18">
        <v>4541</v>
      </c>
      <c r="E4543" s="18" cm="1">
        <f t="array" aca="1" ref="E4543" ca="1">INDIRECT("b"&amp;F4543+2)</f>
        <v>0</v>
      </c>
      <c r="F4543" s="18">
        <f t="shared" si="926"/>
        <v>6453</v>
      </c>
      <c r="G4543" s="18"/>
      <c r="H4543" s="18"/>
      <c r="I4543" s="19">
        <v>4541</v>
      </c>
      <c r="J4543" s="19" cm="1">
        <f t="array" aca="1" ref="J4543" ca="1">INDIRECT("b"&amp;K4543+2)</f>
        <v>0</v>
      </c>
      <c r="K4543" s="19">
        <f t="shared" si="923"/>
        <v>7653</v>
      </c>
    </row>
    <row r="4544" spans="1:11">
      <c r="A4544">
        <v>4542</v>
      </c>
      <c r="B4544">
        <v>5.4999999999999999E+135</v>
      </c>
      <c r="D4544" s="18">
        <v>4542</v>
      </c>
      <c r="E4544" s="18" cm="1">
        <f t="array" aca="1" ref="E4544" ca="1">INDIRECT("b"&amp;F4544+2)</f>
        <v>0</v>
      </c>
      <c r="F4544" s="18">
        <f t="shared" si="926"/>
        <v>6454</v>
      </c>
      <c r="G4544" s="18" t="e">
        <f t="shared" ref="G4544" ca="1" si="936">E4544/E4539</f>
        <v>#DIV/0!</v>
      </c>
      <c r="H4544" s="18"/>
      <c r="I4544" s="19">
        <v>4542</v>
      </c>
      <c r="J4544" s="19" cm="1">
        <f t="array" aca="1" ref="J4544" ca="1">INDIRECT("b"&amp;K4544+2)</f>
        <v>0</v>
      </c>
      <c r="K4544" s="19">
        <f t="shared" si="923"/>
        <v>7654</v>
      </c>
    </row>
    <row r="4545" spans="1:11">
      <c r="A4545">
        <v>4543</v>
      </c>
      <c r="B4545">
        <v>5.7249999999999995E+135</v>
      </c>
      <c r="D4545" s="18">
        <v>4543</v>
      </c>
      <c r="E4545" s="18" cm="1">
        <f t="array" aca="1" ref="E4545" ca="1">INDIRECT("b"&amp;F4545+2)</f>
        <v>0</v>
      </c>
      <c r="F4545" s="18">
        <f t="shared" si="926"/>
        <v>6456</v>
      </c>
      <c r="G4545" s="18"/>
      <c r="H4545" s="18"/>
      <c r="I4545" s="19">
        <v>4543</v>
      </c>
      <c r="J4545" s="19" cm="1">
        <f t="array" aca="1" ref="J4545" ca="1">INDIRECT("b"&amp;K4545+2)</f>
        <v>0</v>
      </c>
      <c r="K4545" s="19">
        <f t="shared" si="923"/>
        <v>7656</v>
      </c>
    </row>
    <row r="4546" spans="1:11">
      <c r="A4546">
        <v>4544</v>
      </c>
      <c r="B4546">
        <v>5.9500000000000003E+135</v>
      </c>
      <c r="D4546" s="18">
        <v>4544</v>
      </c>
      <c r="E4546" s="18" cm="1">
        <f t="array" aca="1" ref="E4546" ca="1">INDIRECT("b"&amp;F4546+2)</f>
        <v>0</v>
      </c>
      <c r="F4546" s="18">
        <f t="shared" si="926"/>
        <v>6457</v>
      </c>
      <c r="G4546" s="18"/>
      <c r="H4546" s="18"/>
      <c r="I4546" s="19">
        <v>4544</v>
      </c>
      <c r="J4546" s="19" cm="1">
        <f t="array" aca="1" ref="J4546" ca="1">INDIRECT("b"&amp;K4546+2)</f>
        <v>0</v>
      </c>
      <c r="K4546" s="19">
        <f t="shared" si="923"/>
        <v>7657</v>
      </c>
    </row>
    <row r="4547" spans="1:11">
      <c r="A4547">
        <v>4545</v>
      </c>
      <c r="B4547">
        <v>6.1749999999999999E+135</v>
      </c>
      <c r="D4547" s="18">
        <v>4545</v>
      </c>
      <c r="E4547" s="18" cm="1">
        <f t="array" aca="1" ref="E4547" ca="1">INDIRECT("b"&amp;F4547+2)</f>
        <v>0</v>
      </c>
      <c r="F4547" s="18">
        <f t="shared" si="926"/>
        <v>6458</v>
      </c>
      <c r="G4547" s="18"/>
      <c r="H4547" s="18"/>
      <c r="I4547" s="19">
        <v>4545</v>
      </c>
      <c r="J4547" s="19" cm="1">
        <f t="array" aca="1" ref="J4547" ca="1">INDIRECT("b"&amp;K4547+2)</f>
        <v>0</v>
      </c>
      <c r="K4547" s="19">
        <f t="shared" si="923"/>
        <v>7658</v>
      </c>
    </row>
    <row r="4548" spans="1:11">
      <c r="A4548">
        <v>4546</v>
      </c>
      <c r="B4548">
        <v>6.3999999999999995E+135</v>
      </c>
      <c r="D4548" s="18">
        <v>4546</v>
      </c>
      <c r="E4548" s="18" cm="1">
        <f t="array" aca="1" ref="E4548" ca="1">INDIRECT("b"&amp;F4548+2)</f>
        <v>0</v>
      </c>
      <c r="F4548" s="18">
        <f t="shared" si="926"/>
        <v>6460</v>
      </c>
      <c r="G4548" s="18"/>
      <c r="H4548" s="18"/>
      <c r="I4548" s="19">
        <v>4546</v>
      </c>
      <c r="J4548" s="19" cm="1">
        <f t="array" aca="1" ref="J4548" ca="1">INDIRECT("b"&amp;K4548+2)</f>
        <v>0</v>
      </c>
      <c r="K4548" s="19">
        <f t="shared" ref="K4548:K4611" si="937">INT((A4548-1)*40/30+900*40/30)+400</f>
        <v>7660</v>
      </c>
    </row>
    <row r="4549" spans="1:11">
      <c r="A4549">
        <v>4547</v>
      </c>
      <c r="B4549">
        <v>6.6249999999999991E+135</v>
      </c>
      <c r="D4549" s="18">
        <v>4547</v>
      </c>
      <c r="E4549" s="18" cm="1">
        <f t="array" aca="1" ref="E4549" ca="1">INDIRECT("b"&amp;F4549+2)</f>
        <v>0</v>
      </c>
      <c r="F4549" s="18">
        <f t="shared" si="926"/>
        <v>6461</v>
      </c>
      <c r="G4549" s="18" t="e">
        <f t="shared" ref="G4549" ca="1" si="938">E4549/E4544</f>
        <v>#DIV/0!</v>
      </c>
      <c r="H4549" s="18"/>
      <c r="I4549" s="19">
        <v>4547</v>
      </c>
      <c r="J4549" s="19" cm="1">
        <f t="array" aca="1" ref="J4549" ca="1">INDIRECT("b"&amp;K4549+2)</f>
        <v>0</v>
      </c>
      <c r="K4549" s="19">
        <f t="shared" si="937"/>
        <v>7661</v>
      </c>
    </row>
    <row r="4550" spans="1:11">
      <c r="A4550">
        <v>4548</v>
      </c>
      <c r="B4550">
        <v>6.85E+135</v>
      </c>
      <c r="D4550" s="18">
        <v>4548</v>
      </c>
      <c r="E4550" s="18" cm="1">
        <f t="array" aca="1" ref="E4550" ca="1">INDIRECT("b"&amp;F4550+2)</f>
        <v>0</v>
      </c>
      <c r="F4550" s="18">
        <f t="shared" si="926"/>
        <v>6462</v>
      </c>
      <c r="G4550" s="18"/>
      <c r="H4550" s="18"/>
      <c r="I4550" s="19">
        <v>4548</v>
      </c>
      <c r="J4550" s="19" cm="1">
        <f t="array" aca="1" ref="J4550" ca="1">INDIRECT("b"&amp;K4550+2)</f>
        <v>0</v>
      </c>
      <c r="K4550" s="19">
        <f t="shared" si="937"/>
        <v>7662</v>
      </c>
    </row>
    <row r="4551" spans="1:11">
      <c r="A4551">
        <v>4549</v>
      </c>
      <c r="B4551">
        <v>7.0749999999999995E+135</v>
      </c>
      <c r="D4551" s="18">
        <v>4549</v>
      </c>
      <c r="E4551" s="18" cm="1">
        <f t="array" aca="1" ref="E4551" ca="1">INDIRECT("b"&amp;F4551+2)</f>
        <v>0</v>
      </c>
      <c r="F4551" s="18">
        <f t="shared" si="926"/>
        <v>6464</v>
      </c>
      <c r="G4551" s="18"/>
      <c r="H4551" s="18"/>
      <c r="I4551" s="19">
        <v>4549</v>
      </c>
      <c r="J4551" s="19" cm="1">
        <f t="array" aca="1" ref="J4551" ca="1">INDIRECT("b"&amp;K4551+2)</f>
        <v>0</v>
      </c>
      <c r="K4551" s="19">
        <f t="shared" si="937"/>
        <v>7664</v>
      </c>
    </row>
    <row r="4552" spans="1:11">
      <c r="A4552">
        <v>4550</v>
      </c>
      <c r="B4552">
        <v>7.2999999999999991E+135</v>
      </c>
      <c r="D4552" s="18">
        <v>4550</v>
      </c>
      <c r="E4552" s="18" cm="1">
        <f t="array" aca="1" ref="E4552" ca="1">INDIRECT("b"&amp;F4552+2)</f>
        <v>0</v>
      </c>
      <c r="F4552" s="18">
        <f t="shared" si="926"/>
        <v>6465</v>
      </c>
      <c r="G4552" s="18"/>
      <c r="H4552" s="18"/>
      <c r="I4552" s="19">
        <v>4550</v>
      </c>
      <c r="J4552" s="19" cm="1">
        <f t="array" aca="1" ref="J4552" ca="1">INDIRECT("b"&amp;K4552+2)</f>
        <v>0</v>
      </c>
      <c r="K4552" s="19">
        <f t="shared" si="937"/>
        <v>7665</v>
      </c>
    </row>
    <row r="4553" spans="1:11">
      <c r="A4553">
        <v>4551</v>
      </c>
      <c r="B4553">
        <v>7.525E+135</v>
      </c>
      <c r="D4553" s="18">
        <v>4551</v>
      </c>
      <c r="E4553" s="18" cm="1">
        <f t="array" aca="1" ref="E4553" ca="1">INDIRECT("b"&amp;F4553+2)</f>
        <v>0</v>
      </c>
      <c r="F4553" s="18">
        <f t="shared" si="926"/>
        <v>6466</v>
      </c>
      <c r="G4553" s="18"/>
      <c r="H4553" s="18"/>
      <c r="I4553" s="19">
        <v>4551</v>
      </c>
      <c r="J4553" s="19" cm="1">
        <f t="array" aca="1" ref="J4553" ca="1">INDIRECT("b"&amp;K4553+2)</f>
        <v>0</v>
      </c>
      <c r="K4553" s="19">
        <f t="shared" si="937"/>
        <v>7666</v>
      </c>
    </row>
    <row r="4554" spans="1:11">
      <c r="A4554">
        <v>4552</v>
      </c>
      <c r="B4554">
        <v>7.7499999999999996E+135</v>
      </c>
      <c r="D4554" s="18">
        <v>4552</v>
      </c>
      <c r="E4554" s="18" cm="1">
        <f t="array" aca="1" ref="E4554" ca="1">INDIRECT("b"&amp;F4554+2)</f>
        <v>0</v>
      </c>
      <c r="F4554" s="18">
        <f t="shared" si="926"/>
        <v>6468</v>
      </c>
      <c r="G4554" s="18" t="e">
        <f t="shared" ref="G4554" ca="1" si="939">E4554/E4549</f>
        <v>#DIV/0!</v>
      </c>
      <c r="H4554" s="18"/>
      <c r="I4554" s="19">
        <v>4552</v>
      </c>
      <c r="J4554" s="19" cm="1">
        <f t="array" aca="1" ref="J4554" ca="1">INDIRECT("b"&amp;K4554+2)</f>
        <v>0</v>
      </c>
      <c r="K4554" s="19">
        <f t="shared" si="937"/>
        <v>7668</v>
      </c>
    </row>
    <row r="4555" spans="1:11">
      <c r="A4555">
        <v>4553</v>
      </c>
      <c r="B4555">
        <v>7.9749999999999992E+135</v>
      </c>
      <c r="D4555" s="18">
        <v>4553</v>
      </c>
      <c r="E4555" s="18" cm="1">
        <f t="array" aca="1" ref="E4555" ca="1">INDIRECT("b"&amp;F4555+2)</f>
        <v>0</v>
      </c>
      <c r="F4555" s="18">
        <f t="shared" si="926"/>
        <v>6469</v>
      </c>
      <c r="G4555" s="18"/>
      <c r="H4555" s="18"/>
      <c r="I4555" s="19">
        <v>4553</v>
      </c>
      <c r="J4555" s="19" cm="1">
        <f t="array" aca="1" ref="J4555" ca="1">INDIRECT("b"&amp;K4555+2)</f>
        <v>0</v>
      </c>
      <c r="K4555" s="19">
        <f t="shared" si="937"/>
        <v>7669</v>
      </c>
    </row>
    <row r="4556" spans="1:11">
      <c r="A4556">
        <v>4554</v>
      </c>
      <c r="B4556">
        <v>8.2E+135</v>
      </c>
      <c r="D4556" s="18">
        <v>4554</v>
      </c>
      <c r="E4556" s="18" cm="1">
        <f t="array" aca="1" ref="E4556" ca="1">INDIRECT("b"&amp;F4556+2)</f>
        <v>0</v>
      </c>
      <c r="F4556" s="18">
        <f t="shared" si="926"/>
        <v>6470</v>
      </c>
      <c r="G4556" s="18"/>
      <c r="H4556" s="18"/>
      <c r="I4556" s="19">
        <v>4554</v>
      </c>
      <c r="J4556" s="19" cm="1">
        <f t="array" aca="1" ref="J4556" ca="1">INDIRECT("b"&amp;K4556+2)</f>
        <v>0</v>
      </c>
      <c r="K4556" s="19">
        <f t="shared" si="937"/>
        <v>7670</v>
      </c>
    </row>
    <row r="4557" spans="1:11">
      <c r="A4557">
        <v>4555</v>
      </c>
      <c r="B4557">
        <v>8.4249999999999996E+135</v>
      </c>
      <c r="D4557" s="18">
        <v>4555</v>
      </c>
      <c r="E4557" s="18" cm="1">
        <f t="array" aca="1" ref="E4557" ca="1">INDIRECT("b"&amp;F4557+2)</f>
        <v>0</v>
      </c>
      <c r="F4557" s="18">
        <f t="shared" si="926"/>
        <v>6472</v>
      </c>
      <c r="G4557" s="18"/>
      <c r="H4557" s="18"/>
      <c r="I4557" s="19">
        <v>4555</v>
      </c>
      <c r="J4557" s="19" cm="1">
        <f t="array" aca="1" ref="J4557" ca="1">INDIRECT("b"&amp;K4557+2)</f>
        <v>0</v>
      </c>
      <c r="K4557" s="19">
        <f t="shared" si="937"/>
        <v>7672</v>
      </c>
    </row>
    <row r="4558" spans="1:11">
      <c r="A4558">
        <v>4556</v>
      </c>
      <c r="B4558">
        <v>8.6499999999999992E+135</v>
      </c>
      <c r="D4558" s="18">
        <v>4556</v>
      </c>
      <c r="E4558" s="18" cm="1">
        <f t="array" aca="1" ref="E4558" ca="1">INDIRECT("b"&amp;F4558+2)</f>
        <v>0</v>
      </c>
      <c r="F4558" s="18">
        <f t="shared" si="926"/>
        <v>6473</v>
      </c>
      <c r="G4558" s="18"/>
      <c r="H4558" s="18"/>
      <c r="I4558" s="19">
        <v>4556</v>
      </c>
      <c r="J4558" s="19" cm="1">
        <f t="array" aca="1" ref="J4558" ca="1">INDIRECT("b"&amp;K4558+2)</f>
        <v>0</v>
      </c>
      <c r="K4558" s="19">
        <f t="shared" si="937"/>
        <v>7673</v>
      </c>
    </row>
    <row r="4559" spans="1:11">
      <c r="A4559">
        <v>4557</v>
      </c>
      <c r="B4559">
        <v>8.8750000000000001E+135</v>
      </c>
      <c r="D4559" s="18">
        <v>4557</v>
      </c>
      <c r="E4559" s="18" cm="1">
        <f t="array" aca="1" ref="E4559" ca="1">INDIRECT("b"&amp;F4559+2)</f>
        <v>0</v>
      </c>
      <c r="F4559" s="18">
        <f t="shared" si="926"/>
        <v>6474</v>
      </c>
      <c r="G4559" s="18" t="e">
        <f t="shared" ref="G4559" ca="1" si="940">E4559/E4554</f>
        <v>#DIV/0!</v>
      </c>
      <c r="H4559" s="18"/>
      <c r="I4559" s="19">
        <v>4557</v>
      </c>
      <c r="J4559" s="19" cm="1">
        <f t="array" aca="1" ref="J4559" ca="1">INDIRECT("b"&amp;K4559+2)</f>
        <v>0</v>
      </c>
      <c r="K4559" s="19">
        <f t="shared" si="937"/>
        <v>7674</v>
      </c>
    </row>
    <row r="4560" spans="1:11">
      <c r="A4560">
        <v>4558</v>
      </c>
      <c r="B4560">
        <v>9.0999999999999997E+135</v>
      </c>
      <c r="D4560" s="18">
        <v>4558</v>
      </c>
      <c r="E4560" s="18" cm="1">
        <f t="array" aca="1" ref="E4560" ca="1">INDIRECT("b"&amp;F4560+2)</f>
        <v>0</v>
      </c>
      <c r="F4560" s="18">
        <f t="shared" si="926"/>
        <v>6476</v>
      </c>
      <c r="G4560" s="18"/>
      <c r="H4560" s="18"/>
      <c r="I4560" s="19">
        <v>4558</v>
      </c>
      <c r="J4560" s="19" cm="1">
        <f t="array" aca="1" ref="J4560" ca="1">INDIRECT("b"&amp;K4560+2)</f>
        <v>0</v>
      </c>
      <c r="K4560" s="19">
        <f t="shared" si="937"/>
        <v>7676</v>
      </c>
    </row>
    <row r="4561" spans="1:11">
      <c r="A4561">
        <v>4559</v>
      </c>
      <c r="B4561">
        <v>9.3249999999999993E+135</v>
      </c>
      <c r="D4561" s="18">
        <v>4559</v>
      </c>
      <c r="E4561" s="18" cm="1">
        <f t="array" aca="1" ref="E4561" ca="1">INDIRECT("b"&amp;F4561+2)</f>
        <v>0</v>
      </c>
      <c r="F4561" s="18">
        <f t="shared" si="926"/>
        <v>6477</v>
      </c>
      <c r="G4561" s="18"/>
      <c r="H4561" s="18"/>
      <c r="I4561" s="19">
        <v>4559</v>
      </c>
      <c r="J4561" s="19" cm="1">
        <f t="array" aca="1" ref="J4561" ca="1">INDIRECT("b"&amp;K4561+2)</f>
        <v>0</v>
      </c>
      <c r="K4561" s="19">
        <f t="shared" si="937"/>
        <v>7677</v>
      </c>
    </row>
    <row r="4562" spans="1:11">
      <c r="A4562">
        <v>4560</v>
      </c>
      <c r="B4562">
        <v>9.5500000000000001E+135</v>
      </c>
      <c r="D4562" s="18">
        <v>4560</v>
      </c>
      <c r="E4562" s="18" cm="1">
        <f t="array" aca="1" ref="E4562" ca="1">INDIRECT("b"&amp;F4562+2)</f>
        <v>0</v>
      </c>
      <c r="F4562" s="18">
        <f t="shared" si="926"/>
        <v>6478</v>
      </c>
      <c r="G4562" s="18"/>
      <c r="H4562" s="18"/>
      <c r="I4562" s="19">
        <v>4560</v>
      </c>
      <c r="J4562" s="19" cm="1">
        <f t="array" aca="1" ref="J4562" ca="1">INDIRECT("b"&amp;K4562+2)</f>
        <v>0</v>
      </c>
      <c r="K4562" s="19">
        <f t="shared" si="937"/>
        <v>7678</v>
      </c>
    </row>
    <row r="4563" spans="1:11">
      <c r="A4563">
        <v>4561</v>
      </c>
      <c r="B4563">
        <v>9.7749999999999997E+135</v>
      </c>
      <c r="D4563" s="18">
        <v>4561</v>
      </c>
      <c r="E4563" s="18" cm="1">
        <f t="array" aca="1" ref="E4563" ca="1">INDIRECT("b"&amp;F4563+2)</f>
        <v>0</v>
      </c>
      <c r="F4563" s="18">
        <f t="shared" ref="F4563:F4626" si="941">INT((A4563-123)*1.333333)+563</f>
        <v>6480</v>
      </c>
      <c r="G4563" s="18"/>
      <c r="H4563" s="18"/>
      <c r="I4563" s="19">
        <v>4561</v>
      </c>
      <c r="J4563" s="19" cm="1">
        <f t="array" aca="1" ref="J4563" ca="1">INDIRECT("b"&amp;K4563+2)</f>
        <v>0</v>
      </c>
      <c r="K4563" s="19">
        <f t="shared" si="937"/>
        <v>7680</v>
      </c>
    </row>
    <row r="4564" spans="1:11">
      <c r="A4564">
        <v>4562</v>
      </c>
      <c r="B4564">
        <v>1.0000000000000001E+136</v>
      </c>
      <c r="D4564" s="18">
        <v>4562</v>
      </c>
      <c r="E4564" s="18" cm="1">
        <f t="array" aca="1" ref="E4564" ca="1">INDIRECT("b"&amp;F4564+2)</f>
        <v>0</v>
      </c>
      <c r="F4564" s="18">
        <f t="shared" si="941"/>
        <v>6481</v>
      </c>
      <c r="G4564" s="18" t="e">
        <f t="shared" ref="G4564" ca="1" si="942">E4564/E4559</f>
        <v>#DIV/0!</v>
      </c>
      <c r="H4564" s="18"/>
      <c r="I4564" s="19">
        <v>4562</v>
      </c>
      <c r="J4564" s="19" cm="1">
        <f t="array" aca="1" ref="J4564" ca="1">INDIRECT("b"&amp;K4564+2)</f>
        <v>0</v>
      </c>
      <c r="K4564" s="19">
        <f t="shared" si="937"/>
        <v>7681</v>
      </c>
    </row>
    <row r="4565" spans="1:11">
      <c r="A4565">
        <v>4563</v>
      </c>
      <c r="B4565">
        <v>1.225E+136</v>
      </c>
      <c r="D4565" s="18">
        <v>4563</v>
      </c>
      <c r="E4565" s="18" cm="1">
        <f t="array" aca="1" ref="E4565" ca="1">INDIRECT("b"&amp;F4565+2)</f>
        <v>0</v>
      </c>
      <c r="F4565" s="18">
        <f t="shared" si="941"/>
        <v>6482</v>
      </c>
      <c r="G4565" s="18"/>
      <c r="H4565" s="18"/>
      <c r="I4565" s="19">
        <v>4563</v>
      </c>
      <c r="J4565" s="19" cm="1">
        <f t="array" aca="1" ref="J4565" ca="1">INDIRECT("b"&amp;K4565+2)</f>
        <v>0</v>
      </c>
      <c r="K4565" s="19">
        <f t="shared" si="937"/>
        <v>7682</v>
      </c>
    </row>
    <row r="4566" spans="1:11">
      <c r="A4566">
        <v>4564</v>
      </c>
      <c r="B4566">
        <v>1.4500000000000001E+136</v>
      </c>
      <c r="D4566" s="18">
        <v>4564</v>
      </c>
      <c r="E4566" s="18" cm="1">
        <f t="array" aca="1" ref="E4566" ca="1">INDIRECT("b"&amp;F4566+2)</f>
        <v>0</v>
      </c>
      <c r="F4566" s="18">
        <f t="shared" si="941"/>
        <v>6484</v>
      </c>
      <c r="G4566" s="18"/>
      <c r="H4566" s="18"/>
      <c r="I4566" s="19">
        <v>4564</v>
      </c>
      <c r="J4566" s="19" cm="1">
        <f t="array" aca="1" ref="J4566" ca="1">INDIRECT("b"&amp;K4566+2)</f>
        <v>0</v>
      </c>
      <c r="K4566" s="19">
        <f t="shared" si="937"/>
        <v>7684</v>
      </c>
    </row>
    <row r="4567" spans="1:11">
      <c r="A4567">
        <v>4565</v>
      </c>
      <c r="B4567">
        <v>1.6750000000000002E+136</v>
      </c>
      <c r="D4567" s="18">
        <v>4565</v>
      </c>
      <c r="E4567" s="18" cm="1">
        <f t="array" aca="1" ref="E4567" ca="1">INDIRECT("b"&amp;F4567+2)</f>
        <v>0</v>
      </c>
      <c r="F4567" s="18">
        <f t="shared" si="941"/>
        <v>6485</v>
      </c>
      <c r="G4567" s="18"/>
      <c r="H4567" s="18"/>
      <c r="I4567" s="19">
        <v>4565</v>
      </c>
      <c r="J4567" s="19" cm="1">
        <f t="array" aca="1" ref="J4567" ca="1">INDIRECT("b"&amp;K4567+2)</f>
        <v>0</v>
      </c>
      <c r="K4567" s="19">
        <f t="shared" si="937"/>
        <v>7685</v>
      </c>
    </row>
    <row r="4568" spans="1:11">
      <c r="A4568">
        <v>4566</v>
      </c>
      <c r="B4568">
        <v>1.9000000000000001E+136</v>
      </c>
      <c r="D4568" s="18">
        <v>4566</v>
      </c>
      <c r="E4568" s="18" cm="1">
        <f t="array" aca="1" ref="E4568" ca="1">INDIRECT("b"&amp;F4568+2)</f>
        <v>0</v>
      </c>
      <c r="F4568" s="18">
        <f t="shared" si="941"/>
        <v>6486</v>
      </c>
      <c r="G4568" s="18"/>
      <c r="H4568" s="18"/>
      <c r="I4568" s="19">
        <v>4566</v>
      </c>
      <c r="J4568" s="19" cm="1">
        <f t="array" aca="1" ref="J4568" ca="1">INDIRECT("b"&amp;K4568+2)</f>
        <v>0</v>
      </c>
      <c r="K4568" s="19">
        <f t="shared" si="937"/>
        <v>7686</v>
      </c>
    </row>
    <row r="4569" spans="1:11">
      <c r="A4569">
        <v>4567</v>
      </c>
      <c r="B4569">
        <v>2.1250000000000002E+136</v>
      </c>
      <c r="D4569" s="18">
        <v>4567</v>
      </c>
      <c r="E4569" s="18" cm="1">
        <f t="array" aca="1" ref="E4569" ca="1">INDIRECT("b"&amp;F4569+2)</f>
        <v>0</v>
      </c>
      <c r="F4569" s="18">
        <f t="shared" si="941"/>
        <v>6488</v>
      </c>
      <c r="G4569" s="18" t="e">
        <f t="shared" ref="G4569" ca="1" si="943">E4569/E4564</f>
        <v>#DIV/0!</v>
      </c>
      <c r="H4569" s="18"/>
      <c r="I4569" s="19">
        <v>4567</v>
      </c>
      <c r="J4569" s="19" cm="1">
        <f t="array" aca="1" ref="J4569" ca="1">INDIRECT("b"&amp;K4569+2)</f>
        <v>0</v>
      </c>
      <c r="K4569" s="19">
        <f t="shared" si="937"/>
        <v>7688</v>
      </c>
    </row>
    <row r="4570" spans="1:11">
      <c r="A4570">
        <v>4568</v>
      </c>
      <c r="B4570">
        <v>2.35E+136</v>
      </c>
      <c r="D4570" s="18">
        <v>4568</v>
      </c>
      <c r="E4570" s="18" cm="1">
        <f t="array" aca="1" ref="E4570" ca="1">INDIRECT("b"&amp;F4570+2)</f>
        <v>0</v>
      </c>
      <c r="F4570" s="18">
        <f t="shared" si="941"/>
        <v>6489</v>
      </c>
      <c r="G4570" s="18"/>
      <c r="H4570" s="18"/>
      <c r="I4570" s="19">
        <v>4568</v>
      </c>
      <c r="J4570" s="19" cm="1">
        <f t="array" aca="1" ref="J4570" ca="1">INDIRECT("b"&amp;K4570+2)</f>
        <v>0</v>
      </c>
      <c r="K4570" s="19">
        <f t="shared" si="937"/>
        <v>7689</v>
      </c>
    </row>
    <row r="4571" spans="1:11">
      <c r="A4571">
        <v>4569</v>
      </c>
      <c r="B4571">
        <v>2.5750000000000004E+136</v>
      </c>
      <c r="D4571" s="18">
        <v>4569</v>
      </c>
      <c r="E4571" s="18" cm="1">
        <f t="array" aca="1" ref="E4571" ca="1">INDIRECT("b"&amp;F4571+2)</f>
        <v>0</v>
      </c>
      <c r="F4571" s="18">
        <f t="shared" si="941"/>
        <v>6490</v>
      </c>
      <c r="G4571" s="18"/>
      <c r="H4571" s="18"/>
      <c r="I4571" s="19">
        <v>4569</v>
      </c>
      <c r="J4571" s="19" cm="1">
        <f t="array" aca="1" ref="J4571" ca="1">INDIRECT("b"&amp;K4571+2)</f>
        <v>0</v>
      </c>
      <c r="K4571" s="19">
        <f t="shared" si="937"/>
        <v>7690</v>
      </c>
    </row>
    <row r="4572" spans="1:11">
      <c r="A4572">
        <v>4570</v>
      </c>
      <c r="B4572">
        <v>2.8000000000000002E+136</v>
      </c>
      <c r="D4572" s="18">
        <v>4570</v>
      </c>
      <c r="E4572" s="18" cm="1">
        <f t="array" aca="1" ref="E4572" ca="1">INDIRECT("b"&amp;F4572+2)</f>
        <v>0</v>
      </c>
      <c r="F4572" s="18">
        <f t="shared" si="941"/>
        <v>6492</v>
      </c>
      <c r="G4572" s="18"/>
      <c r="H4572" s="18"/>
      <c r="I4572" s="19">
        <v>4570</v>
      </c>
      <c r="J4572" s="19" cm="1">
        <f t="array" aca="1" ref="J4572" ca="1">INDIRECT("b"&amp;K4572+2)</f>
        <v>0</v>
      </c>
      <c r="K4572" s="19">
        <f t="shared" si="937"/>
        <v>7692</v>
      </c>
    </row>
    <row r="4573" spans="1:11">
      <c r="A4573">
        <v>4571</v>
      </c>
      <c r="B4573">
        <v>3.0250000000000001E+136</v>
      </c>
      <c r="D4573" s="18">
        <v>4571</v>
      </c>
      <c r="E4573" s="18" cm="1">
        <f t="array" aca="1" ref="E4573" ca="1">INDIRECT("b"&amp;F4573+2)</f>
        <v>0</v>
      </c>
      <c r="F4573" s="18">
        <f t="shared" si="941"/>
        <v>6493</v>
      </c>
      <c r="G4573" s="18"/>
      <c r="H4573" s="18"/>
      <c r="I4573" s="19">
        <v>4571</v>
      </c>
      <c r="J4573" s="19" cm="1">
        <f t="array" aca="1" ref="J4573" ca="1">INDIRECT("b"&amp;K4573+2)</f>
        <v>0</v>
      </c>
      <c r="K4573" s="19">
        <f t="shared" si="937"/>
        <v>7693</v>
      </c>
    </row>
    <row r="4574" spans="1:11">
      <c r="A4574">
        <v>4572</v>
      </c>
      <c r="B4574">
        <v>3.2500000000000004E+136</v>
      </c>
      <c r="D4574" s="18">
        <v>4572</v>
      </c>
      <c r="E4574" s="18" cm="1">
        <f t="array" aca="1" ref="E4574" ca="1">INDIRECT("b"&amp;F4574+2)</f>
        <v>0</v>
      </c>
      <c r="F4574" s="18">
        <f t="shared" si="941"/>
        <v>6494</v>
      </c>
      <c r="G4574" s="18" t="e">
        <f t="shared" ref="G4574" ca="1" si="944">E4574/E4569</f>
        <v>#DIV/0!</v>
      </c>
      <c r="H4574" s="18"/>
      <c r="I4574" s="19">
        <v>4572</v>
      </c>
      <c r="J4574" s="19" cm="1">
        <f t="array" aca="1" ref="J4574" ca="1">INDIRECT("b"&amp;K4574+2)</f>
        <v>0</v>
      </c>
      <c r="K4574" s="19">
        <f t="shared" si="937"/>
        <v>7694</v>
      </c>
    </row>
    <row r="4575" spans="1:11">
      <c r="A4575">
        <v>4573</v>
      </c>
      <c r="B4575">
        <v>3.4750000000000003E+136</v>
      </c>
      <c r="D4575" s="18">
        <v>4573</v>
      </c>
      <c r="E4575" s="18" cm="1">
        <f t="array" aca="1" ref="E4575" ca="1">INDIRECT("b"&amp;F4575+2)</f>
        <v>0</v>
      </c>
      <c r="F4575" s="18">
        <f t="shared" si="941"/>
        <v>6496</v>
      </c>
      <c r="G4575" s="18"/>
      <c r="H4575" s="18"/>
      <c r="I4575" s="19">
        <v>4573</v>
      </c>
      <c r="J4575" s="19" cm="1">
        <f t="array" aca="1" ref="J4575" ca="1">INDIRECT("b"&amp;K4575+2)</f>
        <v>0</v>
      </c>
      <c r="K4575" s="19">
        <f t="shared" si="937"/>
        <v>7696</v>
      </c>
    </row>
    <row r="4576" spans="1:11">
      <c r="A4576">
        <v>4574</v>
      </c>
      <c r="B4576">
        <v>3.7000000000000001E+136</v>
      </c>
      <c r="D4576" s="18">
        <v>4574</v>
      </c>
      <c r="E4576" s="18" cm="1">
        <f t="array" aca="1" ref="E4576" ca="1">INDIRECT("b"&amp;F4576+2)</f>
        <v>0</v>
      </c>
      <c r="F4576" s="18">
        <f t="shared" si="941"/>
        <v>6497</v>
      </c>
      <c r="G4576" s="18" t="e">
        <f t="shared" ref="G4576" ca="1" si="945">E4576/E4571</f>
        <v>#DIV/0!</v>
      </c>
      <c r="H4576" s="18"/>
      <c r="I4576" s="19">
        <v>4574</v>
      </c>
      <c r="J4576" s="19" cm="1">
        <f t="array" aca="1" ref="J4576" ca="1">INDIRECT("b"&amp;K4576+2)</f>
        <v>0</v>
      </c>
      <c r="K4576" s="19">
        <f t="shared" si="937"/>
        <v>7697</v>
      </c>
    </row>
    <row r="4577" spans="1:11">
      <c r="A4577">
        <v>4575</v>
      </c>
      <c r="B4577">
        <v>3.9250000000000005E+136</v>
      </c>
      <c r="D4577" s="18">
        <v>4575</v>
      </c>
      <c r="E4577" s="18" cm="1">
        <f t="array" aca="1" ref="E4577" ca="1">INDIRECT("b"&amp;F4577+2)</f>
        <v>0</v>
      </c>
      <c r="F4577" s="18">
        <f t="shared" si="941"/>
        <v>6498</v>
      </c>
      <c r="G4577" s="18"/>
      <c r="H4577" s="18"/>
      <c r="I4577" s="19">
        <v>4575</v>
      </c>
      <c r="J4577" s="19" cm="1">
        <f t="array" aca="1" ref="J4577" ca="1">INDIRECT("b"&amp;K4577+2)</f>
        <v>0</v>
      </c>
      <c r="K4577" s="19">
        <f t="shared" si="937"/>
        <v>7698</v>
      </c>
    </row>
    <row r="4578" spans="1:11">
      <c r="A4578">
        <v>4576</v>
      </c>
      <c r="B4578">
        <v>4.1500000000000003E+136</v>
      </c>
      <c r="D4578" s="18">
        <v>4576</v>
      </c>
      <c r="E4578" s="18" cm="1">
        <f t="array" aca="1" ref="E4578" ca="1">INDIRECT("b"&amp;F4578+2)</f>
        <v>0</v>
      </c>
      <c r="F4578" s="18">
        <f t="shared" si="941"/>
        <v>6500</v>
      </c>
      <c r="G4578" s="18"/>
      <c r="H4578" s="18"/>
      <c r="I4578" s="19">
        <v>4576</v>
      </c>
      <c r="J4578" s="19" cm="1">
        <f t="array" aca="1" ref="J4578" ca="1">INDIRECT("b"&amp;K4578+2)</f>
        <v>0</v>
      </c>
      <c r="K4578" s="19">
        <f t="shared" si="937"/>
        <v>7700</v>
      </c>
    </row>
    <row r="4579" spans="1:11">
      <c r="A4579">
        <v>4577</v>
      </c>
      <c r="B4579">
        <v>4.3750000000000001E+136</v>
      </c>
      <c r="D4579" s="18">
        <v>4577</v>
      </c>
      <c r="E4579" s="18" cm="1">
        <f t="array" aca="1" ref="E4579" ca="1">INDIRECT("b"&amp;F4579+2)</f>
        <v>0</v>
      </c>
      <c r="F4579" s="18">
        <f t="shared" si="941"/>
        <v>6501</v>
      </c>
      <c r="G4579" s="18"/>
      <c r="H4579" s="18"/>
      <c r="I4579" s="19">
        <v>4577</v>
      </c>
      <c r="J4579" s="19" cm="1">
        <f t="array" aca="1" ref="J4579" ca="1">INDIRECT("b"&amp;K4579+2)</f>
        <v>0</v>
      </c>
      <c r="K4579" s="19">
        <f t="shared" si="937"/>
        <v>7701</v>
      </c>
    </row>
    <row r="4580" spans="1:11">
      <c r="A4580">
        <v>4578</v>
      </c>
      <c r="B4580">
        <v>4.6000000000000005E+136</v>
      </c>
      <c r="D4580" s="18">
        <v>4578</v>
      </c>
      <c r="E4580" s="18" cm="1">
        <f t="array" aca="1" ref="E4580" ca="1">INDIRECT("b"&amp;F4580+2)</f>
        <v>0</v>
      </c>
      <c r="F4580" s="18">
        <f t="shared" si="941"/>
        <v>6502</v>
      </c>
      <c r="G4580" s="18"/>
      <c r="H4580" s="18"/>
      <c r="I4580" s="19">
        <v>4578</v>
      </c>
      <c r="J4580" s="19" cm="1">
        <f t="array" aca="1" ref="J4580" ca="1">INDIRECT("b"&amp;K4580+2)</f>
        <v>0</v>
      </c>
      <c r="K4580" s="19">
        <f t="shared" si="937"/>
        <v>7702</v>
      </c>
    </row>
    <row r="4581" spans="1:11">
      <c r="A4581">
        <v>4579</v>
      </c>
      <c r="B4581">
        <v>4.8250000000000009E+136</v>
      </c>
      <c r="D4581" s="18">
        <v>4579</v>
      </c>
      <c r="E4581" s="18" cm="1">
        <f t="array" aca="1" ref="E4581" ca="1">INDIRECT("b"&amp;F4581+2)</f>
        <v>0</v>
      </c>
      <c r="F4581" s="18">
        <f t="shared" si="941"/>
        <v>6504</v>
      </c>
      <c r="G4581" s="18" t="e">
        <f t="shared" ref="G4581" ca="1" si="946">E4581/E4576</f>
        <v>#DIV/0!</v>
      </c>
      <c r="H4581" s="18"/>
      <c r="I4581" s="19">
        <v>4579</v>
      </c>
      <c r="J4581" s="19" cm="1">
        <f t="array" aca="1" ref="J4581" ca="1">INDIRECT("b"&amp;K4581+2)</f>
        <v>0</v>
      </c>
      <c r="K4581" s="19">
        <f t="shared" si="937"/>
        <v>7704</v>
      </c>
    </row>
    <row r="4582" spans="1:11">
      <c r="A4582">
        <v>4580</v>
      </c>
      <c r="B4582">
        <v>5.0500000000000007E+136</v>
      </c>
      <c r="D4582" s="18">
        <v>4580</v>
      </c>
      <c r="E4582" s="18" cm="1">
        <f t="array" aca="1" ref="E4582" ca="1">INDIRECT("b"&amp;F4582+2)</f>
        <v>0</v>
      </c>
      <c r="F4582" s="18">
        <f t="shared" si="941"/>
        <v>6505</v>
      </c>
      <c r="G4582" s="18"/>
      <c r="H4582" s="18"/>
      <c r="I4582" s="19">
        <v>4580</v>
      </c>
      <c r="J4582" s="19" cm="1">
        <f t="array" aca="1" ref="J4582" ca="1">INDIRECT("b"&amp;K4582+2)</f>
        <v>0</v>
      </c>
      <c r="K4582" s="19">
        <f t="shared" si="937"/>
        <v>7705</v>
      </c>
    </row>
    <row r="4583" spans="1:11">
      <c r="A4583">
        <v>4581</v>
      </c>
      <c r="B4583">
        <v>5.2750000000000005E+136</v>
      </c>
      <c r="D4583" s="18">
        <v>4581</v>
      </c>
      <c r="E4583" s="18" cm="1">
        <f t="array" aca="1" ref="E4583" ca="1">INDIRECT("b"&amp;F4583+2)</f>
        <v>0</v>
      </c>
      <c r="F4583" s="18">
        <f t="shared" si="941"/>
        <v>6506</v>
      </c>
      <c r="G4583" s="18"/>
      <c r="H4583" s="18"/>
      <c r="I4583" s="19">
        <v>4581</v>
      </c>
      <c r="J4583" s="19" cm="1">
        <f t="array" aca="1" ref="J4583" ca="1">INDIRECT("b"&amp;K4583+2)</f>
        <v>0</v>
      </c>
      <c r="K4583" s="19">
        <f t="shared" si="937"/>
        <v>7706</v>
      </c>
    </row>
    <row r="4584" spans="1:11">
      <c r="A4584">
        <v>4582</v>
      </c>
      <c r="B4584">
        <v>5.5000000000000004E+136</v>
      </c>
      <c r="D4584" s="18">
        <v>4582</v>
      </c>
      <c r="E4584" s="18" cm="1">
        <f t="array" aca="1" ref="E4584" ca="1">INDIRECT("b"&amp;F4584+2)</f>
        <v>0</v>
      </c>
      <c r="F4584" s="18">
        <f t="shared" si="941"/>
        <v>6508</v>
      </c>
      <c r="G4584" s="18"/>
      <c r="H4584" s="18"/>
      <c r="I4584" s="19">
        <v>4582</v>
      </c>
      <c r="J4584" s="19" cm="1">
        <f t="array" aca="1" ref="J4584" ca="1">INDIRECT("b"&amp;K4584+2)</f>
        <v>0</v>
      </c>
      <c r="K4584" s="19">
        <f t="shared" si="937"/>
        <v>7708</v>
      </c>
    </row>
    <row r="4585" spans="1:11">
      <c r="A4585">
        <v>4583</v>
      </c>
      <c r="B4585">
        <v>5.7250000000000002E+136</v>
      </c>
      <c r="D4585" s="18">
        <v>4583</v>
      </c>
      <c r="E4585" s="18" cm="1">
        <f t="array" aca="1" ref="E4585" ca="1">INDIRECT("b"&amp;F4585+2)</f>
        <v>0</v>
      </c>
      <c r="F4585" s="18">
        <f t="shared" si="941"/>
        <v>6509</v>
      </c>
      <c r="G4585" s="18"/>
      <c r="H4585" s="18"/>
      <c r="I4585" s="19">
        <v>4583</v>
      </c>
      <c r="J4585" s="19" cm="1">
        <f t="array" aca="1" ref="J4585" ca="1">INDIRECT("b"&amp;K4585+2)</f>
        <v>0</v>
      </c>
      <c r="K4585" s="19">
        <f t="shared" si="937"/>
        <v>7709</v>
      </c>
    </row>
    <row r="4586" spans="1:11">
      <c r="A4586">
        <v>4584</v>
      </c>
      <c r="B4586">
        <v>5.9500000000000001E+136</v>
      </c>
      <c r="D4586" s="18">
        <v>4584</v>
      </c>
      <c r="E4586" s="18" cm="1">
        <f t="array" aca="1" ref="E4586" ca="1">INDIRECT("b"&amp;F4586+2)</f>
        <v>0</v>
      </c>
      <c r="F4586" s="18">
        <f t="shared" si="941"/>
        <v>6510</v>
      </c>
      <c r="G4586" s="18" t="e">
        <f t="shared" ref="G4586" ca="1" si="947">E4586/E4581</f>
        <v>#DIV/0!</v>
      </c>
      <c r="H4586" s="18"/>
      <c r="I4586" s="19">
        <v>4584</v>
      </c>
      <c r="J4586" s="19" cm="1">
        <f t="array" aca="1" ref="J4586" ca="1">INDIRECT("b"&amp;K4586+2)</f>
        <v>0</v>
      </c>
      <c r="K4586" s="19">
        <f t="shared" si="937"/>
        <v>7710</v>
      </c>
    </row>
    <row r="4587" spans="1:11">
      <c r="A4587">
        <v>4585</v>
      </c>
      <c r="B4587">
        <v>6.1750000000000009E+136</v>
      </c>
      <c r="D4587" s="18">
        <v>4585</v>
      </c>
      <c r="E4587" s="18" cm="1">
        <f t="array" aca="1" ref="E4587" ca="1">INDIRECT("b"&amp;F4587+2)</f>
        <v>0</v>
      </c>
      <c r="F4587" s="18">
        <f t="shared" si="941"/>
        <v>6512</v>
      </c>
      <c r="G4587" s="18"/>
      <c r="H4587" s="18"/>
      <c r="I4587" s="19">
        <v>4585</v>
      </c>
      <c r="J4587" s="19" cm="1">
        <f t="array" aca="1" ref="J4587" ca="1">INDIRECT("b"&amp;K4587+2)</f>
        <v>0</v>
      </c>
      <c r="K4587" s="19">
        <f t="shared" si="937"/>
        <v>7712</v>
      </c>
    </row>
    <row r="4588" spans="1:11">
      <c r="A4588">
        <v>4586</v>
      </c>
      <c r="B4588">
        <v>6.4000000000000008E+136</v>
      </c>
      <c r="D4588" s="18">
        <v>4586</v>
      </c>
      <c r="E4588" s="18" cm="1">
        <f t="array" aca="1" ref="E4588" ca="1">INDIRECT("b"&amp;F4588+2)</f>
        <v>0</v>
      </c>
      <c r="F4588" s="18">
        <f t="shared" si="941"/>
        <v>6513</v>
      </c>
      <c r="G4588" s="18"/>
      <c r="H4588" s="18"/>
      <c r="I4588" s="19">
        <v>4586</v>
      </c>
      <c r="J4588" s="19" cm="1">
        <f t="array" aca="1" ref="J4588" ca="1">INDIRECT("b"&amp;K4588+2)</f>
        <v>0</v>
      </c>
      <c r="K4588" s="19">
        <f t="shared" si="937"/>
        <v>7713</v>
      </c>
    </row>
    <row r="4589" spans="1:11">
      <c r="A4589">
        <v>4587</v>
      </c>
      <c r="B4589">
        <v>6.6250000000000006E+136</v>
      </c>
      <c r="D4589" s="18">
        <v>4587</v>
      </c>
      <c r="E4589" s="18" cm="1">
        <f t="array" aca="1" ref="E4589" ca="1">INDIRECT("b"&amp;F4589+2)</f>
        <v>0</v>
      </c>
      <c r="F4589" s="18">
        <f t="shared" si="941"/>
        <v>6514</v>
      </c>
      <c r="G4589" s="18"/>
      <c r="H4589" s="18"/>
      <c r="I4589" s="19">
        <v>4587</v>
      </c>
      <c r="J4589" s="19" cm="1">
        <f t="array" aca="1" ref="J4589" ca="1">INDIRECT("b"&amp;K4589+2)</f>
        <v>0</v>
      </c>
      <c r="K4589" s="19">
        <f t="shared" si="937"/>
        <v>7714</v>
      </c>
    </row>
    <row r="4590" spans="1:11">
      <c r="A4590">
        <v>4588</v>
      </c>
      <c r="B4590">
        <v>6.8500000000000005E+136</v>
      </c>
      <c r="D4590" s="18">
        <v>4588</v>
      </c>
      <c r="E4590" s="18" cm="1">
        <f t="array" aca="1" ref="E4590" ca="1">INDIRECT("b"&amp;F4590+2)</f>
        <v>0</v>
      </c>
      <c r="F4590" s="18">
        <f t="shared" si="941"/>
        <v>6516</v>
      </c>
      <c r="G4590" s="18"/>
      <c r="H4590" s="18"/>
      <c r="I4590" s="19">
        <v>4588</v>
      </c>
      <c r="J4590" s="19" cm="1">
        <f t="array" aca="1" ref="J4590" ca="1">INDIRECT("b"&amp;K4590+2)</f>
        <v>0</v>
      </c>
      <c r="K4590" s="19">
        <f t="shared" si="937"/>
        <v>7716</v>
      </c>
    </row>
    <row r="4591" spans="1:11">
      <c r="A4591">
        <v>4589</v>
      </c>
      <c r="B4591">
        <v>7.0750000000000003E+136</v>
      </c>
      <c r="D4591" s="18">
        <v>4589</v>
      </c>
      <c r="E4591" s="18" cm="1">
        <f t="array" aca="1" ref="E4591" ca="1">INDIRECT("b"&amp;F4591+2)</f>
        <v>0</v>
      </c>
      <c r="F4591" s="18">
        <f t="shared" si="941"/>
        <v>6517</v>
      </c>
      <c r="G4591" s="18" t="e">
        <f t="shared" ref="G4591" ca="1" si="948">E4591/E4586</f>
        <v>#DIV/0!</v>
      </c>
      <c r="H4591" s="18"/>
      <c r="I4591" s="19">
        <v>4589</v>
      </c>
      <c r="J4591" s="19" cm="1">
        <f t="array" aca="1" ref="J4591" ca="1">INDIRECT("b"&amp;K4591+2)</f>
        <v>0</v>
      </c>
      <c r="K4591" s="19">
        <f t="shared" si="937"/>
        <v>7717</v>
      </c>
    </row>
    <row r="4592" spans="1:11">
      <c r="A4592">
        <v>4590</v>
      </c>
      <c r="B4592">
        <v>7.3000000000000002E+136</v>
      </c>
      <c r="D4592" s="18">
        <v>4590</v>
      </c>
      <c r="E4592" s="18" cm="1">
        <f t="array" aca="1" ref="E4592" ca="1">INDIRECT("b"&amp;F4592+2)</f>
        <v>0</v>
      </c>
      <c r="F4592" s="18">
        <f t="shared" si="941"/>
        <v>6518</v>
      </c>
      <c r="G4592" s="18"/>
      <c r="H4592" s="18"/>
      <c r="I4592" s="19">
        <v>4590</v>
      </c>
      <c r="J4592" s="19" cm="1">
        <f t="array" aca="1" ref="J4592" ca="1">INDIRECT("b"&amp;K4592+2)</f>
        <v>0</v>
      </c>
      <c r="K4592" s="19">
        <f t="shared" si="937"/>
        <v>7718</v>
      </c>
    </row>
    <row r="4593" spans="1:11">
      <c r="A4593">
        <v>4591</v>
      </c>
      <c r="B4593">
        <v>7.525000000000001E+136</v>
      </c>
      <c r="D4593" s="18">
        <v>4591</v>
      </c>
      <c r="E4593" s="18" cm="1">
        <f t="array" aca="1" ref="E4593" ca="1">INDIRECT("b"&amp;F4593+2)</f>
        <v>0</v>
      </c>
      <c r="F4593" s="18">
        <f t="shared" si="941"/>
        <v>6520</v>
      </c>
      <c r="G4593" s="18"/>
      <c r="H4593" s="18"/>
      <c r="I4593" s="19">
        <v>4591</v>
      </c>
      <c r="J4593" s="19" cm="1">
        <f t="array" aca="1" ref="J4593" ca="1">INDIRECT("b"&amp;K4593+2)</f>
        <v>0</v>
      </c>
      <c r="K4593" s="19">
        <f t="shared" si="937"/>
        <v>7720</v>
      </c>
    </row>
    <row r="4594" spans="1:11">
      <c r="A4594">
        <v>4592</v>
      </c>
      <c r="B4594">
        <v>7.7500000000000009E+136</v>
      </c>
      <c r="D4594" s="18">
        <v>4592</v>
      </c>
      <c r="E4594" s="18" cm="1">
        <f t="array" aca="1" ref="E4594" ca="1">INDIRECT("b"&amp;F4594+2)</f>
        <v>0</v>
      </c>
      <c r="F4594" s="18">
        <f t="shared" si="941"/>
        <v>6521</v>
      </c>
      <c r="G4594" s="18"/>
      <c r="H4594" s="18"/>
      <c r="I4594" s="19">
        <v>4592</v>
      </c>
      <c r="J4594" s="19" cm="1">
        <f t="array" aca="1" ref="J4594" ca="1">INDIRECT("b"&amp;K4594+2)</f>
        <v>0</v>
      </c>
      <c r="K4594" s="19">
        <f t="shared" si="937"/>
        <v>7721</v>
      </c>
    </row>
    <row r="4595" spans="1:11">
      <c r="A4595">
        <v>4593</v>
      </c>
      <c r="B4595">
        <v>7.9750000000000007E+136</v>
      </c>
      <c r="D4595" s="18">
        <v>4593</v>
      </c>
      <c r="E4595" s="18" cm="1">
        <f t="array" aca="1" ref="E4595" ca="1">INDIRECT("b"&amp;F4595+2)</f>
        <v>0</v>
      </c>
      <c r="F4595" s="18">
        <f t="shared" si="941"/>
        <v>6522</v>
      </c>
      <c r="G4595" s="18"/>
      <c r="H4595" s="18"/>
      <c r="I4595" s="19">
        <v>4593</v>
      </c>
      <c r="J4595" s="19" cm="1">
        <f t="array" aca="1" ref="J4595" ca="1">INDIRECT("b"&amp;K4595+2)</f>
        <v>0</v>
      </c>
      <c r="K4595" s="19">
        <f t="shared" si="937"/>
        <v>7722</v>
      </c>
    </row>
    <row r="4596" spans="1:11">
      <c r="A4596">
        <v>4594</v>
      </c>
      <c r="B4596">
        <v>8.2000000000000006E+136</v>
      </c>
      <c r="D4596" s="18">
        <v>4594</v>
      </c>
      <c r="E4596" s="18" cm="1">
        <f t="array" aca="1" ref="E4596" ca="1">INDIRECT("b"&amp;F4596+2)</f>
        <v>0</v>
      </c>
      <c r="F4596" s="18">
        <f t="shared" si="941"/>
        <v>6524</v>
      </c>
      <c r="G4596" s="18" t="e">
        <f t="shared" ref="G4596" ca="1" si="949">E4596/E4591</f>
        <v>#DIV/0!</v>
      </c>
      <c r="H4596" s="18"/>
      <c r="I4596" s="19">
        <v>4594</v>
      </c>
      <c r="J4596" s="19" cm="1">
        <f t="array" aca="1" ref="J4596" ca="1">INDIRECT("b"&amp;K4596+2)</f>
        <v>0</v>
      </c>
      <c r="K4596" s="19">
        <f t="shared" si="937"/>
        <v>7724</v>
      </c>
    </row>
    <row r="4597" spans="1:11">
      <c r="A4597">
        <v>4595</v>
      </c>
      <c r="B4597">
        <v>8.4250000000000004E+136</v>
      </c>
      <c r="D4597" s="18">
        <v>4595</v>
      </c>
      <c r="E4597" s="18" cm="1">
        <f t="array" aca="1" ref="E4597" ca="1">INDIRECT("b"&amp;F4597+2)</f>
        <v>0</v>
      </c>
      <c r="F4597" s="18">
        <f t="shared" si="941"/>
        <v>6525</v>
      </c>
      <c r="G4597" s="18"/>
      <c r="H4597" s="18"/>
      <c r="I4597" s="19">
        <v>4595</v>
      </c>
      <c r="J4597" s="19" cm="1">
        <f t="array" aca="1" ref="J4597" ca="1">INDIRECT("b"&amp;K4597+2)</f>
        <v>0</v>
      </c>
      <c r="K4597" s="19">
        <f t="shared" si="937"/>
        <v>7725</v>
      </c>
    </row>
    <row r="4598" spans="1:11">
      <c r="A4598">
        <v>4596</v>
      </c>
      <c r="B4598">
        <v>8.6500000000000002E+136</v>
      </c>
      <c r="D4598" s="18">
        <v>4596</v>
      </c>
      <c r="E4598" s="18" cm="1">
        <f t="array" aca="1" ref="E4598" ca="1">INDIRECT("b"&amp;F4598+2)</f>
        <v>0</v>
      </c>
      <c r="F4598" s="18">
        <f t="shared" si="941"/>
        <v>6526</v>
      </c>
      <c r="G4598" s="18"/>
      <c r="H4598" s="18"/>
      <c r="I4598" s="19">
        <v>4596</v>
      </c>
      <c r="J4598" s="19" cm="1">
        <f t="array" aca="1" ref="J4598" ca="1">INDIRECT("b"&amp;K4598+2)</f>
        <v>0</v>
      </c>
      <c r="K4598" s="19">
        <f t="shared" si="937"/>
        <v>7726</v>
      </c>
    </row>
    <row r="4599" spans="1:11">
      <c r="A4599">
        <v>4597</v>
      </c>
      <c r="B4599">
        <v>8.8750000000000011E+136</v>
      </c>
      <c r="D4599" s="18">
        <v>4597</v>
      </c>
      <c r="E4599" s="18" cm="1">
        <f t="array" aca="1" ref="E4599" ca="1">INDIRECT("b"&amp;F4599+2)</f>
        <v>0</v>
      </c>
      <c r="F4599" s="18">
        <f t="shared" si="941"/>
        <v>6528</v>
      </c>
      <c r="G4599" s="18"/>
      <c r="H4599" s="18"/>
      <c r="I4599" s="19">
        <v>4597</v>
      </c>
      <c r="J4599" s="19" cm="1">
        <f t="array" aca="1" ref="J4599" ca="1">INDIRECT("b"&amp;K4599+2)</f>
        <v>0</v>
      </c>
      <c r="K4599" s="19">
        <f t="shared" si="937"/>
        <v>7728</v>
      </c>
    </row>
    <row r="4600" spans="1:11">
      <c r="A4600">
        <v>4598</v>
      </c>
      <c r="B4600">
        <v>9.100000000000001E+136</v>
      </c>
      <c r="D4600" s="18">
        <v>4598</v>
      </c>
      <c r="E4600" s="18" cm="1">
        <f t="array" aca="1" ref="E4600" ca="1">INDIRECT("b"&amp;F4600+2)</f>
        <v>0</v>
      </c>
      <c r="F4600" s="18">
        <f t="shared" si="941"/>
        <v>6529</v>
      </c>
      <c r="G4600" s="18"/>
      <c r="H4600" s="18"/>
      <c r="I4600" s="19">
        <v>4598</v>
      </c>
      <c r="J4600" s="19" cm="1">
        <f t="array" aca="1" ref="J4600" ca="1">INDIRECT("b"&amp;K4600+2)</f>
        <v>0</v>
      </c>
      <c r="K4600" s="19">
        <f t="shared" si="937"/>
        <v>7729</v>
      </c>
    </row>
    <row r="4601" spans="1:11">
      <c r="A4601">
        <v>4599</v>
      </c>
      <c r="B4601">
        <v>9.3250000000000008E+136</v>
      </c>
      <c r="D4601" s="18">
        <v>4599</v>
      </c>
      <c r="E4601" s="18" cm="1">
        <f t="array" aca="1" ref="E4601" ca="1">INDIRECT("b"&amp;F4601+2)</f>
        <v>0</v>
      </c>
      <c r="F4601" s="18">
        <f t="shared" si="941"/>
        <v>6530</v>
      </c>
      <c r="G4601" s="18" t="e">
        <f t="shared" ref="G4601" ca="1" si="950">E4601/E4596</f>
        <v>#DIV/0!</v>
      </c>
      <c r="H4601" s="18"/>
      <c r="I4601" s="19">
        <v>4599</v>
      </c>
      <c r="J4601" s="19" cm="1">
        <f t="array" aca="1" ref="J4601" ca="1">INDIRECT("b"&amp;K4601+2)</f>
        <v>0</v>
      </c>
      <c r="K4601" s="19">
        <f t="shared" si="937"/>
        <v>7730</v>
      </c>
    </row>
    <row r="4602" spans="1:11">
      <c r="A4602">
        <v>4600</v>
      </c>
      <c r="B4602">
        <v>9.5500000000000006E+136</v>
      </c>
      <c r="D4602" s="18">
        <v>4600</v>
      </c>
      <c r="E4602" s="18" cm="1">
        <f t="array" aca="1" ref="E4602" ca="1">INDIRECT("b"&amp;F4602+2)</f>
        <v>0</v>
      </c>
      <c r="F4602" s="18">
        <f t="shared" si="941"/>
        <v>6532</v>
      </c>
      <c r="G4602" s="18"/>
      <c r="H4602" s="18"/>
      <c r="I4602" s="19">
        <v>4600</v>
      </c>
      <c r="J4602" s="19" cm="1">
        <f t="array" aca="1" ref="J4602" ca="1">INDIRECT("b"&amp;K4602+2)</f>
        <v>0</v>
      </c>
      <c r="K4602" s="19">
        <f t="shared" si="937"/>
        <v>7732</v>
      </c>
    </row>
    <row r="4603" spans="1:11">
      <c r="A4603">
        <v>4601</v>
      </c>
      <c r="B4603">
        <v>9.7750000000000005E+136</v>
      </c>
      <c r="D4603" s="18">
        <v>4601</v>
      </c>
      <c r="E4603" s="18" cm="1">
        <f t="array" aca="1" ref="E4603" ca="1">INDIRECT("b"&amp;F4603+2)</f>
        <v>0</v>
      </c>
      <c r="F4603" s="18">
        <f t="shared" si="941"/>
        <v>6533</v>
      </c>
      <c r="G4603" s="18"/>
      <c r="H4603" s="18"/>
      <c r="I4603" s="19">
        <v>4601</v>
      </c>
      <c r="J4603" s="19" cm="1">
        <f t="array" aca="1" ref="J4603" ca="1">INDIRECT("b"&amp;K4603+2)</f>
        <v>0</v>
      </c>
      <c r="K4603" s="19">
        <f t="shared" si="937"/>
        <v>7733</v>
      </c>
    </row>
    <row r="4604" spans="1:11">
      <c r="A4604">
        <v>4602</v>
      </c>
      <c r="B4604">
        <v>1E+137</v>
      </c>
      <c r="D4604" s="18">
        <v>4602</v>
      </c>
      <c r="E4604" s="18" cm="1">
        <f t="array" aca="1" ref="E4604" ca="1">INDIRECT("b"&amp;F4604+2)</f>
        <v>0</v>
      </c>
      <c r="F4604" s="18">
        <f t="shared" si="941"/>
        <v>6534</v>
      </c>
      <c r="G4604" s="18"/>
      <c r="H4604" s="18"/>
      <c r="I4604" s="19">
        <v>4602</v>
      </c>
      <c r="J4604" s="19" cm="1">
        <f t="array" aca="1" ref="J4604" ca="1">INDIRECT("b"&amp;K4604+2)</f>
        <v>0</v>
      </c>
      <c r="K4604" s="19">
        <f t="shared" si="937"/>
        <v>7734</v>
      </c>
    </row>
    <row r="4605" spans="1:11">
      <c r="A4605">
        <v>4603</v>
      </c>
      <c r="B4605">
        <v>1.2250000000000001E+137</v>
      </c>
      <c r="D4605" s="18">
        <v>4603</v>
      </c>
      <c r="E4605" s="18" cm="1">
        <f t="array" aca="1" ref="E4605" ca="1">INDIRECT("b"&amp;F4605+2)</f>
        <v>0</v>
      </c>
      <c r="F4605" s="18">
        <f t="shared" si="941"/>
        <v>6536</v>
      </c>
      <c r="G4605" s="18"/>
      <c r="H4605" s="18"/>
      <c r="I4605" s="19">
        <v>4603</v>
      </c>
      <c r="J4605" s="19" cm="1">
        <f t="array" aca="1" ref="J4605" ca="1">INDIRECT("b"&amp;K4605+2)</f>
        <v>0</v>
      </c>
      <c r="K4605" s="19">
        <f t="shared" si="937"/>
        <v>7736</v>
      </c>
    </row>
    <row r="4606" spans="1:11">
      <c r="A4606">
        <v>4604</v>
      </c>
      <c r="B4606">
        <v>1.4499999999999999E+137</v>
      </c>
      <c r="D4606" s="18">
        <v>4604</v>
      </c>
      <c r="E4606" s="18" cm="1">
        <f t="array" aca="1" ref="E4606" ca="1">INDIRECT("b"&amp;F4606+2)</f>
        <v>0</v>
      </c>
      <c r="F4606" s="18">
        <f t="shared" si="941"/>
        <v>6537</v>
      </c>
      <c r="G4606" s="18" t="e">
        <f t="shared" ref="G4606" ca="1" si="951">E4606/E4601</f>
        <v>#DIV/0!</v>
      </c>
      <c r="H4606" s="18"/>
      <c r="I4606" s="19">
        <v>4604</v>
      </c>
      <c r="J4606" s="19" cm="1">
        <f t="array" aca="1" ref="J4606" ca="1">INDIRECT("b"&amp;K4606+2)</f>
        <v>0</v>
      </c>
      <c r="K4606" s="19">
        <f t="shared" si="937"/>
        <v>7737</v>
      </c>
    </row>
    <row r="4607" spans="1:11">
      <c r="A4607">
        <v>4605</v>
      </c>
      <c r="B4607">
        <v>1.675E+137</v>
      </c>
      <c r="D4607" s="18">
        <v>4605</v>
      </c>
      <c r="E4607" s="18" cm="1">
        <f t="array" aca="1" ref="E4607" ca="1">INDIRECT("b"&amp;F4607+2)</f>
        <v>0</v>
      </c>
      <c r="F4607" s="18">
        <f t="shared" si="941"/>
        <v>6538</v>
      </c>
      <c r="G4607" s="18"/>
      <c r="H4607" s="18"/>
      <c r="I4607" s="19">
        <v>4605</v>
      </c>
      <c r="J4607" s="19" cm="1">
        <f t="array" aca="1" ref="J4607" ca="1">INDIRECT("b"&amp;K4607+2)</f>
        <v>0</v>
      </c>
      <c r="K4607" s="19">
        <f t="shared" si="937"/>
        <v>7738</v>
      </c>
    </row>
    <row r="4608" spans="1:11">
      <c r="A4608">
        <v>4606</v>
      </c>
      <c r="B4608">
        <v>1.8999999999999998E+137</v>
      </c>
      <c r="D4608" s="18">
        <v>4606</v>
      </c>
      <c r="E4608" s="18" cm="1">
        <f t="array" aca="1" ref="E4608" ca="1">INDIRECT("b"&amp;F4608+2)</f>
        <v>0</v>
      </c>
      <c r="F4608" s="18">
        <f t="shared" si="941"/>
        <v>6540</v>
      </c>
      <c r="G4608" s="18"/>
      <c r="H4608" s="18"/>
      <c r="I4608" s="19">
        <v>4606</v>
      </c>
      <c r="J4608" s="19" cm="1">
        <f t="array" aca="1" ref="J4608" ca="1">INDIRECT("b"&amp;K4608+2)</f>
        <v>0</v>
      </c>
      <c r="K4608" s="19">
        <f t="shared" si="937"/>
        <v>7740</v>
      </c>
    </row>
    <row r="4609" spans="1:11">
      <c r="A4609">
        <v>4607</v>
      </c>
      <c r="B4609">
        <v>2.1250000000000001E+137</v>
      </c>
      <c r="D4609" s="18">
        <v>4607</v>
      </c>
      <c r="E4609" s="18" cm="1">
        <f t="array" aca="1" ref="E4609" ca="1">INDIRECT("b"&amp;F4609+2)</f>
        <v>0</v>
      </c>
      <c r="F4609" s="18">
        <f t="shared" si="941"/>
        <v>6541</v>
      </c>
      <c r="G4609" s="18"/>
      <c r="H4609" s="18"/>
      <c r="I4609" s="19">
        <v>4607</v>
      </c>
      <c r="J4609" s="19" cm="1">
        <f t="array" aca="1" ref="J4609" ca="1">INDIRECT("b"&amp;K4609+2)</f>
        <v>0</v>
      </c>
      <c r="K4609" s="19">
        <f t="shared" si="937"/>
        <v>7741</v>
      </c>
    </row>
    <row r="4610" spans="1:11">
      <c r="A4610">
        <v>4608</v>
      </c>
      <c r="B4610">
        <v>2.3499999999999999E+137</v>
      </c>
      <c r="D4610" s="18">
        <v>4608</v>
      </c>
      <c r="E4610" s="18" cm="1">
        <f t="array" aca="1" ref="E4610" ca="1">INDIRECT("b"&amp;F4610+2)</f>
        <v>0</v>
      </c>
      <c r="F4610" s="18">
        <f t="shared" si="941"/>
        <v>6542</v>
      </c>
      <c r="G4610" s="18"/>
      <c r="H4610" s="18"/>
      <c r="I4610" s="19">
        <v>4608</v>
      </c>
      <c r="J4610" s="19" cm="1">
        <f t="array" aca="1" ref="J4610" ca="1">INDIRECT("b"&amp;K4610+2)</f>
        <v>0</v>
      </c>
      <c r="K4610" s="19">
        <f t="shared" si="937"/>
        <v>7742</v>
      </c>
    </row>
    <row r="4611" spans="1:11">
      <c r="A4611">
        <v>4609</v>
      </c>
      <c r="B4611">
        <v>2.5750000000000002E+137</v>
      </c>
      <c r="D4611" s="18">
        <v>4609</v>
      </c>
      <c r="E4611" s="18" cm="1">
        <f t="array" aca="1" ref="E4611" ca="1">INDIRECT("b"&amp;F4611+2)</f>
        <v>0</v>
      </c>
      <c r="F4611" s="18">
        <f t="shared" si="941"/>
        <v>6544</v>
      </c>
      <c r="G4611" s="18" t="e">
        <f t="shared" ref="G4611" ca="1" si="952">E4611/E4606</f>
        <v>#DIV/0!</v>
      </c>
      <c r="H4611" s="18"/>
      <c r="I4611" s="19">
        <v>4609</v>
      </c>
      <c r="J4611" s="19" cm="1">
        <f t="array" aca="1" ref="J4611" ca="1">INDIRECT("b"&amp;K4611+2)</f>
        <v>0</v>
      </c>
      <c r="K4611" s="19">
        <f t="shared" si="937"/>
        <v>7744</v>
      </c>
    </row>
    <row r="4612" spans="1:11">
      <c r="A4612">
        <v>4610</v>
      </c>
      <c r="B4612">
        <v>2.8E+137</v>
      </c>
      <c r="D4612" s="18">
        <v>4610</v>
      </c>
      <c r="E4612" s="18" cm="1">
        <f t="array" aca="1" ref="E4612" ca="1">INDIRECT("b"&amp;F4612+2)</f>
        <v>0</v>
      </c>
      <c r="F4612" s="18">
        <f t="shared" si="941"/>
        <v>6545</v>
      </c>
      <c r="G4612" s="18"/>
      <c r="H4612" s="18"/>
      <c r="I4612" s="19">
        <v>4610</v>
      </c>
      <c r="J4612" s="19" cm="1">
        <f t="array" aca="1" ref="J4612" ca="1">INDIRECT("b"&amp;K4612+2)</f>
        <v>0</v>
      </c>
      <c r="K4612" s="19">
        <f t="shared" ref="K4612:K4675" si="953">INT((A4612-1)*40/30+900*40/30)+400</f>
        <v>7745</v>
      </c>
    </row>
    <row r="4613" spans="1:11">
      <c r="A4613">
        <v>4611</v>
      </c>
      <c r="B4613">
        <v>3.0249999999999999E+137</v>
      </c>
      <c r="D4613" s="18">
        <v>4611</v>
      </c>
      <c r="E4613" s="18" cm="1">
        <f t="array" aca="1" ref="E4613" ca="1">INDIRECT("b"&amp;F4613+2)</f>
        <v>0</v>
      </c>
      <c r="F4613" s="18">
        <f t="shared" si="941"/>
        <v>6546</v>
      </c>
      <c r="G4613" s="18"/>
      <c r="H4613" s="18"/>
      <c r="I4613" s="19">
        <v>4611</v>
      </c>
      <c r="J4613" s="19" cm="1">
        <f t="array" aca="1" ref="J4613" ca="1">INDIRECT("b"&amp;K4613+2)</f>
        <v>0</v>
      </c>
      <c r="K4613" s="19">
        <f t="shared" si="953"/>
        <v>7746</v>
      </c>
    </row>
    <row r="4614" spans="1:11">
      <c r="A4614">
        <v>4612</v>
      </c>
      <c r="B4614">
        <v>3.2500000000000001E+137</v>
      </c>
      <c r="D4614" s="18">
        <v>4612</v>
      </c>
      <c r="E4614" s="18" cm="1">
        <f t="array" aca="1" ref="E4614" ca="1">INDIRECT("b"&amp;F4614+2)</f>
        <v>0</v>
      </c>
      <c r="F4614" s="18">
        <f t="shared" si="941"/>
        <v>6548</v>
      </c>
      <c r="G4614" s="18"/>
      <c r="H4614" s="18"/>
      <c r="I4614" s="19">
        <v>4612</v>
      </c>
      <c r="J4614" s="19" cm="1">
        <f t="array" aca="1" ref="J4614" ca="1">INDIRECT("b"&amp;K4614+2)</f>
        <v>0</v>
      </c>
      <c r="K4614" s="19">
        <f t="shared" si="953"/>
        <v>7748</v>
      </c>
    </row>
    <row r="4615" spans="1:11">
      <c r="A4615">
        <v>4613</v>
      </c>
      <c r="B4615">
        <v>3.4749999999999999E+137</v>
      </c>
      <c r="D4615" s="18">
        <v>4613</v>
      </c>
      <c r="E4615" s="18" cm="1">
        <f t="array" aca="1" ref="E4615" ca="1">INDIRECT("b"&amp;F4615+2)</f>
        <v>0</v>
      </c>
      <c r="F4615" s="18">
        <f t="shared" si="941"/>
        <v>6549</v>
      </c>
      <c r="G4615" s="18"/>
      <c r="H4615" s="18"/>
      <c r="I4615" s="19">
        <v>4613</v>
      </c>
      <c r="J4615" s="19" cm="1">
        <f t="array" aca="1" ref="J4615" ca="1">INDIRECT("b"&amp;K4615+2)</f>
        <v>0</v>
      </c>
      <c r="K4615" s="19">
        <f t="shared" si="953"/>
        <v>7749</v>
      </c>
    </row>
    <row r="4616" spans="1:11">
      <c r="A4616">
        <v>4614</v>
      </c>
      <c r="B4616">
        <v>3.6999999999999998E+137</v>
      </c>
      <c r="D4616" s="18">
        <v>4614</v>
      </c>
      <c r="E4616" s="18" cm="1">
        <f t="array" aca="1" ref="E4616" ca="1">INDIRECT("b"&amp;F4616+2)</f>
        <v>0</v>
      </c>
      <c r="F4616" s="18">
        <f t="shared" si="941"/>
        <v>6550</v>
      </c>
      <c r="G4616" s="18" t="e">
        <f t="shared" ref="G4616" ca="1" si="954">E4616/E4611</f>
        <v>#DIV/0!</v>
      </c>
      <c r="H4616" s="18"/>
      <c r="I4616" s="19">
        <v>4614</v>
      </c>
      <c r="J4616" s="19" cm="1">
        <f t="array" aca="1" ref="J4616" ca="1">INDIRECT("b"&amp;K4616+2)</f>
        <v>0</v>
      </c>
      <c r="K4616" s="19">
        <f t="shared" si="953"/>
        <v>7750</v>
      </c>
    </row>
    <row r="4617" spans="1:11">
      <c r="A4617">
        <v>4615</v>
      </c>
      <c r="B4617">
        <v>3.925E+137</v>
      </c>
      <c r="D4617" s="18">
        <v>4615</v>
      </c>
      <c r="E4617" s="18" cm="1">
        <f t="array" aca="1" ref="E4617" ca="1">INDIRECT("b"&amp;F4617+2)</f>
        <v>0</v>
      </c>
      <c r="F4617" s="18">
        <f t="shared" si="941"/>
        <v>6552</v>
      </c>
      <c r="G4617" s="18"/>
      <c r="H4617" s="18"/>
      <c r="I4617" s="19">
        <v>4615</v>
      </c>
      <c r="J4617" s="19" cm="1">
        <f t="array" aca="1" ref="J4617" ca="1">INDIRECT("b"&amp;K4617+2)</f>
        <v>0</v>
      </c>
      <c r="K4617" s="19">
        <f t="shared" si="953"/>
        <v>7752</v>
      </c>
    </row>
    <row r="4618" spans="1:11">
      <c r="A4618">
        <v>4616</v>
      </c>
      <c r="B4618">
        <v>4.1500000000000003E+137</v>
      </c>
      <c r="D4618" s="18">
        <v>4616</v>
      </c>
      <c r="E4618" s="18" cm="1">
        <f t="array" aca="1" ref="E4618" ca="1">INDIRECT("b"&amp;F4618+2)</f>
        <v>0</v>
      </c>
      <c r="F4618" s="18">
        <f t="shared" si="941"/>
        <v>6553</v>
      </c>
      <c r="G4618" s="18"/>
      <c r="H4618" s="18"/>
      <c r="I4618" s="19">
        <v>4616</v>
      </c>
      <c r="J4618" s="19" cm="1">
        <f t="array" aca="1" ref="J4618" ca="1">INDIRECT("b"&amp;K4618+2)</f>
        <v>0</v>
      </c>
      <c r="K4618" s="19">
        <f t="shared" si="953"/>
        <v>7753</v>
      </c>
    </row>
    <row r="4619" spans="1:11">
      <c r="A4619">
        <v>4617</v>
      </c>
      <c r="B4619">
        <v>4.3749999999999997E+137</v>
      </c>
      <c r="D4619" s="18">
        <v>4617</v>
      </c>
      <c r="E4619" s="18" cm="1">
        <f t="array" aca="1" ref="E4619" ca="1">INDIRECT("b"&amp;F4619+2)</f>
        <v>0</v>
      </c>
      <c r="F4619" s="18">
        <f t="shared" si="941"/>
        <v>6554</v>
      </c>
      <c r="G4619" s="18"/>
      <c r="H4619" s="18"/>
      <c r="I4619" s="19">
        <v>4617</v>
      </c>
      <c r="J4619" s="19" cm="1">
        <f t="array" aca="1" ref="J4619" ca="1">INDIRECT("b"&amp;K4619+2)</f>
        <v>0</v>
      </c>
      <c r="K4619" s="19">
        <f t="shared" si="953"/>
        <v>7754</v>
      </c>
    </row>
    <row r="4620" spans="1:11">
      <c r="A4620">
        <v>4618</v>
      </c>
      <c r="B4620">
        <v>4.6E+137</v>
      </c>
      <c r="D4620" s="18">
        <v>4618</v>
      </c>
      <c r="E4620" s="18" cm="1">
        <f t="array" aca="1" ref="E4620" ca="1">INDIRECT("b"&amp;F4620+2)</f>
        <v>0</v>
      </c>
      <c r="F4620" s="18">
        <f t="shared" si="941"/>
        <v>6556</v>
      </c>
      <c r="G4620" s="18"/>
      <c r="H4620" s="18"/>
      <c r="I4620" s="19">
        <v>4618</v>
      </c>
      <c r="J4620" s="19" cm="1">
        <f t="array" aca="1" ref="J4620" ca="1">INDIRECT("b"&amp;K4620+2)</f>
        <v>0</v>
      </c>
      <c r="K4620" s="19">
        <f t="shared" si="953"/>
        <v>7756</v>
      </c>
    </row>
    <row r="4621" spans="1:11">
      <c r="A4621">
        <v>4619</v>
      </c>
      <c r="B4621">
        <v>4.8250000000000002E+137</v>
      </c>
      <c r="D4621" s="18">
        <v>4619</v>
      </c>
      <c r="E4621" s="18" cm="1">
        <f t="array" aca="1" ref="E4621" ca="1">INDIRECT("b"&amp;F4621+2)</f>
        <v>0</v>
      </c>
      <c r="F4621" s="18">
        <f t="shared" si="941"/>
        <v>6557</v>
      </c>
      <c r="G4621" s="18" t="e">
        <f t="shared" ref="G4621" ca="1" si="955">E4621/E4616</f>
        <v>#DIV/0!</v>
      </c>
      <c r="H4621" s="18"/>
      <c r="I4621" s="19">
        <v>4619</v>
      </c>
      <c r="J4621" s="19" cm="1">
        <f t="array" aca="1" ref="J4621" ca="1">INDIRECT("b"&amp;K4621+2)</f>
        <v>0</v>
      </c>
      <c r="K4621" s="19">
        <f t="shared" si="953"/>
        <v>7757</v>
      </c>
    </row>
    <row r="4622" spans="1:11">
      <c r="A4622">
        <v>4620</v>
      </c>
      <c r="B4622">
        <v>5.0499999999999997E+137</v>
      </c>
      <c r="D4622" s="18">
        <v>4620</v>
      </c>
      <c r="E4622" s="18" cm="1">
        <f t="array" aca="1" ref="E4622" ca="1">INDIRECT("b"&amp;F4622+2)</f>
        <v>0</v>
      </c>
      <c r="F4622" s="18">
        <f t="shared" si="941"/>
        <v>6558</v>
      </c>
      <c r="G4622" s="18"/>
      <c r="H4622" s="18"/>
      <c r="I4622" s="19">
        <v>4620</v>
      </c>
      <c r="J4622" s="19" cm="1">
        <f t="array" aca="1" ref="J4622" ca="1">INDIRECT("b"&amp;K4622+2)</f>
        <v>0</v>
      </c>
      <c r="K4622" s="19">
        <f t="shared" si="953"/>
        <v>7758</v>
      </c>
    </row>
    <row r="4623" spans="1:11">
      <c r="A4623">
        <v>4621</v>
      </c>
      <c r="B4623">
        <v>5.2749999999999999E+137</v>
      </c>
      <c r="D4623" s="18">
        <v>4621</v>
      </c>
      <c r="E4623" s="18" cm="1">
        <f t="array" aca="1" ref="E4623" ca="1">INDIRECT("b"&amp;F4623+2)</f>
        <v>0</v>
      </c>
      <c r="F4623" s="18">
        <f t="shared" si="941"/>
        <v>6560</v>
      </c>
      <c r="G4623" s="18"/>
      <c r="H4623" s="18"/>
      <c r="I4623" s="19">
        <v>4621</v>
      </c>
      <c r="J4623" s="19" cm="1">
        <f t="array" aca="1" ref="J4623" ca="1">INDIRECT("b"&amp;K4623+2)</f>
        <v>0</v>
      </c>
      <c r="K4623" s="19">
        <f t="shared" si="953"/>
        <v>7760</v>
      </c>
    </row>
    <row r="4624" spans="1:11">
      <c r="A4624">
        <v>4622</v>
      </c>
      <c r="B4624">
        <v>5.5000000000000002E+137</v>
      </c>
      <c r="D4624" s="18">
        <v>4622</v>
      </c>
      <c r="E4624" s="18" cm="1">
        <f t="array" aca="1" ref="E4624" ca="1">INDIRECT("b"&amp;F4624+2)</f>
        <v>0</v>
      </c>
      <c r="F4624" s="18">
        <f t="shared" si="941"/>
        <v>6561</v>
      </c>
      <c r="G4624" s="18"/>
      <c r="H4624" s="18"/>
      <c r="I4624" s="19">
        <v>4622</v>
      </c>
      <c r="J4624" s="19" cm="1">
        <f t="array" aca="1" ref="J4624" ca="1">INDIRECT("b"&amp;K4624+2)</f>
        <v>0</v>
      </c>
      <c r="K4624" s="19">
        <f t="shared" si="953"/>
        <v>7761</v>
      </c>
    </row>
    <row r="4625" spans="1:11">
      <c r="A4625">
        <v>4623</v>
      </c>
      <c r="B4625">
        <v>5.7249999999999996E+137</v>
      </c>
      <c r="D4625" s="18">
        <v>4623</v>
      </c>
      <c r="E4625" s="18" cm="1">
        <f t="array" aca="1" ref="E4625" ca="1">INDIRECT("b"&amp;F4625+2)</f>
        <v>0</v>
      </c>
      <c r="F4625" s="18">
        <f t="shared" si="941"/>
        <v>6562</v>
      </c>
      <c r="G4625" s="18"/>
      <c r="H4625" s="18"/>
      <c r="I4625" s="19">
        <v>4623</v>
      </c>
      <c r="J4625" s="19" cm="1">
        <f t="array" aca="1" ref="J4625" ca="1">INDIRECT("b"&amp;K4625+2)</f>
        <v>0</v>
      </c>
      <c r="K4625" s="19">
        <f t="shared" si="953"/>
        <v>7762</v>
      </c>
    </row>
    <row r="4626" spans="1:11">
      <c r="A4626">
        <v>4624</v>
      </c>
      <c r="B4626">
        <v>5.9499999999999999E+137</v>
      </c>
      <c r="D4626" s="18">
        <v>4624</v>
      </c>
      <c r="E4626" s="18" cm="1">
        <f t="array" aca="1" ref="E4626" ca="1">INDIRECT("b"&amp;F4626+2)</f>
        <v>0</v>
      </c>
      <c r="F4626" s="18">
        <f t="shared" si="941"/>
        <v>6564</v>
      </c>
      <c r="G4626" s="18" t="e">
        <f t="shared" ref="G4626" ca="1" si="956">E4626/E4621</f>
        <v>#DIV/0!</v>
      </c>
      <c r="H4626" s="18"/>
      <c r="I4626" s="19">
        <v>4624</v>
      </c>
      <c r="J4626" s="19" cm="1">
        <f t="array" aca="1" ref="J4626" ca="1">INDIRECT("b"&amp;K4626+2)</f>
        <v>0</v>
      </c>
      <c r="K4626" s="19">
        <f t="shared" si="953"/>
        <v>7764</v>
      </c>
    </row>
    <row r="4627" spans="1:11">
      <c r="A4627">
        <v>4625</v>
      </c>
      <c r="B4627">
        <v>6.1750000000000001E+137</v>
      </c>
      <c r="D4627" s="18">
        <v>4625</v>
      </c>
      <c r="E4627" s="18" cm="1">
        <f t="array" aca="1" ref="E4627" ca="1">INDIRECT("b"&amp;F4627+2)</f>
        <v>0</v>
      </c>
      <c r="F4627" s="18">
        <f t="shared" ref="F4627:F4690" si="957">INT((A4627-123)*1.333333)+563</f>
        <v>6565</v>
      </c>
      <c r="G4627" s="18"/>
      <c r="H4627" s="18"/>
      <c r="I4627" s="19">
        <v>4625</v>
      </c>
      <c r="J4627" s="19" cm="1">
        <f t="array" aca="1" ref="J4627" ca="1">INDIRECT("b"&amp;K4627+2)</f>
        <v>0</v>
      </c>
      <c r="K4627" s="19">
        <f t="shared" si="953"/>
        <v>7765</v>
      </c>
    </row>
    <row r="4628" spans="1:11">
      <c r="A4628">
        <v>4626</v>
      </c>
      <c r="B4628">
        <v>6.4000000000000004E+137</v>
      </c>
      <c r="D4628" s="18">
        <v>4626</v>
      </c>
      <c r="E4628" s="18" cm="1">
        <f t="array" aca="1" ref="E4628" ca="1">INDIRECT("b"&amp;F4628+2)</f>
        <v>0</v>
      </c>
      <c r="F4628" s="18">
        <f t="shared" si="957"/>
        <v>6566</v>
      </c>
      <c r="G4628" s="18"/>
      <c r="H4628" s="18"/>
      <c r="I4628" s="19">
        <v>4626</v>
      </c>
      <c r="J4628" s="19" cm="1">
        <f t="array" aca="1" ref="J4628" ca="1">INDIRECT("b"&amp;K4628+2)</f>
        <v>0</v>
      </c>
      <c r="K4628" s="19">
        <f t="shared" si="953"/>
        <v>7766</v>
      </c>
    </row>
    <row r="4629" spans="1:11">
      <c r="A4629">
        <v>4627</v>
      </c>
      <c r="B4629">
        <v>6.6249999999999998E+137</v>
      </c>
      <c r="D4629" s="18">
        <v>4627</v>
      </c>
      <c r="E4629" s="18" cm="1">
        <f t="array" aca="1" ref="E4629" ca="1">INDIRECT("b"&amp;F4629+2)</f>
        <v>0</v>
      </c>
      <c r="F4629" s="18">
        <f t="shared" si="957"/>
        <v>6568</v>
      </c>
      <c r="G4629" s="18"/>
      <c r="H4629" s="18"/>
      <c r="I4629" s="19">
        <v>4627</v>
      </c>
      <c r="J4629" s="19" cm="1">
        <f t="array" aca="1" ref="J4629" ca="1">INDIRECT("b"&amp;K4629+2)</f>
        <v>0</v>
      </c>
      <c r="K4629" s="19">
        <f t="shared" si="953"/>
        <v>7768</v>
      </c>
    </row>
    <row r="4630" spans="1:11">
      <c r="A4630">
        <v>4628</v>
      </c>
      <c r="B4630">
        <v>6.8500000000000001E+137</v>
      </c>
      <c r="D4630" s="18">
        <v>4628</v>
      </c>
      <c r="E4630" s="18" cm="1">
        <f t="array" aca="1" ref="E4630" ca="1">INDIRECT("b"&amp;F4630+2)</f>
        <v>0</v>
      </c>
      <c r="F4630" s="18">
        <f t="shared" si="957"/>
        <v>6569</v>
      </c>
      <c r="G4630" s="18"/>
      <c r="H4630" s="18"/>
      <c r="I4630" s="19">
        <v>4628</v>
      </c>
      <c r="J4630" s="19" cm="1">
        <f t="array" aca="1" ref="J4630" ca="1">INDIRECT("b"&amp;K4630+2)</f>
        <v>0</v>
      </c>
      <c r="K4630" s="19">
        <f t="shared" si="953"/>
        <v>7769</v>
      </c>
    </row>
    <row r="4631" spans="1:11">
      <c r="A4631">
        <v>4629</v>
      </c>
      <c r="B4631">
        <v>7.0750000000000003E+137</v>
      </c>
      <c r="D4631" s="18">
        <v>4629</v>
      </c>
      <c r="E4631" s="18" cm="1">
        <f t="array" aca="1" ref="E4631" ca="1">INDIRECT("b"&amp;F4631+2)</f>
        <v>0</v>
      </c>
      <c r="F4631" s="18">
        <f t="shared" si="957"/>
        <v>6570</v>
      </c>
      <c r="G4631" s="18" t="e">
        <f t="shared" ref="G4631" ca="1" si="958">E4631/E4626</f>
        <v>#DIV/0!</v>
      </c>
      <c r="H4631" s="18"/>
      <c r="I4631" s="19">
        <v>4629</v>
      </c>
      <c r="J4631" s="19" cm="1">
        <f t="array" aca="1" ref="J4631" ca="1">INDIRECT("b"&amp;K4631+2)</f>
        <v>0</v>
      </c>
      <c r="K4631" s="19">
        <f t="shared" si="953"/>
        <v>7770</v>
      </c>
    </row>
    <row r="4632" spans="1:11">
      <c r="A4632">
        <v>4630</v>
      </c>
      <c r="B4632">
        <v>7.2999999999999997E+137</v>
      </c>
      <c r="D4632" s="18">
        <v>4630</v>
      </c>
      <c r="E4632" s="18" cm="1">
        <f t="array" aca="1" ref="E4632" ca="1">INDIRECT("b"&amp;F4632+2)</f>
        <v>0</v>
      </c>
      <c r="F4632" s="18">
        <f t="shared" si="957"/>
        <v>6572</v>
      </c>
      <c r="G4632" s="18"/>
      <c r="H4632" s="18"/>
      <c r="I4632" s="19">
        <v>4630</v>
      </c>
      <c r="J4632" s="19" cm="1">
        <f t="array" aca="1" ref="J4632" ca="1">INDIRECT("b"&amp;K4632+2)</f>
        <v>0</v>
      </c>
      <c r="K4632" s="19">
        <f t="shared" si="953"/>
        <v>7772</v>
      </c>
    </row>
    <row r="4633" spans="1:11">
      <c r="A4633">
        <v>4631</v>
      </c>
      <c r="B4633">
        <v>7.525E+137</v>
      </c>
      <c r="D4633" s="18">
        <v>4631</v>
      </c>
      <c r="E4633" s="18" cm="1">
        <f t="array" aca="1" ref="E4633" ca="1">INDIRECT("b"&amp;F4633+2)</f>
        <v>0</v>
      </c>
      <c r="F4633" s="18">
        <f t="shared" si="957"/>
        <v>6573</v>
      </c>
      <c r="G4633" s="18"/>
      <c r="H4633" s="18"/>
      <c r="I4633" s="19">
        <v>4631</v>
      </c>
      <c r="J4633" s="19" cm="1">
        <f t="array" aca="1" ref="J4633" ca="1">INDIRECT("b"&amp;K4633+2)</f>
        <v>0</v>
      </c>
      <c r="K4633" s="19">
        <f t="shared" si="953"/>
        <v>7773</v>
      </c>
    </row>
    <row r="4634" spans="1:11">
      <c r="A4634">
        <v>4632</v>
      </c>
      <c r="B4634">
        <v>7.7499999999999994E+137</v>
      </c>
      <c r="D4634" s="18">
        <v>4632</v>
      </c>
      <c r="E4634" s="18" cm="1">
        <f t="array" aca="1" ref="E4634" ca="1">INDIRECT("b"&amp;F4634+2)</f>
        <v>0</v>
      </c>
      <c r="F4634" s="18">
        <f t="shared" si="957"/>
        <v>6574</v>
      </c>
      <c r="G4634" s="18"/>
      <c r="H4634" s="18"/>
      <c r="I4634" s="19">
        <v>4632</v>
      </c>
      <c r="J4634" s="19" cm="1">
        <f t="array" aca="1" ref="J4634" ca="1">INDIRECT("b"&amp;K4634+2)</f>
        <v>0</v>
      </c>
      <c r="K4634" s="19">
        <f t="shared" si="953"/>
        <v>7774</v>
      </c>
    </row>
    <row r="4635" spans="1:11">
      <c r="A4635">
        <v>4633</v>
      </c>
      <c r="B4635">
        <v>7.9750000000000005E+137</v>
      </c>
      <c r="D4635" s="18">
        <v>4633</v>
      </c>
      <c r="E4635" s="18" cm="1">
        <f t="array" aca="1" ref="E4635" ca="1">INDIRECT("b"&amp;F4635+2)</f>
        <v>0</v>
      </c>
      <c r="F4635" s="18">
        <f t="shared" si="957"/>
        <v>6576</v>
      </c>
      <c r="G4635" s="18"/>
      <c r="H4635" s="18"/>
      <c r="I4635" s="19">
        <v>4633</v>
      </c>
      <c r="J4635" s="19" cm="1">
        <f t="array" aca="1" ref="J4635" ca="1">INDIRECT("b"&amp;K4635+2)</f>
        <v>0</v>
      </c>
      <c r="K4635" s="19">
        <f t="shared" si="953"/>
        <v>7776</v>
      </c>
    </row>
    <row r="4636" spans="1:11">
      <c r="A4636">
        <v>4634</v>
      </c>
      <c r="B4636">
        <v>8.1999999999999999E+137</v>
      </c>
      <c r="D4636" s="18">
        <v>4634</v>
      </c>
      <c r="E4636" s="18" cm="1">
        <f t="array" aca="1" ref="E4636" ca="1">INDIRECT("b"&amp;F4636+2)</f>
        <v>0</v>
      </c>
      <c r="F4636" s="18">
        <f t="shared" si="957"/>
        <v>6577</v>
      </c>
      <c r="G4636" s="18" t="e">
        <f t="shared" ref="G4636" ca="1" si="959">E4636/E4631</f>
        <v>#DIV/0!</v>
      </c>
      <c r="H4636" s="18"/>
      <c r="I4636" s="19">
        <v>4634</v>
      </c>
      <c r="J4636" s="19" cm="1">
        <f t="array" aca="1" ref="J4636" ca="1">INDIRECT("b"&amp;K4636+2)</f>
        <v>0</v>
      </c>
      <c r="K4636" s="19">
        <f t="shared" si="953"/>
        <v>7777</v>
      </c>
    </row>
    <row r="4637" spans="1:11">
      <c r="A4637">
        <v>4635</v>
      </c>
      <c r="B4637">
        <v>8.4249999999999994E+137</v>
      </c>
      <c r="D4637" s="18">
        <v>4635</v>
      </c>
      <c r="E4637" s="18" cm="1">
        <f t="array" aca="1" ref="E4637" ca="1">INDIRECT("b"&amp;F4637+2)</f>
        <v>0</v>
      </c>
      <c r="F4637" s="18">
        <f t="shared" si="957"/>
        <v>6578</v>
      </c>
      <c r="G4637" s="18"/>
      <c r="H4637" s="18"/>
      <c r="I4637" s="19">
        <v>4635</v>
      </c>
      <c r="J4637" s="19" cm="1">
        <f t="array" aca="1" ref="J4637" ca="1">INDIRECT("b"&amp;K4637+2)</f>
        <v>0</v>
      </c>
      <c r="K4637" s="19">
        <f t="shared" si="953"/>
        <v>7778</v>
      </c>
    </row>
    <row r="4638" spans="1:11">
      <c r="A4638">
        <v>4636</v>
      </c>
      <c r="B4638">
        <v>8.6500000000000004E+137</v>
      </c>
      <c r="D4638" s="18">
        <v>4636</v>
      </c>
      <c r="E4638" s="18" cm="1">
        <f t="array" aca="1" ref="E4638" ca="1">INDIRECT("b"&amp;F4638+2)</f>
        <v>0</v>
      </c>
      <c r="F4638" s="18">
        <f t="shared" si="957"/>
        <v>6580</v>
      </c>
      <c r="G4638" s="18"/>
      <c r="H4638" s="18"/>
      <c r="I4638" s="19">
        <v>4636</v>
      </c>
      <c r="J4638" s="19" cm="1">
        <f t="array" aca="1" ref="J4638" ca="1">INDIRECT("b"&amp;K4638+2)</f>
        <v>0</v>
      </c>
      <c r="K4638" s="19">
        <f t="shared" si="953"/>
        <v>7780</v>
      </c>
    </row>
    <row r="4639" spans="1:11">
      <c r="A4639">
        <v>4637</v>
      </c>
      <c r="B4639">
        <v>8.8749999999999999E+137</v>
      </c>
      <c r="D4639" s="18">
        <v>4637</v>
      </c>
      <c r="E4639" s="18" cm="1">
        <f t="array" aca="1" ref="E4639" ca="1">INDIRECT("b"&amp;F4639+2)</f>
        <v>0</v>
      </c>
      <c r="F4639" s="18">
        <f t="shared" si="957"/>
        <v>6581</v>
      </c>
      <c r="G4639" s="18"/>
      <c r="H4639" s="18"/>
      <c r="I4639" s="19">
        <v>4637</v>
      </c>
      <c r="J4639" s="19" cm="1">
        <f t="array" aca="1" ref="J4639" ca="1">INDIRECT("b"&amp;K4639+2)</f>
        <v>0</v>
      </c>
      <c r="K4639" s="19">
        <f t="shared" si="953"/>
        <v>7781</v>
      </c>
    </row>
    <row r="4640" spans="1:11">
      <c r="A4640">
        <v>4638</v>
      </c>
      <c r="B4640">
        <v>9.0999999999999993E+137</v>
      </c>
      <c r="D4640" s="18">
        <v>4638</v>
      </c>
      <c r="E4640" s="18" cm="1">
        <f t="array" aca="1" ref="E4640" ca="1">INDIRECT("b"&amp;F4640+2)</f>
        <v>0</v>
      </c>
      <c r="F4640" s="18">
        <f t="shared" si="957"/>
        <v>6582</v>
      </c>
      <c r="G4640" s="18"/>
      <c r="H4640" s="18"/>
      <c r="I4640" s="19">
        <v>4638</v>
      </c>
      <c r="J4640" s="19" cm="1">
        <f t="array" aca="1" ref="J4640" ca="1">INDIRECT("b"&amp;K4640+2)</f>
        <v>0</v>
      </c>
      <c r="K4640" s="19">
        <f t="shared" si="953"/>
        <v>7782</v>
      </c>
    </row>
    <row r="4641" spans="1:11">
      <c r="A4641">
        <v>4639</v>
      </c>
      <c r="B4641">
        <v>9.3250000000000004E+137</v>
      </c>
      <c r="D4641" s="18">
        <v>4639</v>
      </c>
      <c r="E4641" s="18" cm="1">
        <f t="array" aca="1" ref="E4641" ca="1">INDIRECT("b"&amp;F4641+2)</f>
        <v>0</v>
      </c>
      <c r="F4641" s="18">
        <f t="shared" si="957"/>
        <v>6584</v>
      </c>
      <c r="G4641" s="18" t="e">
        <f t="shared" ref="G4641" ca="1" si="960">E4641/E4636</f>
        <v>#DIV/0!</v>
      </c>
      <c r="H4641" s="18"/>
      <c r="I4641" s="19">
        <v>4639</v>
      </c>
      <c r="J4641" s="19" cm="1">
        <f t="array" aca="1" ref="J4641" ca="1">INDIRECT("b"&amp;K4641+2)</f>
        <v>0</v>
      </c>
      <c r="K4641" s="19">
        <f t="shared" si="953"/>
        <v>7784</v>
      </c>
    </row>
    <row r="4642" spans="1:11">
      <c r="A4642">
        <v>4640</v>
      </c>
      <c r="B4642">
        <v>9.5499999999999998E+137</v>
      </c>
      <c r="D4642" s="18">
        <v>4640</v>
      </c>
      <c r="E4642" s="18" cm="1">
        <f t="array" aca="1" ref="E4642" ca="1">INDIRECT("b"&amp;F4642+2)</f>
        <v>0</v>
      </c>
      <c r="F4642" s="18">
        <f t="shared" si="957"/>
        <v>6585</v>
      </c>
      <c r="G4642" s="18"/>
      <c r="H4642" s="18"/>
      <c r="I4642" s="19">
        <v>4640</v>
      </c>
      <c r="J4642" s="19" cm="1">
        <f t="array" aca="1" ref="J4642" ca="1">INDIRECT("b"&amp;K4642+2)</f>
        <v>0</v>
      </c>
      <c r="K4642" s="19">
        <f t="shared" si="953"/>
        <v>7785</v>
      </c>
    </row>
    <row r="4643" spans="1:11">
      <c r="A4643">
        <v>4641</v>
      </c>
      <c r="B4643">
        <v>9.7749999999999992E+137</v>
      </c>
      <c r="D4643" s="18">
        <v>4641</v>
      </c>
      <c r="E4643" s="18" cm="1">
        <f t="array" aca="1" ref="E4643" ca="1">INDIRECT("b"&amp;F4643+2)</f>
        <v>0</v>
      </c>
      <c r="F4643" s="18">
        <f t="shared" si="957"/>
        <v>6586</v>
      </c>
      <c r="G4643" s="18"/>
      <c r="H4643" s="18"/>
      <c r="I4643" s="19">
        <v>4641</v>
      </c>
      <c r="J4643" s="19" cm="1">
        <f t="array" aca="1" ref="J4643" ca="1">INDIRECT("b"&amp;K4643+2)</f>
        <v>0</v>
      </c>
      <c r="K4643" s="19">
        <f t="shared" si="953"/>
        <v>7786</v>
      </c>
    </row>
    <row r="4644" spans="1:11">
      <c r="A4644">
        <v>4642</v>
      </c>
      <c r="B4644">
        <v>1E+138</v>
      </c>
      <c r="D4644" s="18">
        <v>4642</v>
      </c>
      <c r="E4644" s="18" cm="1">
        <f t="array" aca="1" ref="E4644" ca="1">INDIRECT("b"&amp;F4644+2)</f>
        <v>0</v>
      </c>
      <c r="F4644" s="18">
        <f t="shared" si="957"/>
        <v>6588</v>
      </c>
      <c r="G4644" s="18"/>
      <c r="H4644" s="18"/>
      <c r="I4644" s="19">
        <v>4642</v>
      </c>
      <c r="J4644" s="19" cm="1">
        <f t="array" aca="1" ref="J4644" ca="1">INDIRECT("b"&amp;K4644+2)</f>
        <v>0</v>
      </c>
      <c r="K4644" s="19">
        <f t="shared" si="953"/>
        <v>7788</v>
      </c>
    </row>
    <row r="4645" spans="1:11">
      <c r="A4645">
        <v>4643</v>
      </c>
      <c r="B4645">
        <v>1.2250000000000001E+138</v>
      </c>
      <c r="D4645" s="18">
        <v>4643</v>
      </c>
      <c r="E4645" s="18" cm="1">
        <f t="array" aca="1" ref="E4645" ca="1">INDIRECT("b"&amp;F4645+2)</f>
        <v>0</v>
      </c>
      <c r="F4645" s="18">
        <f t="shared" si="957"/>
        <v>6589</v>
      </c>
      <c r="G4645" s="18"/>
      <c r="H4645" s="18"/>
      <c r="I4645" s="19">
        <v>4643</v>
      </c>
      <c r="J4645" s="19" cm="1">
        <f t="array" aca="1" ref="J4645" ca="1">INDIRECT("b"&amp;K4645+2)</f>
        <v>0</v>
      </c>
      <c r="K4645" s="19">
        <f t="shared" si="953"/>
        <v>7789</v>
      </c>
    </row>
    <row r="4646" spans="1:11">
      <c r="A4646">
        <v>4644</v>
      </c>
      <c r="B4646">
        <v>1.45E+138</v>
      </c>
      <c r="D4646" s="18">
        <v>4644</v>
      </c>
      <c r="E4646" s="18" cm="1">
        <f t="array" aca="1" ref="E4646" ca="1">INDIRECT("b"&amp;F4646+2)</f>
        <v>0</v>
      </c>
      <c r="F4646" s="18">
        <f t="shared" si="957"/>
        <v>6590</v>
      </c>
      <c r="G4646" s="18" t="e">
        <f t="shared" ref="G4646" ca="1" si="961">E4646/E4641</f>
        <v>#DIV/0!</v>
      </c>
      <c r="H4646" s="18"/>
      <c r="I4646" s="19">
        <v>4644</v>
      </c>
      <c r="J4646" s="19" cm="1">
        <f t="array" aca="1" ref="J4646" ca="1">INDIRECT("b"&amp;K4646+2)</f>
        <v>0</v>
      </c>
      <c r="K4646" s="19">
        <f t="shared" si="953"/>
        <v>7790</v>
      </c>
    </row>
    <row r="4647" spans="1:11">
      <c r="A4647">
        <v>4645</v>
      </c>
      <c r="B4647">
        <v>1.675E+138</v>
      </c>
      <c r="D4647" s="18">
        <v>4645</v>
      </c>
      <c r="E4647" s="18" cm="1">
        <f t="array" aca="1" ref="E4647" ca="1">INDIRECT("b"&amp;F4647+2)</f>
        <v>0</v>
      </c>
      <c r="F4647" s="18">
        <f t="shared" si="957"/>
        <v>6592</v>
      </c>
      <c r="G4647" s="18"/>
      <c r="H4647" s="18"/>
      <c r="I4647" s="19">
        <v>4645</v>
      </c>
      <c r="J4647" s="19" cm="1">
        <f t="array" aca="1" ref="J4647" ca="1">INDIRECT("b"&amp;K4647+2)</f>
        <v>0</v>
      </c>
      <c r="K4647" s="19">
        <f t="shared" si="953"/>
        <v>7792</v>
      </c>
    </row>
    <row r="4648" spans="1:11">
      <c r="A4648">
        <v>4646</v>
      </c>
      <c r="B4648">
        <v>1.9000000000000001E+138</v>
      </c>
      <c r="D4648" s="18">
        <v>4646</v>
      </c>
      <c r="E4648" s="18" cm="1">
        <f t="array" aca="1" ref="E4648" ca="1">INDIRECT("b"&amp;F4648+2)</f>
        <v>0</v>
      </c>
      <c r="F4648" s="18">
        <f t="shared" si="957"/>
        <v>6593</v>
      </c>
      <c r="G4648" s="18"/>
      <c r="H4648" s="18"/>
      <c r="I4648" s="19">
        <v>4646</v>
      </c>
      <c r="J4648" s="19" cm="1">
        <f t="array" aca="1" ref="J4648" ca="1">INDIRECT("b"&amp;K4648+2)</f>
        <v>0</v>
      </c>
      <c r="K4648" s="19">
        <f t="shared" si="953"/>
        <v>7793</v>
      </c>
    </row>
    <row r="4649" spans="1:11">
      <c r="A4649">
        <v>4647</v>
      </c>
      <c r="B4649">
        <v>2.1250000000000002E+138</v>
      </c>
      <c r="D4649" s="18">
        <v>4647</v>
      </c>
      <c r="E4649" s="18" cm="1">
        <f t="array" aca="1" ref="E4649" ca="1">INDIRECT("b"&amp;F4649+2)</f>
        <v>0</v>
      </c>
      <c r="F4649" s="18">
        <f t="shared" si="957"/>
        <v>6594</v>
      </c>
      <c r="G4649" s="18"/>
      <c r="H4649" s="18"/>
      <c r="I4649" s="19">
        <v>4647</v>
      </c>
      <c r="J4649" s="19" cm="1">
        <f t="array" aca="1" ref="J4649" ca="1">INDIRECT("b"&amp;K4649+2)</f>
        <v>0</v>
      </c>
      <c r="K4649" s="19">
        <f t="shared" si="953"/>
        <v>7794</v>
      </c>
    </row>
    <row r="4650" spans="1:11">
      <c r="A4650">
        <v>4648</v>
      </c>
      <c r="B4650">
        <v>2.3500000000000002E+138</v>
      </c>
      <c r="D4650" s="18">
        <v>4648</v>
      </c>
      <c r="E4650" s="18" cm="1">
        <f t="array" aca="1" ref="E4650" ca="1">INDIRECT("b"&amp;F4650+2)</f>
        <v>0</v>
      </c>
      <c r="F4650" s="18">
        <f t="shared" si="957"/>
        <v>6596</v>
      </c>
      <c r="G4650" s="18"/>
      <c r="H4650" s="18"/>
      <c r="I4650" s="19">
        <v>4648</v>
      </c>
      <c r="J4650" s="19" cm="1">
        <f t="array" aca="1" ref="J4650" ca="1">INDIRECT("b"&amp;K4650+2)</f>
        <v>0</v>
      </c>
      <c r="K4650" s="19">
        <f t="shared" si="953"/>
        <v>7796</v>
      </c>
    </row>
    <row r="4651" spans="1:11">
      <c r="A4651">
        <v>4649</v>
      </c>
      <c r="B4651">
        <v>2.575E+138</v>
      </c>
      <c r="D4651" s="18">
        <v>4649</v>
      </c>
      <c r="E4651" s="18" cm="1">
        <f t="array" aca="1" ref="E4651" ca="1">INDIRECT("b"&amp;F4651+2)</f>
        <v>0</v>
      </c>
      <c r="F4651" s="18">
        <f t="shared" si="957"/>
        <v>6597</v>
      </c>
      <c r="G4651" s="18" t="e">
        <f t="shared" ref="G4651" ca="1" si="962">E4651/E4646</f>
        <v>#DIV/0!</v>
      </c>
      <c r="H4651" s="18"/>
      <c r="I4651" s="19">
        <v>4649</v>
      </c>
      <c r="J4651" s="19" cm="1">
        <f t="array" aca="1" ref="J4651" ca="1">INDIRECT("b"&amp;K4651+2)</f>
        <v>0</v>
      </c>
      <c r="K4651" s="19">
        <f t="shared" si="953"/>
        <v>7797</v>
      </c>
    </row>
    <row r="4652" spans="1:11">
      <c r="A4652">
        <v>4650</v>
      </c>
      <c r="B4652">
        <v>2.8000000000000001E+138</v>
      </c>
      <c r="D4652" s="18">
        <v>4650</v>
      </c>
      <c r="E4652" s="18" cm="1">
        <f t="array" aca="1" ref="E4652" ca="1">INDIRECT("b"&amp;F4652+2)</f>
        <v>0</v>
      </c>
      <c r="F4652" s="18">
        <f t="shared" si="957"/>
        <v>6598</v>
      </c>
      <c r="G4652" s="18"/>
      <c r="H4652" s="18"/>
      <c r="I4652" s="19">
        <v>4650</v>
      </c>
      <c r="J4652" s="19" cm="1">
        <f t="array" aca="1" ref="J4652" ca="1">INDIRECT("b"&amp;K4652+2)</f>
        <v>0</v>
      </c>
      <c r="K4652" s="19">
        <f t="shared" si="953"/>
        <v>7798</v>
      </c>
    </row>
    <row r="4653" spans="1:11">
      <c r="A4653">
        <v>4651</v>
      </c>
      <c r="B4653">
        <v>3.0249999999999999E+138</v>
      </c>
      <c r="D4653" s="18">
        <v>4651</v>
      </c>
      <c r="E4653" s="18" cm="1">
        <f t="array" aca="1" ref="E4653" ca="1">INDIRECT("b"&amp;F4653+2)</f>
        <v>0</v>
      </c>
      <c r="F4653" s="18">
        <f t="shared" si="957"/>
        <v>6600</v>
      </c>
      <c r="G4653" s="18"/>
      <c r="H4653" s="18"/>
      <c r="I4653" s="19">
        <v>4651</v>
      </c>
      <c r="J4653" s="19" cm="1">
        <f t="array" aca="1" ref="J4653" ca="1">INDIRECT("b"&amp;K4653+2)</f>
        <v>0</v>
      </c>
      <c r="K4653" s="19">
        <f t="shared" si="953"/>
        <v>7800</v>
      </c>
    </row>
    <row r="4654" spans="1:11">
      <c r="A4654">
        <v>4652</v>
      </c>
      <c r="B4654">
        <v>3.2500000000000003E+138</v>
      </c>
      <c r="D4654" s="18">
        <v>4652</v>
      </c>
      <c r="E4654" s="18" cm="1">
        <f t="array" aca="1" ref="E4654" ca="1">INDIRECT("b"&amp;F4654+2)</f>
        <v>0</v>
      </c>
      <c r="F4654" s="18">
        <f t="shared" si="957"/>
        <v>6601</v>
      </c>
      <c r="G4654" s="18"/>
      <c r="H4654" s="18"/>
      <c r="I4654" s="19">
        <v>4652</v>
      </c>
      <c r="J4654" s="19" cm="1">
        <f t="array" aca="1" ref="J4654" ca="1">INDIRECT("b"&amp;K4654+2)</f>
        <v>0</v>
      </c>
      <c r="K4654" s="19">
        <f t="shared" si="953"/>
        <v>7801</v>
      </c>
    </row>
    <row r="4655" spans="1:11">
      <c r="A4655">
        <v>4653</v>
      </c>
      <c r="B4655">
        <v>3.475E+138</v>
      </c>
      <c r="D4655" s="18">
        <v>4653</v>
      </c>
      <c r="E4655" s="18" cm="1">
        <f t="array" aca="1" ref="E4655" ca="1">INDIRECT("b"&amp;F4655+2)</f>
        <v>0</v>
      </c>
      <c r="F4655" s="18">
        <f t="shared" si="957"/>
        <v>6602</v>
      </c>
      <c r="G4655" s="18"/>
      <c r="H4655" s="18"/>
      <c r="I4655" s="19">
        <v>4653</v>
      </c>
      <c r="J4655" s="19" cm="1">
        <f t="array" aca="1" ref="J4655" ca="1">INDIRECT("b"&amp;K4655+2)</f>
        <v>0</v>
      </c>
      <c r="K4655" s="19">
        <f t="shared" si="953"/>
        <v>7802</v>
      </c>
    </row>
    <row r="4656" spans="1:11">
      <c r="A4656">
        <v>4654</v>
      </c>
      <c r="B4656">
        <v>3.7000000000000005E+138</v>
      </c>
      <c r="D4656" s="18">
        <v>4654</v>
      </c>
      <c r="E4656" s="18" cm="1">
        <f t="array" aca="1" ref="E4656" ca="1">INDIRECT("b"&amp;F4656+2)</f>
        <v>0</v>
      </c>
      <c r="F4656" s="18">
        <f t="shared" si="957"/>
        <v>6604</v>
      </c>
      <c r="G4656" s="18" t="e">
        <f t="shared" ref="G4656" ca="1" si="963">E4656/E4651</f>
        <v>#DIV/0!</v>
      </c>
      <c r="H4656" s="18"/>
      <c r="I4656" s="19">
        <v>4654</v>
      </c>
      <c r="J4656" s="19" cm="1">
        <f t="array" aca="1" ref="J4656" ca="1">INDIRECT("b"&amp;K4656+2)</f>
        <v>0</v>
      </c>
      <c r="K4656" s="19">
        <f t="shared" si="953"/>
        <v>7804</v>
      </c>
    </row>
    <row r="4657" spans="1:11">
      <c r="A4657">
        <v>4655</v>
      </c>
      <c r="B4657">
        <v>3.9250000000000002E+138</v>
      </c>
      <c r="D4657" s="18">
        <v>4655</v>
      </c>
      <c r="E4657" s="18" cm="1">
        <f t="array" aca="1" ref="E4657" ca="1">INDIRECT("b"&amp;F4657+2)</f>
        <v>0</v>
      </c>
      <c r="F4657" s="18">
        <f t="shared" si="957"/>
        <v>6605</v>
      </c>
      <c r="G4657" s="18"/>
      <c r="H4657" s="18"/>
      <c r="I4657" s="19">
        <v>4655</v>
      </c>
      <c r="J4657" s="19" cm="1">
        <f t="array" aca="1" ref="J4657" ca="1">INDIRECT("b"&amp;K4657+2)</f>
        <v>0</v>
      </c>
      <c r="K4657" s="19">
        <f t="shared" si="953"/>
        <v>7805</v>
      </c>
    </row>
    <row r="4658" spans="1:11">
      <c r="A4658">
        <v>4656</v>
      </c>
      <c r="B4658">
        <v>4.15E+138</v>
      </c>
      <c r="D4658" s="18">
        <v>4656</v>
      </c>
      <c r="E4658" s="18" cm="1">
        <f t="array" aca="1" ref="E4658" ca="1">INDIRECT("b"&amp;F4658+2)</f>
        <v>0</v>
      </c>
      <c r="F4658" s="18">
        <f t="shared" si="957"/>
        <v>6606</v>
      </c>
      <c r="G4658" s="18"/>
      <c r="H4658" s="18"/>
      <c r="I4658" s="19">
        <v>4656</v>
      </c>
      <c r="J4658" s="19" cm="1">
        <f t="array" aca="1" ref="J4658" ca="1">INDIRECT("b"&amp;K4658+2)</f>
        <v>0</v>
      </c>
      <c r="K4658" s="19">
        <f t="shared" si="953"/>
        <v>7806</v>
      </c>
    </row>
    <row r="4659" spans="1:11">
      <c r="A4659">
        <v>4657</v>
      </c>
      <c r="B4659">
        <v>4.3750000000000004E+138</v>
      </c>
      <c r="D4659" s="18">
        <v>4657</v>
      </c>
      <c r="E4659" s="18" cm="1">
        <f t="array" aca="1" ref="E4659" ca="1">INDIRECT("b"&amp;F4659+2)</f>
        <v>0</v>
      </c>
      <c r="F4659" s="18">
        <f t="shared" si="957"/>
        <v>6608</v>
      </c>
      <c r="G4659" s="18"/>
      <c r="H4659" s="18"/>
      <c r="I4659" s="19">
        <v>4657</v>
      </c>
      <c r="J4659" s="19" cm="1">
        <f t="array" aca="1" ref="J4659" ca="1">INDIRECT("b"&amp;K4659+2)</f>
        <v>0</v>
      </c>
      <c r="K4659" s="19">
        <f t="shared" si="953"/>
        <v>7808</v>
      </c>
    </row>
    <row r="4660" spans="1:11">
      <c r="A4660">
        <v>4658</v>
      </c>
      <c r="B4660">
        <v>4.6000000000000002E+138</v>
      </c>
      <c r="D4660" s="18">
        <v>4658</v>
      </c>
      <c r="E4660" s="18" cm="1">
        <f t="array" aca="1" ref="E4660" ca="1">INDIRECT("b"&amp;F4660+2)</f>
        <v>0</v>
      </c>
      <c r="F4660" s="18">
        <f t="shared" si="957"/>
        <v>6609</v>
      </c>
      <c r="G4660" s="18"/>
      <c r="H4660" s="18"/>
      <c r="I4660" s="19">
        <v>4658</v>
      </c>
      <c r="J4660" s="19" cm="1">
        <f t="array" aca="1" ref="J4660" ca="1">INDIRECT("b"&amp;K4660+2)</f>
        <v>0</v>
      </c>
      <c r="K4660" s="19">
        <f t="shared" si="953"/>
        <v>7809</v>
      </c>
    </row>
    <row r="4661" spans="1:11">
      <c r="A4661">
        <v>4659</v>
      </c>
      <c r="B4661">
        <v>4.8250000000000006E+138</v>
      </c>
      <c r="D4661" s="18">
        <v>4659</v>
      </c>
      <c r="E4661" s="18" cm="1">
        <f t="array" aca="1" ref="E4661" ca="1">INDIRECT("b"&amp;F4661+2)</f>
        <v>0</v>
      </c>
      <c r="F4661" s="18">
        <f t="shared" si="957"/>
        <v>6610</v>
      </c>
      <c r="G4661" s="18" t="e">
        <f t="shared" ref="G4661" ca="1" si="964">E4661/E4656</f>
        <v>#DIV/0!</v>
      </c>
      <c r="H4661" s="18"/>
      <c r="I4661" s="19">
        <v>4659</v>
      </c>
      <c r="J4661" s="19" cm="1">
        <f t="array" aca="1" ref="J4661" ca="1">INDIRECT("b"&amp;K4661+2)</f>
        <v>0</v>
      </c>
      <c r="K4661" s="19">
        <f t="shared" si="953"/>
        <v>7810</v>
      </c>
    </row>
    <row r="4662" spans="1:11">
      <c r="A4662">
        <v>4660</v>
      </c>
      <c r="B4662">
        <v>5.0500000000000003E+138</v>
      </c>
      <c r="D4662" s="18">
        <v>4660</v>
      </c>
      <c r="E4662" s="18" cm="1">
        <f t="array" aca="1" ref="E4662" ca="1">INDIRECT("b"&amp;F4662+2)</f>
        <v>0</v>
      </c>
      <c r="F4662" s="18">
        <f t="shared" si="957"/>
        <v>6612</v>
      </c>
      <c r="G4662" s="18"/>
      <c r="H4662" s="18"/>
      <c r="I4662" s="19">
        <v>4660</v>
      </c>
      <c r="J4662" s="19" cm="1">
        <f t="array" aca="1" ref="J4662" ca="1">INDIRECT("b"&amp;K4662+2)</f>
        <v>0</v>
      </c>
      <c r="K4662" s="19">
        <f t="shared" si="953"/>
        <v>7812</v>
      </c>
    </row>
    <row r="4663" spans="1:11">
      <c r="A4663">
        <v>4661</v>
      </c>
      <c r="B4663">
        <v>5.2750000000000001E+138</v>
      </c>
      <c r="D4663" s="18">
        <v>4661</v>
      </c>
      <c r="E4663" s="18" cm="1">
        <f t="array" aca="1" ref="E4663" ca="1">INDIRECT("b"&amp;F4663+2)</f>
        <v>0</v>
      </c>
      <c r="F4663" s="18">
        <f t="shared" si="957"/>
        <v>6613</v>
      </c>
      <c r="G4663" s="18"/>
      <c r="H4663" s="18"/>
      <c r="I4663" s="19">
        <v>4661</v>
      </c>
      <c r="J4663" s="19" cm="1">
        <f t="array" aca="1" ref="J4663" ca="1">INDIRECT("b"&amp;K4663+2)</f>
        <v>0</v>
      </c>
      <c r="K4663" s="19">
        <f t="shared" si="953"/>
        <v>7813</v>
      </c>
    </row>
    <row r="4664" spans="1:11">
      <c r="A4664">
        <v>4662</v>
      </c>
      <c r="B4664">
        <v>5.5000000000000005E+138</v>
      </c>
      <c r="D4664" s="18">
        <v>4662</v>
      </c>
      <c r="E4664" s="18" cm="1">
        <f t="array" aca="1" ref="E4664" ca="1">INDIRECT("b"&amp;F4664+2)</f>
        <v>0</v>
      </c>
      <c r="F4664" s="18">
        <f t="shared" si="957"/>
        <v>6614</v>
      </c>
      <c r="G4664" s="18"/>
      <c r="H4664" s="18"/>
      <c r="I4664" s="19">
        <v>4662</v>
      </c>
      <c r="J4664" s="19" cm="1">
        <f t="array" aca="1" ref="J4664" ca="1">INDIRECT("b"&amp;K4664+2)</f>
        <v>0</v>
      </c>
      <c r="K4664" s="19">
        <f t="shared" si="953"/>
        <v>7814</v>
      </c>
    </row>
    <row r="4665" spans="1:11">
      <c r="A4665">
        <v>4663</v>
      </c>
      <c r="B4665">
        <v>5.7250000000000003E+138</v>
      </c>
      <c r="D4665" s="18">
        <v>4663</v>
      </c>
      <c r="E4665" s="18" cm="1">
        <f t="array" aca="1" ref="E4665" ca="1">INDIRECT("b"&amp;F4665+2)</f>
        <v>0</v>
      </c>
      <c r="F4665" s="18">
        <f t="shared" si="957"/>
        <v>6616</v>
      </c>
      <c r="G4665" s="18"/>
      <c r="H4665" s="18"/>
      <c r="I4665" s="19">
        <v>4663</v>
      </c>
      <c r="J4665" s="19" cm="1">
        <f t="array" aca="1" ref="J4665" ca="1">INDIRECT("b"&amp;K4665+2)</f>
        <v>0</v>
      </c>
      <c r="K4665" s="19">
        <f t="shared" si="953"/>
        <v>7816</v>
      </c>
    </row>
    <row r="4666" spans="1:11">
      <c r="A4666">
        <v>4664</v>
      </c>
      <c r="B4666">
        <v>5.95E+138</v>
      </c>
      <c r="D4666" s="18">
        <v>4664</v>
      </c>
      <c r="E4666" s="18" cm="1">
        <f t="array" aca="1" ref="E4666" ca="1">INDIRECT("b"&amp;F4666+2)</f>
        <v>0</v>
      </c>
      <c r="F4666" s="18">
        <f t="shared" si="957"/>
        <v>6617</v>
      </c>
      <c r="G4666" s="18" t="e">
        <f t="shared" ref="G4666" ca="1" si="965">E4666/E4661</f>
        <v>#DIV/0!</v>
      </c>
      <c r="H4666" s="18"/>
      <c r="I4666" s="19">
        <v>4664</v>
      </c>
      <c r="J4666" s="19" cm="1">
        <f t="array" aca="1" ref="J4666" ca="1">INDIRECT("b"&amp;K4666+2)</f>
        <v>0</v>
      </c>
      <c r="K4666" s="19">
        <f t="shared" si="953"/>
        <v>7817</v>
      </c>
    </row>
    <row r="4667" spans="1:11">
      <c r="A4667">
        <v>4665</v>
      </c>
      <c r="B4667">
        <v>6.1749999999999998E+138</v>
      </c>
      <c r="D4667" s="18">
        <v>4665</v>
      </c>
      <c r="E4667" s="18" cm="1">
        <f t="array" aca="1" ref="E4667" ca="1">INDIRECT("b"&amp;F4667+2)</f>
        <v>0</v>
      </c>
      <c r="F4667" s="18">
        <f t="shared" si="957"/>
        <v>6618</v>
      </c>
      <c r="G4667" s="18"/>
      <c r="H4667" s="18"/>
      <c r="I4667" s="19">
        <v>4665</v>
      </c>
      <c r="J4667" s="19" cm="1">
        <f t="array" aca="1" ref="J4667" ca="1">INDIRECT("b"&amp;K4667+2)</f>
        <v>0</v>
      </c>
      <c r="K4667" s="19">
        <f t="shared" si="953"/>
        <v>7818</v>
      </c>
    </row>
    <row r="4668" spans="1:11">
      <c r="A4668">
        <v>4666</v>
      </c>
      <c r="B4668">
        <v>6.4000000000000002E+138</v>
      </c>
      <c r="D4668" s="18">
        <v>4666</v>
      </c>
      <c r="E4668" s="18" cm="1">
        <f t="array" aca="1" ref="E4668" ca="1">INDIRECT("b"&amp;F4668+2)</f>
        <v>0</v>
      </c>
      <c r="F4668" s="18">
        <f t="shared" si="957"/>
        <v>6620</v>
      </c>
      <c r="G4668" s="18"/>
      <c r="H4668" s="18"/>
      <c r="I4668" s="19">
        <v>4666</v>
      </c>
      <c r="J4668" s="19" cm="1">
        <f t="array" aca="1" ref="J4668" ca="1">INDIRECT("b"&amp;K4668+2)</f>
        <v>0</v>
      </c>
      <c r="K4668" s="19">
        <f t="shared" si="953"/>
        <v>7820</v>
      </c>
    </row>
    <row r="4669" spans="1:11">
      <c r="A4669">
        <v>4667</v>
      </c>
      <c r="B4669">
        <v>6.6250000000000006E+138</v>
      </c>
      <c r="D4669" s="18">
        <v>4667</v>
      </c>
      <c r="E4669" s="18" cm="1">
        <f t="array" aca="1" ref="E4669" ca="1">INDIRECT("b"&amp;F4669+2)</f>
        <v>0</v>
      </c>
      <c r="F4669" s="18">
        <f t="shared" si="957"/>
        <v>6621</v>
      </c>
      <c r="G4669" s="18"/>
      <c r="H4669" s="18"/>
      <c r="I4669" s="19">
        <v>4667</v>
      </c>
      <c r="J4669" s="19" cm="1">
        <f t="array" aca="1" ref="J4669" ca="1">INDIRECT("b"&amp;K4669+2)</f>
        <v>0</v>
      </c>
      <c r="K4669" s="19">
        <f t="shared" si="953"/>
        <v>7821</v>
      </c>
    </row>
    <row r="4670" spans="1:11">
      <c r="A4670">
        <v>4668</v>
      </c>
      <c r="B4670">
        <v>6.8500000000000011E+138</v>
      </c>
      <c r="D4670" s="18">
        <v>4668</v>
      </c>
      <c r="E4670" s="18" cm="1">
        <f t="array" aca="1" ref="E4670" ca="1">INDIRECT("b"&amp;F4670+2)</f>
        <v>0</v>
      </c>
      <c r="F4670" s="18">
        <f t="shared" si="957"/>
        <v>6622</v>
      </c>
      <c r="G4670" s="18"/>
      <c r="H4670" s="18"/>
      <c r="I4670" s="19">
        <v>4668</v>
      </c>
      <c r="J4670" s="19" cm="1">
        <f t="array" aca="1" ref="J4670" ca="1">INDIRECT("b"&amp;K4670+2)</f>
        <v>0</v>
      </c>
      <c r="K4670" s="19">
        <f t="shared" si="953"/>
        <v>7822</v>
      </c>
    </row>
    <row r="4671" spans="1:11">
      <c r="A4671">
        <v>4669</v>
      </c>
      <c r="B4671">
        <v>7.0750000000000001E+138</v>
      </c>
      <c r="D4671" s="18">
        <v>4669</v>
      </c>
      <c r="E4671" s="18" cm="1">
        <f t="array" aca="1" ref="E4671" ca="1">INDIRECT("b"&amp;F4671+2)</f>
        <v>0</v>
      </c>
      <c r="F4671" s="18">
        <f t="shared" si="957"/>
        <v>6624</v>
      </c>
      <c r="G4671" s="18" t="e">
        <f t="shared" ref="G4671" ca="1" si="966">E4671/E4666</f>
        <v>#DIV/0!</v>
      </c>
      <c r="H4671" s="18"/>
      <c r="I4671" s="19">
        <v>4669</v>
      </c>
      <c r="J4671" s="19" cm="1">
        <f t="array" aca="1" ref="J4671" ca="1">INDIRECT("b"&amp;K4671+2)</f>
        <v>0</v>
      </c>
      <c r="K4671" s="19">
        <f t="shared" si="953"/>
        <v>7824</v>
      </c>
    </row>
    <row r="4672" spans="1:11">
      <c r="A4672">
        <v>4670</v>
      </c>
      <c r="B4672">
        <v>7.3000000000000006E+138</v>
      </c>
      <c r="D4672" s="18">
        <v>4670</v>
      </c>
      <c r="E4672" s="18" cm="1">
        <f t="array" aca="1" ref="E4672" ca="1">INDIRECT("b"&amp;F4672+2)</f>
        <v>0</v>
      </c>
      <c r="F4672" s="18">
        <f t="shared" si="957"/>
        <v>6625</v>
      </c>
      <c r="G4672" s="18"/>
      <c r="H4672" s="18"/>
      <c r="I4672" s="19">
        <v>4670</v>
      </c>
      <c r="J4672" s="19" cm="1">
        <f t="array" aca="1" ref="J4672" ca="1">INDIRECT("b"&amp;K4672+2)</f>
        <v>0</v>
      </c>
      <c r="K4672" s="19">
        <f t="shared" si="953"/>
        <v>7825</v>
      </c>
    </row>
    <row r="4673" spans="1:11">
      <c r="A4673">
        <v>4671</v>
      </c>
      <c r="B4673">
        <v>7.525000000000001E+138</v>
      </c>
      <c r="D4673" s="18">
        <v>4671</v>
      </c>
      <c r="E4673" s="18" cm="1">
        <f t="array" aca="1" ref="E4673" ca="1">INDIRECT("b"&amp;F4673+2)</f>
        <v>0</v>
      </c>
      <c r="F4673" s="18">
        <f t="shared" si="957"/>
        <v>6626</v>
      </c>
      <c r="G4673" s="18"/>
      <c r="H4673" s="18"/>
      <c r="I4673" s="19">
        <v>4671</v>
      </c>
      <c r="J4673" s="19" cm="1">
        <f t="array" aca="1" ref="J4673" ca="1">INDIRECT("b"&amp;K4673+2)</f>
        <v>0</v>
      </c>
      <c r="K4673" s="19">
        <f t="shared" si="953"/>
        <v>7826</v>
      </c>
    </row>
    <row r="4674" spans="1:11">
      <c r="A4674">
        <v>4672</v>
      </c>
      <c r="B4674">
        <v>7.7500000000000001E+138</v>
      </c>
      <c r="D4674" s="18">
        <v>4672</v>
      </c>
      <c r="E4674" s="18" cm="1">
        <f t="array" aca="1" ref="E4674" ca="1">INDIRECT("b"&amp;F4674+2)</f>
        <v>0</v>
      </c>
      <c r="F4674" s="18">
        <f t="shared" si="957"/>
        <v>6628</v>
      </c>
      <c r="G4674" s="18"/>
      <c r="H4674" s="18"/>
      <c r="I4674" s="19">
        <v>4672</v>
      </c>
      <c r="J4674" s="19" cm="1">
        <f t="array" aca="1" ref="J4674" ca="1">INDIRECT("b"&amp;K4674+2)</f>
        <v>0</v>
      </c>
      <c r="K4674" s="19">
        <f t="shared" si="953"/>
        <v>7828</v>
      </c>
    </row>
    <row r="4675" spans="1:11">
      <c r="A4675">
        <v>4673</v>
      </c>
      <c r="B4675">
        <v>7.9750000000000005E+138</v>
      </c>
      <c r="D4675" s="18">
        <v>4673</v>
      </c>
      <c r="E4675" s="18" cm="1">
        <f t="array" aca="1" ref="E4675" ca="1">INDIRECT("b"&amp;F4675+2)</f>
        <v>0</v>
      </c>
      <c r="F4675" s="18">
        <f t="shared" si="957"/>
        <v>6629</v>
      </c>
      <c r="G4675" s="18"/>
      <c r="H4675" s="18"/>
      <c r="I4675" s="19">
        <v>4673</v>
      </c>
      <c r="J4675" s="19" cm="1">
        <f t="array" aca="1" ref="J4675" ca="1">INDIRECT("b"&amp;K4675+2)</f>
        <v>0</v>
      </c>
      <c r="K4675" s="19">
        <f t="shared" si="953"/>
        <v>7829</v>
      </c>
    </row>
    <row r="4676" spans="1:11">
      <c r="A4676">
        <v>4674</v>
      </c>
      <c r="B4676">
        <v>8.2000000000000009E+138</v>
      </c>
      <c r="D4676" s="18">
        <v>4674</v>
      </c>
      <c r="E4676" s="18" cm="1">
        <f t="array" aca="1" ref="E4676" ca="1">INDIRECT("b"&amp;F4676+2)</f>
        <v>0</v>
      </c>
      <c r="F4676" s="18">
        <f t="shared" si="957"/>
        <v>6630</v>
      </c>
      <c r="G4676" s="18" t="e">
        <f t="shared" ref="G4676" ca="1" si="967">E4676/E4671</f>
        <v>#DIV/0!</v>
      </c>
      <c r="H4676" s="18"/>
      <c r="I4676" s="19">
        <v>4674</v>
      </c>
      <c r="J4676" s="19" cm="1">
        <f t="array" aca="1" ref="J4676" ca="1">INDIRECT("b"&amp;K4676+2)</f>
        <v>0</v>
      </c>
      <c r="K4676" s="19">
        <f t="shared" ref="K4676:K4739" si="968">INT((A4676-1)*40/30+900*40/30)+400</f>
        <v>7830</v>
      </c>
    </row>
    <row r="4677" spans="1:11">
      <c r="A4677">
        <v>4675</v>
      </c>
      <c r="B4677">
        <v>8.425E+138</v>
      </c>
      <c r="D4677" s="18">
        <v>4675</v>
      </c>
      <c r="E4677" s="18" cm="1">
        <f t="array" aca="1" ref="E4677" ca="1">INDIRECT("b"&amp;F4677+2)</f>
        <v>0</v>
      </c>
      <c r="F4677" s="18">
        <f t="shared" si="957"/>
        <v>6632</v>
      </c>
      <c r="G4677" s="18"/>
      <c r="H4677" s="18"/>
      <c r="I4677" s="19">
        <v>4675</v>
      </c>
      <c r="J4677" s="19" cm="1">
        <f t="array" aca="1" ref="J4677" ca="1">INDIRECT("b"&amp;K4677+2)</f>
        <v>0</v>
      </c>
      <c r="K4677" s="19">
        <f t="shared" si="968"/>
        <v>7832</v>
      </c>
    </row>
    <row r="4678" spans="1:11">
      <c r="A4678">
        <v>4676</v>
      </c>
      <c r="B4678">
        <v>8.6500000000000004E+138</v>
      </c>
      <c r="D4678" s="18">
        <v>4676</v>
      </c>
      <c r="E4678" s="18" cm="1">
        <f t="array" aca="1" ref="E4678" ca="1">INDIRECT("b"&amp;F4678+2)</f>
        <v>0</v>
      </c>
      <c r="F4678" s="18">
        <f t="shared" si="957"/>
        <v>6633</v>
      </c>
      <c r="G4678" s="18"/>
      <c r="H4678" s="18"/>
      <c r="I4678" s="19">
        <v>4676</v>
      </c>
      <c r="J4678" s="19" cm="1">
        <f t="array" aca="1" ref="J4678" ca="1">INDIRECT("b"&amp;K4678+2)</f>
        <v>0</v>
      </c>
      <c r="K4678" s="19">
        <f t="shared" si="968"/>
        <v>7833</v>
      </c>
    </row>
    <row r="4679" spans="1:11">
      <c r="A4679">
        <v>4677</v>
      </c>
      <c r="B4679">
        <v>8.8750000000000009E+138</v>
      </c>
      <c r="D4679" s="18">
        <v>4677</v>
      </c>
      <c r="E4679" s="18" cm="1">
        <f t="array" aca="1" ref="E4679" ca="1">INDIRECT("b"&amp;F4679+2)</f>
        <v>0</v>
      </c>
      <c r="F4679" s="18">
        <f t="shared" si="957"/>
        <v>6634</v>
      </c>
      <c r="G4679" s="18"/>
      <c r="H4679" s="18"/>
      <c r="I4679" s="19">
        <v>4677</v>
      </c>
      <c r="J4679" s="19" cm="1">
        <f t="array" aca="1" ref="J4679" ca="1">INDIRECT("b"&amp;K4679+2)</f>
        <v>0</v>
      </c>
      <c r="K4679" s="19">
        <f t="shared" si="968"/>
        <v>7834</v>
      </c>
    </row>
    <row r="4680" spans="1:11">
      <c r="A4680">
        <v>4678</v>
      </c>
      <c r="B4680">
        <v>9.1E+138</v>
      </c>
      <c r="D4680" s="18">
        <v>4678</v>
      </c>
      <c r="E4680" s="18" cm="1">
        <f t="array" aca="1" ref="E4680" ca="1">INDIRECT("b"&amp;F4680+2)</f>
        <v>0</v>
      </c>
      <c r="F4680" s="18">
        <f t="shared" si="957"/>
        <v>6636</v>
      </c>
      <c r="G4680" s="18"/>
      <c r="H4680" s="18"/>
      <c r="I4680" s="19">
        <v>4678</v>
      </c>
      <c r="J4680" s="19" cm="1">
        <f t="array" aca="1" ref="J4680" ca="1">INDIRECT("b"&amp;K4680+2)</f>
        <v>0</v>
      </c>
      <c r="K4680" s="19">
        <f t="shared" si="968"/>
        <v>7836</v>
      </c>
    </row>
    <row r="4681" spans="1:11">
      <c r="A4681">
        <v>4679</v>
      </c>
      <c r="B4681">
        <v>9.3250000000000004E+138</v>
      </c>
      <c r="D4681" s="18">
        <v>4679</v>
      </c>
      <c r="E4681" s="18" cm="1">
        <f t="array" aca="1" ref="E4681" ca="1">INDIRECT("b"&amp;F4681+2)</f>
        <v>0</v>
      </c>
      <c r="F4681" s="18">
        <f t="shared" si="957"/>
        <v>6637</v>
      </c>
      <c r="G4681" s="18" t="e">
        <f t="shared" ref="G4681" ca="1" si="969">E4681/E4676</f>
        <v>#DIV/0!</v>
      </c>
      <c r="H4681" s="18"/>
      <c r="I4681" s="19">
        <v>4679</v>
      </c>
      <c r="J4681" s="19" cm="1">
        <f t="array" aca="1" ref="J4681" ca="1">INDIRECT("b"&amp;K4681+2)</f>
        <v>0</v>
      </c>
      <c r="K4681" s="19">
        <f t="shared" si="968"/>
        <v>7837</v>
      </c>
    </row>
    <row r="4682" spans="1:11">
      <c r="A4682">
        <v>4680</v>
      </c>
      <c r="B4682">
        <v>9.5500000000000008E+138</v>
      </c>
      <c r="D4682" s="18">
        <v>4680</v>
      </c>
      <c r="E4682" s="18" cm="1">
        <f t="array" aca="1" ref="E4682" ca="1">INDIRECT("b"&amp;F4682+2)</f>
        <v>0</v>
      </c>
      <c r="F4682" s="18">
        <f t="shared" si="957"/>
        <v>6638</v>
      </c>
      <c r="G4682" s="18"/>
      <c r="H4682" s="18"/>
      <c r="I4682" s="19">
        <v>4680</v>
      </c>
      <c r="J4682" s="19" cm="1">
        <f t="array" aca="1" ref="J4682" ca="1">INDIRECT("b"&amp;K4682+2)</f>
        <v>0</v>
      </c>
      <c r="K4682" s="19">
        <f t="shared" si="968"/>
        <v>7838</v>
      </c>
    </row>
    <row r="4683" spans="1:11">
      <c r="A4683">
        <v>4681</v>
      </c>
      <c r="B4683">
        <v>9.7750000000000012E+138</v>
      </c>
      <c r="D4683" s="18">
        <v>4681</v>
      </c>
      <c r="E4683" s="18" cm="1">
        <f t="array" aca="1" ref="E4683" ca="1">INDIRECT("b"&amp;F4683+2)</f>
        <v>0</v>
      </c>
      <c r="F4683" s="18">
        <f t="shared" si="957"/>
        <v>6640</v>
      </c>
      <c r="G4683" s="18"/>
      <c r="H4683" s="18"/>
      <c r="I4683" s="19">
        <v>4681</v>
      </c>
      <c r="J4683" s="19" cm="1">
        <f t="array" aca="1" ref="J4683" ca="1">INDIRECT("b"&amp;K4683+2)</f>
        <v>0</v>
      </c>
      <c r="K4683" s="19">
        <f t="shared" si="968"/>
        <v>7840</v>
      </c>
    </row>
    <row r="4684" spans="1:11">
      <c r="A4684">
        <v>4682</v>
      </c>
      <c r="B4684">
        <v>9.999999999999999E+138</v>
      </c>
      <c r="D4684" s="18">
        <v>4682</v>
      </c>
      <c r="E4684" s="18" cm="1">
        <f t="array" aca="1" ref="E4684" ca="1">INDIRECT("b"&amp;F4684+2)</f>
        <v>0</v>
      </c>
      <c r="F4684" s="18">
        <f t="shared" si="957"/>
        <v>6641</v>
      </c>
      <c r="G4684" s="18"/>
      <c r="H4684" s="18"/>
      <c r="I4684" s="19">
        <v>4682</v>
      </c>
      <c r="J4684" s="19" cm="1">
        <f t="array" aca="1" ref="J4684" ca="1">INDIRECT("b"&amp;K4684+2)</f>
        <v>0</v>
      </c>
      <c r="K4684" s="19">
        <f t="shared" si="968"/>
        <v>7841</v>
      </c>
    </row>
    <row r="4685" spans="1:11">
      <c r="A4685">
        <v>4683</v>
      </c>
      <c r="B4685">
        <v>1.2249999999999998E+139</v>
      </c>
      <c r="D4685" s="18">
        <v>4683</v>
      </c>
      <c r="E4685" s="18" cm="1">
        <f t="array" aca="1" ref="E4685" ca="1">INDIRECT("b"&amp;F4685+2)</f>
        <v>0</v>
      </c>
      <c r="F4685" s="18">
        <f t="shared" si="957"/>
        <v>6642</v>
      </c>
      <c r="G4685" s="18"/>
      <c r="H4685" s="18"/>
      <c r="I4685" s="19">
        <v>4683</v>
      </c>
      <c r="J4685" s="19" cm="1">
        <f t="array" aca="1" ref="J4685" ca="1">INDIRECT("b"&amp;K4685+2)</f>
        <v>0</v>
      </c>
      <c r="K4685" s="19">
        <f t="shared" si="968"/>
        <v>7842</v>
      </c>
    </row>
    <row r="4686" spans="1:11">
      <c r="A4686">
        <v>4684</v>
      </c>
      <c r="B4686">
        <v>1.4499999999999999E+139</v>
      </c>
      <c r="D4686" s="18">
        <v>4684</v>
      </c>
      <c r="E4686" s="18" cm="1">
        <f t="array" aca="1" ref="E4686" ca="1">INDIRECT("b"&amp;F4686+2)</f>
        <v>0</v>
      </c>
      <c r="F4686" s="18">
        <f t="shared" si="957"/>
        <v>6644</v>
      </c>
      <c r="G4686" s="18" t="e">
        <f t="shared" ref="G4686" ca="1" si="970">E4686/E4681</f>
        <v>#DIV/0!</v>
      </c>
      <c r="H4686" s="18"/>
      <c r="I4686" s="19">
        <v>4684</v>
      </c>
      <c r="J4686" s="19" cm="1">
        <f t="array" aca="1" ref="J4686" ca="1">INDIRECT("b"&amp;K4686+2)</f>
        <v>0</v>
      </c>
      <c r="K4686" s="19">
        <f t="shared" si="968"/>
        <v>7844</v>
      </c>
    </row>
    <row r="4687" spans="1:11">
      <c r="A4687">
        <v>4685</v>
      </c>
      <c r="B4687">
        <v>1.6749999999999998E+139</v>
      </c>
      <c r="D4687" s="18">
        <v>4685</v>
      </c>
      <c r="E4687" s="18" cm="1">
        <f t="array" aca="1" ref="E4687" ca="1">INDIRECT("b"&amp;F4687+2)</f>
        <v>0</v>
      </c>
      <c r="F4687" s="18">
        <f t="shared" si="957"/>
        <v>6645</v>
      </c>
      <c r="G4687" s="18"/>
      <c r="H4687" s="18"/>
      <c r="I4687" s="19">
        <v>4685</v>
      </c>
      <c r="J4687" s="19" cm="1">
        <f t="array" aca="1" ref="J4687" ca="1">INDIRECT("b"&amp;K4687+2)</f>
        <v>0</v>
      </c>
      <c r="K4687" s="19">
        <f t="shared" si="968"/>
        <v>7845</v>
      </c>
    </row>
    <row r="4688" spans="1:11">
      <c r="A4688">
        <v>4686</v>
      </c>
      <c r="B4688">
        <v>1.8999999999999997E+139</v>
      </c>
      <c r="D4688" s="18">
        <v>4686</v>
      </c>
      <c r="E4688" s="18" cm="1">
        <f t="array" aca="1" ref="E4688" ca="1">INDIRECT("b"&amp;F4688+2)</f>
        <v>0</v>
      </c>
      <c r="F4688" s="18">
        <f t="shared" si="957"/>
        <v>6646</v>
      </c>
      <c r="G4688" s="18"/>
      <c r="H4688" s="18"/>
      <c r="I4688" s="19">
        <v>4686</v>
      </c>
      <c r="J4688" s="19" cm="1">
        <f t="array" aca="1" ref="J4688" ca="1">INDIRECT("b"&amp;K4688+2)</f>
        <v>0</v>
      </c>
      <c r="K4688" s="19">
        <f t="shared" si="968"/>
        <v>7846</v>
      </c>
    </row>
    <row r="4689" spans="1:11">
      <c r="A4689">
        <v>4687</v>
      </c>
      <c r="B4689">
        <v>2.1249999999999999E+139</v>
      </c>
      <c r="D4689" s="18">
        <v>4687</v>
      </c>
      <c r="E4689" s="18" cm="1">
        <f t="array" aca="1" ref="E4689" ca="1">INDIRECT("b"&amp;F4689+2)</f>
        <v>0</v>
      </c>
      <c r="F4689" s="18">
        <f t="shared" si="957"/>
        <v>6648</v>
      </c>
      <c r="G4689" s="18"/>
      <c r="H4689" s="18"/>
      <c r="I4689" s="19">
        <v>4687</v>
      </c>
      <c r="J4689" s="19" cm="1">
        <f t="array" aca="1" ref="J4689" ca="1">INDIRECT("b"&amp;K4689+2)</f>
        <v>0</v>
      </c>
      <c r="K4689" s="19">
        <f t="shared" si="968"/>
        <v>7848</v>
      </c>
    </row>
    <row r="4690" spans="1:11">
      <c r="A4690">
        <v>4688</v>
      </c>
      <c r="B4690">
        <v>2.3499999999999998E+139</v>
      </c>
      <c r="D4690" s="18">
        <v>4688</v>
      </c>
      <c r="E4690" s="18" cm="1">
        <f t="array" aca="1" ref="E4690" ca="1">INDIRECT("b"&amp;F4690+2)</f>
        <v>0</v>
      </c>
      <c r="F4690" s="18">
        <f t="shared" si="957"/>
        <v>6649</v>
      </c>
      <c r="G4690" s="18"/>
      <c r="H4690" s="18"/>
      <c r="I4690" s="19">
        <v>4688</v>
      </c>
      <c r="J4690" s="19" cm="1">
        <f t="array" aca="1" ref="J4690" ca="1">INDIRECT("b"&amp;K4690+2)</f>
        <v>0</v>
      </c>
      <c r="K4690" s="19">
        <f t="shared" si="968"/>
        <v>7849</v>
      </c>
    </row>
    <row r="4691" spans="1:11">
      <c r="A4691">
        <v>4689</v>
      </c>
      <c r="B4691">
        <v>2.5749999999999997E+139</v>
      </c>
      <c r="D4691" s="18">
        <v>4689</v>
      </c>
      <c r="E4691" s="18" cm="1">
        <f t="array" aca="1" ref="E4691" ca="1">INDIRECT("b"&amp;F4691+2)</f>
        <v>0</v>
      </c>
      <c r="F4691" s="18">
        <f t="shared" ref="F4691:F4754" si="971">INT((A4691-123)*1.333333)+563</f>
        <v>6650</v>
      </c>
      <c r="G4691" s="18" t="e">
        <f t="shared" ref="G4691" ca="1" si="972">E4691/E4686</f>
        <v>#DIV/0!</v>
      </c>
      <c r="H4691" s="18"/>
      <c r="I4691" s="19">
        <v>4689</v>
      </c>
      <c r="J4691" s="19" cm="1">
        <f t="array" aca="1" ref="J4691" ca="1">INDIRECT("b"&amp;K4691+2)</f>
        <v>0</v>
      </c>
      <c r="K4691" s="19">
        <f t="shared" si="968"/>
        <v>7850</v>
      </c>
    </row>
    <row r="4692" spans="1:11">
      <c r="A4692">
        <v>4690</v>
      </c>
      <c r="B4692">
        <v>2.7999999999999998E+139</v>
      </c>
      <c r="D4692" s="18">
        <v>4690</v>
      </c>
      <c r="E4692" s="18" cm="1">
        <f t="array" aca="1" ref="E4692" ca="1">INDIRECT("b"&amp;F4692+2)</f>
        <v>0</v>
      </c>
      <c r="F4692" s="18">
        <f t="shared" si="971"/>
        <v>6652</v>
      </c>
      <c r="G4692" s="18"/>
      <c r="H4692" s="18"/>
      <c r="I4692" s="19">
        <v>4690</v>
      </c>
      <c r="J4692" s="19" cm="1">
        <f t="array" aca="1" ref="J4692" ca="1">INDIRECT("b"&amp;K4692+2)</f>
        <v>0</v>
      </c>
      <c r="K4692" s="19">
        <f t="shared" si="968"/>
        <v>7852</v>
      </c>
    </row>
    <row r="4693" spans="1:11">
      <c r="A4693">
        <v>4691</v>
      </c>
      <c r="B4693">
        <v>3.025E+139</v>
      </c>
      <c r="D4693" s="18">
        <v>4691</v>
      </c>
      <c r="E4693" s="18" cm="1">
        <f t="array" aca="1" ref="E4693" ca="1">INDIRECT("b"&amp;F4693+2)</f>
        <v>0</v>
      </c>
      <c r="F4693" s="18">
        <f t="shared" si="971"/>
        <v>6653</v>
      </c>
      <c r="G4693" s="18"/>
      <c r="H4693" s="18"/>
      <c r="I4693" s="19">
        <v>4691</v>
      </c>
      <c r="J4693" s="19" cm="1">
        <f t="array" aca="1" ref="J4693" ca="1">INDIRECT("b"&amp;K4693+2)</f>
        <v>0</v>
      </c>
      <c r="K4693" s="19">
        <f t="shared" si="968"/>
        <v>7853</v>
      </c>
    </row>
    <row r="4694" spans="1:11">
      <c r="A4694">
        <v>4692</v>
      </c>
      <c r="B4694">
        <v>3.2499999999999996E+139</v>
      </c>
      <c r="D4694" s="18">
        <v>4692</v>
      </c>
      <c r="E4694" s="18" cm="1">
        <f t="array" aca="1" ref="E4694" ca="1">INDIRECT("b"&amp;F4694+2)</f>
        <v>0</v>
      </c>
      <c r="F4694" s="18">
        <f t="shared" si="971"/>
        <v>6654</v>
      </c>
      <c r="G4694" s="18"/>
      <c r="H4694" s="18"/>
      <c r="I4694" s="19">
        <v>4692</v>
      </c>
      <c r="J4694" s="19" cm="1">
        <f t="array" aca="1" ref="J4694" ca="1">INDIRECT("b"&amp;K4694+2)</f>
        <v>0</v>
      </c>
      <c r="K4694" s="19">
        <f t="shared" si="968"/>
        <v>7854</v>
      </c>
    </row>
    <row r="4695" spans="1:11">
      <c r="A4695">
        <v>4693</v>
      </c>
      <c r="B4695">
        <v>3.4749999999999998E+139</v>
      </c>
      <c r="D4695" s="18">
        <v>4693</v>
      </c>
      <c r="E4695" s="18" cm="1">
        <f t="array" aca="1" ref="E4695" ca="1">INDIRECT("b"&amp;F4695+2)</f>
        <v>0</v>
      </c>
      <c r="F4695" s="18">
        <f t="shared" si="971"/>
        <v>6656</v>
      </c>
      <c r="G4695" s="18"/>
      <c r="H4695" s="18"/>
      <c r="I4695" s="19">
        <v>4693</v>
      </c>
      <c r="J4695" s="19" cm="1">
        <f t="array" aca="1" ref="J4695" ca="1">INDIRECT("b"&amp;K4695+2)</f>
        <v>0</v>
      </c>
      <c r="K4695" s="19">
        <f t="shared" si="968"/>
        <v>7856</v>
      </c>
    </row>
    <row r="4696" spans="1:11">
      <c r="A4696">
        <v>4694</v>
      </c>
      <c r="B4696">
        <v>3.6999999999999999E+139</v>
      </c>
      <c r="D4696" s="18">
        <v>4694</v>
      </c>
      <c r="E4696" s="18" cm="1">
        <f t="array" aca="1" ref="E4696" ca="1">INDIRECT("b"&amp;F4696+2)</f>
        <v>0</v>
      </c>
      <c r="F4696" s="18">
        <f t="shared" si="971"/>
        <v>6657</v>
      </c>
      <c r="G4696" s="18" t="e">
        <f t="shared" ref="G4696" ca="1" si="973">E4696/E4691</f>
        <v>#DIV/0!</v>
      </c>
      <c r="H4696" s="18"/>
      <c r="I4696" s="19">
        <v>4694</v>
      </c>
      <c r="J4696" s="19" cm="1">
        <f t="array" aca="1" ref="J4696" ca="1">INDIRECT("b"&amp;K4696+2)</f>
        <v>0</v>
      </c>
      <c r="K4696" s="19">
        <f t="shared" si="968"/>
        <v>7857</v>
      </c>
    </row>
    <row r="4697" spans="1:11">
      <c r="A4697">
        <v>4695</v>
      </c>
      <c r="B4697">
        <v>3.9249999999999996E+139</v>
      </c>
      <c r="D4697" s="18">
        <v>4695</v>
      </c>
      <c r="E4697" s="18" cm="1">
        <f t="array" aca="1" ref="E4697" ca="1">INDIRECT("b"&amp;F4697+2)</f>
        <v>0</v>
      </c>
      <c r="F4697" s="18">
        <f t="shared" si="971"/>
        <v>6658</v>
      </c>
      <c r="G4697" s="18"/>
      <c r="H4697" s="18"/>
      <c r="I4697" s="19">
        <v>4695</v>
      </c>
      <c r="J4697" s="19" cm="1">
        <f t="array" aca="1" ref="J4697" ca="1">INDIRECT("b"&amp;K4697+2)</f>
        <v>0</v>
      </c>
      <c r="K4697" s="19">
        <f t="shared" si="968"/>
        <v>7858</v>
      </c>
    </row>
    <row r="4698" spans="1:11">
      <c r="A4698">
        <v>4696</v>
      </c>
      <c r="B4698">
        <v>4.1499999999999997E+139</v>
      </c>
      <c r="D4698" s="18">
        <v>4696</v>
      </c>
      <c r="E4698" s="18" cm="1">
        <f t="array" aca="1" ref="E4698" ca="1">INDIRECT("b"&amp;F4698+2)</f>
        <v>0</v>
      </c>
      <c r="F4698" s="18">
        <f t="shared" si="971"/>
        <v>6660</v>
      </c>
      <c r="G4698" s="18"/>
      <c r="H4698" s="18"/>
      <c r="I4698" s="19">
        <v>4696</v>
      </c>
      <c r="J4698" s="19" cm="1">
        <f t="array" aca="1" ref="J4698" ca="1">INDIRECT("b"&amp;K4698+2)</f>
        <v>0</v>
      </c>
      <c r="K4698" s="19">
        <f t="shared" si="968"/>
        <v>7860</v>
      </c>
    </row>
    <row r="4699" spans="1:11">
      <c r="A4699">
        <v>4697</v>
      </c>
      <c r="B4699">
        <v>4.3749999999999999E+139</v>
      </c>
      <c r="D4699" s="18">
        <v>4697</v>
      </c>
      <c r="E4699" s="18" cm="1">
        <f t="array" aca="1" ref="E4699" ca="1">INDIRECT("b"&amp;F4699+2)</f>
        <v>0</v>
      </c>
      <c r="F4699" s="18">
        <f t="shared" si="971"/>
        <v>6661</v>
      </c>
      <c r="G4699" s="18"/>
      <c r="H4699" s="18"/>
      <c r="I4699" s="19">
        <v>4697</v>
      </c>
      <c r="J4699" s="19" cm="1">
        <f t="array" aca="1" ref="J4699" ca="1">INDIRECT("b"&amp;K4699+2)</f>
        <v>0</v>
      </c>
      <c r="K4699" s="19">
        <f t="shared" si="968"/>
        <v>7861</v>
      </c>
    </row>
    <row r="4700" spans="1:11">
      <c r="A4700">
        <v>4698</v>
      </c>
      <c r="B4700">
        <v>4.5999999999999995E+139</v>
      </c>
      <c r="D4700" s="18">
        <v>4698</v>
      </c>
      <c r="E4700" s="18" cm="1">
        <f t="array" aca="1" ref="E4700" ca="1">INDIRECT("b"&amp;F4700+2)</f>
        <v>0</v>
      </c>
      <c r="F4700" s="18">
        <f t="shared" si="971"/>
        <v>6662</v>
      </c>
      <c r="G4700" s="18"/>
      <c r="H4700" s="18"/>
      <c r="I4700" s="19">
        <v>4698</v>
      </c>
      <c r="J4700" s="19" cm="1">
        <f t="array" aca="1" ref="J4700" ca="1">INDIRECT("b"&amp;K4700+2)</f>
        <v>0</v>
      </c>
      <c r="K4700" s="19">
        <f t="shared" si="968"/>
        <v>7862</v>
      </c>
    </row>
    <row r="4701" spans="1:11">
      <c r="A4701">
        <v>4699</v>
      </c>
      <c r="B4701">
        <v>4.8249999999999996E+139</v>
      </c>
      <c r="D4701" s="18">
        <v>4699</v>
      </c>
      <c r="E4701" s="18" cm="1">
        <f t="array" aca="1" ref="E4701" ca="1">INDIRECT("b"&amp;F4701+2)</f>
        <v>0</v>
      </c>
      <c r="F4701" s="18">
        <f t="shared" si="971"/>
        <v>6664</v>
      </c>
      <c r="G4701" s="18" t="e">
        <f t="shared" ref="G4701" ca="1" si="974">E4701/E4696</f>
        <v>#DIV/0!</v>
      </c>
      <c r="H4701" s="18"/>
      <c r="I4701" s="19">
        <v>4699</v>
      </c>
      <c r="J4701" s="19" cm="1">
        <f t="array" aca="1" ref="J4701" ca="1">INDIRECT("b"&amp;K4701+2)</f>
        <v>0</v>
      </c>
      <c r="K4701" s="19">
        <f t="shared" si="968"/>
        <v>7864</v>
      </c>
    </row>
    <row r="4702" spans="1:11">
      <c r="A4702">
        <v>4700</v>
      </c>
      <c r="B4702">
        <v>5.0499999999999993E+139</v>
      </c>
      <c r="D4702" s="18">
        <v>4700</v>
      </c>
      <c r="E4702" s="18" cm="1">
        <f t="array" aca="1" ref="E4702" ca="1">INDIRECT("b"&amp;F4702+2)</f>
        <v>0</v>
      </c>
      <c r="F4702" s="18">
        <f t="shared" si="971"/>
        <v>6665</v>
      </c>
      <c r="G4702" s="18"/>
      <c r="H4702" s="18"/>
      <c r="I4702" s="19">
        <v>4700</v>
      </c>
      <c r="J4702" s="19" cm="1">
        <f t="array" aca="1" ref="J4702" ca="1">INDIRECT("b"&amp;K4702+2)</f>
        <v>0</v>
      </c>
      <c r="K4702" s="19">
        <f t="shared" si="968"/>
        <v>7865</v>
      </c>
    </row>
    <row r="4703" spans="1:11">
      <c r="A4703">
        <v>4701</v>
      </c>
      <c r="B4703">
        <v>5.275E+139</v>
      </c>
      <c r="D4703" s="18">
        <v>4701</v>
      </c>
      <c r="E4703" s="18" cm="1">
        <f t="array" aca="1" ref="E4703" ca="1">INDIRECT("b"&amp;F4703+2)</f>
        <v>0</v>
      </c>
      <c r="F4703" s="18">
        <f t="shared" si="971"/>
        <v>6666</v>
      </c>
      <c r="G4703" s="18"/>
      <c r="H4703" s="18"/>
      <c r="I4703" s="19">
        <v>4701</v>
      </c>
      <c r="J4703" s="19" cm="1">
        <f t="array" aca="1" ref="J4703" ca="1">INDIRECT("b"&amp;K4703+2)</f>
        <v>0</v>
      </c>
      <c r="K4703" s="19">
        <f t="shared" si="968"/>
        <v>7866</v>
      </c>
    </row>
    <row r="4704" spans="1:11">
      <c r="A4704">
        <v>4702</v>
      </c>
      <c r="B4704">
        <v>5.4999999999999996E+139</v>
      </c>
      <c r="D4704" s="18">
        <v>4702</v>
      </c>
      <c r="E4704" s="18" cm="1">
        <f t="array" aca="1" ref="E4704" ca="1">INDIRECT("b"&amp;F4704+2)</f>
        <v>0</v>
      </c>
      <c r="F4704" s="18">
        <f t="shared" si="971"/>
        <v>6668</v>
      </c>
      <c r="G4704" s="18"/>
      <c r="H4704" s="18"/>
      <c r="I4704" s="19">
        <v>4702</v>
      </c>
      <c r="J4704" s="19" cm="1">
        <f t="array" aca="1" ref="J4704" ca="1">INDIRECT("b"&amp;K4704+2)</f>
        <v>0</v>
      </c>
      <c r="K4704" s="19">
        <f t="shared" si="968"/>
        <v>7868</v>
      </c>
    </row>
    <row r="4705" spans="1:11">
      <c r="A4705">
        <v>4703</v>
      </c>
      <c r="B4705">
        <v>5.7249999999999992E+139</v>
      </c>
      <c r="D4705" s="18">
        <v>4703</v>
      </c>
      <c r="E4705" s="18" cm="1">
        <f t="array" aca="1" ref="E4705" ca="1">INDIRECT("b"&amp;F4705+2)</f>
        <v>0</v>
      </c>
      <c r="F4705" s="18">
        <f t="shared" si="971"/>
        <v>6669</v>
      </c>
      <c r="G4705" s="18"/>
      <c r="H4705" s="18"/>
      <c r="I4705" s="19">
        <v>4703</v>
      </c>
      <c r="J4705" s="19" cm="1">
        <f t="array" aca="1" ref="J4705" ca="1">INDIRECT("b"&amp;K4705+2)</f>
        <v>0</v>
      </c>
      <c r="K4705" s="19">
        <f t="shared" si="968"/>
        <v>7869</v>
      </c>
    </row>
    <row r="4706" spans="1:11">
      <c r="A4706">
        <v>4704</v>
      </c>
      <c r="B4706">
        <v>5.9499999999999999E+139</v>
      </c>
      <c r="D4706" s="18">
        <v>4704</v>
      </c>
      <c r="E4706" s="18" cm="1">
        <f t="array" aca="1" ref="E4706" ca="1">INDIRECT("b"&amp;F4706+2)</f>
        <v>0</v>
      </c>
      <c r="F4706" s="18">
        <f t="shared" si="971"/>
        <v>6670</v>
      </c>
      <c r="G4706" s="18" t="e">
        <f t="shared" ref="G4706" ca="1" si="975">E4706/E4701</f>
        <v>#DIV/0!</v>
      </c>
      <c r="H4706" s="18"/>
      <c r="I4706" s="19">
        <v>4704</v>
      </c>
      <c r="J4706" s="19" cm="1">
        <f t="array" aca="1" ref="J4706" ca="1">INDIRECT("b"&amp;K4706+2)</f>
        <v>0</v>
      </c>
      <c r="K4706" s="19">
        <f t="shared" si="968"/>
        <v>7870</v>
      </c>
    </row>
    <row r="4707" spans="1:11">
      <c r="A4707">
        <v>4705</v>
      </c>
      <c r="B4707">
        <v>6.1749999999999995E+139</v>
      </c>
      <c r="D4707" s="18">
        <v>4705</v>
      </c>
      <c r="E4707" s="18" cm="1">
        <f t="array" aca="1" ref="E4707" ca="1">INDIRECT("b"&amp;F4707+2)</f>
        <v>0</v>
      </c>
      <c r="F4707" s="18">
        <f t="shared" si="971"/>
        <v>6672</v>
      </c>
      <c r="G4707" s="18"/>
      <c r="H4707" s="18"/>
      <c r="I4707" s="19">
        <v>4705</v>
      </c>
      <c r="J4707" s="19" cm="1">
        <f t="array" aca="1" ref="J4707" ca="1">INDIRECT("b"&amp;K4707+2)</f>
        <v>0</v>
      </c>
      <c r="K4707" s="19">
        <f t="shared" si="968"/>
        <v>7872</v>
      </c>
    </row>
    <row r="4708" spans="1:11">
      <c r="A4708">
        <v>4706</v>
      </c>
      <c r="B4708">
        <v>6.3999999999999992E+139</v>
      </c>
      <c r="D4708" s="18">
        <v>4706</v>
      </c>
      <c r="E4708" s="18" cm="1">
        <f t="array" aca="1" ref="E4708" ca="1">INDIRECT("b"&amp;F4708+2)</f>
        <v>0</v>
      </c>
      <c r="F4708" s="18">
        <f t="shared" si="971"/>
        <v>6673</v>
      </c>
      <c r="G4708" s="18"/>
      <c r="H4708" s="18"/>
      <c r="I4708" s="19">
        <v>4706</v>
      </c>
      <c r="J4708" s="19" cm="1">
        <f t="array" aca="1" ref="J4708" ca="1">INDIRECT("b"&amp;K4708+2)</f>
        <v>0</v>
      </c>
      <c r="K4708" s="19">
        <f t="shared" si="968"/>
        <v>7873</v>
      </c>
    </row>
    <row r="4709" spans="1:11">
      <c r="A4709">
        <v>4707</v>
      </c>
      <c r="B4709">
        <v>6.6249999999999998E+139</v>
      </c>
      <c r="D4709" s="18">
        <v>4707</v>
      </c>
      <c r="E4709" s="18" cm="1">
        <f t="array" aca="1" ref="E4709" ca="1">INDIRECT("b"&amp;F4709+2)</f>
        <v>0</v>
      </c>
      <c r="F4709" s="18">
        <f t="shared" si="971"/>
        <v>6674</v>
      </c>
      <c r="G4709" s="18"/>
      <c r="H4709" s="18"/>
      <c r="I4709" s="19">
        <v>4707</v>
      </c>
      <c r="J4709" s="19" cm="1">
        <f t="array" aca="1" ref="J4709" ca="1">INDIRECT("b"&amp;K4709+2)</f>
        <v>0</v>
      </c>
      <c r="K4709" s="19">
        <f t="shared" si="968"/>
        <v>7874</v>
      </c>
    </row>
    <row r="4710" spans="1:11">
      <c r="A4710">
        <v>4708</v>
      </c>
      <c r="B4710">
        <v>6.8499999999999995E+139</v>
      </c>
      <c r="D4710" s="18">
        <v>4708</v>
      </c>
      <c r="E4710" s="18" cm="1">
        <f t="array" aca="1" ref="E4710" ca="1">INDIRECT("b"&amp;F4710+2)</f>
        <v>0</v>
      </c>
      <c r="F4710" s="18">
        <f t="shared" si="971"/>
        <v>6676</v>
      </c>
      <c r="G4710" s="18"/>
      <c r="H4710" s="18"/>
      <c r="I4710" s="19">
        <v>4708</v>
      </c>
      <c r="J4710" s="19" cm="1">
        <f t="array" aca="1" ref="J4710" ca="1">INDIRECT("b"&amp;K4710+2)</f>
        <v>0</v>
      </c>
      <c r="K4710" s="19">
        <f t="shared" si="968"/>
        <v>7876</v>
      </c>
    </row>
    <row r="4711" spans="1:11">
      <c r="A4711">
        <v>4709</v>
      </c>
      <c r="B4711">
        <v>7.0749999999999991E+139</v>
      </c>
      <c r="D4711" s="18">
        <v>4709</v>
      </c>
      <c r="E4711" s="18" cm="1">
        <f t="array" aca="1" ref="E4711" ca="1">INDIRECT("b"&amp;F4711+2)</f>
        <v>0</v>
      </c>
      <c r="F4711" s="18">
        <f t="shared" si="971"/>
        <v>6677</v>
      </c>
      <c r="G4711" s="18" t="e">
        <f t="shared" ref="G4711" ca="1" si="976">E4711/E4706</f>
        <v>#DIV/0!</v>
      </c>
      <c r="H4711" s="18"/>
      <c r="I4711" s="19">
        <v>4709</v>
      </c>
      <c r="J4711" s="19" cm="1">
        <f t="array" aca="1" ref="J4711" ca="1">INDIRECT("b"&amp;K4711+2)</f>
        <v>0</v>
      </c>
      <c r="K4711" s="19">
        <f t="shared" si="968"/>
        <v>7877</v>
      </c>
    </row>
    <row r="4712" spans="1:11">
      <c r="A4712">
        <v>4710</v>
      </c>
      <c r="B4712">
        <v>7.2999999999999998E+139</v>
      </c>
      <c r="D4712" s="18">
        <v>4710</v>
      </c>
      <c r="E4712" s="18" cm="1">
        <f t="array" aca="1" ref="E4712" ca="1">INDIRECT("b"&amp;F4712+2)</f>
        <v>0</v>
      </c>
      <c r="F4712" s="18">
        <f t="shared" si="971"/>
        <v>6678</v>
      </c>
      <c r="G4712" s="18"/>
      <c r="H4712" s="18"/>
      <c r="I4712" s="19">
        <v>4710</v>
      </c>
      <c r="J4712" s="19" cm="1">
        <f t="array" aca="1" ref="J4712" ca="1">INDIRECT("b"&amp;K4712+2)</f>
        <v>0</v>
      </c>
      <c r="K4712" s="19">
        <f t="shared" si="968"/>
        <v>7878</v>
      </c>
    </row>
    <row r="4713" spans="1:11">
      <c r="A4713">
        <v>4711</v>
      </c>
      <c r="B4713">
        <v>7.5249999999999994E+139</v>
      </c>
      <c r="D4713" s="18">
        <v>4711</v>
      </c>
      <c r="E4713" s="18" cm="1">
        <f t="array" aca="1" ref="E4713" ca="1">INDIRECT("b"&amp;F4713+2)</f>
        <v>0</v>
      </c>
      <c r="F4713" s="18">
        <f t="shared" si="971"/>
        <v>6680</v>
      </c>
      <c r="G4713" s="18"/>
      <c r="H4713" s="18"/>
      <c r="I4713" s="19">
        <v>4711</v>
      </c>
      <c r="J4713" s="19" cm="1">
        <f t="array" aca="1" ref="J4713" ca="1">INDIRECT("b"&amp;K4713+2)</f>
        <v>0</v>
      </c>
      <c r="K4713" s="19">
        <f t="shared" si="968"/>
        <v>7880</v>
      </c>
    </row>
    <row r="4714" spans="1:11">
      <c r="A4714">
        <v>4712</v>
      </c>
      <c r="B4714">
        <v>7.749999999999999E+139</v>
      </c>
      <c r="D4714" s="18">
        <v>4712</v>
      </c>
      <c r="E4714" s="18" cm="1">
        <f t="array" aca="1" ref="E4714" ca="1">INDIRECT("b"&amp;F4714+2)</f>
        <v>0</v>
      </c>
      <c r="F4714" s="18">
        <f t="shared" si="971"/>
        <v>6681</v>
      </c>
      <c r="G4714" s="18"/>
      <c r="H4714" s="18"/>
      <c r="I4714" s="19">
        <v>4712</v>
      </c>
      <c r="J4714" s="19" cm="1">
        <f t="array" aca="1" ref="J4714" ca="1">INDIRECT("b"&amp;K4714+2)</f>
        <v>0</v>
      </c>
      <c r="K4714" s="19">
        <f t="shared" si="968"/>
        <v>7881</v>
      </c>
    </row>
    <row r="4715" spans="1:11">
      <c r="A4715">
        <v>4713</v>
      </c>
      <c r="B4715">
        <v>7.9749999999999997E+139</v>
      </c>
      <c r="D4715" s="18">
        <v>4713</v>
      </c>
      <c r="E4715" s="18" cm="1">
        <f t="array" aca="1" ref="E4715" ca="1">INDIRECT("b"&amp;F4715+2)</f>
        <v>0</v>
      </c>
      <c r="F4715" s="18">
        <f t="shared" si="971"/>
        <v>6682</v>
      </c>
      <c r="G4715" s="18"/>
      <c r="H4715" s="18"/>
      <c r="I4715" s="19">
        <v>4713</v>
      </c>
      <c r="J4715" s="19" cm="1">
        <f t="array" aca="1" ref="J4715" ca="1">INDIRECT("b"&amp;K4715+2)</f>
        <v>0</v>
      </c>
      <c r="K4715" s="19">
        <f t="shared" si="968"/>
        <v>7882</v>
      </c>
    </row>
    <row r="4716" spans="1:11">
      <c r="A4716">
        <v>4714</v>
      </c>
      <c r="B4716">
        <v>8.1999999999999993E+139</v>
      </c>
      <c r="D4716" s="18">
        <v>4714</v>
      </c>
      <c r="E4716" s="18" cm="1">
        <f t="array" aca="1" ref="E4716" ca="1">INDIRECT("b"&amp;F4716+2)</f>
        <v>0</v>
      </c>
      <c r="F4716" s="18">
        <f t="shared" si="971"/>
        <v>6684</v>
      </c>
      <c r="G4716" s="18" t="e">
        <f t="shared" ref="G4716" ca="1" si="977">E4716/E4711</f>
        <v>#DIV/0!</v>
      </c>
      <c r="H4716" s="18"/>
      <c r="I4716" s="19">
        <v>4714</v>
      </c>
      <c r="J4716" s="19" cm="1">
        <f t="array" aca="1" ref="J4716" ca="1">INDIRECT("b"&amp;K4716+2)</f>
        <v>0</v>
      </c>
      <c r="K4716" s="19">
        <f t="shared" si="968"/>
        <v>7884</v>
      </c>
    </row>
    <row r="4717" spans="1:11">
      <c r="A4717">
        <v>4715</v>
      </c>
      <c r="B4717">
        <v>8.424999999999999E+139</v>
      </c>
      <c r="D4717" s="18">
        <v>4715</v>
      </c>
      <c r="E4717" s="18" cm="1">
        <f t="array" aca="1" ref="E4717" ca="1">INDIRECT("b"&amp;F4717+2)</f>
        <v>0</v>
      </c>
      <c r="F4717" s="18">
        <f t="shared" si="971"/>
        <v>6685</v>
      </c>
      <c r="G4717" s="18"/>
      <c r="H4717" s="18"/>
      <c r="I4717" s="19">
        <v>4715</v>
      </c>
      <c r="J4717" s="19" cm="1">
        <f t="array" aca="1" ref="J4717" ca="1">INDIRECT("b"&amp;K4717+2)</f>
        <v>0</v>
      </c>
      <c r="K4717" s="19">
        <f t="shared" si="968"/>
        <v>7885</v>
      </c>
    </row>
    <row r="4718" spans="1:11">
      <c r="A4718">
        <v>4716</v>
      </c>
      <c r="B4718">
        <v>8.6499999999999997E+139</v>
      </c>
      <c r="D4718" s="18">
        <v>4716</v>
      </c>
      <c r="E4718" s="18" cm="1">
        <f t="array" aca="1" ref="E4718" ca="1">INDIRECT("b"&amp;F4718+2)</f>
        <v>0</v>
      </c>
      <c r="F4718" s="18">
        <f t="shared" si="971"/>
        <v>6686</v>
      </c>
      <c r="G4718" s="18"/>
      <c r="H4718" s="18"/>
      <c r="I4718" s="19">
        <v>4716</v>
      </c>
      <c r="J4718" s="19" cm="1">
        <f t="array" aca="1" ref="J4718" ca="1">INDIRECT("b"&amp;K4718+2)</f>
        <v>0</v>
      </c>
      <c r="K4718" s="19">
        <f t="shared" si="968"/>
        <v>7886</v>
      </c>
    </row>
    <row r="4719" spans="1:11">
      <c r="A4719">
        <v>4717</v>
      </c>
      <c r="B4719">
        <v>8.8749999999999993E+139</v>
      </c>
      <c r="D4719" s="18">
        <v>4717</v>
      </c>
      <c r="E4719" s="18" cm="1">
        <f t="array" aca="1" ref="E4719" ca="1">INDIRECT("b"&amp;F4719+2)</f>
        <v>0</v>
      </c>
      <c r="F4719" s="18">
        <f t="shared" si="971"/>
        <v>6688</v>
      </c>
      <c r="G4719" s="18"/>
      <c r="H4719" s="18"/>
      <c r="I4719" s="19">
        <v>4717</v>
      </c>
      <c r="J4719" s="19" cm="1">
        <f t="array" aca="1" ref="J4719" ca="1">INDIRECT("b"&amp;K4719+2)</f>
        <v>0</v>
      </c>
      <c r="K4719" s="19">
        <f t="shared" si="968"/>
        <v>7888</v>
      </c>
    </row>
    <row r="4720" spans="1:11">
      <c r="A4720">
        <v>4718</v>
      </c>
      <c r="B4720">
        <v>9.0999999999999989E+139</v>
      </c>
      <c r="D4720" s="18">
        <v>4718</v>
      </c>
      <c r="E4720" s="18" cm="1">
        <f t="array" aca="1" ref="E4720" ca="1">INDIRECT("b"&amp;F4720+2)</f>
        <v>0</v>
      </c>
      <c r="F4720" s="18">
        <f t="shared" si="971"/>
        <v>6689</v>
      </c>
      <c r="G4720" s="18"/>
      <c r="H4720" s="18"/>
      <c r="I4720" s="19">
        <v>4718</v>
      </c>
      <c r="J4720" s="19" cm="1">
        <f t="array" aca="1" ref="J4720" ca="1">INDIRECT("b"&amp;K4720+2)</f>
        <v>0</v>
      </c>
      <c r="K4720" s="19">
        <f t="shared" si="968"/>
        <v>7889</v>
      </c>
    </row>
    <row r="4721" spans="1:11">
      <c r="A4721">
        <v>4719</v>
      </c>
      <c r="B4721">
        <v>9.3249999999999996E+139</v>
      </c>
      <c r="D4721" s="18">
        <v>4719</v>
      </c>
      <c r="E4721" s="18" cm="1">
        <f t="array" aca="1" ref="E4721" ca="1">INDIRECT("b"&amp;F4721+2)</f>
        <v>0</v>
      </c>
      <c r="F4721" s="18">
        <f t="shared" si="971"/>
        <v>6690</v>
      </c>
      <c r="G4721" s="18" t="e">
        <f t="shared" ref="G4721" ca="1" si="978">E4721/E4716</f>
        <v>#DIV/0!</v>
      </c>
      <c r="H4721" s="18"/>
      <c r="I4721" s="19">
        <v>4719</v>
      </c>
      <c r="J4721" s="19" cm="1">
        <f t="array" aca="1" ref="J4721" ca="1">INDIRECT("b"&amp;K4721+2)</f>
        <v>0</v>
      </c>
      <c r="K4721" s="19">
        <f t="shared" si="968"/>
        <v>7890</v>
      </c>
    </row>
    <row r="4722" spans="1:11">
      <c r="A4722">
        <v>4720</v>
      </c>
      <c r="B4722">
        <v>9.5499999999999992E+139</v>
      </c>
      <c r="D4722" s="18">
        <v>4720</v>
      </c>
      <c r="E4722" s="18" cm="1">
        <f t="array" aca="1" ref="E4722" ca="1">INDIRECT("b"&amp;F4722+2)</f>
        <v>0</v>
      </c>
      <c r="F4722" s="18">
        <f t="shared" si="971"/>
        <v>6692</v>
      </c>
      <c r="G4722" s="18"/>
      <c r="H4722" s="18"/>
      <c r="I4722" s="19">
        <v>4720</v>
      </c>
      <c r="J4722" s="19" cm="1">
        <f t="array" aca="1" ref="J4722" ca="1">INDIRECT("b"&amp;K4722+2)</f>
        <v>0</v>
      </c>
      <c r="K4722" s="19">
        <f t="shared" si="968"/>
        <v>7892</v>
      </c>
    </row>
    <row r="4723" spans="1:11">
      <c r="A4723">
        <v>4721</v>
      </c>
      <c r="B4723">
        <v>9.7749999999999999E+139</v>
      </c>
      <c r="D4723" s="18">
        <v>4721</v>
      </c>
      <c r="E4723" s="18" cm="1">
        <f t="array" aca="1" ref="E4723" ca="1">INDIRECT("b"&amp;F4723+2)</f>
        <v>0</v>
      </c>
      <c r="F4723" s="18">
        <f t="shared" si="971"/>
        <v>6693</v>
      </c>
      <c r="G4723" s="18"/>
      <c r="H4723" s="18"/>
      <c r="I4723" s="19">
        <v>4721</v>
      </c>
      <c r="J4723" s="19" cm="1">
        <f t="array" aca="1" ref="J4723" ca="1">INDIRECT("b"&amp;K4723+2)</f>
        <v>0</v>
      </c>
      <c r="K4723" s="19">
        <f t="shared" si="968"/>
        <v>7893</v>
      </c>
    </row>
    <row r="4724" spans="1:11">
      <c r="A4724">
        <v>4722</v>
      </c>
      <c r="B4724">
        <v>1.0000000000000001E+140</v>
      </c>
      <c r="D4724" s="18">
        <v>4722</v>
      </c>
      <c r="E4724" s="18" cm="1">
        <f t="array" aca="1" ref="E4724" ca="1">INDIRECT("b"&amp;F4724+2)</f>
        <v>0</v>
      </c>
      <c r="F4724" s="18">
        <f t="shared" si="971"/>
        <v>6694</v>
      </c>
      <c r="G4724" s="18"/>
      <c r="H4724" s="18"/>
      <c r="I4724" s="19">
        <v>4722</v>
      </c>
      <c r="J4724" s="19" cm="1">
        <f t="array" aca="1" ref="J4724" ca="1">INDIRECT("b"&amp;K4724+2)</f>
        <v>0</v>
      </c>
      <c r="K4724" s="19">
        <f t="shared" si="968"/>
        <v>7894</v>
      </c>
    </row>
    <row r="4725" spans="1:11">
      <c r="A4725">
        <v>4723</v>
      </c>
      <c r="B4725">
        <v>1.2249999999999999E+140</v>
      </c>
      <c r="D4725" s="18">
        <v>4723</v>
      </c>
      <c r="E4725" s="18" cm="1">
        <f t="array" aca="1" ref="E4725" ca="1">INDIRECT("b"&amp;F4725+2)</f>
        <v>0</v>
      </c>
      <c r="F4725" s="18">
        <f t="shared" si="971"/>
        <v>6696</v>
      </c>
      <c r="G4725" s="18"/>
      <c r="H4725" s="18"/>
      <c r="I4725" s="19">
        <v>4723</v>
      </c>
      <c r="J4725" s="19" cm="1">
        <f t="array" aca="1" ref="J4725" ca="1">INDIRECT("b"&amp;K4725+2)</f>
        <v>0</v>
      </c>
      <c r="K4725" s="19">
        <f t="shared" si="968"/>
        <v>7896</v>
      </c>
    </row>
    <row r="4726" spans="1:11">
      <c r="A4726">
        <v>4724</v>
      </c>
      <c r="B4726">
        <v>1.4499999999999999E+140</v>
      </c>
      <c r="D4726" s="18">
        <v>4724</v>
      </c>
      <c r="E4726" s="18" cm="1">
        <f t="array" aca="1" ref="E4726" ca="1">INDIRECT("b"&amp;F4726+2)</f>
        <v>0</v>
      </c>
      <c r="F4726" s="18">
        <f t="shared" si="971"/>
        <v>6697</v>
      </c>
      <c r="G4726" s="18" t="e">
        <f t="shared" ref="G4726" ca="1" si="979">E4726/E4721</f>
        <v>#DIV/0!</v>
      </c>
      <c r="H4726" s="18"/>
      <c r="I4726" s="19">
        <v>4724</v>
      </c>
      <c r="J4726" s="19" cm="1">
        <f t="array" aca="1" ref="J4726" ca="1">INDIRECT("b"&amp;K4726+2)</f>
        <v>0</v>
      </c>
      <c r="K4726" s="19">
        <f t="shared" si="968"/>
        <v>7897</v>
      </c>
    </row>
    <row r="4727" spans="1:11">
      <c r="A4727">
        <v>4725</v>
      </c>
      <c r="B4727">
        <v>1.675E+140</v>
      </c>
      <c r="D4727" s="18">
        <v>4725</v>
      </c>
      <c r="E4727" s="18" cm="1">
        <f t="array" aca="1" ref="E4727" ca="1">INDIRECT("b"&amp;F4727+2)</f>
        <v>0</v>
      </c>
      <c r="F4727" s="18">
        <f t="shared" si="971"/>
        <v>6698</v>
      </c>
      <c r="G4727" s="18"/>
      <c r="H4727" s="18"/>
      <c r="I4727" s="19">
        <v>4725</v>
      </c>
      <c r="J4727" s="19" cm="1">
        <f t="array" aca="1" ref="J4727" ca="1">INDIRECT("b"&amp;K4727+2)</f>
        <v>0</v>
      </c>
      <c r="K4727" s="19">
        <f t="shared" si="968"/>
        <v>7898</v>
      </c>
    </row>
    <row r="4728" spans="1:11">
      <c r="A4728">
        <v>4726</v>
      </c>
      <c r="B4728">
        <v>1.9E+140</v>
      </c>
      <c r="D4728" s="18">
        <v>4726</v>
      </c>
      <c r="E4728" s="18" cm="1">
        <f t="array" aca="1" ref="E4728" ca="1">INDIRECT("b"&amp;F4728+2)</f>
        <v>0</v>
      </c>
      <c r="F4728" s="18">
        <f t="shared" si="971"/>
        <v>6700</v>
      </c>
      <c r="G4728" s="18"/>
      <c r="H4728" s="18"/>
      <c r="I4728" s="19">
        <v>4726</v>
      </c>
      <c r="J4728" s="19" cm="1">
        <f t="array" aca="1" ref="J4728" ca="1">INDIRECT("b"&amp;K4728+2)</f>
        <v>0</v>
      </c>
      <c r="K4728" s="19">
        <f t="shared" si="968"/>
        <v>7900</v>
      </c>
    </row>
    <row r="4729" spans="1:11">
      <c r="A4729">
        <v>4727</v>
      </c>
      <c r="B4729">
        <v>2.1249999999999999E+140</v>
      </c>
      <c r="D4729" s="18">
        <v>4727</v>
      </c>
      <c r="E4729" s="18" cm="1">
        <f t="array" aca="1" ref="E4729" ca="1">INDIRECT("b"&amp;F4729+2)</f>
        <v>0</v>
      </c>
      <c r="F4729" s="18">
        <f t="shared" si="971"/>
        <v>6701</v>
      </c>
      <c r="G4729" s="18"/>
      <c r="H4729" s="18"/>
      <c r="I4729" s="19">
        <v>4727</v>
      </c>
      <c r="J4729" s="19" cm="1">
        <f t="array" aca="1" ref="J4729" ca="1">INDIRECT("b"&amp;K4729+2)</f>
        <v>0</v>
      </c>
      <c r="K4729" s="19">
        <f t="shared" si="968"/>
        <v>7901</v>
      </c>
    </row>
    <row r="4730" spans="1:11">
      <c r="A4730">
        <v>4728</v>
      </c>
      <c r="B4730">
        <v>2.3500000000000001E+140</v>
      </c>
      <c r="D4730" s="18">
        <v>4728</v>
      </c>
      <c r="E4730" s="18" cm="1">
        <f t="array" aca="1" ref="E4730" ca="1">INDIRECT("b"&amp;F4730+2)</f>
        <v>0</v>
      </c>
      <c r="F4730" s="18">
        <f t="shared" si="971"/>
        <v>6702</v>
      </c>
      <c r="G4730" s="18"/>
      <c r="H4730" s="18"/>
      <c r="I4730" s="19">
        <v>4728</v>
      </c>
      <c r="J4730" s="19" cm="1">
        <f t="array" aca="1" ref="J4730" ca="1">INDIRECT("b"&amp;K4730+2)</f>
        <v>0</v>
      </c>
      <c r="K4730" s="19">
        <f t="shared" si="968"/>
        <v>7902</v>
      </c>
    </row>
    <row r="4731" spans="1:11">
      <c r="A4731">
        <v>4729</v>
      </c>
      <c r="B4731">
        <v>2.575E+140</v>
      </c>
      <c r="D4731" s="18">
        <v>4729</v>
      </c>
      <c r="E4731" s="18" cm="1">
        <f t="array" aca="1" ref="E4731" ca="1">INDIRECT("b"&amp;F4731+2)</f>
        <v>0</v>
      </c>
      <c r="F4731" s="18">
        <f t="shared" si="971"/>
        <v>6704</v>
      </c>
      <c r="G4731" s="18" t="e">
        <f t="shared" ref="G4731" ca="1" si="980">E4731/E4726</f>
        <v>#DIV/0!</v>
      </c>
      <c r="H4731" s="18"/>
      <c r="I4731" s="19">
        <v>4729</v>
      </c>
      <c r="J4731" s="19" cm="1">
        <f t="array" aca="1" ref="J4731" ca="1">INDIRECT("b"&amp;K4731+2)</f>
        <v>0</v>
      </c>
      <c r="K4731" s="19">
        <f t="shared" si="968"/>
        <v>7904</v>
      </c>
    </row>
    <row r="4732" spans="1:11">
      <c r="A4732">
        <v>4730</v>
      </c>
      <c r="B4732">
        <v>2.7999999999999998E+140</v>
      </c>
      <c r="D4732" s="18">
        <v>4730</v>
      </c>
      <c r="E4732" s="18" cm="1">
        <f t="array" aca="1" ref="E4732" ca="1">INDIRECT("b"&amp;F4732+2)</f>
        <v>0</v>
      </c>
      <c r="F4732" s="18">
        <f t="shared" si="971"/>
        <v>6705</v>
      </c>
      <c r="G4732" s="18"/>
      <c r="H4732" s="18"/>
      <c r="I4732" s="19">
        <v>4730</v>
      </c>
      <c r="J4732" s="19" cm="1">
        <f t="array" aca="1" ref="J4732" ca="1">INDIRECT("b"&amp;K4732+2)</f>
        <v>0</v>
      </c>
      <c r="K4732" s="19">
        <f t="shared" si="968"/>
        <v>7905</v>
      </c>
    </row>
    <row r="4733" spans="1:11">
      <c r="A4733">
        <v>4731</v>
      </c>
      <c r="B4733">
        <v>3.0250000000000001E+140</v>
      </c>
      <c r="D4733" s="18">
        <v>4731</v>
      </c>
      <c r="E4733" s="18" cm="1">
        <f t="array" aca="1" ref="E4733" ca="1">INDIRECT("b"&amp;F4733+2)</f>
        <v>0</v>
      </c>
      <c r="F4733" s="18">
        <f t="shared" si="971"/>
        <v>6706</v>
      </c>
      <c r="G4733" s="18"/>
      <c r="H4733" s="18"/>
      <c r="I4733" s="19">
        <v>4731</v>
      </c>
      <c r="J4733" s="19" cm="1">
        <f t="array" aca="1" ref="J4733" ca="1">INDIRECT("b"&amp;K4733+2)</f>
        <v>0</v>
      </c>
      <c r="K4733" s="19">
        <f t="shared" si="968"/>
        <v>7906</v>
      </c>
    </row>
    <row r="4734" spans="1:11">
      <c r="A4734">
        <v>4732</v>
      </c>
      <c r="B4734">
        <v>3.2499999999999999E+140</v>
      </c>
      <c r="D4734" s="18">
        <v>4732</v>
      </c>
      <c r="E4734" s="18" cm="1">
        <f t="array" aca="1" ref="E4734" ca="1">INDIRECT("b"&amp;F4734+2)</f>
        <v>0</v>
      </c>
      <c r="F4734" s="18">
        <f t="shared" si="971"/>
        <v>6708</v>
      </c>
      <c r="G4734" s="18"/>
      <c r="H4734" s="18"/>
      <c r="I4734" s="19">
        <v>4732</v>
      </c>
      <c r="J4734" s="19" cm="1">
        <f t="array" aca="1" ref="J4734" ca="1">INDIRECT("b"&amp;K4734+2)</f>
        <v>0</v>
      </c>
      <c r="K4734" s="19">
        <f t="shared" si="968"/>
        <v>7908</v>
      </c>
    </row>
    <row r="4735" spans="1:11">
      <c r="A4735">
        <v>4733</v>
      </c>
      <c r="B4735">
        <v>3.4749999999999998E+140</v>
      </c>
      <c r="D4735" s="18">
        <v>4733</v>
      </c>
      <c r="E4735" s="18" cm="1">
        <f t="array" aca="1" ref="E4735" ca="1">INDIRECT("b"&amp;F4735+2)</f>
        <v>0</v>
      </c>
      <c r="F4735" s="18">
        <f t="shared" si="971"/>
        <v>6709</v>
      </c>
      <c r="G4735" s="18"/>
      <c r="H4735" s="18"/>
      <c r="I4735" s="19">
        <v>4733</v>
      </c>
      <c r="J4735" s="19" cm="1">
        <f t="array" aca="1" ref="J4735" ca="1">INDIRECT("b"&amp;K4735+2)</f>
        <v>0</v>
      </c>
      <c r="K4735" s="19">
        <f t="shared" si="968"/>
        <v>7909</v>
      </c>
    </row>
    <row r="4736" spans="1:11">
      <c r="A4736">
        <v>4734</v>
      </c>
      <c r="B4736">
        <v>3.7E+140</v>
      </c>
      <c r="D4736" s="18">
        <v>4734</v>
      </c>
      <c r="E4736" s="18" cm="1">
        <f t="array" aca="1" ref="E4736" ca="1">INDIRECT("b"&amp;F4736+2)</f>
        <v>0</v>
      </c>
      <c r="F4736" s="18">
        <f t="shared" si="971"/>
        <v>6710</v>
      </c>
      <c r="G4736" s="18" t="e">
        <f t="shared" ref="G4736" ca="1" si="981">E4736/E4731</f>
        <v>#DIV/0!</v>
      </c>
      <c r="H4736" s="18"/>
      <c r="I4736" s="19">
        <v>4734</v>
      </c>
      <c r="J4736" s="19" cm="1">
        <f t="array" aca="1" ref="J4736" ca="1">INDIRECT("b"&amp;K4736+2)</f>
        <v>0</v>
      </c>
      <c r="K4736" s="19">
        <f t="shared" si="968"/>
        <v>7910</v>
      </c>
    </row>
    <row r="4737" spans="1:11">
      <c r="A4737">
        <v>4735</v>
      </c>
      <c r="B4737">
        <v>3.9250000000000003E+140</v>
      </c>
      <c r="D4737" s="18">
        <v>4735</v>
      </c>
      <c r="E4737" s="18" cm="1">
        <f t="array" aca="1" ref="E4737" ca="1">INDIRECT("b"&amp;F4737+2)</f>
        <v>0</v>
      </c>
      <c r="F4737" s="18">
        <f t="shared" si="971"/>
        <v>6712</v>
      </c>
      <c r="G4737" s="18"/>
      <c r="H4737" s="18"/>
      <c r="I4737" s="19">
        <v>4735</v>
      </c>
      <c r="J4737" s="19" cm="1">
        <f t="array" aca="1" ref="J4737" ca="1">INDIRECT("b"&amp;K4737+2)</f>
        <v>0</v>
      </c>
      <c r="K4737" s="19">
        <f t="shared" si="968"/>
        <v>7912</v>
      </c>
    </row>
    <row r="4738" spans="1:11">
      <c r="A4738">
        <v>4736</v>
      </c>
      <c r="B4738">
        <v>4.1500000000000001E+140</v>
      </c>
      <c r="D4738" s="18">
        <v>4736</v>
      </c>
      <c r="E4738" s="18" cm="1">
        <f t="array" aca="1" ref="E4738" ca="1">INDIRECT("b"&amp;F4738+2)</f>
        <v>0</v>
      </c>
      <c r="F4738" s="18">
        <f t="shared" si="971"/>
        <v>6713</v>
      </c>
      <c r="G4738" s="18"/>
      <c r="H4738" s="18"/>
      <c r="I4738" s="19">
        <v>4736</v>
      </c>
      <c r="J4738" s="19" cm="1">
        <f t="array" aca="1" ref="J4738" ca="1">INDIRECT("b"&amp;K4738+2)</f>
        <v>0</v>
      </c>
      <c r="K4738" s="19">
        <f t="shared" si="968"/>
        <v>7913</v>
      </c>
    </row>
    <row r="4739" spans="1:11">
      <c r="A4739">
        <v>4737</v>
      </c>
      <c r="B4739">
        <v>4.375E+140</v>
      </c>
      <c r="D4739" s="18">
        <v>4737</v>
      </c>
      <c r="E4739" s="18" cm="1">
        <f t="array" aca="1" ref="E4739" ca="1">INDIRECT("b"&amp;F4739+2)</f>
        <v>0</v>
      </c>
      <c r="F4739" s="18">
        <f t="shared" si="971"/>
        <v>6714</v>
      </c>
      <c r="G4739" s="18"/>
      <c r="H4739" s="18"/>
      <c r="I4739" s="19">
        <v>4737</v>
      </c>
      <c r="J4739" s="19" cm="1">
        <f t="array" aca="1" ref="J4739" ca="1">INDIRECT("b"&amp;K4739+2)</f>
        <v>0</v>
      </c>
      <c r="K4739" s="19">
        <f t="shared" si="968"/>
        <v>7914</v>
      </c>
    </row>
    <row r="4740" spans="1:11">
      <c r="A4740">
        <v>4738</v>
      </c>
      <c r="B4740">
        <v>4.5999999999999998E+140</v>
      </c>
      <c r="D4740" s="18">
        <v>4738</v>
      </c>
      <c r="E4740" s="18" cm="1">
        <f t="array" aca="1" ref="E4740" ca="1">INDIRECT("b"&amp;F4740+2)</f>
        <v>0</v>
      </c>
      <c r="F4740" s="18">
        <f t="shared" si="971"/>
        <v>6716</v>
      </c>
      <c r="G4740" s="18"/>
      <c r="H4740" s="18"/>
      <c r="I4740" s="19">
        <v>4738</v>
      </c>
      <c r="J4740" s="19" cm="1">
        <f t="array" aca="1" ref="J4740" ca="1">INDIRECT("b"&amp;K4740+2)</f>
        <v>0</v>
      </c>
      <c r="K4740" s="19">
        <f t="shared" ref="K4740:K4803" si="982">INT((A4740-1)*40/30+900*40/30)+400</f>
        <v>7916</v>
      </c>
    </row>
    <row r="4741" spans="1:11">
      <c r="A4741">
        <v>4739</v>
      </c>
      <c r="B4741">
        <v>4.8249999999999996E+140</v>
      </c>
      <c r="D4741" s="18">
        <v>4739</v>
      </c>
      <c r="E4741" s="18" cm="1">
        <f t="array" aca="1" ref="E4741" ca="1">INDIRECT("b"&amp;F4741+2)</f>
        <v>0</v>
      </c>
      <c r="F4741" s="18">
        <f t="shared" si="971"/>
        <v>6717</v>
      </c>
      <c r="G4741" s="18" t="e">
        <f t="shared" ref="G4741" ca="1" si="983">E4741/E4736</f>
        <v>#DIV/0!</v>
      </c>
      <c r="H4741" s="18"/>
      <c r="I4741" s="19">
        <v>4739</v>
      </c>
      <c r="J4741" s="19" cm="1">
        <f t="array" aca="1" ref="J4741" ca="1">INDIRECT("b"&amp;K4741+2)</f>
        <v>0</v>
      </c>
      <c r="K4741" s="19">
        <f t="shared" si="982"/>
        <v>7917</v>
      </c>
    </row>
    <row r="4742" spans="1:11">
      <c r="A4742">
        <v>4740</v>
      </c>
      <c r="B4742">
        <v>5.0500000000000003E+140</v>
      </c>
      <c r="D4742" s="18">
        <v>4740</v>
      </c>
      <c r="E4742" s="18" cm="1">
        <f t="array" aca="1" ref="E4742" ca="1">INDIRECT("b"&amp;F4742+2)</f>
        <v>0</v>
      </c>
      <c r="F4742" s="18">
        <f t="shared" si="971"/>
        <v>6718</v>
      </c>
      <c r="G4742" s="18"/>
      <c r="H4742" s="18"/>
      <c r="I4742" s="19">
        <v>4740</v>
      </c>
      <c r="J4742" s="19" cm="1">
        <f t="array" aca="1" ref="J4742" ca="1">INDIRECT("b"&amp;K4742+2)</f>
        <v>0</v>
      </c>
      <c r="K4742" s="19">
        <f t="shared" si="982"/>
        <v>7918</v>
      </c>
    </row>
    <row r="4743" spans="1:11">
      <c r="A4743">
        <v>4741</v>
      </c>
      <c r="B4743">
        <v>5.2750000000000002E+140</v>
      </c>
      <c r="D4743" s="18">
        <v>4741</v>
      </c>
      <c r="E4743" s="18" cm="1">
        <f t="array" aca="1" ref="E4743" ca="1">INDIRECT("b"&amp;F4743+2)</f>
        <v>0</v>
      </c>
      <c r="F4743" s="18">
        <f t="shared" si="971"/>
        <v>6720</v>
      </c>
      <c r="G4743" s="18"/>
      <c r="H4743" s="18"/>
      <c r="I4743" s="19">
        <v>4741</v>
      </c>
      <c r="J4743" s="19" cm="1">
        <f t="array" aca="1" ref="J4743" ca="1">INDIRECT("b"&amp;K4743+2)</f>
        <v>0</v>
      </c>
      <c r="K4743" s="19">
        <f t="shared" si="982"/>
        <v>7920</v>
      </c>
    </row>
    <row r="4744" spans="1:11">
      <c r="A4744">
        <v>4742</v>
      </c>
      <c r="B4744">
        <v>5.5E+140</v>
      </c>
      <c r="D4744" s="18">
        <v>4742</v>
      </c>
      <c r="E4744" s="18" cm="1">
        <f t="array" aca="1" ref="E4744" ca="1">INDIRECT("b"&amp;F4744+2)</f>
        <v>0</v>
      </c>
      <c r="F4744" s="18">
        <f t="shared" si="971"/>
        <v>6721</v>
      </c>
      <c r="G4744" s="18"/>
      <c r="H4744" s="18"/>
      <c r="I4744" s="19">
        <v>4742</v>
      </c>
      <c r="J4744" s="19" cm="1">
        <f t="array" aca="1" ref="J4744" ca="1">INDIRECT("b"&amp;K4744+2)</f>
        <v>0</v>
      </c>
      <c r="K4744" s="19">
        <f t="shared" si="982"/>
        <v>7921</v>
      </c>
    </row>
    <row r="4745" spans="1:11">
      <c r="A4745">
        <v>4743</v>
      </c>
      <c r="B4745">
        <v>5.7249999999999998E+140</v>
      </c>
      <c r="D4745" s="18">
        <v>4743</v>
      </c>
      <c r="E4745" s="18" cm="1">
        <f t="array" aca="1" ref="E4745" ca="1">INDIRECT("b"&amp;F4745+2)</f>
        <v>0</v>
      </c>
      <c r="F4745" s="18">
        <f t="shared" si="971"/>
        <v>6722</v>
      </c>
      <c r="G4745" s="18"/>
      <c r="H4745" s="18"/>
      <c r="I4745" s="19">
        <v>4743</v>
      </c>
      <c r="J4745" s="19" cm="1">
        <f t="array" aca="1" ref="J4745" ca="1">INDIRECT("b"&amp;K4745+2)</f>
        <v>0</v>
      </c>
      <c r="K4745" s="19">
        <f t="shared" si="982"/>
        <v>7922</v>
      </c>
    </row>
    <row r="4746" spans="1:11">
      <c r="A4746">
        <v>4744</v>
      </c>
      <c r="B4746">
        <v>5.9499999999999997E+140</v>
      </c>
      <c r="D4746" s="18">
        <v>4744</v>
      </c>
      <c r="E4746" s="18" cm="1">
        <f t="array" aca="1" ref="E4746" ca="1">INDIRECT("b"&amp;F4746+2)</f>
        <v>0</v>
      </c>
      <c r="F4746" s="18">
        <f t="shared" si="971"/>
        <v>6724</v>
      </c>
      <c r="G4746" s="18" t="e">
        <f t="shared" ref="G4746" ca="1" si="984">E4746/E4741</f>
        <v>#DIV/0!</v>
      </c>
      <c r="H4746" s="18"/>
      <c r="I4746" s="19">
        <v>4744</v>
      </c>
      <c r="J4746" s="19" cm="1">
        <f t="array" aca="1" ref="J4746" ca="1">INDIRECT("b"&amp;K4746+2)</f>
        <v>0</v>
      </c>
      <c r="K4746" s="19">
        <f t="shared" si="982"/>
        <v>7924</v>
      </c>
    </row>
    <row r="4747" spans="1:11">
      <c r="A4747">
        <v>4745</v>
      </c>
      <c r="B4747">
        <v>6.1749999999999995E+140</v>
      </c>
      <c r="D4747" s="18">
        <v>4745</v>
      </c>
      <c r="E4747" s="18" cm="1">
        <f t="array" aca="1" ref="E4747" ca="1">INDIRECT("b"&amp;F4747+2)</f>
        <v>0</v>
      </c>
      <c r="F4747" s="18">
        <f t="shared" si="971"/>
        <v>6725</v>
      </c>
      <c r="G4747" s="18"/>
      <c r="H4747" s="18"/>
      <c r="I4747" s="19">
        <v>4745</v>
      </c>
      <c r="J4747" s="19" cm="1">
        <f t="array" aca="1" ref="J4747" ca="1">INDIRECT("b"&amp;K4747+2)</f>
        <v>0</v>
      </c>
      <c r="K4747" s="19">
        <f t="shared" si="982"/>
        <v>7925</v>
      </c>
    </row>
    <row r="4748" spans="1:11">
      <c r="A4748">
        <v>4746</v>
      </c>
      <c r="B4748">
        <v>6.4000000000000002E+140</v>
      </c>
      <c r="D4748" s="18">
        <v>4746</v>
      </c>
      <c r="E4748" s="18" cm="1">
        <f t="array" aca="1" ref="E4748" ca="1">INDIRECT("b"&amp;F4748+2)</f>
        <v>0</v>
      </c>
      <c r="F4748" s="18">
        <f t="shared" si="971"/>
        <v>6726</v>
      </c>
      <c r="G4748" s="18"/>
      <c r="H4748" s="18"/>
      <c r="I4748" s="19">
        <v>4746</v>
      </c>
      <c r="J4748" s="19" cm="1">
        <f t="array" aca="1" ref="J4748" ca="1">INDIRECT("b"&amp;K4748+2)</f>
        <v>0</v>
      </c>
      <c r="K4748" s="19">
        <f t="shared" si="982"/>
        <v>7926</v>
      </c>
    </row>
    <row r="4749" spans="1:11">
      <c r="A4749">
        <v>4747</v>
      </c>
      <c r="B4749">
        <v>6.625E+140</v>
      </c>
      <c r="D4749" s="18">
        <v>4747</v>
      </c>
      <c r="E4749" s="18" cm="1">
        <f t="array" aca="1" ref="E4749" ca="1">INDIRECT("b"&amp;F4749+2)</f>
        <v>0</v>
      </c>
      <c r="F4749" s="18">
        <f t="shared" si="971"/>
        <v>6728</v>
      </c>
      <c r="G4749" s="18"/>
      <c r="H4749" s="18"/>
      <c r="I4749" s="19">
        <v>4747</v>
      </c>
      <c r="J4749" s="19" cm="1">
        <f t="array" aca="1" ref="J4749" ca="1">INDIRECT("b"&amp;K4749+2)</f>
        <v>0</v>
      </c>
      <c r="K4749" s="19">
        <f t="shared" si="982"/>
        <v>7928</v>
      </c>
    </row>
    <row r="4750" spans="1:11">
      <c r="A4750">
        <v>4748</v>
      </c>
      <c r="B4750">
        <v>6.8499999999999999E+140</v>
      </c>
      <c r="D4750" s="18">
        <v>4748</v>
      </c>
      <c r="E4750" s="18" cm="1">
        <f t="array" aca="1" ref="E4750" ca="1">INDIRECT("b"&amp;F4750+2)</f>
        <v>0</v>
      </c>
      <c r="F4750" s="18">
        <f t="shared" si="971"/>
        <v>6729</v>
      </c>
      <c r="G4750" s="18"/>
      <c r="H4750" s="18"/>
      <c r="I4750" s="19">
        <v>4748</v>
      </c>
      <c r="J4750" s="19" cm="1">
        <f t="array" aca="1" ref="J4750" ca="1">INDIRECT("b"&amp;K4750+2)</f>
        <v>0</v>
      </c>
      <c r="K4750" s="19">
        <f t="shared" si="982"/>
        <v>7929</v>
      </c>
    </row>
    <row r="4751" spans="1:11">
      <c r="A4751">
        <v>4749</v>
      </c>
      <c r="B4751">
        <v>7.0749999999999997E+140</v>
      </c>
      <c r="D4751" s="18">
        <v>4749</v>
      </c>
      <c r="E4751" s="18" cm="1">
        <f t="array" aca="1" ref="E4751" ca="1">INDIRECT("b"&amp;F4751+2)</f>
        <v>0</v>
      </c>
      <c r="F4751" s="18">
        <f t="shared" si="971"/>
        <v>6730</v>
      </c>
      <c r="G4751" s="18" t="e">
        <f t="shared" ref="G4751" ca="1" si="985">E4751/E4746</f>
        <v>#DIV/0!</v>
      </c>
      <c r="H4751" s="18"/>
      <c r="I4751" s="19">
        <v>4749</v>
      </c>
      <c r="J4751" s="19" cm="1">
        <f t="array" aca="1" ref="J4751" ca="1">INDIRECT("b"&amp;K4751+2)</f>
        <v>0</v>
      </c>
      <c r="K4751" s="19">
        <f t="shared" si="982"/>
        <v>7930</v>
      </c>
    </row>
    <row r="4752" spans="1:11">
      <c r="A4752">
        <v>4750</v>
      </c>
      <c r="B4752">
        <v>7.2999999999999996E+140</v>
      </c>
      <c r="D4752" s="18">
        <v>4750</v>
      </c>
      <c r="E4752" s="18" cm="1">
        <f t="array" aca="1" ref="E4752" ca="1">INDIRECT("b"&amp;F4752+2)</f>
        <v>0</v>
      </c>
      <c r="F4752" s="18">
        <f t="shared" si="971"/>
        <v>6732</v>
      </c>
      <c r="G4752" s="18"/>
      <c r="H4752" s="18"/>
      <c r="I4752" s="19">
        <v>4750</v>
      </c>
      <c r="J4752" s="19" cm="1">
        <f t="array" aca="1" ref="J4752" ca="1">INDIRECT("b"&amp;K4752+2)</f>
        <v>0</v>
      </c>
      <c r="K4752" s="19">
        <f t="shared" si="982"/>
        <v>7932</v>
      </c>
    </row>
    <row r="4753" spans="1:11">
      <c r="A4753">
        <v>4751</v>
      </c>
      <c r="B4753">
        <v>7.5250000000000003E+140</v>
      </c>
      <c r="D4753" s="18">
        <v>4751</v>
      </c>
      <c r="E4753" s="18" cm="1">
        <f t="array" aca="1" ref="E4753" ca="1">INDIRECT("b"&amp;F4753+2)</f>
        <v>0</v>
      </c>
      <c r="F4753" s="18">
        <f t="shared" si="971"/>
        <v>6733</v>
      </c>
      <c r="G4753" s="18"/>
      <c r="H4753" s="18"/>
      <c r="I4753" s="19">
        <v>4751</v>
      </c>
      <c r="J4753" s="19" cm="1">
        <f t="array" aca="1" ref="J4753" ca="1">INDIRECT("b"&amp;K4753+2)</f>
        <v>0</v>
      </c>
      <c r="K4753" s="19">
        <f t="shared" si="982"/>
        <v>7933</v>
      </c>
    </row>
    <row r="4754" spans="1:11">
      <c r="A4754">
        <v>4752</v>
      </c>
      <c r="B4754">
        <v>7.7500000000000001E+140</v>
      </c>
      <c r="D4754" s="18">
        <v>4752</v>
      </c>
      <c r="E4754" s="18" cm="1">
        <f t="array" aca="1" ref="E4754" ca="1">INDIRECT("b"&amp;F4754+2)</f>
        <v>0</v>
      </c>
      <c r="F4754" s="18">
        <f t="shared" si="971"/>
        <v>6734</v>
      </c>
      <c r="G4754" s="18"/>
      <c r="H4754" s="18"/>
      <c r="I4754" s="19">
        <v>4752</v>
      </c>
      <c r="J4754" s="19" cm="1">
        <f t="array" aca="1" ref="J4754" ca="1">INDIRECT("b"&amp;K4754+2)</f>
        <v>0</v>
      </c>
      <c r="K4754" s="19">
        <f t="shared" si="982"/>
        <v>7934</v>
      </c>
    </row>
    <row r="4755" spans="1:11">
      <c r="A4755">
        <v>4753</v>
      </c>
      <c r="B4755">
        <v>7.9749999999999991E+140</v>
      </c>
      <c r="D4755" s="18">
        <v>4753</v>
      </c>
      <c r="E4755" s="18" cm="1">
        <f t="array" aca="1" ref="E4755" ca="1">INDIRECT("b"&amp;F4755+2)</f>
        <v>0</v>
      </c>
      <c r="F4755" s="18">
        <f t="shared" ref="F4755:F4818" si="986">INT((A4755-123)*1.333333)+563</f>
        <v>6736</v>
      </c>
      <c r="G4755" s="18"/>
      <c r="H4755" s="18"/>
      <c r="I4755" s="19">
        <v>4753</v>
      </c>
      <c r="J4755" s="19" cm="1">
        <f t="array" aca="1" ref="J4755" ca="1">INDIRECT("b"&amp;K4755+2)</f>
        <v>0</v>
      </c>
      <c r="K4755" s="19">
        <f t="shared" si="982"/>
        <v>7936</v>
      </c>
    </row>
    <row r="4756" spans="1:11">
      <c r="A4756">
        <v>4754</v>
      </c>
      <c r="B4756">
        <v>8.1999999999999998E+140</v>
      </c>
      <c r="D4756" s="18">
        <v>4754</v>
      </c>
      <c r="E4756" s="18" cm="1">
        <f t="array" aca="1" ref="E4756" ca="1">INDIRECT("b"&amp;F4756+2)</f>
        <v>0</v>
      </c>
      <c r="F4756" s="18">
        <f t="shared" si="986"/>
        <v>6737</v>
      </c>
      <c r="G4756" s="18" t="e">
        <f t="shared" ref="G4756" ca="1" si="987">E4756/E4751</f>
        <v>#DIV/0!</v>
      </c>
      <c r="H4756" s="18"/>
      <c r="I4756" s="19">
        <v>4754</v>
      </c>
      <c r="J4756" s="19" cm="1">
        <f t="array" aca="1" ref="J4756" ca="1">INDIRECT("b"&amp;K4756+2)</f>
        <v>0</v>
      </c>
      <c r="K4756" s="19">
        <f t="shared" si="982"/>
        <v>7937</v>
      </c>
    </row>
    <row r="4757" spans="1:11">
      <c r="A4757">
        <v>4755</v>
      </c>
      <c r="B4757">
        <v>8.4250000000000005E+140</v>
      </c>
      <c r="D4757" s="18">
        <v>4755</v>
      </c>
      <c r="E4757" s="18" cm="1">
        <f t="array" aca="1" ref="E4757" ca="1">INDIRECT("b"&amp;F4757+2)</f>
        <v>0</v>
      </c>
      <c r="F4757" s="18">
        <f t="shared" si="986"/>
        <v>6738</v>
      </c>
      <c r="G4757" s="18"/>
      <c r="H4757" s="18"/>
      <c r="I4757" s="19">
        <v>4755</v>
      </c>
      <c r="J4757" s="19" cm="1">
        <f t="array" aca="1" ref="J4757" ca="1">INDIRECT("b"&amp;K4757+2)</f>
        <v>0</v>
      </c>
      <c r="K4757" s="19">
        <f t="shared" si="982"/>
        <v>7938</v>
      </c>
    </row>
    <row r="4758" spans="1:11">
      <c r="A4758">
        <v>4756</v>
      </c>
      <c r="B4758">
        <v>8.6499999999999994E+140</v>
      </c>
      <c r="D4758" s="18">
        <v>4756</v>
      </c>
      <c r="E4758" s="18" cm="1">
        <f t="array" aca="1" ref="E4758" ca="1">INDIRECT("b"&amp;F4758+2)</f>
        <v>0</v>
      </c>
      <c r="F4758" s="18">
        <f t="shared" si="986"/>
        <v>6740</v>
      </c>
      <c r="G4758" s="18" t="e">
        <f t="shared" ref="G4758" ca="1" si="988">E4758/E4753</f>
        <v>#DIV/0!</v>
      </c>
      <c r="H4758" s="18"/>
      <c r="I4758" s="19">
        <v>4756</v>
      </c>
      <c r="J4758" s="19" cm="1">
        <f t="array" aca="1" ref="J4758" ca="1">INDIRECT("b"&amp;K4758+2)</f>
        <v>0</v>
      </c>
      <c r="K4758" s="19">
        <f t="shared" si="982"/>
        <v>7940</v>
      </c>
    </row>
    <row r="4759" spans="1:11">
      <c r="A4759">
        <v>4757</v>
      </c>
      <c r="B4759">
        <v>8.8750000000000001E+140</v>
      </c>
      <c r="D4759" s="18">
        <v>4757</v>
      </c>
      <c r="E4759" s="18" cm="1">
        <f t="array" aca="1" ref="E4759" ca="1">INDIRECT("b"&amp;F4759+2)</f>
        <v>0</v>
      </c>
      <c r="F4759" s="18">
        <f t="shared" si="986"/>
        <v>6741</v>
      </c>
      <c r="G4759" s="18"/>
      <c r="H4759" s="18"/>
      <c r="I4759" s="19">
        <v>4757</v>
      </c>
      <c r="J4759" s="19" cm="1">
        <f t="array" aca="1" ref="J4759" ca="1">INDIRECT("b"&amp;K4759+2)</f>
        <v>0</v>
      </c>
      <c r="K4759" s="19">
        <f t="shared" si="982"/>
        <v>7941</v>
      </c>
    </row>
    <row r="4760" spans="1:11">
      <c r="A4760">
        <v>4758</v>
      </c>
      <c r="B4760">
        <v>9.0999999999999991E+140</v>
      </c>
      <c r="D4760" s="18">
        <v>4758</v>
      </c>
      <c r="E4760" s="18" cm="1">
        <f t="array" aca="1" ref="E4760" ca="1">INDIRECT("b"&amp;F4760+2)</f>
        <v>0</v>
      </c>
      <c r="F4760" s="18">
        <f t="shared" si="986"/>
        <v>6742</v>
      </c>
      <c r="G4760" s="18"/>
      <c r="H4760" s="18"/>
      <c r="I4760" s="19">
        <v>4758</v>
      </c>
      <c r="J4760" s="19" cm="1">
        <f t="array" aca="1" ref="J4760" ca="1">INDIRECT("b"&amp;K4760+2)</f>
        <v>0</v>
      </c>
      <c r="K4760" s="19">
        <f t="shared" si="982"/>
        <v>7942</v>
      </c>
    </row>
    <row r="4761" spans="1:11">
      <c r="A4761">
        <v>4759</v>
      </c>
      <c r="B4761">
        <v>9.3249999999999998E+140</v>
      </c>
      <c r="D4761" s="18">
        <v>4759</v>
      </c>
      <c r="E4761" s="18" cm="1">
        <f t="array" aca="1" ref="E4761" ca="1">INDIRECT("b"&amp;F4761+2)</f>
        <v>0</v>
      </c>
      <c r="F4761" s="18">
        <f t="shared" si="986"/>
        <v>6744</v>
      </c>
      <c r="G4761" s="18"/>
      <c r="H4761" s="18"/>
      <c r="I4761" s="19">
        <v>4759</v>
      </c>
      <c r="J4761" s="19" cm="1">
        <f t="array" aca="1" ref="J4761" ca="1">INDIRECT("b"&amp;K4761+2)</f>
        <v>0</v>
      </c>
      <c r="K4761" s="19">
        <f t="shared" si="982"/>
        <v>7944</v>
      </c>
    </row>
    <row r="4762" spans="1:11">
      <c r="A4762">
        <v>4760</v>
      </c>
      <c r="B4762">
        <v>9.5500000000000005E+140</v>
      </c>
      <c r="D4762" s="18">
        <v>4760</v>
      </c>
      <c r="E4762" s="18" cm="1">
        <f t="array" aca="1" ref="E4762" ca="1">INDIRECT("b"&amp;F4762+2)</f>
        <v>0</v>
      </c>
      <c r="F4762" s="18">
        <f t="shared" si="986"/>
        <v>6745</v>
      </c>
      <c r="G4762" s="18"/>
      <c r="H4762" s="18"/>
      <c r="I4762" s="19">
        <v>4760</v>
      </c>
      <c r="J4762" s="19" cm="1">
        <f t="array" aca="1" ref="J4762" ca="1">INDIRECT("b"&amp;K4762+2)</f>
        <v>0</v>
      </c>
      <c r="K4762" s="19">
        <f t="shared" si="982"/>
        <v>7945</v>
      </c>
    </row>
    <row r="4763" spans="1:11">
      <c r="A4763">
        <v>4761</v>
      </c>
      <c r="B4763">
        <v>9.7749999999999995E+140</v>
      </c>
      <c r="D4763" s="18">
        <v>4761</v>
      </c>
      <c r="E4763" s="18" cm="1">
        <f t="array" aca="1" ref="E4763" ca="1">INDIRECT("b"&amp;F4763+2)</f>
        <v>0</v>
      </c>
      <c r="F4763" s="18">
        <f t="shared" si="986"/>
        <v>6746</v>
      </c>
      <c r="G4763" s="18" t="e">
        <f t="shared" ref="G4763" ca="1" si="989">E4763/E4758</f>
        <v>#DIV/0!</v>
      </c>
      <c r="H4763" s="18"/>
      <c r="I4763" s="19">
        <v>4761</v>
      </c>
      <c r="J4763" s="19" cm="1">
        <f t="array" aca="1" ref="J4763" ca="1">INDIRECT("b"&amp;K4763+2)</f>
        <v>0</v>
      </c>
      <c r="K4763" s="19">
        <f t="shared" si="982"/>
        <v>7946</v>
      </c>
    </row>
    <row r="4764" spans="1:11">
      <c r="A4764">
        <v>4762</v>
      </c>
      <c r="B4764">
        <v>1E+141</v>
      </c>
      <c r="D4764" s="18">
        <v>4762</v>
      </c>
      <c r="E4764" s="18" cm="1">
        <f t="array" aca="1" ref="E4764" ca="1">INDIRECT("b"&amp;F4764+2)</f>
        <v>0</v>
      </c>
      <c r="F4764" s="18">
        <f t="shared" si="986"/>
        <v>6748</v>
      </c>
      <c r="G4764" s="18"/>
      <c r="H4764" s="18"/>
      <c r="I4764" s="19">
        <v>4762</v>
      </c>
      <c r="J4764" s="19" cm="1">
        <f t="array" aca="1" ref="J4764" ca="1">INDIRECT("b"&amp;K4764+2)</f>
        <v>0</v>
      </c>
      <c r="K4764" s="19">
        <f t="shared" si="982"/>
        <v>7948</v>
      </c>
    </row>
    <row r="4765" spans="1:11">
      <c r="A4765">
        <v>4763</v>
      </c>
      <c r="B4765">
        <v>1.225E+141</v>
      </c>
      <c r="D4765" s="18">
        <v>4763</v>
      </c>
      <c r="E4765" s="18" cm="1">
        <f t="array" aca="1" ref="E4765" ca="1">INDIRECT("b"&amp;F4765+2)</f>
        <v>0</v>
      </c>
      <c r="F4765" s="18">
        <f t="shared" si="986"/>
        <v>6749</v>
      </c>
      <c r="G4765" s="18"/>
      <c r="H4765" s="18"/>
      <c r="I4765" s="19">
        <v>4763</v>
      </c>
      <c r="J4765" s="19" cm="1">
        <f t="array" aca="1" ref="J4765" ca="1">INDIRECT("b"&amp;K4765+2)</f>
        <v>0</v>
      </c>
      <c r="K4765" s="19">
        <f t="shared" si="982"/>
        <v>7949</v>
      </c>
    </row>
    <row r="4766" spans="1:11">
      <c r="A4766">
        <v>4764</v>
      </c>
      <c r="B4766">
        <v>1.45E+141</v>
      </c>
      <c r="D4766" s="18">
        <v>4764</v>
      </c>
      <c r="E4766" s="18" cm="1">
        <f t="array" aca="1" ref="E4766" ca="1">INDIRECT("b"&amp;F4766+2)</f>
        <v>0</v>
      </c>
      <c r="F4766" s="18">
        <f t="shared" si="986"/>
        <v>6750</v>
      </c>
      <c r="G4766" s="18"/>
      <c r="H4766" s="18"/>
      <c r="I4766" s="19">
        <v>4764</v>
      </c>
      <c r="J4766" s="19" cm="1">
        <f t="array" aca="1" ref="J4766" ca="1">INDIRECT("b"&amp;K4766+2)</f>
        <v>0</v>
      </c>
      <c r="K4766" s="19">
        <f t="shared" si="982"/>
        <v>7950</v>
      </c>
    </row>
    <row r="4767" spans="1:11">
      <c r="A4767">
        <v>4765</v>
      </c>
      <c r="B4767">
        <v>1.6749999999999999E+141</v>
      </c>
      <c r="D4767" s="18">
        <v>4765</v>
      </c>
      <c r="E4767" s="18" cm="1">
        <f t="array" aca="1" ref="E4767" ca="1">INDIRECT("b"&amp;F4767+2)</f>
        <v>0</v>
      </c>
      <c r="F4767" s="18">
        <f t="shared" si="986"/>
        <v>6752</v>
      </c>
      <c r="G4767" s="18"/>
      <c r="H4767" s="18"/>
      <c r="I4767" s="19">
        <v>4765</v>
      </c>
      <c r="J4767" s="19" cm="1">
        <f t="array" aca="1" ref="J4767" ca="1">INDIRECT("b"&amp;K4767+2)</f>
        <v>0</v>
      </c>
      <c r="K4767" s="19">
        <f t="shared" si="982"/>
        <v>7952</v>
      </c>
    </row>
    <row r="4768" spans="1:11">
      <c r="A4768">
        <v>4766</v>
      </c>
      <c r="B4768">
        <v>1.8999999999999999E+141</v>
      </c>
      <c r="D4768" s="18">
        <v>4766</v>
      </c>
      <c r="E4768" s="18" cm="1">
        <f t="array" aca="1" ref="E4768" ca="1">INDIRECT("b"&amp;F4768+2)</f>
        <v>0</v>
      </c>
      <c r="F4768" s="18">
        <f t="shared" si="986"/>
        <v>6753</v>
      </c>
      <c r="G4768" s="18" t="e">
        <f t="shared" ref="G4768" ca="1" si="990">E4768/E4763</f>
        <v>#DIV/0!</v>
      </c>
      <c r="H4768" s="18"/>
      <c r="I4768" s="19">
        <v>4766</v>
      </c>
      <c r="J4768" s="19" cm="1">
        <f t="array" aca="1" ref="J4768" ca="1">INDIRECT("b"&amp;K4768+2)</f>
        <v>0</v>
      </c>
      <c r="K4768" s="19">
        <f t="shared" si="982"/>
        <v>7953</v>
      </c>
    </row>
    <row r="4769" spans="1:11">
      <c r="A4769">
        <v>4767</v>
      </c>
      <c r="B4769">
        <v>2.1249999999999999E+141</v>
      </c>
      <c r="D4769" s="18">
        <v>4767</v>
      </c>
      <c r="E4769" s="18" cm="1">
        <f t="array" aca="1" ref="E4769" ca="1">INDIRECT("b"&amp;F4769+2)</f>
        <v>0</v>
      </c>
      <c r="F4769" s="18">
        <f t="shared" si="986"/>
        <v>6754</v>
      </c>
      <c r="G4769" s="18"/>
      <c r="H4769" s="18"/>
      <c r="I4769" s="19">
        <v>4767</v>
      </c>
      <c r="J4769" s="19" cm="1">
        <f t="array" aca="1" ref="J4769" ca="1">INDIRECT("b"&amp;K4769+2)</f>
        <v>0</v>
      </c>
      <c r="K4769" s="19">
        <f t="shared" si="982"/>
        <v>7954</v>
      </c>
    </row>
    <row r="4770" spans="1:11">
      <c r="A4770">
        <v>4768</v>
      </c>
      <c r="B4770">
        <v>2.3499999999999999E+141</v>
      </c>
      <c r="D4770" s="18">
        <v>4768</v>
      </c>
      <c r="E4770" s="18" cm="1">
        <f t="array" aca="1" ref="E4770" ca="1">INDIRECT("b"&amp;F4770+2)</f>
        <v>0</v>
      </c>
      <c r="F4770" s="18">
        <f t="shared" si="986"/>
        <v>6756</v>
      </c>
      <c r="G4770" s="18"/>
      <c r="H4770" s="18"/>
      <c r="I4770" s="19">
        <v>4768</v>
      </c>
      <c r="J4770" s="19" cm="1">
        <f t="array" aca="1" ref="J4770" ca="1">INDIRECT("b"&amp;K4770+2)</f>
        <v>0</v>
      </c>
      <c r="K4770" s="19">
        <f t="shared" si="982"/>
        <v>7956</v>
      </c>
    </row>
    <row r="4771" spans="1:11">
      <c r="A4771">
        <v>4769</v>
      </c>
      <c r="B4771">
        <v>2.5749999999999999E+141</v>
      </c>
      <c r="D4771" s="18">
        <v>4769</v>
      </c>
      <c r="E4771" s="18" cm="1">
        <f t="array" aca="1" ref="E4771" ca="1">INDIRECT("b"&amp;F4771+2)</f>
        <v>0</v>
      </c>
      <c r="F4771" s="18">
        <f t="shared" si="986"/>
        <v>6757</v>
      </c>
      <c r="G4771" s="18"/>
      <c r="H4771" s="18"/>
      <c r="I4771" s="19">
        <v>4769</v>
      </c>
      <c r="J4771" s="19" cm="1">
        <f t="array" aca="1" ref="J4771" ca="1">INDIRECT("b"&amp;K4771+2)</f>
        <v>0</v>
      </c>
      <c r="K4771" s="19">
        <f t="shared" si="982"/>
        <v>7957</v>
      </c>
    </row>
    <row r="4772" spans="1:11">
      <c r="A4772">
        <v>4770</v>
      </c>
      <c r="B4772">
        <v>2.7999999999999999E+141</v>
      </c>
      <c r="D4772" s="18">
        <v>4770</v>
      </c>
      <c r="E4772" s="18" cm="1">
        <f t="array" aca="1" ref="E4772" ca="1">INDIRECT("b"&amp;F4772+2)</f>
        <v>0</v>
      </c>
      <c r="F4772" s="18">
        <f t="shared" si="986"/>
        <v>6758</v>
      </c>
      <c r="G4772" s="18"/>
      <c r="H4772" s="18"/>
      <c r="I4772" s="19">
        <v>4770</v>
      </c>
      <c r="J4772" s="19" cm="1">
        <f t="array" aca="1" ref="J4772" ca="1">INDIRECT("b"&amp;K4772+2)</f>
        <v>0</v>
      </c>
      <c r="K4772" s="19">
        <f t="shared" si="982"/>
        <v>7958</v>
      </c>
    </row>
    <row r="4773" spans="1:11">
      <c r="A4773">
        <v>4771</v>
      </c>
      <c r="B4773">
        <v>3.0249999999999999E+141</v>
      </c>
      <c r="D4773" s="18">
        <v>4771</v>
      </c>
      <c r="E4773" s="18" cm="1">
        <f t="array" aca="1" ref="E4773" ca="1">INDIRECT("b"&amp;F4773+2)</f>
        <v>0</v>
      </c>
      <c r="F4773" s="18">
        <f t="shared" si="986"/>
        <v>6760</v>
      </c>
      <c r="G4773" s="18" t="e">
        <f t="shared" ref="G4773" ca="1" si="991">E4773/E4768</f>
        <v>#DIV/0!</v>
      </c>
      <c r="H4773" s="18"/>
      <c r="I4773" s="19">
        <v>4771</v>
      </c>
      <c r="J4773" s="19" cm="1">
        <f t="array" aca="1" ref="J4773" ca="1">INDIRECT("b"&amp;K4773+2)</f>
        <v>0</v>
      </c>
      <c r="K4773" s="19">
        <f t="shared" si="982"/>
        <v>7960</v>
      </c>
    </row>
    <row r="4774" spans="1:11">
      <c r="A4774">
        <v>4772</v>
      </c>
      <c r="B4774">
        <v>3.2500000000000003E+141</v>
      </c>
      <c r="D4774" s="18">
        <v>4772</v>
      </c>
      <c r="E4774" s="18" cm="1">
        <f t="array" aca="1" ref="E4774" ca="1">INDIRECT("b"&amp;F4774+2)</f>
        <v>0</v>
      </c>
      <c r="F4774" s="18">
        <f t="shared" si="986"/>
        <v>6761</v>
      </c>
      <c r="G4774" s="18"/>
      <c r="H4774" s="18"/>
      <c r="I4774" s="19">
        <v>4772</v>
      </c>
      <c r="J4774" s="19" cm="1">
        <f t="array" aca="1" ref="J4774" ca="1">INDIRECT("b"&amp;K4774+2)</f>
        <v>0</v>
      </c>
      <c r="K4774" s="19">
        <f t="shared" si="982"/>
        <v>7961</v>
      </c>
    </row>
    <row r="4775" spans="1:11">
      <c r="A4775">
        <v>4773</v>
      </c>
      <c r="B4775">
        <v>3.4749999999999999E+141</v>
      </c>
      <c r="D4775" s="18">
        <v>4773</v>
      </c>
      <c r="E4775" s="18" cm="1">
        <f t="array" aca="1" ref="E4775" ca="1">INDIRECT("b"&amp;F4775+2)</f>
        <v>0</v>
      </c>
      <c r="F4775" s="18">
        <f t="shared" si="986"/>
        <v>6762</v>
      </c>
      <c r="G4775" s="18"/>
      <c r="H4775" s="18"/>
      <c r="I4775" s="19">
        <v>4773</v>
      </c>
      <c r="J4775" s="19" cm="1">
        <f t="array" aca="1" ref="J4775" ca="1">INDIRECT("b"&amp;K4775+2)</f>
        <v>0</v>
      </c>
      <c r="K4775" s="19">
        <f t="shared" si="982"/>
        <v>7962</v>
      </c>
    </row>
    <row r="4776" spans="1:11">
      <c r="A4776">
        <v>4774</v>
      </c>
      <c r="B4776">
        <v>3.7000000000000003E+141</v>
      </c>
      <c r="D4776" s="18">
        <v>4774</v>
      </c>
      <c r="E4776" s="18" cm="1">
        <f t="array" aca="1" ref="E4776" ca="1">INDIRECT("b"&amp;F4776+2)</f>
        <v>0</v>
      </c>
      <c r="F4776" s="18">
        <f t="shared" si="986"/>
        <v>6764</v>
      </c>
      <c r="G4776" s="18"/>
      <c r="H4776" s="18"/>
      <c r="I4776" s="19">
        <v>4774</v>
      </c>
      <c r="J4776" s="19" cm="1">
        <f t="array" aca="1" ref="J4776" ca="1">INDIRECT("b"&amp;K4776+2)</f>
        <v>0</v>
      </c>
      <c r="K4776" s="19">
        <f t="shared" si="982"/>
        <v>7964</v>
      </c>
    </row>
    <row r="4777" spans="1:11">
      <c r="A4777">
        <v>4775</v>
      </c>
      <c r="B4777">
        <v>3.925E+141</v>
      </c>
      <c r="D4777" s="18">
        <v>4775</v>
      </c>
      <c r="E4777" s="18" cm="1">
        <f t="array" aca="1" ref="E4777" ca="1">INDIRECT("b"&amp;F4777+2)</f>
        <v>0</v>
      </c>
      <c r="F4777" s="18">
        <f t="shared" si="986"/>
        <v>6765</v>
      </c>
      <c r="G4777" s="18"/>
      <c r="H4777" s="18"/>
      <c r="I4777" s="19">
        <v>4775</v>
      </c>
      <c r="J4777" s="19" cm="1">
        <f t="array" aca="1" ref="J4777" ca="1">INDIRECT("b"&amp;K4777+2)</f>
        <v>0</v>
      </c>
      <c r="K4777" s="19">
        <f t="shared" si="982"/>
        <v>7965</v>
      </c>
    </row>
    <row r="4778" spans="1:11">
      <c r="A4778">
        <v>4776</v>
      </c>
      <c r="B4778">
        <v>4.1500000000000003E+141</v>
      </c>
      <c r="D4778" s="18">
        <v>4776</v>
      </c>
      <c r="E4778" s="18" cm="1">
        <f t="array" aca="1" ref="E4778" ca="1">INDIRECT("b"&amp;F4778+2)</f>
        <v>0</v>
      </c>
      <c r="F4778" s="18">
        <f t="shared" si="986"/>
        <v>6766</v>
      </c>
      <c r="G4778" s="18" t="e">
        <f t="shared" ref="G4778" ca="1" si="992">E4778/E4773</f>
        <v>#DIV/0!</v>
      </c>
      <c r="H4778" s="18"/>
      <c r="I4778" s="19">
        <v>4776</v>
      </c>
      <c r="J4778" s="19" cm="1">
        <f t="array" aca="1" ref="J4778" ca="1">INDIRECT("b"&amp;K4778+2)</f>
        <v>0</v>
      </c>
      <c r="K4778" s="19">
        <f t="shared" si="982"/>
        <v>7966</v>
      </c>
    </row>
    <row r="4779" spans="1:11">
      <c r="A4779">
        <v>4777</v>
      </c>
      <c r="B4779">
        <v>4.375E+141</v>
      </c>
      <c r="D4779" s="18">
        <v>4777</v>
      </c>
      <c r="E4779" s="18" cm="1">
        <f t="array" aca="1" ref="E4779" ca="1">INDIRECT("b"&amp;F4779+2)</f>
        <v>0</v>
      </c>
      <c r="F4779" s="18">
        <f t="shared" si="986"/>
        <v>6768</v>
      </c>
      <c r="G4779" s="18"/>
      <c r="H4779" s="18"/>
      <c r="I4779" s="19">
        <v>4777</v>
      </c>
      <c r="J4779" s="19" cm="1">
        <f t="array" aca="1" ref="J4779" ca="1">INDIRECT("b"&amp;K4779+2)</f>
        <v>0</v>
      </c>
      <c r="K4779" s="19">
        <f t="shared" si="982"/>
        <v>7968</v>
      </c>
    </row>
    <row r="4780" spans="1:11">
      <c r="A4780">
        <v>4778</v>
      </c>
      <c r="B4780">
        <v>4.6000000000000003E+141</v>
      </c>
      <c r="D4780" s="18">
        <v>4778</v>
      </c>
      <c r="E4780" s="18" cm="1">
        <f t="array" aca="1" ref="E4780" ca="1">INDIRECT("b"&amp;F4780+2)</f>
        <v>0</v>
      </c>
      <c r="F4780" s="18">
        <f t="shared" si="986"/>
        <v>6769</v>
      </c>
      <c r="G4780" s="18"/>
      <c r="H4780" s="18"/>
      <c r="I4780" s="19">
        <v>4778</v>
      </c>
      <c r="J4780" s="19" cm="1">
        <f t="array" aca="1" ref="J4780" ca="1">INDIRECT("b"&amp;K4780+2)</f>
        <v>0</v>
      </c>
      <c r="K4780" s="19">
        <f t="shared" si="982"/>
        <v>7969</v>
      </c>
    </row>
    <row r="4781" spans="1:11">
      <c r="A4781">
        <v>4779</v>
      </c>
      <c r="B4781">
        <v>4.825E+141</v>
      </c>
      <c r="D4781" s="18">
        <v>4779</v>
      </c>
      <c r="E4781" s="18" cm="1">
        <f t="array" aca="1" ref="E4781" ca="1">INDIRECT("b"&amp;F4781+2)</f>
        <v>0</v>
      </c>
      <c r="F4781" s="18">
        <f t="shared" si="986"/>
        <v>6770</v>
      </c>
      <c r="G4781" s="18"/>
      <c r="H4781" s="18"/>
      <c r="I4781" s="19">
        <v>4779</v>
      </c>
      <c r="J4781" s="19" cm="1">
        <f t="array" aca="1" ref="J4781" ca="1">INDIRECT("b"&amp;K4781+2)</f>
        <v>0</v>
      </c>
      <c r="K4781" s="19">
        <f t="shared" si="982"/>
        <v>7970</v>
      </c>
    </row>
    <row r="4782" spans="1:11">
      <c r="A4782">
        <v>4780</v>
      </c>
      <c r="B4782">
        <v>5.0500000000000003E+141</v>
      </c>
      <c r="D4782" s="18">
        <v>4780</v>
      </c>
      <c r="E4782" s="18" cm="1">
        <f t="array" aca="1" ref="E4782" ca="1">INDIRECT("b"&amp;F4782+2)</f>
        <v>0</v>
      </c>
      <c r="F4782" s="18">
        <f t="shared" si="986"/>
        <v>6772</v>
      </c>
      <c r="G4782" s="18"/>
      <c r="H4782" s="18"/>
      <c r="I4782" s="19">
        <v>4780</v>
      </c>
      <c r="J4782" s="19" cm="1">
        <f t="array" aca="1" ref="J4782" ca="1">INDIRECT("b"&amp;K4782+2)</f>
        <v>0</v>
      </c>
      <c r="K4782" s="19">
        <f t="shared" si="982"/>
        <v>7972</v>
      </c>
    </row>
    <row r="4783" spans="1:11">
      <c r="A4783">
        <v>4781</v>
      </c>
      <c r="B4783">
        <v>5.275E+141</v>
      </c>
      <c r="D4783" s="18">
        <v>4781</v>
      </c>
      <c r="E4783" s="18" cm="1">
        <f t="array" aca="1" ref="E4783" ca="1">INDIRECT("b"&amp;F4783+2)</f>
        <v>0</v>
      </c>
      <c r="F4783" s="18">
        <f t="shared" si="986"/>
        <v>6773</v>
      </c>
      <c r="G4783" s="18" t="e">
        <f t="shared" ref="G4783" ca="1" si="993">E4783/E4778</f>
        <v>#DIV/0!</v>
      </c>
      <c r="H4783" s="18"/>
      <c r="I4783" s="19">
        <v>4781</v>
      </c>
      <c r="J4783" s="19" cm="1">
        <f t="array" aca="1" ref="J4783" ca="1">INDIRECT("b"&amp;K4783+2)</f>
        <v>0</v>
      </c>
      <c r="K4783" s="19">
        <f t="shared" si="982"/>
        <v>7973</v>
      </c>
    </row>
    <row r="4784" spans="1:11">
      <c r="A4784">
        <v>4782</v>
      </c>
      <c r="B4784">
        <v>5.5000000000000003E+141</v>
      </c>
      <c r="D4784" s="18">
        <v>4782</v>
      </c>
      <c r="E4784" s="18" cm="1">
        <f t="array" aca="1" ref="E4784" ca="1">INDIRECT("b"&amp;F4784+2)</f>
        <v>0</v>
      </c>
      <c r="F4784" s="18">
        <f t="shared" si="986"/>
        <v>6774</v>
      </c>
      <c r="G4784" s="18"/>
      <c r="H4784" s="18"/>
      <c r="I4784" s="19">
        <v>4782</v>
      </c>
      <c r="J4784" s="19" cm="1">
        <f t="array" aca="1" ref="J4784" ca="1">INDIRECT("b"&amp;K4784+2)</f>
        <v>0</v>
      </c>
      <c r="K4784" s="19">
        <f t="shared" si="982"/>
        <v>7974</v>
      </c>
    </row>
    <row r="4785" spans="1:11">
      <c r="A4785">
        <v>4783</v>
      </c>
      <c r="B4785">
        <v>5.725E+141</v>
      </c>
      <c r="D4785" s="18">
        <v>4783</v>
      </c>
      <c r="E4785" s="18" cm="1">
        <f t="array" aca="1" ref="E4785" ca="1">INDIRECT("b"&amp;F4785+2)</f>
        <v>0</v>
      </c>
      <c r="F4785" s="18">
        <f t="shared" si="986"/>
        <v>6776</v>
      </c>
      <c r="G4785" s="18"/>
      <c r="H4785" s="18"/>
      <c r="I4785" s="19">
        <v>4783</v>
      </c>
      <c r="J4785" s="19" cm="1">
        <f t="array" aca="1" ref="J4785" ca="1">INDIRECT("b"&amp;K4785+2)</f>
        <v>0</v>
      </c>
      <c r="K4785" s="19">
        <f t="shared" si="982"/>
        <v>7976</v>
      </c>
    </row>
    <row r="4786" spans="1:11">
      <c r="A4786">
        <v>4784</v>
      </c>
      <c r="B4786">
        <v>5.9500000000000004E+141</v>
      </c>
      <c r="D4786" s="18">
        <v>4784</v>
      </c>
      <c r="E4786" s="18" cm="1">
        <f t="array" aca="1" ref="E4786" ca="1">INDIRECT("b"&amp;F4786+2)</f>
        <v>0</v>
      </c>
      <c r="F4786" s="18">
        <f t="shared" si="986"/>
        <v>6777</v>
      </c>
      <c r="G4786" s="18"/>
      <c r="H4786" s="18"/>
      <c r="I4786" s="19">
        <v>4784</v>
      </c>
      <c r="J4786" s="19" cm="1">
        <f t="array" aca="1" ref="J4786" ca="1">INDIRECT("b"&amp;K4786+2)</f>
        <v>0</v>
      </c>
      <c r="K4786" s="19">
        <f t="shared" si="982"/>
        <v>7977</v>
      </c>
    </row>
    <row r="4787" spans="1:11">
      <c r="A4787">
        <v>4785</v>
      </c>
      <c r="B4787">
        <v>6.1750000000000007E+141</v>
      </c>
      <c r="D4787" s="18">
        <v>4785</v>
      </c>
      <c r="E4787" s="18" cm="1">
        <f t="array" aca="1" ref="E4787" ca="1">INDIRECT("b"&amp;F4787+2)</f>
        <v>0</v>
      </c>
      <c r="F4787" s="18">
        <f t="shared" si="986"/>
        <v>6778</v>
      </c>
      <c r="G4787" s="18"/>
      <c r="H4787" s="18"/>
      <c r="I4787" s="19">
        <v>4785</v>
      </c>
      <c r="J4787" s="19" cm="1">
        <f t="array" aca="1" ref="J4787" ca="1">INDIRECT("b"&amp;K4787+2)</f>
        <v>0</v>
      </c>
      <c r="K4787" s="19">
        <f t="shared" si="982"/>
        <v>7978</v>
      </c>
    </row>
    <row r="4788" spans="1:11">
      <c r="A4788">
        <v>4786</v>
      </c>
      <c r="B4788">
        <v>6.4000000000000004E+141</v>
      </c>
      <c r="D4788" s="18">
        <v>4786</v>
      </c>
      <c r="E4788" s="18" cm="1">
        <f t="array" aca="1" ref="E4788" ca="1">INDIRECT("b"&amp;F4788+2)</f>
        <v>0</v>
      </c>
      <c r="F4788" s="18">
        <f t="shared" si="986"/>
        <v>6780</v>
      </c>
      <c r="G4788" s="18" t="e">
        <f t="shared" ref="G4788" ca="1" si="994">E4788/E4783</f>
        <v>#DIV/0!</v>
      </c>
      <c r="H4788" s="18"/>
      <c r="I4788" s="19">
        <v>4786</v>
      </c>
      <c r="J4788" s="19" cm="1">
        <f t="array" aca="1" ref="J4788" ca="1">INDIRECT("b"&amp;K4788+2)</f>
        <v>0</v>
      </c>
      <c r="K4788" s="19">
        <f t="shared" si="982"/>
        <v>7980</v>
      </c>
    </row>
    <row r="4789" spans="1:11">
      <c r="A4789">
        <v>4787</v>
      </c>
      <c r="B4789">
        <v>6.625E+141</v>
      </c>
      <c r="D4789" s="18">
        <v>4787</v>
      </c>
      <c r="E4789" s="18" cm="1">
        <f t="array" aca="1" ref="E4789" ca="1">INDIRECT("b"&amp;F4789+2)</f>
        <v>0</v>
      </c>
      <c r="F4789" s="18">
        <f t="shared" si="986"/>
        <v>6781</v>
      </c>
      <c r="G4789" s="18"/>
      <c r="H4789" s="18"/>
      <c r="I4789" s="19">
        <v>4787</v>
      </c>
      <c r="J4789" s="19" cm="1">
        <f t="array" aca="1" ref="J4789" ca="1">INDIRECT("b"&amp;K4789+2)</f>
        <v>0</v>
      </c>
      <c r="K4789" s="19">
        <f t="shared" si="982"/>
        <v>7981</v>
      </c>
    </row>
    <row r="4790" spans="1:11">
      <c r="A4790">
        <v>4788</v>
      </c>
      <c r="B4790">
        <v>6.8499999999999997E+141</v>
      </c>
      <c r="D4790" s="18">
        <v>4788</v>
      </c>
      <c r="E4790" s="18" cm="1">
        <f t="array" aca="1" ref="E4790" ca="1">INDIRECT("b"&amp;F4790+2)</f>
        <v>0</v>
      </c>
      <c r="F4790" s="18">
        <f t="shared" si="986"/>
        <v>6782</v>
      </c>
      <c r="G4790" s="18"/>
      <c r="H4790" s="18"/>
      <c r="I4790" s="19">
        <v>4788</v>
      </c>
      <c r="J4790" s="19" cm="1">
        <f t="array" aca="1" ref="J4790" ca="1">INDIRECT("b"&amp;K4790+2)</f>
        <v>0</v>
      </c>
      <c r="K4790" s="19">
        <f t="shared" si="982"/>
        <v>7982</v>
      </c>
    </row>
    <row r="4791" spans="1:11">
      <c r="A4791">
        <v>4789</v>
      </c>
      <c r="B4791">
        <v>7.0750000000000007E+141</v>
      </c>
      <c r="D4791" s="18">
        <v>4789</v>
      </c>
      <c r="E4791" s="18" cm="1">
        <f t="array" aca="1" ref="E4791" ca="1">INDIRECT("b"&amp;F4791+2)</f>
        <v>0</v>
      </c>
      <c r="F4791" s="18">
        <f t="shared" si="986"/>
        <v>6784</v>
      </c>
      <c r="G4791" s="18"/>
      <c r="H4791" s="18"/>
      <c r="I4791" s="19">
        <v>4789</v>
      </c>
      <c r="J4791" s="19" cm="1">
        <f t="array" aca="1" ref="J4791" ca="1">INDIRECT("b"&amp;K4791+2)</f>
        <v>0</v>
      </c>
      <c r="K4791" s="19">
        <f t="shared" si="982"/>
        <v>7984</v>
      </c>
    </row>
    <row r="4792" spans="1:11">
      <c r="A4792">
        <v>4790</v>
      </c>
      <c r="B4792">
        <v>7.3000000000000004E+141</v>
      </c>
      <c r="D4792" s="18">
        <v>4790</v>
      </c>
      <c r="E4792" s="18" cm="1">
        <f t="array" aca="1" ref="E4792" ca="1">INDIRECT("b"&amp;F4792+2)</f>
        <v>0</v>
      </c>
      <c r="F4792" s="18">
        <f t="shared" si="986"/>
        <v>6785</v>
      </c>
      <c r="G4792" s="18"/>
      <c r="H4792" s="18"/>
      <c r="I4792" s="19">
        <v>4790</v>
      </c>
      <c r="J4792" s="19" cm="1">
        <f t="array" aca="1" ref="J4792" ca="1">INDIRECT("b"&amp;K4792+2)</f>
        <v>0</v>
      </c>
      <c r="K4792" s="19">
        <f t="shared" si="982"/>
        <v>7985</v>
      </c>
    </row>
    <row r="4793" spans="1:11">
      <c r="A4793">
        <v>4791</v>
      </c>
      <c r="B4793">
        <v>7.5250000000000001E+141</v>
      </c>
      <c r="D4793" s="18">
        <v>4791</v>
      </c>
      <c r="E4793" s="18" cm="1">
        <f t="array" aca="1" ref="E4793" ca="1">INDIRECT("b"&amp;F4793+2)</f>
        <v>0</v>
      </c>
      <c r="F4793" s="18">
        <f t="shared" si="986"/>
        <v>6786</v>
      </c>
      <c r="G4793" s="18" t="e">
        <f t="shared" ref="G4793" ca="1" si="995">E4793/E4788</f>
        <v>#DIV/0!</v>
      </c>
      <c r="H4793" s="18"/>
      <c r="I4793" s="19">
        <v>4791</v>
      </c>
      <c r="J4793" s="19" cm="1">
        <f t="array" aca="1" ref="J4793" ca="1">INDIRECT("b"&amp;K4793+2)</f>
        <v>0</v>
      </c>
      <c r="K4793" s="19">
        <f t="shared" si="982"/>
        <v>7986</v>
      </c>
    </row>
    <row r="4794" spans="1:11">
      <c r="A4794">
        <v>4792</v>
      </c>
      <c r="B4794">
        <v>7.7499999999999998E+141</v>
      </c>
      <c r="D4794" s="18">
        <v>4792</v>
      </c>
      <c r="E4794" s="18" cm="1">
        <f t="array" aca="1" ref="E4794" ca="1">INDIRECT("b"&amp;F4794+2)</f>
        <v>0</v>
      </c>
      <c r="F4794" s="18">
        <f t="shared" si="986"/>
        <v>6788</v>
      </c>
      <c r="G4794" s="18"/>
      <c r="H4794" s="18"/>
      <c r="I4794" s="19">
        <v>4792</v>
      </c>
      <c r="J4794" s="19" cm="1">
        <f t="array" aca="1" ref="J4794" ca="1">INDIRECT("b"&amp;K4794+2)</f>
        <v>0</v>
      </c>
      <c r="K4794" s="19">
        <f t="shared" si="982"/>
        <v>7988</v>
      </c>
    </row>
    <row r="4795" spans="1:11">
      <c r="A4795">
        <v>4793</v>
      </c>
      <c r="B4795">
        <v>7.9750000000000008E+141</v>
      </c>
      <c r="D4795" s="18">
        <v>4793</v>
      </c>
      <c r="E4795" s="18" cm="1">
        <f t="array" aca="1" ref="E4795" ca="1">INDIRECT("b"&amp;F4795+2)</f>
        <v>0</v>
      </c>
      <c r="F4795" s="18">
        <f t="shared" si="986"/>
        <v>6789</v>
      </c>
      <c r="G4795" s="18"/>
      <c r="H4795" s="18"/>
      <c r="I4795" s="19">
        <v>4793</v>
      </c>
      <c r="J4795" s="19" cm="1">
        <f t="array" aca="1" ref="J4795" ca="1">INDIRECT("b"&amp;K4795+2)</f>
        <v>0</v>
      </c>
      <c r="K4795" s="19">
        <f t="shared" si="982"/>
        <v>7989</v>
      </c>
    </row>
    <row r="4796" spans="1:11">
      <c r="A4796">
        <v>4794</v>
      </c>
      <c r="B4796">
        <v>8.2000000000000004E+141</v>
      </c>
      <c r="D4796" s="18">
        <v>4794</v>
      </c>
      <c r="E4796" s="18" cm="1">
        <f t="array" aca="1" ref="E4796" ca="1">INDIRECT("b"&amp;F4796+2)</f>
        <v>0</v>
      </c>
      <c r="F4796" s="18">
        <f t="shared" si="986"/>
        <v>6790</v>
      </c>
      <c r="G4796" s="18"/>
      <c r="H4796" s="18"/>
      <c r="I4796" s="19">
        <v>4794</v>
      </c>
      <c r="J4796" s="19" cm="1">
        <f t="array" aca="1" ref="J4796" ca="1">INDIRECT("b"&amp;K4796+2)</f>
        <v>0</v>
      </c>
      <c r="K4796" s="19">
        <f t="shared" si="982"/>
        <v>7990</v>
      </c>
    </row>
    <row r="4797" spans="1:11">
      <c r="A4797">
        <v>4795</v>
      </c>
      <c r="B4797">
        <v>8.4250000000000001E+141</v>
      </c>
      <c r="D4797" s="18">
        <v>4795</v>
      </c>
      <c r="E4797" s="18" cm="1">
        <f t="array" aca="1" ref="E4797" ca="1">INDIRECT("b"&amp;F4797+2)</f>
        <v>0</v>
      </c>
      <c r="F4797" s="18">
        <f t="shared" si="986"/>
        <v>6792</v>
      </c>
      <c r="G4797" s="18"/>
      <c r="H4797" s="18"/>
      <c r="I4797" s="19">
        <v>4795</v>
      </c>
      <c r="J4797" s="19" cm="1">
        <f t="array" aca="1" ref="J4797" ca="1">INDIRECT("b"&amp;K4797+2)</f>
        <v>0</v>
      </c>
      <c r="K4797" s="19">
        <f t="shared" si="982"/>
        <v>7992</v>
      </c>
    </row>
    <row r="4798" spans="1:11">
      <c r="A4798">
        <v>4796</v>
      </c>
      <c r="B4798">
        <v>8.6499999999999998E+141</v>
      </c>
      <c r="D4798" s="18">
        <v>4796</v>
      </c>
      <c r="E4798" s="18" cm="1">
        <f t="array" aca="1" ref="E4798" ca="1">INDIRECT("b"&amp;F4798+2)</f>
        <v>0</v>
      </c>
      <c r="F4798" s="18">
        <f t="shared" si="986"/>
        <v>6793</v>
      </c>
      <c r="G4798" s="18" t="e">
        <f t="shared" ref="G4798" ca="1" si="996">E4798/E4793</f>
        <v>#DIV/0!</v>
      </c>
      <c r="H4798" s="18"/>
      <c r="I4798" s="19">
        <v>4796</v>
      </c>
      <c r="J4798" s="19" cm="1">
        <f t="array" aca="1" ref="J4798" ca="1">INDIRECT("b"&amp;K4798+2)</f>
        <v>0</v>
      </c>
      <c r="K4798" s="19">
        <f t="shared" si="982"/>
        <v>7993</v>
      </c>
    </row>
    <row r="4799" spans="1:11">
      <c r="A4799">
        <v>4797</v>
      </c>
      <c r="B4799">
        <v>8.8750000000000008E+141</v>
      </c>
      <c r="D4799" s="18">
        <v>4797</v>
      </c>
      <c r="E4799" s="18" cm="1">
        <f t="array" aca="1" ref="E4799" ca="1">INDIRECT("b"&amp;F4799+2)</f>
        <v>0</v>
      </c>
      <c r="F4799" s="18">
        <f t="shared" si="986"/>
        <v>6794</v>
      </c>
      <c r="G4799" s="18"/>
      <c r="H4799" s="18"/>
      <c r="I4799" s="19">
        <v>4797</v>
      </c>
      <c r="J4799" s="19" cm="1">
        <f t="array" aca="1" ref="J4799" ca="1">INDIRECT("b"&amp;K4799+2)</f>
        <v>0</v>
      </c>
      <c r="K4799" s="19">
        <f t="shared" si="982"/>
        <v>7994</v>
      </c>
    </row>
    <row r="4800" spans="1:11">
      <c r="A4800">
        <v>4798</v>
      </c>
      <c r="B4800">
        <v>9.1000000000000005E+141</v>
      </c>
      <c r="D4800" s="18">
        <v>4798</v>
      </c>
      <c r="E4800" s="18" cm="1">
        <f t="array" aca="1" ref="E4800" ca="1">INDIRECT("b"&amp;F4800+2)</f>
        <v>0</v>
      </c>
      <c r="F4800" s="18">
        <f t="shared" si="986"/>
        <v>6796</v>
      </c>
      <c r="G4800" s="18"/>
      <c r="H4800" s="18"/>
      <c r="I4800" s="19">
        <v>4798</v>
      </c>
      <c r="J4800" s="19" cm="1">
        <f t="array" aca="1" ref="J4800" ca="1">INDIRECT("b"&amp;K4800+2)</f>
        <v>0</v>
      </c>
      <c r="K4800" s="19">
        <f t="shared" si="982"/>
        <v>7996</v>
      </c>
    </row>
    <row r="4801" spans="1:11">
      <c r="A4801">
        <v>4799</v>
      </c>
      <c r="B4801">
        <v>9.3250000000000001E+141</v>
      </c>
      <c r="D4801" s="18">
        <v>4799</v>
      </c>
      <c r="E4801" s="18" cm="1">
        <f t="array" aca="1" ref="E4801" ca="1">INDIRECT("b"&amp;F4801+2)</f>
        <v>0</v>
      </c>
      <c r="F4801" s="18">
        <f t="shared" si="986"/>
        <v>6797</v>
      </c>
      <c r="G4801" s="18"/>
      <c r="H4801" s="18"/>
      <c r="I4801" s="19">
        <v>4799</v>
      </c>
      <c r="J4801" s="19" cm="1">
        <f t="array" aca="1" ref="J4801" ca="1">INDIRECT("b"&amp;K4801+2)</f>
        <v>0</v>
      </c>
      <c r="K4801" s="19">
        <f t="shared" si="982"/>
        <v>7997</v>
      </c>
    </row>
    <row r="4802" spans="1:11">
      <c r="A4802">
        <v>4800</v>
      </c>
      <c r="B4802">
        <v>9.5499999999999998E+141</v>
      </c>
      <c r="D4802" s="18">
        <v>4800</v>
      </c>
      <c r="E4802" s="18" cm="1">
        <f t="array" aca="1" ref="E4802" ca="1">INDIRECT("b"&amp;F4802+2)</f>
        <v>0</v>
      </c>
      <c r="F4802" s="18">
        <f t="shared" si="986"/>
        <v>6798</v>
      </c>
      <c r="G4802" s="18"/>
      <c r="H4802" s="18"/>
      <c r="I4802" s="19">
        <v>4800</v>
      </c>
      <c r="J4802" s="19" cm="1">
        <f t="array" aca="1" ref="J4802" ca="1">INDIRECT("b"&amp;K4802+2)</f>
        <v>0</v>
      </c>
      <c r="K4802" s="19">
        <f t="shared" si="982"/>
        <v>7998</v>
      </c>
    </row>
    <row r="4803" spans="1:11">
      <c r="A4803">
        <v>4801</v>
      </c>
      <c r="B4803">
        <v>9.7750000000000008E+141</v>
      </c>
      <c r="D4803" s="18">
        <v>4801</v>
      </c>
      <c r="E4803" s="18" cm="1">
        <f t="array" aca="1" ref="E4803" ca="1">INDIRECT("b"&amp;F4803+2)</f>
        <v>0</v>
      </c>
      <c r="F4803" s="18">
        <f t="shared" si="986"/>
        <v>6800</v>
      </c>
      <c r="G4803" s="18" t="e">
        <f t="shared" ref="G4803" ca="1" si="997">E4803/E4798</f>
        <v>#DIV/0!</v>
      </c>
      <c r="H4803" s="18"/>
      <c r="I4803" s="19">
        <v>4801</v>
      </c>
      <c r="J4803" s="19" cm="1">
        <f t="array" aca="1" ref="J4803" ca="1">INDIRECT("b"&amp;K4803+2)</f>
        <v>0</v>
      </c>
      <c r="K4803" s="19">
        <f t="shared" si="982"/>
        <v>8000</v>
      </c>
    </row>
    <row r="4804" spans="1:11">
      <c r="A4804">
        <v>4802</v>
      </c>
      <c r="B4804">
        <v>9.9999999999999992E+141</v>
      </c>
      <c r="D4804" s="18">
        <v>4802</v>
      </c>
      <c r="E4804" s="18" cm="1">
        <f t="array" aca="1" ref="E4804" ca="1">INDIRECT("b"&amp;F4804+2)</f>
        <v>0</v>
      </c>
      <c r="F4804" s="18">
        <f t="shared" si="986"/>
        <v>6801</v>
      </c>
      <c r="G4804" s="18"/>
      <c r="H4804" s="18"/>
      <c r="I4804" s="19">
        <v>4802</v>
      </c>
      <c r="J4804" s="19" cm="1">
        <f t="array" aca="1" ref="J4804" ca="1">INDIRECT("b"&amp;K4804+2)</f>
        <v>0</v>
      </c>
      <c r="K4804" s="19">
        <f t="shared" ref="K4804:K4867" si="998">INT((A4804-1)*40/30+900*40/30)+400</f>
        <v>8001</v>
      </c>
    </row>
    <row r="4805" spans="1:11">
      <c r="A4805">
        <v>4803</v>
      </c>
      <c r="B4805">
        <v>1.2249999999999999E+142</v>
      </c>
      <c r="D4805" s="18">
        <v>4803</v>
      </c>
      <c r="E4805" s="18" cm="1">
        <f t="array" aca="1" ref="E4805" ca="1">INDIRECT("b"&amp;F4805+2)</f>
        <v>0</v>
      </c>
      <c r="F4805" s="18">
        <f t="shared" si="986"/>
        <v>6802</v>
      </c>
      <c r="G4805" s="18"/>
      <c r="H4805" s="18"/>
      <c r="I4805" s="19">
        <v>4803</v>
      </c>
      <c r="J4805" s="19" cm="1">
        <f t="array" aca="1" ref="J4805" ca="1">INDIRECT("b"&amp;K4805+2)</f>
        <v>0</v>
      </c>
      <c r="K4805" s="19">
        <f t="shared" si="998"/>
        <v>8002</v>
      </c>
    </row>
    <row r="4806" spans="1:11">
      <c r="A4806">
        <v>4804</v>
      </c>
      <c r="B4806">
        <v>1.4499999999999998E+142</v>
      </c>
      <c r="D4806" s="18">
        <v>4804</v>
      </c>
      <c r="E4806" s="18" cm="1">
        <f t="array" aca="1" ref="E4806" ca="1">INDIRECT("b"&amp;F4806+2)</f>
        <v>0</v>
      </c>
      <c r="F4806" s="18">
        <f t="shared" si="986"/>
        <v>6804</v>
      </c>
      <c r="G4806" s="18"/>
      <c r="H4806" s="18"/>
      <c r="I4806" s="19">
        <v>4804</v>
      </c>
      <c r="J4806" s="19" cm="1">
        <f t="array" aca="1" ref="J4806" ca="1">INDIRECT("b"&amp;K4806+2)</f>
        <v>0</v>
      </c>
      <c r="K4806" s="19">
        <f t="shared" si="998"/>
        <v>8004</v>
      </c>
    </row>
    <row r="4807" spans="1:11">
      <c r="A4807">
        <v>4805</v>
      </c>
      <c r="B4807">
        <v>1.6749999999999997E+142</v>
      </c>
      <c r="D4807" s="18">
        <v>4805</v>
      </c>
      <c r="E4807" s="18" cm="1">
        <f t="array" aca="1" ref="E4807" ca="1">INDIRECT("b"&amp;F4807+2)</f>
        <v>0</v>
      </c>
      <c r="F4807" s="18">
        <f t="shared" si="986"/>
        <v>6805</v>
      </c>
      <c r="G4807" s="18"/>
      <c r="H4807" s="18"/>
      <c r="I4807" s="19">
        <v>4805</v>
      </c>
      <c r="J4807" s="19" cm="1">
        <f t="array" aca="1" ref="J4807" ca="1">INDIRECT("b"&amp;K4807+2)</f>
        <v>0</v>
      </c>
      <c r="K4807" s="19">
        <f t="shared" si="998"/>
        <v>8005</v>
      </c>
    </row>
    <row r="4808" spans="1:11">
      <c r="A4808">
        <v>4806</v>
      </c>
      <c r="B4808">
        <v>1.8999999999999999E+142</v>
      </c>
      <c r="D4808" s="18">
        <v>4806</v>
      </c>
      <c r="E4808" s="18" cm="1">
        <f t="array" aca="1" ref="E4808" ca="1">INDIRECT("b"&amp;F4808+2)</f>
        <v>0</v>
      </c>
      <c r="F4808" s="18">
        <f t="shared" si="986"/>
        <v>6806</v>
      </c>
      <c r="G4808" s="18" t="e">
        <f t="shared" ref="G4808" ca="1" si="999">E4808/E4803</f>
        <v>#DIV/0!</v>
      </c>
      <c r="H4808" s="18"/>
      <c r="I4808" s="19">
        <v>4806</v>
      </c>
      <c r="J4808" s="19" cm="1">
        <f t="array" aca="1" ref="J4808" ca="1">INDIRECT("b"&amp;K4808+2)</f>
        <v>0</v>
      </c>
      <c r="K4808" s="19">
        <f t="shared" si="998"/>
        <v>8006</v>
      </c>
    </row>
    <row r="4809" spans="1:11">
      <c r="A4809">
        <v>4807</v>
      </c>
      <c r="B4809">
        <v>2.1249999999999999E+142</v>
      </c>
      <c r="D4809" s="18">
        <v>4807</v>
      </c>
      <c r="E4809" s="18" cm="1">
        <f t="array" aca="1" ref="E4809" ca="1">INDIRECT("b"&amp;F4809+2)</f>
        <v>0</v>
      </c>
      <c r="F4809" s="18">
        <f t="shared" si="986"/>
        <v>6808</v>
      </c>
      <c r="G4809" s="18"/>
      <c r="H4809" s="18"/>
      <c r="I4809" s="19">
        <v>4807</v>
      </c>
      <c r="J4809" s="19" cm="1">
        <f t="array" aca="1" ref="J4809" ca="1">INDIRECT("b"&amp;K4809+2)</f>
        <v>0</v>
      </c>
      <c r="K4809" s="19">
        <f t="shared" si="998"/>
        <v>8008</v>
      </c>
    </row>
    <row r="4810" spans="1:11">
      <c r="A4810">
        <v>4808</v>
      </c>
      <c r="B4810">
        <v>2.3499999999999998E+142</v>
      </c>
      <c r="D4810" s="18">
        <v>4808</v>
      </c>
      <c r="E4810" s="18" cm="1">
        <f t="array" aca="1" ref="E4810" ca="1">INDIRECT("b"&amp;F4810+2)</f>
        <v>0</v>
      </c>
      <c r="F4810" s="18">
        <f t="shared" si="986"/>
        <v>6809</v>
      </c>
      <c r="G4810" s="18"/>
      <c r="H4810" s="18"/>
      <c r="I4810" s="19">
        <v>4808</v>
      </c>
      <c r="J4810" s="19" cm="1">
        <f t="array" aca="1" ref="J4810" ca="1">INDIRECT("b"&amp;K4810+2)</f>
        <v>0</v>
      </c>
      <c r="K4810" s="19">
        <f t="shared" si="998"/>
        <v>8009</v>
      </c>
    </row>
    <row r="4811" spans="1:11">
      <c r="A4811">
        <v>4809</v>
      </c>
      <c r="B4811">
        <v>2.575E+142</v>
      </c>
      <c r="D4811" s="18">
        <v>4809</v>
      </c>
      <c r="E4811" s="18" cm="1">
        <f t="array" aca="1" ref="E4811" ca="1">INDIRECT("b"&amp;F4811+2)</f>
        <v>0</v>
      </c>
      <c r="F4811" s="18">
        <f t="shared" si="986"/>
        <v>6810</v>
      </c>
      <c r="G4811" s="18"/>
      <c r="H4811" s="18"/>
      <c r="I4811" s="19">
        <v>4809</v>
      </c>
      <c r="J4811" s="19" cm="1">
        <f t="array" aca="1" ref="J4811" ca="1">INDIRECT("b"&amp;K4811+2)</f>
        <v>0</v>
      </c>
      <c r="K4811" s="19">
        <f t="shared" si="998"/>
        <v>8010</v>
      </c>
    </row>
    <row r="4812" spans="1:11">
      <c r="A4812">
        <v>4810</v>
      </c>
      <c r="B4812">
        <v>2.8E+142</v>
      </c>
      <c r="D4812" s="18">
        <v>4810</v>
      </c>
      <c r="E4812" s="18" cm="1">
        <f t="array" aca="1" ref="E4812" ca="1">INDIRECT("b"&amp;F4812+2)</f>
        <v>0</v>
      </c>
      <c r="F4812" s="18">
        <f t="shared" si="986"/>
        <v>6812</v>
      </c>
      <c r="G4812" s="18"/>
      <c r="H4812" s="18"/>
      <c r="I4812" s="19">
        <v>4810</v>
      </c>
      <c r="J4812" s="19" cm="1">
        <f t="array" aca="1" ref="J4812" ca="1">INDIRECT("b"&amp;K4812+2)</f>
        <v>0</v>
      </c>
      <c r="K4812" s="19">
        <f t="shared" si="998"/>
        <v>8012</v>
      </c>
    </row>
    <row r="4813" spans="1:11">
      <c r="A4813">
        <v>4811</v>
      </c>
      <c r="B4813">
        <v>3.0249999999999999E+142</v>
      </c>
      <c r="D4813" s="18">
        <v>4811</v>
      </c>
      <c r="E4813" s="18" cm="1">
        <f t="array" aca="1" ref="E4813" ca="1">INDIRECT("b"&amp;F4813+2)</f>
        <v>0</v>
      </c>
      <c r="F4813" s="18">
        <f t="shared" si="986"/>
        <v>6813</v>
      </c>
      <c r="G4813" s="18" t="e">
        <f t="shared" ref="G4813" ca="1" si="1000">E4813/E4808</f>
        <v>#DIV/0!</v>
      </c>
      <c r="H4813" s="18"/>
      <c r="I4813" s="19">
        <v>4811</v>
      </c>
      <c r="J4813" s="19" cm="1">
        <f t="array" aca="1" ref="J4813" ca="1">INDIRECT("b"&amp;K4813+2)</f>
        <v>0</v>
      </c>
      <c r="K4813" s="19">
        <f t="shared" si="998"/>
        <v>8013</v>
      </c>
    </row>
    <row r="4814" spans="1:11">
      <c r="A4814">
        <v>4812</v>
      </c>
      <c r="B4814">
        <v>3.2499999999999999E+142</v>
      </c>
      <c r="D4814" s="18">
        <v>4812</v>
      </c>
      <c r="E4814" s="18" cm="1">
        <f t="array" aca="1" ref="E4814" ca="1">INDIRECT("b"&amp;F4814+2)</f>
        <v>0</v>
      </c>
      <c r="F4814" s="18">
        <f t="shared" si="986"/>
        <v>6814</v>
      </c>
      <c r="G4814" s="18"/>
      <c r="H4814" s="18"/>
      <c r="I4814" s="19">
        <v>4812</v>
      </c>
      <c r="J4814" s="19" cm="1">
        <f t="array" aca="1" ref="J4814" ca="1">INDIRECT("b"&amp;K4814+2)</f>
        <v>0</v>
      </c>
      <c r="K4814" s="19">
        <f t="shared" si="998"/>
        <v>8014</v>
      </c>
    </row>
    <row r="4815" spans="1:11">
      <c r="A4815">
        <v>4813</v>
      </c>
      <c r="B4815">
        <v>3.4749999999999998E+142</v>
      </c>
      <c r="D4815" s="18">
        <v>4813</v>
      </c>
      <c r="E4815" s="18" cm="1">
        <f t="array" aca="1" ref="E4815" ca="1">INDIRECT("b"&amp;F4815+2)</f>
        <v>0</v>
      </c>
      <c r="F4815" s="18">
        <f t="shared" si="986"/>
        <v>6816</v>
      </c>
      <c r="G4815" s="18"/>
      <c r="H4815" s="18"/>
      <c r="I4815" s="19">
        <v>4813</v>
      </c>
      <c r="J4815" s="19" cm="1">
        <f t="array" aca="1" ref="J4815" ca="1">INDIRECT("b"&amp;K4815+2)</f>
        <v>0</v>
      </c>
      <c r="K4815" s="19">
        <f t="shared" si="998"/>
        <v>8016</v>
      </c>
    </row>
    <row r="4816" spans="1:11">
      <c r="A4816">
        <v>4814</v>
      </c>
      <c r="B4816">
        <v>3.6999999999999997E+142</v>
      </c>
      <c r="D4816" s="18">
        <v>4814</v>
      </c>
      <c r="E4816" s="18" cm="1">
        <f t="array" aca="1" ref="E4816" ca="1">INDIRECT("b"&amp;F4816+2)</f>
        <v>0</v>
      </c>
      <c r="F4816" s="18">
        <f t="shared" si="986"/>
        <v>6817</v>
      </c>
      <c r="G4816" s="18"/>
      <c r="H4816" s="18"/>
      <c r="I4816" s="19">
        <v>4814</v>
      </c>
      <c r="J4816" s="19" cm="1">
        <f t="array" aca="1" ref="J4816" ca="1">INDIRECT("b"&amp;K4816+2)</f>
        <v>0</v>
      </c>
      <c r="K4816" s="19">
        <f t="shared" si="998"/>
        <v>8017</v>
      </c>
    </row>
    <row r="4817" spans="1:11">
      <c r="A4817">
        <v>4815</v>
      </c>
      <c r="B4817">
        <v>3.9249999999999997E+142</v>
      </c>
      <c r="D4817" s="18">
        <v>4815</v>
      </c>
      <c r="E4817" s="18" cm="1">
        <f t="array" aca="1" ref="E4817" ca="1">INDIRECT("b"&amp;F4817+2)</f>
        <v>0</v>
      </c>
      <c r="F4817" s="18">
        <f t="shared" si="986"/>
        <v>6818</v>
      </c>
      <c r="G4817" s="18"/>
      <c r="H4817" s="18"/>
      <c r="I4817" s="19">
        <v>4815</v>
      </c>
      <c r="J4817" s="19" cm="1">
        <f t="array" aca="1" ref="J4817" ca="1">INDIRECT("b"&amp;K4817+2)</f>
        <v>0</v>
      </c>
      <c r="K4817" s="19">
        <f t="shared" si="998"/>
        <v>8018</v>
      </c>
    </row>
    <row r="4818" spans="1:11">
      <c r="A4818">
        <v>4816</v>
      </c>
      <c r="B4818">
        <v>4.1499999999999996E+142</v>
      </c>
      <c r="D4818" s="18">
        <v>4816</v>
      </c>
      <c r="E4818" s="18" cm="1">
        <f t="array" aca="1" ref="E4818" ca="1">INDIRECT("b"&amp;F4818+2)</f>
        <v>0</v>
      </c>
      <c r="F4818" s="18">
        <f t="shared" si="986"/>
        <v>6820</v>
      </c>
      <c r="G4818" s="18" t="e">
        <f t="shared" ref="G4818" ca="1" si="1001">E4818/E4813</f>
        <v>#DIV/0!</v>
      </c>
      <c r="H4818" s="18"/>
      <c r="I4818" s="19">
        <v>4816</v>
      </c>
      <c r="J4818" s="19" cm="1">
        <f t="array" aca="1" ref="J4818" ca="1">INDIRECT("b"&amp;K4818+2)</f>
        <v>0</v>
      </c>
      <c r="K4818" s="19">
        <f t="shared" si="998"/>
        <v>8020</v>
      </c>
    </row>
    <row r="4819" spans="1:11">
      <c r="A4819">
        <v>4817</v>
      </c>
      <c r="B4819">
        <v>4.3749999999999996E+142</v>
      </c>
      <c r="D4819" s="18">
        <v>4817</v>
      </c>
      <c r="E4819" s="18" cm="1">
        <f t="array" aca="1" ref="E4819" ca="1">INDIRECT("b"&amp;F4819+2)</f>
        <v>0</v>
      </c>
      <c r="F4819" s="18">
        <f t="shared" ref="F4819:F4882" si="1002">INT((A4819-123)*1.333333)+563</f>
        <v>6821</v>
      </c>
      <c r="G4819" s="18"/>
      <c r="H4819" s="18"/>
      <c r="I4819" s="19">
        <v>4817</v>
      </c>
      <c r="J4819" s="19" cm="1">
        <f t="array" aca="1" ref="J4819" ca="1">INDIRECT("b"&amp;K4819+2)</f>
        <v>0</v>
      </c>
      <c r="K4819" s="19">
        <f t="shared" si="998"/>
        <v>8021</v>
      </c>
    </row>
    <row r="4820" spans="1:11">
      <c r="A4820">
        <v>4818</v>
      </c>
      <c r="B4820">
        <v>4.5999999999999995E+142</v>
      </c>
      <c r="D4820" s="18">
        <v>4818</v>
      </c>
      <c r="E4820" s="18" cm="1">
        <f t="array" aca="1" ref="E4820" ca="1">INDIRECT("b"&amp;F4820+2)</f>
        <v>0</v>
      </c>
      <c r="F4820" s="18">
        <f t="shared" si="1002"/>
        <v>6822</v>
      </c>
      <c r="G4820" s="18"/>
      <c r="H4820" s="18"/>
      <c r="I4820" s="19">
        <v>4818</v>
      </c>
      <c r="J4820" s="19" cm="1">
        <f t="array" aca="1" ref="J4820" ca="1">INDIRECT("b"&amp;K4820+2)</f>
        <v>0</v>
      </c>
      <c r="K4820" s="19">
        <f t="shared" si="998"/>
        <v>8022</v>
      </c>
    </row>
    <row r="4821" spans="1:11">
      <c r="A4821">
        <v>4819</v>
      </c>
      <c r="B4821">
        <v>4.8249999999999994E+142</v>
      </c>
      <c r="D4821" s="18">
        <v>4819</v>
      </c>
      <c r="E4821" s="18" cm="1">
        <f t="array" aca="1" ref="E4821" ca="1">INDIRECT("b"&amp;F4821+2)</f>
        <v>0</v>
      </c>
      <c r="F4821" s="18">
        <f t="shared" si="1002"/>
        <v>6824</v>
      </c>
      <c r="G4821" s="18"/>
      <c r="H4821" s="18"/>
      <c r="I4821" s="19">
        <v>4819</v>
      </c>
      <c r="J4821" s="19" cm="1">
        <f t="array" aca="1" ref="J4821" ca="1">INDIRECT("b"&amp;K4821+2)</f>
        <v>0</v>
      </c>
      <c r="K4821" s="19">
        <f t="shared" si="998"/>
        <v>8024</v>
      </c>
    </row>
    <row r="4822" spans="1:11">
      <c r="A4822">
        <v>4820</v>
      </c>
      <c r="B4822">
        <v>5.0499999999999994E+142</v>
      </c>
      <c r="D4822" s="18">
        <v>4820</v>
      </c>
      <c r="E4822" s="18" cm="1">
        <f t="array" aca="1" ref="E4822" ca="1">INDIRECT("b"&amp;F4822+2)</f>
        <v>0</v>
      </c>
      <c r="F4822" s="18">
        <f t="shared" si="1002"/>
        <v>6825</v>
      </c>
      <c r="G4822" s="18"/>
      <c r="H4822" s="18"/>
      <c r="I4822" s="19">
        <v>4820</v>
      </c>
      <c r="J4822" s="19" cm="1">
        <f t="array" aca="1" ref="J4822" ca="1">INDIRECT("b"&amp;K4822+2)</f>
        <v>0</v>
      </c>
      <c r="K4822" s="19">
        <f t="shared" si="998"/>
        <v>8025</v>
      </c>
    </row>
    <row r="4823" spans="1:11">
      <c r="A4823">
        <v>4821</v>
      </c>
      <c r="B4823">
        <v>5.2749999999999993E+142</v>
      </c>
      <c r="D4823" s="18">
        <v>4821</v>
      </c>
      <c r="E4823" s="18" cm="1">
        <f t="array" aca="1" ref="E4823" ca="1">INDIRECT("b"&amp;F4823+2)</f>
        <v>0</v>
      </c>
      <c r="F4823" s="18">
        <f t="shared" si="1002"/>
        <v>6826</v>
      </c>
      <c r="G4823" s="18" t="e">
        <f t="shared" ref="G4823" ca="1" si="1003">E4823/E4818</f>
        <v>#DIV/0!</v>
      </c>
      <c r="H4823" s="18"/>
      <c r="I4823" s="19">
        <v>4821</v>
      </c>
      <c r="J4823" s="19" cm="1">
        <f t="array" aca="1" ref="J4823" ca="1">INDIRECT("b"&amp;K4823+2)</f>
        <v>0</v>
      </c>
      <c r="K4823" s="19">
        <f t="shared" si="998"/>
        <v>8026</v>
      </c>
    </row>
    <row r="4824" spans="1:11">
      <c r="A4824">
        <v>4822</v>
      </c>
      <c r="B4824">
        <v>5.4999999999999993E+142</v>
      </c>
      <c r="D4824" s="18">
        <v>4822</v>
      </c>
      <c r="E4824" s="18" cm="1">
        <f t="array" aca="1" ref="E4824" ca="1">INDIRECT("b"&amp;F4824+2)</f>
        <v>0</v>
      </c>
      <c r="F4824" s="18">
        <f t="shared" si="1002"/>
        <v>6828</v>
      </c>
      <c r="G4824" s="18"/>
      <c r="H4824" s="18"/>
      <c r="I4824" s="19">
        <v>4822</v>
      </c>
      <c r="J4824" s="19" cm="1">
        <f t="array" aca="1" ref="J4824" ca="1">INDIRECT("b"&amp;K4824+2)</f>
        <v>0</v>
      </c>
      <c r="K4824" s="19">
        <f t="shared" si="998"/>
        <v>8028</v>
      </c>
    </row>
    <row r="4825" spans="1:11">
      <c r="A4825">
        <v>4823</v>
      </c>
      <c r="B4825">
        <v>5.7249999999999992E+142</v>
      </c>
      <c r="D4825" s="18">
        <v>4823</v>
      </c>
      <c r="E4825" s="18" cm="1">
        <f t="array" aca="1" ref="E4825" ca="1">INDIRECT("b"&amp;F4825+2)</f>
        <v>0</v>
      </c>
      <c r="F4825" s="18">
        <f t="shared" si="1002"/>
        <v>6829</v>
      </c>
      <c r="G4825" s="18"/>
      <c r="H4825" s="18"/>
      <c r="I4825" s="19">
        <v>4823</v>
      </c>
      <c r="J4825" s="19" cm="1">
        <f t="array" aca="1" ref="J4825" ca="1">INDIRECT("b"&amp;K4825+2)</f>
        <v>0</v>
      </c>
      <c r="K4825" s="19">
        <f t="shared" si="998"/>
        <v>8029</v>
      </c>
    </row>
    <row r="4826" spans="1:11">
      <c r="A4826">
        <v>4824</v>
      </c>
      <c r="B4826">
        <v>5.9499999999999991E+142</v>
      </c>
      <c r="D4826" s="18">
        <v>4824</v>
      </c>
      <c r="E4826" s="18" cm="1">
        <f t="array" aca="1" ref="E4826" ca="1">INDIRECT("b"&amp;F4826+2)</f>
        <v>0</v>
      </c>
      <c r="F4826" s="18">
        <f t="shared" si="1002"/>
        <v>6830</v>
      </c>
      <c r="G4826" s="18"/>
      <c r="H4826" s="18"/>
      <c r="I4826" s="19">
        <v>4824</v>
      </c>
      <c r="J4826" s="19" cm="1">
        <f t="array" aca="1" ref="J4826" ca="1">INDIRECT("b"&amp;K4826+2)</f>
        <v>0</v>
      </c>
      <c r="K4826" s="19">
        <f t="shared" si="998"/>
        <v>8030</v>
      </c>
    </row>
    <row r="4827" spans="1:11">
      <c r="A4827">
        <v>4825</v>
      </c>
      <c r="B4827">
        <v>6.1749999999999991E+142</v>
      </c>
      <c r="D4827" s="18">
        <v>4825</v>
      </c>
      <c r="E4827" s="18" cm="1">
        <f t="array" aca="1" ref="E4827" ca="1">INDIRECT("b"&amp;F4827+2)</f>
        <v>0</v>
      </c>
      <c r="F4827" s="18">
        <f t="shared" si="1002"/>
        <v>6832</v>
      </c>
      <c r="G4827" s="18"/>
      <c r="H4827" s="18"/>
      <c r="I4827" s="19">
        <v>4825</v>
      </c>
      <c r="J4827" s="19" cm="1">
        <f t="array" aca="1" ref="J4827" ca="1">INDIRECT("b"&amp;K4827+2)</f>
        <v>0</v>
      </c>
      <c r="K4827" s="19">
        <f t="shared" si="998"/>
        <v>8032</v>
      </c>
    </row>
    <row r="4828" spans="1:11">
      <c r="A4828">
        <v>4826</v>
      </c>
      <c r="B4828">
        <v>6.399999999999999E+142</v>
      </c>
      <c r="D4828" s="18">
        <v>4826</v>
      </c>
      <c r="E4828" s="18" cm="1">
        <f t="array" aca="1" ref="E4828" ca="1">INDIRECT("b"&amp;F4828+2)</f>
        <v>0</v>
      </c>
      <c r="F4828" s="18">
        <f t="shared" si="1002"/>
        <v>6833</v>
      </c>
      <c r="G4828" s="18" t="e">
        <f t="shared" ref="G4828" ca="1" si="1004">E4828/E4823</f>
        <v>#DIV/0!</v>
      </c>
      <c r="H4828" s="18"/>
      <c r="I4828" s="19">
        <v>4826</v>
      </c>
      <c r="J4828" s="19" cm="1">
        <f t="array" aca="1" ref="J4828" ca="1">INDIRECT("b"&amp;K4828+2)</f>
        <v>0</v>
      </c>
      <c r="K4828" s="19">
        <f t="shared" si="998"/>
        <v>8033</v>
      </c>
    </row>
    <row r="4829" spans="1:11">
      <c r="A4829">
        <v>4827</v>
      </c>
      <c r="B4829">
        <v>6.624999999999999E+142</v>
      </c>
      <c r="D4829" s="18">
        <v>4827</v>
      </c>
      <c r="E4829" s="18" cm="1">
        <f t="array" aca="1" ref="E4829" ca="1">INDIRECT("b"&amp;F4829+2)</f>
        <v>0</v>
      </c>
      <c r="F4829" s="18">
        <f t="shared" si="1002"/>
        <v>6834</v>
      </c>
      <c r="G4829" s="18"/>
      <c r="H4829" s="18"/>
      <c r="I4829" s="19">
        <v>4827</v>
      </c>
      <c r="J4829" s="19" cm="1">
        <f t="array" aca="1" ref="J4829" ca="1">INDIRECT("b"&amp;K4829+2)</f>
        <v>0</v>
      </c>
      <c r="K4829" s="19">
        <f t="shared" si="998"/>
        <v>8034</v>
      </c>
    </row>
    <row r="4830" spans="1:11">
      <c r="A4830">
        <v>4828</v>
      </c>
      <c r="B4830">
        <v>6.85E+142</v>
      </c>
      <c r="D4830" s="18">
        <v>4828</v>
      </c>
      <c r="E4830" s="18" cm="1">
        <f t="array" aca="1" ref="E4830" ca="1">INDIRECT("b"&amp;F4830+2)</f>
        <v>0</v>
      </c>
      <c r="F4830" s="18">
        <f t="shared" si="1002"/>
        <v>6836</v>
      </c>
      <c r="G4830" s="18"/>
      <c r="H4830" s="18"/>
      <c r="I4830" s="19">
        <v>4828</v>
      </c>
      <c r="J4830" s="19" cm="1">
        <f t="array" aca="1" ref="J4830" ca="1">INDIRECT("b"&amp;K4830+2)</f>
        <v>0</v>
      </c>
      <c r="K4830" s="19">
        <f t="shared" si="998"/>
        <v>8036</v>
      </c>
    </row>
    <row r="4831" spans="1:11">
      <c r="A4831">
        <v>4829</v>
      </c>
      <c r="B4831">
        <v>7.0749999999999999E+142</v>
      </c>
      <c r="D4831" s="18">
        <v>4829</v>
      </c>
      <c r="E4831" s="18" cm="1">
        <f t="array" aca="1" ref="E4831" ca="1">INDIRECT("b"&amp;F4831+2)</f>
        <v>0</v>
      </c>
      <c r="F4831" s="18">
        <f t="shared" si="1002"/>
        <v>6837</v>
      </c>
      <c r="G4831" s="18"/>
      <c r="H4831" s="18"/>
      <c r="I4831" s="19">
        <v>4829</v>
      </c>
      <c r="J4831" s="19" cm="1">
        <f t="array" aca="1" ref="J4831" ca="1">INDIRECT("b"&amp;K4831+2)</f>
        <v>0</v>
      </c>
      <c r="K4831" s="19">
        <f t="shared" si="998"/>
        <v>8037</v>
      </c>
    </row>
    <row r="4832" spans="1:11">
      <c r="A4832">
        <v>4830</v>
      </c>
      <c r="B4832">
        <v>7.2999999999999999E+142</v>
      </c>
      <c r="D4832" s="18">
        <v>4830</v>
      </c>
      <c r="E4832" s="18" cm="1">
        <f t="array" aca="1" ref="E4832" ca="1">INDIRECT("b"&amp;F4832+2)</f>
        <v>0</v>
      </c>
      <c r="F4832" s="18">
        <f t="shared" si="1002"/>
        <v>6838</v>
      </c>
      <c r="G4832" s="18"/>
      <c r="H4832" s="18"/>
      <c r="I4832" s="19">
        <v>4830</v>
      </c>
      <c r="J4832" s="19" cm="1">
        <f t="array" aca="1" ref="J4832" ca="1">INDIRECT("b"&amp;K4832+2)</f>
        <v>0</v>
      </c>
      <c r="K4832" s="19">
        <f t="shared" si="998"/>
        <v>8038</v>
      </c>
    </row>
    <row r="4833" spans="1:11">
      <c r="A4833">
        <v>4831</v>
      </c>
      <c r="B4833">
        <v>7.5249999999999998E+142</v>
      </c>
      <c r="D4833" s="18">
        <v>4831</v>
      </c>
      <c r="E4833" s="18" cm="1">
        <f t="array" aca="1" ref="E4833" ca="1">INDIRECT("b"&amp;F4833+2)</f>
        <v>0</v>
      </c>
      <c r="F4833" s="18">
        <f t="shared" si="1002"/>
        <v>6840</v>
      </c>
      <c r="G4833" s="18" t="e">
        <f t="shared" ref="G4833" ca="1" si="1005">E4833/E4828</f>
        <v>#DIV/0!</v>
      </c>
      <c r="H4833" s="18"/>
      <c r="I4833" s="19">
        <v>4831</v>
      </c>
      <c r="J4833" s="19" cm="1">
        <f t="array" aca="1" ref="J4833" ca="1">INDIRECT("b"&amp;K4833+2)</f>
        <v>0</v>
      </c>
      <c r="K4833" s="19">
        <f t="shared" si="998"/>
        <v>8040</v>
      </c>
    </row>
    <row r="4834" spans="1:11">
      <c r="A4834">
        <v>4832</v>
      </c>
      <c r="B4834">
        <v>7.7499999999999998E+142</v>
      </c>
      <c r="D4834" s="18">
        <v>4832</v>
      </c>
      <c r="E4834" s="18" cm="1">
        <f t="array" aca="1" ref="E4834" ca="1">INDIRECT("b"&amp;F4834+2)</f>
        <v>0</v>
      </c>
      <c r="F4834" s="18">
        <f t="shared" si="1002"/>
        <v>6841</v>
      </c>
      <c r="G4834" s="18"/>
      <c r="H4834" s="18"/>
      <c r="I4834" s="19">
        <v>4832</v>
      </c>
      <c r="J4834" s="19" cm="1">
        <f t="array" aca="1" ref="J4834" ca="1">INDIRECT("b"&amp;K4834+2)</f>
        <v>0</v>
      </c>
      <c r="K4834" s="19">
        <f t="shared" si="998"/>
        <v>8041</v>
      </c>
    </row>
    <row r="4835" spans="1:11">
      <c r="A4835">
        <v>4833</v>
      </c>
      <c r="B4835">
        <v>7.9749999999999997E+142</v>
      </c>
      <c r="D4835" s="18">
        <v>4833</v>
      </c>
      <c r="E4835" s="18" cm="1">
        <f t="array" aca="1" ref="E4835" ca="1">INDIRECT("b"&amp;F4835+2)</f>
        <v>0</v>
      </c>
      <c r="F4835" s="18">
        <f t="shared" si="1002"/>
        <v>6842</v>
      </c>
      <c r="G4835" s="18"/>
      <c r="H4835" s="18"/>
      <c r="I4835" s="19">
        <v>4833</v>
      </c>
      <c r="J4835" s="19" cm="1">
        <f t="array" aca="1" ref="J4835" ca="1">INDIRECT("b"&amp;K4835+2)</f>
        <v>0</v>
      </c>
      <c r="K4835" s="19">
        <f t="shared" si="998"/>
        <v>8042</v>
      </c>
    </row>
    <row r="4836" spans="1:11">
      <c r="A4836">
        <v>4834</v>
      </c>
      <c r="B4836">
        <v>8.1999999999999996E+142</v>
      </c>
      <c r="D4836" s="18">
        <v>4834</v>
      </c>
      <c r="E4836" s="18" cm="1">
        <f t="array" aca="1" ref="E4836" ca="1">INDIRECT("b"&amp;F4836+2)</f>
        <v>0</v>
      </c>
      <c r="F4836" s="18">
        <f t="shared" si="1002"/>
        <v>6844</v>
      </c>
      <c r="G4836" s="18"/>
      <c r="H4836" s="18"/>
      <c r="I4836" s="19">
        <v>4834</v>
      </c>
      <c r="J4836" s="19" cm="1">
        <f t="array" aca="1" ref="J4836" ca="1">INDIRECT("b"&amp;K4836+2)</f>
        <v>0</v>
      </c>
      <c r="K4836" s="19">
        <f t="shared" si="998"/>
        <v>8044</v>
      </c>
    </row>
    <row r="4837" spans="1:11">
      <c r="A4837">
        <v>4835</v>
      </c>
      <c r="B4837">
        <v>8.4249999999999996E+142</v>
      </c>
      <c r="D4837" s="18">
        <v>4835</v>
      </c>
      <c r="E4837" s="18" cm="1">
        <f t="array" aca="1" ref="E4837" ca="1">INDIRECT("b"&amp;F4837+2)</f>
        <v>0</v>
      </c>
      <c r="F4837" s="18">
        <f t="shared" si="1002"/>
        <v>6845</v>
      </c>
      <c r="G4837" s="18"/>
      <c r="H4837" s="18"/>
      <c r="I4837" s="19">
        <v>4835</v>
      </c>
      <c r="J4837" s="19" cm="1">
        <f t="array" aca="1" ref="J4837" ca="1">INDIRECT("b"&amp;K4837+2)</f>
        <v>0</v>
      </c>
      <c r="K4837" s="19">
        <f t="shared" si="998"/>
        <v>8045</v>
      </c>
    </row>
    <row r="4838" spans="1:11">
      <c r="A4838">
        <v>4836</v>
      </c>
      <c r="B4838">
        <v>8.6499999999999995E+142</v>
      </c>
      <c r="D4838" s="18">
        <v>4836</v>
      </c>
      <c r="E4838" s="18" cm="1">
        <f t="array" aca="1" ref="E4838" ca="1">INDIRECT("b"&amp;F4838+2)</f>
        <v>0</v>
      </c>
      <c r="F4838" s="18">
        <f t="shared" si="1002"/>
        <v>6846</v>
      </c>
      <c r="G4838" s="18" t="e">
        <f t="shared" ref="G4838" ca="1" si="1006">E4838/E4833</f>
        <v>#DIV/0!</v>
      </c>
      <c r="H4838" s="18"/>
      <c r="I4838" s="19">
        <v>4836</v>
      </c>
      <c r="J4838" s="19" cm="1">
        <f t="array" aca="1" ref="J4838" ca="1">INDIRECT("b"&amp;K4838+2)</f>
        <v>0</v>
      </c>
      <c r="K4838" s="19">
        <f t="shared" si="998"/>
        <v>8046</v>
      </c>
    </row>
    <row r="4839" spans="1:11">
      <c r="A4839">
        <v>4837</v>
      </c>
      <c r="B4839">
        <v>8.8749999999999995E+142</v>
      </c>
      <c r="D4839" s="18">
        <v>4837</v>
      </c>
      <c r="E4839" s="18" cm="1">
        <f t="array" aca="1" ref="E4839" ca="1">INDIRECT("b"&amp;F4839+2)</f>
        <v>0</v>
      </c>
      <c r="F4839" s="18">
        <f t="shared" si="1002"/>
        <v>6848</v>
      </c>
      <c r="G4839" s="18"/>
      <c r="H4839" s="18"/>
      <c r="I4839" s="19">
        <v>4837</v>
      </c>
      <c r="J4839" s="19" cm="1">
        <f t="array" aca="1" ref="J4839" ca="1">INDIRECT("b"&amp;K4839+2)</f>
        <v>0</v>
      </c>
      <c r="K4839" s="19">
        <f t="shared" si="998"/>
        <v>8048</v>
      </c>
    </row>
    <row r="4840" spans="1:11">
      <c r="A4840">
        <v>4838</v>
      </c>
      <c r="B4840">
        <v>9.0999999999999994E+142</v>
      </c>
      <c r="D4840" s="18">
        <v>4838</v>
      </c>
      <c r="E4840" s="18" cm="1">
        <f t="array" aca="1" ref="E4840" ca="1">INDIRECT("b"&amp;F4840+2)</f>
        <v>0</v>
      </c>
      <c r="F4840" s="18">
        <f t="shared" si="1002"/>
        <v>6849</v>
      </c>
      <c r="G4840" s="18"/>
      <c r="H4840" s="18"/>
      <c r="I4840" s="19">
        <v>4838</v>
      </c>
      <c r="J4840" s="19" cm="1">
        <f t="array" aca="1" ref="J4840" ca="1">INDIRECT("b"&amp;K4840+2)</f>
        <v>0</v>
      </c>
      <c r="K4840" s="19">
        <f t="shared" si="998"/>
        <v>8049</v>
      </c>
    </row>
    <row r="4841" spans="1:11">
      <c r="A4841">
        <v>4839</v>
      </c>
      <c r="B4841">
        <v>9.3249999999999993E+142</v>
      </c>
      <c r="D4841" s="18">
        <v>4839</v>
      </c>
      <c r="E4841" s="18" cm="1">
        <f t="array" aca="1" ref="E4841" ca="1">INDIRECT("b"&amp;F4841+2)</f>
        <v>0</v>
      </c>
      <c r="F4841" s="18">
        <f t="shared" si="1002"/>
        <v>6850</v>
      </c>
      <c r="G4841" s="18"/>
      <c r="H4841" s="18"/>
      <c r="I4841" s="19">
        <v>4839</v>
      </c>
      <c r="J4841" s="19" cm="1">
        <f t="array" aca="1" ref="J4841" ca="1">INDIRECT("b"&amp;K4841+2)</f>
        <v>0</v>
      </c>
      <c r="K4841" s="19">
        <f t="shared" si="998"/>
        <v>8050</v>
      </c>
    </row>
    <row r="4842" spans="1:11">
      <c r="A4842">
        <v>4840</v>
      </c>
      <c r="B4842">
        <v>9.5499999999999993E+142</v>
      </c>
      <c r="D4842" s="18">
        <v>4840</v>
      </c>
      <c r="E4842" s="18" cm="1">
        <f t="array" aca="1" ref="E4842" ca="1">INDIRECT("b"&amp;F4842+2)</f>
        <v>0</v>
      </c>
      <c r="F4842" s="18">
        <f t="shared" si="1002"/>
        <v>6852</v>
      </c>
      <c r="G4842" s="18"/>
      <c r="H4842" s="18"/>
      <c r="I4842" s="19">
        <v>4840</v>
      </c>
      <c r="J4842" s="19" cm="1">
        <f t="array" aca="1" ref="J4842" ca="1">INDIRECT("b"&amp;K4842+2)</f>
        <v>0</v>
      </c>
      <c r="K4842" s="19">
        <f t="shared" si="998"/>
        <v>8052</v>
      </c>
    </row>
    <row r="4843" spans="1:11">
      <c r="A4843">
        <v>4841</v>
      </c>
      <c r="B4843">
        <v>9.7749999999999992E+142</v>
      </c>
      <c r="D4843" s="18">
        <v>4841</v>
      </c>
      <c r="E4843" s="18" cm="1">
        <f t="array" aca="1" ref="E4843" ca="1">INDIRECT("b"&amp;F4843+2)</f>
        <v>0</v>
      </c>
      <c r="F4843" s="18">
        <f t="shared" si="1002"/>
        <v>6853</v>
      </c>
      <c r="G4843" s="18" t="e">
        <f t="shared" ref="G4843" ca="1" si="1007">E4843/E4838</f>
        <v>#DIV/0!</v>
      </c>
      <c r="H4843" s="18"/>
      <c r="I4843" s="19">
        <v>4841</v>
      </c>
      <c r="J4843" s="19" cm="1">
        <f t="array" aca="1" ref="J4843" ca="1">INDIRECT("b"&amp;K4843+2)</f>
        <v>0</v>
      </c>
      <c r="K4843" s="19">
        <f t="shared" si="998"/>
        <v>8053</v>
      </c>
    </row>
    <row r="4844" spans="1:11">
      <c r="A4844">
        <v>4842</v>
      </c>
      <c r="B4844">
        <v>1E+143</v>
      </c>
      <c r="D4844" s="18">
        <v>4842</v>
      </c>
      <c r="E4844" s="18" cm="1">
        <f t="array" aca="1" ref="E4844" ca="1">INDIRECT("b"&amp;F4844+2)</f>
        <v>0</v>
      </c>
      <c r="F4844" s="18">
        <f t="shared" si="1002"/>
        <v>6854</v>
      </c>
      <c r="G4844" s="18"/>
      <c r="H4844" s="18"/>
      <c r="I4844" s="19">
        <v>4842</v>
      </c>
      <c r="J4844" s="19" cm="1">
        <f t="array" aca="1" ref="J4844" ca="1">INDIRECT("b"&amp;K4844+2)</f>
        <v>0</v>
      </c>
      <c r="K4844" s="19">
        <f t="shared" si="998"/>
        <v>8054</v>
      </c>
    </row>
    <row r="4845" spans="1:11">
      <c r="A4845">
        <v>4843</v>
      </c>
      <c r="B4845">
        <v>1.225E+143</v>
      </c>
      <c r="D4845" s="18">
        <v>4843</v>
      </c>
      <c r="E4845" s="18" cm="1">
        <f t="array" aca="1" ref="E4845" ca="1">INDIRECT("b"&amp;F4845+2)</f>
        <v>0</v>
      </c>
      <c r="F4845" s="18">
        <f t="shared" si="1002"/>
        <v>6856</v>
      </c>
      <c r="G4845" s="18"/>
      <c r="H4845" s="18"/>
      <c r="I4845" s="19">
        <v>4843</v>
      </c>
      <c r="J4845" s="19" cm="1">
        <f t="array" aca="1" ref="J4845" ca="1">INDIRECT("b"&amp;K4845+2)</f>
        <v>0</v>
      </c>
      <c r="K4845" s="19">
        <f t="shared" si="998"/>
        <v>8056</v>
      </c>
    </row>
    <row r="4846" spans="1:11">
      <c r="A4846">
        <v>4844</v>
      </c>
      <c r="B4846">
        <v>1.4499999999999999E+143</v>
      </c>
      <c r="D4846" s="18">
        <v>4844</v>
      </c>
      <c r="E4846" s="18" cm="1">
        <f t="array" aca="1" ref="E4846" ca="1">INDIRECT("b"&amp;F4846+2)</f>
        <v>0</v>
      </c>
      <c r="F4846" s="18">
        <f t="shared" si="1002"/>
        <v>6857</v>
      </c>
      <c r="G4846" s="18"/>
      <c r="H4846" s="18"/>
      <c r="I4846" s="19">
        <v>4844</v>
      </c>
      <c r="J4846" s="19" cm="1">
        <f t="array" aca="1" ref="J4846" ca="1">INDIRECT("b"&amp;K4846+2)</f>
        <v>0</v>
      </c>
      <c r="K4846" s="19">
        <f t="shared" si="998"/>
        <v>8057</v>
      </c>
    </row>
    <row r="4847" spans="1:11">
      <c r="A4847">
        <v>4845</v>
      </c>
      <c r="B4847">
        <v>1.6749999999999998E+143</v>
      </c>
      <c r="D4847" s="18">
        <v>4845</v>
      </c>
      <c r="E4847" s="18" cm="1">
        <f t="array" aca="1" ref="E4847" ca="1">INDIRECT("b"&amp;F4847+2)</f>
        <v>0</v>
      </c>
      <c r="F4847" s="18">
        <f t="shared" si="1002"/>
        <v>6858</v>
      </c>
      <c r="G4847" s="18"/>
      <c r="H4847" s="18"/>
      <c r="I4847" s="19">
        <v>4845</v>
      </c>
      <c r="J4847" s="19" cm="1">
        <f t="array" aca="1" ref="J4847" ca="1">INDIRECT("b"&amp;K4847+2)</f>
        <v>0</v>
      </c>
      <c r="K4847" s="19">
        <f t="shared" si="998"/>
        <v>8058</v>
      </c>
    </row>
    <row r="4848" spans="1:11">
      <c r="A4848">
        <v>4846</v>
      </c>
      <c r="B4848">
        <v>1.9E+143</v>
      </c>
      <c r="D4848" s="18">
        <v>4846</v>
      </c>
      <c r="E4848" s="18" cm="1">
        <f t="array" aca="1" ref="E4848" ca="1">INDIRECT("b"&amp;F4848+2)</f>
        <v>0</v>
      </c>
      <c r="F4848" s="18">
        <f t="shared" si="1002"/>
        <v>6860</v>
      </c>
      <c r="G4848" s="18" t="e">
        <f t="shared" ref="G4848" ca="1" si="1008">E4848/E4843</f>
        <v>#DIV/0!</v>
      </c>
      <c r="H4848" s="18"/>
      <c r="I4848" s="19">
        <v>4846</v>
      </c>
      <c r="J4848" s="19" cm="1">
        <f t="array" aca="1" ref="J4848" ca="1">INDIRECT("b"&amp;K4848+2)</f>
        <v>0</v>
      </c>
      <c r="K4848" s="19">
        <f t="shared" si="998"/>
        <v>8060</v>
      </c>
    </row>
    <row r="4849" spans="1:11">
      <c r="A4849">
        <v>4847</v>
      </c>
      <c r="B4849">
        <v>2.1249999999999999E+143</v>
      </c>
      <c r="D4849" s="18">
        <v>4847</v>
      </c>
      <c r="E4849" s="18" cm="1">
        <f t="array" aca="1" ref="E4849" ca="1">INDIRECT("b"&amp;F4849+2)</f>
        <v>0</v>
      </c>
      <c r="F4849" s="18">
        <f t="shared" si="1002"/>
        <v>6861</v>
      </c>
      <c r="G4849" s="18"/>
      <c r="H4849" s="18"/>
      <c r="I4849" s="19">
        <v>4847</v>
      </c>
      <c r="J4849" s="19" cm="1">
        <f t="array" aca="1" ref="J4849" ca="1">INDIRECT("b"&amp;K4849+2)</f>
        <v>0</v>
      </c>
      <c r="K4849" s="19">
        <f t="shared" si="998"/>
        <v>8061</v>
      </c>
    </row>
    <row r="4850" spans="1:11">
      <c r="A4850">
        <v>4848</v>
      </c>
      <c r="B4850">
        <v>2.3500000000000001E+143</v>
      </c>
      <c r="D4850" s="18">
        <v>4848</v>
      </c>
      <c r="E4850" s="18" cm="1">
        <f t="array" aca="1" ref="E4850" ca="1">INDIRECT("b"&amp;F4850+2)</f>
        <v>0</v>
      </c>
      <c r="F4850" s="18">
        <f t="shared" si="1002"/>
        <v>6862</v>
      </c>
      <c r="G4850" s="18"/>
      <c r="H4850" s="18"/>
      <c r="I4850" s="19">
        <v>4848</v>
      </c>
      <c r="J4850" s="19" cm="1">
        <f t="array" aca="1" ref="J4850" ca="1">INDIRECT("b"&amp;K4850+2)</f>
        <v>0</v>
      </c>
      <c r="K4850" s="19">
        <f t="shared" si="998"/>
        <v>8062</v>
      </c>
    </row>
    <row r="4851" spans="1:11">
      <c r="A4851">
        <v>4849</v>
      </c>
      <c r="B4851">
        <v>2.5749999999999998E+143</v>
      </c>
      <c r="D4851" s="18">
        <v>4849</v>
      </c>
      <c r="E4851" s="18" cm="1">
        <f t="array" aca="1" ref="E4851" ca="1">INDIRECT("b"&amp;F4851+2)</f>
        <v>0</v>
      </c>
      <c r="F4851" s="18">
        <f t="shared" si="1002"/>
        <v>6864</v>
      </c>
      <c r="G4851" s="18"/>
      <c r="H4851" s="18"/>
      <c r="I4851" s="19">
        <v>4849</v>
      </c>
      <c r="J4851" s="19" cm="1">
        <f t="array" aca="1" ref="J4851" ca="1">INDIRECT("b"&amp;K4851+2)</f>
        <v>0</v>
      </c>
      <c r="K4851" s="19">
        <f t="shared" si="998"/>
        <v>8064</v>
      </c>
    </row>
    <row r="4852" spans="1:11">
      <c r="A4852">
        <v>4850</v>
      </c>
      <c r="B4852">
        <v>2.8E+143</v>
      </c>
      <c r="D4852" s="18">
        <v>4850</v>
      </c>
      <c r="E4852" s="18" cm="1">
        <f t="array" aca="1" ref="E4852" ca="1">INDIRECT("b"&amp;F4852+2)</f>
        <v>0</v>
      </c>
      <c r="F4852" s="18">
        <f t="shared" si="1002"/>
        <v>6865</v>
      </c>
      <c r="G4852" s="18"/>
      <c r="H4852" s="18"/>
      <c r="I4852" s="19">
        <v>4850</v>
      </c>
      <c r="J4852" s="19" cm="1">
        <f t="array" aca="1" ref="J4852" ca="1">INDIRECT("b"&amp;K4852+2)</f>
        <v>0</v>
      </c>
      <c r="K4852" s="19">
        <f t="shared" si="998"/>
        <v>8065</v>
      </c>
    </row>
    <row r="4853" spans="1:11">
      <c r="A4853">
        <v>4851</v>
      </c>
      <c r="B4853">
        <v>3.0249999999999997E+143</v>
      </c>
      <c r="D4853" s="18">
        <v>4851</v>
      </c>
      <c r="E4853" s="18" cm="1">
        <f t="array" aca="1" ref="E4853" ca="1">INDIRECT("b"&amp;F4853+2)</f>
        <v>0</v>
      </c>
      <c r="F4853" s="18">
        <f t="shared" si="1002"/>
        <v>6866</v>
      </c>
      <c r="G4853" s="18" t="e">
        <f t="shared" ref="G4853" ca="1" si="1009">E4853/E4848</f>
        <v>#DIV/0!</v>
      </c>
      <c r="H4853" s="18"/>
      <c r="I4853" s="19">
        <v>4851</v>
      </c>
      <c r="J4853" s="19" cm="1">
        <f t="array" aca="1" ref="J4853" ca="1">INDIRECT("b"&amp;K4853+2)</f>
        <v>0</v>
      </c>
      <c r="K4853" s="19">
        <f t="shared" si="998"/>
        <v>8066</v>
      </c>
    </row>
    <row r="4854" spans="1:11">
      <c r="A4854">
        <v>4852</v>
      </c>
      <c r="B4854">
        <v>3.2499999999999999E+143</v>
      </c>
      <c r="D4854" s="18">
        <v>4852</v>
      </c>
      <c r="E4854" s="18" cm="1">
        <f t="array" aca="1" ref="E4854" ca="1">INDIRECT("b"&amp;F4854+2)</f>
        <v>0</v>
      </c>
      <c r="F4854" s="18">
        <f t="shared" si="1002"/>
        <v>6868</v>
      </c>
      <c r="G4854" s="18"/>
      <c r="H4854" s="18"/>
      <c r="I4854" s="19">
        <v>4852</v>
      </c>
      <c r="J4854" s="19" cm="1">
        <f t="array" aca="1" ref="J4854" ca="1">INDIRECT("b"&amp;K4854+2)</f>
        <v>0</v>
      </c>
      <c r="K4854" s="19">
        <f t="shared" si="998"/>
        <v>8068</v>
      </c>
    </row>
    <row r="4855" spans="1:11">
      <c r="A4855">
        <v>4853</v>
      </c>
      <c r="B4855">
        <v>3.475E+143</v>
      </c>
      <c r="D4855" s="18">
        <v>4853</v>
      </c>
      <c r="E4855" s="18" cm="1">
        <f t="array" aca="1" ref="E4855" ca="1">INDIRECT("b"&amp;F4855+2)</f>
        <v>0</v>
      </c>
      <c r="F4855" s="18">
        <f t="shared" si="1002"/>
        <v>6869</v>
      </c>
      <c r="G4855" s="18"/>
      <c r="H4855" s="18"/>
      <c r="I4855" s="19">
        <v>4853</v>
      </c>
      <c r="J4855" s="19" cm="1">
        <f t="array" aca="1" ref="J4855" ca="1">INDIRECT("b"&amp;K4855+2)</f>
        <v>0</v>
      </c>
      <c r="K4855" s="19">
        <f t="shared" si="998"/>
        <v>8069</v>
      </c>
    </row>
    <row r="4856" spans="1:11">
      <c r="A4856">
        <v>4854</v>
      </c>
      <c r="B4856">
        <v>3.6999999999999997E+143</v>
      </c>
      <c r="D4856" s="18">
        <v>4854</v>
      </c>
      <c r="E4856" s="18" cm="1">
        <f t="array" aca="1" ref="E4856" ca="1">INDIRECT("b"&amp;F4856+2)</f>
        <v>0</v>
      </c>
      <c r="F4856" s="18">
        <f t="shared" si="1002"/>
        <v>6870</v>
      </c>
      <c r="G4856" s="18"/>
      <c r="H4856" s="18"/>
      <c r="I4856" s="19">
        <v>4854</v>
      </c>
      <c r="J4856" s="19" cm="1">
        <f t="array" aca="1" ref="J4856" ca="1">INDIRECT("b"&amp;K4856+2)</f>
        <v>0</v>
      </c>
      <c r="K4856" s="19">
        <f t="shared" si="998"/>
        <v>8070</v>
      </c>
    </row>
    <row r="4857" spans="1:11">
      <c r="A4857">
        <v>4855</v>
      </c>
      <c r="B4857">
        <v>3.9249999999999995E+143</v>
      </c>
      <c r="D4857" s="18">
        <v>4855</v>
      </c>
      <c r="E4857" s="18" cm="1">
        <f t="array" aca="1" ref="E4857" ca="1">INDIRECT("b"&amp;F4857+2)</f>
        <v>0</v>
      </c>
      <c r="F4857" s="18">
        <f t="shared" si="1002"/>
        <v>6872</v>
      </c>
      <c r="G4857" s="18"/>
      <c r="H4857" s="18"/>
      <c r="I4857" s="19">
        <v>4855</v>
      </c>
      <c r="J4857" s="19" cm="1">
        <f t="array" aca="1" ref="J4857" ca="1">INDIRECT("b"&amp;K4857+2)</f>
        <v>0</v>
      </c>
      <c r="K4857" s="19">
        <f t="shared" si="998"/>
        <v>8072</v>
      </c>
    </row>
    <row r="4858" spans="1:11">
      <c r="A4858">
        <v>4856</v>
      </c>
      <c r="B4858">
        <v>4.1499999999999996E+143</v>
      </c>
      <c r="D4858" s="18">
        <v>4856</v>
      </c>
      <c r="E4858" s="18" cm="1">
        <f t="array" aca="1" ref="E4858" ca="1">INDIRECT("b"&amp;F4858+2)</f>
        <v>0</v>
      </c>
      <c r="F4858" s="18">
        <f t="shared" si="1002"/>
        <v>6873</v>
      </c>
      <c r="G4858" s="18" t="e">
        <f t="shared" ref="G4858" ca="1" si="1010">E4858/E4853</f>
        <v>#DIV/0!</v>
      </c>
      <c r="H4858" s="18"/>
      <c r="I4858" s="19">
        <v>4856</v>
      </c>
      <c r="J4858" s="19" cm="1">
        <f t="array" aca="1" ref="J4858" ca="1">INDIRECT("b"&amp;K4858+2)</f>
        <v>0</v>
      </c>
      <c r="K4858" s="19">
        <f t="shared" si="998"/>
        <v>8073</v>
      </c>
    </row>
    <row r="4859" spans="1:11">
      <c r="A4859">
        <v>4857</v>
      </c>
      <c r="B4859">
        <v>4.3749999999999998E+143</v>
      </c>
      <c r="D4859" s="18">
        <v>4857</v>
      </c>
      <c r="E4859" s="18" cm="1">
        <f t="array" aca="1" ref="E4859" ca="1">INDIRECT("b"&amp;F4859+2)</f>
        <v>0</v>
      </c>
      <c r="F4859" s="18">
        <f t="shared" si="1002"/>
        <v>6874</v>
      </c>
      <c r="G4859" s="18"/>
      <c r="H4859" s="18"/>
      <c r="I4859" s="19">
        <v>4857</v>
      </c>
      <c r="J4859" s="19" cm="1">
        <f t="array" aca="1" ref="J4859" ca="1">INDIRECT("b"&amp;K4859+2)</f>
        <v>0</v>
      </c>
      <c r="K4859" s="19">
        <f t="shared" si="998"/>
        <v>8074</v>
      </c>
    </row>
    <row r="4860" spans="1:11">
      <c r="A4860">
        <v>4858</v>
      </c>
      <c r="B4860">
        <v>4.5999999999999999E+143</v>
      </c>
      <c r="D4860" s="18">
        <v>4858</v>
      </c>
      <c r="E4860" s="18" cm="1">
        <f t="array" aca="1" ref="E4860" ca="1">INDIRECT("b"&amp;F4860+2)</f>
        <v>0</v>
      </c>
      <c r="F4860" s="18">
        <f t="shared" si="1002"/>
        <v>6876</v>
      </c>
      <c r="G4860" s="18"/>
      <c r="H4860" s="18"/>
      <c r="I4860" s="19">
        <v>4858</v>
      </c>
      <c r="J4860" s="19" cm="1">
        <f t="array" aca="1" ref="J4860" ca="1">INDIRECT("b"&amp;K4860+2)</f>
        <v>0</v>
      </c>
      <c r="K4860" s="19">
        <f t="shared" si="998"/>
        <v>8076</v>
      </c>
    </row>
    <row r="4861" spans="1:11">
      <c r="A4861">
        <v>4859</v>
      </c>
      <c r="B4861">
        <v>4.8250000000000001E+143</v>
      </c>
      <c r="D4861" s="18">
        <v>4859</v>
      </c>
      <c r="E4861" s="18" cm="1">
        <f t="array" aca="1" ref="E4861" ca="1">INDIRECT("b"&amp;F4861+2)</f>
        <v>0</v>
      </c>
      <c r="F4861" s="18">
        <f t="shared" si="1002"/>
        <v>6877</v>
      </c>
      <c r="G4861" s="18"/>
      <c r="H4861" s="18"/>
      <c r="I4861" s="19">
        <v>4859</v>
      </c>
      <c r="J4861" s="19" cm="1">
        <f t="array" aca="1" ref="J4861" ca="1">INDIRECT("b"&amp;K4861+2)</f>
        <v>0</v>
      </c>
      <c r="K4861" s="19">
        <f t="shared" si="998"/>
        <v>8077</v>
      </c>
    </row>
    <row r="4862" spans="1:11">
      <c r="A4862">
        <v>4860</v>
      </c>
      <c r="B4862">
        <v>5.0499999999999994E+143</v>
      </c>
      <c r="D4862" s="18">
        <v>4860</v>
      </c>
      <c r="E4862" s="18" cm="1">
        <f t="array" aca="1" ref="E4862" ca="1">INDIRECT("b"&amp;F4862+2)</f>
        <v>0</v>
      </c>
      <c r="F4862" s="18">
        <f t="shared" si="1002"/>
        <v>6878</v>
      </c>
      <c r="G4862" s="18"/>
      <c r="H4862" s="18"/>
      <c r="I4862" s="19">
        <v>4860</v>
      </c>
      <c r="J4862" s="19" cm="1">
        <f t="array" aca="1" ref="J4862" ca="1">INDIRECT("b"&amp;K4862+2)</f>
        <v>0</v>
      </c>
      <c r="K4862" s="19">
        <f t="shared" si="998"/>
        <v>8078</v>
      </c>
    </row>
    <row r="4863" spans="1:11">
      <c r="A4863">
        <v>4861</v>
      </c>
      <c r="B4863">
        <v>5.2749999999999995E+143</v>
      </c>
      <c r="D4863" s="18">
        <v>4861</v>
      </c>
      <c r="E4863" s="18" cm="1">
        <f t="array" aca="1" ref="E4863" ca="1">INDIRECT("b"&amp;F4863+2)</f>
        <v>0</v>
      </c>
      <c r="F4863" s="18">
        <f t="shared" si="1002"/>
        <v>6880</v>
      </c>
      <c r="G4863" s="18" t="e">
        <f t="shared" ref="G4863" ca="1" si="1011">E4863/E4858</f>
        <v>#DIV/0!</v>
      </c>
      <c r="H4863" s="18"/>
      <c r="I4863" s="19">
        <v>4861</v>
      </c>
      <c r="J4863" s="19" cm="1">
        <f t="array" aca="1" ref="J4863" ca="1">INDIRECT("b"&amp;K4863+2)</f>
        <v>0</v>
      </c>
      <c r="K4863" s="19">
        <f t="shared" si="998"/>
        <v>8080</v>
      </c>
    </row>
    <row r="4864" spans="1:11">
      <c r="A4864">
        <v>4862</v>
      </c>
      <c r="B4864">
        <v>5.4999999999999997E+143</v>
      </c>
      <c r="D4864" s="18">
        <v>4862</v>
      </c>
      <c r="E4864" s="18" cm="1">
        <f t="array" aca="1" ref="E4864" ca="1">INDIRECT("b"&amp;F4864+2)</f>
        <v>0</v>
      </c>
      <c r="F4864" s="18">
        <f t="shared" si="1002"/>
        <v>6881</v>
      </c>
      <c r="G4864" s="18"/>
      <c r="H4864" s="18"/>
      <c r="I4864" s="19">
        <v>4862</v>
      </c>
      <c r="J4864" s="19" cm="1">
        <f t="array" aca="1" ref="J4864" ca="1">INDIRECT("b"&amp;K4864+2)</f>
        <v>0</v>
      </c>
      <c r="K4864" s="19">
        <f t="shared" si="998"/>
        <v>8081</v>
      </c>
    </row>
    <row r="4865" spans="1:11">
      <c r="A4865">
        <v>4863</v>
      </c>
      <c r="B4865">
        <v>5.7249999999999999E+143</v>
      </c>
      <c r="D4865" s="18">
        <v>4863</v>
      </c>
      <c r="E4865" s="18" cm="1">
        <f t="array" aca="1" ref="E4865" ca="1">INDIRECT("b"&amp;F4865+2)</f>
        <v>0</v>
      </c>
      <c r="F4865" s="18">
        <f t="shared" si="1002"/>
        <v>6882</v>
      </c>
      <c r="G4865" s="18"/>
      <c r="H4865" s="18"/>
      <c r="I4865" s="19">
        <v>4863</v>
      </c>
      <c r="J4865" s="19" cm="1">
        <f t="array" aca="1" ref="J4865" ca="1">INDIRECT("b"&amp;K4865+2)</f>
        <v>0</v>
      </c>
      <c r="K4865" s="19">
        <f t="shared" si="998"/>
        <v>8082</v>
      </c>
    </row>
    <row r="4866" spans="1:11">
      <c r="A4866">
        <v>4864</v>
      </c>
      <c r="B4866">
        <v>5.95E+143</v>
      </c>
      <c r="D4866" s="18">
        <v>4864</v>
      </c>
      <c r="E4866" s="18" cm="1">
        <f t="array" aca="1" ref="E4866" ca="1">INDIRECT("b"&amp;F4866+2)</f>
        <v>0</v>
      </c>
      <c r="F4866" s="18">
        <f t="shared" si="1002"/>
        <v>6884</v>
      </c>
      <c r="G4866" s="18"/>
      <c r="H4866" s="18"/>
      <c r="I4866" s="19">
        <v>4864</v>
      </c>
      <c r="J4866" s="19" cm="1">
        <f t="array" aca="1" ref="J4866" ca="1">INDIRECT("b"&amp;K4866+2)</f>
        <v>0</v>
      </c>
      <c r="K4866" s="19">
        <f t="shared" si="998"/>
        <v>8084</v>
      </c>
    </row>
    <row r="4867" spans="1:11">
      <c r="A4867">
        <v>4865</v>
      </c>
      <c r="B4867">
        <v>6.1750000000000002E+143</v>
      </c>
      <c r="D4867" s="18">
        <v>4865</v>
      </c>
      <c r="E4867" s="18" cm="1">
        <f t="array" aca="1" ref="E4867" ca="1">INDIRECT("b"&amp;F4867+2)</f>
        <v>0</v>
      </c>
      <c r="F4867" s="18">
        <f t="shared" si="1002"/>
        <v>6885</v>
      </c>
      <c r="G4867" s="18"/>
      <c r="H4867" s="18"/>
      <c r="I4867" s="19">
        <v>4865</v>
      </c>
      <c r="J4867" s="19" cm="1">
        <f t="array" aca="1" ref="J4867" ca="1">INDIRECT("b"&amp;K4867+2)</f>
        <v>0</v>
      </c>
      <c r="K4867" s="19">
        <f t="shared" si="998"/>
        <v>8085</v>
      </c>
    </row>
    <row r="4868" spans="1:11">
      <c r="A4868">
        <v>4866</v>
      </c>
      <c r="B4868">
        <v>6.3999999999999995E+143</v>
      </c>
      <c r="D4868" s="18">
        <v>4866</v>
      </c>
      <c r="E4868" s="18" cm="1">
        <f t="array" aca="1" ref="E4868" ca="1">INDIRECT("b"&amp;F4868+2)</f>
        <v>0</v>
      </c>
      <c r="F4868" s="18">
        <f t="shared" si="1002"/>
        <v>6886</v>
      </c>
      <c r="G4868" s="18" t="e">
        <f t="shared" ref="G4868" ca="1" si="1012">E4868/E4863</f>
        <v>#DIV/0!</v>
      </c>
      <c r="H4868" s="18"/>
      <c r="I4868" s="19">
        <v>4866</v>
      </c>
      <c r="J4868" s="19" cm="1">
        <f t="array" aca="1" ref="J4868" ca="1">INDIRECT("b"&amp;K4868+2)</f>
        <v>0</v>
      </c>
      <c r="K4868" s="19">
        <f t="shared" ref="K4868:K4931" si="1013">INT((A4868-1)*40/30+900*40/30)+400</f>
        <v>8086</v>
      </c>
    </row>
    <row r="4869" spans="1:11">
      <c r="A4869">
        <v>4867</v>
      </c>
      <c r="B4869">
        <v>6.6249999999999996E+143</v>
      </c>
      <c r="D4869" s="18">
        <v>4867</v>
      </c>
      <c r="E4869" s="18" cm="1">
        <f t="array" aca="1" ref="E4869" ca="1">INDIRECT("b"&amp;F4869+2)</f>
        <v>0</v>
      </c>
      <c r="F4869" s="18">
        <f t="shared" si="1002"/>
        <v>6888</v>
      </c>
      <c r="G4869" s="18"/>
      <c r="H4869" s="18"/>
      <c r="I4869" s="19">
        <v>4867</v>
      </c>
      <c r="J4869" s="19" cm="1">
        <f t="array" aca="1" ref="J4869" ca="1">INDIRECT("b"&amp;K4869+2)</f>
        <v>0</v>
      </c>
      <c r="K4869" s="19">
        <f t="shared" si="1013"/>
        <v>8088</v>
      </c>
    </row>
    <row r="4870" spans="1:11">
      <c r="A4870">
        <v>4868</v>
      </c>
      <c r="B4870">
        <v>6.8499999999999998E+143</v>
      </c>
      <c r="D4870" s="18">
        <v>4868</v>
      </c>
      <c r="E4870" s="18" cm="1">
        <f t="array" aca="1" ref="E4870" ca="1">INDIRECT("b"&amp;F4870+2)</f>
        <v>0</v>
      </c>
      <c r="F4870" s="18">
        <f t="shared" si="1002"/>
        <v>6889</v>
      </c>
      <c r="G4870" s="18"/>
      <c r="H4870" s="18"/>
      <c r="I4870" s="19">
        <v>4868</v>
      </c>
      <c r="J4870" s="19" cm="1">
        <f t="array" aca="1" ref="J4870" ca="1">INDIRECT("b"&amp;K4870+2)</f>
        <v>0</v>
      </c>
      <c r="K4870" s="19">
        <f t="shared" si="1013"/>
        <v>8089</v>
      </c>
    </row>
    <row r="4871" spans="1:11">
      <c r="A4871">
        <v>4869</v>
      </c>
      <c r="B4871">
        <v>7.0749999999999999E+143</v>
      </c>
      <c r="D4871" s="18">
        <v>4869</v>
      </c>
      <c r="E4871" s="18" cm="1">
        <f t="array" aca="1" ref="E4871" ca="1">INDIRECT("b"&amp;F4871+2)</f>
        <v>0</v>
      </c>
      <c r="F4871" s="18">
        <f t="shared" si="1002"/>
        <v>6890</v>
      </c>
      <c r="G4871" s="18"/>
      <c r="H4871" s="18"/>
      <c r="I4871" s="19">
        <v>4869</v>
      </c>
      <c r="J4871" s="19" cm="1">
        <f t="array" aca="1" ref="J4871" ca="1">INDIRECT("b"&amp;K4871+2)</f>
        <v>0</v>
      </c>
      <c r="K4871" s="19">
        <f t="shared" si="1013"/>
        <v>8090</v>
      </c>
    </row>
    <row r="4872" spans="1:11">
      <c r="A4872">
        <v>4870</v>
      </c>
      <c r="B4872">
        <v>7.3000000000000001E+143</v>
      </c>
      <c r="D4872" s="18">
        <v>4870</v>
      </c>
      <c r="E4872" s="18" cm="1">
        <f t="array" aca="1" ref="E4872" ca="1">INDIRECT("b"&amp;F4872+2)</f>
        <v>0</v>
      </c>
      <c r="F4872" s="18">
        <f t="shared" si="1002"/>
        <v>6892</v>
      </c>
      <c r="G4872" s="18"/>
      <c r="H4872" s="18"/>
      <c r="I4872" s="19">
        <v>4870</v>
      </c>
      <c r="J4872" s="19" cm="1">
        <f t="array" aca="1" ref="J4872" ca="1">INDIRECT("b"&amp;K4872+2)</f>
        <v>0</v>
      </c>
      <c r="K4872" s="19">
        <f t="shared" si="1013"/>
        <v>8092</v>
      </c>
    </row>
    <row r="4873" spans="1:11">
      <c r="A4873">
        <v>4871</v>
      </c>
      <c r="B4873">
        <v>7.5249999999999994E+143</v>
      </c>
      <c r="D4873" s="18">
        <v>4871</v>
      </c>
      <c r="E4873" s="18" cm="1">
        <f t="array" aca="1" ref="E4873" ca="1">INDIRECT("b"&amp;F4873+2)</f>
        <v>0</v>
      </c>
      <c r="F4873" s="18">
        <f t="shared" si="1002"/>
        <v>6893</v>
      </c>
      <c r="G4873" s="18" t="e">
        <f t="shared" ref="G4873" ca="1" si="1014">E4873/E4868</f>
        <v>#DIV/0!</v>
      </c>
      <c r="H4873" s="18"/>
      <c r="I4873" s="19">
        <v>4871</v>
      </c>
      <c r="J4873" s="19" cm="1">
        <f t="array" aca="1" ref="J4873" ca="1">INDIRECT("b"&amp;K4873+2)</f>
        <v>0</v>
      </c>
      <c r="K4873" s="19">
        <f t="shared" si="1013"/>
        <v>8093</v>
      </c>
    </row>
    <row r="4874" spans="1:11">
      <c r="A4874">
        <v>4872</v>
      </c>
      <c r="B4874">
        <v>7.7499999999999995E+143</v>
      </c>
      <c r="D4874" s="18">
        <v>4872</v>
      </c>
      <c r="E4874" s="18" cm="1">
        <f t="array" aca="1" ref="E4874" ca="1">INDIRECT("b"&amp;F4874+2)</f>
        <v>0</v>
      </c>
      <c r="F4874" s="18">
        <f t="shared" si="1002"/>
        <v>6894</v>
      </c>
      <c r="G4874" s="18"/>
      <c r="H4874" s="18"/>
      <c r="I4874" s="19">
        <v>4872</v>
      </c>
      <c r="J4874" s="19" cm="1">
        <f t="array" aca="1" ref="J4874" ca="1">INDIRECT("b"&amp;K4874+2)</f>
        <v>0</v>
      </c>
      <c r="K4874" s="19">
        <f t="shared" si="1013"/>
        <v>8094</v>
      </c>
    </row>
    <row r="4875" spans="1:11">
      <c r="A4875">
        <v>4873</v>
      </c>
      <c r="B4875">
        <v>7.9750000000000006E+143</v>
      </c>
      <c r="D4875" s="18">
        <v>4873</v>
      </c>
      <c r="E4875" s="18" cm="1">
        <f t="array" aca="1" ref="E4875" ca="1">INDIRECT("b"&amp;F4875+2)</f>
        <v>0</v>
      </c>
      <c r="F4875" s="18">
        <f t="shared" si="1002"/>
        <v>6896</v>
      </c>
      <c r="G4875" s="18"/>
      <c r="H4875" s="18"/>
      <c r="I4875" s="19">
        <v>4873</v>
      </c>
      <c r="J4875" s="19" cm="1">
        <f t="array" aca="1" ref="J4875" ca="1">INDIRECT("b"&amp;K4875+2)</f>
        <v>0</v>
      </c>
      <c r="K4875" s="19">
        <f t="shared" si="1013"/>
        <v>8096</v>
      </c>
    </row>
    <row r="4876" spans="1:11">
      <c r="A4876">
        <v>4874</v>
      </c>
      <c r="B4876">
        <v>8.199999999999999E+143</v>
      </c>
      <c r="D4876" s="18">
        <v>4874</v>
      </c>
      <c r="E4876" s="18" cm="1">
        <f t="array" aca="1" ref="E4876" ca="1">INDIRECT("b"&amp;F4876+2)</f>
        <v>0</v>
      </c>
      <c r="F4876" s="18">
        <f t="shared" si="1002"/>
        <v>6897</v>
      </c>
      <c r="G4876" s="18"/>
      <c r="H4876" s="18"/>
      <c r="I4876" s="19">
        <v>4874</v>
      </c>
      <c r="J4876" s="19" cm="1">
        <f t="array" aca="1" ref="J4876" ca="1">INDIRECT("b"&amp;K4876+2)</f>
        <v>0</v>
      </c>
      <c r="K4876" s="19">
        <f t="shared" si="1013"/>
        <v>8097</v>
      </c>
    </row>
    <row r="4877" spans="1:11">
      <c r="A4877">
        <v>4875</v>
      </c>
      <c r="B4877">
        <v>8.4249999999999991E+143</v>
      </c>
      <c r="D4877" s="18">
        <v>4875</v>
      </c>
      <c r="E4877" s="18" cm="1">
        <f t="array" aca="1" ref="E4877" ca="1">INDIRECT("b"&amp;F4877+2)</f>
        <v>0</v>
      </c>
      <c r="F4877" s="18">
        <f t="shared" si="1002"/>
        <v>6898</v>
      </c>
      <c r="G4877" s="18"/>
      <c r="H4877" s="18"/>
      <c r="I4877" s="19">
        <v>4875</v>
      </c>
      <c r="J4877" s="19" cm="1">
        <f t="array" aca="1" ref="J4877" ca="1">INDIRECT("b"&amp;K4877+2)</f>
        <v>0</v>
      </c>
      <c r="K4877" s="19">
        <f t="shared" si="1013"/>
        <v>8098</v>
      </c>
    </row>
    <row r="4878" spans="1:11">
      <c r="A4878">
        <v>4876</v>
      </c>
      <c r="B4878">
        <v>8.6499999999999993E+143</v>
      </c>
      <c r="D4878" s="18">
        <v>4876</v>
      </c>
      <c r="E4878" s="18" cm="1">
        <f t="array" aca="1" ref="E4878" ca="1">INDIRECT("b"&amp;F4878+2)</f>
        <v>0</v>
      </c>
      <c r="F4878" s="18">
        <f t="shared" si="1002"/>
        <v>6900</v>
      </c>
      <c r="G4878" s="18" t="e">
        <f t="shared" ref="G4878" ca="1" si="1015">E4878/E4873</f>
        <v>#DIV/0!</v>
      </c>
      <c r="H4878" s="18"/>
      <c r="I4878" s="19">
        <v>4876</v>
      </c>
      <c r="J4878" s="19" cm="1">
        <f t="array" aca="1" ref="J4878" ca="1">INDIRECT("b"&amp;K4878+2)</f>
        <v>0</v>
      </c>
      <c r="K4878" s="19">
        <f t="shared" si="1013"/>
        <v>8100</v>
      </c>
    </row>
    <row r="4879" spans="1:11">
      <c r="A4879">
        <v>4877</v>
      </c>
      <c r="B4879">
        <v>8.8749999999999995E+143</v>
      </c>
      <c r="D4879" s="18">
        <v>4877</v>
      </c>
      <c r="E4879" s="18" cm="1">
        <f t="array" aca="1" ref="E4879" ca="1">INDIRECT("b"&amp;F4879+2)</f>
        <v>0</v>
      </c>
      <c r="F4879" s="18">
        <f t="shared" si="1002"/>
        <v>6901</v>
      </c>
      <c r="G4879" s="18"/>
      <c r="H4879" s="18"/>
      <c r="I4879" s="19">
        <v>4877</v>
      </c>
      <c r="J4879" s="19" cm="1">
        <f t="array" aca="1" ref="J4879" ca="1">INDIRECT("b"&amp;K4879+2)</f>
        <v>0</v>
      </c>
      <c r="K4879" s="19">
        <f t="shared" si="1013"/>
        <v>8101</v>
      </c>
    </row>
    <row r="4880" spans="1:11">
      <c r="A4880">
        <v>4878</v>
      </c>
      <c r="B4880">
        <v>9.0999999999999996E+143</v>
      </c>
      <c r="D4880" s="18">
        <v>4878</v>
      </c>
      <c r="E4880" s="18" cm="1">
        <f t="array" aca="1" ref="E4880" ca="1">INDIRECT("b"&amp;F4880+2)</f>
        <v>0</v>
      </c>
      <c r="F4880" s="18">
        <f t="shared" si="1002"/>
        <v>6902</v>
      </c>
      <c r="G4880" s="18"/>
      <c r="H4880" s="18"/>
      <c r="I4880" s="19">
        <v>4878</v>
      </c>
      <c r="J4880" s="19" cm="1">
        <f t="array" aca="1" ref="J4880" ca="1">INDIRECT("b"&amp;K4880+2)</f>
        <v>0</v>
      </c>
      <c r="K4880" s="19">
        <f t="shared" si="1013"/>
        <v>8102</v>
      </c>
    </row>
    <row r="4881" spans="1:11">
      <c r="A4881">
        <v>4879</v>
      </c>
      <c r="B4881">
        <v>9.3249999999999998E+143</v>
      </c>
      <c r="D4881" s="18">
        <v>4879</v>
      </c>
      <c r="E4881" s="18" cm="1">
        <f t="array" aca="1" ref="E4881" ca="1">INDIRECT("b"&amp;F4881+2)</f>
        <v>0</v>
      </c>
      <c r="F4881" s="18">
        <f t="shared" si="1002"/>
        <v>6904</v>
      </c>
      <c r="G4881" s="18"/>
      <c r="H4881" s="18"/>
      <c r="I4881" s="19">
        <v>4879</v>
      </c>
      <c r="J4881" s="19" cm="1">
        <f t="array" aca="1" ref="J4881" ca="1">INDIRECT("b"&amp;K4881+2)</f>
        <v>0</v>
      </c>
      <c r="K4881" s="19">
        <f t="shared" si="1013"/>
        <v>8104</v>
      </c>
    </row>
    <row r="4882" spans="1:11">
      <c r="A4882">
        <v>4880</v>
      </c>
      <c r="B4882">
        <v>9.5499999999999999E+143</v>
      </c>
      <c r="D4882" s="18">
        <v>4880</v>
      </c>
      <c r="E4882" s="18" cm="1">
        <f t="array" aca="1" ref="E4882" ca="1">INDIRECT("b"&amp;F4882+2)</f>
        <v>0</v>
      </c>
      <c r="F4882" s="18">
        <f t="shared" si="1002"/>
        <v>6905</v>
      </c>
      <c r="G4882" s="18"/>
      <c r="H4882" s="18"/>
      <c r="I4882" s="19">
        <v>4880</v>
      </c>
      <c r="J4882" s="19" cm="1">
        <f t="array" aca="1" ref="J4882" ca="1">INDIRECT("b"&amp;K4882+2)</f>
        <v>0</v>
      </c>
      <c r="K4882" s="19">
        <f t="shared" si="1013"/>
        <v>8105</v>
      </c>
    </row>
    <row r="4883" spans="1:11">
      <c r="A4883">
        <v>4881</v>
      </c>
      <c r="B4883">
        <v>9.7750000000000001E+143</v>
      </c>
      <c r="D4883" s="18">
        <v>4881</v>
      </c>
      <c r="E4883" s="18" cm="1">
        <f t="array" aca="1" ref="E4883" ca="1">INDIRECT("b"&amp;F4883+2)</f>
        <v>0</v>
      </c>
      <c r="F4883" s="18">
        <f t="shared" ref="F4883:F4946" si="1016">INT((A4883-123)*1.333333)+563</f>
        <v>6906</v>
      </c>
      <c r="G4883" s="18" t="e">
        <f t="shared" ref="G4883" ca="1" si="1017">E4883/E4878</f>
        <v>#DIV/0!</v>
      </c>
      <c r="H4883" s="18"/>
      <c r="I4883" s="19">
        <v>4881</v>
      </c>
      <c r="J4883" s="19" cm="1">
        <f t="array" aca="1" ref="J4883" ca="1">INDIRECT("b"&amp;K4883+2)</f>
        <v>0</v>
      </c>
      <c r="K4883" s="19">
        <f t="shared" si="1013"/>
        <v>8106</v>
      </c>
    </row>
    <row r="4884" spans="1:11">
      <c r="A4884">
        <v>4882</v>
      </c>
      <c r="B4884">
        <v>1E+144</v>
      </c>
      <c r="D4884" s="18">
        <v>4882</v>
      </c>
      <c r="E4884" s="18" cm="1">
        <f t="array" aca="1" ref="E4884" ca="1">INDIRECT("b"&amp;F4884+2)</f>
        <v>0</v>
      </c>
      <c r="F4884" s="18">
        <f t="shared" si="1016"/>
        <v>6908</v>
      </c>
      <c r="G4884" s="18"/>
      <c r="H4884" s="18"/>
      <c r="I4884" s="19">
        <v>4882</v>
      </c>
      <c r="J4884" s="19" cm="1">
        <f t="array" aca="1" ref="J4884" ca="1">INDIRECT("b"&amp;K4884+2)</f>
        <v>0</v>
      </c>
      <c r="K4884" s="19">
        <f t="shared" si="1013"/>
        <v>8108</v>
      </c>
    </row>
    <row r="4885" spans="1:11">
      <c r="A4885">
        <v>4883</v>
      </c>
      <c r="B4885">
        <v>1.225E+144</v>
      </c>
      <c r="D4885" s="18">
        <v>4883</v>
      </c>
      <c r="E4885" s="18" cm="1">
        <f t="array" aca="1" ref="E4885" ca="1">INDIRECT("b"&amp;F4885+2)</f>
        <v>0</v>
      </c>
      <c r="F4885" s="18">
        <f t="shared" si="1016"/>
        <v>6909</v>
      </c>
      <c r="G4885" s="18"/>
      <c r="H4885" s="18"/>
      <c r="I4885" s="19">
        <v>4883</v>
      </c>
      <c r="J4885" s="19" cm="1">
        <f t="array" aca="1" ref="J4885" ca="1">INDIRECT("b"&amp;K4885+2)</f>
        <v>0</v>
      </c>
      <c r="K4885" s="19">
        <f t="shared" si="1013"/>
        <v>8109</v>
      </c>
    </row>
    <row r="4886" spans="1:11">
      <c r="A4886">
        <v>4884</v>
      </c>
      <c r="B4886">
        <v>1.4500000000000002E+144</v>
      </c>
      <c r="D4886" s="18">
        <v>4884</v>
      </c>
      <c r="E4886" s="18" cm="1">
        <f t="array" aca="1" ref="E4886" ca="1">INDIRECT("b"&amp;F4886+2)</f>
        <v>0</v>
      </c>
      <c r="F4886" s="18">
        <f t="shared" si="1016"/>
        <v>6910</v>
      </c>
      <c r="G4886" s="18"/>
      <c r="H4886" s="18"/>
      <c r="I4886" s="19">
        <v>4884</v>
      </c>
      <c r="J4886" s="19" cm="1">
        <f t="array" aca="1" ref="J4886" ca="1">INDIRECT("b"&amp;K4886+2)</f>
        <v>0</v>
      </c>
      <c r="K4886" s="19">
        <f t="shared" si="1013"/>
        <v>8110</v>
      </c>
    </row>
    <row r="4887" spans="1:11">
      <c r="A4887">
        <v>4885</v>
      </c>
      <c r="B4887">
        <v>1.675E+144</v>
      </c>
      <c r="D4887" s="18">
        <v>4885</v>
      </c>
      <c r="E4887" s="18" cm="1">
        <f t="array" aca="1" ref="E4887" ca="1">INDIRECT("b"&amp;F4887+2)</f>
        <v>0</v>
      </c>
      <c r="F4887" s="18">
        <f t="shared" si="1016"/>
        <v>6912</v>
      </c>
      <c r="G4887" s="18"/>
      <c r="H4887" s="18"/>
      <c r="I4887" s="19">
        <v>4885</v>
      </c>
      <c r="J4887" s="19" cm="1">
        <f t="array" aca="1" ref="J4887" ca="1">INDIRECT("b"&amp;K4887+2)</f>
        <v>0</v>
      </c>
      <c r="K4887" s="19">
        <f t="shared" si="1013"/>
        <v>8112</v>
      </c>
    </row>
    <row r="4888" spans="1:11">
      <c r="A4888">
        <v>4886</v>
      </c>
      <c r="B4888">
        <v>1.9000000000000001E+144</v>
      </c>
      <c r="D4888" s="18">
        <v>4886</v>
      </c>
      <c r="E4888" s="18" cm="1">
        <f t="array" aca="1" ref="E4888" ca="1">INDIRECT("b"&amp;F4888+2)</f>
        <v>0</v>
      </c>
      <c r="F4888" s="18">
        <f t="shared" si="1016"/>
        <v>6913</v>
      </c>
      <c r="G4888" s="18" t="e">
        <f t="shared" ref="G4888" ca="1" si="1018">E4888/E4883</f>
        <v>#DIV/0!</v>
      </c>
      <c r="H4888" s="18"/>
      <c r="I4888" s="19">
        <v>4886</v>
      </c>
      <c r="J4888" s="19" cm="1">
        <f t="array" aca="1" ref="J4888" ca="1">INDIRECT("b"&amp;K4888+2)</f>
        <v>0</v>
      </c>
      <c r="K4888" s="19">
        <f t="shared" si="1013"/>
        <v>8113</v>
      </c>
    </row>
    <row r="4889" spans="1:11">
      <c r="A4889">
        <v>4887</v>
      </c>
      <c r="B4889">
        <v>2.1250000000000003E+144</v>
      </c>
      <c r="D4889" s="18">
        <v>4887</v>
      </c>
      <c r="E4889" s="18" cm="1">
        <f t="array" aca="1" ref="E4889" ca="1">INDIRECT("b"&amp;F4889+2)</f>
        <v>0</v>
      </c>
      <c r="F4889" s="18">
        <f t="shared" si="1016"/>
        <v>6914</v>
      </c>
      <c r="G4889" s="18"/>
      <c r="H4889" s="18"/>
      <c r="I4889" s="19">
        <v>4887</v>
      </c>
      <c r="J4889" s="19" cm="1">
        <f t="array" aca="1" ref="J4889" ca="1">INDIRECT("b"&amp;K4889+2)</f>
        <v>0</v>
      </c>
      <c r="K4889" s="19">
        <f t="shared" si="1013"/>
        <v>8114</v>
      </c>
    </row>
    <row r="4890" spans="1:11">
      <c r="A4890">
        <v>4888</v>
      </c>
      <c r="B4890">
        <v>2.3500000000000001E+144</v>
      </c>
      <c r="D4890" s="18">
        <v>4888</v>
      </c>
      <c r="E4890" s="18" cm="1">
        <f t="array" aca="1" ref="E4890" ca="1">INDIRECT("b"&amp;F4890+2)</f>
        <v>0</v>
      </c>
      <c r="F4890" s="18">
        <f t="shared" si="1016"/>
        <v>6916</v>
      </c>
      <c r="G4890" s="18"/>
      <c r="H4890" s="18"/>
      <c r="I4890" s="19">
        <v>4888</v>
      </c>
      <c r="J4890" s="19" cm="1">
        <f t="array" aca="1" ref="J4890" ca="1">INDIRECT("b"&amp;K4890+2)</f>
        <v>0</v>
      </c>
      <c r="K4890" s="19">
        <f t="shared" si="1013"/>
        <v>8116</v>
      </c>
    </row>
    <row r="4891" spans="1:11">
      <c r="A4891">
        <v>4889</v>
      </c>
      <c r="B4891">
        <v>2.5750000000000003E+144</v>
      </c>
      <c r="D4891" s="18">
        <v>4889</v>
      </c>
      <c r="E4891" s="18" cm="1">
        <f t="array" aca="1" ref="E4891" ca="1">INDIRECT("b"&amp;F4891+2)</f>
        <v>0</v>
      </c>
      <c r="F4891" s="18">
        <f t="shared" si="1016"/>
        <v>6917</v>
      </c>
      <c r="G4891" s="18"/>
      <c r="H4891" s="18"/>
      <c r="I4891" s="19">
        <v>4889</v>
      </c>
      <c r="J4891" s="19" cm="1">
        <f t="array" aca="1" ref="J4891" ca="1">INDIRECT("b"&amp;K4891+2)</f>
        <v>0</v>
      </c>
      <c r="K4891" s="19">
        <f t="shared" si="1013"/>
        <v>8117</v>
      </c>
    </row>
    <row r="4892" spans="1:11">
      <c r="A4892">
        <v>4890</v>
      </c>
      <c r="B4892">
        <v>2.8000000000000001E+144</v>
      </c>
      <c r="D4892" s="18">
        <v>4890</v>
      </c>
      <c r="E4892" s="18" cm="1">
        <f t="array" aca="1" ref="E4892" ca="1">INDIRECT("b"&amp;F4892+2)</f>
        <v>0</v>
      </c>
      <c r="F4892" s="18">
        <f t="shared" si="1016"/>
        <v>6918</v>
      </c>
      <c r="G4892" s="18"/>
      <c r="H4892" s="18"/>
      <c r="I4892" s="19">
        <v>4890</v>
      </c>
      <c r="J4892" s="19" cm="1">
        <f t="array" aca="1" ref="J4892" ca="1">INDIRECT("b"&amp;K4892+2)</f>
        <v>0</v>
      </c>
      <c r="K4892" s="19">
        <f t="shared" si="1013"/>
        <v>8118</v>
      </c>
    </row>
    <row r="4893" spans="1:11">
      <c r="A4893">
        <v>4891</v>
      </c>
      <c r="B4893">
        <v>3.0250000000000002E+144</v>
      </c>
      <c r="D4893" s="18">
        <v>4891</v>
      </c>
      <c r="E4893" s="18" cm="1">
        <f t="array" aca="1" ref="E4893" ca="1">INDIRECT("b"&amp;F4893+2)</f>
        <v>0</v>
      </c>
      <c r="F4893" s="18">
        <f t="shared" si="1016"/>
        <v>6920</v>
      </c>
      <c r="G4893" s="18" t="e">
        <f t="shared" ref="G4893" ca="1" si="1019">E4893/E4888</f>
        <v>#DIV/0!</v>
      </c>
      <c r="H4893" s="18"/>
      <c r="I4893" s="19">
        <v>4891</v>
      </c>
      <c r="J4893" s="19" cm="1">
        <f t="array" aca="1" ref="J4893" ca="1">INDIRECT("b"&amp;K4893+2)</f>
        <v>0</v>
      </c>
      <c r="K4893" s="19">
        <f t="shared" si="1013"/>
        <v>8120</v>
      </c>
    </row>
    <row r="4894" spans="1:11">
      <c r="A4894">
        <v>4892</v>
      </c>
      <c r="B4894">
        <v>3.25E+144</v>
      </c>
      <c r="D4894" s="18">
        <v>4892</v>
      </c>
      <c r="E4894" s="18" cm="1">
        <f t="array" aca="1" ref="E4894" ca="1">INDIRECT("b"&amp;F4894+2)</f>
        <v>0</v>
      </c>
      <c r="F4894" s="18">
        <f t="shared" si="1016"/>
        <v>6921</v>
      </c>
      <c r="G4894" s="18"/>
      <c r="H4894" s="18"/>
      <c r="I4894" s="19">
        <v>4892</v>
      </c>
      <c r="J4894" s="19" cm="1">
        <f t="array" aca="1" ref="J4894" ca="1">INDIRECT("b"&amp;K4894+2)</f>
        <v>0</v>
      </c>
      <c r="K4894" s="19">
        <f t="shared" si="1013"/>
        <v>8121</v>
      </c>
    </row>
    <row r="4895" spans="1:11">
      <c r="A4895">
        <v>4893</v>
      </c>
      <c r="B4895">
        <v>3.4750000000000002E+144</v>
      </c>
      <c r="D4895" s="18">
        <v>4893</v>
      </c>
      <c r="E4895" s="18" cm="1">
        <f t="array" aca="1" ref="E4895" ca="1">INDIRECT("b"&amp;F4895+2)</f>
        <v>0</v>
      </c>
      <c r="F4895" s="18">
        <f t="shared" si="1016"/>
        <v>6922</v>
      </c>
      <c r="G4895" s="18"/>
      <c r="H4895" s="18"/>
      <c r="I4895" s="19">
        <v>4893</v>
      </c>
      <c r="J4895" s="19" cm="1">
        <f t="array" aca="1" ref="J4895" ca="1">INDIRECT("b"&amp;K4895+2)</f>
        <v>0</v>
      </c>
      <c r="K4895" s="19">
        <f t="shared" si="1013"/>
        <v>8122</v>
      </c>
    </row>
    <row r="4896" spans="1:11">
      <c r="A4896">
        <v>4894</v>
      </c>
      <c r="B4896">
        <v>3.7000000000000003E+144</v>
      </c>
      <c r="D4896" s="18">
        <v>4894</v>
      </c>
      <c r="E4896" s="18" cm="1">
        <f t="array" aca="1" ref="E4896" ca="1">INDIRECT("b"&amp;F4896+2)</f>
        <v>0</v>
      </c>
      <c r="F4896" s="18">
        <f t="shared" si="1016"/>
        <v>6924</v>
      </c>
      <c r="G4896" s="18"/>
      <c r="H4896" s="18"/>
      <c r="I4896" s="19">
        <v>4894</v>
      </c>
      <c r="J4896" s="19" cm="1">
        <f t="array" aca="1" ref="J4896" ca="1">INDIRECT("b"&amp;K4896+2)</f>
        <v>0</v>
      </c>
      <c r="K4896" s="19">
        <f t="shared" si="1013"/>
        <v>8124</v>
      </c>
    </row>
    <row r="4897" spans="1:11">
      <c r="A4897">
        <v>4895</v>
      </c>
      <c r="B4897">
        <v>3.9250000000000005E+144</v>
      </c>
      <c r="D4897" s="18">
        <v>4895</v>
      </c>
      <c r="E4897" s="18" cm="1">
        <f t="array" aca="1" ref="E4897" ca="1">INDIRECT("b"&amp;F4897+2)</f>
        <v>0</v>
      </c>
      <c r="F4897" s="18">
        <f t="shared" si="1016"/>
        <v>6925</v>
      </c>
      <c r="G4897" s="18"/>
      <c r="H4897" s="18"/>
      <c r="I4897" s="19">
        <v>4895</v>
      </c>
      <c r="J4897" s="19" cm="1">
        <f t="array" aca="1" ref="J4897" ca="1">INDIRECT("b"&amp;K4897+2)</f>
        <v>0</v>
      </c>
      <c r="K4897" s="19">
        <f t="shared" si="1013"/>
        <v>8125</v>
      </c>
    </row>
    <row r="4898" spans="1:11">
      <c r="A4898">
        <v>4896</v>
      </c>
      <c r="B4898">
        <v>4.15E+144</v>
      </c>
      <c r="D4898" s="18">
        <v>4896</v>
      </c>
      <c r="E4898" s="18" cm="1">
        <f t="array" aca="1" ref="E4898" ca="1">INDIRECT("b"&amp;F4898+2)</f>
        <v>0</v>
      </c>
      <c r="F4898" s="18">
        <f t="shared" si="1016"/>
        <v>6926</v>
      </c>
      <c r="G4898" s="18" t="e">
        <f t="shared" ref="G4898" ca="1" si="1020">E4898/E4893</f>
        <v>#DIV/0!</v>
      </c>
      <c r="H4898" s="18"/>
      <c r="I4898" s="19">
        <v>4896</v>
      </c>
      <c r="J4898" s="19" cm="1">
        <f t="array" aca="1" ref="J4898" ca="1">INDIRECT("b"&amp;K4898+2)</f>
        <v>0</v>
      </c>
      <c r="K4898" s="19">
        <f t="shared" si="1013"/>
        <v>8126</v>
      </c>
    </row>
    <row r="4899" spans="1:11">
      <c r="A4899">
        <v>4897</v>
      </c>
      <c r="B4899">
        <v>4.3750000000000001E+144</v>
      </c>
      <c r="D4899" s="18">
        <v>4897</v>
      </c>
      <c r="E4899" s="18" cm="1">
        <f t="array" aca="1" ref="E4899" ca="1">INDIRECT("b"&amp;F4899+2)</f>
        <v>0</v>
      </c>
      <c r="F4899" s="18">
        <f t="shared" si="1016"/>
        <v>6928</v>
      </c>
      <c r="G4899" s="18"/>
      <c r="H4899" s="18"/>
      <c r="I4899" s="19">
        <v>4897</v>
      </c>
      <c r="J4899" s="19" cm="1">
        <f t="array" aca="1" ref="J4899" ca="1">INDIRECT("b"&amp;K4899+2)</f>
        <v>0</v>
      </c>
      <c r="K4899" s="19">
        <f t="shared" si="1013"/>
        <v>8128</v>
      </c>
    </row>
    <row r="4900" spans="1:11">
      <c r="A4900">
        <v>4898</v>
      </c>
      <c r="B4900">
        <v>4.6000000000000003E+144</v>
      </c>
      <c r="D4900" s="18">
        <v>4898</v>
      </c>
      <c r="E4900" s="18" cm="1">
        <f t="array" aca="1" ref="E4900" ca="1">INDIRECT("b"&amp;F4900+2)</f>
        <v>0</v>
      </c>
      <c r="F4900" s="18">
        <f t="shared" si="1016"/>
        <v>6929</v>
      </c>
      <c r="G4900" s="18"/>
      <c r="H4900" s="18"/>
      <c r="I4900" s="19">
        <v>4898</v>
      </c>
      <c r="J4900" s="19" cm="1">
        <f t="array" aca="1" ref="J4900" ca="1">INDIRECT("b"&amp;K4900+2)</f>
        <v>0</v>
      </c>
      <c r="K4900" s="19">
        <f t="shared" si="1013"/>
        <v>8129</v>
      </c>
    </row>
    <row r="4901" spans="1:11">
      <c r="A4901">
        <v>4899</v>
      </c>
      <c r="B4901">
        <v>4.8250000000000004E+144</v>
      </c>
      <c r="D4901" s="18">
        <v>4899</v>
      </c>
      <c r="E4901" s="18" cm="1">
        <f t="array" aca="1" ref="E4901" ca="1">INDIRECT("b"&amp;F4901+2)</f>
        <v>0</v>
      </c>
      <c r="F4901" s="18">
        <f t="shared" si="1016"/>
        <v>6930</v>
      </c>
      <c r="G4901" s="18"/>
      <c r="H4901" s="18"/>
      <c r="I4901" s="19">
        <v>4899</v>
      </c>
      <c r="J4901" s="19" cm="1">
        <f t="array" aca="1" ref="J4901" ca="1">INDIRECT("b"&amp;K4901+2)</f>
        <v>0</v>
      </c>
      <c r="K4901" s="19">
        <f t="shared" si="1013"/>
        <v>8130</v>
      </c>
    </row>
    <row r="4902" spans="1:11">
      <c r="A4902">
        <v>4900</v>
      </c>
      <c r="B4902">
        <v>5.0500000000000006E+144</v>
      </c>
      <c r="D4902" s="18">
        <v>4900</v>
      </c>
      <c r="E4902" s="18" cm="1">
        <f t="array" aca="1" ref="E4902" ca="1">INDIRECT("b"&amp;F4902+2)</f>
        <v>0</v>
      </c>
      <c r="F4902" s="18">
        <f t="shared" si="1016"/>
        <v>6932</v>
      </c>
      <c r="G4902" s="18"/>
      <c r="H4902" s="18"/>
      <c r="I4902" s="19">
        <v>4900</v>
      </c>
      <c r="J4902" s="19" cm="1">
        <f t="array" aca="1" ref="J4902" ca="1">INDIRECT("b"&amp;K4902+2)</f>
        <v>0</v>
      </c>
      <c r="K4902" s="19">
        <f t="shared" si="1013"/>
        <v>8132</v>
      </c>
    </row>
    <row r="4903" spans="1:11">
      <c r="A4903">
        <v>4901</v>
      </c>
      <c r="B4903">
        <v>5.2750000000000001E+144</v>
      </c>
      <c r="D4903" s="18">
        <v>4901</v>
      </c>
      <c r="E4903" s="18" cm="1">
        <f t="array" aca="1" ref="E4903" ca="1">INDIRECT("b"&amp;F4903+2)</f>
        <v>0</v>
      </c>
      <c r="F4903" s="18">
        <f t="shared" si="1016"/>
        <v>6933</v>
      </c>
      <c r="G4903" s="18" t="e">
        <f t="shared" ref="G4903" ca="1" si="1021">E4903/E4898</f>
        <v>#DIV/0!</v>
      </c>
      <c r="H4903" s="18"/>
      <c r="I4903" s="19">
        <v>4901</v>
      </c>
      <c r="J4903" s="19" cm="1">
        <f t="array" aca="1" ref="J4903" ca="1">INDIRECT("b"&amp;K4903+2)</f>
        <v>0</v>
      </c>
      <c r="K4903" s="19">
        <f t="shared" si="1013"/>
        <v>8133</v>
      </c>
    </row>
    <row r="4904" spans="1:11">
      <c r="A4904">
        <v>4902</v>
      </c>
      <c r="B4904">
        <v>5.5000000000000002E+144</v>
      </c>
      <c r="D4904" s="18">
        <v>4902</v>
      </c>
      <c r="E4904" s="18" cm="1">
        <f t="array" aca="1" ref="E4904" ca="1">INDIRECT("b"&amp;F4904+2)</f>
        <v>0</v>
      </c>
      <c r="F4904" s="18">
        <f t="shared" si="1016"/>
        <v>6934</v>
      </c>
      <c r="G4904" s="18"/>
      <c r="H4904" s="18"/>
      <c r="I4904" s="19">
        <v>4902</v>
      </c>
      <c r="J4904" s="19" cm="1">
        <f t="array" aca="1" ref="J4904" ca="1">INDIRECT("b"&amp;K4904+2)</f>
        <v>0</v>
      </c>
      <c r="K4904" s="19">
        <f t="shared" si="1013"/>
        <v>8134</v>
      </c>
    </row>
    <row r="4905" spans="1:11">
      <c r="A4905">
        <v>4903</v>
      </c>
      <c r="B4905">
        <v>5.7250000000000004E+144</v>
      </c>
      <c r="D4905" s="18">
        <v>4903</v>
      </c>
      <c r="E4905" s="18" cm="1">
        <f t="array" aca="1" ref="E4905" ca="1">INDIRECT("b"&amp;F4905+2)</f>
        <v>0</v>
      </c>
      <c r="F4905" s="18">
        <f t="shared" si="1016"/>
        <v>6936</v>
      </c>
      <c r="G4905" s="18"/>
      <c r="H4905" s="18"/>
      <c r="I4905" s="19">
        <v>4903</v>
      </c>
      <c r="J4905" s="19" cm="1">
        <f t="array" aca="1" ref="J4905" ca="1">INDIRECT("b"&amp;K4905+2)</f>
        <v>0</v>
      </c>
      <c r="K4905" s="19">
        <f t="shared" si="1013"/>
        <v>8136</v>
      </c>
    </row>
    <row r="4906" spans="1:11">
      <c r="A4906">
        <v>4904</v>
      </c>
      <c r="B4906">
        <v>5.9500000000000005E+144</v>
      </c>
      <c r="D4906" s="18">
        <v>4904</v>
      </c>
      <c r="E4906" s="18" cm="1">
        <f t="array" aca="1" ref="E4906" ca="1">INDIRECT("b"&amp;F4906+2)</f>
        <v>0</v>
      </c>
      <c r="F4906" s="18">
        <f t="shared" si="1016"/>
        <v>6937</v>
      </c>
      <c r="G4906" s="18"/>
      <c r="H4906" s="18"/>
      <c r="I4906" s="19">
        <v>4904</v>
      </c>
      <c r="J4906" s="19" cm="1">
        <f t="array" aca="1" ref="J4906" ca="1">INDIRECT("b"&amp;K4906+2)</f>
        <v>0</v>
      </c>
      <c r="K4906" s="19">
        <f t="shared" si="1013"/>
        <v>8137</v>
      </c>
    </row>
    <row r="4907" spans="1:11">
      <c r="A4907">
        <v>4905</v>
      </c>
      <c r="B4907">
        <v>6.1750000000000007E+144</v>
      </c>
      <c r="D4907" s="18">
        <v>4905</v>
      </c>
      <c r="E4907" s="18" cm="1">
        <f t="array" aca="1" ref="E4907" ca="1">INDIRECT("b"&amp;F4907+2)</f>
        <v>0</v>
      </c>
      <c r="F4907" s="18">
        <f t="shared" si="1016"/>
        <v>6938</v>
      </c>
      <c r="G4907" s="18"/>
      <c r="H4907" s="18"/>
      <c r="I4907" s="19">
        <v>4905</v>
      </c>
      <c r="J4907" s="19" cm="1">
        <f t="array" aca="1" ref="J4907" ca="1">INDIRECT("b"&amp;K4907+2)</f>
        <v>0</v>
      </c>
      <c r="K4907" s="19">
        <f t="shared" si="1013"/>
        <v>8138</v>
      </c>
    </row>
    <row r="4908" spans="1:11">
      <c r="A4908">
        <v>4906</v>
      </c>
      <c r="B4908">
        <v>6.4000000000000002E+144</v>
      </c>
      <c r="D4908" s="18">
        <v>4906</v>
      </c>
      <c r="E4908" s="18" cm="1">
        <f t="array" aca="1" ref="E4908" ca="1">INDIRECT("b"&amp;F4908+2)</f>
        <v>0</v>
      </c>
      <c r="F4908" s="18">
        <f t="shared" si="1016"/>
        <v>6940</v>
      </c>
      <c r="G4908" s="18" t="e">
        <f t="shared" ref="G4908" ca="1" si="1022">E4908/E4903</f>
        <v>#DIV/0!</v>
      </c>
      <c r="H4908" s="18"/>
      <c r="I4908" s="19">
        <v>4906</v>
      </c>
      <c r="J4908" s="19" cm="1">
        <f t="array" aca="1" ref="J4908" ca="1">INDIRECT("b"&amp;K4908+2)</f>
        <v>0</v>
      </c>
      <c r="K4908" s="19">
        <f t="shared" si="1013"/>
        <v>8140</v>
      </c>
    </row>
    <row r="4909" spans="1:11">
      <c r="A4909">
        <v>4907</v>
      </c>
      <c r="B4909">
        <v>6.6250000000000003E+144</v>
      </c>
      <c r="D4909" s="18">
        <v>4907</v>
      </c>
      <c r="E4909" s="18" cm="1">
        <f t="array" aca="1" ref="E4909" ca="1">INDIRECT("b"&amp;F4909+2)</f>
        <v>0</v>
      </c>
      <c r="F4909" s="18">
        <f t="shared" si="1016"/>
        <v>6941</v>
      </c>
      <c r="G4909" s="18"/>
      <c r="H4909" s="18"/>
      <c r="I4909" s="19">
        <v>4907</v>
      </c>
      <c r="J4909" s="19" cm="1">
        <f t="array" aca="1" ref="J4909" ca="1">INDIRECT("b"&amp;K4909+2)</f>
        <v>0</v>
      </c>
      <c r="K4909" s="19">
        <f t="shared" si="1013"/>
        <v>8141</v>
      </c>
    </row>
    <row r="4910" spans="1:11">
      <c r="A4910">
        <v>4908</v>
      </c>
      <c r="B4910">
        <v>6.8500000000000005E+144</v>
      </c>
      <c r="D4910" s="18">
        <v>4908</v>
      </c>
      <c r="E4910" s="18" cm="1">
        <f t="array" aca="1" ref="E4910" ca="1">INDIRECT("b"&amp;F4910+2)</f>
        <v>0</v>
      </c>
      <c r="F4910" s="18">
        <f t="shared" si="1016"/>
        <v>6942</v>
      </c>
      <c r="G4910" s="18"/>
      <c r="H4910" s="18"/>
      <c r="I4910" s="19">
        <v>4908</v>
      </c>
      <c r="J4910" s="19" cm="1">
        <f t="array" aca="1" ref="J4910" ca="1">INDIRECT("b"&amp;K4910+2)</f>
        <v>0</v>
      </c>
      <c r="K4910" s="19">
        <f t="shared" si="1013"/>
        <v>8142</v>
      </c>
    </row>
    <row r="4911" spans="1:11">
      <c r="A4911">
        <v>4909</v>
      </c>
      <c r="B4911">
        <v>7.0750000000000006E+144</v>
      </c>
      <c r="D4911" s="18">
        <v>4909</v>
      </c>
      <c r="E4911" s="18" cm="1">
        <f t="array" aca="1" ref="E4911" ca="1">INDIRECT("b"&amp;F4911+2)</f>
        <v>0</v>
      </c>
      <c r="F4911" s="18">
        <f t="shared" si="1016"/>
        <v>6944</v>
      </c>
      <c r="G4911" s="18"/>
      <c r="H4911" s="18"/>
      <c r="I4911" s="19">
        <v>4909</v>
      </c>
      <c r="J4911" s="19" cm="1">
        <f t="array" aca="1" ref="J4911" ca="1">INDIRECT("b"&amp;K4911+2)</f>
        <v>0</v>
      </c>
      <c r="K4911" s="19">
        <f t="shared" si="1013"/>
        <v>8144</v>
      </c>
    </row>
    <row r="4912" spans="1:11">
      <c r="A4912">
        <v>4910</v>
      </c>
      <c r="B4912">
        <v>7.3000000000000008E+144</v>
      </c>
      <c r="D4912" s="18">
        <v>4910</v>
      </c>
      <c r="E4912" s="18" cm="1">
        <f t="array" aca="1" ref="E4912" ca="1">INDIRECT("b"&amp;F4912+2)</f>
        <v>0</v>
      </c>
      <c r="F4912" s="18">
        <f t="shared" si="1016"/>
        <v>6945</v>
      </c>
      <c r="G4912" s="18"/>
      <c r="H4912" s="18"/>
      <c r="I4912" s="19">
        <v>4910</v>
      </c>
      <c r="J4912" s="19" cm="1">
        <f t="array" aca="1" ref="J4912" ca="1">INDIRECT("b"&amp;K4912+2)</f>
        <v>0</v>
      </c>
      <c r="K4912" s="19">
        <f t="shared" si="1013"/>
        <v>8145</v>
      </c>
    </row>
    <row r="4913" spans="1:11">
      <c r="A4913">
        <v>4911</v>
      </c>
      <c r="B4913">
        <v>7.5250000000000009E+144</v>
      </c>
      <c r="D4913" s="18">
        <v>4911</v>
      </c>
      <c r="E4913" s="18" cm="1">
        <f t="array" aca="1" ref="E4913" ca="1">INDIRECT("b"&amp;F4913+2)</f>
        <v>0</v>
      </c>
      <c r="F4913" s="18">
        <f t="shared" si="1016"/>
        <v>6946</v>
      </c>
      <c r="G4913" s="18" t="e">
        <f t="shared" ref="G4913" ca="1" si="1023">E4913/E4908</f>
        <v>#DIV/0!</v>
      </c>
      <c r="H4913" s="18"/>
      <c r="I4913" s="19">
        <v>4911</v>
      </c>
      <c r="J4913" s="19" cm="1">
        <f t="array" aca="1" ref="J4913" ca="1">INDIRECT("b"&amp;K4913+2)</f>
        <v>0</v>
      </c>
      <c r="K4913" s="19">
        <f t="shared" si="1013"/>
        <v>8146</v>
      </c>
    </row>
    <row r="4914" spans="1:11">
      <c r="A4914">
        <v>4912</v>
      </c>
      <c r="B4914">
        <v>7.7500000000000011E+144</v>
      </c>
      <c r="D4914" s="18">
        <v>4912</v>
      </c>
      <c r="E4914" s="18" cm="1">
        <f t="array" aca="1" ref="E4914" ca="1">INDIRECT("b"&amp;F4914+2)</f>
        <v>0</v>
      </c>
      <c r="F4914" s="18">
        <f t="shared" si="1016"/>
        <v>6948</v>
      </c>
      <c r="G4914" s="18"/>
      <c r="H4914" s="18"/>
      <c r="I4914" s="19">
        <v>4912</v>
      </c>
      <c r="J4914" s="19" cm="1">
        <f t="array" aca="1" ref="J4914" ca="1">INDIRECT("b"&amp;K4914+2)</f>
        <v>0</v>
      </c>
      <c r="K4914" s="19">
        <f t="shared" si="1013"/>
        <v>8148</v>
      </c>
    </row>
    <row r="4915" spans="1:11">
      <c r="A4915">
        <v>4913</v>
      </c>
      <c r="B4915">
        <v>7.9749999999999999E+144</v>
      </c>
      <c r="D4915" s="18">
        <v>4913</v>
      </c>
      <c r="E4915" s="18" cm="1">
        <f t="array" aca="1" ref="E4915" ca="1">INDIRECT("b"&amp;F4915+2)</f>
        <v>0</v>
      </c>
      <c r="F4915" s="18">
        <f t="shared" si="1016"/>
        <v>6949</v>
      </c>
      <c r="G4915" s="18"/>
      <c r="H4915" s="18"/>
      <c r="I4915" s="19">
        <v>4913</v>
      </c>
      <c r="J4915" s="19" cm="1">
        <f t="array" aca="1" ref="J4915" ca="1">INDIRECT("b"&amp;K4915+2)</f>
        <v>0</v>
      </c>
      <c r="K4915" s="19">
        <f t="shared" si="1013"/>
        <v>8149</v>
      </c>
    </row>
    <row r="4916" spans="1:11">
      <c r="A4916">
        <v>4914</v>
      </c>
      <c r="B4916">
        <v>8.2E+144</v>
      </c>
      <c r="D4916" s="18">
        <v>4914</v>
      </c>
      <c r="E4916" s="18" cm="1">
        <f t="array" aca="1" ref="E4916" ca="1">INDIRECT("b"&amp;F4916+2)</f>
        <v>0</v>
      </c>
      <c r="F4916" s="18">
        <f t="shared" si="1016"/>
        <v>6950</v>
      </c>
      <c r="G4916" s="18"/>
      <c r="H4916" s="18"/>
      <c r="I4916" s="19">
        <v>4914</v>
      </c>
      <c r="J4916" s="19" cm="1">
        <f t="array" aca="1" ref="J4916" ca="1">INDIRECT("b"&amp;K4916+2)</f>
        <v>0</v>
      </c>
      <c r="K4916" s="19">
        <f t="shared" si="1013"/>
        <v>8150</v>
      </c>
    </row>
    <row r="4917" spans="1:11">
      <c r="A4917">
        <v>4915</v>
      </c>
      <c r="B4917">
        <v>8.4250000000000002E+144</v>
      </c>
      <c r="D4917" s="18">
        <v>4915</v>
      </c>
      <c r="E4917" s="18" cm="1">
        <f t="array" aca="1" ref="E4917" ca="1">INDIRECT("b"&amp;F4917+2)</f>
        <v>0</v>
      </c>
      <c r="F4917" s="18">
        <f t="shared" si="1016"/>
        <v>6952</v>
      </c>
      <c r="G4917" s="18"/>
      <c r="H4917" s="18"/>
      <c r="I4917" s="19">
        <v>4915</v>
      </c>
      <c r="J4917" s="19" cm="1">
        <f t="array" aca="1" ref="J4917" ca="1">INDIRECT("b"&amp;K4917+2)</f>
        <v>0</v>
      </c>
      <c r="K4917" s="19">
        <f t="shared" si="1013"/>
        <v>8152</v>
      </c>
    </row>
    <row r="4918" spans="1:11">
      <c r="A4918">
        <v>4916</v>
      </c>
      <c r="B4918">
        <v>8.6500000000000003E+144</v>
      </c>
      <c r="D4918" s="18">
        <v>4916</v>
      </c>
      <c r="E4918" s="18" cm="1">
        <f t="array" aca="1" ref="E4918" ca="1">INDIRECT("b"&amp;F4918+2)</f>
        <v>0</v>
      </c>
      <c r="F4918" s="18">
        <f t="shared" si="1016"/>
        <v>6953</v>
      </c>
      <c r="G4918" s="18" t="e">
        <f t="shared" ref="G4918" ca="1" si="1024">E4918/E4913</f>
        <v>#DIV/0!</v>
      </c>
      <c r="H4918" s="18"/>
      <c r="I4918" s="19">
        <v>4916</v>
      </c>
      <c r="J4918" s="19" cm="1">
        <f t="array" aca="1" ref="J4918" ca="1">INDIRECT("b"&amp;K4918+2)</f>
        <v>0</v>
      </c>
      <c r="K4918" s="19">
        <f t="shared" si="1013"/>
        <v>8153</v>
      </c>
    </row>
    <row r="4919" spans="1:11">
      <c r="A4919">
        <v>4917</v>
      </c>
      <c r="B4919">
        <v>8.8750000000000005E+144</v>
      </c>
      <c r="D4919" s="18">
        <v>4917</v>
      </c>
      <c r="E4919" s="18" cm="1">
        <f t="array" aca="1" ref="E4919" ca="1">INDIRECT("b"&amp;F4919+2)</f>
        <v>0</v>
      </c>
      <c r="F4919" s="18">
        <f t="shared" si="1016"/>
        <v>6954</v>
      </c>
      <c r="G4919" s="18"/>
      <c r="H4919" s="18"/>
      <c r="I4919" s="19">
        <v>4917</v>
      </c>
      <c r="J4919" s="19" cm="1">
        <f t="array" aca="1" ref="J4919" ca="1">INDIRECT("b"&amp;K4919+2)</f>
        <v>0</v>
      </c>
      <c r="K4919" s="19">
        <f t="shared" si="1013"/>
        <v>8154</v>
      </c>
    </row>
    <row r="4920" spans="1:11">
      <c r="A4920">
        <v>4918</v>
      </c>
      <c r="B4920">
        <v>9.1000000000000006E+144</v>
      </c>
      <c r="D4920" s="18">
        <v>4918</v>
      </c>
      <c r="E4920" s="18" cm="1">
        <f t="array" aca="1" ref="E4920" ca="1">INDIRECT("b"&amp;F4920+2)</f>
        <v>0</v>
      </c>
      <c r="F4920" s="18">
        <f t="shared" si="1016"/>
        <v>6956</v>
      </c>
      <c r="G4920" s="18"/>
      <c r="H4920" s="18"/>
      <c r="I4920" s="19">
        <v>4918</v>
      </c>
      <c r="J4920" s="19" cm="1">
        <f t="array" aca="1" ref="J4920" ca="1">INDIRECT("b"&amp;K4920+2)</f>
        <v>0</v>
      </c>
      <c r="K4920" s="19">
        <f t="shared" si="1013"/>
        <v>8156</v>
      </c>
    </row>
    <row r="4921" spans="1:11">
      <c r="A4921">
        <v>4919</v>
      </c>
      <c r="B4921">
        <v>9.3250000000000008E+144</v>
      </c>
      <c r="D4921" s="18">
        <v>4919</v>
      </c>
      <c r="E4921" s="18" cm="1">
        <f t="array" aca="1" ref="E4921" ca="1">INDIRECT("b"&amp;F4921+2)</f>
        <v>0</v>
      </c>
      <c r="F4921" s="18">
        <f t="shared" si="1016"/>
        <v>6957</v>
      </c>
      <c r="G4921" s="18"/>
      <c r="H4921" s="18"/>
      <c r="I4921" s="19">
        <v>4919</v>
      </c>
      <c r="J4921" s="19" cm="1">
        <f t="array" aca="1" ref="J4921" ca="1">INDIRECT("b"&amp;K4921+2)</f>
        <v>0</v>
      </c>
      <c r="K4921" s="19">
        <f t="shared" si="1013"/>
        <v>8157</v>
      </c>
    </row>
    <row r="4922" spans="1:11">
      <c r="A4922">
        <v>4920</v>
      </c>
      <c r="B4922">
        <v>9.550000000000001E+144</v>
      </c>
      <c r="D4922" s="18">
        <v>4920</v>
      </c>
      <c r="E4922" s="18" cm="1">
        <f t="array" aca="1" ref="E4922" ca="1">INDIRECT("b"&amp;F4922+2)</f>
        <v>0</v>
      </c>
      <c r="F4922" s="18">
        <f t="shared" si="1016"/>
        <v>6958</v>
      </c>
      <c r="G4922" s="18"/>
      <c r="H4922" s="18"/>
      <c r="I4922" s="19">
        <v>4920</v>
      </c>
      <c r="J4922" s="19" cm="1">
        <f t="array" aca="1" ref="J4922" ca="1">INDIRECT("b"&amp;K4922+2)</f>
        <v>0</v>
      </c>
      <c r="K4922" s="19">
        <f t="shared" si="1013"/>
        <v>8158</v>
      </c>
    </row>
    <row r="4923" spans="1:11">
      <c r="A4923">
        <v>4921</v>
      </c>
      <c r="B4923">
        <v>9.7750000000000011E+144</v>
      </c>
      <c r="D4923" s="18">
        <v>4921</v>
      </c>
      <c r="E4923" s="18" cm="1">
        <f t="array" aca="1" ref="E4923" ca="1">INDIRECT("b"&amp;F4923+2)</f>
        <v>0</v>
      </c>
      <c r="F4923" s="18">
        <f t="shared" si="1016"/>
        <v>6960</v>
      </c>
      <c r="G4923" s="18" t="e">
        <f t="shared" ref="G4923" ca="1" si="1025">E4923/E4918</f>
        <v>#DIV/0!</v>
      </c>
      <c r="H4923" s="18"/>
      <c r="I4923" s="19">
        <v>4921</v>
      </c>
      <c r="J4923" s="19" cm="1">
        <f t="array" aca="1" ref="J4923" ca="1">INDIRECT("b"&amp;K4923+2)</f>
        <v>0</v>
      </c>
      <c r="K4923" s="19">
        <f t="shared" si="1013"/>
        <v>8160</v>
      </c>
    </row>
    <row r="4924" spans="1:11">
      <c r="A4924">
        <v>4922</v>
      </c>
      <c r="B4924">
        <v>9.9999999999999999E+144</v>
      </c>
      <c r="D4924" s="18">
        <v>4922</v>
      </c>
      <c r="E4924" s="18" cm="1">
        <f t="array" aca="1" ref="E4924" ca="1">INDIRECT("b"&amp;F4924+2)</f>
        <v>0</v>
      </c>
      <c r="F4924" s="18">
        <f t="shared" si="1016"/>
        <v>6961</v>
      </c>
      <c r="G4924" s="18"/>
      <c r="H4924" s="18"/>
      <c r="I4924" s="19">
        <v>4922</v>
      </c>
      <c r="J4924" s="19" cm="1">
        <f t="array" aca="1" ref="J4924" ca="1">INDIRECT("b"&amp;K4924+2)</f>
        <v>0</v>
      </c>
      <c r="K4924" s="19">
        <f t="shared" si="1013"/>
        <v>8161</v>
      </c>
    </row>
    <row r="4925" spans="1:11">
      <c r="A4925">
        <v>4923</v>
      </c>
      <c r="B4925">
        <v>1.225E+145</v>
      </c>
      <c r="D4925" s="18">
        <v>4923</v>
      </c>
      <c r="E4925" s="18" cm="1">
        <f t="array" aca="1" ref="E4925" ca="1">INDIRECT("b"&amp;F4925+2)</f>
        <v>0</v>
      </c>
      <c r="F4925" s="18">
        <f t="shared" si="1016"/>
        <v>6962</v>
      </c>
      <c r="G4925" s="18"/>
      <c r="H4925" s="18"/>
      <c r="I4925" s="19">
        <v>4923</v>
      </c>
      <c r="J4925" s="19" cm="1">
        <f t="array" aca="1" ref="J4925" ca="1">INDIRECT("b"&amp;K4925+2)</f>
        <v>0</v>
      </c>
      <c r="K4925" s="19">
        <f t="shared" si="1013"/>
        <v>8162</v>
      </c>
    </row>
    <row r="4926" spans="1:11">
      <c r="A4926">
        <v>4924</v>
      </c>
      <c r="B4926">
        <v>1.45E+145</v>
      </c>
      <c r="D4926" s="18">
        <v>4924</v>
      </c>
      <c r="E4926" s="18" cm="1">
        <f t="array" aca="1" ref="E4926" ca="1">INDIRECT("b"&amp;F4926+2)</f>
        <v>0</v>
      </c>
      <c r="F4926" s="18">
        <f t="shared" si="1016"/>
        <v>6964</v>
      </c>
      <c r="G4926" s="18"/>
      <c r="H4926" s="18"/>
      <c r="I4926" s="19">
        <v>4924</v>
      </c>
      <c r="J4926" s="19" cm="1">
        <f t="array" aca="1" ref="J4926" ca="1">INDIRECT("b"&amp;K4926+2)</f>
        <v>0</v>
      </c>
      <c r="K4926" s="19">
        <f t="shared" si="1013"/>
        <v>8164</v>
      </c>
    </row>
    <row r="4927" spans="1:11">
      <c r="A4927">
        <v>4925</v>
      </c>
      <c r="B4927">
        <v>1.6750000000000002E+145</v>
      </c>
      <c r="D4927" s="18">
        <v>4925</v>
      </c>
      <c r="E4927" s="18" cm="1">
        <f t="array" aca="1" ref="E4927" ca="1">INDIRECT("b"&amp;F4927+2)</f>
        <v>0</v>
      </c>
      <c r="F4927" s="18">
        <f t="shared" si="1016"/>
        <v>6965</v>
      </c>
      <c r="G4927" s="18"/>
      <c r="H4927" s="18"/>
      <c r="I4927" s="19">
        <v>4925</v>
      </c>
      <c r="J4927" s="19" cm="1">
        <f t="array" aca="1" ref="J4927" ca="1">INDIRECT("b"&amp;K4927+2)</f>
        <v>0</v>
      </c>
      <c r="K4927" s="19">
        <f t="shared" si="1013"/>
        <v>8165</v>
      </c>
    </row>
    <row r="4928" spans="1:11">
      <c r="A4928">
        <v>4926</v>
      </c>
      <c r="B4928">
        <v>1.9000000000000001E+145</v>
      </c>
      <c r="D4928" s="18">
        <v>4926</v>
      </c>
      <c r="E4928" s="18" cm="1">
        <f t="array" aca="1" ref="E4928" ca="1">INDIRECT("b"&amp;F4928+2)</f>
        <v>0</v>
      </c>
      <c r="F4928" s="18">
        <f t="shared" si="1016"/>
        <v>6966</v>
      </c>
      <c r="G4928" s="18" t="e">
        <f t="shared" ref="G4928" ca="1" si="1026">E4928/E4923</f>
        <v>#DIV/0!</v>
      </c>
      <c r="H4928" s="18"/>
      <c r="I4928" s="19">
        <v>4926</v>
      </c>
      <c r="J4928" s="19" cm="1">
        <f t="array" aca="1" ref="J4928" ca="1">INDIRECT("b"&amp;K4928+2)</f>
        <v>0</v>
      </c>
      <c r="K4928" s="19">
        <f t="shared" si="1013"/>
        <v>8166</v>
      </c>
    </row>
    <row r="4929" spans="1:11">
      <c r="A4929">
        <v>4927</v>
      </c>
      <c r="B4929">
        <v>2.1249999999999999E+145</v>
      </c>
      <c r="D4929" s="18">
        <v>4927</v>
      </c>
      <c r="E4929" s="18" cm="1">
        <f t="array" aca="1" ref="E4929" ca="1">INDIRECT("b"&amp;F4929+2)</f>
        <v>0</v>
      </c>
      <c r="F4929" s="18">
        <f t="shared" si="1016"/>
        <v>6968</v>
      </c>
      <c r="G4929" s="18"/>
      <c r="H4929" s="18"/>
      <c r="I4929" s="19">
        <v>4927</v>
      </c>
      <c r="J4929" s="19" cm="1">
        <f t="array" aca="1" ref="J4929" ca="1">INDIRECT("b"&amp;K4929+2)</f>
        <v>0</v>
      </c>
      <c r="K4929" s="19">
        <f t="shared" si="1013"/>
        <v>8168</v>
      </c>
    </row>
    <row r="4930" spans="1:11">
      <c r="A4930">
        <v>4928</v>
      </c>
      <c r="B4930">
        <v>2.3500000000000001E+145</v>
      </c>
      <c r="D4930" s="18">
        <v>4928</v>
      </c>
      <c r="E4930" s="18" cm="1">
        <f t="array" aca="1" ref="E4930" ca="1">INDIRECT("b"&amp;F4930+2)</f>
        <v>0</v>
      </c>
      <c r="F4930" s="18">
        <f t="shared" si="1016"/>
        <v>6969</v>
      </c>
      <c r="G4930" s="18"/>
      <c r="H4930" s="18"/>
      <c r="I4930" s="19">
        <v>4928</v>
      </c>
      <c r="J4930" s="19" cm="1">
        <f t="array" aca="1" ref="J4930" ca="1">INDIRECT("b"&amp;K4930+2)</f>
        <v>0</v>
      </c>
      <c r="K4930" s="19">
        <f t="shared" si="1013"/>
        <v>8169</v>
      </c>
    </row>
    <row r="4931" spans="1:11">
      <c r="A4931">
        <v>4929</v>
      </c>
      <c r="B4931">
        <v>2.575E+145</v>
      </c>
      <c r="D4931" s="18">
        <v>4929</v>
      </c>
      <c r="E4931" s="18" cm="1">
        <f t="array" aca="1" ref="E4931" ca="1">INDIRECT("b"&amp;F4931+2)</f>
        <v>0</v>
      </c>
      <c r="F4931" s="18">
        <f t="shared" si="1016"/>
        <v>6970</v>
      </c>
      <c r="G4931" s="18"/>
      <c r="H4931" s="18"/>
      <c r="I4931" s="19">
        <v>4929</v>
      </c>
      <c r="J4931" s="19" cm="1">
        <f t="array" aca="1" ref="J4931" ca="1">INDIRECT("b"&amp;K4931+2)</f>
        <v>0</v>
      </c>
      <c r="K4931" s="19">
        <f t="shared" si="1013"/>
        <v>8170</v>
      </c>
    </row>
    <row r="4932" spans="1:11">
      <c r="A4932">
        <v>4930</v>
      </c>
      <c r="B4932">
        <v>2.7999999999999999E+145</v>
      </c>
      <c r="D4932" s="18">
        <v>4930</v>
      </c>
      <c r="E4932" s="18" cm="1">
        <f t="array" aca="1" ref="E4932" ca="1">INDIRECT("b"&amp;F4932+2)</f>
        <v>0</v>
      </c>
      <c r="F4932" s="18">
        <f t="shared" si="1016"/>
        <v>6972</v>
      </c>
      <c r="G4932" s="18"/>
      <c r="H4932" s="18"/>
      <c r="I4932" s="19">
        <v>4930</v>
      </c>
      <c r="J4932" s="19" cm="1">
        <f t="array" aca="1" ref="J4932" ca="1">INDIRECT("b"&amp;K4932+2)</f>
        <v>0</v>
      </c>
      <c r="K4932" s="19">
        <f t="shared" ref="K4932:K4995" si="1027">INT((A4932-1)*40/30+900*40/30)+400</f>
        <v>8172</v>
      </c>
    </row>
    <row r="4933" spans="1:11">
      <c r="A4933">
        <v>4931</v>
      </c>
      <c r="B4933">
        <v>3.0250000000000003E+145</v>
      </c>
      <c r="D4933" s="18">
        <v>4931</v>
      </c>
      <c r="E4933" s="18" cm="1">
        <f t="array" aca="1" ref="E4933" ca="1">INDIRECT("b"&amp;F4933+2)</f>
        <v>0</v>
      </c>
      <c r="F4933" s="18">
        <f t="shared" si="1016"/>
        <v>6973</v>
      </c>
      <c r="G4933" s="18" t="e">
        <f t="shared" ref="G4933" ca="1" si="1028">E4933/E4928</f>
        <v>#DIV/0!</v>
      </c>
      <c r="H4933" s="18"/>
      <c r="I4933" s="19">
        <v>4931</v>
      </c>
      <c r="J4933" s="19" cm="1">
        <f t="array" aca="1" ref="J4933" ca="1">INDIRECT("b"&amp;K4933+2)</f>
        <v>0</v>
      </c>
      <c r="K4933" s="19">
        <f t="shared" si="1027"/>
        <v>8173</v>
      </c>
    </row>
    <row r="4934" spans="1:11">
      <c r="A4934">
        <v>4932</v>
      </c>
      <c r="B4934">
        <v>3.2500000000000002E+145</v>
      </c>
      <c r="D4934" s="18">
        <v>4932</v>
      </c>
      <c r="E4934" s="18" cm="1">
        <f t="array" aca="1" ref="E4934" ca="1">INDIRECT("b"&amp;F4934+2)</f>
        <v>0</v>
      </c>
      <c r="F4934" s="18">
        <f t="shared" si="1016"/>
        <v>6974</v>
      </c>
      <c r="G4934" s="18"/>
      <c r="H4934" s="18"/>
      <c r="I4934" s="19">
        <v>4932</v>
      </c>
      <c r="J4934" s="19" cm="1">
        <f t="array" aca="1" ref="J4934" ca="1">INDIRECT("b"&amp;K4934+2)</f>
        <v>0</v>
      </c>
      <c r="K4934" s="19">
        <f t="shared" si="1027"/>
        <v>8174</v>
      </c>
    </row>
    <row r="4935" spans="1:11">
      <c r="A4935">
        <v>4933</v>
      </c>
      <c r="B4935">
        <v>3.4750000000000001E+145</v>
      </c>
      <c r="D4935" s="18">
        <v>4933</v>
      </c>
      <c r="E4935" s="18" cm="1">
        <f t="array" aca="1" ref="E4935" ca="1">INDIRECT("b"&amp;F4935+2)</f>
        <v>0</v>
      </c>
      <c r="F4935" s="18">
        <f t="shared" si="1016"/>
        <v>6976</v>
      </c>
      <c r="G4935" s="18"/>
      <c r="H4935" s="18"/>
      <c r="I4935" s="19">
        <v>4933</v>
      </c>
      <c r="J4935" s="19" cm="1">
        <f t="array" aca="1" ref="J4935" ca="1">INDIRECT("b"&amp;K4935+2)</f>
        <v>0</v>
      </c>
      <c r="K4935" s="19">
        <f t="shared" si="1027"/>
        <v>8176</v>
      </c>
    </row>
    <row r="4936" spans="1:11">
      <c r="A4936">
        <v>4934</v>
      </c>
      <c r="B4936">
        <v>3.6999999999999999E+145</v>
      </c>
      <c r="D4936" s="18">
        <v>4934</v>
      </c>
      <c r="E4936" s="18" cm="1">
        <f t="array" aca="1" ref="E4936" ca="1">INDIRECT("b"&amp;F4936+2)</f>
        <v>0</v>
      </c>
      <c r="F4936" s="18">
        <f t="shared" si="1016"/>
        <v>6977</v>
      </c>
      <c r="G4936" s="18"/>
      <c r="H4936" s="18"/>
      <c r="I4936" s="19">
        <v>4934</v>
      </c>
      <c r="J4936" s="19" cm="1">
        <f t="array" aca="1" ref="J4936" ca="1">INDIRECT("b"&amp;K4936+2)</f>
        <v>0</v>
      </c>
      <c r="K4936" s="19">
        <f t="shared" si="1027"/>
        <v>8177</v>
      </c>
    </row>
    <row r="4937" spans="1:11">
      <c r="A4937">
        <v>4935</v>
      </c>
      <c r="B4937">
        <v>3.9250000000000004E+145</v>
      </c>
      <c r="D4937" s="18">
        <v>4935</v>
      </c>
      <c r="E4937" s="18" cm="1">
        <f t="array" aca="1" ref="E4937" ca="1">INDIRECT("b"&amp;F4937+2)</f>
        <v>0</v>
      </c>
      <c r="F4937" s="18">
        <f t="shared" si="1016"/>
        <v>6978</v>
      </c>
      <c r="G4937" s="18"/>
      <c r="H4937" s="18"/>
      <c r="I4937" s="19">
        <v>4935</v>
      </c>
      <c r="J4937" s="19" cm="1">
        <f t="array" aca="1" ref="J4937" ca="1">INDIRECT("b"&amp;K4937+2)</f>
        <v>0</v>
      </c>
      <c r="K4937" s="19">
        <f t="shared" si="1027"/>
        <v>8178</v>
      </c>
    </row>
    <row r="4938" spans="1:11">
      <c r="A4938">
        <v>4936</v>
      </c>
      <c r="B4938">
        <v>4.1500000000000002E+145</v>
      </c>
      <c r="D4938" s="18">
        <v>4936</v>
      </c>
      <c r="E4938" s="18" cm="1">
        <f t="array" aca="1" ref="E4938" ca="1">INDIRECT("b"&amp;F4938+2)</f>
        <v>0</v>
      </c>
      <c r="F4938" s="18">
        <f t="shared" si="1016"/>
        <v>6980</v>
      </c>
      <c r="G4938" s="18" t="e">
        <f t="shared" ref="G4938" ca="1" si="1029">E4938/E4933</f>
        <v>#DIV/0!</v>
      </c>
      <c r="H4938" s="18"/>
      <c r="I4938" s="19">
        <v>4936</v>
      </c>
      <c r="J4938" s="19" cm="1">
        <f t="array" aca="1" ref="J4938" ca="1">INDIRECT("b"&amp;K4938+2)</f>
        <v>0</v>
      </c>
      <c r="K4938" s="19">
        <f t="shared" si="1027"/>
        <v>8180</v>
      </c>
    </row>
    <row r="4939" spans="1:11">
      <c r="A4939">
        <v>4937</v>
      </c>
      <c r="B4939">
        <v>4.3750000000000001E+145</v>
      </c>
      <c r="D4939" s="18">
        <v>4937</v>
      </c>
      <c r="E4939" s="18" cm="1">
        <f t="array" aca="1" ref="E4939" ca="1">INDIRECT("b"&amp;F4939+2)</f>
        <v>0</v>
      </c>
      <c r="F4939" s="18">
        <f t="shared" si="1016"/>
        <v>6981</v>
      </c>
      <c r="G4939" s="18"/>
      <c r="H4939" s="18"/>
      <c r="I4939" s="19">
        <v>4937</v>
      </c>
      <c r="J4939" s="19" cm="1">
        <f t="array" aca="1" ref="J4939" ca="1">INDIRECT("b"&amp;K4939+2)</f>
        <v>0</v>
      </c>
      <c r="K4939" s="19">
        <f t="shared" si="1027"/>
        <v>8181</v>
      </c>
    </row>
    <row r="4940" spans="1:11">
      <c r="A4940">
        <v>4938</v>
      </c>
      <c r="B4940">
        <v>4.6E+145</v>
      </c>
      <c r="D4940" s="18">
        <v>4938</v>
      </c>
      <c r="E4940" s="18" cm="1">
        <f t="array" aca="1" ref="E4940" ca="1">INDIRECT("b"&amp;F4940+2)</f>
        <v>0</v>
      </c>
      <c r="F4940" s="18">
        <f t="shared" si="1016"/>
        <v>6982</v>
      </c>
      <c r="G4940" s="18" t="e">
        <f t="shared" ref="G4940" ca="1" si="1030">E4940/E4935</f>
        <v>#DIV/0!</v>
      </c>
      <c r="H4940" s="18"/>
      <c r="I4940" s="19">
        <v>4938</v>
      </c>
      <c r="J4940" s="19" cm="1">
        <f t="array" aca="1" ref="J4940" ca="1">INDIRECT("b"&amp;K4940+2)</f>
        <v>0</v>
      </c>
      <c r="K4940" s="19">
        <f t="shared" si="1027"/>
        <v>8182</v>
      </c>
    </row>
    <row r="4941" spans="1:11">
      <c r="A4941">
        <v>4939</v>
      </c>
      <c r="B4941">
        <v>4.8249999999999999E+145</v>
      </c>
      <c r="D4941" s="18">
        <v>4939</v>
      </c>
      <c r="E4941" s="18" cm="1">
        <f t="array" aca="1" ref="E4941" ca="1">INDIRECT("b"&amp;F4941+2)</f>
        <v>0</v>
      </c>
      <c r="F4941" s="18">
        <f t="shared" si="1016"/>
        <v>6984</v>
      </c>
      <c r="G4941" s="18"/>
      <c r="H4941" s="18"/>
      <c r="I4941" s="19">
        <v>4939</v>
      </c>
      <c r="J4941" s="19" cm="1">
        <f t="array" aca="1" ref="J4941" ca="1">INDIRECT("b"&amp;K4941+2)</f>
        <v>0</v>
      </c>
      <c r="K4941" s="19">
        <f t="shared" si="1027"/>
        <v>8184</v>
      </c>
    </row>
    <row r="4942" spans="1:11">
      <c r="A4942">
        <v>4940</v>
      </c>
      <c r="B4942">
        <v>5.0499999999999998E+145</v>
      </c>
      <c r="D4942" s="18">
        <v>4940</v>
      </c>
      <c r="E4942" s="18" cm="1">
        <f t="array" aca="1" ref="E4942" ca="1">INDIRECT("b"&amp;F4942+2)</f>
        <v>0</v>
      </c>
      <c r="F4942" s="18">
        <f t="shared" si="1016"/>
        <v>6985</v>
      </c>
      <c r="G4942" s="18"/>
      <c r="H4942" s="18"/>
      <c r="I4942" s="19">
        <v>4940</v>
      </c>
      <c r="J4942" s="19" cm="1">
        <f t="array" aca="1" ref="J4942" ca="1">INDIRECT("b"&amp;K4942+2)</f>
        <v>0</v>
      </c>
      <c r="K4942" s="19">
        <f t="shared" si="1027"/>
        <v>8185</v>
      </c>
    </row>
    <row r="4943" spans="1:11">
      <c r="A4943">
        <v>4941</v>
      </c>
      <c r="B4943">
        <v>5.2749999999999996E+145</v>
      </c>
      <c r="D4943" s="18">
        <v>4941</v>
      </c>
      <c r="E4943" s="18" cm="1">
        <f t="array" aca="1" ref="E4943" ca="1">INDIRECT("b"&amp;F4943+2)</f>
        <v>0</v>
      </c>
      <c r="F4943" s="18">
        <f t="shared" si="1016"/>
        <v>6986</v>
      </c>
      <c r="G4943" s="18"/>
      <c r="H4943" s="18"/>
      <c r="I4943" s="19">
        <v>4941</v>
      </c>
      <c r="J4943" s="19" cm="1">
        <f t="array" aca="1" ref="J4943" ca="1">INDIRECT("b"&amp;K4943+2)</f>
        <v>0</v>
      </c>
      <c r="K4943" s="19">
        <f t="shared" si="1027"/>
        <v>8186</v>
      </c>
    </row>
    <row r="4944" spans="1:11">
      <c r="A4944">
        <v>4942</v>
      </c>
      <c r="B4944">
        <v>5.5000000000000006E+145</v>
      </c>
      <c r="D4944" s="18">
        <v>4942</v>
      </c>
      <c r="E4944" s="18" cm="1">
        <f t="array" aca="1" ref="E4944" ca="1">INDIRECT("b"&amp;F4944+2)</f>
        <v>0</v>
      </c>
      <c r="F4944" s="18">
        <f t="shared" si="1016"/>
        <v>6988</v>
      </c>
      <c r="G4944" s="18"/>
      <c r="H4944" s="18"/>
      <c r="I4944" s="19">
        <v>4942</v>
      </c>
      <c r="J4944" s="19" cm="1">
        <f t="array" aca="1" ref="J4944" ca="1">INDIRECT("b"&amp;K4944+2)</f>
        <v>0</v>
      </c>
      <c r="K4944" s="19">
        <f t="shared" si="1027"/>
        <v>8188</v>
      </c>
    </row>
    <row r="4945" spans="1:11">
      <c r="A4945">
        <v>4943</v>
      </c>
      <c r="B4945">
        <v>5.7250000000000005E+145</v>
      </c>
      <c r="D4945" s="18">
        <v>4943</v>
      </c>
      <c r="E4945" s="18" cm="1">
        <f t="array" aca="1" ref="E4945" ca="1">INDIRECT("b"&amp;F4945+2)</f>
        <v>0</v>
      </c>
      <c r="F4945" s="18">
        <f t="shared" si="1016"/>
        <v>6989</v>
      </c>
      <c r="G4945" s="18" t="e">
        <f t="shared" ref="G4945" ca="1" si="1031">E4945/E4940</f>
        <v>#DIV/0!</v>
      </c>
      <c r="H4945" s="18"/>
      <c r="I4945" s="19">
        <v>4943</v>
      </c>
      <c r="J4945" s="19" cm="1">
        <f t="array" aca="1" ref="J4945" ca="1">INDIRECT("b"&amp;K4945+2)</f>
        <v>0</v>
      </c>
      <c r="K4945" s="19">
        <f t="shared" si="1027"/>
        <v>8189</v>
      </c>
    </row>
    <row r="4946" spans="1:11">
      <c r="A4946">
        <v>4944</v>
      </c>
      <c r="B4946">
        <v>5.9500000000000004E+145</v>
      </c>
      <c r="D4946" s="18">
        <v>4944</v>
      </c>
      <c r="E4946" s="18" cm="1">
        <f t="array" aca="1" ref="E4946" ca="1">INDIRECT("b"&amp;F4946+2)</f>
        <v>0</v>
      </c>
      <c r="F4946" s="18">
        <f t="shared" si="1016"/>
        <v>6990</v>
      </c>
      <c r="G4946" s="18"/>
      <c r="H4946" s="18"/>
      <c r="I4946" s="19">
        <v>4944</v>
      </c>
      <c r="J4946" s="19" cm="1">
        <f t="array" aca="1" ref="J4946" ca="1">INDIRECT("b"&amp;K4946+2)</f>
        <v>0</v>
      </c>
      <c r="K4946" s="19">
        <f t="shared" si="1027"/>
        <v>8190</v>
      </c>
    </row>
    <row r="4947" spans="1:11">
      <c r="A4947">
        <v>4945</v>
      </c>
      <c r="B4947">
        <v>6.1750000000000003E+145</v>
      </c>
      <c r="D4947" s="18">
        <v>4945</v>
      </c>
      <c r="E4947" s="18" cm="1">
        <f t="array" aca="1" ref="E4947" ca="1">INDIRECT("b"&amp;F4947+2)</f>
        <v>0</v>
      </c>
      <c r="F4947" s="18">
        <f t="shared" ref="F4947:F5010" si="1032">INT((A4947-123)*1.333333)+563</f>
        <v>6992</v>
      </c>
      <c r="G4947" s="18"/>
      <c r="H4947" s="18"/>
      <c r="I4947" s="19">
        <v>4945</v>
      </c>
      <c r="J4947" s="19" cm="1">
        <f t="array" aca="1" ref="J4947" ca="1">INDIRECT("b"&amp;K4947+2)</f>
        <v>0</v>
      </c>
      <c r="K4947" s="19">
        <f t="shared" si="1027"/>
        <v>8192</v>
      </c>
    </row>
    <row r="4948" spans="1:11">
      <c r="A4948">
        <v>4946</v>
      </c>
      <c r="B4948">
        <v>6.4000000000000002E+145</v>
      </c>
      <c r="D4948" s="18">
        <v>4946</v>
      </c>
      <c r="E4948" s="18" cm="1">
        <f t="array" aca="1" ref="E4948" ca="1">INDIRECT("b"&amp;F4948+2)</f>
        <v>0</v>
      </c>
      <c r="F4948" s="18">
        <f t="shared" si="1032"/>
        <v>6993</v>
      </c>
      <c r="G4948" s="18"/>
      <c r="H4948" s="18"/>
      <c r="I4948" s="19">
        <v>4946</v>
      </c>
      <c r="J4948" s="19" cm="1">
        <f t="array" aca="1" ref="J4948" ca="1">INDIRECT("b"&amp;K4948+2)</f>
        <v>0</v>
      </c>
      <c r="K4948" s="19">
        <f t="shared" si="1027"/>
        <v>8193</v>
      </c>
    </row>
    <row r="4949" spans="1:11">
      <c r="A4949">
        <v>4947</v>
      </c>
      <c r="B4949">
        <v>6.625E+145</v>
      </c>
      <c r="D4949" s="18">
        <v>4947</v>
      </c>
      <c r="E4949" s="18" cm="1">
        <f t="array" aca="1" ref="E4949" ca="1">INDIRECT("b"&amp;F4949+2)</f>
        <v>0</v>
      </c>
      <c r="F4949" s="18">
        <f t="shared" si="1032"/>
        <v>6994</v>
      </c>
      <c r="G4949" s="18"/>
      <c r="H4949" s="18"/>
      <c r="I4949" s="19">
        <v>4947</v>
      </c>
      <c r="J4949" s="19" cm="1">
        <f t="array" aca="1" ref="J4949" ca="1">INDIRECT("b"&amp;K4949+2)</f>
        <v>0</v>
      </c>
      <c r="K4949" s="19">
        <f t="shared" si="1027"/>
        <v>8194</v>
      </c>
    </row>
    <row r="4950" spans="1:11">
      <c r="A4950">
        <v>4948</v>
      </c>
      <c r="B4950">
        <v>6.8499999999999999E+145</v>
      </c>
      <c r="D4950" s="18">
        <v>4948</v>
      </c>
      <c r="E4950" s="18" cm="1">
        <f t="array" aca="1" ref="E4950" ca="1">INDIRECT("b"&amp;F4950+2)</f>
        <v>0</v>
      </c>
      <c r="F4950" s="18">
        <f t="shared" si="1032"/>
        <v>6996</v>
      </c>
      <c r="G4950" s="18" t="e">
        <f t="shared" ref="G4950" ca="1" si="1033">E4950/E4945</f>
        <v>#DIV/0!</v>
      </c>
      <c r="H4950" s="18"/>
      <c r="I4950" s="19">
        <v>4948</v>
      </c>
      <c r="J4950" s="19" cm="1">
        <f t="array" aca="1" ref="J4950" ca="1">INDIRECT("b"&amp;K4950+2)</f>
        <v>0</v>
      </c>
      <c r="K4950" s="19">
        <f t="shared" si="1027"/>
        <v>8196</v>
      </c>
    </row>
    <row r="4951" spans="1:11">
      <c r="A4951">
        <v>4949</v>
      </c>
      <c r="B4951">
        <v>7.0749999999999998E+145</v>
      </c>
      <c r="D4951" s="18">
        <v>4949</v>
      </c>
      <c r="E4951" s="18" cm="1">
        <f t="array" aca="1" ref="E4951" ca="1">INDIRECT("b"&amp;F4951+2)</f>
        <v>0</v>
      </c>
      <c r="F4951" s="18">
        <f t="shared" si="1032"/>
        <v>6997</v>
      </c>
      <c r="G4951" s="18"/>
      <c r="H4951" s="18"/>
      <c r="I4951" s="19">
        <v>4949</v>
      </c>
      <c r="J4951" s="19" cm="1">
        <f t="array" aca="1" ref="J4951" ca="1">INDIRECT("b"&amp;K4951+2)</f>
        <v>0</v>
      </c>
      <c r="K4951" s="19">
        <f t="shared" si="1027"/>
        <v>8197</v>
      </c>
    </row>
    <row r="4952" spans="1:11">
      <c r="A4952">
        <v>4950</v>
      </c>
      <c r="B4952">
        <v>7.3000000000000008E+145</v>
      </c>
      <c r="D4952" s="18">
        <v>4950</v>
      </c>
      <c r="E4952" s="18" cm="1">
        <f t="array" aca="1" ref="E4952" ca="1">INDIRECT("b"&amp;F4952+2)</f>
        <v>0</v>
      </c>
      <c r="F4952" s="18">
        <f t="shared" si="1032"/>
        <v>6998</v>
      </c>
      <c r="G4952" s="18"/>
      <c r="H4952" s="18"/>
      <c r="I4952" s="19">
        <v>4950</v>
      </c>
      <c r="J4952" s="19" cm="1">
        <f t="array" aca="1" ref="J4952" ca="1">INDIRECT("b"&amp;K4952+2)</f>
        <v>0</v>
      </c>
      <c r="K4952" s="19">
        <f t="shared" si="1027"/>
        <v>8198</v>
      </c>
    </row>
    <row r="4953" spans="1:11">
      <c r="A4953">
        <v>4951</v>
      </c>
      <c r="B4953">
        <v>7.5250000000000007E+145</v>
      </c>
      <c r="D4953" s="18">
        <v>4951</v>
      </c>
      <c r="E4953" s="18" cm="1">
        <f t="array" aca="1" ref="E4953" ca="1">INDIRECT("b"&amp;F4953+2)</f>
        <v>0</v>
      </c>
      <c r="F4953" s="18">
        <f t="shared" si="1032"/>
        <v>7000</v>
      </c>
      <c r="G4953" s="18"/>
      <c r="H4953" s="18"/>
      <c r="I4953" s="19">
        <v>4951</v>
      </c>
      <c r="J4953" s="19" cm="1">
        <f t="array" aca="1" ref="J4953" ca="1">INDIRECT("b"&amp;K4953+2)</f>
        <v>0</v>
      </c>
      <c r="K4953" s="19">
        <f t="shared" si="1027"/>
        <v>8200</v>
      </c>
    </row>
    <row r="4954" spans="1:11">
      <c r="A4954">
        <v>4952</v>
      </c>
      <c r="B4954">
        <v>7.7500000000000005E+145</v>
      </c>
      <c r="D4954" s="18">
        <v>4952</v>
      </c>
      <c r="E4954" s="18" cm="1">
        <f t="array" aca="1" ref="E4954" ca="1">INDIRECT("b"&amp;F4954+2)</f>
        <v>0</v>
      </c>
      <c r="F4954" s="18">
        <f t="shared" si="1032"/>
        <v>7001</v>
      </c>
      <c r="G4954" s="18"/>
      <c r="H4954" s="18"/>
      <c r="I4954" s="19">
        <v>4952</v>
      </c>
      <c r="J4954" s="19" cm="1">
        <f t="array" aca="1" ref="J4954" ca="1">INDIRECT("b"&amp;K4954+2)</f>
        <v>0</v>
      </c>
      <c r="K4954" s="19">
        <f t="shared" si="1027"/>
        <v>8201</v>
      </c>
    </row>
    <row r="4955" spans="1:11">
      <c r="A4955">
        <v>4953</v>
      </c>
      <c r="B4955">
        <v>7.9750000000000004E+145</v>
      </c>
      <c r="D4955" s="18">
        <v>4953</v>
      </c>
      <c r="E4955" s="18" cm="1">
        <f t="array" aca="1" ref="E4955" ca="1">INDIRECT("b"&amp;F4955+2)</f>
        <v>0</v>
      </c>
      <c r="F4955" s="18">
        <f t="shared" si="1032"/>
        <v>7002</v>
      </c>
      <c r="G4955" s="18" t="e">
        <f t="shared" ref="G4955" ca="1" si="1034">E4955/E4950</f>
        <v>#DIV/0!</v>
      </c>
      <c r="H4955" s="18"/>
      <c r="I4955" s="19">
        <v>4953</v>
      </c>
      <c r="J4955" s="19" cm="1">
        <f t="array" aca="1" ref="J4955" ca="1">INDIRECT("b"&amp;K4955+2)</f>
        <v>0</v>
      </c>
      <c r="K4955" s="19">
        <f t="shared" si="1027"/>
        <v>8202</v>
      </c>
    </row>
    <row r="4956" spans="1:11">
      <c r="A4956">
        <v>4954</v>
      </c>
      <c r="B4956">
        <v>8.2000000000000003E+145</v>
      </c>
      <c r="D4956" s="18">
        <v>4954</v>
      </c>
      <c r="E4956" s="18" cm="1">
        <f t="array" aca="1" ref="E4956" ca="1">INDIRECT("b"&amp;F4956+2)</f>
        <v>0</v>
      </c>
      <c r="F4956" s="18">
        <f t="shared" si="1032"/>
        <v>7004</v>
      </c>
      <c r="G4956" s="18"/>
      <c r="H4956" s="18"/>
      <c r="I4956" s="19">
        <v>4954</v>
      </c>
      <c r="J4956" s="19" cm="1">
        <f t="array" aca="1" ref="J4956" ca="1">INDIRECT("b"&amp;K4956+2)</f>
        <v>0</v>
      </c>
      <c r="K4956" s="19">
        <f t="shared" si="1027"/>
        <v>8204</v>
      </c>
    </row>
    <row r="4957" spans="1:11">
      <c r="A4957">
        <v>4955</v>
      </c>
      <c r="B4957">
        <v>8.4250000000000002E+145</v>
      </c>
      <c r="D4957" s="18">
        <v>4955</v>
      </c>
      <c r="E4957" s="18" cm="1">
        <f t="array" aca="1" ref="E4957" ca="1">INDIRECT("b"&amp;F4957+2)</f>
        <v>0</v>
      </c>
      <c r="F4957" s="18">
        <f t="shared" si="1032"/>
        <v>7005</v>
      </c>
      <c r="G4957" s="18"/>
      <c r="H4957" s="18"/>
      <c r="I4957" s="19">
        <v>4955</v>
      </c>
      <c r="J4957" s="19" cm="1">
        <f t="array" aca="1" ref="J4957" ca="1">INDIRECT("b"&amp;K4957+2)</f>
        <v>0</v>
      </c>
      <c r="K4957" s="19">
        <f t="shared" si="1027"/>
        <v>8205</v>
      </c>
    </row>
    <row r="4958" spans="1:11">
      <c r="A4958">
        <v>4956</v>
      </c>
      <c r="B4958">
        <v>8.6500000000000001E+145</v>
      </c>
      <c r="D4958" s="18">
        <v>4956</v>
      </c>
      <c r="E4958" s="18" cm="1">
        <f t="array" aca="1" ref="E4958" ca="1">INDIRECT("b"&amp;F4958+2)</f>
        <v>0</v>
      </c>
      <c r="F4958" s="18">
        <f t="shared" si="1032"/>
        <v>7006</v>
      </c>
      <c r="G4958" s="18"/>
      <c r="H4958" s="18"/>
      <c r="I4958" s="19">
        <v>4956</v>
      </c>
      <c r="J4958" s="19" cm="1">
        <f t="array" aca="1" ref="J4958" ca="1">INDIRECT("b"&amp;K4958+2)</f>
        <v>0</v>
      </c>
      <c r="K4958" s="19">
        <f t="shared" si="1027"/>
        <v>8206</v>
      </c>
    </row>
    <row r="4959" spans="1:11">
      <c r="A4959">
        <v>4957</v>
      </c>
      <c r="B4959">
        <v>8.8749999999999999E+145</v>
      </c>
      <c r="D4959" s="18">
        <v>4957</v>
      </c>
      <c r="E4959" s="18" cm="1">
        <f t="array" aca="1" ref="E4959" ca="1">INDIRECT("b"&amp;F4959+2)</f>
        <v>0</v>
      </c>
      <c r="F4959" s="18">
        <f t="shared" si="1032"/>
        <v>7008</v>
      </c>
      <c r="G4959" s="18"/>
      <c r="H4959" s="18"/>
      <c r="I4959" s="19">
        <v>4957</v>
      </c>
      <c r="J4959" s="19" cm="1">
        <f t="array" aca="1" ref="J4959" ca="1">INDIRECT("b"&amp;K4959+2)</f>
        <v>0</v>
      </c>
      <c r="K4959" s="19">
        <f t="shared" si="1027"/>
        <v>8208</v>
      </c>
    </row>
    <row r="4960" spans="1:11">
      <c r="A4960">
        <v>4958</v>
      </c>
      <c r="B4960">
        <v>9.0999999999999998E+145</v>
      </c>
      <c r="D4960" s="18">
        <v>4958</v>
      </c>
      <c r="E4960" s="18" cm="1">
        <f t="array" aca="1" ref="E4960" ca="1">INDIRECT("b"&amp;F4960+2)</f>
        <v>0</v>
      </c>
      <c r="F4960" s="18">
        <f t="shared" si="1032"/>
        <v>7009</v>
      </c>
      <c r="G4960" s="18" t="e">
        <f t="shared" ref="G4960" ca="1" si="1035">E4960/E4955</f>
        <v>#DIV/0!</v>
      </c>
      <c r="H4960" s="18"/>
      <c r="I4960" s="19">
        <v>4958</v>
      </c>
      <c r="J4960" s="19" cm="1">
        <f t="array" aca="1" ref="J4960" ca="1">INDIRECT("b"&amp;K4960+2)</f>
        <v>0</v>
      </c>
      <c r="K4960" s="19">
        <f t="shared" si="1027"/>
        <v>8209</v>
      </c>
    </row>
    <row r="4961" spans="1:11">
      <c r="A4961">
        <v>4959</v>
      </c>
      <c r="B4961">
        <v>9.3250000000000008E+145</v>
      </c>
      <c r="D4961" s="18">
        <v>4959</v>
      </c>
      <c r="E4961" s="18" cm="1">
        <f t="array" aca="1" ref="E4961" ca="1">INDIRECT("b"&amp;F4961+2)</f>
        <v>0</v>
      </c>
      <c r="F4961" s="18">
        <f t="shared" si="1032"/>
        <v>7010</v>
      </c>
      <c r="G4961" s="18"/>
      <c r="H4961" s="18"/>
      <c r="I4961" s="19">
        <v>4959</v>
      </c>
      <c r="J4961" s="19" cm="1">
        <f t="array" aca="1" ref="J4961" ca="1">INDIRECT("b"&amp;K4961+2)</f>
        <v>0</v>
      </c>
      <c r="K4961" s="19">
        <f t="shared" si="1027"/>
        <v>8210</v>
      </c>
    </row>
    <row r="4962" spans="1:11">
      <c r="A4962">
        <v>4960</v>
      </c>
      <c r="B4962">
        <v>9.5500000000000007E+145</v>
      </c>
      <c r="D4962" s="18">
        <v>4960</v>
      </c>
      <c r="E4962" s="18" cm="1">
        <f t="array" aca="1" ref="E4962" ca="1">INDIRECT("b"&amp;F4962+2)</f>
        <v>0</v>
      </c>
      <c r="F4962" s="18">
        <f t="shared" si="1032"/>
        <v>7012</v>
      </c>
      <c r="G4962" s="18"/>
      <c r="H4962" s="18"/>
      <c r="I4962" s="19">
        <v>4960</v>
      </c>
      <c r="J4962" s="19" cm="1">
        <f t="array" aca="1" ref="J4962" ca="1">INDIRECT("b"&amp;K4962+2)</f>
        <v>0</v>
      </c>
      <c r="K4962" s="19">
        <f t="shared" si="1027"/>
        <v>8212</v>
      </c>
    </row>
    <row r="4963" spans="1:11">
      <c r="A4963">
        <v>4961</v>
      </c>
      <c r="B4963">
        <v>9.7750000000000006E+145</v>
      </c>
      <c r="D4963" s="18">
        <v>4961</v>
      </c>
      <c r="E4963" s="18" cm="1">
        <f t="array" aca="1" ref="E4963" ca="1">INDIRECT("b"&amp;F4963+2)</f>
        <v>0</v>
      </c>
      <c r="F4963" s="18">
        <f t="shared" si="1032"/>
        <v>7013</v>
      </c>
      <c r="G4963" s="18"/>
      <c r="H4963" s="18"/>
      <c r="I4963" s="19">
        <v>4961</v>
      </c>
      <c r="J4963" s="19" cm="1">
        <f t="array" aca="1" ref="J4963" ca="1">INDIRECT("b"&amp;K4963+2)</f>
        <v>0</v>
      </c>
      <c r="K4963" s="19">
        <f t="shared" si="1027"/>
        <v>8213</v>
      </c>
    </row>
    <row r="4964" spans="1:11">
      <c r="A4964">
        <v>4962</v>
      </c>
      <c r="B4964">
        <v>9.9999999999999993E+145</v>
      </c>
      <c r="D4964" s="18">
        <v>4962</v>
      </c>
      <c r="E4964" s="18" cm="1">
        <f t="array" aca="1" ref="E4964" ca="1">INDIRECT("b"&amp;F4964+2)</f>
        <v>0</v>
      </c>
      <c r="F4964" s="18">
        <f t="shared" si="1032"/>
        <v>7014</v>
      </c>
      <c r="G4964" s="18"/>
      <c r="H4964" s="18"/>
      <c r="I4964" s="19">
        <v>4962</v>
      </c>
      <c r="J4964" s="19" cm="1">
        <f t="array" aca="1" ref="J4964" ca="1">INDIRECT("b"&amp;K4964+2)</f>
        <v>0</v>
      </c>
      <c r="K4964" s="19">
        <f t="shared" si="1027"/>
        <v>8214</v>
      </c>
    </row>
    <row r="4965" spans="1:11">
      <c r="A4965">
        <v>4963</v>
      </c>
      <c r="B4965">
        <v>1.225E+146</v>
      </c>
      <c r="D4965" s="18">
        <v>4963</v>
      </c>
      <c r="E4965" s="18" cm="1">
        <f t="array" aca="1" ref="E4965" ca="1">INDIRECT("b"&amp;F4965+2)</f>
        <v>0</v>
      </c>
      <c r="F4965" s="18">
        <f t="shared" si="1032"/>
        <v>7016</v>
      </c>
      <c r="G4965" s="18" t="e">
        <f t="shared" ref="G4965" ca="1" si="1036">E4965/E4960</f>
        <v>#DIV/0!</v>
      </c>
      <c r="H4965" s="18"/>
      <c r="I4965" s="19">
        <v>4963</v>
      </c>
      <c r="J4965" s="19" cm="1">
        <f t="array" aca="1" ref="J4965" ca="1">INDIRECT("b"&amp;K4965+2)</f>
        <v>0</v>
      </c>
      <c r="K4965" s="19">
        <f t="shared" si="1027"/>
        <v>8216</v>
      </c>
    </row>
    <row r="4966" spans="1:11">
      <c r="A4966">
        <v>4964</v>
      </c>
      <c r="B4966">
        <v>1.4500000000000001E+146</v>
      </c>
      <c r="D4966" s="18">
        <v>4964</v>
      </c>
      <c r="E4966" s="18" cm="1">
        <f t="array" aca="1" ref="E4966" ca="1">INDIRECT("b"&amp;F4966+2)</f>
        <v>0</v>
      </c>
      <c r="F4966" s="18">
        <f t="shared" si="1032"/>
        <v>7017</v>
      </c>
      <c r="G4966" s="18"/>
      <c r="H4966" s="18"/>
      <c r="I4966" s="19">
        <v>4964</v>
      </c>
      <c r="J4966" s="19" cm="1">
        <f t="array" aca="1" ref="J4966" ca="1">INDIRECT("b"&amp;K4966+2)</f>
        <v>0</v>
      </c>
      <c r="K4966" s="19">
        <f t="shared" si="1027"/>
        <v>8217</v>
      </c>
    </row>
    <row r="4967" spans="1:11">
      <c r="A4967">
        <v>4965</v>
      </c>
      <c r="B4967">
        <v>1.675E+146</v>
      </c>
      <c r="D4967" s="18">
        <v>4965</v>
      </c>
      <c r="E4967" s="18" cm="1">
        <f t="array" aca="1" ref="E4967" ca="1">INDIRECT("b"&amp;F4967+2)</f>
        <v>0</v>
      </c>
      <c r="F4967" s="18">
        <f t="shared" si="1032"/>
        <v>7018</v>
      </c>
      <c r="G4967" s="18"/>
      <c r="H4967" s="18"/>
      <c r="I4967" s="19">
        <v>4965</v>
      </c>
      <c r="J4967" s="19" cm="1">
        <f t="array" aca="1" ref="J4967" ca="1">INDIRECT("b"&amp;K4967+2)</f>
        <v>0</v>
      </c>
      <c r="K4967" s="19">
        <f t="shared" si="1027"/>
        <v>8218</v>
      </c>
    </row>
    <row r="4968" spans="1:11">
      <c r="A4968">
        <v>4966</v>
      </c>
      <c r="B4968">
        <v>1.9000000000000001E+146</v>
      </c>
      <c r="D4968" s="18">
        <v>4966</v>
      </c>
      <c r="E4968" s="18" cm="1">
        <f t="array" aca="1" ref="E4968" ca="1">INDIRECT("b"&amp;F4968+2)</f>
        <v>0</v>
      </c>
      <c r="F4968" s="18">
        <f t="shared" si="1032"/>
        <v>7020</v>
      </c>
      <c r="G4968" s="18"/>
      <c r="H4968" s="18"/>
      <c r="I4968" s="19">
        <v>4966</v>
      </c>
      <c r="J4968" s="19" cm="1">
        <f t="array" aca="1" ref="J4968" ca="1">INDIRECT("b"&amp;K4968+2)</f>
        <v>0</v>
      </c>
      <c r="K4968" s="19">
        <f t="shared" si="1027"/>
        <v>8220</v>
      </c>
    </row>
    <row r="4969" spans="1:11">
      <c r="A4969">
        <v>4967</v>
      </c>
      <c r="B4969">
        <v>2.125E+146</v>
      </c>
      <c r="D4969" s="18">
        <v>4967</v>
      </c>
      <c r="E4969" s="18" cm="1">
        <f t="array" aca="1" ref="E4969" ca="1">INDIRECT("b"&amp;F4969+2)</f>
        <v>0</v>
      </c>
      <c r="F4969" s="18">
        <f t="shared" si="1032"/>
        <v>7021</v>
      </c>
      <c r="G4969" s="18"/>
      <c r="H4969" s="18"/>
      <c r="I4969" s="19">
        <v>4967</v>
      </c>
      <c r="J4969" s="19" cm="1">
        <f t="array" aca="1" ref="J4969" ca="1">INDIRECT("b"&amp;K4969+2)</f>
        <v>0</v>
      </c>
      <c r="K4969" s="19">
        <f t="shared" si="1027"/>
        <v>8221</v>
      </c>
    </row>
    <row r="4970" spans="1:11">
      <c r="A4970">
        <v>4968</v>
      </c>
      <c r="B4970">
        <v>2.3499999999999999E+146</v>
      </c>
      <c r="D4970" s="18">
        <v>4968</v>
      </c>
      <c r="E4970" s="18" cm="1">
        <f t="array" aca="1" ref="E4970" ca="1">INDIRECT("b"&amp;F4970+2)</f>
        <v>0</v>
      </c>
      <c r="F4970" s="18">
        <f t="shared" si="1032"/>
        <v>7022</v>
      </c>
      <c r="G4970" s="18" t="e">
        <f t="shared" ref="G4970" ca="1" si="1037">E4970/E4965</f>
        <v>#DIV/0!</v>
      </c>
      <c r="H4970" s="18"/>
      <c r="I4970" s="19">
        <v>4968</v>
      </c>
      <c r="J4970" s="19" cm="1">
        <f t="array" aca="1" ref="J4970" ca="1">INDIRECT("b"&amp;K4970+2)</f>
        <v>0</v>
      </c>
      <c r="K4970" s="19">
        <f t="shared" si="1027"/>
        <v>8222</v>
      </c>
    </row>
    <row r="4971" spans="1:11">
      <c r="A4971">
        <v>4969</v>
      </c>
      <c r="B4971">
        <v>2.5750000000000002E+146</v>
      </c>
      <c r="D4971" s="18">
        <v>4969</v>
      </c>
      <c r="E4971" s="18" cm="1">
        <f t="array" aca="1" ref="E4971" ca="1">INDIRECT("b"&amp;F4971+2)</f>
        <v>0</v>
      </c>
      <c r="F4971" s="18">
        <f t="shared" si="1032"/>
        <v>7024</v>
      </c>
      <c r="G4971" s="18"/>
      <c r="H4971" s="18"/>
      <c r="I4971" s="19">
        <v>4969</v>
      </c>
      <c r="J4971" s="19" cm="1">
        <f t="array" aca="1" ref="J4971" ca="1">INDIRECT("b"&amp;K4971+2)</f>
        <v>0</v>
      </c>
      <c r="K4971" s="19">
        <f t="shared" si="1027"/>
        <v>8224</v>
      </c>
    </row>
    <row r="4972" spans="1:11">
      <c r="A4972">
        <v>4970</v>
      </c>
      <c r="B4972">
        <v>2.8000000000000001E+146</v>
      </c>
      <c r="D4972" s="18">
        <v>4970</v>
      </c>
      <c r="E4972" s="18" cm="1">
        <f t="array" aca="1" ref="E4972" ca="1">INDIRECT("b"&amp;F4972+2)</f>
        <v>0</v>
      </c>
      <c r="F4972" s="18">
        <f t="shared" si="1032"/>
        <v>7025</v>
      </c>
      <c r="G4972" s="18"/>
      <c r="H4972" s="18"/>
      <c r="I4972" s="19">
        <v>4970</v>
      </c>
      <c r="J4972" s="19" cm="1">
        <f t="array" aca="1" ref="J4972" ca="1">INDIRECT("b"&amp;K4972+2)</f>
        <v>0</v>
      </c>
      <c r="K4972" s="19">
        <f t="shared" si="1027"/>
        <v>8225</v>
      </c>
    </row>
    <row r="4973" spans="1:11">
      <c r="A4973">
        <v>4971</v>
      </c>
      <c r="B4973">
        <v>3.025E+146</v>
      </c>
      <c r="D4973" s="18">
        <v>4971</v>
      </c>
      <c r="E4973" s="18" cm="1">
        <f t="array" aca="1" ref="E4973" ca="1">INDIRECT("b"&amp;F4973+2)</f>
        <v>0</v>
      </c>
      <c r="F4973" s="18">
        <f t="shared" si="1032"/>
        <v>7026</v>
      </c>
      <c r="G4973" s="18"/>
      <c r="H4973" s="18"/>
      <c r="I4973" s="19">
        <v>4971</v>
      </c>
      <c r="J4973" s="19" cm="1">
        <f t="array" aca="1" ref="J4973" ca="1">INDIRECT("b"&amp;K4973+2)</f>
        <v>0</v>
      </c>
      <c r="K4973" s="19">
        <f t="shared" si="1027"/>
        <v>8226</v>
      </c>
    </row>
    <row r="4974" spans="1:11">
      <c r="A4974">
        <v>4972</v>
      </c>
      <c r="B4974">
        <v>3.2500000000000003E+146</v>
      </c>
      <c r="D4974" s="18">
        <v>4972</v>
      </c>
      <c r="E4974" s="18" cm="1">
        <f t="array" aca="1" ref="E4974" ca="1">INDIRECT("b"&amp;F4974+2)</f>
        <v>0</v>
      </c>
      <c r="F4974" s="18">
        <f t="shared" si="1032"/>
        <v>7028</v>
      </c>
      <c r="G4974" s="18"/>
      <c r="H4974" s="18"/>
      <c r="I4974" s="19">
        <v>4972</v>
      </c>
      <c r="J4974" s="19" cm="1">
        <f t="array" aca="1" ref="J4974" ca="1">INDIRECT("b"&amp;K4974+2)</f>
        <v>0</v>
      </c>
      <c r="K4974" s="19">
        <f t="shared" si="1027"/>
        <v>8228</v>
      </c>
    </row>
    <row r="4975" spans="1:11">
      <c r="A4975">
        <v>4973</v>
      </c>
      <c r="B4975">
        <v>3.4750000000000002E+146</v>
      </c>
      <c r="D4975" s="18">
        <v>4973</v>
      </c>
      <c r="E4975" s="18" cm="1">
        <f t="array" aca="1" ref="E4975" ca="1">INDIRECT("b"&amp;F4975+2)</f>
        <v>0</v>
      </c>
      <c r="F4975" s="18">
        <f t="shared" si="1032"/>
        <v>7029</v>
      </c>
      <c r="G4975" s="18" t="e">
        <f t="shared" ref="G4975" ca="1" si="1038">E4975/E4970</f>
        <v>#DIV/0!</v>
      </c>
      <c r="H4975" s="18"/>
      <c r="I4975" s="19">
        <v>4973</v>
      </c>
      <c r="J4975" s="19" cm="1">
        <f t="array" aca="1" ref="J4975" ca="1">INDIRECT("b"&amp;K4975+2)</f>
        <v>0</v>
      </c>
      <c r="K4975" s="19">
        <f t="shared" si="1027"/>
        <v>8229</v>
      </c>
    </row>
    <row r="4976" spans="1:11">
      <c r="A4976">
        <v>4974</v>
      </c>
      <c r="B4976">
        <v>3.7E+146</v>
      </c>
      <c r="D4976" s="18">
        <v>4974</v>
      </c>
      <c r="E4976" s="18" cm="1">
        <f t="array" aca="1" ref="E4976" ca="1">INDIRECT("b"&amp;F4976+2)</f>
        <v>0</v>
      </c>
      <c r="F4976" s="18">
        <f t="shared" si="1032"/>
        <v>7030</v>
      </c>
      <c r="G4976" s="18"/>
      <c r="H4976" s="18"/>
      <c r="I4976" s="19">
        <v>4974</v>
      </c>
      <c r="J4976" s="19" cm="1">
        <f t="array" aca="1" ref="J4976" ca="1">INDIRECT("b"&amp;K4976+2)</f>
        <v>0</v>
      </c>
      <c r="K4976" s="19">
        <f t="shared" si="1027"/>
        <v>8230</v>
      </c>
    </row>
    <row r="4977" spans="1:11">
      <c r="A4977">
        <v>4975</v>
      </c>
      <c r="B4977">
        <v>3.9249999999999999E+146</v>
      </c>
      <c r="D4977" s="18">
        <v>4975</v>
      </c>
      <c r="E4977" s="18" cm="1">
        <f t="array" aca="1" ref="E4977" ca="1">INDIRECT("b"&amp;F4977+2)</f>
        <v>0</v>
      </c>
      <c r="F4977" s="18">
        <f t="shared" si="1032"/>
        <v>7032</v>
      </c>
      <c r="G4977" s="18"/>
      <c r="H4977" s="18"/>
      <c r="I4977" s="19">
        <v>4975</v>
      </c>
      <c r="J4977" s="19" cm="1">
        <f t="array" aca="1" ref="J4977" ca="1">INDIRECT("b"&amp;K4977+2)</f>
        <v>0</v>
      </c>
      <c r="K4977" s="19">
        <f t="shared" si="1027"/>
        <v>8232</v>
      </c>
    </row>
    <row r="4978" spans="1:11">
      <c r="A4978">
        <v>4976</v>
      </c>
      <c r="B4978">
        <v>4.1500000000000002E+146</v>
      </c>
      <c r="D4978" s="18">
        <v>4976</v>
      </c>
      <c r="E4978" s="18" cm="1">
        <f t="array" aca="1" ref="E4978" ca="1">INDIRECT("b"&amp;F4978+2)</f>
        <v>0</v>
      </c>
      <c r="F4978" s="18">
        <f t="shared" si="1032"/>
        <v>7033</v>
      </c>
      <c r="G4978" s="18"/>
      <c r="H4978" s="18"/>
      <c r="I4978" s="19">
        <v>4976</v>
      </c>
      <c r="J4978" s="19" cm="1">
        <f t="array" aca="1" ref="J4978" ca="1">INDIRECT("b"&amp;K4978+2)</f>
        <v>0</v>
      </c>
      <c r="K4978" s="19">
        <f t="shared" si="1027"/>
        <v>8233</v>
      </c>
    </row>
    <row r="4979" spans="1:11">
      <c r="A4979">
        <v>4977</v>
      </c>
      <c r="B4979">
        <v>4.3750000000000006E+146</v>
      </c>
      <c r="D4979" s="18">
        <v>4977</v>
      </c>
      <c r="E4979" s="18" cm="1">
        <f t="array" aca="1" ref="E4979" ca="1">INDIRECT("b"&amp;F4979+2)</f>
        <v>0</v>
      </c>
      <c r="F4979" s="18">
        <f t="shared" si="1032"/>
        <v>7034</v>
      </c>
      <c r="G4979" s="18"/>
      <c r="H4979" s="18"/>
      <c r="I4979" s="19">
        <v>4977</v>
      </c>
      <c r="J4979" s="19" cm="1">
        <f t="array" aca="1" ref="J4979" ca="1">INDIRECT("b"&amp;K4979+2)</f>
        <v>0</v>
      </c>
      <c r="K4979" s="19">
        <f t="shared" si="1027"/>
        <v>8234</v>
      </c>
    </row>
    <row r="4980" spans="1:11">
      <c r="A4980">
        <v>4978</v>
      </c>
      <c r="B4980">
        <v>4.6E+146</v>
      </c>
      <c r="D4980" s="18">
        <v>4978</v>
      </c>
      <c r="E4980" s="18" cm="1">
        <f t="array" aca="1" ref="E4980" ca="1">INDIRECT("b"&amp;F4980+2)</f>
        <v>0</v>
      </c>
      <c r="F4980" s="18">
        <f t="shared" si="1032"/>
        <v>7036</v>
      </c>
      <c r="G4980" s="18" t="e">
        <f t="shared" ref="G4980" ca="1" si="1039">E4980/E4975</f>
        <v>#DIV/0!</v>
      </c>
      <c r="H4980" s="18"/>
      <c r="I4980" s="19">
        <v>4978</v>
      </c>
      <c r="J4980" s="19" cm="1">
        <f t="array" aca="1" ref="J4980" ca="1">INDIRECT("b"&amp;K4980+2)</f>
        <v>0</v>
      </c>
      <c r="K4980" s="19">
        <f t="shared" si="1027"/>
        <v>8236</v>
      </c>
    </row>
    <row r="4981" spans="1:11">
      <c r="A4981">
        <v>4979</v>
      </c>
      <c r="B4981">
        <v>4.8250000000000003E+146</v>
      </c>
      <c r="D4981" s="18">
        <v>4979</v>
      </c>
      <c r="E4981" s="18" cm="1">
        <f t="array" aca="1" ref="E4981" ca="1">INDIRECT("b"&amp;F4981+2)</f>
        <v>0</v>
      </c>
      <c r="F4981" s="18">
        <f t="shared" si="1032"/>
        <v>7037</v>
      </c>
      <c r="G4981" s="18"/>
      <c r="H4981" s="18"/>
      <c r="I4981" s="19">
        <v>4979</v>
      </c>
      <c r="J4981" s="19" cm="1">
        <f t="array" aca="1" ref="J4981" ca="1">INDIRECT("b"&amp;K4981+2)</f>
        <v>0</v>
      </c>
      <c r="K4981" s="19">
        <f t="shared" si="1027"/>
        <v>8237</v>
      </c>
    </row>
    <row r="4982" spans="1:11">
      <c r="A4982">
        <v>4980</v>
      </c>
      <c r="B4982">
        <v>5.0499999999999998E+146</v>
      </c>
      <c r="D4982" s="18">
        <v>4980</v>
      </c>
      <c r="E4982" s="18" cm="1">
        <f t="array" aca="1" ref="E4982" ca="1">INDIRECT("b"&amp;F4982+2)</f>
        <v>0</v>
      </c>
      <c r="F4982" s="18">
        <f t="shared" si="1032"/>
        <v>7038</v>
      </c>
      <c r="G4982" s="18"/>
      <c r="H4982" s="18"/>
      <c r="I4982" s="19">
        <v>4980</v>
      </c>
      <c r="J4982" s="19" cm="1">
        <f t="array" aca="1" ref="J4982" ca="1">INDIRECT("b"&amp;K4982+2)</f>
        <v>0</v>
      </c>
      <c r="K4982" s="19">
        <f t="shared" si="1027"/>
        <v>8238</v>
      </c>
    </row>
    <row r="4983" spans="1:11">
      <c r="A4983">
        <v>4981</v>
      </c>
      <c r="B4983">
        <v>5.2750000000000001E+146</v>
      </c>
      <c r="D4983" s="18">
        <v>4981</v>
      </c>
      <c r="E4983" s="18" cm="1">
        <f t="array" aca="1" ref="E4983" ca="1">INDIRECT("b"&amp;F4983+2)</f>
        <v>0</v>
      </c>
      <c r="F4983" s="18">
        <f t="shared" si="1032"/>
        <v>7040</v>
      </c>
      <c r="G4983" s="18"/>
      <c r="H4983" s="18"/>
      <c r="I4983" s="19">
        <v>4981</v>
      </c>
      <c r="J4983" s="19" cm="1">
        <f t="array" aca="1" ref="J4983" ca="1">INDIRECT("b"&amp;K4983+2)</f>
        <v>0</v>
      </c>
      <c r="K4983" s="19">
        <f t="shared" si="1027"/>
        <v>8240</v>
      </c>
    </row>
    <row r="4984" spans="1:11">
      <c r="A4984">
        <v>4982</v>
      </c>
      <c r="B4984">
        <v>5.5000000000000004E+146</v>
      </c>
      <c r="D4984" s="18">
        <v>4982</v>
      </c>
      <c r="E4984" s="18" cm="1">
        <f t="array" aca="1" ref="E4984" ca="1">INDIRECT("b"&amp;F4984+2)</f>
        <v>0</v>
      </c>
      <c r="F4984" s="18">
        <f t="shared" si="1032"/>
        <v>7041</v>
      </c>
      <c r="G4984" s="18"/>
      <c r="H4984" s="18"/>
      <c r="I4984" s="19">
        <v>4982</v>
      </c>
      <c r="J4984" s="19" cm="1">
        <f t="array" aca="1" ref="J4984" ca="1">INDIRECT("b"&amp;K4984+2)</f>
        <v>0</v>
      </c>
      <c r="K4984" s="19">
        <f t="shared" si="1027"/>
        <v>8241</v>
      </c>
    </row>
    <row r="4985" spans="1:11">
      <c r="A4985">
        <v>4983</v>
      </c>
      <c r="B4985">
        <v>5.7249999999999998E+146</v>
      </c>
      <c r="D4985" s="18">
        <v>4983</v>
      </c>
      <c r="E4985" s="18" cm="1">
        <f t="array" aca="1" ref="E4985" ca="1">INDIRECT("b"&amp;F4985+2)</f>
        <v>0</v>
      </c>
      <c r="F4985" s="18">
        <f t="shared" si="1032"/>
        <v>7042</v>
      </c>
      <c r="G4985" s="18" t="e">
        <f t="shared" ref="G4985" ca="1" si="1040">E4985/E4980</f>
        <v>#DIV/0!</v>
      </c>
      <c r="H4985" s="18"/>
      <c r="I4985" s="19">
        <v>4983</v>
      </c>
      <c r="J4985" s="19" cm="1">
        <f t="array" aca="1" ref="J4985" ca="1">INDIRECT("b"&amp;K4985+2)</f>
        <v>0</v>
      </c>
      <c r="K4985" s="19">
        <f t="shared" si="1027"/>
        <v>8242</v>
      </c>
    </row>
    <row r="4986" spans="1:11">
      <c r="A4986">
        <v>4984</v>
      </c>
      <c r="B4986">
        <v>5.9500000000000002E+146</v>
      </c>
      <c r="D4986" s="18">
        <v>4984</v>
      </c>
      <c r="E4986" s="18" cm="1">
        <f t="array" aca="1" ref="E4986" ca="1">INDIRECT("b"&amp;F4986+2)</f>
        <v>0</v>
      </c>
      <c r="F4986" s="18">
        <f t="shared" si="1032"/>
        <v>7044</v>
      </c>
      <c r="G4986" s="18"/>
      <c r="H4986" s="18"/>
      <c r="I4986" s="19">
        <v>4984</v>
      </c>
      <c r="J4986" s="19" cm="1">
        <f t="array" aca="1" ref="J4986" ca="1">INDIRECT("b"&amp;K4986+2)</f>
        <v>0</v>
      </c>
      <c r="K4986" s="19">
        <f t="shared" si="1027"/>
        <v>8244</v>
      </c>
    </row>
    <row r="4987" spans="1:11">
      <c r="A4987">
        <v>4985</v>
      </c>
      <c r="B4987">
        <v>6.1750000000000005E+146</v>
      </c>
      <c r="D4987" s="18">
        <v>4985</v>
      </c>
      <c r="E4987" s="18" cm="1">
        <f t="array" aca="1" ref="E4987" ca="1">INDIRECT("b"&amp;F4987+2)</f>
        <v>0</v>
      </c>
      <c r="F4987" s="18">
        <f t="shared" si="1032"/>
        <v>7045</v>
      </c>
      <c r="G4987" s="18"/>
      <c r="H4987" s="18"/>
      <c r="I4987" s="19">
        <v>4985</v>
      </c>
      <c r="J4987" s="19" cm="1">
        <f t="array" aca="1" ref="J4987" ca="1">INDIRECT("b"&amp;K4987+2)</f>
        <v>0</v>
      </c>
      <c r="K4987" s="19">
        <f t="shared" si="1027"/>
        <v>8245</v>
      </c>
    </row>
    <row r="4988" spans="1:11">
      <c r="A4988">
        <v>4986</v>
      </c>
      <c r="B4988">
        <v>6.3999999999999999E+146</v>
      </c>
      <c r="D4988" s="18">
        <v>4986</v>
      </c>
      <c r="E4988" s="18" cm="1">
        <f t="array" aca="1" ref="E4988" ca="1">INDIRECT("b"&amp;F4988+2)</f>
        <v>0</v>
      </c>
      <c r="F4988" s="18">
        <f t="shared" si="1032"/>
        <v>7046</v>
      </c>
      <c r="G4988" s="18"/>
      <c r="H4988" s="18"/>
      <c r="I4988" s="19">
        <v>4986</v>
      </c>
      <c r="J4988" s="19" cm="1">
        <f t="array" aca="1" ref="J4988" ca="1">INDIRECT("b"&amp;K4988+2)</f>
        <v>0</v>
      </c>
      <c r="K4988" s="19">
        <f t="shared" si="1027"/>
        <v>8246</v>
      </c>
    </row>
    <row r="4989" spans="1:11">
      <c r="A4989">
        <v>4987</v>
      </c>
      <c r="B4989">
        <v>6.6250000000000003E+146</v>
      </c>
      <c r="D4989" s="18">
        <v>4987</v>
      </c>
      <c r="E4989" s="18" cm="1">
        <f t="array" aca="1" ref="E4989" ca="1">INDIRECT("b"&amp;F4989+2)</f>
        <v>0</v>
      </c>
      <c r="F4989" s="18">
        <f t="shared" si="1032"/>
        <v>7048</v>
      </c>
      <c r="G4989" s="18"/>
      <c r="H4989" s="18"/>
      <c r="I4989" s="19">
        <v>4987</v>
      </c>
      <c r="J4989" s="19" cm="1">
        <f t="array" aca="1" ref="J4989" ca="1">INDIRECT("b"&amp;K4989+2)</f>
        <v>0</v>
      </c>
      <c r="K4989" s="19">
        <f t="shared" si="1027"/>
        <v>8248</v>
      </c>
    </row>
    <row r="4990" spans="1:11">
      <c r="A4990">
        <v>4988</v>
      </c>
      <c r="B4990">
        <v>6.8500000000000006E+146</v>
      </c>
      <c r="D4990" s="18">
        <v>4988</v>
      </c>
      <c r="E4990" s="18" cm="1">
        <f t="array" aca="1" ref="E4990" ca="1">INDIRECT("b"&amp;F4990+2)</f>
        <v>0</v>
      </c>
      <c r="F4990" s="18">
        <f t="shared" si="1032"/>
        <v>7049</v>
      </c>
      <c r="G4990" s="18" t="e">
        <f t="shared" ref="G4990" ca="1" si="1041">E4990/E4985</f>
        <v>#DIV/0!</v>
      </c>
      <c r="H4990" s="18"/>
      <c r="I4990" s="19">
        <v>4988</v>
      </c>
      <c r="J4990" s="19" cm="1">
        <f t="array" aca="1" ref="J4990" ca="1">INDIRECT("b"&amp;K4990+2)</f>
        <v>0</v>
      </c>
      <c r="K4990" s="19">
        <f t="shared" si="1027"/>
        <v>8249</v>
      </c>
    </row>
    <row r="4991" spans="1:11">
      <c r="A4991">
        <v>4989</v>
      </c>
      <c r="B4991">
        <v>7.075E+146</v>
      </c>
      <c r="D4991" s="18">
        <v>4989</v>
      </c>
      <c r="E4991" s="18" cm="1">
        <f t="array" aca="1" ref="E4991" ca="1">INDIRECT("b"&amp;F4991+2)</f>
        <v>0</v>
      </c>
      <c r="F4991" s="18">
        <f t="shared" si="1032"/>
        <v>7050</v>
      </c>
      <c r="G4991" s="18"/>
      <c r="H4991" s="18"/>
      <c r="I4991" s="19">
        <v>4989</v>
      </c>
      <c r="J4991" s="19" cm="1">
        <f t="array" aca="1" ref="J4991" ca="1">INDIRECT("b"&amp;K4991+2)</f>
        <v>0</v>
      </c>
      <c r="K4991" s="19">
        <f t="shared" si="1027"/>
        <v>8250</v>
      </c>
    </row>
    <row r="4992" spans="1:11">
      <c r="A4992">
        <v>4990</v>
      </c>
      <c r="B4992">
        <v>7.3000000000000003E+146</v>
      </c>
      <c r="D4992" s="18">
        <v>4990</v>
      </c>
      <c r="E4992" s="18" cm="1">
        <f t="array" aca="1" ref="E4992" ca="1">INDIRECT("b"&amp;F4992+2)</f>
        <v>0</v>
      </c>
      <c r="F4992" s="18">
        <f t="shared" si="1032"/>
        <v>7052</v>
      </c>
      <c r="G4992" s="18"/>
      <c r="H4992" s="18"/>
      <c r="I4992" s="19">
        <v>4990</v>
      </c>
      <c r="J4992" s="19" cm="1">
        <f t="array" aca="1" ref="J4992" ca="1">INDIRECT("b"&amp;K4992+2)</f>
        <v>0</v>
      </c>
      <c r="K4992" s="19">
        <f t="shared" si="1027"/>
        <v>8252</v>
      </c>
    </row>
    <row r="4993" spans="1:11">
      <c r="A4993">
        <v>4991</v>
      </c>
      <c r="B4993">
        <v>7.5250000000000007E+146</v>
      </c>
      <c r="D4993" s="18">
        <v>4991</v>
      </c>
      <c r="E4993" s="18" cm="1">
        <f t="array" aca="1" ref="E4993" ca="1">INDIRECT("b"&amp;F4993+2)</f>
        <v>0</v>
      </c>
      <c r="F4993" s="18">
        <f t="shared" si="1032"/>
        <v>7053</v>
      </c>
      <c r="G4993" s="18"/>
      <c r="H4993" s="18"/>
      <c r="I4993" s="19">
        <v>4991</v>
      </c>
      <c r="J4993" s="19" cm="1">
        <f t="array" aca="1" ref="J4993" ca="1">INDIRECT("b"&amp;K4993+2)</f>
        <v>0</v>
      </c>
      <c r="K4993" s="19">
        <f t="shared" si="1027"/>
        <v>8253</v>
      </c>
    </row>
    <row r="4994" spans="1:11">
      <c r="A4994">
        <v>4992</v>
      </c>
      <c r="B4994">
        <v>7.7500000000000001E+146</v>
      </c>
      <c r="D4994" s="18">
        <v>4992</v>
      </c>
      <c r="E4994" s="18" cm="1">
        <f t="array" aca="1" ref="E4994" ca="1">INDIRECT("b"&amp;F4994+2)</f>
        <v>0</v>
      </c>
      <c r="F4994" s="18">
        <f t="shared" si="1032"/>
        <v>7054</v>
      </c>
      <c r="G4994" s="18"/>
      <c r="H4994" s="18"/>
      <c r="I4994" s="19">
        <v>4992</v>
      </c>
      <c r="J4994" s="19" cm="1">
        <f t="array" aca="1" ref="J4994" ca="1">INDIRECT("b"&amp;K4994+2)</f>
        <v>0</v>
      </c>
      <c r="K4994" s="19">
        <f t="shared" si="1027"/>
        <v>8254</v>
      </c>
    </row>
    <row r="4995" spans="1:11">
      <c r="A4995">
        <v>4993</v>
      </c>
      <c r="B4995">
        <v>7.9750000000000004E+146</v>
      </c>
      <c r="D4995" s="18">
        <v>4993</v>
      </c>
      <c r="E4995" s="18" cm="1">
        <f t="array" aca="1" ref="E4995" ca="1">INDIRECT("b"&amp;F4995+2)</f>
        <v>0</v>
      </c>
      <c r="F4995" s="18">
        <f t="shared" si="1032"/>
        <v>7056</v>
      </c>
      <c r="G4995" s="18" t="e">
        <f t="shared" ref="G4995" ca="1" si="1042">E4995/E4990</f>
        <v>#DIV/0!</v>
      </c>
      <c r="H4995" s="18"/>
      <c r="I4995" s="19">
        <v>4993</v>
      </c>
      <c r="J4995" s="19" cm="1">
        <f t="array" aca="1" ref="J4995" ca="1">INDIRECT("b"&amp;K4995+2)</f>
        <v>0</v>
      </c>
      <c r="K4995" s="19">
        <f t="shared" si="1027"/>
        <v>8256</v>
      </c>
    </row>
    <row r="4996" spans="1:11">
      <c r="A4996">
        <v>4994</v>
      </c>
      <c r="B4996">
        <v>8.2000000000000007E+146</v>
      </c>
      <c r="D4996" s="18">
        <v>4994</v>
      </c>
      <c r="E4996" s="18" cm="1">
        <f t="array" aca="1" ref="E4996" ca="1">INDIRECT("b"&amp;F4996+2)</f>
        <v>0</v>
      </c>
      <c r="F4996" s="18">
        <f t="shared" si="1032"/>
        <v>7057</v>
      </c>
      <c r="G4996" s="18"/>
      <c r="H4996" s="18"/>
      <c r="I4996" s="19">
        <v>4994</v>
      </c>
      <c r="J4996" s="19" cm="1">
        <f t="array" aca="1" ref="J4996" ca="1">INDIRECT("b"&amp;K4996+2)</f>
        <v>0</v>
      </c>
      <c r="K4996" s="19">
        <f t="shared" ref="K4996:K5059" si="1043">INT((A4996-1)*40/30+900*40/30)+400</f>
        <v>8257</v>
      </c>
    </row>
    <row r="4997" spans="1:11">
      <c r="A4997">
        <v>4995</v>
      </c>
      <c r="B4997">
        <v>8.4250000000000011E+146</v>
      </c>
      <c r="D4997" s="18">
        <v>4995</v>
      </c>
      <c r="E4997" s="18" cm="1">
        <f t="array" aca="1" ref="E4997" ca="1">INDIRECT("b"&amp;F4997+2)</f>
        <v>0</v>
      </c>
      <c r="F4997" s="18">
        <f t="shared" si="1032"/>
        <v>7058</v>
      </c>
      <c r="G4997" s="18"/>
      <c r="H4997" s="18"/>
      <c r="I4997" s="19">
        <v>4995</v>
      </c>
      <c r="J4997" s="19" cm="1">
        <f t="array" aca="1" ref="J4997" ca="1">INDIRECT("b"&amp;K4997+2)</f>
        <v>0</v>
      </c>
      <c r="K4997" s="19">
        <f t="shared" si="1043"/>
        <v>8258</v>
      </c>
    </row>
    <row r="4998" spans="1:11">
      <c r="A4998">
        <v>4996</v>
      </c>
      <c r="B4998">
        <v>8.6499999999999996E+146</v>
      </c>
      <c r="D4998" s="18">
        <v>4996</v>
      </c>
      <c r="E4998" s="18" cm="1">
        <f t="array" aca="1" ref="E4998" ca="1">INDIRECT("b"&amp;F4998+2)</f>
        <v>0</v>
      </c>
      <c r="F4998" s="18">
        <f t="shared" si="1032"/>
        <v>7060</v>
      </c>
      <c r="G4998" s="18"/>
      <c r="H4998" s="18"/>
      <c r="I4998" s="19">
        <v>4996</v>
      </c>
      <c r="J4998" s="19" cm="1">
        <f t="array" aca="1" ref="J4998" ca="1">INDIRECT("b"&amp;K4998+2)</f>
        <v>0</v>
      </c>
      <c r="K4998" s="19">
        <f t="shared" si="1043"/>
        <v>8260</v>
      </c>
    </row>
    <row r="4999" spans="1:11">
      <c r="A4999">
        <v>4997</v>
      </c>
      <c r="B4999">
        <v>8.8749999999999999E+146</v>
      </c>
      <c r="D4999" s="18">
        <v>4997</v>
      </c>
      <c r="E4999" s="18" cm="1">
        <f t="array" aca="1" ref="E4999" ca="1">INDIRECT("b"&amp;F4999+2)</f>
        <v>0</v>
      </c>
      <c r="F4999" s="18">
        <f t="shared" si="1032"/>
        <v>7061</v>
      </c>
      <c r="G4999" s="18"/>
      <c r="H4999" s="18"/>
      <c r="I4999" s="19">
        <v>4997</v>
      </c>
      <c r="J4999" s="19" cm="1">
        <f t="array" aca="1" ref="J4999" ca="1">INDIRECT("b"&amp;K4999+2)</f>
        <v>0</v>
      </c>
      <c r="K4999" s="19">
        <f t="shared" si="1043"/>
        <v>8261</v>
      </c>
    </row>
    <row r="5000" spans="1:11">
      <c r="A5000">
        <v>4998</v>
      </c>
      <c r="B5000">
        <v>9.1000000000000003E+146</v>
      </c>
      <c r="D5000" s="18">
        <v>4998</v>
      </c>
      <c r="E5000" s="18" cm="1">
        <f t="array" aca="1" ref="E5000" ca="1">INDIRECT("b"&amp;F5000+2)</f>
        <v>0</v>
      </c>
      <c r="F5000" s="18">
        <f t="shared" si="1032"/>
        <v>7062</v>
      </c>
      <c r="G5000" s="18" t="e">
        <f t="shared" ref="G5000" ca="1" si="1044">E5000/E4995</f>
        <v>#DIV/0!</v>
      </c>
      <c r="H5000" s="18"/>
      <c r="I5000" s="19">
        <v>4998</v>
      </c>
      <c r="J5000" s="19" cm="1">
        <f t="array" aca="1" ref="J5000" ca="1">INDIRECT("b"&amp;K5000+2)</f>
        <v>0</v>
      </c>
      <c r="K5000" s="19">
        <f t="shared" si="1043"/>
        <v>8262</v>
      </c>
    </row>
    <row r="5001" spans="1:11">
      <c r="A5001">
        <v>4999</v>
      </c>
      <c r="B5001">
        <v>9.3250000000000006E+146</v>
      </c>
      <c r="D5001" s="18">
        <v>4999</v>
      </c>
      <c r="E5001" s="18" cm="1">
        <f t="array" aca="1" ref="E5001" ca="1">INDIRECT("b"&amp;F5001+2)</f>
        <v>0</v>
      </c>
      <c r="F5001" s="18">
        <f t="shared" si="1032"/>
        <v>7064</v>
      </c>
      <c r="G5001" s="18"/>
      <c r="H5001" s="18"/>
      <c r="I5001" s="19">
        <v>4999</v>
      </c>
      <c r="J5001" s="19" cm="1">
        <f t="array" aca="1" ref="J5001" ca="1">INDIRECT("b"&amp;K5001+2)</f>
        <v>0</v>
      </c>
      <c r="K5001" s="19">
        <f t="shared" si="1043"/>
        <v>8264</v>
      </c>
    </row>
    <row r="5002" spans="1:11">
      <c r="A5002">
        <v>5000</v>
      </c>
      <c r="B5002">
        <v>9.5500000000000009E+146</v>
      </c>
      <c r="D5002" s="18">
        <v>5000</v>
      </c>
      <c r="E5002" s="18" cm="1">
        <f t="array" aca="1" ref="E5002" ca="1">INDIRECT("b"&amp;F5002+2)</f>
        <v>0</v>
      </c>
      <c r="F5002" s="18">
        <f t="shared" si="1032"/>
        <v>7065</v>
      </c>
      <c r="G5002" s="18"/>
      <c r="H5002" s="18"/>
      <c r="I5002" s="19">
        <v>5000</v>
      </c>
      <c r="J5002" s="19" cm="1">
        <f t="array" aca="1" ref="J5002" ca="1">INDIRECT("b"&amp;K5002+2)</f>
        <v>0</v>
      </c>
      <c r="K5002" s="19">
        <f t="shared" si="1043"/>
        <v>8265</v>
      </c>
    </row>
    <row r="5003" spans="1:11">
      <c r="A5003">
        <v>5001</v>
      </c>
      <c r="B5003">
        <v>9.7749999999999995E+146</v>
      </c>
      <c r="D5003" s="18">
        <v>5001</v>
      </c>
      <c r="E5003" s="18" cm="1">
        <f t="array" aca="1" ref="E5003" ca="1">INDIRECT("b"&amp;F5003+2)</f>
        <v>0</v>
      </c>
      <c r="F5003" s="18">
        <f t="shared" si="1032"/>
        <v>7066</v>
      </c>
      <c r="G5003" s="18"/>
      <c r="H5003" s="18"/>
      <c r="I5003" s="19">
        <v>5001</v>
      </c>
      <c r="J5003" s="19" cm="1">
        <f t="array" aca="1" ref="J5003" ca="1">INDIRECT("b"&amp;K5003+2)</f>
        <v>0</v>
      </c>
      <c r="K5003" s="19">
        <f t="shared" si="1043"/>
        <v>8266</v>
      </c>
    </row>
    <row r="5004" spans="1:11">
      <c r="A5004">
        <v>5002</v>
      </c>
      <c r="B5004">
        <v>9.9999999999999998E+146</v>
      </c>
      <c r="D5004" s="18">
        <v>5002</v>
      </c>
      <c r="E5004" s="18" cm="1">
        <f t="array" aca="1" ref="E5004" ca="1">INDIRECT("b"&amp;F5004+2)</f>
        <v>0</v>
      </c>
      <c r="F5004" s="18">
        <f t="shared" si="1032"/>
        <v>7068</v>
      </c>
      <c r="G5004" s="18"/>
      <c r="H5004" s="18"/>
      <c r="I5004" s="19">
        <v>5002</v>
      </c>
      <c r="J5004" s="19" cm="1">
        <f t="array" aca="1" ref="J5004" ca="1">INDIRECT("b"&amp;K5004+2)</f>
        <v>0</v>
      </c>
      <c r="K5004" s="19">
        <f t="shared" si="1043"/>
        <v>8268</v>
      </c>
    </row>
    <row r="5005" spans="1:11">
      <c r="A5005">
        <v>5003</v>
      </c>
      <c r="B5005">
        <v>1.2250000000000001E+147</v>
      </c>
      <c r="D5005" s="18">
        <v>5003</v>
      </c>
      <c r="E5005" s="18" cm="1">
        <f t="array" aca="1" ref="E5005" ca="1">INDIRECT("b"&amp;F5005+2)</f>
        <v>0</v>
      </c>
      <c r="F5005" s="18">
        <f t="shared" si="1032"/>
        <v>7069</v>
      </c>
      <c r="G5005" s="18" t="e">
        <f t="shared" ref="G5005" ca="1" si="1045">E5005/E5000</f>
        <v>#DIV/0!</v>
      </c>
      <c r="H5005" s="18"/>
      <c r="I5005" s="19">
        <v>5003</v>
      </c>
      <c r="J5005" s="19" cm="1">
        <f t="array" aca="1" ref="J5005" ca="1">INDIRECT("b"&amp;K5005+2)</f>
        <v>0</v>
      </c>
      <c r="K5005" s="19">
        <f t="shared" si="1043"/>
        <v>8269</v>
      </c>
    </row>
    <row r="5006" spans="1:11">
      <c r="A5006">
        <v>5004</v>
      </c>
      <c r="B5006">
        <v>1.4500000000000001E+147</v>
      </c>
      <c r="D5006" s="18">
        <v>5004</v>
      </c>
      <c r="E5006" s="18" cm="1">
        <f t="array" aca="1" ref="E5006" ca="1">INDIRECT("b"&amp;F5006+2)</f>
        <v>0</v>
      </c>
      <c r="F5006" s="18">
        <f t="shared" si="1032"/>
        <v>7070</v>
      </c>
      <c r="G5006" s="18"/>
      <c r="H5006" s="18"/>
      <c r="I5006" s="19">
        <v>5004</v>
      </c>
      <c r="J5006" s="19" cm="1">
        <f t="array" aca="1" ref="J5006" ca="1">INDIRECT("b"&amp;K5006+2)</f>
        <v>0</v>
      </c>
      <c r="K5006" s="19">
        <f t="shared" si="1043"/>
        <v>8270</v>
      </c>
    </row>
    <row r="5007" spans="1:11">
      <c r="A5007">
        <v>5005</v>
      </c>
      <c r="B5007">
        <v>1.6749999999999999E+147</v>
      </c>
      <c r="D5007" s="18">
        <v>5005</v>
      </c>
      <c r="E5007" s="18" cm="1">
        <f t="array" aca="1" ref="E5007" ca="1">INDIRECT("b"&amp;F5007+2)</f>
        <v>0</v>
      </c>
      <c r="F5007" s="18">
        <f t="shared" si="1032"/>
        <v>7072</v>
      </c>
      <c r="G5007" s="18"/>
      <c r="H5007" s="18"/>
      <c r="I5007" s="19">
        <v>5005</v>
      </c>
      <c r="J5007" s="19" cm="1">
        <f t="array" aca="1" ref="J5007" ca="1">INDIRECT("b"&amp;K5007+2)</f>
        <v>0</v>
      </c>
      <c r="K5007" s="19">
        <f t="shared" si="1043"/>
        <v>8272</v>
      </c>
    </row>
    <row r="5008" spans="1:11">
      <c r="A5008">
        <v>5006</v>
      </c>
      <c r="B5008">
        <v>1.9000000000000002E+147</v>
      </c>
      <c r="D5008" s="18">
        <v>5006</v>
      </c>
      <c r="E5008" s="18" cm="1">
        <f t="array" aca="1" ref="E5008" ca="1">INDIRECT("b"&amp;F5008+2)</f>
        <v>0</v>
      </c>
      <c r="F5008" s="18">
        <f t="shared" si="1032"/>
        <v>7073</v>
      </c>
      <c r="G5008" s="18"/>
      <c r="H5008" s="18"/>
      <c r="I5008" s="19">
        <v>5006</v>
      </c>
      <c r="J5008" s="19" cm="1">
        <f t="array" aca="1" ref="J5008" ca="1">INDIRECT("b"&amp;K5008+2)</f>
        <v>0</v>
      </c>
      <c r="K5008" s="19">
        <f t="shared" si="1043"/>
        <v>8273</v>
      </c>
    </row>
    <row r="5009" spans="1:11">
      <c r="A5009">
        <v>5007</v>
      </c>
      <c r="B5009">
        <v>2.1250000000000002E+147</v>
      </c>
      <c r="D5009" s="18">
        <v>5007</v>
      </c>
      <c r="E5009" s="18" cm="1">
        <f t="array" aca="1" ref="E5009" ca="1">INDIRECT("b"&amp;F5009+2)</f>
        <v>0</v>
      </c>
      <c r="F5009" s="18">
        <f t="shared" si="1032"/>
        <v>7074</v>
      </c>
      <c r="G5009" s="18"/>
      <c r="H5009" s="18"/>
      <c r="I5009" s="19">
        <v>5007</v>
      </c>
      <c r="J5009" s="19" cm="1">
        <f t="array" aca="1" ref="J5009" ca="1">INDIRECT("b"&amp;K5009+2)</f>
        <v>0</v>
      </c>
      <c r="K5009" s="19">
        <f t="shared" si="1043"/>
        <v>8274</v>
      </c>
    </row>
    <row r="5010" spans="1:11">
      <c r="A5010">
        <v>5008</v>
      </c>
      <c r="B5010">
        <v>2.3500000000000001E+147</v>
      </c>
      <c r="D5010" s="18">
        <v>5008</v>
      </c>
      <c r="E5010" s="18" cm="1">
        <f t="array" aca="1" ref="E5010" ca="1">INDIRECT("b"&amp;F5010+2)</f>
        <v>0</v>
      </c>
      <c r="F5010" s="18">
        <f t="shared" si="1032"/>
        <v>7076</v>
      </c>
      <c r="G5010" s="18" t="e">
        <f t="shared" ref="G5010" ca="1" si="1046">E5010/E5005</f>
        <v>#DIV/0!</v>
      </c>
      <c r="H5010" s="18"/>
      <c r="I5010" s="19">
        <v>5008</v>
      </c>
      <c r="J5010" s="19" cm="1">
        <f t="array" aca="1" ref="J5010" ca="1">INDIRECT("b"&amp;K5010+2)</f>
        <v>0</v>
      </c>
      <c r="K5010" s="19">
        <f t="shared" si="1043"/>
        <v>8276</v>
      </c>
    </row>
    <row r="5011" spans="1:11">
      <c r="A5011">
        <v>5009</v>
      </c>
      <c r="B5011">
        <v>2.5750000000000001E+147</v>
      </c>
      <c r="D5011" s="18">
        <v>5009</v>
      </c>
      <c r="E5011" s="18" cm="1">
        <f t="array" aca="1" ref="E5011" ca="1">INDIRECT("b"&amp;F5011+2)</f>
        <v>0</v>
      </c>
      <c r="F5011" s="18">
        <f t="shared" ref="F5011:F5074" si="1047">INT((A5011-123)*1.333333)+563</f>
        <v>7077</v>
      </c>
      <c r="G5011" s="18"/>
      <c r="H5011" s="18"/>
      <c r="I5011" s="19">
        <v>5009</v>
      </c>
      <c r="J5011" s="19" cm="1">
        <f t="array" aca="1" ref="J5011" ca="1">INDIRECT("b"&amp;K5011+2)</f>
        <v>0</v>
      </c>
      <c r="K5011" s="19">
        <f t="shared" si="1043"/>
        <v>8277</v>
      </c>
    </row>
    <row r="5012" spans="1:11">
      <c r="A5012">
        <v>5010</v>
      </c>
      <c r="B5012">
        <v>2.8000000000000001E+147</v>
      </c>
      <c r="D5012" s="18">
        <v>5010</v>
      </c>
      <c r="E5012" s="18" cm="1">
        <f t="array" aca="1" ref="E5012" ca="1">INDIRECT("b"&amp;F5012+2)</f>
        <v>0</v>
      </c>
      <c r="F5012" s="18">
        <f t="shared" si="1047"/>
        <v>7078</v>
      </c>
      <c r="G5012" s="18"/>
      <c r="H5012" s="18"/>
      <c r="I5012" s="19">
        <v>5010</v>
      </c>
      <c r="J5012" s="19" cm="1">
        <f t="array" aca="1" ref="J5012" ca="1">INDIRECT("b"&amp;K5012+2)</f>
        <v>0</v>
      </c>
      <c r="K5012" s="19">
        <f t="shared" si="1043"/>
        <v>8278</v>
      </c>
    </row>
    <row r="5013" spans="1:11">
      <c r="A5013">
        <v>5011</v>
      </c>
      <c r="B5013">
        <v>3.025E+147</v>
      </c>
      <c r="D5013" s="18">
        <v>5011</v>
      </c>
      <c r="E5013" s="18" cm="1">
        <f t="array" aca="1" ref="E5013" ca="1">INDIRECT("b"&amp;F5013+2)</f>
        <v>0</v>
      </c>
      <c r="F5013" s="18">
        <f t="shared" si="1047"/>
        <v>7080</v>
      </c>
      <c r="G5013" s="18"/>
      <c r="H5013" s="18"/>
      <c r="I5013" s="19">
        <v>5011</v>
      </c>
      <c r="J5013" s="19" cm="1">
        <f t="array" aca="1" ref="J5013" ca="1">INDIRECT("b"&amp;K5013+2)</f>
        <v>0</v>
      </c>
      <c r="K5013" s="19">
        <f t="shared" si="1043"/>
        <v>8280</v>
      </c>
    </row>
    <row r="5014" spans="1:11">
      <c r="A5014">
        <v>5012</v>
      </c>
      <c r="B5014">
        <v>3.25E+147</v>
      </c>
      <c r="D5014" s="18">
        <v>5012</v>
      </c>
      <c r="E5014" s="18" cm="1">
        <f t="array" aca="1" ref="E5014" ca="1">INDIRECT("b"&amp;F5014+2)</f>
        <v>0</v>
      </c>
      <c r="F5014" s="18">
        <f t="shared" si="1047"/>
        <v>7081</v>
      </c>
      <c r="G5014" s="18"/>
      <c r="H5014" s="18"/>
      <c r="I5014" s="19">
        <v>5012</v>
      </c>
      <c r="J5014" s="19" cm="1">
        <f t="array" aca="1" ref="J5014" ca="1">INDIRECT("b"&amp;K5014+2)</f>
        <v>0</v>
      </c>
      <c r="K5014" s="19">
        <f t="shared" si="1043"/>
        <v>8281</v>
      </c>
    </row>
    <row r="5015" spans="1:11">
      <c r="A5015">
        <v>5013</v>
      </c>
      <c r="B5015">
        <v>3.475E+147</v>
      </c>
      <c r="D5015" s="18">
        <v>5013</v>
      </c>
      <c r="E5015" s="18" cm="1">
        <f t="array" aca="1" ref="E5015" ca="1">INDIRECT("b"&amp;F5015+2)</f>
        <v>0</v>
      </c>
      <c r="F5015" s="18">
        <f t="shared" si="1047"/>
        <v>7082</v>
      </c>
      <c r="G5015" s="18" t="e">
        <f t="shared" ref="G5015" ca="1" si="1048">E5015/E5010</f>
        <v>#DIV/0!</v>
      </c>
      <c r="H5015" s="18"/>
      <c r="I5015" s="19">
        <v>5013</v>
      </c>
      <c r="J5015" s="19" cm="1">
        <f t="array" aca="1" ref="J5015" ca="1">INDIRECT("b"&amp;K5015+2)</f>
        <v>0</v>
      </c>
      <c r="K5015" s="19">
        <f t="shared" si="1043"/>
        <v>8282</v>
      </c>
    </row>
    <row r="5016" spans="1:11">
      <c r="A5016">
        <v>5014</v>
      </c>
      <c r="B5016">
        <v>3.7E+147</v>
      </c>
      <c r="D5016" s="18">
        <v>5014</v>
      </c>
      <c r="E5016" s="18" cm="1">
        <f t="array" aca="1" ref="E5016" ca="1">INDIRECT("b"&amp;F5016+2)</f>
        <v>0</v>
      </c>
      <c r="F5016" s="18">
        <f t="shared" si="1047"/>
        <v>7084</v>
      </c>
      <c r="G5016" s="18"/>
      <c r="H5016" s="18"/>
      <c r="I5016" s="19">
        <v>5014</v>
      </c>
      <c r="J5016" s="19" cm="1">
        <f t="array" aca="1" ref="J5016" ca="1">INDIRECT("b"&amp;K5016+2)</f>
        <v>0</v>
      </c>
      <c r="K5016" s="19">
        <f t="shared" si="1043"/>
        <v>8284</v>
      </c>
    </row>
    <row r="5017" spans="1:11">
      <c r="A5017">
        <v>5015</v>
      </c>
      <c r="B5017">
        <v>3.9249999999999999E+147</v>
      </c>
      <c r="D5017" s="18">
        <v>5015</v>
      </c>
      <c r="E5017" s="18" cm="1">
        <f t="array" aca="1" ref="E5017" ca="1">INDIRECT("b"&amp;F5017+2)</f>
        <v>0</v>
      </c>
      <c r="F5017" s="18">
        <f t="shared" si="1047"/>
        <v>7085</v>
      </c>
      <c r="G5017" s="18"/>
      <c r="H5017" s="18"/>
      <c r="I5017" s="19">
        <v>5015</v>
      </c>
      <c r="J5017" s="19" cm="1">
        <f t="array" aca="1" ref="J5017" ca="1">INDIRECT("b"&amp;K5017+2)</f>
        <v>0</v>
      </c>
      <c r="K5017" s="19">
        <f t="shared" si="1043"/>
        <v>8285</v>
      </c>
    </row>
    <row r="5018" spans="1:11">
      <c r="A5018">
        <v>5016</v>
      </c>
      <c r="B5018">
        <v>4.1499999999999999E+147</v>
      </c>
      <c r="D5018" s="18">
        <v>5016</v>
      </c>
      <c r="E5018" s="18" cm="1">
        <f t="array" aca="1" ref="E5018" ca="1">INDIRECT("b"&amp;F5018+2)</f>
        <v>0</v>
      </c>
      <c r="F5018" s="18">
        <f t="shared" si="1047"/>
        <v>7086</v>
      </c>
      <c r="G5018" s="18"/>
      <c r="H5018" s="18"/>
      <c r="I5018" s="19">
        <v>5016</v>
      </c>
      <c r="J5018" s="19" cm="1">
        <f t="array" aca="1" ref="J5018" ca="1">INDIRECT("b"&amp;K5018+2)</f>
        <v>0</v>
      </c>
      <c r="K5018" s="19">
        <f t="shared" si="1043"/>
        <v>8286</v>
      </c>
    </row>
    <row r="5019" spans="1:11">
      <c r="A5019">
        <v>5017</v>
      </c>
      <c r="B5019">
        <v>4.3749999999999999E+147</v>
      </c>
      <c r="D5019" s="18">
        <v>5017</v>
      </c>
      <c r="E5019" s="18" cm="1">
        <f t="array" aca="1" ref="E5019" ca="1">INDIRECT("b"&amp;F5019+2)</f>
        <v>0</v>
      </c>
      <c r="F5019" s="18">
        <f t="shared" si="1047"/>
        <v>7088</v>
      </c>
      <c r="G5019" s="18"/>
      <c r="H5019" s="18"/>
      <c r="I5019" s="19">
        <v>5017</v>
      </c>
      <c r="J5019" s="19" cm="1">
        <f t="array" aca="1" ref="J5019" ca="1">INDIRECT("b"&amp;K5019+2)</f>
        <v>0</v>
      </c>
      <c r="K5019" s="19">
        <f t="shared" si="1043"/>
        <v>8288</v>
      </c>
    </row>
    <row r="5020" spans="1:11">
      <c r="A5020">
        <v>5018</v>
      </c>
      <c r="B5020">
        <v>4.5999999999999998E+147</v>
      </c>
      <c r="D5020" s="18">
        <v>5018</v>
      </c>
      <c r="E5020" s="18" cm="1">
        <f t="array" aca="1" ref="E5020" ca="1">INDIRECT("b"&amp;F5020+2)</f>
        <v>0</v>
      </c>
      <c r="F5020" s="18">
        <f t="shared" si="1047"/>
        <v>7089</v>
      </c>
      <c r="G5020" s="18" t="e">
        <f t="shared" ref="G5020" ca="1" si="1049">E5020/E5015</f>
        <v>#DIV/0!</v>
      </c>
      <c r="H5020" s="18"/>
      <c r="I5020" s="19">
        <v>5018</v>
      </c>
      <c r="J5020" s="19" cm="1">
        <f t="array" aca="1" ref="J5020" ca="1">INDIRECT("b"&amp;K5020+2)</f>
        <v>0</v>
      </c>
      <c r="K5020" s="19">
        <f t="shared" si="1043"/>
        <v>8289</v>
      </c>
    </row>
    <row r="5021" spans="1:11">
      <c r="A5021">
        <v>5019</v>
      </c>
      <c r="B5021">
        <v>4.8250000000000005E+147</v>
      </c>
      <c r="D5021" s="18">
        <v>5019</v>
      </c>
      <c r="E5021" s="18" cm="1">
        <f t="array" aca="1" ref="E5021" ca="1">INDIRECT("b"&amp;F5021+2)</f>
        <v>0</v>
      </c>
      <c r="F5021" s="18">
        <f t="shared" si="1047"/>
        <v>7090</v>
      </c>
      <c r="G5021" s="18"/>
      <c r="H5021" s="18"/>
      <c r="I5021" s="19">
        <v>5019</v>
      </c>
      <c r="J5021" s="19" cm="1">
        <f t="array" aca="1" ref="J5021" ca="1">INDIRECT("b"&amp;K5021+2)</f>
        <v>0</v>
      </c>
      <c r="K5021" s="19">
        <f t="shared" si="1043"/>
        <v>8290</v>
      </c>
    </row>
    <row r="5022" spans="1:11">
      <c r="A5022">
        <v>5020</v>
      </c>
      <c r="B5022">
        <v>5.0500000000000005E+147</v>
      </c>
      <c r="D5022" s="18">
        <v>5020</v>
      </c>
      <c r="E5022" s="18" cm="1">
        <f t="array" aca="1" ref="E5022" ca="1">INDIRECT("b"&amp;F5022+2)</f>
        <v>0</v>
      </c>
      <c r="F5022" s="18">
        <f t="shared" si="1047"/>
        <v>7092</v>
      </c>
      <c r="G5022" s="18"/>
      <c r="H5022" s="18"/>
      <c r="I5022" s="19">
        <v>5020</v>
      </c>
      <c r="J5022" s="19" cm="1">
        <f t="array" aca="1" ref="J5022" ca="1">INDIRECT("b"&amp;K5022+2)</f>
        <v>0</v>
      </c>
      <c r="K5022" s="19">
        <f t="shared" si="1043"/>
        <v>8292</v>
      </c>
    </row>
    <row r="5023" spans="1:11">
      <c r="A5023">
        <v>5021</v>
      </c>
      <c r="B5023">
        <v>5.2750000000000004E+147</v>
      </c>
      <c r="D5023" s="18">
        <v>5021</v>
      </c>
      <c r="E5023" s="18" cm="1">
        <f t="array" aca="1" ref="E5023" ca="1">INDIRECT("b"&amp;F5023+2)</f>
        <v>0</v>
      </c>
      <c r="F5023" s="18">
        <f t="shared" si="1047"/>
        <v>7093</v>
      </c>
      <c r="G5023" s="18"/>
      <c r="H5023" s="18"/>
      <c r="I5023" s="19">
        <v>5021</v>
      </c>
      <c r="J5023" s="19" cm="1">
        <f t="array" aca="1" ref="J5023" ca="1">INDIRECT("b"&amp;K5023+2)</f>
        <v>0</v>
      </c>
      <c r="K5023" s="19">
        <f t="shared" si="1043"/>
        <v>8293</v>
      </c>
    </row>
    <row r="5024" spans="1:11">
      <c r="A5024">
        <v>5022</v>
      </c>
      <c r="B5024">
        <v>5.5000000000000004E+147</v>
      </c>
      <c r="D5024" s="18">
        <v>5022</v>
      </c>
      <c r="E5024" s="18" cm="1">
        <f t="array" aca="1" ref="E5024" ca="1">INDIRECT("b"&amp;F5024+2)</f>
        <v>0</v>
      </c>
      <c r="F5024" s="18">
        <f t="shared" si="1047"/>
        <v>7094</v>
      </c>
      <c r="G5024" s="18"/>
      <c r="H5024" s="18"/>
      <c r="I5024" s="19">
        <v>5022</v>
      </c>
      <c r="J5024" s="19" cm="1">
        <f t="array" aca="1" ref="J5024" ca="1">INDIRECT("b"&amp;K5024+2)</f>
        <v>0</v>
      </c>
      <c r="K5024" s="19">
        <f t="shared" si="1043"/>
        <v>8294</v>
      </c>
    </row>
    <row r="5025" spans="1:11">
      <c r="A5025">
        <v>5023</v>
      </c>
      <c r="B5025">
        <v>5.7250000000000004E+147</v>
      </c>
      <c r="D5025" s="18">
        <v>5023</v>
      </c>
      <c r="E5025" s="18" cm="1">
        <f t="array" aca="1" ref="E5025" ca="1">INDIRECT("b"&amp;F5025+2)</f>
        <v>0</v>
      </c>
      <c r="F5025" s="18">
        <f t="shared" si="1047"/>
        <v>7096</v>
      </c>
      <c r="G5025" s="18" t="e">
        <f t="shared" ref="G5025" ca="1" si="1050">E5025/E5020</f>
        <v>#DIV/0!</v>
      </c>
      <c r="H5025" s="18"/>
      <c r="I5025" s="19">
        <v>5023</v>
      </c>
      <c r="J5025" s="19" cm="1">
        <f t="array" aca="1" ref="J5025" ca="1">INDIRECT("b"&amp;K5025+2)</f>
        <v>0</v>
      </c>
      <c r="K5025" s="19">
        <f t="shared" si="1043"/>
        <v>8296</v>
      </c>
    </row>
    <row r="5026" spans="1:11">
      <c r="A5026">
        <v>5024</v>
      </c>
      <c r="B5026">
        <v>5.9500000000000003E+147</v>
      </c>
      <c r="D5026" s="18">
        <v>5024</v>
      </c>
      <c r="E5026" s="18" cm="1">
        <f t="array" aca="1" ref="E5026" ca="1">INDIRECT("b"&amp;F5026+2)</f>
        <v>0</v>
      </c>
      <c r="F5026" s="18">
        <f t="shared" si="1047"/>
        <v>7097</v>
      </c>
      <c r="G5026" s="18"/>
      <c r="H5026" s="18"/>
      <c r="I5026" s="19">
        <v>5024</v>
      </c>
      <c r="J5026" s="19" cm="1">
        <f t="array" aca="1" ref="J5026" ca="1">INDIRECT("b"&amp;K5026+2)</f>
        <v>0</v>
      </c>
      <c r="K5026" s="19">
        <f t="shared" si="1043"/>
        <v>8297</v>
      </c>
    </row>
    <row r="5027" spans="1:11">
      <c r="A5027">
        <v>5025</v>
      </c>
      <c r="B5027">
        <v>6.1750000000000003E+147</v>
      </c>
      <c r="D5027" s="18">
        <v>5025</v>
      </c>
      <c r="E5027" s="18" cm="1">
        <f t="array" aca="1" ref="E5027" ca="1">INDIRECT("b"&amp;F5027+2)</f>
        <v>0</v>
      </c>
      <c r="F5027" s="18">
        <f t="shared" si="1047"/>
        <v>7098</v>
      </c>
      <c r="G5027" s="18"/>
      <c r="H5027" s="18"/>
      <c r="I5027" s="19">
        <v>5025</v>
      </c>
      <c r="J5027" s="19" cm="1">
        <f t="array" aca="1" ref="J5027" ca="1">INDIRECT("b"&amp;K5027+2)</f>
        <v>0</v>
      </c>
      <c r="K5027" s="19">
        <f t="shared" si="1043"/>
        <v>8298</v>
      </c>
    </row>
    <row r="5028" spans="1:11">
      <c r="A5028">
        <v>5026</v>
      </c>
      <c r="B5028">
        <v>6.3999999999999996E+147</v>
      </c>
      <c r="D5028" s="18">
        <v>5026</v>
      </c>
      <c r="E5028" s="18" cm="1">
        <f t="array" aca="1" ref="E5028" ca="1">INDIRECT("b"&amp;F5028+2)</f>
        <v>0</v>
      </c>
      <c r="F5028" s="18">
        <f t="shared" si="1047"/>
        <v>7100</v>
      </c>
      <c r="G5028" s="18"/>
      <c r="H5028" s="18"/>
      <c r="I5028" s="19">
        <v>5026</v>
      </c>
      <c r="J5028" s="19" cm="1">
        <f t="array" aca="1" ref="J5028" ca="1">INDIRECT("b"&amp;K5028+2)</f>
        <v>0</v>
      </c>
      <c r="K5028" s="19">
        <f t="shared" si="1043"/>
        <v>8300</v>
      </c>
    </row>
    <row r="5029" spans="1:11">
      <c r="A5029">
        <v>5027</v>
      </c>
      <c r="B5029">
        <v>6.6249999999999995E+147</v>
      </c>
      <c r="D5029" s="18">
        <v>5027</v>
      </c>
      <c r="E5029" s="18" cm="1">
        <f t="array" aca="1" ref="E5029" ca="1">INDIRECT("b"&amp;F5029+2)</f>
        <v>0</v>
      </c>
      <c r="F5029" s="18">
        <f t="shared" si="1047"/>
        <v>7101</v>
      </c>
      <c r="G5029" s="18"/>
      <c r="H5029" s="18"/>
      <c r="I5029" s="19">
        <v>5027</v>
      </c>
      <c r="J5029" s="19" cm="1">
        <f t="array" aca="1" ref="J5029" ca="1">INDIRECT("b"&amp;K5029+2)</f>
        <v>0</v>
      </c>
      <c r="K5029" s="19">
        <f t="shared" si="1043"/>
        <v>8301</v>
      </c>
    </row>
    <row r="5030" spans="1:11">
      <c r="A5030">
        <v>5028</v>
      </c>
      <c r="B5030">
        <v>6.8500000000000009E+147</v>
      </c>
      <c r="D5030" s="18">
        <v>5028</v>
      </c>
      <c r="E5030" s="18" cm="1">
        <f t="array" aca="1" ref="E5030" ca="1">INDIRECT("b"&amp;F5030+2)</f>
        <v>0</v>
      </c>
      <c r="F5030" s="18">
        <f t="shared" si="1047"/>
        <v>7102</v>
      </c>
      <c r="G5030" s="18" t="e">
        <f t="shared" ref="G5030" ca="1" si="1051">E5030/E5025</f>
        <v>#DIV/0!</v>
      </c>
      <c r="H5030" s="18"/>
      <c r="I5030" s="19">
        <v>5028</v>
      </c>
      <c r="J5030" s="19" cm="1">
        <f t="array" aca="1" ref="J5030" ca="1">INDIRECT("b"&amp;K5030+2)</f>
        <v>0</v>
      </c>
      <c r="K5030" s="19">
        <f t="shared" si="1043"/>
        <v>8302</v>
      </c>
    </row>
    <row r="5031" spans="1:11">
      <c r="A5031">
        <v>5029</v>
      </c>
      <c r="B5031">
        <v>7.0750000000000009E+147</v>
      </c>
      <c r="D5031" s="18">
        <v>5029</v>
      </c>
      <c r="E5031" s="18" cm="1">
        <f t="array" aca="1" ref="E5031" ca="1">INDIRECT("b"&amp;F5031+2)</f>
        <v>0</v>
      </c>
      <c r="F5031" s="18">
        <f t="shared" si="1047"/>
        <v>7104</v>
      </c>
      <c r="G5031" s="18"/>
      <c r="H5031" s="18"/>
      <c r="I5031" s="19">
        <v>5029</v>
      </c>
      <c r="J5031" s="19" cm="1">
        <f t="array" aca="1" ref="J5031" ca="1">INDIRECT("b"&amp;K5031+2)</f>
        <v>0</v>
      </c>
      <c r="K5031" s="19">
        <f t="shared" si="1043"/>
        <v>8304</v>
      </c>
    </row>
    <row r="5032" spans="1:11">
      <c r="A5032">
        <v>5030</v>
      </c>
      <c r="B5032">
        <v>7.3000000000000009E+147</v>
      </c>
      <c r="D5032" s="18">
        <v>5030</v>
      </c>
      <c r="E5032" s="18" cm="1">
        <f t="array" aca="1" ref="E5032" ca="1">INDIRECT("b"&amp;F5032+2)</f>
        <v>0</v>
      </c>
      <c r="F5032" s="18">
        <f t="shared" si="1047"/>
        <v>7105</v>
      </c>
      <c r="G5032" s="18"/>
      <c r="H5032" s="18"/>
      <c r="I5032" s="19">
        <v>5030</v>
      </c>
      <c r="J5032" s="19" cm="1">
        <f t="array" aca="1" ref="J5032" ca="1">INDIRECT("b"&amp;K5032+2)</f>
        <v>0</v>
      </c>
      <c r="K5032" s="19">
        <f t="shared" si="1043"/>
        <v>8305</v>
      </c>
    </row>
    <row r="5033" spans="1:11">
      <c r="A5033">
        <v>5031</v>
      </c>
      <c r="B5033">
        <v>7.5250000000000008E+147</v>
      </c>
      <c r="D5033" s="18">
        <v>5031</v>
      </c>
      <c r="E5033" s="18" cm="1">
        <f t="array" aca="1" ref="E5033" ca="1">INDIRECT("b"&amp;F5033+2)</f>
        <v>0</v>
      </c>
      <c r="F5033" s="18">
        <f t="shared" si="1047"/>
        <v>7106</v>
      </c>
      <c r="G5033" s="18"/>
      <c r="H5033" s="18"/>
      <c r="I5033" s="19">
        <v>5031</v>
      </c>
      <c r="J5033" s="19" cm="1">
        <f t="array" aca="1" ref="J5033" ca="1">INDIRECT("b"&amp;K5033+2)</f>
        <v>0</v>
      </c>
      <c r="K5033" s="19">
        <f t="shared" si="1043"/>
        <v>8306</v>
      </c>
    </row>
    <row r="5034" spans="1:11">
      <c r="A5034">
        <v>5032</v>
      </c>
      <c r="B5034">
        <v>7.7500000000000008E+147</v>
      </c>
      <c r="D5034" s="18">
        <v>5032</v>
      </c>
      <c r="E5034" s="18" cm="1">
        <f t="array" aca="1" ref="E5034" ca="1">INDIRECT("b"&amp;F5034+2)</f>
        <v>0</v>
      </c>
      <c r="F5034" s="18">
        <f t="shared" si="1047"/>
        <v>7108</v>
      </c>
      <c r="G5034" s="18"/>
      <c r="H5034" s="18"/>
      <c r="I5034" s="19">
        <v>5032</v>
      </c>
      <c r="J5034" s="19" cm="1">
        <f t="array" aca="1" ref="J5034" ca="1">INDIRECT("b"&amp;K5034+2)</f>
        <v>0</v>
      </c>
      <c r="K5034" s="19">
        <f t="shared" si="1043"/>
        <v>8308</v>
      </c>
    </row>
    <row r="5035" spans="1:11">
      <c r="A5035">
        <v>5033</v>
      </c>
      <c r="B5035">
        <v>7.9750000000000008E+147</v>
      </c>
      <c r="D5035" s="18">
        <v>5033</v>
      </c>
      <c r="E5035" s="18" cm="1">
        <f t="array" aca="1" ref="E5035" ca="1">INDIRECT("b"&amp;F5035+2)</f>
        <v>0</v>
      </c>
      <c r="F5035" s="18">
        <f t="shared" si="1047"/>
        <v>7109</v>
      </c>
      <c r="G5035" s="18" t="e">
        <f t="shared" ref="G5035" ca="1" si="1052">E5035/E5030</f>
        <v>#DIV/0!</v>
      </c>
      <c r="H5035" s="18"/>
      <c r="I5035" s="19">
        <v>5033</v>
      </c>
      <c r="J5035" s="19" cm="1">
        <f t="array" aca="1" ref="J5035" ca="1">INDIRECT("b"&amp;K5035+2)</f>
        <v>0</v>
      </c>
      <c r="K5035" s="19">
        <f t="shared" si="1043"/>
        <v>8309</v>
      </c>
    </row>
    <row r="5036" spans="1:11">
      <c r="A5036">
        <v>5034</v>
      </c>
      <c r="B5036">
        <v>8.2000000000000007E+147</v>
      </c>
      <c r="D5036" s="18">
        <v>5034</v>
      </c>
      <c r="E5036" s="18" cm="1">
        <f t="array" aca="1" ref="E5036" ca="1">INDIRECT("b"&amp;F5036+2)</f>
        <v>0</v>
      </c>
      <c r="F5036" s="18">
        <f t="shared" si="1047"/>
        <v>7110</v>
      </c>
      <c r="G5036" s="18"/>
      <c r="H5036" s="18"/>
      <c r="I5036" s="19">
        <v>5034</v>
      </c>
      <c r="J5036" s="19" cm="1">
        <f t="array" aca="1" ref="J5036" ca="1">INDIRECT("b"&amp;K5036+2)</f>
        <v>0</v>
      </c>
      <c r="K5036" s="19">
        <f t="shared" si="1043"/>
        <v>8310</v>
      </c>
    </row>
    <row r="5037" spans="1:11">
      <c r="A5037">
        <v>5035</v>
      </c>
      <c r="B5037">
        <v>8.4250000000000007E+147</v>
      </c>
      <c r="D5037" s="18">
        <v>5035</v>
      </c>
      <c r="E5037" s="18" cm="1">
        <f t="array" aca="1" ref="E5037" ca="1">INDIRECT("b"&amp;F5037+2)</f>
        <v>0</v>
      </c>
      <c r="F5037" s="18">
        <f t="shared" si="1047"/>
        <v>7112</v>
      </c>
      <c r="G5037" s="18"/>
      <c r="H5037" s="18"/>
      <c r="I5037" s="19">
        <v>5035</v>
      </c>
      <c r="J5037" s="19" cm="1">
        <f t="array" aca="1" ref="J5037" ca="1">INDIRECT("b"&amp;K5037+2)</f>
        <v>0</v>
      </c>
      <c r="K5037" s="19">
        <f t="shared" si="1043"/>
        <v>8312</v>
      </c>
    </row>
    <row r="5038" spans="1:11">
      <c r="A5038">
        <v>5036</v>
      </c>
      <c r="B5038">
        <v>8.6500000000000007E+147</v>
      </c>
      <c r="D5038" s="18">
        <v>5036</v>
      </c>
      <c r="E5038" s="18" cm="1">
        <f t="array" aca="1" ref="E5038" ca="1">INDIRECT("b"&amp;F5038+2)</f>
        <v>0</v>
      </c>
      <c r="F5038" s="18">
        <f t="shared" si="1047"/>
        <v>7113</v>
      </c>
      <c r="G5038" s="18"/>
      <c r="H5038" s="18"/>
      <c r="I5038" s="19">
        <v>5036</v>
      </c>
      <c r="J5038" s="19" cm="1">
        <f t="array" aca="1" ref="J5038" ca="1">INDIRECT("b"&amp;K5038+2)</f>
        <v>0</v>
      </c>
      <c r="K5038" s="19">
        <f t="shared" si="1043"/>
        <v>8313</v>
      </c>
    </row>
    <row r="5039" spans="1:11">
      <c r="A5039">
        <v>5037</v>
      </c>
      <c r="B5039">
        <v>8.8750000000000006E+147</v>
      </c>
      <c r="D5039" s="18">
        <v>5037</v>
      </c>
      <c r="E5039" s="18" cm="1">
        <f t="array" aca="1" ref="E5039" ca="1">INDIRECT("b"&amp;F5039+2)</f>
        <v>0</v>
      </c>
      <c r="F5039" s="18">
        <f t="shared" si="1047"/>
        <v>7114</v>
      </c>
      <c r="G5039" s="18"/>
      <c r="H5039" s="18"/>
      <c r="I5039" s="19">
        <v>5037</v>
      </c>
      <c r="J5039" s="19" cm="1">
        <f t="array" aca="1" ref="J5039" ca="1">INDIRECT("b"&amp;K5039+2)</f>
        <v>0</v>
      </c>
      <c r="K5039" s="19">
        <f t="shared" si="1043"/>
        <v>8314</v>
      </c>
    </row>
    <row r="5040" spans="1:11">
      <c r="A5040">
        <v>5038</v>
      </c>
      <c r="B5040">
        <v>9.1000000000000006E+147</v>
      </c>
      <c r="D5040" s="18">
        <v>5038</v>
      </c>
      <c r="E5040" s="18" cm="1">
        <f t="array" aca="1" ref="E5040" ca="1">INDIRECT("b"&amp;F5040+2)</f>
        <v>0</v>
      </c>
      <c r="F5040" s="18">
        <f t="shared" si="1047"/>
        <v>7116</v>
      </c>
      <c r="G5040" s="18" t="e">
        <f t="shared" ref="G5040" ca="1" si="1053">E5040/E5035</f>
        <v>#DIV/0!</v>
      </c>
      <c r="H5040" s="18"/>
      <c r="I5040" s="19">
        <v>5038</v>
      </c>
      <c r="J5040" s="19" cm="1">
        <f t="array" aca="1" ref="J5040" ca="1">INDIRECT("b"&amp;K5040+2)</f>
        <v>0</v>
      </c>
      <c r="K5040" s="19">
        <f t="shared" si="1043"/>
        <v>8316</v>
      </c>
    </row>
    <row r="5041" spans="1:11">
      <c r="A5041">
        <v>5039</v>
      </c>
      <c r="B5041">
        <v>9.3250000000000006E+147</v>
      </c>
      <c r="D5041" s="18">
        <v>5039</v>
      </c>
      <c r="E5041" s="18" cm="1">
        <f t="array" aca="1" ref="E5041" ca="1">INDIRECT("b"&amp;F5041+2)</f>
        <v>0</v>
      </c>
      <c r="F5041" s="18">
        <f t="shared" si="1047"/>
        <v>7117</v>
      </c>
      <c r="G5041" s="18"/>
      <c r="H5041" s="18"/>
      <c r="I5041" s="19">
        <v>5039</v>
      </c>
      <c r="J5041" s="19" cm="1">
        <f t="array" aca="1" ref="J5041" ca="1">INDIRECT("b"&amp;K5041+2)</f>
        <v>0</v>
      </c>
      <c r="K5041" s="19">
        <f t="shared" si="1043"/>
        <v>8317</v>
      </c>
    </row>
    <row r="5042" spans="1:11">
      <c r="A5042">
        <v>5040</v>
      </c>
      <c r="B5042">
        <v>9.5500000000000006E+147</v>
      </c>
      <c r="D5042" s="18">
        <v>5040</v>
      </c>
      <c r="E5042" s="18" cm="1">
        <f t="array" aca="1" ref="E5042" ca="1">INDIRECT("b"&amp;F5042+2)</f>
        <v>0</v>
      </c>
      <c r="F5042" s="18">
        <f t="shared" si="1047"/>
        <v>7118</v>
      </c>
      <c r="G5042" s="18"/>
      <c r="H5042" s="18"/>
      <c r="I5042" s="19">
        <v>5040</v>
      </c>
      <c r="J5042" s="19" cm="1">
        <f t="array" aca="1" ref="J5042" ca="1">INDIRECT("b"&amp;K5042+2)</f>
        <v>0</v>
      </c>
      <c r="K5042" s="19">
        <f t="shared" si="1043"/>
        <v>8318</v>
      </c>
    </row>
    <row r="5043" spans="1:11">
      <c r="A5043">
        <v>5041</v>
      </c>
      <c r="B5043">
        <v>9.7750000000000005E+147</v>
      </c>
      <c r="D5043" s="18">
        <v>5041</v>
      </c>
      <c r="E5043" s="18" cm="1">
        <f t="array" aca="1" ref="E5043" ca="1">INDIRECT("b"&amp;F5043+2)</f>
        <v>0</v>
      </c>
      <c r="F5043" s="18">
        <f t="shared" si="1047"/>
        <v>7120</v>
      </c>
      <c r="G5043" s="18"/>
      <c r="H5043" s="18"/>
      <c r="I5043" s="19">
        <v>5041</v>
      </c>
      <c r="J5043" s="19" cm="1">
        <f t="array" aca="1" ref="J5043" ca="1">INDIRECT("b"&amp;K5043+2)</f>
        <v>0</v>
      </c>
      <c r="K5043" s="19">
        <f t="shared" si="1043"/>
        <v>8320</v>
      </c>
    </row>
    <row r="5044" spans="1:11">
      <c r="A5044">
        <v>5042</v>
      </c>
      <c r="B5044">
        <v>1E+148</v>
      </c>
      <c r="D5044" s="18">
        <v>5042</v>
      </c>
      <c r="E5044" s="18" cm="1">
        <f t="array" aca="1" ref="E5044" ca="1">INDIRECT("b"&amp;F5044+2)</f>
        <v>0</v>
      </c>
      <c r="F5044" s="18">
        <f t="shared" si="1047"/>
        <v>7121</v>
      </c>
      <c r="G5044" s="18"/>
      <c r="H5044" s="18"/>
      <c r="I5044" s="19">
        <v>5042</v>
      </c>
      <c r="J5044" s="19" cm="1">
        <f t="array" aca="1" ref="J5044" ca="1">INDIRECT("b"&amp;K5044+2)</f>
        <v>0</v>
      </c>
      <c r="K5044" s="19">
        <f t="shared" si="1043"/>
        <v>8321</v>
      </c>
    </row>
    <row r="5045" spans="1:11">
      <c r="A5045">
        <v>5043</v>
      </c>
      <c r="B5045">
        <v>1.225E+148</v>
      </c>
      <c r="D5045" s="18">
        <v>5043</v>
      </c>
      <c r="E5045" s="18" cm="1">
        <f t="array" aca="1" ref="E5045" ca="1">INDIRECT("b"&amp;F5045+2)</f>
        <v>0</v>
      </c>
      <c r="F5045" s="18">
        <f t="shared" si="1047"/>
        <v>7122</v>
      </c>
      <c r="G5045" s="18" t="e">
        <f t="shared" ref="G5045" ca="1" si="1054">E5045/E5040</f>
        <v>#DIV/0!</v>
      </c>
      <c r="H5045" s="18"/>
      <c r="I5045" s="19">
        <v>5043</v>
      </c>
      <c r="J5045" s="19" cm="1">
        <f t="array" aca="1" ref="J5045" ca="1">INDIRECT("b"&amp;K5045+2)</f>
        <v>0</v>
      </c>
      <c r="K5045" s="19">
        <f t="shared" si="1043"/>
        <v>8322</v>
      </c>
    </row>
    <row r="5046" spans="1:11">
      <c r="A5046">
        <v>5044</v>
      </c>
      <c r="B5046">
        <v>1.45E+148</v>
      </c>
      <c r="D5046" s="18">
        <v>5044</v>
      </c>
      <c r="E5046" s="18" cm="1">
        <f t="array" aca="1" ref="E5046" ca="1">INDIRECT("b"&amp;F5046+2)</f>
        <v>0</v>
      </c>
      <c r="F5046" s="18">
        <f t="shared" si="1047"/>
        <v>7124</v>
      </c>
      <c r="G5046" s="18"/>
      <c r="H5046" s="18"/>
      <c r="I5046" s="19">
        <v>5044</v>
      </c>
      <c r="J5046" s="19" cm="1">
        <f t="array" aca="1" ref="J5046" ca="1">INDIRECT("b"&amp;K5046+2)</f>
        <v>0</v>
      </c>
      <c r="K5046" s="19">
        <f t="shared" si="1043"/>
        <v>8324</v>
      </c>
    </row>
    <row r="5047" spans="1:11">
      <c r="A5047">
        <v>5045</v>
      </c>
      <c r="B5047">
        <v>1.6750000000000002E+148</v>
      </c>
      <c r="D5047" s="18">
        <v>5045</v>
      </c>
      <c r="E5047" s="18" cm="1">
        <f t="array" aca="1" ref="E5047" ca="1">INDIRECT("b"&amp;F5047+2)</f>
        <v>0</v>
      </c>
      <c r="F5047" s="18">
        <f t="shared" si="1047"/>
        <v>7125</v>
      </c>
      <c r="G5047" s="18"/>
      <c r="H5047" s="18"/>
      <c r="I5047" s="19">
        <v>5045</v>
      </c>
      <c r="J5047" s="19" cm="1">
        <f t="array" aca="1" ref="J5047" ca="1">INDIRECT("b"&amp;K5047+2)</f>
        <v>0</v>
      </c>
      <c r="K5047" s="19">
        <f t="shared" si="1043"/>
        <v>8325</v>
      </c>
    </row>
    <row r="5048" spans="1:11">
      <c r="A5048">
        <v>5046</v>
      </c>
      <c r="B5048">
        <v>1.9000000000000002E+148</v>
      </c>
      <c r="D5048" s="18">
        <v>5046</v>
      </c>
      <c r="E5048" s="18" cm="1">
        <f t="array" aca="1" ref="E5048" ca="1">INDIRECT("b"&amp;F5048+2)</f>
        <v>0</v>
      </c>
      <c r="F5048" s="18">
        <f t="shared" si="1047"/>
        <v>7126</v>
      </c>
      <c r="G5048" s="18"/>
      <c r="H5048" s="18"/>
      <c r="I5048" s="19">
        <v>5046</v>
      </c>
      <c r="J5048" s="19" cm="1">
        <f t="array" aca="1" ref="J5048" ca="1">INDIRECT("b"&amp;K5048+2)</f>
        <v>0</v>
      </c>
      <c r="K5048" s="19">
        <f t="shared" si="1043"/>
        <v>8326</v>
      </c>
    </row>
    <row r="5049" spans="1:11">
      <c r="A5049">
        <v>5047</v>
      </c>
      <c r="B5049">
        <v>2.1250000000000002E+148</v>
      </c>
      <c r="D5049" s="18">
        <v>5047</v>
      </c>
      <c r="E5049" s="18" cm="1">
        <f t="array" aca="1" ref="E5049" ca="1">INDIRECT("b"&amp;F5049+2)</f>
        <v>0</v>
      </c>
      <c r="F5049" s="18">
        <f t="shared" si="1047"/>
        <v>7128</v>
      </c>
      <c r="G5049" s="18"/>
      <c r="H5049" s="18"/>
      <c r="I5049" s="19">
        <v>5047</v>
      </c>
      <c r="J5049" s="19" cm="1">
        <f t="array" aca="1" ref="J5049" ca="1">INDIRECT("b"&amp;K5049+2)</f>
        <v>0</v>
      </c>
      <c r="K5049" s="19">
        <f t="shared" si="1043"/>
        <v>8328</v>
      </c>
    </row>
    <row r="5050" spans="1:11">
      <c r="A5050">
        <v>5048</v>
      </c>
      <c r="B5050">
        <v>2.3500000000000001E+148</v>
      </c>
      <c r="D5050" s="18">
        <v>5048</v>
      </c>
      <c r="E5050" s="18" cm="1">
        <f t="array" aca="1" ref="E5050" ca="1">INDIRECT("b"&amp;F5050+2)</f>
        <v>0</v>
      </c>
      <c r="F5050" s="18">
        <f t="shared" si="1047"/>
        <v>7129</v>
      </c>
      <c r="G5050" s="18" t="e">
        <f t="shared" ref="G5050" ca="1" si="1055">E5050/E5045</f>
        <v>#DIV/0!</v>
      </c>
      <c r="H5050" s="18"/>
      <c r="I5050" s="19">
        <v>5048</v>
      </c>
      <c r="J5050" s="19" cm="1">
        <f t="array" aca="1" ref="J5050" ca="1">INDIRECT("b"&amp;K5050+2)</f>
        <v>0</v>
      </c>
      <c r="K5050" s="19">
        <f t="shared" si="1043"/>
        <v>8329</v>
      </c>
    </row>
    <row r="5051" spans="1:11">
      <c r="A5051">
        <v>5049</v>
      </c>
      <c r="B5051">
        <v>2.5750000000000004E+148</v>
      </c>
      <c r="D5051" s="18">
        <v>5049</v>
      </c>
      <c r="E5051" s="18" cm="1">
        <f t="array" aca="1" ref="E5051" ca="1">INDIRECT("b"&amp;F5051+2)</f>
        <v>0</v>
      </c>
      <c r="F5051" s="18">
        <f t="shared" si="1047"/>
        <v>7130</v>
      </c>
      <c r="G5051" s="18"/>
      <c r="H5051" s="18"/>
      <c r="I5051" s="19">
        <v>5049</v>
      </c>
      <c r="J5051" s="19" cm="1">
        <f t="array" aca="1" ref="J5051" ca="1">INDIRECT("b"&amp;K5051+2)</f>
        <v>0</v>
      </c>
      <c r="K5051" s="19">
        <f t="shared" si="1043"/>
        <v>8330</v>
      </c>
    </row>
    <row r="5052" spans="1:11">
      <c r="A5052">
        <v>5050</v>
      </c>
      <c r="B5052">
        <v>2.8000000000000004E+148</v>
      </c>
      <c r="D5052" s="18">
        <v>5050</v>
      </c>
      <c r="E5052" s="18" cm="1">
        <f t="array" aca="1" ref="E5052" ca="1">INDIRECT("b"&amp;F5052+2)</f>
        <v>0</v>
      </c>
      <c r="F5052" s="18">
        <f t="shared" si="1047"/>
        <v>7132</v>
      </c>
      <c r="G5052" s="18"/>
      <c r="H5052" s="18"/>
      <c r="I5052" s="19">
        <v>5050</v>
      </c>
      <c r="J5052" s="19" cm="1">
        <f t="array" aca="1" ref="J5052" ca="1">INDIRECT("b"&amp;K5052+2)</f>
        <v>0</v>
      </c>
      <c r="K5052" s="19">
        <f t="shared" si="1043"/>
        <v>8332</v>
      </c>
    </row>
    <row r="5053" spans="1:11">
      <c r="A5053">
        <v>5051</v>
      </c>
      <c r="B5053">
        <v>3.0250000000000003E+148</v>
      </c>
      <c r="D5053" s="18">
        <v>5051</v>
      </c>
      <c r="E5053" s="18" cm="1">
        <f t="array" aca="1" ref="E5053" ca="1">INDIRECT("b"&amp;F5053+2)</f>
        <v>0</v>
      </c>
      <c r="F5053" s="18">
        <f t="shared" si="1047"/>
        <v>7133</v>
      </c>
      <c r="G5053" s="18"/>
      <c r="H5053" s="18"/>
      <c r="I5053" s="19">
        <v>5051</v>
      </c>
      <c r="J5053" s="19" cm="1">
        <f t="array" aca="1" ref="J5053" ca="1">INDIRECT("b"&amp;K5053+2)</f>
        <v>0</v>
      </c>
      <c r="K5053" s="19">
        <f t="shared" si="1043"/>
        <v>8333</v>
      </c>
    </row>
    <row r="5054" spans="1:11">
      <c r="A5054">
        <v>5052</v>
      </c>
      <c r="B5054">
        <v>3.2500000000000003E+148</v>
      </c>
      <c r="D5054" s="18">
        <v>5052</v>
      </c>
      <c r="E5054" s="18" cm="1">
        <f t="array" aca="1" ref="E5054" ca="1">INDIRECT("b"&amp;F5054+2)</f>
        <v>0</v>
      </c>
      <c r="F5054" s="18">
        <f t="shared" si="1047"/>
        <v>7134</v>
      </c>
      <c r="G5054" s="18"/>
      <c r="H5054" s="18"/>
      <c r="I5054" s="19">
        <v>5052</v>
      </c>
      <c r="J5054" s="19" cm="1">
        <f t="array" aca="1" ref="J5054" ca="1">INDIRECT("b"&amp;K5054+2)</f>
        <v>0</v>
      </c>
      <c r="K5054" s="19">
        <f t="shared" si="1043"/>
        <v>8334</v>
      </c>
    </row>
    <row r="5055" spans="1:11">
      <c r="A5055">
        <v>5053</v>
      </c>
      <c r="B5055">
        <v>3.4750000000000003E+148</v>
      </c>
      <c r="D5055" s="18">
        <v>5053</v>
      </c>
      <c r="E5055" s="18" cm="1">
        <f t="array" aca="1" ref="E5055" ca="1">INDIRECT("b"&amp;F5055+2)</f>
        <v>0</v>
      </c>
      <c r="F5055" s="18">
        <f t="shared" si="1047"/>
        <v>7136</v>
      </c>
      <c r="G5055" s="18" t="e">
        <f t="shared" ref="G5055" ca="1" si="1056">E5055/E5050</f>
        <v>#DIV/0!</v>
      </c>
      <c r="H5055" s="18"/>
      <c r="I5055" s="19">
        <v>5053</v>
      </c>
      <c r="J5055" s="19" cm="1">
        <f t="array" aca="1" ref="J5055" ca="1">INDIRECT("b"&amp;K5055+2)</f>
        <v>0</v>
      </c>
      <c r="K5055" s="19">
        <f t="shared" si="1043"/>
        <v>8336</v>
      </c>
    </row>
    <row r="5056" spans="1:11">
      <c r="A5056">
        <v>5054</v>
      </c>
      <c r="B5056">
        <v>3.7000000000000002E+148</v>
      </c>
      <c r="D5056" s="18">
        <v>5054</v>
      </c>
      <c r="E5056" s="18" cm="1">
        <f t="array" aca="1" ref="E5056" ca="1">INDIRECT("b"&amp;F5056+2)</f>
        <v>0</v>
      </c>
      <c r="F5056" s="18">
        <f t="shared" si="1047"/>
        <v>7137</v>
      </c>
      <c r="G5056" s="18"/>
      <c r="H5056" s="18"/>
      <c r="I5056" s="19">
        <v>5054</v>
      </c>
      <c r="J5056" s="19" cm="1">
        <f t="array" aca="1" ref="J5056" ca="1">INDIRECT("b"&amp;K5056+2)</f>
        <v>0</v>
      </c>
      <c r="K5056" s="19">
        <f t="shared" si="1043"/>
        <v>8337</v>
      </c>
    </row>
    <row r="5057" spans="1:11">
      <c r="A5057">
        <v>5055</v>
      </c>
      <c r="B5057">
        <v>3.9250000000000002E+148</v>
      </c>
      <c r="D5057" s="18">
        <v>5055</v>
      </c>
      <c r="E5057" s="18" cm="1">
        <f t="array" aca="1" ref="E5057" ca="1">INDIRECT("b"&amp;F5057+2)</f>
        <v>0</v>
      </c>
      <c r="F5057" s="18">
        <f t="shared" si="1047"/>
        <v>7138</v>
      </c>
      <c r="G5057" s="18"/>
      <c r="H5057" s="18"/>
      <c r="I5057" s="19">
        <v>5055</v>
      </c>
      <c r="J5057" s="19" cm="1">
        <f t="array" aca="1" ref="J5057" ca="1">INDIRECT("b"&amp;K5057+2)</f>
        <v>0</v>
      </c>
      <c r="K5057" s="19">
        <f t="shared" si="1043"/>
        <v>8338</v>
      </c>
    </row>
    <row r="5058" spans="1:11">
      <c r="A5058">
        <v>5056</v>
      </c>
      <c r="B5058">
        <v>4.1500000000000002E+148</v>
      </c>
      <c r="D5058" s="18">
        <v>5056</v>
      </c>
      <c r="E5058" s="18" cm="1">
        <f t="array" aca="1" ref="E5058" ca="1">INDIRECT("b"&amp;F5058+2)</f>
        <v>0</v>
      </c>
      <c r="F5058" s="18">
        <f t="shared" si="1047"/>
        <v>7140</v>
      </c>
      <c r="G5058" s="18"/>
      <c r="H5058" s="18"/>
      <c r="I5058" s="19">
        <v>5056</v>
      </c>
      <c r="J5058" s="19" cm="1">
        <f t="array" aca="1" ref="J5058" ca="1">INDIRECT("b"&amp;K5058+2)</f>
        <v>0</v>
      </c>
      <c r="K5058" s="19">
        <f t="shared" si="1043"/>
        <v>8340</v>
      </c>
    </row>
    <row r="5059" spans="1:11">
      <c r="A5059">
        <v>5057</v>
      </c>
      <c r="B5059">
        <v>4.3750000000000001E+148</v>
      </c>
      <c r="D5059" s="18">
        <v>5057</v>
      </c>
      <c r="E5059" s="18" cm="1">
        <f t="array" aca="1" ref="E5059" ca="1">INDIRECT("b"&amp;F5059+2)</f>
        <v>0</v>
      </c>
      <c r="F5059" s="18">
        <f t="shared" si="1047"/>
        <v>7141</v>
      </c>
      <c r="G5059" s="18"/>
      <c r="H5059" s="18"/>
      <c r="I5059" s="19">
        <v>5057</v>
      </c>
      <c r="J5059" s="19" cm="1">
        <f t="array" aca="1" ref="J5059" ca="1">INDIRECT("b"&amp;K5059+2)</f>
        <v>0</v>
      </c>
      <c r="K5059" s="19">
        <f t="shared" si="1043"/>
        <v>8341</v>
      </c>
    </row>
    <row r="5060" spans="1:11">
      <c r="A5060">
        <v>5058</v>
      </c>
      <c r="B5060">
        <v>4.6000000000000001E+148</v>
      </c>
      <c r="D5060" s="18">
        <v>5058</v>
      </c>
      <c r="E5060" s="18" cm="1">
        <f t="array" aca="1" ref="E5060" ca="1">INDIRECT("b"&amp;F5060+2)</f>
        <v>0</v>
      </c>
      <c r="F5060" s="18">
        <f t="shared" si="1047"/>
        <v>7142</v>
      </c>
      <c r="G5060" s="18" t="e">
        <f t="shared" ref="G5060" ca="1" si="1057">E5060/E5055</f>
        <v>#DIV/0!</v>
      </c>
      <c r="H5060" s="18"/>
      <c r="I5060" s="19">
        <v>5058</v>
      </c>
      <c r="J5060" s="19" cm="1">
        <f t="array" aca="1" ref="J5060" ca="1">INDIRECT("b"&amp;K5060+2)</f>
        <v>0</v>
      </c>
      <c r="K5060" s="19">
        <f t="shared" ref="K5060:K5123" si="1058">INT((A5060-1)*40/30+900*40/30)+400</f>
        <v>8342</v>
      </c>
    </row>
    <row r="5061" spans="1:11">
      <c r="A5061">
        <v>5059</v>
      </c>
      <c r="B5061">
        <v>4.8250000000000001E+148</v>
      </c>
      <c r="D5061" s="18">
        <v>5059</v>
      </c>
      <c r="E5061" s="18" cm="1">
        <f t="array" aca="1" ref="E5061" ca="1">INDIRECT("b"&amp;F5061+2)</f>
        <v>0</v>
      </c>
      <c r="F5061" s="18">
        <f t="shared" si="1047"/>
        <v>7144</v>
      </c>
      <c r="G5061" s="18"/>
      <c r="H5061" s="18"/>
      <c r="I5061" s="19">
        <v>5059</v>
      </c>
      <c r="J5061" s="19" cm="1">
        <f t="array" aca="1" ref="J5061" ca="1">INDIRECT("b"&amp;K5061+2)</f>
        <v>0</v>
      </c>
      <c r="K5061" s="19">
        <f t="shared" si="1058"/>
        <v>8344</v>
      </c>
    </row>
    <row r="5062" spans="1:11">
      <c r="A5062">
        <v>5060</v>
      </c>
      <c r="B5062">
        <v>5.05E+148</v>
      </c>
      <c r="D5062" s="18">
        <v>5060</v>
      </c>
      <c r="E5062" s="18" cm="1">
        <f t="array" aca="1" ref="E5062" ca="1">INDIRECT("b"&amp;F5062+2)</f>
        <v>0</v>
      </c>
      <c r="F5062" s="18">
        <f t="shared" si="1047"/>
        <v>7145</v>
      </c>
      <c r="G5062" s="18"/>
      <c r="H5062" s="18"/>
      <c r="I5062" s="19">
        <v>5060</v>
      </c>
      <c r="J5062" s="19" cm="1">
        <f t="array" aca="1" ref="J5062" ca="1">INDIRECT("b"&amp;K5062+2)</f>
        <v>0</v>
      </c>
      <c r="K5062" s="19">
        <f t="shared" si="1058"/>
        <v>8345</v>
      </c>
    </row>
    <row r="5063" spans="1:11">
      <c r="A5063">
        <v>5061</v>
      </c>
      <c r="B5063">
        <v>5.2750000000000006E+148</v>
      </c>
      <c r="D5063" s="18">
        <v>5061</v>
      </c>
      <c r="E5063" s="18" cm="1">
        <f t="array" aca="1" ref="E5063" ca="1">INDIRECT("b"&amp;F5063+2)</f>
        <v>0</v>
      </c>
      <c r="F5063" s="18">
        <f t="shared" si="1047"/>
        <v>7146</v>
      </c>
      <c r="G5063" s="18"/>
      <c r="H5063" s="18"/>
      <c r="I5063" s="19">
        <v>5061</v>
      </c>
      <c r="J5063" s="19" cm="1">
        <f t="array" aca="1" ref="J5063" ca="1">INDIRECT("b"&amp;K5063+2)</f>
        <v>0</v>
      </c>
      <c r="K5063" s="19">
        <f t="shared" si="1058"/>
        <v>8346</v>
      </c>
    </row>
    <row r="5064" spans="1:11">
      <c r="A5064">
        <v>5062</v>
      </c>
      <c r="B5064">
        <v>5.5E+148</v>
      </c>
      <c r="D5064" s="18">
        <v>5062</v>
      </c>
      <c r="E5064" s="18" cm="1">
        <f t="array" aca="1" ref="E5064" ca="1">INDIRECT("b"&amp;F5064+2)</f>
        <v>0</v>
      </c>
      <c r="F5064" s="18">
        <f t="shared" si="1047"/>
        <v>7148</v>
      </c>
      <c r="G5064" s="18"/>
      <c r="H5064" s="18"/>
      <c r="I5064" s="19">
        <v>5062</v>
      </c>
      <c r="J5064" s="19" cm="1">
        <f t="array" aca="1" ref="J5064" ca="1">INDIRECT("b"&amp;K5064+2)</f>
        <v>0</v>
      </c>
      <c r="K5064" s="19">
        <f t="shared" si="1058"/>
        <v>8348</v>
      </c>
    </row>
    <row r="5065" spans="1:11">
      <c r="A5065">
        <v>5063</v>
      </c>
      <c r="B5065">
        <v>5.7250000000000005E+148</v>
      </c>
      <c r="D5065" s="18">
        <v>5063</v>
      </c>
      <c r="E5065" s="18" cm="1">
        <f t="array" aca="1" ref="E5065" ca="1">INDIRECT("b"&amp;F5065+2)</f>
        <v>0</v>
      </c>
      <c r="F5065" s="18">
        <f t="shared" si="1047"/>
        <v>7149</v>
      </c>
      <c r="G5065" s="18" t="e">
        <f t="shared" ref="G5065" ca="1" si="1059">E5065/E5060</f>
        <v>#DIV/0!</v>
      </c>
      <c r="H5065" s="18"/>
      <c r="I5065" s="19">
        <v>5063</v>
      </c>
      <c r="J5065" s="19" cm="1">
        <f t="array" aca="1" ref="J5065" ca="1">INDIRECT("b"&amp;K5065+2)</f>
        <v>0</v>
      </c>
      <c r="K5065" s="19">
        <f t="shared" si="1058"/>
        <v>8349</v>
      </c>
    </row>
    <row r="5066" spans="1:11">
      <c r="A5066">
        <v>5064</v>
      </c>
      <c r="B5066">
        <v>5.9499999999999999E+148</v>
      </c>
      <c r="D5066" s="18">
        <v>5064</v>
      </c>
      <c r="E5066" s="18" cm="1">
        <f t="array" aca="1" ref="E5066" ca="1">INDIRECT("b"&amp;F5066+2)</f>
        <v>0</v>
      </c>
      <c r="F5066" s="18">
        <f t="shared" si="1047"/>
        <v>7150</v>
      </c>
      <c r="G5066" s="18"/>
      <c r="H5066" s="18"/>
      <c r="I5066" s="19">
        <v>5064</v>
      </c>
      <c r="J5066" s="19" cm="1">
        <f t="array" aca="1" ref="J5066" ca="1">INDIRECT("b"&amp;K5066+2)</f>
        <v>0</v>
      </c>
      <c r="K5066" s="19">
        <f t="shared" si="1058"/>
        <v>8350</v>
      </c>
    </row>
    <row r="5067" spans="1:11">
      <c r="A5067">
        <v>5065</v>
      </c>
      <c r="B5067">
        <v>6.1750000000000005E+148</v>
      </c>
      <c r="D5067" s="18">
        <v>5065</v>
      </c>
      <c r="E5067" s="18" cm="1">
        <f t="array" aca="1" ref="E5067" ca="1">INDIRECT("b"&amp;F5067+2)</f>
        <v>0</v>
      </c>
      <c r="F5067" s="18">
        <f t="shared" si="1047"/>
        <v>7152</v>
      </c>
      <c r="G5067" s="18"/>
      <c r="H5067" s="18"/>
      <c r="I5067" s="19">
        <v>5065</v>
      </c>
      <c r="J5067" s="19" cm="1">
        <f t="array" aca="1" ref="J5067" ca="1">INDIRECT("b"&amp;K5067+2)</f>
        <v>0</v>
      </c>
      <c r="K5067" s="19">
        <f t="shared" si="1058"/>
        <v>8352</v>
      </c>
    </row>
    <row r="5068" spans="1:11">
      <c r="A5068">
        <v>5066</v>
      </c>
      <c r="B5068">
        <v>6.3999999999999999E+148</v>
      </c>
      <c r="D5068" s="18">
        <v>5066</v>
      </c>
      <c r="E5068" s="18" cm="1">
        <f t="array" aca="1" ref="E5068" ca="1">INDIRECT("b"&amp;F5068+2)</f>
        <v>0</v>
      </c>
      <c r="F5068" s="18">
        <f t="shared" si="1047"/>
        <v>7153</v>
      </c>
      <c r="G5068" s="18"/>
      <c r="H5068" s="18"/>
      <c r="I5068" s="19">
        <v>5066</v>
      </c>
      <c r="J5068" s="19" cm="1">
        <f t="array" aca="1" ref="J5068" ca="1">INDIRECT("b"&amp;K5068+2)</f>
        <v>0</v>
      </c>
      <c r="K5068" s="19">
        <f t="shared" si="1058"/>
        <v>8353</v>
      </c>
    </row>
    <row r="5069" spans="1:11">
      <c r="A5069">
        <v>5067</v>
      </c>
      <c r="B5069">
        <v>6.6250000000000004E+148</v>
      </c>
      <c r="D5069" s="18">
        <v>5067</v>
      </c>
      <c r="E5069" s="18" cm="1">
        <f t="array" aca="1" ref="E5069" ca="1">INDIRECT("b"&amp;F5069+2)</f>
        <v>0</v>
      </c>
      <c r="F5069" s="18">
        <f t="shared" si="1047"/>
        <v>7154</v>
      </c>
      <c r="G5069" s="18"/>
      <c r="H5069" s="18"/>
      <c r="I5069" s="19">
        <v>5067</v>
      </c>
      <c r="J5069" s="19" cm="1">
        <f t="array" aca="1" ref="J5069" ca="1">INDIRECT("b"&amp;K5069+2)</f>
        <v>0</v>
      </c>
      <c r="K5069" s="19">
        <f t="shared" si="1058"/>
        <v>8354</v>
      </c>
    </row>
    <row r="5070" spans="1:11">
      <c r="A5070">
        <v>5068</v>
      </c>
      <c r="B5070">
        <v>6.8500000000000009E+148</v>
      </c>
      <c r="D5070" s="18">
        <v>5068</v>
      </c>
      <c r="E5070" s="18" cm="1">
        <f t="array" aca="1" ref="E5070" ca="1">INDIRECT("b"&amp;F5070+2)</f>
        <v>0</v>
      </c>
      <c r="F5070" s="18">
        <f t="shared" si="1047"/>
        <v>7156</v>
      </c>
      <c r="G5070" s="18" t="e">
        <f t="shared" ref="G5070" ca="1" si="1060">E5070/E5065</f>
        <v>#DIV/0!</v>
      </c>
      <c r="H5070" s="18"/>
      <c r="I5070" s="19">
        <v>5068</v>
      </c>
      <c r="J5070" s="19" cm="1">
        <f t="array" aca="1" ref="J5070" ca="1">INDIRECT("b"&amp;K5070+2)</f>
        <v>0</v>
      </c>
      <c r="K5070" s="19">
        <f t="shared" si="1058"/>
        <v>8356</v>
      </c>
    </row>
    <row r="5071" spans="1:11">
      <c r="A5071">
        <v>5069</v>
      </c>
      <c r="B5071">
        <v>7.0750000000000003E+148</v>
      </c>
      <c r="D5071" s="18">
        <v>5069</v>
      </c>
      <c r="E5071" s="18" cm="1">
        <f t="array" aca="1" ref="E5071" ca="1">INDIRECT("b"&amp;F5071+2)</f>
        <v>0</v>
      </c>
      <c r="F5071" s="18">
        <f t="shared" si="1047"/>
        <v>7157</v>
      </c>
      <c r="G5071" s="18"/>
      <c r="H5071" s="18"/>
      <c r="I5071" s="19">
        <v>5069</v>
      </c>
      <c r="J5071" s="19" cm="1">
        <f t="array" aca="1" ref="J5071" ca="1">INDIRECT("b"&amp;K5071+2)</f>
        <v>0</v>
      </c>
      <c r="K5071" s="19">
        <f t="shared" si="1058"/>
        <v>8357</v>
      </c>
    </row>
    <row r="5072" spans="1:11">
      <c r="A5072">
        <v>5070</v>
      </c>
      <c r="B5072">
        <v>7.3000000000000009E+148</v>
      </c>
      <c r="D5072" s="18">
        <v>5070</v>
      </c>
      <c r="E5072" s="18" cm="1">
        <f t="array" aca="1" ref="E5072" ca="1">INDIRECT("b"&amp;F5072+2)</f>
        <v>0</v>
      </c>
      <c r="F5072" s="18">
        <f t="shared" si="1047"/>
        <v>7158</v>
      </c>
      <c r="G5072" s="18"/>
      <c r="H5072" s="18"/>
      <c r="I5072" s="19">
        <v>5070</v>
      </c>
      <c r="J5072" s="19" cm="1">
        <f t="array" aca="1" ref="J5072" ca="1">INDIRECT("b"&amp;K5072+2)</f>
        <v>0</v>
      </c>
      <c r="K5072" s="19">
        <f t="shared" si="1058"/>
        <v>8358</v>
      </c>
    </row>
    <row r="5073" spans="1:11">
      <c r="A5073">
        <v>5071</v>
      </c>
      <c r="B5073">
        <v>7.5250000000000003E+148</v>
      </c>
      <c r="D5073" s="18">
        <v>5071</v>
      </c>
      <c r="E5073" s="18" cm="1">
        <f t="array" aca="1" ref="E5073" ca="1">INDIRECT("b"&amp;F5073+2)</f>
        <v>0</v>
      </c>
      <c r="F5073" s="18">
        <f t="shared" si="1047"/>
        <v>7160</v>
      </c>
      <c r="G5073" s="18"/>
      <c r="H5073" s="18"/>
      <c r="I5073" s="19">
        <v>5071</v>
      </c>
      <c r="J5073" s="19" cm="1">
        <f t="array" aca="1" ref="J5073" ca="1">INDIRECT("b"&amp;K5073+2)</f>
        <v>0</v>
      </c>
      <c r="K5073" s="19">
        <f t="shared" si="1058"/>
        <v>8360</v>
      </c>
    </row>
    <row r="5074" spans="1:11">
      <c r="A5074">
        <v>5072</v>
      </c>
      <c r="B5074">
        <v>7.7500000000000008E+148</v>
      </c>
      <c r="D5074" s="18">
        <v>5072</v>
      </c>
      <c r="E5074" s="18" cm="1">
        <f t="array" aca="1" ref="E5074" ca="1">INDIRECT("b"&amp;F5074+2)</f>
        <v>0</v>
      </c>
      <c r="F5074" s="18">
        <f t="shared" si="1047"/>
        <v>7161</v>
      </c>
      <c r="G5074" s="18"/>
      <c r="H5074" s="18"/>
      <c r="I5074" s="19">
        <v>5072</v>
      </c>
      <c r="J5074" s="19" cm="1">
        <f t="array" aca="1" ref="J5074" ca="1">INDIRECT("b"&amp;K5074+2)</f>
        <v>0</v>
      </c>
      <c r="K5074" s="19">
        <f t="shared" si="1058"/>
        <v>8361</v>
      </c>
    </row>
    <row r="5075" spans="1:11">
      <c r="A5075">
        <v>5073</v>
      </c>
      <c r="B5075">
        <v>7.9750000000000002E+148</v>
      </c>
      <c r="D5075" s="18">
        <v>5073</v>
      </c>
      <c r="E5075" s="18" cm="1">
        <f t="array" aca="1" ref="E5075" ca="1">INDIRECT("b"&amp;F5075+2)</f>
        <v>0</v>
      </c>
      <c r="F5075" s="18">
        <f t="shared" ref="F5075:F5138" si="1061">INT((A5075-123)*1.333333)+563</f>
        <v>7162</v>
      </c>
      <c r="G5075" s="18" t="e">
        <f t="shared" ref="G5075" ca="1" si="1062">E5075/E5070</f>
        <v>#DIV/0!</v>
      </c>
      <c r="H5075" s="18"/>
      <c r="I5075" s="19">
        <v>5073</v>
      </c>
      <c r="J5075" s="19" cm="1">
        <f t="array" aca="1" ref="J5075" ca="1">INDIRECT("b"&amp;K5075+2)</f>
        <v>0</v>
      </c>
      <c r="K5075" s="19">
        <f t="shared" si="1058"/>
        <v>8362</v>
      </c>
    </row>
    <row r="5076" spans="1:11">
      <c r="A5076">
        <v>5074</v>
      </c>
      <c r="B5076">
        <v>8.2000000000000007E+148</v>
      </c>
      <c r="D5076" s="18">
        <v>5074</v>
      </c>
      <c r="E5076" s="18" cm="1">
        <f t="array" aca="1" ref="E5076" ca="1">INDIRECT("b"&amp;F5076+2)</f>
        <v>0</v>
      </c>
      <c r="F5076" s="18">
        <f t="shared" si="1061"/>
        <v>7164</v>
      </c>
      <c r="G5076" s="18"/>
      <c r="H5076" s="18"/>
      <c r="I5076" s="19">
        <v>5074</v>
      </c>
      <c r="J5076" s="19" cm="1">
        <f t="array" aca="1" ref="J5076" ca="1">INDIRECT("b"&amp;K5076+2)</f>
        <v>0</v>
      </c>
      <c r="K5076" s="19">
        <f t="shared" si="1058"/>
        <v>8364</v>
      </c>
    </row>
    <row r="5077" spans="1:11">
      <c r="A5077">
        <v>5075</v>
      </c>
      <c r="B5077">
        <v>8.4250000000000001E+148</v>
      </c>
      <c r="D5077" s="18">
        <v>5075</v>
      </c>
      <c r="E5077" s="18" cm="1">
        <f t="array" aca="1" ref="E5077" ca="1">INDIRECT("b"&amp;F5077+2)</f>
        <v>0</v>
      </c>
      <c r="F5077" s="18">
        <f t="shared" si="1061"/>
        <v>7165</v>
      </c>
      <c r="G5077" s="18"/>
      <c r="H5077" s="18"/>
      <c r="I5077" s="19">
        <v>5075</v>
      </c>
      <c r="J5077" s="19" cm="1">
        <f t="array" aca="1" ref="J5077" ca="1">INDIRECT("b"&amp;K5077+2)</f>
        <v>0</v>
      </c>
      <c r="K5077" s="19">
        <f t="shared" si="1058"/>
        <v>8365</v>
      </c>
    </row>
    <row r="5078" spans="1:11">
      <c r="A5078">
        <v>5076</v>
      </c>
      <c r="B5078">
        <v>8.6500000000000007E+148</v>
      </c>
      <c r="D5078" s="18">
        <v>5076</v>
      </c>
      <c r="E5078" s="18" cm="1">
        <f t="array" aca="1" ref="E5078" ca="1">INDIRECT("b"&amp;F5078+2)</f>
        <v>0</v>
      </c>
      <c r="F5078" s="18">
        <f t="shared" si="1061"/>
        <v>7166</v>
      </c>
      <c r="G5078" s="18"/>
      <c r="H5078" s="18"/>
      <c r="I5078" s="19">
        <v>5076</v>
      </c>
      <c r="J5078" s="19" cm="1">
        <f t="array" aca="1" ref="J5078" ca="1">INDIRECT("b"&amp;K5078+2)</f>
        <v>0</v>
      </c>
      <c r="K5078" s="19">
        <f t="shared" si="1058"/>
        <v>8366</v>
      </c>
    </row>
    <row r="5079" spans="1:11">
      <c r="A5079">
        <v>5077</v>
      </c>
      <c r="B5079">
        <v>8.8750000000000001E+148</v>
      </c>
      <c r="D5079" s="18">
        <v>5077</v>
      </c>
      <c r="E5079" s="18" cm="1">
        <f t="array" aca="1" ref="E5079" ca="1">INDIRECT("b"&amp;F5079+2)</f>
        <v>0</v>
      </c>
      <c r="F5079" s="18">
        <f t="shared" si="1061"/>
        <v>7168</v>
      </c>
      <c r="G5079" s="18"/>
      <c r="H5079" s="18"/>
      <c r="I5079" s="19">
        <v>5077</v>
      </c>
      <c r="J5079" s="19" cm="1">
        <f t="array" aca="1" ref="J5079" ca="1">INDIRECT("b"&amp;K5079+2)</f>
        <v>0</v>
      </c>
      <c r="K5079" s="19">
        <f t="shared" si="1058"/>
        <v>8368</v>
      </c>
    </row>
    <row r="5080" spans="1:11">
      <c r="A5080">
        <v>5078</v>
      </c>
      <c r="B5080">
        <v>9.1000000000000006E+148</v>
      </c>
      <c r="D5080" s="18">
        <v>5078</v>
      </c>
      <c r="E5080" s="18" cm="1">
        <f t="array" aca="1" ref="E5080" ca="1">INDIRECT("b"&amp;F5080+2)</f>
        <v>0</v>
      </c>
      <c r="F5080" s="18">
        <f t="shared" si="1061"/>
        <v>7169</v>
      </c>
      <c r="G5080" s="18" t="e">
        <f t="shared" ref="G5080" ca="1" si="1063">E5080/E5075</f>
        <v>#DIV/0!</v>
      </c>
      <c r="H5080" s="18"/>
      <c r="I5080" s="19">
        <v>5078</v>
      </c>
      <c r="J5080" s="19" cm="1">
        <f t="array" aca="1" ref="J5080" ca="1">INDIRECT("b"&amp;K5080+2)</f>
        <v>0</v>
      </c>
      <c r="K5080" s="19">
        <f t="shared" si="1058"/>
        <v>8369</v>
      </c>
    </row>
    <row r="5081" spans="1:11">
      <c r="A5081">
        <v>5079</v>
      </c>
      <c r="B5081">
        <v>9.325E+148</v>
      </c>
      <c r="D5081" s="18">
        <v>5079</v>
      </c>
      <c r="E5081" s="18" cm="1">
        <f t="array" aca="1" ref="E5081" ca="1">INDIRECT("b"&amp;F5081+2)</f>
        <v>0</v>
      </c>
      <c r="F5081" s="18">
        <f t="shared" si="1061"/>
        <v>7170</v>
      </c>
      <c r="G5081" s="18"/>
      <c r="H5081" s="18"/>
      <c r="I5081" s="19">
        <v>5079</v>
      </c>
      <c r="J5081" s="19" cm="1">
        <f t="array" aca="1" ref="J5081" ca="1">INDIRECT("b"&amp;K5081+2)</f>
        <v>0</v>
      </c>
      <c r="K5081" s="19">
        <f t="shared" si="1058"/>
        <v>8370</v>
      </c>
    </row>
    <row r="5082" spans="1:11">
      <c r="A5082">
        <v>5080</v>
      </c>
      <c r="B5082">
        <v>9.5500000000000006E+148</v>
      </c>
      <c r="D5082" s="18">
        <v>5080</v>
      </c>
      <c r="E5082" s="18" cm="1">
        <f t="array" aca="1" ref="E5082" ca="1">INDIRECT("b"&amp;F5082+2)</f>
        <v>0</v>
      </c>
      <c r="F5082" s="18">
        <f t="shared" si="1061"/>
        <v>7172</v>
      </c>
      <c r="G5082" s="18"/>
      <c r="H5082" s="18"/>
      <c r="I5082" s="19">
        <v>5080</v>
      </c>
      <c r="J5082" s="19" cm="1">
        <f t="array" aca="1" ref="J5082" ca="1">INDIRECT("b"&amp;K5082+2)</f>
        <v>0</v>
      </c>
      <c r="K5082" s="19">
        <f t="shared" si="1058"/>
        <v>8372</v>
      </c>
    </row>
    <row r="5083" spans="1:11">
      <c r="A5083">
        <v>5081</v>
      </c>
      <c r="B5083">
        <v>9.7750000000000011E+148</v>
      </c>
      <c r="D5083" s="18">
        <v>5081</v>
      </c>
      <c r="E5083" s="18" cm="1">
        <f t="array" aca="1" ref="E5083" ca="1">INDIRECT("b"&amp;F5083+2)</f>
        <v>0</v>
      </c>
      <c r="F5083" s="18">
        <f t="shared" si="1061"/>
        <v>7173</v>
      </c>
      <c r="G5083" s="18"/>
      <c r="H5083" s="18"/>
      <c r="I5083" s="19">
        <v>5081</v>
      </c>
      <c r="J5083" s="19" cm="1">
        <f t="array" aca="1" ref="J5083" ca="1">INDIRECT("b"&amp;K5083+2)</f>
        <v>0</v>
      </c>
      <c r="K5083" s="19">
        <f t="shared" si="1058"/>
        <v>8373</v>
      </c>
    </row>
    <row r="5084" spans="1:11">
      <c r="A5084">
        <v>5082</v>
      </c>
      <c r="B5084">
        <v>1E+149</v>
      </c>
      <c r="D5084" s="18">
        <v>5082</v>
      </c>
      <c r="E5084" s="18" cm="1">
        <f t="array" aca="1" ref="E5084" ca="1">INDIRECT("b"&amp;F5084+2)</f>
        <v>0</v>
      </c>
      <c r="F5084" s="18">
        <f t="shared" si="1061"/>
        <v>7174</v>
      </c>
      <c r="G5084" s="18"/>
      <c r="H5084" s="18"/>
      <c r="I5084" s="19">
        <v>5082</v>
      </c>
      <c r="J5084" s="19" cm="1">
        <f t="array" aca="1" ref="J5084" ca="1">INDIRECT("b"&amp;K5084+2)</f>
        <v>0</v>
      </c>
      <c r="K5084" s="19">
        <f t="shared" si="1058"/>
        <v>8374</v>
      </c>
    </row>
    <row r="5085" spans="1:11">
      <c r="A5085">
        <v>5083</v>
      </c>
      <c r="B5085">
        <v>1.225E+149</v>
      </c>
      <c r="D5085" s="18">
        <v>5083</v>
      </c>
      <c r="E5085" s="18" cm="1">
        <f t="array" aca="1" ref="E5085" ca="1">INDIRECT("b"&amp;F5085+2)</f>
        <v>0</v>
      </c>
      <c r="F5085" s="18">
        <f t="shared" si="1061"/>
        <v>7176</v>
      </c>
      <c r="G5085" s="18" t="e">
        <f t="shared" ref="G5085" ca="1" si="1064">E5085/E5080</f>
        <v>#DIV/0!</v>
      </c>
      <c r="H5085" s="18"/>
      <c r="I5085" s="19">
        <v>5083</v>
      </c>
      <c r="J5085" s="19" cm="1">
        <f t="array" aca="1" ref="J5085" ca="1">INDIRECT("b"&amp;K5085+2)</f>
        <v>0</v>
      </c>
      <c r="K5085" s="19">
        <f t="shared" si="1058"/>
        <v>8376</v>
      </c>
    </row>
    <row r="5086" spans="1:11">
      <c r="A5086">
        <v>5084</v>
      </c>
      <c r="B5086">
        <v>1.4500000000000001E+149</v>
      </c>
      <c r="D5086" s="18">
        <v>5084</v>
      </c>
      <c r="E5086" s="18" cm="1">
        <f t="array" aca="1" ref="E5086" ca="1">INDIRECT("b"&amp;F5086+2)</f>
        <v>0</v>
      </c>
      <c r="F5086" s="18">
        <f t="shared" si="1061"/>
        <v>7177</v>
      </c>
      <c r="G5086" s="18"/>
      <c r="H5086" s="18"/>
      <c r="I5086" s="19">
        <v>5084</v>
      </c>
      <c r="J5086" s="19" cm="1">
        <f t="array" aca="1" ref="J5086" ca="1">INDIRECT("b"&amp;K5086+2)</f>
        <v>0</v>
      </c>
      <c r="K5086" s="19">
        <f t="shared" si="1058"/>
        <v>8377</v>
      </c>
    </row>
    <row r="5087" spans="1:11">
      <c r="A5087">
        <v>5085</v>
      </c>
      <c r="B5087">
        <v>1.675E+149</v>
      </c>
      <c r="D5087" s="18">
        <v>5085</v>
      </c>
      <c r="E5087" s="18" cm="1">
        <f t="array" aca="1" ref="E5087" ca="1">INDIRECT("b"&amp;F5087+2)</f>
        <v>0</v>
      </c>
      <c r="F5087" s="18">
        <f t="shared" si="1061"/>
        <v>7178</v>
      </c>
      <c r="G5087" s="18"/>
      <c r="H5087" s="18"/>
      <c r="I5087" s="19">
        <v>5085</v>
      </c>
      <c r="J5087" s="19" cm="1">
        <f t="array" aca="1" ref="J5087" ca="1">INDIRECT("b"&amp;K5087+2)</f>
        <v>0</v>
      </c>
      <c r="K5087" s="19">
        <f t="shared" si="1058"/>
        <v>8378</v>
      </c>
    </row>
    <row r="5088" spans="1:11">
      <c r="A5088">
        <v>5086</v>
      </c>
      <c r="B5088">
        <v>1.9E+149</v>
      </c>
      <c r="D5088" s="18">
        <v>5086</v>
      </c>
      <c r="E5088" s="18" cm="1">
        <f t="array" aca="1" ref="E5088" ca="1">INDIRECT("b"&amp;F5088+2)</f>
        <v>0</v>
      </c>
      <c r="F5088" s="18">
        <f t="shared" si="1061"/>
        <v>7180</v>
      </c>
      <c r="G5088" s="18"/>
      <c r="H5088" s="18"/>
      <c r="I5088" s="19">
        <v>5086</v>
      </c>
      <c r="J5088" s="19" cm="1">
        <f t="array" aca="1" ref="J5088" ca="1">INDIRECT("b"&amp;K5088+2)</f>
        <v>0</v>
      </c>
      <c r="K5088" s="19">
        <f t="shared" si="1058"/>
        <v>8380</v>
      </c>
    </row>
    <row r="5089" spans="1:11">
      <c r="A5089">
        <v>5087</v>
      </c>
      <c r="B5089">
        <v>2.1249999999999999E+149</v>
      </c>
      <c r="D5089" s="18">
        <v>5087</v>
      </c>
      <c r="E5089" s="18" cm="1">
        <f t="array" aca="1" ref="E5089" ca="1">INDIRECT("b"&amp;F5089+2)</f>
        <v>0</v>
      </c>
      <c r="F5089" s="18">
        <f t="shared" si="1061"/>
        <v>7181</v>
      </c>
      <c r="G5089" s="18"/>
      <c r="H5089" s="18"/>
      <c r="I5089" s="19">
        <v>5087</v>
      </c>
      <c r="J5089" s="19" cm="1">
        <f t="array" aca="1" ref="J5089" ca="1">INDIRECT("b"&amp;K5089+2)</f>
        <v>0</v>
      </c>
      <c r="K5089" s="19">
        <f t="shared" si="1058"/>
        <v>8381</v>
      </c>
    </row>
    <row r="5090" spans="1:11">
      <c r="A5090">
        <v>5088</v>
      </c>
      <c r="B5090">
        <v>2.3500000000000002E+149</v>
      </c>
      <c r="D5090" s="18">
        <v>5088</v>
      </c>
      <c r="E5090" s="18" cm="1">
        <f t="array" aca="1" ref="E5090" ca="1">INDIRECT("b"&amp;F5090+2)</f>
        <v>0</v>
      </c>
      <c r="F5090" s="18">
        <f t="shared" si="1061"/>
        <v>7182</v>
      </c>
      <c r="G5090" s="18" t="e">
        <f t="shared" ref="G5090" ca="1" si="1065">E5090/E5085</f>
        <v>#DIV/0!</v>
      </c>
      <c r="H5090" s="18"/>
      <c r="I5090" s="19">
        <v>5088</v>
      </c>
      <c r="J5090" s="19" cm="1">
        <f t="array" aca="1" ref="J5090" ca="1">INDIRECT("b"&amp;K5090+2)</f>
        <v>0</v>
      </c>
      <c r="K5090" s="19">
        <f t="shared" si="1058"/>
        <v>8382</v>
      </c>
    </row>
    <row r="5091" spans="1:11">
      <c r="A5091">
        <v>5089</v>
      </c>
      <c r="B5091">
        <v>2.5750000000000001E+149</v>
      </c>
      <c r="D5091" s="18">
        <v>5089</v>
      </c>
      <c r="E5091" s="18" cm="1">
        <f t="array" aca="1" ref="E5091" ca="1">INDIRECT("b"&amp;F5091+2)</f>
        <v>0</v>
      </c>
      <c r="F5091" s="18">
        <f t="shared" si="1061"/>
        <v>7184</v>
      </c>
      <c r="G5091" s="18"/>
      <c r="H5091" s="18"/>
      <c r="I5091" s="19">
        <v>5089</v>
      </c>
      <c r="J5091" s="19" cm="1">
        <f t="array" aca="1" ref="J5091" ca="1">INDIRECT("b"&amp;K5091+2)</f>
        <v>0</v>
      </c>
      <c r="K5091" s="19">
        <f t="shared" si="1058"/>
        <v>8384</v>
      </c>
    </row>
    <row r="5092" spans="1:11">
      <c r="A5092">
        <v>5090</v>
      </c>
      <c r="B5092">
        <v>2.7999999999999999E+149</v>
      </c>
      <c r="D5092" s="18">
        <v>5090</v>
      </c>
      <c r="E5092" s="18" cm="1">
        <f t="array" aca="1" ref="E5092" ca="1">INDIRECT("b"&amp;F5092+2)</f>
        <v>0</v>
      </c>
      <c r="F5092" s="18">
        <f t="shared" si="1061"/>
        <v>7185</v>
      </c>
      <c r="G5092" s="18"/>
      <c r="H5092" s="18"/>
      <c r="I5092" s="19">
        <v>5090</v>
      </c>
      <c r="J5092" s="19" cm="1">
        <f t="array" aca="1" ref="J5092" ca="1">INDIRECT("b"&amp;K5092+2)</f>
        <v>0</v>
      </c>
      <c r="K5092" s="19">
        <f t="shared" si="1058"/>
        <v>8385</v>
      </c>
    </row>
    <row r="5093" spans="1:11">
      <c r="A5093">
        <v>5091</v>
      </c>
      <c r="B5093">
        <v>3.0250000000000002E+149</v>
      </c>
      <c r="D5093" s="18">
        <v>5091</v>
      </c>
      <c r="E5093" s="18" cm="1">
        <f t="array" aca="1" ref="E5093" ca="1">INDIRECT("b"&amp;F5093+2)</f>
        <v>0</v>
      </c>
      <c r="F5093" s="18">
        <f t="shared" si="1061"/>
        <v>7186</v>
      </c>
      <c r="G5093" s="18"/>
      <c r="H5093" s="18"/>
      <c r="I5093" s="19">
        <v>5091</v>
      </c>
      <c r="J5093" s="19" cm="1">
        <f t="array" aca="1" ref="J5093" ca="1">INDIRECT("b"&amp;K5093+2)</f>
        <v>0</v>
      </c>
      <c r="K5093" s="19">
        <f t="shared" si="1058"/>
        <v>8386</v>
      </c>
    </row>
    <row r="5094" spans="1:11">
      <c r="A5094">
        <v>5092</v>
      </c>
      <c r="B5094">
        <v>3.2500000000000001E+149</v>
      </c>
      <c r="D5094" s="18">
        <v>5092</v>
      </c>
      <c r="E5094" s="18" cm="1">
        <f t="array" aca="1" ref="E5094" ca="1">INDIRECT("b"&amp;F5094+2)</f>
        <v>0</v>
      </c>
      <c r="F5094" s="18">
        <f t="shared" si="1061"/>
        <v>7188</v>
      </c>
      <c r="G5094" s="18"/>
      <c r="H5094" s="18"/>
      <c r="I5094" s="19">
        <v>5092</v>
      </c>
      <c r="J5094" s="19" cm="1">
        <f t="array" aca="1" ref="J5094" ca="1">INDIRECT("b"&amp;K5094+2)</f>
        <v>0</v>
      </c>
      <c r="K5094" s="19">
        <f t="shared" si="1058"/>
        <v>8388</v>
      </c>
    </row>
    <row r="5095" spans="1:11">
      <c r="A5095">
        <v>5093</v>
      </c>
      <c r="B5095">
        <v>3.4749999999999999E+149</v>
      </c>
      <c r="D5095" s="18">
        <v>5093</v>
      </c>
      <c r="E5095" s="18" cm="1">
        <f t="array" aca="1" ref="E5095" ca="1">INDIRECT("b"&amp;F5095+2)</f>
        <v>0</v>
      </c>
      <c r="F5095" s="18">
        <f t="shared" si="1061"/>
        <v>7189</v>
      </c>
      <c r="G5095" s="18" t="e">
        <f t="shared" ref="G5095" ca="1" si="1066">E5095/E5090</f>
        <v>#DIV/0!</v>
      </c>
      <c r="H5095" s="18"/>
      <c r="I5095" s="19">
        <v>5093</v>
      </c>
      <c r="J5095" s="19" cm="1">
        <f t="array" aca="1" ref="J5095" ca="1">INDIRECT("b"&amp;K5095+2)</f>
        <v>0</v>
      </c>
      <c r="K5095" s="19">
        <f t="shared" si="1058"/>
        <v>8389</v>
      </c>
    </row>
    <row r="5096" spans="1:11">
      <c r="A5096">
        <v>5094</v>
      </c>
      <c r="B5096">
        <v>3.7000000000000002E+149</v>
      </c>
      <c r="D5096" s="18">
        <v>5094</v>
      </c>
      <c r="E5096" s="18" cm="1">
        <f t="array" aca="1" ref="E5096" ca="1">INDIRECT("b"&amp;F5096+2)</f>
        <v>0</v>
      </c>
      <c r="F5096" s="18">
        <f t="shared" si="1061"/>
        <v>7190</v>
      </c>
      <c r="G5096" s="18"/>
      <c r="H5096" s="18"/>
      <c r="I5096" s="19">
        <v>5094</v>
      </c>
      <c r="J5096" s="19" cm="1">
        <f t="array" aca="1" ref="J5096" ca="1">INDIRECT("b"&amp;K5096+2)</f>
        <v>0</v>
      </c>
      <c r="K5096" s="19">
        <f t="shared" si="1058"/>
        <v>8390</v>
      </c>
    </row>
    <row r="5097" spans="1:11">
      <c r="A5097">
        <v>5095</v>
      </c>
      <c r="B5097">
        <v>3.9250000000000001E+149</v>
      </c>
      <c r="D5097" s="18">
        <v>5095</v>
      </c>
      <c r="E5097" s="18" cm="1">
        <f t="array" aca="1" ref="E5097" ca="1">INDIRECT("b"&amp;F5097+2)</f>
        <v>0</v>
      </c>
      <c r="F5097" s="18">
        <f t="shared" si="1061"/>
        <v>7192</v>
      </c>
      <c r="G5097" s="18"/>
      <c r="H5097" s="18"/>
      <c r="I5097" s="19">
        <v>5095</v>
      </c>
      <c r="J5097" s="19" cm="1">
        <f t="array" aca="1" ref="J5097" ca="1">INDIRECT("b"&amp;K5097+2)</f>
        <v>0</v>
      </c>
      <c r="K5097" s="19">
        <f t="shared" si="1058"/>
        <v>8392</v>
      </c>
    </row>
    <row r="5098" spans="1:11">
      <c r="A5098">
        <v>5096</v>
      </c>
      <c r="B5098">
        <v>4.1499999999999999E+149</v>
      </c>
      <c r="D5098" s="18">
        <v>5096</v>
      </c>
      <c r="E5098" s="18" cm="1">
        <f t="array" aca="1" ref="E5098" ca="1">INDIRECT("b"&amp;F5098+2)</f>
        <v>0</v>
      </c>
      <c r="F5098" s="18">
        <f t="shared" si="1061"/>
        <v>7193</v>
      </c>
      <c r="G5098" s="18"/>
      <c r="H5098" s="18"/>
      <c r="I5098" s="19">
        <v>5096</v>
      </c>
      <c r="J5098" s="19" cm="1">
        <f t="array" aca="1" ref="J5098" ca="1">INDIRECT("b"&amp;K5098+2)</f>
        <v>0</v>
      </c>
      <c r="K5098" s="19">
        <f t="shared" si="1058"/>
        <v>8393</v>
      </c>
    </row>
    <row r="5099" spans="1:11">
      <c r="A5099">
        <v>5097</v>
      </c>
      <c r="B5099">
        <v>4.3749999999999998E+149</v>
      </c>
      <c r="D5099" s="18">
        <v>5097</v>
      </c>
      <c r="E5099" s="18" cm="1">
        <f t="array" aca="1" ref="E5099" ca="1">INDIRECT("b"&amp;F5099+2)</f>
        <v>0</v>
      </c>
      <c r="F5099" s="18">
        <f t="shared" si="1061"/>
        <v>7194</v>
      </c>
      <c r="G5099" s="18"/>
      <c r="H5099" s="18"/>
      <c r="I5099" s="19">
        <v>5097</v>
      </c>
      <c r="J5099" s="19" cm="1">
        <f t="array" aca="1" ref="J5099" ca="1">INDIRECT("b"&amp;K5099+2)</f>
        <v>0</v>
      </c>
      <c r="K5099" s="19">
        <f t="shared" si="1058"/>
        <v>8394</v>
      </c>
    </row>
    <row r="5100" spans="1:11">
      <c r="A5100">
        <v>5098</v>
      </c>
      <c r="B5100">
        <v>4.5999999999999997E+149</v>
      </c>
      <c r="D5100" s="18">
        <v>5098</v>
      </c>
      <c r="E5100" s="18" cm="1">
        <f t="array" aca="1" ref="E5100" ca="1">INDIRECT("b"&amp;F5100+2)</f>
        <v>0</v>
      </c>
      <c r="F5100" s="18">
        <f t="shared" si="1061"/>
        <v>7196</v>
      </c>
      <c r="G5100" s="18" t="e">
        <f t="shared" ref="G5100" ca="1" si="1067">E5100/E5095</f>
        <v>#DIV/0!</v>
      </c>
      <c r="H5100" s="18"/>
      <c r="I5100" s="19">
        <v>5098</v>
      </c>
      <c r="J5100" s="19" cm="1">
        <f t="array" aca="1" ref="J5100" ca="1">INDIRECT("b"&amp;K5100+2)</f>
        <v>0</v>
      </c>
      <c r="K5100" s="19">
        <f t="shared" si="1058"/>
        <v>8396</v>
      </c>
    </row>
    <row r="5101" spans="1:11">
      <c r="A5101">
        <v>5099</v>
      </c>
      <c r="B5101">
        <v>4.8250000000000004E+149</v>
      </c>
      <c r="D5101" s="18">
        <v>5099</v>
      </c>
      <c r="E5101" s="18" cm="1">
        <f t="array" aca="1" ref="E5101" ca="1">INDIRECT("b"&amp;F5101+2)</f>
        <v>0</v>
      </c>
      <c r="F5101" s="18">
        <f t="shared" si="1061"/>
        <v>7197</v>
      </c>
      <c r="G5101" s="18"/>
      <c r="H5101" s="18"/>
      <c r="I5101" s="19">
        <v>5099</v>
      </c>
      <c r="J5101" s="19" cm="1">
        <f t="array" aca="1" ref="J5101" ca="1">INDIRECT("b"&amp;K5101+2)</f>
        <v>0</v>
      </c>
      <c r="K5101" s="19">
        <f t="shared" si="1058"/>
        <v>8397</v>
      </c>
    </row>
    <row r="5102" spans="1:11">
      <c r="A5102">
        <v>5100</v>
      </c>
      <c r="B5102">
        <v>5.0500000000000003E+149</v>
      </c>
      <c r="D5102" s="18">
        <v>5100</v>
      </c>
      <c r="E5102" s="18" cm="1">
        <f t="array" aca="1" ref="E5102" ca="1">INDIRECT("b"&amp;F5102+2)</f>
        <v>0</v>
      </c>
      <c r="F5102" s="18">
        <f t="shared" si="1061"/>
        <v>7198</v>
      </c>
      <c r="G5102" s="18"/>
      <c r="H5102" s="18"/>
      <c r="I5102" s="19">
        <v>5100</v>
      </c>
      <c r="J5102" s="19" cm="1">
        <f t="array" aca="1" ref="J5102" ca="1">INDIRECT("b"&amp;K5102+2)</f>
        <v>0</v>
      </c>
      <c r="K5102" s="19">
        <f t="shared" si="1058"/>
        <v>8398</v>
      </c>
    </row>
    <row r="5103" spans="1:11">
      <c r="A5103">
        <v>5101</v>
      </c>
      <c r="B5103">
        <v>5.2750000000000001E+149</v>
      </c>
      <c r="D5103" s="18">
        <v>5101</v>
      </c>
      <c r="E5103" s="18" cm="1">
        <f t="array" aca="1" ref="E5103" ca="1">INDIRECT("b"&amp;F5103+2)</f>
        <v>0</v>
      </c>
      <c r="F5103" s="18">
        <f t="shared" si="1061"/>
        <v>7200</v>
      </c>
      <c r="G5103" s="18"/>
      <c r="H5103" s="18"/>
      <c r="I5103" s="19">
        <v>5101</v>
      </c>
      <c r="J5103" s="19" cm="1">
        <f t="array" aca="1" ref="J5103" ca="1">INDIRECT("b"&amp;K5103+2)</f>
        <v>0</v>
      </c>
      <c r="K5103" s="19">
        <f t="shared" si="1058"/>
        <v>8400</v>
      </c>
    </row>
    <row r="5104" spans="1:11">
      <c r="A5104">
        <v>5102</v>
      </c>
      <c r="B5104">
        <v>5.5E+149</v>
      </c>
      <c r="D5104" s="18">
        <v>5102</v>
      </c>
      <c r="E5104" s="18" cm="1">
        <f t="array" aca="1" ref="E5104" ca="1">INDIRECT("b"&amp;F5104+2)</f>
        <v>0</v>
      </c>
      <c r="F5104" s="18">
        <f t="shared" si="1061"/>
        <v>7201</v>
      </c>
      <c r="G5104" s="18"/>
      <c r="H5104" s="18"/>
      <c r="I5104" s="19">
        <v>5102</v>
      </c>
      <c r="J5104" s="19" cm="1">
        <f t="array" aca="1" ref="J5104" ca="1">INDIRECT("b"&amp;K5104+2)</f>
        <v>0</v>
      </c>
      <c r="K5104" s="19">
        <f t="shared" si="1058"/>
        <v>8401</v>
      </c>
    </row>
    <row r="5105" spans="1:11">
      <c r="A5105">
        <v>5103</v>
      </c>
      <c r="B5105">
        <v>5.7249999999999998E+149</v>
      </c>
      <c r="D5105" s="18">
        <v>5103</v>
      </c>
      <c r="E5105" s="18" cm="1">
        <f t="array" aca="1" ref="E5105" ca="1">INDIRECT("b"&amp;F5105+2)</f>
        <v>0</v>
      </c>
      <c r="F5105" s="18">
        <f t="shared" si="1061"/>
        <v>7202</v>
      </c>
      <c r="G5105" s="18" t="e">
        <f t="shared" ref="G5105" ca="1" si="1068">E5105/E5100</f>
        <v>#DIV/0!</v>
      </c>
      <c r="H5105" s="18"/>
      <c r="I5105" s="19">
        <v>5103</v>
      </c>
      <c r="J5105" s="19" cm="1">
        <f t="array" aca="1" ref="J5105" ca="1">INDIRECT("b"&amp;K5105+2)</f>
        <v>0</v>
      </c>
      <c r="K5105" s="19">
        <f t="shared" si="1058"/>
        <v>8402</v>
      </c>
    </row>
    <row r="5106" spans="1:11">
      <c r="A5106">
        <v>5104</v>
      </c>
      <c r="B5106">
        <v>5.9499999999999997E+149</v>
      </c>
      <c r="D5106" s="18">
        <v>5104</v>
      </c>
      <c r="E5106" s="18" cm="1">
        <f t="array" aca="1" ref="E5106" ca="1">INDIRECT("b"&amp;F5106+2)</f>
        <v>0</v>
      </c>
      <c r="F5106" s="18">
        <f t="shared" si="1061"/>
        <v>7204</v>
      </c>
      <c r="G5106" s="18"/>
      <c r="H5106" s="18"/>
      <c r="I5106" s="19">
        <v>5104</v>
      </c>
      <c r="J5106" s="19" cm="1">
        <f t="array" aca="1" ref="J5106" ca="1">INDIRECT("b"&amp;K5106+2)</f>
        <v>0</v>
      </c>
      <c r="K5106" s="19">
        <f t="shared" si="1058"/>
        <v>8404</v>
      </c>
    </row>
    <row r="5107" spans="1:11">
      <c r="A5107">
        <v>5105</v>
      </c>
      <c r="B5107">
        <v>6.1750000000000005E+149</v>
      </c>
      <c r="D5107" s="18">
        <v>5105</v>
      </c>
      <c r="E5107" s="18" cm="1">
        <f t="array" aca="1" ref="E5107" ca="1">INDIRECT("b"&amp;F5107+2)</f>
        <v>0</v>
      </c>
      <c r="F5107" s="18">
        <f t="shared" si="1061"/>
        <v>7205</v>
      </c>
      <c r="G5107" s="18"/>
      <c r="H5107" s="18"/>
      <c r="I5107" s="19">
        <v>5105</v>
      </c>
      <c r="J5107" s="19" cm="1">
        <f t="array" aca="1" ref="J5107" ca="1">INDIRECT("b"&amp;K5107+2)</f>
        <v>0</v>
      </c>
      <c r="K5107" s="19">
        <f t="shared" si="1058"/>
        <v>8405</v>
      </c>
    </row>
    <row r="5108" spans="1:11">
      <c r="A5108">
        <v>5106</v>
      </c>
      <c r="B5108">
        <v>6.4000000000000003E+149</v>
      </c>
      <c r="D5108" s="18">
        <v>5106</v>
      </c>
      <c r="E5108" s="18" cm="1">
        <f t="array" aca="1" ref="E5108" ca="1">INDIRECT("b"&amp;F5108+2)</f>
        <v>0</v>
      </c>
      <c r="F5108" s="18">
        <f t="shared" si="1061"/>
        <v>7206</v>
      </c>
      <c r="G5108" s="18"/>
      <c r="H5108" s="18"/>
      <c r="I5108" s="19">
        <v>5106</v>
      </c>
      <c r="J5108" s="19" cm="1">
        <f t="array" aca="1" ref="J5108" ca="1">INDIRECT("b"&amp;K5108+2)</f>
        <v>0</v>
      </c>
      <c r="K5108" s="19">
        <f t="shared" si="1058"/>
        <v>8406</v>
      </c>
    </row>
    <row r="5109" spans="1:11">
      <c r="A5109">
        <v>5107</v>
      </c>
      <c r="B5109">
        <v>6.6250000000000002E+149</v>
      </c>
      <c r="D5109" s="18">
        <v>5107</v>
      </c>
      <c r="E5109" s="18" cm="1">
        <f t="array" aca="1" ref="E5109" ca="1">INDIRECT("b"&amp;F5109+2)</f>
        <v>0</v>
      </c>
      <c r="F5109" s="18">
        <f t="shared" si="1061"/>
        <v>7208</v>
      </c>
      <c r="G5109" s="18"/>
      <c r="H5109" s="18"/>
      <c r="I5109" s="19">
        <v>5107</v>
      </c>
      <c r="J5109" s="19" cm="1">
        <f t="array" aca="1" ref="J5109" ca="1">INDIRECT("b"&amp;K5109+2)</f>
        <v>0</v>
      </c>
      <c r="K5109" s="19">
        <f t="shared" si="1058"/>
        <v>8408</v>
      </c>
    </row>
    <row r="5110" spans="1:11">
      <c r="A5110">
        <v>5108</v>
      </c>
      <c r="B5110">
        <v>6.85E+149</v>
      </c>
      <c r="D5110" s="18">
        <v>5108</v>
      </c>
      <c r="E5110" s="18" cm="1">
        <f t="array" aca="1" ref="E5110" ca="1">INDIRECT("b"&amp;F5110+2)</f>
        <v>0</v>
      </c>
      <c r="F5110" s="18">
        <f t="shared" si="1061"/>
        <v>7209</v>
      </c>
      <c r="G5110" s="18" t="e">
        <f t="shared" ref="G5110" ca="1" si="1069">E5110/E5105</f>
        <v>#DIV/0!</v>
      </c>
      <c r="H5110" s="18"/>
      <c r="I5110" s="19">
        <v>5108</v>
      </c>
      <c r="J5110" s="19" cm="1">
        <f t="array" aca="1" ref="J5110" ca="1">INDIRECT("b"&amp;K5110+2)</f>
        <v>0</v>
      </c>
      <c r="K5110" s="19">
        <f t="shared" si="1058"/>
        <v>8409</v>
      </c>
    </row>
    <row r="5111" spans="1:11">
      <c r="A5111">
        <v>5109</v>
      </c>
      <c r="B5111">
        <v>7.0749999999999999E+149</v>
      </c>
      <c r="D5111" s="18">
        <v>5109</v>
      </c>
      <c r="E5111" s="18" cm="1">
        <f t="array" aca="1" ref="E5111" ca="1">INDIRECT("b"&amp;F5111+2)</f>
        <v>0</v>
      </c>
      <c r="F5111" s="18">
        <f t="shared" si="1061"/>
        <v>7210</v>
      </c>
      <c r="G5111" s="18"/>
      <c r="H5111" s="18"/>
      <c r="I5111" s="19">
        <v>5109</v>
      </c>
      <c r="J5111" s="19" cm="1">
        <f t="array" aca="1" ref="J5111" ca="1">INDIRECT("b"&amp;K5111+2)</f>
        <v>0</v>
      </c>
      <c r="K5111" s="19">
        <f t="shared" si="1058"/>
        <v>8410</v>
      </c>
    </row>
    <row r="5112" spans="1:11">
      <c r="A5112">
        <v>5110</v>
      </c>
      <c r="B5112">
        <v>7.2999999999999997E+149</v>
      </c>
      <c r="D5112" s="18">
        <v>5110</v>
      </c>
      <c r="E5112" s="18" cm="1">
        <f t="array" aca="1" ref="E5112" ca="1">INDIRECT("b"&amp;F5112+2)</f>
        <v>0</v>
      </c>
      <c r="F5112" s="18">
        <f t="shared" si="1061"/>
        <v>7212</v>
      </c>
      <c r="G5112" s="18"/>
      <c r="H5112" s="18"/>
      <c r="I5112" s="19">
        <v>5110</v>
      </c>
      <c r="J5112" s="19" cm="1">
        <f t="array" aca="1" ref="J5112" ca="1">INDIRECT("b"&amp;K5112+2)</f>
        <v>0</v>
      </c>
      <c r="K5112" s="19">
        <f t="shared" si="1058"/>
        <v>8412</v>
      </c>
    </row>
    <row r="5113" spans="1:11">
      <c r="A5113">
        <v>5111</v>
      </c>
      <c r="B5113">
        <v>7.5250000000000005E+149</v>
      </c>
      <c r="D5113" s="18">
        <v>5111</v>
      </c>
      <c r="E5113" s="18" cm="1">
        <f t="array" aca="1" ref="E5113" ca="1">INDIRECT("b"&amp;F5113+2)</f>
        <v>0</v>
      </c>
      <c r="F5113" s="18">
        <f t="shared" si="1061"/>
        <v>7213</v>
      </c>
      <c r="G5113" s="18"/>
      <c r="H5113" s="18"/>
      <c r="I5113" s="19">
        <v>5111</v>
      </c>
      <c r="J5113" s="19" cm="1">
        <f t="array" aca="1" ref="J5113" ca="1">INDIRECT("b"&amp;K5113+2)</f>
        <v>0</v>
      </c>
      <c r="K5113" s="19">
        <f t="shared" si="1058"/>
        <v>8413</v>
      </c>
    </row>
    <row r="5114" spans="1:11">
      <c r="A5114">
        <v>5112</v>
      </c>
      <c r="B5114">
        <v>7.7500000000000004E+149</v>
      </c>
      <c r="D5114" s="18">
        <v>5112</v>
      </c>
      <c r="E5114" s="18" cm="1">
        <f t="array" aca="1" ref="E5114" ca="1">INDIRECT("b"&amp;F5114+2)</f>
        <v>0</v>
      </c>
      <c r="F5114" s="18">
        <f t="shared" si="1061"/>
        <v>7214</v>
      </c>
      <c r="G5114" s="18"/>
      <c r="H5114" s="18"/>
      <c r="I5114" s="19">
        <v>5112</v>
      </c>
      <c r="J5114" s="19" cm="1">
        <f t="array" aca="1" ref="J5114" ca="1">INDIRECT("b"&amp;K5114+2)</f>
        <v>0</v>
      </c>
      <c r="K5114" s="19">
        <f t="shared" si="1058"/>
        <v>8414</v>
      </c>
    </row>
    <row r="5115" spans="1:11">
      <c r="A5115">
        <v>5113</v>
      </c>
      <c r="B5115">
        <v>7.9750000000000002E+149</v>
      </c>
      <c r="D5115" s="18">
        <v>5113</v>
      </c>
      <c r="E5115" s="18" cm="1">
        <f t="array" aca="1" ref="E5115" ca="1">INDIRECT("b"&amp;F5115+2)</f>
        <v>0</v>
      </c>
      <c r="F5115" s="18">
        <f t="shared" si="1061"/>
        <v>7216</v>
      </c>
      <c r="G5115" s="18" t="e">
        <f t="shared" ref="G5115" ca="1" si="1070">E5115/E5110</f>
        <v>#DIV/0!</v>
      </c>
      <c r="H5115" s="18"/>
      <c r="I5115" s="19">
        <v>5113</v>
      </c>
      <c r="J5115" s="19" cm="1">
        <f t="array" aca="1" ref="J5115" ca="1">INDIRECT("b"&amp;K5115+2)</f>
        <v>0</v>
      </c>
      <c r="K5115" s="19">
        <f t="shared" si="1058"/>
        <v>8416</v>
      </c>
    </row>
    <row r="5116" spans="1:11">
      <c r="A5116">
        <v>5114</v>
      </c>
      <c r="B5116">
        <v>8.200000000000001E+149</v>
      </c>
      <c r="D5116" s="18">
        <v>5114</v>
      </c>
      <c r="E5116" s="18" cm="1">
        <f t="array" aca="1" ref="E5116" ca="1">INDIRECT("b"&amp;F5116+2)</f>
        <v>0</v>
      </c>
      <c r="F5116" s="18">
        <f t="shared" si="1061"/>
        <v>7217</v>
      </c>
      <c r="G5116" s="18"/>
      <c r="H5116" s="18"/>
      <c r="I5116" s="19">
        <v>5114</v>
      </c>
      <c r="J5116" s="19" cm="1">
        <f t="array" aca="1" ref="J5116" ca="1">INDIRECT("b"&amp;K5116+2)</f>
        <v>0</v>
      </c>
      <c r="K5116" s="19">
        <f t="shared" si="1058"/>
        <v>8417</v>
      </c>
    </row>
    <row r="5117" spans="1:11">
      <c r="A5117">
        <v>5115</v>
      </c>
      <c r="B5117">
        <v>8.4249999999999999E+149</v>
      </c>
      <c r="D5117" s="18">
        <v>5115</v>
      </c>
      <c r="E5117" s="18" cm="1">
        <f t="array" aca="1" ref="E5117" ca="1">INDIRECT("b"&amp;F5117+2)</f>
        <v>0</v>
      </c>
      <c r="F5117" s="18">
        <f t="shared" si="1061"/>
        <v>7218</v>
      </c>
      <c r="G5117" s="18"/>
      <c r="H5117" s="18"/>
      <c r="I5117" s="19">
        <v>5115</v>
      </c>
      <c r="J5117" s="19" cm="1">
        <f t="array" aca="1" ref="J5117" ca="1">INDIRECT("b"&amp;K5117+2)</f>
        <v>0</v>
      </c>
      <c r="K5117" s="19">
        <f t="shared" si="1058"/>
        <v>8418</v>
      </c>
    </row>
    <row r="5118" spans="1:11">
      <c r="A5118">
        <v>5116</v>
      </c>
      <c r="B5118">
        <v>8.6500000000000007E+149</v>
      </c>
      <c r="D5118" s="18">
        <v>5116</v>
      </c>
      <c r="E5118" s="18" cm="1">
        <f t="array" aca="1" ref="E5118" ca="1">INDIRECT("b"&amp;F5118+2)</f>
        <v>0</v>
      </c>
      <c r="F5118" s="18">
        <f t="shared" si="1061"/>
        <v>7220</v>
      </c>
      <c r="G5118" s="18"/>
      <c r="H5118" s="18"/>
      <c r="I5118" s="19">
        <v>5116</v>
      </c>
      <c r="J5118" s="19" cm="1">
        <f t="array" aca="1" ref="J5118" ca="1">INDIRECT("b"&amp;K5118+2)</f>
        <v>0</v>
      </c>
      <c r="K5118" s="19">
        <f t="shared" si="1058"/>
        <v>8420</v>
      </c>
    </row>
    <row r="5119" spans="1:11">
      <c r="A5119">
        <v>5117</v>
      </c>
      <c r="B5119">
        <v>8.8749999999999996E+149</v>
      </c>
      <c r="D5119" s="18">
        <v>5117</v>
      </c>
      <c r="E5119" s="18" cm="1">
        <f t="array" aca="1" ref="E5119" ca="1">INDIRECT("b"&amp;F5119+2)</f>
        <v>0</v>
      </c>
      <c r="F5119" s="18">
        <f t="shared" si="1061"/>
        <v>7221</v>
      </c>
      <c r="G5119" s="18"/>
      <c r="H5119" s="18"/>
      <c r="I5119" s="19">
        <v>5117</v>
      </c>
      <c r="J5119" s="19" cm="1">
        <f t="array" aca="1" ref="J5119" ca="1">INDIRECT("b"&amp;K5119+2)</f>
        <v>0</v>
      </c>
      <c r="K5119" s="19">
        <f t="shared" si="1058"/>
        <v>8421</v>
      </c>
    </row>
    <row r="5120" spans="1:11">
      <c r="A5120">
        <v>5118</v>
      </c>
      <c r="B5120">
        <v>9.1000000000000004E+149</v>
      </c>
      <c r="D5120" s="18">
        <v>5118</v>
      </c>
      <c r="E5120" s="18" cm="1">
        <f t="array" aca="1" ref="E5120" ca="1">INDIRECT("b"&amp;F5120+2)</f>
        <v>0</v>
      </c>
      <c r="F5120" s="18">
        <f t="shared" si="1061"/>
        <v>7222</v>
      </c>
      <c r="G5120" s="18" t="e">
        <f t="shared" ref="G5120" ca="1" si="1071">E5120/E5115</f>
        <v>#DIV/0!</v>
      </c>
      <c r="H5120" s="18"/>
      <c r="I5120" s="19">
        <v>5118</v>
      </c>
      <c r="J5120" s="19" cm="1">
        <f t="array" aca="1" ref="J5120" ca="1">INDIRECT("b"&amp;K5120+2)</f>
        <v>0</v>
      </c>
      <c r="K5120" s="19">
        <f t="shared" si="1058"/>
        <v>8422</v>
      </c>
    </row>
    <row r="5121" spans="1:11">
      <c r="A5121">
        <v>5119</v>
      </c>
      <c r="B5121">
        <v>9.3249999999999993E+149</v>
      </c>
      <c r="D5121" s="18">
        <v>5119</v>
      </c>
      <c r="E5121" s="18" cm="1">
        <f t="array" aca="1" ref="E5121" ca="1">INDIRECT("b"&amp;F5121+2)</f>
        <v>0</v>
      </c>
      <c r="F5121" s="18">
        <f t="shared" si="1061"/>
        <v>7224</v>
      </c>
      <c r="G5121" s="18"/>
      <c r="H5121" s="18"/>
      <c r="I5121" s="19">
        <v>5119</v>
      </c>
      <c r="J5121" s="19" cm="1">
        <f t="array" aca="1" ref="J5121" ca="1">INDIRECT("b"&amp;K5121+2)</f>
        <v>0</v>
      </c>
      <c r="K5121" s="19">
        <f t="shared" si="1058"/>
        <v>8424</v>
      </c>
    </row>
    <row r="5122" spans="1:11">
      <c r="A5122">
        <v>5120</v>
      </c>
      <c r="B5122">
        <v>9.5500000000000001E+149</v>
      </c>
      <c r="D5122" s="18">
        <v>5120</v>
      </c>
      <c r="E5122" s="18" cm="1">
        <f t="array" aca="1" ref="E5122" ca="1">INDIRECT("b"&amp;F5122+2)</f>
        <v>0</v>
      </c>
      <c r="F5122" s="18">
        <f t="shared" si="1061"/>
        <v>7225</v>
      </c>
      <c r="G5122" s="18" t="e">
        <f t="shared" ref="G5122" ca="1" si="1072">E5122/E5117</f>
        <v>#DIV/0!</v>
      </c>
      <c r="H5122" s="18"/>
      <c r="I5122" s="19">
        <v>5120</v>
      </c>
      <c r="J5122" s="19" cm="1">
        <f t="array" aca="1" ref="J5122" ca="1">INDIRECT("b"&amp;K5122+2)</f>
        <v>0</v>
      </c>
      <c r="K5122" s="19">
        <f t="shared" si="1058"/>
        <v>8425</v>
      </c>
    </row>
    <row r="5123" spans="1:11">
      <c r="A5123">
        <v>5121</v>
      </c>
      <c r="B5123">
        <v>9.7750000000000009E+149</v>
      </c>
      <c r="D5123" s="18">
        <v>5121</v>
      </c>
      <c r="E5123" s="18" cm="1">
        <f t="array" aca="1" ref="E5123" ca="1">INDIRECT("b"&amp;F5123+2)</f>
        <v>0</v>
      </c>
      <c r="F5123" s="18">
        <f t="shared" si="1061"/>
        <v>7226</v>
      </c>
      <c r="G5123" s="18"/>
      <c r="H5123" s="18"/>
      <c r="I5123" s="19">
        <v>5121</v>
      </c>
      <c r="J5123" s="19" cm="1">
        <f t="array" aca="1" ref="J5123" ca="1">INDIRECT("b"&amp;K5123+2)</f>
        <v>0</v>
      </c>
      <c r="K5123" s="19">
        <f t="shared" si="1058"/>
        <v>8426</v>
      </c>
    </row>
    <row r="5124" spans="1:11">
      <c r="A5124">
        <v>5122</v>
      </c>
      <c r="B5124">
        <v>9.9999999999999998E+149</v>
      </c>
      <c r="D5124" s="18">
        <v>5122</v>
      </c>
      <c r="E5124" s="18" cm="1">
        <f t="array" aca="1" ref="E5124" ca="1">INDIRECT("b"&amp;F5124+2)</f>
        <v>0</v>
      </c>
      <c r="F5124" s="18">
        <f t="shared" si="1061"/>
        <v>7228</v>
      </c>
      <c r="G5124" s="18"/>
      <c r="H5124" s="18"/>
      <c r="I5124" s="19">
        <v>5122</v>
      </c>
      <c r="J5124" s="19" cm="1">
        <f t="array" aca="1" ref="J5124" ca="1">INDIRECT("b"&amp;K5124+2)</f>
        <v>0</v>
      </c>
      <c r="K5124" s="19">
        <f t="shared" ref="K5124:K5187" si="1073">INT((A5124-1)*40/30+900*40/30)+400</f>
        <v>8428</v>
      </c>
    </row>
    <row r="5125" spans="1:11">
      <c r="A5125">
        <v>5123</v>
      </c>
      <c r="B5125">
        <v>1.225E+150</v>
      </c>
      <c r="D5125" s="18">
        <v>5123</v>
      </c>
      <c r="E5125" s="18" cm="1">
        <f t="array" aca="1" ref="E5125" ca="1">INDIRECT("b"&amp;F5125+2)</f>
        <v>0</v>
      </c>
      <c r="F5125" s="18">
        <f t="shared" si="1061"/>
        <v>7229</v>
      </c>
      <c r="G5125" s="18"/>
      <c r="H5125" s="18"/>
      <c r="I5125" s="19">
        <v>5123</v>
      </c>
      <c r="J5125" s="19" cm="1">
        <f t="array" aca="1" ref="J5125" ca="1">INDIRECT("b"&amp;K5125+2)</f>
        <v>0</v>
      </c>
      <c r="K5125" s="19">
        <f t="shared" si="1073"/>
        <v>8429</v>
      </c>
    </row>
    <row r="5126" spans="1:11">
      <c r="A5126">
        <v>5124</v>
      </c>
      <c r="B5126">
        <v>1.4500000000000001E+150</v>
      </c>
      <c r="D5126" s="18">
        <v>5124</v>
      </c>
      <c r="E5126" s="18" cm="1">
        <f t="array" aca="1" ref="E5126" ca="1">INDIRECT("b"&amp;F5126+2)</f>
        <v>0</v>
      </c>
      <c r="F5126" s="18">
        <f t="shared" si="1061"/>
        <v>7230</v>
      </c>
      <c r="G5126" s="18"/>
      <c r="H5126" s="18"/>
      <c r="I5126" s="19">
        <v>5124</v>
      </c>
      <c r="J5126" s="19" cm="1">
        <f t="array" aca="1" ref="J5126" ca="1">INDIRECT("b"&amp;K5126+2)</f>
        <v>0</v>
      </c>
      <c r="K5126" s="19">
        <f t="shared" si="1073"/>
        <v>8430</v>
      </c>
    </row>
    <row r="5127" spans="1:11">
      <c r="A5127">
        <v>5125</v>
      </c>
      <c r="B5127">
        <v>1.6749999999999999E+150</v>
      </c>
      <c r="D5127" s="18">
        <v>5125</v>
      </c>
      <c r="E5127" s="18" cm="1">
        <f t="array" aca="1" ref="E5127" ca="1">INDIRECT("b"&amp;F5127+2)</f>
        <v>0</v>
      </c>
      <c r="F5127" s="18">
        <f t="shared" si="1061"/>
        <v>7232</v>
      </c>
      <c r="G5127" s="18" t="e">
        <f t="shared" ref="G5127" ca="1" si="1074">E5127/E5122</f>
        <v>#DIV/0!</v>
      </c>
      <c r="H5127" s="18"/>
      <c r="I5127" s="19">
        <v>5125</v>
      </c>
      <c r="J5127" s="19" cm="1">
        <f t="array" aca="1" ref="J5127" ca="1">INDIRECT("b"&amp;K5127+2)</f>
        <v>0</v>
      </c>
      <c r="K5127" s="19">
        <f t="shared" si="1073"/>
        <v>8432</v>
      </c>
    </row>
    <row r="5128" spans="1:11">
      <c r="A5128">
        <v>5126</v>
      </c>
      <c r="B5128">
        <v>1.8999999999999999E+150</v>
      </c>
      <c r="D5128" s="18">
        <v>5126</v>
      </c>
      <c r="E5128" s="18" cm="1">
        <f t="array" aca="1" ref="E5128" ca="1">INDIRECT("b"&amp;F5128+2)</f>
        <v>0</v>
      </c>
      <c r="F5128" s="18">
        <f t="shared" si="1061"/>
        <v>7233</v>
      </c>
      <c r="G5128" s="18"/>
      <c r="H5128" s="18"/>
      <c r="I5128" s="19">
        <v>5126</v>
      </c>
      <c r="J5128" s="19" cm="1">
        <f t="array" aca="1" ref="J5128" ca="1">INDIRECT("b"&amp;K5128+2)</f>
        <v>0</v>
      </c>
      <c r="K5128" s="19">
        <f t="shared" si="1073"/>
        <v>8433</v>
      </c>
    </row>
    <row r="5129" spans="1:11">
      <c r="A5129">
        <v>5127</v>
      </c>
      <c r="B5129">
        <v>2.125E+150</v>
      </c>
      <c r="D5129" s="18">
        <v>5127</v>
      </c>
      <c r="E5129" s="18" cm="1">
        <f t="array" aca="1" ref="E5129" ca="1">INDIRECT("b"&amp;F5129+2)</f>
        <v>0</v>
      </c>
      <c r="F5129" s="18">
        <f t="shared" si="1061"/>
        <v>7234</v>
      </c>
      <c r="G5129" s="18"/>
      <c r="H5129" s="18"/>
      <c r="I5129" s="19">
        <v>5127</v>
      </c>
      <c r="J5129" s="19" cm="1">
        <f t="array" aca="1" ref="J5129" ca="1">INDIRECT("b"&amp;K5129+2)</f>
        <v>0</v>
      </c>
      <c r="K5129" s="19">
        <f t="shared" si="1073"/>
        <v>8434</v>
      </c>
    </row>
    <row r="5130" spans="1:11">
      <c r="A5130">
        <v>5128</v>
      </c>
      <c r="B5130">
        <v>2.35E+150</v>
      </c>
      <c r="D5130" s="18">
        <v>5128</v>
      </c>
      <c r="E5130" s="18" cm="1">
        <f t="array" aca="1" ref="E5130" ca="1">INDIRECT("b"&amp;F5130+2)</f>
        <v>0</v>
      </c>
      <c r="F5130" s="18">
        <f t="shared" si="1061"/>
        <v>7236</v>
      </c>
      <c r="G5130" s="18"/>
      <c r="H5130" s="18"/>
      <c r="I5130" s="19">
        <v>5128</v>
      </c>
      <c r="J5130" s="19" cm="1">
        <f t="array" aca="1" ref="J5130" ca="1">INDIRECT("b"&amp;K5130+2)</f>
        <v>0</v>
      </c>
      <c r="K5130" s="19">
        <f t="shared" si="1073"/>
        <v>8436</v>
      </c>
    </row>
    <row r="5131" spans="1:11">
      <c r="A5131">
        <v>5129</v>
      </c>
      <c r="B5131">
        <v>2.5750000000000001E+150</v>
      </c>
      <c r="D5131" s="18">
        <v>5129</v>
      </c>
      <c r="E5131" s="18" cm="1">
        <f t="array" aca="1" ref="E5131" ca="1">INDIRECT("b"&amp;F5131+2)</f>
        <v>0</v>
      </c>
      <c r="F5131" s="18">
        <f t="shared" si="1061"/>
        <v>7237</v>
      </c>
      <c r="G5131" s="18"/>
      <c r="H5131" s="18"/>
      <c r="I5131" s="19">
        <v>5129</v>
      </c>
      <c r="J5131" s="19" cm="1">
        <f t="array" aca="1" ref="J5131" ca="1">INDIRECT("b"&amp;K5131+2)</f>
        <v>0</v>
      </c>
      <c r="K5131" s="19">
        <f t="shared" si="1073"/>
        <v>8437</v>
      </c>
    </row>
    <row r="5132" spans="1:11">
      <c r="A5132">
        <v>5130</v>
      </c>
      <c r="B5132">
        <v>2.8000000000000001E+150</v>
      </c>
      <c r="D5132" s="18">
        <v>5130</v>
      </c>
      <c r="E5132" s="18" cm="1">
        <f t="array" aca="1" ref="E5132" ca="1">INDIRECT("b"&amp;F5132+2)</f>
        <v>0</v>
      </c>
      <c r="F5132" s="18">
        <f t="shared" si="1061"/>
        <v>7238</v>
      </c>
      <c r="G5132" s="18" t="e">
        <f t="shared" ref="G5132" ca="1" si="1075">E5132/E5127</f>
        <v>#DIV/0!</v>
      </c>
      <c r="H5132" s="18"/>
      <c r="I5132" s="19">
        <v>5130</v>
      </c>
      <c r="J5132" s="19" cm="1">
        <f t="array" aca="1" ref="J5132" ca="1">INDIRECT("b"&amp;K5132+2)</f>
        <v>0</v>
      </c>
      <c r="K5132" s="19">
        <f t="shared" si="1073"/>
        <v>8438</v>
      </c>
    </row>
    <row r="5133" spans="1:11">
      <c r="A5133">
        <v>5131</v>
      </c>
      <c r="B5133">
        <v>3.0250000000000001E+150</v>
      </c>
      <c r="D5133" s="18">
        <v>5131</v>
      </c>
      <c r="E5133" s="18" cm="1">
        <f t="array" aca="1" ref="E5133" ca="1">INDIRECT("b"&amp;F5133+2)</f>
        <v>0</v>
      </c>
      <c r="F5133" s="18">
        <f t="shared" si="1061"/>
        <v>7240</v>
      </c>
      <c r="G5133" s="18"/>
      <c r="H5133" s="18"/>
      <c r="I5133" s="19">
        <v>5131</v>
      </c>
      <c r="J5133" s="19" cm="1">
        <f t="array" aca="1" ref="J5133" ca="1">INDIRECT("b"&amp;K5133+2)</f>
        <v>0</v>
      </c>
      <c r="K5133" s="19">
        <f t="shared" si="1073"/>
        <v>8440</v>
      </c>
    </row>
    <row r="5134" spans="1:11">
      <c r="A5134">
        <v>5132</v>
      </c>
      <c r="B5134">
        <v>3.2500000000000002E+150</v>
      </c>
      <c r="D5134" s="18">
        <v>5132</v>
      </c>
      <c r="E5134" s="18" cm="1">
        <f t="array" aca="1" ref="E5134" ca="1">INDIRECT("b"&amp;F5134+2)</f>
        <v>0</v>
      </c>
      <c r="F5134" s="18">
        <f t="shared" si="1061"/>
        <v>7241</v>
      </c>
      <c r="G5134" s="18"/>
      <c r="H5134" s="18"/>
      <c r="I5134" s="19">
        <v>5132</v>
      </c>
      <c r="J5134" s="19" cm="1">
        <f t="array" aca="1" ref="J5134" ca="1">INDIRECT("b"&amp;K5134+2)</f>
        <v>0</v>
      </c>
      <c r="K5134" s="19">
        <f t="shared" si="1073"/>
        <v>8441</v>
      </c>
    </row>
    <row r="5135" spans="1:11">
      <c r="A5135">
        <v>5133</v>
      </c>
      <c r="B5135">
        <v>3.4750000000000002E+150</v>
      </c>
      <c r="D5135" s="18">
        <v>5133</v>
      </c>
      <c r="E5135" s="18" cm="1">
        <f t="array" aca="1" ref="E5135" ca="1">INDIRECT("b"&amp;F5135+2)</f>
        <v>0</v>
      </c>
      <c r="F5135" s="18">
        <f t="shared" si="1061"/>
        <v>7242</v>
      </c>
      <c r="G5135" s="18"/>
      <c r="H5135" s="18"/>
      <c r="I5135" s="19">
        <v>5133</v>
      </c>
      <c r="J5135" s="19" cm="1">
        <f t="array" aca="1" ref="J5135" ca="1">INDIRECT("b"&amp;K5135+2)</f>
        <v>0</v>
      </c>
      <c r="K5135" s="19">
        <f t="shared" si="1073"/>
        <v>8442</v>
      </c>
    </row>
    <row r="5136" spans="1:11">
      <c r="A5136">
        <v>5134</v>
      </c>
      <c r="B5136">
        <v>3.6999999999999999E+150</v>
      </c>
      <c r="D5136" s="18">
        <v>5134</v>
      </c>
      <c r="E5136" s="18" cm="1">
        <f t="array" aca="1" ref="E5136" ca="1">INDIRECT("b"&amp;F5136+2)</f>
        <v>0</v>
      </c>
      <c r="F5136" s="18">
        <f t="shared" si="1061"/>
        <v>7244</v>
      </c>
      <c r="G5136" s="18"/>
      <c r="H5136" s="18"/>
      <c r="I5136" s="19">
        <v>5134</v>
      </c>
      <c r="J5136" s="19" cm="1">
        <f t="array" aca="1" ref="J5136" ca="1">INDIRECT("b"&amp;K5136+2)</f>
        <v>0</v>
      </c>
      <c r="K5136" s="19">
        <f t="shared" si="1073"/>
        <v>8444</v>
      </c>
    </row>
    <row r="5137" spans="1:11">
      <c r="A5137">
        <v>5135</v>
      </c>
      <c r="B5137">
        <v>3.9250000000000003E+150</v>
      </c>
      <c r="D5137" s="18">
        <v>5135</v>
      </c>
      <c r="E5137" s="18" cm="1">
        <f t="array" aca="1" ref="E5137" ca="1">INDIRECT("b"&amp;F5137+2)</f>
        <v>0</v>
      </c>
      <c r="F5137" s="18">
        <f t="shared" si="1061"/>
        <v>7245</v>
      </c>
      <c r="G5137" s="18" t="e">
        <f t="shared" ref="G5137" ca="1" si="1076">E5137/E5132</f>
        <v>#DIV/0!</v>
      </c>
      <c r="H5137" s="18"/>
      <c r="I5137" s="19">
        <v>5135</v>
      </c>
      <c r="J5137" s="19" cm="1">
        <f t="array" aca="1" ref="J5137" ca="1">INDIRECT("b"&amp;K5137+2)</f>
        <v>0</v>
      </c>
      <c r="K5137" s="19">
        <f t="shared" si="1073"/>
        <v>8445</v>
      </c>
    </row>
    <row r="5138" spans="1:11">
      <c r="A5138">
        <v>5136</v>
      </c>
      <c r="B5138">
        <v>4.1499999999999999E+150</v>
      </c>
      <c r="D5138" s="18">
        <v>5136</v>
      </c>
      <c r="E5138" s="18" cm="1">
        <f t="array" aca="1" ref="E5138" ca="1">INDIRECT("b"&amp;F5138+2)</f>
        <v>0</v>
      </c>
      <c r="F5138" s="18">
        <f t="shared" si="1061"/>
        <v>7246</v>
      </c>
      <c r="G5138" s="18"/>
      <c r="H5138" s="18"/>
      <c r="I5138" s="19">
        <v>5136</v>
      </c>
      <c r="J5138" s="19" cm="1">
        <f t="array" aca="1" ref="J5138" ca="1">INDIRECT("b"&amp;K5138+2)</f>
        <v>0</v>
      </c>
      <c r="K5138" s="19">
        <f t="shared" si="1073"/>
        <v>8446</v>
      </c>
    </row>
    <row r="5139" spans="1:11">
      <c r="A5139">
        <v>5137</v>
      </c>
      <c r="B5139">
        <v>4.3750000000000003E+150</v>
      </c>
      <c r="D5139" s="18">
        <v>5137</v>
      </c>
      <c r="E5139" s="18" cm="1">
        <f t="array" aca="1" ref="E5139" ca="1">INDIRECT("b"&amp;F5139+2)</f>
        <v>0</v>
      </c>
      <c r="F5139" s="18">
        <f t="shared" ref="F5139:F5202" si="1077">INT((A5139-123)*1.333333)+563</f>
        <v>7248</v>
      </c>
      <c r="G5139" s="18"/>
      <c r="H5139" s="18"/>
      <c r="I5139" s="19">
        <v>5137</v>
      </c>
      <c r="J5139" s="19" cm="1">
        <f t="array" aca="1" ref="J5139" ca="1">INDIRECT("b"&amp;K5139+2)</f>
        <v>0</v>
      </c>
      <c r="K5139" s="19">
        <f t="shared" si="1073"/>
        <v>8448</v>
      </c>
    </row>
    <row r="5140" spans="1:11">
      <c r="A5140">
        <v>5138</v>
      </c>
      <c r="B5140">
        <v>4.6E+150</v>
      </c>
      <c r="D5140" s="18">
        <v>5138</v>
      </c>
      <c r="E5140" s="18" cm="1">
        <f t="array" aca="1" ref="E5140" ca="1">INDIRECT("b"&amp;F5140+2)</f>
        <v>0</v>
      </c>
      <c r="F5140" s="18">
        <f t="shared" si="1077"/>
        <v>7249</v>
      </c>
      <c r="G5140" s="18"/>
      <c r="H5140" s="18"/>
      <c r="I5140" s="19">
        <v>5138</v>
      </c>
      <c r="J5140" s="19" cm="1">
        <f t="array" aca="1" ref="J5140" ca="1">INDIRECT("b"&amp;K5140+2)</f>
        <v>0</v>
      </c>
      <c r="K5140" s="19">
        <f t="shared" si="1073"/>
        <v>8449</v>
      </c>
    </row>
    <row r="5141" spans="1:11">
      <c r="A5141">
        <v>5139</v>
      </c>
      <c r="B5141">
        <v>4.8250000000000004E+150</v>
      </c>
      <c r="D5141" s="18">
        <v>5139</v>
      </c>
      <c r="E5141" s="18" cm="1">
        <f t="array" aca="1" ref="E5141" ca="1">INDIRECT("b"&amp;F5141+2)</f>
        <v>0</v>
      </c>
      <c r="F5141" s="18">
        <f t="shared" si="1077"/>
        <v>7250</v>
      </c>
      <c r="G5141" s="18"/>
      <c r="H5141" s="18"/>
      <c r="I5141" s="19">
        <v>5139</v>
      </c>
      <c r="J5141" s="19" cm="1">
        <f t="array" aca="1" ref="J5141" ca="1">INDIRECT("b"&amp;K5141+2)</f>
        <v>0</v>
      </c>
      <c r="K5141" s="19">
        <f t="shared" si="1073"/>
        <v>8450</v>
      </c>
    </row>
    <row r="5142" spans="1:11">
      <c r="A5142">
        <v>5140</v>
      </c>
      <c r="B5142">
        <v>5.0500000000000001E+150</v>
      </c>
      <c r="D5142" s="18">
        <v>5140</v>
      </c>
      <c r="E5142" s="18" cm="1">
        <f t="array" aca="1" ref="E5142" ca="1">INDIRECT("b"&amp;F5142+2)</f>
        <v>0</v>
      </c>
      <c r="F5142" s="18">
        <f t="shared" si="1077"/>
        <v>7252</v>
      </c>
      <c r="G5142" s="18" t="e">
        <f t="shared" ref="G5142" ca="1" si="1078">E5142/E5137</f>
        <v>#DIV/0!</v>
      </c>
      <c r="H5142" s="18"/>
      <c r="I5142" s="19">
        <v>5140</v>
      </c>
      <c r="J5142" s="19" cm="1">
        <f t="array" aca="1" ref="J5142" ca="1">INDIRECT("b"&amp;K5142+2)</f>
        <v>0</v>
      </c>
      <c r="K5142" s="19">
        <f t="shared" si="1073"/>
        <v>8452</v>
      </c>
    </row>
    <row r="5143" spans="1:11">
      <c r="A5143">
        <v>5141</v>
      </c>
      <c r="B5143">
        <v>5.2750000000000005E+150</v>
      </c>
      <c r="D5143" s="18">
        <v>5141</v>
      </c>
      <c r="E5143" s="18" cm="1">
        <f t="array" aca="1" ref="E5143" ca="1">INDIRECT("b"&amp;F5143+2)</f>
        <v>0</v>
      </c>
      <c r="F5143" s="18">
        <f t="shared" si="1077"/>
        <v>7253</v>
      </c>
      <c r="G5143" s="18"/>
      <c r="H5143" s="18"/>
      <c r="I5143" s="19">
        <v>5141</v>
      </c>
      <c r="J5143" s="19" cm="1">
        <f t="array" aca="1" ref="J5143" ca="1">INDIRECT("b"&amp;K5143+2)</f>
        <v>0</v>
      </c>
      <c r="K5143" s="19">
        <f t="shared" si="1073"/>
        <v>8453</v>
      </c>
    </row>
    <row r="5144" spans="1:11">
      <c r="A5144">
        <v>5142</v>
      </c>
      <c r="B5144">
        <v>5.5000000000000002E+150</v>
      </c>
      <c r="D5144" s="18">
        <v>5142</v>
      </c>
      <c r="E5144" s="18" cm="1">
        <f t="array" aca="1" ref="E5144" ca="1">INDIRECT("b"&amp;F5144+2)</f>
        <v>0</v>
      </c>
      <c r="F5144" s="18">
        <f t="shared" si="1077"/>
        <v>7254</v>
      </c>
      <c r="G5144" s="18"/>
      <c r="H5144" s="18"/>
      <c r="I5144" s="19">
        <v>5142</v>
      </c>
      <c r="J5144" s="19" cm="1">
        <f t="array" aca="1" ref="J5144" ca="1">INDIRECT("b"&amp;K5144+2)</f>
        <v>0</v>
      </c>
      <c r="K5144" s="19">
        <f t="shared" si="1073"/>
        <v>8454</v>
      </c>
    </row>
    <row r="5145" spans="1:11">
      <c r="A5145">
        <v>5143</v>
      </c>
      <c r="B5145">
        <v>5.7250000000000006E+150</v>
      </c>
      <c r="D5145" s="18">
        <v>5143</v>
      </c>
      <c r="E5145" s="18" cm="1">
        <f t="array" aca="1" ref="E5145" ca="1">INDIRECT("b"&amp;F5145+2)</f>
        <v>0</v>
      </c>
      <c r="F5145" s="18">
        <f t="shared" si="1077"/>
        <v>7256</v>
      </c>
      <c r="G5145" s="18"/>
      <c r="H5145" s="18"/>
      <c r="I5145" s="19">
        <v>5143</v>
      </c>
      <c r="J5145" s="19" cm="1">
        <f t="array" aca="1" ref="J5145" ca="1">INDIRECT("b"&amp;K5145+2)</f>
        <v>0</v>
      </c>
      <c r="K5145" s="19">
        <f t="shared" si="1073"/>
        <v>8456</v>
      </c>
    </row>
    <row r="5146" spans="1:11">
      <c r="A5146">
        <v>5144</v>
      </c>
      <c r="B5146">
        <v>5.9500000000000002E+150</v>
      </c>
      <c r="D5146" s="18">
        <v>5144</v>
      </c>
      <c r="E5146" s="18" cm="1">
        <f t="array" aca="1" ref="E5146" ca="1">INDIRECT("b"&amp;F5146+2)</f>
        <v>0</v>
      </c>
      <c r="F5146" s="18">
        <f t="shared" si="1077"/>
        <v>7257</v>
      </c>
      <c r="G5146" s="18"/>
      <c r="H5146" s="18"/>
      <c r="I5146" s="19">
        <v>5144</v>
      </c>
      <c r="J5146" s="19" cm="1">
        <f t="array" aca="1" ref="J5146" ca="1">INDIRECT("b"&amp;K5146+2)</f>
        <v>0</v>
      </c>
      <c r="K5146" s="19">
        <f t="shared" si="1073"/>
        <v>8457</v>
      </c>
    </row>
    <row r="5147" spans="1:11">
      <c r="A5147">
        <v>5145</v>
      </c>
      <c r="B5147">
        <v>6.1750000000000006E+150</v>
      </c>
      <c r="D5147" s="18">
        <v>5145</v>
      </c>
      <c r="E5147" s="18" cm="1">
        <f t="array" aca="1" ref="E5147" ca="1">INDIRECT("b"&amp;F5147+2)</f>
        <v>0</v>
      </c>
      <c r="F5147" s="18">
        <f t="shared" si="1077"/>
        <v>7258</v>
      </c>
      <c r="G5147" s="18" t="e">
        <f t="shared" ref="G5147" ca="1" si="1079">E5147/E5142</f>
        <v>#DIV/0!</v>
      </c>
      <c r="H5147" s="18"/>
      <c r="I5147" s="19">
        <v>5145</v>
      </c>
      <c r="J5147" s="19" cm="1">
        <f t="array" aca="1" ref="J5147" ca="1">INDIRECT("b"&amp;K5147+2)</f>
        <v>0</v>
      </c>
      <c r="K5147" s="19">
        <f t="shared" si="1073"/>
        <v>8458</v>
      </c>
    </row>
    <row r="5148" spans="1:11">
      <c r="A5148">
        <v>5146</v>
      </c>
      <c r="B5148">
        <v>6.4000000000000003E+150</v>
      </c>
      <c r="D5148" s="18">
        <v>5146</v>
      </c>
      <c r="E5148" s="18" cm="1">
        <f t="array" aca="1" ref="E5148" ca="1">INDIRECT("b"&amp;F5148+2)</f>
        <v>0</v>
      </c>
      <c r="F5148" s="18">
        <f t="shared" si="1077"/>
        <v>7260</v>
      </c>
      <c r="G5148" s="18"/>
      <c r="H5148" s="18"/>
      <c r="I5148" s="19">
        <v>5146</v>
      </c>
      <c r="J5148" s="19" cm="1">
        <f t="array" aca="1" ref="J5148" ca="1">INDIRECT("b"&amp;K5148+2)</f>
        <v>0</v>
      </c>
      <c r="K5148" s="19">
        <f t="shared" si="1073"/>
        <v>8460</v>
      </c>
    </row>
    <row r="5149" spans="1:11">
      <c r="A5149">
        <v>5147</v>
      </c>
      <c r="B5149">
        <v>6.625E+150</v>
      </c>
      <c r="D5149" s="18">
        <v>5147</v>
      </c>
      <c r="E5149" s="18" cm="1">
        <f t="array" aca="1" ref="E5149" ca="1">INDIRECT("b"&amp;F5149+2)</f>
        <v>0</v>
      </c>
      <c r="F5149" s="18">
        <f t="shared" si="1077"/>
        <v>7261</v>
      </c>
      <c r="G5149" s="18"/>
      <c r="H5149" s="18"/>
      <c r="I5149" s="19">
        <v>5147</v>
      </c>
      <c r="J5149" s="19" cm="1">
        <f t="array" aca="1" ref="J5149" ca="1">INDIRECT("b"&amp;K5149+2)</f>
        <v>0</v>
      </c>
      <c r="K5149" s="19">
        <f t="shared" si="1073"/>
        <v>8461</v>
      </c>
    </row>
    <row r="5150" spans="1:11">
      <c r="A5150">
        <v>5148</v>
      </c>
      <c r="B5150">
        <v>6.8500000000000004E+150</v>
      </c>
      <c r="D5150" s="18">
        <v>5148</v>
      </c>
      <c r="E5150" s="18" cm="1">
        <f t="array" aca="1" ref="E5150" ca="1">INDIRECT("b"&amp;F5150+2)</f>
        <v>0</v>
      </c>
      <c r="F5150" s="18">
        <f t="shared" si="1077"/>
        <v>7262</v>
      </c>
      <c r="G5150" s="18"/>
      <c r="H5150" s="18"/>
      <c r="I5150" s="19">
        <v>5148</v>
      </c>
      <c r="J5150" s="19" cm="1">
        <f t="array" aca="1" ref="J5150" ca="1">INDIRECT("b"&amp;K5150+2)</f>
        <v>0</v>
      </c>
      <c r="K5150" s="19">
        <f t="shared" si="1073"/>
        <v>8462</v>
      </c>
    </row>
    <row r="5151" spans="1:11">
      <c r="A5151">
        <v>5149</v>
      </c>
      <c r="B5151">
        <v>7.0750000000000008E+150</v>
      </c>
      <c r="D5151" s="18">
        <v>5149</v>
      </c>
      <c r="E5151" s="18" cm="1">
        <f t="array" aca="1" ref="E5151" ca="1">INDIRECT("b"&amp;F5151+2)</f>
        <v>0</v>
      </c>
      <c r="F5151" s="18">
        <f t="shared" si="1077"/>
        <v>7264</v>
      </c>
      <c r="G5151" s="18"/>
      <c r="H5151" s="18"/>
      <c r="I5151" s="19">
        <v>5149</v>
      </c>
      <c r="J5151" s="19" cm="1">
        <f t="array" aca="1" ref="J5151" ca="1">INDIRECT("b"&amp;K5151+2)</f>
        <v>0</v>
      </c>
      <c r="K5151" s="19">
        <f t="shared" si="1073"/>
        <v>8464</v>
      </c>
    </row>
    <row r="5152" spans="1:11">
      <c r="A5152">
        <v>5150</v>
      </c>
      <c r="B5152">
        <v>7.2999999999999997E+150</v>
      </c>
      <c r="D5152" s="18">
        <v>5150</v>
      </c>
      <c r="E5152" s="18" cm="1">
        <f t="array" aca="1" ref="E5152" ca="1">INDIRECT("b"&amp;F5152+2)</f>
        <v>0</v>
      </c>
      <c r="F5152" s="18">
        <f t="shared" si="1077"/>
        <v>7265</v>
      </c>
      <c r="G5152" s="18" t="e">
        <f t="shared" ref="G5152" ca="1" si="1080">E5152/E5147</f>
        <v>#DIV/0!</v>
      </c>
      <c r="H5152" s="18"/>
      <c r="I5152" s="19">
        <v>5150</v>
      </c>
      <c r="J5152" s="19" cm="1">
        <f t="array" aca="1" ref="J5152" ca="1">INDIRECT("b"&amp;K5152+2)</f>
        <v>0</v>
      </c>
      <c r="K5152" s="19">
        <f t="shared" si="1073"/>
        <v>8465</v>
      </c>
    </row>
    <row r="5153" spans="1:11">
      <c r="A5153">
        <v>5151</v>
      </c>
      <c r="B5153">
        <v>7.5250000000000001E+150</v>
      </c>
      <c r="D5153" s="18">
        <v>5151</v>
      </c>
      <c r="E5153" s="18" cm="1">
        <f t="array" aca="1" ref="E5153" ca="1">INDIRECT("b"&amp;F5153+2)</f>
        <v>0</v>
      </c>
      <c r="F5153" s="18">
        <f t="shared" si="1077"/>
        <v>7266</v>
      </c>
      <c r="G5153" s="18"/>
      <c r="H5153" s="18"/>
      <c r="I5153" s="19">
        <v>5151</v>
      </c>
      <c r="J5153" s="19" cm="1">
        <f t="array" aca="1" ref="J5153" ca="1">INDIRECT("b"&amp;K5153+2)</f>
        <v>0</v>
      </c>
      <c r="K5153" s="19">
        <f t="shared" si="1073"/>
        <v>8466</v>
      </c>
    </row>
    <row r="5154" spans="1:11">
      <c r="A5154">
        <v>5152</v>
      </c>
      <c r="B5154">
        <v>7.7500000000000005E+150</v>
      </c>
      <c r="D5154" s="18">
        <v>5152</v>
      </c>
      <c r="E5154" s="18" cm="1">
        <f t="array" aca="1" ref="E5154" ca="1">INDIRECT("b"&amp;F5154+2)</f>
        <v>0</v>
      </c>
      <c r="F5154" s="18">
        <f t="shared" si="1077"/>
        <v>7268</v>
      </c>
      <c r="G5154" s="18"/>
      <c r="H5154" s="18"/>
      <c r="I5154" s="19">
        <v>5152</v>
      </c>
      <c r="J5154" s="19" cm="1">
        <f t="array" aca="1" ref="J5154" ca="1">INDIRECT("b"&amp;K5154+2)</f>
        <v>0</v>
      </c>
      <c r="K5154" s="19">
        <f t="shared" si="1073"/>
        <v>8468</v>
      </c>
    </row>
    <row r="5155" spans="1:11">
      <c r="A5155">
        <v>5153</v>
      </c>
      <c r="B5155">
        <v>7.9750000000000009E+150</v>
      </c>
      <c r="D5155" s="18">
        <v>5153</v>
      </c>
      <c r="E5155" s="18" cm="1">
        <f t="array" aca="1" ref="E5155" ca="1">INDIRECT("b"&amp;F5155+2)</f>
        <v>0</v>
      </c>
      <c r="F5155" s="18">
        <f t="shared" si="1077"/>
        <v>7269</v>
      </c>
      <c r="G5155" s="18"/>
      <c r="H5155" s="18"/>
      <c r="I5155" s="19">
        <v>5153</v>
      </c>
      <c r="J5155" s="19" cm="1">
        <f t="array" aca="1" ref="J5155" ca="1">INDIRECT("b"&amp;K5155+2)</f>
        <v>0</v>
      </c>
      <c r="K5155" s="19">
        <f t="shared" si="1073"/>
        <v>8469</v>
      </c>
    </row>
    <row r="5156" spans="1:11">
      <c r="A5156">
        <v>5154</v>
      </c>
      <c r="B5156">
        <v>8.1999999999999999E+150</v>
      </c>
      <c r="D5156" s="18">
        <v>5154</v>
      </c>
      <c r="E5156" s="18" cm="1">
        <f t="array" aca="1" ref="E5156" ca="1">INDIRECT("b"&amp;F5156+2)</f>
        <v>0</v>
      </c>
      <c r="F5156" s="18">
        <f t="shared" si="1077"/>
        <v>7270</v>
      </c>
      <c r="G5156" s="18"/>
      <c r="H5156" s="18"/>
      <c r="I5156" s="19">
        <v>5154</v>
      </c>
      <c r="J5156" s="19" cm="1">
        <f t="array" aca="1" ref="J5156" ca="1">INDIRECT("b"&amp;K5156+2)</f>
        <v>0</v>
      </c>
      <c r="K5156" s="19">
        <f t="shared" si="1073"/>
        <v>8470</v>
      </c>
    </row>
    <row r="5157" spans="1:11">
      <c r="A5157">
        <v>5155</v>
      </c>
      <c r="B5157">
        <v>8.4250000000000003E+150</v>
      </c>
      <c r="D5157" s="18">
        <v>5155</v>
      </c>
      <c r="E5157" s="18" cm="1">
        <f t="array" aca="1" ref="E5157" ca="1">INDIRECT("b"&amp;F5157+2)</f>
        <v>0</v>
      </c>
      <c r="F5157" s="18">
        <f t="shared" si="1077"/>
        <v>7272</v>
      </c>
      <c r="G5157" s="18" t="e">
        <f t="shared" ref="G5157" ca="1" si="1081">E5157/E5152</f>
        <v>#DIV/0!</v>
      </c>
      <c r="H5157" s="18"/>
      <c r="I5157" s="19">
        <v>5155</v>
      </c>
      <c r="J5157" s="19" cm="1">
        <f t="array" aca="1" ref="J5157" ca="1">INDIRECT("b"&amp;K5157+2)</f>
        <v>0</v>
      </c>
      <c r="K5157" s="19">
        <f t="shared" si="1073"/>
        <v>8472</v>
      </c>
    </row>
    <row r="5158" spans="1:11">
      <c r="A5158">
        <v>5156</v>
      </c>
      <c r="B5158">
        <v>8.6500000000000007E+150</v>
      </c>
      <c r="D5158" s="18">
        <v>5156</v>
      </c>
      <c r="E5158" s="18" cm="1">
        <f t="array" aca="1" ref="E5158" ca="1">INDIRECT("b"&amp;F5158+2)</f>
        <v>0</v>
      </c>
      <c r="F5158" s="18">
        <f t="shared" si="1077"/>
        <v>7273</v>
      </c>
      <c r="G5158" s="18"/>
      <c r="H5158" s="18"/>
      <c r="I5158" s="19">
        <v>5156</v>
      </c>
      <c r="J5158" s="19" cm="1">
        <f t="array" aca="1" ref="J5158" ca="1">INDIRECT("b"&amp;K5158+2)</f>
        <v>0</v>
      </c>
      <c r="K5158" s="19">
        <f t="shared" si="1073"/>
        <v>8473</v>
      </c>
    </row>
    <row r="5159" spans="1:11">
      <c r="A5159">
        <v>5157</v>
      </c>
      <c r="B5159">
        <v>8.8750000000000011E+150</v>
      </c>
      <c r="D5159" s="18">
        <v>5157</v>
      </c>
      <c r="E5159" s="18" cm="1">
        <f t="array" aca="1" ref="E5159" ca="1">INDIRECT("b"&amp;F5159+2)</f>
        <v>0</v>
      </c>
      <c r="F5159" s="18">
        <f t="shared" si="1077"/>
        <v>7274</v>
      </c>
      <c r="G5159" s="18"/>
      <c r="H5159" s="18"/>
      <c r="I5159" s="19">
        <v>5157</v>
      </c>
      <c r="J5159" s="19" cm="1">
        <f t="array" aca="1" ref="J5159" ca="1">INDIRECT("b"&amp;K5159+2)</f>
        <v>0</v>
      </c>
      <c r="K5159" s="19">
        <f t="shared" si="1073"/>
        <v>8474</v>
      </c>
    </row>
    <row r="5160" spans="1:11">
      <c r="A5160">
        <v>5158</v>
      </c>
      <c r="B5160">
        <v>9.1E+150</v>
      </c>
      <c r="D5160" s="18">
        <v>5158</v>
      </c>
      <c r="E5160" s="18" cm="1">
        <f t="array" aca="1" ref="E5160" ca="1">INDIRECT("b"&amp;F5160+2)</f>
        <v>0</v>
      </c>
      <c r="F5160" s="18">
        <f t="shared" si="1077"/>
        <v>7276</v>
      </c>
      <c r="G5160" s="18"/>
      <c r="H5160" s="18"/>
      <c r="I5160" s="19">
        <v>5158</v>
      </c>
      <c r="J5160" s="19" cm="1">
        <f t="array" aca="1" ref="J5160" ca="1">INDIRECT("b"&amp;K5160+2)</f>
        <v>0</v>
      </c>
      <c r="K5160" s="19">
        <f t="shared" si="1073"/>
        <v>8476</v>
      </c>
    </row>
    <row r="5161" spans="1:11">
      <c r="A5161">
        <v>5159</v>
      </c>
      <c r="B5161">
        <v>9.3250000000000004E+150</v>
      </c>
      <c r="D5161" s="18">
        <v>5159</v>
      </c>
      <c r="E5161" s="18" cm="1">
        <f t="array" aca="1" ref="E5161" ca="1">INDIRECT("b"&amp;F5161+2)</f>
        <v>0</v>
      </c>
      <c r="F5161" s="18">
        <f t="shared" si="1077"/>
        <v>7277</v>
      </c>
      <c r="G5161" s="18"/>
      <c r="H5161" s="18"/>
      <c r="I5161" s="19">
        <v>5159</v>
      </c>
      <c r="J5161" s="19" cm="1">
        <f t="array" aca="1" ref="J5161" ca="1">INDIRECT("b"&amp;K5161+2)</f>
        <v>0</v>
      </c>
      <c r="K5161" s="19">
        <f t="shared" si="1073"/>
        <v>8477</v>
      </c>
    </row>
    <row r="5162" spans="1:11">
      <c r="A5162">
        <v>5160</v>
      </c>
      <c r="B5162">
        <v>9.5500000000000008E+150</v>
      </c>
      <c r="D5162" s="18">
        <v>5160</v>
      </c>
      <c r="E5162" s="18" cm="1">
        <f t="array" aca="1" ref="E5162" ca="1">INDIRECT("b"&amp;F5162+2)</f>
        <v>0</v>
      </c>
      <c r="F5162" s="18">
        <f t="shared" si="1077"/>
        <v>7278</v>
      </c>
      <c r="G5162" s="18" t="e">
        <f t="shared" ref="G5162" ca="1" si="1082">E5162/E5157</f>
        <v>#DIV/0!</v>
      </c>
      <c r="H5162" s="18"/>
      <c r="I5162" s="19">
        <v>5160</v>
      </c>
      <c r="J5162" s="19" cm="1">
        <f t="array" aca="1" ref="J5162" ca="1">INDIRECT("b"&amp;K5162+2)</f>
        <v>0</v>
      </c>
      <c r="K5162" s="19">
        <f t="shared" si="1073"/>
        <v>8478</v>
      </c>
    </row>
    <row r="5163" spans="1:11">
      <c r="A5163">
        <v>5161</v>
      </c>
      <c r="B5163">
        <v>9.7749999999999998E+150</v>
      </c>
      <c r="D5163" s="18">
        <v>5161</v>
      </c>
      <c r="E5163" s="18" cm="1">
        <f t="array" aca="1" ref="E5163" ca="1">INDIRECT("b"&amp;F5163+2)</f>
        <v>0</v>
      </c>
      <c r="F5163" s="18">
        <f t="shared" si="1077"/>
        <v>7280</v>
      </c>
      <c r="G5163" s="18"/>
      <c r="H5163" s="18"/>
      <c r="I5163" s="19">
        <v>5161</v>
      </c>
      <c r="J5163" s="19" cm="1">
        <f t="array" aca="1" ref="J5163" ca="1">INDIRECT("b"&amp;K5163+2)</f>
        <v>0</v>
      </c>
      <c r="K5163" s="19">
        <f t="shared" si="1073"/>
        <v>8480</v>
      </c>
    </row>
    <row r="5164" spans="1:11">
      <c r="A5164">
        <v>5162</v>
      </c>
      <c r="B5164">
        <v>1E+151</v>
      </c>
      <c r="D5164" s="18">
        <v>5162</v>
      </c>
      <c r="E5164" s="18" cm="1">
        <f t="array" aca="1" ref="E5164" ca="1">INDIRECT("b"&amp;F5164+2)</f>
        <v>0</v>
      </c>
      <c r="F5164" s="18">
        <f t="shared" si="1077"/>
        <v>7281</v>
      </c>
      <c r="G5164" s="18"/>
      <c r="H5164" s="18"/>
      <c r="I5164" s="19">
        <v>5162</v>
      </c>
      <c r="J5164" s="19" cm="1">
        <f t="array" aca="1" ref="J5164" ca="1">INDIRECT("b"&amp;K5164+2)</f>
        <v>0</v>
      </c>
      <c r="K5164" s="19">
        <f t="shared" si="1073"/>
        <v>8481</v>
      </c>
    </row>
    <row r="5165" spans="1:11">
      <c r="A5165">
        <v>5163</v>
      </c>
      <c r="B5165">
        <v>1.225E+151</v>
      </c>
      <c r="D5165" s="18">
        <v>5163</v>
      </c>
      <c r="E5165" s="18" cm="1">
        <f t="array" aca="1" ref="E5165" ca="1">INDIRECT("b"&amp;F5165+2)</f>
        <v>0</v>
      </c>
      <c r="F5165" s="18">
        <f t="shared" si="1077"/>
        <v>7282</v>
      </c>
      <c r="G5165" s="18"/>
      <c r="H5165" s="18"/>
      <c r="I5165" s="19">
        <v>5163</v>
      </c>
      <c r="J5165" s="19" cm="1">
        <f t="array" aca="1" ref="J5165" ca="1">INDIRECT("b"&amp;K5165+2)</f>
        <v>0</v>
      </c>
      <c r="K5165" s="19">
        <f t="shared" si="1073"/>
        <v>8482</v>
      </c>
    </row>
    <row r="5166" spans="1:11">
      <c r="A5166">
        <v>5164</v>
      </c>
      <c r="B5166">
        <v>1.4500000000000001E+151</v>
      </c>
      <c r="D5166" s="18">
        <v>5164</v>
      </c>
      <c r="E5166" s="18" cm="1">
        <f t="array" aca="1" ref="E5166" ca="1">INDIRECT("b"&amp;F5166+2)</f>
        <v>0</v>
      </c>
      <c r="F5166" s="18">
        <f t="shared" si="1077"/>
        <v>7284</v>
      </c>
      <c r="G5166" s="18"/>
      <c r="H5166" s="18"/>
      <c r="I5166" s="19">
        <v>5164</v>
      </c>
      <c r="J5166" s="19" cm="1">
        <f t="array" aca="1" ref="J5166" ca="1">INDIRECT("b"&amp;K5166+2)</f>
        <v>0</v>
      </c>
      <c r="K5166" s="19">
        <f t="shared" si="1073"/>
        <v>8484</v>
      </c>
    </row>
    <row r="5167" spans="1:11">
      <c r="A5167">
        <v>5165</v>
      </c>
      <c r="B5167">
        <v>1.6749999999999999E+151</v>
      </c>
      <c r="D5167" s="18">
        <v>5165</v>
      </c>
      <c r="E5167" s="18" cm="1">
        <f t="array" aca="1" ref="E5167" ca="1">INDIRECT("b"&amp;F5167+2)</f>
        <v>0</v>
      </c>
      <c r="F5167" s="18">
        <f t="shared" si="1077"/>
        <v>7285</v>
      </c>
      <c r="G5167" s="18" t="e">
        <f t="shared" ref="G5167" ca="1" si="1083">E5167/E5162</f>
        <v>#DIV/0!</v>
      </c>
      <c r="H5167" s="18"/>
      <c r="I5167" s="19">
        <v>5165</v>
      </c>
      <c r="J5167" s="19" cm="1">
        <f t="array" aca="1" ref="J5167" ca="1">INDIRECT("b"&amp;K5167+2)</f>
        <v>0</v>
      </c>
      <c r="K5167" s="19">
        <f t="shared" si="1073"/>
        <v>8485</v>
      </c>
    </row>
    <row r="5168" spans="1:11">
      <c r="A5168">
        <v>5166</v>
      </c>
      <c r="B5168">
        <v>1.9E+151</v>
      </c>
      <c r="D5168" s="18">
        <v>5166</v>
      </c>
      <c r="E5168" s="18" cm="1">
        <f t="array" aca="1" ref="E5168" ca="1">INDIRECT("b"&amp;F5168+2)</f>
        <v>0</v>
      </c>
      <c r="F5168" s="18">
        <f t="shared" si="1077"/>
        <v>7286</v>
      </c>
      <c r="G5168" s="18"/>
      <c r="H5168" s="18"/>
      <c r="I5168" s="19">
        <v>5166</v>
      </c>
      <c r="J5168" s="19" cm="1">
        <f t="array" aca="1" ref="J5168" ca="1">INDIRECT("b"&amp;K5168+2)</f>
        <v>0</v>
      </c>
      <c r="K5168" s="19">
        <f t="shared" si="1073"/>
        <v>8486</v>
      </c>
    </row>
    <row r="5169" spans="1:11">
      <c r="A5169">
        <v>5167</v>
      </c>
      <c r="B5169">
        <v>2.1250000000000001E+151</v>
      </c>
      <c r="D5169" s="18">
        <v>5167</v>
      </c>
      <c r="E5169" s="18" cm="1">
        <f t="array" aca="1" ref="E5169" ca="1">INDIRECT("b"&amp;F5169+2)</f>
        <v>0</v>
      </c>
      <c r="F5169" s="18">
        <f t="shared" si="1077"/>
        <v>7288</v>
      </c>
      <c r="G5169" s="18"/>
      <c r="H5169" s="18"/>
      <c r="I5169" s="19">
        <v>5167</v>
      </c>
      <c r="J5169" s="19" cm="1">
        <f t="array" aca="1" ref="J5169" ca="1">INDIRECT("b"&amp;K5169+2)</f>
        <v>0</v>
      </c>
      <c r="K5169" s="19">
        <f t="shared" si="1073"/>
        <v>8488</v>
      </c>
    </row>
    <row r="5170" spans="1:11">
      <c r="A5170">
        <v>5168</v>
      </c>
      <c r="B5170">
        <v>2.3499999999999999E+151</v>
      </c>
      <c r="D5170" s="18">
        <v>5168</v>
      </c>
      <c r="E5170" s="18" cm="1">
        <f t="array" aca="1" ref="E5170" ca="1">INDIRECT("b"&amp;F5170+2)</f>
        <v>0</v>
      </c>
      <c r="F5170" s="18">
        <f t="shared" si="1077"/>
        <v>7289</v>
      </c>
      <c r="G5170" s="18"/>
      <c r="H5170" s="18"/>
      <c r="I5170" s="19">
        <v>5168</v>
      </c>
      <c r="J5170" s="19" cm="1">
        <f t="array" aca="1" ref="J5170" ca="1">INDIRECT("b"&amp;K5170+2)</f>
        <v>0</v>
      </c>
      <c r="K5170" s="19">
        <f t="shared" si="1073"/>
        <v>8489</v>
      </c>
    </row>
    <row r="5171" spans="1:11">
      <c r="A5171">
        <v>5169</v>
      </c>
      <c r="B5171">
        <v>2.5750000000000001E+151</v>
      </c>
      <c r="D5171" s="18">
        <v>5169</v>
      </c>
      <c r="E5171" s="18" cm="1">
        <f t="array" aca="1" ref="E5171" ca="1">INDIRECT("b"&amp;F5171+2)</f>
        <v>0</v>
      </c>
      <c r="F5171" s="18">
        <f t="shared" si="1077"/>
        <v>7290</v>
      </c>
      <c r="G5171" s="18"/>
      <c r="H5171" s="18"/>
      <c r="I5171" s="19">
        <v>5169</v>
      </c>
      <c r="J5171" s="19" cm="1">
        <f t="array" aca="1" ref="J5171" ca="1">INDIRECT("b"&amp;K5171+2)</f>
        <v>0</v>
      </c>
      <c r="K5171" s="19">
        <f t="shared" si="1073"/>
        <v>8490</v>
      </c>
    </row>
    <row r="5172" spans="1:11">
      <c r="A5172">
        <v>5170</v>
      </c>
      <c r="B5172">
        <v>2.7999999999999999E+151</v>
      </c>
      <c r="D5172" s="18">
        <v>5170</v>
      </c>
      <c r="E5172" s="18" cm="1">
        <f t="array" aca="1" ref="E5172" ca="1">INDIRECT("b"&amp;F5172+2)</f>
        <v>0</v>
      </c>
      <c r="F5172" s="18">
        <f t="shared" si="1077"/>
        <v>7292</v>
      </c>
      <c r="G5172" s="18" t="e">
        <f t="shared" ref="G5172" ca="1" si="1084">E5172/E5167</f>
        <v>#DIV/0!</v>
      </c>
      <c r="H5172" s="18"/>
      <c r="I5172" s="19">
        <v>5170</v>
      </c>
      <c r="J5172" s="19" cm="1">
        <f t="array" aca="1" ref="J5172" ca="1">INDIRECT("b"&amp;K5172+2)</f>
        <v>0</v>
      </c>
      <c r="K5172" s="19">
        <f t="shared" si="1073"/>
        <v>8492</v>
      </c>
    </row>
    <row r="5173" spans="1:11">
      <c r="A5173">
        <v>5171</v>
      </c>
      <c r="B5173">
        <v>3.0250000000000003E+151</v>
      </c>
      <c r="D5173" s="18">
        <v>5171</v>
      </c>
      <c r="E5173" s="18" cm="1">
        <f t="array" aca="1" ref="E5173" ca="1">INDIRECT("b"&amp;F5173+2)</f>
        <v>0</v>
      </c>
      <c r="F5173" s="18">
        <f t="shared" si="1077"/>
        <v>7293</v>
      </c>
      <c r="G5173" s="18"/>
      <c r="H5173" s="18"/>
      <c r="I5173" s="19">
        <v>5171</v>
      </c>
      <c r="J5173" s="19" cm="1">
        <f t="array" aca="1" ref="J5173" ca="1">INDIRECT("b"&amp;K5173+2)</f>
        <v>0</v>
      </c>
      <c r="K5173" s="19">
        <f t="shared" si="1073"/>
        <v>8493</v>
      </c>
    </row>
    <row r="5174" spans="1:11">
      <c r="A5174">
        <v>5172</v>
      </c>
      <c r="B5174">
        <v>3.2500000000000001E+151</v>
      </c>
      <c r="D5174" s="18">
        <v>5172</v>
      </c>
      <c r="E5174" s="18" cm="1">
        <f t="array" aca="1" ref="E5174" ca="1">INDIRECT("b"&amp;F5174+2)</f>
        <v>0</v>
      </c>
      <c r="F5174" s="18">
        <f t="shared" si="1077"/>
        <v>7294</v>
      </c>
      <c r="G5174" s="18"/>
      <c r="H5174" s="18"/>
      <c r="I5174" s="19">
        <v>5172</v>
      </c>
      <c r="J5174" s="19" cm="1">
        <f t="array" aca="1" ref="J5174" ca="1">INDIRECT("b"&amp;K5174+2)</f>
        <v>0</v>
      </c>
      <c r="K5174" s="19">
        <f t="shared" si="1073"/>
        <v>8494</v>
      </c>
    </row>
    <row r="5175" spans="1:11">
      <c r="A5175">
        <v>5173</v>
      </c>
      <c r="B5175">
        <v>3.4749999999999999E+151</v>
      </c>
      <c r="D5175" s="18">
        <v>5173</v>
      </c>
      <c r="E5175" s="18" cm="1">
        <f t="array" aca="1" ref="E5175" ca="1">INDIRECT("b"&amp;F5175+2)</f>
        <v>0</v>
      </c>
      <c r="F5175" s="18">
        <f t="shared" si="1077"/>
        <v>7296</v>
      </c>
      <c r="G5175" s="18"/>
      <c r="H5175" s="18"/>
      <c r="I5175" s="19">
        <v>5173</v>
      </c>
      <c r="J5175" s="19" cm="1">
        <f t="array" aca="1" ref="J5175" ca="1">INDIRECT("b"&amp;K5175+2)</f>
        <v>0</v>
      </c>
      <c r="K5175" s="19">
        <f t="shared" si="1073"/>
        <v>8496</v>
      </c>
    </row>
    <row r="5176" spans="1:11">
      <c r="A5176">
        <v>5174</v>
      </c>
      <c r="B5176">
        <v>3.7000000000000003E+151</v>
      </c>
      <c r="D5176" s="18">
        <v>5174</v>
      </c>
      <c r="E5176" s="18" cm="1">
        <f t="array" aca="1" ref="E5176" ca="1">INDIRECT("b"&amp;F5176+2)</f>
        <v>0</v>
      </c>
      <c r="F5176" s="18">
        <f t="shared" si="1077"/>
        <v>7297</v>
      </c>
      <c r="G5176" s="18"/>
      <c r="H5176" s="18"/>
      <c r="I5176" s="19">
        <v>5174</v>
      </c>
      <c r="J5176" s="19" cm="1">
        <f t="array" aca="1" ref="J5176" ca="1">INDIRECT("b"&amp;K5176+2)</f>
        <v>0</v>
      </c>
      <c r="K5176" s="19">
        <f t="shared" si="1073"/>
        <v>8497</v>
      </c>
    </row>
    <row r="5177" spans="1:11">
      <c r="A5177">
        <v>5175</v>
      </c>
      <c r="B5177">
        <v>3.9250000000000001E+151</v>
      </c>
      <c r="D5177" s="18">
        <v>5175</v>
      </c>
      <c r="E5177" s="18" cm="1">
        <f t="array" aca="1" ref="E5177" ca="1">INDIRECT("b"&amp;F5177+2)</f>
        <v>0</v>
      </c>
      <c r="F5177" s="18">
        <f t="shared" si="1077"/>
        <v>7298</v>
      </c>
      <c r="G5177" s="18" t="e">
        <f t="shared" ref="G5177" ca="1" si="1085">E5177/E5172</f>
        <v>#DIV/0!</v>
      </c>
      <c r="H5177" s="18"/>
      <c r="I5177" s="19">
        <v>5175</v>
      </c>
      <c r="J5177" s="19" cm="1">
        <f t="array" aca="1" ref="J5177" ca="1">INDIRECT("b"&amp;K5177+2)</f>
        <v>0</v>
      </c>
      <c r="K5177" s="19">
        <f t="shared" si="1073"/>
        <v>8498</v>
      </c>
    </row>
    <row r="5178" spans="1:11">
      <c r="A5178">
        <v>5176</v>
      </c>
      <c r="B5178">
        <v>4.1499999999999999E+151</v>
      </c>
      <c r="D5178" s="18">
        <v>5176</v>
      </c>
      <c r="E5178" s="18" cm="1">
        <f t="array" aca="1" ref="E5178" ca="1">INDIRECT("b"&amp;F5178+2)</f>
        <v>0</v>
      </c>
      <c r="F5178" s="18">
        <f t="shared" si="1077"/>
        <v>7300</v>
      </c>
      <c r="G5178" s="18"/>
      <c r="H5178" s="18"/>
      <c r="I5178" s="19">
        <v>5176</v>
      </c>
      <c r="J5178" s="19" cm="1">
        <f t="array" aca="1" ref="J5178" ca="1">INDIRECT("b"&amp;K5178+2)</f>
        <v>0</v>
      </c>
      <c r="K5178" s="19">
        <f t="shared" si="1073"/>
        <v>8500</v>
      </c>
    </row>
    <row r="5179" spans="1:11">
      <c r="A5179">
        <v>5177</v>
      </c>
      <c r="B5179">
        <v>4.3750000000000003E+151</v>
      </c>
      <c r="D5179" s="18">
        <v>5177</v>
      </c>
      <c r="E5179" s="18" cm="1">
        <f t="array" aca="1" ref="E5179" ca="1">INDIRECT("b"&amp;F5179+2)</f>
        <v>0</v>
      </c>
      <c r="F5179" s="18">
        <f t="shared" si="1077"/>
        <v>7301</v>
      </c>
      <c r="G5179" s="18"/>
      <c r="H5179" s="18"/>
      <c r="I5179" s="19">
        <v>5177</v>
      </c>
      <c r="J5179" s="19" cm="1">
        <f t="array" aca="1" ref="J5179" ca="1">INDIRECT("b"&amp;K5179+2)</f>
        <v>0</v>
      </c>
      <c r="K5179" s="19">
        <f t="shared" si="1073"/>
        <v>8501</v>
      </c>
    </row>
    <row r="5180" spans="1:11">
      <c r="A5180">
        <v>5178</v>
      </c>
      <c r="B5180">
        <v>4.6000000000000002E+151</v>
      </c>
      <c r="D5180" s="18">
        <v>5178</v>
      </c>
      <c r="E5180" s="18" cm="1">
        <f t="array" aca="1" ref="E5180" ca="1">INDIRECT("b"&amp;F5180+2)</f>
        <v>0</v>
      </c>
      <c r="F5180" s="18">
        <f t="shared" si="1077"/>
        <v>7302</v>
      </c>
      <c r="G5180" s="18"/>
      <c r="H5180" s="18"/>
      <c r="I5180" s="19">
        <v>5178</v>
      </c>
      <c r="J5180" s="19" cm="1">
        <f t="array" aca="1" ref="J5180" ca="1">INDIRECT("b"&amp;K5180+2)</f>
        <v>0</v>
      </c>
      <c r="K5180" s="19">
        <f t="shared" si="1073"/>
        <v>8502</v>
      </c>
    </row>
    <row r="5181" spans="1:11">
      <c r="A5181">
        <v>5179</v>
      </c>
      <c r="B5181">
        <v>4.825E+151</v>
      </c>
      <c r="D5181" s="18">
        <v>5179</v>
      </c>
      <c r="E5181" s="18" cm="1">
        <f t="array" aca="1" ref="E5181" ca="1">INDIRECT("b"&amp;F5181+2)</f>
        <v>0</v>
      </c>
      <c r="F5181" s="18">
        <f t="shared" si="1077"/>
        <v>7304</v>
      </c>
      <c r="G5181" s="18"/>
      <c r="H5181" s="18"/>
      <c r="I5181" s="19">
        <v>5179</v>
      </c>
      <c r="J5181" s="19" cm="1">
        <f t="array" aca="1" ref="J5181" ca="1">INDIRECT("b"&amp;K5181+2)</f>
        <v>0</v>
      </c>
      <c r="K5181" s="19">
        <f t="shared" si="1073"/>
        <v>8504</v>
      </c>
    </row>
    <row r="5182" spans="1:11">
      <c r="A5182">
        <v>5180</v>
      </c>
      <c r="B5182">
        <v>5.0500000000000004E+151</v>
      </c>
      <c r="D5182" s="18">
        <v>5180</v>
      </c>
      <c r="E5182" s="18" cm="1">
        <f t="array" aca="1" ref="E5182" ca="1">INDIRECT("b"&amp;F5182+2)</f>
        <v>0</v>
      </c>
      <c r="F5182" s="18">
        <f t="shared" si="1077"/>
        <v>7305</v>
      </c>
      <c r="G5182" s="18" t="e">
        <f t="shared" ref="G5182" ca="1" si="1086">E5182/E5177</f>
        <v>#DIV/0!</v>
      </c>
      <c r="H5182" s="18"/>
      <c r="I5182" s="19">
        <v>5180</v>
      </c>
      <c r="J5182" s="19" cm="1">
        <f t="array" aca="1" ref="J5182" ca="1">INDIRECT("b"&amp;K5182+2)</f>
        <v>0</v>
      </c>
      <c r="K5182" s="19">
        <f t="shared" si="1073"/>
        <v>8505</v>
      </c>
    </row>
    <row r="5183" spans="1:11">
      <c r="A5183">
        <v>5181</v>
      </c>
      <c r="B5183">
        <v>5.2749999999999996E+151</v>
      </c>
      <c r="D5183" s="18">
        <v>5181</v>
      </c>
      <c r="E5183" s="18" cm="1">
        <f t="array" aca="1" ref="E5183" ca="1">INDIRECT("b"&amp;F5183+2)</f>
        <v>0</v>
      </c>
      <c r="F5183" s="18">
        <f t="shared" si="1077"/>
        <v>7306</v>
      </c>
      <c r="G5183" s="18"/>
      <c r="H5183" s="18"/>
      <c r="I5183" s="19">
        <v>5181</v>
      </c>
      <c r="J5183" s="19" cm="1">
        <f t="array" aca="1" ref="J5183" ca="1">INDIRECT("b"&amp;K5183+2)</f>
        <v>0</v>
      </c>
      <c r="K5183" s="19">
        <f t="shared" si="1073"/>
        <v>8506</v>
      </c>
    </row>
    <row r="5184" spans="1:11">
      <c r="A5184">
        <v>5182</v>
      </c>
      <c r="B5184">
        <v>5.5000000000000006E+151</v>
      </c>
      <c r="D5184" s="18">
        <v>5182</v>
      </c>
      <c r="E5184" s="18" cm="1">
        <f t="array" aca="1" ref="E5184" ca="1">INDIRECT("b"&amp;F5184+2)</f>
        <v>0</v>
      </c>
      <c r="F5184" s="18">
        <f t="shared" si="1077"/>
        <v>7308</v>
      </c>
      <c r="G5184" s="18"/>
      <c r="H5184" s="18"/>
      <c r="I5184" s="19">
        <v>5182</v>
      </c>
      <c r="J5184" s="19" cm="1">
        <f t="array" aca="1" ref="J5184" ca="1">INDIRECT("b"&amp;K5184+2)</f>
        <v>0</v>
      </c>
      <c r="K5184" s="19">
        <f t="shared" si="1073"/>
        <v>8508</v>
      </c>
    </row>
    <row r="5185" spans="1:11">
      <c r="A5185">
        <v>5183</v>
      </c>
      <c r="B5185">
        <v>5.7250000000000004E+151</v>
      </c>
      <c r="D5185" s="18">
        <v>5183</v>
      </c>
      <c r="E5185" s="18" cm="1">
        <f t="array" aca="1" ref="E5185" ca="1">INDIRECT("b"&amp;F5185+2)</f>
        <v>0</v>
      </c>
      <c r="F5185" s="18">
        <f t="shared" si="1077"/>
        <v>7309</v>
      </c>
      <c r="G5185" s="18"/>
      <c r="H5185" s="18"/>
      <c r="I5185" s="19">
        <v>5183</v>
      </c>
      <c r="J5185" s="19" cm="1">
        <f t="array" aca="1" ref="J5185" ca="1">INDIRECT("b"&amp;K5185+2)</f>
        <v>0</v>
      </c>
      <c r="K5185" s="19">
        <f t="shared" si="1073"/>
        <v>8509</v>
      </c>
    </row>
    <row r="5186" spans="1:11">
      <c r="A5186">
        <v>5184</v>
      </c>
      <c r="B5186">
        <v>5.9500000000000002E+151</v>
      </c>
      <c r="D5186" s="18">
        <v>5184</v>
      </c>
      <c r="E5186" s="18" cm="1">
        <f t="array" aca="1" ref="E5186" ca="1">INDIRECT("b"&amp;F5186+2)</f>
        <v>0</v>
      </c>
      <c r="F5186" s="18">
        <f t="shared" si="1077"/>
        <v>7310</v>
      </c>
      <c r="G5186" s="18"/>
      <c r="H5186" s="18"/>
      <c r="I5186" s="19">
        <v>5184</v>
      </c>
      <c r="J5186" s="19" cm="1">
        <f t="array" aca="1" ref="J5186" ca="1">INDIRECT("b"&amp;K5186+2)</f>
        <v>0</v>
      </c>
      <c r="K5186" s="19">
        <f t="shared" si="1073"/>
        <v>8510</v>
      </c>
    </row>
    <row r="5187" spans="1:11">
      <c r="A5187">
        <v>5185</v>
      </c>
      <c r="B5187">
        <v>6.1750000000000001E+151</v>
      </c>
      <c r="D5187" s="18">
        <v>5185</v>
      </c>
      <c r="E5187" s="18" cm="1">
        <f t="array" aca="1" ref="E5187" ca="1">INDIRECT("b"&amp;F5187+2)</f>
        <v>0</v>
      </c>
      <c r="F5187" s="18">
        <f t="shared" si="1077"/>
        <v>7312</v>
      </c>
      <c r="G5187" s="18" t="e">
        <f t="shared" ref="G5187" ca="1" si="1087">E5187/E5182</f>
        <v>#DIV/0!</v>
      </c>
      <c r="H5187" s="18"/>
      <c r="I5187" s="19">
        <v>5185</v>
      </c>
      <c r="J5187" s="19" cm="1">
        <f t="array" aca="1" ref="J5187" ca="1">INDIRECT("b"&amp;K5187+2)</f>
        <v>0</v>
      </c>
      <c r="K5187" s="19">
        <f t="shared" si="1073"/>
        <v>8512</v>
      </c>
    </row>
    <row r="5188" spans="1:11">
      <c r="A5188">
        <v>5186</v>
      </c>
      <c r="B5188">
        <v>6.3999999999999999E+151</v>
      </c>
      <c r="D5188" s="18">
        <v>5186</v>
      </c>
      <c r="E5188" s="18" cm="1">
        <f t="array" aca="1" ref="E5188" ca="1">INDIRECT("b"&amp;F5188+2)</f>
        <v>0</v>
      </c>
      <c r="F5188" s="18">
        <f t="shared" si="1077"/>
        <v>7313</v>
      </c>
      <c r="G5188" s="18"/>
      <c r="H5188" s="18"/>
      <c r="I5188" s="19">
        <v>5186</v>
      </c>
      <c r="J5188" s="19" cm="1">
        <f t="array" aca="1" ref="J5188" ca="1">INDIRECT("b"&amp;K5188+2)</f>
        <v>0</v>
      </c>
      <c r="K5188" s="19">
        <f t="shared" ref="K5188:K5251" si="1088">INT((A5188-1)*40/30+900*40/30)+400</f>
        <v>8513</v>
      </c>
    </row>
    <row r="5189" spans="1:11">
      <c r="A5189">
        <v>5187</v>
      </c>
      <c r="B5189">
        <v>6.6249999999999997E+151</v>
      </c>
      <c r="D5189" s="18">
        <v>5187</v>
      </c>
      <c r="E5189" s="18" cm="1">
        <f t="array" aca="1" ref="E5189" ca="1">INDIRECT("b"&amp;F5189+2)</f>
        <v>0</v>
      </c>
      <c r="F5189" s="18">
        <f t="shared" si="1077"/>
        <v>7314</v>
      </c>
      <c r="G5189" s="18"/>
      <c r="H5189" s="18"/>
      <c r="I5189" s="19">
        <v>5187</v>
      </c>
      <c r="J5189" s="19" cm="1">
        <f t="array" aca="1" ref="J5189" ca="1">INDIRECT("b"&amp;K5189+2)</f>
        <v>0</v>
      </c>
      <c r="K5189" s="19">
        <f t="shared" si="1088"/>
        <v>8514</v>
      </c>
    </row>
    <row r="5190" spans="1:11">
      <c r="A5190">
        <v>5188</v>
      </c>
      <c r="B5190">
        <v>6.8500000000000007E+151</v>
      </c>
      <c r="D5190" s="18">
        <v>5188</v>
      </c>
      <c r="E5190" s="18" cm="1">
        <f t="array" aca="1" ref="E5190" ca="1">INDIRECT("b"&amp;F5190+2)</f>
        <v>0</v>
      </c>
      <c r="F5190" s="18">
        <f t="shared" si="1077"/>
        <v>7316</v>
      </c>
      <c r="G5190" s="18"/>
      <c r="H5190" s="18"/>
      <c r="I5190" s="19">
        <v>5188</v>
      </c>
      <c r="J5190" s="19" cm="1">
        <f t="array" aca="1" ref="J5190" ca="1">INDIRECT("b"&amp;K5190+2)</f>
        <v>0</v>
      </c>
      <c r="K5190" s="19">
        <f t="shared" si="1088"/>
        <v>8516</v>
      </c>
    </row>
    <row r="5191" spans="1:11">
      <c r="A5191">
        <v>5189</v>
      </c>
      <c r="B5191">
        <v>7.0750000000000005E+151</v>
      </c>
      <c r="D5191" s="18">
        <v>5189</v>
      </c>
      <c r="E5191" s="18" cm="1">
        <f t="array" aca="1" ref="E5191" ca="1">INDIRECT("b"&amp;F5191+2)</f>
        <v>0</v>
      </c>
      <c r="F5191" s="18">
        <f t="shared" si="1077"/>
        <v>7317</v>
      </c>
      <c r="G5191" s="18"/>
      <c r="H5191" s="18"/>
      <c r="I5191" s="19">
        <v>5189</v>
      </c>
      <c r="J5191" s="19" cm="1">
        <f t="array" aca="1" ref="J5191" ca="1">INDIRECT("b"&amp;K5191+2)</f>
        <v>0</v>
      </c>
      <c r="K5191" s="19">
        <f t="shared" si="1088"/>
        <v>8517</v>
      </c>
    </row>
    <row r="5192" spans="1:11">
      <c r="A5192">
        <v>5190</v>
      </c>
      <c r="B5192">
        <v>7.3000000000000003E+151</v>
      </c>
      <c r="D5192" s="18">
        <v>5190</v>
      </c>
      <c r="E5192" s="18" cm="1">
        <f t="array" aca="1" ref="E5192" ca="1">INDIRECT("b"&amp;F5192+2)</f>
        <v>0</v>
      </c>
      <c r="F5192" s="18">
        <f t="shared" si="1077"/>
        <v>7318</v>
      </c>
      <c r="G5192" s="18" t="e">
        <f t="shared" ref="G5192" ca="1" si="1089">E5192/E5187</f>
        <v>#DIV/0!</v>
      </c>
      <c r="H5192" s="18"/>
      <c r="I5192" s="19">
        <v>5190</v>
      </c>
      <c r="J5192" s="19" cm="1">
        <f t="array" aca="1" ref="J5192" ca="1">INDIRECT("b"&amp;K5192+2)</f>
        <v>0</v>
      </c>
      <c r="K5192" s="19">
        <f t="shared" si="1088"/>
        <v>8518</v>
      </c>
    </row>
    <row r="5193" spans="1:11">
      <c r="A5193">
        <v>5191</v>
      </c>
      <c r="B5193">
        <v>7.5250000000000001E+151</v>
      </c>
      <c r="D5193" s="18">
        <v>5191</v>
      </c>
      <c r="E5193" s="18" cm="1">
        <f t="array" aca="1" ref="E5193" ca="1">INDIRECT("b"&amp;F5193+2)</f>
        <v>0</v>
      </c>
      <c r="F5193" s="18">
        <f t="shared" si="1077"/>
        <v>7320</v>
      </c>
      <c r="G5193" s="18"/>
      <c r="H5193" s="18"/>
      <c r="I5193" s="19">
        <v>5191</v>
      </c>
      <c r="J5193" s="19" cm="1">
        <f t="array" aca="1" ref="J5193" ca="1">INDIRECT("b"&amp;K5193+2)</f>
        <v>0</v>
      </c>
      <c r="K5193" s="19">
        <f t="shared" si="1088"/>
        <v>8520</v>
      </c>
    </row>
    <row r="5194" spans="1:11">
      <c r="A5194">
        <v>5192</v>
      </c>
      <c r="B5194">
        <v>7.75E+151</v>
      </c>
      <c r="D5194" s="18">
        <v>5192</v>
      </c>
      <c r="E5194" s="18" cm="1">
        <f t="array" aca="1" ref="E5194" ca="1">INDIRECT("b"&amp;F5194+2)</f>
        <v>0</v>
      </c>
      <c r="F5194" s="18">
        <f t="shared" si="1077"/>
        <v>7321</v>
      </c>
      <c r="G5194" s="18"/>
      <c r="H5194" s="18"/>
      <c r="I5194" s="19">
        <v>5192</v>
      </c>
      <c r="J5194" s="19" cm="1">
        <f t="array" aca="1" ref="J5194" ca="1">INDIRECT("b"&amp;K5194+2)</f>
        <v>0</v>
      </c>
      <c r="K5194" s="19">
        <f t="shared" si="1088"/>
        <v>8521</v>
      </c>
    </row>
    <row r="5195" spans="1:11">
      <c r="A5195">
        <v>5193</v>
      </c>
      <c r="B5195">
        <v>7.9749999999999998E+151</v>
      </c>
      <c r="D5195" s="18">
        <v>5193</v>
      </c>
      <c r="E5195" s="18" cm="1">
        <f t="array" aca="1" ref="E5195" ca="1">INDIRECT("b"&amp;F5195+2)</f>
        <v>0</v>
      </c>
      <c r="F5195" s="18">
        <f t="shared" si="1077"/>
        <v>7322</v>
      </c>
      <c r="G5195" s="18"/>
      <c r="H5195" s="18"/>
      <c r="I5195" s="19">
        <v>5193</v>
      </c>
      <c r="J5195" s="19" cm="1">
        <f t="array" aca="1" ref="J5195" ca="1">INDIRECT("b"&amp;K5195+2)</f>
        <v>0</v>
      </c>
      <c r="K5195" s="19">
        <f t="shared" si="1088"/>
        <v>8522</v>
      </c>
    </row>
    <row r="5196" spans="1:11">
      <c r="A5196">
        <v>5194</v>
      </c>
      <c r="B5196">
        <v>8.2000000000000008E+151</v>
      </c>
      <c r="D5196" s="18">
        <v>5194</v>
      </c>
      <c r="E5196" s="18" cm="1">
        <f t="array" aca="1" ref="E5196" ca="1">INDIRECT("b"&amp;F5196+2)</f>
        <v>0</v>
      </c>
      <c r="F5196" s="18">
        <f t="shared" si="1077"/>
        <v>7324</v>
      </c>
      <c r="G5196" s="18"/>
      <c r="H5196" s="18"/>
      <c r="I5196" s="19">
        <v>5194</v>
      </c>
      <c r="J5196" s="19" cm="1">
        <f t="array" aca="1" ref="J5196" ca="1">INDIRECT("b"&amp;K5196+2)</f>
        <v>0</v>
      </c>
      <c r="K5196" s="19">
        <f t="shared" si="1088"/>
        <v>8524</v>
      </c>
    </row>
    <row r="5197" spans="1:11">
      <c r="A5197">
        <v>5195</v>
      </c>
      <c r="B5197">
        <v>8.4250000000000006E+151</v>
      </c>
      <c r="D5197" s="18">
        <v>5195</v>
      </c>
      <c r="E5197" s="18" cm="1">
        <f t="array" aca="1" ref="E5197" ca="1">INDIRECT("b"&amp;F5197+2)</f>
        <v>0</v>
      </c>
      <c r="F5197" s="18">
        <f t="shared" si="1077"/>
        <v>7325</v>
      </c>
      <c r="G5197" s="18" t="e">
        <f t="shared" ref="G5197" ca="1" si="1090">E5197/E5192</f>
        <v>#DIV/0!</v>
      </c>
      <c r="H5197" s="18"/>
      <c r="I5197" s="19">
        <v>5195</v>
      </c>
      <c r="J5197" s="19" cm="1">
        <f t="array" aca="1" ref="J5197" ca="1">INDIRECT("b"&amp;K5197+2)</f>
        <v>0</v>
      </c>
      <c r="K5197" s="19">
        <f t="shared" si="1088"/>
        <v>8525</v>
      </c>
    </row>
    <row r="5198" spans="1:11">
      <c r="A5198">
        <v>5196</v>
      </c>
      <c r="B5198">
        <v>8.6500000000000004E+151</v>
      </c>
      <c r="D5198" s="18">
        <v>5196</v>
      </c>
      <c r="E5198" s="18" cm="1">
        <f t="array" aca="1" ref="E5198" ca="1">INDIRECT("b"&amp;F5198+2)</f>
        <v>0</v>
      </c>
      <c r="F5198" s="18">
        <f t="shared" si="1077"/>
        <v>7326</v>
      </c>
      <c r="G5198" s="18"/>
      <c r="H5198" s="18"/>
      <c r="I5198" s="19">
        <v>5196</v>
      </c>
      <c r="J5198" s="19" cm="1">
        <f t="array" aca="1" ref="J5198" ca="1">INDIRECT("b"&amp;K5198+2)</f>
        <v>0</v>
      </c>
      <c r="K5198" s="19">
        <f t="shared" si="1088"/>
        <v>8526</v>
      </c>
    </row>
    <row r="5199" spans="1:11">
      <c r="A5199">
        <v>5197</v>
      </c>
      <c r="B5199">
        <v>8.8750000000000002E+151</v>
      </c>
      <c r="D5199" s="18">
        <v>5197</v>
      </c>
      <c r="E5199" s="18" cm="1">
        <f t="array" aca="1" ref="E5199" ca="1">INDIRECT("b"&amp;F5199+2)</f>
        <v>0</v>
      </c>
      <c r="F5199" s="18">
        <f t="shared" si="1077"/>
        <v>7328</v>
      </c>
      <c r="G5199" s="18"/>
      <c r="H5199" s="18"/>
      <c r="I5199" s="19">
        <v>5197</v>
      </c>
      <c r="J5199" s="19" cm="1">
        <f t="array" aca="1" ref="J5199" ca="1">INDIRECT("b"&amp;K5199+2)</f>
        <v>0</v>
      </c>
      <c r="K5199" s="19">
        <f t="shared" si="1088"/>
        <v>8528</v>
      </c>
    </row>
    <row r="5200" spans="1:11">
      <c r="A5200">
        <v>5198</v>
      </c>
      <c r="B5200">
        <v>9.1E+151</v>
      </c>
      <c r="D5200" s="18">
        <v>5198</v>
      </c>
      <c r="E5200" s="18" cm="1">
        <f t="array" aca="1" ref="E5200" ca="1">INDIRECT("b"&amp;F5200+2)</f>
        <v>0</v>
      </c>
      <c r="F5200" s="18">
        <f t="shared" si="1077"/>
        <v>7329</v>
      </c>
      <c r="G5200" s="18"/>
      <c r="H5200" s="18"/>
      <c r="I5200" s="19">
        <v>5198</v>
      </c>
      <c r="J5200" s="19" cm="1">
        <f t="array" aca="1" ref="J5200" ca="1">INDIRECT("b"&amp;K5200+2)</f>
        <v>0</v>
      </c>
      <c r="K5200" s="19">
        <f t="shared" si="1088"/>
        <v>8529</v>
      </c>
    </row>
    <row r="5201" spans="1:11">
      <c r="A5201">
        <v>5199</v>
      </c>
      <c r="B5201">
        <v>9.3249999999999998E+151</v>
      </c>
      <c r="D5201" s="18">
        <v>5199</v>
      </c>
      <c r="E5201" s="18" cm="1">
        <f t="array" aca="1" ref="E5201" ca="1">INDIRECT("b"&amp;F5201+2)</f>
        <v>0</v>
      </c>
      <c r="F5201" s="18">
        <f t="shared" si="1077"/>
        <v>7330</v>
      </c>
      <c r="G5201" s="18"/>
      <c r="H5201" s="18"/>
      <c r="I5201" s="19">
        <v>5199</v>
      </c>
      <c r="J5201" s="19" cm="1">
        <f t="array" aca="1" ref="J5201" ca="1">INDIRECT("b"&amp;K5201+2)</f>
        <v>0</v>
      </c>
      <c r="K5201" s="19">
        <f t="shared" si="1088"/>
        <v>8530</v>
      </c>
    </row>
    <row r="5202" spans="1:11">
      <c r="A5202">
        <v>5200</v>
      </c>
      <c r="B5202">
        <v>9.5499999999999997E+151</v>
      </c>
      <c r="D5202" s="18">
        <v>5200</v>
      </c>
      <c r="E5202" s="18" cm="1">
        <f t="array" aca="1" ref="E5202" ca="1">INDIRECT("b"&amp;F5202+2)</f>
        <v>0</v>
      </c>
      <c r="F5202" s="18">
        <f t="shared" si="1077"/>
        <v>7332</v>
      </c>
      <c r="G5202" s="18" t="e">
        <f t="shared" ref="G5202" ca="1" si="1091">E5202/E5197</f>
        <v>#DIV/0!</v>
      </c>
      <c r="H5202" s="18"/>
      <c r="I5202" s="19">
        <v>5200</v>
      </c>
      <c r="J5202" s="19" cm="1">
        <f t="array" aca="1" ref="J5202" ca="1">INDIRECT("b"&amp;K5202+2)</f>
        <v>0</v>
      </c>
      <c r="K5202" s="19">
        <f t="shared" si="1088"/>
        <v>8532</v>
      </c>
    </row>
    <row r="5203" spans="1:11">
      <c r="A5203">
        <v>5201</v>
      </c>
      <c r="B5203">
        <v>9.7750000000000006E+151</v>
      </c>
      <c r="D5203" s="18">
        <v>5201</v>
      </c>
      <c r="E5203" s="18" cm="1">
        <f t="array" aca="1" ref="E5203" ca="1">INDIRECT("b"&amp;F5203+2)</f>
        <v>0</v>
      </c>
      <c r="F5203" s="18">
        <f t="shared" ref="F5203:F5266" si="1092">INT((A5203-123)*1.333333)+563</f>
        <v>7333</v>
      </c>
      <c r="G5203" s="18"/>
      <c r="H5203" s="18"/>
      <c r="I5203" s="19">
        <v>5201</v>
      </c>
      <c r="J5203" s="19" cm="1">
        <f t="array" aca="1" ref="J5203" ca="1">INDIRECT("b"&amp;K5203+2)</f>
        <v>0</v>
      </c>
      <c r="K5203" s="19">
        <f t="shared" si="1088"/>
        <v>8533</v>
      </c>
    </row>
    <row r="5204" spans="1:11">
      <c r="A5204">
        <v>5202</v>
      </c>
      <c r="B5204">
        <v>1E+152</v>
      </c>
      <c r="D5204" s="18">
        <v>5202</v>
      </c>
      <c r="E5204" s="18" cm="1">
        <f t="array" aca="1" ref="E5204" ca="1">INDIRECT("b"&amp;F5204+2)</f>
        <v>0</v>
      </c>
      <c r="F5204" s="18">
        <f t="shared" si="1092"/>
        <v>7334</v>
      </c>
      <c r="G5204" s="18"/>
      <c r="H5204" s="18"/>
      <c r="I5204" s="19">
        <v>5202</v>
      </c>
      <c r="J5204" s="19" cm="1">
        <f t="array" aca="1" ref="J5204" ca="1">INDIRECT("b"&amp;K5204+2)</f>
        <v>0</v>
      </c>
      <c r="K5204" s="19">
        <f t="shared" si="1088"/>
        <v>8534</v>
      </c>
    </row>
    <row r="5205" spans="1:11">
      <c r="A5205">
        <v>5203</v>
      </c>
      <c r="B5205">
        <v>1.2250000000000001E+152</v>
      </c>
      <c r="D5205" s="18">
        <v>5203</v>
      </c>
      <c r="E5205" s="18" cm="1">
        <f t="array" aca="1" ref="E5205" ca="1">INDIRECT("b"&amp;F5205+2)</f>
        <v>0</v>
      </c>
      <c r="F5205" s="18">
        <f t="shared" si="1092"/>
        <v>7336</v>
      </c>
      <c r="G5205" s="18"/>
      <c r="H5205" s="18"/>
      <c r="I5205" s="19">
        <v>5203</v>
      </c>
      <c r="J5205" s="19" cm="1">
        <f t="array" aca="1" ref="J5205" ca="1">INDIRECT("b"&amp;K5205+2)</f>
        <v>0</v>
      </c>
      <c r="K5205" s="19">
        <f t="shared" si="1088"/>
        <v>8536</v>
      </c>
    </row>
    <row r="5206" spans="1:11">
      <c r="A5206">
        <v>5204</v>
      </c>
      <c r="B5206">
        <v>1.4500000000000001E+152</v>
      </c>
      <c r="D5206" s="18">
        <v>5204</v>
      </c>
      <c r="E5206" s="18" cm="1">
        <f t="array" aca="1" ref="E5206" ca="1">INDIRECT("b"&amp;F5206+2)</f>
        <v>0</v>
      </c>
      <c r="F5206" s="18">
        <f t="shared" si="1092"/>
        <v>7337</v>
      </c>
      <c r="G5206" s="18"/>
      <c r="H5206" s="18"/>
      <c r="I5206" s="19">
        <v>5204</v>
      </c>
      <c r="J5206" s="19" cm="1">
        <f t="array" aca="1" ref="J5206" ca="1">INDIRECT("b"&amp;K5206+2)</f>
        <v>0</v>
      </c>
      <c r="K5206" s="19">
        <f t="shared" si="1088"/>
        <v>8537</v>
      </c>
    </row>
    <row r="5207" spans="1:11">
      <c r="A5207">
        <v>5205</v>
      </c>
      <c r="B5207">
        <v>1.675E+152</v>
      </c>
      <c r="D5207" s="18">
        <v>5205</v>
      </c>
      <c r="E5207" s="18" cm="1">
        <f t="array" aca="1" ref="E5207" ca="1">INDIRECT("b"&amp;F5207+2)</f>
        <v>0</v>
      </c>
      <c r="F5207" s="18">
        <f t="shared" si="1092"/>
        <v>7338</v>
      </c>
      <c r="G5207" s="18" t="e">
        <f t="shared" ref="G5207" ca="1" si="1093">E5207/E5202</f>
        <v>#DIV/0!</v>
      </c>
      <c r="H5207" s="18"/>
      <c r="I5207" s="19">
        <v>5205</v>
      </c>
      <c r="J5207" s="19" cm="1">
        <f t="array" aca="1" ref="J5207" ca="1">INDIRECT("b"&amp;K5207+2)</f>
        <v>0</v>
      </c>
      <c r="K5207" s="19">
        <f t="shared" si="1088"/>
        <v>8538</v>
      </c>
    </row>
    <row r="5208" spans="1:11">
      <c r="A5208">
        <v>5206</v>
      </c>
      <c r="B5208">
        <v>1.9E+152</v>
      </c>
      <c r="D5208" s="18">
        <v>5206</v>
      </c>
      <c r="E5208" s="18" cm="1">
        <f t="array" aca="1" ref="E5208" ca="1">INDIRECT("b"&amp;F5208+2)</f>
        <v>0</v>
      </c>
      <c r="F5208" s="18">
        <f t="shared" si="1092"/>
        <v>7340</v>
      </c>
      <c r="G5208" s="18"/>
      <c r="H5208" s="18"/>
      <c r="I5208" s="19">
        <v>5206</v>
      </c>
      <c r="J5208" s="19" cm="1">
        <f t="array" aca="1" ref="J5208" ca="1">INDIRECT("b"&amp;K5208+2)</f>
        <v>0</v>
      </c>
      <c r="K5208" s="19">
        <f t="shared" si="1088"/>
        <v>8540</v>
      </c>
    </row>
    <row r="5209" spans="1:11">
      <c r="A5209">
        <v>5207</v>
      </c>
      <c r="B5209">
        <v>2.1249999999999998E+152</v>
      </c>
      <c r="D5209" s="18">
        <v>5207</v>
      </c>
      <c r="E5209" s="18" cm="1">
        <f t="array" aca="1" ref="E5209" ca="1">INDIRECT("b"&amp;F5209+2)</f>
        <v>0</v>
      </c>
      <c r="F5209" s="18">
        <f t="shared" si="1092"/>
        <v>7341</v>
      </c>
      <c r="G5209" s="18"/>
      <c r="H5209" s="18"/>
      <c r="I5209" s="19">
        <v>5207</v>
      </c>
      <c r="J5209" s="19" cm="1">
        <f t="array" aca="1" ref="J5209" ca="1">INDIRECT("b"&amp;K5209+2)</f>
        <v>0</v>
      </c>
      <c r="K5209" s="19">
        <f t="shared" si="1088"/>
        <v>8541</v>
      </c>
    </row>
    <row r="5210" spans="1:11">
      <c r="A5210">
        <v>5208</v>
      </c>
      <c r="B5210">
        <v>2.3500000000000001E+152</v>
      </c>
      <c r="D5210" s="18">
        <v>5208</v>
      </c>
      <c r="E5210" s="18" cm="1">
        <f t="array" aca="1" ref="E5210" ca="1">INDIRECT("b"&amp;F5210+2)</f>
        <v>0</v>
      </c>
      <c r="F5210" s="18">
        <f t="shared" si="1092"/>
        <v>7342</v>
      </c>
      <c r="G5210" s="18"/>
      <c r="H5210" s="18"/>
      <c r="I5210" s="19">
        <v>5208</v>
      </c>
      <c r="J5210" s="19" cm="1">
        <f t="array" aca="1" ref="J5210" ca="1">INDIRECT("b"&amp;K5210+2)</f>
        <v>0</v>
      </c>
      <c r="K5210" s="19">
        <f t="shared" si="1088"/>
        <v>8542</v>
      </c>
    </row>
    <row r="5211" spans="1:11">
      <c r="A5211">
        <v>5209</v>
      </c>
      <c r="B5211">
        <v>2.5749999999999999E+152</v>
      </c>
      <c r="D5211" s="18">
        <v>5209</v>
      </c>
      <c r="E5211" s="18" cm="1">
        <f t="array" aca="1" ref="E5211" ca="1">INDIRECT("b"&amp;F5211+2)</f>
        <v>0</v>
      </c>
      <c r="F5211" s="18">
        <f t="shared" si="1092"/>
        <v>7344</v>
      </c>
      <c r="G5211" s="18"/>
      <c r="H5211" s="18"/>
      <c r="I5211" s="19">
        <v>5209</v>
      </c>
      <c r="J5211" s="19" cm="1">
        <f t="array" aca="1" ref="J5211" ca="1">INDIRECT("b"&amp;K5211+2)</f>
        <v>0</v>
      </c>
      <c r="K5211" s="19">
        <f t="shared" si="1088"/>
        <v>8544</v>
      </c>
    </row>
    <row r="5212" spans="1:11">
      <c r="A5212">
        <v>5210</v>
      </c>
      <c r="B5212">
        <v>2.8000000000000002E+152</v>
      </c>
      <c r="D5212" s="18">
        <v>5210</v>
      </c>
      <c r="E5212" s="18" cm="1">
        <f t="array" aca="1" ref="E5212" ca="1">INDIRECT("b"&amp;F5212+2)</f>
        <v>0</v>
      </c>
      <c r="F5212" s="18">
        <f t="shared" si="1092"/>
        <v>7345</v>
      </c>
      <c r="G5212" s="18" t="e">
        <f t="shared" ref="G5212" ca="1" si="1094">E5212/E5207</f>
        <v>#DIV/0!</v>
      </c>
      <c r="H5212" s="18"/>
      <c r="I5212" s="19">
        <v>5210</v>
      </c>
      <c r="J5212" s="19" cm="1">
        <f t="array" aca="1" ref="J5212" ca="1">INDIRECT("b"&amp;K5212+2)</f>
        <v>0</v>
      </c>
      <c r="K5212" s="19">
        <f t="shared" si="1088"/>
        <v>8545</v>
      </c>
    </row>
    <row r="5213" spans="1:11">
      <c r="A5213">
        <v>5211</v>
      </c>
      <c r="B5213">
        <v>3.025E+152</v>
      </c>
      <c r="D5213" s="18">
        <v>5211</v>
      </c>
      <c r="E5213" s="18" cm="1">
        <f t="array" aca="1" ref="E5213" ca="1">INDIRECT("b"&amp;F5213+2)</f>
        <v>0</v>
      </c>
      <c r="F5213" s="18">
        <f t="shared" si="1092"/>
        <v>7346</v>
      </c>
      <c r="G5213" s="18"/>
      <c r="H5213" s="18"/>
      <c r="I5213" s="19">
        <v>5211</v>
      </c>
      <c r="J5213" s="19" cm="1">
        <f t="array" aca="1" ref="J5213" ca="1">INDIRECT("b"&amp;K5213+2)</f>
        <v>0</v>
      </c>
      <c r="K5213" s="19">
        <f t="shared" si="1088"/>
        <v>8546</v>
      </c>
    </row>
    <row r="5214" spans="1:11">
      <c r="A5214">
        <v>5212</v>
      </c>
      <c r="B5214">
        <v>3.2499999999999999E+152</v>
      </c>
      <c r="D5214" s="18">
        <v>5212</v>
      </c>
      <c r="E5214" s="18" cm="1">
        <f t="array" aca="1" ref="E5214" ca="1">INDIRECT("b"&amp;F5214+2)</f>
        <v>0</v>
      </c>
      <c r="F5214" s="18">
        <f t="shared" si="1092"/>
        <v>7348</v>
      </c>
      <c r="G5214" s="18"/>
      <c r="H5214" s="18"/>
      <c r="I5214" s="19">
        <v>5212</v>
      </c>
      <c r="J5214" s="19" cm="1">
        <f t="array" aca="1" ref="J5214" ca="1">INDIRECT("b"&amp;K5214+2)</f>
        <v>0</v>
      </c>
      <c r="K5214" s="19">
        <f t="shared" si="1088"/>
        <v>8548</v>
      </c>
    </row>
    <row r="5215" spans="1:11">
      <c r="A5215">
        <v>5213</v>
      </c>
      <c r="B5215">
        <v>3.4750000000000001E+152</v>
      </c>
      <c r="D5215" s="18">
        <v>5213</v>
      </c>
      <c r="E5215" s="18" cm="1">
        <f t="array" aca="1" ref="E5215" ca="1">INDIRECT("b"&amp;F5215+2)</f>
        <v>0</v>
      </c>
      <c r="F5215" s="18">
        <f t="shared" si="1092"/>
        <v>7349</v>
      </c>
      <c r="G5215" s="18"/>
      <c r="H5215" s="18"/>
      <c r="I5215" s="19">
        <v>5213</v>
      </c>
      <c r="J5215" s="19" cm="1">
        <f t="array" aca="1" ref="J5215" ca="1">INDIRECT("b"&amp;K5215+2)</f>
        <v>0</v>
      </c>
      <c r="K5215" s="19">
        <f t="shared" si="1088"/>
        <v>8549</v>
      </c>
    </row>
    <row r="5216" spans="1:11">
      <c r="A5216">
        <v>5214</v>
      </c>
      <c r="B5216">
        <v>3.7E+152</v>
      </c>
      <c r="D5216" s="18">
        <v>5214</v>
      </c>
      <c r="E5216" s="18" cm="1">
        <f t="array" aca="1" ref="E5216" ca="1">INDIRECT("b"&amp;F5216+2)</f>
        <v>0</v>
      </c>
      <c r="F5216" s="18">
        <f t="shared" si="1092"/>
        <v>7350</v>
      </c>
      <c r="G5216" s="18"/>
      <c r="H5216" s="18"/>
      <c r="I5216" s="19">
        <v>5214</v>
      </c>
      <c r="J5216" s="19" cm="1">
        <f t="array" aca="1" ref="J5216" ca="1">INDIRECT("b"&amp;K5216+2)</f>
        <v>0</v>
      </c>
      <c r="K5216" s="19">
        <f t="shared" si="1088"/>
        <v>8550</v>
      </c>
    </row>
    <row r="5217" spans="1:11">
      <c r="A5217">
        <v>5215</v>
      </c>
      <c r="B5217">
        <v>3.9250000000000002E+152</v>
      </c>
      <c r="D5217" s="18">
        <v>5215</v>
      </c>
      <c r="E5217" s="18" cm="1">
        <f t="array" aca="1" ref="E5217" ca="1">INDIRECT("b"&amp;F5217+2)</f>
        <v>0</v>
      </c>
      <c r="F5217" s="18">
        <f t="shared" si="1092"/>
        <v>7352</v>
      </c>
      <c r="G5217" s="18" t="e">
        <f t="shared" ref="G5217" ca="1" si="1095">E5217/E5212</f>
        <v>#DIV/0!</v>
      </c>
      <c r="H5217" s="18"/>
      <c r="I5217" s="19">
        <v>5215</v>
      </c>
      <c r="J5217" s="19" cm="1">
        <f t="array" aca="1" ref="J5217" ca="1">INDIRECT("b"&amp;K5217+2)</f>
        <v>0</v>
      </c>
      <c r="K5217" s="19">
        <f t="shared" si="1088"/>
        <v>8552</v>
      </c>
    </row>
    <row r="5218" spans="1:11">
      <c r="A5218">
        <v>5216</v>
      </c>
      <c r="B5218">
        <v>4.1500000000000001E+152</v>
      </c>
      <c r="D5218" s="18">
        <v>5216</v>
      </c>
      <c r="E5218" s="18" cm="1">
        <f t="array" aca="1" ref="E5218" ca="1">INDIRECT("b"&amp;F5218+2)</f>
        <v>0</v>
      </c>
      <c r="F5218" s="18">
        <f t="shared" si="1092"/>
        <v>7353</v>
      </c>
      <c r="G5218" s="18"/>
      <c r="H5218" s="18"/>
      <c r="I5218" s="19">
        <v>5216</v>
      </c>
      <c r="J5218" s="19" cm="1">
        <f t="array" aca="1" ref="J5218" ca="1">INDIRECT("b"&amp;K5218+2)</f>
        <v>0</v>
      </c>
      <c r="K5218" s="19">
        <f t="shared" si="1088"/>
        <v>8553</v>
      </c>
    </row>
    <row r="5219" spans="1:11">
      <c r="A5219">
        <v>5217</v>
      </c>
      <c r="B5219">
        <v>4.3749999999999999E+152</v>
      </c>
      <c r="D5219" s="18">
        <v>5217</v>
      </c>
      <c r="E5219" s="18" cm="1">
        <f t="array" aca="1" ref="E5219" ca="1">INDIRECT("b"&amp;F5219+2)</f>
        <v>0</v>
      </c>
      <c r="F5219" s="18">
        <f t="shared" si="1092"/>
        <v>7354</v>
      </c>
      <c r="G5219" s="18"/>
      <c r="H5219" s="18"/>
      <c r="I5219" s="19">
        <v>5217</v>
      </c>
      <c r="J5219" s="19" cm="1">
        <f t="array" aca="1" ref="J5219" ca="1">INDIRECT("b"&amp;K5219+2)</f>
        <v>0</v>
      </c>
      <c r="K5219" s="19">
        <f t="shared" si="1088"/>
        <v>8554</v>
      </c>
    </row>
    <row r="5220" spans="1:11">
      <c r="A5220">
        <v>5218</v>
      </c>
      <c r="B5220">
        <v>4.5999999999999997E+152</v>
      </c>
      <c r="D5220" s="18">
        <v>5218</v>
      </c>
      <c r="E5220" s="18" cm="1">
        <f t="array" aca="1" ref="E5220" ca="1">INDIRECT("b"&amp;F5220+2)</f>
        <v>0</v>
      </c>
      <c r="F5220" s="18">
        <f t="shared" si="1092"/>
        <v>7356</v>
      </c>
      <c r="G5220" s="18"/>
      <c r="H5220" s="18"/>
      <c r="I5220" s="19">
        <v>5218</v>
      </c>
      <c r="J5220" s="19" cm="1">
        <f t="array" aca="1" ref="J5220" ca="1">INDIRECT("b"&amp;K5220+2)</f>
        <v>0</v>
      </c>
      <c r="K5220" s="19">
        <f t="shared" si="1088"/>
        <v>8556</v>
      </c>
    </row>
    <row r="5221" spans="1:11">
      <c r="A5221">
        <v>5219</v>
      </c>
      <c r="B5221">
        <v>4.8250000000000004E+152</v>
      </c>
      <c r="D5221" s="18">
        <v>5219</v>
      </c>
      <c r="E5221" s="18" cm="1">
        <f t="array" aca="1" ref="E5221" ca="1">INDIRECT("b"&amp;F5221+2)</f>
        <v>0</v>
      </c>
      <c r="F5221" s="18">
        <f t="shared" si="1092"/>
        <v>7357</v>
      </c>
      <c r="G5221" s="18"/>
      <c r="H5221" s="18"/>
      <c r="I5221" s="19">
        <v>5219</v>
      </c>
      <c r="J5221" s="19" cm="1">
        <f t="array" aca="1" ref="J5221" ca="1">INDIRECT("b"&amp;K5221+2)</f>
        <v>0</v>
      </c>
      <c r="K5221" s="19">
        <f t="shared" si="1088"/>
        <v>8557</v>
      </c>
    </row>
    <row r="5222" spans="1:11">
      <c r="A5222">
        <v>5220</v>
      </c>
      <c r="B5222">
        <v>5.0500000000000003E+152</v>
      </c>
      <c r="D5222" s="18">
        <v>5220</v>
      </c>
      <c r="E5222" s="18" cm="1">
        <f t="array" aca="1" ref="E5222" ca="1">INDIRECT("b"&amp;F5222+2)</f>
        <v>0</v>
      </c>
      <c r="F5222" s="18">
        <f t="shared" si="1092"/>
        <v>7358</v>
      </c>
      <c r="G5222" s="18" t="e">
        <f t="shared" ref="G5222" ca="1" si="1096">E5222/E5217</f>
        <v>#DIV/0!</v>
      </c>
      <c r="H5222" s="18"/>
      <c r="I5222" s="19">
        <v>5220</v>
      </c>
      <c r="J5222" s="19" cm="1">
        <f t="array" aca="1" ref="J5222" ca="1">INDIRECT("b"&amp;K5222+2)</f>
        <v>0</v>
      </c>
      <c r="K5222" s="19">
        <f t="shared" si="1088"/>
        <v>8558</v>
      </c>
    </row>
    <row r="5223" spans="1:11">
      <c r="A5223">
        <v>5221</v>
      </c>
      <c r="B5223">
        <v>5.2750000000000001E+152</v>
      </c>
      <c r="D5223" s="18">
        <v>5221</v>
      </c>
      <c r="E5223" s="18" cm="1">
        <f t="array" aca="1" ref="E5223" ca="1">INDIRECT("b"&amp;F5223+2)</f>
        <v>0</v>
      </c>
      <c r="F5223" s="18">
        <f t="shared" si="1092"/>
        <v>7360</v>
      </c>
      <c r="G5223" s="18"/>
      <c r="H5223" s="18"/>
      <c r="I5223" s="19">
        <v>5221</v>
      </c>
      <c r="J5223" s="19" cm="1">
        <f t="array" aca="1" ref="J5223" ca="1">INDIRECT("b"&amp;K5223+2)</f>
        <v>0</v>
      </c>
      <c r="K5223" s="19">
        <f t="shared" si="1088"/>
        <v>8560</v>
      </c>
    </row>
    <row r="5224" spans="1:11">
      <c r="A5224">
        <v>5222</v>
      </c>
      <c r="B5224">
        <v>5.4999999999999999E+152</v>
      </c>
      <c r="D5224" s="18">
        <v>5222</v>
      </c>
      <c r="E5224" s="18" cm="1">
        <f t="array" aca="1" ref="E5224" ca="1">INDIRECT("b"&amp;F5224+2)</f>
        <v>0</v>
      </c>
      <c r="F5224" s="18">
        <f t="shared" si="1092"/>
        <v>7361</v>
      </c>
      <c r="G5224" s="18"/>
      <c r="H5224" s="18"/>
      <c r="I5224" s="19">
        <v>5222</v>
      </c>
      <c r="J5224" s="19" cm="1">
        <f t="array" aca="1" ref="J5224" ca="1">INDIRECT("b"&amp;K5224+2)</f>
        <v>0</v>
      </c>
      <c r="K5224" s="19">
        <f t="shared" si="1088"/>
        <v>8561</v>
      </c>
    </row>
    <row r="5225" spans="1:11">
      <c r="A5225">
        <v>5223</v>
      </c>
      <c r="B5225">
        <v>5.7249999999999997E+152</v>
      </c>
      <c r="D5225" s="18">
        <v>5223</v>
      </c>
      <c r="E5225" s="18" cm="1">
        <f t="array" aca="1" ref="E5225" ca="1">INDIRECT("b"&amp;F5225+2)</f>
        <v>0</v>
      </c>
      <c r="F5225" s="18">
        <f t="shared" si="1092"/>
        <v>7362</v>
      </c>
      <c r="G5225" s="18"/>
      <c r="H5225" s="18"/>
      <c r="I5225" s="19">
        <v>5223</v>
      </c>
      <c r="J5225" s="19" cm="1">
        <f t="array" aca="1" ref="J5225" ca="1">INDIRECT("b"&amp;K5225+2)</f>
        <v>0</v>
      </c>
      <c r="K5225" s="19">
        <f t="shared" si="1088"/>
        <v>8562</v>
      </c>
    </row>
    <row r="5226" spans="1:11">
      <c r="A5226">
        <v>5224</v>
      </c>
      <c r="B5226">
        <v>5.9500000000000005E+152</v>
      </c>
      <c r="D5226" s="18">
        <v>5224</v>
      </c>
      <c r="E5226" s="18" cm="1">
        <f t="array" aca="1" ref="E5226" ca="1">INDIRECT("b"&amp;F5226+2)</f>
        <v>0</v>
      </c>
      <c r="F5226" s="18">
        <f t="shared" si="1092"/>
        <v>7364</v>
      </c>
      <c r="G5226" s="18"/>
      <c r="H5226" s="18"/>
      <c r="I5226" s="19">
        <v>5224</v>
      </c>
      <c r="J5226" s="19" cm="1">
        <f t="array" aca="1" ref="J5226" ca="1">INDIRECT("b"&amp;K5226+2)</f>
        <v>0</v>
      </c>
      <c r="K5226" s="19">
        <f t="shared" si="1088"/>
        <v>8564</v>
      </c>
    </row>
    <row r="5227" spans="1:11">
      <c r="A5227">
        <v>5225</v>
      </c>
      <c r="B5227">
        <v>6.1750000000000003E+152</v>
      </c>
      <c r="D5227" s="18">
        <v>5225</v>
      </c>
      <c r="E5227" s="18" cm="1">
        <f t="array" aca="1" ref="E5227" ca="1">INDIRECT("b"&amp;F5227+2)</f>
        <v>0</v>
      </c>
      <c r="F5227" s="18">
        <f t="shared" si="1092"/>
        <v>7365</v>
      </c>
      <c r="G5227" s="18" t="e">
        <f t="shared" ref="G5227" ca="1" si="1097">E5227/E5222</f>
        <v>#DIV/0!</v>
      </c>
      <c r="H5227" s="18"/>
      <c r="I5227" s="19">
        <v>5225</v>
      </c>
      <c r="J5227" s="19" cm="1">
        <f t="array" aca="1" ref="J5227" ca="1">INDIRECT("b"&amp;K5227+2)</f>
        <v>0</v>
      </c>
      <c r="K5227" s="19">
        <f t="shared" si="1088"/>
        <v>8565</v>
      </c>
    </row>
    <row r="5228" spans="1:11">
      <c r="A5228">
        <v>5226</v>
      </c>
      <c r="B5228">
        <v>6.4000000000000001E+152</v>
      </c>
      <c r="D5228" s="18">
        <v>5226</v>
      </c>
      <c r="E5228" s="18" cm="1">
        <f t="array" aca="1" ref="E5228" ca="1">INDIRECT("b"&amp;F5228+2)</f>
        <v>0</v>
      </c>
      <c r="F5228" s="18">
        <f t="shared" si="1092"/>
        <v>7366</v>
      </c>
      <c r="G5228" s="18"/>
      <c r="H5228" s="18"/>
      <c r="I5228" s="19">
        <v>5226</v>
      </c>
      <c r="J5228" s="19" cm="1">
        <f t="array" aca="1" ref="J5228" ca="1">INDIRECT("b"&amp;K5228+2)</f>
        <v>0</v>
      </c>
      <c r="K5228" s="19">
        <f t="shared" si="1088"/>
        <v>8566</v>
      </c>
    </row>
    <row r="5229" spans="1:11">
      <c r="A5229">
        <v>5227</v>
      </c>
      <c r="B5229">
        <v>6.6249999999999999E+152</v>
      </c>
      <c r="D5229" s="18">
        <v>5227</v>
      </c>
      <c r="E5229" s="18" cm="1">
        <f t="array" aca="1" ref="E5229" ca="1">INDIRECT("b"&amp;F5229+2)</f>
        <v>0</v>
      </c>
      <c r="F5229" s="18">
        <f t="shared" si="1092"/>
        <v>7368</v>
      </c>
      <c r="G5229" s="18"/>
      <c r="H5229" s="18"/>
      <c r="I5229" s="19">
        <v>5227</v>
      </c>
      <c r="J5229" s="19" cm="1">
        <f t="array" aca="1" ref="J5229" ca="1">INDIRECT("b"&amp;K5229+2)</f>
        <v>0</v>
      </c>
      <c r="K5229" s="19">
        <f t="shared" si="1088"/>
        <v>8568</v>
      </c>
    </row>
    <row r="5230" spans="1:11">
      <c r="A5230">
        <v>5228</v>
      </c>
      <c r="B5230">
        <v>6.8499999999999997E+152</v>
      </c>
      <c r="D5230" s="18">
        <v>5228</v>
      </c>
      <c r="E5230" s="18" cm="1">
        <f t="array" aca="1" ref="E5230" ca="1">INDIRECT("b"&amp;F5230+2)</f>
        <v>0</v>
      </c>
      <c r="F5230" s="18">
        <f t="shared" si="1092"/>
        <v>7369</v>
      </c>
      <c r="G5230" s="18"/>
      <c r="H5230" s="18"/>
      <c r="I5230" s="19">
        <v>5228</v>
      </c>
      <c r="J5230" s="19" cm="1">
        <f t="array" aca="1" ref="J5230" ca="1">INDIRECT("b"&amp;K5230+2)</f>
        <v>0</v>
      </c>
      <c r="K5230" s="19">
        <f t="shared" si="1088"/>
        <v>8569</v>
      </c>
    </row>
    <row r="5231" spans="1:11">
      <c r="A5231">
        <v>5229</v>
      </c>
      <c r="B5231">
        <v>7.0750000000000005E+152</v>
      </c>
      <c r="D5231" s="18">
        <v>5229</v>
      </c>
      <c r="E5231" s="18" cm="1">
        <f t="array" aca="1" ref="E5231" ca="1">INDIRECT("b"&amp;F5231+2)</f>
        <v>0</v>
      </c>
      <c r="F5231" s="18">
        <f t="shared" si="1092"/>
        <v>7370</v>
      </c>
      <c r="G5231" s="18"/>
      <c r="H5231" s="18"/>
      <c r="I5231" s="19">
        <v>5229</v>
      </c>
      <c r="J5231" s="19" cm="1">
        <f t="array" aca="1" ref="J5231" ca="1">INDIRECT("b"&amp;K5231+2)</f>
        <v>0</v>
      </c>
      <c r="K5231" s="19">
        <f t="shared" si="1088"/>
        <v>8570</v>
      </c>
    </row>
    <row r="5232" spans="1:11">
      <c r="A5232">
        <v>5230</v>
      </c>
      <c r="B5232">
        <v>7.3000000000000003E+152</v>
      </c>
      <c r="D5232" s="18">
        <v>5230</v>
      </c>
      <c r="E5232" s="18" cm="1">
        <f t="array" aca="1" ref="E5232" ca="1">INDIRECT("b"&amp;F5232+2)</f>
        <v>0</v>
      </c>
      <c r="F5232" s="18">
        <f t="shared" si="1092"/>
        <v>7372</v>
      </c>
      <c r="G5232" s="18" t="e">
        <f t="shared" ref="G5232" ca="1" si="1098">E5232/E5227</f>
        <v>#DIV/0!</v>
      </c>
      <c r="H5232" s="18"/>
      <c r="I5232" s="19">
        <v>5230</v>
      </c>
      <c r="J5232" s="19" cm="1">
        <f t="array" aca="1" ref="J5232" ca="1">INDIRECT("b"&amp;K5232+2)</f>
        <v>0</v>
      </c>
      <c r="K5232" s="19">
        <f t="shared" si="1088"/>
        <v>8572</v>
      </c>
    </row>
    <row r="5233" spans="1:11">
      <c r="A5233">
        <v>5231</v>
      </c>
      <c r="B5233">
        <v>7.5250000000000001E+152</v>
      </c>
      <c r="D5233" s="18">
        <v>5231</v>
      </c>
      <c r="E5233" s="18" cm="1">
        <f t="array" aca="1" ref="E5233" ca="1">INDIRECT("b"&amp;F5233+2)</f>
        <v>0</v>
      </c>
      <c r="F5233" s="18">
        <f t="shared" si="1092"/>
        <v>7373</v>
      </c>
      <c r="G5233" s="18"/>
      <c r="H5233" s="18"/>
      <c r="I5233" s="19">
        <v>5231</v>
      </c>
      <c r="J5233" s="19" cm="1">
        <f t="array" aca="1" ref="J5233" ca="1">INDIRECT("b"&amp;K5233+2)</f>
        <v>0</v>
      </c>
      <c r="K5233" s="19">
        <f t="shared" si="1088"/>
        <v>8573</v>
      </c>
    </row>
    <row r="5234" spans="1:11">
      <c r="A5234">
        <v>5232</v>
      </c>
      <c r="B5234">
        <v>7.75E+152</v>
      </c>
      <c r="D5234" s="18">
        <v>5232</v>
      </c>
      <c r="E5234" s="18" cm="1">
        <f t="array" aca="1" ref="E5234" ca="1">INDIRECT("b"&amp;F5234+2)</f>
        <v>0</v>
      </c>
      <c r="F5234" s="18">
        <f t="shared" si="1092"/>
        <v>7374</v>
      </c>
      <c r="G5234" s="18"/>
      <c r="H5234" s="18"/>
      <c r="I5234" s="19">
        <v>5232</v>
      </c>
      <c r="J5234" s="19" cm="1">
        <f t="array" aca="1" ref="J5234" ca="1">INDIRECT("b"&amp;K5234+2)</f>
        <v>0</v>
      </c>
      <c r="K5234" s="19">
        <f t="shared" si="1088"/>
        <v>8574</v>
      </c>
    </row>
    <row r="5235" spans="1:11">
      <c r="A5235">
        <v>5233</v>
      </c>
      <c r="B5235">
        <v>7.9749999999999998E+152</v>
      </c>
      <c r="D5235" s="18">
        <v>5233</v>
      </c>
      <c r="E5235" s="18" cm="1">
        <f t="array" aca="1" ref="E5235" ca="1">INDIRECT("b"&amp;F5235+2)</f>
        <v>0</v>
      </c>
      <c r="F5235" s="18">
        <f t="shared" si="1092"/>
        <v>7376</v>
      </c>
      <c r="G5235" s="18"/>
      <c r="H5235" s="18"/>
      <c r="I5235" s="19">
        <v>5233</v>
      </c>
      <c r="J5235" s="19" cm="1">
        <f t="array" aca="1" ref="J5235" ca="1">INDIRECT("b"&amp;K5235+2)</f>
        <v>0</v>
      </c>
      <c r="K5235" s="19">
        <f t="shared" si="1088"/>
        <v>8576</v>
      </c>
    </row>
    <row r="5236" spans="1:11">
      <c r="A5236">
        <v>5234</v>
      </c>
      <c r="B5236">
        <v>8.2000000000000005E+152</v>
      </c>
      <c r="D5236" s="18">
        <v>5234</v>
      </c>
      <c r="E5236" s="18" cm="1">
        <f t="array" aca="1" ref="E5236" ca="1">INDIRECT("b"&amp;F5236+2)</f>
        <v>0</v>
      </c>
      <c r="F5236" s="18">
        <f t="shared" si="1092"/>
        <v>7377</v>
      </c>
      <c r="G5236" s="18"/>
      <c r="H5236" s="18"/>
      <c r="I5236" s="19">
        <v>5234</v>
      </c>
      <c r="J5236" s="19" cm="1">
        <f t="array" aca="1" ref="J5236" ca="1">INDIRECT("b"&amp;K5236+2)</f>
        <v>0</v>
      </c>
      <c r="K5236" s="19">
        <f t="shared" si="1088"/>
        <v>8577</v>
      </c>
    </row>
    <row r="5237" spans="1:11">
      <c r="A5237">
        <v>5235</v>
      </c>
      <c r="B5237">
        <v>8.4250000000000003E+152</v>
      </c>
      <c r="D5237" s="18">
        <v>5235</v>
      </c>
      <c r="E5237" s="18" cm="1">
        <f t="array" aca="1" ref="E5237" ca="1">INDIRECT("b"&amp;F5237+2)</f>
        <v>0</v>
      </c>
      <c r="F5237" s="18">
        <f t="shared" si="1092"/>
        <v>7378</v>
      </c>
      <c r="G5237" s="18" t="e">
        <f t="shared" ref="G5237" ca="1" si="1099">E5237/E5232</f>
        <v>#DIV/0!</v>
      </c>
      <c r="H5237" s="18"/>
      <c r="I5237" s="19">
        <v>5235</v>
      </c>
      <c r="J5237" s="19" cm="1">
        <f t="array" aca="1" ref="J5237" ca="1">INDIRECT("b"&amp;K5237+2)</f>
        <v>0</v>
      </c>
      <c r="K5237" s="19">
        <f t="shared" si="1088"/>
        <v>8578</v>
      </c>
    </row>
    <row r="5238" spans="1:11">
      <c r="A5238">
        <v>5236</v>
      </c>
      <c r="B5238">
        <v>8.6500000000000011E+152</v>
      </c>
      <c r="D5238" s="18">
        <v>5236</v>
      </c>
      <c r="E5238" s="18" cm="1">
        <f t="array" aca="1" ref="E5238" ca="1">INDIRECT("b"&amp;F5238+2)</f>
        <v>0</v>
      </c>
      <c r="F5238" s="18">
        <f t="shared" si="1092"/>
        <v>7380</v>
      </c>
      <c r="G5238" s="18"/>
      <c r="H5238" s="18"/>
      <c r="I5238" s="19">
        <v>5236</v>
      </c>
      <c r="J5238" s="19" cm="1">
        <f t="array" aca="1" ref="J5238" ca="1">INDIRECT("b"&amp;K5238+2)</f>
        <v>0</v>
      </c>
      <c r="K5238" s="19">
        <f t="shared" si="1088"/>
        <v>8580</v>
      </c>
    </row>
    <row r="5239" spans="1:11">
      <c r="A5239">
        <v>5237</v>
      </c>
      <c r="B5239">
        <v>8.875E+152</v>
      </c>
      <c r="D5239" s="18">
        <v>5237</v>
      </c>
      <c r="E5239" s="18" cm="1">
        <f t="array" aca="1" ref="E5239" ca="1">INDIRECT("b"&amp;F5239+2)</f>
        <v>0</v>
      </c>
      <c r="F5239" s="18">
        <f t="shared" si="1092"/>
        <v>7381</v>
      </c>
      <c r="G5239" s="18"/>
      <c r="H5239" s="18"/>
      <c r="I5239" s="19">
        <v>5237</v>
      </c>
      <c r="J5239" s="19" cm="1">
        <f t="array" aca="1" ref="J5239" ca="1">INDIRECT("b"&amp;K5239+2)</f>
        <v>0</v>
      </c>
      <c r="K5239" s="19">
        <f t="shared" si="1088"/>
        <v>8581</v>
      </c>
    </row>
    <row r="5240" spans="1:11">
      <c r="A5240">
        <v>5238</v>
      </c>
      <c r="B5240">
        <v>9.1000000000000007E+152</v>
      </c>
      <c r="D5240" s="18">
        <v>5238</v>
      </c>
      <c r="E5240" s="18" cm="1">
        <f t="array" aca="1" ref="E5240" ca="1">INDIRECT("b"&amp;F5240+2)</f>
        <v>0</v>
      </c>
      <c r="F5240" s="18">
        <f t="shared" si="1092"/>
        <v>7382</v>
      </c>
      <c r="G5240" s="18"/>
      <c r="H5240" s="18"/>
      <c r="I5240" s="19">
        <v>5238</v>
      </c>
      <c r="J5240" s="19" cm="1">
        <f t="array" aca="1" ref="J5240" ca="1">INDIRECT("b"&amp;K5240+2)</f>
        <v>0</v>
      </c>
      <c r="K5240" s="19">
        <f t="shared" si="1088"/>
        <v>8582</v>
      </c>
    </row>
    <row r="5241" spans="1:11">
      <c r="A5241">
        <v>5239</v>
      </c>
      <c r="B5241">
        <v>9.3249999999999996E+152</v>
      </c>
      <c r="D5241" s="18">
        <v>5239</v>
      </c>
      <c r="E5241" s="18" cm="1">
        <f t="array" aca="1" ref="E5241" ca="1">INDIRECT("b"&amp;F5241+2)</f>
        <v>0</v>
      </c>
      <c r="F5241" s="18">
        <f t="shared" si="1092"/>
        <v>7384</v>
      </c>
      <c r="G5241" s="18"/>
      <c r="H5241" s="18"/>
      <c r="I5241" s="19">
        <v>5239</v>
      </c>
      <c r="J5241" s="19" cm="1">
        <f t="array" aca="1" ref="J5241" ca="1">INDIRECT("b"&amp;K5241+2)</f>
        <v>0</v>
      </c>
      <c r="K5241" s="19">
        <f t="shared" si="1088"/>
        <v>8584</v>
      </c>
    </row>
    <row r="5242" spans="1:11">
      <c r="A5242">
        <v>5240</v>
      </c>
      <c r="B5242">
        <v>9.5500000000000004E+152</v>
      </c>
      <c r="D5242" s="18">
        <v>5240</v>
      </c>
      <c r="E5242" s="18" cm="1">
        <f t="array" aca="1" ref="E5242" ca="1">INDIRECT("b"&amp;F5242+2)</f>
        <v>0</v>
      </c>
      <c r="F5242" s="18">
        <f t="shared" si="1092"/>
        <v>7385</v>
      </c>
      <c r="G5242" s="18" t="e">
        <f t="shared" ref="G5242" ca="1" si="1100">E5242/E5237</f>
        <v>#DIV/0!</v>
      </c>
      <c r="H5242" s="18"/>
      <c r="I5242" s="19">
        <v>5240</v>
      </c>
      <c r="J5242" s="19" cm="1">
        <f t="array" aca="1" ref="J5242" ca="1">INDIRECT("b"&amp;K5242+2)</f>
        <v>0</v>
      </c>
      <c r="K5242" s="19">
        <f t="shared" si="1088"/>
        <v>8585</v>
      </c>
    </row>
    <row r="5243" spans="1:11">
      <c r="A5243">
        <v>5241</v>
      </c>
      <c r="B5243">
        <v>9.7750000000000011E+152</v>
      </c>
      <c r="D5243" s="18">
        <v>5241</v>
      </c>
      <c r="E5243" s="18" cm="1">
        <f t="array" aca="1" ref="E5243" ca="1">INDIRECT("b"&amp;F5243+2)</f>
        <v>0</v>
      </c>
      <c r="F5243" s="18">
        <f t="shared" si="1092"/>
        <v>7386</v>
      </c>
      <c r="G5243" s="18"/>
      <c r="H5243" s="18"/>
      <c r="I5243" s="19">
        <v>5241</v>
      </c>
      <c r="J5243" s="19" cm="1">
        <f t="array" aca="1" ref="J5243" ca="1">INDIRECT("b"&amp;K5243+2)</f>
        <v>0</v>
      </c>
      <c r="K5243" s="19">
        <f t="shared" si="1088"/>
        <v>8586</v>
      </c>
    </row>
    <row r="5244" spans="1:11">
      <c r="A5244">
        <v>5242</v>
      </c>
      <c r="B5244">
        <v>1E+153</v>
      </c>
      <c r="D5244" s="18">
        <v>5242</v>
      </c>
      <c r="E5244" s="18" cm="1">
        <f t="array" aca="1" ref="E5244" ca="1">INDIRECT("b"&amp;F5244+2)</f>
        <v>0</v>
      </c>
      <c r="F5244" s="18">
        <f t="shared" si="1092"/>
        <v>7388</v>
      </c>
      <c r="G5244" s="18"/>
      <c r="H5244" s="18"/>
      <c r="I5244" s="19">
        <v>5242</v>
      </c>
      <c r="J5244" s="19" cm="1">
        <f t="array" aca="1" ref="J5244" ca="1">INDIRECT("b"&amp;K5244+2)</f>
        <v>0</v>
      </c>
      <c r="K5244" s="19">
        <f t="shared" si="1088"/>
        <v>8588</v>
      </c>
    </row>
    <row r="5245" spans="1:11">
      <c r="A5245">
        <v>5243</v>
      </c>
      <c r="B5245">
        <v>1.225E+153</v>
      </c>
      <c r="D5245" s="18">
        <v>5243</v>
      </c>
      <c r="E5245" s="18" cm="1">
        <f t="array" aca="1" ref="E5245" ca="1">INDIRECT("b"&amp;F5245+2)</f>
        <v>0</v>
      </c>
      <c r="F5245" s="18">
        <f t="shared" si="1092"/>
        <v>7389</v>
      </c>
      <c r="G5245" s="18"/>
      <c r="H5245" s="18"/>
      <c r="I5245" s="19">
        <v>5243</v>
      </c>
      <c r="J5245" s="19" cm="1">
        <f t="array" aca="1" ref="J5245" ca="1">INDIRECT("b"&amp;K5245+2)</f>
        <v>0</v>
      </c>
      <c r="K5245" s="19">
        <f t="shared" si="1088"/>
        <v>8589</v>
      </c>
    </row>
    <row r="5246" spans="1:11">
      <c r="A5246">
        <v>5244</v>
      </c>
      <c r="B5246">
        <v>1.45E+153</v>
      </c>
      <c r="D5246" s="18">
        <v>5244</v>
      </c>
      <c r="E5246" s="18" cm="1">
        <f t="array" aca="1" ref="E5246" ca="1">INDIRECT("b"&amp;F5246+2)</f>
        <v>0</v>
      </c>
      <c r="F5246" s="18">
        <f t="shared" si="1092"/>
        <v>7390</v>
      </c>
      <c r="G5246" s="18"/>
      <c r="H5246" s="18"/>
      <c r="I5246" s="19">
        <v>5244</v>
      </c>
      <c r="J5246" s="19" cm="1">
        <f t="array" aca="1" ref="J5246" ca="1">INDIRECT("b"&amp;K5246+2)</f>
        <v>0</v>
      </c>
      <c r="K5246" s="19">
        <f t="shared" si="1088"/>
        <v>8590</v>
      </c>
    </row>
    <row r="5247" spans="1:11">
      <c r="A5247">
        <v>5245</v>
      </c>
      <c r="B5247">
        <v>1.675E+153</v>
      </c>
      <c r="D5247" s="18">
        <v>5245</v>
      </c>
      <c r="E5247" s="18" cm="1">
        <f t="array" aca="1" ref="E5247" ca="1">INDIRECT("b"&amp;F5247+2)</f>
        <v>0</v>
      </c>
      <c r="F5247" s="18">
        <f t="shared" si="1092"/>
        <v>7392</v>
      </c>
      <c r="G5247" s="18" t="e">
        <f t="shared" ref="G5247" ca="1" si="1101">E5247/E5242</f>
        <v>#DIV/0!</v>
      </c>
      <c r="H5247" s="18"/>
      <c r="I5247" s="19">
        <v>5245</v>
      </c>
      <c r="J5247" s="19" cm="1">
        <f t="array" aca="1" ref="J5247" ca="1">INDIRECT("b"&amp;K5247+2)</f>
        <v>0</v>
      </c>
      <c r="K5247" s="19">
        <f t="shared" si="1088"/>
        <v>8592</v>
      </c>
    </row>
    <row r="5248" spans="1:11">
      <c r="A5248">
        <v>5246</v>
      </c>
      <c r="B5248">
        <v>1.8999999999999998E+153</v>
      </c>
      <c r="D5248" s="18">
        <v>5246</v>
      </c>
      <c r="E5248" s="18" cm="1">
        <f t="array" aca="1" ref="E5248" ca="1">INDIRECT("b"&amp;F5248+2)</f>
        <v>0</v>
      </c>
      <c r="F5248" s="18">
        <f t="shared" si="1092"/>
        <v>7393</v>
      </c>
      <c r="G5248" s="18"/>
      <c r="H5248" s="18"/>
      <c r="I5248" s="19">
        <v>5246</v>
      </c>
      <c r="J5248" s="19" cm="1">
        <f t="array" aca="1" ref="J5248" ca="1">INDIRECT("b"&amp;K5248+2)</f>
        <v>0</v>
      </c>
      <c r="K5248" s="19">
        <f t="shared" si="1088"/>
        <v>8593</v>
      </c>
    </row>
    <row r="5249" spans="1:11">
      <c r="A5249">
        <v>5247</v>
      </c>
      <c r="B5249">
        <v>2.1249999999999998E+153</v>
      </c>
      <c r="D5249" s="18">
        <v>5247</v>
      </c>
      <c r="E5249" s="18" cm="1">
        <f t="array" aca="1" ref="E5249" ca="1">INDIRECT("b"&amp;F5249+2)</f>
        <v>0</v>
      </c>
      <c r="F5249" s="18">
        <f t="shared" si="1092"/>
        <v>7394</v>
      </c>
      <c r="G5249" s="18"/>
      <c r="H5249" s="18"/>
      <c r="I5249" s="19">
        <v>5247</v>
      </c>
      <c r="J5249" s="19" cm="1">
        <f t="array" aca="1" ref="J5249" ca="1">INDIRECT("b"&amp;K5249+2)</f>
        <v>0</v>
      </c>
      <c r="K5249" s="19">
        <f t="shared" si="1088"/>
        <v>8594</v>
      </c>
    </row>
    <row r="5250" spans="1:11">
      <c r="A5250">
        <v>5248</v>
      </c>
      <c r="B5250">
        <v>2.3499999999999998E+153</v>
      </c>
      <c r="D5250" s="18">
        <v>5248</v>
      </c>
      <c r="E5250" s="18" cm="1">
        <f t="array" aca="1" ref="E5250" ca="1">INDIRECT("b"&amp;F5250+2)</f>
        <v>0</v>
      </c>
      <c r="F5250" s="18">
        <f t="shared" si="1092"/>
        <v>7396</v>
      </c>
      <c r="G5250" s="18"/>
      <c r="H5250" s="18"/>
      <c r="I5250" s="19">
        <v>5248</v>
      </c>
      <c r="J5250" s="19" cm="1">
        <f t="array" aca="1" ref="J5250" ca="1">INDIRECT("b"&amp;K5250+2)</f>
        <v>0</v>
      </c>
      <c r="K5250" s="19">
        <f t="shared" si="1088"/>
        <v>8596</v>
      </c>
    </row>
    <row r="5251" spans="1:11">
      <c r="A5251">
        <v>5249</v>
      </c>
      <c r="B5251">
        <v>2.5749999999999998E+153</v>
      </c>
      <c r="D5251" s="18">
        <v>5249</v>
      </c>
      <c r="E5251" s="18" cm="1">
        <f t="array" aca="1" ref="E5251" ca="1">INDIRECT("b"&amp;F5251+2)</f>
        <v>0</v>
      </c>
      <c r="F5251" s="18">
        <f t="shared" si="1092"/>
        <v>7397</v>
      </c>
      <c r="G5251" s="18"/>
      <c r="H5251" s="18"/>
      <c r="I5251" s="19">
        <v>5249</v>
      </c>
      <c r="J5251" s="19" cm="1">
        <f t="array" aca="1" ref="J5251" ca="1">INDIRECT("b"&amp;K5251+2)</f>
        <v>0</v>
      </c>
      <c r="K5251" s="19">
        <f t="shared" si="1088"/>
        <v>8597</v>
      </c>
    </row>
    <row r="5252" spans="1:11">
      <c r="A5252">
        <v>5250</v>
      </c>
      <c r="B5252">
        <v>2.7999999999999999E+153</v>
      </c>
      <c r="D5252" s="18">
        <v>5250</v>
      </c>
      <c r="E5252" s="18" cm="1">
        <f t="array" aca="1" ref="E5252" ca="1">INDIRECT("b"&amp;F5252+2)</f>
        <v>0</v>
      </c>
      <c r="F5252" s="18">
        <f t="shared" si="1092"/>
        <v>7398</v>
      </c>
      <c r="G5252" s="18" t="e">
        <f t="shared" ref="G5252" ca="1" si="1102">E5252/E5247</f>
        <v>#DIV/0!</v>
      </c>
      <c r="H5252" s="18"/>
      <c r="I5252" s="19">
        <v>5250</v>
      </c>
      <c r="J5252" s="19" cm="1">
        <f t="array" aca="1" ref="J5252" ca="1">INDIRECT("b"&amp;K5252+2)</f>
        <v>0</v>
      </c>
      <c r="K5252" s="19">
        <f t="shared" ref="K5252:K5315" si="1103">INT((A5252-1)*40/30+900*40/30)+400</f>
        <v>8598</v>
      </c>
    </row>
    <row r="5253" spans="1:11">
      <c r="A5253">
        <v>5251</v>
      </c>
      <c r="B5253">
        <v>3.0249999999999999E+153</v>
      </c>
      <c r="D5253" s="18">
        <v>5251</v>
      </c>
      <c r="E5253" s="18" cm="1">
        <f t="array" aca="1" ref="E5253" ca="1">INDIRECT("b"&amp;F5253+2)</f>
        <v>0</v>
      </c>
      <c r="F5253" s="18">
        <f t="shared" si="1092"/>
        <v>7400</v>
      </c>
      <c r="G5253" s="18"/>
      <c r="H5253" s="18"/>
      <c r="I5253" s="19">
        <v>5251</v>
      </c>
      <c r="J5253" s="19" cm="1">
        <f t="array" aca="1" ref="J5253" ca="1">INDIRECT("b"&amp;K5253+2)</f>
        <v>0</v>
      </c>
      <c r="K5253" s="19">
        <f t="shared" si="1103"/>
        <v>8600</v>
      </c>
    </row>
    <row r="5254" spans="1:11">
      <c r="A5254">
        <v>5252</v>
      </c>
      <c r="B5254">
        <v>3.2499999999999999E+153</v>
      </c>
      <c r="D5254" s="18">
        <v>5252</v>
      </c>
      <c r="E5254" s="18" cm="1">
        <f t="array" aca="1" ref="E5254" ca="1">INDIRECT("b"&amp;F5254+2)</f>
        <v>0</v>
      </c>
      <c r="F5254" s="18">
        <f t="shared" si="1092"/>
        <v>7401</v>
      </c>
      <c r="G5254" s="18"/>
      <c r="H5254" s="18"/>
      <c r="I5254" s="19">
        <v>5252</v>
      </c>
      <c r="J5254" s="19" cm="1">
        <f t="array" aca="1" ref="J5254" ca="1">INDIRECT("b"&amp;K5254+2)</f>
        <v>0</v>
      </c>
      <c r="K5254" s="19">
        <f t="shared" si="1103"/>
        <v>8601</v>
      </c>
    </row>
    <row r="5255" spans="1:11">
      <c r="A5255">
        <v>5253</v>
      </c>
      <c r="B5255">
        <v>3.4750000000000002E+153</v>
      </c>
      <c r="D5255" s="18">
        <v>5253</v>
      </c>
      <c r="E5255" s="18" cm="1">
        <f t="array" aca="1" ref="E5255" ca="1">INDIRECT("b"&amp;F5255+2)</f>
        <v>0</v>
      </c>
      <c r="F5255" s="18">
        <f t="shared" si="1092"/>
        <v>7402</v>
      </c>
      <c r="G5255" s="18"/>
      <c r="H5255" s="18"/>
      <c r="I5255" s="19">
        <v>5253</v>
      </c>
      <c r="J5255" s="19" cm="1">
        <f t="array" aca="1" ref="J5255" ca="1">INDIRECT("b"&amp;K5255+2)</f>
        <v>0</v>
      </c>
      <c r="K5255" s="19">
        <f t="shared" si="1103"/>
        <v>8602</v>
      </c>
    </row>
    <row r="5256" spans="1:11">
      <c r="A5256">
        <v>5254</v>
      </c>
      <c r="B5256">
        <v>3.7000000000000002E+153</v>
      </c>
      <c r="D5256" s="18">
        <v>5254</v>
      </c>
      <c r="E5256" s="18" cm="1">
        <f t="array" aca="1" ref="E5256" ca="1">INDIRECT("b"&amp;F5256+2)</f>
        <v>0</v>
      </c>
      <c r="F5256" s="18">
        <f t="shared" si="1092"/>
        <v>7404</v>
      </c>
      <c r="G5256" s="18"/>
      <c r="H5256" s="18"/>
      <c r="I5256" s="19">
        <v>5254</v>
      </c>
      <c r="J5256" s="19" cm="1">
        <f t="array" aca="1" ref="J5256" ca="1">INDIRECT("b"&amp;K5256+2)</f>
        <v>0</v>
      </c>
      <c r="K5256" s="19">
        <f t="shared" si="1103"/>
        <v>8604</v>
      </c>
    </row>
    <row r="5257" spans="1:11">
      <c r="A5257">
        <v>5255</v>
      </c>
      <c r="B5257">
        <v>3.9250000000000002E+153</v>
      </c>
      <c r="D5257" s="18">
        <v>5255</v>
      </c>
      <c r="E5257" s="18" cm="1">
        <f t="array" aca="1" ref="E5257" ca="1">INDIRECT("b"&amp;F5257+2)</f>
        <v>0</v>
      </c>
      <c r="F5257" s="18">
        <f t="shared" si="1092"/>
        <v>7405</v>
      </c>
      <c r="G5257" s="18" t="e">
        <f t="shared" ref="G5257" ca="1" si="1104">E5257/E5252</f>
        <v>#DIV/0!</v>
      </c>
      <c r="H5257" s="18"/>
      <c r="I5257" s="19">
        <v>5255</v>
      </c>
      <c r="J5257" s="19" cm="1">
        <f t="array" aca="1" ref="J5257" ca="1">INDIRECT("b"&amp;K5257+2)</f>
        <v>0</v>
      </c>
      <c r="K5257" s="19">
        <f t="shared" si="1103"/>
        <v>8605</v>
      </c>
    </row>
    <row r="5258" spans="1:11">
      <c r="A5258">
        <v>5256</v>
      </c>
      <c r="B5258">
        <v>4.1500000000000003E+153</v>
      </c>
      <c r="D5258" s="18">
        <v>5256</v>
      </c>
      <c r="E5258" s="18" cm="1">
        <f t="array" aca="1" ref="E5258" ca="1">INDIRECT("b"&amp;F5258+2)</f>
        <v>0</v>
      </c>
      <c r="F5258" s="18">
        <f t="shared" si="1092"/>
        <v>7406</v>
      </c>
      <c r="G5258" s="18"/>
      <c r="H5258" s="18"/>
      <c r="I5258" s="19">
        <v>5256</v>
      </c>
      <c r="J5258" s="19" cm="1">
        <f t="array" aca="1" ref="J5258" ca="1">INDIRECT("b"&amp;K5258+2)</f>
        <v>0</v>
      </c>
      <c r="K5258" s="19">
        <f t="shared" si="1103"/>
        <v>8606</v>
      </c>
    </row>
    <row r="5259" spans="1:11">
      <c r="A5259">
        <v>5257</v>
      </c>
      <c r="B5259">
        <v>4.3750000000000003E+153</v>
      </c>
      <c r="D5259" s="18">
        <v>5257</v>
      </c>
      <c r="E5259" s="18" cm="1">
        <f t="array" aca="1" ref="E5259" ca="1">INDIRECT("b"&amp;F5259+2)</f>
        <v>0</v>
      </c>
      <c r="F5259" s="18">
        <f t="shared" si="1092"/>
        <v>7408</v>
      </c>
      <c r="G5259" s="18"/>
      <c r="H5259" s="18"/>
      <c r="I5259" s="19">
        <v>5257</v>
      </c>
      <c r="J5259" s="19" cm="1">
        <f t="array" aca="1" ref="J5259" ca="1">INDIRECT("b"&amp;K5259+2)</f>
        <v>0</v>
      </c>
      <c r="K5259" s="19">
        <f t="shared" si="1103"/>
        <v>8608</v>
      </c>
    </row>
    <row r="5260" spans="1:11">
      <c r="A5260">
        <v>5258</v>
      </c>
      <c r="B5260">
        <v>4.6000000000000003E+153</v>
      </c>
      <c r="D5260" s="18">
        <v>5258</v>
      </c>
      <c r="E5260" s="18" cm="1">
        <f t="array" aca="1" ref="E5260" ca="1">INDIRECT("b"&amp;F5260+2)</f>
        <v>0</v>
      </c>
      <c r="F5260" s="18">
        <f t="shared" si="1092"/>
        <v>7409</v>
      </c>
      <c r="G5260" s="18"/>
      <c r="H5260" s="18"/>
      <c r="I5260" s="19">
        <v>5258</v>
      </c>
      <c r="J5260" s="19" cm="1">
        <f t="array" aca="1" ref="J5260" ca="1">INDIRECT("b"&amp;K5260+2)</f>
        <v>0</v>
      </c>
      <c r="K5260" s="19">
        <f t="shared" si="1103"/>
        <v>8609</v>
      </c>
    </row>
    <row r="5261" spans="1:11">
      <c r="A5261">
        <v>5259</v>
      </c>
      <c r="B5261">
        <v>4.8250000000000003E+153</v>
      </c>
      <c r="D5261" s="18">
        <v>5259</v>
      </c>
      <c r="E5261" s="18" cm="1">
        <f t="array" aca="1" ref="E5261" ca="1">INDIRECT("b"&amp;F5261+2)</f>
        <v>0</v>
      </c>
      <c r="F5261" s="18">
        <f t="shared" si="1092"/>
        <v>7410</v>
      </c>
      <c r="G5261" s="18"/>
      <c r="H5261" s="18"/>
      <c r="I5261" s="19">
        <v>5259</v>
      </c>
      <c r="J5261" s="19" cm="1">
        <f t="array" aca="1" ref="J5261" ca="1">INDIRECT("b"&amp;K5261+2)</f>
        <v>0</v>
      </c>
      <c r="K5261" s="19">
        <f t="shared" si="1103"/>
        <v>8610</v>
      </c>
    </row>
    <row r="5262" spans="1:11">
      <c r="A5262">
        <v>5260</v>
      </c>
      <c r="B5262">
        <v>5.0500000000000003E+153</v>
      </c>
      <c r="D5262" s="18">
        <v>5260</v>
      </c>
      <c r="E5262" s="18" cm="1">
        <f t="array" aca="1" ref="E5262" ca="1">INDIRECT("b"&amp;F5262+2)</f>
        <v>0</v>
      </c>
      <c r="F5262" s="18">
        <f t="shared" si="1092"/>
        <v>7412</v>
      </c>
      <c r="G5262" s="18" t="e">
        <f t="shared" ref="G5262" ca="1" si="1105">E5262/E5257</f>
        <v>#DIV/0!</v>
      </c>
      <c r="H5262" s="18"/>
      <c r="I5262" s="19">
        <v>5260</v>
      </c>
      <c r="J5262" s="19" cm="1">
        <f t="array" aca="1" ref="J5262" ca="1">INDIRECT("b"&amp;K5262+2)</f>
        <v>0</v>
      </c>
      <c r="K5262" s="19">
        <f t="shared" si="1103"/>
        <v>8612</v>
      </c>
    </row>
    <row r="5263" spans="1:11">
      <c r="A5263">
        <v>5261</v>
      </c>
      <c r="B5263">
        <v>5.2750000000000003E+153</v>
      </c>
      <c r="D5263" s="18">
        <v>5261</v>
      </c>
      <c r="E5263" s="18" cm="1">
        <f t="array" aca="1" ref="E5263" ca="1">INDIRECT("b"&amp;F5263+2)</f>
        <v>0</v>
      </c>
      <c r="F5263" s="18">
        <f t="shared" si="1092"/>
        <v>7413</v>
      </c>
      <c r="G5263" s="18"/>
      <c r="H5263" s="18"/>
      <c r="I5263" s="19">
        <v>5261</v>
      </c>
      <c r="J5263" s="19" cm="1">
        <f t="array" aca="1" ref="J5263" ca="1">INDIRECT("b"&amp;K5263+2)</f>
        <v>0</v>
      </c>
      <c r="K5263" s="19">
        <f t="shared" si="1103"/>
        <v>8613</v>
      </c>
    </row>
    <row r="5264" spans="1:11">
      <c r="A5264">
        <v>5262</v>
      </c>
      <c r="B5264">
        <v>5.5000000000000003E+153</v>
      </c>
      <c r="D5264" s="18">
        <v>5262</v>
      </c>
      <c r="E5264" s="18" cm="1">
        <f t="array" aca="1" ref="E5264" ca="1">INDIRECT("b"&amp;F5264+2)</f>
        <v>0</v>
      </c>
      <c r="F5264" s="18">
        <f t="shared" si="1092"/>
        <v>7414</v>
      </c>
      <c r="G5264" s="18"/>
      <c r="H5264" s="18"/>
      <c r="I5264" s="19">
        <v>5262</v>
      </c>
      <c r="J5264" s="19" cm="1">
        <f t="array" aca="1" ref="J5264" ca="1">INDIRECT("b"&amp;K5264+2)</f>
        <v>0</v>
      </c>
      <c r="K5264" s="19">
        <f t="shared" si="1103"/>
        <v>8614</v>
      </c>
    </row>
    <row r="5265" spans="1:11">
      <c r="A5265">
        <v>5263</v>
      </c>
      <c r="B5265">
        <v>5.7250000000000003E+153</v>
      </c>
      <c r="D5265" s="18">
        <v>5263</v>
      </c>
      <c r="E5265" s="18" cm="1">
        <f t="array" aca="1" ref="E5265" ca="1">INDIRECT("b"&amp;F5265+2)</f>
        <v>0</v>
      </c>
      <c r="F5265" s="18">
        <f t="shared" si="1092"/>
        <v>7416</v>
      </c>
      <c r="G5265" s="18"/>
      <c r="H5265" s="18"/>
      <c r="I5265" s="19">
        <v>5263</v>
      </c>
      <c r="J5265" s="19" cm="1">
        <f t="array" aca="1" ref="J5265" ca="1">INDIRECT("b"&amp;K5265+2)</f>
        <v>0</v>
      </c>
      <c r="K5265" s="19">
        <f t="shared" si="1103"/>
        <v>8616</v>
      </c>
    </row>
    <row r="5266" spans="1:11">
      <c r="A5266">
        <v>5264</v>
      </c>
      <c r="B5266">
        <v>5.9500000000000003E+153</v>
      </c>
      <c r="D5266" s="18">
        <v>5264</v>
      </c>
      <c r="E5266" s="18" cm="1">
        <f t="array" aca="1" ref="E5266" ca="1">INDIRECT("b"&amp;F5266+2)</f>
        <v>0</v>
      </c>
      <c r="F5266" s="18">
        <f t="shared" si="1092"/>
        <v>7417</v>
      </c>
      <c r="G5266" s="18"/>
      <c r="H5266" s="18"/>
      <c r="I5266" s="19">
        <v>5264</v>
      </c>
      <c r="J5266" s="19" cm="1">
        <f t="array" aca="1" ref="J5266" ca="1">INDIRECT("b"&amp;K5266+2)</f>
        <v>0</v>
      </c>
      <c r="K5266" s="19">
        <f t="shared" si="1103"/>
        <v>8617</v>
      </c>
    </row>
    <row r="5267" spans="1:11">
      <c r="A5267">
        <v>5265</v>
      </c>
      <c r="B5267">
        <v>6.1750000000000003E+153</v>
      </c>
      <c r="D5267" s="18">
        <v>5265</v>
      </c>
      <c r="E5267" s="18" cm="1">
        <f t="array" aca="1" ref="E5267" ca="1">INDIRECT("b"&amp;F5267+2)</f>
        <v>0</v>
      </c>
      <c r="F5267" s="18">
        <f t="shared" ref="F5267:F5330" si="1106">INT((A5267-123)*1.333333)+563</f>
        <v>7418</v>
      </c>
      <c r="G5267" s="18" t="e">
        <f t="shared" ref="G5267" ca="1" si="1107">E5267/E5262</f>
        <v>#DIV/0!</v>
      </c>
      <c r="H5267" s="18"/>
      <c r="I5267" s="19">
        <v>5265</v>
      </c>
      <c r="J5267" s="19" cm="1">
        <f t="array" aca="1" ref="J5267" ca="1">INDIRECT("b"&amp;K5267+2)</f>
        <v>0</v>
      </c>
      <c r="K5267" s="19">
        <f t="shared" si="1103"/>
        <v>8618</v>
      </c>
    </row>
    <row r="5268" spans="1:11">
      <c r="A5268">
        <v>5266</v>
      </c>
      <c r="B5268">
        <v>6.4000000000000003E+153</v>
      </c>
      <c r="D5268" s="18">
        <v>5266</v>
      </c>
      <c r="E5268" s="18" cm="1">
        <f t="array" aca="1" ref="E5268" ca="1">INDIRECT("b"&amp;F5268+2)</f>
        <v>0</v>
      </c>
      <c r="F5268" s="18">
        <f t="shared" si="1106"/>
        <v>7420</v>
      </c>
      <c r="G5268" s="18"/>
      <c r="H5268" s="18"/>
      <c r="I5268" s="19">
        <v>5266</v>
      </c>
      <c r="J5268" s="19" cm="1">
        <f t="array" aca="1" ref="J5268" ca="1">INDIRECT("b"&amp;K5268+2)</f>
        <v>0</v>
      </c>
      <c r="K5268" s="19">
        <f t="shared" si="1103"/>
        <v>8620</v>
      </c>
    </row>
    <row r="5269" spans="1:11">
      <c r="A5269">
        <v>5267</v>
      </c>
      <c r="B5269">
        <v>6.6249999999999996E+153</v>
      </c>
      <c r="D5269" s="18">
        <v>5267</v>
      </c>
      <c r="E5269" s="18" cm="1">
        <f t="array" aca="1" ref="E5269" ca="1">INDIRECT("b"&amp;F5269+2)</f>
        <v>0</v>
      </c>
      <c r="F5269" s="18">
        <f t="shared" si="1106"/>
        <v>7421</v>
      </c>
      <c r="G5269" s="18"/>
      <c r="H5269" s="18"/>
      <c r="I5269" s="19">
        <v>5267</v>
      </c>
      <c r="J5269" s="19" cm="1">
        <f t="array" aca="1" ref="J5269" ca="1">INDIRECT("b"&amp;K5269+2)</f>
        <v>0</v>
      </c>
      <c r="K5269" s="19">
        <f t="shared" si="1103"/>
        <v>8621</v>
      </c>
    </row>
    <row r="5270" spans="1:11">
      <c r="A5270">
        <v>5268</v>
      </c>
      <c r="B5270">
        <v>6.8500000000000003E+153</v>
      </c>
      <c r="D5270" s="18">
        <v>5268</v>
      </c>
      <c r="E5270" s="18" cm="1">
        <f t="array" aca="1" ref="E5270" ca="1">INDIRECT("b"&amp;F5270+2)</f>
        <v>0</v>
      </c>
      <c r="F5270" s="18">
        <f t="shared" si="1106"/>
        <v>7422</v>
      </c>
      <c r="G5270" s="18"/>
      <c r="H5270" s="18"/>
      <c r="I5270" s="19">
        <v>5268</v>
      </c>
      <c r="J5270" s="19" cm="1">
        <f t="array" aca="1" ref="J5270" ca="1">INDIRECT("b"&amp;K5270+2)</f>
        <v>0</v>
      </c>
      <c r="K5270" s="19">
        <f t="shared" si="1103"/>
        <v>8622</v>
      </c>
    </row>
    <row r="5271" spans="1:11">
      <c r="A5271">
        <v>5269</v>
      </c>
      <c r="B5271">
        <v>7.0749999999999996E+153</v>
      </c>
      <c r="D5271" s="18">
        <v>5269</v>
      </c>
      <c r="E5271" s="18" cm="1">
        <f t="array" aca="1" ref="E5271" ca="1">INDIRECT("b"&amp;F5271+2)</f>
        <v>0</v>
      </c>
      <c r="F5271" s="18">
        <f t="shared" si="1106"/>
        <v>7424</v>
      </c>
      <c r="G5271" s="18"/>
      <c r="H5271" s="18"/>
      <c r="I5271" s="19">
        <v>5269</v>
      </c>
      <c r="J5271" s="19" cm="1">
        <f t="array" aca="1" ref="J5271" ca="1">INDIRECT("b"&amp;K5271+2)</f>
        <v>0</v>
      </c>
      <c r="K5271" s="19">
        <f t="shared" si="1103"/>
        <v>8624</v>
      </c>
    </row>
    <row r="5272" spans="1:11">
      <c r="A5272">
        <v>5270</v>
      </c>
      <c r="B5272">
        <v>7.3000000000000003E+153</v>
      </c>
      <c r="D5272" s="18">
        <v>5270</v>
      </c>
      <c r="E5272" s="18" cm="1">
        <f t="array" aca="1" ref="E5272" ca="1">INDIRECT("b"&amp;F5272+2)</f>
        <v>0</v>
      </c>
      <c r="F5272" s="18">
        <f t="shared" si="1106"/>
        <v>7425</v>
      </c>
      <c r="G5272" s="18" t="e">
        <f t="shared" ref="G5272" ca="1" si="1108">E5272/E5267</f>
        <v>#DIV/0!</v>
      </c>
      <c r="H5272" s="18"/>
      <c r="I5272" s="19">
        <v>5270</v>
      </c>
      <c r="J5272" s="19" cm="1">
        <f t="array" aca="1" ref="J5272" ca="1">INDIRECT("b"&amp;K5272+2)</f>
        <v>0</v>
      </c>
      <c r="K5272" s="19">
        <f t="shared" si="1103"/>
        <v>8625</v>
      </c>
    </row>
    <row r="5273" spans="1:11">
      <c r="A5273">
        <v>5271</v>
      </c>
      <c r="B5273">
        <v>7.5249999999999996E+153</v>
      </c>
      <c r="D5273" s="18">
        <v>5271</v>
      </c>
      <c r="E5273" s="18" cm="1">
        <f t="array" aca="1" ref="E5273" ca="1">INDIRECT("b"&amp;F5273+2)</f>
        <v>0</v>
      </c>
      <c r="F5273" s="18">
        <f t="shared" si="1106"/>
        <v>7426</v>
      </c>
      <c r="G5273" s="18"/>
      <c r="H5273" s="18"/>
      <c r="I5273" s="19">
        <v>5271</v>
      </c>
      <c r="J5273" s="19" cm="1">
        <f t="array" aca="1" ref="J5273" ca="1">INDIRECT("b"&amp;K5273+2)</f>
        <v>0</v>
      </c>
      <c r="K5273" s="19">
        <f t="shared" si="1103"/>
        <v>8626</v>
      </c>
    </row>
    <row r="5274" spans="1:11">
      <c r="A5274">
        <v>5272</v>
      </c>
      <c r="B5274">
        <v>7.7500000000000003E+153</v>
      </c>
      <c r="D5274" s="18">
        <v>5272</v>
      </c>
      <c r="E5274" s="18" cm="1">
        <f t="array" aca="1" ref="E5274" ca="1">INDIRECT("b"&amp;F5274+2)</f>
        <v>0</v>
      </c>
      <c r="F5274" s="18">
        <f t="shared" si="1106"/>
        <v>7428</v>
      </c>
      <c r="G5274" s="18"/>
      <c r="H5274" s="18"/>
      <c r="I5274" s="19">
        <v>5272</v>
      </c>
      <c r="J5274" s="19" cm="1">
        <f t="array" aca="1" ref="J5274" ca="1">INDIRECT("b"&amp;K5274+2)</f>
        <v>0</v>
      </c>
      <c r="K5274" s="19">
        <f t="shared" si="1103"/>
        <v>8628</v>
      </c>
    </row>
    <row r="5275" spans="1:11">
      <c r="A5275">
        <v>5273</v>
      </c>
      <c r="B5275">
        <v>7.9749999999999996E+153</v>
      </c>
      <c r="D5275" s="18">
        <v>5273</v>
      </c>
      <c r="E5275" s="18" cm="1">
        <f t="array" aca="1" ref="E5275" ca="1">INDIRECT("b"&amp;F5275+2)</f>
        <v>0</v>
      </c>
      <c r="F5275" s="18">
        <f t="shared" si="1106"/>
        <v>7429</v>
      </c>
      <c r="G5275" s="18"/>
      <c r="H5275" s="18"/>
      <c r="I5275" s="19">
        <v>5273</v>
      </c>
      <c r="J5275" s="19" cm="1">
        <f t="array" aca="1" ref="J5275" ca="1">INDIRECT("b"&amp;K5275+2)</f>
        <v>0</v>
      </c>
      <c r="K5275" s="19">
        <f t="shared" si="1103"/>
        <v>8629</v>
      </c>
    </row>
    <row r="5276" spans="1:11">
      <c r="A5276">
        <v>5274</v>
      </c>
      <c r="B5276">
        <v>8.2000000000000003E+153</v>
      </c>
      <c r="D5276" s="18">
        <v>5274</v>
      </c>
      <c r="E5276" s="18" cm="1">
        <f t="array" aca="1" ref="E5276" ca="1">INDIRECT("b"&amp;F5276+2)</f>
        <v>0</v>
      </c>
      <c r="F5276" s="18">
        <f t="shared" si="1106"/>
        <v>7430</v>
      </c>
      <c r="G5276" s="18"/>
      <c r="H5276" s="18"/>
      <c r="I5276" s="19">
        <v>5274</v>
      </c>
      <c r="J5276" s="19" cm="1">
        <f t="array" aca="1" ref="J5276" ca="1">INDIRECT("b"&amp;K5276+2)</f>
        <v>0</v>
      </c>
      <c r="K5276" s="19">
        <f t="shared" si="1103"/>
        <v>8630</v>
      </c>
    </row>
    <row r="5277" spans="1:11">
      <c r="A5277">
        <v>5275</v>
      </c>
      <c r="B5277">
        <v>8.4249999999999996E+153</v>
      </c>
      <c r="D5277" s="18">
        <v>5275</v>
      </c>
      <c r="E5277" s="18" cm="1">
        <f t="array" aca="1" ref="E5277" ca="1">INDIRECT("b"&amp;F5277+2)</f>
        <v>0</v>
      </c>
      <c r="F5277" s="18">
        <f t="shared" si="1106"/>
        <v>7432</v>
      </c>
      <c r="G5277" s="18" t="e">
        <f t="shared" ref="G5277" ca="1" si="1109">E5277/E5272</f>
        <v>#DIV/0!</v>
      </c>
      <c r="H5277" s="18"/>
      <c r="I5277" s="19">
        <v>5275</v>
      </c>
      <c r="J5277" s="19" cm="1">
        <f t="array" aca="1" ref="J5277" ca="1">INDIRECT("b"&amp;K5277+2)</f>
        <v>0</v>
      </c>
      <c r="K5277" s="19">
        <f t="shared" si="1103"/>
        <v>8632</v>
      </c>
    </row>
    <row r="5278" spans="1:11">
      <c r="A5278">
        <v>5276</v>
      </c>
      <c r="B5278">
        <v>8.6500000000000003E+153</v>
      </c>
      <c r="D5278" s="18">
        <v>5276</v>
      </c>
      <c r="E5278" s="18" cm="1">
        <f t="array" aca="1" ref="E5278" ca="1">INDIRECT("b"&amp;F5278+2)</f>
        <v>0</v>
      </c>
      <c r="F5278" s="18">
        <f t="shared" si="1106"/>
        <v>7433</v>
      </c>
      <c r="G5278" s="18"/>
      <c r="H5278" s="18"/>
      <c r="I5278" s="19">
        <v>5276</v>
      </c>
      <c r="J5278" s="19" cm="1">
        <f t="array" aca="1" ref="J5278" ca="1">INDIRECT("b"&amp;K5278+2)</f>
        <v>0</v>
      </c>
      <c r="K5278" s="19">
        <f t="shared" si="1103"/>
        <v>8633</v>
      </c>
    </row>
    <row r="5279" spans="1:11">
      <c r="A5279">
        <v>5277</v>
      </c>
      <c r="B5279">
        <v>8.8749999999999996E+153</v>
      </c>
      <c r="D5279" s="18">
        <v>5277</v>
      </c>
      <c r="E5279" s="18" cm="1">
        <f t="array" aca="1" ref="E5279" ca="1">INDIRECT("b"&amp;F5279+2)</f>
        <v>0</v>
      </c>
      <c r="F5279" s="18">
        <f t="shared" si="1106"/>
        <v>7434</v>
      </c>
      <c r="G5279" s="18"/>
      <c r="H5279" s="18"/>
      <c r="I5279" s="19">
        <v>5277</v>
      </c>
      <c r="J5279" s="19" cm="1">
        <f t="array" aca="1" ref="J5279" ca="1">INDIRECT("b"&amp;K5279+2)</f>
        <v>0</v>
      </c>
      <c r="K5279" s="19">
        <f t="shared" si="1103"/>
        <v>8634</v>
      </c>
    </row>
    <row r="5280" spans="1:11">
      <c r="A5280">
        <v>5278</v>
      </c>
      <c r="B5280">
        <v>9.1000000000000004E+153</v>
      </c>
      <c r="D5280" s="18">
        <v>5278</v>
      </c>
      <c r="E5280" s="18" cm="1">
        <f t="array" aca="1" ref="E5280" ca="1">INDIRECT("b"&amp;F5280+2)</f>
        <v>0</v>
      </c>
      <c r="F5280" s="18">
        <f t="shared" si="1106"/>
        <v>7436</v>
      </c>
      <c r="G5280" s="18"/>
      <c r="H5280" s="18"/>
      <c r="I5280" s="19">
        <v>5278</v>
      </c>
      <c r="J5280" s="19" cm="1">
        <f t="array" aca="1" ref="J5280" ca="1">INDIRECT("b"&amp;K5280+2)</f>
        <v>0</v>
      </c>
      <c r="K5280" s="19">
        <f t="shared" si="1103"/>
        <v>8636</v>
      </c>
    </row>
    <row r="5281" spans="1:11">
      <c r="A5281">
        <v>5279</v>
      </c>
      <c r="B5281">
        <v>9.3249999999999996E+153</v>
      </c>
      <c r="D5281" s="18">
        <v>5279</v>
      </c>
      <c r="E5281" s="18" cm="1">
        <f t="array" aca="1" ref="E5281" ca="1">INDIRECT("b"&amp;F5281+2)</f>
        <v>0</v>
      </c>
      <c r="F5281" s="18">
        <f t="shared" si="1106"/>
        <v>7437</v>
      </c>
      <c r="G5281" s="18"/>
      <c r="H5281" s="18"/>
      <c r="I5281" s="19">
        <v>5279</v>
      </c>
      <c r="J5281" s="19" cm="1">
        <f t="array" aca="1" ref="J5281" ca="1">INDIRECT("b"&amp;K5281+2)</f>
        <v>0</v>
      </c>
      <c r="K5281" s="19">
        <f t="shared" si="1103"/>
        <v>8637</v>
      </c>
    </row>
    <row r="5282" spans="1:11">
      <c r="A5282">
        <v>5280</v>
      </c>
      <c r="B5282">
        <v>9.5500000000000004E+153</v>
      </c>
      <c r="D5282" s="18">
        <v>5280</v>
      </c>
      <c r="E5282" s="18" cm="1">
        <f t="array" aca="1" ref="E5282" ca="1">INDIRECT("b"&amp;F5282+2)</f>
        <v>0</v>
      </c>
      <c r="F5282" s="18">
        <f t="shared" si="1106"/>
        <v>7438</v>
      </c>
      <c r="G5282" s="18" t="e">
        <f t="shared" ref="G5282" ca="1" si="1110">E5282/E5277</f>
        <v>#DIV/0!</v>
      </c>
      <c r="H5282" s="18"/>
      <c r="I5282" s="19">
        <v>5280</v>
      </c>
      <c r="J5282" s="19" cm="1">
        <f t="array" aca="1" ref="J5282" ca="1">INDIRECT("b"&amp;K5282+2)</f>
        <v>0</v>
      </c>
      <c r="K5282" s="19">
        <f t="shared" si="1103"/>
        <v>8638</v>
      </c>
    </row>
    <row r="5283" spans="1:11">
      <c r="A5283">
        <v>5281</v>
      </c>
      <c r="B5283">
        <v>9.7749999999999996E+153</v>
      </c>
      <c r="D5283" s="18">
        <v>5281</v>
      </c>
      <c r="E5283" s="18" cm="1">
        <f t="array" aca="1" ref="E5283" ca="1">INDIRECT("b"&amp;F5283+2)</f>
        <v>0</v>
      </c>
      <c r="F5283" s="18">
        <f t="shared" si="1106"/>
        <v>7440</v>
      </c>
      <c r="G5283" s="18"/>
      <c r="H5283" s="18"/>
      <c r="I5283" s="19">
        <v>5281</v>
      </c>
      <c r="J5283" s="19" cm="1">
        <f t="array" aca="1" ref="J5283" ca="1">INDIRECT("b"&amp;K5283+2)</f>
        <v>0</v>
      </c>
      <c r="K5283" s="19">
        <f t="shared" si="1103"/>
        <v>8640</v>
      </c>
    </row>
    <row r="5284" spans="1:11">
      <c r="A5284">
        <v>5282</v>
      </c>
      <c r="B5284">
        <v>9.9999999999999989E+153</v>
      </c>
      <c r="D5284" s="18">
        <v>5282</v>
      </c>
      <c r="E5284" s="18" cm="1">
        <f t="array" aca="1" ref="E5284" ca="1">INDIRECT("b"&amp;F5284+2)</f>
        <v>0</v>
      </c>
      <c r="F5284" s="18">
        <f t="shared" si="1106"/>
        <v>7441</v>
      </c>
      <c r="G5284" s="18"/>
      <c r="H5284" s="18"/>
      <c r="I5284" s="19">
        <v>5282</v>
      </c>
      <c r="J5284" s="19" cm="1">
        <f t="array" aca="1" ref="J5284" ca="1">INDIRECT("b"&amp;K5284+2)</f>
        <v>0</v>
      </c>
      <c r="K5284" s="19">
        <f t="shared" si="1103"/>
        <v>8641</v>
      </c>
    </row>
    <row r="5285" spans="1:11">
      <c r="A5285">
        <v>5283</v>
      </c>
      <c r="B5285">
        <v>1.2249999999999999E+154</v>
      </c>
      <c r="D5285" s="18">
        <v>5283</v>
      </c>
      <c r="E5285" s="18" cm="1">
        <f t="array" aca="1" ref="E5285" ca="1">INDIRECT("b"&amp;F5285+2)</f>
        <v>0</v>
      </c>
      <c r="F5285" s="18">
        <f t="shared" si="1106"/>
        <v>7442</v>
      </c>
      <c r="G5285" s="18"/>
      <c r="H5285" s="18"/>
      <c r="I5285" s="19">
        <v>5283</v>
      </c>
      <c r="J5285" s="19" cm="1">
        <f t="array" aca="1" ref="J5285" ca="1">INDIRECT("b"&amp;K5285+2)</f>
        <v>0</v>
      </c>
      <c r="K5285" s="19">
        <f t="shared" si="1103"/>
        <v>8642</v>
      </c>
    </row>
    <row r="5286" spans="1:11">
      <c r="A5286">
        <v>5284</v>
      </c>
      <c r="B5286">
        <v>1.4499999999999999E+154</v>
      </c>
      <c r="D5286" s="18">
        <v>5284</v>
      </c>
      <c r="E5286" s="18" cm="1">
        <f t="array" aca="1" ref="E5286" ca="1">INDIRECT("b"&amp;F5286+2)</f>
        <v>0</v>
      </c>
      <c r="F5286" s="18">
        <f t="shared" si="1106"/>
        <v>7444</v>
      </c>
      <c r="G5286" s="18"/>
      <c r="H5286" s="18"/>
      <c r="I5286" s="19">
        <v>5284</v>
      </c>
      <c r="J5286" s="19" cm="1">
        <f t="array" aca="1" ref="J5286" ca="1">INDIRECT("b"&amp;K5286+2)</f>
        <v>0</v>
      </c>
      <c r="K5286" s="19">
        <f t="shared" si="1103"/>
        <v>8644</v>
      </c>
    </row>
    <row r="5287" spans="1:11">
      <c r="A5287">
        <v>5285</v>
      </c>
      <c r="B5287">
        <v>1.6749999999999998E+154</v>
      </c>
      <c r="D5287" s="18">
        <v>5285</v>
      </c>
      <c r="E5287" s="18" cm="1">
        <f t="array" aca="1" ref="E5287" ca="1">INDIRECT("b"&amp;F5287+2)</f>
        <v>0</v>
      </c>
      <c r="F5287" s="18">
        <f t="shared" si="1106"/>
        <v>7445</v>
      </c>
      <c r="G5287" s="18" t="e">
        <f t="shared" ref="G5287" ca="1" si="1111">E5287/E5282</f>
        <v>#DIV/0!</v>
      </c>
      <c r="H5287" s="18"/>
      <c r="I5287" s="19">
        <v>5285</v>
      </c>
      <c r="J5287" s="19" cm="1">
        <f t="array" aca="1" ref="J5287" ca="1">INDIRECT("b"&amp;K5287+2)</f>
        <v>0</v>
      </c>
      <c r="K5287" s="19">
        <f t="shared" si="1103"/>
        <v>8645</v>
      </c>
    </row>
    <row r="5288" spans="1:11">
      <c r="A5288">
        <v>5286</v>
      </c>
      <c r="B5288">
        <v>1.8999999999999999E+154</v>
      </c>
      <c r="D5288" s="18">
        <v>5286</v>
      </c>
      <c r="E5288" s="18" cm="1">
        <f t="array" aca="1" ref="E5288" ca="1">INDIRECT("b"&amp;F5288+2)</f>
        <v>0</v>
      </c>
      <c r="F5288" s="18">
        <f t="shared" si="1106"/>
        <v>7446</v>
      </c>
      <c r="G5288" s="18"/>
      <c r="H5288" s="18"/>
      <c r="I5288" s="19">
        <v>5286</v>
      </c>
      <c r="J5288" s="19" cm="1">
        <f t="array" aca="1" ref="J5288" ca="1">INDIRECT("b"&amp;K5288+2)</f>
        <v>0</v>
      </c>
      <c r="K5288" s="19">
        <f t="shared" si="1103"/>
        <v>8646</v>
      </c>
    </row>
    <row r="5289" spans="1:11">
      <c r="A5289">
        <v>5287</v>
      </c>
      <c r="B5289">
        <v>2.1249999999999998E+154</v>
      </c>
      <c r="D5289" s="18">
        <v>5287</v>
      </c>
      <c r="E5289" s="18" cm="1">
        <f t="array" aca="1" ref="E5289" ca="1">INDIRECT("b"&amp;F5289+2)</f>
        <v>0</v>
      </c>
      <c r="F5289" s="18">
        <f t="shared" si="1106"/>
        <v>7448</v>
      </c>
      <c r="G5289" s="18"/>
      <c r="H5289" s="18"/>
      <c r="I5289" s="19">
        <v>5287</v>
      </c>
      <c r="J5289" s="19" cm="1">
        <f t="array" aca="1" ref="J5289" ca="1">INDIRECT("b"&amp;K5289+2)</f>
        <v>0</v>
      </c>
      <c r="K5289" s="19">
        <f t="shared" si="1103"/>
        <v>8648</v>
      </c>
    </row>
    <row r="5290" spans="1:11">
      <c r="A5290">
        <v>5288</v>
      </c>
      <c r="B5290">
        <v>2.3499999999999999E+154</v>
      </c>
      <c r="D5290" s="18">
        <v>5288</v>
      </c>
      <c r="E5290" s="18" cm="1">
        <f t="array" aca="1" ref="E5290" ca="1">INDIRECT("b"&amp;F5290+2)</f>
        <v>0</v>
      </c>
      <c r="F5290" s="18">
        <f t="shared" si="1106"/>
        <v>7449</v>
      </c>
      <c r="G5290" s="18"/>
      <c r="H5290" s="18"/>
      <c r="I5290" s="19">
        <v>5288</v>
      </c>
      <c r="J5290" s="19" cm="1">
        <f t="array" aca="1" ref="J5290" ca="1">INDIRECT("b"&amp;K5290+2)</f>
        <v>0</v>
      </c>
      <c r="K5290" s="19">
        <f t="shared" si="1103"/>
        <v>8649</v>
      </c>
    </row>
    <row r="5291" spans="1:11">
      <c r="A5291">
        <v>5289</v>
      </c>
      <c r="B5291">
        <v>2.5749999999999998E+154</v>
      </c>
      <c r="D5291" s="18">
        <v>5289</v>
      </c>
      <c r="E5291" s="18" cm="1">
        <f t="array" aca="1" ref="E5291" ca="1">INDIRECT("b"&amp;F5291+2)</f>
        <v>0</v>
      </c>
      <c r="F5291" s="18">
        <f t="shared" si="1106"/>
        <v>7450</v>
      </c>
      <c r="G5291" s="18"/>
      <c r="H5291" s="18"/>
      <c r="I5291" s="19">
        <v>5289</v>
      </c>
      <c r="J5291" s="19" cm="1">
        <f t="array" aca="1" ref="J5291" ca="1">INDIRECT("b"&amp;K5291+2)</f>
        <v>0</v>
      </c>
      <c r="K5291" s="19">
        <f t="shared" si="1103"/>
        <v>8650</v>
      </c>
    </row>
    <row r="5292" spans="1:11">
      <c r="A5292">
        <v>5290</v>
      </c>
      <c r="B5292">
        <v>2.7999999999999999E+154</v>
      </c>
      <c r="D5292" s="18">
        <v>5290</v>
      </c>
      <c r="E5292" s="18" cm="1">
        <f t="array" aca="1" ref="E5292" ca="1">INDIRECT("b"&amp;F5292+2)</f>
        <v>0</v>
      </c>
      <c r="F5292" s="18">
        <f t="shared" si="1106"/>
        <v>7452</v>
      </c>
      <c r="G5292" s="18" t="e">
        <f t="shared" ref="G5292" ca="1" si="1112">E5292/E5287</f>
        <v>#DIV/0!</v>
      </c>
      <c r="H5292" s="18"/>
      <c r="I5292" s="19">
        <v>5290</v>
      </c>
      <c r="J5292" s="19" cm="1">
        <f t="array" aca="1" ref="J5292" ca="1">INDIRECT("b"&amp;K5292+2)</f>
        <v>0</v>
      </c>
      <c r="K5292" s="19">
        <f t="shared" si="1103"/>
        <v>8652</v>
      </c>
    </row>
    <row r="5293" spans="1:11">
      <c r="A5293">
        <v>5291</v>
      </c>
      <c r="B5293">
        <v>3.0250000000000001E+154</v>
      </c>
      <c r="D5293" s="18">
        <v>5291</v>
      </c>
      <c r="E5293" s="18" cm="1">
        <f t="array" aca="1" ref="E5293" ca="1">INDIRECT("b"&amp;F5293+2)</f>
        <v>0</v>
      </c>
      <c r="F5293" s="18">
        <f t="shared" si="1106"/>
        <v>7453</v>
      </c>
      <c r="G5293" s="18"/>
      <c r="H5293" s="18"/>
      <c r="I5293" s="19">
        <v>5291</v>
      </c>
      <c r="J5293" s="19" cm="1">
        <f t="array" aca="1" ref="J5293" ca="1">INDIRECT("b"&amp;K5293+2)</f>
        <v>0</v>
      </c>
      <c r="K5293" s="19">
        <f t="shared" si="1103"/>
        <v>8653</v>
      </c>
    </row>
    <row r="5294" spans="1:11">
      <c r="A5294">
        <v>5292</v>
      </c>
      <c r="B5294">
        <v>3.2499999999999996E+154</v>
      </c>
      <c r="D5294" s="18">
        <v>5292</v>
      </c>
      <c r="E5294" s="18" cm="1">
        <f t="array" aca="1" ref="E5294" ca="1">INDIRECT("b"&amp;F5294+2)</f>
        <v>0</v>
      </c>
      <c r="F5294" s="18">
        <f t="shared" si="1106"/>
        <v>7454</v>
      </c>
      <c r="G5294" s="18"/>
      <c r="H5294" s="18"/>
      <c r="I5294" s="19">
        <v>5292</v>
      </c>
      <c r="J5294" s="19" cm="1">
        <f t="array" aca="1" ref="J5294" ca="1">INDIRECT("b"&amp;K5294+2)</f>
        <v>0</v>
      </c>
      <c r="K5294" s="19">
        <f t="shared" si="1103"/>
        <v>8654</v>
      </c>
    </row>
    <row r="5295" spans="1:11">
      <c r="A5295">
        <v>5293</v>
      </c>
      <c r="B5295">
        <v>3.4749999999999998E+154</v>
      </c>
      <c r="D5295" s="18">
        <v>5293</v>
      </c>
      <c r="E5295" s="18" cm="1">
        <f t="array" aca="1" ref="E5295" ca="1">INDIRECT("b"&amp;F5295+2)</f>
        <v>0</v>
      </c>
      <c r="F5295" s="18">
        <f t="shared" si="1106"/>
        <v>7456</v>
      </c>
      <c r="G5295" s="18"/>
      <c r="H5295" s="18"/>
      <c r="I5295" s="19">
        <v>5293</v>
      </c>
      <c r="J5295" s="19" cm="1">
        <f t="array" aca="1" ref="J5295" ca="1">INDIRECT("b"&amp;K5295+2)</f>
        <v>0</v>
      </c>
      <c r="K5295" s="19">
        <f t="shared" si="1103"/>
        <v>8656</v>
      </c>
    </row>
    <row r="5296" spans="1:11">
      <c r="A5296">
        <v>5294</v>
      </c>
      <c r="B5296">
        <v>3.6999999999999999E+154</v>
      </c>
      <c r="D5296" s="18">
        <v>5294</v>
      </c>
      <c r="E5296" s="18" cm="1">
        <f t="array" aca="1" ref="E5296" ca="1">INDIRECT("b"&amp;F5296+2)</f>
        <v>0</v>
      </c>
      <c r="F5296" s="18">
        <f t="shared" si="1106"/>
        <v>7457</v>
      </c>
      <c r="G5296" s="18"/>
      <c r="H5296" s="18"/>
      <c r="I5296" s="19">
        <v>5294</v>
      </c>
      <c r="J5296" s="19" cm="1">
        <f t="array" aca="1" ref="J5296" ca="1">INDIRECT("b"&amp;K5296+2)</f>
        <v>0</v>
      </c>
      <c r="K5296" s="19">
        <f t="shared" si="1103"/>
        <v>8657</v>
      </c>
    </row>
    <row r="5297" spans="1:11">
      <c r="A5297">
        <v>5295</v>
      </c>
      <c r="B5297">
        <v>3.9249999999999995E+154</v>
      </c>
      <c r="D5297" s="18">
        <v>5295</v>
      </c>
      <c r="E5297" s="18" cm="1">
        <f t="array" aca="1" ref="E5297" ca="1">INDIRECT("b"&amp;F5297+2)</f>
        <v>0</v>
      </c>
      <c r="F5297" s="18">
        <f t="shared" si="1106"/>
        <v>7458</v>
      </c>
      <c r="G5297" s="18" t="e">
        <f t="shared" ref="G5297" ca="1" si="1113">E5297/E5292</f>
        <v>#DIV/0!</v>
      </c>
      <c r="H5297" s="18"/>
      <c r="I5297" s="19">
        <v>5295</v>
      </c>
      <c r="J5297" s="19" cm="1">
        <f t="array" aca="1" ref="J5297" ca="1">INDIRECT("b"&amp;K5297+2)</f>
        <v>0</v>
      </c>
      <c r="K5297" s="19">
        <f t="shared" si="1103"/>
        <v>8658</v>
      </c>
    </row>
    <row r="5298" spans="1:11">
      <c r="A5298">
        <v>5296</v>
      </c>
      <c r="B5298">
        <v>4.1499999999999997E+154</v>
      </c>
      <c r="D5298" s="18">
        <v>5296</v>
      </c>
      <c r="E5298" s="18" cm="1">
        <f t="array" aca="1" ref="E5298" ca="1">INDIRECT("b"&amp;F5298+2)</f>
        <v>0</v>
      </c>
      <c r="F5298" s="18">
        <f t="shared" si="1106"/>
        <v>7460</v>
      </c>
      <c r="G5298" s="18"/>
      <c r="H5298" s="18"/>
      <c r="I5298" s="19">
        <v>5296</v>
      </c>
      <c r="J5298" s="19" cm="1">
        <f t="array" aca="1" ref="J5298" ca="1">INDIRECT("b"&amp;K5298+2)</f>
        <v>0</v>
      </c>
      <c r="K5298" s="19">
        <f t="shared" si="1103"/>
        <v>8660</v>
      </c>
    </row>
    <row r="5299" spans="1:11">
      <c r="A5299">
        <v>5297</v>
      </c>
      <c r="B5299">
        <v>4.3749999999999998E+154</v>
      </c>
      <c r="D5299" s="18">
        <v>5297</v>
      </c>
      <c r="E5299" s="18" cm="1">
        <f t="array" aca="1" ref="E5299" ca="1">INDIRECT("b"&amp;F5299+2)</f>
        <v>0</v>
      </c>
      <c r="F5299" s="18">
        <f t="shared" si="1106"/>
        <v>7461</v>
      </c>
      <c r="G5299" s="18"/>
      <c r="H5299" s="18"/>
      <c r="I5299" s="19">
        <v>5297</v>
      </c>
      <c r="J5299" s="19" cm="1">
        <f t="array" aca="1" ref="J5299" ca="1">INDIRECT("b"&amp;K5299+2)</f>
        <v>0</v>
      </c>
      <c r="K5299" s="19">
        <f t="shared" si="1103"/>
        <v>8661</v>
      </c>
    </row>
    <row r="5300" spans="1:11">
      <c r="A5300">
        <v>5298</v>
      </c>
      <c r="B5300">
        <v>4.6E+154</v>
      </c>
      <c r="D5300" s="18">
        <v>5298</v>
      </c>
      <c r="E5300" s="18" cm="1">
        <f t="array" aca="1" ref="E5300" ca="1">INDIRECT("b"&amp;F5300+2)</f>
        <v>0</v>
      </c>
      <c r="F5300" s="18">
        <f t="shared" si="1106"/>
        <v>7462</v>
      </c>
      <c r="G5300" s="18"/>
      <c r="H5300" s="18"/>
      <c r="I5300" s="19">
        <v>5298</v>
      </c>
      <c r="J5300" s="19" cm="1">
        <f t="array" aca="1" ref="J5300" ca="1">INDIRECT("b"&amp;K5300+2)</f>
        <v>0</v>
      </c>
      <c r="K5300" s="19">
        <f t="shared" si="1103"/>
        <v>8662</v>
      </c>
    </row>
    <row r="5301" spans="1:11">
      <c r="A5301">
        <v>5299</v>
      </c>
      <c r="B5301">
        <v>4.8249999999999995E+154</v>
      </c>
      <c r="D5301" s="18">
        <v>5299</v>
      </c>
      <c r="E5301" s="18" cm="1">
        <f t="array" aca="1" ref="E5301" ca="1">INDIRECT("b"&amp;F5301+2)</f>
        <v>0</v>
      </c>
      <c r="F5301" s="18">
        <f t="shared" si="1106"/>
        <v>7464</v>
      </c>
      <c r="G5301" s="18"/>
      <c r="H5301" s="18"/>
      <c r="I5301" s="19">
        <v>5299</v>
      </c>
      <c r="J5301" s="19" cm="1">
        <f t="array" aca="1" ref="J5301" ca="1">INDIRECT("b"&amp;K5301+2)</f>
        <v>0</v>
      </c>
      <c r="K5301" s="19">
        <f t="shared" si="1103"/>
        <v>8664</v>
      </c>
    </row>
    <row r="5302" spans="1:11">
      <c r="A5302">
        <v>5300</v>
      </c>
      <c r="B5302">
        <v>5.0499999999999997E+154</v>
      </c>
      <c r="D5302" s="18">
        <v>5300</v>
      </c>
      <c r="E5302" s="18" cm="1">
        <f t="array" aca="1" ref="E5302" ca="1">INDIRECT("b"&amp;F5302+2)</f>
        <v>0</v>
      </c>
      <c r="F5302" s="18">
        <f t="shared" si="1106"/>
        <v>7465</v>
      </c>
      <c r="G5302" s="18" t="e">
        <f t="shared" ref="G5302" ca="1" si="1114">E5302/E5297</f>
        <v>#DIV/0!</v>
      </c>
      <c r="H5302" s="18"/>
      <c r="I5302" s="19">
        <v>5300</v>
      </c>
      <c r="J5302" s="19" cm="1">
        <f t="array" aca="1" ref="J5302" ca="1">INDIRECT("b"&amp;K5302+2)</f>
        <v>0</v>
      </c>
      <c r="K5302" s="19">
        <f t="shared" si="1103"/>
        <v>8665</v>
      </c>
    </row>
    <row r="5303" spans="1:11">
      <c r="A5303">
        <v>5301</v>
      </c>
      <c r="B5303">
        <v>5.2749999999999998E+154</v>
      </c>
      <c r="D5303" s="18">
        <v>5301</v>
      </c>
      <c r="E5303" s="18" cm="1">
        <f t="array" aca="1" ref="E5303" ca="1">INDIRECT("b"&amp;F5303+2)</f>
        <v>0</v>
      </c>
      <c r="F5303" s="18">
        <f t="shared" si="1106"/>
        <v>7466</v>
      </c>
      <c r="G5303" s="18"/>
      <c r="H5303" s="18"/>
      <c r="I5303" s="19">
        <v>5301</v>
      </c>
      <c r="J5303" s="19" cm="1">
        <f t="array" aca="1" ref="J5303" ca="1">INDIRECT("b"&amp;K5303+2)</f>
        <v>0</v>
      </c>
      <c r="K5303" s="19">
        <f t="shared" si="1103"/>
        <v>8666</v>
      </c>
    </row>
    <row r="5304" spans="1:11">
      <c r="A5304">
        <v>5302</v>
      </c>
      <c r="B5304">
        <v>5.4999999999999994E+154</v>
      </c>
      <c r="D5304" s="18">
        <v>5302</v>
      </c>
      <c r="E5304" s="18" cm="1">
        <f t="array" aca="1" ref="E5304" ca="1">INDIRECT("b"&amp;F5304+2)</f>
        <v>0</v>
      </c>
      <c r="F5304" s="18">
        <f t="shared" si="1106"/>
        <v>7468</v>
      </c>
      <c r="G5304" s="18" t="e">
        <f t="shared" ref="G5304" ca="1" si="1115">E5304/E5299</f>
        <v>#DIV/0!</v>
      </c>
      <c r="H5304" s="18"/>
      <c r="I5304" s="19">
        <v>5302</v>
      </c>
      <c r="J5304" s="19" cm="1">
        <f t="array" aca="1" ref="J5304" ca="1">INDIRECT("b"&amp;K5304+2)</f>
        <v>0</v>
      </c>
      <c r="K5304" s="19">
        <f t="shared" si="1103"/>
        <v>8668</v>
      </c>
    </row>
    <row r="5305" spans="1:11">
      <c r="A5305">
        <v>5303</v>
      </c>
      <c r="B5305">
        <v>5.7250000000000001E+154</v>
      </c>
      <c r="D5305" s="18">
        <v>5303</v>
      </c>
      <c r="E5305" s="18" cm="1">
        <f t="array" aca="1" ref="E5305" ca="1">INDIRECT("b"&amp;F5305+2)</f>
        <v>0</v>
      </c>
      <c r="F5305" s="18">
        <f t="shared" si="1106"/>
        <v>7469</v>
      </c>
      <c r="G5305" s="18"/>
      <c r="H5305" s="18"/>
      <c r="I5305" s="19">
        <v>5303</v>
      </c>
      <c r="J5305" s="19" cm="1">
        <f t="array" aca="1" ref="J5305" ca="1">INDIRECT("b"&amp;K5305+2)</f>
        <v>0</v>
      </c>
      <c r="K5305" s="19">
        <f t="shared" si="1103"/>
        <v>8669</v>
      </c>
    </row>
    <row r="5306" spans="1:11">
      <c r="A5306">
        <v>5304</v>
      </c>
      <c r="B5306">
        <v>5.9499999999999997E+154</v>
      </c>
      <c r="D5306" s="18">
        <v>5304</v>
      </c>
      <c r="E5306" s="18" cm="1">
        <f t="array" aca="1" ref="E5306" ca="1">INDIRECT("b"&amp;F5306+2)</f>
        <v>0</v>
      </c>
      <c r="F5306" s="18">
        <f t="shared" si="1106"/>
        <v>7470</v>
      </c>
      <c r="G5306" s="18"/>
      <c r="H5306" s="18"/>
      <c r="I5306" s="19">
        <v>5304</v>
      </c>
      <c r="J5306" s="19" cm="1">
        <f t="array" aca="1" ref="J5306" ca="1">INDIRECT("b"&amp;K5306+2)</f>
        <v>0</v>
      </c>
      <c r="K5306" s="19">
        <f t="shared" si="1103"/>
        <v>8670</v>
      </c>
    </row>
    <row r="5307" spans="1:11">
      <c r="A5307">
        <v>5305</v>
      </c>
      <c r="B5307">
        <v>6.1749999999999992E+154</v>
      </c>
      <c r="D5307" s="18">
        <v>5305</v>
      </c>
      <c r="E5307" s="18" cm="1">
        <f t="array" aca="1" ref="E5307" ca="1">INDIRECT("b"&amp;F5307+2)</f>
        <v>0</v>
      </c>
      <c r="F5307" s="18">
        <f t="shared" si="1106"/>
        <v>7472</v>
      </c>
      <c r="G5307" s="18"/>
      <c r="H5307" s="18"/>
      <c r="I5307" s="19">
        <v>5305</v>
      </c>
      <c r="J5307" s="19" cm="1">
        <f t="array" aca="1" ref="J5307" ca="1">INDIRECT("b"&amp;K5307+2)</f>
        <v>0</v>
      </c>
      <c r="K5307" s="19">
        <f t="shared" si="1103"/>
        <v>8672</v>
      </c>
    </row>
    <row r="5308" spans="1:11">
      <c r="A5308">
        <v>5306</v>
      </c>
      <c r="B5308">
        <v>6.4E+154</v>
      </c>
      <c r="D5308" s="18">
        <v>5306</v>
      </c>
      <c r="E5308" s="18" cm="1">
        <f t="array" aca="1" ref="E5308" ca="1">INDIRECT("b"&amp;F5308+2)</f>
        <v>0</v>
      </c>
      <c r="F5308" s="18">
        <f t="shared" si="1106"/>
        <v>7473</v>
      </c>
      <c r="G5308" s="18"/>
      <c r="H5308" s="18"/>
      <c r="I5308" s="19">
        <v>5306</v>
      </c>
      <c r="J5308" s="19" cm="1">
        <f t="array" aca="1" ref="J5308" ca="1">INDIRECT("b"&amp;K5308+2)</f>
        <v>0</v>
      </c>
      <c r="K5308" s="19">
        <f t="shared" si="1103"/>
        <v>8673</v>
      </c>
    </row>
    <row r="5309" spans="1:11">
      <c r="A5309">
        <v>5307</v>
      </c>
      <c r="B5309">
        <v>6.6249999999999996E+154</v>
      </c>
      <c r="D5309" s="18">
        <v>5307</v>
      </c>
      <c r="E5309" s="18" cm="1">
        <f t="array" aca="1" ref="E5309" ca="1">INDIRECT("b"&amp;F5309+2)</f>
        <v>0</v>
      </c>
      <c r="F5309" s="18">
        <f t="shared" si="1106"/>
        <v>7474</v>
      </c>
      <c r="G5309" s="18" t="e">
        <f t="shared" ref="G5309" ca="1" si="1116">E5309/E5304</f>
        <v>#DIV/0!</v>
      </c>
      <c r="H5309" s="18"/>
      <c r="I5309" s="19">
        <v>5307</v>
      </c>
      <c r="J5309" s="19" cm="1">
        <f t="array" aca="1" ref="J5309" ca="1">INDIRECT("b"&amp;K5309+2)</f>
        <v>0</v>
      </c>
      <c r="K5309" s="19">
        <f t="shared" si="1103"/>
        <v>8674</v>
      </c>
    </row>
    <row r="5310" spans="1:11">
      <c r="A5310">
        <v>5308</v>
      </c>
      <c r="B5310">
        <v>6.8499999999999991E+154</v>
      </c>
      <c r="D5310" s="18">
        <v>5308</v>
      </c>
      <c r="E5310" s="18" cm="1">
        <f t="array" aca="1" ref="E5310" ca="1">INDIRECT("b"&amp;F5310+2)</f>
        <v>0</v>
      </c>
      <c r="F5310" s="18">
        <f t="shared" si="1106"/>
        <v>7476</v>
      </c>
      <c r="G5310" s="18"/>
      <c r="H5310" s="18"/>
      <c r="I5310" s="19">
        <v>5308</v>
      </c>
      <c r="J5310" s="19" cm="1">
        <f t="array" aca="1" ref="J5310" ca="1">INDIRECT("b"&amp;K5310+2)</f>
        <v>0</v>
      </c>
      <c r="K5310" s="19">
        <f t="shared" si="1103"/>
        <v>8676</v>
      </c>
    </row>
    <row r="5311" spans="1:11">
      <c r="A5311">
        <v>5309</v>
      </c>
      <c r="B5311">
        <v>7.0749999999999999E+154</v>
      </c>
      <c r="D5311" s="18">
        <v>5309</v>
      </c>
      <c r="E5311" s="18" cm="1">
        <f t="array" aca="1" ref="E5311" ca="1">INDIRECT("b"&amp;F5311+2)</f>
        <v>0</v>
      </c>
      <c r="F5311" s="18">
        <f t="shared" si="1106"/>
        <v>7477</v>
      </c>
      <c r="G5311" s="18"/>
      <c r="H5311" s="18"/>
      <c r="I5311" s="19">
        <v>5309</v>
      </c>
      <c r="J5311" s="19" cm="1">
        <f t="array" aca="1" ref="J5311" ca="1">INDIRECT("b"&amp;K5311+2)</f>
        <v>0</v>
      </c>
      <c r="K5311" s="19">
        <f t="shared" si="1103"/>
        <v>8677</v>
      </c>
    </row>
    <row r="5312" spans="1:11">
      <c r="A5312">
        <v>5310</v>
      </c>
      <c r="B5312">
        <v>7.2999999999999994E+154</v>
      </c>
      <c r="D5312" s="18">
        <v>5310</v>
      </c>
      <c r="E5312" s="18" cm="1">
        <f t="array" aca="1" ref="E5312" ca="1">INDIRECT("b"&amp;F5312+2)</f>
        <v>0</v>
      </c>
      <c r="F5312" s="18">
        <f t="shared" si="1106"/>
        <v>7478</v>
      </c>
      <c r="G5312" s="18"/>
      <c r="H5312" s="18"/>
      <c r="I5312" s="19">
        <v>5310</v>
      </c>
      <c r="J5312" s="19" cm="1">
        <f t="array" aca="1" ref="J5312" ca="1">INDIRECT("b"&amp;K5312+2)</f>
        <v>0</v>
      </c>
      <c r="K5312" s="19">
        <f t="shared" si="1103"/>
        <v>8678</v>
      </c>
    </row>
    <row r="5313" spans="1:11">
      <c r="A5313">
        <v>5311</v>
      </c>
      <c r="B5313">
        <v>7.524999999999999E+154</v>
      </c>
      <c r="D5313" s="18">
        <v>5311</v>
      </c>
      <c r="E5313" s="18" cm="1">
        <f t="array" aca="1" ref="E5313" ca="1">INDIRECT("b"&amp;F5313+2)</f>
        <v>0</v>
      </c>
      <c r="F5313" s="18">
        <f t="shared" si="1106"/>
        <v>7480</v>
      </c>
      <c r="G5313" s="18"/>
      <c r="H5313" s="18"/>
      <c r="I5313" s="19">
        <v>5311</v>
      </c>
      <c r="J5313" s="19" cm="1">
        <f t="array" aca="1" ref="J5313" ca="1">INDIRECT("b"&amp;K5313+2)</f>
        <v>0</v>
      </c>
      <c r="K5313" s="19">
        <f t="shared" si="1103"/>
        <v>8680</v>
      </c>
    </row>
    <row r="5314" spans="1:11">
      <c r="A5314">
        <v>5312</v>
      </c>
      <c r="B5314">
        <v>7.7499999999999997E+154</v>
      </c>
      <c r="D5314" s="18">
        <v>5312</v>
      </c>
      <c r="E5314" s="18" cm="1">
        <f t="array" aca="1" ref="E5314" ca="1">INDIRECT("b"&amp;F5314+2)</f>
        <v>0</v>
      </c>
      <c r="F5314" s="18">
        <f t="shared" si="1106"/>
        <v>7481</v>
      </c>
      <c r="G5314" s="18" t="e">
        <f t="shared" ref="G5314" ca="1" si="1117">E5314/E5309</f>
        <v>#DIV/0!</v>
      </c>
      <c r="H5314" s="18"/>
      <c r="I5314" s="19">
        <v>5312</v>
      </c>
      <c r="J5314" s="19" cm="1">
        <f t="array" aca="1" ref="J5314" ca="1">INDIRECT("b"&amp;K5314+2)</f>
        <v>0</v>
      </c>
      <c r="K5314" s="19">
        <f t="shared" si="1103"/>
        <v>8681</v>
      </c>
    </row>
    <row r="5315" spans="1:11">
      <c r="A5315">
        <v>5313</v>
      </c>
      <c r="B5315">
        <v>7.9749999999999993E+154</v>
      </c>
      <c r="D5315" s="18">
        <v>5313</v>
      </c>
      <c r="E5315" s="18" cm="1">
        <f t="array" aca="1" ref="E5315" ca="1">INDIRECT("b"&amp;F5315+2)</f>
        <v>0</v>
      </c>
      <c r="F5315" s="18">
        <f t="shared" si="1106"/>
        <v>7482</v>
      </c>
      <c r="G5315" s="18"/>
      <c r="H5315" s="18"/>
      <c r="I5315" s="19">
        <v>5313</v>
      </c>
      <c r="J5315" s="19" cm="1">
        <f t="array" aca="1" ref="J5315" ca="1">INDIRECT("b"&amp;K5315+2)</f>
        <v>0</v>
      </c>
      <c r="K5315" s="19">
        <f t="shared" si="1103"/>
        <v>8682</v>
      </c>
    </row>
    <row r="5316" spans="1:11">
      <c r="A5316">
        <v>5314</v>
      </c>
      <c r="B5316">
        <v>8.2E+154</v>
      </c>
      <c r="D5316" s="18">
        <v>5314</v>
      </c>
      <c r="E5316" s="18" cm="1">
        <f t="array" aca="1" ref="E5316" ca="1">INDIRECT("b"&amp;F5316+2)</f>
        <v>0</v>
      </c>
      <c r="F5316" s="18">
        <f t="shared" si="1106"/>
        <v>7484</v>
      </c>
      <c r="G5316" s="18"/>
      <c r="H5316" s="18"/>
      <c r="I5316" s="19">
        <v>5314</v>
      </c>
      <c r="J5316" s="19" cm="1">
        <f t="array" aca="1" ref="J5316" ca="1">INDIRECT("b"&amp;K5316+2)</f>
        <v>0</v>
      </c>
      <c r="K5316" s="19">
        <f t="shared" ref="K5316:K5379" si="1118">INT((A5316-1)*40/30+900*40/30)+400</f>
        <v>8684</v>
      </c>
    </row>
    <row r="5317" spans="1:11">
      <c r="A5317">
        <v>5315</v>
      </c>
      <c r="B5317">
        <v>8.4249999999999996E+154</v>
      </c>
      <c r="D5317" s="18">
        <v>5315</v>
      </c>
      <c r="E5317" s="18" cm="1">
        <f t="array" aca="1" ref="E5317" ca="1">INDIRECT("b"&amp;F5317+2)</f>
        <v>0</v>
      </c>
      <c r="F5317" s="18">
        <f t="shared" si="1106"/>
        <v>7485</v>
      </c>
      <c r="G5317" s="18"/>
      <c r="H5317" s="18"/>
      <c r="I5317" s="19">
        <v>5315</v>
      </c>
      <c r="J5317" s="19" cm="1">
        <f t="array" aca="1" ref="J5317" ca="1">INDIRECT("b"&amp;K5317+2)</f>
        <v>0</v>
      </c>
      <c r="K5317" s="19">
        <f t="shared" si="1118"/>
        <v>8685</v>
      </c>
    </row>
    <row r="5318" spans="1:11">
      <c r="A5318">
        <v>5316</v>
      </c>
      <c r="B5318">
        <v>8.6499999999999992E+154</v>
      </c>
      <c r="D5318" s="18">
        <v>5316</v>
      </c>
      <c r="E5318" s="18" cm="1">
        <f t="array" aca="1" ref="E5318" ca="1">INDIRECT("b"&amp;F5318+2)</f>
        <v>0</v>
      </c>
      <c r="F5318" s="18">
        <f t="shared" si="1106"/>
        <v>7486</v>
      </c>
      <c r="G5318" s="18"/>
      <c r="H5318" s="18"/>
      <c r="I5318" s="19">
        <v>5316</v>
      </c>
      <c r="J5318" s="19" cm="1">
        <f t="array" aca="1" ref="J5318" ca="1">INDIRECT("b"&amp;K5318+2)</f>
        <v>0</v>
      </c>
      <c r="K5318" s="19">
        <f t="shared" si="1118"/>
        <v>8686</v>
      </c>
    </row>
    <row r="5319" spans="1:11">
      <c r="A5319">
        <v>5317</v>
      </c>
      <c r="B5319">
        <v>8.8749999999999999E+154</v>
      </c>
      <c r="D5319" s="18">
        <v>5317</v>
      </c>
      <c r="E5319" s="18" cm="1">
        <f t="array" aca="1" ref="E5319" ca="1">INDIRECT("b"&amp;F5319+2)</f>
        <v>0</v>
      </c>
      <c r="F5319" s="18">
        <f t="shared" si="1106"/>
        <v>7488</v>
      </c>
      <c r="G5319" s="18" t="e">
        <f t="shared" ref="G5319" ca="1" si="1119">E5319/E5314</f>
        <v>#DIV/0!</v>
      </c>
      <c r="H5319" s="18"/>
      <c r="I5319" s="19">
        <v>5317</v>
      </c>
      <c r="J5319" s="19" cm="1">
        <f t="array" aca="1" ref="J5319" ca="1">INDIRECT("b"&amp;K5319+2)</f>
        <v>0</v>
      </c>
      <c r="K5319" s="19">
        <f t="shared" si="1118"/>
        <v>8688</v>
      </c>
    </row>
    <row r="5320" spans="1:11">
      <c r="A5320">
        <v>5318</v>
      </c>
      <c r="B5320">
        <v>9.0999999999999995E+154</v>
      </c>
      <c r="D5320" s="18">
        <v>5318</v>
      </c>
      <c r="E5320" s="18" cm="1">
        <f t="array" aca="1" ref="E5320" ca="1">INDIRECT("b"&amp;F5320+2)</f>
        <v>0</v>
      </c>
      <c r="F5320" s="18">
        <f t="shared" si="1106"/>
        <v>7489</v>
      </c>
      <c r="G5320" s="18"/>
      <c r="H5320" s="18"/>
      <c r="I5320" s="19">
        <v>5318</v>
      </c>
      <c r="J5320" s="19" cm="1">
        <f t="array" aca="1" ref="J5320" ca="1">INDIRECT("b"&amp;K5320+2)</f>
        <v>0</v>
      </c>
      <c r="K5320" s="19">
        <f t="shared" si="1118"/>
        <v>8689</v>
      </c>
    </row>
    <row r="5321" spans="1:11">
      <c r="A5321">
        <v>5319</v>
      </c>
      <c r="B5321">
        <v>9.324999999999999E+154</v>
      </c>
      <c r="D5321" s="18">
        <v>5319</v>
      </c>
      <c r="E5321" s="18" cm="1">
        <f t="array" aca="1" ref="E5321" ca="1">INDIRECT("b"&amp;F5321+2)</f>
        <v>0</v>
      </c>
      <c r="F5321" s="18">
        <f t="shared" si="1106"/>
        <v>7490</v>
      </c>
      <c r="G5321" s="18"/>
      <c r="H5321" s="18"/>
      <c r="I5321" s="19">
        <v>5319</v>
      </c>
      <c r="J5321" s="19" cm="1">
        <f t="array" aca="1" ref="J5321" ca="1">INDIRECT("b"&amp;K5321+2)</f>
        <v>0</v>
      </c>
      <c r="K5321" s="19">
        <f t="shared" si="1118"/>
        <v>8690</v>
      </c>
    </row>
    <row r="5322" spans="1:11">
      <c r="A5322">
        <v>5320</v>
      </c>
      <c r="B5322">
        <v>9.5499999999999998E+154</v>
      </c>
      <c r="D5322" s="18">
        <v>5320</v>
      </c>
      <c r="E5322" s="18" cm="1">
        <f t="array" aca="1" ref="E5322" ca="1">INDIRECT("b"&amp;F5322+2)</f>
        <v>0</v>
      </c>
      <c r="F5322" s="18">
        <f t="shared" si="1106"/>
        <v>7492</v>
      </c>
      <c r="G5322" s="18"/>
      <c r="H5322" s="18"/>
      <c r="I5322" s="19">
        <v>5320</v>
      </c>
      <c r="J5322" s="19" cm="1">
        <f t="array" aca="1" ref="J5322" ca="1">INDIRECT("b"&amp;K5322+2)</f>
        <v>0</v>
      </c>
      <c r="K5322" s="19">
        <f t="shared" si="1118"/>
        <v>8692</v>
      </c>
    </row>
    <row r="5323" spans="1:11">
      <c r="A5323">
        <v>5321</v>
      </c>
      <c r="B5323">
        <v>9.7749999999999993E+154</v>
      </c>
      <c r="D5323" s="18">
        <v>5321</v>
      </c>
      <c r="E5323" s="18" cm="1">
        <f t="array" aca="1" ref="E5323" ca="1">INDIRECT("b"&amp;F5323+2)</f>
        <v>0</v>
      </c>
      <c r="F5323" s="18">
        <f t="shared" si="1106"/>
        <v>7493</v>
      </c>
      <c r="G5323" s="18"/>
      <c r="H5323" s="18"/>
      <c r="I5323" s="19">
        <v>5321</v>
      </c>
      <c r="J5323" s="19" cm="1">
        <f t="array" aca="1" ref="J5323" ca="1">INDIRECT("b"&amp;K5323+2)</f>
        <v>0</v>
      </c>
      <c r="K5323" s="19">
        <f t="shared" si="1118"/>
        <v>8693</v>
      </c>
    </row>
    <row r="5324" spans="1:11">
      <c r="A5324">
        <v>5322</v>
      </c>
      <c r="B5324">
        <v>1E+155</v>
      </c>
      <c r="D5324" s="18">
        <v>5322</v>
      </c>
      <c r="E5324" s="18" cm="1">
        <f t="array" aca="1" ref="E5324" ca="1">INDIRECT("b"&amp;F5324+2)</f>
        <v>0</v>
      </c>
      <c r="F5324" s="18">
        <f t="shared" si="1106"/>
        <v>7494</v>
      </c>
      <c r="G5324" s="18" t="e">
        <f t="shared" ref="G5324" ca="1" si="1120">E5324/E5319</f>
        <v>#DIV/0!</v>
      </c>
      <c r="H5324" s="18"/>
      <c r="I5324" s="19">
        <v>5322</v>
      </c>
      <c r="J5324" s="19" cm="1">
        <f t="array" aca="1" ref="J5324" ca="1">INDIRECT("b"&amp;K5324+2)</f>
        <v>0</v>
      </c>
      <c r="K5324" s="19">
        <f t="shared" si="1118"/>
        <v>8694</v>
      </c>
    </row>
    <row r="5325" spans="1:11">
      <c r="A5325">
        <v>5323</v>
      </c>
      <c r="B5325">
        <v>1.2249999999999999E+155</v>
      </c>
      <c r="D5325" s="18">
        <v>5323</v>
      </c>
      <c r="E5325" s="18" cm="1">
        <f t="array" aca="1" ref="E5325" ca="1">INDIRECT("b"&amp;F5325+2)</f>
        <v>0</v>
      </c>
      <c r="F5325" s="18">
        <f t="shared" si="1106"/>
        <v>7496</v>
      </c>
      <c r="G5325" s="18"/>
      <c r="H5325" s="18"/>
      <c r="I5325" s="19">
        <v>5323</v>
      </c>
      <c r="J5325" s="19" cm="1">
        <f t="array" aca="1" ref="J5325" ca="1">INDIRECT("b"&amp;K5325+2)</f>
        <v>0</v>
      </c>
      <c r="K5325" s="19">
        <f t="shared" si="1118"/>
        <v>8696</v>
      </c>
    </row>
    <row r="5326" spans="1:11">
      <c r="A5326">
        <v>5324</v>
      </c>
      <c r="B5326">
        <v>1.45E+155</v>
      </c>
      <c r="D5326" s="18">
        <v>5324</v>
      </c>
      <c r="E5326" s="18" cm="1">
        <f t="array" aca="1" ref="E5326" ca="1">INDIRECT("b"&amp;F5326+2)</f>
        <v>0</v>
      </c>
      <c r="F5326" s="18">
        <f t="shared" si="1106"/>
        <v>7497</v>
      </c>
      <c r="G5326" s="18"/>
      <c r="H5326" s="18"/>
      <c r="I5326" s="19">
        <v>5324</v>
      </c>
      <c r="J5326" s="19" cm="1">
        <f t="array" aca="1" ref="J5326" ca="1">INDIRECT("b"&amp;K5326+2)</f>
        <v>0</v>
      </c>
      <c r="K5326" s="19">
        <f t="shared" si="1118"/>
        <v>8697</v>
      </c>
    </row>
    <row r="5327" spans="1:11">
      <c r="A5327">
        <v>5325</v>
      </c>
      <c r="B5327">
        <v>1.675E+155</v>
      </c>
      <c r="D5327" s="18">
        <v>5325</v>
      </c>
      <c r="E5327" s="18" cm="1">
        <f t="array" aca="1" ref="E5327" ca="1">INDIRECT("b"&amp;F5327+2)</f>
        <v>0</v>
      </c>
      <c r="F5327" s="18">
        <f t="shared" si="1106"/>
        <v>7498</v>
      </c>
      <c r="G5327" s="18"/>
      <c r="H5327" s="18"/>
      <c r="I5327" s="19">
        <v>5325</v>
      </c>
      <c r="J5327" s="19" cm="1">
        <f t="array" aca="1" ref="J5327" ca="1">INDIRECT("b"&amp;K5327+2)</f>
        <v>0</v>
      </c>
      <c r="K5327" s="19">
        <f t="shared" si="1118"/>
        <v>8698</v>
      </c>
    </row>
    <row r="5328" spans="1:11">
      <c r="A5328">
        <v>5326</v>
      </c>
      <c r="B5328">
        <v>1.9E+155</v>
      </c>
      <c r="D5328" s="18">
        <v>5326</v>
      </c>
      <c r="E5328" s="18" cm="1">
        <f t="array" aca="1" ref="E5328" ca="1">INDIRECT("b"&amp;F5328+2)</f>
        <v>0</v>
      </c>
      <c r="F5328" s="18">
        <f t="shared" si="1106"/>
        <v>7500</v>
      </c>
      <c r="G5328" s="18"/>
      <c r="H5328" s="18"/>
      <c r="I5328" s="19">
        <v>5326</v>
      </c>
      <c r="J5328" s="19" cm="1">
        <f t="array" aca="1" ref="J5328" ca="1">INDIRECT("b"&amp;K5328+2)</f>
        <v>0</v>
      </c>
      <c r="K5328" s="19">
        <f t="shared" si="1118"/>
        <v>8700</v>
      </c>
    </row>
    <row r="5329" spans="1:11">
      <c r="A5329">
        <v>5327</v>
      </c>
      <c r="B5329">
        <v>2.1250000000000001E+155</v>
      </c>
      <c r="D5329" s="18">
        <v>5327</v>
      </c>
      <c r="E5329" s="18" cm="1">
        <f t="array" aca="1" ref="E5329" ca="1">INDIRECT("b"&amp;F5329+2)</f>
        <v>0</v>
      </c>
      <c r="F5329" s="18">
        <f t="shared" si="1106"/>
        <v>7501</v>
      </c>
      <c r="G5329" s="18" t="e">
        <f t="shared" ref="G5329" ca="1" si="1121">E5329/E5324</f>
        <v>#DIV/0!</v>
      </c>
      <c r="H5329" s="18"/>
      <c r="I5329" s="19">
        <v>5327</v>
      </c>
      <c r="J5329" s="19" cm="1">
        <f t="array" aca="1" ref="J5329" ca="1">INDIRECT("b"&amp;K5329+2)</f>
        <v>0</v>
      </c>
      <c r="K5329" s="19">
        <f t="shared" si="1118"/>
        <v>8701</v>
      </c>
    </row>
    <row r="5330" spans="1:11">
      <c r="A5330">
        <v>5328</v>
      </c>
      <c r="B5330">
        <v>2.3500000000000001E+155</v>
      </c>
      <c r="D5330" s="18">
        <v>5328</v>
      </c>
      <c r="E5330" s="18" cm="1">
        <f t="array" aca="1" ref="E5330" ca="1">INDIRECT("b"&amp;F5330+2)</f>
        <v>0</v>
      </c>
      <c r="F5330" s="18">
        <f t="shared" si="1106"/>
        <v>7502</v>
      </c>
      <c r="G5330" s="18"/>
      <c r="H5330" s="18"/>
      <c r="I5330" s="19">
        <v>5328</v>
      </c>
      <c r="J5330" s="19" cm="1">
        <f t="array" aca="1" ref="J5330" ca="1">INDIRECT("b"&amp;K5330+2)</f>
        <v>0</v>
      </c>
      <c r="K5330" s="19">
        <f t="shared" si="1118"/>
        <v>8702</v>
      </c>
    </row>
    <row r="5331" spans="1:11">
      <c r="A5331">
        <v>5329</v>
      </c>
      <c r="B5331">
        <v>2.5750000000000001E+155</v>
      </c>
      <c r="D5331" s="18">
        <v>5329</v>
      </c>
      <c r="E5331" s="18" cm="1">
        <f t="array" aca="1" ref="E5331" ca="1">INDIRECT("b"&amp;F5331+2)</f>
        <v>0</v>
      </c>
      <c r="F5331" s="18">
        <f t="shared" ref="F5331:F5394" si="1122">INT((A5331-123)*1.333333)+563</f>
        <v>7504</v>
      </c>
      <c r="G5331" s="18"/>
      <c r="H5331" s="18"/>
      <c r="I5331" s="19">
        <v>5329</v>
      </c>
      <c r="J5331" s="19" cm="1">
        <f t="array" aca="1" ref="J5331" ca="1">INDIRECT("b"&amp;K5331+2)</f>
        <v>0</v>
      </c>
      <c r="K5331" s="19">
        <f t="shared" si="1118"/>
        <v>8704</v>
      </c>
    </row>
    <row r="5332" spans="1:11">
      <c r="A5332">
        <v>5330</v>
      </c>
      <c r="B5332">
        <v>2.8000000000000002E+155</v>
      </c>
      <c r="D5332" s="18">
        <v>5330</v>
      </c>
      <c r="E5332" s="18" cm="1">
        <f t="array" aca="1" ref="E5332" ca="1">INDIRECT("b"&amp;F5332+2)</f>
        <v>0</v>
      </c>
      <c r="F5332" s="18">
        <f t="shared" si="1122"/>
        <v>7505</v>
      </c>
      <c r="G5332" s="18"/>
      <c r="H5332" s="18"/>
      <c r="I5332" s="19">
        <v>5330</v>
      </c>
      <c r="J5332" s="19" cm="1">
        <f t="array" aca="1" ref="J5332" ca="1">INDIRECT("b"&amp;K5332+2)</f>
        <v>0</v>
      </c>
      <c r="K5332" s="19">
        <f t="shared" si="1118"/>
        <v>8705</v>
      </c>
    </row>
    <row r="5333" spans="1:11">
      <c r="A5333">
        <v>5331</v>
      </c>
      <c r="B5333">
        <v>3.0249999999999997E+155</v>
      </c>
      <c r="D5333" s="18">
        <v>5331</v>
      </c>
      <c r="E5333" s="18" cm="1">
        <f t="array" aca="1" ref="E5333" ca="1">INDIRECT("b"&amp;F5333+2)</f>
        <v>0</v>
      </c>
      <c r="F5333" s="18">
        <f t="shared" si="1122"/>
        <v>7506</v>
      </c>
      <c r="G5333" s="18"/>
      <c r="H5333" s="18"/>
      <c r="I5333" s="19">
        <v>5331</v>
      </c>
      <c r="J5333" s="19" cm="1">
        <f t="array" aca="1" ref="J5333" ca="1">INDIRECT("b"&amp;K5333+2)</f>
        <v>0</v>
      </c>
      <c r="K5333" s="19">
        <f t="shared" si="1118"/>
        <v>8706</v>
      </c>
    </row>
    <row r="5334" spans="1:11">
      <c r="A5334">
        <v>5332</v>
      </c>
      <c r="B5334">
        <v>3.2499999999999998E+155</v>
      </c>
      <c r="D5334" s="18">
        <v>5332</v>
      </c>
      <c r="E5334" s="18" cm="1">
        <f t="array" aca="1" ref="E5334" ca="1">INDIRECT("b"&amp;F5334+2)</f>
        <v>0</v>
      </c>
      <c r="F5334" s="18">
        <f t="shared" si="1122"/>
        <v>7508</v>
      </c>
      <c r="G5334" s="18" t="e">
        <f t="shared" ref="G5334" ca="1" si="1123">E5334/E5329</f>
        <v>#DIV/0!</v>
      </c>
      <c r="H5334" s="18"/>
      <c r="I5334" s="19">
        <v>5332</v>
      </c>
      <c r="J5334" s="19" cm="1">
        <f t="array" aca="1" ref="J5334" ca="1">INDIRECT("b"&amp;K5334+2)</f>
        <v>0</v>
      </c>
      <c r="K5334" s="19">
        <f t="shared" si="1118"/>
        <v>8708</v>
      </c>
    </row>
    <row r="5335" spans="1:11">
      <c r="A5335">
        <v>5333</v>
      </c>
      <c r="B5335">
        <v>3.4749999999999998E+155</v>
      </c>
      <c r="D5335" s="18">
        <v>5333</v>
      </c>
      <c r="E5335" s="18" cm="1">
        <f t="array" aca="1" ref="E5335" ca="1">INDIRECT("b"&amp;F5335+2)</f>
        <v>0</v>
      </c>
      <c r="F5335" s="18">
        <f t="shared" si="1122"/>
        <v>7509</v>
      </c>
      <c r="G5335" s="18"/>
      <c r="H5335" s="18"/>
      <c r="I5335" s="19">
        <v>5333</v>
      </c>
      <c r="J5335" s="19" cm="1">
        <f t="array" aca="1" ref="J5335" ca="1">INDIRECT("b"&amp;K5335+2)</f>
        <v>0</v>
      </c>
      <c r="K5335" s="19">
        <f t="shared" si="1118"/>
        <v>8709</v>
      </c>
    </row>
    <row r="5336" spans="1:11">
      <c r="A5336">
        <v>5334</v>
      </c>
      <c r="B5336">
        <v>3.6999999999999998E+155</v>
      </c>
      <c r="D5336" s="18">
        <v>5334</v>
      </c>
      <c r="E5336" s="18" cm="1">
        <f t="array" aca="1" ref="E5336" ca="1">INDIRECT("b"&amp;F5336+2)</f>
        <v>0</v>
      </c>
      <c r="F5336" s="18">
        <f t="shared" si="1122"/>
        <v>7510</v>
      </c>
      <c r="G5336" s="18"/>
      <c r="H5336" s="18"/>
      <c r="I5336" s="19">
        <v>5334</v>
      </c>
      <c r="J5336" s="19" cm="1">
        <f t="array" aca="1" ref="J5336" ca="1">INDIRECT("b"&amp;K5336+2)</f>
        <v>0</v>
      </c>
      <c r="K5336" s="19">
        <f t="shared" si="1118"/>
        <v>8710</v>
      </c>
    </row>
    <row r="5337" spans="1:11">
      <c r="A5337">
        <v>5335</v>
      </c>
      <c r="B5337">
        <v>3.9249999999999999E+155</v>
      </c>
      <c r="D5337" s="18">
        <v>5335</v>
      </c>
      <c r="E5337" s="18" cm="1">
        <f t="array" aca="1" ref="E5337" ca="1">INDIRECT("b"&amp;F5337+2)</f>
        <v>0</v>
      </c>
      <c r="F5337" s="18">
        <f t="shared" si="1122"/>
        <v>7512</v>
      </c>
      <c r="G5337" s="18"/>
      <c r="H5337" s="18"/>
      <c r="I5337" s="19">
        <v>5335</v>
      </c>
      <c r="J5337" s="19" cm="1">
        <f t="array" aca="1" ref="J5337" ca="1">INDIRECT("b"&amp;K5337+2)</f>
        <v>0</v>
      </c>
      <c r="K5337" s="19">
        <f t="shared" si="1118"/>
        <v>8712</v>
      </c>
    </row>
    <row r="5338" spans="1:11">
      <c r="A5338">
        <v>5336</v>
      </c>
      <c r="B5338">
        <v>4.1499999999999999E+155</v>
      </c>
      <c r="D5338" s="18">
        <v>5336</v>
      </c>
      <c r="E5338" s="18" cm="1">
        <f t="array" aca="1" ref="E5338" ca="1">INDIRECT("b"&amp;F5338+2)</f>
        <v>0</v>
      </c>
      <c r="F5338" s="18">
        <f t="shared" si="1122"/>
        <v>7513</v>
      </c>
      <c r="G5338" s="18"/>
      <c r="H5338" s="18"/>
      <c r="I5338" s="19">
        <v>5336</v>
      </c>
      <c r="J5338" s="19" cm="1">
        <f t="array" aca="1" ref="J5338" ca="1">INDIRECT("b"&amp;K5338+2)</f>
        <v>0</v>
      </c>
      <c r="K5338" s="19">
        <f t="shared" si="1118"/>
        <v>8713</v>
      </c>
    </row>
    <row r="5339" spans="1:11">
      <c r="A5339">
        <v>5337</v>
      </c>
      <c r="B5339">
        <v>4.3749999999999995E+155</v>
      </c>
      <c r="D5339" s="18">
        <v>5337</v>
      </c>
      <c r="E5339" s="18" cm="1">
        <f t="array" aca="1" ref="E5339" ca="1">INDIRECT("b"&amp;F5339+2)</f>
        <v>0</v>
      </c>
      <c r="F5339" s="18">
        <f t="shared" si="1122"/>
        <v>7514</v>
      </c>
      <c r="G5339" s="18" t="e">
        <f t="shared" ref="G5339" ca="1" si="1124">E5339/E5334</f>
        <v>#DIV/0!</v>
      </c>
      <c r="H5339" s="18"/>
      <c r="I5339" s="19">
        <v>5337</v>
      </c>
      <c r="J5339" s="19" cm="1">
        <f t="array" aca="1" ref="J5339" ca="1">INDIRECT("b"&amp;K5339+2)</f>
        <v>0</v>
      </c>
      <c r="K5339" s="19">
        <f t="shared" si="1118"/>
        <v>8714</v>
      </c>
    </row>
    <row r="5340" spans="1:11">
      <c r="A5340">
        <v>5338</v>
      </c>
      <c r="B5340">
        <v>4.6E+155</v>
      </c>
      <c r="D5340" s="18">
        <v>5338</v>
      </c>
      <c r="E5340" s="18" cm="1">
        <f t="array" aca="1" ref="E5340" ca="1">INDIRECT("b"&amp;F5340+2)</f>
        <v>0</v>
      </c>
      <c r="F5340" s="18">
        <f t="shared" si="1122"/>
        <v>7516</v>
      </c>
      <c r="G5340" s="18"/>
      <c r="H5340" s="18"/>
      <c r="I5340" s="19">
        <v>5338</v>
      </c>
      <c r="J5340" s="19" cm="1">
        <f t="array" aca="1" ref="J5340" ca="1">INDIRECT("b"&amp;K5340+2)</f>
        <v>0</v>
      </c>
      <c r="K5340" s="19">
        <f t="shared" si="1118"/>
        <v>8716</v>
      </c>
    </row>
    <row r="5341" spans="1:11">
      <c r="A5341">
        <v>5339</v>
      </c>
      <c r="B5341">
        <v>4.8249999999999995E+155</v>
      </c>
      <c r="D5341" s="18">
        <v>5339</v>
      </c>
      <c r="E5341" s="18" cm="1">
        <f t="array" aca="1" ref="E5341" ca="1">INDIRECT("b"&amp;F5341+2)</f>
        <v>0</v>
      </c>
      <c r="F5341" s="18">
        <f t="shared" si="1122"/>
        <v>7517</v>
      </c>
      <c r="G5341" s="18"/>
      <c r="H5341" s="18"/>
      <c r="I5341" s="19">
        <v>5339</v>
      </c>
      <c r="J5341" s="19" cm="1">
        <f t="array" aca="1" ref="J5341" ca="1">INDIRECT("b"&amp;K5341+2)</f>
        <v>0</v>
      </c>
      <c r="K5341" s="19">
        <f t="shared" si="1118"/>
        <v>8717</v>
      </c>
    </row>
    <row r="5342" spans="1:11">
      <c r="A5342">
        <v>5340</v>
      </c>
      <c r="B5342">
        <v>5.05E+155</v>
      </c>
      <c r="D5342" s="18">
        <v>5340</v>
      </c>
      <c r="E5342" s="18" cm="1">
        <f t="array" aca="1" ref="E5342" ca="1">INDIRECT("b"&amp;F5342+2)</f>
        <v>0</v>
      </c>
      <c r="F5342" s="18">
        <f t="shared" si="1122"/>
        <v>7518</v>
      </c>
      <c r="G5342" s="18"/>
      <c r="H5342" s="18"/>
      <c r="I5342" s="19">
        <v>5340</v>
      </c>
      <c r="J5342" s="19" cm="1">
        <f t="array" aca="1" ref="J5342" ca="1">INDIRECT("b"&amp;K5342+2)</f>
        <v>0</v>
      </c>
      <c r="K5342" s="19">
        <f t="shared" si="1118"/>
        <v>8718</v>
      </c>
    </row>
    <row r="5343" spans="1:11">
      <c r="A5343">
        <v>5341</v>
      </c>
      <c r="B5343">
        <v>5.2749999999999996E+155</v>
      </c>
      <c r="D5343" s="18">
        <v>5341</v>
      </c>
      <c r="E5343" s="18" cm="1">
        <f t="array" aca="1" ref="E5343" ca="1">INDIRECT("b"&amp;F5343+2)</f>
        <v>0</v>
      </c>
      <c r="F5343" s="18">
        <f t="shared" si="1122"/>
        <v>7520</v>
      </c>
      <c r="G5343" s="18"/>
      <c r="H5343" s="18"/>
      <c r="I5343" s="19">
        <v>5341</v>
      </c>
      <c r="J5343" s="19" cm="1">
        <f t="array" aca="1" ref="J5343" ca="1">INDIRECT("b"&amp;K5343+2)</f>
        <v>0</v>
      </c>
      <c r="K5343" s="19">
        <f t="shared" si="1118"/>
        <v>8720</v>
      </c>
    </row>
    <row r="5344" spans="1:11">
      <c r="A5344">
        <v>5342</v>
      </c>
      <c r="B5344">
        <v>5.5000000000000001E+155</v>
      </c>
      <c r="D5344" s="18">
        <v>5342</v>
      </c>
      <c r="E5344" s="18" cm="1">
        <f t="array" aca="1" ref="E5344" ca="1">INDIRECT("b"&amp;F5344+2)</f>
        <v>0</v>
      </c>
      <c r="F5344" s="18">
        <f t="shared" si="1122"/>
        <v>7521</v>
      </c>
      <c r="G5344" s="18" t="e">
        <f t="shared" ref="G5344" ca="1" si="1125">E5344/E5339</f>
        <v>#DIV/0!</v>
      </c>
      <c r="H5344" s="18"/>
      <c r="I5344" s="19">
        <v>5342</v>
      </c>
      <c r="J5344" s="19" cm="1">
        <f t="array" aca="1" ref="J5344" ca="1">INDIRECT("b"&amp;K5344+2)</f>
        <v>0</v>
      </c>
      <c r="K5344" s="19">
        <f t="shared" si="1118"/>
        <v>8721</v>
      </c>
    </row>
    <row r="5345" spans="1:11">
      <c r="A5345">
        <v>5343</v>
      </c>
      <c r="B5345">
        <v>5.7249999999999997E+155</v>
      </c>
      <c r="D5345" s="18">
        <v>5343</v>
      </c>
      <c r="E5345" s="18" cm="1">
        <f t="array" aca="1" ref="E5345" ca="1">INDIRECT("b"&amp;F5345+2)</f>
        <v>0</v>
      </c>
      <c r="F5345" s="18">
        <f t="shared" si="1122"/>
        <v>7522</v>
      </c>
      <c r="G5345" s="18"/>
      <c r="H5345" s="18"/>
      <c r="I5345" s="19">
        <v>5343</v>
      </c>
      <c r="J5345" s="19" cm="1">
        <f t="array" aca="1" ref="J5345" ca="1">INDIRECT("b"&amp;K5345+2)</f>
        <v>0</v>
      </c>
      <c r="K5345" s="19">
        <f t="shared" si="1118"/>
        <v>8722</v>
      </c>
    </row>
    <row r="5346" spans="1:11">
      <c r="A5346">
        <v>5344</v>
      </c>
      <c r="B5346">
        <v>5.9500000000000002E+155</v>
      </c>
      <c r="D5346" s="18">
        <v>5344</v>
      </c>
      <c r="E5346" s="18" cm="1">
        <f t="array" aca="1" ref="E5346" ca="1">INDIRECT("b"&amp;F5346+2)</f>
        <v>0</v>
      </c>
      <c r="F5346" s="18">
        <f t="shared" si="1122"/>
        <v>7524</v>
      </c>
      <c r="G5346" s="18"/>
      <c r="H5346" s="18"/>
      <c r="I5346" s="19">
        <v>5344</v>
      </c>
      <c r="J5346" s="19" cm="1">
        <f t="array" aca="1" ref="J5346" ca="1">INDIRECT("b"&amp;K5346+2)</f>
        <v>0</v>
      </c>
      <c r="K5346" s="19">
        <f t="shared" si="1118"/>
        <v>8724</v>
      </c>
    </row>
    <row r="5347" spans="1:11">
      <c r="A5347">
        <v>5345</v>
      </c>
      <c r="B5347">
        <v>6.1749999999999997E+155</v>
      </c>
      <c r="D5347" s="18">
        <v>5345</v>
      </c>
      <c r="E5347" s="18" cm="1">
        <f t="array" aca="1" ref="E5347" ca="1">INDIRECT("b"&amp;F5347+2)</f>
        <v>0</v>
      </c>
      <c r="F5347" s="18">
        <f t="shared" si="1122"/>
        <v>7525</v>
      </c>
      <c r="G5347" s="18"/>
      <c r="H5347" s="18"/>
      <c r="I5347" s="19">
        <v>5345</v>
      </c>
      <c r="J5347" s="19" cm="1">
        <f t="array" aca="1" ref="J5347" ca="1">INDIRECT("b"&amp;K5347+2)</f>
        <v>0</v>
      </c>
      <c r="K5347" s="19">
        <f t="shared" si="1118"/>
        <v>8725</v>
      </c>
    </row>
    <row r="5348" spans="1:11">
      <c r="A5348">
        <v>5346</v>
      </c>
      <c r="B5348">
        <v>6.4000000000000002E+155</v>
      </c>
      <c r="D5348" s="18">
        <v>5346</v>
      </c>
      <c r="E5348" s="18" cm="1">
        <f t="array" aca="1" ref="E5348" ca="1">INDIRECT("b"&amp;F5348+2)</f>
        <v>0</v>
      </c>
      <c r="F5348" s="18">
        <f t="shared" si="1122"/>
        <v>7526</v>
      </c>
      <c r="G5348" s="18"/>
      <c r="H5348" s="18"/>
      <c r="I5348" s="19">
        <v>5346</v>
      </c>
      <c r="J5348" s="19" cm="1">
        <f t="array" aca="1" ref="J5348" ca="1">INDIRECT("b"&amp;K5348+2)</f>
        <v>0</v>
      </c>
      <c r="K5348" s="19">
        <f t="shared" si="1118"/>
        <v>8726</v>
      </c>
    </row>
    <row r="5349" spans="1:11">
      <c r="A5349">
        <v>5347</v>
      </c>
      <c r="B5349">
        <v>6.6249999999999998E+155</v>
      </c>
      <c r="D5349" s="18">
        <v>5347</v>
      </c>
      <c r="E5349" s="18" cm="1">
        <f t="array" aca="1" ref="E5349" ca="1">INDIRECT("b"&amp;F5349+2)</f>
        <v>0</v>
      </c>
      <c r="F5349" s="18">
        <f t="shared" si="1122"/>
        <v>7528</v>
      </c>
      <c r="G5349" s="18" t="e">
        <f t="shared" ref="G5349" ca="1" si="1126">E5349/E5344</f>
        <v>#DIV/0!</v>
      </c>
      <c r="H5349" s="18"/>
      <c r="I5349" s="19">
        <v>5347</v>
      </c>
      <c r="J5349" s="19" cm="1">
        <f t="array" aca="1" ref="J5349" ca="1">INDIRECT("b"&amp;K5349+2)</f>
        <v>0</v>
      </c>
      <c r="K5349" s="19">
        <f t="shared" si="1118"/>
        <v>8728</v>
      </c>
    </row>
    <row r="5350" spans="1:11">
      <c r="A5350">
        <v>5348</v>
      </c>
      <c r="B5350">
        <v>6.8500000000000003E+155</v>
      </c>
      <c r="D5350" s="18">
        <v>5348</v>
      </c>
      <c r="E5350" s="18" cm="1">
        <f t="array" aca="1" ref="E5350" ca="1">INDIRECT("b"&amp;F5350+2)</f>
        <v>0</v>
      </c>
      <c r="F5350" s="18">
        <f t="shared" si="1122"/>
        <v>7529</v>
      </c>
      <c r="G5350" s="18"/>
      <c r="H5350" s="18"/>
      <c r="I5350" s="19">
        <v>5348</v>
      </c>
      <c r="J5350" s="19" cm="1">
        <f t="array" aca="1" ref="J5350" ca="1">INDIRECT("b"&amp;K5350+2)</f>
        <v>0</v>
      </c>
      <c r="K5350" s="19">
        <f t="shared" si="1118"/>
        <v>8729</v>
      </c>
    </row>
    <row r="5351" spans="1:11">
      <c r="A5351">
        <v>5349</v>
      </c>
      <c r="B5351">
        <v>7.0749999999999999E+155</v>
      </c>
      <c r="D5351" s="18">
        <v>5349</v>
      </c>
      <c r="E5351" s="18" cm="1">
        <f t="array" aca="1" ref="E5351" ca="1">INDIRECT("b"&amp;F5351+2)</f>
        <v>0</v>
      </c>
      <c r="F5351" s="18">
        <f t="shared" si="1122"/>
        <v>7530</v>
      </c>
      <c r="G5351" s="18"/>
      <c r="H5351" s="18"/>
      <c r="I5351" s="19">
        <v>5349</v>
      </c>
      <c r="J5351" s="19" cm="1">
        <f t="array" aca="1" ref="J5351" ca="1">INDIRECT("b"&amp;K5351+2)</f>
        <v>0</v>
      </c>
      <c r="K5351" s="19">
        <f t="shared" si="1118"/>
        <v>8730</v>
      </c>
    </row>
    <row r="5352" spans="1:11">
      <c r="A5352">
        <v>5350</v>
      </c>
      <c r="B5352">
        <v>7.2999999999999994E+155</v>
      </c>
      <c r="D5352" s="18">
        <v>5350</v>
      </c>
      <c r="E5352" s="18" cm="1">
        <f t="array" aca="1" ref="E5352" ca="1">INDIRECT("b"&amp;F5352+2)</f>
        <v>0</v>
      </c>
      <c r="F5352" s="18">
        <f t="shared" si="1122"/>
        <v>7532</v>
      </c>
      <c r="G5352" s="18"/>
      <c r="H5352" s="18"/>
      <c r="I5352" s="19">
        <v>5350</v>
      </c>
      <c r="J5352" s="19" cm="1">
        <f t="array" aca="1" ref="J5352" ca="1">INDIRECT("b"&amp;K5352+2)</f>
        <v>0</v>
      </c>
      <c r="K5352" s="19">
        <f t="shared" si="1118"/>
        <v>8732</v>
      </c>
    </row>
    <row r="5353" spans="1:11">
      <c r="A5353">
        <v>5351</v>
      </c>
      <c r="B5353">
        <v>7.5249999999999999E+155</v>
      </c>
      <c r="D5353" s="18">
        <v>5351</v>
      </c>
      <c r="E5353" s="18" cm="1">
        <f t="array" aca="1" ref="E5353" ca="1">INDIRECT("b"&amp;F5353+2)</f>
        <v>0</v>
      </c>
      <c r="F5353" s="18">
        <f t="shared" si="1122"/>
        <v>7533</v>
      </c>
      <c r="G5353" s="18"/>
      <c r="H5353" s="18"/>
      <c r="I5353" s="19">
        <v>5351</v>
      </c>
      <c r="J5353" s="19" cm="1">
        <f t="array" aca="1" ref="J5353" ca="1">INDIRECT("b"&amp;K5353+2)</f>
        <v>0</v>
      </c>
      <c r="K5353" s="19">
        <f t="shared" si="1118"/>
        <v>8733</v>
      </c>
    </row>
    <row r="5354" spans="1:11">
      <c r="A5354">
        <v>5352</v>
      </c>
      <c r="B5354">
        <v>7.7499999999999995E+155</v>
      </c>
      <c r="D5354" s="18">
        <v>5352</v>
      </c>
      <c r="E5354" s="18" cm="1">
        <f t="array" aca="1" ref="E5354" ca="1">INDIRECT("b"&amp;F5354+2)</f>
        <v>0</v>
      </c>
      <c r="F5354" s="18">
        <f t="shared" si="1122"/>
        <v>7534</v>
      </c>
      <c r="G5354" s="18" t="e">
        <f t="shared" ref="G5354" ca="1" si="1127">E5354/E5349</f>
        <v>#DIV/0!</v>
      </c>
      <c r="H5354" s="18"/>
      <c r="I5354" s="19">
        <v>5352</v>
      </c>
      <c r="J5354" s="19" cm="1">
        <f t="array" aca="1" ref="J5354" ca="1">INDIRECT("b"&amp;K5354+2)</f>
        <v>0</v>
      </c>
      <c r="K5354" s="19">
        <f t="shared" si="1118"/>
        <v>8734</v>
      </c>
    </row>
    <row r="5355" spans="1:11">
      <c r="A5355">
        <v>5353</v>
      </c>
      <c r="B5355">
        <v>7.975E+155</v>
      </c>
      <c r="D5355" s="18">
        <v>5353</v>
      </c>
      <c r="E5355" s="18" cm="1">
        <f t="array" aca="1" ref="E5355" ca="1">INDIRECT("b"&amp;F5355+2)</f>
        <v>0</v>
      </c>
      <c r="F5355" s="18">
        <f t="shared" si="1122"/>
        <v>7536</v>
      </c>
      <c r="G5355" s="18"/>
      <c r="H5355" s="18"/>
      <c r="I5355" s="19">
        <v>5353</v>
      </c>
      <c r="J5355" s="19" cm="1">
        <f t="array" aca="1" ref="J5355" ca="1">INDIRECT("b"&amp;K5355+2)</f>
        <v>0</v>
      </c>
      <c r="K5355" s="19">
        <f t="shared" si="1118"/>
        <v>8736</v>
      </c>
    </row>
    <row r="5356" spans="1:11">
      <c r="A5356">
        <v>5354</v>
      </c>
      <c r="B5356">
        <v>8.1999999999999996E+155</v>
      </c>
      <c r="D5356" s="18">
        <v>5354</v>
      </c>
      <c r="E5356" s="18" cm="1">
        <f t="array" aca="1" ref="E5356" ca="1">INDIRECT("b"&amp;F5356+2)</f>
        <v>0</v>
      </c>
      <c r="F5356" s="18">
        <f t="shared" si="1122"/>
        <v>7537</v>
      </c>
      <c r="G5356" s="18"/>
      <c r="H5356" s="18"/>
      <c r="I5356" s="19">
        <v>5354</v>
      </c>
      <c r="J5356" s="19" cm="1">
        <f t="array" aca="1" ref="J5356" ca="1">INDIRECT("b"&amp;K5356+2)</f>
        <v>0</v>
      </c>
      <c r="K5356" s="19">
        <f t="shared" si="1118"/>
        <v>8737</v>
      </c>
    </row>
    <row r="5357" spans="1:11">
      <c r="A5357">
        <v>5355</v>
      </c>
      <c r="B5357">
        <v>8.4250000000000001E+155</v>
      </c>
      <c r="D5357" s="18">
        <v>5355</v>
      </c>
      <c r="E5357" s="18" cm="1">
        <f t="array" aca="1" ref="E5357" ca="1">INDIRECT("b"&amp;F5357+2)</f>
        <v>0</v>
      </c>
      <c r="F5357" s="18">
        <f t="shared" si="1122"/>
        <v>7538</v>
      </c>
      <c r="G5357" s="18"/>
      <c r="H5357" s="18"/>
      <c r="I5357" s="19">
        <v>5355</v>
      </c>
      <c r="J5357" s="19" cm="1">
        <f t="array" aca="1" ref="J5357" ca="1">INDIRECT("b"&amp;K5357+2)</f>
        <v>0</v>
      </c>
      <c r="K5357" s="19">
        <f t="shared" si="1118"/>
        <v>8738</v>
      </c>
    </row>
    <row r="5358" spans="1:11">
      <c r="A5358">
        <v>5356</v>
      </c>
      <c r="B5358">
        <v>8.6500000000000006E+155</v>
      </c>
      <c r="D5358" s="18">
        <v>5356</v>
      </c>
      <c r="E5358" s="18" cm="1">
        <f t="array" aca="1" ref="E5358" ca="1">INDIRECT("b"&amp;F5358+2)</f>
        <v>0</v>
      </c>
      <c r="F5358" s="18">
        <f t="shared" si="1122"/>
        <v>7540</v>
      </c>
      <c r="G5358" s="18"/>
      <c r="H5358" s="18"/>
      <c r="I5358" s="19">
        <v>5356</v>
      </c>
      <c r="J5358" s="19" cm="1">
        <f t="array" aca="1" ref="J5358" ca="1">INDIRECT("b"&amp;K5358+2)</f>
        <v>0</v>
      </c>
      <c r="K5358" s="19">
        <f t="shared" si="1118"/>
        <v>8740</v>
      </c>
    </row>
    <row r="5359" spans="1:11">
      <c r="A5359">
        <v>5357</v>
      </c>
      <c r="B5359">
        <v>8.8749999999999992E+155</v>
      </c>
      <c r="D5359" s="18">
        <v>5357</v>
      </c>
      <c r="E5359" s="18" cm="1">
        <f t="array" aca="1" ref="E5359" ca="1">INDIRECT("b"&amp;F5359+2)</f>
        <v>0</v>
      </c>
      <c r="F5359" s="18">
        <f t="shared" si="1122"/>
        <v>7541</v>
      </c>
      <c r="G5359" s="18" t="e">
        <f t="shared" ref="G5359" ca="1" si="1128">E5359/E5354</f>
        <v>#DIV/0!</v>
      </c>
      <c r="H5359" s="18"/>
      <c r="I5359" s="19">
        <v>5357</v>
      </c>
      <c r="J5359" s="19" cm="1">
        <f t="array" aca="1" ref="J5359" ca="1">INDIRECT("b"&amp;K5359+2)</f>
        <v>0</v>
      </c>
      <c r="K5359" s="19">
        <f t="shared" si="1118"/>
        <v>8741</v>
      </c>
    </row>
    <row r="5360" spans="1:11">
      <c r="A5360">
        <v>5358</v>
      </c>
      <c r="B5360">
        <v>9.0999999999999997E+155</v>
      </c>
      <c r="D5360" s="18">
        <v>5358</v>
      </c>
      <c r="E5360" s="18" cm="1">
        <f t="array" aca="1" ref="E5360" ca="1">INDIRECT("b"&amp;F5360+2)</f>
        <v>0</v>
      </c>
      <c r="F5360" s="18">
        <f t="shared" si="1122"/>
        <v>7542</v>
      </c>
      <c r="G5360" s="18"/>
      <c r="H5360" s="18"/>
      <c r="I5360" s="19">
        <v>5358</v>
      </c>
      <c r="J5360" s="19" cm="1">
        <f t="array" aca="1" ref="J5360" ca="1">INDIRECT("b"&amp;K5360+2)</f>
        <v>0</v>
      </c>
      <c r="K5360" s="19">
        <f t="shared" si="1118"/>
        <v>8742</v>
      </c>
    </row>
    <row r="5361" spans="1:11">
      <c r="A5361">
        <v>5359</v>
      </c>
      <c r="B5361">
        <v>9.3250000000000002E+155</v>
      </c>
      <c r="D5361" s="18">
        <v>5359</v>
      </c>
      <c r="E5361" s="18" cm="1">
        <f t="array" aca="1" ref="E5361" ca="1">INDIRECT("b"&amp;F5361+2)</f>
        <v>0</v>
      </c>
      <c r="F5361" s="18">
        <f t="shared" si="1122"/>
        <v>7544</v>
      </c>
      <c r="G5361" s="18"/>
      <c r="H5361" s="18"/>
      <c r="I5361" s="19">
        <v>5359</v>
      </c>
      <c r="J5361" s="19" cm="1">
        <f t="array" aca="1" ref="J5361" ca="1">INDIRECT("b"&amp;K5361+2)</f>
        <v>0</v>
      </c>
      <c r="K5361" s="19">
        <f t="shared" si="1118"/>
        <v>8744</v>
      </c>
    </row>
    <row r="5362" spans="1:11">
      <c r="A5362">
        <v>5360</v>
      </c>
      <c r="B5362">
        <v>9.5500000000000007E+155</v>
      </c>
      <c r="D5362" s="18">
        <v>5360</v>
      </c>
      <c r="E5362" s="18" cm="1">
        <f t="array" aca="1" ref="E5362" ca="1">INDIRECT("b"&amp;F5362+2)</f>
        <v>0</v>
      </c>
      <c r="F5362" s="18">
        <f t="shared" si="1122"/>
        <v>7545</v>
      </c>
      <c r="G5362" s="18"/>
      <c r="H5362" s="18"/>
      <c r="I5362" s="19">
        <v>5360</v>
      </c>
      <c r="J5362" s="19" cm="1">
        <f t="array" aca="1" ref="J5362" ca="1">INDIRECT("b"&amp;K5362+2)</f>
        <v>0</v>
      </c>
      <c r="K5362" s="19">
        <f t="shared" si="1118"/>
        <v>8745</v>
      </c>
    </row>
    <row r="5363" spans="1:11">
      <c r="A5363">
        <v>5361</v>
      </c>
      <c r="B5363">
        <v>9.7749999999999993E+155</v>
      </c>
      <c r="D5363" s="18">
        <v>5361</v>
      </c>
      <c r="E5363" s="18" cm="1">
        <f t="array" aca="1" ref="E5363" ca="1">INDIRECT("b"&amp;F5363+2)</f>
        <v>0</v>
      </c>
      <c r="F5363" s="18">
        <f t="shared" si="1122"/>
        <v>7546</v>
      </c>
      <c r="G5363" s="18"/>
      <c r="H5363" s="18"/>
      <c r="I5363" s="19">
        <v>5361</v>
      </c>
      <c r="J5363" s="19" cm="1">
        <f t="array" aca="1" ref="J5363" ca="1">INDIRECT("b"&amp;K5363+2)</f>
        <v>0</v>
      </c>
      <c r="K5363" s="19">
        <f t="shared" si="1118"/>
        <v>8746</v>
      </c>
    </row>
    <row r="5364" spans="1:11">
      <c r="A5364">
        <v>5362</v>
      </c>
      <c r="B5364">
        <v>9.9999999999999998E+155</v>
      </c>
      <c r="D5364" s="18">
        <v>5362</v>
      </c>
      <c r="E5364" s="18" cm="1">
        <f t="array" aca="1" ref="E5364" ca="1">INDIRECT("b"&amp;F5364+2)</f>
        <v>0</v>
      </c>
      <c r="F5364" s="18">
        <f t="shared" si="1122"/>
        <v>7548</v>
      </c>
      <c r="G5364" s="18" t="e">
        <f t="shared" ref="G5364" ca="1" si="1129">E5364/E5359</f>
        <v>#DIV/0!</v>
      </c>
      <c r="H5364" s="18"/>
      <c r="I5364" s="19">
        <v>5362</v>
      </c>
      <c r="J5364" s="19" cm="1">
        <f t="array" aca="1" ref="J5364" ca="1">INDIRECT("b"&amp;K5364+2)</f>
        <v>0</v>
      </c>
      <c r="K5364" s="19">
        <f t="shared" si="1118"/>
        <v>8748</v>
      </c>
    </row>
    <row r="5365" spans="1:11">
      <c r="A5365">
        <v>5363</v>
      </c>
      <c r="B5365">
        <v>1.2250000000000001E+156</v>
      </c>
      <c r="D5365" s="18">
        <v>5363</v>
      </c>
      <c r="E5365" s="18" cm="1">
        <f t="array" aca="1" ref="E5365" ca="1">INDIRECT("b"&amp;F5365+2)</f>
        <v>0</v>
      </c>
      <c r="F5365" s="18">
        <f t="shared" si="1122"/>
        <v>7549</v>
      </c>
      <c r="G5365" s="18"/>
      <c r="H5365" s="18"/>
      <c r="I5365" s="19">
        <v>5363</v>
      </c>
      <c r="J5365" s="19" cm="1">
        <f t="array" aca="1" ref="J5365" ca="1">INDIRECT("b"&amp;K5365+2)</f>
        <v>0</v>
      </c>
      <c r="K5365" s="19">
        <f t="shared" si="1118"/>
        <v>8749</v>
      </c>
    </row>
    <row r="5366" spans="1:11">
      <c r="A5366">
        <v>5364</v>
      </c>
      <c r="B5366">
        <v>1.4500000000000001E+156</v>
      </c>
      <c r="D5366" s="18">
        <v>5364</v>
      </c>
      <c r="E5366" s="18" cm="1">
        <f t="array" aca="1" ref="E5366" ca="1">INDIRECT("b"&amp;F5366+2)</f>
        <v>0</v>
      </c>
      <c r="F5366" s="18">
        <f t="shared" si="1122"/>
        <v>7550</v>
      </c>
      <c r="G5366" s="18"/>
      <c r="H5366" s="18"/>
      <c r="I5366" s="19">
        <v>5364</v>
      </c>
      <c r="J5366" s="19" cm="1">
        <f t="array" aca="1" ref="J5366" ca="1">INDIRECT("b"&amp;K5366+2)</f>
        <v>0</v>
      </c>
      <c r="K5366" s="19">
        <f t="shared" si="1118"/>
        <v>8750</v>
      </c>
    </row>
    <row r="5367" spans="1:11">
      <c r="A5367">
        <v>5365</v>
      </c>
      <c r="B5367">
        <v>1.675E+156</v>
      </c>
      <c r="D5367" s="18">
        <v>5365</v>
      </c>
      <c r="E5367" s="18" cm="1">
        <f t="array" aca="1" ref="E5367" ca="1">INDIRECT("b"&amp;F5367+2)</f>
        <v>0</v>
      </c>
      <c r="F5367" s="18">
        <f t="shared" si="1122"/>
        <v>7552</v>
      </c>
      <c r="G5367" s="18"/>
      <c r="H5367" s="18"/>
      <c r="I5367" s="19">
        <v>5365</v>
      </c>
      <c r="J5367" s="19" cm="1">
        <f t="array" aca="1" ref="J5367" ca="1">INDIRECT("b"&amp;K5367+2)</f>
        <v>0</v>
      </c>
      <c r="K5367" s="19">
        <f t="shared" si="1118"/>
        <v>8752</v>
      </c>
    </row>
    <row r="5368" spans="1:11">
      <c r="A5368">
        <v>5366</v>
      </c>
      <c r="B5368">
        <v>1.9000000000000001E+156</v>
      </c>
      <c r="D5368" s="18">
        <v>5366</v>
      </c>
      <c r="E5368" s="18" cm="1">
        <f t="array" aca="1" ref="E5368" ca="1">INDIRECT("b"&amp;F5368+2)</f>
        <v>0</v>
      </c>
      <c r="F5368" s="18">
        <f t="shared" si="1122"/>
        <v>7553</v>
      </c>
      <c r="G5368" s="18"/>
      <c r="H5368" s="18"/>
      <c r="I5368" s="19">
        <v>5366</v>
      </c>
      <c r="J5368" s="19" cm="1">
        <f t="array" aca="1" ref="J5368" ca="1">INDIRECT("b"&amp;K5368+2)</f>
        <v>0</v>
      </c>
      <c r="K5368" s="19">
        <f t="shared" si="1118"/>
        <v>8753</v>
      </c>
    </row>
    <row r="5369" spans="1:11">
      <c r="A5369">
        <v>5367</v>
      </c>
      <c r="B5369">
        <v>2.1250000000000003E+156</v>
      </c>
      <c r="D5369" s="18">
        <v>5367</v>
      </c>
      <c r="E5369" s="18" cm="1">
        <f t="array" aca="1" ref="E5369" ca="1">INDIRECT("b"&amp;F5369+2)</f>
        <v>0</v>
      </c>
      <c r="F5369" s="18">
        <f t="shared" si="1122"/>
        <v>7554</v>
      </c>
      <c r="G5369" s="18" t="e">
        <f t="shared" ref="G5369" ca="1" si="1130">E5369/E5364</f>
        <v>#DIV/0!</v>
      </c>
      <c r="H5369" s="18"/>
      <c r="I5369" s="19">
        <v>5367</v>
      </c>
      <c r="J5369" s="19" cm="1">
        <f t="array" aca="1" ref="J5369" ca="1">INDIRECT("b"&amp;K5369+2)</f>
        <v>0</v>
      </c>
      <c r="K5369" s="19">
        <f t="shared" si="1118"/>
        <v>8754</v>
      </c>
    </row>
    <row r="5370" spans="1:11">
      <c r="A5370">
        <v>5368</v>
      </c>
      <c r="B5370">
        <v>2.35E+156</v>
      </c>
      <c r="D5370" s="18">
        <v>5368</v>
      </c>
      <c r="E5370" s="18" cm="1">
        <f t="array" aca="1" ref="E5370" ca="1">INDIRECT("b"&amp;F5370+2)</f>
        <v>0</v>
      </c>
      <c r="F5370" s="18">
        <f t="shared" si="1122"/>
        <v>7556</v>
      </c>
      <c r="G5370" s="18"/>
      <c r="H5370" s="18"/>
      <c r="I5370" s="19">
        <v>5368</v>
      </c>
      <c r="J5370" s="19" cm="1">
        <f t="array" aca="1" ref="J5370" ca="1">INDIRECT("b"&amp;K5370+2)</f>
        <v>0</v>
      </c>
      <c r="K5370" s="19">
        <f t="shared" si="1118"/>
        <v>8756</v>
      </c>
    </row>
    <row r="5371" spans="1:11">
      <c r="A5371">
        <v>5369</v>
      </c>
      <c r="B5371">
        <v>2.5750000000000001E+156</v>
      </c>
      <c r="D5371" s="18">
        <v>5369</v>
      </c>
      <c r="E5371" s="18" cm="1">
        <f t="array" aca="1" ref="E5371" ca="1">INDIRECT("b"&amp;F5371+2)</f>
        <v>0</v>
      </c>
      <c r="F5371" s="18">
        <f t="shared" si="1122"/>
        <v>7557</v>
      </c>
      <c r="G5371" s="18"/>
      <c r="H5371" s="18"/>
      <c r="I5371" s="19">
        <v>5369</v>
      </c>
      <c r="J5371" s="19" cm="1">
        <f t="array" aca="1" ref="J5371" ca="1">INDIRECT("b"&amp;K5371+2)</f>
        <v>0</v>
      </c>
      <c r="K5371" s="19">
        <f t="shared" si="1118"/>
        <v>8757</v>
      </c>
    </row>
    <row r="5372" spans="1:11">
      <c r="A5372">
        <v>5370</v>
      </c>
      <c r="B5372">
        <v>2.8000000000000003E+156</v>
      </c>
      <c r="D5372" s="18">
        <v>5370</v>
      </c>
      <c r="E5372" s="18" cm="1">
        <f t="array" aca="1" ref="E5372" ca="1">INDIRECT("b"&amp;F5372+2)</f>
        <v>0</v>
      </c>
      <c r="F5372" s="18">
        <f t="shared" si="1122"/>
        <v>7558</v>
      </c>
      <c r="G5372" s="18"/>
      <c r="H5372" s="18"/>
      <c r="I5372" s="19">
        <v>5370</v>
      </c>
      <c r="J5372" s="19" cm="1">
        <f t="array" aca="1" ref="J5372" ca="1">INDIRECT("b"&amp;K5372+2)</f>
        <v>0</v>
      </c>
      <c r="K5372" s="19">
        <f t="shared" si="1118"/>
        <v>8758</v>
      </c>
    </row>
    <row r="5373" spans="1:11">
      <c r="A5373">
        <v>5371</v>
      </c>
      <c r="B5373">
        <v>3.025E+156</v>
      </c>
      <c r="D5373" s="18">
        <v>5371</v>
      </c>
      <c r="E5373" s="18" cm="1">
        <f t="array" aca="1" ref="E5373" ca="1">INDIRECT("b"&amp;F5373+2)</f>
        <v>0</v>
      </c>
      <c r="F5373" s="18">
        <f t="shared" si="1122"/>
        <v>7560</v>
      </c>
      <c r="G5373" s="18"/>
      <c r="H5373" s="18"/>
      <c r="I5373" s="19">
        <v>5371</v>
      </c>
      <c r="J5373" s="19" cm="1">
        <f t="array" aca="1" ref="J5373" ca="1">INDIRECT("b"&amp;K5373+2)</f>
        <v>0</v>
      </c>
      <c r="K5373" s="19">
        <f t="shared" si="1118"/>
        <v>8760</v>
      </c>
    </row>
    <row r="5374" spans="1:11">
      <c r="A5374">
        <v>5372</v>
      </c>
      <c r="B5374">
        <v>3.2500000000000001E+156</v>
      </c>
      <c r="D5374" s="18">
        <v>5372</v>
      </c>
      <c r="E5374" s="18" cm="1">
        <f t="array" aca="1" ref="E5374" ca="1">INDIRECT("b"&amp;F5374+2)</f>
        <v>0</v>
      </c>
      <c r="F5374" s="18">
        <f t="shared" si="1122"/>
        <v>7561</v>
      </c>
      <c r="G5374" s="18" t="e">
        <f t="shared" ref="G5374" ca="1" si="1131">E5374/E5369</f>
        <v>#DIV/0!</v>
      </c>
      <c r="H5374" s="18"/>
      <c r="I5374" s="19">
        <v>5372</v>
      </c>
      <c r="J5374" s="19" cm="1">
        <f t="array" aca="1" ref="J5374" ca="1">INDIRECT("b"&amp;K5374+2)</f>
        <v>0</v>
      </c>
      <c r="K5374" s="19">
        <f t="shared" si="1118"/>
        <v>8761</v>
      </c>
    </row>
    <row r="5375" spans="1:11">
      <c r="A5375">
        <v>5373</v>
      </c>
      <c r="B5375">
        <v>3.4750000000000003E+156</v>
      </c>
      <c r="D5375" s="18">
        <v>5373</v>
      </c>
      <c r="E5375" s="18" cm="1">
        <f t="array" aca="1" ref="E5375" ca="1">INDIRECT("b"&amp;F5375+2)</f>
        <v>0</v>
      </c>
      <c r="F5375" s="18">
        <f t="shared" si="1122"/>
        <v>7562</v>
      </c>
      <c r="G5375" s="18"/>
      <c r="H5375" s="18"/>
      <c r="I5375" s="19">
        <v>5373</v>
      </c>
      <c r="J5375" s="19" cm="1">
        <f t="array" aca="1" ref="J5375" ca="1">INDIRECT("b"&amp;K5375+2)</f>
        <v>0</v>
      </c>
      <c r="K5375" s="19">
        <f t="shared" si="1118"/>
        <v>8762</v>
      </c>
    </row>
    <row r="5376" spans="1:11">
      <c r="A5376">
        <v>5374</v>
      </c>
      <c r="B5376">
        <v>3.7E+156</v>
      </c>
      <c r="D5376" s="18">
        <v>5374</v>
      </c>
      <c r="E5376" s="18" cm="1">
        <f t="array" aca="1" ref="E5376" ca="1">INDIRECT("b"&amp;F5376+2)</f>
        <v>0</v>
      </c>
      <c r="F5376" s="18">
        <f t="shared" si="1122"/>
        <v>7564</v>
      </c>
      <c r="G5376" s="18"/>
      <c r="H5376" s="18"/>
      <c r="I5376" s="19">
        <v>5374</v>
      </c>
      <c r="J5376" s="19" cm="1">
        <f t="array" aca="1" ref="J5376" ca="1">INDIRECT("b"&amp;K5376+2)</f>
        <v>0</v>
      </c>
      <c r="K5376" s="19">
        <f t="shared" si="1118"/>
        <v>8764</v>
      </c>
    </row>
    <row r="5377" spans="1:11">
      <c r="A5377">
        <v>5375</v>
      </c>
      <c r="B5377">
        <v>3.9250000000000005E+156</v>
      </c>
      <c r="D5377" s="18">
        <v>5375</v>
      </c>
      <c r="E5377" s="18" cm="1">
        <f t="array" aca="1" ref="E5377" ca="1">INDIRECT("b"&amp;F5377+2)</f>
        <v>0</v>
      </c>
      <c r="F5377" s="18">
        <f t="shared" si="1122"/>
        <v>7565</v>
      </c>
      <c r="G5377" s="18"/>
      <c r="H5377" s="18"/>
      <c r="I5377" s="19">
        <v>5375</v>
      </c>
      <c r="J5377" s="19" cm="1">
        <f t="array" aca="1" ref="J5377" ca="1">INDIRECT("b"&amp;K5377+2)</f>
        <v>0</v>
      </c>
      <c r="K5377" s="19">
        <f t="shared" si="1118"/>
        <v>8765</v>
      </c>
    </row>
    <row r="5378" spans="1:11">
      <c r="A5378">
        <v>5376</v>
      </c>
      <c r="B5378">
        <v>4.1500000000000003E+156</v>
      </c>
      <c r="D5378" s="18">
        <v>5376</v>
      </c>
      <c r="E5378" s="18" cm="1">
        <f t="array" aca="1" ref="E5378" ca="1">INDIRECT("b"&amp;F5378+2)</f>
        <v>0</v>
      </c>
      <c r="F5378" s="18">
        <f t="shared" si="1122"/>
        <v>7566</v>
      </c>
      <c r="G5378" s="18"/>
      <c r="H5378" s="18"/>
      <c r="I5378" s="19">
        <v>5376</v>
      </c>
      <c r="J5378" s="19" cm="1">
        <f t="array" aca="1" ref="J5378" ca="1">INDIRECT("b"&amp;K5378+2)</f>
        <v>0</v>
      </c>
      <c r="K5378" s="19">
        <f t="shared" si="1118"/>
        <v>8766</v>
      </c>
    </row>
    <row r="5379" spans="1:11">
      <c r="A5379">
        <v>5377</v>
      </c>
      <c r="B5379">
        <v>4.375E+156</v>
      </c>
      <c r="D5379" s="18">
        <v>5377</v>
      </c>
      <c r="E5379" s="18" cm="1">
        <f t="array" aca="1" ref="E5379" ca="1">INDIRECT("b"&amp;F5379+2)</f>
        <v>0</v>
      </c>
      <c r="F5379" s="18">
        <f t="shared" si="1122"/>
        <v>7568</v>
      </c>
      <c r="G5379" s="18" t="e">
        <f t="shared" ref="G5379" ca="1" si="1132">E5379/E5374</f>
        <v>#DIV/0!</v>
      </c>
      <c r="H5379" s="18"/>
      <c r="I5379" s="19">
        <v>5377</v>
      </c>
      <c r="J5379" s="19" cm="1">
        <f t="array" aca="1" ref="J5379" ca="1">INDIRECT("b"&amp;K5379+2)</f>
        <v>0</v>
      </c>
      <c r="K5379" s="19">
        <f t="shared" si="1118"/>
        <v>8768</v>
      </c>
    </row>
    <row r="5380" spans="1:11">
      <c r="A5380">
        <v>5378</v>
      </c>
      <c r="B5380">
        <v>4.6000000000000005E+156</v>
      </c>
      <c r="D5380" s="18">
        <v>5378</v>
      </c>
      <c r="E5380" s="18" cm="1">
        <f t="array" aca="1" ref="E5380" ca="1">INDIRECT("b"&amp;F5380+2)</f>
        <v>0</v>
      </c>
      <c r="F5380" s="18">
        <f t="shared" si="1122"/>
        <v>7569</v>
      </c>
      <c r="G5380" s="18"/>
      <c r="H5380" s="18"/>
      <c r="I5380" s="19">
        <v>5378</v>
      </c>
      <c r="J5380" s="19" cm="1">
        <f t="array" aca="1" ref="J5380" ca="1">INDIRECT("b"&amp;K5380+2)</f>
        <v>0</v>
      </c>
      <c r="K5380" s="19">
        <f t="shared" ref="K5380:K5443" si="1133">INT((A5380-1)*40/30+900*40/30)+400</f>
        <v>8769</v>
      </c>
    </row>
    <row r="5381" spans="1:11">
      <c r="A5381">
        <v>5379</v>
      </c>
      <c r="B5381">
        <v>4.8250000000000003E+156</v>
      </c>
      <c r="D5381" s="18">
        <v>5379</v>
      </c>
      <c r="E5381" s="18" cm="1">
        <f t="array" aca="1" ref="E5381" ca="1">INDIRECT("b"&amp;F5381+2)</f>
        <v>0</v>
      </c>
      <c r="F5381" s="18">
        <f t="shared" si="1122"/>
        <v>7570</v>
      </c>
      <c r="G5381" s="18"/>
      <c r="H5381" s="18"/>
      <c r="I5381" s="19">
        <v>5379</v>
      </c>
      <c r="J5381" s="19" cm="1">
        <f t="array" aca="1" ref="J5381" ca="1">INDIRECT("b"&amp;K5381+2)</f>
        <v>0</v>
      </c>
      <c r="K5381" s="19">
        <f t="shared" si="1133"/>
        <v>8770</v>
      </c>
    </row>
    <row r="5382" spans="1:11">
      <c r="A5382">
        <v>5380</v>
      </c>
      <c r="B5382">
        <v>5.05E+156</v>
      </c>
      <c r="D5382" s="18">
        <v>5380</v>
      </c>
      <c r="E5382" s="18" cm="1">
        <f t="array" aca="1" ref="E5382" ca="1">INDIRECT("b"&amp;F5382+2)</f>
        <v>0</v>
      </c>
      <c r="F5382" s="18">
        <f t="shared" si="1122"/>
        <v>7572</v>
      </c>
      <c r="G5382" s="18"/>
      <c r="H5382" s="18"/>
      <c r="I5382" s="19">
        <v>5380</v>
      </c>
      <c r="J5382" s="19" cm="1">
        <f t="array" aca="1" ref="J5382" ca="1">INDIRECT("b"&amp;K5382+2)</f>
        <v>0</v>
      </c>
      <c r="K5382" s="19">
        <f t="shared" si="1133"/>
        <v>8772</v>
      </c>
    </row>
    <row r="5383" spans="1:11">
      <c r="A5383">
        <v>5381</v>
      </c>
      <c r="B5383">
        <v>5.2750000000000005E+156</v>
      </c>
      <c r="D5383" s="18">
        <v>5381</v>
      </c>
      <c r="E5383" s="18" cm="1">
        <f t="array" aca="1" ref="E5383" ca="1">INDIRECT("b"&amp;F5383+2)</f>
        <v>0</v>
      </c>
      <c r="F5383" s="18">
        <f t="shared" si="1122"/>
        <v>7573</v>
      </c>
      <c r="G5383" s="18"/>
      <c r="H5383" s="18"/>
      <c r="I5383" s="19">
        <v>5381</v>
      </c>
      <c r="J5383" s="19" cm="1">
        <f t="array" aca="1" ref="J5383" ca="1">INDIRECT("b"&amp;K5383+2)</f>
        <v>0</v>
      </c>
      <c r="K5383" s="19">
        <f t="shared" si="1133"/>
        <v>8773</v>
      </c>
    </row>
    <row r="5384" spans="1:11">
      <c r="A5384">
        <v>5382</v>
      </c>
      <c r="B5384">
        <v>5.5000000000000003E+156</v>
      </c>
      <c r="D5384" s="18">
        <v>5382</v>
      </c>
      <c r="E5384" s="18" cm="1">
        <f t="array" aca="1" ref="E5384" ca="1">INDIRECT("b"&amp;F5384+2)</f>
        <v>0</v>
      </c>
      <c r="F5384" s="18">
        <f t="shared" si="1122"/>
        <v>7574</v>
      </c>
      <c r="G5384" s="18" t="e">
        <f t="shared" ref="G5384" ca="1" si="1134">E5384/E5379</f>
        <v>#DIV/0!</v>
      </c>
      <c r="H5384" s="18"/>
      <c r="I5384" s="19">
        <v>5382</v>
      </c>
      <c r="J5384" s="19" cm="1">
        <f t="array" aca="1" ref="J5384" ca="1">INDIRECT("b"&amp;K5384+2)</f>
        <v>0</v>
      </c>
      <c r="K5384" s="19">
        <f t="shared" si="1133"/>
        <v>8774</v>
      </c>
    </row>
    <row r="5385" spans="1:11">
      <c r="A5385">
        <v>5383</v>
      </c>
      <c r="B5385">
        <v>5.725E+156</v>
      </c>
      <c r="D5385" s="18">
        <v>5383</v>
      </c>
      <c r="E5385" s="18" cm="1">
        <f t="array" aca="1" ref="E5385" ca="1">INDIRECT("b"&amp;F5385+2)</f>
        <v>0</v>
      </c>
      <c r="F5385" s="18">
        <f t="shared" si="1122"/>
        <v>7576</v>
      </c>
      <c r="G5385" s="18"/>
      <c r="H5385" s="18"/>
      <c r="I5385" s="19">
        <v>5383</v>
      </c>
      <c r="J5385" s="19" cm="1">
        <f t="array" aca="1" ref="J5385" ca="1">INDIRECT("b"&amp;K5385+2)</f>
        <v>0</v>
      </c>
      <c r="K5385" s="19">
        <f t="shared" si="1133"/>
        <v>8776</v>
      </c>
    </row>
    <row r="5386" spans="1:11">
      <c r="A5386">
        <v>5384</v>
      </c>
      <c r="B5386">
        <v>5.9500000000000005E+156</v>
      </c>
      <c r="D5386" s="18">
        <v>5384</v>
      </c>
      <c r="E5386" s="18" cm="1">
        <f t="array" aca="1" ref="E5386" ca="1">INDIRECT("b"&amp;F5386+2)</f>
        <v>0</v>
      </c>
      <c r="F5386" s="18">
        <f t="shared" si="1122"/>
        <v>7577</v>
      </c>
      <c r="G5386" s="18"/>
      <c r="H5386" s="18"/>
      <c r="I5386" s="19">
        <v>5384</v>
      </c>
      <c r="J5386" s="19" cm="1">
        <f t="array" aca="1" ref="J5386" ca="1">INDIRECT("b"&amp;K5386+2)</f>
        <v>0</v>
      </c>
      <c r="K5386" s="19">
        <f t="shared" si="1133"/>
        <v>8777</v>
      </c>
    </row>
    <row r="5387" spans="1:11">
      <c r="A5387">
        <v>5385</v>
      </c>
      <c r="B5387">
        <v>6.1750000000000003E+156</v>
      </c>
      <c r="D5387" s="18">
        <v>5385</v>
      </c>
      <c r="E5387" s="18" cm="1">
        <f t="array" aca="1" ref="E5387" ca="1">INDIRECT("b"&amp;F5387+2)</f>
        <v>0</v>
      </c>
      <c r="F5387" s="18">
        <f t="shared" si="1122"/>
        <v>7578</v>
      </c>
      <c r="G5387" s="18"/>
      <c r="H5387" s="18"/>
      <c r="I5387" s="19">
        <v>5385</v>
      </c>
      <c r="J5387" s="19" cm="1">
        <f t="array" aca="1" ref="J5387" ca="1">INDIRECT("b"&amp;K5387+2)</f>
        <v>0</v>
      </c>
      <c r="K5387" s="19">
        <f t="shared" si="1133"/>
        <v>8778</v>
      </c>
    </row>
    <row r="5388" spans="1:11">
      <c r="A5388">
        <v>5386</v>
      </c>
      <c r="B5388">
        <v>6.4E+156</v>
      </c>
      <c r="D5388" s="18">
        <v>5386</v>
      </c>
      <c r="E5388" s="18" cm="1">
        <f t="array" aca="1" ref="E5388" ca="1">INDIRECT("b"&amp;F5388+2)</f>
        <v>0</v>
      </c>
      <c r="F5388" s="18">
        <f t="shared" si="1122"/>
        <v>7580</v>
      </c>
      <c r="G5388" s="18"/>
      <c r="H5388" s="18"/>
      <c r="I5388" s="19">
        <v>5386</v>
      </c>
      <c r="J5388" s="19" cm="1">
        <f t="array" aca="1" ref="J5388" ca="1">INDIRECT("b"&amp;K5388+2)</f>
        <v>0</v>
      </c>
      <c r="K5388" s="19">
        <f t="shared" si="1133"/>
        <v>8780</v>
      </c>
    </row>
    <row r="5389" spans="1:11">
      <c r="A5389">
        <v>5387</v>
      </c>
      <c r="B5389">
        <v>6.6250000000000006E+156</v>
      </c>
      <c r="D5389" s="18">
        <v>5387</v>
      </c>
      <c r="E5389" s="18" cm="1">
        <f t="array" aca="1" ref="E5389" ca="1">INDIRECT("b"&amp;F5389+2)</f>
        <v>0</v>
      </c>
      <c r="F5389" s="18">
        <f t="shared" si="1122"/>
        <v>7581</v>
      </c>
      <c r="G5389" s="18" t="e">
        <f t="shared" ref="G5389" ca="1" si="1135">E5389/E5384</f>
        <v>#DIV/0!</v>
      </c>
      <c r="H5389" s="18"/>
      <c r="I5389" s="19">
        <v>5387</v>
      </c>
      <c r="J5389" s="19" cm="1">
        <f t="array" aca="1" ref="J5389" ca="1">INDIRECT("b"&amp;K5389+2)</f>
        <v>0</v>
      </c>
      <c r="K5389" s="19">
        <f t="shared" si="1133"/>
        <v>8781</v>
      </c>
    </row>
    <row r="5390" spans="1:11">
      <c r="A5390">
        <v>5388</v>
      </c>
      <c r="B5390">
        <v>6.8500000000000003E+156</v>
      </c>
      <c r="D5390" s="18">
        <v>5388</v>
      </c>
      <c r="E5390" s="18" cm="1">
        <f t="array" aca="1" ref="E5390" ca="1">INDIRECT("b"&amp;F5390+2)</f>
        <v>0</v>
      </c>
      <c r="F5390" s="18">
        <f t="shared" si="1122"/>
        <v>7582</v>
      </c>
      <c r="G5390" s="18"/>
      <c r="H5390" s="18"/>
      <c r="I5390" s="19">
        <v>5388</v>
      </c>
      <c r="J5390" s="19" cm="1">
        <f t="array" aca="1" ref="J5390" ca="1">INDIRECT("b"&amp;K5390+2)</f>
        <v>0</v>
      </c>
      <c r="K5390" s="19">
        <f t="shared" si="1133"/>
        <v>8782</v>
      </c>
    </row>
    <row r="5391" spans="1:11">
      <c r="A5391">
        <v>5389</v>
      </c>
      <c r="B5391">
        <v>7.0750000000000008E+156</v>
      </c>
      <c r="D5391" s="18">
        <v>5389</v>
      </c>
      <c r="E5391" s="18" cm="1">
        <f t="array" aca="1" ref="E5391" ca="1">INDIRECT("b"&amp;F5391+2)</f>
        <v>0</v>
      </c>
      <c r="F5391" s="18">
        <f t="shared" si="1122"/>
        <v>7584</v>
      </c>
      <c r="G5391" s="18"/>
      <c r="H5391" s="18"/>
      <c r="I5391" s="19">
        <v>5389</v>
      </c>
      <c r="J5391" s="19" cm="1">
        <f t="array" aca="1" ref="J5391" ca="1">INDIRECT("b"&amp;K5391+2)</f>
        <v>0</v>
      </c>
      <c r="K5391" s="19">
        <f t="shared" si="1133"/>
        <v>8784</v>
      </c>
    </row>
    <row r="5392" spans="1:11">
      <c r="A5392">
        <v>5390</v>
      </c>
      <c r="B5392">
        <v>7.2999999999999998E+156</v>
      </c>
      <c r="D5392" s="18">
        <v>5390</v>
      </c>
      <c r="E5392" s="18" cm="1">
        <f t="array" aca="1" ref="E5392" ca="1">INDIRECT("b"&amp;F5392+2)</f>
        <v>0</v>
      </c>
      <c r="F5392" s="18">
        <f t="shared" si="1122"/>
        <v>7585</v>
      </c>
      <c r="G5392" s="18"/>
      <c r="H5392" s="18"/>
      <c r="I5392" s="19">
        <v>5390</v>
      </c>
      <c r="J5392" s="19" cm="1">
        <f t="array" aca="1" ref="J5392" ca="1">INDIRECT("b"&amp;K5392+2)</f>
        <v>0</v>
      </c>
      <c r="K5392" s="19">
        <f t="shared" si="1133"/>
        <v>8785</v>
      </c>
    </row>
    <row r="5393" spans="1:11">
      <c r="A5393">
        <v>5391</v>
      </c>
      <c r="B5393">
        <v>7.5250000000000003E+156</v>
      </c>
      <c r="D5393" s="18">
        <v>5391</v>
      </c>
      <c r="E5393" s="18" cm="1">
        <f t="array" aca="1" ref="E5393" ca="1">INDIRECT("b"&amp;F5393+2)</f>
        <v>0</v>
      </c>
      <c r="F5393" s="18">
        <f t="shared" si="1122"/>
        <v>7586</v>
      </c>
      <c r="G5393" s="18"/>
      <c r="H5393" s="18"/>
      <c r="I5393" s="19">
        <v>5391</v>
      </c>
      <c r="J5393" s="19" cm="1">
        <f t="array" aca="1" ref="J5393" ca="1">INDIRECT("b"&amp;K5393+2)</f>
        <v>0</v>
      </c>
      <c r="K5393" s="19">
        <f t="shared" si="1133"/>
        <v>8786</v>
      </c>
    </row>
    <row r="5394" spans="1:11">
      <c r="A5394">
        <v>5392</v>
      </c>
      <c r="B5394">
        <v>7.7500000000000008E+156</v>
      </c>
      <c r="D5394" s="18">
        <v>5392</v>
      </c>
      <c r="E5394" s="18" cm="1">
        <f t="array" aca="1" ref="E5394" ca="1">INDIRECT("b"&amp;F5394+2)</f>
        <v>0</v>
      </c>
      <c r="F5394" s="18">
        <f t="shared" si="1122"/>
        <v>7588</v>
      </c>
      <c r="G5394" s="18" t="e">
        <f t="shared" ref="G5394" ca="1" si="1136">E5394/E5389</f>
        <v>#DIV/0!</v>
      </c>
      <c r="H5394" s="18"/>
      <c r="I5394" s="19">
        <v>5392</v>
      </c>
      <c r="J5394" s="19" cm="1">
        <f t="array" aca="1" ref="J5394" ca="1">INDIRECT("b"&amp;K5394+2)</f>
        <v>0</v>
      </c>
      <c r="K5394" s="19">
        <f t="shared" si="1133"/>
        <v>8788</v>
      </c>
    </row>
    <row r="5395" spans="1:11">
      <c r="A5395">
        <v>5393</v>
      </c>
      <c r="B5395">
        <v>7.9749999999999998E+156</v>
      </c>
      <c r="D5395" s="18">
        <v>5393</v>
      </c>
      <c r="E5395" s="18" cm="1">
        <f t="array" aca="1" ref="E5395" ca="1">INDIRECT("b"&amp;F5395+2)</f>
        <v>0</v>
      </c>
      <c r="F5395" s="18">
        <f t="shared" ref="F5395:F5458" si="1137">INT((A5395-123)*1.333333)+563</f>
        <v>7589</v>
      </c>
      <c r="G5395" s="18"/>
      <c r="H5395" s="18"/>
      <c r="I5395" s="19">
        <v>5393</v>
      </c>
      <c r="J5395" s="19" cm="1">
        <f t="array" aca="1" ref="J5395" ca="1">INDIRECT("b"&amp;K5395+2)</f>
        <v>0</v>
      </c>
      <c r="K5395" s="19">
        <f t="shared" si="1133"/>
        <v>8789</v>
      </c>
    </row>
    <row r="5396" spans="1:11">
      <c r="A5396">
        <v>5394</v>
      </c>
      <c r="B5396">
        <v>8.2000000000000003E+156</v>
      </c>
      <c r="D5396" s="18">
        <v>5394</v>
      </c>
      <c r="E5396" s="18" cm="1">
        <f t="array" aca="1" ref="E5396" ca="1">INDIRECT("b"&amp;F5396+2)</f>
        <v>0</v>
      </c>
      <c r="F5396" s="18">
        <f t="shared" si="1137"/>
        <v>7590</v>
      </c>
      <c r="G5396" s="18"/>
      <c r="H5396" s="18"/>
      <c r="I5396" s="19">
        <v>5394</v>
      </c>
      <c r="J5396" s="19" cm="1">
        <f t="array" aca="1" ref="J5396" ca="1">INDIRECT("b"&amp;K5396+2)</f>
        <v>0</v>
      </c>
      <c r="K5396" s="19">
        <f t="shared" si="1133"/>
        <v>8790</v>
      </c>
    </row>
    <row r="5397" spans="1:11">
      <c r="A5397">
        <v>5395</v>
      </c>
      <c r="B5397">
        <v>8.4250000000000008E+156</v>
      </c>
      <c r="D5397" s="18">
        <v>5395</v>
      </c>
      <c r="E5397" s="18" cm="1">
        <f t="array" aca="1" ref="E5397" ca="1">INDIRECT("b"&amp;F5397+2)</f>
        <v>0</v>
      </c>
      <c r="F5397" s="18">
        <f t="shared" si="1137"/>
        <v>7592</v>
      </c>
      <c r="G5397" s="18"/>
      <c r="H5397" s="18"/>
      <c r="I5397" s="19">
        <v>5395</v>
      </c>
      <c r="J5397" s="19" cm="1">
        <f t="array" aca="1" ref="J5397" ca="1">INDIRECT("b"&amp;K5397+2)</f>
        <v>0</v>
      </c>
      <c r="K5397" s="19">
        <f t="shared" si="1133"/>
        <v>8792</v>
      </c>
    </row>
    <row r="5398" spans="1:11">
      <c r="A5398">
        <v>5396</v>
      </c>
      <c r="B5398">
        <v>8.6499999999999998E+156</v>
      </c>
      <c r="D5398" s="18">
        <v>5396</v>
      </c>
      <c r="E5398" s="18" cm="1">
        <f t="array" aca="1" ref="E5398" ca="1">INDIRECT("b"&amp;F5398+2)</f>
        <v>0</v>
      </c>
      <c r="F5398" s="18">
        <f t="shared" si="1137"/>
        <v>7593</v>
      </c>
      <c r="G5398" s="18"/>
      <c r="H5398" s="18"/>
      <c r="I5398" s="19">
        <v>5396</v>
      </c>
      <c r="J5398" s="19" cm="1">
        <f t="array" aca="1" ref="J5398" ca="1">INDIRECT("b"&amp;K5398+2)</f>
        <v>0</v>
      </c>
      <c r="K5398" s="19">
        <f t="shared" si="1133"/>
        <v>8793</v>
      </c>
    </row>
    <row r="5399" spans="1:11">
      <c r="A5399">
        <v>5397</v>
      </c>
      <c r="B5399">
        <v>8.8750000000000003E+156</v>
      </c>
      <c r="D5399" s="18">
        <v>5397</v>
      </c>
      <c r="E5399" s="18" cm="1">
        <f t="array" aca="1" ref="E5399" ca="1">INDIRECT("b"&amp;F5399+2)</f>
        <v>0</v>
      </c>
      <c r="F5399" s="18">
        <f t="shared" si="1137"/>
        <v>7594</v>
      </c>
      <c r="G5399" s="18" t="e">
        <f t="shared" ref="G5399" ca="1" si="1138">E5399/E5394</f>
        <v>#DIV/0!</v>
      </c>
      <c r="H5399" s="18"/>
      <c r="I5399" s="19">
        <v>5397</v>
      </c>
      <c r="J5399" s="19" cm="1">
        <f t="array" aca="1" ref="J5399" ca="1">INDIRECT("b"&amp;K5399+2)</f>
        <v>0</v>
      </c>
      <c r="K5399" s="19">
        <f t="shared" si="1133"/>
        <v>8794</v>
      </c>
    </row>
    <row r="5400" spans="1:11">
      <c r="A5400">
        <v>5398</v>
      </c>
      <c r="B5400">
        <v>9.1000000000000008E+156</v>
      </c>
      <c r="D5400" s="18">
        <v>5398</v>
      </c>
      <c r="E5400" s="18" cm="1">
        <f t="array" aca="1" ref="E5400" ca="1">INDIRECT("b"&amp;F5400+2)</f>
        <v>0</v>
      </c>
      <c r="F5400" s="18">
        <f t="shared" si="1137"/>
        <v>7596</v>
      </c>
      <c r="G5400" s="18"/>
      <c r="H5400" s="18"/>
      <c r="I5400" s="19">
        <v>5398</v>
      </c>
      <c r="J5400" s="19" cm="1">
        <f t="array" aca="1" ref="J5400" ca="1">INDIRECT("b"&amp;K5400+2)</f>
        <v>0</v>
      </c>
      <c r="K5400" s="19">
        <f t="shared" si="1133"/>
        <v>8796</v>
      </c>
    </row>
    <row r="5401" spans="1:11">
      <c r="A5401">
        <v>5399</v>
      </c>
      <c r="B5401">
        <v>9.3249999999999998E+156</v>
      </c>
      <c r="D5401" s="18">
        <v>5399</v>
      </c>
      <c r="E5401" s="18" cm="1">
        <f t="array" aca="1" ref="E5401" ca="1">INDIRECT("b"&amp;F5401+2)</f>
        <v>0</v>
      </c>
      <c r="F5401" s="18">
        <f t="shared" si="1137"/>
        <v>7597</v>
      </c>
      <c r="G5401" s="18"/>
      <c r="H5401" s="18"/>
      <c r="I5401" s="19">
        <v>5399</v>
      </c>
      <c r="J5401" s="19" cm="1">
        <f t="array" aca="1" ref="J5401" ca="1">INDIRECT("b"&amp;K5401+2)</f>
        <v>0</v>
      </c>
      <c r="K5401" s="19">
        <f t="shared" si="1133"/>
        <v>8797</v>
      </c>
    </row>
    <row r="5402" spans="1:11">
      <c r="A5402">
        <v>5400</v>
      </c>
      <c r="B5402">
        <v>9.5500000000000003E+156</v>
      </c>
      <c r="D5402" s="18">
        <v>5400</v>
      </c>
      <c r="E5402" s="18" cm="1">
        <f t="array" aca="1" ref="E5402" ca="1">INDIRECT("b"&amp;F5402+2)</f>
        <v>0</v>
      </c>
      <c r="F5402" s="18">
        <f t="shared" si="1137"/>
        <v>7598</v>
      </c>
      <c r="G5402" s="18"/>
      <c r="H5402" s="18"/>
      <c r="I5402" s="19">
        <v>5400</v>
      </c>
      <c r="J5402" s="19" cm="1">
        <f t="array" aca="1" ref="J5402" ca="1">INDIRECT("b"&amp;K5402+2)</f>
        <v>0</v>
      </c>
      <c r="K5402" s="19">
        <f t="shared" si="1133"/>
        <v>8798</v>
      </c>
    </row>
    <row r="5403" spans="1:11">
      <c r="A5403">
        <v>5401</v>
      </c>
      <c r="B5403">
        <v>9.7750000000000008E+156</v>
      </c>
      <c r="D5403" s="18">
        <v>5401</v>
      </c>
      <c r="E5403" s="18" cm="1">
        <f t="array" aca="1" ref="E5403" ca="1">INDIRECT("b"&amp;F5403+2)</f>
        <v>0</v>
      </c>
      <c r="F5403" s="18">
        <f t="shared" si="1137"/>
        <v>7600</v>
      </c>
      <c r="G5403" s="18"/>
      <c r="H5403" s="18"/>
      <c r="I5403" s="19">
        <v>5401</v>
      </c>
      <c r="J5403" s="19" cm="1">
        <f t="array" aca="1" ref="J5403" ca="1">INDIRECT("b"&amp;K5403+2)</f>
        <v>0</v>
      </c>
      <c r="K5403" s="19">
        <f t="shared" si="1133"/>
        <v>8800</v>
      </c>
    </row>
    <row r="5404" spans="1:11">
      <c r="A5404">
        <v>5402</v>
      </c>
      <c r="B5404">
        <v>9.9999999999999998E+156</v>
      </c>
      <c r="D5404" s="18">
        <v>5402</v>
      </c>
      <c r="E5404" s="18" cm="1">
        <f t="array" aca="1" ref="E5404" ca="1">INDIRECT("b"&amp;F5404+2)</f>
        <v>0</v>
      </c>
      <c r="F5404" s="18">
        <f t="shared" si="1137"/>
        <v>7601</v>
      </c>
      <c r="G5404" s="18" t="e">
        <f t="shared" ref="G5404" ca="1" si="1139">E5404/E5399</f>
        <v>#DIV/0!</v>
      </c>
      <c r="H5404" s="18"/>
      <c r="I5404" s="19">
        <v>5402</v>
      </c>
      <c r="J5404" s="19" cm="1">
        <f t="array" aca="1" ref="J5404" ca="1">INDIRECT("b"&amp;K5404+2)</f>
        <v>0</v>
      </c>
      <c r="K5404" s="19">
        <f t="shared" si="1133"/>
        <v>8801</v>
      </c>
    </row>
    <row r="5405" spans="1:11">
      <c r="A5405">
        <v>5403</v>
      </c>
      <c r="B5405">
        <v>1.225E+157</v>
      </c>
      <c r="D5405" s="18">
        <v>5403</v>
      </c>
      <c r="E5405" s="18" cm="1">
        <f t="array" aca="1" ref="E5405" ca="1">INDIRECT("b"&amp;F5405+2)</f>
        <v>0</v>
      </c>
      <c r="F5405" s="18">
        <f t="shared" si="1137"/>
        <v>7602</v>
      </c>
      <c r="G5405" s="18"/>
      <c r="H5405" s="18"/>
      <c r="I5405" s="19">
        <v>5403</v>
      </c>
      <c r="J5405" s="19" cm="1">
        <f t="array" aca="1" ref="J5405" ca="1">INDIRECT("b"&amp;K5405+2)</f>
        <v>0</v>
      </c>
      <c r="K5405" s="19">
        <f t="shared" si="1133"/>
        <v>8802</v>
      </c>
    </row>
    <row r="5406" spans="1:11">
      <c r="A5406">
        <v>5404</v>
      </c>
      <c r="B5406">
        <v>1.4499999999999999E+157</v>
      </c>
      <c r="D5406" s="18">
        <v>5404</v>
      </c>
      <c r="E5406" s="18" cm="1">
        <f t="array" aca="1" ref="E5406" ca="1">INDIRECT("b"&amp;F5406+2)</f>
        <v>0</v>
      </c>
      <c r="F5406" s="18">
        <f t="shared" si="1137"/>
        <v>7604</v>
      </c>
      <c r="G5406" s="18"/>
      <c r="H5406" s="18"/>
      <c r="I5406" s="19">
        <v>5404</v>
      </c>
      <c r="J5406" s="19" cm="1">
        <f t="array" aca="1" ref="J5406" ca="1">INDIRECT("b"&amp;K5406+2)</f>
        <v>0</v>
      </c>
      <c r="K5406" s="19">
        <f t="shared" si="1133"/>
        <v>8804</v>
      </c>
    </row>
    <row r="5407" spans="1:11">
      <c r="A5407">
        <v>5405</v>
      </c>
      <c r="B5407">
        <v>1.6750000000000001E+157</v>
      </c>
      <c r="D5407" s="18">
        <v>5405</v>
      </c>
      <c r="E5407" s="18" cm="1">
        <f t="array" aca="1" ref="E5407" ca="1">INDIRECT("b"&amp;F5407+2)</f>
        <v>0</v>
      </c>
      <c r="F5407" s="18">
        <f t="shared" si="1137"/>
        <v>7605</v>
      </c>
      <c r="G5407" s="18"/>
      <c r="H5407" s="18"/>
      <c r="I5407" s="19">
        <v>5405</v>
      </c>
      <c r="J5407" s="19" cm="1">
        <f t="array" aca="1" ref="J5407" ca="1">INDIRECT("b"&amp;K5407+2)</f>
        <v>0</v>
      </c>
      <c r="K5407" s="19">
        <f t="shared" si="1133"/>
        <v>8805</v>
      </c>
    </row>
    <row r="5408" spans="1:11">
      <c r="A5408">
        <v>5406</v>
      </c>
      <c r="B5408">
        <v>1.9E+157</v>
      </c>
      <c r="D5408" s="18">
        <v>5406</v>
      </c>
      <c r="E5408" s="18" cm="1">
        <f t="array" aca="1" ref="E5408" ca="1">INDIRECT("b"&amp;F5408+2)</f>
        <v>0</v>
      </c>
      <c r="F5408" s="18">
        <f t="shared" si="1137"/>
        <v>7606</v>
      </c>
      <c r="G5408" s="18"/>
      <c r="H5408" s="18"/>
      <c r="I5408" s="19">
        <v>5406</v>
      </c>
      <c r="J5408" s="19" cm="1">
        <f t="array" aca="1" ref="J5408" ca="1">INDIRECT("b"&amp;K5408+2)</f>
        <v>0</v>
      </c>
      <c r="K5408" s="19">
        <f t="shared" si="1133"/>
        <v>8806</v>
      </c>
    </row>
    <row r="5409" spans="1:11">
      <c r="A5409">
        <v>5407</v>
      </c>
      <c r="B5409">
        <v>2.1250000000000003E+157</v>
      </c>
      <c r="D5409" s="18">
        <v>5407</v>
      </c>
      <c r="E5409" s="18" cm="1">
        <f t="array" aca="1" ref="E5409" ca="1">INDIRECT("b"&amp;F5409+2)</f>
        <v>0</v>
      </c>
      <c r="F5409" s="18">
        <f t="shared" si="1137"/>
        <v>7608</v>
      </c>
      <c r="G5409" s="18" t="e">
        <f t="shared" ref="G5409" ca="1" si="1140">E5409/E5404</f>
        <v>#DIV/0!</v>
      </c>
      <c r="H5409" s="18"/>
      <c r="I5409" s="19">
        <v>5407</v>
      </c>
      <c r="J5409" s="19" cm="1">
        <f t="array" aca="1" ref="J5409" ca="1">INDIRECT("b"&amp;K5409+2)</f>
        <v>0</v>
      </c>
      <c r="K5409" s="19">
        <f t="shared" si="1133"/>
        <v>8808</v>
      </c>
    </row>
    <row r="5410" spans="1:11">
      <c r="A5410">
        <v>5408</v>
      </c>
      <c r="B5410">
        <v>2.3500000000000002E+157</v>
      </c>
      <c r="D5410" s="18">
        <v>5408</v>
      </c>
      <c r="E5410" s="18" cm="1">
        <f t="array" aca="1" ref="E5410" ca="1">INDIRECT("b"&amp;F5410+2)</f>
        <v>0</v>
      </c>
      <c r="F5410" s="18">
        <f t="shared" si="1137"/>
        <v>7609</v>
      </c>
      <c r="G5410" s="18"/>
      <c r="H5410" s="18"/>
      <c r="I5410" s="19">
        <v>5408</v>
      </c>
      <c r="J5410" s="19" cm="1">
        <f t="array" aca="1" ref="J5410" ca="1">INDIRECT("b"&amp;K5410+2)</f>
        <v>0</v>
      </c>
      <c r="K5410" s="19">
        <f t="shared" si="1133"/>
        <v>8809</v>
      </c>
    </row>
    <row r="5411" spans="1:11">
      <c r="A5411">
        <v>5409</v>
      </c>
      <c r="B5411">
        <v>2.5750000000000001E+157</v>
      </c>
      <c r="D5411" s="18">
        <v>5409</v>
      </c>
      <c r="E5411" s="18" cm="1">
        <f t="array" aca="1" ref="E5411" ca="1">INDIRECT("b"&amp;F5411+2)</f>
        <v>0</v>
      </c>
      <c r="F5411" s="18">
        <f t="shared" si="1137"/>
        <v>7610</v>
      </c>
      <c r="G5411" s="18"/>
      <c r="H5411" s="18"/>
      <c r="I5411" s="19">
        <v>5409</v>
      </c>
      <c r="J5411" s="19" cm="1">
        <f t="array" aca="1" ref="J5411" ca="1">INDIRECT("b"&amp;K5411+2)</f>
        <v>0</v>
      </c>
      <c r="K5411" s="19">
        <f t="shared" si="1133"/>
        <v>8810</v>
      </c>
    </row>
    <row r="5412" spans="1:11">
      <c r="A5412">
        <v>5410</v>
      </c>
      <c r="B5412">
        <v>2.8000000000000003E+157</v>
      </c>
      <c r="D5412" s="18">
        <v>5410</v>
      </c>
      <c r="E5412" s="18" cm="1">
        <f t="array" aca="1" ref="E5412" ca="1">INDIRECT("b"&amp;F5412+2)</f>
        <v>0</v>
      </c>
      <c r="F5412" s="18">
        <f t="shared" si="1137"/>
        <v>7612</v>
      </c>
      <c r="G5412" s="18"/>
      <c r="H5412" s="18"/>
      <c r="I5412" s="19">
        <v>5410</v>
      </c>
      <c r="J5412" s="19" cm="1">
        <f t="array" aca="1" ref="J5412" ca="1">INDIRECT("b"&amp;K5412+2)</f>
        <v>0</v>
      </c>
      <c r="K5412" s="19">
        <f t="shared" si="1133"/>
        <v>8812</v>
      </c>
    </row>
    <row r="5413" spans="1:11">
      <c r="A5413">
        <v>5411</v>
      </c>
      <c r="B5413">
        <v>3.0250000000000002E+157</v>
      </c>
      <c r="D5413" s="18">
        <v>5411</v>
      </c>
      <c r="E5413" s="18" cm="1">
        <f t="array" aca="1" ref="E5413" ca="1">INDIRECT("b"&amp;F5413+2)</f>
        <v>0</v>
      </c>
      <c r="F5413" s="18">
        <f t="shared" si="1137"/>
        <v>7613</v>
      </c>
      <c r="G5413" s="18"/>
      <c r="H5413" s="18"/>
      <c r="I5413" s="19">
        <v>5411</v>
      </c>
      <c r="J5413" s="19" cm="1">
        <f t="array" aca="1" ref="J5413" ca="1">INDIRECT("b"&amp;K5413+2)</f>
        <v>0</v>
      </c>
      <c r="K5413" s="19">
        <f t="shared" si="1133"/>
        <v>8813</v>
      </c>
    </row>
    <row r="5414" spans="1:11">
      <c r="A5414">
        <v>5412</v>
      </c>
      <c r="B5414">
        <v>3.2500000000000001E+157</v>
      </c>
      <c r="D5414" s="18">
        <v>5412</v>
      </c>
      <c r="E5414" s="18" cm="1">
        <f t="array" aca="1" ref="E5414" ca="1">INDIRECT("b"&amp;F5414+2)</f>
        <v>0</v>
      </c>
      <c r="F5414" s="18">
        <f t="shared" si="1137"/>
        <v>7614</v>
      </c>
      <c r="G5414" s="18" t="e">
        <f t="shared" ref="G5414" ca="1" si="1141">E5414/E5409</f>
        <v>#DIV/0!</v>
      </c>
      <c r="H5414" s="18"/>
      <c r="I5414" s="19">
        <v>5412</v>
      </c>
      <c r="J5414" s="19" cm="1">
        <f t="array" aca="1" ref="J5414" ca="1">INDIRECT("b"&amp;K5414+2)</f>
        <v>0</v>
      </c>
      <c r="K5414" s="19">
        <f t="shared" si="1133"/>
        <v>8814</v>
      </c>
    </row>
    <row r="5415" spans="1:11">
      <c r="A5415">
        <v>5413</v>
      </c>
      <c r="B5415">
        <v>3.475E+157</v>
      </c>
      <c r="D5415" s="18">
        <v>5413</v>
      </c>
      <c r="E5415" s="18" cm="1">
        <f t="array" aca="1" ref="E5415" ca="1">INDIRECT("b"&amp;F5415+2)</f>
        <v>0</v>
      </c>
      <c r="F5415" s="18">
        <f t="shared" si="1137"/>
        <v>7616</v>
      </c>
      <c r="G5415" s="18"/>
      <c r="H5415" s="18"/>
      <c r="I5415" s="19">
        <v>5413</v>
      </c>
      <c r="J5415" s="19" cm="1">
        <f t="array" aca="1" ref="J5415" ca="1">INDIRECT("b"&amp;K5415+2)</f>
        <v>0</v>
      </c>
      <c r="K5415" s="19">
        <f t="shared" si="1133"/>
        <v>8816</v>
      </c>
    </row>
    <row r="5416" spans="1:11">
      <c r="A5416">
        <v>5414</v>
      </c>
      <c r="B5416">
        <v>3.7000000000000005E+157</v>
      </c>
      <c r="D5416" s="18">
        <v>5414</v>
      </c>
      <c r="E5416" s="18" cm="1">
        <f t="array" aca="1" ref="E5416" ca="1">INDIRECT("b"&amp;F5416+2)</f>
        <v>0</v>
      </c>
      <c r="F5416" s="18">
        <f t="shared" si="1137"/>
        <v>7617</v>
      </c>
      <c r="G5416" s="18"/>
      <c r="H5416" s="18"/>
      <c r="I5416" s="19">
        <v>5414</v>
      </c>
      <c r="J5416" s="19" cm="1">
        <f t="array" aca="1" ref="J5416" ca="1">INDIRECT("b"&amp;K5416+2)</f>
        <v>0</v>
      </c>
      <c r="K5416" s="19">
        <f t="shared" si="1133"/>
        <v>8817</v>
      </c>
    </row>
    <row r="5417" spans="1:11">
      <c r="A5417">
        <v>5415</v>
      </c>
      <c r="B5417">
        <v>3.9250000000000004E+157</v>
      </c>
      <c r="D5417" s="18">
        <v>5415</v>
      </c>
      <c r="E5417" s="18" cm="1">
        <f t="array" aca="1" ref="E5417" ca="1">INDIRECT("b"&amp;F5417+2)</f>
        <v>0</v>
      </c>
      <c r="F5417" s="18">
        <f t="shared" si="1137"/>
        <v>7618</v>
      </c>
      <c r="G5417" s="18"/>
      <c r="H5417" s="18"/>
      <c r="I5417" s="19">
        <v>5415</v>
      </c>
      <c r="J5417" s="19" cm="1">
        <f t="array" aca="1" ref="J5417" ca="1">INDIRECT("b"&amp;K5417+2)</f>
        <v>0</v>
      </c>
      <c r="K5417" s="19">
        <f t="shared" si="1133"/>
        <v>8818</v>
      </c>
    </row>
    <row r="5418" spans="1:11">
      <c r="A5418">
        <v>5416</v>
      </c>
      <c r="B5418">
        <v>4.1500000000000003E+157</v>
      </c>
      <c r="D5418" s="18">
        <v>5416</v>
      </c>
      <c r="E5418" s="18" cm="1">
        <f t="array" aca="1" ref="E5418" ca="1">INDIRECT("b"&amp;F5418+2)</f>
        <v>0</v>
      </c>
      <c r="F5418" s="18">
        <f t="shared" si="1137"/>
        <v>7620</v>
      </c>
      <c r="G5418" s="18"/>
      <c r="H5418" s="18"/>
      <c r="I5418" s="19">
        <v>5416</v>
      </c>
      <c r="J5418" s="19" cm="1">
        <f t="array" aca="1" ref="J5418" ca="1">INDIRECT("b"&amp;K5418+2)</f>
        <v>0</v>
      </c>
      <c r="K5418" s="19">
        <f t="shared" si="1133"/>
        <v>8820</v>
      </c>
    </row>
    <row r="5419" spans="1:11">
      <c r="A5419">
        <v>5417</v>
      </c>
      <c r="B5419">
        <v>4.3750000000000002E+157</v>
      </c>
      <c r="D5419" s="18">
        <v>5417</v>
      </c>
      <c r="E5419" s="18" cm="1">
        <f t="array" aca="1" ref="E5419" ca="1">INDIRECT("b"&amp;F5419+2)</f>
        <v>0</v>
      </c>
      <c r="F5419" s="18">
        <f t="shared" si="1137"/>
        <v>7621</v>
      </c>
      <c r="G5419" s="18" t="e">
        <f t="shared" ref="G5419" ca="1" si="1142">E5419/E5414</f>
        <v>#DIV/0!</v>
      </c>
      <c r="H5419" s="18"/>
      <c r="I5419" s="19">
        <v>5417</v>
      </c>
      <c r="J5419" s="19" cm="1">
        <f t="array" aca="1" ref="J5419" ca="1">INDIRECT("b"&amp;K5419+2)</f>
        <v>0</v>
      </c>
      <c r="K5419" s="19">
        <f t="shared" si="1133"/>
        <v>8821</v>
      </c>
    </row>
    <row r="5420" spans="1:11">
      <c r="A5420">
        <v>5418</v>
      </c>
      <c r="B5420">
        <v>4.6000000000000001E+157</v>
      </c>
      <c r="D5420" s="18">
        <v>5418</v>
      </c>
      <c r="E5420" s="18" cm="1">
        <f t="array" aca="1" ref="E5420" ca="1">INDIRECT("b"&amp;F5420+2)</f>
        <v>0</v>
      </c>
      <c r="F5420" s="18">
        <f t="shared" si="1137"/>
        <v>7622</v>
      </c>
      <c r="G5420" s="18"/>
      <c r="H5420" s="18"/>
      <c r="I5420" s="19">
        <v>5418</v>
      </c>
      <c r="J5420" s="19" cm="1">
        <f t="array" aca="1" ref="J5420" ca="1">INDIRECT("b"&amp;K5420+2)</f>
        <v>0</v>
      </c>
      <c r="K5420" s="19">
        <f t="shared" si="1133"/>
        <v>8822</v>
      </c>
    </row>
    <row r="5421" spans="1:11">
      <c r="A5421">
        <v>5419</v>
      </c>
      <c r="B5421">
        <v>4.825E+157</v>
      </c>
      <c r="D5421" s="18">
        <v>5419</v>
      </c>
      <c r="E5421" s="18" cm="1">
        <f t="array" aca="1" ref="E5421" ca="1">INDIRECT("b"&amp;F5421+2)</f>
        <v>0</v>
      </c>
      <c r="F5421" s="18">
        <f t="shared" si="1137"/>
        <v>7624</v>
      </c>
      <c r="G5421" s="18"/>
      <c r="H5421" s="18"/>
      <c r="I5421" s="19">
        <v>5419</v>
      </c>
      <c r="J5421" s="19" cm="1">
        <f t="array" aca="1" ref="J5421" ca="1">INDIRECT("b"&amp;K5421+2)</f>
        <v>0</v>
      </c>
      <c r="K5421" s="19">
        <f t="shared" si="1133"/>
        <v>8824</v>
      </c>
    </row>
    <row r="5422" spans="1:11">
      <c r="A5422">
        <v>5420</v>
      </c>
      <c r="B5422">
        <v>5.0500000000000005E+157</v>
      </c>
      <c r="D5422" s="18">
        <v>5420</v>
      </c>
      <c r="E5422" s="18" cm="1">
        <f t="array" aca="1" ref="E5422" ca="1">INDIRECT("b"&amp;F5422+2)</f>
        <v>0</v>
      </c>
      <c r="F5422" s="18">
        <f t="shared" si="1137"/>
        <v>7625</v>
      </c>
      <c r="G5422" s="18"/>
      <c r="H5422" s="18"/>
      <c r="I5422" s="19">
        <v>5420</v>
      </c>
      <c r="J5422" s="19" cm="1">
        <f t="array" aca="1" ref="J5422" ca="1">INDIRECT("b"&amp;K5422+2)</f>
        <v>0</v>
      </c>
      <c r="K5422" s="19">
        <f t="shared" si="1133"/>
        <v>8825</v>
      </c>
    </row>
    <row r="5423" spans="1:11">
      <c r="A5423">
        <v>5421</v>
      </c>
      <c r="B5423">
        <v>5.2750000000000004E+157</v>
      </c>
      <c r="D5423" s="18">
        <v>5421</v>
      </c>
      <c r="E5423" s="18" cm="1">
        <f t="array" aca="1" ref="E5423" ca="1">INDIRECT("b"&amp;F5423+2)</f>
        <v>0</v>
      </c>
      <c r="F5423" s="18">
        <f t="shared" si="1137"/>
        <v>7626</v>
      </c>
      <c r="G5423" s="18"/>
      <c r="H5423" s="18"/>
      <c r="I5423" s="19">
        <v>5421</v>
      </c>
      <c r="J5423" s="19" cm="1">
        <f t="array" aca="1" ref="J5423" ca="1">INDIRECT("b"&amp;K5423+2)</f>
        <v>0</v>
      </c>
      <c r="K5423" s="19">
        <f t="shared" si="1133"/>
        <v>8826</v>
      </c>
    </row>
    <row r="5424" spans="1:11">
      <c r="A5424">
        <v>5422</v>
      </c>
      <c r="B5424">
        <v>5.5000000000000003E+157</v>
      </c>
      <c r="D5424" s="18">
        <v>5422</v>
      </c>
      <c r="E5424" s="18" cm="1">
        <f t="array" aca="1" ref="E5424" ca="1">INDIRECT("b"&amp;F5424+2)</f>
        <v>0</v>
      </c>
      <c r="F5424" s="18">
        <f t="shared" si="1137"/>
        <v>7628</v>
      </c>
      <c r="G5424" s="18" t="e">
        <f t="shared" ref="G5424" ca="1" si="1143">E5424/E5419</f>
        <v>#DIV/0!</v>
      </c>
      <c r="H5424" s="18"/>
      <c r="I5424" s="19">
        <v>5422</v>
      </c>
      <c r="J5424" s="19" cm="1">
        <f t="array" aca="1" ref="J5424" ca="1">INDIRECT("b"&amp;K5424+2)</f>
        <v>0</v>
      </c>
      <c r="K5424" s="19">
        <f t="shared" si="1133"/>
        <v>8828</v>
      </c>
    </row>
    <row r="5425" spans="1:11">
      <c r="A5425">
        <v>5423</v>
      </c>
      <c r="B5425">
        <v>5.7250000000000008E+157</v>
      </c>
      <c r="D5425" s="18">
        <v>5423</v>
      </c>
      <c r="E5425" s="18" cm="1">
        <f t="array" aca="1" ref="E5425" ca="1">INDIRECT("b"&amp;F5425+2)</f>
        <v>0</v>
      </c>
      <c r="F5425" s="18">
        <f t="shared" si="1137"/>
        <v>7629</v>
      </c>
      <c r="G5425" s="18"/>
      <c r="H5425" s="18"/>
      <c r="I5425" s="19">
        <v>5423</v>
      </c>
      <c r="J5425" s="19" cm="1">
        <f t="array" aca="1" ref="J5425" ca="1">INDIRECT("b"&amp;K5425+2)</f>
        <v>0</v>
      </c>
      <c r="K5425" s="19">
        <f t="shared" si="1133"/>
        <v>8829</v>
      </c>
    </row>
    <row r="5426" spans="1:11">
      <c r="A5426">
        <v>5424</v>
      </c>
      <c r="B5426">
        <v>5.9500000000000001E+157</v>
      </c>
      <c r="D5426" s="18">
        <v>5424</v>
      </c>
      <c r="E5426" s="18" cm="1">
        <f t="array" aca="1" ref="E5426" ca="1">INDIRECT("b"&amp;F5426+2)</f>
        <v>0</v>
      </c>
      <c r="F5426" s="18">
        <f t="shared" si="1137"/>
        <v>7630</v>
      </c>
      <c r="G5426" s="18"/>
      <c r="H5426" s="18"/>
      <c r="I5426" s="19">
        <v>5424</v>
      </c>
      <c r="J5426" s="19" cm="1">
        <f t="array" aca="1" ref="J5426" ca="1">INDIRECT("b"&amp;K5426+2)</f>
        <v>0</v>
      </c>
      <c r="K5426" s="19">
        <f t="shared" si="1133"/>
        <v>8830</v>
      </c>
    </row>
    <row r="5427" spans="1:11">
      <c r="A5427">
        <v>5425</v>
      </c>
      <c r="B5427">
        <v>6.1750000000000006E+157</v>
      </c>
      <c r="D5427" s="18">
        <v>5425</v>
      </c>
      <c r="E5427" s="18" cm="1">
        <f t="array" aca="1" ref="E5427" ca="1">INDIRECT("b"&amp;F5427+2)</f>
        <v>0</v>
      </c>
      <c r="F5427" s="18">
        <f t="shared" si="1137"/>
        <v>7632</v>
      </c>
      <c r="G5427" s="18"/>
      <c r="H5427" s="18"/>
      <c r="I5427" s="19">
        <v>5425</v>
      </c>
      <c r="J5427" s="19" cm="1">
        <f t="array" aca="1" ref="J5427" ca="1">INDIRECT("b"&amp;K5427+2)</f>
        <v>0</v>
      </c>
      <c r="K5427" s="19">
        <f t="shared" si="1133"/>
        <v>8832</v>
      </c>
    </row>
    <row r="5428" spans="1:11">
      <c r="A5428">
        <v>5426</v>
      </c>
      <c r="B5428">
        <v>6.3999999999999999E+157</v>
      </c>
      <c r="D5428" s="18">
        <v>5426</v>
      </c>
      <c r="E5428" s="18" cm="1">
        <f t="array" aca="1" ref="E5428" ca="1">INDIRECT("b"&amp;F5428+2)</f>
        <v>0</v>
      </c>
      <c r="F5428" s="18">
        <f t="shared" si="1137"/>
        <v>7633</v>
      </c>
      <c r="G5428" s="18"/>
      <c r="H5428" s="18"/>
      <c r="I5428" s="19">
        <v>5426</v>
      </c>
      <c r="J5428" s="19" cm="1">
        <f t="array" aca="1" ref="J5428" ca="1">INDIRECT("b"&amp;K5428+2)</f>
        <v>0</v>
      </c>
      <c r="K5428" s="19">
        <f t="shared" si="1133"/>
        <v>8833</v>
      </c>
    </row>
    <row r="5429" spans="1:11">
      <c r="A5429">
        <v>5427</v>
      </c>
      <c r="B5429">
        <v>6.6250000000000004E+157</v>
      </c>
      <c r="D5429" s="18">
        <v>5427</v>
      </c>
      <c r="E5429" s="18" cm="1">
        <f t="array" aca="1" ref="E5429" ca="1">INDIRECT("b"&amp;F5429+2)</f>
        <v>0</v>
      </c>
      <c r="F5429" s="18">
        <f t="shared" si="1137"/>
        <v>7634</v>
      </c>
      <c r="G5429" s="18" t="e">
        <f t="shared" ref="G5429" ca="1" si="1144">E5429/E5424</f>
        <v>#DIV/0!</v>
      </c>
      <c r="H5429" s="18"/>
      <c r="I5429" s="19">
        <v>5427</v>
      </c>
      <c r="J5429" s="19" cm="1">
        <f t="array" aca="1" ref="J5429" ca="1">INDIRECT("b"&amp;K5429+2)</f>
        <v>0</v>
      </c>
      <c r="K5429" s="19">
        <f t="shared" si="1133"/>
        <v>8834</v>
      </c>
    </row>
    <row r="5430" spans="1:11">
      <c r="A5430">
        <v>5428</v>
      </c>
      <c r="B5430">
        <v>6.8500000000000009E+157</v>
      </c>
      <c r="D5430" s="18">
        <v>5428</v>
      </c>
      <c r="E5430" s="18" cm="1">
        <f t="array" aca="1" ref="E5430" ca="1">INDIRECT("b"&amp;F5430+2)</f>
        <v>0</v>
      </c>
      <c r="F5430" s="18">
        <f t="shared" si="1137"/>
        <v>7636</v>
      </c>
      <c r="G5430" s="18"/>
      <c r="H5430" s="18"/>
      <c r="I5430" s="19">
        <v>5428</v>
      </c>
      <c r="J5430" s="19" cm="1">
        <f t="array" aca="1" ref="J5430" ca="1">INDIRECT("b"&amp;K5430+2)</f>
        <v>0</v>
      </c>
      <c r="K5430" s="19">
        <f t="shared" si="1133"/>
        <v>8836</v>
      </c>
    </row>
    <row r="5431" spans="1:11">
      <c r="A5431">
        <v>5429</v>
      </c>
      <c r="B5431">
        <v>7.0750000000000002E+157</v>
      </c>
      <c r="D5431" s="18">
        <v>5429</v>
      </c>
      <c r="E5431" s="18" cm="1">
        <f t="array" aca="1" ref="E5431" ca="1">INDIRECT("b"&amp;F5431+2)</f>
        <v>0</v>
      </c>
      <c r="F5431" s="18">
        <f t="shared" si="1137"/>
        <v>7637</v>
      </c>
      <c r="G5431" s="18"/>
      <c r="H5431" s="18"/>
      <c r="I5431" s="19">
        <v>5429</v>
      </c>
      <c r="J5431" s="19" cm="1">
        <f t="array" aca="1" ref="J5431" ca="1">INDIRECT("b"&amp;K5431+2)</f>
        <v>0</v>
      </c>
      <c r="K5431" s="19">
        <f t="shared" si="1133"/>
        <v>8837</v>
      </c>
    </row>
    <row r="5432" spans="1:11">
      <c r="A5432">
        <v>5430</v>
      </c>
      <c r="B5432">
        <v>7.3000000000000007E+157</v>
      </c>
      <c r="D5432" s="18">
        <v>5430</v>
      </c>
      <c r="E5432" s="18" cm="1">
        <f t="array" aca="1" ref="E5432" ca="1">INDIRECT("b"&amp;F5432+2)</f>
        <v>0</v>
      </c>
      <c r="F5432" s="18">
        <f t="shared" si="1137"/>
        <v>7638</v>
      </c>
      <c r="G5432" s="18"/>
      <c r="H5432" s="18"/>
      <c r="I5432" s="19">
        <v>5430</v>
      </c>
      <c r="J5432" s="19" cm="1">
        <f t="array" aca="1" ref="J5432" ca="1">INDIRECT("b"&amp;K5432+2)</f>
        <v>0</v>
      </c>
      <c r="K5432" s="19">
        <f t="shared" si="1133"/>
        <v>8838</v>
      </c>
    </row>
    <row r="5433" spans="1:11">
      <c r="A5433">
        <v>5431</v>
      </c>
      <c r="B5433">
        <v>7.525E+157</v>
      </c>
      <c r="D5433" s="18">
        <v>5431</v>
      </c>
      <c r="E5433" s="18" cm="1">
        <f t="array" aca="1" ref="E5433" ca="1">INDIRECT("b"&amp;F5433+2)</f>
        <v>0</v>
      </c>
      <c r="F5433" s="18">
        <f t="shared" si="1137"/>
        <v>7640</v>
      </c>
      <c r="G5433" s="18"/>
      <c r="H5433" s="18"/>
      <c r="I5433" s="19">
        <v>5431</v>
      </c>
      <c r="J5433" s="19" cm="1">
        <f t="array" aca="1" ref="J5433" ca="1">INDIRECT("b"&amp;K5433+2)</f>
        <v>0</v>
      </c>
      <c r="K5433" s="19">
        <f t="shared" si="1133"/>
        <v>8840</v>
      </c>
    </row>
    <row r="5434" spans="1:11">
      <c r="A5434">
        <v>5432</v>
      </c>
      <c r="B5434">
        <v>7.7500000000000005E+157</v>
      </c>
      <c r="D5434" s="18">
        <v>5432</v>
      </c>
      <c r="E5434" s="18" cm="1">
        <f t="array" aca="1" ref="E5434" ca="1">INDIRECT("b"&amp;F5434+2)</f>
        <v>0</v>
      </c>
      <c r="F5434" s="18">
        <f t="shared" si="1137"/>
        <v>7641</v>
      </c>
      <c r="G5434" s="18" t="e">
        <f t="shared" ref="G5434" ca="1" si="1145">E5434/E5429</f>
        <v>#DIV/0!</v>
      </c>
      <c r="H5434" s="18"/>
      <c r="I5434" s="19">
        <v>5432</v>
      </c>
      <c r="J5434" s="19" cm="1">
        <f t="array" aca="1" ref="J5434" ca="1">INDIRECT("b"&amp;K5434+2)</f>
        <v>0</v>
      </c>
      <c r="K5434" s="19">
        <f t="shared" si="1133"/>
        <v>8841</v>
      </c>
    </row>
    <row r="5435" spans="1:11">
      <c r="A5435">
        <v>5433</v>
      </c>
      <c r="B5435">
        <v>7.9749999999999998E+157</v>
      </c>
      <c r="D5435" s="18">
        <v>5433</v>
      </c>
      <c r="E5435" s="18" cm="1">
        <f t="array" aca="1" ref="E5435" ca="1">INDIRECT("b"&amp;F5435+2)</f>
        <v>0</v>
      </c>
      <c r="F5435" s="18">
        <f t="shared" si="1137"/>
        <v>7642</v>
      </c>
      <c r="G5435" s="18"/>
      <c r="H5435" s="18"/>
      <c r="I5435" s="19">
        <v>5433</v>
      </c>
      <c r="J5435" s="19" cm="1">
        <f t="array" aca="1" ref="J5435" ca="1">INDIRECT("b"&amp;K5435+2)</f>
        <v>0</v>
      </c>
      <c r="K5435" s="19">
        <f t="shared" si="1133"/>
        <v>8842</v>
      </c>
    </row>
    <row r="5436" spans="1:11">
      <c r="A5436">
        <v>5434</v>
      </c>
      <c r="B5436">
        <v>8.2000000000000003E+157</v>
      </c>
      <c r="D5436" s="18">
        <v>5434</v>
      </c>
      <c r="E5436" s="18" cm="1">
        <f t="array" aca="1" ref="E5436" ca="1">INDIRECT("b"&amp;F5436+2)</f>
        <v>0</v>
      </c>
      <c r="F5436" s="18">
        <f t="shared" si="1137"/>
        <v>7644</v>
      </c>
      <c r="G5436" s="18"/>
      <c r="H5436" s="18"/>
      <c r="I5436" s="19">
        <v>5434</v>
      </c>
      <c r="J5436" s="19" cm="1">
        <f t="array" aca="1" ref="J5436" ca="1">INDIRECT("b"&amp;K5436+2)</f>
        <v>0</v>
      </c>
      <c r="K5436" s="19">
        <f t="shared" si="1133"/>
        <v>8844</v>
      </c>
    </row>
    <row r="5437" spans="1:11">
      <c r="A5437">
        <v>5435</v>
      </c>
      <c r="B5437">
        <v>8.4250000000000008E+157</v>
      </c>
      <c r="D5437" s="18">
        <v>5435</v>
      </c>
      <c r="E5437" s="18" cm="1">
        <f t="array" aca="1" ref="E5437" ca="1">INDIRECT("b"&amp;F5437+2)</f>
        <v>0</v>
      </c>
      <c r="F5437" s="18">
        <f t="shared" si="1137"/>
        <v>7645</v>
      </c>
      <c r="G5437" s="18"/>
      <c r="H5437" s="18"/>
      <c r="I5437" s="19">
        <v>5435</v>
      </c>
      <c r="J5437" s="19" cm="1">
        <f t="array" aca="1" ref="J5437" ca="1">INDIRECT("b"&amp;K5437+2)</f>
        <v>0</v>
      </c>
      <c r="K5437" s="19">
        <f t="shared" si="1133"/>
        <v>8845</v>
      </c>
    </row>
    <row r="5438" spans="1:11">
      <c r="A5438">
        <v>5436</v>
      </c>
      <c r="B5438">
        <v>8.6500000000000001E+157</v>
      </c>
      <c r="D5438" s="18">
        <v>5436</v>
      </c>
      <c r="E5438" s="18" cm="1">
        <f t="array" aca="1" ref="E5438" ca="1">INDIRECT("b"&amp;F5438+2)</f>
        <v>0</v>
      </c>
      <c r="F5438" s="18">
        <f t="shared" si="1137"/>
        <v>7646</v>
      </c>
      <c r="G5438" s="18"/>
      <c r="H5438" s="18"/>
      <c r="I5438" s="19">
        <v>5436</v>
      </c>
      <c r="J5438" s="19" cm="1">
        <f t="array" aca="1" ref="J5438" ca="1">INDIRECT("b"&amp;K5438+2)</f>
        <v>0</v>
      </c>
      <c r="K5438" s="19">
        <f t="shared" si="1133"/>
        <v>8846</v>
      </c>
    </row>
    <row r="5439" spans="1:11">
      <c r="A5439">
        <v>5437</v>
      </c>
      <c r="B5439">
        <v>8.8750000000000006E+157</v>
      </c>
      <c r="D5439" s="18">
        <v>5437</v>
      </c>
      <c r="E5439" s="18" cm="1">
        <f t="array" aca="1" ref="E5439" ca="1">INDIRECT("b"&amp;F5439+2)</f>
        <v>0</v>
      </c>
      <c r="F5439" s="18">
        <f t="shared" si="1137"/>
        <v>7648</v>
      </c>
      <c r="G5439" s="18" t="e">
        <f t="shared" ref="G5439" ca="1" si="1146">E5439/E5434</f>
        <v>#DIV/0!</v>
      </c>
      <c r="H5439" s="18"/>
      <c r="I5439" s="19">
        <v>5437</v>
      </c>
      <c r="J5439" s="19" cm="1">
        <f t="array" aca="1" ref="J5439" ca="1">INDIRECT("b"&amp;K5439+2)</f>
        <v>0</v>
      </c>
      <c r="K5439" s="19">
        <f t="shared" si="1133"/>
        <v>8848</v>
      </c>
    </row>
    <row r="5440" spans="1:11">
      <c r="A5440">
        <v>5438</v>
      </c>
      <c r="B5440">
        <v>9.0999999999999999E+157</v>
      </c>
      <c r="D5440" s="18">
        <v>5438</v>
      </c>
      <c r="E5440" s="18" cm="1">
        <f t="array" aca="1" ref="E5440" ca="1">INDIRECT("b"&amp;F5440+2)</f>
        <v>0</v>
      </c>
      <c r="F5440" s="18">
        <f t="shared" si="1137"/>
        <v>7649</v>
      </c>
      <c r="G5440" s="18"/>
      <c r="H5440" s="18"/>
      <c r="I5440" s="19">
        <v>5438</v>
      </c>
      <c r="J5440" s="19" cm="1">
        <f t="array" aca="1" ref="J5440" ca="1">INDIRECT("b"&amp;K5440+2)</f>
        <v>0</v>
      </c>
      <c r="K5440" s="19">
        <f t="shared" si="1133"/>
        <v>8849</v>
      </c>
    </row>
    <row r="5441" spans="1:11">
      <c r="A5441">
        <v>5439</v>
      </c>
      <c r="B5441">
        <v>9.3250000000000004E+157</v>
      </c>
      <c r="D5441" s="18">
        <v>5439</v>
      </c>
      <c r="E5441" s="18" cm="1">
        <f t="array" aca="1" ref="E5441" ca="1">INDIRECT("b"&amp;F5441+2)</f>
        <v>0</v>
      </c>
      <c r="F5441" s="18">
        <f t="shared" si="1137"/>
        <v>7650</v>
      </c>
      <c r="G5441" s="18"/>
      <c r="H5441" s="18"/>
      <c r="I5441" s="19">
        <v>5439</v>
      </c>
      <c r="J5441" s="19" cm="1">
        <f t="array" aca="1" ref="J5441" ca="1">INDIRECT("b"&amp;K5441+2)</f>
        <v>0</v>
      </c>
      <c r="K5441" s="19">
        <f t="shared" si="1133"/>
        <v>8850</v>
      </c>
    </row>
    <row r="5442" spans="1:11">
      <c r="A5442">
        <v>5440</v>
      </c>
      <c r="B5442">
        <v>9.5500000000000009E+157</v>
      </c>
      <c r="D5442" s="18">
        <v>5440</v>
      </c>
      <c r="E5442" s="18" cm="1">
        <f t="array" aca="1" ref="E5442" ca="1">INDIRECT("b"&amp;F5442+2)</f>
        <v>0</v>
      </c>
      <c r="F5442" s="18">
        <f t="shared" si="1137"/>
        <v>7652</v>
      </c>
      <c r="G5442" s="18"/>
      <c r="H5442" s="18"/>
      <c r="I5442" s="19">
        <v>5440</v>
      </c>
      <c r="J5442" s="19" cm="1">
        <f t="array" aca="1" ref="J5442" ca="1">INDIRECT("b"&amp;K5442+2)</f>
        <v>0</v>
      </c>
      <c r="K5442" s="19">
        <f t="shared" si="1133"/>
        <v>8852</v>
      </c>
    </row>
    <row r="5443" spans="1:11">
      <c r="A5443">
        <v>5441</v>
      </c>
      <c r="B5443">
        <v>9.7750000000000002E+157</v>
      </c>
      <c r="D5443" s="18">
        <v>5441</v>
      </c>
      <c r="E5443" s="18" cm="1">
        <f t="array" aca="1" ref="E5443" ca="1">INDIRECT("b"&amp;F5443+2)</f>
        <v>0</v>
      </c>
      <c r="F5443" s="18">
        <f t="shared" si="1137"/>
        <v>7653</v>
      </c>
      <c r="G5443" s="18"/>
      <c r="H5443" s="18"/>
      <c r="I5443" s="19">
        <v>5441</v>
      </c>
      <c r="J5443" s="19" cm="1">
        <f t="array" aca="1" ref="J5443" ca="1">INDIRECT("b"&amp;K5443+2)</f>
        <v>0</v>
      </c>
      <c r="K5443" s="19">
        <f t="shared" si="1133"/>
        <v>8853</v>
      </c>
    </row>
    <row r="5444" spans="1:11">
      <c r="A5444">
        <v>5442</v>
      </c>
      <c r="B5444">
        <v>9.9999999999999995E+157</v>
      </c>
      <c r="D5444" s="18">
        <v>5442</v>
      </c>
      <c r="E5444" s="18" cm="1">
        <f t="array" aca="1" ref="E5444" ca="1">INDIRECT("b"&amp;F5444+2)</f>
        <v>0</v>
      </c>
      <c r="F5444" s="18">
        <f t="shared" si="1137"/>
        <v>7654</v>
      </c>
      <c r="G5444" s="18" t="e">
        <f t="shared" ref="G5444" ca="1" si="1147">E5444/E5439</f>
        <v>#DIV/0!</v>
      </c>
      <c r="H5444" s="18"/>
      <c r="I5444" s="19">
        <v>5442</v>
      </c>
      <c r="J5444" s="19" cm="1">
        <f t="array" aca="1" ref="J5444" ca="1">INDIRECT("b"&amp;K5444+2)</f>
        <v>0</v>
      </c>
      <c r="K5444" s="19">
        <f t="shared" ref="K5444:K5507" si="1148">INT((A5444-1)*40/30+900*40/30)+400</f>
        <v>8854</v>
      </c>
    </row>
    <row r="5445" spans="1:11">
      <c r="A5445">
        <v>5443</v>
      </c>
      <c r="B5445">
        <v>1.2250000000000001E+158</v>
      </c>
      <c r="D5445" s="18">
        <v>5443</v>
      </c>
      <c r="E5445" s="18" cm="1">
        <f t="array" aca="1" ref="E5445" ca="1">INDIRECT("b"&amp;F5445+2)</f>
        <v>0</v>
      </c>
      <c r="F5445" s="18">
        <f t="shared" si="1137"/>
        <v>7656</v>
      </c>
      <c r="G5445" s="18"/>
      <c r="H5445" s="18"/>
      <c r="I5445" s="19">
        <v>5443</v>
      </c>
      <c r="J5445" s="19" cm="1">
        <f t="array" aca="1" ref="J5445" ca="1">INDIRECT("b"&amp;K5445+2)</f>
        <v>0</v>
      </c>
      <c r="K5445" s="19">
        <f t="shared" si="1148"/>
        <v>8856</v>
      </c>
    </row>
    <row r="5446" spans="1:11">
      <c r="A5446">
        <v>5444</v>
      </c>
      <c r="B5446">
        <v>1.4499999999999999E+158</v>
      </c>
      <c r="D5446" s="18">
        <v>5444</v>
      </c>
      <c r="E5446" s="18" cm="1">
        <f t="array" aca="1" ref="E5446" ca="1">INDIRECT("b"&amp;F5446+2)</f>
        <v>0</v>
      </c>
      <c r="F5446" s="18">
        <f t="shared" si="1137"/>
        <v>7657</v>
      </c>
      <c r="G5446" s="18"/>
      <c r="H5446" s="18"/>
      <c r="I5446" s="19">
        <v>5444</v>
      </c>
      <c r="J5446" s="19" cm="1">
        <f t="array" aca="1" ref="J5446" ca="1">INDIRECT("b"&amp;K5446+2)</f>
        <v>0</v>
      </c>
      <c r="K5446" s="19">
        <f t="shared" si="1148"/>
        <v>8857</v>
      </c>
    </row>
    <row r="5447" spans="1:11">
      <c r="A5447">
        <v>5445</v>
      </c>
      <c r="B5447">
        <v>1.6749999999999999E+158</v>
      </c>
      <c r="D5447" s="18">
        <v>5445</v>
      </c>
      <c r="E5447" s="18" cm="1">
        <f t="array" aca="1" ref="E5447" ca="1">INDIRECT("b"&amp;F5447+2)</f>
        <v>0</v>
      </c>
      <c r="F5447" s="18">
        <f t="shared" si="1137"/>
        <v>7658</v>
      </c>
      <c r="G5447" s="18"/>
      <c r="H5447" s="18"/>
      <c r="I5447" s="19">
        <v>5445</v>
      </c>
      <c r="J5447" s="19" cm="1">
        <f t="array" aca="1" ref="J5447" ca="1">INDIRECT("b"&amp;K5447+2)</f>
        <v>0</v>
      </c>
      <c r="K5447" s="19">
        <f t="shared" si="1148"/>
        <v>8858</v>
      </c>
    </row>
    <row r="5448" spans="1:11">
      <c r="A5448">
        <v>5446</v>
      </c>
      <c r="B5448">
        <v>1.8999999999999999E+158</v>
      </c>
      <c r="D5448" s="18">
        <v>5446</v>
      </c>
      <c r="E5448" s="18" cm="1">
        <f t="array" aca="1" ref="E5448" ca="1">INDIRECT("b"&amp;F5448+2)</f>
        <v>0</v>
      </c>
      <c r="F5448" s="18">
        <f t="shared" si="1137"/>
        <v>7660</v>
      </c>
      <c r="G5448" s="18"/>
      <c r="H5448" s="18"/>
      <c r="I5448" s="19">
        <v>5446</v>
      </c>
      <c r="J5448" s="19" cm="1">
        <f t="array" aca="1" ref="J5448" ca="1">INDIRECT("b"&amp;K5448+2)</f>
        <v>0</v>
      </c>
      <c r="K5448" s="19">
        <f t="shared" si="1148"/>
        <v>8860</v>
      </c>
    </row>
    <row r="5449" spans="1:11">
      <c r="A5449">
        <v>5447</v>
      </c>
      <c r="B5449">
        <v>2.1249999999999999E+158</v>
      </c>
      <c r="D5449" s="18">
        <v>5447</v>
      </c>
      <c r="E5449" s="18" cm="1">
        <f t="array" aca="1" ref="E5449" ca="1">INDIRECT("b"&amp;F5449+2)</f>
        <v>0</v>
      </c>
      <c r="F5449" s="18">
        <f t="shared" si="1137"/>
        <v>7661</v>
      </c>
      <c r="G5449" s="18" t="e">
        <f t="shared" ref="G5449" ca="1" si="1149">E5449/E5444</f>
        <v>#DIV/0!</v>
      </c>
      <c r="H5449" s="18"/>
      <c r="I5449" s="19">
        <v>5447</v>
      </c>
      <c r="J5449" s="19" cm="1">
        <f t="array" aca="1" ref="J5449" ca="1">INDIRECT("b"&amp;K5449+2)</f>
        <v>0</v>
      </c>
      <c r="K5449" s="19">
        <f t="shared" si="1148"/>
        <v>8861</v>
      </c>
    </row>
    <row r="5450" spans="1:11">
      <c r="A5450">
        <v>5448</v>
      </c>
      <c r="B5450">
        <v>2.35E+158</v>
      </c>
      <c r="D5450" s="18">
        <v>5448</v>
      </c>
      <c r="E5450" s="18" cm="1">
        <f t="array" aca="1" ref="E5450" ca="1">INDIRECT("b"&amp;F5450+2)</f>
        <v>0</v>
      </c>
      <c r="F5450" s="18">
        <f t="shared" si="1137"/>
        <v>7662</v>
      </c>
      <c r="G5450" s="18"/>
      <c r="H5450" s="18"/>
      <c r="I5450" s="19">
        <v>5448</v>
      </c>
      <c r="J5450" s="19" cm="1">
        <f t="array" aca="1" ref="J5450" ca="1">INDIRECT("b"&amp;K5450+2)</f>
        <v>0</v>
      </c>
      <c r="K5450" s="19">
        <f t="shared" si="1148"/>
        <v>8862</v>
      </c>
    </row>
    <row r="5451" spans="1:11">
      <c r="A5451">
        <v>5449</v>
      </c>
      <c r="B5451">
        <v>2.5749999999999997E+158</v>
      </c>
      <c r="D5451" s="18">
        <v>5449</v>
      </c>
      <c r="E5451" s="18" cm="1">
        <f t="array" aca="1" ref="E5451" ca="1">INDIRECT("b"&amp;F5451+2)</f>
        <v>0</v>
      </c>
      <c r="F5451" s="18">
        <f t="shared" si="1137"/>
        <v>7664</v>
      </c>
      <c r="G5451" s="18"/>
      <c r="H5451" s="18"/>
      <c r="I5451" s="19">
        <v>5449</v>
      </c>
      <c r="J5451" s="19" cm="1">
        <f t="array" aca="1" ref="J5451" ca="1">INDIRECT("b"&amp;K5451+2)</f>
        <v>0</v>
      </c>
      <c r="K5451" s="19">
        <f t="shared" si="1148"/>
        <v>8864</v>
      </c>
    </row>
    <row r="5452" spans="1:11">
      <c r="A5452">
        <v>5450</v>
      </c>
      <c r="B5452">
        <v>2.8E+158</v>
      </c>
      <c r="D5452" s="18">
        <v>5450</v>
      </c>
      <c r="E5452" s="18" cm="1">
        <f t="array" aca="1" ref="E5452" ca="1">INDIRECT("b"&amp;F5452+2)</f>
        <v>0</v>
      </c>
      <c r="F5452" s="18">
        <f t="shared" si="1137"/>
        <v>7665</v>
      </c>
      <c r="G5452" s="18"/>
      <c r="H5452" s="18"/>
      <c r="I5452" s="19">
        <v>5450</v>
      </c>
      <c r="J5452" s="19" cm="1">
        <f t="array" aca="1" ref="J5452" ca="1">INDIRECT("b"&amp;K5452+2)</f>
        <v>0</v>
      </c>
      <c r="K5452" s="19">
        <f t="shared" si="1148"/>
        <v>8865</v>
      </c>
    </row>
    <row r="5453" spans="1:11">
      <c r="A5453">
        <v>5451</v>
      </c>
      <c r="B5453">
        <v>3.0249999999999998E+158</v>
      </c>
      <c r="D5453" s="18">
        <v>5451</v>
      </c>
      <c r="E5453" s="18" cm="1">
        <f t="array" aca="1" ref="E5453" ca="1">INDIRECT("b"&amp;F5453+2)</f>
        <v>0</v>
      </c>
      <c r="F5453" s="18">
        <f t="shared" si="1137"/>
        <v>7666</v>
      </c>
      <c r="G5453" s="18"/>
      <c r="H5453" s="18"/>
      <c r="I5453" s="19">
        <v>5451</v>
      </c>
      <c r="J5453" s="19" cm="1">
        <f t="array" aca="1" ref="J5453" ca="1">INDIRECT("b"&amp;K5453+2)</f>
        <v>0</v>
      </c>
      <c r="K5453" s="19">
        <f t="shared" si="1148"/>
        <v>8866</v>
      </c>
    </row>
    <row r="5454" spans="1:11">
      <c r="A5454">
        <v>5452</v>
      </c>
      <c r="B5454">
        <v>3.2500000000000001E+158</v>
      </c>
      <c r="D5454" s="18">
        <v>5452</v>
      </c>
      <c r="E5454" s="18" cm="1">
        <f t="array" aca="1" ref="E5454" ca="1">INDIRECT("b"&amp;F5454+2)</f>
        <v>0</v>
      </c>
      <c r="F5454" s="18">
        <f t="shared" si="1137"/>
        <v>7668</v>
      </c>
      <c r="G5454" s="18" t="e">
        <f t="shared" ref="G5454" ca="1" si="1150">E5454/E5449</f>
        <v>#DIV/0!</v>
      </c>
      <c r="H5454" s="18"/>
      <c r="I5454" s="19">
        <v>5452</v>
      </c>
      <c r="J5454" s="19" cm="1">
        <f t="array" aca="1" ref="J5454" ca="1">INDIRECT("b"&amp;K5454+2)</f>
        <v>0</v>
      </c>
      <c r="K5454" s="19">
        <f t="shared" si="1148"/>
        <v>8868</v>
      </c>
    </row>
    <row r="5455" spans="1:11">
      <c r="A5455">
        <v>5453</v>
      </c>
      <c r="B5455">
        <v>3.4749999999999998E+158</v>
      </c>
      <c r="D5455" s="18">
        <v>5453</v>
      </c>
      <c r="E5455" s="18" cm="1">
        <f t="array" aca="1" ref="E5455" ca="1">INDIRECT("b"&amp;F5455+2)</f>
        <v>0</v>
      </c>
      <c r="F5455" s="18">
        <f t="shared" si="1137"/>
        <v>7669</v>
      </c>
      <c r="G5455" s="18"/>
      <c r="H5455" s="18"/>
      <c r="I5455" s="19">
        <v>5453</v>
      </c>
      <c r="J5455" s="19" cm="1">
        <f t="array" aca="1" ref="J5455" ca="1">INDIRECT("b"&amp;K5455+2)</f>
        <v>0</v>
      </c>
      <c r="K5455" s="19">
        <f t="shared" si="1148"/>
        <v>8869</v>
      </c>
    </row>
    <row r="5456" spans="1:11">
      <c r="A5456">
        <v>5454</v>
      </c>
      <c r="B5456">
        <v>3.7000000000000001E+158</v>
      </c>
      <c r="D5456" s="18">
        <v>5454</v>
      </c>
      <c r="E5456" s="18" cm="1">
        <f t="array" aca="1" ref="E5456" ca="1">INDIRECT("b"&amp;F5456+2)</f>
        <v>0</v>
      </c>
      <c r="F5456" s="18">
        <f t="shared" si="1137"/>
        <v>7670</v>
      </c>
      <c r="G5456" s="18"/>
      <c r="H5456" s="18"/>
      <c r="I5456" s="19">
        <v>5454</v>
      </c>
      <c r="J5456" s="19" cm="1">
        <f t="array" aca="1" ref="J5456" ca="1">INDIRECT("b"&amp;K5456+2)</f>
        <v>0</v>
      </c>
      <c r="K5456" s="19">
        <f t="shared" si="1148"/>
        <v>8870</v>
      </c>
    </row>
    <row r="5457" spans="1:11">
      <c r="A5457">
        <v>5455</v>
      </c>
      <c r="B5457">
        <v>3.9249999999999999E+158</v>
      </c>
      <c r="D5457" s="18">
        <v>5455</v>
      </c>
      <c r="E5457" s="18" cm="1">
        <f t="array" aca="1" ref="E5457" ca="1">INDIRECT("b"&amp;F5457+2)</f>
        <v>0</v>
      </c>
      <c r="F5457" s="18">
        <f t="shared" si="1137"/>
        <v>7672</v>
      </c>
      <c r="G5457" s="18"/>
      <c r="H5457" s="18"/>
      <c r="I5457" s="19">
        <v>5455</v>
      </c>
      <c r="J5457" s="19" cm="1">
        <f t="array" aca="1" ref="J5457" ca="1">INDIRECT("b"&amp;K5457+2)</f>
        <v>0</v>
      </c>
      <c r="K5457" s="19">
        <f t="shared" si="1148"/>
        <v>8872</v>
      </c>
    </row>
    <row r="5458" spans="1:11">
      <c r="A5458">
        <v>5456</v>
      </c>
      <c r="B5458">
        <v>4.1500000000000002E+158</v>
      </c>
      <c r="D5458" s="18">
        <v>5456</v>
      </c>
      <c r="E5458" s="18" cm="1">
        <f t="array" aca="1" ref="E5458" ca="1">INDIRECT("b"&amp;F5458+2)</f>
        <v>0</v>
      </c>
      <c r="F5458" s="18">
        <f t="shared" si="1137"/>
        <v>7673</v>
      </c>
      <c r="G5458" s="18"/>
      <c r="H5458" s="18"/>
      <c r="I5458" s="19">
        <v>5456</v>
      </c>
      <c r="J5458" s="19" cm="1">
        <f t="array" aca="1" ref="J5458" ca="1">INDIRECT("b"&amp;K5458+2)</f>
        <v>0</v>
      </c>
      <c r="K5458" s="19">
        <f t="shared" si="1148"/>
        <v>8873</v>
      </c>
    </row>
    <row r="5459" spans="1:11">
      <c r="A5459">
        <v>5457</v>
      </c>
      <c r="B5459">
        <v>4.3749999999999999E+158</v>
      </c>
      <c r="D5459" s="18">
        <v>5457</v>
      </c>
      <c r="E5459" s="18" cm="1">
        <f t="array" aca="1" ref="E5459" ca="1">INDIRECT("b"&amp;F5459+2)</f>
        <v>0</v>
      </c>
      <c r="F5459" s="18">
        <f t="shared" ref="F5459:F5522" si="1151">INT((A5459-123)*1.333333)+563</f>
        <v>7674</v>
      </c>
      <c r="G5459" s="18" t="e">
        <f t="shared" ref="G5459" ca="1" si="1152">E5459/E5454</f>
        <v>#DIV/0!</v>
      </c>
      <c r="H5459" s="18"/>
      <c r="I5459" s="19">
        <v>5457</v>
      </c>
      <c r="J5459" s="19" cm="1">
        <f t="array" aca="1" ref="J5459" ca="1">INDIRECT("b"&amp;K5459+2)</f>
        <v>0</v>
      </c>
      <c r="K5459" s="19">
        <f t="shared" si="1148"/>
        <v>8874</v>
      </c>
    </row>
    <row r="5460" spans="1:11">
      <c r="A5460">
        <v>5458</v>
      </c>
      <c r="B5460">
        <v>4.5999999999999997E+158</v>
      </c>
      <c r="D5460" s="18">
        <v>5458</v>
      </c>
      <c r="E5460" s="18" cm="1">
        <f t="array" aca="1" ref="E5460" ca="1">INDIRECT("b"&amp;F5460+2)</f>
        <v>0</v>
      </c>
      <c r="F5460" s="18">
        <f t="shared" si="1151"/>
        <v>7676</v>
      </c>
      <c r="G5460" s="18"/>
      <c r="H5460" s="18"/>
      <c r="I5460" s="19">
        <v>5458</v>
      </c>
      <c r="J5460" s="19" cm="1">
        <f t="array" aca="1" ref="J5460" ca="1">INDIRECT("b"&amp;K5460+2)</f>
        <v>0</v>
      </c>
      <c r="K5460" s="19">
        <f t="shared" si="1148"/>
        <v>8876</v>
      </c>
    </row>
    <row r="5461" spans="1:11">
      <c r="A5461">
        <v>5459</v>
      </c>
      <c r="B5461">
        <v>4.8249999999999995E+158</v>
      </c>
      <c r="D5461" s="18">
        <v>5459</v>
      </c>
      <c r="E5461" s="18" cm="1">
        <f t="array" aca="1" ref="E5461" ca="1">INDIRECT("b"&amp;F5461+2)</f>
        <v>0</v>
      </c>
      <c r="F5461" s="18">
        <f t="shared" si="1151"/>
        <v>7677</v>
      </c>
      <c r="G5461" s="18"/>
      <c r="H5461" s="18"/>
      <c r="I5461" s="19">
        <v>5459</v>
      </c>
      <c r="J5461" s="19" cm="1">
        <f t="array" aca="1" ref="J5461" ca="1">INDIRECT("b"&amp;K5461+2)</f>
        <v>0</v>
      </c>
      <c r="K5461" s="19">
        <f t="shared" si="1148"/>
        <v>8877</v>
      </c>
    </row>
    <row r="5462" spans="1:11">
      <c r="A5462">
        <v>5460</v>
      </c>
      <c r="B5462">
        <v>5.0500000000000002E+158</v>
      </c>
      <c r="D5462" s="18">
        <v>5460</v>
      </c>
      <c r="E5462" s="18" cm="1">
        <f t="array" aca="1" ref="E5462" ca="1">INDIRECT("b"&amp;F5462+2)</f>
        <v>0</v>
      </c>
      <c r="F5462" s="18">
        <f t="shared" si="1151"/>
        <v>7678</v>
      </c>
      <c r="G5462" s="18"/>
      <c r="H5462" s="18"/>
      <c r="I5462" s="19">
        <v>5460</v>
      </c>
      <c r="J5462" s="19" cm="1">
        <f t="array" aca="1" ref="J5462" ca="1">INDIRECT("b"&amp;K5462+2)</f>
        <v>0</v>
      </c>
      <c r="K5462" s="19">
        <f t="shared" si="1148"/>
        <v>8878</v>
      </c>
    </row>
    <row r="5463" spans="1:11">
      <c r="A5463">
        <v>5461</v>
      </c>
      <c r="B5463">
        <v>5.275E+158</v>
      </c>
      <c r="D5463" s="18">
        <v>5461</v>
      </c>
      <c r="E5463" s="18" cm="1">
        <f t="array" aca="1" ref="E5463" ca="1">INDIRECT("b"&amp;F5463+2)</f>
        <v>0</v>
      </c>
      <c r="F5463" s="18">
        <f t="shared" si="1151"/>
        <v>7680</v>
      </c>
      <c r="G5463" s="18"/>
      <c r="H5463" s="18"/>
      <c r="I5463" s="19">
        <v>5461</v>
      </c>
      <c r="J5463" s="19" cm="1">
        <f t="array" aca="1" ref="J5463" ca="1">INDIRECT("b"&amp;K5463+2)</f>
        <v>0</v>
      </c>
      <c r="K5463" s="19">
        <f t="shared" si="1148"/>
        <v>8880</v>
      </c>
    </row>
    <row r="5464" spans="1:11">
      <c r="A5464">
        <v>5462</v>
      </c>
      <c r="B5464">
        <v>5.4999999999999998E+158</v>
      </c>
      <c r="D5464" s="18">
        <v>5462</v>
      </c>
      <c r="E5464" s="18" cm="1">
        <f t="array" aca="1" ref="E5464" ca="1">INDIRECT("b"&amp;F5464+2)</f>
        <v>0</v>
      </c>
      <c r="F5464" s="18">
        <f t="shared" si="1151"/>
        <v>7681</v>
      </c>
      <c r="G5464" s="18" t="e">
        <f t="shared" ref="G5464" ca="1" si="1153">E5464/E5459</f>
        <v>#DIV/0!</v>
      </c>
      <c r="H5464" s="18"/>
      <c r="I5464" s="19">
        <v>5462</v>
      </c>
      <c r="J5464" s="19" cm="1">
        <f t="array" aca="1" ref="J5464" ca="1">INDIRECT("b"&amp;K5464+2)</f>
        <v>0</v>
      </c>
      <c r="K5464" s="19">
        <f t="shared" si="1148"/>
        <v>8881</v>
      </c>
    </row>
    <row r="5465" spans="1:11">
      <c r="A5465">
        <v>5463</v>
      </c>
      <c r="B5465">
        <v>5.7249999999999996E+158</v>
      </c>
      <c r="D5465" s="18">
        <v>5463</v>
      </c>
      <c r="E5465" s="18" cm="1">
        <f t="array" aca="1" ref="E5465" ca="1">INDIRECT("b"&amp;F5465+2)</f>
        <v>0</v>
      </c>
      <c r="F5465" s="18">
        <f t="shared" si="1151"/>
        <v>7682</v>
      </c>
      <c r="G5465" s="18"/>
      <c r="H5465" s="18"/>
      <c r="I5465" s="19">
        <v>5463</v>
      </c>
      <c r="J5465" s="19" cm="1">
        <f t="array" aca="1" ref="J5465" ca="1">INDIRECT("b"&amp;K5465+2)</f>
        <v>0</v>
      </c>
      <c r="K5465" s="19">
        <f t="shared" si="1148"/>
        <v>8882</v>
      </c>
    </row>
    <row r="5466" spans="1:11">
      <c r="A5466">
        <v>5464</v>
      </c>
      <c r="B5466">
        <v>5.9500000000000003E+158</v>
      </c>
      <c r="D5466" s="18">
        <v>5464</v>
      </c>
      <c r="E5466" s="18" cm="1">
        <f t="array" aca="1" ref="E5466" ca="1">INDIRECT("b"&amp;F5466+2)</f>
        <v>0</v>
      </c>
      <c r="F5466" s="18">
        <f t="shared" si="1151"/>
        <v>7684</v>
      </c>
      <c r="G5466" s="18"/>
      <c r="H5466" s="18"/>
      <c r="I5466" s="19">
        <v>5464</v>
      </c>
      <c r="J5466" s="19" cm="1">
        <f t="array" aca="1" ref="J5466" ca="1">INDIRECT("b"&amp;K5466+2)</f>
        <v>0</v>
      </c>
      <c r="K5466" s="19">
        <f t="shared" si="1148"/>
        <v>8884</v>
      </c>
    </row>
    <row r="5467" spans="1:11">
      <c r="A5467">
        <v>5465</v>
      </c>
      <c r="B5467">
        <v>6.1750000000000001E+158</v>
      </c>
      <c r="D5467" s="18">
        <v>5465</v>
      </c>
      <c r="E5467" s="18" cm="1">
        <f t="array" aca="1" ref="E5467" ca="1">INDIRECT("b"&amp;F5467+2)</f>
        <v>0</v>
      </c>
      <c r="F5467" s="18">
        <f t="shared" si="1151"/>
        <v>7685</v>
      </c>
      <c r="G5467" s="18"/>
      <c r="H5467" s="18"/>
      <c r="I5467" s="19">
        <v>5465</v>
      </c>
      <c r="J5467" s="19" cm="1">
        <f t="array" aca="1" ref="J5467" ca="1">INDIRECT("b"&amp;K5467+2)</f>
        <v>0</v>
      </c>
      <c r="K5467" s="19">
        <f t="shared" si="1148"/>
        <v>8885</v>
      </c>
    </row>
    <row r="5468" spans="1:11">
      <c r="A5468">
        <v>5466</v>
      </c>
      <c r="B5468">
        <v>6.3999999999999999E+158</v>
      </c>
      <c r="D5468" s="18">
        <v>5466</v>
      </c>
      <c r="E5468" s="18" cm="1">
        <f t="array" aca="1" ref="E5468" ca="1">INDIRECT("b"&amp;F5468+2)</f>
        <v>0</v>
      </c>
      <c r="F5468" s="18">
        <f t="shared" si="1151"/>
        <v>7686</v>
      </c>
      <c r="G5468" s="18"/>
      <c r="H5468" s="18"/>
      <c r="I5468" s="19">
        <v>5466</v>
      </c>
      <c r="J5468" s="19" cm="1">
        <f t="array" aca="1" ref="J5468" ca="1">INDIRECT("b"&amp;K5468+2)</f>
        <v>0</v>
      </c>
      <c r="K5468" s="19">
        <f t="shared" si="1148"/>
        <v>8886</v>
      </c>
    </row>
    <row r="5469" spans="1:11">
      <c r="A5469">
        <v>5467</v>
      </c>
      <c r="B5469">
        <v>6.6249999999999997E+158</v>
      </c>
      <c r="D5469" s="18">
        <v>5467</v>
      </c>
      <c r="E5469" s="18" cm="1">
        <f t="array" aca="1" ref="E5469" ca="1">INDIRECT("b"&amp;F5469+2)</f>
        <v>0</v>
      </c>
      <c r="F5469" s="18">
        <f t="shared" si="1151"/>
        <v>7688</v>
      </c>
      <c r="G5469" s="18" t="e">
        <f t="shared" ref="G5469" ca="1" si="1154">E5469/E5464</f>
        <v>#DIV/0!</v>
      </c>
      <c r="H5469" s="18"/>
      <c r="I5469" s="19">
        <v>5467</v>
      </c>
      <c r="J5469" s="19" cm="1">
        <f t="array" aca="1" ref="J5469" ca="1">INDIRECT("b"&amp;K5469+2)</f>
        <v>0</v>
      </c>
      <c r="K5469" s="19">
        <f t="shared" si="1148"/>
        <v>8888</v>
      </c>
    </row>
    <row r="5470" spans="1:11">
      <c r="A5470">
        <v>5468</v>
      </c>
      <c r="B5470">
        <v>6.8499999999999995E+158</v>
      </c>
      <c r="D5470" s="18">
        <v>5468</v>
      </c>
      <c r="E5470" s="18" cm="1">
        <f t="array" aca="1" ref="E5470" ca="1">INDIRECT("b"&amp;F5470+2)</f>
        <v>0</v>
      </c>
      <c r="F5470" s="18">
        <f t="shared" si="1151"/>
        <v>7689</v>
      </c>
      <c r="G5470" s="18"/>
      <c r="H5470" s="18"/>
      <c r="I5470" s="19">
        <v>5468</v>
      </c>
      <c r="J5470" s="19" cm="1">
        <f t="array" aca="1" ref="J5470" ca="1">INDIRECT("b"&amp;K5470+2)</f>
        <v>0</v>
      </c>
      <c r="K5470" s="19">
        <f t="shared" si="1148"/>
        <v>8889</v>
      </c>
    </row>
    <row r="5471" spans="1:11">
      <c r="A5471">
        <v>5469</v>
      </c>
      <c r="B5471">
        <v>7.0750000000000002E+158</v>
      </c>
      <c r="D5471" s="18">
        <v>5469</v>
      </c>
      <c r="E5471" s="18" cm="1">
        <f t="array" aca="1" ref="E5471" ca="1">INDIRECT("b"&amp;F5471+2)</f>
        <v>0</v>
      </c>
      <c r="F5471" s="18">
        <f t="shared" si="1151"/>
        <v>7690</v>
      </c>
      <c r="G5471" s="18"/>
      <c r="H5471" s="18"/>
      <c r="I5471" s="19">
        <v>5469</v>
      </c>
      <c r="J5471" s="19" cm="1">
        <f t="array" aca="1" ref="J5471" ca="1">INDIRECT("b"&amp;K5471+2)</f>
        <v>0</v>
      </c>
      <c r="K5471" s="19">
        <f t="shared" si="1148"/>
        <v>8890</v>
      </c>
    </row>
    <row r="5472" spans="1:11">
      <c r="A5472">
        <v>5470</v>
      </c>
      <c r="B5472">
        <v>7.3E+158</v>
      </c>
      <c r="D5472" s="18">
        <v>5470</v>
      </c>
      <c r="E5472" s="18" cm="1">
        <f t="array" aca="1" ref="E5472" ca="1">INDIRECT("b"&amp;F5472+2)</f>
        <v>0</v>
      </c>
      <c r="F5472" s="18">
        <f t="shared" si="1151"/>
        <v>7692</v>
      </c>
      <c r="G5472" s="18"/>
      <c r="H5472" s="18"/>
      <c r="I5472" s="19">
        <v>5470</v>
      </c>
      <c r="J5472" s="19" cm="1">
        <f t="array" aca="1" ref="J5472" ca="1">INDIRECT("b"&amp;K5472+2)</f>
        <v>0</v>
      </c>
      <c r="K5472" s="19">
        <f t="shared" si="1148"/>
        <v>8892</v>
      </c>
    </row>
    <row r="5473" spans="1:11">
      <c r="A5473">
        <v>5471</v>
      </c>
      <c r="B5473">
        <v>7.5249999999999998E+158</v>
      </c>
      <c r="D5473" s="18">
        <v>5471</v>
      </c>
      <c r="E5473" s="18" cm="1">
        <f t="array" aca="1" ref="E5473" ca="1">INDIRECT("b"&amp;F5473+2)</f>
        <v>0</v>
      </c>
      <c r="F5473" s="18">
        <f t="shared" si="1151"/>
        <v>7693</v>
      </c>
      <c r="G5473" s="18"/>
      <c r="H5473" s="18"/>
      <c r="I5473" s="19">
        <v>5471</v>
      </c>
      <c r="J5473" s="19" cm="1">
        <f t="array" aca="1" ref="J5473" ca="1">INDIRECT("b"&amp;K5473+2)</f>
        <v>0</v>
      </c>
      <c r="K5473" s="19">
        <f t="shared" si="1148"/>
        <v>8893</v>
      </c>
    </row>
    <row r="5474" spans="1:11">
      <c r="A5474">
        <v>5472</v>
      </c>
      <c r="B5474">
        <v>7.7499999999999995E+158</v>
      </c>
      <c r="D5474" s="18">
        <v>5472</v>
      </c>
      <c r="E5474" s="18" cm="1">
        <f t="array" aca="1" ref="E5474" ca="1">INDIRECT("b"&amp;F5474+2)</f>
        <v>0</v>
      </c>
      <c r="F5474" s="18">
        <f t="shared" si="1151"/>
        <v>7694</v>
      </c>
      <c r="G5474" s="18" t="e">
        <f t="shared" ref="G5474" ca="1" si="1155">E5474/E5469</f>
        <v>#DIV/0!</v>
      </c>
      <c r="H5474" s="18"/>
      <c r="I5474" s="19">
        <v>5472</v>
      </c>
      <c r="J5474" s="19" cm="1">
        <f t="array" aca="1" ref="J5474" ca="1">INDIRECT("b"&amp;K5474+2)</f>
        <v>0</v>
      </c>
      <c r="K5474" s="19">
        <f t="shared" si="1148"/>
        <v>8894</v>
      </c>
    </row>
    <row r="5475" spans="1:11">
      <c r="A5475">
        <v>5473</v>
      </c>
      <c r="B5475">
        <v>7.9750000000000003E+158</v>
      </c>
      <c r="D5475" s="18">
        <v>5473</v>
      </c>
      <c r="E5475" s="18" cm="1">
        <f t="array" aca="1" ref="E5475" ca="1">INDIRECT("b"&amp;F5475+2)</f>
        <v>0</v>
      </c>
      <c r="F5475" s="18">
        <f t="shared" si="1151"/>
        <v>7696</v>
      </c>
      <c r="G5475" s="18"/>
      <c r="H5475" s="18"/>
      <c r="I5475" s="19">
        <v>5473</v>
      </c>
      <c r="J5475" s="19" cm="1">
        <f t="array" aca="1" ref="J5475" ca="1">INDIRECT("b"&amp;K5475+2)</f>
        <v>0</v>
      </c>
      <c r="K5475" s="19">
        <f t="shared" si="1148"/>
        <v>8896</v>
      </c>
    </row>
    <row r="5476" spans="1:11">
      <c r="A5476">
        <v>5474</v>
      </c>
      <c r="B5476">
        <v>8.2000000000000001E+158</v>
      </c>
      <c r="D5476" s="18">
        <v>5474</v>
      </c>
      <c r="E5476" s="18" cm="1">
        <f t="array" aca="1" ref="E5476" ca="1">INDIRECT("b"&amp;F5476+2)</f>
        <v>0</v>
      </c>
      <c r="F5476" s="18">
        <f t="shared" si="1151"/>
        <v>7697</v>
      </c>
      <c r="G5476" s="18"/>
      <c r="H5476" s="18"/>
      <c r="I5476" s="19">
        <v>5474</v>
      </c>
      <c r="J5476" s="19" cm="1">
        <f t="array" aca="1" ref="J5476" ca="1">INDIRECT("b"&amp;K5476+2)</f>
        <v>0</v>
      </c>
      <c r="K5476" s="19">
        <f t="shared" si="1148"/>
        <v>8897</v>
      </c>
    </row>
    <row r="5477" spans="1:11">
      <c r="A5477">
        <v>5475</v>
      </c>
      <c r="B5477">
        <v>8.4249999999999999E+158</v>
      </c>
      <c r="D5477" s="18">
        <v>5475</v>
      </c>
      <c r="E5477" s="18" cm="1">
        <f t="array" aca="1" ref="E5477" ca="1">INDIRECT("b"&amp;F5477+2)</f>
        <v>0</v>
      </c>
      <c r="F5477" s="18">
        <f t="shared" si="1151"/>
        <v>7698</v>
      </c>
      <c r="G5477" s="18"/>
      <c r="H5477" s="18"/>
      <c r="I5477" s="19">
        <v>5475</v>
      </c>
      <c r="J5477" s="19" cm="1">
        <f t="array" aca="1" ref="J5477" ca="1">INDIRECT("b"&amp;K5477+2)</f>
        <v>0</v>
      </c>
      <c r="K5477" s="19">
        <f t="shared" si="1148"/>
        <v>8898</v>
      </c>
    </row>
    <row r="5478" spans="1:11">
      <c r="A5478">
        <v>5476</v>
      </c>
      <c r="B5478">
        <v>8.6499999999999996E+158</v>
      </c>
      <c r="D5478" s="18">
        <v>5476</v>
      </c>
      <c r="E5478" s="18" cm="1">
        <f t="array" aca="1" ref="E5478" ca="1">INDIRECT("b"&amp;F5478+2)</f>
        <v>0</v>
      </c>
      <c r="F5478" s="18">
        <f t="shared" si="1151"/>
        <v>7700</v>
      </c>
      <c r="G5478" s="18"/>
      <c r="H5478" s="18"/>
      <c r="I5478" s="19">
        <v>5476</v>
      </c>
      <c r="J5478" s="19" cm="1">
        <f t="array" aca="1" ref="J5478" ca="1">INDIRECT("b"&amp;K5478+2)</f>
        <v>0</v>
      </c>
      <c r="K5478" s="19">
        <f t="shared" si="1148"/>
        <v>8900</v>
      </c>
    </row>
    <row r="5479" spans="1:11">
      <c r="A5479">
        <v>5477</v>
      </c>
      <c r="B5479">
        <v>8.8749999999999994E+158</v>
      </c>
      <c r="D5479" s="18">
        <v>5477</v>
      </c>
      <c r="E5479" s="18" cm="1">
        <f t="array" aca="1" ref="E5479" ca="1">INDIRECT("b"&amp;F5479+2)</f>
        <v>0</v>
      </c>
      <c r="F5479" s="18">
        <f t="shared" si="1151"/>
        <v>7701</v>
      </c>
      <c r="G5479" s="18" t="e">
        <f t="shared" ref="G5479" ca="1" si="1156">E5479/E5474</f>
        <v>#DIV/0!</v>
      </c>
      <c r="H5479" s="18"/>
      <c r="I5479" s="19">
        <v>5477</v>
      </c>
      <c r="J5479" s="19" cm="1">
        <f t="array" aca="1" ref="J5479" ca="1">INDIRECT("b"&amp;K5479+2)</f>
        <v>0</v>
      </c>
      <c r="K5479" s="19">
        <f t="shared" si="1148"/>
        <v>8901</v>
      </c>
    </row>
    <row r="5480" spans="1:11">
      <c r="A5480">
        <v>5478</v>
      </c>
      <c r="B5480">
        <v>9.1000000000000002E+158</v>
      </c>
      <c r="D5480" s="18">
        <v>5478</v>
      </c>
      <c r="E5480" s="18" cm="1">
        <f t="array" aca="1" ref="E5480" ca="1">INDIRECT("b"&amp;F5480+2)</f>
        <v>0</v>
      </c>
      <c r="F5480" s="18">
        <f t="shared" si="1151"/>
        <v>7702</v>
      </c>
      <c r="G5480" s="18"/>
      <c r="H5480" s="18"/>
      <c r="I5480" s="19">
        <v>5478</v>
      </c>
      <c r="J5480" s="19" cm="1">
        <f t="array" aca="1" ref="J5480" ca="1">INDIRECT("b"&amp;K5480+2)</f>
        <v>0</v>
      </c>
      <c r="K5480" s="19">
        <f t="shared" si="1148"/>
        <v>8902</v>
      </c>
    </row>
    <row r="5481" spans="1:11">
      <c r="A5481">
        <v>5479</v>
      </c>
      <c r="B5481">
        <v>9.324999999999999E+158</v>
      </c>
      <c r="D5481" s="18">
        <v>5479</v>
      </c>
      <c r="E5481" s="18" cm="1">
        <f t="array" aca="1" ref="E5481" ca="1">INDIRECT("b"&amp;F5481+2)</f>
        <v>0</v>
      </c>
      <c r="F5481" s="18">
        <f t="shared" si="1151"/>
        <v>7704</v>
      </c>
      <c r="G5481" s="18"/>
      <c r="H5481" s="18"/>
      <c r="I5481" s="19">
        <v>5479</v>
      </c>
      <c r="J5481" s="19" cm="1">
        <f t="array" aca="1" ref="J5481" ca="1">INDIRECT("b"&amp;K5481+2)</f>
        <v>0</v>
      </c>
      <c r="K5481" s="19">
        <f t="shared" si="1148"/>
        <v>8904</v>
      </c>
    </row>
    <row r="5482" spans="1:11">
      <c r="A5482">
        <v>5480</v>
      </c>
      <c r="B5482">
        <v>9.5499999999999997E+158</v>
      </c>
      <c r="D5482" s="18">
        <v>5480</v>
      </c>
      <c r="E5482" s="18" cm="1">
        <f t="array" aca="1" ref="E5482" ca="1">INDIRECT("b"&amp;F5482+2)</f>
        <v>0</v>
      </c>
      <c r="F5482" s="18">
        <f t="shared" si="1151"/>
        <v>7705</v>
      </c>
      <c r="G5482" s="18"/>
      <c r="H5482" s="18"/>
      <c r="I5482" s="19">
        <v>5480</v>
      </c>
      <c r="J5482" s="19" cm="1">
        <f t="array" aca="1" ref="J5482" ca="1">INDIRECT("b"&amp;K5482+2)</f>
        <v>0</v>
      </c>
      <c r="K5482" s="19">
        <f t="shared" si="1148"/>
        <v>8905</v>
      </c>
    </row>
    <row r="5483" spans="1:11">
      <c r="A5483">
        <v>5481</v>
      </c>
      <c r="B5483">
        <v>9.7750000000000005E+158</v>
      </c>
      <c r="D5483" s="18">
        <v>5481</v>
      </c>
      <c r="E5483" s="18" cm="1">
        <f t="array" aca="1" ref="E5483" ca="1">INDIRECT("b"&amp;F5483+2)</f>
        <v>0</v>
      </c>
      <c r="F5483" s="18">
        <f t="shared" si="1151"/>
        <v>7706</v>
      </c>
      <c r="G5483" s="18"/>
      <c r="H5483" s="18"/>
      <c r="I5483" s="19">
        <v>5481</v>
      </c>
      <c r="J5483" s="19" cm="1">
        <f t="array" aca="1" ref="J5483" ca="1">INDIRECT("b"&amp;K5483+2)</f>
        <v>0</v>
      </c>
      <c r="K5483" s="19">
        <f t="shared" si="1148"/>
        <v>8906</v>
      </c>
    </row>
    <row r="5484" spans="1:11">
      <c r="A5484">
        <v>5482</v>
      </c>
      <c r="B5484">
        <v>9.9999999999999993E+158</v>
      </c>
      <c r="D5484" s="18">
        <v>5482</v>
      </c>
      <c r="E5484" s="18" cm="1">
        <f t="array" aca="1" ref="E5484" ca="1">INDIRECT("b"&amp;F5484+2)</f>
        <v>0</v>
      </c>
      <c r="F5484" s="18">
        <f t="shared" si="1151"/>
        <v>7708</v>
      </c>
      <c r="G5484" s="18" t="e">
        <f t="shared" ref="G5484" ca="1" si="1157">E5484/E5479</f>
        <v>#DIV/0!</v>
      </c>
      <c r="H5484" s="18"/>
      <c r="I5484" s="19">
        <v>5482</v>
      </c>
      <c r="J5484" s="19" cm="1">
        <f t="array" aca="1" ref="J5484" ca="1">INDIRECT("b"&amp;K5484+2)</f>
        <v>0</v>
      </c>
      <c r="K5484" s="19">
        <f t="shared" si="1148"/>
        <v>8908</v>
      </c>
    </row>
    <row r="5485" spans="1:11">
      <c r="A5485">
        <v>5483</v>
      </c>
      <c r="B5485">
        <v>1.2250000000000001E+159</v>
      </c>
      <c r="D5485" s="18">
        <v>5483</v>
      </c>
      <c r="E5485" s="18" cm="1">
        <f t="array" aca="1" ref="E5485" ca="1">INDIRECT("b"&amp;F5485+2)</f>
        <v>0</v>
      </c>
      <c r="F5485" s="18">
        <f t="shared" si="1151"/>
        <v>7709</v>
      </c>
      <c r="G5485" s="18"/>
      <c r="H5485" s="18"/>
      <c r="I5485" s="19">
        <v>5483</v>
      </c>
      <c r="J5485" s="19" cm="1">
        <f t="array" aca="1" ref="J5485" ca="1">INDIRECT("b"&amp;K5485+2)</f>
        <v>0</v>
      </c>
      <c r="K5485" s="19">
        <f t="shared" si="1148"/>
        <v>8909</v>
      </c>
    </row>
    <row r="5486" spans="1:11">
      <c r="A5486">
        <v>5484</v>
      </c>
      <c r="B5486">
        <v>1.4500000000000001E+159</v>
      </c>
      <c r="D5486" s="18">
        <v>5484</v>
      </c>
      <c r="E5486" s="18" cm="1">
        <f t="array" aca="1" ref="E5486" ca="1">INDIRECT("b"&amp;F5486+2)</f>
        <v>0</v>
      </c>
      <c r="F5486" s="18">
        <f t="shared" si="1151"/>
        <v>7710</v>
      </c>
      <c r="G5486" s="18" t="e">
        <f t="shared" ref="G5486" ca="1" si="1158">E5486/E5481</f>
        <v>#DIV/0!</v>
      </c>
      <c r="H5486" s="18"/>
      <c r="I5486" s="19">
        <v>5484</v>
      </c>
      <c r="J5486" s="19" cm="1">
        <f t="array" aca="1" ref="J5486" ca="1">INDIRECT("b"&amp;K5486+2)</f>
        <v>0</v>
      </c>
      <c r="K5486" s="19">
        <f t="shared" si="1148"/>
        <v>8910</v>
      </c>
    </row>
    <row r="5487" spans="1:11">
      <c r="A5487">
        <v>5485</v>
      </c>
      <c r="B5487">
        <v>1.675E+159</v>
      </c>
      <c r="D5487" s="18">
        <v>5485</v>
      </c>
      <c r="E5487" s="18" cm="1">
        <f t="array" aca="1" ref="E5487" ca="1">INDIRECT("b"&amp;F5487+2)</f>
        <v>0</v>
      </c>
      <c r="F5487" s="18">
        <f t="shared" si="1151"/>
        <v>7712</v>
      </c>
      <c r="G5487" s="18"/>
      <c r="H5487" s="18"/>
      <c r="I5487" s="19">
        <v>5485</v>
      </c>
      <c r="J5487" s="19" cm="1">
        <f t="array" aca="1" ref="J5487" ca="1">INDIRECT("b"&amp;K5487+2)</f>
        <v>0</v>
      </c>
      <c r="K5487" s="19">
        <f t="shared" si="1148"/>
        <v>8912</v>
      </c>
    </row>
    <row r="5488" spans="1:11">
      <c r="A5488">
        <v>5486</v>
      </c>
      <c r="B5488">
        <v>1.9000000000000002E+159</v>
      </c>
      <c r="D5488" s="18">
        <v>5486</v>
      </c>
      <c r="E5488" s="18" cm="1">
        <f t="array" aca="1" ref="E5488" ca="1">INDIRECT("b"&amp;F5488+2)</f>
        <v>0</v>
      </c>
      <c r="F5488" s="18">
        <f t="shared" si="1151"/>
        <v>7713</v>
      </c>
      <c r="G5488" s="18"/>
      <c r="H5488" s="18"/>
      <c r="I5488" s="19">
        <v>5486</v>
      </c>
      <c r="J5488" s="19" cm="1">
        <f t="array" aca="1" ref="J5488" ca="1">INDIRECT("b"&amp;K5488+2)</f>
        <v>0</v>
      </c>
      <c r="K5488" s="19">
        <f t="shared" si="1148"/>
        <v>8913</v>
      </c>
    </row>
    <row r="5489" spans="1:11">
      <c r="A5489">
        <v>5487</v>
      </c>
      <c r="B5489">
        <v>2.1250000000000002E+159</v>
      </c>
      <c r="D5489" s="18">
        <v>5487</v>
      </c>
      <c r="E5489" s="18" cm="1">
        <f t="array" aca="1" ref="E5489" ca="1">INDIRECT("b"&amp;F5489+2)</f>
        <v>0</v>
      </c>
      <c r="F5489" s="18">
        <f t="shared" si="1151"/>
        <v>7714</v>
      </c>
      <c r="G5489" s="18"/>
      <c r="H5489" s="18"/>
      <c r="I5489" s="19">
        <v>5487</v>
      </c>
      <c r="J5489" s="19" cm="1">
        <f t="array" aca="1" ref="J5489" ca="1">INDIRECT("b"&amp;K5489+2)</f>
        <v>0</v>
      </c>
      <c r="K5489" s="19">
        <f t="shared" si="1148"/>
        <v>8914</v>
      </c>
    </row>
    <row r="5490" spans="1:11">
      <c r="A5490">
        <v>5488</v>
      </c>
      <c r="B5490">
        <v>2.3500000000000002E+159</v>
      </c>
      <c r="D5490" s="18">
        <v>5488</v>
      </c>
      <c r="E5490" s="18" cm="1">
        <f t="array" aca="1" ref="E5490" ca="1">INDIRECT("b"&amp;F5490+2)</f>
        <v>0</v>
      </c>
      <c r="F5490" s="18">
        <f t="shared" si="1151"/>
        <v>7716</v>
      </c>
      <c r="G5490" s="18"/>
      <c r="H5490" s="18"/>
      <c r="I5490" s="19">
        <v>5488</v>
      </c>
      <c r="J5490" s="19" cm="1">
        <f t="array" aca="1" ref="J5490" ca="1">INDIRECT("b"&amp;K5490+2)</f>
        <v>0</v>
      </c>
      <c r="K5490" s="19">
        <f t="shared" si="1148"/>
        <v>8916</v>
      </c>
    </row>
    <row r="5491" spans="1:11">
      <c r="A5491">
        <v>5489</v>
      </c>
      <c r="B5491">
        <v>2.5750000000000001E+159</v>
      </c>
      <c r="D5491" s="18">
        <v>5489</v>
      </c>
      <c r="E5491" s="18" cm="1">
        <f t="array" aca="1" ref="E5491" ca="1">INDIRECT("b"&amp;F5491+2)</f>
        <v>0</v>
      </c>
      <c r="F5491" s="18">
        <f t="shared" si="1151"/>
        <v>7717</v>
      </c>
      <c r="G5491" s="18" t="e">
        <f t="shared" ref="G5491" ca="1" si="1159">E5491/E5486</f>
        <v>#DIV/0!</v>
      </c>
      <c r="H5491" s="18"/>
      <c r="I5491" s="19">
        <v>5489</v>
      </c>
      <c r="J5491" s="19" cm="1">
        <f t="array" aca="1" ref="J5491" ca="1">INDIRECT("b"&amp;K5491+2)</f>
        <v>0</v>
      </c>
      <c r="K5491" s="19">
        <f t="shared" si="1148"/>
        <v>8917</v>
      </c>
    </row>
    <row r="5492" spans="1:11">
      <c r="A5492">
        <v>5490</v>
      </c>
      <c r="B5492">
        <v>2.8000000000000001E+159</v>
      </c>
      <c r="D5492" s="18">
        <v>5490</v>
      </c>
      <c r="E5492" s="18" cm="1">
        <f t="array" aca="1" ref="E5492" ca="1">INDIRECT("b"&amp;F5492+2)</f>
        <v>0</v>
      </c>
      <c r="F5492" s="18">
        <f t="shared" si="1151"/>
        <v>7718</v>
      </c>
      <c r="G5492" s="18"/>
      <c r="H5492" s="18"/>
      <c r="I5492" s="19">
        <v>5490</v>
      </c>
      <c r="J5492" s="19" cm="1">
        <f t="array" aca="1" ref="J5492" ca="1">INDIRECT("b"&amp;K5492+2)</f>
        <v>0</v>
      </c>
      <c r="K5492" s="19">
        <f t="shared" si="1148"/>
        <v>8918</v>
      </c>
    </row>
    <row r="5493" spans="1:11">
      <c r="A5493">
        <v>5491</v>
      </c>
      <c r="B5493">
        <v>3.0250000000000001E+159</v>
      </c>
      <c r="D5493" s="18">
        <v>5491</v>
      </c>
      <c r="E5493" s="18" cm="1">
        <f t="array" aca="1" ref="E5493" ca="1">INDIRECT("b"&amp;F5493+2)</f>
        <v>0</v>
      </c>
      <c r="F5493" s="18">
        <f t="shared" si="1151"/>
        <v>7720</v>
      </c>
      <c r="G5493" s="18"/>
      <c r="H5493" s="18"/>
      <c r="I5493" s="19">
        <v>5491</v>
      </c>
      <c r="J5493" s="19" cm="1">
        <f t="array" aca="1" ref="J5493" ca="1">INDIRECT("b"&amp;K5493+2)</f>
        <v>0</v>
      </c>
      <c r="K5493" s="19">
        <f t="shared" si="1148"/>
        <v>8920</v>
      </c>
    </row>
    <row r="5494" spans="1:11">
      <c r="A5494">
        <v>5492</v>
      </c>
      <c r="B5494">
        <v>3.2500000000000001E+159</v>
      </c>
      <c r="D5494" s="18">
        <v>5492</v>
      </c>
      <c r="E5494" s="18" cm="1">
        <f t="array" aca="1" ref="E5494" ca="1">INDIRECT("b"&amp;F5494+2)</f>
        <v>0</v>
      </c>
      <c r="F5494" s="18">
        <f t="shared" si="1151"/>
        <v>7721</v>
      </c>
      <c r="G5494" s="18"/>
      <c r="H5494" s="18"/>
      <c r="I5494" s="19">
        <v>5492</v>
      </c>
      <c r="J5494" s="19" cm="1">
        <f t="array" aca="1" ref="J5494" ca="1">INDIRECT("b"&amp;K5494+2)</f>
        <v>0</v>
      </c>
      <c r="K5494" s="19">
        <f t="shared" si="1148"/>
        <v>8921</v>
      </c>
    </row>
    <row r="5495" spans="1:11">
      <c r="A5495">
        <v>5493</v>
      </c>
      <c r="B5495">
        <v>3.475E+159</v>
      </c>
      <c r="D5495" s="18">
        <v>5493</v>
      </c>
      <c r="E5495" s="18" cm="1">
        <f t="array" aca="1" ref="E5495" ca="1">INDIRECT("b"&amp;F5495+2)</f>
        <v>0</v>
      </c>
      <c r="F5495" s="18">
        <f t="shared" si="1151"/>
        <v>7722</v>
      </c>
      <c r="G5495" s="18"/>
      <c r="H5495" s="18"/>
      <c r="I5495" s="19">
        <v>5493</v>
      </c>
      <c r="J5495" s="19" cm="1">
        <f t="array" aca="1" ref="J5495" ca="1">INDIRECT("b"&amp;K5495+2)</f>
        <v>0</v>
      </c>
      <c r="K5495" s="19">
        <f t="shared" si="1148"/>
        <v>8922</v>
      </c>
    </row>
    <row r="5496" spans="1:11">
      <c r="A5496">
        <v>5494</v>
      </c>
      <c r="B5496">
        <v>3.7E+159</v>
      </c>
      <c r="D5496" s="18">
        <v>5494</v>
      </c>
      <c r="E5496" s="18" cm="1">
        <f t="array" aca="1" ref="E5496" ca="1">INDIRECT("b"&amp;F5496+2)</f>
        <v>0</v>
      </c>
      <c r="F5496" s="18">
        <f t="shared" si="1151"/>
        <v>7724</v>
      </c>
      <c r="G5496" s="18" t="e">
        <f t="shared" ref="G5496" ca="1" si="1160">E5496/E5491</f>
        <v>#DIV/0!</v>
      </c>
      <c r="H5496" s="18"/>
      <c r="I5496" s="19">
        <v>5494</v>
      </c>
      <c r="J5496" s="19" cm="1">
        <f t="array" aca="1" ref="J5496" ca="1">INDIRECT("b"&amp;K5496+2)</f>
        <v>0</v>
      </c>
      <c r="K5496" s="19">
        <f t="shared" si="1148"/>
        <v>8924</v>
      </c>
    </row>
    <row r="5497" spans="1:11">
      <c r="A5497">
        <v>5495</v>
      </c>
      <c r="B5497">
        <v>3.9250000000000004E+159</v>
      </c>
      <c r="D5497" s="18">
        <v>5495</v>
      </c>
      <c r="E5497" s="18" cm="1">
        <f t="array" aca="1" ref="E5497" ca="1">INDIRECT("b"&amp;F5497+2)</f>
        <v>0</v>
      </c>
      <c r="F5497" s="18">
        <f t="shared" si="1151"/>
        <v>7725</v>
      </c>
      <c r="G5497" s="18"/>
      <c r="H5497" s="18"/>
      <c r="I5497" s="19">
        <v>5495</v>
      </c>
      <c r="J5497" s="19" cm="1">
        <f t="array" aca="1" ref="J5497" ca="1">INDIRECT("b"&amp;K5497+2)</f>
        <v>0</v>
      </c>
      <c r="K5497" s="19">
        <f t="shared" si="1148"/>
        <v>8925</v>
      </c>
    </row>
    <row r="5498" spans="1:11">
      <c r="A5498">
        <v>5496</v>
      </c>
      <c r="B5498">
        <v>4.15E+159</v>
      </c>
      <c r="D5498" s="18">
        <v>5496</v>
      </c>
      <c r="E5498" s="18" cm="1">
        <f t="array" aca="1" ref="E5498" ca="1">INDIRECT("b"&amp;F5498+2)</f>
        <v>0</v>
      </c>
      <c r="F5498" s="18">
        <f t="shared" si="1151"/>
        <v>7726</v>
      </c>
      <c r="G5498" s="18"/>
      <c r="H5498" s="18"/>
      <c r="I5498" s="19">
        <v>5496</v>
      </c>
      <c r="J5498" s="19" cm="1">
        <f t="array" aca="1" ref="J5498" ca="1">INDIRECT("b"&amp;K5498+2)</f>
        <v>0</v>
      </c>
      <c r="K5498" s="19">
        <f t="shared" si="1148"/>
        <v>8926</v>
      </c>
    </row>
    <row r="5499" spans="1:11">
      <c r="A5499">
        <v>5497</v>
      </c>
      <c r="B5499">
        <v>4.3750000000000003E+159</v>
      </c>
      <c r="D5499" s="18">
        <v>5497</v>
      </c>
      <c r="E5499" s="18" cm="1">
        <f t="array" aca="1" ref="E5499" ca="1">INDIRECT("b"&amp;F5499+2)</f>
        <v>0</v>
      </c>
      <c r="F5499" s="18">
        <f t="shared" si="1151"/>
        <v>7728</v>
      </c>
      <c r="G5499" s="18"/>
      <c r="H5499" s="18"/>
      <c r="I5499" s="19">
        <v>5497</v>
      </c>
      <c r="J5499" s="19" cm="1">
        <f t="array" aca="1" ref="J5499" ca="1">INDIRECT("b"&amp;K5499+2)</f>
        <v>0</v>
      </c>
      <c r="K5499" s="19">
        <f t="shared" si="1148"/>
        <v>8928</v>
      </c>
    </row>
    <row r="5500" spans="1:11">
      <c r="A5500">
        <v>5498</v>
      </c>
      <c r="B5500">
        <v>4.5999999999999999E+159</v>
      </c>
      <c r="D5500" s="18">
        <v>5498</v>
      </c>
      <c r="E5500" s="18" cm="1">
        <f t="array" aca="1" ref="E5500" ca="1">INDIRECT("b"&amp;F5500+2)</f>
        <v>0</v>
      </c>
      <c r="F5500" s="18">
        <f t="shared" si="1151"/>
        <v>7729</v>
      </c>
      <c r="G5500" s="18"/>
      <c r="H5500" s="18"/>
      <c r="I5500" s="19">
        <v>5498</v>
      </c>
      <c r="J5500" s="19" cm="1">
        <f t="array" aca="1" ref="J5500" ca="1">INDIRECT("b"&amp;K5500+2)</f>
        <v>0</v>
      </c>
      <c r="K5500" s="19">
        <f t="shared" si="1148"/>
        <v>8929</v>
      </c>
    </row>
    <row r="5501" spans="1:11">
      <c r="A5501">
        <v>5499</v>
      </c>
      <c r="B5501">
        <v>4.8250000000000003E+159</v>
      </c>
      <c r="D5501" s="18">
        <v>5499</v>
      </c>
      <c r="E5501" s="18" cm="1">
        <f t="array" aca="1" ref="E5501" ca="1">INDIRECT("b"&amp;F5501+2)</f>
        <v>0</v>
      </c>
      <c r="F5501" s="18">
        <f t="shared" si="1151"/>
        <v>7730</v>
      </c>
      <c r="G5501" s="18" t="e">
        <f t="shared" ref="G5501" ca="1" si="1161">E5501/E5496</f>
        <v>#DIV/0!</v>
      </c>
      <c r="H5501" s="18"/>
      <c r="I5501" s="19">
        <v>5499</v>
      </c>
      <c r="J5501" s="19" cm="1">
        <f t="array" aca="1" ref="J5501" ca="1">INDIRECT("b"&amp;K5501+2)</f>
        <v>0</v>
      </c>
      <c r="K5501" s="19">
        <f t="shared" si="1148"/>
        <v>8930</v>
      </c>
    </row>
    <row r="5502" spans="1:11">
      <c r="A5502">
        <v>5500</v>
      </c>
      <c r="B5502">
        <v>5.0499999999999999E+159</v>
      </c>
      <c r="D5502" s="18">
        <v>5500</v>
      </c>
      <c r="E5502" s="18" cm="1">
        <f t="array" aca="1" ref="E5502" ca="1">INDIRECT("b"&amp;F5502+2)</f>
        <v>0</v>
      </c>
      <c r="F5502" s="18">
        <f t="shared" si="1151"/>
        <v>7732</v>
      </c>
      <c r="G5502" s="18"/>
      <c r="H5502" s="18"/>
      <c r="I5502" s="19">
        <v>5500</v>
      </c>
      <c r="J5502" s="19" cm="1">
        <f t="array" aca="1" ref="J5502" ca="1">INDIRECT("b"&amp;K5502+2)</f>
        <v>0</v>
      </c>
      <c r="K5502" s="19">
        <f t="shared" si="1148"/>
        <v>8932</v>
      </c>
    </row>
    <row r="5503" spans="1:11">
      <c r="A5503">
        <v>5501</v>
      </c>
      <c r="B5503">
        <v>5.2750000000000002E+159</v>
      </c>
      <c r="D5503" s="18">
        <v>5501</v>
      </c>
      <c r="E5503" s="18" cm="1">
        <f t="array" aca="1" ref="E5503" ca="1">INDIRECT("b"&amp;F5503+2)</f>
        <v>0</v>
      </c>
      <c r="F5503" s="18">
        <f t="shared" si="1151"/>
        <v>7733</v>
      </c>
      <c r="G5503" s="18"/>
      <c r="H5503" s="18"/>
      <c r="I5503" s="19">
        <v>5501</v>
      </c>
      <c r="J5503" s="19" cm="1">
        <f t="array" aca="1" ref="J5503" ca="1">INDIRECT("b"&amp;K5503+2)</f>
        <v>0</v>
      </c>
      <c r="K5503" s="19">
        <f t="shared" si="1148"/>
        <v>8933</v>
      </c>
    </row>
    <row r="5504" spans="1:11">
      <c r="A5504">
        <v>5502</v>
      </c>
      <c r="B5504">
        <v>5.4999999999999998E+159</v>
      </c>
      <c r="D5504" s="18">
        <v>5502</v>
      </c>
      <c r="E5504" s="18" cm="1">
        <f t="array" aca="1" ref="E5504" ca="1">INDIRECT("b"&amp;F5504+2)</f>
        <v>0</v>
      </c>
      <c r="F5504" s="18">
        <f t="shared" si="1151"/>
        <v>7734</v>
      </c>
      <c r="G5504" s="18"/>
      <c r="H5504" s="18"/>
      <c r="I5504" s="19">
        <v>5502</v>
      </c>
      <c r="J5504" s="19" cm="1">
        <f t="array" aca="1" ref="J5504" ca="1">INDIRECT("b"&amp;K5504+2)</f>
        <v>0</v>
      </c>
      <c r="K5504" s="19">
        <f t="shared" si="1148"/>
        <v>8934</v>
      </c>
    </row>
    <row r="5505" spans="1:11">
      <c r="A5505">
        <v>5503</v>
      </c>
      <c r="B5505">
        <v>5.7250000000000002E+159</v>
      </c>
      <c r="D5505" s="18">
        <v>5503</v>
      </c>
      <c r="E5505" s="18" cm="1">
        <f t="array" aca="1" ref="E5505" ca="1">INDIRECT("b"&amp;F5505+2)</f>
        <v>0</v>
      </c>
      <c r="F5505" s="18">
        <f t="shared" si="1151"/>
        <v>7736</v>
      </c>
      <c r="G5505" s="18"/>
      <c r="H5505" s="18"/>
      <c r="I5505" s="19">
        <v>5503</v>
      </c>
      <c r="J5505" s="19" cm="1">
        <f t="array" aca="1" ref="J5505" ca="1">INDIRECT("b"&amp;K5505+2)</f>
        <v>0</v>
      </c>
      <c r="K5505" s="19">
        <f t="shared" si="1148"/>
        <v>8936</v>
      </c>
    </row>
    <row r="5506" spans="1:11">
      <c r="A5506">
        <v>5504</v>
      </c>
      <c r="B5506">
        <v>5.9499999999999998E+159</v>
      </c>
      <c r="D5506" s="18">
        <v>5504</v>
      </c>
      <c r="E5506" s="18" cm="1">
        <f t="array" aca="1" ref="E5506" ca="1">INDIRECT("b"&amp;F5506+2)</f>
        <v>0</v>
      </c>
      <c r="F5506" s="18">
        <f t="shared" si="1151"/>
        <v>7737</v>
      </c>
      <c r="G5506" s="18" t="e">
        <f t="shared" ref="G5506" ca="1" si="1162">E5506/E5501</f>
        <v>#DIV/0!</v>
      </c>
      <c r="H5506" s="18"/>
      <c r="I5506" s="19">
        <v>5504</v>
      </c>
      <c r="J5506" s="19" cm="1">
        <f t="array" aca="1" ref="J5506" ca="1">INDIRECT("b"&amp;K5506+2)</f>
        <v>0</v>
      </c>
      <c r="K5506" s="19">
        <f t="shared" si="1148"/>
        <v>8937</v>
      </c>
    </row>
    <row r="5507" spans="1:11">
      <c r="A5507">
        <v>5505</v>
      </c>
      <c r="B5507">
        <v>6.1750000000000001E+159</v>
      </c>
      <c r="D5507" s="18">
        <v>5505</v>
      </c>
      <c r="E5507" s="18" cm="1">
        <f t="array" aca="1" ref="E5507" ca="1">INDIRECT("b"&amp;F5507+2)</f>
        <v>0</v>
      </c>
      <c r="F5507" s="18">
        <f t="shared" si="1151"/>
        <v>7738</v>
      </c>
      <c r="G5507" s="18"/>
      <c r="H5507" s="18"/>
      <c r="I5507" s="19">
        <v>5505</v>
      </c>
      <c r="J5507" s="19" cm="1">
        <f t="array" aca="1" ref="J5507" ca="1">INDIRECT("b"&amp;K5507+2)</f>
        <v>0</v>
      </c>
      <c r="K5507" s="19">
        <f t="shared" si="1148"/>
        <v>8938</v>
      </c>
    </row>
    <row r="5508" spans="1:11">
      <c r="A5508">
        <v>5506</v>
      </c>
      <c r="B5508">
        <v>6.4000000000000005E+159</v>
      </c>
      <c r="D5508" s="18">
        <v>5506</v>
      </c>
      <c r="E5508" s="18" cm="1">
        <f t="array" aca="1" ref="E5508" ca="1">INDIRECT("b"&amp;F5508+2)</f>
        <v>0</v>
      </c>
      <c r="F5508" s="18">
        <f t="shared" si="1151"/>
        <v>7740</v>
      </c>
      <c r="G5508" s="18"/>
      <c r="H5508" s="18"/>
      <c r="I5508" s="19">
        <v>5506</v>
      </c>
      <c r="J5508" s="19" cm="1">
        <f t="array" aca="1" ref="J5508" ca="1">INDIRECT("b"&amp;K5508+2)</f>
        <v>0</v>
      </c>
      <c r="K5508" s="19">
        <f t="shared" ref="K5508:K5571" si="1163">INT((A5508-1)*40/30+900*40/30)+400</f>
        <v>8940</v>
      </c>
    </row>
    <row r="5509" spans="1:11">
      <c r="A5509">
        <v>5507</v>
      </c>
      <c r="B5509">
        <v>6.6250000000000001E+159</v>
      </c>
      <c r="D5509" s="18">
        <v>5507</v>
      </c>
      <c r="E5509" s="18" cm="1">
        <f t="array" aca="1" ref="E5509" ca="1">INDIRECT("b"&amp;F5509+2)</f>
        <v>0</v>
      </c>
      <c r="F5509" s="18">
        <f t="shared" si="1151"/>
        <v>7741</v>
      </c>
      <c r="G5509" s="18"/>
      <c r="H5509" s="18"/>
      <c r="I5509" s="19">
        <v>5507</v>
      </c>
      <c r="J5509" s="19" cm="1">
        <f t="array" aca="1" ref="J5509" ca="1">INDIRECT("b"&amp;K5509+2)</f>
        <v>0</v>
      </c>
      <c r="K5509" s="19">
        <f t="shared" si="1163"/>
        <v>8941</v>
      </c>
    </row>
    <row r="5510" spans="1:11">
      <c r="A5510">
        <v>5508</v>
      </c>
      <c r="B5510">
        <v>6.8500000000000004E+159</v>
      </c>
      <c r="D5510" s="18">
        <v>5508</v>
      </c>
      <c r="E5510" s="18" cm="1">
        <f t="array" aca="1" ref="E5510" ca="1">INDIRECT("b"&amp;F5510+2)</f>
        <v>0</v>
      </c>
      <c r="F5510" s="18">
        <f t="shared" si="1151"/>
        <v>7742</v>
      </c>
      <c r="G5510" s="18"/>
      <c r="H5510" s="18"/>
      <c r="I5510" s="19">
        <v>5508</v>
      </c>
      <c r="J5510" s="19" cm="1">
        <f t="array" aca="1" ref="J5510" ca="1">INDIRECT("b"&amp;K5510+2)</f>
        <v>0</v>
      </c>
      <c r="K5510" s="19">
        <f t="shared" si="1163"/>
        <v>8942</v>
      </c>
    </row>
    <row r="5511" spans="1:11">
      <c r="A5511">
        <v>5509</v>
      </c>
      <c r="B5511">
        <v>7.0750000000000008E+159</v>
      </c>
      <c r="D5511" s="18">
        <v>5509</v>
      </c>
      <c r="E5511" s="18" cm="1">
        <f t="array" aca="1" ref="E5511" ca="1">INDIRECT("b"&amp;F5511+2)</f>
        <v>0</v>
      </c>
      <c r="F5511" s="18">
        <f t="shared" si="1151"/>
        <v>7744</v>
      </c>
      <c r="G5511" s="18" t="e">
        <f t="shared" ref="G5511" ca="1" si="1164">E5511/E5506</f>
        <v>#DIV/0!</v>
      </c>
      <c r="H5511" s="18"/>
      <c r="I5511" s="19">
        <v>5509</v>
      </c>
      <c r="J5511" s="19" cm="1">
        <f t="array" aca="1" ref="J5511" ca="1">INDIRECT("b"&amp;K5511+2)</f>
        <v>0</v>
      </c>
      <c r="K5511" s="19">
        <f t="shared" si="1163"/>
        <v>8944</v>
      </c>
    </row>
    <row r="5512" spans="1:11">
      <c r="A5512">
        <v>5510</v>
      </c>
      <c r="B5512">
        <v>7.3000000000000004E+159</v>
      </c>
      <c r="D5512" s="18">
        <v>5510</v>
      </c>
      <c r="E5512" s="18" cm="1">
        <f t="array" aca="1" ref="E5512" ca="1">INDIRECT("b"&amp;F5512+2)</f>
        <v>0</v>
      </c>
      <c r="F5512" s="18">
        <f t="shared" si="1151"/>
        <v>7745</v>
      </c>
      <c r="G5512" s="18"/>
      <c r="H5512" s="18"/>
      <c r="I5512" s="19">
        <v>5510</v>
      </c>
      <c r="J5512" s="19" cm="1">
        <f t="array" aca="1" ref="J5512" ca="1">INDIRECT("b"&amp;K5512+2)</f>
        <v>0</v>
      </c>
      <c r="K5512" s="19">
        <f t="shared" si="1163"/>
        <v>8945</v>
      </c>
    </row>
    <row r="5513" spans="1:11">
      <c r="A5513">
        <v>5511</v>
      </c>
      <c r="B5513">
        <v>7.525E+159</v>
      </c>
      <c r="D5513" s="18">
        <v>5511</v>
      </c>
      <c r="E5513" s="18" cm="1">
        <f t="array" aca="1" ref="E5513" ca="1">INDIRECT("b"&amp;F5513+2)</f>
        <v>0</v>
      </c>
      <c r="F5513" s="18">
        <f t="shared" si="1151"/>
        <v>7746</v>
      </c>
      <c r="G5513" s="18"/>
      <c r="H5513" s="18"/>
      <c r="I5513" s="19">
        <v>5511</v>
      </c>
      <c r="J5513" s="19" cm="1">
        <f t="array" aca="1" ref="J5513" ca="1">INDIRECT("b"&amp;K5513+2)</f>
        <v>0</v>
      </c>
      <c r="K5513" s="19">
        <f t="shared" si="1163"/>
        <v>8946</v>
      </c>
    </row>
    <row r="5514" spans="1:11">
      <c r="A5514">
        <v>5512</v>
      </c>
      <c r="B5514">
        <v>7.7499999999999995E+159</v>
      </c>
      <c r="D5514" s="18">
        <v>5512</v>
      </c>
      <c r="E5514" s="18" cm="1">
        <f t="array" aca="1" ref="E5514" ca="1">INDIRECT("b"&amp;F5514+2)</f>
        <v>0</v>
      </c>
      <c r="F5514" s="18">
        <f t="shared" si="1151"/>
        <v>7748</v>
      </c>
      <c r="G5514" s="18"/>
      <c r="H5514" s="18"/>
      <c r="I5514" s="19">
        <v>5512</v>
      </c>
      <c r="J5514" s="19" cm="1">
        <f t="array" aca="1" ref="J5514" ca="1">INDIRECT("b"&amp;K5514+2)</f>
        <v>0</v>
      </c>
      <c r="K5514" s="19">
        <f t="shared" si="1163"/>
        <v>8948</v>
      </c>
    </row>
    <row r="5515" spans="1:11">
      <c r="A5515">
        <v>5513</v>
      </c>
      <c r="B5515">
        <v>7.9750000000000007E+159</v>
      </c>
      <c r="D5515" s="18">
        <v>5513</v>
      </c>
      <c r="E5515" s="18" cm="1">
        <f t="array" aca="1" ref="E5515" ca="1">INDIRECT("b"&amp;F5515+2)</f>
        <v>0</v>
      </c>
      <c r="F5515" s="18">
        <f t="shared" si="1151"/>
        <v>7749</v>
      </c>
      <c r="G5515" s="18"/>
      <c r="H5515" s="18"/>
      <c r="I5515" s="19">
        <v>5513</v>
      </c>
      <c r="J5515" s="19" cm="1">
        <f t="array" aca="1" ref="J5515" ca="1">INDIRECT("b"&amp;K5515+2)</f>
        <v>0</v>
      </c>
      <c r="K5515" s="19">
        <f t="shared" si="1163"/>
        <v>8949</v>
      </c>
    </row>
    <row r="5516" spans="1:11">
      <c r="A5516">
        <v>5514</v>
      </c>
      <c r="B5516">
        <v>8.2000000000000003E+159</v>
      </c>
      <c r="D5516" s="18">
        <v>5514</v>
      </c>
      <c r="E5516" s="18" cm="1">
        <f t="array" aca="1" ref="E5516" ca="1">INDIRECT("b"&amp;F5516+2)</f>
        <v>0</v>
      </c>
      <c r="F5516" s="18">
        <f t="shared" si="1151"/>
        <v>7750</v>
      </c>
      <c r="G5516" s="18" t="e">
        <f t="shared" ref="G5516" ca="1" si="1165">E5516/E5511</f>
        <v>#DIV/0!</v>
      </c>
      <c r="H5516" s="18"/>
      <c r="I5516" s="19">
        <v>5514</v>
      </c>
      <c r="J5516" s="19" cm="1">
        <f t="array" aca="1" ref="J5516" ca="1">INDIRECT("b"&amp;K5516+2)</f>
        <v>0</v>
      </c>
      <c r="K5516" s="19">
        <f t="shared" si="1163"/>
        <v>8950</v>
      </c>
    </row>
    <row r="5517" spans="1:11">
      <c r="A5517">
        <v>5515</v>
      </c>
      <c r="B5517">
        <v>8.4249999999999999E+159</v>
      </c>
      <c r="D5517" s="18">
        <v>5515</v>
      </c>
      <c r="E5517" s="18" cm="1">
        <f t="array" aca="1" ref="E5517" ca="1">INDIRECT("b"&amp;F5517+2)</f>
        <v>0</v>
      </c>
      <c r="F5517" s="18">
        <f t="shared" si="1151"/>
        <v>7752</v>
      </c>
      <c r="G5517" s="18"/>
      <c r="H5517" s="18"/>
      <c r="I5517" s="19">
        <v>5515</v>
      </c>
      <c r="J5517" s="19" cm="1">
        <f t="array" aca="1" ref="J5517" ca="1">INDIRECT("b"&amp;K5517+2)</f>
        <v>0</v>
      </c>
      <c r="K5517" s="19">
        <f t="shared" si="1163"/>
        <v>8952</v>
      </c>
    </row>
    <row r="5518" spans="1:11">
      <c r="A5518">
        <v>5516</v>
      </c>
      <c r="B5518">
        <v>8.6499999999999994E+159</v>
      </c>
      <c r="D5518" s="18">
        <v>5516</v>
      </c>
      <c r="E5518" s="18" cm="1">
        <f t="array" aca="1" ref="E5518" ca="1">INDIRECT("b"&amp;F5518+2)</f>
        <v>0</v>
      </c>
      <c r="F5518" s="18">
        <f t="shared" si="1151"/>
        <v>7753</v>
      </c>
      <c r="G5518" s="18"/>
      <c r="H5518" s="18"/>
      <c r="I5518" s="19">
        <v>5516</v>
      </c>
      <c r="J5518" s="19" cm="1">
        <f t="array" aca="1" ref="J5518" ca="1">INDIRECT("b"&amp;K5518+2)</f>
        <v>0</v>
      </c>
      <c r="K5518" s="19">
        <f t="shared" si="1163"/>
        <v>8953</v>
      </c>
    </row>
    <row r="5519" spans="1:11">
      <c r="A5519">
        <v>5517</v>
      </c>
      <c r="B5519">
        <v>8.8750000000000006E+159</v>
      </c>
      <c r="D5519" s="18">
        <v>5517</v>
      </c>
      <c r="E5519" s="18" cm="1">
        <f t="array" aca="1" ref="E5519" ca="1">INDIRECT("b"&amp;F5519+2)</f>
        <v>0</v>
      </c>
      <c r="F5519" s="18">
        <f t="shared" si="1151"/>
        <v>7754</v>
      </c>
      <c r="G5519" s="18"/>
      <c r="H5519" s="18"/>
      <c r="I5519" s="19">
        <v>5517</v>
      </c>
      <c r="J5519" s="19" cm="1">
        <f t="array" aca="1" ref="J5519" ca="1">INDIRECT("b"&amp;K5519+2)</f>
        <v>0</v>
      </c>
      <c r="K5519" s="19">
        <f t="shared" si="1163"/>
        <v>8954</v>
      </c>
    </row>
    <row r="5520" spans="1:11">
      <c r="A5520">
        <v>5518</v>
      </c>
      <c r="B5520">
        <v>9.1000000000000002E+159</v>
      </c>
      <c r="D5520" s="18">
        <v>5518</v>
      </c>
      <c r="E5520" s="18" cm="1">
        <f t="array" aca="1" ref="E5520" ca="1">INDIRECT("b"&amp;F5520+2)</f>
        <v>0</v>
      </c>
      <c r="F5520" s="18">
        <f t="shared" si="1151"/>
        <v>7756</v>
      </c>
      <c r="G5520" s="18"/>
      <c r="H5520" s="18"/>
      <c r="I5520" s="19">
        <v>5518</v>
      </c>
      <c r="J5520" s="19" cm="1">
        <f t="array" aca="1" ref="J5520" ca="1">INDIRECT("b"&amp;K5520+2)</f>
        <v>0</v>
      </c>
      <c r="K5520" s="19">
        <f t="shared" si="1163"/>
        <v>8956</v>
      </c>
    </row>
    <row r="5521" spans="1:11">
      <c r="A5521">
        <v>5519</v>
      </c>
      <c r="B5521">
        <v>9.3249999999999998E+159</v>
      </c>
      <c r="D5521" s="18">
        <v>5519</v>
      </c>
      <c r="E5521" s="18" cm="1">
        <f t="array" aca="1" ref="E5521" ca="1">INDIRECT("b"&amp;F5521+2)</f>
        <v>0</v>
      </c>
      <c r="F5521" s="18">
        <f t="shared" si="1151"/>
        <v>7757</v>
      </c>
      <c r="G5521" s="18" t="e">
        <f t="shared" ref="G5521" ca="1" si="1166">E5521/E5516</f>
        <v>#DIV/0!</v>
      </c>
      <c r="H5521" s="18"/>
      <c r="I5521" s="19">
        <v>5519</v>
      </c>
      <c r="J5521" s="19" cm="1">
        <f t="array" aca="1" ref="J5521" ca="1">INDIRECT("b"&amp;K5521+2)</f>
        <v>0</v>
      </c>
      <c r="K5521" s="19">
        <f t="shared" si="1163"/>
        <v>8957</v>
      </c>
    </row>
    <row r="5522" spans="1:11">
      <c r="A5522">
        <v>5520</v>
      </c>
      <c r="B5522">
        <v>9.5500000000000009E+159</v>
      </c>
      <c r="D5522" s="18">
        <v>5520</v>
      </c>
      <c r="E5522" s="18" cm="1">
        <f t="array" aca="1" ref="E5522" ca="1">INDIRECT("b"&amp;F5522+2)</f>
        <v>0</v>
      </c>
      <c r="F5522" s="18">
        <f t="shared" si="1151"/>
        <v>7758</v>
      </c>
      <c r="G5522" s="18"/>
      <c r="H5522" s="18"/>
      <c r="I5522" s="19">
        <v>5520</v>
      </c>
      <c r="J5522" s="19" cm="1">
        <f t="array" aca="1" ref="J5522" ca="1">INDIRECT("b"&amp;K5522+2)</f>
        <v>0</v>
      </c>
      <c r="K5522" s="19">
        <f t="shared" si="1163"/>
        <v>8958</v>
      </c>
    </row>
    <row r="5523" spans="1:11">
      <c r="A5523">
        <v>5521</v>
      </c>
      <c r="B5523">
        <v>9.7750000000000005E+159</v>
      </c>
      <c r="D5523" s="18">
        <v>5521</v>
      </c>
      <c r="E5523" s="18" cm="1">
        <f t="array" aca="1" ref="E5523" ca="1">INDIRECT("b"&amp;F5523+2)</f>
        <v>0</v>
      </c>
      <c r="F5523" s="18">
        <f t="shared" ref="F5523:F5586" si="1167">INT((A5523-123)*1.333333)+563</f>
        <v>7760</v>
      </c>
      <c r="G5523" s="18"/>
      <c r="H5523" s="18"/>
      <c r="I5523" s="19">
        <v>5521</v>
      </c>
      <c r="J5523" s="19" cm="1">
        <f t="array" aca="1" ref="J5523" ca="1">INDIRECT("b"&amp;K5523+2)</f>
        <v>0</v>
      </c>
      <c r="K5523" s="19">
        <f t="shared" si="1163"/>
        <v>8960</v>
      </c>
    </row>
    <row r="5524" spans="1:11">
      <c r="A5524">
        <v>5522</v>
      </c>
      <c r="B5524">
        <v>1E+160</v>
      </c>
      <c r="D5524" s="18">
        <v>5522</v>
      </c>
      <c r="E5524" s="18" cm="1">
        <f t="array" aca="1" ref="E5524" ca="1">INDIRECT("b"&amp;F5524+2)</f>
        <v>0</v>
      </c>
      <c r="F5524" s="18">
        <f t="shared" si="1167"/>
        <v>7761</v>
      </c>
      <c r="G5524" s="18"/>
      <c r="H5524" s="18"/>
      <c r="I5524" s="19">
        <v>5522</v>
      </c>
      <c r="J5524" s="19" cm="1">
        <f t="array" aca="1" ref="J5524" ca="1">INDIRECT("b"&amp;K5524+2)</f>
        <v>0</v>
      </c>
      <c r="K5524" s="19">
        <f t="shared" si="1163"/>
        <v>8961</v>
      </c>
    </row>
    <row r="5525" spans="1:11">
      <c r="A5525">
        <v>5523</v>
      </c>
      <c r="B5525">
        <v>1.2250000000000001E+160</v>
      </c>
      <c r="D5525" s="18">
        <v>5523</v>
      </c>
      <c r="E5525" s="18" cm="1">
        <f t="array" aca="1" ref="E5525" ca="1">INDIRECT("b"&amp;F5525+2)</f>
        <v>0</v>
      </c>
      <c r="F5525" s="18">
        <f t="shared" si="1167"/>
        <v>7762</v>
      </c>
      <c r="G5525" s="18"/>
      <c r="H5525" s="18"/>
      <c r="I5525" s="19">
        <v>5523</v>
      </c>
      <c r="J5525" s="19" cm="1">
        <f t="array" aca="1" ref="J5525" ca="1">INDIRECT("b"&amp;K5525+2)</f>
        <v>0</v>
      </c>
      <c r="K5525" s="19">
        <f t="shared" si="1163"/>
        <v>8962</v>
      </c>
    </row>
    <row r="5526" spans="1:11">
      <c r="A5526">
        <v>5524</v>
      </c>
      <c r="B5526">
        <v>1.45E+160</v>
      </c>
      <c r="D5526" s="18">
        <v>5524</v>
      </c>
      <c r="E5526" s="18" cm="1">
        <f t="array" aca="1" ref="E5526" ca="1">INDIRECT("b"&amp;F5526+2)</f>
        <v>0</v>
      </c>
      <c r="F5526" s="18">
        <f t="shared" si="1167"/>
        <v>7764</v>
      </c>
      <c r="G5526" s="18" t="e">
        <f t="shared" ref="G5526" ca="1" si="1168">E5526/E5521</f>
        <v>#DIV/0!</v>
      </c>
      <c r="H5526" s="18"/>
      <c r="I5526" s="19">
        <v>5524</v>
      </c>
      <c r="J5526" s="19" cm="1">
        <f t="array" aca="1" ref="J5526" ca="1">INDIRECT("b"&amp;K5526+2)</f>
        <v>0</v>
      </c>
      <c r="K5526" s="19">
        <f t="shared" si="1163"/>
        <v>8964</v>
      </c>
    </row>
    <row r="5527" spans="1:11">
      <c r="A5527">
        <v>5525</v>
      </c>
      <c r="B5527">
        <v>1.6750000000000002E+160</v>
      </c>
      <c r="D5527" s="18">
        <v>5525</v>
      </c>
      <c r="E5527" s="18" cm="1">
        <f t="array" aca="1" ref="E5527" ca="1">INDIRECT("b"&amp;F5527+2)</f>
        <v>0</v>
      </c>
      <c r="F5527" s="18">
        <f t="shared" si="1167"/>
        <v>7765</v>
      </c>
      <c r="G5527" s="18"/>
      <c r="H5527" s="18"/>
      <c r="I5527" s="19">
        <v>5525</v>
      </c>
      <c r="J5527" s="19" cm="1">
        <f t="array" aca="1" ref="J5527" ca="1">INDIRECT("b"&amp;K5527+2)</f>
        <v>0</v>
      </c>
      <c r="K5527" s="19">
        <f t="shared" si="1163"/>
        <v>8965</v>
      </c>
    </row>
    <row r="5528" spans="1:11">
      <c r="A5528">
        <v>5526</v>
      </c>
      <c r="B5528">
        <v>1.9000000000000001E+160</v>
      </c>
      <c r="D5528" s="18">
        <v>5526</v>
      </c>
      <c r="E5528" s="18" cm="1">
        <f t="array" aca="1" ref="E5528" ca="1">INDIRECT("b"&amp;F5528+2)</f>
        <v>0</v>
      </c>
      <c r="F5528" s="18">
        <f t="shared" si="1167"/>
        <v>7766</v>
      </c>
      <c r="G5528" s="18"/>
      <c r="H5528" s="18"/>
      <c r="I5528" s="19">
        <v>5526</v>
      </c>
      <c r="J5528" s="19" cm="1">
        <f t="array" aca="1" ref="J5528" ca="1">INDIRECT("b"&amp;K5528+2)</f>
        <v>0</v>
      </c>
      <c r="K5528" s="19">
        <f t="shared" si="1163"/>
        <v>8966</v>
      </c>
    </row>
    <row r="5529" spans="1:11">
      <c r="A5529">
        <v>5527</v>
      </c>
      <c r="B5529">
        <v>2.125E+160</v>
      </c>
      <c r="D5529" s="18">
        <v>5527</v>
      </c>
      <c r="E5529" s="18" cm="1">
        <f t="array" aca="1" ref="E5529" ca="1">INDIRECT("b"&amp;F5529+2)</f>
        <v>0</v>
      </c>
      <c r="F5529" s="18">
        <f t="shared" si="1167"/>
        <v>7768</v>
      </c>
      <c r="G5529" s="18"/>
      <c r="H5529" s="18"/>
      <c r="I5529" s="19">
        <v>5527</v>
      </c>
      <c r="J5529" s="19" cm="1">
        <f t="array" aca="1" ref="J5529" ca="1">INDIRECT("b"&amp;K5529+2)</f>
        <v>0</v>
      </c>
      <c r="K5529" s="19">
        <f t="shared" si="1163"/>
        <v>8968</v>
      </c>
    </row>
    <row r="5530" spans="1:11">
      <c r="A5530">
        <v>5528</v>
      </c>
      <c r="B5530">
        <v>2.3500000000000002E+160</v>
      </c>
      <c r="D5530" s="18">
        <v>5528</v>
      </c>
      <c r="E5530" s="18" cm="1">
        <f t="array" aca="1" ref="E5530" ca="1">INDIRECT("b"&amp;F5530+2)</f>
        <v>0</v>
      </c>
      <c r="F5530" s="18">
        <f t="shared" si="1167"/>
        <v>7769</v>
      </c>
      <c r="G5530" s="18"/>
      <c r="H5530" s="18"/>
      <c r="I5530" s="19">
        <v>5528</v>
      </c>
      <c r="J5530" s="19" cm="1">
        <f t="array" aca="1" ref="J5530" ca="1">INDIRECT("b"&amp;K5530+2)</f>
        <v>0</v>
      </c>
      <c r="K5530" s="19">
        <f t="shared" si="1163"/>
        <v>8969</v>
      </c>
    </row>
    <row r="5531" spans="1:11">
      <c r="A5531">
        <v>5529</v>
      </c>
      <c r="B5531">
        <v>2.5750000000000001E+160</v>
      </c>
      <c r="D5531" s="18">
        <v>5529</v>
      </c>
      <c r="E5531" s="18" cm="1">
        <f t="array" aca="1" ref="E5531" ca="1">INDIRECT("b"&amp;F5531+2)</f>
        <v>0</v>
      </c>
      <c r="F5531" s="18">
        <f t="shared" si="1167"/>
        <v>7770</v>
      </c>
      <c r="G5531" s="18" t="e">
        <f t="shared" ref="G5531" ca="1" si="1169">E5531/E5526</f>
        <v>#DIV/0!</v>
      </c>
      <c r="H5531" s="18"/>
      <c r="I5531" s="19">
        <v>5529</v>
      </c>
      <c r="J5531" s="19" cm="1">
        <f t="array" aca="1" ref="J5531" ca="1">INDIRECT("b"&amp;K5531+2)</f>
        <v>0</v>
      </c>
      <c r="K5531" s="19">
        <f t="shared" si="1163"/>
        <v>8970</v>
      </c>
    </row>
    <row r="5532" spans="1:11">
      <c r="A5532">
        <v>5530</v>
      </c>
      <c r="B5532">
        <v>2.8000000000000003E+160</v>
      </c>
      <c r="D5532" s="18">
        <v>5530</v>
      </c>
      <c r="E5532" s="18" cm="1">
        <f t="array" aca="1" ref="E5532" ca="1">INDIRECT("b"&amp;F5532+2)</f>
        <v>0</v>
      </c>
      <c r="F5532" s="18">
        <f t="shared" si="1167"/>
        <v>7772</v>
      </c>
      <c r="G5532" s="18"/>
      <c r="H5532" s="18"/>
      <c r="I5532" s="19">
        <v>5530</v>
      </c>
      <c r="J5532" s="19" cm="1">
        <f t="array" aca="1" ref="J5532" ca="1">INDIRECT("b"&amp;K5532+2)</f>
        <v>0</v>
      </c>
      <c r="K5532" s="19">
        <f t="shared" si="1163"/>
        <v>8972</v>
      </c>
    </row>
    <row r="5533" spans="1:11">
      <c r="A5533">
        <v>5531</v>
      </c>
      <c r="B5533">
        <v>3.0249999999999999E+160</v>
      </c>
      <c r="D5533" s="18">
        <v>5531</v>
      </c>
      <c r="E5533" s="18" cm="1">
        <f t="array" aca="1" ref="E5533" ca="1">INDIRECT("b"&amp;F5533+2)</f>
        <v>0</v>
      </c>
      <c r="F5533" s="18">
        <f t="shared" si="1167"/>
        <v>7773</v>
      </c>
      <c r="G5533" s="18"/>
      <c r="H5533" s="18"/>
      <c r="I5533" s="19">
        <v>5531</v>
      </c>
      <c r="J5533" s="19" cm="1">
        <f t="array" aca="1" ref="J5533" ca="1">INDIRECT("b"&amp;K5533+2)</f>
        <v>0</v>
      </c>
      <c r="K5533" s="19">
        <f t="shared" si="1163"/>
        <v>8973</v>
      </c>
    </row>
    <row r="5534" spans="1:11">
      <c r="A5534">
        <v>5532</v>
      </c>
      <c r="B5534">
        <v>3.2500000000000004E+160</v>
      </c>
      <c r="D5534" s="18">
        <v>5532</v>
      </c>
      <c r="E5534" s="18" cm="1">
        <f t="array" aca="1" ref="E5534" ca="1">INDIRECT("b"&amp;F5534+2)</f>
        <v>0</v>
      </c>
      <c r="F5534" s="18">
        <f t="shared" si="1167"/>
        <v>7774</v>
      </c>
      <c r="G5534" s="18"/>
      <c r="H5534" s="18"/>
      <c r="I5534" s="19">
        <v>5532</v>
      </c>
      <c r="J5534" s="19" cm="1">
        <f t="array" aca="1" ref="J5534" ca="1">INDIRECT("b"&amp;K5534+2)</f>
        <v>0</v>
      </c>
      <c r="K5534" s="19">
        <f t="shared" si="1163"/>
        <v>8974</v>
      </c>
    </row>
    <row r="5535" spans="1:11">
      <c r="A5535">
        <v>5533</v>
      </c>
      <c r="B5535">
        <v>3.4750000000000003E+160</v>
      </c>
      <c r="D5535" s="18">
        <v>5533</v>
      </c>
      <c r="E5535" s="18" cm="1">
        <f t="array" aca="1" ref="E5535" ca="1">INDIRECT("b"&amp;F5535+2)</f>
        <v>0</v>
      </c>
      <c r="F5535" s="18">
        <f t="shared" si="1167"/>
        <v>7776</v>
      </c>
      <c r="G5535" s="18"/>
      <c r="H5535" s="18"/>
      <c r="I5535" s="19">
        <v>5533</v>
      </c>
      <c r="J5535" s="19" cm="1">
        <f t="array" aca="1" ref="J5535" ca="1">INDIRECT("b"&amp;K5535+2)</f>
        <v>0</v>
      </c>
      <c r="K5535" s="19">
        <f t="shared" si="1163"/>
        <v>8976</v>
      </c>
    </row>
    <row r="5536" spans="1:11">
      <c r="A5536">
        <v>5534</v>
      </c>
      <c r="B5536">
        <v>3.7000000000000002E+160</v>
      </c>
      <c r="D5536" s="18">
        <v>5534</v>
      </c>
      <c r="E5536" s="18" cm="1">
        <f t="array" aca="1" ref="E5536" ca="1">INDIRECT("b"&amp;F5536+2)</f>
        <v>0</v>
      </c>
      <c r="F5536" s="18">
        <f t="shared" si="1167"/>
        <v>7777</v>
      </c>
      <c r="G5536" s="18" t="e">
        <f t="shared" ref="G5536" ca="1" si="1170">E5536/E5531</f>
        <v>#DIV/0!</v>
      </c>
      <c r="H5536" s="18"/>
      <c r="I5536" s="19">
        <v>5534</v>
      </c>
      <c r="J5536" s="19" cm="1">
        <f t="array" aca="1" ref="J5536" ca="1">INDIRECT("b"&amp;K5536+2)</f>
        <v>0</v>
      </c>
      <c r="K5536" s="19">
        <f t="shared" si="1163"/>
        <v>8977</v>
      </c>
    </row>
    <row r="5537" spans="1:11">
      <c r="A5537">
        <v>5535</v>
      </c>
      <c r="B5537">
        <v>3.9250000000000001E+160</v>
      </c>
      <c r="D5537" s="18">
        <v>5535</v>
      </c>
      <c r="E5537" s="18" cm="1">
        <f t="array" aca="1" ref="E5537" ca="1">INDIRECT("b"&amp;F5537+2)</f>
        <v>0</v>
      </c>
      <c r="F5537" s="18">
        <f t="shared" si="1167"/>
        <v>7778</v>
      </c>
      <c r="G5537" s="18"/>
      <c r="H5537" s="18"/>
      <c r="I5537" s="19">
        <v>5535</v>
      </c>
      <c r="J5537" s="19" cm="1">
        <f t="array" aca="1" ref="J5537" ca="1">INDIRECT("b"&amp;K5537+2)</f>
        <v>0</v>
      </c>
      <c r="K5537" s="19">
        <f t="shared" si="1163"/>
        <v>8978</v>
      </c>
    </row>
    <row r="5538" spans="1:11">
      <c r="A5538">
        <v>5536</v>
      </c>
      <c r="B5538">
        <v>4.15E+160</v>
      </c>
      <c r="D5538" s="18">
        <v>5536</v>
      </c>
      <c r="E5538" s="18" cm="1">
        <f t="array" aca="1" ref="E5538" ca="1">INDIRECT("b"&amp;F5538+2)</f>
        <v>0</v>
      </c>
      <c r="F5538" s="18">
        <f t="shared" si="1167"/>
        <v>7780</v>
      </c>
      <c r="G5538" s="18"/>
      <c r="H5538" s="18"/>
      <c r="I5538" s="19">
        <v>5536</v>
      </c>
      <c r="J5538" s="19" cm="1">
        <f t="array" aca="1" ref="J5538" ca="1">INDIRECT("b"&amp;K5538+2)</f>
        <v>0</v>
      </c>
      <c r="K5538" s="19">
        <f t="shared" si="1163"/>
        <v>8980</v>
      </c>
    </row>
    <row r="5539" spans="1:11">
      <c r="A5539">
        <v>5537</v>
      </c>
      <c r="B5539">
        <v>4.3750000000000005E+160</v>
      </c>
      <c r="D5539" s="18">
        <v>5537</v>
      </c>
      <c r="E5539" s="18" cm="1">
        <f t="array" aca="1" ref="E5539" ca="1">INDIRECT("b"&amp;F5539+2)</f>
        <v>0</v>
      </c>
      <c r="F5539" s="18">
        <f t="shared" si="1167"/>
        <v>7781</v>
      </c>
      <c r="G5539" s="18"/>
      <c r="H5539" s="18"/>
      <c r="I5539" s="19">
        <v>5537</v>
      </c>
      <c r="J5539" s="19" cm="1">
        <f t="array" aca="1" ref="J5539" ca="1">INDIRECT("b"&amp;K5539+2)</f>
        <v>0</v>
      </c>
      <c r="K5539" s="19">
        <f t="shared" si="1163"/>
        <v>8981</v>
      </c>
    </row>
    <row r="5540" spans="1:11">
      <c r="A5540">
        <v>5538</v>
      </c>
      <c r="B5540">
        <v>4.6000000000000004E+160</v>
      </c>
      <c r="D5540" s="18">
        <v>5538</v>
      </c>
      <c r="E5540" s="18" cm="1">
        <f t="array" aca="1" ref="E5540" ca="1">INDIRECT("b"&amp;F5540+2)</f>
        <v>0</v>
      </c>
      <c r="F5540" s="18">
        <f t="shared" si="1167"/>
        <v>7782</v>
      </c>
      <c r="G5540" s="18"/>
      <c r="H5540" s="18"/>
      <c r="I5540" s="19">
        <v>5538</v>
      </c>
      <c r="J5540" s="19" cm="1">
        <f t="array" aca="1" ref="J5540" ca="1">INDIRECT("b"&amp;K5540+2)</f>
        <v>0</v>
      </c>
      <c r="K5540" s="19">
        <f t="shared" si="1163"/>
        <v>8982</v>
      </c>
    </row>
    <row r="5541" spans="1:11">
      <c r="A5541">
        <v>5539</v>
      </c>
      <c r="B5541">
        <v>4.8250000000000003E+160</v>
      </c>
      <c r="D5541" s="18">
        <v>5539</v>
      </c>
      <c r="E5541" s="18" cm="1">
        <f t="array" aca="1" ref="E5541" ca="1">INDIRECT("b"&amp;F5541+2)</f>
        <v>0</v>
      </c>
      <c r="F5541" s="18">
        <f t="shared" si="1167"/>
        <v>7784</v>
      </c>
      <c r="G5541" s="18" t="e">
        <f t="shared" ref="G5541" ca="1" si="1171">E5541/E5536</f>
        <v>#DIV/0!</v>
      </c>
      <c r="H5541" s="18"/>
      <c r="I5541" s="19">
        <v>5539</v>
      </c>
      <c r="J5541" s="19" cm="1">
        <f t="array" aca="1" ref="J5541" ca="1">INDIRECT("b"&amp;K5541+2)</f>
        <v>0</v>
      </c>
      <c r="K5541" s="19">
        <f t="shared" si="1163"/>
        <v>8984</v>
      </c>
    </row>
    <row r="5542" spans="1:11">
      <c r="A5542">
        <v>5540</v>
      </c>
      <c r="B5542">
        <v>5.0500000000000002E+160</v>
      </c>
      <c r="D5542" s="18">
        <v>5540</v>
      </c>
      <c r="E5542" s="18" cm="1">
        <f t="array" aca="1" ref="E5542" ca="1">INDIRECT("b"&amp;F5542+2)</f>
        <v>0</v>
      </c>
      <c r="F5542" s="18">
        <f t="shared" si="1167"/>
        <v>7785</v>
      </c>
      <c r="G5542" s="18"/>
      <c r="H5542" s="18"/>
      <c r="I5542" s="19">
        <v>5540</v>
      </c>
      <c r="J5542" s="19" cm="1">
        <f t="array" aca="1" ref="J5542" ca="1">INDIRECT("b"&amp;K5542+2)</f>
        <v>0</v>
      </c>
      <c r="K5542" s="19">
        <f t="shared" si="1163"/>
        <v>8985</v>
      </c>
    </row>
    <row r="5543" spans="1:11">
      <c r="A5543">
        <v>5541</v>
      </c>
      <c r="B5543">
        <v>5.2750000000000001E+160</v>
      </c>
      <c r="D5543" s="18">
        <v>5541</v>
      </c>
      <c r="E5543" s="18" cm="1">
        <f t="array" aca="1" ref="E5543" ca="1">INDIRECT("b"&amp;F5543+2)</f>
        <v>0</v>
      </c>
      <c r="F5543" s="18">
        <f t="shared" si="1167"/>
        <v>7786</v>
      </c>
      <c r="G5543" s="18"/>
      <c r="H5543" s="18"/>
      <c r="I5543" s="19">
        <v>5541</v>
      </c>
      <c r="J5543" s="19" cm="1">
        <f t="array" aca="1" ref="J5543" ca="1">INDIRECT("b"&amp;K5543+2)</f>
        <v>0</v>
      </c>
      <c r="K5543" s="19">
        <f t="shared" si="1163"/>
        <v>8986</v>
      </c>
    </row>
    <row r="5544" spans="1:11">
      <c r="A5544">
        <v>5542</v>
      </c>
      <c r="B5544">
        <v>5.5E+160</v>
      </c>
      <c r="D5544" s="18">
        <v>5542</v>
      </c>
      <c r="E5544" s="18" cm="1">
        <f t="array" aca="1" ref="E5544" ca="1">INDIRECT("b"&amp;F5544+2)</f>
        <v>0</v>
      </c>
      <c r="F5544" s="18">
        <f t="shared" si="1167"/>
        <v>7788</v>
      </c>
      <c r="G5544" s="18"/>
      <c r="H5544" s="18"/>
      <c r="I5544" s="19">
        <v>5542</v>
      </c>
      <c r="J5544" s="19" cm="1">
        <f t="array" aca="1" ref="J5544" ca="1">INDIRECT("b"&amp;K5544+2)</f>
        <v>0</v>
      </c>
      <c r="K5544" s="19">
        <f t="shared" si="1163"/>
        <v>8988</v>
      </c>
    </row>
    <row r="5545" spans="1:11">
      <c r="A5545">
        <v>5543</v>
      </c>
      <c r="B5545">
        <v>5.7249999999999999E+160</v>
      </c>
      <c r="D5545" s="18">
        <v>5543</v>
      </c>
      <c r="E5545" s="18" cm="1">
        <f t="array" aca="1" ref="E5545" ca="1">INDIRECT("b"&amp;F5545+2)</f>
        <v>0</v>
      </c>
      <c r="F5545" s="18">
        <f t="shared" si="1167"/>
        <v>7789</v>
      </c>
      <c r="G5545" s="18"/>
      <c r="H5545" s="18"/>
      <c r="I5545" s="19">
        <v>5543</v>
      </c>
      <c r="J5545" s="19" cm="1">
        <f t="array" aca="1" ref="J5545" ca="1">INDIRECT("b"&amp;K5545+2)</f>
        <v>0</v>
      </c>
      <c r="K5545" s="19">
        <f t="shared" si="1163"/>
        <v>8989</v>
      </c>
    </row>
    <row r="5546" spans="1:11">
      <c r="A5546">
        <v>5544</v>
      </c>
      <c r="B5546">
        <v>5.9499999999999998E+160</v>
      </c>
      <c r="D5546" s="18">
        <v>5544</v>
      </c>
      <c r="E5546" s="18" cm="1">
        <f t="array" aca="1" ref="E5546" ca="1">INDIRECT("b"&amp;F5546+2)</f>
        <v>0</v>
      </c>
      <c r="F5546" s="18">
        <f t="shared" si="1167"/>
        <v>7790</v>
      </c>
      <c r="G5546" s="18" t="e">
        <f t="shared" ref="G5546" ca="1" si="1172">E5546/E5541</f>
        <v>#DIV/0!</v>
      </c>
      <c r="H5546" s="18"/>
      <c r="I5546" s="19">
        <v>5544</v>
      </c>
      <c r="J5546" s="19" cm="1">
        <f t="array" aca="1" ref="J5546" ca="1">INDIRECT("b"&amp;K5546+2)</f>
        <v>0</v>
      </c>
      <c r="K5546" s="19">
        <f t="shared" si="1163"/>
        <v>8990</v>
      </c>
    </row>
    <row r="5547" spans="1:11">
      <c r="A5547">
        <v>5545</v>
      </c>
      <c r="B5547">
        <v>6.1750000000000009E+160</v>
      </c>
      <c r="D5547" s="18">
        <v>5545</v>
      </c>
      <c r="E5547" s="18" cm="1">
        <f t="array" aca="1" ref="E5547" ca="1">INDIRECT("b"&amp;F5547+2)</f>
        <v>0</v>
      </c>
      <c r="F5547" s="18">
        <f t="shared" si="1167"/>
        <v>7792</v>
      </c>
      <c r="G5547" s="18"/>
      <c r="H5547" s="18"/>
      <c r="I5547" s="19">
        <v>5545</v>
      </c>
      <c r="J5547" s="19" cm="1">
        <f t="array" aca="1" ref="J5547" ca="1">INDIRECT("b"&amp;K5547+2)</f>
        <v>0</v>
      </c>
      <c r="K5547" s="19">
        <f t="shared" si="1163"/>
        <v>8992</v>
      </c>
    </row>
    <row r="5548" spans="1:11">
      <c r="A5548">
        <v>5546</v>
      </c>
      <c r="B5548">
        <v>6.4000000000000008E+160</v>
      </c>
      <c r="D5548" s="18">
        <v>5546</v>
      </c>
      <c r="E5548" s="18" cm="1">
        <f t="array" aca="1" ref="E5548" ca="1">INDIRECT("b"&amp;F5548+2)</f>
        <v>0</v>
      </c>
      <c r="F5548" s="18">
        <f t="shared" si="1167"/>
        <v>7793</v>
      </c>
      <c r="G5548" s="18"/>
      <c r="H5548" s="18"/>
      <c r="I5548" s="19">
        <v>5546</v>
      </c>
      <c r="J5548" s="19" cm="1">
        <f t="array" aca="1" ref="J5548" ca="1">INDIRECT("b"&amp;K5548+2)</f>
        <v>0</v>
      </c>
      <c r="K5548" s="19">
        <f t="shared" si="1163"/>
        <v>8993</v>
      </c>
    </row>
    <row r="5549" spans="1:11">
      <c r="A5549">
        <v>5547</v>
      </c>
      <c r="B5549">
        <v>6.6250000000000007E+160</v>
      </c>
      <c r="D5549" s="18">
        <v>5547</v>
      </c>
      <c r="E5549" s="18" cm="1">
        <f t="array" aca="1" ref="E5549" ca="1">INDIRECT("b"&amp;F5549+2)</f>
        <v>0</v>
      </c>
      <c r="F5549" s="18">
        <f t="shared" si="1167"/>
        <v>7794</v>
      </c>
      <c r="G5549" s="18"/>
      <c r="H5549" s="18"/>
      <c r="I5549" s="19">
        <v>5547</v>
      </c>
      <c r="J5549" s="19" cm="1">
        <f t="array" aca="1" ref="J5549" ca="1">INDIRECT("b"&amp;K5549+2)</f>
        <v>0</v>
      </c>
      <c r="K5549" s="19">
        <f t="shared" si="1163"/>
        <v>8994</v>
      </c>
    </row>
    <row r="5550" spans="1:11">
      <c r="A5550">
        <v>5548</v>
      </c>
      <c r="B5550">
        <v>6.8500000000000006E+160</v>
      </c>
      <c r="D5550" s="18">
        <v>5548</v>
      </c>
      <c r="E5550" s="18" cm="1">
        <f t="array" aca="1" ref="E5550" ca="1">INDIRECT("b"&amp;F5550+2)</f>
        <v>0</v>
      </c>
      <c r="F5550" s="18">
        <f t="shared" si="1167"/>
        <v>7796</v>
      </c>
      <c r="G5550" s="18"/>
      <c r="H5550" s="18"/>
      <c r="I5550" s="19">
        <v>5548</v>
      </c>
      <c r="J5550" s="19" cm="1">
        <f t="array" aca="1" ref="J5550" ca="1">INDIRECT("b"&amp;K5550+2)</f>
        <v>0</v>
      </c>
      <c r="K5550" s="19">
        <f t="shared" si="1163"/>
        <v>8996</v>
      </c>
    </row>
    <row r="5551" spans="1:11">
      <c r="A5551">
        <v>5549</v>
      </c>
      <c r="B5551">
        <v>7.0750000000000005E+160</v>
      </c>
      <c r="D5551" s="18">
        <v>5549</v>
      </c>
      <c r="E5551" s="18" cm="1">
        <f t="array" aca="1" ref="E5551" ca="1">INDIRECT("b"&amp;F5551+2)</f>
        <v>0</v>
      </c>
      <c r="F5551" s="18">
        <f t="shared" si="1167"/>
        <v>7797</v>
      </c>
      <c r="G5551" s="18" t="e">
        <f t="shared" ref="G5551" ca="1" si="1173">E5551/E5546</f>
        <v>#DIV/0!</v>
      </c>
      <c r="H5551" s="18"/>
      <c r="I5551" s="19">
        <v>5549</v>
      </c>
      <c r="J5551" s="19" cm="1">
        <f t="array" aca="1" ref="J5551" ca="1">INDIRECT("b"&amp;K5551+2)</f>
        <v>0</v>
      </c>
      <c r="K5551" s="19">
        <f t="shared" si="1163"/>
        <v>8997</v>
      </c>
    </row>
    <row r="5552" spans="1:11">
      <c r="A5552">
        <v>5550</v>
      </c>
      <c r="B5552">
        <v>7.3000000000000004E+160</v>
      </c>
      <c r="D5552" s="18">
        <v>5550</v>
      </c>
      <c r="E5552" s="18" cm="1">
        <f t="array" aca="1" ref="E5552" ca="1">INDIRECT("b"&amp;F5552+2)</f>
        <v>0</v>
      </c>
      <c r="F5552" s="18">
        <f t="shared" si="1167"/>
        <v>7798</v>
      </c>
      <c r="G5552" s="18"/>
      <c r="H5552" s="18"/>
      <c r="I5552" s="19">
        <v>5550</v>
      </c>
      <c r="J5552" s="19" cm="1">
        <f t="array" aca="1" ref="J5552" ca="1">INDIRECT("b"&amp;K5552+2)</f>
        <v>0</v>
      </c>
      <c r="K5552" s="19">
        <f t="shared" si="1163"/>
        <v>8998</v>
      </c>
    </row>
    <row r="5553" spans="1:11">
      <c r="A5553">
        <v>5551</v>
      </c>
      <c r="B5553">
        <v>7.5250000000000003E+160</v>
      </c>
      <c r="D5553" s="18">
        <v>5551</v>
      </c>
      <c r="E5553" s="18" cm="1">
        <f t="array" aca="1" ref="E5553" ca="1">INDIRECT("b"&amp;F5553+2)</f>
        <v>0</v>
      </c>
      <c r="F5553" s="18">
        <f t="shared" si="1167"/>
        <v>7800</v>
      </c>
      <c r="G5553" s="18"/>
      <c r="H5553" s="18"/>
      <c r="I5553" s="19">
        <v>5551</v>
      </c>
      <c r="J5553" s="19" cm="1">
        <f t="array" aca="1" ref="J5553" ca="1">INDIRECT("b"&amp;K5553+2)</f>
        <v>0</v>
      </c>
      <c r="K5553" s="19">
        <f t="shared" si="1163"/>
        <v>9000</v>
      </c>
    </row>
    <row r="5554" spans="1:11">
      <c r="A5554">
        <v>5552</v>
      </c>
      <c r="B5554">
        <v>7.7500000000000002E+160</v>
      </c>
      <c r="D5554" s="18">
        <v>5552</v>
      </c>
      <c r="E5554" s="18" cm="1">
        <f t="array" aca="1" ref="E5554" ca="1">INDIRECT("b"&amp;F5554+2)</f>
        <v>0</v>
      </c>
      <c r="F5554" s="18">
        <f t="shared" si="1167"/>
        <v>7801</v>
      </c>
      <c r="G5554" s="18"/>
      <c r="H5554" s="18"/>
      <c r="I5554" s="19">
        <v>5552</v>
      </c>
      <c r="J5554" s="19" cm="1">
        <f t="array" aca="1" ref="J5554" ca="1">INDIRECT("b"&amp;K5554+2)</f>
        <v>0</v>
      </c>
      <c r="K5554" s="19">
        <f t="shared" si="1163"/>
        <v>9001</v>
      </c>
    </row>
    <row r="5555" spans="1:11">
      <c r="A5555">
        <v>5553</v>
      </c>
      <c r="B5555">
        <v>7.9750000000000001E+160</v>
      </c>
      <c r="D5555" s="18">
        <v>5553</v>
      </c>
      <c r="E5555" s="18" cm="1">
        <f t="array" aca="1" ref="E5555" ca="1">INDIRECT("b"&amp;F5555+2)</f>
        <v>0</v>
      </c>
      <c r="F5555" s="18">
        <f t="shared" si="1167"/>
        <v>7802</v>
      </c>
      <c r="G5555" s="18"/>
      <c r="H5555" s="18"/>
      <c r="I5555" s="19">
        <v>5553</v>
      </c>
      <c r="J5555" s="19" cm="1">
        <f t="array" aca="1" ref="J5555" ca="1">INDIRECT("b"&amp;K5555+2)</f>
        <v>0</v>
      </c>
      <c r="K5555" s="19">
        <f t="shared" si="1163"/>
        <v>9002</v>
      </c>
    </row>
    <row r="5556" spans="1:11">
      <c r="A5556">
        <v>5554</v>
      </c>
      <c r="B5556">
        <v>8.2E+160</v>
      </c>
      <c r="D5556" s="18">
        <v>5554</v>
      </c>
      <c r="E5556" s="18" cm="1">
        <f t="array" aca="1" ref="E5556" ca="1">INDIRECT("b"&amp;F5556+2)</f>
        <v>0</v>
      </c>
      <c r="F5556" s="18">
        <f t="shared" si="1167"/>
        <v>7804</v>
      </c>
      <c r="G5556" s="18" t="e">
        <f t="shared" ref="G5556" ca="1" si="1174">E5556/E5551</f>
        <v>#DIV/0!</v>
      </c>
      <c r="H5556" s="18"/>
      <c r="I5556" s="19">
        <v>5554</v>
      </c>
      <c r="J5556" s="19" cm="1">
        <f t="array" aca="1" ref="J5556" ca="1">INDIRECT("b"&amp;K5556+2)</f>
        <v>0</v>
      </c>
      <c r="K5556" s="19">
        <f t="shared" si="1163"/>
        <v>9004</v>
      </c>
    </row>
    <row r="5557" spans="1:11">
      <c r="A5557">
        <v>5555</v>
      </c>
      <c r="B5557">
        <v>8.4249999999999999E+160</v>
      </c>
      <c r="D5557" s="18">
        <v>5555</v>
      </c>
      <c r="E5557" s="18" cm="1">
        <f t="array" aca="1" ref="E5557" ca="1">INDIRECT("b"&amp;F5557+2)</f>
        <v>0</v>
      </c>
      <c r="F5557" s="18">
        <f t="shared" si="1167"/>
        <v>7805</v>
      </c>
      <c r="G5557" s="18"/>
      <c r="H5557" s="18"/>
      <c r="I5557" s="19">
        <v>5555</v>
      </c>
      <c r="J5557" s="19" cm="1">
        <f t="array" aca="1" ref="J5557" ca="1">INDIRECT("b"&amp;K5557+2)</f>
        <v>0</v>
      </c>
      <c r="K5557" s="19">
        <f t="shared" si="1163"/>
        <v>9005</v>
      </c>
    </row>
    <row r="5558" spans="1:11">
      <c r="A5558">
        <v>5556</v>
      </c>
      <c r="B5558">
        <v>8.650000000000001E+160</v>
      </c>
      <c r="D5558" s="18">
        <v>5556</v>
      </c>
      <c r="E5558" s="18" cm="1">
        <f t="array" aca="1" ref="E5558" ca="1">INDIRECT("b"&amp;F5558+2)</f>
        <v>0</v>
      </c>
      <c r="F5558" s="18">
        <f t="shared" si="1167"/>
        <v>7806</v>
      </c>
      <c r="G5558" s="18"/>
      <c r="H5558" s="18"/>
      <c r="I5558" s="19">
        <v>5556</v>
      </c>
      <c r="J5558" s="19" cm="1">
        <f t="array" aca="1" ref="J5558" ca="1">INDIRECT("b"&amp;K5558+2)</f>
        <v>0</v>
      </c>
      <c r="K5558" s="19">
        <f t="shared" si="1163"/>
        <v>9006</v>
      </c>
    </row>
    <row r="5559" spans="1:11">
      <c r="A5559">
        <v>5557</v>
      </c>
      <c r="B5559">
        <v>8.8750000000000009E+160</v>
      </c>
      <c r="D5559" s="18">
        <v>5557</v>
      </c>
      <c r="E5559" s="18" cm="1">
        <f t="array" aca="1" ref="E5559" ca="1">INDIRECT("b"&amp;F5559+2)</f>
        <v>0</v>
      </c>
      <c r="F5559" s="18">
        <f t="shared" si="1167"/>
        <v>7808</v>
      </c>
      <c r="G5559" s="18"/>
      <c r="H5559" s="18"/>
      <c r="I5559" s="19">
        <v>5557</v>
      </c>
      <c r="J5559" s="19" cm="1">
        <f t="array" aca="1" ref="J5559" ca="1">INDIRECT("b"&amp;K5559+2)</f>
        <v>0</v>
      </c>
      <c r="K5559" s="19">
        <f t="shared" si="1163"/>
        <v>9008</v>
      </c>
    </row>
    <row r="5560" spans="1:11">
      <c r="A5560">
        <v>5558</v>
      </c>
      <c r="B5560">
        <v>9.1000000000000008E+160</v>
      </c>
      <c r="D5560" s="18">
        <v>5558</v>
      </c>
      <c r="E5560" s="18" cm="1">
        <f t="array" aca="1" ref="E5560" ca="1">INDIRECT("b"&amp;F5560+2)</f>
        <v>0</v>
      </c>
      <c r="F5560" s="18">
        <f t="shared" si="1167"/>
        <v>7809</v>
      </c>
      <c r="G5560" s="18"/>
      <c r="H5560" s="18"/>
      <c r="I5560" s="19">
        <v>5558</v>
      </c>
      <c r="J5560" s="19" cm="1">
        <f t="array" aca="1" ref="J5560" ca="1">INDIRECT("b"&amp;K5560+2)</f>
        <v>0</v>
      </c>
      <c r="K5560" s="19">
        <f t="shared" si="1163"/>
        <v>9009</v>
      </c>
    </row>
    <row r="5561" spans="1:11">
      <c r="A5561">
        <v>5559</v>
      </c>
      <c r="B5561">
        <v>9.3250000000000007E+160</v>
      </c>
      <c r="D5561" s="18">
        <v>5559</v>
      </c>
      <c r="E5561" s="18" cm="1">
        <f t="array" aca="1" ref="E5561" ca="1">INDIRECT("b"&amp;F5561+2)</f>
        <v>0</v>
      </c>
      <c r="F5561" s="18">
        <f t="shared" si="1167"/>
        <v>7810</v>
      </c>
      <c r="G5561" s="18" t="e">
        <f t="shared" ref="G5561" ca="1" si="1175">E5561/E5556</f>
        <v>#DIV/0!</v>
      </c>
      <c r="H5561" s="18"/>
      <c r="I5561" s="19">
        <v>5559</v>
      </c>
      <c r="J5561" s="19" cm="1">
        <f t="array" aca="1" ref="J5561" ca="1">INDIRECT("b"&amp;K5561+2)</f>
        <v>0</v>
      </c>
      <c r="K5561" s="19">
        <f t="shared" si="1163"/>
        <v>9010</v>
      </c>
    </row>
    <row r="5562" spans="1:11">
      <c r="A5562">
        <v>5560</v>
      </c>
      <c r="B5562">
        <v>9.5500000000000006E+160</v>
      </c>
      <c r="D5562" s="18">
        <v>5560</v>
      </c>
      <c r="E5562" s="18" cm="1">
        <f t="array" aca="1" ref="E5562" ca="1">INDIRECT("b"&amp;F5562+2)</f>
        <v>0</v>
      </c>
      <c r="F5562" s="18">
        <f t="shared" si="1167"/>
        <v>7812</v>
      </c>
      <c r="G5562" s="18"/>
      <c r="H5562" s="18"/>
      <c r="I5562" s="19">
        <v>5560</v>
      </c>
      <c r="J5562" s="19" cm="1">
        <f t="array" aca="1" ref="J5562" ca="1">INDIRECT("b"&amp;K5562+2)</f>
        <v>0</v>
      </c>
      <c r="K5562" s="19">
        <f t="shared" si="1163"/>
        <v>9012</v>
      </c>
    </row>
    <row r="5563" spans="1:11">
      <c r="A5563">
        <v>5561</v>
      </c>
      <c r="B5563">
        <v>9.7750000000000005E+160</v>
      </c>
      <c r="D5563" s="18">
        <v>5561</v>
      </c>
      <c r="E5563" s="18" cm="1">
        <f t="array" aca="1" ref="E5563" ca="1">INDIRECT("b"&amp;F5563+2)</f>
        <v>0</v>
      </c>
      <c r="F5563" s="18">
        <f t="shared" si="1167"/>
        <v>7813</v>
      </c>
      <c r="G5563" s="18"/>
      <c r="H5563" s="18"/>
      <c r="I5563" s="19">
        <v>5561</v>
      </c>
      <c r="J5563" s="19" cm="1">
        <f t="array" aca="1" ref="J5563" ca="1">INDIRECT("b"&amp;K5563+2)</f>
        <v>0</v>
      </c>
      <c r="K5563" s="19">
        <f t="shared" si="1163"/>
        <v>9013</v>
      </c>
    </row>
    <row r="5564" spans="1:11">
      <c r="A5564">
        <v>5562</v>
      </c>
      <c r="B5564">
        <v>1E+161</v>
      </c>
      <c r="D5564" s="18">
        <v>5562</v>
      </c>
      <c r="E5564" s="18" cm="1">
        <f t="array" aca="1" ref="E5564" ca="1">INDIRECT("b"&amp;F5564+2)</f>
        <v>0</v>
      </c>
      <c r="F5564" s="18">
        <f t="shared" si="1167"/>
        <v>7814</v>
      </c>
      <c r="G5564" s="18"/>
      <c r="H5564" s="18"/>
      <c r="I5564" s="19">
        <v>5562</v>
      </c>
      <c r="J5564" s="19" cm="1">
        <f t="array" aca="1" ref="J5564" ca="1">INDIRECT("b"&amp;K5564+2)</f>
        <v>0</v>
      </c>
      <c r="K5564" s="19">
        <f t="shared" si="1163"/>
        <v>9014</v>
      </c>
    </row>
    <row r="5565" spans="1:11">
      <c r="A5565">
        <v>5563</v>
      </c>
      <c r="B5565">
        <v>1.2249999999999999E+161</v>
      </c>
      <c r="D5565" s="18">
        <v>5563</v>
      </c>
      <c r="E5565" s="18" cm="1">
        <f t="array" aca="1" ref="E5565" ca="1">INDIRECT("b"&amp;F5565+2)</f>
        <v>0</v>
      </c>
      <c r="F5565" s="18">
        <f t="shared" si="1167"/>
        <v>7816</v>
      </c>
      <c r="G5565" s="18"/>
      <c r="H5565" s="18"/>
      <c r="I5565" s="19">
        <v>5563</v>
      </c>
      <c r="J5565" s="19" cm="1">
        <f t="array" aca="1" ref="J5565" ca="1">INDIRECT("b"&amp;K5565+2)</f>
        <v>0</v>
      </c>
      <c r="K5565" s="19">
        <f t="shared" si="1163"/>
        <v>9016</v>
      </c>
    </row>
    <row r="5566" spans="1:11">
      <c r="A5566">
        <v>5564</v>
      </c>
      <c r="B5566">
        <v>1.4500000000000001E+161</v>
      </c>
      <c r="D5566" s="18">
        <v>5564</v>
      </c>
      <c r="E5566" s="18" cm="1">
        <f t="array" aca="1" ref="E5566" ca="1">INDIRECT("b"&amp;F5566+2)</f>
        <v>0</v>
      </c>
      <c r="F5566" s="18">
        <f t="shared" si="1167"/>
        <v>7817</v>
      </c>
      <c r="G5566" s="18" t="e">
        <f t="shared" ref="G5566" ca="1" si="1176">E5566/E5561</f>
        <v>#DIV/0!</v>
      </c>
      <c r="H5566" s="18"/>
      <c r="I5566" s="19">
        <v>5564</v>
      </c>
      <c r="J5566" s="19" cm="1">
        <f t="array" aca="1" ref="J5566" ca="1">INDIRECT("b"&amp;K5566+2)</f>
        <v>0</v>
      </c>
      <c r="K5566" s="19">
        <f t="shared" si="1163"/>
        <v>9017</v>
      </c>
    </row>
    <row r="5567" spans="1:11">
      <c r="A5567">
        <v>5565</v>
      </c>
      <c r="B5567">
        <v>1.675E+161</v>
      </c>
      <c r="D5567" s="18">
        <v>5565</v>
      </c>
      <c r="E5567" s="18" cm="1">
        <f t="array" aca="1" ref="E5567" ca="1">INDIRECT("b"&amp;F5567+2)</f>
        <v>0</v>
      </c>
      <c r="F5567" s="18">
        <f t="shared" si="1167"/>
        <v>7818</v>
      </c>
      <c r="G5567" s="18"/>
      <c r="H5567" s="18"/>
      <c r="I5567" s="19">
        <v>5565</v>
      </c>
      <c r="J5567" s="19" cm="1">
        <f t="array" aca="1" ref="J5567" ca="1">INDIRECT("b"&amp;K5567+2)</f>
        <v>0</v>
      </c>
      <c r="K5567" s="19">
        <f t="shared" si="1163"/>
        <v>9018</v>
      </c>
    </row>
    <row r="5568" spans="1:11">
      <c r="A5568">
        <v>5566</v>
      </c>
      <c r="B5568">
        <v>1.9000000000000001E+161</v>
      </c>
      <c r="D5568" s="18">
        <v>5566</v>
      </c>
      <c r="E5568" s="18" cm="1">
        <f t="array" aca="1" ref="E5568" ca="1">INDIRECT("b"&amp;F5568+2)</f>
        <v>0</v>
      </c>
      <c r="F5568" s="18">
        <f t="shared" si="1167"/>
        <v>7820</v>
      </c>
      <c r="G5568" s="18"/>
      <c r="H5568" s="18"/>
      <c r="I5568" s="19">
        <v>5566</v>
      </c>
      <c r="J5568" s="19" cm="1">
        <f t="array" aca="1" ref="J5568" ca="1">INDIRECT("b"&amp;K5568+2)</f>
        <v>0</v>
      </c>
      <c r="K5568" s="19">
        <f t="shared" si="1163"/>
        <v>9020</v>
      </c>
    </row>
    <row r="5569" spans="1:11">
      <c r="A5569">
        <v>5567</v>
      </c>
      <c r="B5569">
        <v>2.125E+161</v>
      </c>
      <c r="D5569" s="18">
        <v>5567</v>
      </c>
      <c r="E5569" s="18" cm="1">
        <f t="array" aca="1" ref="E5569" ca="1">INDIRECT("b"&amp;F5569+2)</f>
        <v>0</v>
      </c>
      <c r="F5569" s="18">
        <f t="shared" si="1167"/>
        <v>7821</v>
      </c>
      <c r="G5569" s="18"/>
      <c r="H5569" s="18"/>
      <c r="I5569" s="19">
        <v>5567</v>
      </c>
      <c r="J5569" s="19" cm="1">
        <f t="array" aca="1" ref="J5569" ca="1">INDIRECT("b"&amp;K5569+2)</f>
        <v>0</v>
      </c>
      <c r="K5569" s="19">
        <f t="shared" si="1163"/>
        <v>9021</v>
      </c>
    </row>
    <row r="5570" spans="1:11">
      <c r="A5570">
        <v>5568</v>
      </c>
      <c r="B5570">
        <v>2.3499999999999999E+161</v>
      </c>
      <c r="D5570" s="18">
        <v>5568</v>
      </c>
      <c r="E5570" s="18" cm="1">
        <f t="array" aca="1" ref="E5570" ca="1">INDIRECT("b"&amp;F5570+2)</f>
        <v>0</v>
      </c>
      <c r="F5570" s="18">
        <f t="shared" si="1167"/>
        <v>7822</v>
      </c>
      <c r="G5570" s="18"/>
      <c r="H5570" s="18"/>
      <c r="I5570" s="19">
        <v>5568</v>
      </c>
      <c r="J5570" s="19" cm="1">
        <f t="array" aca="1" ref="J5570" ca="1">INDIRECT("b"&amp;K5570+2)</f>
        <v>0</v>
      </c>
      <c r="K5570" s="19">
        <f t="shared" si="1163"/>
        <v>9022</v>
      </c>
    </row>
    <row r="5571" spans="1:11">
      <c r="A5571">
        <v>5569</v>
      </c>
      <c r="B5571">
        <v>2.5750000000000001E+161</v>
      </c>
      <c r="D5571" s="18">
        <v>5569</v>
      </c>
      <c r="E5571" s="18" cm="1">
        <f t="array" aca="1" ref="E5571" ca="1">INDIRECT("b"&amp;F5571+2)</f>
        <v>0</v>
      </c>
      <c r="F5571" s="18">
        <f t="shared" si="1167"/>
        <v>7824</v>
      </c>
      <c r="G5571" s="18" t="e">
        <f t="shared" ref="G5571" ca="1" si="1177">E5571/E5566</f>
        <v>#DIV/0!</v>
      </c>
      <c r="H5571" s="18"/>
      <c r="I5571" s="19">
        <v>5569</v>
      </c>
      <c r="J5571" s="19" cm="1">
        <f t="array" aca="1" ref="J5571" ca="1">INDIRECT("b"&amp;K5571+2)</f>
        <v>0</v>
      </c>
      <c r="K5571" s="19">
        <f t="shared" si="1163"/>
        <v>9024</v>
      </c>
    </row>
    <row r="5572" spans="1:11">
      <c r="A5572">
        <v>5570</v>
      </c>
      <c r="B5572">
        <v>2.8000000000000002E+161</v>
      </c>
      <c r="D5572" s="18">
        <v>5570</v>
      </c>
      <c r="E5572" s="18" cm="1">
        <f t="array" aca="1" ref="E5572" ca="1">INDIRECT("b"&amp;F5572+2)</f>
        <v>0</v>
      </c>
      <c r="F5572" s="18">
        <f t="shared" si="1167"/>
        <v>7825</v>
      </c>
      <c r="G5572" s="18"/>
      <c r="H5572" s="18"/>
      <c r="I5572" s="19">
        <v>5570</v>
      </c>
      <c r="J5572" s="19" cm="1">
        <f t="array" aca="1" ref="J5572" ca="1">INDIRECT("b"&amp;K5572+2)</f>
        <v>0</v>
      </c>
      <c r="K5572" s="19">
        <f t="shared" ref="K5572:K5635" si="1178">INT((A5572-1)*40/30+900*40/30)+400</f>
        <v>9025</v>
      </c>
    </row>
    <row r="5573" spans="1:11">
      <c r="A5573">
        <v>5571</v>
      </c>
      <c r="B5573">
        <v>3.0249999999999999E+161</v>
      </c>
      <c r="D5573" s="18">
        <v>5571</v>
      </c>
      <c r="E5573" s="18" cm="1">
        <f t="array" aca="1" ref="E5573" ca="1">INDIRECT("b"&amp;F5573+2)</f>
        <v>0</v>
      </c>
      <c r="F5573" s="18">
        <f t="shared" si="1167"/>
        <v>7826</v>
      </c>
      <c r="G5573" s="18"/>
      <c r="H5573" s="18"/>
      <c r="I5573" s="19">
        <v>5571</v>
      </c>
      <c r="J5573" s="19" cm="1">
        <f t="array" aca="1" ref="J5573" ca="1">INDIRECT("b"&amp;K5573+2)</f>
        <v>0</v>
      </c>
      <c r="K5573" s="19">
        <f t="shared" si="1178"/>
        <v>9026</v>
      </c>
    </row>
    <row r="5574" spans="1:11">
      <c r="A5574">
        <v>5572</v>
      </c>
      <c r="B5574">
        <v>3.25E+161</v>
      </c>
      <c r="D5574" s="18">
        <v>5572</v>
      </c>
      <c r="E5574" s="18" cm="1">
        <f t="array" aca="1" ref="E5574" ca="1">INDIRECT("b"&amp;F5574+2)</f>
        <v>0</v>
      </c>
      <c r="F5574" s="18">
        <f t="shared" si="1167"/>
        <v>7828</v>
      </c>
      <c r="G5574" s="18"/>
      <c r="H5574" s="18"/>
      <c r="I5574" s="19">
        <v>5572</v>
      </c>
      <c r="J5574" s="19" cm="1">
        <f t="array" aca="1" ref="J5574" ca="1">INDIRECT("b"&amp;K5574+2)</f>
        <v>0</v>
      </c>
      <c r="K5574" s="19">
        <f t="shared" si="1178"/>
        <v>9028</v>
      </c>
    </row>
    <row r="5575" spans="1:11">
      <c r="A5575">
        <v>5573</v>
      </c>
      <c r="B5575">
        <v>3.4750000000000001E+161</v>
      </c>
      <c r="D5575" s="18">
        <v>5573</v>
      </c>
      <c r="E5575" s="18" cm="1">
        <f t="array" aca="1" ref="E5575" ca="1">INDIRECT("b"&amp;F5575+2)</f>
        <v>0</v>
      </c>
      <c r="F5575" s="18">
        <f t="shared" si="1167"/>
        <v>7829</v>
      </c>
      <c r="G5575" s="18"/>
      <c r="H5575" s="18"/>
      <c r="I5575" s="19">
        <v>5573</v>
      </c>
      <c r="J5575" s="19" cm="1">
        <f t="array" aca="1" ref="J5575" ca="1">INDIRECT("b"&amp;K5575+2)</f>
        <v>0</v>
      </c>
      <c r="K5575" s="19">
        <f t="shared" si="1178"/>
        <v>9029</v>
      </c>
    </row>
    <row r="5576" spans="1:11">
      <c r="A5576">
        <v>5574</v>
      </c>
      <c r="B5576">
        <v>3.6999999999999998E+161</v>
      </c>
      <c r="D5576" s="18">
        <v>5574</v>
      </c>
      <c r="E5576" s="18" cm="1">
        <f t="array" aca="1" ref="E5576" ca="1">INDIRECT("b"&amp;F5576+2)</f>
        <v>0</v>
      </c>
      <c r="F5576" s="18">
        <f t="shared" si="1167"/>
        <v>7830</v>
      </c>
      <c r="G5576" s="18" t="e">
        <f t="shared" ref="G5576" ca="1" si="1179">E5576/E5571</f>
        <v>#DIV/0!</v>
      </c>
      <c r="H5576" s="18"/>
      <c r="I5576" s="19">
        <v>5574</v>
      </c>
      <c r="J5576" s="19" cm="1">
        <f t="array" aca="1" ref="J5576" ca="1">INDIRECT("b"&amp;K5576+2)</f>
        <v>0</v>
      </c>
      <c r="K5576" s="19">
        <f t="shared" si="1178"/>
        <v>9030</v>
      </c>
    </row>
    <row r="5577" spans="1:11">
      <c r="A5577">
        <v>5575</v>
      </c>
      <c r="B5577">
        <v>3.9249999999999999E+161</v>
      </c>
      <c r="D5577" s="18">
        <v>5575</v>
      </c>
      <c r="E5577" s="18" cm="1">
        <f t="array" aca="1" ref="E5577" ca="1">INDIRECT("b"&amp;F5577+2)</f>
        <v>0</v>
      </c>
      <c r="F5577" s="18">
        <f t="shared" si="1167"/>
        <v>7832</v>
      </c>
      <c r="G5577" s="18"/>
      <c r="H5577" s="18"/>
      <c r="I5577" s="19">
        <v>5575</v>
      </c>
      <c r="J5577" s="19" cm="1">
        <f t="array" aca="1" ref="J5577" ca="1">INDIRECT("b"&amp;K5577+2)</f>
        <v>0</v>
      </c>
      <c r="K5577" s="19">
        <f t="shared" si="1178"/>
        <v>9032</v>
      </c>
    </row>
    <row r="5578" spans="1:11">
      <c r="A5578">
        <v>5576</v>
      </c>
      <c r="B5578">
        <v>4.1500000000000001E+161</v>
      </c>
      <c r="D5578" s="18">
        <v>5576</v>
      </c>
      <c r="E5578" s="18" cm="1">
        <f t="array" aca="1" ref="E5578" ca="1">INDIRECT("b"&amp;F5578+2)</f>
        <v>0</v>
      </c>
      <c r="F5578" s="18">
        <f t="shared" si="1167"/>
        <v>7833</v>
      </c>
      <c r="G5578" s="18"/>
      <c r="H5578" s="18"/>
      <c r="I5578" s="19">
        <v>5576</v>
      </c>
      <c r="J5578" s="19" cm="1">
        <f t="array" aca="1" ref="J5578" ca="1">INDIRECT("b"&amp;K5578+2)</f>
        <v>0</v>
      </c>
      <c r="K5578" s="19">
        <f t="shared" si="1178"/>
        <v>9033</v>
      </c>
    </row>
    <row r="5579" spans="1:11">
      <c r="A5579">
        <v>5577</v>
      </c>
      <c r="B5579">
        <v>4.3750000000000002E+161</v>
      </c>
      <c r="D5579" s="18">
        <v>5577</v>
      </c>
      <c r="E5579" s="18" cm="1">
        <f t="array" aca="1" ref="E5579" ca="1">INDIRECT("b"&amp;F5579+2)</f>
        <v>0</v>
      </c>
      <c r="F5579" s="18">
        <f t="shared" si="1167"/>
        <v>7834</v>
      </c>
      <c r="G5579" s="18"/>
      <c r="H5579" s="18"/>
      <c r="I5579" s="19">
        <v>5577</v>
      </c>
      <c r="J5579" s="19" cm="1">
        <f t="array" aca="1" ref="J5579" ca="1">INDIRECT("b"&amp;K5579+2)</f>
        <v>0</v>
      </c>
      <c r="K5579" s="19">
        <f t="shared" si="1178"/>
        <v>9034</v>
      </c>
    </row>
    <row r="5580" spans="1:11">
      <c r="A5580">
        <v>5578</v>
      </c>
      <c r="B5580">
        <v>4.5999999999999999E+161</v>
      </c>
      <c r="D5580" s="18">
        <v>5578</v>
      </c>
      <c r="E5580" s="18" cm="1">
        <f t="array" aca="1" ref="E5580" ca="1">INDIRECT("b"&amp;F5580+2)</f>
        <v>0</v>
      </c>
      <c r="F5580" s="18">
        <f t="shared" si="1167"/>
        <v>7836</v>
      </c>
      <c r="G5580" s="18"/>
      <c r="H5580" s="18"/>
      <c r="I5580" s="19">
        <v>5578</v>
      </c>
      <c r="J5580" s="19" cm="1">
        <f t="array" aca="1" ref="J5580" ca="1">INDIRECT("b"&amp;K5580+2)</f>
        <v>0</v>
      </c>
      <c r="K5580" s="19">
        <f t="shared" si="1178"/>
        <v>9036</v>
      </c>
    </row>
    <row r="5581" spans="1:11">
      <c r="A5581">
        <v>5579</v>
      </c>
      <c r="B5581">
        <v>4.825E+161</v>
      </c>
      <c r="D5581" s="18">
        <v>5579</v>
      </c>
      <c r="E5581" s="18" cm="1">
        <f t="array" aca="1" ref="E5581" ca="1">INDIRECT("b"&amp;F5581+2)</f>
        <v>0</v>
      </c>
      <c r="F5581" s="18">
        <f t="shared" si="1167"/>
        <v>7837</v>
      </c>
      <c r="G5581" s="18" t="e">
        <f t="shared" ref="G5581" ca="1" si="1180">E5581/E5576</f>
        <v>#DIV/0!</v>
      </c>
      <c r="H5581" s="18"/>
      <c r="I5581" s="19">
        <v>5579</v>
      </c>
      <c r="J5581" s="19" cm="1">
        <f t="array" aca="1" ref="J5581" ca="1">INDIRECT("b"&amp;K5581+2)</f>
        <v>0</v>
      </c>
      <c r="K5581" s="19">
        <f t="shared" si="1178"/>
        <v>9037</v>
      </c>
    </row>
    <row r="5582" spans="1:11">
      <c r="A5582">
        <v>5580</v>
      </c>
      <c r="B5582">
        <v>5.0500000000000002E+161</v>
      </c>
      <c r="D5582" s="18">
        <v>5580</v>
      </c>
      <c r="E5582" s="18" cm="1">
        <f t="array" aca="1" ref="E5582" ca="1">INDIRECT("b"&amp;F5582+2)</f>
        <v>0</v>
      </c>
      <c r="F5582" s="18">
        <f t="shared" si="1167"/>
        <v>7838</v>
      </c>
      <c r="G5582" s="18"/>
      <c r="H5582" s="18"/>
      <c r="I5582" s="19">
        <v>5580</v>
      </c>
      <c r="J5582" s="19" cm="1">
        <f t="array" aca="1" ref="J5582" ca="1">INDIRECT("b"&amp;K5582+2)</f>
        <v>0</v>
      </c>
      <c r="K5582" s="19">
        <f t="shared" si="1178"/>
        <v>9038</v>
      </c>
    </row>
    <row r="5583" spans="1:11">
      <c r="A5583">
        <v>5581</v>
      </c>
      <c r="B5583">
        <v>5.2750000000000003E+161</v>
      </c>
      <c r="D5583" s="18">
        <v>5581</v>
      </c>
      <c r="E5583" s="18" cm="1">
        <f t="array" aca="1" ref="E5583" ca="1">INDIRECT("b"&amp;F5583+2)</f>
        <v>0</v>
      </c>
      <c r="F5583" s="18">
        <f t="shared" si="1167"/>
        <v>7840</v>
      </c>
      <c r="G5583" s="18"/>
      <c r="H5583" s="18"/>
      <c r="I5583" s="19">
        <v>5581</v>
      </c>
      <c r="J5583" s="19" cm="1">
        <f t="array" aca="1" ref="J5583" ca="1">INDIRECT("b"&amp;K5583+2)</f>
        <v>0</v>
      </c>
      <c r="K5583" s="19">
        <f t="shared" si="1178"/>
        <v>9040</v>
      </c>
    </row>
    <row r="5584" spans="1:11">
      <c r="A5584">
        <v>5582</v>
      </c>
      <c r="B5584">
        <v>5.5000000000000005E+161</v>
      </c>
      <c r="D5584" s="18">
        <v>5582</v>
      </c>
      <c r="E5584" s="18" cm="1">
        <f t="array" aca="1" ref="E5584" ca="1">INDIRECT("b"&amp;F5584+2)</f>
        <v>0</v>
      </c>
      <c r="F5584" s="18">
        <f t="shared" si="1167"/>
        <v>7841</v>
      </c>
      <c r="G5584" s="18"/>
      <c r="H5584" s="18"/>
      <c r="I5584" s="19">
        <v>5582</v>
      </c>
      <c r="J5584" s="19" cm="1">
        <f t="array" aca="1" ref="J5584" ca="1">INDIRECT("b"&amp;K5584+2)</f>
        <v>0</v>
      </c>
      <c r="K5584" s="19">
        <f t="shared" si="1178"/>
        <v>9041</v>
      </c>
    </row>
    <row r="5585" spans="1:11">
      <c r="A5585">
        <v>5583</v>
      </c>
      <c r="B5585">
        <v>5.7249999999999996E+161</v>
      </c>
      <c r="D5585" s="18">
        <v>5583</v>
      </c>
      <c r="E5585" s="18" cm="1">
        <f t="array" aca="1" ref="E5585" ca="1">INDIRECT("b"&amp;F5585+2)</f>
        <v>0</v>
      </c>
      <c r="F5585" s="18">
        <f t="shared" si="1167"/>
        <v>7842</v>
      </c>
      <c r="G5585" s="18"/>
      <c r="H5585" s="18"/>
      <c r="I5585" s="19">
        <v>5583</v>
      </c>
      <c r="J5585" s="19" cm="1">
        <f t="array" aca="1" ref="J5585" ca="1">INDIRECT("b"&amp;K5585+2)</f>
        <v>0</v>
      </c>
      <c r="K5585" s="19">
        <f t="shared" si="1178"/>
        <v>9042</v>
      </c>
    </row>
    <row r="5586" spans="1:11">
      <c r="A5586">
        <v>5584</v>
      </c>
      <c r="B5586">
        <v>5.9499999999999998E+161</v>
      </c>
      <c r="D5586" s="18">
        <v>5584</v>
      </c>
      <c r="E5586" s="18" cm="1">
        <f t="array" aca="1" ref="E5586" ca="1">INDIRECT("b"&amp;F5586+2)</f>
        <v>0</v>
      </c>
      <c r="F5586" s="18">
        <f t="shared" si="1167"/>
        <v>7844</v>
      </c>
      <c r="G5586" s="18" t="e">
        <f t="shared" ref="G5586" ca="1" si="1181">E5586/E5581</f>
        <v>#DIV/0!</v>
      </c>
      <c r="H5586" s="18"/>
      <c r="I5586" s="19">
        <v>5584</v>
      </c>
      <c r="J5586" s="19" cm="1">
        <f t="array" aca="1" ref="J5586" ca="1">INDIRECT("b"&amp;K5586+2)</f>
        <v>0</v>
      </c>
      <c r="K5586" s="19">
        <f t="shared" si="1178"/>
        <v>9044</v>
      </c>
    </row>
    <row r="5587" spans="1:11">
      <c r="A5587">
        <v>5585</v>
      </c>
      <c r="B5587">
        <v>6.1749999999999999E+161</v>
      </c>
      <c r="D5587" s="18">
        <v>5585</v>
      </c>
      <c r="E5587" s="18" cm="1">
        <f t="array" aca="1" ref="E5587" ca="1">INDIRECT("b"&amp;F5587+2)</f>
        <v>0</v>
      </c>
      <c r="F5587" s="18">
        <f t="shared" ref="F5587:F5650" si="1182">INT((A5587-123)*1.333333)+563</f>
        <v>7845</v>
      </c>
      <c r="G5587" s="18"/>
      <c r="H5587" s="18"/>
      <c r="I5587" s="19">
        <v>5585</v>
      </c>
      <c r="J5587" s="19" cm="1">
        <f t="array" aca="1" ref="J5587" ca="1">INDIRECT("b"&amp;K5587+2)</f>
        <v>0</v>
      </c>
      <c r="K5587" s="19">
        <f t="shared" si="1178"/>
        <v>9045</v>
      </c>
    </row>
    <row r="5588" spans="1:11">
      <c r="A5588">
        <v>5586</v>
      </c>
      <c r="B5588">
        <v>6.4E+161</v>
      </c>
      <c r="D5588" s="18">
        <v>5586</v>
      </c>
      <c r="E5588" s="18" cm="1">
        <f t="array" aca="1" ref="E5588" ca="1">INDIRECT("b"&amp;F5588+2)</f>
        <v>0</v>
      </c>
      <c r="F5588" s="18">
        <f t="shared" si="1182"/>
        <v>7846</v>
      </c>
      <c r="G5588" s="18"/>
      <c r="H5588" s="18"/>
      <c r="I5588" s="19">
        <v>5586</v>
      </c>
      <c r="J5588" s="19" cm="1">
        <f t="array" aca="1" ref="J5588" ca="1">INDIRECT("b"&amp;K5588+2)</f>
        <v>0</v>
      </c>
      <c r="K5588" s="19">
        <f t="shared" si="1178"/>
        <v>9046</v>
      </c>
    </row>
    <row r="5589" spans="1:11">
      <c r="A5589">
        <v>5587</v>
      </c>
      <c r="B5589">
        <v>6.6250000000000002E+161</v>
      </c>
      <c r="D5589" s="18">
        <v>5587</v>
      </c>
      <c r="E5589" s="18" cm="1">
        <f t="array" aca="1" ref="E5589" ca="1">INDIRECT("b"&amp;F5589+2)</f>
        <v>0</v>
      </c>
      <c r="F5589" s="18">
        <f t="shared" si="1182"/>
        <v>7848</v>
      </c>
      <c r="G5589" s="18"/>
      <c r="H5589" s="18"/>
      <c r="I5589" s="19">
        <v>5587</v>
      </c>
      <c r="J5589" s="19" cm="1">
        <f t="array" aca="1" ref="J5589" ca="1">INDIRECT("b"&amp;K5589+2)</f>
        <v>0</v>
      </c>
      <c r="K5589" s="19">
        <f t="shared" si="1178"/>
        <v>9048</v>
      </c>
    </row>
    <row r="5590" spans="1:11">
      <c r="A5590">
        <v>5588</v>
      </c>
      <c r="B5590">
        <v>6.8500000000000003E+161</v>
      </c>
      <c r="D5590" s="18">
        <v>5588</v>
      </c>
      <c r="E5590" s="18" cm="1">
        <f t="array" aca="1" ref="E5590" ca="1">INDIRECT("b"&amp;F5590+2)</f>
        <v>0</v>
      </c>
      <c r="F5590" s="18">
        <f t="shared" si="1182"/>
        <v>7849</v>
      </c>
      <c r="G5590" s="18"/>
      <c r="H5590" s="18"/>
      <c r="I5590" s="19">
        <v>5588</v>
      </c>
      <c r="J5590" s="19" cm="1">
        <f t="array" aca="1" ref="J5590" ca="1">INDIRECT("b"&amp;K5590+2)</f>
        <v>0</v>
      </c>
      <c r="K5590" s="19">
        <f t="shared" si="1178"/>
        <v>9049</v>
      </c>
    </row>
    <row r="5591" spans="1:11">
      <c r="A5591">
        <v>5589</v>
      </c>
      <c r="B5591">
        <v>7.0750000000000005E+161</v>
      </c>
      <c r="D5591" s="18">
        <v>5589</v>
      </c>
      <c r="E5591" s="18" cm="1">
        <f t="array" aca="1" ref="E5591" ca="1">INDIRECT("b"&amp;F5591+2)</f>
        <v>0</v>
      </c>
      <c r="F5591" s="18">
        <f t="shared" si="1182"/>
        <v>7850</v>
      </c>
      <c r="G5591" s="18" t="e">
        <f t="shared" ref="G5591" ca="1" si="1183">E5591/E5586</f>
        <v>#DIV/0!</v>
      </c>
      <c r="H5591" s="18"/>
      <c r="I5591" s="19">
        <v>5589</v>
      </c>
      <c r="J5591" s="19" cm="1">
        <f t="array" aca="1" ref="J5591" ca="1">INDIRECT("b"&amp;K5591+2)</f>
        <v>0</v>
      </c>
      <c r="K5591" s="19">
        <f t="shared" si="1178"/>
        <v>9050</v>
      </c>
    </row>
    <row r="5592" spans="1:11">
      <c r="A5592">
        <v>5590</v>
      </c>
      <c r="B5592">
        <v>7.2999999999999996E+161</v>
      </c>
      <c r="D5592" s="18">
        <v>5590</v>
      </c>
      <c r="E5592" s="18" cm="1">
        <f t="array" aca="1" ref="E5592" ca="1">INDIRECT("b"&amp;F5592+2)</f>
        <v>0</v>
      </c>
      <c r="F5592" s="18">
        <f t="shared" si="1182"/>
        <v>7852</v>
      </c>
      <c r="G5592" s="18"/>
      <c r="H5592" s="18"/>
      <c r="I5592" s="19">
        <v>5590</v>
      </c>
      <c r="J5592" s="19" cm="1">
        <f t="array" aca="1" ref="J5592" ca="1">INDIRECT("b"&amp;K5592+2)</f>
        <v>0</v>
      </c>
      <c r="K5592" s="19">
        <f t="shared" si="1178"/>
        <v>9052</v>
      </c>
    </row>
    <row r="5593" spans="1:11">
      <c r="A5593">
        <v>5591</v>
      </c>
      <c r="B5593">
        <v>7.5249999999999998E+161</v>
      </c>
      <c r="D5593" s="18">
        <v>5591</v>
      </c>
      <c r="E5593" s="18" cm="1">
        <f t="array" aca="1" ref="E5593" ca="1">INDIRECT("b"&amp;F5593+2)</f>
        <v>0</v>
      </c>
      <c r="F5593" s="18">
        <f t="shared" si="1182"/>
        <v>7853</v>
      </c>
      <c r="G5593" s="18"/>
      <c r="H5593" s="18"/>
      <c r="I5593" s="19">
        <v>5591</v>
      </c>
      <c r="J5593" s="19" cm="1">
        <f t="array" aca="1" ref="J5593" ca="1">INDIRECT("b"&amp;K5593+2)</f>
        <v>0</v>
      </c>
      <c r="K5593" s="19">
        <f t="shared" si="1178"/>
        <v>9053</v>
      </c>
    </row>
    <row r="5594" spans="1:11">
      <c r="A5594">
        <v>5592</v>
      </c>
      <c r="B5594">
        <v>7.7499999999999999E+161</v>
      </c>
      <c r="D5594" s="18">
        <v>5592</v>
      </c>
      <c r="E5594" s="18" cm="1">
        <f t="array" aca="1" ref="E5594" ca="1">INDIRECT("b"&amp;F5594+2)</f>
        <v>0</v>
      </c>
      <c r="F5594" s="18">
        <f t="shared" si="1182"/>
        <v>7854</v>
      </c>
      <c r="G5594" s="18"/>
      <c r="H5594" s="18"/>
      <c r="I5594" s="19">
        <v>5592</v>
      </c>
      <c r="J5594" s="19" cm="1">
        <f t="array" aca="1" ref="J5594" ca="1">INDIRECT("b"&amp;K5594+2)</f>
        <v>0</v>
      </c>
      <c r="K5594" s="19">
        <f t="shared" si="1178"/>
        <v>9054</v>
      </c>
    </row>
    <row r="5595" spans="1:11">
      <c r="A5595">
        <v>5593</v>
      </c>
      <c r="B5595">
        <v>7.9750000000000001E+161</v>
      </c>
      <c r="D5595" s="18">
        <v>5593</v>
      </c>
      <c r="E5595" s="18" cm="1">
        <f t="array" aca="1" ref="E5595" ca="1">INDIRECT("b"&amp;F5595+2)</f>
        <v>0</v>
      </c>
      <c r="F5595" s="18">
        <f t="shared" si="1182"/>
        <v>7856</v>
      </c>
      <c r="G5595" s="18"/>
      <c r="H5595" s="18"/>
      <c r="I5595" s="19">
        <v>5593</v>
      </c>
      <c r="J5595" s="19" cm="1">
        <f t="array" aca="1" ref="J5595" ca="1">INDIRECT("b"&amp;K5595+2)</f>
        <v>0</v>
      </c>
      <c r="K5595" s="19">
        <f t="shared" si="1178"/>
        <v>9056</v>
      </c>
    </row>
    <row r="5596" spans="1:11">
      <c r="A5596">
        <v>5594</v>
      </c>
      <c r="B5596">
        <v>8.2000000000000002E+161</v>
      </c>
      <c r="D5596" s="18">
        <v>5594</v>
      </c>
      <c r="E5596" s="18" cm="1">
        <f t="array" aca="1" ref="E5596" ca="1">INDIRECT("b"&amp;F5596+2)</f>
        <v>0</v>
      </c>
      <c r="F5596" s="18">
        <f t="shared" si="1182"/>
        <v>7857</v>
      </c>
      <c r="G5596" s="18" t="e">
        <f t="shared" ref="G5596" ca="1" si="1184">E5596/E5591</f>
        <v>#DIV/0!</v>
      </c>
      <c r="H5596" s="18"/>
      <c r="I5596" s="19">
        <v>5594</v>
      </c>
      <c r="J5596" s="19" cm="1">
        <f t="array" aca="1" ref="J5596" ca="1">INDIRECT("b"&amp;K5596+2)</f>
        <v>0</v>
      </c>
      <c r="K5596" s="19">
        <f t="shared" si="1178"/>
        <v>9057</v>
      </c>
    </row>
    <row r="5597" spans="1:11">
      <c r="A5597">
        <v>5595</v>
      </c>
      <c r="B5597">
        <v>8.4250000000000004E+161</v>
      </c>
      <c r="D5597" s="18">
        <v>5595</v>
      </c>
      <c r="E5597" s="18" cm="1">
        <f t="array" aca="1" ref="E5597" ca="1">INDIRECT("b"&amp;F5597+2)</f>
        <v>0</v>
      </c>
      <c r="F5597" s="18">
        <f t="shared" si="1182"/>
        <v>7858</v>
      </c>
      <c r="G5597" s="18"/>
      <c r="H5597" s="18"/>
      <c r="I5597" s="19">
        <v>5595</v>
      </c>
      <c r="J5597" s="19" cm="1">
        <f t="array" aca="1" ref="J5597" ca="1">INDIRECT("b"&amp;K5597+2)</f>
        <v>0</v>
      </c>
      <c r="K5597" s="19">
        <f t="shared" si="1178"/>
        <v>9058</v>
      </c>
    </row>
    <row r="5598" spans="1:11">
      <c r="A5598">
        <v>5596</v>
      </c>
      <c r="B5598">
        <v>8.6499999999999995E+161</v>
      </c>
      <c r="D5598" s="18">
        <v>5596</v>
      </c>
      <c r="E5598" s="18" cm="1">
        <f t="array" aca="1" ref="E5598" ca="1">INDIRECT("b"&amp;F5598+2)</f>
        <v>0</v>
      </c>
      <c r="F5598" s="18">
        <f t="shared" si="1182"/>
        <v>7860</v>
      </c>
      <c r="G5598" s="18"/>
      <c r="H5598" s="18"/>
      <c r="I5598" s="19">
        <v>5596</v>
      </c>
      <c r="J5598" s="19" cm="1">
        <f t="array" aca="1" ref="J5598" ca="1">INDIRECT("b"&amp;K5598+2)</f>
        <v>0</v>
      </c>
      <c r="K5598" s="19">
        <f t="shared" si="1178"/>
        <v>9060</v>
      </c>
    </row>
    <row r="5599" spans="1:11">
      <c r="A5599">
        <v>5597</v>
      </c>
      <c r="B5599">
        <v>8.8749999999999996E+161</v>
      </c>
      <c r="D5599" s="18">
        <v>5597</v>
      </c>
      <c r="E5599" s="18" cm="1">
        <f t="array" aca="1" ref="E5599" ca="1">INDIRECT("b"&amp;F5599+2)</f>
        <v>0</v>
      </c>
      <c r="F5599" s="18">
        <f t="shared" si="1182"/>
        <v>7861</v>
      </c>
      <c r="G5599" s="18"/>
      <c r="H5599" s="18"/>
      <c r="I5599" s="19">
        <v>5597</v>
      </c>
      <c r="J5599" s="19" cm="1">
        <f t="array" aca="1" ref="J5599" ca="1">INDIRECT("b"&amp;K5599+2)</f>
        <v>0</v>
      </c>
      <c r="K5599" s="19">
        <f t="shared" si="1178"/>
        <v>9061</v>
      </c>
    </row>
    <row r="5600" spans="1:11">
      <c r="A5600">
        <v>5598</v>
      </c>
      <c r="B5600">
        <v>9.1000000000000008E+161</v>
      </c>
      <c r="D5600" s="18">
        <v>5598</v>
      </c>
      <c r="E5600" s="18" cm="1">
        <f t="array" aca="1" ref="E5600" ca="1">INDIRECT("b"&amp;F5600+2)</f>
        <v>0</v>
      </c>
      <c r="F5600" s="18">
        <f t="shared" si="1182"/>
        <v>7862</v>
      </c>
      <c r="G5600" s="18"/>
      <c r="H5600" s="18"/>
      <c r="I5600" s="19">
        <v>5598</v>
      </c>
      <c r="J5600" s="19" cm="1">
        <f t="array" aca="1" ref="J5600" ca="1">INDIRECT("b"&amp;K5600+2)</f>
        <v>0</v>
      </c>
      <c r="K5600" s="19">
        <f t="shared" si="1178"/>
        <v>9062</v>
      </c>
    </row>
    <row r="5601" spans="1:11">
      <c r="A5601">
        <v>5599</v>
      </c>
      <c r="B5601">
        <v>9.3249999999999999E+161</v>
      </c>
      <c r="D5601" s="18">
        <v>5599</v>
      </c>
      <c r="E5601" s="18" cm="1">
        <f t="array" aca="1" ref="E5601" ca="1">INDIRECT("b"&amp;F5601+2)</f>
        <v>0</v>
      </c>
      <c r="F5601" s="18">
        <f t="shared" si="1182"/>
        <v>7864</v>
      </c>
      <c r="G5601" s="18" t="e">
        <f t="shared" ref="G5601" ca="1" si="1185">E5601/E5596</f>
        <v>#DIV/0!</v>
      </c>
      <c r="H5601" s="18"/>
      <c r="I5601" s="19">
        <v>5599</v>
      </c>
      <c r="J5601" s="19" cm="1">
        <f t="array" aca="1" ref="J5601" ca="1">INDIRECT("b"&amp;K5601+2)</f>
        <v>0</v>
      </c>
      <c r="K5601" s="19">
        <f t="shared" si="1178"/>
        <v>9064</v>
      </c>
    </row>
    <row r="5602" spans="1:11">
      <c r="A5602">
        <v>5600</v>
      </c>
      <c r="B5602">
        <v>9.5499999999999991E+161</v>
      </c>
      <c r="D5602" s="18">
        <v>5600</v>
      </c>
      <c r="E5602" s="18" cm="1">
        <f t="array" aca="1" ref="E5602" ca="1">INDIRECT("b"&amp;F5602+2)</f>
        <v>0</v>
      </c>
      <c r="F5602" s="18">
        <f t="shared" si="1182"/>
        <v>7865</v>
      </c>
      <c r="G5602" s="18"/>
      <c r="H5602" s="18"/>
      <c r="I5602" s="19">
        <v>5600</v>
      </c>
      <c r="J5602" s="19" cm="1">
        <f t="array" aca="1" ref="J5602" ca="1">INDIRECT("b"&amp;K5602+2)</f>
        <v>0</v>
      </c>
      <c r="K5602" s="19">
        <f t="shared" si="1178"/>
        <v>9065</v>
      </c>
    </row>
    <row r="5603" spans="1:11">
      <c r="A5603">
        <v>5601</v>
      </c>
      <c r="B5603">
        <v>9.7750000000000002E+161</v>
      </c>
      <c r="D5603" s="18">
        <v>5601</v>
      </c>
      <c r="E5603" s="18" cm="1">
        <f t="array" aca="1" ref="E5603" ca="1">INDIRECT("b"&amp;F5603+2)</f>
        <v>0</v>
      </c>
      <c r="F5603" s="18">
        <f t="shared" si="1182"/>
        <v>7866</v>
      </c>
      <c r="G5603" s="18"/>
      <c r="H5603" s="18"/>
      <c r="I5603" s="19">
        <v>5601</v>
      </c>
      <c r="J5603" s="19" cm="1">
        <f t="array" aca="1" ref="J5603" ca="1">INDIRECT("b"&amp;K5603+2)</f>
        <v>0</v>
      </c>
      <c r="K5603" s="19">
        <f t="shared" si="1178"/>
        <v>9066</v>
      </c>
    </row>
    <row r="5604" spans="1:11">
      <c r="A5604">
        <v>5602</v>
      </c>
      <c r="B5604">
        <v>9.9999999999999994E+161</v>
      </c>
      <c r="D5604" s="18">
        <v>5602</v>
      </c>
      <c r="E5604" s="18" cm="1">
        <f t="array" aca="1" ref="E5604" ca="1">INDIRECT("b"&amp;F5604+2)</f>
        <v>0</v>
      </c>
      <c r="F5604" s="18">
        <f t="shared" si="1182"/>
        <v>7868</v>
      </c>
      <c r="G5604" s="18"/>
      <c r="H5604" s="18"/>
      <c r="I5604" s="19">
        <v>5602</v>
      </c>
      <c r="J5604" s="19" cm="1">
        <f t="array" aca="1" ref="J5604" ca="1">INDIRECT("b"&amp;K5604+2)</f>
        <v>0</v>
      </c>
      <c r="K5604" s="19">
        <f t="shared" si="1178"/>
        <v>9068</v>
      </c>
    </row>
    <row r="5605" spans="1:11">
      <c r="A5605">
        <v>5603</v>
      </c>
      <c r="B5605">
        <v>1.2250000000000001E+162</v>
      </c>
      <c r="D5605" s="18">
        <v>5603</v>
      </c>
      <c r="E5605" s="18" cm="1">
        <f t="array" aca="1" ref="E5605" ca="1">INDIRECT("b"&amp;F5605+2)</f>
        <v>0</v>
      </c>
      <c r="F5605" s="18">
        <f t="shared" si="1182"/>
        <v>7869</v>
      </c>
      <c r="G5605" s="18"/>
      <c r="H5605" s="18"/>
      <c r="I5605" s="19">
        <v>5603</v>
      </c>
      <c r="J5605" s="19" cm="1">
        <f t="array" aca="1" ref="J5605" ca="1">INDIRECT("b"&amp;K5605+2)</f>
        <v>0</v>
      </c>
      <c r="K5605" s="19">
        <f t="shared" si="1178"/>
        <v>9069</v>
      </c>
    </row>
    <row r="5606" spans="1:11">
      <c r="A5606">
        <v>5604</v>
      </c>
      <c r="B5606">
        <v>1.45E+162</v>
      </c>
      <c r="D5606" s="18">
        <v>5604</v>
      </c>
      <c r="E5606" s="18" cm="1">
        <f t="array" aca="1" ref="E5606" ca="1">INDIRECT("b"&amp;F5606+2)</f>
        <v>0</v>
      </c>
      <c r="F5606" s="18">
        <f t="shared" si="1182"/>
        <v>7870</v>
      </c>
      <c r="G5606" s="18" t="e">
        <f t="shared" ref="G5606" ca="1" si="1186">E5606/E5601</f>
        <v>#DIV/0!</v>
      </c>
      <c r="H5606" s="18"/>
      <c r="I5606" s="19">
        <v>5604</v>
      </c>
      <c r="J5606" s="19" cm="1">
        <f t="array" aca="1" ref="J5606" ca="1">INDIRECT("b"&amp;K5606+2)</f>
        <v>0</v>
      </c>
      <c r="K5606" s="19">
        <f t="shared" si="1178"/>
        <v>9070</v>
      </c>
    </row>
    <row r="5607" spans="1:11">
      <c r="A5607">
        <v>5605</v>
      </c>
      <c r="B5607">
        <v>1.675E+162</v>
      </c>
      <c r="D5607" s="18">
        <v>5605</v>
      </c>
      <c r="E5607" s="18" cm="1">
        <f t="array" aca="1" ref="E5607" ca="1">INDIRECT("b"&amp;F5607+2)</f>
        <v>0</v>
      </c>
      <c r="F5607" s="18">
        <f t="shared" si="1182"/>
        <v>7872</v>
      </c>
      <c r="G5607" s="18"/>
      <c r="H5607" s="18"/>
      <c r="I5607" s="19">
        <v>5605</v>
      </c>
      <c r="J5607" s="19" cm="1">
        <f t="array" aca="1" ref="J5607" ca="1">INDIRECT("b"&amp;K5607+2)</f>
        <v>0</v>
      </c>
      <c r="K5607" s="19">
        <f t="shared" si="1178"/>
        <v>9072</v>
      </c>
    </row>
    <row r="5608" spans="1:11">
      <c r="A5608">
        <v>5606</v>
      </c>
      <c r="B5608">
        <v>1.9000000000000001E+162</v>
      </c>
      <c r="D5608" s="18">
        <v>5606</v>
      </c>
      <c r="E5608" s="18" cm="1">
        <f t="array" aca="1" ref="E5608" ca="1">INDIRECT("b"&amp;F5608+2)</f>
        <v>0</v>
      </c>
      <c r="F5608" s="18">
        <f t="shared" si="1182"/>
        <v>7873</v>
      </c>
      <c r="G5608" s="18"/>
      <c r="H5608" s="18"/>
      <c r="I5608" s="19">
        <v>5606</v>
      </c>
      <c r="J5608" s="19" cm="1">
        <f t="array" aca="1" ref="J5608" ca="1">INDIRECT("b"&amp;K5608+2)</f>
        <v>0</v>
      </c>
      <c r="K5608" s="19">
        <f t="shared" si="1178"/>
        <v>9073</v>
      </c>
    </row>
    <row r="5609" spans="1:11">
      <c r="A5609">
        <v>5607</v>
      </c>
      <c r="B5609">
        <v>2.1250000000000001E+162</v>
      </c>
      <c r="D5609" s="18">
        <v>5607</v>
      </c>
      <c r="E5609" s="18" cm="1">
        <f t="array" aca="1" ref="E5609" ca="1">INDIRECT("b"&amp;F5609+2)</f>
        <v>0</v>
      </c>
      <c r="F5609" s="18">
        <f t="shared" si="1182"/>
        <v>7874</v>
      </c>
      <c r="G5609" s="18"/>
      <c r="H5609" s="18"/>
      <c r="I5609" s="19">
        <v>5607</v>
      </c>
      <c r="J5609" s="19" cm="1">
        <f t="array" aca="1" ref="J5609" ca="1">INDIRECT("b"&amp;K5609+2)</f>
        <v>0</v>
      </c>
      <c r="K5609" s="19">
        <f t="shared" si="1178"/>
        <v>9074</v>
      </c>
    </row>
    <row r="5610" spans="1:11">
      <c r="A5610">
        <v>5608</v>
      </c>
      <c r="B5610">
        <v>2.35E+162</v>
      </c>
      <c r="D5610" s="18">
        <v>5608</v>
      </c>
      <c r="E5610" s="18" cm="1">
        <f t="array" aca="1" ref="E5610" ca="1">INDIRECT("b"&amp;F5610+2)</f>
        <v>0</v>
      </c>
      <c r="F5610" s="18">
        <f t="shared" si="1182"/>
        <v>7876</v>
      </c>
      <c r="G5610" s="18"/>
      <c r="H5610" s="18"/>
      <c r="I5610" s="19">
        <v>5608</v>
      </c>
      <c r="J5610" s="19" cm="1">
        <f t="array" aca="1" ref="J5610" ca="1">INDIRECT("b"&amp;K5610+2)</f>
        <v>0</v>
      </c>
      <c r="K5610" s="19">
        <f t="shared" si="1178"/>
        <v>9076</v>
      </c>
    </row>
    <row r="5611" spans="1:11">
      <c r="A5611">
        <v>5609</v>
      </c>
      <c r="B5611">
        <v>2.575E+162</v>
      </c>
      <c r="D5611" s="18">
        <v>5609</v>
      </c>
      <c r="E5611" s="18" cm="1">
        <f t="array" aca="1" ref="E5611" ca="1">INDIRECT("b"&amp;F5611+2)</f>
        <v>0</v>
      </c>
      <c r="F5611" s="18">
        <f t="shared" si="1182"/>
        <v>7877</v>
      </c>
      <c r="G5611" s="18" t="e">
        <f t="shared" ref="G5611" ca="1" si="1187">E5611/E5606</f>
        <v>#DIV/0!</v>
      </c>
      <c r="H5611" s="18"/>
      <c r="I5611" s="19">
        <v>5609</v>
      </c>
      <c r="J5611" s="19" cm="1">
        <f t="array" aca="1" ref="J5611" ca="1">INDIRECT("b"&amp;K5611+2)</f>
        <v>0</v>
      </c>
      <c r="K5611" s="19">
        <f t="shared" si="1178"/>
        <v>9077</v>
      </c>
    </row>
    <row r="5612" spans="1:11">
      <c r="A5612">
        <v>5610</v>
      </c>
      <c r="B5612">
        <v>2.7999999999999999E+162</v>
      </c>
      <c r="D5612" s="18">
        <v>5610</v>
      </c>
      <c r="E5612" s="18" cm="1">
        <f t="array" aca="1" ref="E5612" ca="1">INDIRECT("b"&amp;F5612+2)</f>
        <v>0</v>
      </c>
      <c r="F5612" s="18">
        <f t="shared" si="1182"/>
        <v>7878</v>
      </c>
      <c r="G5612" s="18"/>
      <c r="H5612" s="18"/>
      <c r="I5612" s="19">
        <v>5610</v>
      </c>
      <c r="J5612" s="19" cm="1">
        <f t="array" aca="1" ref="J5612" ca="1">INDIRECT("b"&amp;K5612+2)</f>
        <v>0</v>
      </c>
      <c r="K5612" s="19">
        <f t="shared" si="1178"/>
        <v>9078</v>
      </c>
    </row>
    <row r="5613" spans="1:11">
      <c r="A5613">
        <v>5611</v>
      </c>
      <c r="B5613">
        <v>3.0250000000000003E+162</v>
      </c>
      <c r="D5613" s="18">
        <v>5611</v>
      </c>
      <c r="E5613" s="18" cm="1">
        <f t="array" aca="1" ref="E5613" ca="1">INDIRECT("b"&amp;F5613+2)</f>
        <v>0</v>
      </c>
      <c r="F5613" s="18">
        <f t="shared" si="1182"/>
        <v>7880</v>
      </c>
      <c r="G5613" s="18"/>
      <c r="H5613" s="18"/>
      <c r="I5613" s="19">
        <v>5611</v>
      </c>
      <c r="J5613" s="19" cm="1">
        <f t="array" aca="1" ref="J5613" ca="1">INDIRECT("b"&amp;K5613+2)</f>
        <v>0</v>
      </c>
      <c r="K5613" s="19">
        <f t="shared" si="1178"/>
        <v>9080</v>
      </c>
    </row>
    <row r="5614" spans="1:11">
      <c r="A5614">
        <v>5612</v>
      </c>
      <c r="B5614">
        <v>3.2500000000000002E+162</v>
      </c>
      <c r="D5614" s="18">
        <v>5612</v>
      </c>
      <c r="E5614" s="18" cm="1">
        <f t="array" aca="1" ref="E5614" ca="1">INDIRECT("b"&amp;F5614+2)</f>
        <v>0</v>
      </c>
      <c r="F5614" s="18">
        <f t="shared" si="1182"/>
        <v>7881</v>
      </c>
      <c r="G5614" s="18"/>
      <c r="H5614" s="18"/>
      <c r="I5614" s="19">
        <v>5612</v>
      </c>
      <c r="J5614" s="19" cm="1">
        <f t="array" aca="1" ref="J5614" ca="1">INDIRECT("b"&amp;K5614+2)</f>
        <v>0</v>
      </c>
      <c r="K5614" s="19">
        <f t="shared" si="1178"/>
        <v>9081</v>
      </c>
    </row>
    <row r="5615" spans="1:11">
      <c r="A5615">
        <v>5613</v>
      </c>
      <c r="B5615">
        <v>3.4750000000000001E+162</v>
      </c>
      <c r="D5615" s="18">
        <v>5613</v>
      </c>
      <c r="E5615" s="18" cm="1">
        <f t="array" aca="1" ref="E5615" ca="1">INDIRECT("b"&amp;F5615+2)</f>
        <v>0</v>
      </c>
      <c r="F5615" s="18">
        <f t="shared" si="1182"/>
        <v>7882</v>
      </c>
      <c r="G5615" s="18"/>
      <c r="H5615" s="18"/>
      <c r="I5615" s="19">
        <v>5613</v>
      </c>
      <c r="J5615" s="19" cm="1">
        <f t="array" aca="1" ref="J5615" ca="1">INDIRECT("b"&amp;K5615+2)</f>
        <v>0</v>
      </c>
      <c r="K5615" s="19">
        <f t="shared" si="1178"/>
        <v>9082</v>
      </c>
    </row>
    <row r="5616" spans="1:11">
      <c r="A5616">
        <v>5614</v>
      </c>
      <c r="B5616">
        <v>3.7000000000000001E+162</v>
      </c>
      <c r="D5616" s="18">
        <v>5614</v>
      </c>
      <c r="E5616" s="18" cm="1">
        <f t="array" aca="1" ref="E5616" ca="1">INDIRECT("b"&amp;F5616+2)</f>
        <v>0</v>
      </c>
      <c r="F5616" s="18">
        <f t="shared" si="1182"/>
        <v>7884</v>
      </c>
      <c r="G5616" s="18" t="e">
        <f t="shared" ref="G5616" ca="1" si="1188">E5616/E5611</f>
        <v>#DIV/0!</v>
      </c>
      <c r="H5616" s="18"/>
      <c r="I5616" s="19">
        <v>5614</v>
      </c>
      <c r="J5616" s="19" cm="1">
        <f t="array" aca="1" ref="J5616" ca="1">INDIRECT("b"&amp;K5616+2)</f>
        <v>0</v>
      </c>
      <c r="K5616" s="19">
        <f t="shared" si="1178"/>
        <v>9084</v>
      </c>
    </row>
    <row r="5617" spans="1:11">
      <c r="A5617">
        <v>5615</v>
      </c>
      <c r="B5617">
        <v>3.9250000000000004E+162</v>
      </c>
      <c r="D5617" s="18">
        <v>5615</v>
      </c>
      <c r="E5617" s="18" cm="1">
        <f t="array" aca="1" ref="E5617" ca="1">INDIRECT("b"&amp;F5617+2)</f>
        <v>0</v>
      </c>
      <c r="F5617" s="18">
        <f t="shared" si="1182"/>
        <v>7885</v>
      </c>
      <c r="G5617" s="18"/>
      <c r="H5617" s="18"/>
      <c r="I5617" s="19">
        <v>5615</v>
      </c>
      <c r="J5617" s="19" cm="1">
        <f t="array" aca="1" ref="J5617" ca="1">INDIRECT("b"&amp;K5617+2)</f>
        <v>0</v>
      </c>
      <c r="K5617" s="19">
        <f t="shared" si="1178"/>
        <v>9085</v>
      </c>
    </row>
    <row r="5618" spans="1:11">
      <c r="A5618">
        <v>5616</v>
      </c>
      <c r="B5618">
        <v>4.15E+162</v>
      </c>
      <c r="D5618" s="18">
        <v>5616</v>
      </c>
      <c r="E5618" s="18" cm="1">
        <f t="array" aca="1" ref="E5618" ca="1">INDIRECT("b"&amp;F5618+2)</f>
        <v>0</v>
      </c>
      <c r="F5618" s="18">
        <f t="shared" si="1182"/>
        <v>7886</v>
      </c>
      <c r="G5618" s="18"/>
      <c r="H5618" s="18"/>
      <c r="I5618" s="19">
        <v>5616</v>
      </c>
      <c r="J5618" s="19" cm="1">
        <f t="array" aca="1" ref="J5618" ca="1">INDIRECT("b"&amp;K5618+2)</f>
        <v>0</v>
      </c>
      <c r="K5618" s="19">
        <f t="shared" si="1178"/>
        <v>9086</v>
      </c>
    </row>
    <row r="5619" spans="1:11">
      <c r="A5619">
        <v>5617</v>
      </c>
      <c r="B5619">
        <v>4.3750000000000003E+162</v>
      </c>
      <c r="D5619" s="18">
        <v>5617</v>
      </c>
      <c r="E5619" s="18" cm="1">
        <f t="array" aca="1" ref="E5619" ca="1">INDIRECT("b"&amp;F5619+2)</f>
        <v>0</v>
      </c>
      <c r="F5619" s="18">
        <f t="shared" si="1182"/>
        <v>7888</v>
      </c>
      <c r="G5619" s="18"/>
      <c r="H5619" s="18"/>
      <c r="I5619" s="19">
        <v>5617</v>
      </c>
      <c r="J5619" s="19" cm="1">
        <f t="array" aca="1" ref="J5619" ca="1">INDIRECT("b"&amp;K5619+2)</f>
        <v>0</v>
      </c>
      <c r="K5619" s="19">
        <f t="shared" si="1178"/>
        <v>9088</v>
      </c>
    </row>
    <row r="5620" spans="1:11">
      <c r="A5620">
        <v>5618</v>
      </c>
      <c r="B5620">
        <v>4.5999999999999999E+162</v>
      </c>
      <c r="D5620" s="18">
        <v>5618</v>
      </c>
      <c r="E5620" s="18" cm="1">
        <f t="array" aca="1" ref="E5620" ca="1">INDIRECT("b"&amp;F5620+2)</f>
        <v>0</v>
      </c>
      <c r="F5620" s="18">
        <f t="shared" si="1182"/>
        <v>7889</v>
      </c>
      <c r="G5620" s="18"/>
      <c r="H5620" s="18"/>
      <c r="I5620" s="19">
        <v>5618</v>
      </c>
      <c r="J5620" s="19" cm="1">
        <f t="array" aca="1" ref="J5620" ca="1">INDIRECT("b"&amp;K5620+2)</f>
        <v>0</v>
      </c>
      <c r="K5620" s="19">
        <f t="shared" si="1178"/>
        <v>9089</v>
      </c>
    </row>
    <row r="5621" spans="1:11">
      <c r="A5621">
        <v>5619</v>
      </c>
      <c r="B5621">
        <v>4.8250000000000002E+162</v>
      </c>
      <c r="D5621" s="18">
        <v>5619</v>
      </c>
      <c r="E5621" s="18" cm="1">
        <f t="array" aca="1" ref="E5621" ca="1">INDIRECT("b"&amp;F5621+2)</f>
        <v>0</v>
      </c>
      <c r="F5621" s="18">
        <f t="shared" si="1182"/>
        <v>7890</v>
      </c>
      <c r="G5621" s="18" t="e">
        <f t="shared" ref="G5621" ca="1" si="1189">E5621/E5616</f>
        <v>#DIV/0!</v>
      </c>
      <c r="H5621" s="18"/>
      <c r="I5621" s="19">
        <v>5619</v>
      </c>
      <c r="J5621" s="19" cm="1">
        <f t="array" aca="1" ref="J5621" ca="1">INDIRECT("b"&amp;K5621+2)</f>
        <v>0</v>
      </c>
      <c r="K5621" s="19">
        <f t="shared" si="1178"/>
        <v>9090</v>
      </c>
    </row>
    <row r="5622" spans="1:11">
      <c r="A5622">
        <v>5620</v>
      </c>
      <c r="B5622">
        <v>5.0500000000000006E+162</v>
      </c>
      <c r="D5622" s="18">
        <v>5620</v>
      </c>
      <c r="E5622" s="18" cm="1">
        <f t="array" aca="1" ref="E5622" ca="1">INDIRECT("b"&amp;F5622+2)</f>
        <v>0</v>
      </c>
      <c r="F5622" s="18">
        <f t="shared" si="1182"/>
        <v>7892</v>
      </c>
      <c r="G5622" s="18"/>
      <c r="H5622" s="18"/>
      <c r="I5622" s="19">
        <v>5620</v>
      </c>
      <c r="J5622" s="19" cm="1">
        <f t="array" aca="1" ref="J5622" ca="1">INDIRECT("b"&amp;K5622+2)</f>
        <v>0</v>
      </c>
      <c r="K5622" s="19">
        <f t="shared" si="1178"/>
        <v>9092</v>
      </c>
    </row>
    <row r="5623" spans="1:11">
      <c r="A5623">
        <v>5621</v>
      </c>
      <c r="B5623">
        <v>5.2750000000000001E+162</v>
      </c>
      <c r="D5623" s="18">
        <v>5621</v>
      </c>
      <c r="E5623" s="18" cm="1">
        <f t="array" aca="1" ref="E5623" ca="1">INDIRECT("b"&amp;F5623+2)</f>
        <v>0</v>
      </c>
      <c r="F5623" s="18">
        <f t="shared" si="1182"/>
        <v>7893</v>
      </c>
      <c r="G5623" s="18"/>
      <c r="H5623" s="18"/>
      <c r="I5623" s="19">
        <v>5621</v>
      </c>
      <c r="J5623" s="19" cm="1">
        <f t="array" aca="1" ref="J5623" ca="1">INDIRECT("b"&amp;K5623+2)</f>
        <v>0</v>
      </c>
      <c r="K5623" s="19">
        <f t="shared" si="1178"/>
        <v>9093</v>
      </c>
    </row>
    <row r="5624" spans="1:11">
      <c r="A5624">
        <v>5622</v>
      </c>
      <c r="B5624">
        <v>5.5000000000000005E+162</v>
      </c>
      <c r="D5624" s="18">
        <v>5622</v>
      </c>
      <c r="E5624" s="18" cm="1">
        <f t="array" aca="1" ref="E5624" ca="1">INDIRECT("b"&amp;F5624+2)</f>
        <v>0</v>
      </c>
      <c r="F5624" s="18">
        <f t="shared" si="1182"/>
        <v>7894</v>
      </c>
      <c r="G5624" s="18"/>
      <c r="H5624" s="18"/>
      <c r="I5624" s="19">
        <v>5622</v>
      </c>
      <c r="J5624" s="19" cm="1">
        <f t="array" aca="1" ref="J5624" ca="1">INDIRECT("b"&amp;K5624+2)</f>
        <v>0</v>
      </c>
      <c r="K5624" s="19">
        <f t="shared" si="1178"/>
        <v>9094</v>
      </c>
    </row>
    <row r="5625" spans="1:11">
      <c r="A5625">
        <v>5623</v>
      </c>
      <c r="B5625">
        <v>5.725E+162</v>
      </c>
      <c r="D5625" s="18">
        <v>5623</v>
      </c>
      <c r="E5625" s="18" cm="1">
        <f t="array" aca="1" ref="E5625" ca="1">INDIRECT("b"&amp;F5625+2)</f>
        <v>0</v>
      </c>
      <c r="F5625" s="18">
        <f t="shared" si="1182"/>
        <v>7896</v>
      </c>
      <c r="G5625" s="18"/>
      <c r="H5625" s="18"/>
      <c r="I5625" s="19">
        <v>5623</v>
      </c>
      <c r="J5625" s="19" cm="1">
        <f t="array" aca="1" ref="J5625" ca="1">INDIRECT("b"&amp;K5625+2)</f>
        <v>0</v>
      </c>
      <c r="K5625" s="19">
        <f t="shared" si="1178"/>
        <v>9096</v>
      </c>
    </row>
    <row r="5626" spans="1:11">
      <c r="A5626">
        <v>5624</v>
      </c>
      <c r="B5626">
        <v>5.9500000000000003E+162</v>
      </c>
      <c r="D5626" s="18">
        <v>5624</v>
      </c>
      <c r="E5626" s="18" cm="1">
        <f t="array" aca="1" ref="E5626" ca="1">INDIRECT("b"&amp;F5626+2)</f>
        <v>0</v>
      </c>
      <c r="F5626" s="18">
        <f t="shared" si="1182"/>
        <v>7897</v>
      </c>
      <c r="G5626" s="18" t="e">
        <f t="shared" ref="G5626" ca="1" si="1190">E5626/E5621</f>
        <v>#DIV/0!</v>
      </c>
      <c r="H5626" s="18"/>
      <c r="I5626" s="19">
        <v>5624</v>
      </c>
      <c r="J5626" s="19" cm="1">
        <f t="array" aca="1" ref="J5626" ca="1">INDIRECT("b"&amp;K5626+2)</f>
        <v>0</v>
      </c>
      <c r="K5626" s="19">
        <f t="shared" si="1178"/>
        <v>9097</v>
      </c>
    </row>
    <row r="5627" spans="1:11">
      <c r="A5627">
        <v>5625</v>
      </c>
      <c r="B5627">
        <v>6.1749999999999999E+162</v>
      </c>
      <c r="D5627" s="18">
        <v>5625</v>
      </c>
      <c r="E5627" s="18" cm="1">
        <f t="array" aca="1" ref="E5627" ca="1">INDIRECT("b"&amp;F5627+2)</f>
        <v>0</v>
      </c>
      <c r="F5627" s="18">
        <f t="shared" si="1182"/>
        <v>7898</v>
      </c>
      <c r="G5627" s="18"/>
      <c r="H5627" s="18"/>
      <c r="I5627" s="19">
        <v>5625</v>
      </c>
      <c r="J5627" s="19" cm="1">
        <f t="array" aca="1" ref="J5627" ca="1">INDIRECT("b"&amp;K5627+2)</f>
        <v>0</v>
      </c>
      <c r="K5627" s="19">
        <f t="shared" si="1178"/>
        <v>9098</v>
      </c>
    </row>
    <row r="5628" spans="1:11">
      <c r="A5628">
        <v>5626</v>
      </c>
      <c r="B5628">
        <v>6.4000000000000002E+162</v>
      </c>
      <c r="D5628" s="18">
        <v>5626</v>
      </c>
      <c r="E5628" s="18" cm="1">
        <f t="array" aca="1" ref="E5628" ca="1">INDIRECT("b"&amp;F5628+2)</f>
        <v>0</v>
      </c>
      <c r="F5628" s="18">
        <f t="shared" si="1182"/>
        <v>7900</v>
      </c>
      <c r="G5628" s="18"/>
      <c r="H5628" s="18"/>
      <c r="I5628" s="19">
        <v>5626</v>
      </c>
      <c r="J5628" s="19" cm="1">
        <f t="array" aca="1" ref="J5628" ca="1">INDIRECT("b"&amp;K5628+2)</f>
        <v>0</v>
      </c>
      <c r="K5628" s="19">
        <f t="shared" si="1178"/>
        <v>9100</v>
      </c>
    </row>
    <row r="5629" spans="1:11">
      <c r="A5629">
        <v>5627</v>
      </c>
      <c r="B5629">
        <v>6.6250000000000006E+162</v>
      </c>
      <c r="D5629" s="18">
        <v>5627</v>
      </c>
      <c r="E5629" s="18" cm="1">
        <f t="array" aca="1" ref="E5629" ca="1">INDIRECT("b"&amp;F5629+2)</f>
        <v>0</v>
      </c>
      <c r="F5629" s="18">
        <f t="shared" si="1182"/>
        <v>7901</v>
      </c>
      <c r="G5629" s="18"/>
      <c r="H5629" s="18"/>
      <c r="I5629" s="19">
        <v>5627</v>
      </c>
      <c r="J5629" s="19" cm="1">
        <f t="array" aca="1" ref="J5629" ca="1">INDIRECT("b"&amp;K5629+2)</f>
        <v>0</v>
      </c>
      <c r="K5629" s="19">
        <f t="shared" si="1178"/>
        <v>9101</v>
      </c>
    </row>
    <row r="5630" spans="1:11">
      <c r="A5630">
        <v>5628</v>
      </c>
      <c r="B5630">
        <v>6.8500000000000001E+162</v>
      </c>
      <c r="D5630" s="18">
        <v>5628</v>
      </c>
      <c r="E5630" s="18" cm="1">
        <f t="array" aca="1" ref="E5630" ca="1">INDIRECT("b"&amp;F5630+2)</f>
        <v>0</v>
      </c>
      <c r="F5630" s="18">
        <f t="shared" si="1182"/>
        <v>7902</v>
      </c>
      <c r="G5630" s="18"/>
      <c r="H5630" s="18"/>
      <c r="I5630" s="19">
        <v>5628</v>
      </c>
      <c r="J5630" s="19" cm="1">
        <f t="array" aca="1" ref="J5630" ca="1">INDIRECT("b"&amp;K5630+2)</f>
        <v>0</v>
      </c>
      <c r="K5630" s="19">
        <f t="shared" si="1178"/>
        <v>9102</v>
      </c>
    </row>
    <row r="5631" spans="1:11">
      <c r="A5631">
        <v>5629</v>
      </c>
      <c r="B5631">
        <v>7.0750000000000005E+162</v>
      </c>
      <c r="D5631" s="18">
        <v>5629</v>
      </c>
      <c r="E5631" s="18" cm="1">
        <f t="array" aca="1" ref="E5631" ca="1">INDIRECT("b"&amp;F5631+2)</f>
        <v>0</v>
      </c>
      <c r="F5631" s="18">
        <f t="shared" si="1182"/>
        <v>7904</v>
      </c>
      <c r="G5631" s="18" t="e">
        <f t="shared" ref="G5631" ca="1" si="1191">E5631/E5626</f>
        <v>#DIV/0!</v>
      </c>
      <c r="H5631" s="18"/>
      <c r="I5631" s="19">
        <v>5629</v>
      </c>
      <c r="J5631" s="19" cm="1">
        <f t="array" aca="1" ref="J5631" ca="1">INDIRECT("b"&amp;K5631+2)</f>
        <v>0</v>
      </c>
      <c r="K5631" s="19">
        <f t="shared" si="1178"/>
        <v>9104</v>
      </c>
    </row>
    <row r="5632" spans="1:11">
      <c r="A5632">
        <v>5630</v>
      </c>
      <c r="B5632">
        <v>7.3E+162</v>
      </c>
      <c r="D5632" s="18">
        <v>5630</v>
      </c>
      <c r="E5632" s="18" cm="1">
        <f t="array" aca="1" ref="E5632" ca="1">INDIRECT("b"&amp;F5632+2)</f>
        <v>0</v>
      </c>
      <c r="F5632" s="18">
        <f t="shared" si="1182"/>
        <v>7905</v>
      </c>
      <c r="G5632" s="18"/>
      <c r="H5632" s="18"/>
      <c r="I5632" s="19">
        <v>5630</v>
      </c>
      <c r="J5632" s="19" cm="1">
        <f t="array" aca="1" ref="J5632" ca="1">INDIRECT("b"&amp;K5632+2)</f>
        <v>0</v>
      </c>
      <c r="K5632" s="19">
        <f t="shared" si="1178"/>
        <v>9105</v>
      </c>
    </row>
    <row r="5633" spans="1:11">
      <c r="A5633">
        <v>5631</v>
      </c>
      <c r="B5633">
        <v>7.5250000000000004E+162</v>
      </c>
      <c r="D5633" s="18">
        <v>5631</v>
      </c>
      <c r="E5633" s="18" cm="1">
        <f t="array" aca="1" ref="E5633" ca="1">INDIRECT("b"&amp;F5633+2)</f>
        <v>0</v>
      </c>
      <c r="F5633" s="18">
        <f t="shared" si="1182"/>
        <v>7906</v>
      </c>
      <c r="G5633" s="18"/>
      <c r="H5633" s="18"/>
      <c r="I5633" s="19">
        <v>5631</v>
      </c>
      <c r="J5633" s="19" cm="1">
        <f t="array" aca="1" ref="J5633" ca="1">INDIRECT("b"&amp;K5633+2)</f>
        <v>0</v>
      </c>
      <c r="K5633" s="19">
        <f t="shared" si="1178"/>
        <v>9106</v>
      </c>
    </row>
    <row r="5634" spans="1:11">
      <c r="A5634">
        <v>5632</v>
      </c>
      <c r="B5634">
        <v>7.7500000000000007E+162</v>
      </c>
      <c r="D5634" s="18">
        <v>5632</v>
      </c>
      <c r="E5634" s="18" cm="1">
        <f t="array" aca="1" ref="E5634" ca="1">INDIRECT("b"&amp;F5634+2)</f>
        <v>0</v>
      </c>
      <c r="F5634" s="18">
        <f t="shared" si="1182"/>
        <v>7908</v>
      </c>
      <c r="G5634" s="18"/>
      <c r="H5634" s="18"/>
      <c r="I5634" s="19">
        <v>5632</v>
      </c>
      <c r="J5634" s="19" cm="1">
        <f t="array" aca="1" ref="J5634" ca="1">INDIRECT("b"&amp;K5634+2)</f>
        <v>0</v>
      </c>
      <c r="K5634" s="19">
        <f t="shared" si="1178"/>
        <v>9108</v>
      </c>
    </row>
    <row r="5635" spans="1:11">
      <c r="A5635">
        <v>5633</v>
      </c>
      <c r="B5635">
        <v>7.9750000000000011E+162</v>
      </c>
      <c r="D5635" s="18">
        <v>5633</v>
      </c>
      <c r="E5635" s="18" cm="1">
        <f t="array" aca="1" ref="E5635" ca="1">INDIRECT("b"&amp;F5635+2)</f>
        <v>0</v>
      </c>
      <c r="F5635" s="18">
        <f t="shared" si="1182"/>
        <v>7909</v>
      </c>
      <c r="G5635" s="18"/>
      <c r="H5635" s="18"/>
      <c r="I5635" s="19">
        <v>5633</v>
      </c>
      <c r="J5635" s="19" cm="1">
        <f t="array" aca="1" ref="J5635" ca="1">INDIRECT("b"&amp;K5635+2)</f>
        <v>0</v>
      </c>
      <c r="K5635" s="19">
        <f t="shared" si="1178"/>
        <v>9109</v>
      </c>
    </row>
    <row r="5636" spans="1:11">
      <c r="A5636">
        <v>5634</v>
      </c>
      <c r="B5636">
        <v>8.1999999999999998E+162</v>
      </c>
      <c r="D5636" s="18">
        <v>5634</v>
      </c>
      <c r="E5636" s="18" cm="1">
        <f t="array" aca="1" ref="E5636" ca="1">INDIRECT("b"&amp;F5636+2)</f>
        <v>0</v>
      </c>
      <c r="F5636" s="18">
        <f t="shared" si="1182"/>
        <v>7910</v>
      </c>
      <c r="G5636" s="18" t="e">
        <f t="shared" ref="G5636" ca="1" si="1192">E5636/E5631</f>
        <v>#DIV/0!</v>
      </c>
      <c r="H5636" s="18"/>
      <c r="I5636" s="19">
        <v>5634</v>
      </c>
      <c r="J5636" s="19" cm="1">
        <f t="array" aca="1" ref="J5636" ca="1">INDIRECT("b"&amp;K5636+2)</f>
        <v>0</v>
      </c>
      <c r="K5636" s="19">
        <f t="shared" ref="K5636:K5699" si="1193">INT((A5636-1)*40/30+900*40/30)+400</f>
        <v>9110</v>
      </c>
    </row>
    <row r="5637" spans="1:11">
      <c r="A5637">
        <v>5635</v>
      </c>
      <c r="B5637">
        <v>8.4250000000000002E+162</v>
      </c>
      <c r="D5637" s="18">
        <v>5635</v>
      </c>
      <c r="E5637" s="18" cm="1">
        <f t="array" aca="1" ref="E5637" ca="1">INDIRECT("b"&amp;F5637+2)</f>
        <v>0</v>
      </c>
      <c r="F5637" s="18">
        <f t="shared" si="1182"/>
        <v>7912</v>
      </c>
      <c r="G5637" s="18"/>
      <c r="H5637" s="18"/>
      <c r="I5637" s="19">
        <v>5635</v>
      </c>
      <c r="J5637" s="19" cm="1">
        <f t="array" aca="1" ref="J5637" ca="1">INDIRECT("b"&amp;K5637+2)</f>
        <v>0</v>
      </c>
      <c r="K5637" s="19">
        <f t="shared" si="1193"/>
        <v>9112</v>
      </c>
    </row>
    <row r="5638" spans="1:11">
      <c r="A5638">
        <v>5636</v>
      </c>
      <c r="B5638">
        <v>8.6500000000000005E+162</v>
      </c>
      <c r="D5638" s="18">
        <v>5636</v>
      </c>
      <c r="E5638" s="18" cm="1">
        <f t="array" aca="1" ref="E5638" ca="1">INDIRECT("b"&amp;F5638+2)</f>
        <v>0</v>
      </c>
      <c r="F5638" s="18">
        <f t="shared" si="1182"/>
        <v>7913</v>
      </c>
      <c r="G5638" s="18"/>
      <c r="H5638" s="18"/>
      <c r="I5638" s="19">
        <v>5636</v>
      </c>
      <c r="J5638" s="19" cm="1">
        <f t="array" aca="1" ref="J5638" ca="1">INDIRECT("b"&amp;K5638+2)</f>
        <v>0</v>
      </c>
      <c r="K5638" s="19">
        <f t="shared" si="1193"/>
        <v>9113</v>
      </c>
    </row>
    <row r="5639" spans="1:11">
      <c r="A5639">
        <v>5637</v>
      </c>
      <c r="B5639">
        <v>8.8750000000000008E+162</v>
      </c>
      <c r="D5639" s="18">
        <v>5637</v>
      </c>
      <c r="E5639" s="18" cm="1">
        <f t="array" aca="1" ref="E5639" ca="1">INDIRECT("b"&amp;F5639+2)</f>
        <v>0</v>
      </c>
      <c r="F5639" s="18">
        <f t="shared" si="1182"/>
        <v>7914</v>
      </c>
      <c r="G5639" s="18"/>
      <c r="H5639" s="18"/>
      <c r="I5639" s="19">
        <v>5637</v>
      </c>
      <c r="J5639" s="19" cm="1">
        <f t="array" aca="1" ref="J5639" ca="1">INDIRECT("b"&amp;K5639+2)</f>
        <v>0</v>
      </c>
      <c r="K5639" s="19">
        <f t="shared" si="1193"/>
        <v>9114</v>
      </c>
    </row>
    <row r="5640" spans="1:11">
      <c r="A5640">
        <v>5638</v>
      </c>
      <c r="B5640">
        <v>9.0999999999999996E+162</v>
      </c>
      <c r="D5640" s="18">
        <v>5638</v>
      </c>
      <c r="E5640" s="18" cm="1">
        <f t="array" aca="1" ref="E5640" ca="1">INDIRECT("b"&amp;F5640+2)</f>
        <v>0</v>
      </c>
      <c r="F5640" s="18">
        <f t="shared" si="1182"/>
        <v>7916</v>
      </c>
      <c r="G5640" s="18"/>
      <c r="H5640" s="18"/>
      <c r="I5640" s="19">
        <v>5638</v>
      </c>
      <c r="J5640" s="19" cm="1">
        <f t="array" aca="1" ref="J5640" ca="1">INDIRECT("b"&amp;K5640+2)</f>
        <v>0</v>
      </c>
      <c r="K5640" s="19">
        <f t="shared" si="1193"/>
        <v>9116</v>
      </c>
    </row>
    <row r="5641" spans="1:11">
      <c r="A5641">
        <v>5639</v>
      </c>
      <c r="B5641">
        <v>9.3249999999999999E+162</v>
      </c>
      <c r="D5641" s="18">
        <v>5639</v>
      </c>
      <c r="E5641" s="18" cm="1">
        <f t="array" aca="1" ref="E5641" ca="1">INDIRECT("b"&amp;F5641+2)</f>
        <v>0</v>
      </c>
      <c r="F5641" s="18">
        <f t="shared" si="1182"/>
        <v>7917</v>
      </c>
      <c r="G5641" s="18" t="e">
        <f t="shared" ref="G5641" ca="1" si="1194">E5641/E5636</f>
        <v>#DIV/0!</v>
      </c>
      <c r="H5641" s="18"/>
      <c r="I5641" s="19">
        <v>5639</v>
      </c>
      <c r="J5641" s="19" cm="1">
        <f t="array" aca="1" ref="J5641" ca="1">INDIRECT("b"&amp;K5641+2)</f>
        <v>0</v>
      </c>
      <c r="K5641" s="19">
        <f t="shared" si="1193"/>
        <v>9117</v>
      </c>
    </row>
    <row r="5642" spans="1:11">
      <c r="A5642">
        <v>5640</v>
      </c>
      <c r="B5642">
        <v>9.5500000000000003E+162</v>
      </c>
      <c r="D5642" s="18">
        <v>5640</v>
      </c>
      <c r="E5642" s="18" cm="1">
        <f t="array" aca="1" ref="E5642" ca="1">INDIRECT("b"&amp;F5642+2)</f>
        <v>0</v>
      </c>
      <c r="F5642" s="18">
        <f t="shared" si="1182"/>
        <v>7918</v>
      </c>
      <c r="G5642" s="18"/>
      <c r="H5642" s="18"/>
      <c r="I5642" s="19">
        <v>5640</v>
      </c>
      <c r="J5642" s="19" cm="1">
        <f t="array" aca="1" ref="J5642" ca="1">INDIRECT("b"&amp;K5642+2)</f>
        <v>0</v>
      </c>
      <c r="K5642" s="19">
        <f t="shared" si="1193"/>
        <v>9118</v>
      </c>
    </row>
    <row r="5643" spans="1:11">
      <c r="A5643">
        <v>5641</v>
      </c>
      <c r="B5643">
        <v>9.7750000000000006E+162</v>
      </c>
      <c r="D5643" s="18">
        <v>5641</v>
      </c>
      <c r="E5643" s="18" cm="1">
        <f t="array" aca="1" ref="E5643" ca="1">INDIRECT("b"&amp;F5643+2)</f>
        <v>0</v>
      </c>
      <c r="F5643" s="18">
        <f t="shared" si="1182"/>
        <v>7920</v>
      </c>
      <c r="G5643" s="18"/>
      <c r="H5643" s="18"/>
      <c r="I5643" s="19">
        <v>5641</v>
      </c>
      <c r="J5643" s="19" cm="1">
        <f t="array" aca="1" ref="J5643" ca="1">INDIRECT("b"&amp;K5643+2)</f>
        <v>0</v>
      </c>
      <c r="K5643" s="19">
        <f t="shared" si="1193"/>
        <v>9120</v>
      </c>
    </row>
    <row r="5644" spans="1:11">
      <c r="A5644">
        <v>5642</v>
      </c>
      <c r="B5644">
        <v>9.9999999999999994E+162</v>
      </c>
      <c r="D5644" s="18">
        <v>5642</v>
      </c>
      <c r="E5644" s="18" cm="1">
        <f t="array" aca="1" ref="E5644" ca="1">INDIRECT("b"&amp;F5644+2)</f>
        <v>0</v>
      </c>
      <c r="F5644" s="18">
        <f t="shared" si="1182"/>
        <v>7921</v>
      </c>
      <c r="G5644" s="18"/>
      <c r="H5644" s="18"/>
      <c r="I5644" s="19">
        <v>5642</v>
      </c>
      <c r="J5644" s="19" cm="1">
        <f t="array" aca="1" ref="J5644" ca="1">INDIRECT("b"&amp;K5644+2)</f>
        <v>0</v>
      </c>
      <c r="K5644" s="19">
        <f t="shared" si="1193"/>
        <v>9121</v>
      </c>
    </row>
    <row r="5645" spans="1:11">
      <c r="A5645">
        <v>5643</v>
      </c>
      <c r="B5645">
        <v>1.225E+163</v>
      </c>
      <c r="D5645" s="18">
        <v>5643</v>
      </c>
      <c r="E5645" s="18" cm="1">
        <f t="array" aca="1" ref="E5645" ca="1">INDIRECT("b"&amp;F5645+2)</f>
        <v>0</v>
      </c>
      <c r="F5645" s="18">
        <f t="shared" si="1182"/>
        <v>7922</v>
      </c>
      <c r="G5645" s="18"/>
      <c r="H5645" s="18"/>
      <c r="I5645" s="19">
        <v>5643</v>
      </c>
      <c r="J5645" s="19" cm="1">
        <f t="array" aca="1" ref="J5645" ca="1">INDIRECT("b"&amp;K5645+2)</f>
        <v>0</v>
      </c>
      <c r="K5645" s="19">
        <f t="shared" si="1193"/>
        <v>9122</v>
      </c>
    </row>
    <row r="5646" spans="1:11">
      <c r="A5646">
        <v>5644</v>
      </c>
      <c r="B5646">
        <v>1.45E+163</v>
      </c>
      <c r="D5646" s="18">
        <v>5644</v>
      </c>
      <c r="E5646" s="18" cm="1">
        <f t="array" aca="1" ref="E5646" ca="1">INDIRECT("b"&amp;F5646+2)</f>
        <v>0</v>
      </c>
      <c r="F5646" s="18">
        <f t="shared" si="1182"/>
        <v>7924</v>
      </c>
      <c r="G5646" s="18" t="e">
        <f t="shared" ref="G5646" ca="1" si="1195">E5646/E5641</f>
        <v>#DIV/0!</v>
      </c>
      <c r="H5646" s="18"/>
      <c r="I5646" s="19">
        <v>5644</v>
      </c>
      <c r="J5646" s="19" cm="1">
        <f t="array" aca="1" ref="J5646" ca="1">INDIRECT("b"&amp;K5646+2)</f>
        <v>0</v>
      </c>
      <c r="K5646" s="19">
        <f t="shared" si="1193"/>
        <v>9124</v>
      </c>
    </row>
    <row r="5647" spans="1:11">
      <c r="A5647">
        <v>5645</v>
      </c>
      <c r="B5647">
        <v>1.675E+163</v>
      </c>
      <c r="D5647" s="18">
        <v>5645</v>
      </c>
      <c r="E5647" s="18" cm="1">
        <f t="array" aca="1" ref="E5647" ca="1">INDIRECT("b"&amp;F5647+2)</f>
        <v>0</v>
      </c>
      <c r="F5647" s="18">
        <f t="shared" si="1182"/>
        <v>7925</v>
      </c>
      <c r="G5647" s="18"/>
      <c r="H5647" s="18"/>
      <c r="I5647" s="19">
        <v>5645</v>
      </c>
      <c r="J5647" s="19" cm="1">
        <f t="array" aca="1" ref="J5647" ca="1">INDIRECT("b"&amp;K5647+2)</f>
        <v>0</v>
      </c>
      <c r="K5647" s="19">
        <f t="shared" si="1193"/>
        <v>9125</v>
      </c>
    </row>
    <row r="5648" spans="1:11">
      <c r="A5648">
        <v>5646</v>
      </c>
      <c r="B5648">
        <v>1.9E+163</v>
      </c>
      <c r="D5648" s="18">
        <v>5646</v>
      </c>
      <c r="E5648" s="18" cm="1">
        <f t="array" aca="1" ref="E5648" ca="1">INDIRECT("b"&amp;F5648+2)</f>
        <v>0</v>
      </c>
      <c r="F5648" s="18">
        <f t="shared" si="1182"/>
        <v>7926</v>
      </c>
      <c r="G5648" s="18"/>
      <c r="H5648" s="18"/>
      <c r="I5648" s="19">
        <v>5646</v>
      </c>
      <c r="J5648" s="19" cm="1">
        <f t="array" aca="1" ref="J5648" ca="1">INDIRECT("b"&amp;K5648+2)</f>
        <v>0</v>
      </c>
      <c r="K5648" s="19">
        <f t="shared" si="1193"/>
        <v>9126</v>
      </c>
    </row>
    <row r="5649" spans="1:11">
      <c r="A5649">
        <v>5647</v>
      </c>
      <c r="B5649">
        <v>2.1250000000000001E+163</v>
      </c>
      <c r="D5649" s="18">
        <v>5647</v>
      </c>
      <c r="E5649" s="18" cm="1">
        <f t="array" aca="1" ref="E5649" ca="1">INDIRECT("b"&amp;F5649+2)</f>
        <v>0</v>
      </c>
      <c r="F5649" s="18">
        <f t="shared" si="1182"/>
        <v>7928</v>
      </c>
      <c r="G5649" s="18"/>
      <c r="H5649" s="18"/>
      <c r="I5649" s="19">
        <v>5647</v>
      </c>
      <c r="J5649" s="19" cm="1">
        <f t="array" aca="1" ref="J5649" ca="1">INDIRECT("b"&amp;K5649+2)</f>
        <v>0</v>
      </c>
      <c r="K5649" s="19">
        <f t="shared" si="1193"/>
        <v>9128</v>
      </c>
    </row>
    <row r="5650" spans="1:11">
      <c r="A5650">
        <v>5648</v>
      </c>
      <c r="B5650">
        <v>2.3500000000000001E+163</v>
      </c>
      <c r="D5650" s="18">
        <v>5648</v>
      </c>
      <c r="E5650" s="18" cm="1">
        <f t="array" aca="1" ref="E5650" ca="1">INDIRECT("b"&amp;F5650+2)</f>
        <v>0</v>
      </c>
      <c r="F5650" s="18">
        <f t="shared" si="1182"/>
        <v>7929</v>
      </c>
      <c r="G5650" s="18"/>
      <c r="H5650" s="18"/>
      <c r="I5650" s="19">
        <v>5648</v>
      </c>
      <c r="J5650" s="19" cm="1">
        <f t="array" aca="1" ref="J5650" ca="1">INDIRECT("b"&amp;K5650+2)</f>
        <v>0</v>
      </c>
      <c r="K5650" s="19">
        <f t="shared" si="1193"/>
        <v>9129</v>
      </c>
    </row>
    <row r="5651" spans="1:11">
      <c r="A5651">
        <v>5649</v>
      </c>
      <c r="B5651">
        <v>2.5750000000000001E+163</v>
      </c>
      <c r="D5651" s="18">
        <v>5649</v>
      </c>
      <c r="E5651" s="18" cm="1">
        <f t="array" aca="1" ref="E5651" ca="1">INDIRECT("b"&amp;F5651+2)</f>
        <v>0</v>
      </c>
      <c r="F5651" s="18">
        <f t="shared" ref="F5651:F5714" si="1196">INT((A5651-123)*1.333333)+563</f>
        <v>7930</v>
      </c>
      <c r="G5651" s="18" t="e">
        <f t="shared" ref="G5651" ca="1" si="1197">E5651/E5646</f>
        <v>#DIV/0!</v>
      </c>
      <c r="H5651" s="18"/>
      <c r="I5651" s="19">
        <v>5649</v>
      </c>
      <c r="J5651" s="19" cm="1">
        <f t="array" aca="1" ref="J5651" ca="1">INDIRECT("b"&amp;K5651+2)</f>
        <v>0</v>
      </c>
      <c r="K5651" s="19">
        <f t="shared" si="1193"/>
        <v>9130</v>
      </c>
    </row>
    <row r="5652" spans="1:11">
      <c r="A5652">
        <v>5650</v>
      </c>
      <c r="B5652">
        <v>2.8000000000000001E+163</v>
      </c>
      <c r="D5652" s="18">
        <v>5650</v>
      </c>
      <c r="E5652" s="18" cm="1">
        <f t="array" aca="1" ref="E5652" ca="1">INDIRECT("b"&amp;F5652+2)</f>
        <v>0</v>
      </c>
      <c r="F5652" s="18">
        <f t="shared" si="1196"/>
        <v>7932</v>
      </c>
      <c r="G5652" s="18"/>
      <c r="H5652" s="18"/>
      <c r="I5652" s="19">
        <v>5650</v>
      </c>
      <c r="J5652" s="19" cm="1">
        <f t="array" aca="1" ref="J5652" ca="1">INDIRECT("b"&amp;K5652+2)</f>
        <v>0</v>
      </c>
      <c r="K5652" s="19">
        <f t="shared" si="1193"/>
        <v>9132</v>
      </c>
    </row>
    <row r="5653" spans="1:11">
      <c r="A5653">
        <v>5651</v>
      </c>
      <c r="B5653">
        <v>3.0250000000000002E+163</v>
      </c>
      <c r="D5653" s="18">
        <v>5651</v>
      </c>
      <c r="E5653" s="18" cm="1">
        <f t="array" aca="1" ref="E5653" ca="1">INDIRECT("b"&amp;F5653+2)</f>
        <v>0</v>
      </c>
      <c r="F5653" s="18">
        <f t="shared" si="1196"/>
        <v>7933</v>
      </c>
      <c r="G5653" s="18"/>
      <c r="H5653" s="18"/>
      <c r="I5653" s="19">
        <v>5651</v>
      </c>
      <c r="J5653" s="19" cm="1">
        <f t="array" aca="1" ref="J5653" ca="1">INDIRECT("b"&amp;K5653+2)</f>
        <v>0</v>
      </c>
      <c r="K5653" s="19">
        <f t="shared" si="1193"/>
        <v>9133</v>
      </c>
    </row>
    <row r="5654" spans="1:11">
      <c r="A5654">
        <v>5652</v>
      </c>
      <c r="B5654">
        <v>3.2499999999999999E+163</v>
      </c>
      <c r="D5654" s="18">
        <v>5652</v>
      </c>
      <c r="E5654" s="18" cm="1">
        <f t="array" aca="1" ref="E5654" ca="1">INDIRECT("b"&amp;F5654+2)</f>
        <v>0</v>
      </c>
      <c r="F5654" s="18">
        <f t="shared" si="1196"/>
        <v>7934</v>
      </c>
      <c r="G5654" s="18"/>
      <c r="H5654" s="18"/>
      <c r="I5654" s="19">
        <v>5652</v>
      </c>
      <c r="J5654" s="19" cm="1">
        <f t="array" aca="1" ref="J5654" ca="1">INDIRECT("b"&amp;K5654+2)</f>
        <v>0</v>
      </c>
      <c r="K5654" s="19">
        <f t="shared" si="1193"/>
        <v>9134</v>
      </c>
    </row>
    <row r="5655" spans="1:11">
      <c r="A5655">
        <v>5653</v>
      </c>
      <c r="B5655">
        <v>3.4750000000000002E+163</v>
      </c>
      <c r="D5655" s="18">
        <v>5653</v>
      </c>
      <c r="E5655" s="18" cm="1">
        <f t="array" aca="1" ref="E5655" ca="1">INDIRECT("b"&amp;F5655+2)</f>
        <v>0</v>
      </c>
      <c r="F5655" s="18">
        <f t="shared" si="1196"/>
        <v>7936</v>
      </c>
      <c r="G5655" s="18"/>
      <c r="H5655" s="18"/>
      <c r="I5655" s="19">
        <v>5653</v>
      </c>
      <c r="J5655" s="19" cm="1">
        <f t="array" aca="1" ref="J5655" ca="1">INDIRECT("b"&amp;K5655+2)</f>
        <v>0</v>
      </c>
      <c r="K5655" s="19">
        <f t="shared" si="1193"/>
        <v>9136</v>
      </c>
    </row>
    <row r="5656" spans="1:11">
      <c r="A5656">
        <v>5654</v>
      </c>
      <c r="B5656">
        <v>3.6999999999999999E+163</v>
      </c>
      <c r="D5656" s="18">
        <v>5654</v>
      </c>
      <c r="E5656" s="18" cm="1">
        <f t="array" aca="1" ref="E5656" ca="1">INDIRECT("b"&amp;F5656+2)</f>
        <v>0</v>
      </c>
      <c r="F5656" s="18">
        <f t="shared" si="1196"/>
        <v>7937</v>
      </c>
      <c r="G5656" s="18" t="e">
        <f t="shared" ref="G5656" ca="1" si="1198">E5656/E5651</f>
        <v>#DIV/0!</v>
      </c>
      <c r="H5656" s="18"/>
      <c r="I5656" s="19">
        <v>5654</v>
      </c>
      <c r="J5656" s="19" cm="1">
        <f t="array" aca="1" ref="J5656" ca="1">INDIRECT("b"&amp;K5656+2)</f>
        <v>0</v>
      </c>
      <c r="K5656" s="19">
        <f t="shared" si="1193"/>
        <v>9137</v>
      </c>
    </row>
    <row r="5657" spans="1:11">
      <c r="A5657">
        <v>5655</v>
      </c>
      <c r="B5657">
        <v>3.9250000000000003E+163</v>
      </c>
      <c r="D5657" s="18">
        <v>5655</v>
      </c>
      <c r="E5657" s="18" cm="1">
        <f t="array" aca="1" ref="E5657" ca="1">INDIRECT("b"&amp;F5657+2)</f>
        <v>0</v>
      </c>
      <c r="F5657" s="18">
        <f t="shared" si="1196"/>
        <v>7938</v>
      </c>
      <c r="G5657" s="18"/>
      <c r="H5657" s="18"/>
      <c r="I5657" s="19">
        <v>5655</v>
      </c>
      <c r="J5657" s="19" cm="1">
        <f t="array" aca="1" ref="J5657" ca="1">INDIRECT("b"&amp;K5657+2)</f>
        <v>0</v>
      </c>
      <c r="K5657" s="19">
        <f t="shared" si="1193"/>
        <v>9138</v>
      </c>
    </row>
    <row r="5658" spans="1:11">
      <c r="A5658">
        <v>5656</v>
      </c>
      <c r="B5658">
        <v>4.15E+163</v>
      </c>
      <c r="D5658" s="18">
        <v>5656</v>
      </c>
      <c r="E5658" s="18" cm="1">
        <f t="array" aca="1" ref="E5658" ca="1">INDIRECT("b"&amp;F5658+2)</f>
        <v>0</v>
      </c>
      <c r="F5658" s="18">
        <f t="shared" si="1196"/>
        <v>7940</v>
      </c>
      <c r="G5658" s="18"/>
      <c r="H5658" s="18"/>
      <c r="I5658" s="19">
        <v>5656</v>
      </c>
      <c r="J5658" s="19" cm="1">
        <f t="array" aca="1" ref="J5658" ca="1">INDIRECT("b"&amp;K5658+2)</f>
        <v>0</v>
      </c>
      <c r="K5658" s="19">
        <f t="shared" si="1193"/>
        <v>9140</v>
      </c>
    </row>
    <row r="5659" spans="1:11">
      <c r="A5659">
        <v>5657</v>
      </c>
      <c r="B5659">
        <v>4.3750000000000003E+163</v>
      </c>
      <c r="D5659" s="18">
        <v>5657</v>
      </c>
      <c r="E5659" s="18" cm="1">
        <f t="array" aca="1" ref="E5659" ca="1">INDIRECT("b"&amp;F5659+2)</f>
        <v>0</v>
      </c>
      <c r="F5659" s="18">
        <f t="shared" si="1196"/>
        <v>7941</v>
      </c>
      <c r="G5659" s="18"/>
      <c r="H5659" s="18"/>
      <c r="I5659" s="19">
        <v>5657</v>
      </c>
      <c r="J5659" s="19" cm="1">
        <f t="array" aca="1" ref="J5659" ca="1">INDIRECT("b"&amp;K5659+2)</f>
        <v>0</v>
      </c>
      <c r="K5659" s="19">
        <f t="shared" si="1193"/>
        <v>9141</v>
      </c>
    </row>
    <row r="5660" spans="1:11">
      <c r="A5660">
        <v>5658</v>
      </c>
      <c r="B5660">
        <v>4.6E+163</v>
      </c>
      <c r="D5660" s="18">
        <v>5658</v>
      </c>
      <c r="E5660" s="18" cm="1">
        <f t="array" aca="1" ref="E5660" ca="1">INDIRECT("b"&amp;F5660+2)</f>
        <v>0</v>
      </c>
      <c r="F5660" s="18">
        <f t="shared" si="1196"/>
        <v>7942</v>
      </c>
      <c r="G5660" s="18"/>
      <c r="H5660" s="18"/>
      <c r="I5660" s="19">
        <v>5658</v>
      </c>
      <c r="J5660" s="19" cm="1">
        <f t="array" aca="1" ref="J5660" ca="1">INDIRECT("b"&amp;K5660+2)</f>
        <v>0</v>
      </c>
      <c r="K5660" s="19">
        <f t="shared" si="1193"/>
        <v>9142</v>
      </c>
    </row>
    <row r="5661" spans="1:11">
      <c r="A5661">
        <v>5659</v>
      </c>
      <c r="B5661">
        <v>4.8249999999999997E+163</v>
      </c>
      <c r="D5661" s="18">
        <v>5659</v>
      </c>
      <c r="E5661" s="18" cm="1">
        <f t="array" aca="1" ref="E5661" ca="1">INDIRECT("b"&amp;F5661+2)</f>
        <v>0</v>
      </c>
      <c r="F5661" s="18">
        <f t="shared" si="1196"/>
        <v>7944</v>
      </c>
      <c r="G5661" s="18" t="e">
        <f t="shared" ref="G5661" ca="1" si="1199">E5661/E5656</f>
        <v>#DIV/0!</v>
      </c>
      <c r="H5661" s="18"/>
      <c r="I5661" s="19">
        <v>5659</v>
      </c>
      <c r="J5661" s="19" cm="1">
        <f t="array" aca="1" ref="J5661" ca="1">INDIRECT("b"&amp;K5661+2)</f>
        <v>0</v>
      </c>
      <c r="K5661" s="19">
        <f t="shared" si="1193"/>
        <v>9144</v>
      </c>
    </row>
    <row r="5662" spans="1:11">
      <c r="A5662">
        <v>5660</v>
      </c>
      <c r="B5662">
        <v>5.0500000000000001E+163</v>
      </c>
      <c r="D5662" s="18">
        <v>5660</v>
      </c>
      <c r="E5662" s="18" cm="1">
        <f t="array" aca="1" ref="E5662" ca="1">INDIRECT("b"&amp;F5662+2)</f>
        <v>0</v>
      </c>
      <c r="F5662" s="18">
        <f t="shared" si="1196"/>
        <v>7945</v>
      </c>
      <c r="G5662" s="18"/>
      <c r="H5662" s="18"/>
      <c r="I5662" s="19">
        <v>5660</v>
      </c>
      <c r="J5662" s="19" cm="1">
        <f t="array" aca="1" ref="J5662" ca="1">INDIRECT("b"&amp;K5662+2)</f>
        <v>0</v>
      </c>
      <c r="K5662" s="19">
        <f t="shared" si="1193"/>
        <v>9145</v>
      </c>
    </row>
    <row r="5663" spans="1:11">
      <c r="A5663">
        <v>5661</v>
      </c>
      <c r="B5663">
        <v>5.2749999999999998E+163</v>
      </c>
      <c r="D5663" s="18">
        <v>5661</v>
      </c>
      <c r="E5663" s="18" cm="1">
        <f t="array" aca="1" ref="E5663" ca="1">INDIRECT("b"&amp;F5663+2)</f>
        <v>0</v>
      </c>
      <c r="F5663" s="18">
        <f t="shared" si="1196"/>
        <v>7946</v>
      </c>
      <c r="G5663" s="18"/>
      <c r="H5663" s="18"/>
      <c r="I5663" s="19">
        <v>5661</v>
      </c>
      <c r="J5663" s="19" cm="1">
        <f t="array" aca="1" ref="J5663" ca="1">INDIRECT("b"&amp;K5663+2)</f>
        <v>0</v>
      </c>
      <c r="K5663" s="19">
        <f t="shared" si="1193"/>
        <v>9146</v>
      </c>
    </row>
    <row r="5664" spans="1:11">
      <c r="A5664">
        <v>5662</v>
      </c>
      <c r="B5664">
        <v>5.5000000000000001E+163</v>
      </c>
      <c r="D5664" s="18">
        <v>5662</v>
      </c>
      <c r="E5664" s="18" cm="1">
        <f t="array" aca="1" ref="E5664" ca="1">INDIRECT("b"&amp;F5664+2)</f>
        <v>0</v>
      </c>
      <c r="F5664" s="18">
        <f t="shared" si="1196"/>
        <v>7948</v>
      </c>
      <c r="G5664" s="18"/>
      <c r="H5664" s="18"/>
      <c r="I5664" s="19">
        <v>5662</v>
      </c>
      <c r="J5664" s="19" cm="1">
        <f t="array" aca="1" ref="J5664" ca="1">INDIRECT("b"&amp;K5664+2)</f>
        <v>0</v>
      </c>
      <c r="K5664" s="19">
        <f t="shared" si="1193"/>
        <v>9148</v>
      </c>
    </row>
    <row r="5665" spans="1:11">
      <c r="A5665">
        <v>5663</v>
      </c>
      <c r="B5665">
        <v>5.7249999999999998E+163</v>
      </c>
      <c r="D5665" s="18">
        <v>5663</v>
      </c>
      <c r="E5665" s="18" cm="1">
        <f t="array" aca="1" ref="E5665" ca="1">INDIRECT("b"&amp;F5665+2)</f>
        <v>0</v>
      </c>
      <c r="F5665" s="18">
        <f t="shared" si="1196"/>
        <v>7949</v>
      </c>
      <c r="G5665" s="18"/>
      <c r="H5665" s="18"/>
      <c r="I5665" s="19">
        <v>5663</v>
      </c>
      <c r="J5665" s="19" cm="1">
        <f t="array" aca="1" ref="J5665" ca="1">INDIRECT("b"&amp;K5665+2)</f>
        <v>0</v>
      </c>
      <c r="K5665" s="19">
        <f t="shared" si="1193"/>
        <v>9149</v>
      </c>
    </row>
    <row r="5666" spans="1:11">
      <c r="A5666">
        <v>5664</v>
      </c>
      <c r="B5666">
        <v>5.9500000000000002E+163</v>
      </c>
      <c r="D5666" s="18">
        <v>5664</v>
      </c>
      <c r="E5666" s="18" cm="1">
        <f t="array" aca="1" ref="E5666" ca="1">INDIRECT("b"&amp;F5666+2)</f>
        <v>0</v>
      </c>
      <c r="F5666" s="18">
        <f t="shared" si="1196"/>
        <v>7950</v>
      </c>
      <c r="G5666" s="18" t="e">
        <f t="shared" ref="G5666" ca="1" si="1200">E5666/E5661</f>
        <v>#DIV/0!</v>
      </c>
      <c r="H5666" s="18"/>
      <c r="I5666" s="19">
        <v>5664</v>
      </c>
      <c r="J5666" s="19" cm="1">
        <f t="array" aca="1" ref="J5666" ca="1">INDIRECT("b"&amp;K5666+2)</f>
        <v>0</v>
      </c>
      <c r="K5666" s="19">
        <f t="shared" si="1193"/>
        <v>9150</v>
      </c>
    </row>
    <row r="5667" spans="1:11">
      <c r="A5667">
        <v>5665</v>
      </c>
      <c r="B5667">
        <v>6.1749999999999999E+163</v>
      </c>
      <c r="D5667" s="18">
        <v>5665</v>
      </c>
      <c r="E5667" s="18" cm="1">
        <f t="array" aca="1" ref="E5667" ca="1">INDIRECT("b"&amp;F5667+2)</f>
        <v>0</v>
      </c>
      <c r="F5667" s="18">
        <f t="shared" si="1196"/>
        <v>7952</v>
      </c>
      <c r="G5667" s="18"/>
      <c r="H5667" s="18"/>
      <c r="I5667" s="19">
        <v>5665</v>
      </c>
      <c r="J5667" s="19" cm="1">
        <f t="array" aca="1" ref="J5667" ca="1">INDIRECT("b"&amp;K5667+2)</f>
        <v>0</v>
      </c>
      <c r="K5667" s="19">
        <f t="shared" si="1193"/>
        <v>9152</v>
      </c>
    </row>
    <row r="5668" spans="1:11">
      <c r="A5668">
        <v>5666</v>
      </c>
      <c r="B5668">
        <v>6.3999999999999996E+163</v>
      </c>
      <c r="D5668" s="18">
        <v>5666</v>
      </c>
      <c r="E5668" s="18" cm="1">
        <f t="array" aca="1" ref="E5668" ca="1">INDIRECT("b"&amp;F5668+2)</f>
        <v>0</v>
      </c>
      <c r="F5668" s="18">
        <f t="shared" si="1196"/>
        <v>7953</v>
      </c>
      <c r="G5668" s="18" t="e">
        <f t="shared" ref="G5668" ca="1" si="1201">E5668/E5663</f>
        <v>#DIV/0!</v>
      </c>
      <c r="H5668" s="18"/>
      <c r="I5668" s="19">
        <v>5666</v>
      </c>
      <c r="J5668" s="19" cm="1">
        <f t="array" aca="1" ref="J5668" ca="1">INDIRECT("b"&amp;K5668+2)</f>
        <v>0</v>
      </c>
      <c r="K5668" s="19">
        <f t="shared" si="1193"/>
        <v>9153</v>
      </c>
    </row>
    <row r="5669" spans="1:11">
      <c r="A5669">
        <v>5667</v>
      </c>
      <c r="B5669">
        <v>6.6250000000000006E+163</v>
      </c>
      <c r="D5669" s="18">
        <v>5667</v>
      </c>
      <c r="E5669" s="18" cm="1">
        <f t="array" aca="1" ref="E5669" ca="1">INDIRECT("b"&amp;F5669+2)</f>
        <v>0</v>
      </c>
      <c r="F5669" s="18">
        <f t="shared" si="1196"/>
        <v>7954</v>
      </c>
      <c r="G5669" s="18"/>
      <c r="H5669" s="18"/>
      <c r="I5669" s="19">
        <v>5667</v>
      </c>
      <c r="J5669" s="19" cm="1">
        <f t="array" aca="1" ref="J5669" ca="1">INDIRECT("b"&amp;K5669+2)</f>
        <v>0</v>
      </c>
      <c r="K5669" s="19">
        <f t="shared" si="1193"/>
        <v>9154</v>
      </c>
    </row>
    <row r="5670" spans="1:11">
      <c r="A5670">
        <v>5668</v>
      </c>
      <c r="B5670">
        <v>6.8500000000000003E+163</v>
      </c>
      <c r="D5670" s="18">
        <v>5668</v>
      </c>
      <c r="E5670" s="18" cm="1">
        <f t="array" aca="1" ref="E5670" ca="1">INDIRECT("b"&amp;F5670+2)</f>
        <v>0</v>
      </c>
      <c r="F5670" s="18">
        <f t="shared" si="1196"/>
        <v>7956</v>
      </c>
      <c r="G5670" s="18"/>
      <c r="H5670" s="18"/>
      <c r="I5670" s="19">
        <v>5668</v>
      </c>
      <c r="J5670" s="19" cm="1">
        <f t="array" aca="1" ref="J5670" ca="1">INDIRECT("b"&amp;K5670+2)</f>
        <v>0</v>
      </c>
      <c r="K5670" s="19">
        <f t="shared" si="1193"/>
        <v>9156</v>
      </c>
    </row>
    <row r="5671" spans="1:11">
      <c r="A5671">
        <v>5669</v>
      </c>
      <c r="B5671">
        <v>7.075E+163</v>
      </c>
      <c r="D5671" s="18">
        <v>5669</v>
      </c>
      <c r="E5671" s="18" cm="1">
        <f t="array" aca="1" ref="E5671" ca="1">INDIRECT("b"&amp;F5671+2)</f>
        <v>0</v>
      </c>
      <c r="F5671" s="18">
        <f t="shared" si="1196"/>
        <v>7957</v>
      </c>
      <c r="G5671" s="18"/>
      <c r="H5671" s="18"/>
      <c r="I5671" s="19">
        <v>5669</v>
      </c>
      <c r="J5671" s="19" cm="1">
        <f t="array" aca="1" ref="J5671" ca="1">INDIRECT("b"&amp;K5671+2)</f>
        <v>0</v>
      </c>
      <c r="K5671" s="19">
        <f t="shared" si="1193"/>
        <v>9157</v>
      </c>
    </row>
    <row r="5672" spans="1:11">
      <c r="A5672">
        <v>5670</v>
      </c>
      <c r="B5672">
        <v>7.2999999999999997E+163</v>
      </c>
      <c r="D5672" s="18">
        <v>5670</v>
      </c>
      <c r="E5672" s="18" cm="1">
        <f t="array" aca="1" ref="E5672" ca="1">INDIRECT("b"&amp;F5672+2)</f>
        <v>0</v>
      </c>
      <c r="F5672" s="18">
        <f t="shared" si="1196"/>
        <v>7958</v>
      </c>
      <c r="G5672" s="18"/>
      <c r="H5672" s="18"/>
      <c r="I5672" s="19">
        <v>5670</v>
      </c>
      <c r="J5672" s="19" cm="1">
        <f t="array" aca="1" ref="J5672" ca="1">INDIRECT("b"&amp;K5672+2)</f>
        <v>0</v>
      </c>
      <c r="K5672" s="19">
        <f t="shared" si="1193"/>
        <v>9158</v>
      </c>
    </row>
    <row r="5673" spans="1:11">
      <c r="A5673">
        <v>5671</v>
      </c>
      <c r="B5673">
        <v>7.5250000000000007E+163</v>
      </c>
      <c r="D5673" s="18">
        <v>5671</v>
      </c>
      <c r="E5673" s="18" cm="1">
        <f t="array" aca="1" ref="E5673" ca="1">INDIRECT("b"&amp;F5673+2)</f>
        <v>0</v>
      </c>
      <c r="F5673" s="18">
        <f t="shared" si="1196"/>
        <v>7960</v>
      </c>
      <c r="G5673" s="18" t="e">
        <f t="shared" ref="G5673" ca="1" si="1202">E5673/E5668</f>
        <v>#DIV/0!</v>
      </c>
      <c r="H5673" s="18"/>
      <c r="I5673" s="19">
        <v>5671</v>
      </c>
      <c r="J5673" s="19" cm="1">
        <f t="array" aca="1" ref="J5673" ca="1">INDIRECT("b"&amp;K5673+2)</f>
        <v>0</v>
      </c>
      <c r="K5673" s="19">
        <f t="shared" si="1193"/>
        <v>9160</v>
      </c>
    </row>
    <row r="5674" spans="1:11">
      <c r="A5674">
        <v>5672</v>
      </c>
      <c r="B5674">
        <v>7.7500000000000004E+163</v>
      </c>
      <c r="D5674" s="18">
        <v>5672</v>
      </c>
      <c r="E5674" s="18" cm="1">
        <f t="array" aca="1" ref="E5674" ca="1">INDIRECT("b"&amp;F5674+2)</f>
        <v>0</v>
      </c>
      <c r="F5674" s="18">
        <f t="shared" si="1196"/>
        <v>7961</v>
      </c>
      <c r="G5674" s="18"/>
      <c r="H5674" s="18"/>
      <c r="I5674" s="19">
        <v>5672</v>
      </c>
      <c r="J5674" s="19" cm="1">
        <f t="array" aca="1" ref="J5674" ca="1">INDIRECT("b"&amp;K5674+2)</f>
        <v>0</v>
      </c>
      <c r="K5674" s="19">
        <f t="shared" si="1193"/>
        <v>9161</v>
      </c>
    </row>
    <row r="5675" spans="1:11">
      <c r="A5675">
        <v>5673</v>
      </c>
      <c r="B5675">
        <v>7.9750000000000001E+163</v>
      </c>
      <c r="D5675" s="18">
        <v>5673</v>
      </c>
      <c r="E5675" s="18" cm="1">
        <f t="array" aca="1" ref="E5675" ca="1">INDIRECT("b"&amp;F5675+2)</f>
        <v>0</v>
      </c>
      <c r="F5675" s="18">
        <f t="shared" si="1196"/>
        <v>7962</v>
      </c>
      <c r="G5675" s="18"/>
      <c r="H5675" s="18"/>
      <c r="I5675" s="19">
        <v>5673</v>
      </c>
      <c r="J5675" s="19" cm="1">
        <f t="array" aca="1" ref="J5675" ca="1">INDIRECT("b"&amp;K5675+2)</f>
        <v>0</v>
      </c>
      <c r="K5675" s="19">
        <f t="shared" si="1193"/>
        <v>9162</v>
      </c>
    </row>
    <row r="5676" spans="1:11">
      <c r="A5676">
        <v>5674</v>
      </c>
      <c r="B5676">
        <v>8.1999999999999998E+163</v>
      </c>
      <c r="D5676" s="18">
        <v>5674</v>
      </c>
      <c r="E5676" s="18" cm="1">
        <f t="array" aca="1" ref="E5676" ca="1">INDIRECT("b"&amp;F5676+2)</f>
        <v>0</v>
      </c>
      <c r="F5676" s="18">
        <f t="shared" si="1196"/>
        <v>7964</v>
      </c>
      <c r="G5676" s="18"/>
      <c r="H5676" s="18"/>
      <c r="I5676" s="19">
        <v>5674</v>
      </c>
      <c r="J5676" s="19" cm="1">
        <f t="array" aca="1" ref="J5676" ca="1">INDIRECT("b"&amp;K5676+2)</f>
        <v>0</v>
      </c>
      <c r="K5676" s="19">
        <f t="shared" si="1193"/>
        <v>9164</v>
      </c>
    </row>
    <row r="5677" spans="1:11">
      <c r="A5677">
        <v>5675</v>
      </c>
      <c r="B5677">
        <v>8.4249999999999995E+163</v>
      </c>
      <c r="D5677" s="18">
        <v>5675</v>
      </c>
      <c r="E5677" s="18" cm="1">
        <f t="array" aca="1" ref="E5677" ca="1">INDIRECT("b"&amp;F5677+2)</f>
        <v>0</v>
      </c>
      <c r="F5677" s="18">
        <f t="shared" si="1196"/>
        <v>7965</v>
      </c>
      <c r="G5677" s="18"/>
      <c r="H5677" s="18"/>
      <c r="I5677" s="19">
        <v>5675</v>
      </c>
      <c r="J5677" s="19" cm="1">
        <f t="array" aca="1" ref="J5677" ca="1">INDIRECT("b"&amp;K5677+2)</f>
        <v>0</v>
      </c>
      <c r="K5677" s="19">
        <f t="shared" si="1193"/>
        <v>9165</v>
      </c>
    </row>
    <row r="5678" spans="1:11">
      <c r="A5678">
        <v>5676</v>
      </c>
      <c r="B5678">
        <v>8.6500000000000005E+163</v>
      </c>
      <c r="D5678" s="18">
        <v>5676</v>
      </c>
      <c r="E5678" s="18" cm="1">
        <f t="array" aca="1" ref="E5678" ca="1">INDIRECT("b"&amp;F5678+2)</f>
        <v>0</v>
      </c>
      <c r="F5678" s="18">
        <f t="shared" si="1196"/>
        <v>7966</v>
      </c>
      <c r="G5678" s="18" t="e">
        <f t="shared" ref="G5678" ca="1" si="1203">E5678/E5673</f>
        <v>#DIV/0!</v>
      </c>
      <c r="H5678" s="18"/>
      <c r="I5678" s="19">
        <v>5676</v>
      </c>
      <c r="J5678" s="19" cm="1">
        <f t="array" aca="1" ref="J5678" ca="1">INDIRECT("b"&amp;K5678+2)</f>
        <v>0</v>
      </c>
      <c r="K5678" s="19">
        <f t="shared" si="1193"/>
        <v>9166</v>
      </c>
    </row>
    <row r="5679" spans="1:11">
      <c r="A5679">
        <v>5677</v>
      </c>
      <c r="B5679">
        <v>8.8750000000000002E+163</v>
      </c>
      <c r="D5679" s="18">
        <v>5677</v>
      </c>
      <c r="E5679" s="18" cm="1">
        <f t="array" aca="1" ref="E5679" ca="1">INDIRECT("b"&amp;F5679+2)</f>
        <v>0</v>
      </c>
      <c r="F5679" s="18">
        <f t="shared" si="1196"/>
        <v>7968</v>
      </c>
      <c r="G5679" s="18"/>
      <c r="H5679" s="18"/>
      <c r="I5679" s="19">
        <v>5677</v>
      </c>
      <c r="J5679" s="19" cm="1">
        <f t="array" aca="1" ref="J5679" ca="1">INDIRECT("b"&amp;K5679+2)</f>
        <v>0</v>
      </c>
      <c r="K5679" s="19">
        <f t="shared" si="1193"/>
        <v>9168</v>
      </c>
    </row>
    <row r="5680" spans="1:11">
      <c r="A5680">
        <v>5678</v>
      </c>
      <c r="B5680">
        <v>9.0999999999999999E+163</v>
      </c>
      <c r="D5680" s="18">
        <v>5678</v>
      </c>
      <c r="E5680" s="18" cm="1">
        <f t="array" aca="1" ref="E5680" ca="1">INDIRECT("b"&amp;F5680+2)</f>
        <v>0</v>
      </c>
      <c r="F5680" s="18">
        <f t="shared" si="1196"/>
        <v>7969</v>
      </c>
      <c r="G5680" s="18"/>
      <c r="H5680" s="18"/>
      <c r="I5680" s="19">
        <v>5678</v>
      </c>
      <c r="J5680" s="19" cm="1">
        <f t="array" aca="1" ref="J5680" ca="1">INDIRECT("b"&amp;K5680+2)</f>
        <v>0</v>
      </c>
      <c r="K5680" s="19">
        <f t="shared" si="1193"/>
        <v>9169</v>
      </c>
    </row>
    <row r="5681" spans="1:11">
      <c r="A5681">
        <v>5679</v>
      </c>
      <c r="B5681">
        <v>9.3249999999999996E+163</v>
      </c>
      <c r="D5681" s="18">
        <v>5679</v>
      </c>
      <c r="E5681" s="18" cm="1">
        <f t="array" aca="1" ref="E5681" ca="1">INDIRECT("b"&amp;F5681+2)</f>
        <v>0</v>
      </c>
      <c r="F5681" s="18">
        <f t="shared" si="1196"/>
        <v>7970</v>
      </c>
      <c r="G5681" s="18"/>
      <c r="H5681" s="18"/>
      <c r="I5681" s="19">
        <v>5679</v>
      </c>
      <c r="J5681" s="19" cm="1">
        <f t="array" aca="1" ref="J5681" ca="1">INDIRECT("b"&amp;K5681+2)</f>
        <v>0</v>
      </c>
      <c r="K5681" s="19">
        <f t="shared" si="1193"/>
        <v>9170</v>
      </c>
    </row>
    <row r="5682" spans="1:11">
      <c r="A5682">
        <v>5680</v>
      </c>
      <c r="B5682">
        <v>9.5500000000000006E+163</v>
      </c>
      <c r="D5682" s="18">
        <v>5680</v>
      </c>
      <c r="E5682" s="18" cm="1">
        <f t="array" aca="1" ref="E5682" ca="1">INDIRECT("b"&amp;F5682+2)</f>
        <v>0</v>
      </c>
      <c r="F5682" s="18">
        <f t="shared" si="1196"/>
        <v>7972</v>
      </c>
      <c r="G5682" s="18"/>
      <c r="H5682" s="18"/>
      <c r="I5682" s="19">
        <v>5680</v>
      </c>
      <c r="J5682" s="19" cm="1">
        <f t="array" aca="1" ref="J5682" ca="1">INDIRECT("b"&amp;K5682+2)</f>
        <v>0</v>
      </c>
      <c r="K5682" s="19">
        <f t="shared" si="1193"/>
        <v>9172</v>
      </c>
    </row>
    <row r="5683" spans="1:11">
      <c r="A5683">
        <v>5681</v>
      </c>
      <c r="B5683">
        <v>9.7750000000000003E+163</v>
      </c>
      <c r="D5683" s="18">
        <v>5681</v>
      </c>
      <c r="E5683" s="18" cm="1">
        <f t="array" aca="1" ref="E5683" ca="1">INDIRECT("b"&amp;F5683+2)</f>
        <v>0</v>
      </c>
      <c r="F5683" s="18">
        <f t="shared" si="1196"/>
        <v>7973</v>
      </c>
      <c r="G5683" s="18" t="e">
        <f t="shared" ref="G5683" ca="1" si="1204">E5683/E5678</f>
        <v>#DIV/0!</v>
      </c>
      <c r="H5683" s="18"/>
      <c r="I5683" s="19">
        <v>5681</v>
      </c>
      <c r="J5683" s="19" cm="1">
        <f t="array" aca="1" ref="J5683" ca="1">INDIRECT("b"&amp;K5683+2)</f>
        <v>0</v>
      </c>
      <c r="K5683" s="19">
        <f t="shared" si="1193"/>
        <v>9173</v>
      </c>
    </row>
    <row r="5684" spans="1:11">
      <c r="A5684">
        <v>5682</v>
      </c>
      <c r="B5684">
        <v>1E+164</v>
      </c>
      <c r="D5684" s="18">
        <v>5682</v>
      </c>
      <c r="E5684" s="18" cm="1">
        <f t="array" aca="1" ref="E5684" ca="1">INDIRECT("b"&amp;F5684+2)</f>
        <v>0</v>
      </c>
      <c r="F5684" s="18">
        <f t="shared" si="1196"/>
        <v>7974</v>
      </c>
      <c r="G5684" s="18"/>
      <c r="H5684" s="18"/>
      <c r="I5684" s="19">
        <v>5682</v>
      </c>
      <c r="J5684" s="19" cm="1">
        <f t="array" aca="1" ref="J5684" ca="1">INDIRECT("b"&amp;K5684+2)</f>
        <v>0</v>
      </c>
      <c r="K5684" s="19">
        <f t="shared" si="1193"/>
        <v>9174</v>
      </c>
    </row>
    <row r="5685" spans="1:11">
      <c r="A5685">
        <v>5683</v>
      </c>
      <c r="B5685">
        <v>1.225E+164</v>
      </c>
      <c r="D5685" s="18">
        <v>5683</v>
      </c>
      <c r="E5685" s="18" cm="1">
        <f t="array" aca="1" ref="E5685" ca="1">INDIRECT("b"&amp;F5685+2)</f>
        <v>0</v>
      </c>
      <c r="F5685" s="18">
        <f t="shared" si="1196"/>
        <v>7976</v>
      </c>
      <c r="G5685" s="18"/>
      <c r="H5685" s="18"/>
      <c r="I5685" s="19">
        <v>5683</v>
      </c>
      <c r="J5685" s="19" cm="1">
        <f t="array" aca="1" ref="J5685" ca="1">INDIRECT("b"&amp;K5685+2)</f>
        <v>0</v>
      </c>
      <c r="K5685" s="19">
        <f t="shared" si="1193"/>
        <v>9176</v>
      </c>
    </row>
    <row r="5686" spans="1:11">
      <c r="A5686">
        <v>5684</v>
      </c>
      <c r="B5686">
        <v>1.4499999999999999E+164</v>
      </c>
      <c r="D5686" s="18">
        <v>5684</v>
      </c>
      <c r="E5686" s="18" cm="1">
        <f t="array" aca="1" ref="E5686" ca="1">INDIRECT("b"&amp;F5686+2)</f>
        <v>0</v>
      </c>
      <c r="F5686" s="18">
        <f t="shared" si="1196"/>
        <v>7977</v>
      </c>
      <c r="G5686" s="18"/>
      <c r="H5686" s="18"/>
      <c r="I5686" s="19">
        <v>5684</v>
      </c>
      <c r="J5686" s="19" cm="1">
        <f t="array" aca="1" ref="J5686" ca="1">INDIRECT("b"&amp;K5686+2)</f>
        <v>0</v>
      </c>
      <c r="K5686" s="19">
        <f t="shared" si="1193"/>
        <v>9177</v>
      </c>
    </row>
    <row r="5687" spans="1:11">
      <c r="A5687">
        <v>5685</v>
      </c>
      <c r="B5687">
        <v>1.6749999999999999E+164</v>
      </c>
      <c r="D5687" s="18">
        <v>5685</v>
      </c>
      <c r="E5687" s="18" cm="1">
        <f t="array" aca="1" ref="E5687" ca="1">INDIRECT("b"&amp;F5687+2)</f>
        <v>0</v>
      </c>
      <c r="F5687" s="18">
        <f t="shared" si="1196"/>
        <v>7978</v>
      </c>
      <c r="G5687" s="18"/>
      <c r="H5687" s="18"/>
      <c r="I5687" s="19">
        <v>5685</v>
      </c>
      <c r="J5687" s="19" cm="1">
        <f t="array" aca="1" ref="J5687" ca="1">INDIRECT("b"&amp;K5687+2)</f>
        <v>0</v>
      </c>
      <c r="K5687" s="19">
        <f t="shared" si="1193"/>
        <v>9178</v>
      </c>
    </row>
    <row r="5688" spans="1:11">
      <c r="A5688">
        <v>5686</v>
      </c>
      <c r="B5688">
        <v>1.8999999999999998E+164</v>
      </c>
      <c r="D5688" s="18">
        <v>5686</v>
      </c>
      <c r="E5688" s="18" cm="1">
        <f t="array" aca="1" ref="E5688" ca="1">INDIRECT("b"&amp;F5688+2)</f>
        <v>0</v>
      </c>
      <c r="F5688" s="18">
        <f t="shared" si="1196"/>
        <v>7980</v>
      </c>
      <c r="G5688" s="18" t="e">
        <f t="shared" ref="G5688" ca="1" si="1205">E5688/E5683</f>
        <v>#DIV/0!</v>
      </c>
      <c r="H5688" s="18"/>
      <c r="I5688" s="19">
        <v>5686</v>
      </c>
      <c r="J5688" s="19" cm="1">
        <f t="array" aca="1" ref="J5688" ca="1">INDIRECT("b"&amp;K5688+2)</f>
        <v>0</v>
      </c>
      <c r="K5688" s="19">
        <f t="shared" si="1193"/>
        <v>9180</v>
      </c>
    </row>
    <row r="5689" spans="1:11">
      <c r="A5689">
        <v>5687</v>
      </c>
      <c r="B5689">
        <v>2.1250000000000001E+164</v>
      </c>
      <c r="D5689" s="18">
        <v>5687</v>
      </c>
      <c r="E5689" s="18" cm="1">
        <f t="array" aca="1" ref="E5689" ca="1">INDIRECT("b"&amp;F5689+2)</f>
        <v>0</v>
      </c>
      <c r="F5689" s="18">
        <f t="shared" si="1196"/>
        <v>7981</v>
      </c>
      <c r="G5689" s="18"/>
      <c r="H5689" s="18"/>
      <c r="I5689" s="19">
        <v>5687</v>
      </c>
      <c r="J5689" s="19" cm="1">
        <f t="array" aca="1" ref="J5689" ca="1">INDIRECT("b"&amp;K5689+2)</f>
        <v>0</v>
      </c>
      <c r="K5689" s="19">
        <f t="shared" si="1193"/>
        <v>9181</v>
      </c>
    </row>
    <row r="5690" spans="1:11">
      <c r="A5690">
        <v>5688</v>
      </c>
      <c r="B5690">
        <v>2.3499999999999998E+164</v>
      </c>
      <c r="D5690" s="18">
        <v>5688</v>
      </c>
      <c r="E5690" s="18" cm="1">
        <f t="array" aca="1" ref="E5690" ca="1">INDIRECT("b"&amp;F5690+2)</f>
        <v>0</v>
      </c>
      <c r="F5690" s="18">
        <f t="shared" si="1196"/>
        <v>7982</v>
      </c>
      <c r="G5690" s="18"/>
      <c r="H5690" s="18"/>
      <c r="I5690" s="19">
        <v>5688</v>
      </c>
      <c r="J5690" s="19" cm="1">
        <f t="array" aca="1" ref="J5690" ca="1">INDIRECT("b"&amp;K5690+2)</f>
        <v>0</v>
      </c>
      <c r="K5690" s="19">
        <f t="shared" si="1193"/>
        <v>9182</v>
      </c>
    </row>
    <row r="5691" spans="1:11">
      <c r="A5691">
        <v>5689</v>
      </c>
      <c r="B5691">
        <v>2.5749999999999997E+164</v>
      </c>
      <c r="D5691" s="18">
        <v>5689</v>
      </c>
      <c r="E5691" s="18" cm="1">
        <f t="array" aca="1" ref="E5691" ca="1">INDIRECT("b"&amp;F5691+2)</f>
        <v>0</v>
      </c>
      <c r="F5691" s="18">
        <f t="shared" si="1196"/>
        <v>7984</v>
      </c>
      <c r="G5691" s="18"/>
      <c r="H5691" s="18"/>
      <c r="I5691" s="19">
        <v>5689</v>
      </c>
      <c r="J5691" s="19" cm="1">
        <f t="array" aca="1" ref="J5691" ca="1">INDIRECT("b"&amp;K5691+2)</f>
        <v>0</v>
      </c>
      <c r="K5691" s="19">
        <f t="shared" si="1193"/>
        <v>9184</v>
      </c>
    </row>
    <row r="5692" spans="1:11">
      <c r="A5692">
        <v>5690</v>
      </c>
      <c r="B5692">
        <v>2.7999999999999997E+164</v>
      </c>
      <c r="D5692" s="18">
        <v>5690</v>
      </c>
      <c r="E5692" s="18" cm="1">
        <f t="array" aca="1" ref="E5692" ca="1">INDIRECT("b"&amp;F5692+2)</f>
        <v>0</v>
      </c>
      <c r="F5692" s="18">
        <f t="shared" si="1196"/>
        <v>7985</v>
      </c>
      <c r="G5692" s="18"/>
      <c r="H5692" s="18"/>
      <c r="I5692" s="19">
        <v>5690</v>
      </c>
      <c r="J5692" s="19" cm="1">
        <f t="array" aca="1" ref="J5692" ca="1">INDIRECT("b"&amp;K5692+2)</f>
        <v>0</v>
      </c>
      <c r="K5692" s="19">
        <f t="shared" si="1193"/>
        <v>9185</v>
      </c>
    </row>
    <row r="5693" spans="1:11">
      <c r="A5693">
        <v>5691</v>
      </c>
      <c r="B5693">
        <v>3.0250000000000002E+164</v>
      </c>
      <c r="D5693" s="18">
        <v>5691</v>
      </c>
      <c r="E5693" s="18" cm="1">
        <f t="array" aca="1" ref="E5693" ca="1">INDIRECT("b"&amp;F5693+2)</f>
        <v>0</v>
      </c>
      <c r="F5693" s="18">
        <f t="shared" si="1196"/>
        <v>7986</v>
      </c>
      <c r="G5693" s="18" t="e">
        <f t="shared" ref="G5693" ca="1" si="1206">E5693/E5688</f>
        <v>#DIV/0!</v>
      </c>
      <c r="H5693" s="18"/>
      <c r="I5693" s="19">
        <v>5691</v>
      </c>
      <c r="J5693" s="19" cm="1">
        <f t="array" aca="1" ref="J5693" ca="1">INDIRECT("b"&amp;K5693+2)</f>
        <v>0</v>
      </c>
      <c r="K5693" s="19">
        <f t="shared" si="1193"/>
        <v>9186</v>
      </c>
    </row>
    <row r="5694" spans="1:11">
      <c r="A5694">
        <v>5692</v>
      </c>
      <c r="B5694">
        <v>3.2500000000000001E+164</v>
      </c>
      <c r="D5694" s="18">
        <v>5692</v>
      </c>
      <c r="E5694" s="18" cm="1">
        <f t="array" aca="1" ref="E5694" ca="1">INDIRECT("b"&amp;F5694+2)</f>
        <v>0</v>
      </c>
      <c r="F5694" s="18">
        <f t="shared" si="1196"/>
        <v>7988</v>
      </c>
      <c r="G5694" s="18"/>
      <c r="H5694" s="18"/>
      <c r="I5694" s="19">
        <v>5692</v>
      </c>
      <c r="J5694" s="19" cm="1">
        <f t="array" aca="1" ref="J5694" ca="1">INDIRECT("b"&amp;K5694+2)</f>
        <v>0</v>
      </c>
      <c r="K5694" s="19">
        <f t="shared" si="1193"/>
        <v>9188</v>
      </c>
    </row>
    <row r="5695" spans="1:11">
      <c r="A5695">
        <v>5693</v>
      </c>
      <c r="B5695">
        <v>3.4750000000000001E+164</v>
      </c>
      <c r="D5695" s="18">
        <v>5693</v>
      </c>
      <c r="E5695" s="18" cm="1">
        <f t="array" aca="1" ref="E5695" ca="1">INDIRECT("b"&amp;F5695+2)</f>
        <v>0</v>
      </c>
      <c r="F5695" s="18">
        <f t="shared" si="1196"/>
        <v>7989</v>
      </c>
      <c r="G5695" s="18"/>
      <c r="H5695" s="18"/>
      <c r="I5695" s="19">
        <v>5693</v>
      </c>
      <c r="J5695" s="19" cm="1">
        <f t="array" aca="1" ref="J5695" ca="1">INDIRECT("b"&amp;K5695+2)</f>
        <v>0</v>
      </c>
      <c r="K5695" s="19">
        <f t="shared" si="1193"/>
        <v>9189</v>
      </c>
    </row>
    <row r="5696" spans="1:11">
      <c r="A5696">
        <v>5694</v>
      </c>
      <c r="B5696">
        <v>3.7000000000000001E+164</v>
      </c>
      <c r="D5696" s="18">
        <v>5694</v>
      </c>
      <c r="E5696" s="18" cm="1">
        <f t="array" aca="1" ref="E5696" ca="1">INDIRECT("b"&amp;F5696+2)</f>
        <v>0</v>
      </c>
      <c r="F5696" s="18">
        <f t="shared" si="1196"/>
        <v>7990</v>
      </c>
      <c r="G5696" s="18"/>
      <c r="H5696" s="18"/>
      <c r="I5696" s="19">
        <v>5694</v>
      </c>
      <c r="J5696" s="19" cm="1">
        <f t="array" aca="1" ref="J5696" ca="1">INDIRECT("b"&amp;K5696+2)</f>
        <v>0</v>
      </c>
      <c r="K5696" s="19">
        <f t="shared" si="1193"/>
        <v>9190</v>
      </c>
    </row>
    <row r="5697" spans="1:11">
      <c r="A5697">
        <v>5695</v>
      </c>
      <c r="B5697">
        <v>3.925E+164</v>
      </c>
      <c r="D5697" s="18">
        <v>5695</v>
      </c>
      <c r="E5697" s="18" cm="1">
        <f t="array" aca="1" ref="E5697" ca="1">INDIRECT("b"&amp;F5697+2)</f>
        <v>0</v>
      </c>
      <c r="F5697" s="18">
        <f t="shared" si="1196"/>
        <v>7992</v>
      </c>
      <c r="G5697" s="18"/>
      <c r="H5697" s="18"/>
      <c r="I5697" s="19">
        <v>5695</v>
      </c>
      <c r="J5697" s="19" cm="1">
        <f t="array" aca="1" ref="J5697" ca="1">INDIRECT("b"&amp;K5697+2)</f>
        <v>0</v>
      </c>
      <c r="K5697" s="19">
        <f t="shared" si="1193"/>
        <v>9192</v>
      </c>
    </row>
    <row r="5698" spans="1:11">
      <c r="A5698">
        <v>5696</v>
      </c>
      <c r="B5698">
        <v>4.15E+164</v>
      </c>
      <c r="D5698" s="18">
        <v>5696</v>
      </c>
      <c r="E5698" s="18" cm="1">
        <f t="array" aca="1" ref="E5698" ca="1">INDIRECT("b"&amp;F5698+2)</f>
        <v>0</v>
      </c>
      <c r="F5698" s="18">
        <f t="shared" si="1196"/>
        <v>7993</v>
      </c>
      <c r="G5698" s="18" t="e">
        <f t="shared" ref="G5698" ca="1" si="1207">E5698/E5693</f>
        <v>#DIV/0!</v>
      </c>
      <c r="H5698" s="18"/>
      <c r="I5698" s="19">
        <v>5696</v>
      </c>
      <c r="J5698" s="19" cm="1">
        <f t="array" aca="1" ref="J5698" ca="1">INDIRECT("b"&amp;K5698+2)</f>
        <v>0</v>
      </c>
      <c r="K5698" s="19">
        <f t="shared" si="1193"/>
        <v>9193</v>
      </c>
    </row>
    <row r="5699" spans="1:11">
      <c r="A5699">
        <v>5697</v>
      </c>
      <c r="B5699">
        <v>4.3749999999999999E+164</v>
      </c>
      <c r="D5699" s="18">
        <v>5697</v>
      </c>
      <c r="E5699" s="18" cm="1">
        <f t="array" aca="1" ref="E5699" ca="1">INDIRECT("b"&amp;F5699+2)</f>
        <v>0</v>
      </c>
      <c r="F5699" s="18">
        <f t="shared" si="1196"/>
        <v>7994</v>
      </c>
      <c r="G5699" s="18"/>
      <c r="H5699" s="18"/>
      <c r="I5699" s="19">
        <v>5697</v>
      </c>
      <c r="J5699" s="19" cm="1">
        <f t="array" aca="1" ref="J5699" ca="1">INDIRECT("b"&amp;K5699+2)</f>
        <v>0</v>
      </c>
      <c r="K5699" s="19">
        <f t="shared" si="1193"/>
        <v>9194</v>
      </c>
    </row>
    <row r="5700" spans="1:11">
      <c r="A5700">
        <v>5698</v>
      </c>
      <c r="B5700">
        <v>4.5999999999999999E+164</v>
      </c>
      <c r="D5700" s="18">
        <v>5698</v>
      </c>
      <c r="E5700" s="18" cm="1">
        <f t="array" aca="1" ref="E5700" ca="1">INDIRECT("b"&amp;F5700+2)</f>
        <v>0</v>
      </c>
      <c r="F5700" s="18">
        <f t="shared" si="1196"/>
        <v>7996</v>
      </c>
      <c r="G5700" s="18"/>
      <c r="H5700" s="18"/>
      <c r="I5700" s="19">
        <v>5698</v>
      </c>
      <c r="J5700" s="19" cm="1">
        <f t="array" aca="1" ref="J5700" ca="1">INDIRECT("b"&amp;K5700+2)</f>
        <v>0</v>
      </c>
      <c r="K5700" s="19">
        <f t="shared" ref="K5700:K5763" si="1208">INT((A5700-1)*40/30+900*40/30)+400</f>
        <v>9196</v>
      </c>
    </row>
    <row r="5701" spans="1:11">
      <c r="A5701">
        <v>5699</v>
      </c>
      <c r="B5701">
        <v>4.8250000000000004E+164</v>
      </c>
      <c r="D5701" s="18">
        <v>5699</v>
      </c>
      <c r="E5701" s="18" cm="1">
        <f t="array" aca="1" ref="E5701" ca="1">INDIRECT("b"&amp;F5701+2)</f>
        <v>0</v>
      </c>
      <c r="F5701" s="18">
        <f t="shared" si="1196"/>
        <v>7997</v>
      </c>
      <c r="G5701" s="18"/>
      <c r="H5701" s="18"/>
      <c r="I5701" s="19">
        <v>5699</v>
      </c>
      <c r="J5701" s="19" cm="1">
        <f t="array" aca="1" ref="J5701" ca="1">INDIRECT("b"&amp;K5701+2)</f>
        <v>0</v>
      </c>
      <c r="K5701" s="19">
        <f t="shared" si="1208"/>
        <v>9197</v>
      </c>
    </row>
    <row r="5702" spans="1:11">
      <c r="A5702">
        <v>5700</v>
      </c>
      <c r="B5702">
        <v>5.0499999999999998E+164</v>
      </c>
      <c r="D5702" s="18">
        <v>5700</v>
      </c>
      <c r="E5702" s="18" cm="1">
        <f t="array" aca="1" ref="E5702" ca="1">INDIRECT("b"&amp;F5702+2)</f>
        <v>0</v>
      </c>
      <c r="F5702" s="18">
        <f t="shared" si="1196"/>
        <v>7998</v>
      </c>
      <c r="G5702" s="18"/>
      <c r="H5702" s="18"/>
      <c r="I5702" s="19">
        <v>5700</v>
      </c>
      <c r="J5702" s="19" cm="1">
        <f t="array" aca="1" ref="J5702" ca="1">INDIRECT("b"&amp;K5702+2)</f>
        <v>0</v>
      </c>
      <c r="K5702" s="19">
        <f t="shared" si="1208"/>
        <v>9198</v>
      </c>
    </row>
    <row r="5703" spans="1:11">
      <c r="A5703">
        <v>5701</v>
      </c>
      <c r="B5703">
        <v>5.2750000000000003E+164</v>
      </c>
      <c r="D5703" s="18">
        <v>5701</v>
      </c>
      <c r="E5703" s="18" cm="1">
        <f t="array" aca="1" ref="E5703" ca="1">INDIRECT("b"&amp;F5703+2)</f>
        <v>0</v>
      </c>
      <c r="F5703" s="18">
        <f t="shared" si="1196"/>
        <v>8000</v>
      </c>
      <c r="G5703" s="18" t="e">
        <f t="shared" ref="G5703" ca="1" si="1209">E5703/E5698</f>
        <v>#DIV/0!</v>
      </c>
      <c r="H5703" s="18"/>
      <c r="I5703" s="19">
        <v>5701</v>
      </c>
      <c r="J5703" s="19" cm="1">
        <f t="array" aca="1" ref="J5703" ca="1">INDIRECT("b"&amp;K5703+2)</f>
        <v>0</v>
      </c>
      <c r="K5703" s="19">
        <f t="shared" si="1208"/>
        <v>9200</v>
      </c>
    </row>
    <row r="5704" spans="1:11">
      <c r="A5704">
        <v>5702</v>
      </c>
      <c r="B5704">
        <v>5.4999999999999998E+164</v>
      </c>
      <c r="D5704" s="18">
        <v>5702</v>
      </c>
      <c r="E5704" s="18" cm="1">
        <f t="array" aca="1" ref="E5704" ca="1">INDIRECT("b"&amp;F5704+2)</f>
        <v>0</v>
      </c>
      <c r="F5704" s="18">
        <f t="shared" si="1196"/>
        <v>8001</v>
      </c>
      <c r="G5704" s="18"/>
      <c r="H5704" s="18"/>
      <c r="I5704" s="19">
        <v>5702</v>
      </c>
      <c r="J5704" s="19" cm="1">
        <f t="array" aca="1" ref="J5704" ca="1">INDIRECT("b"&amp;K5704+2)</f>
        <v>0</v>
      </c>
      <c r="K5704" s="19">
        <f t="shared" si="1208"/>
        <v>9201</v>
      </c>
    </row>
    <row r="5705" spans="1:11">
      <c r="A5705">
        <v>5703</v>
      </c>
      <c r="B5705">
        <v>5.7250000000000002E+164</v>
      </c>
      <c r="D5705" s="18">
        <v>5703</v>
      </c>
      <c r="E5705" s="18" cm="1">
        <f t="array" aca="1" ref="E5705" ca="1">INDIRECT("b"&amp;F5705+2)</f>
        <v>0</v>
      </c>
      <c r="F5705" s="18">
        <f t="shared" si="1196"/>
        <v>8002</v>
      </c>
      <c r="G5705" s="18"/>
      <c r="H5705" s="18"/>
      <c r="I5705" s="19">
        <v>5703</v>
      </c>
      <c r="J5705" s="19" cm="1">
        <f t="array" aca="1" ref="J5705" ca="1">INDIRECT("b"&amp;K5705+2)</f>
        <v>0</v>
      </c>
      <c r="K5705" s="19">
        <f t="shared" si="1208"/>
        <v>9202</v>
      </c>
    </row>
    <row r="5706" spans="1:11">
      <c r="A5706">
        <v>5704</v>
      </c>
      <c r="B5706">
        <v>5.9499999999999997E+164</v>
      </c>
      <c r="D5706" s="18">
        <v>5704</v>
      </c>
      <c r="E5706" s="18" cm="1">
        <f t="array" aca="1" ref="E5706" ca="1">INDIRECT("b"&amp;F5706+2)</f>
        <v>0</v>
      </c>
      <c r="F5706" s="18">
        <f t="shared" si="1196"/>
        <v>8004</v>
      </c>
      <c r="G5706" s="18"/>
      <c r="H5706" s="18"/>
      <c r="I5706" s="19">
        <v>5704</v>
      </c>
      <c r="J5706" s="19" cm="1">
        <f t="array" aca="1" ref="J5706" ca="1">INDIRECT("b"&amp;K5706+2)</f>
        <v>0</v>
      </c>
      <c r="K5706" s="19">
        <f t="shared" si="1208"/>
        <v>9204</v>
      </c>
    </row>
    <row r="5707" spans="1:11">
      <c r="A5707">
        <v>5705</v>
      </c>
      <c r="B5707">
        <v>6.1750000000000002E+164</v>
      </c>
      <c r="D5707" s="18">
        <v>5705</v>
      </c>
      <c r="E5707" s="18" cm="1">
        <f t="array" aca="1" ref="E5707" ca="1">INDIRECT("b"&amp;F5707+2)</f>
        <v>0</v>
      </c>
      <c r="F5707" s="18">
        <f t="shared" si="1196"/>
        <v>8005</v>
      </c>
      <c r="G5707" s="18"/>
      <c r="H5707" s="18"/>
      <c r="I5707" s="19">
        <v>5705</v>
      </c>
      <c r="J5707" s="19" cm="1">
        <f t="array" aca="1" ref="J5707" ca="1">INDIRECT("b"&amp;K5707+2)</f>
        <v>0</v>
      </c>
      <c r="K5707" s="19">
        <f t="shared" si="1208"/>
        <v>9205</v>
      </c>
    </row>
    <row r="5708" spans="1:11">
      <c r="A5708">
        <v>5706</v>
      </c>
      <c r="B5708">
        <v>6.3999999999999996E+164</v>
      </c>
      <c r="D5708" s="18">
        <v>5706</v>
      </c>
      <c r="E5708" s="18" cm="1">
        <f t="array" aca="1" ref="E5708" ca="1">INDIRECT("b"&amp;F5708+2)</f>
        <v>0</v>
      </c>
      <c r="F5708" s="18">
        <f t="shared" si="1196"/>
        <v>8006</v>
      </c>
      <c r="G5708" s="18" t="e">
        <f t="shared" ref="G5708" ca="1" si="1210">E5708/E5703</f>
        <v>#DIV/0!</v>
      </c>
      <c r="H5708" s="18"/>
      <c r="I5708" s="19">
        <v>5706</v>
      </c>
      <c r="J5708" s="19" cm="1">
        <f t="array" aca="1" ref="J5708" ca="1">INDIRECT("b"&amp;K5708+2)</f>
        <v>0</v>
      </c>
      <c r="K5708" s="19">
        <f t="shared" si="1208"/>
        <v>9206</v>
      </c>
    </row>
    <row r="5709" spans="1:11">
      <c r="A5709">
        <v>5707</v>
      </c>
      <c r="B5709">
        <v>6.6250000000000001E+164</v>
      </c>
      <c r="D5709" s="18">
        <v>5707</v>
      </c>
      <c r="E5709" s="18" cm="1">
        <f t="array" aca="1" ref="E5709" ca="1">INDIRECT("b"&amp;F5709+2)</f>
        <v>0</v>
      </c>
      <c r="F5709" s="18">
        <f t="shared" si="1196"/>
        <v>8008</v>
      </c>
      <c r="G5709" s="18"/>
      <c r="H5709" s="18"/>
      <c r="I5709" s="19">
        <v>5707</v>
      </c>
      <c r="J5709" s="19" cm="1">
        <f t="array" aca="1" ref="J5709" ca="1">INDIRECT("b"&amp;K5709+2)</f>
        <v>0</v>
      </c>
      <c r="K5709" s="19">
        <f t="shared" si="1208"/>
        <v>9208</v>
      </c>
    </row>
    <row r="5710" spans="1:11">
      <c r="A5710">
        <v>5708</v>
      </c>
      <c r="B5710">
        <v>6.8499999999999995E+164</v>
      </c>
      <c r="D5710" s="18">
        <v>5708</v>
      </c>
      <c r="E5710" s="18" cm="1">
        <f t="array" aca="1" ref="E5710" ca="1">INDIRECT("b"&amp;F5710+2)</f>
        <v>0</v>
      </c>
      <c r="F5710" s="18">
        <f t="shared" si="1196"/>
        <v>8009</v>
      </c>
      <c r="G5710" s="18"/>
      <c r="H5710" s="18"/>
      <c r="I5710" s="19">
        <v>5708</v>
      </c>
      <c r="J5710" s="19" cm="1">
        <f t="array" aca="1" ref="J5710" ca="1">INDIRECT("b"&amp;K5710+2)</f>
        <v>0</v>
      </c>
      <c r="K5710" s="19">
        <f t="shared" si="1208"/>
        <v>9209</v>
      </c>
    </row>
    <row r="5711" spans="1:11">
      <c r="A5711">
        <v>5709</v>
      </c>
      <c r="B5711">
        <v>7.075E+164</v>
      </c>
      <c r="D5711" s="18">
        <v>5709</v>
      </c>
      <c r="E5711" s="18" cm="1">
        <f t="array" aca="1" ref="E5711" ca="1">INDIRECT("b"&amp;F5711+2)</f>
        <v>0</v>
      </c>
      <c r="F5711" s="18">
        <f t="shared" si="1196"/>
        <v>8010</v>
      </c>
      <c r="G5711" s="18"/>
      <c r="H5711" s="18"/>
      <c r="I5711" s="19">
        <v>5709</v>
      </c>
      <c r="J5711" s="19" cm="1">
        <f t="array" aca="1" ref="J5711" ca="1">INDIRECT("b"&amp;K5711+2)</f>
        <v>0</v>
      </c>
      <c r="K5711" s="19">
        <f t="shared" si="1208"/>
        <v>9210</v>
      </c>
    </row>
    <row r="5712" spans="1:11">
      <c r="A5712">
        <v>5710</v>
      </c>
      <c r="B5712">
        <v>7.2999999999999995E+164</v>
      </c>
      <c r="D5712" s="18">
        <v>5710</v>
      </c>
      <c r="E5712" s="18" cm="1">
        <f t="array" aca="1" ref="E5712" ca="1">INDIRECT("b"&amp;F5712+2)</f>
        <v>0</v>
      </c>
      <c r="F5712" s="18">
        <f t="shared" si="1196"/>
        <v>8012</v>
      </c>
      <c r="G5712" s="18"/>
      <c r="H5712" s="18"/>
      <c r="I5712" s="19">
        <v>5710</v>
      </c>
      <c r="J5712" s="19" cm="1">
        <f t="array" aca="1" ref="J5712" ca="1">INDIRECT("b"&amp;K5712+2)</f>
        <v>0</v>
      </c>
      <c r="K5712" s="19">
        <f t="shared" si="1208"/>
        <v>9212</v>
      </c>
    </row>
    <row r="5713" spans="1:11">
      <c r="A5713">
        <v>5711</v>
      </c>
      <c r="B5713">
        <v>7.5249999999999999E+164</v>
      </c>
      <c r="D5713" s="18">
        <v>5711</v>
      </c>
      <c r="E5713" s="18" cm="1">
        <f t="array" aca="1" ref="E5713" ca="1">INDIRECT("b"&amp;F5713+2)</f>
        <v>0</v>
      </c>
      <c r="F5713" s="18">
        <f t="shared" si="1196"/>
        <v>8013</v>
      </c>
      <c r="G5713" s="18" t="e">
        <f t="shared" ref="G5713" ca="1" si="1211">E5713/E5708</f>
        <v>#DIV/0!</v>
      </c>
      <c r="H5713" s="18"/>
      <c r="I5713" s="19">
        <v>5711</v>
      </c>
      <c r="J5713" s="19" cm="1">
        <f t="array" aca="1" ref="J5713" ca="1">INDIRECT("b"&amp;K5713+2)</f>
        <v>0</v>
      </c>
      <c r="K5713" s="19">
        <f t="shared" si="1208"/>
        <v>9213</v>
      </c>
    </row>
    <row r="5714" spans="1:11">
      <c r="A5714">
        <v>5712</v>
      </c>
      <c r="B5714">
        <v>7.7499999999999994E+164</v>
      </c>
      <c r="D5714" s="18">
        <v>5712</v>
      </c>
      <c r="E5714" s="18" cm="1">
        <f t="array" aca="1" ref="E5714" ca="1">INDIRECT("b"&amp;F5714+2)</f>
        <v>0</v>
      </c>
      <c r="F5714" s="18">
        <f t="shared" si="1196"/>
        <v>8014</v>
      </c>
      <c r="G5714" s="18"/>
      <c r="H5714" s="18"/>
      <c r="I5714" s="19">
        <v>5712</v>
      </c>
      <c r="J5714" s="19" cm="1">
        <f t="array" aca="1" ref="J5714" ca="1">INDIRECT("b"&amp;K5714+2)</f>
        <v>0</v>
      </c>
      <c r="K5714" s="19">
        <f t="shared" si="1208"/>
        <v>9214</v>
      </c>
    </row>
    <row r="5715" spans="1:11">
      <c r="A5715">
        <v>5713</v>
      </c>
      <c r="B5715">
        <v>7.9749999999999998E+164</v>
      </c>
      <c r="D5715" s="18">
        <v>5713</v>
      </c>
      <c r="E5715" s="18" cm="1">
        <f t="array" aca="1" ref="E5715" ca="1">INDIRECT("b"&amp;F5715+2)</f>
        <v>0</v>
      </c>
      <c r="F5715" s="18">
        <f t="shared" ref="F5715:F5778" si="1212">INT((A5715-123)*1.333333)+563</f>
        <v>8016</v>
      </c>
      <c r="G5715" s="18"/>
      <c r="H5715" s="18"/>
      <c r="I5715" s="19">
        <v>5713</v>
      </c>
      <c r="J5715" s="19" cm="1">
        <f t="array" aca="1" ref="J5715" ca="1">INDIRECT("b"&amp;K5715+2)</f>
        <v>0</v>
      </c>
      <c r="K5715" s="19">
        <f t="shared" si="1208"/>
        <v>9216</v>
      </c>
    </row>
    <row r="5716" spans="1:11">
      <c r="A5716">
        <v>5714</v>
      </c>
      <c r="B5716">
        <v>8.2000000000000003E+164</v>
      </c>
      <c r="D5716" s="18">
        <v>5714</v>
      </c>
      <c r="E5716" s="18" cm="1">
        <f t="array" aca="1" ref="E5716" ca="1">INDIRECT("b"&amp;F5716+2)</f>
        <v>0</v>
      </c>
      <c r="F5716" s="18">
        <f t="shared" si="1212"/>
        <v>8017</v>
      </c>
      <c r="G5716" s="18"/>
      <c r="H5716" s="18"/>
      <c r="I5716" s="19">
        <v>5714</v>
      </c>
      <c r="J5716" s="19" cm="1">
        <f t="array" aca="1" ref="J5716" ca="1">INDIRECT("b"&amp;K5716+2)</f>
        <v>0</v>
      </c>
      <c r="K5716" s="19">
        <f t="shared" si="1208"/>
        <v>9217</v>
      </c>
    </row>
    <row r="5717" spans="1:11">
      <c r="A5717">
        <v>5715</v>
      </c>
      <c r="B5717">
        <v>8.4249999999999998E+164</v>
      </c>
      <c r="D5717" s="18">
        <v>5715</v>
      </c>
      <c r="E5717" s="18" cm="1">
        <f t="array" aca="1" ref="E5717" ca="1">INDIRECT("b"&amp;F5717+2)</f>
        <v>0</v>
      </c>
      <c r="F5717" s="18">
        <f t="shared" si="1212"/>
        <v>8018</v>
      </c>
      <c r="G5717" s="18"/>
      <c r="H5717" s="18"/>
      <c r="I5717" s="19">
        <v>5715</v>
      </c>
      <c r="J5717" s="19" cm="1">
        <f t="array" aca="1" ref="J5717" ca="1">INDIRECT("b"&amp;K5717+2)</f>
        <v>0</v>
      </c>
      <c r="K5717" s="19">
        <f t="shared" si="1208"/>
        <v>9218</v>
      </c>
    </row>
    <row r="5718" spans="1:11">
      <c r="A5718">
        <v>5716</v>
      </c>
      <c r="B5718">
        <v>8.6500000000000002E+164</v>
      </c>
      <c r="D5718" s="18">
        <v>5716</v>
      </c>
      <c r="E5718" s="18" cm="1">
        <f t="array" aca="1" ref="E5718" ca="1">INDIRECT("b"&amp;F5718+2)</f>
        <v>0</v>
      </c>
      <c r="F5718" s="18">
        <f t="shared" si="1212"/>
        <v>8020</v>
      </c>
      <c r="G5718" s="18" t="e">
        <f t="shared" ref="G5718" ca="1" si="1213">E5718/E5713</f>
        <v>#DIV/0!</v>
      </c>
      <c r="H5718" s="18"/>
      <c r="I5718" s="19">
        <v>5716</v>
      </c>
      <c r="J5718" s="19" cm="1">
        <f t="array" aca="1" ref="J5718" ca="1">INDIRECT("b"&amp;K5718+2)</f>
        <v>0</v>
      </c>
      <c r="K5718" s="19">
        <f t="shared" si="1208"/>
        <v>9220</v>
      </c>
    </row>
    <row r="5719" spans="1:11">
      <c r="A5719">
        <v>5717</v>
      </c>
      <c r="B5719">
        <v>8.8749999999999997E+164</v>
      </c>
      <c r="D5719" s="18">
        <v>5717</v>
      </c>
      <c r="E5719" s="18" cm="1">
        <f t="array" aca="1" ref="E5719" ca="1">INDIRECT("b"&amp;F5719+2)</f>
        <v>0</v>
      </c>
      <c r="F5719" s="18">
        <f t="shared" si="1212"/>
        <v>8021</v>
      </c>
      <c r="G5719" s="18"/>
      <c r="H5719" s="18"/>
      <c r="I5719" s="19">
        <v>5717</v>
      </c>
      <c r="J5719" s="19" cm="1">
        <f t="array" aca="1" ref="J5719" ca="1">INDIRECT("b"&amp;K5719+2)</f>
        <v>0</v>
      </c>
      <c r="K5719" s="19">
        <f t="shared" si="1208"/>
        <v>9221</v>
      </c>
    </row>
    <row r="5720" spans="1:11">
      <c r="A5720">
        <v>5718</v>
      </c>
      <c r="B5720">
        <v>9.1000000000000002E+164</v>
      </c>
      <c r="D5720" s="18">
        <v>5718</v>
      </c>
      <c r="E5720" s="18" cm="1">
        <f t="array" aca="1" ref="E5720" ca="1">INDIRECT("b"&amp;F5720+2)</f>
        <v>0</v>
      </c>
      <c r="F5720" s="18">
        <f t="shared" si="1212"/>
        <v>8022</v>
      </c>
      <c r="G5720" s="18"/>
      <c r="H5720" s="18"/>
      <c r="I5720" s="19">
        <v>5718</v>
      </c>
      <c r="J5720" s="19" cm="1">
        <f t="array" aca="1" ref="J5720" ca="1">INDIRECT("b"&amp;K5720+2)</f>
        <v>0</v>
      </c>
      <c r="K5720" s="19">
        <f t="shared" si="1208"/>
        <v>9222</v>
      </c>
    </row>
    <row r="5721" spans="1:11">
      <c r="A5721">
        <v>5719</v>
      </c>
      <c r="B5721">
        <v>9.3249999999999996E+164</v>
      </c>
      <c r="D5721" s="18">
        <v>5719</v>
      </c>
      <c r="E5721" s="18" cm="1">
        <f t="array" aca="1" ref="E5721" ca="1">INDIRECT("b"&amp;F5721+2)</f>
        <v>0</v>
      </c>
      <c r="F5721" s="18">
        <f t="shared" si="1212"/>
        <v>8024</v>
      </c>
      <c r="G5721" s="18"/>
      <c r="H5721" s="18"/>
      <c r="I5721" s="19">
        <v>5719</v>
      </c>
      <c r="J5721" s="19" cm="1">
        <f t="array" aca="1" ref="J5721" ca="1">INDIRECT("b"&amp;K5721+2)</f>
        <v>0</v>
      </c>
      <c r="K5721" s="19">
        <f t="shared" si="1208"/>
        <v>9224</v>
      </c>
    </row>
    <row r="5722" spans="1:11">
      <c r="A5722">
        <v>5720</v>
      </c>
      <c r="B5722">
        <v>9.5500000000000001E+164</v>
      </c>
      <c r="D5722" s="18">
        <v>5720</v>
      </c>
      <c r="E5722" s="18" cm="1">
        <f t="array" aca="1" ref="E5722" ca="1">INDIRECT("b"&amp;F5722+2)</f>
        <v>0</v>
      </c>
      <c r="F5722" s="18">
        <f t="shared" si="1212"/>
        <v>8025</v>
      </c>
      <c r="G5722" s="18"/>
      <c r="H5722" s="18"/>
      <c r="I5722" s="19">
        <v>5720</v>
      </c>
      <c r="J5722" s="19" cm="1">
        <f t="array" aca="1" ref="J5722" ca="1">INDIRECT("b"&amp;K5722+2)</f>
        <v>0</v>
      </c>
      <c r="K5722" s="19">
        <f t="shared" si="1208"/>
        <v>9225</v>
      </c>
    </row>
    <row r="5723" spans="1:11">
      <c r="A5723">
        <v>5721</v>
      </c>
      <c r="B5723">
        <v>9.7750000000000006E+164</v>
      </c>
      <c r="D5723" s="18">
        <v>5721</v>
      </c>
      <c r="E5723" s="18" cm="1">
        <f t="array" aca="1" ref="E5723" ca="1">INDIRECT("b"&amp;F5723+2)</f>
        <v>0</v>
      </c>
      <c r="F5723" s="18">
        <f t="shared" si="1212"/>
        <v>8026</v>
      </c>
      <c r="G5723" s="18" t="e">
        <f t="shared" ref="G5723" ca="1" si="1214">E5723/E5718</f>
        <v>#DIV/0!</v>
      </c>
      <c r="H5723" s="18"/>
      <c r="I5723" s="19">
        <v>5721</v>
      </c>
      <c r="J5723" s="19" cm="1">
        <f t="array" aca="1" ref="J5723" ca="1">INDIRECT("b"&amp;K5723+2)</f>
        <v>0</v>
      </c>
      <c r="K5723" s="19">
        <f t="shared" si="1208"/>
        <v>9226</v>
      </c>
    </row>
    <row r="5724" spans="1:11">
      <c r="A5724">
        <v>5722</v>
      </c>
      <c r="B5724">
        <v>9.999999999999999E+164</v>
      </c>
      <c r="D5724" s="18">
        <v>5722</v>
      </c>
      <c r="E5724" s="18" cm="1">
        <f t="array" aca="1" ref="E5724" ca="1">INDIRECT("b"&amp;F5724+2)</f>
        <v>0</v>
      </c>
      <c r="F5724" s="18">
        <f t="shared" si="1212"/>
        <v>8028</v>
      </c>
      <c r="G5724" s="18"/>
      <c r="H5724" s="18"/>
      <c r="I5724" s="19">
        <v>5722</v>
      </c>
      <c r="J5724" s="19" cm="1">
        <f t="array" aca="1" ref="J5724" ca="1">INDIRECT("b"&amp;K5724+2)</f>
        <v>0</v>
      </c>
      <c r="K5724" s="19">
        <f t="shared" si="1208"/>
        <v>9228</v>
      </c>
    </row>
    <row r="5725" spans="1:11">
      <c r="A5725">
        <v>5723</v>
      </c>
      <c r="B5725">
        <v>1.225E+165</v>
      </c>
      <c r="D5725" s="18">
        <v>5723</v>
      </c>
      <c r="E5725" s="18" cm="1">
        <f t="array" aca="1" ref="E5725" ca="1">INDIRECT("b"&amp;F5725+2)</f>
        <v>0</v>
      </c>
      <c r="F5725" s="18">
        <f t="shared" si="1212"/>
        <v>8029</v>
      </c>
      <c r="G5725" s="18"/>
      <c r="H5725" s="18"/>
      <c r="I5725" s="19">
        <v>5723</v>
      </c>
      <c r="J5725" s="19" cm="1">
        <f t="array" aca="1" ref="J5725" ca="1">INDIRECT("b"&amp;K5725+2)</f>
        <v>0</v>
      </c>
      <c r="K5725" s="19">
        <f t="shared" si="1208"/>
        <v>9229</v>
      </c>
    </row>
    <row r="5726" spans="1:11">
      <c r="A5726">
        <v>5724</v>
      </c>
      <c r="B5726">
        <v>1.45E+165</v>
      </c>
      <c r="D5726" s="18">
        <v>5724</v>
      </c>
      <c r="E5726" s="18" cm="1">
        <f t="array" aca="1" ref="E5726" ca="1">INDIRECT("b"&amp;F5726+2)</f>
        <v>0</v>
      </c>
      <c r="F5726" s="18">
        <f t="shared" si="1212"/>
        <v>8030</v>
      </c>
      <c r="G5726" s="18"/>
      <c r="H5726" s="18"/>
      <c r="I5726" s="19">
        <v>5724</v>
      </c>
      <c r="J5726" s="19" cm="1">
        <f t="array" aca="1" ref="J5726" ca="1">INDIRECT("b"&amp;K5726+2)</f>
        <v>0</v>
      </c>
      <c r="K5726" s="19">
        <f t="shared" si="1208"/>
        <v>9230</v>
      </c>
    </row>
    <row r="5727" spans="1:11">
      <c r="A5727">
        <v>5725</v>
      </c>
      <c r="B5727">
        <v>1.6749999999999999E+165</v>
      </c>
      <c r="D5727" s="18">
        <v>5725</v>
      </c>
      <c r="E5727" s="18" cm="1">
        <f t="array" aca="1" ref="E5727" ca="1">INDIRECT("b"&amp;F5727+2)</f>
        <v>0</v>
      </c>
      <c r="F5727" s="18">
        <f t="shared" si="1212"/>
        <v>8032</v>
      </c>
      <c r="G5727" s="18"/>
      <c r="H5727" s="18"/>
      <c r="I5727" s="19">
        <v>5725</v>
      </c>
      <c r="J5727" s="19" cm="1">
        <f t="array" aca="1" ref="J5727" ca="1">INDIRECT("b"&amp;K5727+2)</f>
        <v>0</v>
      </c>
      <c r="K5727" s="19">
        <f t="shared" si="1208"/>
        <v>9232</v>
      </c>
    </row>
    <row r="5728" spans="1:11">
      <c r="A5728">
        <v>5726</v>
      </c>
      <c r="B5728">
        <v>1.9E+165</v>
      </c>
      <c r="D5728" s="18">
        <v>5726</v>
      </c>
      <c r="E5728" s="18" cm="1">
        <f t="array" aca="1" ref="E5728" ca="1">INDIRECT("b"&amp;F5728+2)</f>
        <v>0</v>
      </c>
      <c r="F5728" s="18">
        <f t="shared" si="1212"/>
        <v>8033</v>
      </c>
      <c r="G5728" s="18" t="e">
        <f t="shared" ref="G5728" ca="1" si="1215">E5728/E5723</f>
        <v>#DIV/0!</v>
      </c>
      <c r="H5728" s="18"/>
      <c r="I5728" s="19">
        <v>5726</v>
      </c>
      <c r="J5728" s="19" cm="1">
        <f t="array" aca="1" ref="J5728" ca="1">INDIRECT("b"&amp;K5728+2)</f>
        <v>0</v>
      </c>
      <c r="K5728" s="19">
        <f t="shared" si="1208"/>
        <v>9233</v>
      </c>
    </row>
    <row r="5729" spans="1:11">
      <c r="A5729">
        <v>5727</v>
      </c>
      <c r="B5729">
        <v>2.125E+165</v>
      </c>
      <c r="D5729" s="18">
        <v>5727</v>
      </c>
      <c r="E5729" s="18" cm="1">
        <f t="array" aca="1" ref="E5729" ca="1">INDIRECT("b"&amp;F5729+2)</f>
        <v>0</v>
      </c>
      <c r="F5729" s="18">
        <f t="shared" si="1212"/>
        <v>8034</v>
      </c>
      <c r="G5729" s="18"/>
      <c r="H5729" s="18"/>
      <c r="I5729" s="19">
        <v>5727</v>
      </c>
      <c r="J5729" s="19" cm="1">
        <f t="array" aca="1" ref="J5729" ca="1">INDIRECT("b"&amp;K5729+2)</f>
        <v>0</v>
      </c>
      <c r="K5729" s="19">
        <f t="shared" si="1208"/>
        <v>9234</v>
      </c>
    </row>
    <row r="5730" spans="1:11">
      <c r="A5730">
        <v>5728</v>
      </c>
      <c r="B5730">
        <v>2.3500000000000001E+165</v>
      </c>
      <c r="D5730" s="18">
        <v>5728</v>
      </c>
      <c r="E5730" s="18" cm="1">
        <f t="array" aca="1" ref="E5730" ca="1">INDIRECT("b"&amp;F5730+2)</f>
        <v>0</v>
      </c>
      <c r="F5730" s="18">
        <f t="shared" si="1212"/>
        <v>8036</v>
      </c>
      <c r="G5730" s="18"/>
      <c r="H5730" s="18"/>
      <c r="I5730" s="19">
        <v>5728</v>
      </c>
      <c r="J5730" s="19" cm="1">
        <f t="array" aca="1" ref="J5730" ca="1">INDIRECT("b"&amp;K5730+2)</f>
        <v>0</v>
      </c>
      <c r="K5730" s="19">
        <f t="shared" si="1208"/>
        <v>9236</v>
      </c>
    </row>
    <row r="5731" spans="1:11">
      <c r="A5731">
        <v>5729</v>
      </c>
      <c r="B5731">
        <v>2.5750000000000001E+165</v>
      </c>
      <c r="D5731" s="18">
        <v>5729</v>
      </c>
      <c r="E5731" s="18" cm="1">
        <f t="array" aca="1" ref="E5731" ca="1">INDIRECT("b"&amp;F5731+2)</f>
        <v>0</v>
      </c>
      <c r="F5731" s="18">
        <f t="shared" si="1212"/>
        <v>8037</v>
      </c>
      <c r="G5731" s="18"/>
      <c r="H5731" s="18"/>
      <c r="I5731" s="19">
        <v>5729</v>
      </c>
      <c r="J5731" s="19" cm="1">
        <f t="array" aca="1" ref="J5731" ca="1">INDIRECT("b"&amp;K5731+2)</f>
        <v>0</v>
      </c>
      <c r="K5731" s="19">
        <f t="shared" si="1208"/>
        <v>9237</v>
      </c>
    </row>
    <row r="5732" spans="1:11">
      <c r="A5732">
        <v>5730</v>
      </c>
      <c r="B5732">
        <v>2.7999999999999998E+165</v>
      </c>
      <c r="D5732" s="18">
        <v>5730</v>
      </c>
      <c r="E5732" s="18" cm="1">
        <f t="array" aca="1" ref="E5732" ca="1">INDIRECT("b"&amp;F5732+2)</f>
        <v>0</v>
      </c>
      <c r="F5732" s="18">
        <f t="shared" si="1212"/>
        <v>8038</v>
      </c>
      <c r="G5732" s="18"/>
      <c r="H5732" s="18"/>
      <c r="I5732" s="19">
        <v>5730</v>
      </c>
      <c r="J5732" s="19" cm="1">
        <f t="array" aca="1" ref="J5732" ca="1">INDIRECT("b"&amp;K5732+2)</f>
        <v>0</v>
      </c>
      <c r="K5732" s="19">
        <f t="shared" si="1208"/>
        <v>9238</v>
      </c>
    </row>
    <row r="5733" spans="1:11">
      <c r="A5733">
        <v>5731</v>
      </c>
      <c r="B5733">
        <v>3.0249999999999999E+165</v>
      </c>
      <c r="D5733" s="18">
        <v>5731</v>
      </c>
      <c r="E5733" s="18" cm="1">
        <f t="array" aca="1" ref="E5733" ca="1">INDIRECT("b"&amp;F5733+2)</f>
        <v>0</v>
      </c>
      <c r="F5733" s="18">
        <f t="shared" si="1212"/>
        <v>8040</v>
      </c>
      <c r="G5733" s="18" t="e">
        <f t="shared" ref="G5733" ca="1" si="1216">E5733/E5728</f>
        <v>#DIV/0!</v>
      </c>
      <c r="H5733" s="18"/>
      <c r="I5733" s="19">
        <v>5731</v>
      </c>
      <c r="J5733" s="19" cm="1">
        <f t="array" aca="1" ref="J5733" ca="1">INDIRECT("b"&amp;K5733+2)</f>
        <v>0</v>
      </c>
      <c r="K5733" s="19">
        <f t="shared" si="1208"/>
        <v>9240</v>
      </c>
    </row>
    <row r="5734" spans="1:11">
      <c r="A5734">
        <v>5732</v>
      </c>
      <c r="B5734">
        <v>3.2499999999999999E+165</v>
      </c>
      <c r="D5734" s="18">
        <v>5732</v>
      </c>
      <c r="E5734" s="18" cm="1">
        <f t="array" aca="1" ref="E5734" ca="1">INDIRECT("b"&amp;F5734+2)</f>
        <v>0</v>
      </c>
      <c r="F5734" s="18">
        <f t="shared" si="1212"/>
        <v>8041</v>
      </c>
      <c r="G5734" s="18"/>
      <c r="H5734" s="18"/>
      <c r="I5734" s="19">
        <v>5732</v>
      </c>
      <c r="J5734" s="19" cm="1">
        <f t="array" aca="1" ref="J5734" ca="1">INDIRECT("b"&amp;K5734+2)</f>
        <v>0</v>
      </c>
      <c r="K5734" s="19">
        <f t="shared" si="1208"/>
        <v>9241</v>
      </c>
    </row>
    <row r="5735" spans="1:11">
      <c r="A5735">
        <v>5733</v>
      </c>
      <c r="B5735">
        <v>3.475E+165</v>
      </c>
      <c r="D5735" s="18">
        <v>5733</v>
      </c>
      <c r="E5735" s="18" cm="1">
        <f t="array" aca="1" ref="E5735" ca="1">INDIRECT("b"&amp;F5735+2)</f>
        <v>0</v>
      </c>
      <c r="F5735" s="18">
        <f t="shared" si="1212"/>
        <v>8042</v>
      </c>
      <c r="G5735" s="18"/>
      <c r="H5735" s="18"/>
      <c r="I5735" s="19">
        <v>5733</v>
      </c>
      <c r="J5735" s="19" cm="1">
        <f t="array" aca="1" ref="J5735" ca="1">INDIRECT("b"&amp;K5735+2)</f>
        <v>0</v>
      </c>
      <c r="K5735" s="19">
        <f t="shared" si="1208"/>
        <v>9242</v>
      </c>
    </row>
    <row r="5736" spans="1:11">
      <c r="A5736">
        <v>5734</v>
      </c>
      <c r="B5736">
        <v>3.7000000000000001E+165</v>
      </c>
      <c r="D5736" s="18">
        <v>5734</v>
      </c>
      <c r="E5736" s="18" cm="1">
        <f t="array" aca="1" ref="E5736" ca="1">INDIRECT("b"&amp;F5736+2)</f>
        <v>0</v>
      </c>
      <c r="F5736" s="18">
        <f t="shared" si="1212"/>
        <v>8044</v>
      </c>
      <c r="G5736" s="18"/>
      <c r="H5736" s="18"/>
      <c r="I5736" s="19">
        <v>5734</v>
      </c>
      <c r="J5736" s="19" cm="1">
        <f t="array" aca="1" ref="J5736" ca="1">INDIRECT("b"&amp;K5736+2)</f>
        <v>0</v>
      </c>
      <c r="K5736" s="19">
        <f t="shared" si="1208"/>
        <v>9244</v>
      </c>
    </row>
    <row r="5737" spans="1:11">
      <c r="A5737">
        <v>5735</v>
      </c>
      <c r="B5737">
        <v>3.9249999999999997E+165</v>
      </c>
      <c r="D5737" s="18">
        <v>5735</v>
      </c>
      <c r="E5737" s="18" cm="1">
        <f t="array" aca="1" ref="E5737" ca="1">INDIRECT("b"&amp;F5737+2)</f>
        <v>0</v>
      </c>
      <c r="F5737" s="18">
        <f t="shared" si="1212"/>
        <v>8045</v>
      </c>
      <c r="G5737" s="18"/>
      <c r="H5737" s="18"/>
      <c r="I5737" s="19">
        <v>5735</v>
      </c>
      <c r="J5737" s="19" cm="1">
        <f t="array" aca="1" ref="J5737" ca="1">INDIRECT("b"&amp;K5737+2)</f>
        <v>0</v>
      </c>
      <c r="K5737" s="19">
        <f t="shared" si="1208"/>
        <v>9245</v>
      </c>
    </row>
    <row r="5738" spans="1:11">
      <c r="A5738">
        <v>5736</v>
      </c>
      <c r="B5738">
        <v>4.1500000000000002E+165</v>
      </c>
      <c r="D5738" s="18">
        <v>5736</v>
      </c>
      <c r="E5738" s="18" cm="1">
        <f t="array" aca="1" ref="E5738" ca="1">INDIRECT("b"&amp;F5738+2)</f>
        <v>0</v>
      </c>
      <c r="F5738" s="18">
        <f t="shared" si="1212"/>
        <v>8046</v>
      </c>
      <c r="G5738" s="18" t="e">
        <f t="shared" ref="G5738" ca="1" si="1217">E5738/E5733</f>
        <v>#DIV/0!</v>
      </c>
      <c r="H5738" s="18"/>
      <c r="I5738" s="19">
        <v>5736</v>
      </c>
      <c r="J5738" s="19" cm="1">
        <f t="array" aca="1" ref="J5738" ca="1">INDIRECT("b"&amp;K5738+2)</f>
        <v>0</v>
      </c>
      <c r="K5738" s="19">
        <f t="shared" si="1208"/>
        <v>9246</v>
      </c>
    </row>
    <row r="5739" spans="1:11">
      <c r="A5739">
        <v>5737</v>
      </c>
      <c r="B5739">
        <v>4.3749999999999998E+165</v>
      </c>
      <c r="D5739" s="18">
        <v>5737</v>
      </c>
      <c r="E5739" s="18" cm="1">
        <f t="array" aca="1" ref="E5739" ca="1">INDIRECT("b"&amp;F5739+2)</f>
        <v>0</v>
      </c>
      <c r="F5739" s="18">
        <f t="shared" si="1212"/>
        <v>8048</v>
      </c>
      <c r="G5739" s="18"/>
      <c r="H5739" s="18"/>
      <c r="I5739" s="19">
        <v>5737</v>
      </c>
      <c r="J5739" s="19" cm="1">
        <f t="array" aca="1" ref="J5739" ca="1">INDIRECT("b"&amp;K5739+2)</f>
        <v>0</v>
      </c>
      <c r="K5739" s="19">
        <f t="shared" si="1208"/>
        <v>9248</v>
      </c>
    </row>
    <row r="5740" spans="1:11">
      <c r="A5740">
        <v>5738</v>
      </c>
      <c r="B5740">
        <v>4.6000000000000003E+165</v>
      </c>
      <c r="D5740" s="18">
        <v>5738</v>
      </c>
      <c r="E5740" s="18" cm="1">
        <f t="array" aca="1" ref="E5740" ca="1">INDIRECT("b"&amp;F5740+2)</f>
        <v>0</v>
      </c>
      <c r="F5740" s="18">
        <f t="shared" si="1212"/>
        <v>8049</v>
      </c>
      <c r="G5740" s="18"/>
      <c r="H5740" s="18"/>
      <c r="I5740" s="19">
        <v>5738</v>
      </c>
      <c r="J5740" s="19" cm="1">
        <f t="array" aca="1" ref="J5740" ca="1">INDIRECT("b"&amp;K5740+2)</f>
        <v>0</v>
      </c>
      <c r="K5740" s="19">
        <f t="shared" si="1208"/>
        <v>9249</v>
      </c>
    </row>
    <row r="5741" spans="1:11">
      <c r="A5741">
        <v>5739</v>
      </c>
      <c r="B5741">
        <v>4.825E+165</v>
      </c>
      <c r="D5741" s="18">
        <v>5739</v>
      </c>
      <c r="E5741" s="18" cm="1">
        <f t="array" aca="1" ref="E5741" ca="1">INDIRECT("b"&amp;F5741+2)</f>
        <v>0</v>
      </c>
      <c r="F5741" s="18">
        <f t="shared" si="1212"/>
        <v>8050</v>
      </c>
      <c r="G5741" s="18"/>
      <c r="H5741" s="18"/>
      <c r="I5741" s="19">
        <v>5739</v>
      </c>
      <c r="J5741" s="19" cm="1">
        <f t="array" aca="1" ref="J5741" ca="1">INDIRECT("b"&amp;K5741+2)</f>
        <v>0</v>
      </c>
      <c r="K5741" s="19">
        <f t="shared" si="1208"/>
        <v>9250</v>
      </c>
    </row>
    <row r="5742" spans="1:11">
      <c r="A5742">
        <v>5740</v>
      </c>
      <c r="B5742">
        <v>5.0499999999999996E+165</v>
      </c>
      <c r="D5742" s="18">
        <v>5740</v>
      </c>
      <c r="E5742" s="18" cm="1">
        <f t="array" aca="1" ref="E5742" ca="1">INDIRECT("b"&amp;F5742+2)</f>
        <v>0</v>
      </c>
      <c r="F5742" s="18">
        <f t="shared" si="1212"/>
        <v>8052</v>
      </c>
      <c r="G5742" s="18"/>
      <c r="H5742" s="18"/>
      <c r="I5742" s="19">
        <v>5740</v>
      </c>
      <c r="J5742" s="19" cm="1">
        <f t="array" aca="1" ref="J5742" ca="1">INDIRECT("b"&amp;K5742+2)</f>
        <v>0</v>
      </c>
      <c r="K5742" s="19">
        <f t="shared" si="1208"/>
        <v>9252</v>
      </c>
    </row>
    <row r="5743" spans="1:11">
      <c r="A5743">
        <v>5741</v>
      </c>
      <c r="B5743">
        <v>5.2750000000000001E+165</v>
      </c>
      <c r="D5743" s="18">
        <v>5741</v>
      </c>
      <c r="E5743" s="18" cm="1">
        <f t="array" aca="1" ref="E5743" ca="1">INDIRECT("b"&amp;F5743+2)</f>
        <v>0</v>
      </c>
      <c r="F5743" s="18">
        <f t="shared" si="1212"/>
        <v>8053</v>
      </c>
      <c r="G5743" s="18" t="e">
        <f t="shared" ref="G5743" ca="1" si="1218">E5743/E5738</f>
        <v>#DIV/0!</v>
      </c>
      <c r="H5743" s="18"/>
      <c r="I5743" s="19">
        <v>5741</v>
      </c>
      <c r="J5743" s="19" cm="1">
        <f t="array" aca="1" ref="J5743" ca="1">INDIRECT("b"&amp;K5743+2)</f>
        <v>0</v>
      </c>
      <c r="K5743" s="19">
        <f t="shared" si="1208"/>
        <v>9253</v>
      </c>
    </row>
    <row r="5744" spans="1:11">
      <c r="A5744">
        <v>5742</v>
      </c>
      <c r="B5744">
        <v>5.4999999999999998E+165</v>
      </c>
      <c r="D5744" s="18">
        <v>5742</v>
      </c>
      <c r="E5744" s="18" cm="1">
        <f t="array" aca="1" ref="E5744" ca="1">INDIRECT("b"&amp;F5744+2)</f>
        <v>0</v>
      </c>
      <c r="F5744" s="18">
        <f t="shared" si="1212"/>
        <v>8054</v>
      </c>
      <c r="G5744" s="18"/>
      <c r="H5744" s="18"/>
      <c r="I5744" s="19">
        <v>5742</v>
      </c>
      <c r="J5744" s="19" cm="1">
        <f t="array" aca="1" ref="J5744" ca="1">INDIRECT("b"&amp;K5744+2)</f>
        <v>0</v>
      </c>
      <c r="K5744" s="19">
        <f t="shared" si="1208"/>
        <v>9254</v>
      </c>
    </row>
    <row r="5745" spans="1:11">
      <c r="A5745">
        <v>5743</v>
      </c>
      <c r="B5745">
        <v>5.7250000000000002E+165</v>
      </c>
      <c r="D5745" s="18">
        <v>5743</v>
      </c>
      <c r="E5745" s="18" cm="1">
        <f t="array" aca="1" ref="E5745" ca="1">INDIRECT("b"&amp;F5745+2)</f>
        <v>0</v>
      </c>
      <c r="F5745" s="18">
        <f t="shared" si="1212"/>
        <v>8056</v>
      </c>
      <c r="G5745" s="18"/>
      <c r="H5745" s="18"/>
      <c r="I5745" s="19">
        <v>5743</v>
      </c>
      <c r="J5745" s="19" cm="1">
        <f t="array" aca="1" ref="J5745" ca="1">INDIRECT("b"&amp;K5745+2)</f>
        <v>0</v>
      </c>
      <c r="K5745" s="19">
        <f t="shared" si="1208"/>
        <v>9256</v>
      </c>
    </row>
    <row r="5746" spans="1:11">
      <c r="A5746">
        <v>5744</v>
      </c>
      <c r="B5746">
        <v>5.9499999999999999E+165</v>
      </c>
      <c r="D5746" s="18">
        <v>5744</v>
      </c>
      <c r="E5746" s="18" cm="1">
        <f t="array" aca="1" ref="E5746" ca="1">INDIRECT("b"&amp;F5746+2)</f>
        <v>0</v>
      </c>
      <c r="F5746" s="18">
        <f t="shared" si="1212"/>
        <v>8057</v>
      </c>
      <c r="G5746" s="18"/>
      <c r="H5746" s="18"/>
      <c r="I5746" s="19">
        <v>5744</v>
      </c>
      <c r="J5746" s="19" cm="1">
        <f t="array" aca="1" ref="J5746" ca="1">INDIRECT("b"&amp;K5746+2)</f>
        <v>0</v>
      </c>
      <c r="K5746" s="19">
        <f t="shared" si="1208"/>
        <v>9257</v>
      </c>
    </row>
    <row r="5747" spans="1:11">
      <c r="A5747">
        <v>5745</v>
      </c>
      <c r="B5747">
        <v>6.1749999999999995E+165</v>
      </c>
      <c r="D5747" s="18">
        <v>5745</v>
      </c>
      <c r="E5747" s="18" cm="1">
        <f t="array" aca="1" ref="E5747" ca="1">INDIRECT("b"&amp;F5747+2)</f>
        <v>0</v>
      </c>
      <c r="F5747" s="18">
        <f t="shared" si="1212"/>
        <v>8058</v>
      </c>
      <c r="G5747" s="18"/>
      <c r="H5747" s="18"/>
      <c r="I5747" s="19">
        <v>5745</v>
      </c>
      <c r="J5747" s="19" cm="1">
        <f t="array" aca="1" ref="J5747" ca="1">INDIRECT("b"&amp;K5747+2)</f>
        <v>0</v>
      </c>
      <c r="K5747" s="19">
        <f t="shared" si="1208"/>
        <v>9258</v>
      </c>
    </row>
    <row r="5748" spans="1:11">
      <c r="A5748">
        <v>5746</v>
      </c>
      <c r="B5748">
        <v>6.4E+165</v>
      </c>
      <c r="D5748" s="18">
        <v>5746</v>
      </c>
      <c r="E5748" s="18" cm="1">
        <f t="array" aca="1" ref="E5748" ca="1">INDIRECT("b"&amp;F5748+2)</f>
        <v>0</v>
      </c>
      <c r="F5748" s="18">
        <f t="shared" si="1212"/>
        <v>8060</v>
      </c>
      <c r="G5748" s="18" t="e">
        <f t="shared" ref="G5748" ca="1" si="1219">E5748/E5743</f>
        <v>#DIV/0!</v>
      </c>
      <c r="H5748" s="18"/>
      <c r="I5748" s="19">
        <v>5746</v>
      </c>
      <c r="J5748" s="19" cm="1">
        <f t="array" aca="1" ref="J5748" ca="1">INDIRECT("b"&amp;K5748+2)</f>
        <v>0</v>
      </c>
      <c r="K5748" s="19">
        <f t="shared" si="1208"/>
        <v>9260</v>
      </c>
    </row>
    <row r="5749" spans="1:11">
      <c r="A5749">
        <v>5747</v>
      </c>
      <c r="B5749">
        <v>6.6249999999999997E+165</v>
      </c>
      <c r="D5749" s="18">
        <v>5747</v>
      </c>
      <c r="E5749" s="18" cm="1">
        <f t="array" aca="1" ref="E5749" ca="1">INDIRECT("b"&amp;F5749+2)</f>
        <v>0</v>
      </c>
      <c r="F5749" s="18">
        <f t="shared" si="1212"/>
        <v>8061</v>
      </c>
      <c r="G5749" s="18"/>
      <c r="H5749" s="18"/>
      <c r="I5749" s="19">
        <v>5747</v>
      </c>
      <c r="J5749" s="19" cm="1">
        <f t="array" aca="1" ref="J5749" ca="1">INDIRECT("b"&amp;K5749+2)</f>
        <v>0</v>
      </c>
      <c r="K5749" s="19">
        <f t="shared" si="1208"/>
        <v>9261</v>
      </c>
    </row>
    <row r="5750" spans="1:11">
      <c r="A5750">
        <v>5748</v>
      </c>
      <c r="B5750">
        <v>6.8500000000000001E+165</v>
      </c>
      <c r="D5750" s="18">
        <v>5748</v>
      </c>
      <c r="E5750" s="18" cm="1">
        <f t="array" aca="1" ref="E5750" ca="1">INDIRECT("b"&amp;F5750+2)</f>
        <v>0</v>
      </c>
      <c r="F5750" s="18">
        <f t="shared" si="1212"/>
        <v>8062</v>
      </c>
      <c r="G5750" s="18"/>
      <c r="H5750" s="18"/>
      <c r="I5750" s="19">
        <v>5748</v>
      </c>
      <c r="J5750" s="19" cm="1">
        <f t="array" aca="1" ref="J5750" ca="1">INDIRECT("b"&amp;K5750+2)</f>
        <v>0</v>
      </c>
      <c r="K5750" s="19">
        <f t="shared" si="1208"/>
        <v>9262</v>
      </c>
    </row>
    <row r="5751" spans="1:11">
      <c r="A5751">
        <v>5749</v>
      </c>
      <c r="B5751">
        <v>7.0749999999999998E+165</v>
      </c>
      <c r="D5751" s="18">
        <v>5749</v>
      </c>
      <c r="E5751" s="18" cm="1">
        <f t="array" aca="1" ref="E5751" ca="1">INDIRECT("b"&amp;F5751+2)</f>
        <v>0</v>
      </c>
      <c r="F5751" s="18">
        <f t="shared" si="1212"/>
        <v>8064</v>
      </c>
      <c r="G5751" s="18"/>
      <c r="H5751" s="18"/>
      <c r="I5751" s="19">
        <v>5749</v>
      </c>
      <c r="J5751" s="19" cm="1">
        <f t="array" aca="1" ref="J5751" ca="1">INDIRECT("b"&amp;K5751+2)</f>
        <v>0</v>
      </c>
      <c r="K5751" s="19">
        <f t="shared" si="1208"/>
        <v>9264</v>
      </c>
    </row>
    <row r="5752" spans="1:11">
      <c r="A5752">
        <v>5750</v>
      </c>
      <c r="B5752">
        <v>7.3000000000000003E+165</v>
      </c>
      <c r="D5752" s="18">
        <v>5750</v>
      </c>
      <c r="E5752" s="18" cm="1">
        <f t="array" aca="1" ref="E5752" ca="1">INDIRECT("b"&amp;F5752+2)</f>
        <v>0</v>
      </c>
      <c r="F5752" s="18">
        <f t="shared" si="1212"/>
        <v>8065</v>
      </c>
      <c r="G5752" s="18"/>
      <c r="H5752" s="18"/>
      <c r="I5752" s="19">
        <v>5750</v>
      </c>
      <c r="J5752" s="19" cm="1">
        <f t="array" aca="1" ref="J5752" ca="1">INDIRECT("b"&amp;K5752+2)</f>
        <v>0</v>
      </c>
      <c r="K5752" s="19">
        <f t="shared" si="1208"/>
        <v>9265</v>
      </c>
    </row>
    <row r="5753" spans="1:11">
      <c r="A5753">
        <v>5751</v>
      </c>
      <c r="B5753">
        <v>7.5249999999999999E+165</v>
      </c>
      <c r="D5753" s="18">
        <v>5751</v>
      </c>
      <c r="E5753" s="18" cm="1">
        <f t="array" aca="1" ref="E5753" ca="1">INDIRECT("b"&amp;F5753+2)</f>
        <v>0</v>
      </c>
      <c r="F5753" s="18">
        <f t="shared" si="1212"/>
        <v>8066</v>
      </c>
      <c r="G5753" s="18" t="e">
        <f t="shared" ref="G5753" ca="1" si="1220">E5753/E5748</f>
        <v>#DIV/0!</v>
      </c>
      <c r="H5753" s="18"/>
      <c r="I5753" s="19">
        <v>5751</v>
      </c>
      <c r="J5753" s="19" cm="1">
        <f t="array" aca="1" ref="J5753" ca="1">INDIRECT("b"&amp;K5753+2)</f>
        <v>0</v>
      </c>
      <c r="K5753" s="19">
        <f t="shared" si="1208"/>
        <v>9266</v>
      </c>
    </row>
    <row r="5754" spans="1:11">
      <c r="A5754">
        <v>5752</v>
      </c>
      <c r="B5754">
        <v>7.7499999999999996E+165</v>
      </c>
      <c r="D5754" s="18">
        <v>5752</v>
      </c>
      <c r="E5754" s="18" cm="1">
        <f t="array" aca="1" ref="E5754" ca="1">INDIRECT("b"&amp;F5754+2)</f>
        <v>0</v>
      </c>
      <c r="F5754" s="18">
        <f t="shared" si="1212"/>
        <v>8068</v>
      </c>
      <c r="G5754" s="18"/>
      <c r="H5754" s="18"/>
      <c r="I5754" s="19">
        <v>5752</v>
      </c>
      <c r="J5754" s="19" cm="1">
        <f t="array" aca="1" ref="J5754" ca="1">INDIRECT("b"&amp;K5754+2)</f>
        <v>0</v>
      </c>
      <c r="K5754" s="19">
        <f t="shared" si="1208"/>
        <v>9268</v>
      </c>
    </row>
    <row r="5755" spans="1:11">
      <c r="A5755">
        <v>5753</v>
      </c>
      <c r="B5755">
        <v>7.9749999999999992E+165</v>
      </c>
      <c r="D5755" s="18">
        <v>5753</v>
      </c>
      <c r="E5755" s="18" cm="1">
        <f t="array" aca="1" ref="E5755" ca="1">INDIRECT("b"&amp;F5755+2)</f>
        <v>0</v>
      </c>
      <c r="F5755" s="18">
        <f t="shared" si="1212"/>
        <v>8069</v>
      </c>
      <c r="G5755" s="18"/>
      <c r="H5755" s="18"/>
      <c r="I5755" s="19">
        <v>5753</v>
      </c>
      <c r="J5755" s="19" cm="1">
        <f t="array" aca="1" ref="J5755" ca="1">INDIRECT("b"&amp;K5755+2)</f>
        <v>0</v>
      </c>
      <c r="K5755" s="19">
        <f t="shared" si="1208"/>
        <v>9269</v>
      </c>
    </row>
    <row r="5756" spans="1:11">
      <c r="A5756">
        <v>5754</v>
      </c>
      <c r="B5756">
        <v>8.2000000000000005E+165</v>
      </c>
      <c r="D5756" s="18">
        <v>5754</v>
      </c>
      <c r="E5756" s="18" cm="1">
        <f t="array" aca="1" ref="E5756" ca="1">INDIRECT("b"&amp;F5756+2)</f>
        <v>0</v>
      </c>
      <c r="F5756" s="18">
        <f t="shared" si="1212"/>
        <v>8070</v>
      </c>
      <c r="G5756" s="18"/>
      <c r="H5756" s="18"/>
      <c r="I5756" s="19">
        <v>5754</v>
      </c>
      <c r="J5756" s="19" cm="1">
        <f t="array" aca="1" ref="J5756" ca="1">INDIRECT("b"&amp;K5756+2)</f>
        <v>0</v>
      </c>
      <c r="K5756" s="19">
        <f t="shared" si="1208"/>
        <v>9270</v>
      </c>
    </row>
    <row r="5757" spans="1:11">
      <c r="A5757">
        <v>5755</v>
      </c>
      <c r="B5757">
        <v>8.4250000000000002E+165</v>
      </c>
      <c r="D5757" s="18">
        <v>5755</v>
      </c>
      <c r="E5757" s="18" cm="1">
        <f t="array" aca="1" ref="E5757" ca="1">INDIRECT("b"&amp;F5757+2)</f>
        <v>0</v>
      </c>
      <c r="F5757" s="18">
        <f t="shared" si="1212"/>
        <v>8072</v>
      </c>
      <c r="G5757" s="18"/>
      <c r="H5757" s="18"/>
      <c r="I5757" s="19">
        <v>5755</v>
      </c>
      <c r="J5757" s="19" cm="1">
        <f t="array" aca="1" ref="J5757" ca="1">INDIRECT("b"&amp;K5757+2)</f>
        <v>0</v>
      </c>
      <c r="K5757" s="19">
        <f t="shared" si="1208"/>
        <v>9272</v>
      </c>
    </row>
    <row r="5758" spans="1:11">
      <c r="A5758">
        <v>5756</v>
      </c>
      <c r="B5758">
        <v>8.6499999999999998E+165</v>
      </c>
      <c r="D5758" s="18">
        <v>5756</v>
      </c>
      <c r="E5758" s="18" cm="1">
        <f t="array" aca="1" ref="E5758" ca="1">INDIRECT("b"&amp;F5758+2)</f>
        <v>0</v>
      </c>
      <c r="F5758" s="18">
        <f t="shared" si="1212"/>
        <v>8073</v>
      </c>
      <c r="G5758" s="18" t="e">
        <f t="shared" ref="G5758" ca="1" si="1221">E5758/E5753</f>
        <v>#DIV/0!</v>
      </c>
      <c r="H5758" s="18"/>
      <c r="I5758" s="19">
        <v>5756</v>
      </c>
      <c r="J5758" s="19" cm="1">
        <f t="array" aca="1" ref="J5758" ca="1">INDIRECT("b"&amp;K5758+2)</f>
        <v>0</v>
      </c>
      <c r="K5758" s="19">
        <f t="shared" si="1208"/>
        <v>9273</v>
      </c>
    </row>
    <row r="5759" spans="1:11">
      <c r="A5759">
        <v>5757</v>
      </c>
      <c r="B5759">
        <v>8.8749999999999995E+165</v>
      </c>
      <c r="D5759" s="18">
        <v>5757</v>
      </c>
      <c r="E5759" s="18" cm="1">
        <f t="array" aca="1" ref="E5759" ca="1">INDIRECT("b"&amp;F5759+2)</f>
        <v>0</v>
      </c>
      <c r="F5759" s="18">
        <f t="shared" si="1212"/>
        <v>8074</v>
      </c>
      <c r="G5759" s="18"/>
      <c r="H5759" s="18"/>
      <c r="I5759" s="19">
        <v>5757</v>
      </c>
      <c r="J5759" s="19" cm="1">
        <f t="array" aca="1" ref="J5759" ca="1">INDIRECT("b"&amp;K5759+2)</f>
        <v>0</v>
      </c>
      <c r="K5759" s="19">
        <f t="shared" si="1208"/>
        <v>9274</v>
      </c>
    </row>
    <row r="5760" spans="1:11">
      <c r="A5760">
        <v>5758</v>
      </c>
      <c r="B5760">
        <v>9.0999999999999991E+165</v>
      </c>
      <c r="D5760" s="18">
        <v>5758</v>
      </c>
      <c r="E5760" s="18" cm="1">
        <f t="array" aca="1" ref="E5760" ca="1">INDIRECT("b"&amp;F5760+2)</f>
        <v>0</v>
      </c>
      <c r="F5760" s="18">
        <f t="shared" si="1212"/>
        <v>8076</v>
      </c>
      <c r="G5760" s="18"/>
      <c r="H5760" s="18"/>
      <c r="I5760" s="19">
        <v>5758</v>
      </c>
      <c r="J5760" s="19" cm="1">
        <f t="array" aca="1" ref="J5760" ca="1">INDIRECT("b"&amp;K5760+2)</f>
        <v>0</v>
      </c>
      <c r="K5760" s="19">
        <f t="shared" si="1208"/>
        <v>9276</v>
      </c>
    </row>
    <row r="5761" spans="1:11">
      <c r="A5761">
        <v>5759</v>
      </c>
      <c r="B5761">
        <v>9.3250000000000004E+165</v>
      </c>
      <c r="D5761" s="18">
        <v>5759</v>
      </c>
      <c r="E5761" s="18" cm="1">
        <f t="array" aca="1" ref="E5761" ca="1">INDIRECT("b"&amp;F5761+2)</f>
        <v>0</v>
      </c>
      <c r="F5761" s="18">
        <f t="shared" si="1212"/>
        <v>8077</v>
      </c>
      <c r="G5761" s="18"/>
      <c r="H5761" s="18"/>
      <c r="I5761" s="19">
        <v>5759</v>
      </c>
      <c r="J5761" s="19" cm="1">
        <f t="array" aca="1" ref="J5761" ca="1">INDIRECT("b"&amp;K5761+2)</f>
        <v>0</v>
      </c>
      <c r="K5761" s="19">
        <f t="shared" si="1208"/>
        <v>9277</v>
      </c>
    </row>
    <row r="5762" spans="1:11">
      <c r="A5762">
        <v>5760</v>
      </c>
      <c r="B5762">
        <v>9.5500000000000001E+165</v>
      </c>
      <c r="D5762" s="18">
        <v>5760</v>
      </c>
      <c r="E5762" s="18" cm="1">
        <f t="array" aca="1" ref="E5762" ca="1">INDIRECT("b"&amp;F5762+2)</f>
        <v>0</v>
      </c>
      <c r="F5762" s="18">
        <f t="shared" si="1212"/>
        <v>8078</v>
      </c>
      <c r="G5762" s="18"/>
      <c r="H5762" s="18"/>
      <c r="I5762" s="19">
        <v>5760</v>
      </c>
      <c r="J5762" s="19" cm="1">
        <f t="array" aca="1" ref="J5762" ca="1">INDIRECT("b"&amp;K5762+2)</f>
        <v>0</v>
      </c>
      <c r="K5762" s="19">
        <f t="shared" si="1208"/>
        <v>9278</v>
      </c>
    </row>
    <row r="5763" spans="1:11">
      <c r="A5763">
        <v>5761</v>
      </c>
      <c r="B5763">
        <v>9.7749999999999997E+165</v>
      </c>
      <c r="D5763" s="18">
        <v>5761</v>
      </c>
      <c r="E5763" s="18" cm="1">
        <f t="array" aca="1" ref="E5763" ca="1">INDIRECT("b"&amp;F5763+2)</f>
        <v>0</v>
      </c>
      <c r="F5763" s="18">
        <f t="shared" si="1212"/>
        <v>8080</v>
      </c>
      <c r="G5763" s="18" t="e">
        <f t="shared" ref="G5763" ca="1" si="1222">E5763/E5758</f>
        <v>#DIV/0!</v>
      </c>
      <c r="H5763" s="18"/>
      <c r="I5763" s="19">
        <v>5761</v>
      </c>
      <c r="J5763" s="19" cm="1">
        <f t="array" aca="1" ref="J5763" ca="1">INDIRECT("b"&amp;K5763+2)</f>
        <v>0</v>
      </c>
      <c r="K5763" s="19">
        <f t="shared" si="1208"/>
        <v>9280</v>
      </c>
    </row>
    <row r="5764" spans="1:11">
      <c r="A5764">
        <v>5762</v>
      </c>
      <c r="B5764">
        <v>9.9999999999999994E+165</v>
      </c>
      <c r="D5764" s="18">
        <v>5762</v>
      </c>
      <c r="E5764" s="18" cm="1">
        <f t="array" aca="1" ref="E5764" ca="1">INDIRECT("b"&amp;F5764+2)</f>
        <v>0</v>
      </c>
      <c r="F5764" s="18">
        <f t="shared" si="1212"/>
        <v>8081</v>
      </c>
      <c r="G5764" s="18"/>
      <c r="H5764" s="18"/>
      <c r="I5764" s="19">
        <v>5762</v>
      </c>
      <c r="J5764" s="19" cm="1">
        <f t="array" aca="1" ref="J5764" ca="1">INDIRECT("b"&amp;K5764+2)</f>
        <v>0</v>
      </c>
      <c r="K5764" s="19">
        <f t="shared" ref="K5764:K5827" si="1223">INT((A5764-1)*40/30+900*40/30)+400</f>
        <v>9281</v>
      </c>
    </row>
    <row r="5765" spans="1:11">
      <c r="A5765">
        <v>5763</v>
      </c>
      <c r="B5765">
        <v>1.2249999999999999E+166</v>
      </c>
      <c r="D5765" s="18">
        <v>5763</v>
      </c>
      <c r="E5765" s="18" cm="1">
        <f t="array" aca="1" ref="E5765" ca="1">INDIRECT("b"&amp;F5765+2)</f>
        <v>0</v>
      </c>
      <c r="F5765" s="18">
        <f t="shared" si="1212"/>
        <v>8082</v>
      </c>
      <c r="G5765" s="18"/>
      <c r="H5765" s="18"/>
      <c r="I5765" s="19">
        <v>5763</v>
      </c>
      <c r="J5765" s="19" cm="1">
        <f t="array" aca="1" ref="J5765" ca="1">INDIRECT("b"&amp;K5765+2)</f>
        <v>0</v>
      </c>
      <c r="K5765" s="19">
        <f t="shared" si="1223"/>
        <v>9282</v>
      </c>
    </row>
    <row r="5766" spans="1:11">
      <c r="A5766">
        <v>5764</v>
      </c>
      <c r="B5766">
        <v>1.4499999999999999E+166</v>
      </c>
      <c r="D5766" s="18">
        <v>5764</v>
      </c>
      <c r="E5766" s="18" cm="1">
        <f t="array" aca="1" ref="E5766" ca="1">INDIRECT("b"&amp;F5766+2)</f>
        <v>0</v>
      </c>
      <c r="F5766" s="18">
        <f t="shared" si="1212"/>
        <v>8084</v>
      </c>
      <c r="G5766" s="18"/>
      <c r="H5766" s="18"/>
      <c r="I5766" s="19">
        <v>5764</v>
      </c>
      <c r="J5766" s="19" cm="1">
        <f t="array" aca="1" ref="J5766" ca="1">INDIRECT("b"&amp;K5766+2)</f>
        <v>0</v>
      </c>
      <c r="K5766" s="19">
        <f t="shared" si="1223"/>
        <v>9284</v>
      </c>
    </row>
    <row r="5767" spans="1:11">
      <c r="A5767">
        <v>5765</v>
      </c>
      <c r="B5767">
        <v>1.6750000000000001E+166</v>
      </c>
      <c r="D5767" s="18">
        <v>5765</v>
      </c>
      <c r="E5767" s="18" cm="1">
        <f t="array" aca="1" ref="E5767" ca="1">INDIRECT("b"&amp;F5767+2)</f>
        <v>0</v>
      </c>
      <c r="F5767" s="18">
        <f t="shared" si="1212"/>
        <v>8085</v>
      </c>
      <c r="G5767" s="18"/>
      <c r="H5767" s="18"/>
      <c r="I5767" s="19">
        <v>5765</v>
      </c>
      <c r="J5767" s="19" cm="1">
        <f t="array" aca="1" ref="J5767" ca="1">INDIRECT("b"&amp;K5767+2)</f>
        <v>0</v>
      </c>
      <c r="K5767" s="19">
        <f t="shared" si="1223"/>
        <v>9285</v>
      </c>
    </row>
    <row r="5768" spans="1:11">
      <c r="A5768">
        <v>5766</v>
      </c>
      <c r="B5768">
        <v>1.9E+166</v>
      </c>
      <c r="D5768" s="18">
        <v>5766</v>
      </c>
      <c r="E5768" s="18" cm="1">
        <f t="array" aca="1" ref="E5768" ca="1">INDIRECT("b"&amp;F5768+2)</f>
        <v>0</v>
      </c>
      <c r="F5768" s="18">
        <f t="shared" si="1212"/>
        <v>8086</v>
      </c>
      <c r="G5768" s="18" t="e">
        <f t="shared" ref="G5768" ca="1" si="1224">E5768/E5763</f>
        <v>#DIV/0!</v>
      </c>
      <c r="H5768" s="18"/>
      <c r="I5768" s="19">
        <v>5766</v>
      </c>
      <c r="J5768" s="19" cm="1">
        <f t="array" aca="1" ref="J5768" ca="1">INDIRECT("b"&amp;K5768+2)</f>
        <v>0</v>
      </c>
      <c r="K5768" s="19">
        <f t="shared" si="1223"/>
        <v>9286</v>
      </c>
    </row>
    <row r="5769" spans="1:11">
      <c r="A5769">
        <v>5767</v>
      </c>
      <c r="B5769">
        <v>2.125E+166</v>
      </c>
      <c r="D5769" s="18">
        <v>5767</v>
      </c>
      <c r="E5769" s="18" cm="1">
        <f t="array" aca="1" ref="E5769" ca="1">INDIRECT("b"&amp;F5769+2)</f>
        <v>0</v>
      </c>
      <c r="F5769" s="18">
        <f t="shared" si="1212"/>
        <v>8088</v>
      </c>
      <c r="G5769" s="18"/>
      <c r="H5769" s="18"/>
      <c r="I5769" s="19">
        <v>5767</v>
      </c>
      <c r="J5769" s="19" cm="1">
        <f t="array" aca="1" ref="J5769" ca="1">INDIRECT("b"&amp;K5769+2)</f>
        <v>0</v>
      </c>
      <c r="K5769" s="19">
        <f t="shared" si="1223"/>
        <v>9288</v>
      </c>
    </row>
    <row r="5770" spans="1:11">
      <c r="A5770">
        <v>5768</v>
      </c>
      <c r="B5770">
        <v>2.35E+166</v>
      </c>
      <c r="D5770" s="18">
        <v>5768</v>
      </c>
      <c r="E5770" s="18" cm="1">
        <f t="array" aca="1" ref="E5770" ca="1">INDIRECT("b"&amp;F5770+2)</f>
        <v>0</v>
      </c>
      <c r="F5770" s="18">
        <f t="shared" si="1212"/>
        <v>8089</v>
      </c>
      <c r="G5770" s="18"/>
      <c r="H5770" s="18"/>
      <c r="I5770" s="19">
        <v>5768</v>
      </c>
      <c r="J5770" s="19" cm="1">
        <f t="array" aca="1" ref="J5770" ca="1">INDIRECT("b"&amp;K5770+2)</f>
        <v>0</v>
      </c>
      <c r="K5770" s="19">
        <f t="shared" si="1223"/>
        <v>9289</v>
      </c>
    </row>
    <row r="5771" spans="1:11">
      <c r="A5771">
        <v>5769</v>
      </c>
      <c r="B5771">
        <v>2.575E+166</v>
      </c>
      <c r="D5771" s="18">
        <v>5769</v>
      </c>
      <c r="E5771" s="18" cm="1">
        <f t="array" aca="1" ref="E5771" ca="1">INDIRECT("b"&amp;F5771+2)</f>
        <v>0</v>
      </c>
      <c r="F5771" s="18">
        <f t="shared" si="1212"/>
        <v>8090</v>
      </c>
      <c r="G5771" s="18"/>
      <c r="H5771" s="18"/>
      <c r="I5771" s="19">
        <v>5769</v>
      </c>
      <c r="J5771" s="19" cm="1">
        <f t="array" aca="1" ref="J5771" ca="1">INDIRECT("b"&amp;K5771+2)</f>
        <v>0</v>
      </c>
      <c r="K5771" s="19">
        <f t="shared" si="1223"/>
        <v>9290</v>
      </c>
    </row>
    <row r="5772" spans="1:11">
      <c r="A5772">
        <v>5770</v>
      </c>
      <c r="B5772">
        <v>2.8E+166</v>
      </c>
      <c r="D5772" s="18">
        <v>5770</v>
      </c>
      <c r="E5772" s="18" cm="1">
        <f t="array" aca="1" ref="E5772" ca="1">INDIRECT("b"&amp;F5772+2)</f>
        <v>0</v>
      </c>
      <c r="F5772" s="18">
        <f t="shared" si="1212"/>
        <v>8092</v>
      </c>
      <c r="G5772" s="18"/>
      <c r="H5772" s="18"/>
      <c r="I5772" s="19">
        <v>5770</v>
      </c>
      <c r="J5772" s="19" cm="1">
        <f t="array" aca="1" ref="J5772" ca="1">INDIRECT("b"&amp;K5772+2)</f>
        <v>0</v>
      </c>
      <c r="K5772" s="19">
        <f t="shared" si="1223"/>
        <v>9292</v>
      </c>
    </row>
    <row r="5773" spans="1:11">
      <c r="A5773">
        <v>5771</v>
      </c>
      <c r="B5773">
        <v>3.0249999999999999E+166</v>
      </c>
      <c r="D5773" s="18">
        <v>5771</v>
      </c>
      <c r="E5773" s="18" cm="1">
        <f t="array" aca="1" ref="E5773" ca="1">INDIRECT("b"&amp;F5773+2)</f>
        <v>0</v>
      </c>
      <c r="F5773" s="18">
        <f t="shared" si="1212"/>
        <v>8093</v>
      </c>
      <c r="G5773" s="18" t="e">
        <f t="shared" ref="G5773" ca="1" si="1225">E5773/E5768</f>
        <v>#DIV/0!</v>
      </c>
      <c r="H5773" s="18"/>
      <c r="I5773" s="19">
        <v>5771</v>
      </c>
      <c r="J5773" s="19" cm="1">
        <f t="array" aca="1" ref="J5773" ca="1">INDIRECT("b"&amp;K5773+2)</f>
        <v>0</v>
      </c>
      <c r="K5773" s="19">
        <f t="shared" si="1223"/>
        <v>9293</v>
      </c>
    </row>
    <row r="5774" spans="1:11">
      <c r="A5774">
        <v>5772</v>
      </c>
      <c r="B5774">
        <v>3.2499999999999996E+166</v>
      </c>
      <c r="D5774" s="18">
        <v>5772</v>
      </c>
      <c r="E5774" s="18" cm="1">
        <f t="array" aca="1" ref="E5774" ca="1">INDIRECT("b"&amp;F5774+2)</f>
        <v>0</v>
      </c>
      <c r="F5774" s="18">
        <f t="shared" si="1212"/>
        <v>8094</v>
      </c>
      <c r="G5774" s="18"/>
      <c r="H5774" s="18"/>
      <c r="I5774" s="19">
        <v>5772</v>
      </c>
      <c r="J5774" s="19" cm="1">
        <f t="array" aca="1" ref="J5774" ca="1">INDIRECT("b"&amp;K5774+2)</f>
        <v>0</v>
      </c>
      <c r="K5774" s="19">
        <f t="shared" si="1223"/>
        <v>9294</v>
      </c>
    </row>
    <row r="5775" spans="1:11">
      <c r="A5775">
        <v>5773</v>
      </c>
      <c r="B5775">
        <v>3.4749999999999999E+166</v>
      </c>
      <c r="D5775" s="18">
        <v>5773</v>
      </c>
      <c r="E5775" s="18" cm="1">
        <f t="array" aca="1" ref="E5775" ca="1">INDIRECT("b"&amp;F5775+2)</f>
        <v>0</v>
      </c>
      <c r="F5775" s="18">
        <f t="shared" si="1212"/>
        <v>8096</v>
      </c>
      <c r="G5775" s="18"/>
      <c r="H5775" s="18"/>
      <c r="I5775" s="19">
        <v>5773</v>
      </c>
      <c r="J5775" s="19" cm="1">
        <f t="array" aca="1" ref="J5775" ca="1">INDIRECT("b"&amp;K5775+2)</f>
        <v>0</v>
      </c>
      <c r="K5775" s="19">
        <f t="shared" si="1223"/>
        <v>9296</v>
      </c>
    </row>
    <row r="5776" spans="1:11">
      <c r="A5776">
        <v>5774</v>
      </c>
      <c r="B5776">
        <v>3.6999999999999996E+166</v>
      </c>
      <c r="D5776" s="18">
        <v>5774</v>
      </c>
      <c r="E5776" s="18" cm="1">
        <f t="array" aca="1" ref="E5776" ca="1">INDIRECT("b"&amp;F5776+2)</f>
        <v>0</v>
      </c>
      <c r="F5776" s="18">
        <f t="shared" si="1212"/>
        <v>8097</v>
      </c>
      <c r="G5776" s="18"/>
      <c r="H5776" s="18"/>
      <c r="I5776" s="19">
        <v>5774</v>
      </c>
      <c r="J5776" s="19" cm="1">
        <f t="array" aca="1" ref="J5776" ca="1">INDIRECT("b"&amp;K5776+2)</f>
        <v>0</v>
      </c>
      <c r="K5776" s="19">
        <f t="shared" si="1223"/>
        <v>9297</v>
      </c>
    </row>
    <row r="5777" spans="1:11">
      <c r="A5777">
        <v>5775</v>
      </c>
      <c r="B5777">
        <v>3.9249999999999999E+166</v>
      </c>
      <c r="D5777" s="18">
        <v>5775</v>
      </c>
      <c r="E5777" s="18" cm="1">
        <f t="array" aca="1" ref="E5777" ca="1">INDIRECT("b"&amp;F5777+2)</f>
        <v>0</v>
      </c>
      <c r="F5777" s="18">
        <f t="shared" si="1212"/>
        <v>8098</v>
      </c>
      <c r="G5777" s="18"/>
      <c r="H5777" s="18"/>
      <c r="I5777" s="19">
        <v>5775</v>
      </c>
      <c r="J5777" s="19" cm="1">
        <f t="array" aca="1" ref="J5777" ca="1">INDIRECT("b"&amp;K5777+2)</f>
        <v>0</v>
      </c>
      <c r="K5777" s="19">
        <f t="shared" si="1223"/>
        <v>9298</v>
      </c>
    </row>
    <row r="5778" spans="1:11">
      <c r="A5778">
        <v>5776</v>
      </c>
      <c r="B5778">
        <v>4.1499999999999995E+166</v>
      </c>
      <c r="D5778" s="18">
        <v>5776</v>
      </c>
      <c r="E5778" s="18" cm="1">
        <f t="array" aca="1" ref="E5778" ca="1">INDIRECT("b"&amp;F5778+2)</f>
        <v>0</v>
      </c>
      <c r="F5778" s="18">
        <f t="shared" si="1212"/>
        <v>8100</v>
      </c>
      <c r="G5778" s="18" t="e">
        <f t="shared" ref="G5778" ca="1" si="1226">E5778/E5773</f>
        <v>#DIV/0!</v>
      </c>
      <c r="H5778" s="18"/>
      <c r="I5778" s="19">
        <v>5776</v>
      </c>
      <c r="J5778" s="19" cm="1">
        <f t="array" aca="1" ref="J5778" ca="1">INDIRECT("b"&amp;K5778+2)</f>
        <v>0</v>
      </c>
      <c r="K5778" s="19">
        <f t="shared" si="1223"/>
        <v>9300</v>
      </c>
    </row>
    <row r="5779" spans="1:11">
      <c r="A5779">
        <v>5777</v>
      </c>
      <c r="B5779">
        <v>4.3749999999999998E+166</v>
      </c>
      <c r="D5779" s="18">
        <v>5777</v>
      </c>
      <c r="E5779" s="18" cm="1">
        <f t="array" aca="1" ref="E5779" ca="1">INDIRECT("b"&amp;F5779+2)</f>
        <v>0</v>
      </c>
      <c r="F5779" s="18">
        <f t="shared" ref="F5779:F5842" si="1227">INT((A5779-123)*1.333333)+563</f>
        <v>8101</v>
      </c>
      <c r="G5779" s="18"/>
      <c r="H5779" s="18"/>
      <c r="I5779" s="19">
        <v>5777</v>
      </c>
      <c r="J5779" s="19" cm="1">
        <f t="array" aca="1" ref="J5779" ca="1">INDIRECT("b"&amp;K5779+2)</f>
        <v>0</v>
      </c>
      <c r="K5779" s="19">
        <f t="shared" si="1223"/>
        <v>9301</v>
      </c>
    </row>
    <row r="5780" spans="1:11">
      <c r="A5780">
        <v>5778</v>
      </c>
      <c r="B5780">
        <v>4.5999999999999995E+166</v>
      </c>
      <c r="D5780" s="18">
        <v>5778</v>
      </c>
      <c r="E5780" s="18" cm="1">
        <f t="array" aca="1" ref="E5780" ca="1">INDIRECT("b"&amp;F5780+2)</f>
        <v>0</v>
      </c>
      <c r="F5780" s="18">
        <f t="shared" si="1227"/>
        <v>8102</v>
      </c>
      <c r="G5780" s="18"/>
      <c r="H5780" s="18"/>
      <c r="I5780" s="19">
        <v>5778</v>
      </c>
      <c r="J5780" s="19" cm="1">
        <f t="array" aca="1" ref="J5780" ca="1">INDIRECT("b"&amp;K5780+2)</f>
        <v>0</v>
      </c>
      <c r="K5780" s="19">
        <f t="shared" si="1223"/>
        <v>9302</v>
      </c>
    </row>
    <row r="5781" spans="1:11">
      <c r="A5781">
        <v>5779</v>
      </c>
      <c r="B5781">
        <v>4.8249999999999998E+166</v>
      </c>
      <c r="D5781" s="18">
        <v>5779</v>
      </c>
      <c r="E5781" s="18" cm="1">
        <f t="array" aca="1" ref="E5781" ca="1">INDIRECT("b"&amp;F5781+2)</f>
        <v>0</v>
      </c>
      <c r="F5781" s="18">
        <f t="shared" si="1227"/>
        <v>8104</v>
      </c>
      <c r="G5781" s="18"/>
      <c r="H5781" s="18"/>
      <c r="I5781" s="19">
        <v>5779</v>
      </c>
      <c r="J5781" s="19" cm="1">
        <f t="array" aca="1" ref="J5781" ca="1">INDIRECT("b"&amp;K5781+2)</f>
        <v>0</v>
      </c>
      <c r="K5781" s="19">
        <f t="shared" si="1223"/>
        <v>9304</v>
      </c>
    </row>
    <row r="5782" spans="1:11">
      <c r="A5782">
        <v>5780</v>
      </c>
      <c r="B5782">
        <v>5.0499999999999995E+166</v>
      </c>
      <c r="D5782" s="18">
        <v>5780</v>
      </c>
      <c r="E5782" s="18" cm="1">
        <f t="array" aca="1" ref="E5782" ca="1">INDIRECT("b"&amp;F5782+2)</f>
        <v>0</v>
      </c>
      <c r="F5782" s="18">
        <f t="shared" si="1227"/>
        <v>8105</v>
      </c>
      <c r="G5782" s="18"/>
      <c r="H5782" s="18"/>
      <c r="I5782" s="19">
        <v>5780</v>
      </c>
      <c r="J5782" s="19" cm="1">
        <f t="array" aca="1" ref="J5782" ca="1">INDIRECT("b"&amp;K5782+2)</f>
        <v>0</v>
      </c>
      <c r="K5782" s="19">
        <f t="shared" si="1223"/>
        <v>9305</v>
      </c>
    </row>
    <row r="5783" spans="1:11">
      <c r="A5783">
        <v>5781</v>
      </c>
      <c r="B5783">
        <v>5.2749999999999998E+166</v>
      </c>
      <c r="D5783" s="18">
        <v>5781</v>
      </c>
      <c r="E5783" s="18" cm="1">
        <f t="array" aca="1" ref="E5783" ca="1">INDIRECT("b"&amp;F5783+2)</f>
        <v>0</v>
      </c>
      <c r="F5783" s="18">
        <f t="shared" si="1227"/>
        <v>8106</v>
      </c>
      <c r="G5783" s="18" t="e">
        <f t="shared" ref="G5783" ca="1" si="1228">E5783/E5778</f>
        <v>#DIV/0!</v>
      </c>
      <c r="H5783" s="18"/>
      <c r="I5783" s="19">
        <v>5781</v>
      </c>
      <c r="J5783" s="19" cm="1">
        <f t="array" aca="1" ref="J5783" ca="1">INDIRECT("b"&amp;K5783+2)</f>
        <v>0</v>
      </c>
      <c r="K5783" s="19">
        <f t="shared" si="1223"/>
        <v>9306</v>
      </c>
    </row>
    <row r="5784" spans="1:11">
      <c r="A5784">
        <v>5782</v>
      </c>
      <c r="B5784">
        <v>5.4999999999999994E+166</v>
      </c>
      <c r="D5784" s="18">
        <v>5782</v>
      </c>
      <c r="E5784" s="18" cm="1">
        <f t="array" aca="1" ref="E5784" ca="1">INDIRECT("b"&amp;F5784+2)</f>
        <v>0</v>
      </c>
      <c r="F5784" s="18">
        <f t="shared" si="1227"/>
        <v>8108</v>
      </c>
      <c r="G5784" s="18"/>
      <c r="H5784" s="18"/>
      <c r="I5784" s="19">
        <v>5782</v>
      </c>
      <c r="J5784" s="19" cm="1">
        <f t="array" aca="1" ref="J5784" ca="1">INDIRECT("b"&amp;K5784+2)</f>
        <v>0</v>
      </c>
      <c r="K5784" s="19">
        <f t="shared" si="1223"/>
        <v>9308</v>
      </c>
    </row>
    <row r="5785" spans="1:11">
      <c r="A5785">
        <v>5783</v>
      </c>
      <c r="B5785">
        <v>5.7249999999999997E+166</v>
      </c>
      <c r="D5785" s="18">
        <v>5783</v>
      </c>
      <c r="E5785" s="18" cm="1">
        <f t="array" aca="1" ref="E5785" ca="1">INDIRECT("b"&amp;F5785+2)</f>
        <v>0</v>
      </c>
      <c r="F5785" s="18">
        <f t="shared" si="1227"/>
        <v>8109</v>
      </c>
      <c r="G5785" s="18"/>
      <c r="H5785" s="18"/>
      <c r="I5785" s="19">
        <v>5783</v>
      </c>
      <c r="J5785" s="19" cm="1">
        <f t="array" aca="1" ref="J5785" ca="1">INDIRECT("b"&amp;K5785+2)</f>
        <v>0</v>
      </c>
      <c r="K5785" s="19">
        <f t="shared" si="1223"/>
        <v>9309</v>
      </c>
    </row>
    <row r="5786" spans="1:11">
      <c r="A5786">
        <v>5784</v>
      </c>
      <c r="B5786">
        <v>5.95E+166</v>
      </c>
      <c r="D5786" s="18">
        <v>5784</v>
      </c>
      <c r="E5786" s="18" cm="1">
        <f t="array" aca="1" ref="E5786" ca="1">INDIRECT("b"&amp;F5786+2)</f>
        <v>0</v>
      </c>
      <c r="F5786" s="18">
        <f t="shared" si="1227"/>
        <v>8110</v>
      </c>
      <c r="G5786" s="18"/>
      <c r="H5786" s="18"/>
      <c r="I5786" s="19">
        <v>5784</v>
      </c>
      <c r="J5786" s="19" cm="1">
        <f t="array" aca="1" ref="J5786" ca="1">INDIRECT("b"&amp;K5786+2)</f>
        <v>0</v>
      </c>
      <c r="K5786" s="19">
        <f t="shared" si="1223"/>
        <v>9310</v>
      </c>
    </row>
    <row r="5787" spans="1:11">
      <c r="A5787">
        <v>5785</v>
      </c>
      <c r="B5787">
        <v>6.1750000000000004E+166</v>
      </c>
      <c r="D5787" s="18">
        <v>5785</v>
      </c>
      <c r="E5787" s="18" cm="1">
        <f t="array" aca="1" ref="E5787" ca="1">INDIRECT("b"&amp;F5787+2)</f>
        <v>0</v>
      </c>
      <c r="F5787" s="18">
        <f t="shared" si="1227"/>
        <v>8112</v>
      </c>
      <c r="G5787" s="18"/>
      <c r="H5787" s="18"/>
      <c r="I5787" s="19">
        <v>5785</v>
      </c>
      <c r="J5787" s="19" cm="1">
        <f t="array" aca="1" ref="J5787" ca="1">INDIRECT("b"&amp;K5787+2)</f>
        <v>0</v>
      </c>
      <c r="K5787" s="19">
        <f t="shared" si="1223"/>
        <v>9312</v>
      </c>
    </row>
    <row r="5788" spans="1:11">
      <c r="A5788">
        <v>5786</v>
      </c>
      <c r="B5788">
        <v>6.3999999999999994E+166</v>
      </c>
      <c r="D5788" s="18">
        <v>5786</v>
      </c>
      <c r="E5788" s="18" cm="1">
        <f t="array" aca="1" ref="E5788" ca="1">INDIRECT("b"&amp;F5788+2)</f>
        <v>0</v>
      </c>
      <c r="F5788" s="18">
        <f t="shared" si="1227"/>
        <v>8113</v>
      </c>
      <c r="G5788" s="18" t="e">
        <f t="shared" ref="G5788" ca="1" si="1229">E5788/E5783</f>
        <v>#DIV/0!</v>
      </c>
      <c r="H5788" s="18"/>
      <c r="I5788" s="19">
        <v>5786</v>
      </c>
      <c r="J5788" s="19" cm="1">
        <f t="array" aca="1" ref="J5788" ca="1">INDIRECT("b"&amp;K5788+2)</f>
        <v>0</v>
      </c>
      <c r="K5788" s="19">
        <f t="shared" si="1223"/>
        <v>9313</v>
      </c>
    </row>
    <row r="5789" spans="1:11">
      <c r="A5789">
        <v>5787</v>
      </c>
      <c r="B5789">
        <v>6.6249999999999997E+166</v>
      </c>
      <c r="D5789" s="18">
        <v>5787</v>
      </c>
      <c r="E5789" s="18" cm="1">
        <f t="array" aca="1" ref="E5789" ca="1">INDIRECT("b"&amp;F5789+2)</f>
        <v>0</v>
      </c>
      <c r="F5789" s="18">
        <f t="shared" si="1227"/>
        <v>8114</v>
      </c>
      <c r="G5789" s="18"/>
      <c r="H5789" s="18"/>
      <c r="I5789" s="19">
        <v>5787</v>
      </c>
      <c r="J5789" s="19" cm="1">
        <f t="array" aca="1" ref="J5789" ca="1">INDIRECT("b"&amp;K5789+2)</f>
        <v>0</v>
      </c>
      <c r="K5789" s="19">
        <f t="shared" si="1223"/>
        <v>9314</v>
      </c>
    </row>
    <row r="5790" spans="1:11">
      <c r="A5790">
        <v>5788</v>
      </c>
      <c r="B5790">
        <v>6.85E+166</v>
      </c>
      <c r="D5790" s="18">
        <v>5788</v>
      </c>
      <c r="E5790" s="18" cm="1">
        <f t="array" aca="1" ref="E5790" ca="1">INDIRECT("b"&amp;F5790+2)</f>
        <v>0</v>
      </c>
      <c r="F5790" s="18">
        <f t="shared" si="1227"/>
        <v>8116</v>
      </c>
      <c r="G5790" s="18"/>
      <c r="H5790" s="18"/>
      <c r="I5790" s="19">
        <v>5788</v>
      </c>
      <c r="J5790" s="19" cm="1">
        <f t="array" aca="1" ref="J5790" ca="1">INDIRECT("b"&amp;K5790+2)</f>
        <v>0</v>
      </c>
      <c r="K5790" s="19">
        <f t="shared" si="1223"/>
        <v>9316</v>
      </c>
    </row>
    <row r="5791" spans="1:11">
      <c r="A5791">
        <v>5789</v>
      </c>
      <c r="B5791">
        <v>7.0750000000000003E+166</v>
      </c>
      <c r="D5791" s="18">
        <v>5789</v>
      </c>
      <c r="E5791" s="18" cm="1">
        <f t="array" aca="1" ref="E5791" ca="1">INDIRECT("b"&amp;F5791+2)</f>
        <v>0</v>
      </c>
      <c r="F5791" s="18">
        <f t="shared" si="1227"/>
        <v>8117</v>
      </c>
      <c r="G5791" s="18"/>
      <c r="H5791" s="18"/>
      <c r="I5791" s="19">
        <v>5789</v>
      </c>
      <c r="J5791" s="19" cm="1">
        <f t="array" aca="1" ref="J5791" ca="1">INDIRECT("b"&amp;K5791+2)</f>
        <v>0</v>
      </c>
      <c r="K5791" s="19">
        <f t="shared" si="1223"/>
        <v>9317</v>
      </c>
    </row>
    <row r="5792" spans="1:11">
      <c r="A5792">
        <v>5790</v>
      </c>
      <c r="B5792">
        <v>7.2999999999999993E+166</v>
      </c>
      <c r="D5792" s="18">
        <v>5790</v>
      </c>
      <c r="E5792" s="18" cm="1">
        <f t="array" aca="1" ref="E5792" ca="1">INDIRECT("b"&amp;F5792+2)</f>
        <v>0</v>
      </c>
      <c r="F5792" s="18">
        <f t="shared" si="1227"/>
        <v>8118</v>
      </c>
      <c r="G5792" s="18"/>
      <c r="H5792" s="18"/>
      <c r="I5792" s="19">
        <v>5790</v>
      </c>
      <c r="J5792" s="19" cm="1">
        <f t="array" aca="1" ref="J5792" ca="1">INDIRECT("b"&amp;K5792+2)</f>
        <v>0</v>
      </c>
      <c r="K5792" s="19">
        <f t="shared" si="1223"/>
        <v>9318</v>
      </c>
    </row>
    <row r="5793" spans="1:11">
      <c r="A5793">
        <v>5791</v>
      </c>
      <c r="B5793">
        <v>7.5249999999999996E+166</v>
      </c>
      <c r="D5793" s="18">
        <v>5791</v>
      </c>
      <c r="E5793" s="18" cm="1">
        <f t="array" aca="1" ref="E5793" ca="1">INDIRECT("b"&amp;F5793+2)</f>
        <v>0</v>
      </c>
      <c r="F5793" s="18">
        <f t="shared" si="1227"/>
        <v>8120</v>
      </c>
      <c r="G5793" s="18" t="e">
        <f t="shared" ref="G5793" ca="1" si="1230">E5793/E5788</f>
        <v>#DIV/0!</v>
      </c>
      <c r="H5793" s="18"/>
      <c r="I5793" s="19">
        <v>5791</v>
      </c>
      <c r="J5793" s="19" cm="1">
        <f t="array" aca="1" ref="J5793" ca="1">INDIRECT("b"&amp;K5793+2)</f>
        <v>0</v>
      </c>
      <c r="K5793" s="19">
        <f t="shared" si="1223"/>
        <v>9320</v>
      </c>
    </row>
    <row r="5794" spans="1:11">
      <c r="A5794">
        <v>5792</v>
      </c>
      <c r="B5794">
        <v>7.7499999999999999E+166</v>
      </c>
      <c r="D5794" s="18">
        <v>5792</v>
      </c>
      <c r="E5794" s="18" cm="1">
        <f t="array" aca="1" ref="E5794" ca="1">INDIRECT("b"&amp;F5794+2)</f>
        <v>0</v>
      </c>
      <c r="F5794" s="18">
        <f t="shared" si="1227"/>
        <v>8121</v>
      </c>
      <c r="G5794" s="18"/>
      <c r="H5794" s="18"/>
      <c r="I5794" s="19">
        <v>5792</v>
      </c>
      <c r="J5794" s="19" cm="1">
        <f t="array" aca="1" ref="J5794" ca="1">INDIRECT("b"&amp;K5794+2)</f>
        <v>0</v>
      </c>
      <c r="K5794" s="19">
        <f t="shared" si="1223"/>
        <v>9321</v>
      </c>
    </row>
    <row r="5795" spans="1:11">
      <c r="A5795">
        <v>5793</v>
      </c>
      <c r="B5795">
        <v>7.9750000000000002E+166</v>
      </c>
      <c r="D5795" s="18">
        <v>5793</v>
      </c>
      <c r="E5795" s="18" cm="1">
        <f t="array" aca="1" ref="E5795" ca="1">INDIRECT("b"&amp;F5795+2)</f>
        <v>0</v>
      </c>
      <c r="F5795" s="18">
        <f t="shared" si="1227"/>
        <v>8122</v>
      </c>
      <c r="G5795" s="18"/>
      <c r="H5795" s="18"/>
      <c r="I5795" s="19">
        <v>5793</v>
      </c>
      <c r="J5795" s="19" cm="1">
        <f t="array" aca="1" ref="J5795" ca="1">INDIRECT("b"&amp;K5795+2)</f>
        <v>0</v>
      </c>
      <c r="K5795" s="19">
        <f t="shared" si="1223"/>
        <v>9322</v>
      </c>
    </row>
    <row r="5796" spans="1:11">
      <c r="A5796">
        <v>5794</v>
      </c>
      <c r="B5796">
        <v>8.1999999999999992E+166</v>
      </c>
      <c r="D5796" s="18">
        <v>5794</v>
      </c>
      <c r="E5796" s="18" cm="1">
        <f t="array" aca="1" ref="E5796" ca="1">INDIRECT("b"&amp;F5796+2)</f>
        <v>0</v>
      </c>
      <c r="F5796" s="18">
        <f t="shared" si="1227"/>
        <v>8124</v>
      </c>
      <c r="G5796" s="18"/>
      <c r="H5796" s="18"/>
      <c r="I5796" s="19">
        <v>5794</v>
      </c>
      <c r="J5796" s="19" cm="1">
        <f t="array" aca="1" ref="J5796" ca="1">INDIRECT("b"&amp;K5796+2)</f>
        <v>0</v>
      </c>
      <c r="K5796" s="19">
        <f t="shared" si="1223"/>
        <v>9324</v>
      </c>
    </row>
    <row r="5797" spans="1:11">
      <c r="A5797">
        <v>5795</v>
      </c>
      <c r="B5797">
        <v>8.4249999999999995E+166</v>
      </c>
      <c r="D5797" s="18">
        <v>5795</v>
      </c>
      <c r="E5797" s="18" cm="1">
        <f t="array" aca="1" ref="E5797" ca="1">INDIRECT("b"&amp;F5797+2)</f>
        <v>0</v>
      </c>
      <c r="F5797" s="18">
        <f t="shared" si="1227"/>
        <v>8125</v>
      </c>
      <c r="G5797" s="18"/>
      <c r="H5797" s="18"/>
      <c r="I5797" s="19">
        <v>5795</v>
      </c>
      <c r="J5797" s="19" cm="1">
        <f t="array" aca="1" ref="J5797" ca="1">INDIRECT("b"&amp;K5797+2)</f>
        <v>0</v>
      </c>
      <c r="K5797" s="19">
        <f t="shared" si="1223"/>
        <v>9325</v>
      </c>
    </row>
    <row r="5798" spans="1:11">
      <c r="A5798">
        <v>5796</v>
      </c>
      <c r="B5798">
        <v>8.6499999999999998E+166</v>
      </c>
      <c r="D5798" s="18">
        <v>5796</v>
      </c>
      <c r="E5798" s="18" cm="1">
        <f t="array" aca="1" ref="E5798" ca="1">INDIRECT("b"&amp;F5798+2)</f>
        <v>0</v>
      </c>
      <c r="F5798" s="18">
        <f t="shared" si="1227"/>
        <v>8126</v>
      </c>
      <c r="G5798" s="18" t="e">
        <f t="shared" ref="G5798" ca="1" si="1231">E5798/E5793</f>
        <v>#DIV/0!</v>
      </c>
      <c r="H5798" s="18"/>
      <c r="I5798" s="19">
        <v>5796</v>
      </c>
      <c r="J5798" s="19" cm="1">
        <f t="array" aca="1" ref="J5798" ca="1">INDIRECT("b"&amp;K5798+2)</f>
        <v>0</v>
      </c>
      <c r="K5798" s="19">
        <f t="shared" si="1223"/>
        <v>9326</v>
      </c>
    </row>
    <row r="5799" spans="1:11">
      <c r="A5799">
        <v>5797</v>
      </c>
      <c r="B5799">
        <v>8.8750000000000001E+166</v>
      </c>
      <c r="D5799" s="18">
        <v>5797</v>
      </c>
      <c r="E5799" s="18" cm="1">
        <f t="array" aca="1" ref="E5799" ca="1">INDIRECT("b"&amp;F5799+2)</f>
        <v>0</v>
      </c>
      <c r="F5799" s="18">
        <f t="shared" si="1227"/>
        <v>8128</v>
      </c>
      <c r="G5799" s="18"/>
      <c r="H5799" s="18"/>
      <c r="I5799" s="19">
        <v>5797</v>
      </c>
      <c r="J5799" s="19" cm="1">
        <f t="array" aca="1" ref="J5799" ca="1">INDIRECT("b"&amp;K5799+2)</f>
        <v>0</v>
      </c>
      <c r="K5799" s="19">
        <f t="shared" si="1223"/>
        <v>9328</v>
      </c>
    </row>
    <row r="5800" spans="1:11">
      <c r="A5800">
        <v>5798</v>
      </c>
      <c r="B5800">
        <v>9.0999999999999991E+166</v>
      </c>
      <c r="D5800" s="18">
        <v>5798</v>
      </c>
      <c r="E5800" s="18" cm="1">
        <f t="array" aca="1" ref="E5800" ca="1">INDIRECT("b"&amp;F5800+2)</f>
        <v>0</v>
      </c>
      <c r="F5800" s="18">
        <f t="shared" si="1227"/>
        <v>8129</v>
      </c>
      <c r="G5800" s="18"/>
      <c r="H5800" s="18"/>
      <c r="I5800" s="19">
        <v>5798</v>
      </c>
      <c r="J5800" s="19" cm="1">
        <f t="array" aca="1" ref="J5800" ca="1">INDIRECT("b"&amp;K5800+2)</f>
        <v>0</v>
      </c>
      <c r="K5800" s="19">
        <f t="shared" si="1223"/>
        <v>9329</v>
      </c>
    </row>
    <row r="5801" spans="1:11">
      <c r="A5801">
        <v>5799</v>
      </c>
      <c r="B5801">
        <v>9.3249999999999995E+166</v>
      </c>
      <c r="D5801" s="18">
        <v>5799</v>
      </c>
      <c r="E5801" s="18" cm="1">
        <f t="array" aca="1" ref="E5801" ca="1">INDIRECT("b"&amp;F5801+2)</f>
        <v>0</v>
      </c>
      <c r="F5801" s="18">
        <f t="shared" si="1227"/>
        <v>8130</v>
      </c>
      <c r="G5801" s="18"/>
      <c r="H5801" s="18"/>
      <c r="I5801" s="19">
        <v>5799</v>
      </c>
      <c r="J5801" s="19" cm="1">
        <f t="array" aca="1" ref="J5801" ca="1">INDIRECT("b"&amp;K5801+2)</f>
        <v>0</v>
      </c>
      <c r="K5801" s="19">
        <f t="shared" si="1223"/>
        <v>9330</v>
      </c>
    </row>
    <row r="5802" spans="1:11">
      <c r="A5802">
        <v>5800</v>
      </c>
      <c r="B5802">
        <v>9.5499999999999998E+166</v>
      </c>
      <c r="D5802" s="18">
        <v>5800</v>
      </c>
      <c r="E5802" s="18" cm="1">
        <f t="array" aca="1" ref="E5802" ca="1">INDIRECT("b"&amp;F5802+2)</f>
        <v>0</v>
      </c>
      <c r="F5802" s="18">
        <f t="shared" si="1227"/>
        <v>8132</v>
      </c>
      <c r="G5802" s="18"/>
      <c r="H5802" s="18"/>
      <c r="I5802" s="19">
        <v>5800</v>
      </c>
      <c r="J5802" s="19" cm="1">
        <f t="array" aca="1" ref="J5802" ca="1">INDIRECT("b"&amp;K5802+2)</f>
        <v>0</v>
      </c>
      <c r="K5802" s="19">
        <f t="shared" si="1223"/>
        <v>9332</v>
      </c>
    </row>
    <row r="5803" spans="1:11">
      <c r="A5803">
        <v>5801</v>
      </c>
      <c r="B5803">
        <v>9.7750000000000001E+166</v>
      </c>
      <c r="D5803" s="18">
        <v>5801</v>
      </c>
      <c r="E5803" s="18" cm="1">
        <f t="array" aca="1" ref="E5803" ca="1">INDIRECT("b"&amp;F5803+2)</f>
        <v>0</v>
      </c>
      <c r="F5803" s="18">
        <f t="shared" si="1227"/>
        <v>8133</v>
      </c>
      <c r="G5803" s="18" t="e">
        <f t="shared" ref="G5803" ca="1" si="1232">E5803/E5798</f>
        <v>#DIV/0!</v>
      </c>
      <c r="H5803" s="18"/>
      <c r="I5803" s="19">
        <v>5801</v>
      </c>
      <c r="J5803" s="19" cm="1">
        <f t="array" aca="1" ref="J5803" ca="1">INDIRECT("b"&amp;K5803+2)</f>
        <v>0</v>
      </c>
      <c r="K5803" s="19">
        <f t="shared" si="1223"/>
        <v>9333</v>
      </c>
    </row>
    <row r="5804" spans="1:11">
      <c r="A5804">
        <v>5802</v>
      </c>
      <c r="B5804">
        <v>9.9999999999999991E+166</v>
      </c>
      <c r="D5804" s="18">
        <v>5802</v>
      </c>
      <c r="E5804" s="18" cm="1">
        <f t="array" aca="1" ref="E5804" ca="1">INDIRECT("b"&amp;F5804+2)</f>
        <v>0</v>
      </c>
      <c r="F5804" s="18">
        <f t="shared" si="1227"/>
        <v>8134</v>
      </c>
      <c r="G5804" s="18"/>
      <c r="H5804" s="18"/>
      <c r="I5804" s="19">
        <v>5802</v>
      </c>
      <c r="J5804" s="19" cm="1">
        <f t="array" aca="1" ref="J5804" ca="1">INDIRECT("b"&amp;K5804+2)</f>
        <v>0</v>
      </c>
      <c r="K5804" s="19">
        <f t="shared" si="1223"/>
        <v>9334</v>
      </c>
    </row>
    <row r="5805" spans="1:11">
      <c r="A5805">
        <v>5803</v>
      </c>
      <c r="B5805">
        <v>1.2249999999999998E+167</v>
      </c>
      <c r="D5805" s="18">
        <v>5803</v>
      </c>
      <c r="E5805" s="18" cm="1">
        <f t="array" aca="1" ref="E5805" ca="1">INDIRECT("b"&amp;F5805+2)</f>
        <v>0</v>
      </c>
      <c r="F5805" s="18">
        <f t="shared" si="1227"/>
        <v>8136</v>
      </c>
      <c r="G5805" s="18"/>
      <c r="H5805" s="18"/>
      <c r="I5805" s="19">
        <v>5803</v>
      </c>
      <c r="J5805" s="19" cm="1">
        <f t="array" aca="1" ref="J5805" ca="1">INDIRECT("b"&amp;K5805+2)</f>
        <v>0</v>
      </c>
      <c r="K5805" s="19">
        <f t="shared" si="1223"/>
        <v>9336</v>
      </c>
    </row>
    <row r="5806" spans="1:11">
      <c r="A5806">
        <v>5804</v>
      </c>
      <c r="B5806">
        <v>1.4499999999999999E+167</v>
      </c>
      <c r="D5806" s="18">
        <v>5804</v>
      </c>
      <c r="E5806" s="18" cm="1">
        <f t="array" aca="1" ref="E5806" ca="1">INDIRECT("b"&amp;F5806+2)</f>
        <v>0</v>
      </c>
      <c r="F5806" s="18">
        <f t="shared" si="1227"/>
        <v>8137</v>
      </c>
      <c r="G5806" s="18"/>
      <c r="H5806" s="18"/>
      <c r="I5806" s="19">
        <v>5804</v>
      </c>
      <c r="J5806" s="19" cm="1">
        <f t="array" aca="1" ref="J5806" ca="1">INDIRECT("b"&amp;K5806+2)</f>
        <v>0</v>
      </c>
      <c r="K5806" s="19">
        <f t="shared" si="1223"/>
        <v>9337</v>
      </c>
    </row>
    <row r="5807" spans="1:11">
      <c r="A5807">
        <v>5805</v>
      </c>
      <c r="B5807">
        <v>1.6749999999999999E+167</v>
      </c>
      <c r="D5807" s="18">
        <v>5805</v>
      </c>
      <c r="E5807" s="18" cm="1">
        <f t="array" aca="1" ref="E5807" ca="1">INDIRECT("b"&amp;F5807+2)</f>
        <v>0</v>
      </c>
      <c r="F5807" s="18">
        <f t="shared" si="1227"/>
        <v>8138</v>
      </c>
      <c r="G5807" s="18"/>
      <c r="H5807" s="18"/>
      <c r="I5807" s="19">
        <v>5805</v>
      </c>
      <c r="J5807" s="19" cm="1">
        <f t="array" aca="1" ref="J5807" ca="1">INDIRECT("b"&amp;K5807+2)</f>
        <v>0</v>
      </c>
      <c r="K5807" s="19">
        <f t="shared" si="1223"/>
        <v>9338</v>
      </c>
    </row>
    <row r="5808" spans="1:11">
      <c r="A5808">
        <v>5806</v>
      </c>
      <c r="B5808">
        <v>1.9E+167</v>
      </c>
      <c r="D5808" s="18">
        <v>5806</v>
      </c>
      <c r="E5808" s="18" cm="1">
        <f t="array" aca="1" ref="E5808" ca="1">INDIRECT("b"&amp;F5808+2)</f>
        <v>0</v>
      </c>
      <c r="F5808" s="18">
        <f t="shared" si="1227"/>
        <v>8140</v>
      </c>
      <c r="G5808" s="18" t="e">
        <f t="shared" ref="G5808" ca="1" si="1233">E5808/E5803</f>
        <v>#DIV/0!</v>
      </c>
      <c r="H5808" s="18"/>
      <c r="I5808" s="19">
        <v>5806</v>
      </c>
      <c r="J5808" s="19" cm="1">
        <f t="array" aca="1" ref="J5808" ca="1">INDIRECT("b"&amp;K5808+2)</f>
        <v>0</v>
      </c>
      <c r="K5808" s="19">
        <f t="shared" si="1223"/>
        <v>9340</v>
      </c>
    </row>
    <row r="5809" spans="1:11">
      <c r="A5809">
        <v>5807</v>
      </c>
      <c r="B5809">
        <v>2.1249999999999998E+167</v>
      </c>
      <c r="D5809" s="18">
        <v>5807</v>
      </c>
      <c r="E5809" s="18" cm="1">
        <f t="array" aca="1" ref="E5809" ca="1">INDIRECT("b"&amp;F5809+2)</f>
        <v>0</v>
      </c>
      <c r="F5809" s="18">
        <f t="shared" si="1227"/>
        <v>8141</v>
      </c>
      <c r="G5809" s="18"/>
      <c r="H5809" s="18"/>
      <c r="I5809" s="19">
        <v>5807</v>
      </c>
      <c r="J5809" s="19" cm="1">
        <f t="array" aca="1" ref="J5809" ca="1">INDIRECT("b"&amp;K5809+2)</f>
        <v>0</v>
      </c>
      <c r="K5809" s="19">
        <f t="shared" si="1223"/>
        <v>9341</v>
      </c>
    </row>
    <row r="5810" spans="1:11">
      <c r="A5810">
        <v>5808</v>
      </c>
      <c r="B5810">
        <v>2.3499999999999998E+167</v>
      </c>
      <c r="D5810" s="18">
        <v>5808</v>
      </c>
      <c r="E5810" s="18" cm="1">
        <f t="array" aca="1" ref="E5810" ca="1">INDIRECT("b"&amp;F5810+2)</f>
        <v>0</v>
      </c>
      <c r="F5810" s="18">
        <f t="shared" si="1227"/>
        <v>8142</v>
      </c>
      <c r="G5810" s="18"/>
      <c r="H5810" s="18"/>
      <c r="I5810" s="19">
        <v>5808</v>
      </c>
      <c r="J5810" s="19" cm="1">
        <f t="array" aca="1" ref="J5810" ca="1">INDIRECT("b"&amp;K5810+2)</f>
        <v>0</v>
      </c>
      <c r="K5810" s="19">
        <f t="shared" si="1223"/>
        <v>9342</v>
      </c>
    </row>
    <row r="5811" spans="1:11">
      <c r="A5811">
        <v>5809</v>
      </c>
      <c r="B5811">
        <v>2.5749999999999999E+167</v>
      </c>
      <c r="D5811" s="18">
        <v>5809</v>
      </c>
      <c r="E5811" s="18" cm="1">
        <f t="array" aca="1" ref="E5811" ca="1">INDIRECT("b"&amp;F5811+2)</f>
        <v>0</v>
      </c>
      <c r="F5811" s="18">
        <f t="shared" si="1227"/>
        <v>8144</v>
      </c>
      <c r="G5811" s="18"/>
      <c r="H5811" s="18"/>
      <c r="I5811" s="19">
        <v>5809</v>
      </c>
      <c r="J5811" s="19" cm="1">
        <f t="array" aca="1" ref="J5811" ca="1">INDIRECT("b"&amp;K5811+2)</f>
        <v>0</v>
      </c>
      <c r="K5811" s="19">
        <f t="shared" si="1223"/>
        <v>9344</v>
      </c>
    </row>
    <row r="5812" spans="1:11">
      <c r="A5812">
        <v>5810</v>
      </c>
      <c r="B5812">
        <v>2.7999999999999999E+167</v>
      </c>
      <c r="D5812" s="18">
        <v>5810</v>
      </c>
      <c r="E5812" s="18" cm="1">
        <f t="array" aca="1" ref="E5812" ca="1">INDIRECT("b"&amp;F5812+2)</f>
        <v>0</v>
      </c>
      <c r="F5812" s="18">
        <f t="shared" si="1227"/>
        <v>8145</v>
      </c>
      <c r="G5812" s="18"/>
      <c r="H5812" s="18"/>
      <c r="I5812" s="19">
        <v>5810</v>
      </c>
      <c r="J5812" s="19" cm="1">
        <f t="array" aca="1" ref="J5812" ca="1">INDIRECT("b"&amp;K5812+2)</f>
        <v>0</v>
      </c>
      <c r="K5812" s="19">
        <f t="shared" si="1223"/>
        <v>9345</v>
      </c>
    </row>
    <row r="5813" spans="1:11">
      <c r="A5813">
        <v>5811</v>
      </c>
      <c r="B5813">
        <v>3.0249999999999999E+167</v>
      </c>
      <c r="D5813" s="18">
        <v>5811</v>
      </c>
      <c r="E5813" s="18" cm="1">
        <f t="array" aca="1" ref="E5813" ca="1">INDIRECT("b"&amp;F5813+2)</f>
        <v>0</v>
      </c>
      <c r="F5813" s="18">
        <f t="shared" si="1227"/>
        <v>8146</v>
      </c>
      <c r="G5813" s="18" t="e">
        <f t="shared" ref="G5813" ca="1" si="1234">E5813/E5808</f>
        <v>#DIV/0!</v>
      </c>
      <c r="H5813" s="18"/>
      <c r="I5813" s="19">
        <v>5811</v>
      </c>
      <c r="J5813" s="19" cm="1">
        <f t="array" aca="1" ref="J5813" ca="1">INDIRECT("b"&amp;K5813+2)</f>
        <v>0</v>
      </c>
      <c r="K5813" s="19">
        <f t="shared" si="1223"/>
        <v>9346</v>
      </c>
    </row>
    <row r="5814" spans="1:11">
      <c r="A5814">
        <v>5812</v>
      </c>
      <c r="B5814">
        <v>3.25E+167</v>
      </c>
      <c r="D5814" s="18">
        <v>5812</v>
      </c>
      <c r="E5814" s="18" cm="1">
        <f t="array" aca="1" ref="E5814" ca="1">INDIRECT("b"&amp;F5814+2)</f>
        <v>0</v>
      </c>
      <c r="F5814" s="18">
        <f t="shared" si="1227"/>
        <v>8148</v>
      </c>
      <c r="G5814" s="18"/>
      <c r="H5814" s="18"/>
      <c r="I5814" s="19">
        <v>5812</v>
      </c>
      <c r="J5814" s="19" cm="1">
        <f t="array" aca="1" ref="J5814" ca="1">INDIRECT("b"&amp;K5814+2)</f>
        <v>0</v>
      </c>
      <c r="K5814" s="19">
        <f t="shared" si="1223"/>
        <v>9348</v>
      </c>
    </row>
    <row r="5815" spans="1:11">
      <c r="A5815">
        <v>5813</v>
      </c>
      <c r="B5815">
        <v>3.4749999999999995E+167</v>
      </c>
      <c r="D5815" s="18">
        <v>5813</v>
      </c>
      <c r="E5815" s="18" cm="1">
        <f t="array" aca="1" ref="E5815" ca="1">INDIRECT("b"&amp;F5815+2)</f>
        <v>0</v>
      </c>
      <c r="F5815" s="18">
        <f t="shared" si="1227"/>
        <v>8149</v>
      </c>
      <c r="G5815" s="18"/>
      <c r="H5815" s="18"/>
      <c r="I5815" s="19">
        <v>5813</v>
      </c>
      <c r="J5815" s="19" cm="1">
        <f t="array" aca="1" ref="J5815" ca="1">INDIRECT("b"&amp;K5815+2)</f>
        <v>0</v>
      </c>
      <c r="K5815" s="19">
        <f t="shared" si="1223"/>
        <v>9349</v>
      </c>
    </row>
    <row r="5816" spans="1:11">
      <c r="A5816">
        <v>5814</v>
      </c>
      <c r="B5816">
        <v>3.6999999999999996E+167</v>
      </c>
      <c r="D5816" s="18">
        <v>5814</v>
      </c>
      <c r="E5816" s="18" cm="1">
        <f t="array" aca="1" ref="E5816" ca="1">INDIRECT("b"&amp;F5816+2)</f>
        <v>0</v>
      </c>
      <c r="F5816" s="18">
        <f t="shared" si="1227"/>
        <v>8150</v>
      </c>
      <c r="G5816" s="18"/>
      <c r="H5816" s="18"/>
      <c r="I5816" s="19">
        <v>5814</v>
      </c>
      <c r="J5816" s="19" cm="1">
        <f t="array" aca="1" ref="J5816" ca="1">INDIRECT("b"&amp;K5816+2)</f>
        <v>0</v>
      </c>
      <c r="K5816" s="19">
        <f t="shared" si="1223"/>
        <v>9350</v>
      </c>
    </row>
    <row r="5817" spans="1:11">
      <c r="A5817">
        <v>5815</v>
      </c>
      <c r="B5817">
        <v>3.9249999999999996E+167</v>
      </c>
      <c r="D5817" s="18">
        <v>5815</v>
      </c>
      <c r="E5817" s="18" cm="1">
        <f t="array" aca="1" ref="E5817" ca="1">INDIRECT("b"&amp;F5817+2)</f>
        <v>0</v>
      </c>
      <c r="F5817" s="18">
        <f t="shared" si="1227"/>
        <v>8152</v>
      </c>
      <c r="G5817" s="18"/>
      <c r="H5817" s="18"/>
      <c r="I5817" s="19">
        <v>5815</v>
      </c>
      <c r="J5817" s="19" cm="1">
        <f t="array" aca="1" ref="J5817" ca="1">INDIRECT("b"&amp;K5817+2)</f>
        <v>0</v>
      </c>
      <c r="K5817" s="19">
        <f t="shared" si="1223"/>
        <v>9352</v>
      </c>
    </row>
    <row r="5818" spans="1:11">
      <c r="A5818">
        <v>5816</v>
      </c>
      <c r="B5818">
        <v>4.1499999999999997E+167</v>
      </c>
      <c r="D5818" s="18">
        <v>5816</v>
      </c>
      <c r="E5818" s="18" cm="1">
        <f t="array" aca="1" ref="E5818" ca="1">INDIRECT("b"&amp;F5818+2)</f>
        <v>0</v>
      </c>
      <c r="F5818" s="18">
        <f t="shared" si="1227"/>
        <v>8153</v>
      </c>
      <c r="G5818" s="18" t="e">
        <f t="shared" ref="G5818" ca="1" si="1235">E5818/E5813</f>
        <v>#DIV/0!</v>
      </c>
      <c r="H5818" s="18"/>
      <c r="I5818" s="19">
        <v>5816</v>
      </c>
      <c r="J5818" s="19" cm="1">
        <f t="array" aca="1" ref="J5818" ca="1">INDIRECT("b"&amp;K5818+2)</f>
        <v>0</v>
      </c>
      <c r="K5818" s="19">
        <f t="shared" si="1223"/>
        <v>9353</v>
      </c>
    </row>
    <row r="5819" spans="1:11">
      <c r="A5819">
        <v>5817</v>
      </c>
      <c r="B5819">
        <v>4.3749999999999997E+167</v>
      </c>
      <c r="D5819" s="18">
        <v>5817</v>
      </c>
      <c r="E5819" s="18" cm="1">
        <f t="array" aca="1" ref="E5819" ca="1">INDIRECT("b"&amp;F5819+2)</f>
        <v>0</v>
      </c>
      <c r="F5819" s="18">
        <f t="shared" si="1227"/>
        <v>8154</v>
      </c>
      <c r="G5819" s="18"/>
      <c r="H5819" s="18"/>
      <c r="I5819" s="19">
        <v>5817</v>
      </c>
      <c r="J5819" s="19" cm="1">
        <f t="array" aca="1" ref="J5819" ca="1">INDIRECT("b"&amp;K5819+2)</f>
        <v>0</v>
      </c>
      <c r="K5819" s="19">
        <f t="shared" si="1223"/>
        <v>9354</v>
      </c>
    </row>
    <row r="5820" spans="1:11">
      <c r="A5820">
        <v>5818</v>
      </c>
      <c r="B5820">
        <v>4.5999999999999998E+167</v>
      </c>
      <c r="D5820" s="18">
        <v>5818</v>
      </c>
      <c r="E5820" s="18" cm="1">
        <f t="array" aca="1" ref="E5820" ca="1">INDIRECT("b"&amp;F5820+2)</f>
        <v>0</v>
      </c>
      <c r="F5820" s="18">
        <f t="shared" si="1227"/>
        <v>8156</v>
      </c>
      <c r="G5820" s="18"/>
      <c r="H5820" s="18"/>
      <c r="I5820" s="19">
        <v>5818</v>
      </c>
      <c r="J5820" s="19" cm="1">
        <f t="array" aca="1" ref="J5820" ca="1">INDIRECT("b"&amp;K5820+2)</f>
        <v>0</v>
      </c>
      <c r="K5820" s="19">
        <f t="shared" si="1223"/>
        <v>9356</v>
      </c>
    </row>
    <row r="5821" spans="1:11">
      <c r="A5821">
        <v>5819</v>
      </c>
      <c r="B5821">
        <v>4.8249999999999993E+167</v>
      </c>
      <c r="D5821" s="18">
        <v>5819</v>
      </c>
      <c r="E5821" s="18" cm="1">
        <f t="array" aca="1" ref="E5821" ca="1">INDIRECT("b"&amp;F5821+2)</f>
        <v>0</v>
      </c>
      <c r="F5821" s="18">
        <f t="shared" si="1227"/>
        <v>8157</v>
      </c>
      <c r="G5821" s="18"/>
      <c r="H5821" s="18"/>
      <c r="I5821" s="19">
        <v>5819</v>
      </c>
      <c r="J5821" s="19" cm="1">
        <f t="array" aca="1" ref="J5821" ca="1">INDIRECT("b"&amp;K5821+2)</f>
        <v>0</v>
      </c>
      <c r="K5821" s="19">
        <f t="shared" si="1223"/>
        <v>9357</v>
      </c>
    </row>
    <row r="5822" spans="1:11">
      <c r="A5822">
        <v>5820</v>
      </c>
      <c r="B5822">
        <v>5.0499999999999993E+167</v>
      </c>
      <c r="D5822" s="18">
        <v>5820</v>
      </c>
      <c r="E5822" s="18" cm="1">
        <f t="array" aca="1" ref="E5822" ca="1">INDIRECT("b"&amp;F5822+2)</f>
        <v>0</v>
      </c>
      <c r="F5822" s="18">
        <f t="shared" si="1227"/>
        <v>8158</v>
      </c>
      <c r="G5822" s="18"/>
      <c r="H5822" s="18"/>
      <c r="I5822" s="19">
        <v>5820</v>
      </c>
      <c r="J5822" s="19" cm="1">
        <f t="array" aca="1" ref="J5822" ca="1">INDIRECT("b"&amp;K5822+2)</f>
        <v>0</v>
      </c>
      <c r="K5822" s="19">
        <f t="shared" si="1223"/>
        <v>9358</v>
      </c>
    </row>
    <row r="5823" spans="1:11">
      <c r="A5823">
        <v>5821</v>
      </c>
      <c r="B5823">
        <v>5.2749999999999994E+167</v>
      </c>
      <c r="D5823" s="18">
        <v>5821</v>
      </c>
      <c r="E5823" s="18" cm="1">
        <f t="array" aca="1" ref="E5823" ca="1">INDIRECT("b"&amp;F5823+2)</f>
        <v>0</v>
      </c>
      <c r="F5823" s="18">
        <f t="shared" si="1227"/>
        <v>8160</v>
      </c>
      <c r="G5823" s="18" t="e">
        <f t="shared" ref="G5823" ca="1" si="1236">E5823/E5818</f>
        <v>#DIV/0!</v>
      </c>
      <c r="H5823" s="18"/>
      <c r="I5823" s="19">
        <v>5821</v>
      </c>
      <c r="J5823" s="19" cm="1">
        <f t="array" aca="1" ref="J5823" ca="1">INDIRECT("b"&amp;K5823+2)</f>
        <v>0</v>
      </c>
      <c r="K5823" s="19">
        <f t="shared" si="1223"/>
        <v>9360</v>
      </c>
    </row>
    <row r="5824" spans="1:11">
      <c r="A5824">
        <v>5822</v>
      </c>
      <c r="B5824">
        <v>5.4999999999999994E+167</v>
      </c>
      <c r="D5824" s="18">
        <v>5822</v>
      </c>
      <c r="E5824" s="18" cm="1">
        <f t="array" aca="1" ref="E5824" ca="1">INDIRECT("b"&amp;F5824+2)</f>
        <v>0</v>
      </c>
      <c r="F5824" s="18">
        <f t="shared" si="1227"/>
        <v>8161</v>
      </c>
      <c r="G5824" s="18"/>
      <c r="H5824" s="18"/>
      <c r="I5824" s="19">
        <v>5822</v>
      </c>
      <c r="J5824" s="19" cm="1">
        <f t="array" aca="1" ref="J5824" ca="1">INDIRECT("b"&amp;K5824+2)</f>
        <v>0</v>
      </c>
      <c r="K5824" s="19">
        <f t="shared" si="1223"/>
        <v>9361</v>
      </c>
    </row>
    <row r="5825" spans="1:11">
      <c r="A5825">
        <v>5823</v>
      </c>
      <c r="B5825">
        <v>5.7249999999999995E+167</v>
      </c>
      <c r="D5825" s="18">
        <v>5823</v>
      </c>
      <c r="E5825" s="18" cm="1">
        <f t="array" aca="1" ref="E5825" ca="1">INDIRECT("b"&amp;F5825+2)</f>
        <v>0</v>
      </c>
      <c r="F5825" s="18">
        <f t="shared" si="1227"/>
        <v>8162</v>
      </c>
      <c r="G5825" s="18"/>
      <c r="H5825" s="18"/>
      <c r="I5825" s="19">
        <v>5823</v>
      </c>
      <c r="J5825" s="19" cm="1">
        <f t="array" aca="1" ref="J5825" ca="1">INDIRECT("b"&amp;K5825+2)</f>
        <v>0</v>
      </c>
      <c r="K5825" s="19">
        <f t="shared" si="1223"/>
        <v>9362</v>
      </c>
    </row>
    <row r="5826" spans="1:11">
      <c r="A5826">
        <v>5824</v>
      </c>
      <c r="B5826">
        <v>5.9499999999999995E+167</v>
      </c>
      <c r="D5826" s="18">
        <v>5824</v>
      </c>
      <c r="E5826" s="18" cm="1">
        <f t="array" aca="1" ref="E5826" ca="1">INDIRECT("b"&amp;F5826+2)</f>
        <v>0</v>
      </c>
      <c r="F5826" s="18">
        <f t="shared" si="1227"/>
        <v>8164</v>
      </c>
      <c r="G5826" s="18"/>
      <c r="H5826" s="18"/>
      <c r="I5826" s="19">
        <v>5824</v>
      </c>
      <c r="J5826" s="19" cm="1">
        <f t="array" aca="1" ref="J5826" ca="1">INDIRECT("b"&amp;K5826+2)</f>
        <v>0</v>
      </c>
      <c r="K5826" s="19">
        <f t="shared" si="1223"/>
        <v>9364</v>
      </c>
    </row>
    <row r="5827" spans="1:11">
      <c r="A5827">
        <v>5825</v>
      </c>
      <c r="B5827">
        <v>6.1749999999999996E+167</v>
      </c>
      <c r="D5827" s="18">
        <v>5825</v>
      </c>
      <c r="E5827" s="18" cm="1">
        <f t="array" aca="1" ref="E5827" ca="1">INDIRECT("b"&amp;F5827+2)</f>
        <v>0</v>
      </c>
      <c r="F5827" s="18">
        <f t="shared" si="1227"/>
        <v>8165</v>
      </c>
      <c r="G5827" s="18"/>
      <c r="H5827" s="18"/>
      <c r="I5827" s="19">
        <v>5825</v>
      </c>
      <c r="J5827" s="19" cm="1">
        <f t="array" aca="1" ref="J5827" ca="1">INDIRECT("b"&amp;K5827+2)</f>
        <v>0</v>
      </c>
      <c r="K5827" s="19">
        <f t="shared" si="1223"/>
        <v>9365</v>
      </c>
    </row>
    <row r="5828" spans="1:11">
      <c r="A5828">
        <v>5826</v>
      </c>
      <c r="B5828">
        <v>6.3999999999999996E+167</v>
      </c>
      <c r="D5828" s="18">
        <v>5826</v>
      </c>
      <c r="E5828" s="18" cm="1">
        <f t="array" aca="1" ref="E5828" ca="1">INDIRECT("b"&amp;F5828+2)</f>
        <v>0</v>
      </c>
      <c r="F5828" s="18">
        <f t="shared" si="1227"/>
        <v>8166</v>
      </c>
      <c r="G5828" s="18" t="e">
        <f t="shared" ref="G5828" ca="1" si="1237">E5828/E5823</f>
        <v>#DIV/0!</v>
      </c>
      <c r="H5828" s="18"/>
      <c r="I5828" s="19">
        <v>5826</v>
      </c>
      <c r="J5828" s="19" cm="1">
        <f t="array" aca="1" ref="J5828" ca="1">INDIRECT("b"&amp;K5828+2)</f>
        <v>0</v>
      </c>
      <c r="K5828" s="19">
        <f t="shared" ref="K5828:K5891" si="1238">INT((A5828-1)*40/30+900*40/30)+400</f>
        <v>9366</v>
      </c>
    </row>
    <row r="5829" spans="1:11">
      <c r="A5829">
        <v>5827</v>
      </c>
      <c r="B5829">
        <v>6.6249999999999997E+167</v>
      </c>
      <c r="D5829" s="18">
        <v>5827</v>
      </c>
      <c r="E5829" s="18" cm="1">
        <f t="array" aca="1" ref="E5829" ca="1">INDIRECT("b"&amp;F5829+2)</f>
        <v>0</v>
      </c>
      <c r="F5829" s="18">
        <f t="shared" si="1227"/>
        <v>8168</v>
      </c>
      <c r="G5829" s="18"/>
      <c r="H5829" s="18"/>
      <c r="I5829" s="19">
        <v>5827</v>
      </c>
      <c r="J5829" s="19" cm="1">
        <f t="array" aca="1" ref="J5829" ca="1">INDIRECT("b"&amp;K5829+2)</f>
        <v>0</v>
      </c>
      <c r="K5829" s="19">
        <f t="shared" si="1238"/>
        <v>9368</v>
      </c>
    </row>
    <row r="5830" spans="1:11">
      <c r="A5830">
        <v>5828</v>
      </c>
      <c r="B5830">
        <v>6.8499999999999997E+167</v>
      </c>
      <c r="D5830" s="18">
        <v>5828</v>
      </c>
      <c r="E5830" s="18" cm="1">
        <f t="array" aca="1" ref="E5830" ca="1">INDIRECT("b"&amp;F5830+2)</f>
        <v>0</v>
      </c>
      <c r="F5830" s="18">
        <f t="shared" si="1227"/>
        <v>8169</v>
      </c>
      <c r="G5830" s="18"/>
      <c r="H5830" s="18"/>
      <c r="I5830" s="19">
        <v>5828</v>
      </c>
      <c r="J5830" s="19" cm="1">
        <f t="array" aca="1" ref="J5830" ca="1">INDIRECT("b"&amp;K5830+2)</f>
        <v>0</v>
      </c>
      <c r="K5830" s="19">
        <f t="shared" si="1238"/>
        <v>9369</v>
      </c>
    </row>
    <row r="5831" spans="1:11">
      <c r="A5831">
        <v>5829</v>
      </c>
      <c r="B5831">
        <v>7.0749999999999998E+167</v>
      </c>
      <c r="D5831" s="18">
        <v>5829</v>
      </c>
      <c r="E5831" s="18" cm="1">
        <f t="array" aca="1" ref="E5831" ca="1">INDIRECT("b"&amp;F5831+2)</f>
        <v>0</v>
      </c>
      <c r="F5831" s="18">
        <f t="shared" si="1227"/>
        <v>8170</v>
      </c>
      <c r="G5831" s="18"/>
      <c r="H5831" s="18"/>
      <c r="I5831" s="19">
        <v>5829</v>
      </c>
      <c r="J5831" s="19" cm="1">
        <f t="array" aca="1" ref="J5831" ca="1">INDIRECT("b"&amp;K5831+2)</f>
        <v>0</v>
      </c>
      <c r="K5831" s="19">
        <f t="shared" si="1238"/>
        <v>9370</v>
      </c>
    </row>
    <row r="5832" spans="1:11">
      <c r="A5832">
        <v>5830</v>
      </c>
      <c r="B5832">
        <v>7.2999999999999998E+167</v>
      </c>
      <c r="D5832" s="18">
        <v>5830</v>
      </c>
      <c r="E5832" s="18" cm="1">
        <f t="array" aca="1" ref="E5832" ca="1">INDIRECT("b"&amp;F5832+2)</f>
        <v>0</v>
      </c>
      <c r="F5832" s="18">
        <f t="shared" si="1227"/>
        <v>8172</v>
      </c>
      <c r="G5832" s="18"/>
      <c r="H5832" s="18"/>
      <c r="I5832" s="19">
        <v>5830</v>
      </c>
      <c r="J5832" s="19" cm="1">
        <f t="array" aca="1" ref="J5832" ca="1">INDIRECT("b"&amp;K5832+2)</f>
        <v>0</v>
      </c>
      <c r="K5832" s="19">
        <f t="shared" si="1238"/>
        <v>9372</v>
      </c>
    </row>
    <row r="5833" spans="1:11">
      <c r="A5833">
        <v>5831</v>
      </c>
      <c r="B5833">
        <v>7.5249999999999999E+167</v>
      </c>
      <c r="D5833" s="18">
        <v>5831</v>
      </c>
      <c r="E5833" s="18" cm="1">
        <f t="array" aca="1" ref="E5833" ca="1">INDIRECT("b"&amp;F5833+2)</f>
        <v>0</v>
      </c>
      <c r="F5833" s="18">
        <f t="shared" si="1227"/>
        <v>8173</v>
      </c>
      <c r="G5833" s="18" t="e">
        <f t="shared" ref="G5833" ca="1" si="1239">E5833/E5828</f>
        <v>#DIV/0!</v>
      </c>
      <c r="H5833" s="18"/>
      <c r="I5833" s="19">
        <v>5831</v>
      </c>
      <c r="J5833" s="19" cm="1">
        <f t="array" aca="1" ref="J5833" ca="1">INDIRECT("b"&amp;K5833+2)</f>
        <v>0</v>
      </c>
      <c r="K5833" s="19">
        <f t="shared" si="1238"/>
        <v>9373</v>
      </c>
    </row>
    <row r="5834" spans="1:11">
      <c r="A5834">
        <v>5832</v>
      </c>
      <c r="B5834">
        <v>7.7499999999999999E+167</v>
      </c>
      <c r="D5834" s="18">
        <v>5832</v>
      </c>
      <c r="E5834" s="18" cm="1">
        <f t="array" aca="1" ref="E5834" ca="1">INDIRECT("b"&amp;F5834+2)</f>
        <v>0</v>
      </c>
      <c r="F5834" s="18">
        <f t="shared" si="1227"/>
        <v>8174</v>
      </c>
      <c r="G5834" s="18"/>
      <c r="H5834" s="18"/>
      <c r="I5834" s="19">
        <v>5832</v>
      </c>
      <c r="J5834" s="19" cm="1">
        <f t="array" aca="1" ref="J5834" ca="1">INDIRECT("b"&amp;K5834+2)</f>
        <v>0</v>
      </c>
      <c r="K5834" s="19">
        <f t="shared" si="1238"/>
        <v>9374</v>
      </c>
    </row>
    <row r="5835" spans="1:11">
      <c r="A5835">
        <v>5833</v>
      </c>
      <c r="B5835">
        <v>7.9749999999999989E+167</v>
      </c>
      <c r="D5835" s="18">
        <v>5833</v>
      </c>
      <c r="E5835" s="18" cm="1">
        <f t="array" aca="1" ref="E5835" ca="1">INDIRECT("b"&amp;F5835+2)</f>
        <v>0</v>
      </c>
      <c r="F5835" s="18">
        <f t="shared" si="1227"/>
        <v>8176</v>
      </c>
      <c r="G5835" s="18"/>
      <c r="H5835" s="18"/>
      <c r="I5835" s="19">
        <v>5833</v>
      </c>
      <c r="J5835" s="19" cm="1">
        <f t="array" aca="1" ref="J5835" ca="1">INDIRECT("b"&amp;K5835+2)</f>
        <v>0</v>
      </c>
      <c r="K5835" s="19">
        <f t="shared" si="1238"/>
        <v>9376</v>
      </c>
    </row>
    <row r="5836" spans="1:11">
      <c r="A5836">
        <v>5834</v>
      </c>
      <c r="B5836">
        <v>8.199999999999999E+167</v>
      </c>
      <c r="D5836" s="18">
        <v>5834</v>
      </c>
      <c r="E5836" s="18" cm="1">
        <f t="array" aca="1" ref="E5836" ca="1">INDIRECT("b"&amp;F5836+2)</f>
        <v>0</v>
      </c>
      <c r="F5836" s="18">
        <f t="shared" si="1227"/>
        <v>8177</v>
      </c>
      <c r="G5836" s="18"/>
      <c r="H5836" s="18"/>
      <c r="I5836" s="19">
        <v>5834</v>
      </c>
      <c r="J5836" s="19" cm="1">
        <f t="array" aca="1" ref="J5836" ca="1">INDIRECT("b"&amp;K5836+2)</f>
        <v>0</v>
      </c>
      <c r="K5836" s="19">
        <f t="shared" si="1238"/>
        <v>9377</v>
      </c>
    </row>
    <row r="5837" spans="1:11">
      <c r="A5837">
        <v>5835</v>
      </c>
      <c r="B5837">
        <v>8.424999999999999E+167</v>
      </c>
      <c r="D5837" s="18">
        <v>5835</v>
      </c>
      <c r="E5837" s="18" cm="1">
        <f t="array" aca="1" ref="E5837" ca="1">INDIRECT("b"&amp;F5837+2)</f>
        <v>0</v>
      </c>
      <c r="F5837" s="18">
        <f t="shared" si="1227"/>
        <v>8178</v>
      </c>
      <c r="G5837" s="18"/>
      <c r="H5837" s="18"/>
      <c r="I5837" s="19">
        <v>5835</v>
      </c>
      <c r="J5837" s="19" cm="1">
        <f t="array" aca="1" ref="J5837" ca="1">INDIRECT("b"&amp;K5837+2)</f>
        <v>0</v>
      </c>
      <c r="K5837" s="19">
        <f t="shared" si="1238"/>
        <v>9378</v>
      </c>
    </row>
    <row r="5838" spans="1:11">
      <c r="A5838">
        <v>5836</v>
      </c>
      <c r="B5838">
        <v>8.6499999999999991E+167</v>
      </c>
      <c r="D5838" s="18">
        <v>5836</v>
      </c>
      <c r="E5838" s="18" cm="1">
        <f t="array" aca="1" ref="E5838" ca="1">INDIRECT("b"&amp;F5838+2)</f>
        <v>0</v>
      </c>
      <c r="F5838" s="18">
        <f t="shared" si="1227"/>
        <v>8180</v>
      </c>
      <c r="G5838" s="18" t="e">
        <f t="shared" ref="G5838" ca="1" si="1240">E5838/E5833</f>
        <v>#DIV/0!</v>
      </c>
      <c r="H5838" s="18"/>
      <c r="I5838" s="19">
        <v>5836</v>
      </c>
      <c r="J5838" s="19" cm="1">
        <f t="array" aca="1" ref="J5838" ca="1">INDIRECT("b"&amp;K5838+2)</f>
        <v>0</v>
      </c>
      <c r="K5838" s="19">
        <f t="shared" si="1238"/>
        <v>9380</v>
      </c>
    </row>
    <row r="5839" spans="1:11">
      <c r="A5839">
        <v>5837</v>
      </c>
      <c r="B5839">
        <v>8.8749999999999991E+167</v>
      </c>
      <c r="D5839" s="18">
        <v>5837</v>
      </c>
      <c r="E5839" s="18" cm="1">
        <f t="array" aca="1" ref="E5839" ca="1">INDIRECT("b"&amp;F5839+2)</f>
        <v>0</v>
      </c>
      <c r="F5839" s="18">
        <f t="shared" si="1227"/>
        <v>8181</v>
      </c>
      <c r="G5839" s="18"/>
      <c r="H5839" s="18"/>
      <c r="I5839" s="19">
        <v>5837</v>
      </c>
      <c r="J5839" s="19" cm="1">
        <f t="array" aca="1" ref="J5839" ca="1">INDIRECT("b"&amp;K5839+2)</f>
        <v>0</v>
      </c>
      <c r="K5839" s="19">
        <f t="shared" si="1238"/>
        <v>9381</v>
      </c>
    </row>
    <row r="5840" spans="1:11">
      <c r="A5840">
        <v>5838</v>
      </c>
      <c r="B5840">
        <v>9.0999999999999991E+167</v>
      </c>
      <c r="D5840" s="18">
        <v>5838</v>
      </c>
      <c r="E5840" s="18" cm="1">
        <f t="array" aca="1" ref="E5840" ca="1">INDIRECT("b"&amp;F5840+2)</f>
        <v>0</v>
      </c>
      <c r="F5840" s="18">
        <f t="shared" si="1227"/>
        <v>8182</v>
      </c>
      <c r="G5840" s="18"/>
      <c r="H5840" s="18"/>
      <c r="I5840" s="19">
        <v>5838</v>
      </c>
      <c r="J5840" s="19" cm="1">
        <f t="array" aca="1" ref="J5840" ca="1">INDIRECT("b"&amp;K5840+2)</f>
        <v>0</v>
      </c>
      <c r="K5840" s="19">
        <f t="shared" si="1238"/>
        <v>9382</v>
      </c>
    </row>
    <row r="5841" spans="1:11">
      <c r="A5841">
        <v>5839</v>
      </c>
      <c r="B5841">
        <v>9.3249999999999992E+167</v>
      </c>
      <c r="D5841" s="18">
        <v>5839</v>
      </c>
      <c r="E5841" s="18" cm="1">
        <f t="array" aca="1" ref="E5841" ca="1">INDIRECT("b"&amp;F5841+2)</f>
        <v>0</v>
      </c>
      <c r="F5841" s="18">
        <f t="shared" si="1227"/>
        <v>8184</v>
      </c>
      <c r="G5841" s="18"/>
      <c r="H5841" s="18"/>
      <c r="I5841" s="19">
        <v>5839</v>
      </c>
      <c r="J5841" s="19" cm="1">
        <f t="array" aca="1" ref="J5841" ca="1">INDIRECT("b"&amp;K5841+2)</f>
        <v>0</v>
      </c>
      <c r="K5841" s="19">
        <f t="shared" si="1238"/>
        <v>9384</v>
      </c>
    </row>
    <row r="5842" spans="1:11">
      <c r="A5842">
        <v>5840</v>
      </c>
      <c r="B5842">
        <v>9.5499999999999992E+167</v>
      </c>
      <c r="D5842" s="18">
        <v>5840</v>
      </c>
      <c r="E5842" s="18" cm="1">
        <f t="array" aca="1" ref="E5842" ca="1">INDIRECT("b"&amp;F5842+2)</f>
        <v>0</v>
      </c>
      <c r="F5842" s="18">
        <f t="shared" si="1227"/>
        <v>8185</v>
      </c>
      <c r="G5842" s="18"/>
      <c r="H5842" s="18"/>
      <c r="I5842" s="19">
        <v>5840</v>
      </c>
      <c r="J5842" s="19" cm="1">
        <f t="array" aca="1" ref="J5842" ca="1">INDIRECT("b"&amp;K5842+2)</f>
        <v>0</v>
      </c>
      <c r="K5842" s="19">
        <f t="shared" si="1238"/>
        <v>9385</v>
      </c>
    </row>
    <row r="5843" spans="1:11">
      <c r="A5843">
        <v>5841</v>
      </c>
      <c r="B5843">
        <v>9.7749999999999993E+167</v>
      </c>
      <c r="D5843" s="18">
        <v>5841</v>
      </c>
      <c r="E5843" s="18" cm="1">
        <f t="array" aca="1" ref="E5843" ca="1">INDIRECT("b"&amp;F5843+2)</f>
        <v>0</v>
      </c>
      <c r="F5843" s="18">
        <f t="shared" ref="F5843:F5906" si="1241">INT((A5843-123)*1.333333)+563</f>
        <v>8186</v>
      </c>
      <c r="G5843" s="18" t="e">
        <f t="shared" ref="G5843" ca="1" si="1242">E5843/E5838</f>
        <v>#DIV/0!</v>
      </c>
      <c r="H5843" s="18"/>
      <c r="I5843" s="19">
        <v>5841</v>
      </c>
      <c r="J5843" s="19" cm="1">
        <f t="array" aca="1" ref="J5843" ca="1">INDIRECT("b"&amp;K5843+2)</f>
        <v>0</v>
      </c>
      <c r="K5843" s="19">
        <f t="shared" si="1238"/>
        <v>9386</v>
      </c>
    </row>
    <row r="5844" spans="1:11">
      <c r="A5844">
        <v>5842</v>
      </c>
      <c r="B5844">
        <v>9.9999999999999993E+167</v>
      </c>
      <c r="D5844" s="18">
        <v>5842</v>
      </c>
      <c r="E5844" s="18" cm="1">
        <f t="array" aca="1" ref="E5844" ca="1">INDIRECT("b"&amp;F5844+2)</f>
        <v>0</v>
      </c>
      <c r="F5844" s="18">
        <f t="shared" si="1241"/>
        <v>8188</v>
      </c>
      <c r="G5844" s="18"/>
      <c r="H5844" s="18"/>
      <c r="I5844" s="19">
        <v>5842</v>
      </c>
      <c r="J5844" s="19" cm="1">
        <f t="array" aca="1" ref="J5844" ca="1">INDIRECT("b"&amp;K5844+2)</f>
        <v>0</v>
      </c>
      <c r="K5844" s="19">
        <f t="shared" si="1238"/>
        <v>9388</v>
      </c>
    </row>
    <row r="5845" spans="1:11">
      <c r="A5845">
        <v>5843</v>
      </c>
      <c r="B5845">
        <v>1.225E+168</v>
      </c>
      <c r="D5845" s="18">
        <v>5843</v>
      </c>
      <c r="E5845" s="18" cm="1">
        <f t="array" aca="1" ref="E5845" ca="1">INDIRECT("b"&amp;F5845+2)</f>
        <v>0</v>
      </c>
      <c r="F5845" s="18">
        <f t="shared" si="1241"/>
        <v>8189</v>
      </c>
      <c r="G5845" s="18"/>
      <c r="H5845" s="18"/>
      <c r="I5845" s="19">
        <v>5843</v>
      </c>
      <c r="J5845" s="19" cm="1">
        <f t="array" aca="1" ref="J5845" ca="1">INDIRECT("b"&amp;K5845+2)</f>
        <v>0</v>
      </c>
      <c r="K5845" s="19">
        <f t="shared" si="1238"/>
        <v>9389</v>
      </c>
    </row>
    <row r="5846" spans="1:11">
      <c r="A5846">
        <v>5844</v>
      </c>
      <c r="B5846">
        <v>1.45E+168</v>
      </c>
      <c r="D5846" s="18">
        <v>5844</v>
      </c>
      <c r="E5846" s="18" cm="1">
        <f t="array" aca="1" ref="E5846" ca="1">INDIRECT("b"&amp;F5846+2)</f>
        <v>0</v>
      </c>
      <c r="F5846" s="18">
        <f t="shared" si="1241"/>
        <v>8190</v>
      </c>
      <c r="G5846" s="18"/>
      <c r="H5846" s="18"/>
      <c r="I5846" s="19">
        <v>5844</v>
      </c>
      <c r="J5846" s="19" cm="1">
        <f t="array" aca="1" ref="J5846" ca="1">INDIRECT("b"&amp;K5846+2)</f>
        <v>0</v>
      </c>
      <c r="K5846" s="19">
        <f t="shared" si="1238"/>
        <v>9390</v>
      </c>
    </row>
    <row r="5847" spans="1:11">
      <c r="A5847">
        <v>5845</v>
      </c>
      <c r="B5847">
        <v>1.6750000000000001E+168</v>
      </c>
      <c r="D5847" s="18">
        <v>5845</v>
      </c>
      <c r="E5847" s="18" cm="1">
        <f t="array" aca="1" ref="E5847" ca="1">INDIRECT("b"&amp;F5847+2)</f>
        <v>0</v>
      </c>
      <c r="F5847" s="18">
        <f t="shared" si="1241"/>
        <v>8192</v>
      </c>
      <c r="G5847" s="18"/>
      <c r="H5847" s="18"/>
      <c r="I5847" s="19">
        <v>5845</v>
      </c>
      <c r="J5847" s="19" cm="1">
        <f t="array" aca="1" ref="J5847" ca="1">INDIRECT("b"&amp;K5847+2)</f>
        <v>0</v>
      </c>
      <c r="K5847" s="19">
        <f t="shared" si="1238"/>
        <v>9392</v>
      </c>
    </row>
    <row r="5848" spans="1:11">
      <c r="A5848">
        <v>5846</v>
      </c>
      <c r="B5848">
        <v>1.9000000000000001E+168</v>
      </c>
      <c r="D5848" s="18">
        <v>5846</v>
      </c>
      <c r="E5848" s="18" cm="1">
        <f t="array" aca="1" ref="E5848" ca="1">INDIRECT("b"&amp;F5848+2)</f>
        <v>0</v>
      </c>
      <c r="F5848" s="18">
        <f t="shared" si="1241"/>
        <v>8193</v>
      </c>
      <c r="G5848" s="18" t="e">
        <f t="shared" ref="G5848" ca="1" si="1243">E5848/E5843</f>
        <v>#DIV/0!</v>
      </c>
      <c r="H5848" s="18"/>
      <c r="I5848" s="19">
        <v>5846</v>
      </c>
      <c r="J5848" s="19" cm="1">
        <f t="array" aca="1" ref="J5848" ca="1">INDIRECT("b"&amp;K5848+2)</f>
        <v>0</v>
      </c>
      <c r="K5848" s="19">
        <f t="shared" si="1238"/>
        <v>9393</v>
      </c>
    </row>
    <row r="5849" spans="1:11">
      <c r="A5849">
        <v>5847</v>
      </c>
      <c r="B5849">
        <v>2.1250000000000002E+168</v>
      </c>
      <c r="D5849" s="18">
        <v>5847</v>
      </c>
      <c r="E5849" s="18" cm="1">
        <f t="array" aca="1" ref="E5849" ca="1">INDIRECT("b"&amp;F5849+2)</f>
        <v>0</v>
      </c>
      <c r="F5849" s="18">
        <f t="shared" si="1241"/>
        <v>8194</v>
      </c>
      <c r="G5849" s="18"/>
      <c r="H5849" s="18"/>
      <c r="I5849" s="19">
        <v>5847</v>
      </c>
      <c r="J5849" s="19" cm="1">
        <f t="array" aca="1" ref="J5849" ca="1">INDIRECT("b"&amp;K5849+2)</f>
        <v>0</v>
      </c>
      <c r="K5849" s="19">
        <f t="shared" si="1238"/>
        <v>9394</v>
      </c>
    </row>
    <row r="5850" spans="1:11">
      <c r="A5850">
        <v>5848</v>
      </c>
      <c r="B5850">
        <v>2.3500000000000002E+168</v>
      </c>
      <c r="D5850" s="18">
        <v>5848</v>
      </c>
      <c r="E5850" s="18" cm="1">
        <f t="array" aca="1" ref="E5850" ca="1">INDIRECT("b"&amp;F5850+2)</f>
        <v>0</v>
      </c>
      <c r="F5850" s="18">
        <f t="shared" si="1241"/>
        <v>8196</v>
      </c>
      <c r="G5850" s="18" t="e">
        <f t="shared" ref="G5850" ca="1" si="1244">E5850/E5845</f>
        <v>#DIV/0!</v>
      </c>
      <c r="H5850" s="18"/>
      <c r="I5850" s="19">
        <v>5848</v>
      </c>
      <c r="J5850" s="19" cm="1">
        <f t="array" aca="1" ref="J5850" ca="1">INDIRECT("b"&amp;K5850+2)</f>
        <v>0</v>
      </c>
      <c r="K5850" s="19">
        <f t="shared" si="1238"/>
        <v>9396</v>
      </c>
    </row>
    <row r="5851" spans="1:11">
      <c r="A5851">
        <v>5849</v>
      </c>
      <c r="B5851">
        <v>2.5749999999999999E+168</v>
      </c>
      <c r="D5851" s="18">
        <v>5849</v>
      </c>
      <c r="E5851" s="18" cm="1">
        <f t="array" aca="1" ref="E5851" ca="1">INDIRECT("b"&amp;F5851+2)</f>
        <v>0</v>
      </c>
      <c r="F5851" s="18">
        <f t="shared" si="1241"/>
        <v>8197</v>
      </c>
      <c r="G5851" s="18"/>
      <c r="H5851" s="18"/>
      <c r="I5851" s="19">
        <v>5849</v>
      </c>
      <c r="J5851" s="19" cm="1">
        <f t="array" aca="1" ref="J5851" ca="1">INDIRECT("b"&amp;K5851+2)</f>
        <v>0</v>
      </c>
      <c r="K5851" s="19">
        <f t="shared" si="1238"/>
        <v>9397</v>
      </c>
    </row>
    <row r="5852" spans="1:11">
      <c r="A5852">
        <v>5850</v>
      </c>
      <c r="B5852">
        <v>2.7999999999999999E+168</v>
      </c>
      <c r="D5852" s="18">
        <v>5850</v>
      </c>
      <c r="E5852" s="18" cm="1">
        <f t="array" aca="1" ref="E5852" ca="1">INDIRECT("b"&amp;F5852+2)</f>
        <v>0</v>
      </c>
      <c r="F5852" s="18">
        <f t="shared" si="1241"/>
        <v>8198</v>
      </c>
      <c r="G5852" s="18"/>
      <c r="H5852" s="18"/>
      <c r="I5852" s="19">
        <v>5850</v>
      </c>
      <c r="J5852" s="19" cm="1">
        <f t="array" aca="1" ref="J5852" ca="1">INDIRECT("b"&amp;K5852+2)</f>
        <v>0</v>
      </c>
      <c r="K5852" s="19">
        <f t="shared" si="1238"/>
        <v>9398</v>
      </c>
    </row>
    <row r="5853" spans="1:11">
      <c r="A5853">
        <v>5851</v>
      </c>
      <c r="B5853">
        <v>3.0249999999999999E+168</v>
      </c>
      <c r="D5853" s="18">
        <v>5851</v>
      </c>
      <c r="E5853" s="18" cm="1">
        <f t="array" aca="1" ref="E5853" ca="1">INDIRECT("b"&amp;F5853+2)</f>
        <v>0</v>
      </c>
      <c r="F5853" s="18">
        <f t="shared" si="1241"/>
        <v>8200</v>
      </c>
      <c r="G5853" s="18"/>
      <c r="H5853" s="18"/>
      <c r="I5853" s="19">
        <v>5851</v>
      </c>
      <c r="J5853" s="19" cm="1">
        <f t="array" aca="1" ref="J5853" ca="1">INDIRECT("b"&amp;K5853+2)</f>
        <v>0</v>
      </c>
      <c r="K5853" s="19">
        <f t="shared" si="1238"/>
        <v>9400</v>
      </c>
    </row>
    <row r="5854" spans="1:11">
      <c r="A5854">
        <v>5852</v>
      </c>
      <c r="B5854">
        <v>3.25E+168</v>
      </c>
      <c r="D5854" s="18">
        <v>5852</v>
      </c>
      <c r="E5854" s="18" cm="1">
        <f t="array" aca="1" ref="E5854" ca="1">INDIRECT("b"&amp;F5854+2)</f>
        <v>0</v>
      </c>
      <c r="F5854" s="18">
        <f t="shared" si="1241"/>
        <v>8201</v>
      </c>
      <c r="G5854" s="18"/>
      <c r="H5854" s="18"/>
      <c r="I5854" s="19">
        <v>5852</v>
      </c>
      <c r="J5854" s="19" cm="1">
        <f t="array" aca="1" ref="J5854" ca="1">INDIRECT("b"&amp;K5854+2)</f>
        <v>0</v>
      </c>
      <c r="K5854" s="19">
        <f t="shared" si="1238"/>
        <v>9401</v>
      </c>
    </row>
    <row r="5855" spans="1:11">
      <c r="A5855">
        <v>5853</v>
      </c>
      <c r="B5855">
        <v>3.475E+168</v>
      </c>
      <c r="D5855" s="18">
        <v>5853</v>
      </c>
      <c r="E5855" s="18" cm="1">
        <f t="array" aca="1" ref="E5855" ca="1">INDIRECT("b"&amp;F5855+2)</f>
        <v>0</v>
      </c>
      <c r="F5855" s="18">
        <f t="shared" si="1241"/>
        <v>8202</v>
      </c>
      <c r="G5855" s="18" t="e">
        <f t="shared" ref="G5855" ca="1" si="1245">E5855/E5850</f>
        <v>#DIV/0!</v>
      </c>
      <c r="H5855" s="18"/>
      <c r="I5855" s="19">
        <v>5853</v>
      </c>
      <c r="J5855" s="19" cm="1">
        <f t="array" aca="1" ref="J5855" ca="1">INDIRECT("b"&amp;K5855+2)</f>
        <v>0</v>
      </c>
      <c r="K5855" s="19">
        <f t="shared" si="1238"/>
        <v>9402</v>
      </c>
    </row>
    <row r="5856" spans="1:11">
      <c r="A5856">
        <v>5854</v>
      </c>
      <c r="B5856">
        <v>3.7000000000000001E+168</v>
      </c>
      <c r="D5856" s="18">
        <v>5854</v>
      </c>
      <c r="E5856" s="18" cm="1">
        <f t="array" aca="1" ref="E5856" ca="1">INDIRECT("b"&amp;F5856+2)</f>
        <v>0</v>
      </c>
      <c r="F5856" s="18">
        <f t="shared" si="1241"/>
        <v>8204</v>
      </c>
      <c r="G5856" s="18"/>
      <c r="H5856" s="18"/>
      <c r="I5856" s="19">
        <v>5854</v>
      </c>
      <c r="J5856" s="19" cm="1">
        <f t="array" aca="1" ref="J5856" ca="1">INDIRECT("b"&amp;K5856+2)</f>
        <v>0</v>
      </c>
      <c r="K5856" s="19">
        <f t="shared" si="1238"/>
        <v>9404</v>
      </c>
    </row>
    <row r="5857" spans="1:11">
      <c r="A5857">
        <v>5855</v>
      </c>
      <c r="B5857">
        <v>3.9250000000000001E+168</v>
      </c>
      <c r="D5857" s="18">
        <v>5855</v>
      </c>
      <c r="E5857" s="18" cm="1">
        <f t="array" aca="1" ref="E5857" ca="1">INDIRECT("b"&amp;F5857+2)</f>
        <v>0</v>
      </c>
      <c r="F5857" s="18">
        <f t="shared" si="1241"/>
        <v>8205</v>
      </c>
      <c r="G5857" s="18"/>
      <c r="H5857" s="18"/>
      <c r="I5857" s="19">
        <v>5855</v>
      </c>
      <c r="J5857" s="19" cm="1">
        <f t="array" aca="1" ref="J5857" ca="1">INDIRECT("b"&amp;K5857+2)</f>
        <v>0</v>
      </c>
      <c r="K5857" s="19">
        <f t="shared" si="1238"/>
        <v>9405</v>
      </c>
    </row>
    <row r="5858" spans="1:11">
      <c r="A5858">
        <v>5856</v>
      </c>
      <c r="B5858">
        <v>4.1499999999999998E+168</v>
      </c>
      <c r="D5858" s="18">
        <v>5856</v>
      </c>
      <c r="E5858" s="18" cm="1">
        <f t="array" aca="1" ref="E5858" ca="1">INDIRECT("b"&amp;F5858+2)</f>
        <v>0</v>
      </c>
      <c r="F5858" s="18">
        <f t="shared" si="1241"/>
        <v>8206</v>
      </c>
      <c r="G5858" s="18"/>
      <c r="H5858" s="18"/>
      <c r="I5858" s="19">
        <v>5856</v>
      </c>
      <c r="J5858" s="19" cm="1">
        <f t="array" aca="1" ref="J5858" ca="1">INDIRECT("b"&amp;K5858+2)</f>
        <v>0</v>
      </c>
      <c r="K5858" s="19">
        <f t="shared" si="1238"/>
        <v>9406</v>
      </c>
    </row>
    <row r="5859" spans="1:11">
      <c r="A5859">
        <v>5857</v>
      </c>
      <c r="B5859">
        <v>4.3750000000000002E+168</v>
      </c>
      <c r="D5859" s="18">
        <v>5857</v>
      </c>
      <c r="E5859" s="18" cm="1">
        <f t="array" aca="1" ref="E5859" ca="1">INDIRECT("b"&amp;F5859+2)</f>
        <v>0</v>
      </c>
      <c r="F5859" s="18">
        <f t="shared" si="1241"/>
        <v>8208</v>
      </c>
      <c r="G5859" s="18"/>
      <c r="H5859" s="18"/>
      <c r="I5859" s="19">
        <v>5857</v>
      </c>
      <c r="J5859" s="19" cm="1">
        <f t="array" aca="1" ref="J5859" ca="1">INDIRECT("b"&amp;K5859+2)</f>
        <v>0</v>
      </c>
      <c r="K5859" s="19">
        <f t="shared" si="1238"/>
        <v>9408</v>
      </c>
    </row>
    <row r="5860" spans="1:11">
      <c r="A5860">
        <v>5858</v>
      </c>
      <c r="B5860">
        <v>4.5999999999999999E+168</v>
      </c>
      <c r="D5860" s="18">
        <v>5858</v>
      </c>
      <c r="E5860" s="18" cm="1">
        <f t="array" aca="1" ref="E5860" ca="1">INDIRECT("b"&amp;F5860+2)</f>
        <v>0</v>
      </c>
      <c r="F5860" s="18">
        <f t="shared" si="1241"/>
        <v>8209</v>
      </c>
      <c r="G5860" s="18" t="e">
        <f t="shared" ref="G5860" ca="1" si="1246">E5860/E5855</f>
        <v>#DIV/0!</v>
      </c>
      <c r="H5860" s="18"/>
      <c r="I5860" s="19">
        <v>5858</v>
      </c>
      <c r="J5860" s="19" cm="1">
        <f t="array" aca="1" ref="J5860" ca="1">INDIRECT("b"&amp;K5860+2)</f>
        <v>0</v>
      </c>
      <c r="K5860" s="19">
        <f t="shared" si="1238"/>
        <v>9409</v>
      </c>
    </row>
    <row r="5861" spans="1:11">
      <c r="A5861">
        <v>5859</v>
      </c>
      <c r="B5861">
        <v>4.8250000000000003E+168</v>
      </c>
      <c r="D5861" s="18">
        <v>5859</v>
      </c>
      <c r="E5861" s="18" cm="1">
        <f t="array" aca="1" ref="E5861" ca="1">INDIRECT("b"&amp;F5861+2)</f>
        <v>0</v>
      </c>
      <c r="F5861" s="18">
        <f t="shared" si="1241"/>
        <v>8210</v>
      </c>
      <c r="G5861" s="18"/>
      <c r="H5861" s="18"/>
      <c r="I5861" s="19">
        <v>5859</v>
      </c>
      <c r="J5861" s="19" cm="1">
        <f t="array" aca="1" ref="J5861" ca="1">INDIRECT("b"&amp;K5861+2)</f>
        <v>0</v>
      </c>
      <c r="K5861" s="19">
        <f t="shared" si="1238"/>
        <v>9410</v>
      </c>
    </row>
    <row r="5862" spans="1:11">
      <c r="A5862">
        <v>5860</v>
      </c>
      <c r="B5862">
        <v>5.05E+168</v>
      </c>
      <c r="D5862" s="18">
        <v>5860</v>
      </c>
      <c r="E5862" s="18" cm="1">
        <f t="array" aca="1" ref="E5862" ca="1">INDIRECT("b"&amp;F5862+2)</f>
        <v>0</v>
      </c>
      <c r="F5862" s="18">
        <f t="shared" si="1241"/>
        <v>8212</v>
      </c>
      <c r="G5862" s="18"/>
      <c r="H5862" s="18"/>
      <c r="I5862" s="19">
        <v>5860</v>
      </c>
      <c r="J5862" s="19" cm="1">
        <f t="array" aca="1" ref="J5862" ca="1">INDIRECT("b"&amp;K5862+2)</f>
        <v>0</v>
      </c>
      <c r="K5862" s="19">
        <f t="shared" si="1238"/>
        <v>9412</v>
      </c>
    </row>
    <row r="5863" spans="1:11">
      <c r="A5863">
        <v>5861</v>
      </c>
      <c r="B5863">
        <v>5.2750000000000004E+168</v>
      </c>
      <c r="D5863" s="18">
        <v>5861</v>
      </c>
      <c r="E5863" s="18" cm="1">
        <f t="array" aca="1" ref="E5863" ca="1">INDIRECT("b"&amp;F5863+2)</f>
        <v>0</v>
      </c>
      <c r="F5863" s="18">
        <f t="shared" si="1241"/>
        <v>8213</v>
      </c>
      <c r="G5863" s="18"/>
      <c r="H5863" s="18"/>
      <c r="I5863" s="19">
        <v>5861</v>
      </c>
      <c r="J5863" s="19" cm="1">
        <f t="array" aca="1" ref="J5863" ca="1">INDIRECT("b"&amp;K5863+2)</f>
        <v>0</v>
      </c>
      <c r="K5863" s="19">
        <f t="shared" si="1238"/>
        <v>9413</v>
      </c>
    </row>
    <row r="5864" spans="1:11">
      <c r="A5864">
        <v>5862</v>
      </c>
      <c r="B5864">
        <v>5.5000000000000001E+168</v>
      </c>
      <c r="D5864" s="18">
        <v>5862</v>
      </c>
      <c r="E5864" s="18" cm="1">
        <f t="array" aca="1" ref="E5864" ca="1">INDIRECT("b"&amp;F5864+2)</f>
        <v>0</v>
      </c>
      <c r="F5864" s="18">
        <f t="shared" si="1241"/>
        <v>8214</v>
      </c>
      <c r="G5864" s="18"/>
      <c r="H5864" s="18"/>
      <c r="I5864" s="19">
        <v>5862</v>
      </c>
      <c r="J5864" s="19" cm="1">
        <f t="array" aca="1" ref="J5864" ca="1">INDIRECT("b"&amp;K5864+2)</f>
        <v>0</v>
      </c>
      <c r="K5864" s="19">
        <f t="shared" si="1238"/>
        <v>9414</v>
      </c>
    </row>
    <row r="5865" spans="1:11">
      <c r="A5865">
        <v>5863</v>
      </c>
      <c r="B5865">
        <v>5.7249999999999997E+168</v>
      </c>
      <c r="D5865" s="18">
        <v>5863</v>
      </c>
      <c r="E5865" s="18" cm="1">
        <f t="array" aca="1" ref="E5865" ca="1">INDIRECT("b"&amp;F5865+2)</f>
        <v>0</v>
      </c>
      <c r="F5865" s="18">
        <f t="shared" si="1241"/>
        <v>8216</v>
      </c>
      <c r="G5865" s="18" t="e">
        <f t="shared" ref="G5865" ca="1" si="1247">E5865/E5860</f>
        <v>#DIV/0!</v>
      </c>
      <c r="H5865" s="18"/>
      <c r="I5865" s="19">
        <v>5863</v>
      </c>
      <c r="J5865" s="19" cm="1">
        <f t="array" aca="1" ref="J5865" ca="1">INDIRECT("b"&amp;K5865+2)</f>
        <v>0</v>
      </c>
      <c r="K5865" s="19">
        <f t="shared" si="1238"/>
        <v>9416</v>
      </c>
    </row>
    <row r="5866" spans="1:11">
      <c r="A5866">
        <v>5864</v>
      </c>
      <c r="B5866">
        <v>5.9500000000000002E+168</v>
      </c>
      <c r="D5866" s="18">
        <v>5864</v>
      </c>
      <c r="E5866" s="18" cm="1">
        <f t="array" aca="1" ref="E5866" ca="1">INDIRECT("b"&amp;F5866+2)</f>
        <v>0</v>
      </c>
      <c r="F5866" s="18">
        <f t="shared" si="1241"/>
        <v>8217</v>
      </c>
      <c r="G5866" s="18"/>
      <c r="H5866" s="18"/>
      <c r="I5866" s="19">
        <v>5864</v>
      </c>
      <c r="J5866" s="19" cm="1">
        <f t="array" aca="1" ref="J5866" ca="1">INDIRECT("b"&amp;K5866+2)</f>
        <v>0</v>
      </c>
      <c r="K5866" s="19">
        <f t="shared" si="1238"/>
        <v>9417</v>
      </c>
    </row>
    <row r="5867" spans="1:11">
      <c r="A5867">
        <v>5865</v>
      </c>
      <c r="B5867">
        <v>6.1749999999999998E+168</v>
      </c>
      <c r="D5867" s="18">
        <v>5865</v>
      </c>
      <c r="E5867" s="18" cm="1">
        <f t="array" aca="1" ref="E5867" ca="1">INDIRECT("b"&amp;F5867+2)</f>
        <v>0</v>
      </c>
      <c r="F5867" s="18">
        <f t="shared" si="1241"/>
        <v>8218</v>
      </c>
      <c r="G5867" s="18"/>
      <c r="H5867" s="18"/>
      <c r="I5867" s="19">
        <v>5865</v>
      </c>
      <c r="J5867" s="19" cm="1">
        <f t="array" aca="1" ref="J5867" ca="1">INDIRECT("b"&amp;K5867+2)</f>
        <v>0</v>
      </c>
      <c r="K5867" s="19">
        <f t="shared" si="1238"/>
        <v>9418</v>
      </c>
    </row>
    <row r="5868" spans="1:11">
      <c r="A5868">
        <v>5866</v>
      </c>
      <c r="B5868">
        <v>6.4000000000000002E+168</v>
      </c>
      <c r="D5868" s="18">
        <v>5866</v>
      </c>
      <c r="E5868" s="18" cm="1">
        <f t="array" aca="1" ref="E5868" ca="1">INDIRECT("b"&amp;F5868+2)</f>
        <v>0</v>
      </c>
      <c r="F5868" s="18">
        <f t="shared" si="1241"/>
        <v>8220</v>
      </c>
      <c r="G5868" s="18"/>
      <c r="H5868" s="18"/>
      <c r="I5868" s="19">
        <v>5866</v>
      </c>
      <c r="J5868" s="19" cm="1">
        <f t="array" aca="1" ref="J5868" ca="1">INDIRECT("b"&amp;K5868+2)</f>
        <v>0</v>
      </c>
      <c r="K5868" s="19">
        <f t="shared" si="1238"/>
        <v>9420</v>
      </c>
    </row>
    <row r="5869" spans="1:11">
      <c r="A5869">
        <v>5867</v>
      </c>
      <c r="B5869">
        <v>6.6249999999999999E+168</v>
      </c>
      <c r="D5869" s="18">
        <v>5867</v>
      </c>
      <c r="E5869" s="18" cm="1">
        <f t="array" aca="1" ref="E5869" ca="1">INDIRECT("b"&amp;F5869+2)</f>
        <v>0</v>
      </c>
      <c r="F5869" s="18">
        <f t="shared" si="1241"/>
        <v>8221</v>
      </c>
      <c r="G5869" s="18"/>
      <c r="H5869" s="18"/>
      <c r="I5869" s="19">
        <v>5867</v>
      </c>
      <c r="J5869" s="19" cm="1">
        <f t="array" aca="1" ref="J5869" ca="1">INDIRECT("b"&amp;K5869+2)</f>
        <v>0</v>
      </c>
      <c r="K5869" s="19">
        <f t="shared" si="1238"/>
        <v>9421</v>
      </c>
    </row>
    <row r="5870" spans="1:11">
      <c r="A5870">
        <v>5868</v>
      </c>
      <c r="B5870">
        <v>6.8500000000000003E+168</v>
      </c>
      <c r="D5870" s="18">
        <v>5868</v>
      </c>
      <c r="E5870" s="18" cm="1">
        <f t="array" aca="1" ref="E5870" ca="1">INDIRECT("b"&amp;F5870+2)</f>
        <v>0</v>
      </c>
      <c r="F5870" s="18">
        <f t="shared" si="1241"/>
        <v>8222</v>
      </c>
      <c r="G5870" s="18" t="e">
        <f t="shared" ref="G5870" ca="1" si="1248">E5870/E5865</f>
        <v>#DIV/0!</v>
      </c>
      <c r="H5870" s="18"/>
      <c r="I5870" s="19">
        <v>5868</v>
      </c>
      <c r="J5870" s="19" cm="1">
        <f t="array" aca="1" ref="J5870" ca="1">INDIRECT("b"&amp;K5870+2)</f>
        <v>0</v>
      </c>
      <c r="K5870" s="19">
        <f t="shared" si="1238"/>
        <v>9422</v>
      </c>
    </row>
    <row r="5871" spans="1:11">
      <c r="A5871">
        <v>5869</v>
      </c>
      <c r="B5871">
        <v>7.075E+168</v>
      </c>
      <c r="D5871" s="18">
        <v>5869</v>
      </c>
      <c r="E5871" s="18" cm="1">
        <f t="array" aca="1" ref="E5871" ca="1">INDIRECT("b"&amp;F5871+2)</f>
        <v>0</v>
      </c>
      <c r="F5871" s="18">
        <f t="shared" si="1241"/>
        <v>8224</v>
      </c>
      <c r="G5871" s="18"/>
      <c r="H5871" s="18"/>
      <c r="I5871" s="19">
        <v>5869</v>
      </c>
      <c r="J5871" s="19" cm="1">
        <f t="array" aca="1" ref="J5871" ca="1">INDIRECT("b"&amp;K5871+2)</f>
        <v>0</v>
      </c>
      <c r="K5871" s="19">
        <f t="shared" si="1238"/>
        <v>9424</v>
      </c>
    </row>
    <row r="5872" spans="1:11">
      <c r="A5872">
        <v>5870</v>
      </c>
      <c r="B5872">
        <v>7.3000000000000004E+168</v>
      </c>
      <c r="D5872" s="18">
        <v>5870</v>
      </c>
      <c r="E5872" s="18" cm="1">
        <f t="array" aca="1" ref="E5872" ca="1">INDIRECT("b"&amp;F5872+2)</f>
        <v>0</v>
      </c>
      <c r="F5872" s="18">
        <f t="shared" si="1241"/>
        <v>8225</v>
      </c>
      <c r="G5872" s="18"/>
      <c r="H5872" s="18"/>
      <c r="I5872" s="19">
        <v>5870</v>
      </c>
      <c r="J5872" s="19" cm="1">
        <f t="array" aca="1" ref="J5872" ca="1">INDIRECT("b"&amp;K5872+2)</f>
        <v>0</v>
      </c>
      <c r="K5872" s="19">
        <f t="shared" si="1238"/>
        <v>9425</v>
      </c>
    </row>
    <row r="5873" spans="1:11">
      <c r="A5873">
        <v>5871</v>
      </c>
      <c r="B5873">
        <v>7.5250000000000001E+168</v>
      </c>
      <c r="D5873" s="18">
        <v>5871</v>
      </c>
      <c r="E5873" s="18" cm="1">
        <f t="array" aca="1" ref="E5873" ca="1">INDIRECT("b"&amp;F5873+2)</f>
        <v>0</v>
      </c>
      <c r="F5873" s="18">
        <f t="shared" si="1241"/>
        <v>8226</v>
      </c>
      <c r="G5873" s="18"/>
      <c r="H5873" s="18"/>
      <c r="I5873" s="19">
        <v>5871</v>
      </c>
      <c r="J5873" s="19" cm="1">
        <f t="array" aca="1" ref="J5873" ca="1">INDIRECT("b"&amp;K5873+2)</f>
        <v>0</v>
      </c>
      <c r="K5873" s="19">
        <f t="shared" si="1238"/>
        <v>9426</v>
      </c>
    </row>
    <row r="5874" spans="1:11">
      <c r="A5874">
        <v>5872</v>
      </c>
      <c r="B5874">
        <v>7.7499999999999997E+168</v>
      </c>
      <c r="D5874" s="18">
        <v>5872</v>
      </c>
      <c r="E5874" s="18" cm="1">
        <f t="array" aca="1" ref="E5874" ca="1">INDIRECT("b"&amp;F5874+2)</f>
        <v>0</v>
      </c>
      <c r="F5874" s="18">
        <f t="shared" si="1241"/>
        <v>8228</v>
      </c>
      <c r="G5874" s="18"/>
      <c r="H5874" s="18"/>
      <c r="I5874" s="19">
        <v>5872</v>
      </c>
      <c r="J5874" s="19" cm="1">
        <f t="array" aca="1" ref="J5874" ca="1">INDIRECT("b"&amp;K5874+2)</f>
        <v>0</v>
      </c>
      <c r="K5874" s="19">
        <f t="shared" si="1238"/>
        <v>9428</v>
      </c>
    </row>
    <row r="5875" spans="1:11">
      <c r="A5875">
        <v>5873</v>
      </c>
      <c r="B5875">
        <v>7.9750000000000002E+168</v>
      </c>
      <c r="D5875" s="18">
        <v>5873</v>
      </c>
      <c r="E5875" s="18" cm="1">
        <f t="array" aca="1" ref="E5875" ca="1">INDIRECT("b"&amp;F5875+2)</f>
        <v>0</v>
      </c>
      <c r="F5875" s="18">
        <f t="shared" si="1241"/>
        <v>8229</v>
      </c>
      <c r="G5875" s="18" t="e">
        <f t="shared" ref="G5875" ca="1" si="1249">E5875/E5870</f>
        <v>#DIV/0!</v>
      </c>
      <c r="H5875" s="18"/>
      <c r="I5875" s="19">
        <v>5873</v>
      </c>
      <c r="J5875" s="19" cm="1">
        <f t="array" aca="1" ref="J5875" ca="1">INDIRECT("b"&amp;K5875+2)</f>
        <v>0</v>
      </c>
      <c r="K5875" s="19">
        <f t="shared" si="1238"/>
        <v>9429</v>
      </c>
    </row>
    <row r="5876" spans="1:11">
      <c r="A5876">
        <v>5874</v>
      </c>
      <c r="B5876">
        <v>8.2000000000000006E+168</v>
      </c>
      <c r="D5876" s="18">
        <v>5874</v>
      </c>
      <c r="E5876" s="18" cm="1">
        <f t="array" aca="1" ref="E5876" ca="1">INDIRECT("b"&amp;F5876+2)</f>
        <v>0</v>
      </c>
      <c r="F5876" s="18">
        <f t="shared" si="1241"/>
        <v>8230</v>
      </c>
      <c r="G5876" s="18"/>
      <c r="H5876" s="18"/>
      <c r="I5876" s="19">
        <v>5874</v>
      </c>
      <c r="J5876" s="19" cm="1">
        <f t="array" aca="1" ref="J5876" ca="1">INDIRECT("b"&amp;K5876+2)</f>
        <v>0</v>
      </c>
      <c r="K5876" s="19">
        <f t="shared" si="1238"/>
        <v>9430</v>
      </c>
    </row>
    <row r="5877" spans="1:11">
      <c r="A5877">
        <v>5875</v>
      </c>
      <c r="B5877">
        <v>8.4249999999999994E+168</v>
      </c>
      <c r="D5877" s="18">
        <v>5875</v>
      </c>
      <c r="E5877" s="18" cm="1">
        <f t="array" aca="1" ref="E5877" ca="1">INDIRECT("b"&amp;F5877+2)</f>
        <v>0</v>
      </c>
      <c r="F5877" s="18">
        <f t="shared" si="1241"/>
        <v>8232</v>
      </c>
      <c r="G5877" s="18"/>
      <c r="H5877" s="18"/>
      <c r="I5877" s="19">
        <v>5875</v>
      </c>
      <c r="J5877" s="19" cm="1">
        <f t="array" aca="1" ref="J5877" ca="1">INDIRECT("b"&amp;K5877+2)</f>
        <v>0</v>
      </c>
      <c r="K5877" s="19">
        <f t="shared" si="1238"/>
        <v>9432</v>
      </c>
    </row>
    <row r="5878" spans="1:11">
      <c r="A5878">
        <v>5876</v>
      </c>
      <c r="B5878">
        <v>8.6499999999999999E+168</v>
      </c>
      <c r="D5878" s="18">
        <v>5876</v>
      </c>
      <c r="E5878" s="18" cm="1">
        <f t="array" aca="1" ref="E5878" ca="1">INDIRECT("b"&amp;F5878+2)</f>
        <v>0</v>
      </c>
      <c r="F5878" s="18">
        <f t="shared" si="1241"/>
        <v>8233</v>
      </c>
      <c r="G5878" s="18"/>
      <c r="H5878" s="18"/>
      <c r="I5878" s="19">
        <v>5876</v>
      </c>
      <c r="J5878" s="19" cm="1">
        <f t="array" aca="1" ref="J5878" ca="1">INDIRECT("b"&amp;K5878+2)</f>
        <v>0</v>
      </c>
      <c r="K5878" s="19">
        <f t="shared" si="1238"/>
        <v>9433</v>
      </c>
    </row>
    <row r="5879" spans="1:11">
      <c r="A5879">
        <v>5877</v>
      </c>
      <c r="B5879">
        <v>8.8750000000000004E+168</v>
      </c>
      <c r="D5879" s="18">
        <v>5877</v>
      </c>
      <c r="E5879" s="18" cm="1">
        <f t="array" aca="1" ref="E5879" ca="1">INDIRECT("b"&amp;F5879+2)</f>
        <v>0</v>
      </c>
      <c r="F5879" s="18">
        <f t="shared" si="1241"/>
        <v>8234</v>
      </c>
      <c r="G5879" s="18"/>
      <c r="H5879" s="18"/>
      <c r="I5879" s="19">
        <v>5877</v>
      </c>
      <c r="J5879" s="19" cm="1">
        <f t="array" aca="1" ref="J5879" ca="1">INDIRECT("b"&amp;K5879+2)</f>
        <v>0</v>
      </c>
      <c r="K5879" s="19">
        <f t="shared" si="1238"/>
        <v>9434</v>
      </c>
    </row>
    <row r="5880" spans="1:11">
      <c r="A5880">
        <v>5878</v>
      </c>
      <c r="B5880">
        <v>9.1000000000000008E+168</v>
      </c>
      <c r="D5880" s="18">
        <v>5878</v>
      </c>
      <c r="E5880" s="18" cm="1">
        <f t="array" aca="1" ref="E5880" ca="1">INDIRECT("b"&amp;F5880+2)</f>
        <v>0</v>
      </c>
      <c r="F5880" s="18">
        <f t="shared" si="1241"/>
        <v>8236</v>
      </c>
      <c r="G5880" s="18" t="e">
        <f t="shared" ref="G5880" ca="1" si="1250">E5880/E5875</f>
        <v>#DIV/0!</v>
      </c>
      <c r="H5880" s="18"/>
      <c r="I5880" s="19">
        <v>5878</v>
      </c>
      <c r="J5880" s="19" cm="1">
        <f t="array" aca="1" ref="J5880" ca="1">INDIRECT("b"&amp;K5880+2)</f>
        <v>0</v>
      </c>
      <c r="K5880" s="19">
        <f t="shared" si="1238"/>
        <v>9436</v>
      </c>
    </row>
    <row r="5881" spans="1:11">
      <c r="A5881">
        <v>5879</v>
      </c>
      <c r="B5881">
        <v>9.3249999999999996E+168</v>
      </c>
      <c r="D5881" s="18">
        <v>5879</v>
      </c>
      <c r="E5881" s="18" cm="1">
        <f t="array" aca="1" ref="E5881" ca="1">INDIRECT("b"&amp;F5881+2)</f>
        <v>0</v>
      </c>
      <c r="F5881" s="18">
        <f t="shared" si="1241"/>
        <v>8237</v>
      </c>
      <c r="G5881" s="18"/>
      <c r="H5881" s="18"/>
      <c r="I5881" s="19">
        <v>5879</v>
      </c>
      <c r="J5881" s="19" cm="1">
        <f t="array" aca="1" ref="J5881" ca="1">INDIRECT("b"&amp;K5881+2)</f>
        <v>0</v>
      </c>
      <c r="K5881" s="19">
        <f t="shared" si="1238"/>
        <v>9437</v>
      </c>
    </row>
    <row r="5882" spans="1:11">
      <c r="A5882">
        <v>5880</v>
      </c>
      <c r="B5882">
        <v>9.5500000000000001E+168</v>
      </c>
      <c r="D5882" s="18">
        <v>5880</v>
      </c>
      <c r="E5882" s="18" cm="1">
        <f t="array" aca="1" ref="E5882" ca="1">INDIRECT("b"&amp;F5882+2)</f>
        <v>0</v>
      </c>
      <c r="F5882" s="18">
        <f t="shared" si="1241"/>
        <v>8238</v>
      </c>
      <c r="G5882" s="18"/>
      <c r="H5882" s="18"/>
      <c r="I5882" s="19">
        <v>5880</v>
      </c>
      <c r="J5882" s="19" cm="1">
        <f t="array" aca="1" ref="J5882" ca="1">INDIRECT("b"&amp;K5882+2)</f>
        <v>0</v>
      </c>
      <c r="K5882" s="19">
        <f t="shared" si="1238"/>
        <v>9438</v>
      </c>
    </row>
    <row r="5883" spans="1:11">
      <c r="A5883">
        <v>5881</v>
      </c>
      <c r="B5883">
        <v>9.7750000000000005E+168</v>
      </c>
      <c r="D5883" s="18">
        <v>5881</v>
      </c>
      <c r="E5883" s="18" cm="1">
        <f t="array" aca="1" ref="E5883" ca="1">INDIRECT("b"&amp;F5883+2)</f>
        <v>0</v>
      </c>
      <c r="F5883" s="18">
        <f t="shared" si="1241"/>
        <v>8240</v>
      </c>
      <c r="G5883" s="18"/>
      <c r="H5883" s="18"/>
      <c r="I5883" s="19">
        <v>5881</v>
      </c>
      <c r="J5883" s="19" cm="1">
        <f t="array" aca="1" ref="J5883" ca="1">INDIRECT("b"&amp;K5883+2)</f>
        <v>0</v>
      </c>
      <c r="K5883" s="19">
        <f t="shared" si="1238"/>
        <v>9440</v>
      </c>
    </row>
    <row r="5884" spans="1:11">
      <c r="A5884">
        <v>5882</v>
      </c>
      <c r="B5884">
        <v>1.0000000000000001E+169</v>
      </c>
      <c r="D5884" s="18">
        <v>5882</v>
      </c>
      <c r="E5884" s="18" cm="1">
        <f t="array" aca="1" ref="E5884" ca="1">INDIRECT("b"&amp;F5884+2)</f>
        <v>0</v>
      </c>
      <c r="F5884" s="18">
        <f t="shared" si="1241"/>
        <v>8241</v>
      </c>
      <c r="G5884" s="18"/>
      <c r="H5884" s="18"/>
      <c r="I5884" s="19">
        <v>5882</v>
      </c>
      <c r="J5884" s="19" cm="1">
        <f t="array" aca="1" ref="J5884" ca="1">INDIRECT("b"&amp;K5884+2)</f>
        <v>0</v>
      </c>
      <c r="K5884" s="19">
        <f t="shared" si="1238"/>
        <v>9441</v>
      </c>
    </row>
    <row r="5885" spans="1:11">
      <c r="A5885">
        <v>5883</v>
      </c>
      <c r="B5885">
        <v>1.2250000000000001E+169</v>
      </c>
      <c r="D5885" s="18">
        <v>5883</v>
      </c>
      <c r="E5885" s="18" cm="1">
        <f t="array" aca="1" ref="E5885" ca="1">INDIRECT("b"&amp;F5885+2)</f>
        <v>0</v>
      </c>
      <c r="F5885" s="18">
        <f t="shared" si="1241"/>
        <v>8242</v>
      </c>
      <c r="G5885" s="18" t="e">
        <f t="shared" ref="G5885" ca="1" si="1251">E5885/E5880</f>
        <v>#DIV/0!</v>
      </c>
      <c r="H5885" s="18"/>
      <c r="I5885" s="19">
        <v>5883</v>
      </c>
      <c r="J5885" s="19" cm="1">
        <f t="array" aca="1" ref="J5885" ca="1">INDIRECT("b"&amp;K5885+2)</f>
        <v>0</v>
      </c>
      <c r="K5885" s="19">
        <f t="shared" si="1238"/>
        <v>9442</v>
      </c>
    </row>
    <row r="5886" spans="1:11">
      <c r="A5886">
        <v>5884</v>
      </c>
      <c r="B5886">
        <v>1.45E+169</v>
      </c>
      <c r="D5886" s="18">
        <v>5884</v>
      </c>
      <c r="E5886" s="18" cm="1">
        <f t="array" aca="1" ref="E5886" ca="1">INDIRECT("b"&amp;F5886+2)</f>
        <v>0</v>
      </c>
      <c r="F5886" s="18">
        <f t="shared" si="1241"/>
        <v>8244</v>
      </c>
      <c r="G5886" s="18"/>
      <c r="H5886" s="18"/>
      <c r="I5886" s="19">
        <v>5884</v>
      </c>
      <c r="J5886" s="19" cm="1">
        <f t="array" aca="1" ref="J5886" ca="1">INDIRECT("b"&amp;K5886+2)</f>
        <v>0</v>
      </c>
      <c r="K5886" s="19">
        <f t="shared" si="1238"/>
        <v>9444</v>
      </c>
    </row>
    <row r="5887" spans="1:11">
      <c r="A5887">
        <v>5885</v>
      </c>
      <c r="B5887">
        <v>1.6750000000000002E+169</v>
      </c>
      <c r="D5887" s="18">
        <v>5885</v>
      </c>
      <c r="E5887" s="18" cm="1">
        <f t="array" aca="1" ref="E5887" ca="1">INDIRECT("b"&amp;F5887+2)</f>
        <v>0</v>
      </c>
      <c r="F5887" s="18">
        <f t="shared" si="1241"/>
        <v>8245</v>
      </c>
      <c r="G5887" s="18"/>
      <c r="H5887" s="18"/>
      <c r="I5887" s="19">
        <v>5885</v>
      </c>
      <c r="J5887" s="19" cm="1">
        <f t="array" aca="1" ref="J5887" ca="1">INDIRECT("b"&amp;K5887+2)</f>
        <v>0</v>
      </c>
      <c r="K5887" s="19">
        <f t="shared" si="1238"/>
        <v>9445</v>
      </c>
    </row>
    <row r="5888" spans="1:11">
      <c r="A5888">
        <v>5886</v>
      </c>
      <c r="B5888">
        <v>1.9E+169</v>
      </c>
      <c r="D5888" s="18">
        <v>5886</v>
      </c>
      <c r="E5888" s="18" cm="1">
        <f t="array" aca="1" ref="E5888" ca="1">INDIRECT("b"&amp;F5888+2)</f>
        <v>0</v>
      </c>
      <c r="F5888" s="18">
        <f t="shared" si="1241"/>
        <v>8246</v>
      </c>
      <c r="G5888" s="18"/>
      <c r="H5888" s="18"/>
      <c r="I5888" s="19">
        <v>5886</v>
      </c>
      <c r="J5888" s="19" cm="1">
        <f t="array" aca="1" ref="J5888" ca="1">INDIRECT("b"&amp;K5888+2)</f>
        <v>0</v>
      </c>
      <c r="K5888" s="19">
        <f t="shared" si="1238"/>
        <v>9446</v>
      </c>
    </row>
    <row r="5889" spans="1:11">
      <c r="A5889">
        <v>5887</v>
      </c>
      <c r="B5889">
        <v>2.1250000000000001E+169</v>
      </c>
      <c r="D5889" s="18">
        <v>5887</v>
      </c>
      <c r="E5889" s="18" cm="1">
        <f t="array" aca="1" ref="E5889" ca="1">INDIRECT("b"&amp;F5889+2)</f>
        <v>0</v>
      </c>
      <c r="F5889" s="18">
        <f t="shared" si="1241"/>
        <v>8248</v>
      </c>
      <c r="G5889" s="18"/>
      <c r="H5889" s="18"/>
      <c r="I5889" s="19">
        <v>5887</v>
      </c>
      <c r="J5889" s="19" cm="1">
        <f t="array" aca="1" ref="J5889" ca="1">INDIRECT("b"&amp;K5889+2)</f>
        <v>0</v>
      </c>
      <c r="K5889" s="19">
        <f t="shared" si="1238"/>
        <v>9448</v>
      </c>
    </row>
    <row r="5890" spans="1:11">
      <c r="A5890">
        <v>5888</v>
      </c>
      <c r="B5890">
        <v>2.3500000000000002E+169</v>
      </c>
      <c r="D5890" s="18">
        <v>5888</v>
      </c>
      <c r="E5890" s="18" cm="1">
        <f t="array" aca="1" ref="E5890" ca="1">INDIRECT("b"&amp;F5890+2)</f>
        <v>0</v>
      </c>
      <c r="F5890" s="18">
        <f t="shared" si="1241"/>
        <v>8249</v>
      </c>
      <c r="G5890" s="18" t="e">
        <f t="shared" ref="G5890" ca="1" si="1252">E5890/E5885</f>
        <v>#DIV/0!</v>
      </c>
      <c r="H5890" s="18"/>
      <c r="I5890" s="19">
        <v>5888</v>
      </c>
      <c r="J5890" s="19" cm="1">
        <f t="array" aca="1" ref="J5890" ca="1">INDIRECT("b"&amp;K5890+2)</f>
        <v>0</v>
      </c>
      <c r="K5890" s="19">
        <f t="shared" si="1238"/>
        <v>9449</v>
      </c>
    </row>
    <row r="5891" spans="1:11">
      <c r="A5891">
        <v>5889</v>
      </c>
      <c r="B5891">
        <v>2.575E+169</v>
      </c>
      <c r="D5891" s="18">
        <v>5889</v>
      </c>
      <c r="E5891" s="18" cm="1">
        <f t="array" aca="1" ref="E5891" ca="1">INDIRECT("b"&amp;F5891+2)</f>
        <v>0</v>
      </c>
      <c r="F5891" s="18">
        <f t="shared" si="1241"/>
        <v>8250</v>
      </c>
      <c r="G5891" s="18"/>
      <c r="H5891" s="18"/>
      <c r="I5891" s="19">
        <v>5889</v>
      </c>
      <c r="J5891" s="19" cm="1">
        <f t="array" aca="1" ref="J5891" ca="1">INDIRECT("b"&amp;K5891+2)</f>
        <v>0</v>
      </c>
      <c r="K5891" s="19">
        <f t="shared" si="1238"/>
        <v>9450</v>
      </c>
    </row>
    <row r="5892" spans="1:11">
      <c r="A5892">
        <v>5890</v>
      </c>
      <c r="B5892">
        <v>2.8000000000000002E+169</v>
      </c>
      <c r="D5892" s="18">
        <v>5890</v>
      </c>
      <c r="E5892" s="18" cm="1">
        <f t="array" aca="1" ref="E5892" ca="1">INDIRECT("b"&amp;F5892+2)</f>
        <v>0</v>
      </c>
      <c r="F5892" s="18">
        <f t="shared" si="1241"/>
        <v>8252</v>
      </c>
      <c r="G5892" s="18"/>
      <c r="H5892" s="18"/>
      <c r="I5892" s="19">
        <v>5890</v>
      </c>
      <c r="J5892" s="19" cm="1">
        <f t="array" aca="1" ref="J5892" ca="1">INDIRECT("b"&amp;K5892+2)</f>
        <v>0</v>
      </c>
      <c r="K5892" s="19">
        <f t="shared" ref="K5892:K5955" si="1253">INT((A5892-1)*40/30+900*40/30)+400</f>
        <v>9452</v>
      </c>
    </row>
    <row r="5893" spans="1:11">
      <c r="A5893">
        <v>5891</v>
      </c>
      <c r="B5893">
        <v>3.0249999999999999E+169</v>
      </c>
      <c r="D5893" s="18">
        <v>5891</v>
      </c>
      <c r="E5893" s="18" cm="1">
        <f t="array" aca="1" ref="E5893" ca="1">INDIRECT("b"&amp;F5893+2)</f>
        <v>0</v>
      </c>
      <c r="F5893" s="18">
        <f t="shared" si="1241"/>
        <v>8253</v>
      </c>
      <c r="G5893" s="18"/>
      <c r="H5893" s="18"/>
      <c r="I5893" s="19">
        <v>5891</v>
      </c>
      <c r="J5893" s="19" cm="1">
        <f t="array" aca="1" ref="J5893" ca="1">INDIRECT("b"&amp;K5893+2)</f>
        <v>0</v>
      </c>
      <c r="K5893" s="19">
        <f t="shared" si="1253"/>
        <v>9453</v>
      </c>
    </row>
    <row r="5894" spans="1:11">
      <c r="A5894">
        <v>5892</v>
      </c>
      <c r="B5894">
        <v>3.2500000000000004E+169</v>
      </c>
      <c r="D5894" s="18">
        <v>5892</v>
      </c>
      <c r="E5894" s="18" cm="1">
        <f t="array" aca="1" ref="E5894" ca="1">INDIRECT("b"&amp;F5894+2)</f>
        <v>0</v>
      </c>
      <c r="F5894" s="18">
        <f t="shared" si="1241"/>
        <v>8254</v>
      </c>
      <c r="G5894" s="18"/>
      <c r="H5894" s="18"/>
      <c r="I5894" s="19">
        <v>5892</v>
      </c>
      <c r="J5894" s="19" cm="1">
        <f t="array" aca="1" ref="J5894" ca="1">INDIRECT("b"&amp;K5894+2)</f>
        <v>0</v>
      </c>
      <c r="K5894" s="19">
        <f t="shared" si="1253"/>
        <v>9454</v>
      </c>
    </row>
    <row r="5895" spans="1:11">
      <c r="A5895">
        <v>5893</v>
      </c>
      <c r="B5895">
        <v>3.4750000000000002E+169</v>
      </c>
      <c r="D5895" s="18">
        <v>5893</v>
      </c>
      <c r="E5895" s="18" cm="1">
        <f t="array" aca="1" ref="E5895" ca="1">INDIRECT("b"&amp;F5895+2)</f>
        <v>0</v>
      </c>
      <c r="F5895" s="18">
        <f t="shared" si="1241"/>
        <v>8256</v>
      </c>
      <c r="G5895" s="18" t="e">
        <f t="shared" ref="G5895" ca="1" si="1254">E5895/E5890</f>
        <v>#DIV/0!</v>
      </c>
      <c r="H5895" s="18"/>
      <c r="I5895" s="19">
        <v>5893</v>
      </c>
      <c r="J5895" s="19" cm="1">
        <f t="array" aca="1" ref="J5895" ca="1">INDIRECT("b"&amp;K5895+2)</f>
        <v>0</v>
      </c>
      <c r="K5895" s="19">
        <f t="shared" si="1253"/>
        <v>9456</v>
      </c>
    </row>
    <row r="5896" spans="1:11">
      <c r="A5896">
        <v>5894</v>
      </c>
      <c r="B5896">
        <v>3.7E+169</v>
      </c>
      <c r="D5896" s="18">
        <v>5894</v>
      </c>
      <c r="E5896" s="18" cm="1">
        <f t="array" aca="1" ref="E5896" ca="1">INDIRECT("b"&amp;F5896+2)</f>
        <v>0</v>
      </c>
      <c r="F5896" s="18">
        <f t="shared" si="1241"/>
        <v>8257</v>
      </c>
      <c r="G5896" s="18"/>
      <c r="H5896" s="18"/>
      <c r="I5896" s="19">
        <v>5894</v>
      </c>
      <c r="J5896" s="19" cm="1">
        <f t="array" aca="1" ref="J5896" ca="1">INDIRECT("b"&amp;K5896+2)</f>
        <v>0</v>
      </c>
      <c r="K5896" s="19">
        <f t="shared" si="1253"/>
        <v>9457</v>
      </c>
    </row>
    <row r="5897" spans="1:11">
      <c r="A5897">
        <v>5895</v>
      </c>
      <c r="B5897">
        <v>3.9250000000000005E+169</v>
      </c>
      <c r="D5897" s="18">
        <v>5895</v>
      </c>
      <c r="E5897" s="18" cm="1">
        <f t="array" aca="1" ref="E5897" ca="1">INDIRECT("b"&amp;F5897+2)</f>
        <v>0</v>
      </c>
      <c r="F5897" s="18">
        <f t="shared" si="1241"/>
        <v>8258</v>
      </c>
      <c r="G5897" s="18"/>
      <c r="H5897" s="18"/>
      <c r="I5897" s="19">
        <v>5895</v>
      </c>
      <c r="J5897" s="19" cm="1">
        <f t="array" aca="1" ref="J5897" ca="1">INDIRECT("b"&amp;K5897+2)</f>
        <v>0</v>
      </c>
      <c r="K5897" s="19">
        <f t="shared" si="1253"/>
        <v>9458</v>
      </c>
    </row>
    <row r="5898" spans="1:11">
      <c r="A5898">
        <v>5896</v>
      </c>
      <c r="B5898">
        <v>4.1500000000000003E+169</v>
      </c>
      <c r="D5898" s="18">
        <v>5896</v>
      </c>
      <c r="E5898" s="18" cm="1">
        <f t="array" aca="1" ref="E5898" ca="1">INDIRECT("b"&amp;F5898+2)</f>
        <v>0</v>
      </c>
      <c r="F5898" s="18">
        <f t="shared" si="1241"/>
        <v>8260</v>
      </c>
      <c r="G5898" s="18"/>
      <c r="H5898" s="18"/>
      <c r="I5898" s="19">
        <v>5896</v>
      </c>
      <c r="J5898" s="19" cm="1">
        <f t="array" aca="1" ref="J5898" ca="1">INDIRECT("b"&amp;K5898+2)</f>
        <v>0</v>
      </c>
      <c r="K5898" s="19">
        <f t="shared" si="1253"/>
        <v>9460</v>
      </c>
    </row>
    <row r="5899" spans="1:11">
      <c r="A5899">
        <v>5897</v>
      </c>
      <c r="B5899">
        <v>4.3750000000000001E+169</v>
      </c>
      <c r="D5899" s="18">
        <v>5897</v>
      </c>
      <c r="E5899" s="18" cm="1">
        <f t="array" aca="1" ref="E5899" ca="1">INDIRECT("b"&amp;F5899+2)</f>
        <v>0</v>
      </c>
      <c r="F5899" s="18">
        <f t="shared" si="1241"/>
        <v>8261</v>
      </c>
      <c r="G5899" s="18"/>
      <c r="H5899" s="18"/>
      <c r="I5899" s="19">
        <v>5897</v>
      </c>
      <c r="J5899" s="19" cm="1">
        <f t="array" aca="1" ref="J5899" ca="1">INDIRECT("b"&amp;K5899+2)</f>
        <v>0</v>
      </c>
      <c r="K5899" s="19">
        <f t="shared" si="1253"/>
        <v>9461</v>
      </c>
    </row>
    <row r="5900" spans="1:11">
      <c r="A5900">
        <v>5898</v>
      </c>
      <c r="B5900">
        <v>4.5999999999999999E+169</v>
      </c>
      <c r="D5900" s="18">
        <v>5898</v>
      </c>
      <c r="E5900" s="18" cm="1">
        <f t="array" aca="1" ref="E5900" ca="1">INDIRECT("b"&amp;F5900+2)</f>
        <v>0</v>
      </c>
      <c r="F5900" s="18">
        <f t="shared" si="1241"/>
        <v>8262</v>
      </c>
      <c r="G5900" s="18" t="e">
        <f t="shared" ref="G5900" ca="1" si="1255">E5900/E5895</f>
        <v>#DIV/0!</v>
      </c>
      <c r="H5900" s="18"/>
      <c r="I5900" s="19">
        <v>5898</v>
      </c>
      <c r="J5900" s="19" cm="1">
        <f t="array" aca="1" ref="J5900" ca="1">INDIRECT("b"&amp;K5900+2)</f>
        <v>0</v>
      </c>
      <c r="K5900" s="19">
        <f t="shared" si="1253"/>
        <v>9462</v>
      </c>
    </row>
    <row r="5901" spans="1:11">
      <c r="A5901">
        <v>5899</v>
      </c>
      <c r="B5901">
        <v>4.8250000000000003E+169</v>
      </c>
      <c r="D5901" s="18">
        <v>5899</v>
      </c>
      <c r="E5901" s="18" cm="1">
        <f t="array" aca="1" ref="E5901" ca="1">INDIRECT("b"&amp;F5901+2)</f>
        <v>0</v>
      </c>
      <c r="F5901" s="18">
        <f t="shared" si="1241"/>
        <v>8264</v>
      </c>
      <c r="G5901" s="18"/>
      <c r="H5901" s="18"/>
      <c r="I5901" s="19">
        <v>5899</v>
      </c>
      <c r="J5901" s="19" cm="1">
        <f t="array" aca="1" ref="J5901" ca="1">INDIRECT("b"&amp;K5901+2)</f>
        <v>0</v>
      </c>
      <c r="K5901" s="19">
        <f t="shared" si="1253"/>
        <v>9464</v>
      </c>
    </row>
    <row r="5902" spans="1:11">
      <c r="A5902">
        <v>5900</v>
      </c>
      <c r="B5902">
        <v>5.0500000000000001E+169</v>
      </c>
      <c r="D5902" s="18">
        <v>5900</v>
      </c>
      <c r="E5902" s="18" cm="1">
        <f t="array" aca="1" ref="E5902" ca="1">INDIRECT("b"&amp;F5902+2)</f>
        <v>0</v>
      </c>
      <c r="F5902" s="18">
        <f t="shared" si="1241"/>
        <v>8265</v>
      </c>
      <c r="G5902" s="18"/>
      <c r="H5902" s="18"/>
      <c r="I5902" s="19">
        <v>5900</v>
      </c>
      <c r="J5902" s="19" cm="1">
        <f t="array" aca="1" ref="J5902" ca="1">INDIRECT("b"&amp;K5902+2)</f>
        <v>0</v>
      </c>
      <c r="K5902" s="19">
        <f t="shared" si="1253"/>
        <v>9465</v>
      </c>
    </row>
    <row r="5903" spans="1:11">
      <c r="A5903">
        <v>5901</v>
      </c>
      <c r="B5903">
        <v>5.2749999999999999E+169</v>
      </c>
      <c r="D5903" s="18">
        <v>5901</v>
      </c>
      <c r="E5903" s="18" cm="1">
        <f t="array" aca="1" ref="E5903" ca="1">INDIRECT("b"&amp;F5903+2)</f>
        <v>0</v>
      </c>
      <c r="F5903" s="18">
        <f t="shared" si="1241"/>
        <v>8266</v>
      </c>
      <c r="G5903" s="18"/>
      <c r="H5903" s="18"/>
      <c r="I5903" s="19">
        <v>5901</v>
      </c>
      <c r="J5903" s="19" cm="1">
        <f t="array" aca="1" ref="J5903" ca="1">INDIRECT("b"&amp;K5903+2)</f>
        <v>0</v>
      </c>
      <c r="K5903" s="19">
        <f t="shared" si="1253"/>
        <v>9466</v>
      </c>
    </row>
    <row r="5904" spans="1:11">
      <c r="A5904">
        <v>5902</v>
      </c>
      <c r="B5904">
        <v>5.5000000000000004E+169</v>
      </c>
      <c r="D5904" s="18">
        <v>5902</v>
      </c>
      <c r="E5904" s="18" cm="1">
        <f t="array" aca="1" ref="E5904" ca="1">INDIRECT("b"&amp;F5904+2)</f>
        <v>0</v>
      </c>
      <c r="F5904" s="18">
        <f t="shared" si="1241"/>
        <v>8268</v>
      </c>
      <c r="G5904" s="18"/>
      <c r="H5904" s="18"/>
      <c r="I5904" s="19">
        <v>5902</v>
      </c>
      <c r="J5904" s="19" cm="1">
        <f t="array" aca="1" ref="J5904" ca="1">INDIRECT("b"&amp;K5904+2)</f>
        <v>0</v>
      </c>
      <c r="K5904" s="19">
        <f t="shared" si="1253"/>
        <v>9468</v>
      </c>
    </row>
    <row r="5905" spans="1:11">
      <c r="A5905">
        <v>5903</v>
      </c>
      <c r="B5905">
        <v>5.7250000000000002E+169</v>
      </c>
      <c r="D5905" s="18">
        <v>5903</v>
      </c>
      <c r="E5905" s="18" cm="1">
        <f t="array" aca="1" ref="E5905" ca="1">INDIRECT("b"&amp;F5905+2)</f>
        <v>0</v>
      </c>
      <c r="F5905" s="18">
        <f t="shared" si="1241"/>
        <v>8269</v>
      </c>
      <c r="G5905" s="18" t="e">
        <f t="shared" ref="G5905" ca="1" si="1256">E5905/E5900</f>
        <v>#DIV/0!</v>
      </c>
      <c r="H5905" s="18"/>
      <c r="I5905" s="19">
        <v>5903</v>
      </c>
      <c r="J5905" s="19" cm="1">
        <f t="array" aca="1" ref="J5905" ca="1">INDIRECT("b"&amp;K5905+2)</f>
        <v>0</v>
      </c>
      <c r="K5905" s="19">
        <f t="shared" si="1253"/>
        <v>9469</v>
      </c>
    </row>
    <row r="5906" spans="1:11">
      <c r="A5906">
        <v>5904</v>
      </c>
      <c r="B5906">
        <v>5.95E+169</v>
      </c>
      <c r="D5906" s="18">
        <v>5904</v>
      </c>
      <c r="E5906" s="18" cm="1">
        <f t="array" aca="1" ref="E5906" ca="1">INDIRECT("b"&amp;F5906+2)</f>
        <v>0</v>
      </c>
      <c r="F5906" s="18">
        <f t="shared" si="1241"/>
        <v>8270</v>
      </c>
      <c r="G5906" s="18"/>
      <c r="H5906" s="18"/>
      <c r="I5906" s="19">
        <v>5904</v>
      </c>
      <c r="J5906" s="19" cm="1">
        <f t="array" aca="1" ref="J5906" ca="1">INDIRECT("b"&amp;K5906+2)</f>
        <v>0</v>
      </c>
      <c r="K5906" s="19">
        <f t="shared" si="1253"/>
        <v>9470</v>
      </c>
    </row>
    <row r="5907" spans="1:11">
      <c r="A5907">
        <v>5905</v>
      </c>
      <c r="B5907">
        <v>6.1750000000000005E+169</v>
      </c>
      <c r="D5907" s="18">
        <v>5905</v>
      </c>
      <c r="E5907" s="18" cm="1">
        <f t="array" aca="1" ref="E5907" ca="1">INDIRECT("b"&amp;F5907+2)</f>
        <v>0</v>
      </c>
      <c r="F5907" s="18">
        <f t="shared" ref="F5907:F5970" si="1257">INT((A5907-123)*1.333333)+563</f>
        <v>8272</v>
      </c>
      <c r="G5907" s="18"/>
      <c r="H5907" s="18"/>
      <c r="I5907" s="19">
        <v>5905</v>
      </c>
      <c r="J5907" s="19" cm="1">
        <f t="array" aca="1" ref="J5907" ca="1">INDIRECT("b"&amp;K5907+2)</f>
        <v>0</v>
      </c>
      <c r="K5907" s="19">
        <f t="shared" si="1253"/>
        <v>9472</v>
      </c>
    </row>
    <row r="5908" spans="1:11">
      <c r="A5908">
        <v>5906</v>
      </c>
      <c r="B5908">
        <v>6.3999999999999996E+169</v>
      </c>
      <c r="D5908" s="18">
        <v>5906</v>
      </c>
      <c r="E5908" s="18" cm="1">
        <f t="array" aca="1" ref="E5908" ca="1">INDIRECT("b"&amp;F5908+2)</f>
        <v>0</v>
      </c>
      <c r="F5908" s="18">
        <f t="shared" si="1257"/>
        <v>8273</v>
      </c>
      <c r="G5908" s="18"/>
      <c r="H5908" s="18"/>
      <c r="I5908" s="19">
        <v>5906</v>
      </c>
      <c r="J5908" s="19" cm="1">
        <f t="array" aca="1" ref="J5908" ca="1">INDIRECT("b"&amp;K5908+2)</f>
        <v>0</v>
      </c>
      <c r="K5908" s="19">
        <f t="shared" si="1253"/>
        <v>9473</v>
      </c>
    </row>
    <row r="5909" spans="1:11">
      <c r="A5909">
        <v>5907</v>
      </c>
      <c r="B5909">
        <v>6.625E+169</v>
      </c>
      <c r="D5909" s="18">
        <v>5907</v>
      </c>
      <c r="E5909" s="18" cm="1">
        <f t="array" aca="1" ref="E5909" ca="1">INDIRECT("b"&amp;F5909+2)</f>
        <v>0</v>
      </c>
      <c r="F5909" s="18">
        <f t="shared" si="1257"/>
        <v>8274</v>
      </c>
      <c r="G5909" s="18"/>
      <c r="H5909" s="18"/>
      <c r="I5909" s="19">
        <v>5907</v>
      </c>
      <c r="J5909" s="19" cm="1">
        <f t="array" aca="1" ref="J5909" ca="1">INDIRECT("b"&amp;K5909+2)</f>
        <v>0</v>
      </c>
      <c r="K5909" s="19">
        <f t="shared" si="1253"/>
        <v>9474</v>
      </c>
    </row>
    <row r="5910" spans="1:11">
      <c r="A5910">
        <v>5908</v>
      </c>
      <c r="B5910">
        <v>6.8500000000000005E+169</v>
      </c>
      <c r="D5910" s="18">
        <v>5908</v>
      </c>
      <c r="E5910" s="18" cm="1">
        <f t="array" aca="1" ref="E5910" ca="1">INDIRECT("b"&amp;F5910+2)</f>
        <v>0</v>
      </c>
      <c r="F5910" s="18">
        <f t="shared" si="1257"/>
        <v>8276</v>
      </c>
      <c r="G5910" s="18" t="e">
        <f t="shared" ref="G5910" ca="1" si="1258">E5910/E5905</f>
        <v>#DIV/0!</v>
      </c>
      <c r="H5910" s="18"/>
      <c r="I5910" s="19">
        <v>5908</v>
      </c>
      <c r="J5910" s="19" cm="1">
        <f t="array" aca="1" ref="J5910" ca="1">INDIRECT("b"&amp;K5910+2)</f>
        <v>0</v>
      </c>
      <c r="K5910" s="19">
        <f t="shared" si="1253"/>
        <v>9476</v>
      </c>
    </row>
    <row r="5911" spans="1:11">
      <c r="A5911">
        <v>5909</v>
      </c>
      <c r="B5911">
        <v>7.0749999999999996E+169</v>
      </c>
      <c r="D5911" s="18">
        <v>5909</v>
      </c>
      <c r="E5911" s="18" cm="1">
        <f t="array" aca="1" ref="E5911" ca="1">INDIRECT("b"&amp;F5911+2)</f>
        <v>0</v>
      </c>
      <c r="F5911" s="18">
        <f t="shared" si="1257"/>
        <v>8277</v>
      </c>
      <c r="G5911" s="18"/>
      <c r="H5911" s="18"/>
      <c r="I5911" s="19">
        <v>5909</v>
      </c>
      <c r="J5911" s="19" cm="1">
        <f t="array" aca="1" ref="J5911" ca="1">INDIRECT("b"&amp;K5911+2)</f>
        <v>0</v>
      </c>
      <c r="K5911" s="19">
        <f t="shared" si="1253"/>
        <v>9477</v>
      </c>
    </row>
    <row r="5912" spans="1:11">
      <c r="A5912">
        <v>5910</v>
      </c>
      <c r="B5912">
        <v>7.3000000000000001E+169</v>
      </c>
      <c r="D5912" s="18">
        <v>5910</v>
      </c>
      <c r="E5912" s="18" cm="1">
        <f t="array" aca="1" ref="E5912" ca="1">INDIRECT("b"&amp;F5912+2)</f>
        <v>0</v>
      </c>
      <c r="F5912" s="18">
        <f t="shared" si="1257"/>
        <v>8278</v>
      </c>
      <c r="G5912" s="18"/>
      <c r="H5912" s="18"/>
      <c r="I5912" s="19">
        <v>5910</v>
      </c>
      <c r="J5912" s="19" cm="1">
        <f t="array" aca="1" ref="J5912" ca="1">INDIRECT("b"&amp;K5912+2)</f>
        <v>0</v>
      </c>
      <c r="K5912" s="19">
        <f t="shared" si="1253"/>
        <v>9478</v>
      </c>
    </row>
    <row r="5913" spans="1:11">
      <c r="A5913">
        <v>5911</v>
      </c>
      <c r="B5913">
        <v>7.5250000000000006E+169</v>
      </c>
      <c r="D5913" s="18">
        <v>5911</v>
      </c>
      <c r="E5913" s="18" cm="1">
        <f t="array" aca="1" ref="E5913" ca="1">INDIRECT("b"&amp;F5913+2)</f>
        <v>0</v>
      </c>
      <c r="F5913" s="18">
        <f t="shared" si="1257"/>
        <v>8280</v>
      </c>
      <c r="G5913" s="18"/>
      <c r="H5913" s="18"/>
      <c r="I5913" s="19">
        <v>5911</v>
      </c>
      <c r="J5913" s="19" cm="1">
        <f t="array" aca="1" ref="J5913" ca="1">INDIRECT("b"&amp;K5913+2)</f>
        <v>0</v>
      </c>
      <c r="K5913" s="19">
        <f t="shared" si="1253"/>
        <v>9480</v>
      </c>
    </row>
    <row r="5914" spans="1:11">
      <c r="A5914">
        <v>5912</v>
      </c>
      <c r="B5914">
        <v>7.7499999999999997E+169</v>
      </c>
      <c r="D5914" s="18">
        <v>5912</v>
      </c>
      <c r="E5914" s="18" cm="1">
        <f t="array" aca="1" ref="E5914" ca="1">INDIRECT("b"&amp;F5914+2)</f>
        <v>0</v>
      </c>
      <c r="F5914" s="18">
        <f t="shared" si="1257"/>
        <v>8281</v>
      </c>
      <c r="G5914" s="18"/>
      <c r="H5914" s="18"/>
      <c r="I5914" s="19">
        <v>5912</v>
      </c>
      <c r="J5914" s="19" cm="1">
        <f t="array" aca="1" ref="J5914" ca="1">INDIRECT("b"&amp;K5914+2)</f>
        <v>0</v>
      </c>
      <c r="K5914" s="19">
        <f t="shared" si="1253"/>
        <v>9481</v>
      </c>
    </row>
    <row r="5915" spans="1:11">
      <c r="A5915">
        <v>5913</v>
      </c>
      <c r="B5915">
        <v>7.9750000000000002E+169</v>
      </c>
      <c r="D5915" s="18">
        <v>5913</v>
      </c>
      <c r="E5915" s="18" cm="1">
        <f t="array" aca="1" ref="E5915" ca="1">INDIRECT("b"&amp;F5915+2)</f>
        <v>0</v>
      </c>
      <c r="F5915" s="18">
        <f t="shared" si="1257"/>
        <v>8282</v>
      </c>
      <c r="G5915" s="18" t="e">
        <f t="shared" ref="G5915" ca="1" si="1259">E5915/E5910</f>
        <v>#DIV/0!</v>
      </c>
      <c r="H5915" s="18"/>
      <c r="I5915" s="19">
        <v>5913</v>
      </c>
      <c r="J5915" s="19" cm="1">
        <f t="array" aca="1" ref="J5915" ca="1">INDIRECT("b"&amp;K5915+2)</f>
        <v>0</v>
      </c>
      <c r="K5915" s="19">
        <f t="shared" si="1253"/>
        <v>9482</v>
      </c>
    </row>
    <row r="5916" spans="1:11">
      <c r="A5916">
        <v>5914</v>
      </c>
      <c r="B5916">
        <v>8.2000000000000006E+169</v>
      </c>
      <c r="D5916" s="18">
        <v>5914</v>
      </c>
      <c r="E5916" s="18" cm="1">
        <f t="array" aca="1" ref="E5916" ca="1">INDIRECT("b"&amp;F5916+2)</f>
        <v>0</v>
      </c>
      <c r="F5916" s="18">
        <f t="shared" si="1257"/>
        <v>8284</v>
      </c>
      <c r="G5916" s="18"/>
      <c r="H5916" s="18"/>
      <c r="I5916" s="19">
        <v>5914</v>
      </c>
      <c r="J5916" s="19" cm="1">
        <f t="array" aca="1" ref="J5916" ca="1">INDIRECT("b"&amp;K5916+2)</f>
        <v>0</v>
      </c>
      <c r="K5916" s="19">
        <f t="shared" si="1253"/>
        <v>9484</v>
      </c>
    </row>
    <row r="5917" spans="1:11">
      <c r="A5917">
        <v>5915</v>
      </c>
      <c r="B5917">
        <v>8.4249999999999998E+169</v>
      </c>
      <c r="D5917" s="18">
        <v>5915</v>
      </c>
      <c r="E5917" s="18" cm="1">
        <f t="array" aca="1" ref="E5917" ca="1">INDIRECT("b"&amp;F5917+2)</f>
        <v>0</v>
      </c>
      <c r="F5917" s="18">
        <f t="shared" si="1257"/>
        <v>8285</v>
      </c>
      <c r="G5917" s="18"/>
      <c r="H5917" s="18"/>
      <c r="I5917" s="19">
        <v>5915</v>
      </c>
      <c r="J5917" s="19" cm="1">
        <f t="array" aca="1" ref="J5917" ca="1">INDIRECT("b"&amp;K5917+2)</f>
        <v>0</v>
      </c>
      <c r="K5917" s="19">
        <f t="shared" si="1253"/>
        <v>9485</v>
      </c>
    </row>
    <row r="5918" spans="1:11">
      <c r="A5918">
        <v>5916</v>
      </c>
      <c r="B5918">
        <v>8.6500000000000002E+169</v>
      </c>
      <c r="D5918" s="18">
        <v>5916</v>
      </c>
      <c r="E5918" s="18" cm="1">
        <f t="array" aca="1" ref="E5918" ca="1">INDIRECT("b"&amp;F5918+2)</f>
        <v>0</v>
      </c>
      <c r="F5918" s="18">
        <f t="shared" si="1257"/>
        <v>8286</v>
      </c>
      <c r="G5918" s="18"/>
      <c r="H5918" s="18"/>
      <c r="I5918" s="19">
        <v>5916</v>
      </c>
      <c r="J5918" s="19" cm="1">
        <f t="array" aca="1" ref="J5918" ca="1">INDIRECT("b"&amp;K5918+2)</f>
        <v>0</v>
      </c>
      <c r="K5918" s="19">
        <f t="shared" si="1253"/>
        <v>9486</v>
      </c>
    </row>
    <row r="5919" spans="1:11">
      <c r="A5919">
        <v>5917</v>
      </c>
      <c r="B5919">
        <v>8.8750000000000007E+169</v>
      </c>
      <c r="D5919" s="18">
        <v>5917</v>
      </c>
      <c r="E5919" s="18" cm="1">
        <f t="array" aca="1" ref="E5919" ca="1">INDIRECT("b"&amp;F5919+2)</f>
        <v>0</v>
      </c>
      <c r="F5919" s="18">
        <f t="shared" si="1257"/>
        <v>8288</v>
      </c>
      <c r="G5919" s="18"/>
      <c r="H5919" s="18"/>
      <c r="I5919" s="19">
        <v>5917</v>
      </c>
      <c r="J5919" s="19" cm="1">
        <f t="array" aca="1" ref="J5919" ca="1">INDIRECT("b"&amp;K5919+2)</f>
        <v>0</v>
      </c>
      <c r="K5919" s="19">
        <f t="shared" si="1253"/>
        <v>9488</v>
      </c>
    </row>
    <row r="5920" spans="1:11">
      <c r="A5920">
        <v>5918</v>
      </c>
      <c r="B5920">
        <v>9.0999999999999998E+169</v>
      </c>
      <c r="D5920" s="18">
        <v>5918</v>
      </c>
      <c r="E5920" s="18" cm="1">
        <f t="array" aca="1" ref="E5920" ca="1">INDIRECT("b"&amp;F5920+2)</f>
        <v>0</v>
      </c>
      <c r="F5920" s="18">
        <f t="shared" si="1257"/>
        <v>8289</v>
      </c>
      <c r="G5920" s="18" t="e">
        <f t="shared" ref="G5920" ca="1" si="1260">E5920/E5915</f>
        <v>#DIV/0!</v>
      </c>
      <c r="H5920" s="18"/>
      <c r="I5920" s="19">
        <v>5918</v>
      </c>
      <c r="J5920" s="19" cm="1">
        <f t="array" aca="1" ref="J5920" ca="1">INDIRECT("b"&amp;K5920+2)</f>
        <v>0</v>
      </c>
      <c r="K5920" s="19">
        <f t="shared" si="1253"/>
        <v>9489</v>
      </c>
    </row>
    <row r="5921" spans="1:11">
      <c r="A5921">
        <v>5919</v>
      </c>
      <c r="B5921">
        <v>9.3250000000000003E+169</v>
      </c>
      <c r="D5921" s="18">
        <v>5919</v>
      </c>
      <c r="E5921" s="18" cm="1">
        <f t="array" aca="1" ref="E5921" ca="1">INDIRECT("b"&amp;F5921+2)</f>
        <v>0</v>
      </c>
      <c r="F5921" s="18">
        <f t="shared" si="1257"/>
        <v>8290</v>
      </c>
      <c r="G5921" s="18"/>
      <c r="H5921" s="18"/>
      <c r="I5921" s="19">
        <v>5919</v>
      </c>
      <c r="J5921" s="19" cm="1">
        <f t="array" aca="1" ref="J5921" ca="1">INDIRECT("b"&amp;K5921+2)</f>
        <v>0</v>
      </c>
      <c r="K5921" s="19">
        <f t="shared" si="1253"/>
        <v>9490</v>
      </c>
    </row>
    <row r="5922" spans="1:11">
      <c r="A5922">
        <v>5920</v>
      </c>
      <c r="B5922">
        <v>9.5500000000000008E+169</v>
      </c>
      <c r="D5922" s="18">
        <v>5920</v>
      </c>
      <c r="E5922" s="18" cm="1">
        <f t="array" aca="1" ref="E5922" ca="1">INDIRECT("b"&amp;F5922+2)</f>
        <v>0</v>
      </c>
      <c r="F5922" s="18">
        <f t="shared" si="1257"/>
        <v>8292</v>
      </c>
      <c r="G5922" s="18"/>
      <c r="H5922" s="18"/>
      <c r="I5922" s="19">
        <v>5920</v>
      </c>
      <c r="J5922" s="19" cm="1">
        <f t="array" aca="1" ref="J5922" ca="1">INDIRECT("b"&amp;K5922+2)</f>
        <v>0</v>
      </c>
      <c r="K5922" s="19">
        <f t="shared" si="1253"/>
        <v>9492</v>
      </c>
    </row>
    <row r="5923" spans="1:11">
      <c r="A5923">
        <v>5921</v>
      </c>
      <c r="B5923">
        <v>9.7749999999999999E+169</v>
      </c>
      <c r="D5923" s="18">
        <v>5921</v>
      </c>
      <c r="E5923" s="18" cm="1">
        <f t="array" aca="1" ref="E5923" ca="1">INDIRECT("b"&amp;F5923+2)</f>
        <v>0</v>
      </c>
      <c r="F5923" s="18">
        <f t="shared" si="1257"/>
        <v>8293</v>
      </c>
      <c r="G5923" s="18"/>
      <c r="H5923" s="18"/>
      <c r="I5923" s="19">
        <v>5921</v>
      </c>
      <c r="J5923" s="19" cm="1">
        <f t="array" aca="1" ref="J5923" ca="1">INDIRECT("b"&amp;K5923+2)</f>
        <v>0</v>
      </c>
      <c r="K5923" s="19">
        <f t="shared" si="1253"/>
        <v>9493</v>
      </c>
    </row>
    <row r="5924" spans="1:11">
      <c r="A5924">
        <v>5922</v>
      </c>
      <c r="B5924">
        <v>9.999999999999999E+169</v>
      </c>
      <c r="D5924" s="18">
        <v>5922</v>
      </c>
      <c r="E5924" s="18" cm="1">
        <f t="array" aca="1" ref="E5924" ca="1">INDIRECT("b"&amp;F5924+2)</f>
        <v>0</v>
      </c>
      <c r="F5924" s="18">
        <f t="shared" si="1257"/>
        <v>8294</v>
      </c>
      <c r="G5924" s="18"/>
      <c r="H5924" s="18"/>
      <c r="I5924" s="19">
        <v>5922</v>
      </c>
      <c r="J5924" s="19" cm="1">
        <f t="array" aca="1" ref="J5924" ca="1">INDIRECT("b"&amp;K5924+2)</f>
        <v>0</v>
      </c>
      <c r="K5924" s="19">
        <f t="shared" si="1253"/>
        <v>9494</v>
      </c>
    </row>
    <row r="5925" spans="1:11">
      <c r="A5925">
        <v>5923</v>
      </c>
      <c r="B5925">
        <v>1.2249999999999998E+170</v>
      </c>
      <c r="D5925" s="18">
        <v>5923</v>
      </c>
      <c r="E5925" s="18" cm="1">
        <f t="array" aca="1" ref="E5925" ca="1">INDIRECT("b"&amp;F5925+2)</f>
        <v>0</v>
      </c>
      <c r="F5925" s="18">
        <f t="shared" si="1257"/>
        <v>8296</v>
      </c>
      <c r="G5925" s="18" t="e">
        <f t="shared" ref="G5925" ca="1" si="1261">E5925/E5920</f>
        <v>#DIV/0!</v>
      </c>
      <c r="H5925" s="18"/>
      <c r="I5925" s="19">
        <v>5923</v>
      </c>
      <c r="J5925" s="19" cm="1">
        <f t="array" aca="1" ref="J5925" ca="1">INDIRECT("b"&amp;K5925+2)</f>
        <v>0</v>
      </c>
      <c r="K5925" s="19">
        <f t="shared" si="1253"/>
        <v>9496</v>
      </c>
    </row>
    <row r="5926" spans="1:11">
      <c r="A5926">
        <v>5924</v>
      </c>
      <c r="B5926">
        <v>1.45E+170</v>
      </c>
      <c r="D5926" s="18">
        <v>5924</v>
      </c>
      <c r="E5926" s="18" cm="1">
        <f t="array" aca="1" ref="E5926" ca="1">INDIRECT("b"&amp;F5926+2)</f>
        <v>0</v>
      </c>
      <c r="F5926" s="18">
        <f t="shared" si="1257"/>
        <v>8297</v>
      </c>
      <c r="G5926" s="18"/>
      <c r="H5926" s="18"/>
      <c r="I5926" s="19">
        <v>5924</v>
      </c>
      <c r="J5926" s="19" cm="1">
        <f t="array" aca="1" ref="J5926" ca="1">INDIRECT("b"&amp;K5926+2)</f>
        <v>0</v>
      </c>
      <c r="K5926" s="19">
        <f t="shared" si="1253"/>
        <v>9497</v>
      </c>
    </row>
    <row r="5927" spans="1:11">
      <c r="A5927">
        <v>5925</v>
      </c>
      <c r="B5927">
        <v>1.675E+170</v>
      </c>
      <c r="D5927" s="18">
        <v>5925</v>
      </c>
      <c r="E5927" s="18" cm="1">
        <f t="array" aca="1" ref="E5927" ca="1">INDIRECT("b"&amp;F5927+2)</f>
        <v>0</v>
      </c>
      <c r="F5927" s="18">
        <f t="shared" si="1257"/>
        <v>8298</v>
      </c>
      <c r="G5927" s="18"/>
      <c r="H5927" s="18"/>
      <c r="I5927" s="19">
        <v>5925</v>
      </c>
      <c r="J5927" s="19" cm="1">
        <f t="array" aca="1" ref="J5927" ca="1">INDIRECT("b"&amp;K5927+2)</f>
        <v>0</v>
      </c>
      <c r="K5927" s="19">
        <f t="shared" si="1253"/>
        <v>9498</v>
      </c>
    </row>
    <row r="5928" spans="1:11">
      <c r="A5928">
        <v>5926</v>
      </c>
      <c r="B5928">
        <v>1.8999999999999999E+170</v>
      </c>
      <c r="D5928" s="18">
        <v>5926</v>
      </c>
      <c r="E5928" s="18" cm="1">
        <f t="array" aca="1" ref="E5928" ca="1">INDIRECT("b"&amp;F5928+2)</f>
        <v>0</v>
      </c>
      <c r="F5928" s="18">
        <f t="shared" si="1257"/>
        <v>8300</v>
      </c>
      <c r="G5928" s="18"/>
      <c r="H5928" s="18"/>
      <c r="I5928" s="19">
        <v>5926</v>
      </c>
      <c r="J5928" s="19" cm="1">
        <f t="array" aca="1" ref="J5928" ca="1">INDIRECT("b"&amp;K5928+2)</f>
        <v>0</v>
      </c>
      <c r="K5928" s="19">
        <f t="shared" si="1253"/>
        <v>9500</v>
      </c>
    </row>
    <row r="5929" spans="1:11">
      <c r="A5929">
        <v>5927</v>
      </c>
      <c r="B5929">
        <v>2.1249999999999998E+170</v>
      </c>
      <c r="D5929" s="18">
        <v>5927</v>
      </c>
      <c r="E5929" s="18" cm="1">
        <f t="array" aca="1" ref="E5929" ca="1">INDIRECT("b"&amp;F5929+2)</f>
        <v>0</v>
      </c>
      <c r="F5929" s="18">
        <f t="shared" si="1257"/>
        <v>8301</v>
      </c>
      <c r="G5929" s="18"/>
      <c r="H5929" s="18"/>
      <c r="I5929" s="19">
        <v>5927</v>
      </c>
      <c r="J5929" s="19" cm="1">
        <f t="array" aca="1" ref="J5929" ca="1">INDIRECT("b"&amp;K5929+2)</f>
        <v>0</v>
      </c>
      <c r="K5929" s="19">
        <f t="shared" si="1253"/>
        <v>9501</v>
      </c>
    </row>
    <row r="5930" spans="1:11">
      <c r="A5930">
        <v>5928</v>
      </c>
      <c r="B5930">
        <v>2.3499999999999998E+170</v>
      </c>
      <c r="D5930" s="18">
        <v>5928</v>
      </c>
      <c r="E5930" s="18" cm="1">
        <f t="array" aca="1" ref="E5930" ca="1">INDIRECT("b"&amp;F5930+2)</f>
        <v>0</v>
      </c>
      <c r="F5930" s="18">
        <f t="shared" si="1257"/>
        <v>8302</v>
      </c>
      <c r="G5930" s="18" t="e">
        <f t="shared" ref="G5930" ca="1" si="1262">E5930/E5925</f>
        <v>#DIV/0!</v>
      </c>
      <c r="H5930" s="18"/>
      <c r="I5930" s="19">
        <v>5928</v>
      </c>
      <c r="J5930" s="19" cm="1">
        <f t="array" aca="1" ref="J5930" ca="1">INDIRECT("b"&amp;K5930+2)</f>
        <v>0</v>
      </c>
      <c r="K5930" s="19">
        <f t="shared" si="1253"/>
        <v>9502</v>
      </c>
    </row>
    <row r="5931" spans="1:11">
      <c r="A5931">
        <v>5929</v>
      </c>
      <c r="B5931">
        <v>2.575E+170</v>
      </c>
      <c r="D5931" s="18">
        <v>5929</v>
      </c>
      <c r="E5931" s="18" cm="1">
        <f t="array" aca="1" ref="E5931" ca="1">INDIRECT("b"&amp;F5931+2)</f>
        <v>0</v>
      </c>
      <c r="F5931" s="18">
        <f t="shared" si="1257"/>
        <v>8304</v>
      </c>
      <c r="G5931" s="18"/>
      <c r="H5931" s="18"/>
      <c r="I5931" s="19">
        <v>5929</v>
      </c>
      <c r="J5931" s="19" cm="1">
        <f t="array" aca="1" ref="J5931" ca="1">INDIRECT("b"&amp;K5931+2)</f>
        <v>0</v>
      </c>
      <c r="K5931" s="19">
        <f t="shared" si="1253"/>
        <v>9504</v>
      </c>
    </row>
    <row r="5932" spans="1:11">
      <c r="A5932">
        <v>5930</v>
      </c>
      <c r="B5932">
        <v>2.7999999999999996E+170</v>
      </c>
      <c r="D5932" s="18">
        <v>5930</v>
      </c>
      <c r="E5932" s="18" cm="1">
        <f t="array" aca="1" ref="E5932" ca="1">INDIRECT("b"&amp;F5932+2)</f>
        <v>0</v>
      </c>
      <c r="F5932" s="18">
        <f t="shared" si="1257"/>
        <v>8305</v>
      </c>
      <c r="G5932" s="18"/>
      <c r="H5932" s="18"/>
      <c r="I5932" s="19">
        <v>5930</v>
      </c>
      <c r="J5932" s="19" cm="1">
        <f t="array" aca="1" ref="J5932" ca="1">INDIRECT("b"&amp;K5932+2)</f>
        <v>0</v>
      </c>
      <c r="K5932" s="19">
        <f t="shared" si="1253"/>
        <v>9505</v>
      </c>
    </row>
    <row r="5933" spans="1:11">
      <c r="A5933">
        <v>5931</v>
      </c>
      <c r="B5933">
        <v>3.0249999999999998E+170</v>
      </c>
      <c r="D5933" s="18">
        <v>5931</v>
      </c>
      <c r="E5933" s="18" cm="1">
        <f t="array" aca="1" ref="E5933" ca="1">INDIRECT("b"&amp;F5933+2)</f>
        <v>0</v>
      </c>
      <c r="F5933" s="18">
        <f t="shared" si="1257"/>
        <v>8306</v>
      </c>
      <c r="G5933" s="18"/>
      <c r="H5933" s="18"/>
      <c r="I5933" s="19">
        <v>5931</v>
      </c>
      <c r="J5933" s="19" cm="1">
        <f t="array" aca="1" ref="J5933" ca="1">INDIRECT("b"&amp;K5933+2)</f>
        <v>0</v>
      </c>
      <c r="K5933" s="19">
        <f t="shared" si="1253"/>
        <v>9506</v>
      </c>
    </row>
    <row r="5934" spans="1:11">
      <c r="A5934">
        <v>5932</v>
      </c>
      <c r="B5934">
        <v>3.25E+170</v>
      </c>
      <c r="D5934" s="18">
        <v>5932</v>
      </c>
      <c r="E5934" s="18" cm="1">
        <f t="array" aca="1" ref="E5934" ca="1">INDIRECT("b"&amp;F5934+2)</f>
        <v>0</v>
      </c>
      <c r="F5934" s="18">
        <f t="shared" si="1257"/>
        <v>8308</v>
      </c>
      <c r="G5934" s="18"/>
      <c r="H5934" s="18"/>
      <c r="I5934" s="19">
        <v>5932</v>
      </c>
      <c r="J5934" s="19" cm="1">
        <f t="array" aca="1" ref="J5934" ca="1">INDIRECT("b"&amp;K5934+2)</f>
        <v>0</v>
      </c>
      <c r="K5934" s="19">
        <f t="shared" si="1253"/>
        <v>9508</v>
      </c>
    </row>
    <row r="5935" spans="1:11">
      <c r="A5935">
        <v>5933</v>
      </c>
      <c r="B5935">
        <v>3.4749999999999997E+170</v>
      </c>
      <c r="D5935" s="18">
        <v>5933</v>
      </c>
      <c r="E5935" s="18" cm="1">
        <f t="array" aca="1" ref="E5935" ca="1">INDIRECT("b"&amp;F5935+2)</f>
        <v>0</v>
      </c>
      <c r="F5935" s="18">
        <f t="shared" si="1257"/>
        <v>8309</v>
      </c>
      <c r="G5935" s="18" t="e">
        <f t="shared" ref="G5935" ca="1" si="1263">E5935/E5930</f>
        <v>#DIV/0!</v>
      </c>
      <c r="H5935" s="18"/>
      <c r="I5935" s="19">
        <v>5933</v>
      </c>
      <c r="J5935" s="19" cm="1">
        <f t="array" aca="1" ref="J5935" ca="1">INDIRECT("b"&amp;K5935+2)</f>
        <v>0</v>
      </c>
      <c r="K5935" s="19">
        <f t="shared" si="1253"/>
        <v>9509</v>
      </c>
    </row>
    <row r="5936" spans="1:11">
      <c r="A5936">
        <v>5934</v>
      </c>
      <c r="B5936">
        <v>3.6999999999999999E+170</v>
      </c>
      <c r="D5936" s="18">
        <v>5934</v>
      </c>
      <c r="E5936" s="18" cm="1">
        <f t="array" aca="1" ref="E5936" ca="1">INDIRECT("b"&amp;F5936+2)</f>
        <v>0</v>
      </c>
      <c r="F5936" s="18">
        <f t="shared" si="1257"/>
        <v>8310</v>
      </c>
      <c r="G5936" s="18"/>
      <c r="H5936" s="18"/>
      <c r="I5936" s="19">
        <v>5934</v>
      </c>
      <c r="J5936" s="19" cm="1">
        <f t="array" aca="1" ref="J5936" ca="1">INDIRECT("b"&amp;K5936+2)</f>
        <v>0</v>
      </c>
      <c r="K5936" s="19">
        <f t="shared" si="1253"/>
        <v>9510</v>
      </c>
    </row>
    <row r="5937" spans="1:11">
      <c r="A5937">
        <v>5935</v>
      </c>
      <c r="B5937">
        <v>3.9249999999999995E+170</v>
      </c>
      <c r="D5937" s="18">
        <v>5935</v>
      </c>
      <c r="E5937" s="18" cm="1">
        <f t="array" aca="1" ref="E5937" ca="1">INDIRECT("b"&amp;F5937+2)</f>
        <v>0</v>
      </c>
      <c r="F5937" s="18">
        <f t="shared" si="1257"/>
        <v>8312</v>
      </c>
      <c r="G5937" s="18"/>
      <c r="H5937" s="18"/>
      <c r="I5937" s="19">
        <v>5935</v>
      </c>
      <c r="J5937" s="19" cm="1">
        <f t="array" aca="1" ref="J5937" ca="1">INDIRECT("b"&amp;K5937+2)</f>
        <v>0</v>
      </c>
      <c r="K5937" s="19">
        <f t="shared" si="1253"/>
        <v>9512</v>
      </c>
    </row>
    <row r="5938" spans="1:11">
      <c r="A5938">
        <v>5936</v>
      </c>
      <c r="B5938">
        <v>4.1499999999999997E+170</v>
      </c>
      <c r="D5938" s="18">
        <v>5936</v>
      </c>
      <c r="E5938" s="18" cm="1">
        <f t="array" aca="1" ref="E5938" ca="1">INDIRECT("b"&amp;F5938+2)</f>
        <v>0</v>
      </c>
      <c r="F5938" s="18">
        <f t="shared" si="1257"/>
        <v>8313</v>
      </c>
      <c r="G5938" s="18"/>
      <c r="H5938" s="18"/>
      <c r="I5938" s="19">
        <v>5936</v>
      </c>
      <c r="J5938" s="19" cm="1">
        <f t="array" aca="1" ref="J5938" ca="1">INDIRECT("b"&amp;K5938+2)</f>
        <v>0</v>
      </c>
      <c r="K5938" s="19">
        <f t="shared" si="1253"/>
        <v>9513</v>
      </c>
    </row>
    <row r="5939" spans="1:11">
      <c r="A5939">
        <v>5937</v>
      </c>
      <c r="B5939">
        <v>4.3749999999999999E+170</v>
      </c>
      <c r="D5939" s="18">
        <v>5937</v>
      </c>
      <c r="E5939" s="18" cm="1">
        <f t="array" aca="1" ref="E5939" ca="1">INDIRECT("b"&amp;F5939+2)</f>
        <v>0</v>
      </c>
      <c r="F5939" s="18">
        <f t="shared" si="1257"/>
        <v>8314</v>
      </c>
      <c r="G5939" s="18"/>
      <c r="H5939" s="18"/>
      <c r="I5939" s="19">
        <v>5937</v>
      </c>
      <c r="J5939" s="19" cm="1">
        <f t="array" aca="1" ref="J5939" ca="1">INDIRECT("b"&amp;K5939+2)</f>
        <v>0</v>
      </c>
      <c r="K5939" s="19">
        <f t="shared" si="1253"/>
        <v>9514</v>
      </c>
    </row>
    <row r="5940" spans="1:11">
      <c r="A5940">
        <v>5938</v>
      </c>
      <c r="B5940">
        <v>4.5999999999999996E+170</v>
      </c>
      <c r="D5940" s="18">
        <v>5938</v>
      </c>
      <c r="E5940" s="18" cm="1">
        <f t="array" aca="1" ref="E5940" ca="1">INDIRECT("b"&amp;F5940+2)</f>
        <v>0</v>
      </c>
      <c r="F5940" s="18">
        <f t="shared" si="1257"/>
        <v>8316</v>
      </c>
      <c r="G5940" s="18" t="e">
        <f t="shared" ref="G5940" ca="1" si="1264">E5940/E5935</f>
        <v>#DIV/0!</v>
      </c>
      <c r="H5940" s="18"/>
      <c r="I5940" s="19">
        <v>5938</v>
      </c>
      <c r="J5940" s="19" cm="1">
        <f t="array" aca="1" ref="J5940" ca="1">INDIRECT("b"&amp;K5940+2)</f>
        <v>0</v>
      </c>
      <c r="K5940" s="19">
        <f t="shared" si="1253"/>
        <v>9516</v>
      </c>
    </row>
    <row r="5941" spans="1:11">
      <c r="A5941">
        <v>5939</v>
      </c>
      <c r="B5941">
        <v>4.8249999999999998E+170</v>
      </c>
      <c r="D5941" s="18">
        <v>5939</v>
      </c>
      <c r="E5941" s="18" cm="1">
        <f t="array" aca="1" ref="E5941" ca="1">INDIRECT("b"&amp;F5941+2)</f>
        <v>0</v>
      </c>
      <c r="F5941" s="18">
        <f t="shared" si="1257"/>
        <v>8317</v>
      </c>
      <c r="G5941" s="18"/>
      <c r="H5941" s="18"/>
      <c r="I5941" s="19">
        <v>5939</v>
      </c>
      <c r="J5941" s="19" cm="1">
        <f t="array" aca="1" ref="J5941" ca="1">INDIRECT("b"&amp;K5941+2)</f>
        <v>0</v>
      </c>
      <c r="K5941" s="19">
        <f t="shared" si="1253"/>
        <v>9517</v>
      </c>
    </row>
    <row r="5942" spans="1:11">
      <c r="A5942">
        <v>5940</v>
      </c>
      <c r="B5942">
        <v>5.0499999999999995E+170</v>
      </c>
      <c r="D5942" s="18">
        <v>5940</v>
      </c>
      <c r="E5942" s="18" cm="1">
        <f t="array" aca="1" ref="E5942" ca="1">INDIRECT("b"&amp;F5942+2)</f>
        <v>0</v>
      </c>
      <c r="F5942" s="18">
        <f t="shared" si="1257"/>
        <v>8318</v>
      </c>
      <c r="G5942" s="18"/>
      <c r="H5942" s="18"/>
      <c r="I5942" s="19">
        <v>5940</v>
      </c>
      <c r="J5942" s="19" cm="1">
        <f t="array" aca="1" ref="J5942" ca="1">INDIRECT("b"&amp;K5942+2)</f>
        <v>0</v>
      </c>
      <c r="K5942" s="19">
        <f t="shared" si="1253"/>
        <v>9518</v>
      </c>
    </row>
    <row r="5943" spans="1:11">
      <c r="A5943">
        <v>5941</v>
      </c>
      <c r="B5943">
        <v>5.2749999999999997E+170</v>
      </c>
      <c r="D5943" s="18">
        <v>5941</v>
      </c>
      <c r="E5943" s="18" cm="1">
        <f t="array" aca="1" ref="E5943" ca="1">INDIRECT("b"&amp;F5943+2)</f>
        <v>0</v>
      </c>
      <c r="F5943" s="18">
        <f t="shared" si="1257"/>
        <v>8320</v>
      </c>
      <c r="G5943" s="18"/>
      <c r="H5943" s="18"/>
      <c r="I5943" s="19">
        <v>5941</v>
      </c>
      <c r="J5943" s="19" cm="1">
        <f t="array" aca="1" ref="J5943" ca="1">INDIRECT("b"&amp;K5943+2)</f>
        <v>0</v>
      </c>
      <c r="K5943" s="19">
        <f t="shared" si="1253"/>
        <v>9520</v>
      </c>
    </row>
    <row r="5944" spans="1:11">
      <c r="A5944">
        <v>5942</v>
      </c>
      <c r="B5944">
        <v>5.4999999999999999E+170</v>
      </c>
      <c r="D5944" s="18">
        <v>5942</v>
      </c>
      <c r="E5944" s="18" cm="1">
        <f t="array" aca="1" ref="E5944" ca="1">INDIRECT("b"&amp;F5944+2)</f>
        <v>0</v>
      </c>
      <c r="F5944" s="18">
        <f t="shared" si="1257"/>
        <v>8321</v>
      </c>
      <c r="G5944" s="18"/>
      <c r="H5944" s="18"/>
      <c r="I5944" s="19">
        <v>5942</v>
      </c>
      <c r="J5944" s="19" cm="1">
        <f t="array" aca="1" ref="J5944" ca="1">INDIRECT("b"&amp;K5944+2)</f>
        <v>0</v>
      </c>
      <c r="K5944" s="19">
        <f t="shared" si="1253"/>
        <v>9521</v>
      </c>
    </row>
    <row r="5945" spans="1:11">
      <c r="A5945">
        <v>5943</v>
      </c>
      <c r="B5945">
        <v>5.7250000000000001E+170</v>
      </c>
      <c r="D5945" s="18">
        <v>5943</v>
      </c>
      <c r="E5945" s="18" cm="1">
        <f t="array" aca="1" ref="E5945" ca="1">INDIRECT("b"&amp;F5945+2)</f>
        <v>0</v>
      </c>
      <c r="F5945" s="18">
        <f t="shared" si="1257"/>
        <v>8322</v>
      </c>
      <c r="G5945" s="18" t="e">
        <f t="shared" ref="G5945" ca="1" si="1265">E5945/E5940</f>
        <v>#DIV/0!</v>
      </c>
      <c r="H5945" s="18"/>
      <c r="I5945" s="19">
        <v>5943</v>
      </c>
      <c r="J5945" s="19" cm="1">
        <f t="array" aca="1" ref="J5945" ca="1">INDIRECT("b"&amp;K5945+2)</f>
        <v>0</v>
      </c>
      <c r="K5945" s="19">
        <f t="shared" si="1253"/>
        <v>9522</v>
      </c>
    </row>
    <row r="5946" spans="1:11">
      <c r="A5946">
        <v>5944</v>
      </c>
      <c r="B5946">
        <v>5.9499999999999992E+170</v>
      </c>
      <c r="D5946" s="18">
        <v>5944</v>
      </c>
      <c r="E5946" s="18" cm="1">
        <f t="array" aca="1" ref="E5946" ca="1">INDIRECT("b"&amp;F5946+2)</f>
        <v>0</v>
      </c>
      <c r="F5946" s="18">
        <f t="shared" si="1257"/>
        <v>8324</v>
      </c>
      <c r="G5946" s="18"/>
      <c r="H5946" s="18"/>
      <c r="I5946" s="19">
        <v>5944</v>
      </c>
      <c r="J5946" s="19" cm="1">
        <f t="array" aca="1" ref="J5946" ca="1">INDIRECT("b"&amp;K5946+2)</f>
        <v>0</v>
      </c>
      <c r="K5946" s="19">
        <f t="shared" si="1253"/>
        <v>9524</v>
      </c>
    </row>
    <row r="5947" spans="1:11">
      <c r="A5947">
        <v>5945</v>
      </c>
      <c r="B5947">
        <v>6.1749999999999994E+170</v>
      </c>
      <c r="D5947" s="18">
        <v>5945</v>
      </c>
      <c r="E5947" s="18" cm="1">
        <f t="array" aca="1" ref="E5947" ca="1">INDIRECT("b"&amp;F5947+2)</f>
        <v>0</v>
      </c>
      <c r="F5947" s="18">
        <f t="shared" si="1257"/>
        <v>8325</v>
      </c>
      <c r="G5947" s="18"/>
      <c r="H5947" s="18"/>
      <c r="I5947" s="19">
        <v>5945</v>
      </c>
      <c r="J5947" s="19" cm="1">
        <f t="array" aca="1" ref="J5947" ca="1">INDIRECT("b"&amp;K5947+2)</f>
        <v>0</v>
      </c>
      <c r="K5947" s="19">
        <f t="shared" si="1253"/>
        <v>9525</v>
      </c>
    </row>
    <row r="5948" spans="1:11">
      <c r="A5948">
        <v>5946</v>
      </c>
      <c r="B5948">
        <v>6.3999999999999996E+170</v>
      </c>
      <c r="D5948" s="18">
        <v>5946</v>
      </c>
      <c r="E5948" s="18" cm="1">
        <f t="array" aca="1" ref="E5948" ca="1">INDIRECT("b"&amp;F5948+2)</f>
        <v>0</v>
      </c>
      <c r="F5948" s="18">
        <f t="shared" si="1257"/>
        <v>8326</v>
      </c>
      <c r="G5948" s="18"/>
      <c r="H5948" s="18"/>
      <c r="I5948" s="19">
        <v>5946</v>
      </c>
      <c r="J5948" s="19" cm="1">
        <f t="array" aca="1" ref="J5948" ca="1">INDIRECT("b"&amp;K5948+2)</f>
        <v>0</v>
      </c>
      <c r="K5948" s="19">
        <f t="shared" si="1253"/>
        <v>9526</v>
      </c>
    </row>
    <row r="5949" spans="1:11">
      <c r="A5949">
        <v>5947</v>
      </c>
      <c r="B5949">
        <v>6.6249999999999998E+170</v>
      </c>
      <c r="D5949" s="18">
        <v>5947</v>
      </c>
      <c r="E5949" s="18" cm="1">
        <f t="array" aca="1" ref="E5949" ca="1">INDIRECT("b"&amp;F5949+2)</f>
        <v>0</v>
      </c>
      <c r="F5949" s="18">
        <f t="shared" si="1257"/>
        <v>8328</v>
      </c>
      <c r="G5949" s="18"/>
      <c r="H5949" s="18"/>
      <c r="I5949" s="19">
        <v>5947</v>
      </c>
      <c r="J5949" s="19" cm="1">
        <f t="array" aca="1" ref="J5949" ca="1">INDIRECT("b"&amp;K5949+2)</f>
        <v>0</v>
      </c>
      <c r="K5949" s="19">
        <f t="shared" si="1253"/>
        <v>9528</v>
      </c>
    </row>
    <row r="5950" spans="1:11">
      <c r="A5950">
        <v>5948</v>
      </c>
      <c r="B5950">
        <v>6.85E+170</v>
      </c>
      <c r="D5950" s="18">
        <v>5948</v>
      </c>
      <c r="E5950" s="18" cm="1">
        <f t="array" aca="1" ref="E5950" ca="1">INDIRECT("b"&amp;F5950+2)</f>
        <v>0</v>
      </c>
      <c r="F5950" s="18">
        <f t="shared" si="1257"/>
        <v>8329</v>
      </c>
      <c r="G5950" s="18" t="e">
        <f t="shared" ref="G5950" ca="1" si="1266">E5950/E5945</f>
        <v>#DIV/0!</v>
      </c>
      <c r="H5950" s="18"/>
      <c r="I5950" s="19">
        <v>5948</v>
      </c>
      <c r="J5950" s="19" cm="1">
        <f t="array" aca="1" ref="J5950" ca="1">INDIRECT("b"&amp;K5950+2)</f>
        <v>0</v>
      </c>
      <c r="K5950" s="19">
        <f t="shared" si="1253"/>
        <v>9529</v>
      </c>
    </row>
    <row r="5951" spans="1:11">
      <c r="A5951">
        <v>5949</v>
      </c>
      <c r="B5951">
        <v>7.0749999999999991E+170</v>
      </c>
      <c r="D5951" s="18">
        <v>5949</v>
      </c>
      <c r="E5951" s="18" cm="1">
        <f t="array" aca="1" ref="E5951" ca="1">INDIRECT("b"&amp;F5951+2)</f>
        <v>0</v>
      </c>
      <c r="F5951" s="18">
        <f t="shared" si="1257"/>
        <v>8330</v>
      </c>
      <c r="G5951" s="18"/>
      <c r="H5951" s="18"/>
      <c r="I5951" s="19">
        <v>5949</v>
      </c>
      <c r="J5951" s="19" cm="1">
        <f t="array" aca="1" ref="J5951" ca="1">INDIRECT("b"&amp;K5951+2)</f>
        <v>0</v>
      </c>
      <c r="K5951" s="19">
        <f t="shared" si="1253"/>
        <v>9530</v>
      </c>
    </row>
    <row r="5952" spans="1:11">
      <c r="A5952">
        <v>5950</v>
      </c>
      <c r="B5952">
        <v>7.2999999999999993E+170</v>
      </c>
      <c r="D5952" s="18">
        <v>5950</v>
      </c>
      <c r="E5952" s="18" cm="1">
        <f t="array" aca="1" ref="E5952" ca="1">INDIRECT("b"&amp;F5952+2)</f>
        <v>0</v>
      </c>
      <c r="F5952" s="18">
        <f t="shared" si="1257"/>
        <v>8332</v>
      </c>
      <c r="G5952" s="18"/>
      <c r="H5952" s="18"/>
      <c r="I5952" s="19">
        <v>5950</v>
      </c>
      <c r="J5952" s="19" cm="1">
        <f t="array" aca="1" ref="J5952" ca="1">INDIRECT("b"&amp;K5952+2)</f>
        <v>0</v>
      </c>
      <c r="K5952" s="19">
        <f t="shared" si="1253"/>
        <v>9532</v>
      </c>
    </row>
    <row r="5953" spans="1:11">
      <c r="A5953">
        <v>5951</v>
      </c>
      <c r="B5953">
        <v>7.5249999999999995E+170</v>
      </c>
      <c r="D5953" s="18">
        <v>5951</v>
      </c>
      <c r="E5953" s="18" cm="1">
        <f t="array" aca="1" ref="E5953" ca="1">INDIRECT("b"&amp;F5953+2)</f>
        <v>0</v>
      </c>
      <c r="F5953" s="18">
        <f t="shared" si="1257"/>
        <v>8333</v>
      </c>
      <c r="G5953" s="18"/>
      <c r="H5953" s="18"/>
      <c r="I5953" s="19">
        <v>5951</v>
      </c>
      <c r="J5953" s="19" cm="1">
        <f t="array" aca="1" ref="J5953" ca="1">INDIRECT("b"&amp;K5953+2)</f>
        <v>0</v>
      </c>
      <c r="K5953" s="19">
        <f t="shared" si="1253"/>
        <v>9533</v>
      </c>
    </row>
    <row r="5954" spans="1:11">
      <c r="A5954">
        <v>5952</v>
      </c>
      <c r="B5954">
        <v>7.7499999999999997E+170</v>
      </c>
      <c r="D5954" s="18">
        <v>5952</v>
      </c>
      <c r="E5954" s="18" cm="1">
        <f t="array" aca="1" ref="E5954" ca="1">INDIRECT("b"&amp;F5954+2)</f>
        <v>0</v>
      </c>
      <c r="F5954" s="18">
        <f t="shared" si="1257"/>
        <v>8334</v>
      </c>
      <c r="G5954" s="18"/>
      <c r="H5954" s="18"/>
      <c r="I5954" s="19">
        <v>5952</v>
      </c>
      <c r="J5954" s="19" cm="1">
        <f t="array" aca="1" ref="J5954" ca="1">INDIRECT("b"&amp;K5954+2)</f>
        <v>0</v>
      </c>
      <c r="K5954" s="19">
        <f t="shared" si="1253"/>
        <v>9534</v>
      </c>
    </row>
    <row r="5955" spans="1:11">
      <c r="A5955">
        <v>5953</v>
      </c>
      <c r="B5955">
        <v>7.9749999999999999E+170</v>
      </c>
      <c r="D5955" s="18">
        <v>5953</v>
      </c>
      <c r="E5955" s="18" cm="1">
        <f t="array" aca="1" ref="E5955" ca="1">INDIRECT("b"&amp;F5955+2)</f>
        <v>0</v>
      </c>
      <c r="F5955" s="18">
        <f t="shared" si="1257"/>
        <v>8336</v>
      </c>
      <c r="G5955" s="18" t="e">
        <f t="shared" ref="G5955" ca="1" si="1267">E5955/E5950</f>
        <v>#DIV/0!</v>
      </c>
      <c r="H5955" s="18"/>
      <c r="I5955" s="19">
        <v>5953</v>
      </c>
      <c r="J5955" s="19" cm="1">
        <f t="array" aca="1" ref="J5955" ca="1">INDIRECT("b"&amp;K5955+2)</f>
        <v>0</v>
      </c>
      <c r="K5955" s="19">
        <f t="shared" si="1253"/>
        <v>9536</v>
      </c>
    </row>
    <row r="5956" spans="1:11">
      <c r="A5956">
        <v>5954</v>
      </c>
      <c r="B5956">
        <v>8.199999999999999E+170</v>
      </c>
      <c r="D5956" s="18">
        <v>5954</v>
      </c>
      <c r="E5956" s="18" cm="1">
        <f t="array" aca="1" ref="E5956" ca="1">INDIRECT("b"&amp;F5956+2)</f>
        <v>0</v>
      </c>
      <c r="F5956" s="18">
        <f t="shared" si="1257"/>
        <v>8337</v>
      </c>
      <c r="G5956" s="18"/>
      <c r="H5956" s="18"/>
      <c r="I5956" s="19">
        <v>5954</v>
      </c>
      <c r="J5956" s="19" cm="1">
        <f t="array" aca="1" ref="J5956" ca="1">INDIRECT("b"&amp;K5956+2)</f>
        <v>0</v>
      </c>
      <c r="K5956" s="19">
        <f t="shared" ref="K5956:K6019" si="1268">INT((A5956-1)*40/30+900*40/30)+400</f>
        <v>9537</v>
      </c>
    </row>
    <row r="5957" spans="1:11">
      <c r="A5957">
        <v>5955</v>
      </c>
      <c r="B5957">
        <v>8.4249999999999992E+170</v>
      </c>
      <c r="D5957" s="18">
        <v>5955</v>
      </c>
      <c r="E5957" s="18" cm="1">
        <f t="array" aca="1" ref="E5957" ca="1">INDIRECT("b"&amp;F5957+2)</f>
        <v>0</v>
      </c>
      <c r="F5957" s="18">
        <f t="shared" si="1257"/>
        <v>8338</v>
      </c>
      <c r="G5957" s="18"/>
      <c r="H5957" s="18"/>
      <c r="I5957" s="19">
        <v>5955</v>
      </c>
      <c r="J5957" s="19" cm="1">
        <f t="array" aca="1" ref="J5957" ca="1">INDIRECT("b"&amp;K5957+2)</f>
        <v>0</v>
      </c>
      <c r="K5957" s="19">
        <f t="shared" si="1268"/>
        <v>9538</v>
      </c>
    </row>
    <row r="5958" spans="1:11">
      <c r="A5958">
        <v>5956</v>
      </c>
      <c r="B5958">
        <v>8.6499999999999994E+170</v>
      </c>
      <c r="D5958" s="18">
        <v>5956</v>
      </c>
      <c r="E5958" s="18" cm="1">
        <f t="array" aca="1" ref="E5958" ca="1">INDIRECT("b"&amp;F5958+2)</f>
        <v>0</v>
      </c>
      <c r="F5958" s="18">
        <f t="shared" si="1257"/>
        <v>8340</v>
      </c>
      <c r="G5958" s="18"/>
      <c r="H5958" s="18"/>
      <c r="I5958" s="19">
        <v>5956</v>
      </c>
      <c r="J5958" s="19" cm="1">
        <f t="array" aca="1" ref="J5958" ca="1">INDIRECT("b"&amp;K5958+2)</f>
        <v>0</v>
      </c>
      <c r="K5958" s="19">
        <f t="shared" si="1268"/>
        <v>9540</v>
      </c>
    </row>
    <row r="5959" spans="1:11">
      <c r="A5959">
        <v>5957</v>
      </c>
      <c r="B5959">
        <v>8.8749999999999996E+170</v>
      </c>
      <c r="D5959" s="18">
        <v>5957</v>
      </c>
      <c r="E5959" s="18" cm="1">
        <f t="array" aca="1" ref="E5959" ca="1">INDIRECT("b"&amp;F5959+2)</f>
        <v>0</v>
      </c>
      <c r="F5959" s="18">
        <f t="shared" si="1257"/>
        <v>8341</v>
      </c>
      <c r="G5959" s="18"/>
      <c r="H5959" s="18"/>
      <c r="I5959" s="19">
        <v>5957</v>
      </c>
      <c r="J5959" s="19" cm="1">
        <f t="array" aca="1" ref="J5959" ca="1">INDIRECT("b"&amp;K5959+2)</f>
        <v>0</v>
      </c>
      <c r="K5959" s="19">
        <f t="shared" si="1268"/>
        <v>9541</v>
      </c>
    </row>
    <row r="5960" spans="1:11">
      <c r="A5960">
        <v>5958</v>
      </c>
      <c r="B5960">
        <v>9.0999999999999998E+170</v>
      </c>
      <c r="D5960" s="18">
        <v>5958</v>
      </c>
      <c r="E5960" s="18" cm="1">
        <f t="array" aca="1" ref="E5960" ca="1">INDIRECT("b"&amp;F5960+2)</f>
        <v>0</v>
      </c>
      <c r="F5960" s="18">
        <f t="shared" si="1257"/>
        <v>8342</v>
      </c>
      <c r="G5960" s="18" t="e">
        <f t="shared" ref="G5960" ca="1" si="1269">E5960/E5955</f>
        <v>#DIV/0!</v>
      </c>
      <c r="H5960" s="18"/>
      <c r="I5960" s="19">
        <v>5958</v>
      </c>
      <c r="J5960" s="19" cm="1">
        <f t="array" aca="1" ref="J5960" ca="1">INDIRECT("b"&amp;K5960+2)</f>
        <v>0</v>
      </c>
      <c r="K5960" s="19">
        <f t="shared" si="1268"/>
        <v>9542</v>
      </c>
    </row>
    <row r="5961" spans="1:11">
      <c r="A5961">
        <v>5959</v>
      </c>
      <c r="B5961">
        <v>9.3249999999999989E+170</v>
      </c>
      <c r="D5961" s="18">
        <v>5959</v>
      </c>
      <c r="E5961" s="18" cm="1">
        <f t="array" aca="1" ref="E5961" ca="1">INDIRECT("b"&amp;F5961+2)</f>
        <v>0</v>
      </c>
      <c r="F5961" s="18">
        <f t="shared" si="1257"/>
        <v>8344</v>
      </c>
      <c r="G5961" s="18"/>
      <c r="H5961" s="18"/>
      <c r="I5961" s="19">
        <v>5959</v>
      </c>
      <c r="J5961" s="19" cm="1">
        <f t="array" aca="1" ref="J5961" ca="1">INDIRECT("b"&amp;K5961+2)</f>
        <v>0</v>
      </c>
      <c r="K5961" s="19">
        <f t="shared" si="1268"/>
        <v>9544</v>
      </c>
    </row>
    <row r="5962" spans="1:11">
      <c r="A5962">
        <v>5960</v>
      </c>
      <c r="B5962">
        <v>9.5499999999999991E+170</v>
      </c>
      <c r="D5962" s="18">
        <v>5960</v>
      </c>
      <c r="E5962" s="18" cm="1">
        <f t="array" aca="1" ref="E5962" ca="1">INDIRECT("b"&amp;F5962+2)</f>
        <v>0</v>
      </c>
      <c r="F5962" s="18">
        <f t="shared" si="1257"/>
        <v>8345</v>
      </c>
      <c r="G5962" s="18"/>
      <c r="H5962" s="18"/>
      <c r="I5962" s="19">
        <v>5960</v>
      </c>
      <c r="J5962" s="19" cm="1">
        <f t="array" aca="1" ref="J5962" ca="1">INDIRECT("b"&amp;K5962+2)</f>
        <v>0</v>
      </c>
      <c r="K5962" s="19">
        <f t="shared" si="1268"/>
        <v>9545</v>
      </c>
    </row>
    <row r="5963" spans="1:11">
      <c r="A5963">
        <v>5961</v>
      </c>
      <c r="B5963">
        <v>9.7749999999999993E+170</v>
      </c>
      <c r="D5963" s="18">
        <v>5961</v>
      </c>
      <c r="E5963" s="18" cm="1">
        <f t="array" aca="1" ref="E5963" ca="1">INDIRECT("b"&amp;F5963+2)</f>
        <v>0</v>
      </c>
      <c r="F5963" s="18">
        <f t="shared" si="1257"/>
        <v>8346</v>
      </c>
      <c r="G5963" s="18"/>
      <c r="H5963" s="18"/>
      <c r="I5963" s="19">
        <v>5961</v>
      </c>
      <c r="J5963" s="19" cm="1">
        <f t="array" aca="1" ref="J5963" ca="1">INDIRECT("b"&amp;K5963+2)</f>
        <v>0</v>
      </c>
      <c r="K5963" s="19">
        <f t="shared" si="1268"/>
        <v>9546</v>
      </c>
    </row>
    <row r="5964" spans="1:11">
      <c r="A5964">
        <v>5962</v>
      </c>
      <c r="B5964">
        <v>9.9999999999999995E+170</v>
      </c>
      <c r="D5964" s="18">
        <v>5962</v>
      </c>
      <c r="E5964" s="18" cm="1">
        <f t="array" aca="1" ref="E5964" ca="1">INDIRECT("b"&amp;F5964+2)</f>
        <v>0</v>
      </c>
      <c r="F5964" s="18">
        <f t="shared" si="1257"/>
        <v>8348</v>
      </c>
      <c r="G5964" s="18"/>
      <c r="H5964" s="18"/>
      <c r="I5964" s="19">
        <v>5962</v>
      </c>
      <c r="J5964" s="19" cm="1">
        <f t="array" aca="1" ref="J5964" ca="1">INDIRECT("b"&amp;K5964+2)</f>
        <v>0</v>
      </c>
      <c r="K5964" s="19">
        <f t="shared" si="1268"/>
        <v>9548</v>
      </c>
    </row>
    <row r="5965" spans="1:11">
      <c r="A5965">
        <v>5963</v>
      </c>
      <c r="B5965">
        <v>1.2249999999999999E+171</v>
      </c>
      <c r="D5965" s="18">
        <v>5963</v>
      </c>
      <c r="E5965" s="18" cm="1">
        <f t="array" aca="1" ref="E5965" ca="1">INDIRECT("b"&amp;F5965+2)</f>
        <v>0</v>
      </c>
      <c r="F5965" s="18">
        <f t="shared" si="1257"/>
        <v>8349</v>
      </c>
      <c r="G5965" s="18" t="e">
        <f t="shared" ref="G5965" ca="1" si="1270">E5965/E5960</f>
        <v>#DIV/0!</v>
      </c>
      <c r="H5965" s="18"/>
      <c r="I5965" s="19">
        <v>5963</v>
      </c>
      <c r="J5965" s="19" cm="1">
        <f t="array" aca="1" ref="J5965" ca="1">INDIRECT("b"&amp;K5965+2)</f>
        <v>0</v>
      </c>
      <c r="K5965" s="19">
        <f t="shared" si="1268"/>
        <v>9549</v>
      </c>
    </row>
    <row r="5966" spans="1:11">
      <c r="A5966">
        <v>5964</v>
      </c>
      <c r="B5966">
        <v>1.4499999999999999E+171</v>
      </c>
      <c r="D5966" s="18">
        <v>5964</v>
      </c>
      <c r="E5966" s="18" cm="1">
        <f t="array" aca="1" ref="E5966" ca="1">INDIRECT("b"&amp;F5966+2)</f>
        <v>0</v>
      </c>
      <c r="F5966" s="18">
        <f t="shared" si="1257"/>
        <v>8350</v>
      </c>
      <c r="G5966" s="18"/>
      <c r="H5966" s="18"/>
      <c r="I5966" s="19">
        <v>5964</v>
      </c>
      <c r="J5966" s="19" cm="1">
        <f t="array" aca="1" ref="J5966" ca="1">INDIRECT("b"&amp;K5966+2)</f>
        <v>0</v>
      </c>
      <c r="K5966" s="19">
        <f t="shared" si="1268"/>
        <v>9550</v>
      </c>
    </row>
    <row r="5967" spans="1:11">
      <c r="A5967">
        <v>5965</v>
      </c>
      <c r="B5967">
        <v>1.6749999999999999E+171</v>
      </c>
      <c r="D5967" s="18">
        <v>5965</v>
      </c>
      <c r="E5967" s="18" cm="1">
        <f t="array" aca="1" ref="E5967" ca="1">INDIRECT("b"&amp;F5967+2)</f>
        <v>0</v>
      </c>
      <c r="F5967" s="18">
        <f t="shared" si="1257"/>
        <v>8352</v>
      </c>
      <c r="G5967" s="18"/>
      <c r="H5967" s="18"/>
      <c r="I5967" s="19">
        <v>5965</v>
      </c>
      <c r="J5967" s="19" cm="1">
        <f t="array" aca="1" ref="J5967" ca="1">INDIRECT("b"&amp;K5967+2)</f>
        <v>0</v>
      </c>
      <c r="K5967" s="19">
        <f t="shared" si="1268"/>
        <v>9552</v>
      </c>
    </row>
    <row r="5968" spans="1:11">
      <c r="A5968">
        <v>5966</v>
      </c>
      <c r="B5968">
        <v>1.8999999999999999E+171</v>
      </c>
      <c r="D5968" s="18">
        <v>5966</v>
      </c>
      <c r="E5968" s="18" cm="1">
        <f t="array" aca="1" ref="E5968" ca="1">INDIRECT("b"&amp;F5968+2)</f>
        <v>0</v>
      </c>
      <c r="F5968" s="18">
        <f t="shared" si="1257"/>
        <v>8353</v>
      </c>
      <c r="G5968" s="18"/>
      <c r="H5968" s="18"/>
      <c r="I5968" s="19">
        <v>5966</v>
      </c>
      <c r="J5968" s="19" cm="1">
        <f t="array" aca="1" ref="J5968" ca="1">INDIRECT("b"&amp;K5968+2)</f>
        <v>0</v>
      </c>
      <c r="K5968" s="19">
        <f t="shared" si="1268"/>
        <v>9553</v>
      </c>
    </row>
    <row r="5969" spans="1:11">
      <c r="A5969">
        <v>5967</v>
      </c>
      <c r="B5969">
        <v>2.1249999999999999E+171</v>
      </c>
      <c r="D5969" s="18">
        <v>5967</v>
      </c>
      <c r="E5969" s="18" cm="1">
        <f t="array" aca="1" ref="E5969" ca="1">INDIRECT("b"&amp;F5969+2)</f>
        <v>0</v>
      </c>
      <c r="F5969" s="18">
        <f t="shared" si="1257"/>
        <v>8354</v>
      </c>
      <c r="G5969" s="18"/>
      <c r="H5969" s="18"/>
      <c r="I5969" s="19">
        <v>5967</v>
      </c>
      <c r="J5969" s="19" cm="1">
        <f t="array" aca="1" ref="J5969" ca="1">INDIRECT("b"&amp;K5969+2)</f>
        <v>0</v>
      </c>
      <c r="K5969" s="19">
        <f t="shared" si="1268"/>
        <v>9554</v>
      </c>
    </row>
    <row r="5970" spans="1:11">
      <c r="A5970">
        <v>5968</v>
      </c>
      <c r="B5970">
        <v>2.3499999999999996E+171</v>
      </c>
      <c r="D5970" s="18">
        <v>5968</v>
      </c>
      <c r="E5970" s="18" cm="1">
        <f t="array" aca="1" ref="E5970" ca="1">INDIRECT("b"&amp;F5970+2)</f>
        <v>0</v>
      </c>
      <c r="F5970" s="18">
        <f t="shared" si="1257"/>
        <v>8356</v>
      </c>
      <c r="G5970" s="18" t="e">
        <f t="shared" ref="G5970" ca="1" si="1271">E5970/E5965</f>
        <v>#DIV/0!</v>
      </c>
      <c r="H5970" s="18"/>
      <c r="I5970" s="19">
        <v>5968</v>
      </c>
      <c r="J5970" s="19" cm="1">
        <f t="array" aca="1" ref="J5970" ca="1">INDIRECT("b"&amp;K5970+2)</f>
        <v>0</v>
      </c>
      <c r="K5970" s="19">
        <f t="shared" si="1268"/>
        <v>9556</v>
      </c>
    </row>
    <row r="5971" spans="1:11">
      <c r="A5971">
        <v>5969</v>
      </c>
      <c r="B5971">
        <v>2.5749999999999998E+171</v>
      </c>
      <c r="D5971" s="18">
        <v>5969</v>
      </c>
      <c r="E5971" s="18" cm="1">
        <f t="array" aca="1" ref="E5971" ca="1">INDIRECT("b"&amp;F5971+2)</f>
        <v>0</v>
      </c>
      <c r="F5971" s="18">
        <f t="shared" ref="F5971:F6024" si="1272">INT((A5971-123)*1.333333)+563</f>
        <v>8357</v>
      </c>
      <c r="G5971" s="18"/>
      <c r="H5971" s="18"/>
      <c r="I5971" s="19">
        <v>5969</v>
      </c>
      <c r="J5971" s="19" cm="1">
        <f t="array" aca="1" ref="J5971" ca="1">INDIRECT("b"&amp;K5971+2)</f>
        <v>0</v>
      </c>
      <c r="K5971" s="19">
        <f t="shared" si="1268"/>
        <v>9557</v>
      </c>
    </row>
    <row r="5972" spans="1:11">
      <c r="A5972">
        <v>5970</v>
      </c>
      <c r="B5972">
        <v>2.7999999999999996E+171</v>
      </c>
      <c r="D5972" s="18">
        <v>5970</v>
      </c>
      <c r="E5972" s="18" cm="1">
        <f t="array" aca="1" ref="E5972" ca="1">INDIRECT("b"&amp;F5972+2)</f>
        <v>0</v>
      </c>
      <c r="F5972" s="18">
        <f t="shared" si="1272"/>
        <v>8358</v>
      </c>
      <c r="G5972" s="18"/>
      <c r="H5972" s="18"/>
      <c r="I5972" s="19">
        <v>5970</v>
      </c>
      <c r="J5972" s="19" cm="1">
        <f t="array" aca="1" ref="J5972" ca="1">INDIRECT("b"&amp;K5972+2)</f>
        <v>0</v>
      </c>
      <c r="K5972" s="19">
        <f t="shared" si="1268"/>
        <v>9558</v>
      </c>
    </row>
    <row r="5973" spans="1:11">
      <c r="A5973">
        <v>5971</v>
      </c>
      <c r="B5973">
        <v>3.0249999999999998E+171</v>
      </c>
      <c r="D5973" s="18">
        <v>5971</v>
      </c>
      <c r="E5973" s="18" cm="1">
        <f t="array" aca="1" ref="E5973" ca="1">INDIRECT("b"&amp;F5973+2)</f>
        <v>0</v>
      </c>
      <c r="F5973" s="18">
        <f t="shared" si="1272"/>
        <v>8360</v>
      </c>
      <c r="G5973" s="18"/>
      <c r="H5973" s="18"/>
      <c r="I5973" s="19">
        <v>5971</v>
      </c>
      <c r="J5973" s="19" cm="1">
        <f t="array" aca="1" ref="J5973" ca="1">INDIRECT("b"&amp;K5973+2)</f>
        <v>0</v>
      </c>
      <c r="K5973" s="19">
        <f t="shared" si="1268"/>
        <v>9560</v>
      </c>
    </row>
    <row r="5974" spans="1:11">
      <c r="A5974">
        <v>5972</v>
      </c>
      <c r="B5974">
        <v>3.25E+171</v>
      </c>
      <c r="D5974" s="18">
        <v>5972</v>
      </c>
      <c r="E5974" s="18" cm="1">
        <f t="array" aca="1" ref="E5974" ca="1">INDIRECT("b"&amp;F5974+2)</f>
        <v>0</v>
      </c>
      <c r="F5974" s="18">
        <f t="shared" si="1272"/>
        <v>8361</v>
      </c>
      <c r="G5974" s="18"/>
      <c r="H5974" s="18"/>
      <c r="I5974" s="19">
        <v>5972</v>
      </c>
      <c r="J5974" s="19" cm="1">
        <f t="array" aca="1" ref="J5974" ca="1">INDIRECT("b"&amp;K5974+2)</f>
        <v>0</v>
      </c>
      <c r="K5974" s="19">
        <f t="shared" si="1268"/>
        <v>9561</v>
      </c>
    </row>
    <row r="5975" spans="1:11">
      <c r="A5975">
        <v>5973</v>
      </c>
      <c r="B5975">
        <v>3.4749999999999998E+171</v>
      </c>
      <c r="D5975" s="18">
        <v>5973</v>
      </c>
      <c r="E5975" s="18" cm="1">
        <f t="array" aca="1" ref="E5975" ca="1">INDIRECT("b"&amp;F5975+2)</f>
        <v>0</v>
      </c>
      <c r="F5975" s="18">
        <f t="shared" si="1272"/>
        <v>8362</v>
      </c>
      <c r="G5975" s="18" t="e">
        <f t="shared" ref="G5975" ca="1" si="1273">E5975/E5970</f>
        <v>#DIV/0!</v>
      </c>
      <c r="H5975" s="18"/>
      <c r="I5975" s="19">
        <v>5973</v>
      </c>
      <c r="J5975" s="19" cm="1">
        <f t="array" aca="1" ref="J5975" ca="1">INDIRECT("b"&amp;K5975+2)</f>
        <v>0</v>
      </c>
      <c r="K5975" s="19">
        <f t="shared" si="1268"/>
        <v>9562</v>
      </c>
    </row>
    <row r="5976" spans="1:11">
      <c r="A5976">
        <v>5974</v>
      </c>
      <c r="B5976">
        <v>3.7E+171</v>
      </c>
      <c r="D5976" s="18">
        <v>5974</v>
      </c>
      <c r="E5976" s="18" cm="1">
        <f t="array" aca="1" ref="E5976" ca="1">INDIRECT("b"&amp;F5976+2)</f>
        <v>0</v>
      </c>
      <c r="F5976" s="18">
        <f t="shared" si="1272"/>
        <v>8364</v>
      </c>
      <c r="G5976" s="18"/>
      <c r="H5976" s="18"/>
      <c r="I5976" s="19">
        <v>5974</v>
      </c>
      <c r="J5976" s="19" cm="1">
        <f t="array" aca="1" ref="J5976" ca="1">INDIRECT("b"&amp;K5976+2)</f>
        <v>0</v>
      </c>
      <c r="K5976" s="19">
        <f t="shared" si="1268"/>
        <v>9564</v>
      </c>
    </row>
    <row r="5977" spans="1:11">
      <c r="A5977">
        <v>5975</v>
      </c>
      <c r="B5977">
        <v>3.9250000000000002E+171</v>
      </c>
      <c r="D5977" s="18">
        <v>5975</v>
      </c>
      <c r="E5977" s="18" cm="1">
        <f t="array" aca="1" ref="E5977" ca="1">INDIRECT("b"&amp;F5977+2)</f>
        <v>0</v>
      </c>
      <c r="F5977" s="18">
        <f t="shared" si="1272"/>
        <v>8365</v>
      </c>
      <c r="G5977" s="18"/>
      <c r="H5977" s="18"/>
      <c r="I5977" s="19">
        <v>5975</v>
      </c>
      <c r="J5977" s="19" cm="1">
        <f t="array" aca="1" ref="J5977" ca="1">INDIRECT("b"&amp;K5977+2)</f>
        <v>0</v>
      </c>
      <c r="K5977" s="19">
        <f t="shared" si="1268"/>
        <v>9565</v>
      </c>
    </row>
    <row r="5978" spans="1:11">
      <c r="A5978">
        <v>5976</v>
      </c>
      <c r="B5978">
        <v>4.1499999999999999E+171</v>
      </c>
      <c r="D5978" s="18">
        <v>5976</v>
      </c>
      <c r="E5978" s="18" cm="1">
        <f t="array" aca="1" ref="E5978" ca="1">INDIRECT("b"&amp;F5978+2)</f>
        <v>0</v>
      </c>
      <c r="F5978" s="18">
        <f t="shared" si="1272"/>
        <v>8366</v>
      </c>
      <c r="G5978" s="18"/>
      <c r="H5978" s="18"/>
      <c r="I5978" s="19">
        <v>5976</v>
      </c>
      <c r="J5978" s="19" cm="1">
        <f t="array" aca="1" ref="J5978" ca="1">INDIRECT("b"&amp;K5978+2)</f>
        <v>0</v>
      </c>
      <c r="K5978" s="19">
        <f t="shared" si="1268"/>
        <v>9566</v>
      </c>
    </row>
    <row r="5979" spans="1:11">
      <c r="A5979">
        <v>5977</v>
      </c>
      <c r="B5979">
        <v>4.3749999999999997E+171</v>
      </c>
      <c r="D5979" s="18">
        <v>5977</v>
      </c>
      <c r="E5979" s="18" cm="1">
        <f t="array" aca="1" ref="E5979" ca="1">INDIRECT("b"&amp;F5979+2)</f>
        <v>0</v>
      </c>
      <c r="F5979" s="18">
        <f t="shared" si="1272"/>
        <v>8368</v>
      </c>
      <c r="G5979" s="18"/>
      <c r="H5979" s="18"/>
      <c r="I5979" s="19">
        <v>5977</v>
      </c>
      <c r="J5979" s="19" cm="1">
        <f t="array" aca="1" ref="J5979" ca="1">INDIRECT("b"&amp;K5979+2)</f>
        <v>0</v>
      </c>
      <c r="K5979" s="19">
        <f t="shared" si="1268"/>
        <v>9568</v>
      </c>
    </row>
    <row r="5980" spans="1:11">
      <c r="A5980">
        <v>5978</v>
      </c>
      <c r="B5980">
        <v>4.5999999999999995E+171</v>
      </c>
      <c r="D5980" s="18">
        <v>5978</v>
      </c>
      <c r="E5980" s="18" cm="1">
        <f t="array" aca="1" ref="E5980" ca="1">INDIRECT("b"&amp;F5980+2)</f>
        <v>0</v>
      </c>
      <c r="F5980" s="18">
        <f t="shared" si="1272"/>
        <v>8369</v>
      </c>
      <c r="G5980" s="18" t="e">
        <f t="shared" ref="G5980" ca="1" si="1274">E5980/E5975</f>
        <v>#DIV/0!</v>
      </c>
      <c r="H5980" s="18"/>
      <c r="I5980" s="19">
        <v>5978</v>
      </c>
      <c r="J5980" s="19" cm="1">
        <f t="array" aca="1" ref="J5980" ca="1">INDIRECT("b"&amp;K5980+2)</f>
        <v>0</v>
      </c>
      <c r="K5980" s="19">
        <f t="shared" si="1268"/>
        <v>9569</v>
      </c>
    </row>
    <row r="5981" spans="1:11">
      <c r="A5981">
        <v>5979</v>
      </c>
      <c r="B5981">
        <v>4.8250000000000001E+171</v>
      </c>
      <c r="D5981" s="18">
        <v>5979</v>
      </c>
      <c r="E5981" s="18" cm="1">
        <f t="array" aca="1" ref="E5981" ca="1">INDIRECT("b"&amp;F5981+2)</f>
        <v>0</v>
      </c>
      <c r="F5981" s="18">
        <f t="shared" si="1272"/>
        <v>8370</v>
      </c>
      <c r="G5981" s="18"/>
      <c r="H5981" s="18"/>
      <c r="I5981" s="19">
        <v>5979</v>
      </c>
      <c r="J5981" s="19" cm="1">
        <f t="array" aca="1" ref="J5981" ca="1">INDIRECT("b"&amp;K5981+2)</f>
        <v>0</v>
      </c>
      <c r="K5981" s="19">
        <f t="shared" si="1268"/>
        <v>9570</v>
      </c>
    </row>
    <row r="5982" spans="1:11">
      <c r="A5982">
        <v>5980</v>
      </c>
      <c r="B5982">
        <v>5.0499999999999999E+171</v>
      </c>
      <c r="D5982" s="18">
        <v>5980</v>
      </c>
      <c r="E5982" s="18" cm="1">
        <f t="array" aca="1" ref="E5982" ca="1">INDIRECT("b"&amp;F5982+2)</f>
        <v>0</v>
      </c>
      <c r="F5982" s="18">
        <f t="shared" si="1272"/>
        <v>8372</v>
      </c>
      <c r="G5982" s="18"/>
      <c r="H5982" s="18"/>
      <c r="I5982" s="19">
        <v>5980</v>
      </c>
      <c r="J5982" s="19" cm="1">
        <f t="array" aca="1" ref="J5982" ca="1">INDIRECT("b"&amp;K5982+2)</f>
        <v>0</v>
      </c>
      <c r="K5982" s="19">
        <f t="shared" si="1268"/>
        <v>9572</v>
      </c>
    </row>
    <row r="5983" spans="1:11">
      <c r="A5983">
        <v>5981</v>
      </c>
      <c r="B5983">
        <v>5.2749999999999997E+171</v>
      </c>
      <c r="D5983" s="18">
        <v>5981</v>
      </c>
      <c r="E5983" s="18" cm="1">
        <f t="array" aca="1" ref="E5983" ca="1">INDIRECT("b"&amp;F5983+2)</f>
        <v>0</v>
      </c>
      <c r="F5983" s="18">
        <f t="shared" si="1272"/>
        <v>8373</v>
      </c>
      <c r="G5983" s="18"/>
      <c r="H5983" s="18"/>
      <c r="I5983" s="19">
        <v>5981</v>
      </c>
      <c r="J5983" s="19" cm="1">
        <f t="array" aca="1" ref="J5983" ca="1">INDIRECT("b"&amp;K5983+2)</f>
        <v>0</v>
      </c>
      <c r="K5983" s="19">
        <f t="shared" si="1268"/>
        <v>9573</v>
      </c>
    </row>
    <row r="5984" spans="1:11">
      <c r="A5984">
        <v>5982</v>
      </c>
      <c r="B5984">
        <v>5.4999999999999994E+171</v>
      </c>
      <c r="D5984" s="18">
        <v>5982</v>
      </c>
      <c r="E5984" s="18" cm="1">
        <f t="array" aca="1" ref="E5984" ca="1">INDIRECT("b"&amp;F5984+2)</f>
        <v>0</v>
      </c>
      <c r="F5984" s="18">
        <f t="shared" si="1272"/>
        <v>8374</v>
      </c>
      <c r="G5984" s="18"/>
      <c r="H5984" s="18"/>
      <c r="I5984" s="19">
        <v>5982</v>
      </c>
      <c r="J5984" s="19" cm="1">
        <f t="array" aca="1" ref="J5984" ca="1">INDIRECT("b"&amp;K5984+2)</f>
        <v>0</v>
      </c>
      <c r="K5984" s="19">
        <f t="shared" si="1268"/>
        <v>9574</v>
      </c>
    </row>
    <row r="5985" spans="1:11">
      <c r="A5985">
        <v>5983</v>
      </c>
      <c r="B5985">
        <v>5.7250000000000001E+171</v>
      </c>
      <c r="D5985" s="18">
        <v>5983</v>
      </c>
      <c r="E5985" s="18" cm="1">
        <f t="array" aca="1" ref="E5985" ca="1">INDIRECT("b"&amp;F5985+2)</f>
        <v>0</v>
      </c>
      <c r="F5985" s="18">
        <f t="shared" si="1272"/>
        <v>8376</v>
      </c>
      <c r="G5985" s="18" t="e">
        <f t="shared" ref="G5985" ca="1" si="1275">E5985/E5980</f>
        <v>#DIV/0!</v>
      </c>
      <c r="H5985" s="18"/>
      <c r="I5985" s="19">
        <v>5983</v>
      </c>
      <c r="J5985" s="19" cm="1">
        <f t="array" aca="1" ref="J5985" ca="1">INDIRECT("b"&amp;K5985+2)</f>
        <v>0</v>
      </c>
      <c r="K5985" s="19">
        <f t="shared" si="1268"/>
        <v>9576</v>
      </c>
    </row>
    <row r="5986" spans="1:11">
      <c r="A5986">
        <v>5984</v>
      </c>
      <c r="B5986">
        <v>5.9499999999999998E+171</v>
      </c>
      <c r="D5986" s="18">
        <v>5984</v>
      </c>
      <c r="E5986" s="18" cm="1">
        <f t="array" aca="1" ref="E5986" ca="1">INDIRECT("b"&amp;F5986+2)</f>
        <v>0</v>
      </c>
      <c r="F5986" s="18">
        <f t="shared" si="1272"/>
        <v>8377</v>
      </c>
      <c r="G5986" s="18"/>
      <c r="H5986" s="18"/>
      <c r="I5986" s="19">
        <v>5984</v>
      </c>
      <c r="J5986" s="19" cm="1">
        <f t="array" aca="1" ref="J5986" ca="1">INDIRECT("b"&amp;K5986+2)</f>
        <v>0</v>
      </c>
      <c r="K5986" s="19">
        <f t="shared" si="1268"/>
        <v>9577</v>
      </c>
    </row>
    <row r="5987" spans="1:11">
      <c r="A5987">
        <v>5985</v>
      </c>
      <c r="B5987">
        <v>6.1749999999999996E+171</v>
      </c>
      <c r="D5987" s="18">
        <v>5985</v>
      </c>
      <c r="E5987" s="18" cm="1">
        <f t="array" aca="1" ref="E5987" ca="1">INDIRECT("b"&amp;F5987+2)</f>
        <v>0</v>
      </c>
      <c r="F5987" s="18">
        <f t="shared" si="1272"/>
        <v>8378</v>
      </c>
      <c r="G5987" s="18"/>
      <c r="H5987" s="18"/>
      <c r="I5987" s="19">
        <v>5985</v>
      </c>
      <c r="J5987" s="19" cm="1">
        <f t="array" aca="1" ref="J5987" ca="1">INDIRECT("b"&amp;K5987+2)</f>
        <v>0</v>
      </c>
      <c r="K5987" s="19">
        <f t="shared" si="1268"/>
        <v>9578</v>
      </c>
    </row>
    <row r="5988" spans="1:11">
      <c r="A5988">
        <v>5986</v>
      </c>
      <c r="B5988">
        <v>6.3999999999999994E+171</v>
      </c>
      <c r="D5988" s="18">
        <v>5986</v>
      </c>
      <c r="E5988" s="18" cm="1">
        <f t="array" aca="1" ref="E5988" ca="1">INDIRECT("b"&amp;F5988+2)</f>
        <v>0</v>
      </c>
      <c r="F5988" s="18">
        <f t="shared" si="1272"/>
        <v>8380</v>
      </c>
      <c r="G5988" s="18"/>
      <c r="H5988" s="18"/>
      <c r="I5988" s="19">
        <v>5986</v>
      </c>
      <c r="J5988" s="19" cm="1">
        <f t="array" aca="1" ref="J5988" ca="1">INDIRECT("b"&amp;K5988+2)</f>
        <v>0</v>
      </c>
      <c r="K5988" s="19">
        <f t="shared" si="1268"/>
        <v>9580</v>
      </c>
    </row>
    <row r="5989" spans="1:11">
      <c r="A5989">
        <v>5987</v>
      </c>
      <c r="B5989">
        <v>6.625E+171</v>
      </c>
      <c r="D5989" s="18">
        <v>5987</v>
      </c>
      <c r="E5989" s="18" cm="1">
        <f t="array" aca="1" ref="E5989" ca="1">INDIRECT("b"&amp;F5989+2)</f>
        <v>0</v>
      </c>
      <c r="F5989" s="18">
        <f t="shared" si="1272"/>
        <v>8381</v>
      </c>
      <c r="G5989" s="18"/>
      <c r="H5989" s="18"/>
      <c r="I5989" s="19">
        <v>5987</v>
      </c>
      <c r="J5989" s="19" cm="1">
        <f t="array" aca="1" ref="J5989" ca="1">INDIRECT("b"&amp;K5989+2)</f>
        <v>0</v>
      </c>
      <c r="K5989" s="19">
        <f t="shared" si="1268"/>
        <v>9581</v>
      </c>
    </row>
    <row r="5990" spans="1:11">
      <c r="A5990">
        <v>5988</v>
      </c>
      <c r="B5990">
        <v>6.8499999999999998E+171</v>
      </c>
      <c r="D5990" s="18">
        <v>5988</v>
      </c>
      <c r="E5990" s="18" cm="1">
        <f t="array" aca="1" ref="E5990" ca="1">INDIRECT("b"&amp;F5990+2)</f>
        <v>0</v>
      </c>
      <c r="F5990" s="18">
        <f t="shared" si="1272"/>
        <v>8382</v>
      </c>
      <c r="G5990" s="18" t="e">
        <f t="shared" ref="G5990" ca="1" si="1276">E5990/E5985</f>
        <v>#DIV/0!</v>
      </c>
      <c r="H5990" s="18"/>
      <c r="I5990" s="19">
        <v>5988</v>
      </c>
      <c r="J5990" s="19" cm="1">
        <f t="array" aca="1" ref="J5990" ca="1">INDIRECT("b"&amp;K5990+2)</f>
        <v>0</v>
      </c>
      <c r="K5990" s="19">
        <f t="shared" si="1268"/>
        <v>9582</v>
      </c>
    </row>
    <row r="5991" spans="1:11">
      <c r="A5991">
        <v>5989</v>
      </c>
      <c r="B5991">
        <v>7.0749999999999995E+171</v>
      </c>
      <c r="D5991" s="18">
        <v>5989</v>
      </c>
      <c r="E5991" s="18" cm="1">
        <f t="array" aca="1" ref="E5991" ca="1">INDIRECT("b"&amp;F5991+2)</f>
        <v>0</v>
      </c>
      <c r="F5991" s="18">
        <f t="shared" si="1272"/>
        <v>8384</v>
      </c>
      <c r="G5991" s="18"/>
      <c r="H5991" s="18"/>
      <c r="I5991" s="19">
        <v>5989</v>
      </c>
      <c r="J5991" s="19" cm="1">
        <f t="array" aca="1" ref="J5991" ca="1">INDIRECT("b"&amp;K5991+2)</f>
        <v>0</v>
      </c>
      <c r="K5991" s="19">
        <f t="shared" si="1268"/>
        <v>9584</v>
      </c>
    </row>
    <row r="5992" spans="1:11">
      <c r="A5992">
        <v>5990</v>
      </c>
      <c r="B5992">
        <v>7.2999999999999993E+171</v>
      </c>
      <c r="D5992" s="18">
        <v>5990</v>
      </c>
      <c r="E5992" s="18" cm="1">
        <f t="array" aca="1" ref="E5992" ca="1">INDIRECT("b"&amp;F5992+2)</f>
        <v>0</v>
      </c>
      <c r="F5992" s="18">
        <f t="shared" si="1272"/>
        <v>8385</v>
      </c>
      <c r="G5992" s="18"/>
      <c r="H5992" s="18"/>
      <c r="I5992" s="19">
        <v>5990</v>
      </c>
      <c r="J5992" s="19" cm="1">
        <f t="array" aca="1" ref="J5992" ca="1">INDIRECT("b"&amp;K5992+2)</f>
        <v>0</v>
      </c>
      <c r="K5992" s="19">
        <f t="shared" si="1268"/>
        <v>9585</v>
      </c>
    </row>
    <row r="5993" spans="1:11">
      <c r="A5993">
        <v>5991</v>
      </c>
      <c r="B5993">
        <v>7.5249999999999999E+171</v>
      </c>
      <c r="D5993" s="18">
        <v>5991</v>
      </c>
      <c r="E5993" s="18" cm="1">
        <f t="array" aca="1" ref="E5993" ca="1">INDIRECT("b"&amp;F5993+2)</f>
        <v>0</v>
      </c>
      <c r="F5993" s="18">
        <f t="shared" si="1272"/>
        <v>8386</v>
      </c>
      <c r="G5993" s="18"/>
      <c r="H5993" s="18"/>
      <c r="I5993" s="19">
        <v>5991</v>
      </c>
      <c r="J5993" s="19" cm="1">
        <f t="array" aca="1" ref="J5993" ca="1">INDIRECT("b"&amp;K5993+2)</f>
        <v>0</v>
      </c>
      <c r="K5993" s="19">
        <f t="shared" si="1268"/>
        <v>9586</v>
      </c>
    </row>
    <row r="5994" spans="1:11">
      <c r="A5994">
        <v>5992</v>
      </c>
      <c r="B5994">
        <v>7.7499999999999997E+171</v>
      </c>
      <c r="D5994" s="18">
        <v>5992</v>
      </c>
      <c r="E5994" s="18" cm="1">
        <f t="array" aca="1" ref="E5994" ca="1">INDIRECT("b"&amp;F5994+2)</f>
        <v>0</v>
      </c>
      <c r="F5994" s="18">
        <f t="shared" si="1272"/>
        <v>8388</v>
      </c>
      <c r="G5994" s="18"/>
      <c r="H5994" s="18"/>
      <c r="I5994" s="19">
        <v>5992</v>
      </c>
      <c r="J5994" s="19" cm="1">
        <f t="array" aca="1" ref="J5994" ca="1">INDIRECT("b"&amp;K5994+2)</f>
        <v>0</v>
      </c>
      <c r="K5994" s="19">
        <f t="shared" si="1268"/>
        <v>9588</v>
      </c>
    </row>
    <row r="5995" spans="1:11">
      <c r="A5995">
        <v>5993</v>
      </c>
      <c r="B5995">
        <v>7.9750000000000003E+171</v>
      </c>
      <c r="D5995" s="18">
        <v>5993</v>
      </c>
      <c r="E5995" s="18" cm="1">
        <f t="array" aca="1" ref="E5995" ca="1">INDIRECT("b"&amp;F5995+2)</f>
        <v>0</v>
      </c>
      <c r="F5995" s="18">
        <f t="shared" si="1272"/>
        <v>8389</v>
      </c>
      <c r="G5995" s="18" t="e">
        <f t="shared" ref="G5995" ca="1" si="1277">E5995/E5990</f>
        <v>#DIV/0!</v>
      </c>
      <c r="H5995" s="18"/>
      <c r="I5995" s="19">
        <v>5993</v>
      </c>
      <c r="J5995" s="19" cm="1">
        <f t="array" aca="1" ref="J5995" ca="1">INDIRECT("b"&amp;K5995+2)</f>
        <v>0</v>
      </c>
      <c r="K5995" s="19">
        <f t="shared" si="1268"/>
        <v>9589</v>
      </c>
    </row>
    <row r="5996" spans="1:11">
      <c r="A5996">
        <v>5994</v>
      </c>
      <c r="B5996">
        <v>8.1999999999999992E+171</v>
      </c>
      <c r="D5996" s="18">
        <v>5994</v>
      </c>
      <c r="E5996" s="18" cm="1">
        <f t="array" aca="1" ref="E5996" ca="1">INDIRECT("b"&amp;F5996+2)</f>
        <v>0</v>
      </c>
      <c r="F5996" s="18">
        <f t="shared" si="1272"/>
        <v>8390</v>
      </c>
      <c r="G5996" s="18"/>
      <c r="H5996" s="18"/>
      <c r="I5996" s="19">
        <v>5994</v>
      </c>
      <c r="J5996" s="19" cm="1">
        <f t="array" aca="1" ref="J5996" ca="1">INDIRECT("b"&amp;K5996+2)</f>
        <v>0</v>
      </c>
      <c r="K5996" s="19">
        <f t="shared" si="1268"/>
        <v>9590</v>
      </c>
    </row>
    <row r="5997" spans="1:11">
      <c r="A5997">
        <v>5995</v>
      </c>
      <c r="B5997">
        <v>8.4249999999999999E+171</v>
      </c>
      <c r="D5997" s="18">
        <v>5995</v>
      </c>
      <c r="E5997" s="18" cm="1">
        <f t="array" aca="1" ref="E5997" ca="1">INDIRECT("b"&amp;F5997+2)</f>
        <v>0</v>
      </c>
      <c r="F5997" s="18">
        <f t="shared" si="1272"/>
        <v>8392</v>
      </c>
      <c r="G5997" s="18"/>
      <c r="H5997" s="18"/>
      <c r="I5997" s="19">
        <v>5995</v>
      </c>
      <c r="J5997" s="19" cm="1">
        <f t="array" aca="1" ref="J5997" ca="1">INDIRECT("b"&amp;K5997+2)</f>
        <v>0</v>
      </c>
      <c r="K5997" s="19">
        <f t="shared" si="1268"/>
        <v>9592</v>
      </c>
    </row>
    <row r="5998" spans="1:11">
      <c r="A5998">
        <v>5996</v>
      </c>
      <c r="B5998">
        <v>8.6499999999999988E+171</v>
      </c>
      <c r="D5998" s="18">
        <v>5996</v>
      </c>
      <c r="E5998" s="18" cm="1">
        <f t="array" aca="1" ref="E5998" ca="1">INDIRECT("b"&amp;F5998+2)</f>
        <v>0</v>
      </c>
      <c r="F5998" s="18">
        <f t="shared" si="1272"/>
        <v>8393</v>
      </c>
      <c r="G5998" s="18"/>
      <c r="H5998" s="18"/>
      <c r="I5998" s="19">
        <v>5996</v>
      </c>
      <c r="J5998" s="19" cm="1">
        <f t="array" aca="1" ref="J5998" ca="1">INDIRECT("b"&amp;K5998+2)</f>
        <v>0</v>
      </c>
      <c r="K5998" s="19">
        <f t="shared" si="1268"/>
        <v>9593</v>
      </c>
    </row>
    <row r="5999" spans="1:11">
      <c r="A5999">
        <v>5997</v>
      </c>
      <c r="B5999">
        <v>8.8749999999999994E+171</v>
      </c>
      <c r="D5999" s="18">
        <v>5997</v>
      </c>
      <c r="E5999" s="18" cm="1">
        <f t="array" aca="1" ref="E5999" ca="1">INDIRECT("b"&amp;F5999+2)</f>
        <v>0</v>
      </c>
      <c r="F5999" s="18">
        <f t="shared" si="1272"/>
        <v>8394</v>
      </c>
      <c r="G5999" s="18"/>
      <c r="H5999" s="18"/>
      <c r="I5999" s="19">
        <v>5997</v>
      </c>
      <c r="J5999" s="19" cm="1">
        <f t="array" aca="1" ref="J5999" ca="1">INDIRECT("b"&amp;K5999+2)</f>
        <v>0</v>
      </c>
      <c r="K5999" s="19">
        <f t="shared" si="1268"/>
        <v>9594</v>
      </c>
    </row>
    <row r="6000" spans="1:11">
      <c r="A6000">
        <v>5998</v>
      </c>
      <c r="B6000">
        <v>9.1E+171</v>
      </c>
      <c r="D6000" s="18">
        <v>5998</v>
      </c>
      <c r="E6000" s="18" cm="1">
        <f t="array" aca="1" ref="E6000" ca="1">INDIRECT("b"&amp;F6000+2)</f>
        <v>0</v>
      </c>
      <c r="F6000" s="18">
        <f t="shared" si="1272"/>
        <v>8396</v>
      </c>
      <c r="G6000" s="18" t="e">
        <f t="shared" ref="G6000" ca="1" si="1278">E6000/E5995</f>
        <v>#DIV/0!</v>
      </c>
      <c r="H6000" s="18"/>
      <c r="I6000" s="19">
        <v>5998</v>
      </c>
      <c r="J6000" s="19" cm="1">
        <f t="array" aca="1" ref="J6000" ca="1">INDIRECT("b"&amp;K6000+2)</f>
        <v>0</v>
      </c>
      <c r="K6000" s="19">
        <f t="shared" si="1268"/>
        <v>9596</v>
      </c>
    </row>
    <row r="6001" spans="1:11">
      <c r="A6001">
        <v>5999</v>
      </c>
      <c r="B6001">
        <v>9.3249999999999989E+171</v>
      </c>
      <c r="D6001" s="18">
        <v>5999</v>
      </c>
      <c r="E6001" s="18" cm="1">
        <f t="array" aca="1" ref="E6001" ca="1">INDIRECT("b"&amp;F6001+2)</f>
        <v>0</v>
      </c>
      <c r="F6001" s="18">
        <f t="shared" si="1272"/>
        <v>8397</v>
      </c>
      <c r="G6001" s="18"/>
      <c r="H6001" s="18"/>
      <c r="I6001" s="19">
        <v>5999</v>
      </c>
      <c r="J6001" s="19" cm="1">
        <f t="array" aca="1" ref="J6001" ca="1">INDIRECT("b"&amp;K6001+2)</f>
        <v>0</v>
      </c>
      <c r="K6001" s="19">
        <f t="shared" si="1268"/>
        <v>9597</v>
      </c>
    </row>
    <row r="6002" spans="1:11">
      <c r="A6002">
        <v>6000</v>
      </c>
      <c r="B6002">
        <v>9.5499999999999996E+171</v>
      </c>
      <c r="D6002" s="18">
        <v>6000</v>
      </c>
      <c r="E6002" s="18" cm="1">
        <f t="array" aca="1" ref="E6002" ca="1">INDIRECT("b"&amp;F6002+2)</f>
        <v>0</v>
      </c>
      <c r="F6002" s="18">
        <f t="shared" si="1272"/>
        <v>8398</v>
      </c>
      <c r="G6002" s="18"/>
      <c r="H6002" s="18"/>
      <c r="I6002" s="19">
        <v>6000</v>
      </c>
      <c r="J6002" s="19" cm="1">
        <f t="array" aca="1" ref="J6002" ca="1">INDIRECT("b"&amp;K6002+2)</f>
        <v>0</v>
      </c>
      <c r="K6002" s="19">
        <f t="shared" si="1268"/>
        <v>9598</v>
      </c>
    </row>
    <row r="6003" spans="1:11">
      <c r="A6003">
        <v>6001</v>
      </c>
      <c r="B6003">
        <v>9.7750000000000002E+171</v>
      </c>
      <c r="D6003" s="18">
        <v>6001</v>
      </c>
      <c r="E6003" s="18" cm="1">
        <f t="array" aca="1" ref="E6003" ca="1">INDIRECT("b"&amp;F6003+2)</f>
        <v>0</v>
      </c>
      <c r="F6003" s="18">
        <f t="shared" si="1272"/>
        <v>8400</v>
      </c>
      <c r="G6003" s="18"/>
      <c r="H6003" s="18"/>
      <c r="I6003" s="19">
        <v>6001</v>
      </c>
      <c r="J6003" s="19" cm="1">
        <f t="array" aca="1" ref="J6003" ca="1">INDIRECT("b"&amp;K6003+2)</f>
        <v>0</v>
      </c>
      <c r="K6003" s="19">
        <f t="shared" si="1268"/>
        <v>9600</v>
      </c>
    </row>
    <row r="6004" spans="1:11">
      <c r="A6004">
        <v>6002</v>
      </c>
      <c r="B6004">
        <v>1.0000000000000001E+172</v>
      </c>
      <c r="D6004" s="18">
        <v>6002</v>
      </c>
      <c r="E6004" s="18" cm="1">
        <f t="array" aca="1" ref="E6004" ca="1">INDIRECT("b"&amp;F6004+2)</f>
        <v>0</v>
      </c>
      <c r="F6004" s="18">
        <f t="shared" si="1272"/>
        <v>8401</v>
      </c>
      <c r="G6004" s="18"/>
      <c r="H6004" s="18"/>
      <c r="I6004" s="19">
        <v>6002</v>
      </c>
      <c r="J6004" s="19" cm="1">
        <f t="array" aca="1" ref="J6004" ca="1">INDIRECT("b"&amp;K6004+2)</f>
        <v>0</v>
      </c>
      <c r="K6004" s="19">
        <f t="shared" si="1268"/>
        <v>9601</v>
      </c>
    </row>
    <row r="6005" spans="1:11">
      <c r="A6005">
        <v>6003</v>
      </c>
      <c r="B6005">
        <v>1.225E+172</v>
      </c>
      <c r="D6005" s="18">
        <v>6003</v>
      </c>
      <c r="E6005" s="18" cm="1">
        <f t="array" aca="1" ref="E6005" ca="1">INDIRECT("b"&amp;F6005+2)</f>
        <v>0</v>
      </c>
      <c r="F6005" s="18">
        <f t="shared" si="1272"/>
        <v>8402</v>
      </c>
      <c r="G6005" s="18" t="e">
        <f t="shared" ref="G6005" ca="1" si="1279">E6005/E6000</f>
        <v>#DIV/0!</v>
      </c>
      <c r="H6005" s="18"/>
      <c r="I6005" s="19">
        <v>6003</v>
      </c>
      <c r="J6005" s="19" cm="1">
        <f t="array" aca="1" ref="J6005" ca="1">INDIRECT("b"&amp;K6005+2)</f>
        <v>0</v>
      </c>
      <c r="K6005" s="19">
        <f t="shared" si="1268"/>
        <v>9602</v>
      </c>
    </row>
    <row r="6006" spans="1:11">
      <c r="A6006">
        <v>6004</v>
      </c>
      <c r="B6006">
        <v>1.45E+172</v>
      </c>
      <c r="D6006" s="18">
        <v>6004</v>
      </c>
      <c r="E6006" s="18" cm="1">
        <f t="array" aca="1" ref="E6006" ca="1">INDIRECT("b"&amp;F6006+2)</f>
        <v>0</v>
      </c>
      <c r="F6006" s="18">
        <f t="shared" si="1272"/>
        <v>8404</v>
      </c>
      <c r="G6006" s="18"/>
      <c r="H6006" s="18"/>
      <c r="I6006" s="19">
        <v>6004</v>
      </c>
      <c r="J6006" s="19" cm="1">
        <f t="array" aca="1" ref="J6006" ca="1">INDIRECT("b"&amp;K6006+2)</f>
        <v>0</v>
      </c>
      <c r="K6006" s="19">
        <f t="shared" si="1268"/>
        <v>9604</v>
      </c>
    </row>
    <row r="6007" spans="1:11">
      <c r="A6007">
        <v>6005</v>
      </c>
      <c r="B6007">
        <v>1.6749999999999999E+172</v>
      </c>
      <c r="D6007" s="18">
        <v>6005</v>
      </c>
      <c r="E6007" s="18" cm="1">
        <f t="array" aca="1" ref="E6007" ca="1">INDIRECT("b"&amp;F6007+2)</f>
        <v>0</v>
      </c>
      <c r="F6007" s="18">
        <f t="shared" si="1272"/>
        <v>8405</v>
      </c>
      <c r="G6007" s="18"/>
      <c r="H6007" s="18"/>
      <c r="I6007" s="19">
        <v>6005</v>
      </c>
      <c r="J6007" s="19" cm="1">
        <f t="array" aca="1" ref="J6007" ca="1">INDIRECT("b"&amp;K6007+2)</f>
        <v>0</v>
      </c>
      <c r="K6007" s="19">
        <f t="shared" si="1268"/>
        <v>9605</v>
      </c>
    </row>
    <row r="6008" spans="1:11">
      <c r="A6008">
        <v>6006</v>
      </c>
      <c r="B6008">
        <v>1.8999999999999998E+172</v>
      </c>
      <c r="D6008" s="18">
        <v>6006</v>
      </c>
      <c r="E6008" s="18" cm="1">
        <f t="array" aca="1" ref="E6008" ca="1">INDIRECT("b"&amp;F6008+2)</f>
        <v>0</v>
      </c>
      <c r="F6008" s="18">
        <f t="shared" si="1272"/>
        <v>8406</v>
      </c>
      <c r="G6008" s="18"/>
      <c r="H6008" s="18"/>
      <c r="I6008" s="19">
        <v>6006</v>
      </c>
      <c r="J6008" s="19" cm="1">
        <f t="array" aca="1" ref="J6008" ca="1">INDIRECT("b"&amp;K6008+2)</f>
        <v>0</v>
      </c>
      <c r="K6008" s="19">
        <f t="shared" si="1268"/>
        <v>9606</v>
      </c>
    </row>
    <row r="6009" spans="1:11">
      <c r="A6009">
        <v>6007</v>
      </c>
      <c r="B6009">
        <v>2.1250000000000001E+172</v>
      </c>
      <c r="D6009" s="18">
        <v>6007</v>
      </c>
      <c r="E6009" s="18" cm="1">
        <f t="array" aca="1" ref="E6009" ca="1">INDIRECT("b"&amp;F6009+2)</f>
        <v>0</v>
      </c>
      <c r="F6009" s="18">
        <f t="shared" si="1272"/>
        <v>8408</v>
      </c>
      <c r="G6009" s="18"/>
      <c r="H6009" s="18"/>
      <c r="I6009" s="19">
        <v>6007</v>
      </c>
      <c r="J6009" s="19" cm="1">
        <f t="array" aca="1" ref="J6009" ca="1">INDIRECT("b"&amp;K6009+2)</f>
        <v>0</v>
      </c>
      <c r="K6009" s="19">
        <f t="shared" si="1268"/>
        <v>9608</v>
      </c>
    </row>
    <row r="6010" spans="1:11">
      <c r="A6010">
        <v>6008</v>
      </c>
      <c r="B6010">
        <v>2.3500000000000001E+172</v>
      </c>
      <c r="D6010" s="18">
        <v>6008</v>
      </c>
      <c r="E6010" s="18" cm="1">
        <f t="array" aca="1" ref="E6010" ca="1">INDIRECT("b"&amp;F6010+2)</f>
        <v>0</v>
      </c>
      <c r="F6010" s="18">
        <f t="shared" si="1272"/>
        <v>8409</v>
      </c>
      <c r="G6010" s="18" t="e">
        <f t="shared" ref="G6010" ca="1" si="1280">E6010/E6005</f>
        <v>#DIV/0!</v>
      </c>
      <c r="H6010" s="18"/>
      <c r="I6010" s="19">
        <v>6008</v>
      </c>
      <c r="J6010" s="19" cm="1">
        <f t="array" aca="1" ref="J6010" ca="1">INDIRECT("b"&amp;K6010+2)</f>
        <v>0</v>
      </c>
      <c r="K6010" s="19">
        <f t="shared" si="1268"/>
        <v>9609</v>
      </c>
    </row>
    <row r="6011" spans="1:11">
      <c r="A6011">
        <v>6009</v>
      </c>
      <c r="B6011">
        <v>2.575E+172</v>
      </c>
      <c r="D6011" s="18">
        <v>6009</v>
      </c>
      <c r="E6011" s="18" cm="1">
        <f t="array" aca="1" ref="E6011" ca="1">INDIRECT("b"&amp;F6011+2)</f>
        <v>0</v>
      </c>
      <c r="F6011" s="18">
        <f t="shared" si="1272"/>
        <v>8410</v>
      </c>
      <c r="G6011" s="18"/>
      <c r="H6011" s="18"/>
      <c r="I6011" s="19">
        <v>6009</v>
      </c>
      <c r="J6011" s="19" cm="1">
        <f t="array" aca="1" ref="J6011" ca="1">INDIRECT("b"&amp;K6011+2)</f>
        <v>0</v>
      </c>
      <c r="K6011" s="19">
        <f t="shared" si="1268"/>
        <v>9610</v>
      </c>
    </row>
    <row r="6012" spans="1:11">
      <c r="A6012">
        <v>6010</v>
      </c>
      <c r="B6012">
        <v>2.8E+172</v>
      </c>
      <c r="D6012" s="18">
        <v>6010</v>
      </c>
      <c r="E6012" s="18" cm="1">
        <f t="array" aca="1" ref="E6012" ca="1">INDIRECT("b"&amp;F6012+2)</f>
        <v>0</v>
      </c>
      <c r="F6012" s="18">
        <f t="shared" si="1272"/>
        <v>8412</v>
      </c>
      <c r="G6012" s="18"/>
      <c r="H6012" s="18"/>
      <c r="I6012" s="19">
        <v>6010</v>
      </c>
      <c r="J6012" s="19" cm="1">
        <f t="array" aca="1" ref="J6012" ca="1">INDIRECT("b"&amp;K6012+2)</f>
        <v>0</v>
      </c>
      <c r="K6012" s="19">
        <f t="shared" si="1268"/>
        <v>9612</v>
      </c>
    </row>
    <row r="6013" spans="1:11">
      <c r="A6013">
        <v>6011</v>
      </c>
      <c r="B6013">
        <v>3.0249999999999999E+172</v>
      </c>
      <c r="D6013" s="18">
        <v>6011</v>
      </c>
      <c r="E6013" s="18" cm="1">
        <f t="array" aca="1" ref="E6013" ca="1">INDIRECT("b"&amp;F6013+2)</f>
        <v>0</v>
      </c>
      <c r="F6013" s="18">
        <f t="shared" si="1272"/>
        <v>8413</v>
      </c>
      <c r="G6013" s="18"/>
      <c r="H6013" s="18"/>
      <c r="I6013" s="19">
        <v>6011</v>
      </c>
      <c r="J6013" s="19" cm="1">
        <f t="array" aca="1" ref="J6013" ca="1">INDIRECT("b"&amp;K6013+2)</f>
        <v>0</v>
      </c>
      <c r="K6013" s="19">
        <f t="shared" si="1268"/>
        <v>9613</v>
      </c>
    </row>
    <row r="6014" spans="1:11">
      <c r="A6014">
        <v>6012</v>
      </c>
      <c r="B6014">
        <v>3.2499999999999998E+172</v>
      </c>
      <c r="D6014" s="18">
        <v>6012</v>
      </c>
      <c r="E6014" s="18" cm="1">
        <f t="array" aca="1" ref="E6014" ca="1">INDIRECT("b"&amp;F6014+2)</f>
        <v>0</v>
      </c>
      <c r="F6014" s="18">
        <f t="shared" si="1272"/>
        <v>8414</v>
      </c>
      <c r="G6014" s="18"/>
      <c r="H6014" s="18"/>
      <c r="I6014" s="19">
        <v>6012</v>
      </c>
      <c r="J6014" s="19" cm="1">
        <f t="array" aca="1" ref="J6014" ca="1">INDIRECT("b"&amp;K6014+2)</f>
        <v>0</v>
      </c>
      <c r="K6014" s="19">
        <f t="shared" si="1268"/>
        <v>9614</v>
      </c>
    </row>
    <row r="6015" spans="1:11">
      <c r="A6015">
        <v>6013</v>
      </c>
      <c r="B6015">
        <v>3.4750000000000001E+172</v>
      </c>
      <c r="D6015" s="18">
        <v>6013</v>
      </c>
      <c r="E6015" s="18" cm="1">
        <f t="array" aca="1" ref="E6015" ca="1">INDIRECT("b"&amp;F6015+2)</f>
        <v>0</v>
      </c>
      <c r="F6015" s="18">
        <f t="shared" si="1272"/>
        <v>8416</v>
      </c>
      <c r="G6015" s="18" t="e">
        <f t="shared" ref="G6015" ca="1" si="1281">E6015/E6010</f>
        <v>#DIV/0!</v>
      </c>
      <c r="H6015" s="18"/>
      <c r="I6015" s="19">
        <v>6013</v>
      </c>
      <c r="J6015" s="19" cm="1">
        <f t="array" aca="1" ref="J6015" ca="1">INDIRECT("b"&amp;K6015+2)</f>
        <v>0</v>
      </c>
      <c r="K6015" s="19">
        <f t="shared" si="1268"/>
        <v>9616</v>
      </c>
    </row>
    <row r="6016" spans="1:11">
      <c r="A6016">
        <v>6014</v>
      </c>
      <c r="B6016">
        <v>3.6999999999999997E+172</v>
      </c>
      <c r="D6016" s="18">
        <v>6014</v>
      </c>
      <c r="E6016" s="18" cm="1">
        <f t="array" aca="1" ref="E6016" ca="1">INDIRECT("b"&amp;F6016+2)</f>
        <v>0</v>
      </c>
      <c r="F6016" s="18">
        <f t="shared" si="1272"/>
        <v>8417</v>
      </c>
      <c r="G6016" s="18"/>
      <c r="H6016" s="18"/>
      <c r="I6016" s="19">
        <v>6014</v>
      </c>
      <c r="J6016" s="19" cm="1">
        <f t="array" aca="1" ref="J6016" ca="1">INDIRECT("b"&amp;K6016+2)</f>
        <v>0</v>
      </c>
      <c r="K6016" s="19">
        <f t="shared" si="1268"/>
        <v>9617</v>
      </c>
    </row>
    <row r="6017" spans="1:11">
      <c r="A6017">
        <v>6015</v>
      </c>
      <c r="B6017">
        <v>3.925E+172</v>
      </c>
      <c r="D6017" s="18">
        <v>6015</v>
      </c>
      <c r="E6017" s="18" cm="1">
        <f t="array" aca="1" ref="E6017" ca="1">INDIRECT("b"&amp;F6017+2)</f>
        <v>0</v>
      </c>
      <c r="F6017" s="18">
        <f t="shared" si="1272"/>
        <v>8418</v>
      </c>
      <c r="G6017" s="18"/>
      <c r="H6017" s="18"/>
      <c r="I6017" s="19">
        <v>6015</v>
      </c>
      <c r="J6017" s="19" cm="1">
        <f t="array" aca="1" ref="J6017" ca="1">INDIRECT("b"&amp;K6017+2)</f>
        <v>0</v>
      </c>
      <c r="K6017" s="19">
        <f t="shared" si="1268"/>
        <v>9618</v>
      </c>
    </row>
    <row r="6018" spans="1:11">
      <c r="A6018">
        <v>6016</v>
      </c>
      <c r="B6018">
        <v>4.1500000000000003E+172</v>
      </c>
      <c r="D6018" s="18">
        <v>6016</v>
      </c>
      <c r="E6018" s="18" cm="1">
        <f t="array" aca="1" ref="E6018" ca="1">INDIRECT("b"&amp;F6018+2)</f>
        <v>0</v>
      </c>
      <c r="F6018" s="18">
        <f t="shared" si="1272"/>
        <v>8420</v>
      </c>
      <c r="G6018" s="18"/>
      <c r="H6018" s="18"/>
      <c r="I6018" s="19">
        <v>6016</v>
      </c>
      <c r="J6018" s="19" cm="1">
        <f t="array" aca="1" ref="J6018" ca="1">INDIRECT("b"&amp;K6018+2)</f>
        <v>0</v>
      </c>
      <c r="K6018" s="19">
        <f t="shared" si="1268"/>
        <v>9620</v>
      </c>
    </row>
    <row r="6019" spans="1:11">
      <c r="A6019">
        <v>6017</v>
      </c>
      <c r="B6019">
        <v>4.3749999999999999E+172</v>
      </c>
      <c r="D6019" s="18">
        <v>6017</v>
      </c>
      <c r="E6019" s="18" cm="1">
        <f t="array" aca="1" ref="E6019" ca="1">INDIRECT("b"&amp;F6019+2)</f>
        <v>0</v>
      </c>
      <c r="F6019" s="18">
        <f t="shared" si="1272"/>
        <v>8421</v>
      </c>
      <c r="G6019" s="18"/>
      <c r="H6019" s="18"/>
      <c r="I6019" s="19">
        <v>6017</v>
      </c>
      <c r="J6019" s="19" cm="1">
        <f t="array" aca="1" ref="J6019" ca="1">INDIRECT("b"&amp;K6019+2)</f>
        <v>0</v>
      </c>
      <c r="K6019" s="19">
        <f t="shared" si="1268"/>
        <v>9621</v>
      </c>
    </row>
    <row r="6020" spans="1:11">
      <c r="A6020">
        <v>6018</v>
      </c>
      <c r="B6020">
        <v>4.6000000000000002E+172</v>
      </c>
      <c r="D6020" s="18">
        <v>6018</v>
      </c>
      <c r="E6020" s="18" cm="1">
        <f t="array" aca="1" ref="E6020" ca="1">INDIRECT("b"&amp;F6020+2)</f>
        <v>0</v>
      </c>
      <c r="F6020" s="18">
        <f t="shared" si="1272"/>
        <v>8422</v>
      </c>
      <c r="G6020" s="18" t="e">
        <f t="shared" ref="G6020" ca="1" si="1282">E6020/E6015</f>
        <v>#DIV/0!</v>
      </c>
      <c r="H6020" s="18"/>
      <c r="I6020" s="19">
        <v>6018</v>
      </c>
      <c r="J6020" s="19" cm="1">
        <f t="array" aca="1" ref="J6020" ca="1">INDIRECT("b"&amp;K6020+2)</f>
        <v>0</v>
      </c>
      <c r="K6020" s="19">
        <f t="shared" ref="K6020:K6024" si="1283">INT((A6020-1)*40/30+900*40/30)+400</f>
        <v>9622</v>
      </c>
    </row>
    <row r="6021" spans="1:11">
      <c r="A6021">
        <v>6019</v>
      </c>
      <c r="B6021">
        <v>4.8249999999999998E+172</v>
      </c>
      <c r="D6021" s="18">
        <v>6019</v>
      </c>
      <c r="E6021" s="18" cm="1">
        <f t="array" aca="1" ref="E6021" ca="1">INDIRECT("b"&amp;F6021+2)</f>
        <v>0</v>
      </c>
      <c r="F6021" s="18">
        <f t="shared" si="1272"/>
        <v>8424</v>
      </c>
      <c r="G6021" s="18"/>
      <c r="H6021" s="18"/>
      <c r="I6021" s="19">
        <v>6019</v>
      </c>
      <c r="J6021" s="19" cm="1">
        <f t="array" aca="1" ref="J6021" ca="1">INDIRECT("b"&amp;K6021+2)</f>
        <v>0</v>
      </c>
      <c r="K6021" s="19">
        <f t="shared" si="1283"/>
        <v>9624</v>
      </c>
    </row>
    <row r="6022" spans="1:11">
      <c r="A6022">
        <v>6020</v>
      </c>
      <c r="B6022">
        <v>5.0500000000000001E+172</v>
      </c>
      <c r="D6022" s="18">
        <v>6020</v>
      </c>
      <c r="E6022" s="18" cm="1">
        <f t="array" aca="1" ref="E6022" ca="1">INDIRECT("b"&amp;F6022+2)</f>
        <v>0</v>
      </c>
      <c r="F6022" s="18">
        <f t="shared" si="1272"/>
        <v>8425</v>
      </c>
      <c r="G6022" s="18"/>
      <c r="H6022" s="18"/>
      <c r="I6022" s="19">
        <v>6020</v>
      </c>
      <c r="J6022" s="19" cm="1">
        <f t="array" aca="1" ref="J6022" ca="1">INDIRECT("b"&amp;K6022+2)</f>
        <v>0</v>
      </c>
      <c r="K6022" s="19">
        <f t="shared" si="1283"/>
        <v>9625</v>
      </c>
    </row>
    <row r="6023" spans="1:11">
      <c r="A6023">
        <v>6021</v>
      </c>
      <c r="B6023">
        <v>5.2750000000000003E+172</v>
      </c>
      <c r="D6023" s="18">
        <v>6021</v>
      </c>
      <c r="E6023" s="18" cm="1">
        <f t="array" aca="1" ref="E6023" ca="1">INDIRECT("b"&amp;F6023+2)</f>
        <v>0</v>
      </c>
      <c r="F6023" s="18">
        <f t="shared" si="1272"/>
        <v>8426</v>
      </c>
      <c r="G6023" s="18"/>
      <c r="H6023" s="18"/>
      <c r="I6023" s="19">
        <v>6021</v>
      </c>
      <c r="J6023" s="19" cm="1">
        <f t="array" aca="1" ref="J6023" ca="1">INDIRECT("b"&amp;K6023+2)</f>
        <v>0</v>
      </c>
      <c r="K6023" s="19">
        <f t="shared" si="1283"/>
        <v>9626</v>
      </c>
    </row>
    <row r="6024" spans="1:11">
      <c r="A6024">
        <v>6022</v>
      </c>
      <c r="B6024">
        <v>5.4999999999999999E+172</v>
      </c>
      <c r="D6024" s="18">
        <v>6022</v>
      </c>
      <c r="E6024" s="18" cm="1">
        <f t="array" aca="1" ref="E6024" ca="1">INDIRECT("b"&amp;F6024+2)</f>
        <v>0</v>
      </c>
      <c r="F6024" s="18">
        <f t="shared" si="1272"/>
        <v>8428</v>
      </c>
      <c r="G6024" s="18"/>
      <c r="H6024" s="18"/>
      <c r="I6024" s="19">
        <v>6022</v>
      </c>
      <c r="J6024" s="19" cm="1">
        <f t="array" aca="1" ref="J6024" ca="1">INDIRECT("b"&amp;K6024+2)</f>
        <v>0</v>
      </c>
      <c r="K6024" s="19">
        <f t="shared" si="1283"/>
        <v>9628</v>
      </c>
    </row>
  </sheetData>
  <mergeCells count="3">
    <mergeCell ref="A1:B1"/>
    <mergeCell ref="D1:F1"/>
    <mergeCell ref="I1:K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4B43-6B06-4E65-8374-DA735A9AEB80}">
  <dimension ref="A1:I1565"/>
  <sheetViews>
    <sheetView tabSelected="1" topLeftCell="A399" workbookViewId="0">
      <selection activeCell="K404" sqref="K404"/>
    </sheetView>
  </sheetViews>
  <sheetFormatPr defaultRowHeight="16.5"/>
  <cols>
    <col min="3" max="3" width="13.375" bestFit="1" customWidth="1"/>
    <col min="5" max="5" width="11.25" bestFit="1" customWidth="1"/>
    <col min="7" max="7" width="11.25" bestFit="1" customWidth="1"/>
    <col min="9" max="9" width="11.25" bestFit="1" customWidth="1"/>
  </cols>
  <sheetData>
    <row r="1" spans="1:9">
      <c r="A1" t="s">
        <v>231</v>
      </c>
      <c r="B1" s="2" t="s">
        <v>588</v>
      </c>
      <c r="C1" s="2" t="s">
        <v>592</v>
      </c>
      <c r="D1" s="3" t="s">
        <v>591</v>
      </c>
      <c r="E1" s="3" t="s">
        <v>596</v>
      </c>
      <c r="F1" s="51" t="s">
        <v>593</v>
      </c>
      <c r="G1" s="51" t="s">
        <v>595</v>
      </c>
      <c r="H1" s="52" t="s">
        <v>594</v>
      </c>
      <c r="I1" s="52" t="s">
        <v>597</v>
      </c>
    </row>
    <row r="2" spans="1:9">
      <c r="A2">
        <v>1</v>
      </c>
      <c r="B2" s="2">
        <v>1</v>
      </c>
      <c r="C2" s="2"/>
      <c r="D2" s="3">
        <v>1</v>
      </c>
      <c r="E2" s="3">
        <v>1560</v>
      </c>
      <c r="F2" s="51">
        <v>1</v>
      </c>
      <c r="G2" s="51">
        <v>2718</v>
      </c>
      <c r="H2" s="52">
        <v>1</v>
      </c>
      <c r="I2" s="52">
        <v>3876</v>
      </c>
    </row>
    <row r="3" spans="1:9">
      <c r="A3">
        <v>2</v>
      </c>
      <c r="B3" s="2">
        <v>2</v>
      </c>
      <c r="C3" s="2"/>
      <c r="D3" s="3">
        <v>2</v>
      </c>
      <c r="E3" s="3">
        <f>INT((D3-D$2)*1.3333333)+E$2</f>
        <v>1561</v>
      </c>
      <c r="F3" s="51">
        <v>2</v>
      </c>
      <c r="G3" s="51">
        <f>INT((F3-F$2)*1.3333333)+G$2</f>
        <v>2719</v>
      </c>
      <c r="H3" s="52">
        <v>2</v>
      </c>
      <c r="I3" s="52">
        <f>INT((H3-H$2)*1.3333333)+I$2</f>
        <v>3877</v>
      </c>
    </row>
    <row r="4" spans="1:9">
      <c r="A4">
        <v>3</v>
      </c>
      <c r="B4" s="2">
        <v>3</v>
      </c>
      <c r="C4" s="2"/>
      <c r="D4" s="3">
        <v>3</v>
      </c>
      <c r="E4" s="3">
        <f t="shared" ref="E4:E67" si="0">INT((D4-D$2)*1.3333333)+E$2</f>
        <v>1562</v>
      </c>
      <c r="F4" s="51">
        <v>3</v>
      </c>
      <c r="G4" s="51">
        <f t="shared" ref="G4:G67" si="1">INT((F4-F$2)*1.3333333)+G$2</f>
        <v>2720</v>
      </c>
      <c r="H4" s="52">
        <v>3</v>
      </c>
      <c r="I4" s="52">
        <f t="shared" ref="I4:I67" si="2">INT((H4-H$2)*1.3333333)+I$2</f>
        <v>3878</v>
      </c>
    </row>
    <row r="5" spans="1:9">
      <c r="A5">
        <v>4</v>
      </c>
      <c r="B5" s="2">
        <v>4</v>
      </c>
      <c r="C5" s="2"/>
      <c r="D5" s="3">
        <v>4</v>
      </c>
      <c r="E5" s="3">
        <f t="shared" si="0"/>
        <v>1563</v>
      </c>
      <c r="F5" s="51">
        <v>4</v>
      </c>
      <c r="G5" s="51">
        <f t="shared" si="1"/>
        <v>2721</v>
      </c>
      <c r="H5" s="52">
        <v>4</v>
      </c>
      <c r="I5" s="52">
        <f t="shared" si="2"/>
        <v>3879</v>
      </c>
    </row>
    <row r="6" spans="1:9">
      <c r="A6">
        <v>5</v>
      </c>
      <c r="B6" s="2">
        <v>5</v>
      </c>
      <c r="C6" s="2"/>
      <c r="D6" s="3">
        <v>5</v>
      </c>
      <c r="E6" s="3">
        <f t="shared" si="0"/>
        <v>1565</v>
      </c>
      <c r="F6" s="51">
        <v>5</v>
      </c>
      <c r="G6" s="51">
        <f t="shared" si="1"/>
        <v>2723</v>
      </c>
      <c r="H6" s="52">
        <v>5</v>
      </c>
      <c r="I6" s="52">
        <f t="shared" si="2"/>
        <v>3881</v>
      </c>
    </row>
    <row r="7" spans="1:9">
      <c r="A7">
        <v>6</v>
      </c>
      <c r="B7" s="2">
        <v>6</v>
      </c>
      <c r="C7" s="2"/>
      <c r="D7" s="3">
        <v>6</v>
      </c>
      <c r="E7" s="3">
        <f t="shared" si="0"/>
        <v>1566</v>
      </c>
      <c r="F7" s="51">
        <v>6</v>
      </c>
      <c r="G7" s="51">
        <f t="shared" si="1"/>
        <v>2724</v>
      </c>
      <c r="H7" s="52">
        <v>6</v>
      </c>
      <c r="I7" s="52">
        <f t="shared" si="2"/>
        <v>3882</v>
      </c>
    </row>
    <row r="8" spans="1:9">
      <c r="A8">
        <v>7</v>
      </c>
      <c r="B8" s="2">
        <v>7</v>
      </c>
      <c r="C8" s="2"/>
      <c r="D8" s="3">
        <v>7</v>
      </c>
      <c r="E8" s="3">
        <f t="shared" si="0"/>
        <v>1567</v>
      </c>
      <c r="F8" s="51">
        <v>7</v>
      </c>
      <c r="G8" s="51">
        <f t="shared" si="1"/>
        <v>2725</v>
      </c>
      <c r="H8" s="52">
        <v>7</v>
      </c>
      <c r="I8" s="52">
        <f t="shared" si="2"/>
        <v>3883</v>
      </c>
    </row>
    <row r="9" spans="1:9">
      <c r="A9">
        <v>8</v>
      </c>
      <c r="B9" s="2">
        <v>8</v>
      </c>
      <c r="C9" s="2"/>
      <c r="D9" s="3">
        <v>8</v>
      </c>
      <c r="E9" s="3">
        <f t="shared" si="0"/>
        <v>1569</v>
      </c>
      <c r="F9" s="51">
        <v>8</v>
      </c>
      <c r="G9" s="51">
        <f t="shared" si="1"/>
        <v>2727</v>
      </c>
      <c r="H9" s="52">
        <v>8</v>
      </c>
      <c r="I9" s="52">
        <f t="shared" si="2"/>
        <v>3885</v>
      </c>
    </row>
    <row r="10" spans="1:9">
      <c r="A10">
        <v>9</v>
      </c>
      <c r="B10" s="2">
        <v>9</v>
      </c>
      <c r="C10" s="2"/>
      <c r="D10" s="3">
        <v>9</v>
      </c>
      <c r="E10" s="3">
        <f t="shared" si="0"/>
        <v>1570</v>
      </c>
      <c r="F10" s="51">
        <v>9</v>
      </c>
      <c r="G10" s="51">
        <f t="shared" si="1"/>
        <v>2728</v>
      </c>
      <c r="H10" s="52">
        <v>9</v>
      </c>
      <c r="I10" s="52">
        <f t="shared" si="2"/>
        <v>3886</v>
      </c>
    </row>
    <row r="11" spans="1:9">
      <c r="A11">
        <v>10</v>
      </c>
      <c r="B11" s="2">
        <v>10</v>
      </c>
      <c r="C11" s="2"/>
      <c r="D11" s="3">
        <v>10</v>
      </c>
      <c r="E11" s="3">
        <f t="shared" si="0"/>
        <v>1571</v>
      </c>
      <c r="F11" s="51">
        <v>10</v>
      </c>
      <c r="G11" s="51">
        <f t="shared" si="1"/>
        <v>2729</v>
      </c>
      <c r="H11" s="52">
        <v>10</v>
      </c>
      <c r="I11" s="52">
        <f t="shared" si="2"/>
        <v>3887</v>
      </c>
    </row>
    <row r="12" spans="1:9">
      <c r="A12">
        <v>11</v>
      </c>
      <c r="B12" s="2">
        <v>11</v>
      </c>
      <c r="C12" s="2"/>
      <c r="D12" s="3">
        <v>11</v>
      </c>
      <c r="E12" s="3">
        <f t="shared" si="0"/>
        <v>1573</v>
      </c>
      <c r="F12" s="51">
        <v>11</v>
      </c>
      <c r="G12" s="51">
        <f t="shared" si="1"/>
        <v>2731</v>
      </c>
      <c r="H12" s="52">
        <v>11</v>
      </c>
      <c r="I12" s="52">
        <f t="shared" si="2"/>
        <v>3889</v>
      </c>
    </row>
    <row r="13" spans="1:9">
      <c r="A13">
        <v>12</v>
      </c>
      <c r="B13" s="2">
        <v>12</v>
      </c>
      <c r="C13" s="2"/>
      <c r="D13" s="3">
        <v>12</v>
      </c>
      <c r="E13" s="3">
        <f t="shared" si="0"/>
        <v>1574</v>
      </c>
      <c r="F13" s="51">
        <v>12</v>
      </c>
      <c r="G13" s="51">
        <f t="shared" si="1"/>
        <v>2732</v>
      </c>
      <c r="H13" s="52">
        <v>12</v>
      </c>
      <c r="I13" s="52">
        <f t="shared" si="2"/>
        <v>3890</v>
      </c>
    </row>
    <row r="14" spans="1:9">
      <c r="A14">
        <v>13</v>
      </c>
      <c r="B14" s="2">
        <v>13</v>
      </c>
      <c r="C14" s="2"/>
      <c r="D14" s="3">
        <v>13</v>
      </c>
      <c r="E14" s="3">
        <f t="shared" si="0"/>
        <v>1575</v>
      </c>
      <c r="F14" s="51">
        <v>13</v>
      </c>
      <c r="G14" s="51">
        <f t="shared" si="1"/>
        <v>2733</v>
      </c>
      <c r="H14" s="52">
        <v>13</v>
      </c>
      <c r="I14" s="52">
        <f t="shared" si="2"/>
        <v>3891</v>
      </c>
    </row>
    <row r="15" spans="1:9">
      <c r="A15">
        <v>14</v>
      </c>
      <c r="B15" s="2">
        <v>14</v>
      </c>
      <c r="C15" s="2"/>
      <c r="D15" s="3">
        <v>14</v>
      </c>
      <c r="E15" s="3">
        <f t="shared" si="0"/>
        <v>1577</v>
      </c>
      <c r="F15" s="51">
        <v>14</v>
      </c>
      <c r="G15" s="51">
        <f t="shared" si="1"/>
        <v>2735</v>
      </c>
      <c r="H15" s="52">
        <v>14</v>
      </c>
      <c r="I15" s="52">
        <f t="shared" si="2"/>
        <v>3893</v>
      </c>
    </row>
    <row r="16" spans="1:9">
      <c r="A16">
        <v>15</v>
      </c>
      <c r="B16" s="2">
        <v>15</v>
      </c>
      <c r="C16" s="2"/>
      <c r="D16" s="3">
        <v>15</v>
      </c>
      <c r="E16" s="3">
        <f t="shared" si="0"/>
        <v>1578</v>
      </c>
      <c r="F16" s="51">
        <v>15</v>
      </c>
      <c r="G16" s="51">
        <f t="shared" si="1"/>
        <v>2736</v>
      </c>
      <c r="H16" s="52">
        <v>15</v>
      </c>
      <c r="I16" s="52">
        <f t="shared" si="2"/>
        <v>3894</v>
      </c>
    </row>
    <row r="17" spans="1:9">
      <c r="A17">
        <v>16</v>
      </c>
      <c r="B17" s="2">
        <v>16</v>
      </c>
      <c r="C17" s="2"/>
      <c r="D17" s="3">
        <v>16</v>
      </c>
      <c r="E17" s="3">
        <f t="shared" si="0"/>
        <v>1579</v>
      </c>
      <c r="F17" s="51">
        <v>16</v>
      </c>
      <c r="G17" s="51">
        <f t="shared" si="1"/>
        <v>2737</v>
      </c>
      <c r="H17" s="52">
        <v>16</v>
      </c>
      <c r="I17" s="52">
        <f t="shared" si="2"/>
        <v>3895</v>
      </c>
    </row>
    <row r="18" spans="1:9">
      <c r="A18">
        <v>17</v>
      </c>
      <c r="B18" s="2">
        <v>17</v>
      </c>
      <c r="C18" s="2"/>
      <c r="D18" s="3">
        <v>17</v>
      </c>
      <c r="E18" s="3">
        <f t="shared" si="0"/>
        <v>1581</v>
      </c>
      <c r="F18" s="51">
        <v>17</v>
      </c>
      <c r="G18" s="51">
        <f t="shared" si="1"/>
        <v>2739</v>
      </c>
      <c r="H18" s="52">
        <v>17</v>
      </c>
      <c r="I18" s="52">
        <f t="shared" si="2"/>
        <v>3897</v>
      </c>
    </row>
    <row r="19" spans="1:9">
      <c r="A19">
        <v>18</v>
      </c>
      <c r="B19" s="2">
        <v>18</v>
      </c>
      <c r="C19" s="2"/>
      <c r="D19" s="3">
        <v>18</v>
      </c>
      <c r="E19" s="3">
        <f t="shared" si="0"/>
        <v>1582</v>
      </c>
      <c r="F19" s="51">
        <v>18</v>
      </c>
      <c r="G19" s="51">
        <f t="shared" si="1"/>
        <v>2740</v>
      </c>
      <c r="H19" s="52">
        <v>18</v>
      </c>
      <c r="I19" s="52">
        <f t="shared" si="2"/>
        <v>3898</v>
      </c>
    </row>
    <row r="20" spans="1:9">
      <c r="A20">
        <v>19</v>
      </c>
      <c r="B20" s="2">
        <v>19</v>
      </c>
      <c r="C20" s="2"/>
      <c r="D20" s="3">
        <v>19</v>
      </c>
      <c r="E20" s="3">
        <f t="shared" si="0"/>
        <v>1583</v>
      </c>
      <c r="F20" s="51">
        <v>19</v>
      </c>
      <c r="G20" s="51">
        <f t="shared" si="1"/>
        <v>2741</v>
      </c>
      <c r="H20" s="52">
        <v>19</v>
      </c>
      <c r="I20" s="52">
        <f t="shared" si="2"/>
        <v>3899</v>
      </c>
    </row>
    <row r="21" spans="1:9">
      <c r="A21">
        <v>20</v>
      </c>
      <c r="B21" s="2">
        <v>20</v>
      </c>
      <c r="C21" s="2"/>
      <c r="D21" s="3">
        <v>20</v>
      </c>
      <c r="E21" s="3">
        <f t="shared" si="0"/>
        <v>1585</v>
      </c>
      <c r="F21" s="51">
        <v>20</v>
      </c>
      <c r="G21" s="51">
        <f t="shared" si="1"/>
        <v>2743</v>
      </c>
      <c r="H21" s="52">
        <v>20</v>
      </c>
      <c r="I21" s="52">
        <f t="shared" si="2"/>
        <v>3901</v>
      </c>
    </row>
    <row r="22" spans="1:9">
      <c r="A22">
        <v>21</v>
      </c>
      <c r="B22" s="2">
        <v>21</v>
      </c>
      <c r="C22" s="2"/>
      <c r="D22" s="3">
        <v>21</v>
      </c>
      <c r="E22" s="3">
        <f t="shared" si="0"/>
        <v>1586</v>
      </c>
      <c r="F22" s="51">
        <v>21</v>
      </c>
      <c r="G22" s="51">
        <f t="shared" si="1"/>
        <v>2744</v>
      </c>
      <c r="H22" s="52">
        <v>21</v>
      </c>
      <c r="I22" s="52">
        <f t="shared" si="2"/>
        <v>3902</v>
      </c>
    </row>
    <row r="23" spans="1:9">
      <c r="A23">
        <v>22</v>
      </c>
      <c r="B23" s="2">
        <v>22</v>
      </c>
      <c r="C23" s="2"/>
      <c r="D23" s="3">
        <v>22</v>
      </c>
      <c r="E23" s="3">
        <f t="shared" si="0"/>
        <v>1587</v>
      </c>
      <c r="F23" s="51">
        <v>22</v>
      </c>
      <c r="G23" s="51">
        <f t="shared" si="1"/>
        <v>2745</v>
      </c>
      <c r="H23" s="52">
        <v>22</v>
      </c>
      <c r="I23" s="52">
        <f t="shared" si="2"/>
        <v>3903</v>
      </c>
    </row>
    <row r="24" spans="1:9">
      <c r="A24">
        <v>23</v>
      </c>
      <c r="B24" s="2">
        <v>23</v>
      </c>
      <c r="C24" s="2"/>
      <c r="D24" s="3">
        <v>23</v>
      </c>
      <c r="E24" s="3">
        <f t="shared" si="0"/>
        <v>1589</v>
      </c>
      <c r="F24" s="51">
        <v>23</v>
      </c>
      <c r="G24" s="51">
        <f t="shared" si="1"/>
        <v>2747</v>
      </c>
      <c r="H24" s="52">
        <v>23</v>
      </c>
      <c r="I24" s="52">
        <f t="shared" si="2"/>
        <v>3905</v>
      </c>
    </row>
    <row r="25" spans="1:9">
      <c r="A25">
        <v>24</v>
      </c>
      <c r="B25" s="2">
        <v>24</v>
      </c>
      <c r="C25" s="2"/>
      <c r="D25" s="3">
        <v>24</v>
      </c>
      <c r="E25" s="3">
        <f t="shared" si="0"/>
        <v>1590</v>
      </c>
      <c r="F25" s="51">
        <v>24</v>
      </c>
      <c r="G25" s="51">
        <f t="shared" si="1"/>
        <v>2748</v>
      </c>
      <c r="H25" s="52">
        <v>24</v>
      </c>
      <c r="I25" s="52">
        <f t="shared" si="2"/>
        <v>3906</v>
      </c>
    </row>
    <row r="26" spans="1:9">
      <c r="A26">
        <v>25</v>
      </c>
      <c r="B26" s="2">
        <v>25</v>
      </c>
      <c r="C26" s="2"/>
      <c r="D26" s="3">
        <v>25</v>
      </c>
      <c r="E26" s="3">
        <f t="shared" si="0"/>
        <v>1591</v>
      </c>
      <c r="F26" s="51">
        <v>25</v>
      </c>
      <c r="G26" s="51">
        <f t="shared" si="1"/>
        <v>2749</v>
      </c>
      <c r="H26" s="52">
        <v>25</v>
      </c>
      <c r="I26" s="52">
        <f t="shared" si="2"/>
        <v>3907</v>
      </c>
    </row>
    <row r="27" spans="1:9">
      <c r="A27">
        <v>26</v>
      </c>
      <c r="B27" s="2">
        <v>26</v>
      </c>
      <c r="C27" s="2"/>
      <c r="D27" s="3">
        <v>26</v>
      </c>
      <c r="E27" s="3">
        <f t="shared" si="0"/>
        <v>1593</v>
      </c>
      <c r="F27" s="51">
        <v>26</v>
      </c>
      <c r="G27" s="51">
        <f t="shared" si="1"/>
        <v>2751</v>
      </c>
      <c r="H27" s="52">
        <v>26</v>
      </c>
      <c r="I27" s="52">
        <f t="shared" si="2"/>
        <v>3909</v>
      </c>
    </row>
    <row r="28" spans="1:9">
      <c r="A28">
        <v>27</v>
      </c>
      <c r="B28" s="2">
        <v>27</v>
      </c>
      <c r="C28" s="2"/>
      <c r="D28" s="3">
        <v>27</v>
      </c>
      <c r="E28" s="3">
        <f t="shared" si="0"/>
        <v>1594</v>
      </c>
      <c r="F28" s="51">
        <v>27</v>
      </c>
      <c r="G28" s="51">
        <f t="shared" si="1"/>
        <v>2752</v>
      </c>
      <c r="H28" s="52">
        <v>27</v>
      </c>
      <c r="I28" s="52">
        <f t="shared" si="2"/>
        <v>3910</v>
      </c>
    </row>
    <row r="29" spans="1:9">
      <c r="A29">
        <v>28</v>
      </c>
      <c r="B29" s="2">
        <v>28</v>
      </c>
      <c r="C29" s="2"/>
      <c r="D29" s="3">
        <v>28</v>
      </c>
      <c r="E29" s="3">
        <f t="shared" si="0"/>
        <v>1595</v>
      </c>
      <c r="F29" s="51">
        <v>28</v>
      </c>
      <c r="G29" s="51">
        <f t="shared" si="1"/>
        <v>2753</v>
      </c>
      <c r="H29" s="52">
        <v>28</v>
      </c>
      <c r="I29" s="52">
        <f t="shared" si="2"/>
        <v>3911</v>
      </c>
    </row>
    <row r="30" spans="1:9">
      <c r="A30">
        <v>29</v>
      </c>
      <c r="B30" s="2">
        <v>29</v>
      </c>
      <c r="C30" s="2"/>
      <c r="D30" s="3">
        <v>29</v>
      </c>
      <c r="E30" s="3">
        <f t="shared" si="0"/>
        <v>1597</v>
      </c>
      <c r="F30" s="51">
        <v>29</v>
      </c>
      <c r="G30" s="51">
        <f t="shared" si="1"/>
        <v>2755</v>
      </c>
      <c r="H30" s="52">
        <v>29</v>
      </c>
      <c r="I30" s="52">
        <f t="shared" si="2"/>
        <v>3913</v>
      </c>
    </row>
    <row r="31" spans="1:9">
      <c r="A31">
        <v>30</v>
      </c>
      <c r="B31" s="2">
        <v>30</v>
      </c>
      <c r="C31" s="2"/>
      <c r="D31" s="3">
        <v>30</v>
      </c>
      <c r="E31" s="3">
        <f t="shared" si="0"/>
        <v>1598</v>
      </c>
      <c r="F31" s="51">
        <v>30</v>
      </c>
      <c r="G31" s="51">
        <f t="shared" si="1"/>
        <v>2756</v>
      </c>
      <c r="H31" s="52">
        <v>30</v>
      </c>
      <c r="I31" s="52">
        <f t="shared" si="2"/>
        <v>3914</v>
      </c>
    </row>
    <row r="32" spans="1:9">
      <c r="A32">
        <v>31</v>
      </c>
      <c r="B32" s="2">
        <v>31</v>
      </c>
      <c r="C32" s="2"/>
      <c r="D32" s="3">
        <v>31</v>
      </c>
      <c r="E32" s="3">
        <f t="shared" si="0"/>
        <v>1599</v>
      </c>
      <c r="F32" s="51">
        <v>31</v>
      </c>
      <c r="G32" s="51">
        <f t="shared" si="1"/>
        <v>2757</v>
      </c>
      <c r="H32" s="52">
        <v>31</v>
      </c>
      <c r="I32" s="52">
        <f t="shared" si="2"/>
        <v>3915</v>
      </c>
    </row>
    <row r="33" spans="1:9">
      <c r="A33">
        <v>32</v>
      </c>
      <c r="B33" s="2">
        <v>32</v>
      </c>
      <c r="C33" s="2"/>
      <c r="D33" s="3">
        <v>32</v>
      </c>
      <c r="E33" s="3">
        <f t="shared" si="0"/>
        <v>1601</v>
      </c>
      <c r="F33" s="51">
        <v>32</v>
      </c>
      <c r="G33" s="51">
        <f t="shared" si="1"/>
        <v>2759</v>
      </c>
      <c r="H33" s="52">
        <v>32</v>
      </c>
      <c r="I33" s="52">
        <f t="shared" si="2"/>
        <v>3917</v>
      </c>
    </row>
    <row r="34" spans="1:9">
      <c r="A34">
        <v>33</v>
      </c>
      <c r="B34" s="2">
        <v>33</v>
      </c>
      <c r="C34" s="2"/>
      <c r="D34" s="3">
        <v>33</v>
      </c>
      <c r="E34" s="3">
        <f t="shared" si="0"/>
        <v>1602</v>
      </c>
      <c r="F34" s="51">
        <v>33</v>
      </c>
      <c r="G34" s="51">
        <f t="shared" si="1"/>
        <v>2760</v>
      </c>
      <c r="H34" s="52">
        <v>33</v>
      </c>
      <c r="I34" s="52">
        <f t="shared" si="2"/>
        <v>3918</v>
      </c>
    </row>
    <row r="35" spans="1:9">
      <c r="A35">
        <v>34</v>
      </c>
      <c r="B35" s="2">
        <v>34</v>
      </c>
      <c r="C35" s="2"/>
      <c r="D35" s="3">
        <v>34</v>
      </c>
      <c r="E35" s="3">
        <f t="shared" si="0"/>
        <v>1603</v>
      </c>
      <c r="F35" s="51">
        <v>34</v>
      </c>
      <c r="G35" s="51">
        <f t="shared" si="1"/>
        <v>2761</v>
      </c>
      <c r="H35" s="52">
        <v>34</v>
      </c>
      <c r="I35" s="52">
        <f t="shared" si="2"/>
        <v>3919</v>
      </c>
    </row>
    <row r="36" spans="1:9">
      <c r="A36">
        <v>35</v>
      </c>
      <c r="B36" s="2">
        <v>35</v>
      </c>
      <c r="C36" s="2"/>
      <c r="D36" s="3">
        <v>35</v>
      </c>
      <c r="E36" s="3">
        <f t="shared" si="0"/>
        <v>1605</v>
      </c>
      <c r="F36" s="51">
        <v>35</v>
      </c>
      <c r="G36" s="51">
        <f t="shared" si="1"/>
        <v>2763</v>
      </c>
      <c r="H36" s="52">
        <v>35</v>
      </c>
      <c r="I36" s="52">
        <f t="shared" si="2"/>
        <v>3921</v>
      </c>
    </row>
    <row r="37" spans="1:9">
      <c r="A37">
        <v>36</v>
      </c>
      <c r="B37" s="2">
        <v>36</v>
      </c>
      <c r="C37" s="2"/>
      <c r="D37" s="3">
        <v>36</v>
      </c>
      <c r="E37" s="3">
        <f t="shared" si="0"/>
        <v>1606</v>
      </c>
      <c r="F37" s="51">
        <v>36</v>
      </c>
      <c r="G37" s="51">
        <f t="shared" si="1"/>
        <v>2764</v>
      </c>
      <c r="H37" s="52">
        <v>36</v>
      </c>
      <c r="I37" s="52">
        <f t="shared" si="2"/>
        <v>3922</v>
      </c>
    </row>
    <row r="38" spans="1:9">
      <c r="A38">
        <v>37</v>
      </c>
      <c r="B38" s="2">
        <v>37</v>
      </c>
      <c r="C38" s="2"/>
      <c r="D38" s="3">
        <v>37</v>
      </c>
      <c r="E38" s="3">
        <f t="shared" si="0"/>
        <v>1607</v>
      </c>
      <c r="F38" s="51">
        <v>37</v>
      </c>
      <c r="G38" s="51">
        <f t="shared" si="1"/>
        <v>2765</v>
      </c>
      <c r="H38" s="52">
        <v>37</v>
      </c>
      <c r="I38" s="52">
        <f t="shared" si="2"/>
        <v>3923</v>
      </c>
    </row>
    <row r="39" spans="1:9">
      <c r="A39">
        <v>38</v>
      </c>
      <c r="B39" s="2">
        <v>38</v>
      </c>
      <c r="C39" s="2"/>
      <c r="D39" s="3">
        <v>38</v>
      </c>
      <c r="E39" s="3">
        <f t="shared" si="0"/>
        <v>1609</v>
      </c>
      <c r="F39" s="51">
        <v>38</v>
      </c>
      <c r="G39" s="51">
        <f t="shared" si="1"/>
        <v>2767</v>
      </c>
      <c r="H39" s="52">
        <v>38</v>
      </c>
      <c r="I39" s="52">
        <f t="shared" si="2"/>
        <v>3925</v>
      </c>
    </row>
    <row r="40" spans="1:9">
      <c r="A40">
        <v>39</v>
      </c>
      <c r="B40" s="2">
        <v>39</v>
      </c>
      <c r="C40" s="2"/>
      <c r="D40" s="3">
        <v>39</v>
      </c>
      <c r="E40" s="3">
        <f t="shared" si="0"/>
        <v>1610</v>
      </c>
      <c r="F40" s="51">
        <v>39</v>
      </c>
      <c r="G40" s="51">
        <f t="shared" si="1"/>
        <v>2768</v>
      </c>
      <c r="H40" s="52">
        <v>39</v>
      </c>
      <c r="I40" s="52">
        <f t="shared" si="2"/>
        <v>3926</v>
      </c>
    </row>
    <row r="41" spans="1:9">
      <c r="A41">
        <v>40</v>
      </c>
      <c r="B41" s="2">
        <v>40</v>
      </c>
      <c r="C41" s="2"/>
      <c r="D41" s="3">
        <v>40</v>
      </c>
      <c r="E41" s="3">
        <f t="shared" si="0"/>
        <v>1611</v>
      </c>
      <c r="F41" s="51">
        <v>40</v>
      </c>
      <c r="G41" s="51">
        <f t="shared" si="1"/>
        <v>2769</v>
      </c>
      <c r="H41" s="52">
        <v>40</v>
      </c>
      <c r="I41" s="52">
        <f t="shared" si="2"/>
        <v>3927</v>
      </c>
    </row>
    <row r="42" spans="1:9">
      <c r="A42">
        <v>41</v>
      </c>
      <c r="B42" s="2">
        <v>41</v>
      </c>
      <c r="C42" s="2"/>
      <c r="D42" s="3">
        <v>41</v>
      </c>
      <c r="E42" s="3">
        <f t="shared" si="0"/>
        <v>1613</v>
      </c>
      <c r="F42" s="51">
        <v>41</v>
      </c>
      <c r="G42" s="51">
        <f t="shared" si="1"/>
        <v>2771</v>
      </c>
      <c r="H42" s="52">
        <v>41</v>
      </c>
      <c r="I42" s="52">
        <f t="shared" si="2"/>
        <v>3929</v>
      </c>
    </row>
    <row r="43" spans="1:9">
      <c r="A43">
        <v>42</v>
      </c>
      <c r="B43" s="2">
        <v>42</v>
      </c>
      <c r="C43" s="2"/>
      <c r="D43" s="3">
        <v>42</v>
      </c>
      <c r="E43" s="3">
        <f t="shared" si="0"/>
        <v>1614</v>
      </c>
      <c r="F43" s="51">
        <v>42</v>
      </c>
      <c r="G43" s="51">
        <f t="shared" si="1"/>
        <v>2772</v>
      </c>
      <c r="H43" s="52">
        <v>42</v>
      </c>
      <c r="I43" s="52">
        <f t="shared" si="2"/>
        <v>3930</v>
      </c>
    </row>
    <row r="44" spans="1:9">
      <c r="A44">
        <v>43</v>
      </c>
      <c r="B44" s="2">
        <v>43</v>
      </c>
      <c r="C44" s="2"/>
      <c r="D44" s="3">
        <v>43</v>
      </c>
      <c r="E44" s="3">
        <f t="shared" si="0"/>
        <v>1615</v>
      </c>
      <c r="F44" s="51">
        <v>43</v>
      </c>
      <c r="G44" s="51">
        <f t="shared" si="1"/>
        <v>2773</v>
      </c>
      <c r="H44" s="52">
        <v>43</v>
      </c>
      <c r="I44" s="52">
        <f t="shared" si="2"/>
        <v>3931</v>
      </c>
    </row>
    <row r="45" spans="1:9">
      <c r="A45">
        <v>44</v>
      </c>
      <c r="B45" s="2">
        <v>44</v>
      </c>
      <c r="C45" s="2"/>
      <c r="D45" s="3">
        <v>44</v>
      </c>
      <c r="E45" s="3">
        <f t="shared" si="0"/>
        <v>1617</v>
      </c>
      <c r="F45" s="51">
        <v>44</v>
      </c>
      <c r="G45" s="51">
        <f t="shared" si="1"/>
        <v>2775</v>
      </c>
      <c r="H45" s="52">
        <v>44</v>
      </c>
      <c r="I45" s="52">
        <f t="shared" si="2"/>
        <v>3933</v>
      </c>
    </row>
    <row r="46" spans="1:9">
      <c r="A46">
        <v>45</v>
      </c>
      <c r="B46" s="2">
        <v>45</v>
      </c>
      <c r="C46" s="2"/>
      <c r="D46" s="3">
        <v>45</v>
      </c>
      <c r="E46" s="3">
        <f t="shared" si="0"/>
        <v>1618</v>
      </c>
      <c r="F46" s="51">
        <v>45</v>
      </c>
      <c r="G46" s="51">
        <f t="shared" si="1"/>
        <v>2776</v>
      </c>
      <c r="H46" s="52">
        <v>45</v>
      </c>
      <c r="I46" s="52">
        <f t="shared" si="2"/>
        <v>3934</v>
      </c>
    </row>
    <row r="47" spans="1:9">
      <c r="A47">
        <v>46</v>
      </c>
      <c r="B47" s="2">
        <v>46</v>
      </c>
      <c r="C47" s="2"/>
      <c r="D47" s="3">
        <v>46</v>
      </c>
      <c r="E47" s="3">
        <f t="shared" si="0"/>
        <v>1619</v>
      </c>
      <c r="F47" s="51">
        <v>46</v>
      </c>
      <c r="G47" s="51">
        <f t="shared" si="1"/>
        <v>2777</v>
      </c>
      <c r="H47" s="52">
        <v>46</v>
      </c>
      <c r="I47" s="52">
        <f t="shared" si="2"/>
        <v>3935</v>
      </c>
    </row>
    <row r="48" spans="1:9">
      <c r="A48">
        <v>47</v>
      </c>
      <c r="B48" s="2">
        <v>47</v>
      </c>
      <c r="C48" s="2"/>
      <c r="D48" s="3">
        <v>47</v>
      </c>
      <c r="E48" s="3">
        <f t="shared" si="0"/>
        <v>1621</v>
      </c>
      <c r="F48" s="51">
        <v>47</v>
      </c>
      <c r="G48" s="51">
        <f t="shared" si="1"/>
        <v>2779</v>
      </c>
      <c r="H48" s="52">
        <v>47</v>
      </c>
      <c r="I48" s="52">
        <f t="shared" si="2"/>
        <v>3937</v>
      </c>
    </row>
    <row r="49" spans="1:9">
      <c r="A49">
        <v>48</v>
      </c>
      <c r="B49" s="2">
        <v>48</v>
      </c>
      <c r="C49" s="2"/>
      <c r="D49" s="3">
        <v>48</v>
      </c>
      <c r="E49" s="3">
        <f t="shared" si="0"/>
        <v>1622</v>
      </c>
      <c r="F49" s="51">
        <v>48</v>
      </c>
      <c r="G49" s="51">
        <f t="shared" si="1"/>
        <v>2780</v>
      </c>
      <c r="H49" s="52">
        <v>48</v>
      </c>
      <c r="I49" s="52">
        <f t="shared" si="2"/>
        <v>3938</v>
      </c>
    </row>
    <row r="50" spans="1:9">
      <c r="A50">
        <v>49</v>
      </c>
      <c r="B50" s="2">
        <v>49</v>
      </c>
      <c r="C50" s="2"/>
      <c r="D50" s="3">
        <v>49</v>
      </c>
      <c r="E50" s="3">
        <f t="shared" si="0"/>
        <v>1623</v>
      </c>
      <c r="F50" s="51">
        <v>49</v>
      </c>
      <c r="G50" s="51">
        <f t="shared" si="1"/>
        <v>2781</v>
      </c>
      <c r="H50" s="52">
        <v>49</v>
      </c>
      <c r="I50" s="52">
        <f t="shared" si="2"/>
        <v>3939</v>
      </c>
    </row>
    <row r="51" spans="1:9">
      <c r="A51">
        <v>50</v>
      </c>
      <c r="B51" s="2">
        <v>50</v>
      </c>
      <c r="C51" s="2"/>
      <c r="D51" s="3">
        <v>50</v>
      </c>
      <c r="E51" s="3">
        <f t="shared" si="0"/>
        <v>1625</v>
      </c>
      <c r="F51" s="51">
        <v>50</v>
      </c>
      <c r="G51" s="51">
        <f t="shared" si="1"/>
        <v>2783</v>
      </c>
      <c r="H51" s="52">
        <v>50</v>
      </c>
      <c r="I51" s="52">
        <f t="shared" si="2"/>
        <v>3941</v>
      </c>
    </row>
    <row r="52" spans="1:9">
      <c r="A52">
        <v>51</v>
      </c>
      <c r="B52" s="2">
        <v>51</v>
      </c>
      <c r="C52" s="2"/>
      <c r="D52" s="3">
        <v>51</v>
      </c>
      <c r="E52" s="3">
        <f t="shared" si="0"/>
        <v>1626</v>
      </c>
      <c r="F52" s="51">
        <v>51</v>
      </c>
      <c r="G52" s="51">
        <f t="shared" si="1"/>
        <v>2784</v>
      </c>
      <c r="H52" s="52">
        <v>51</v>
      </c>
      <c r="I52" s="52">
        <f t="shared" si="2"/>
        <v>3942</v>
      </c>
    </row>
    <row r="53" spans="1:9">
      <c r="A53">
        <v>52</v>
      </c>
      <c r="B53" s="2">
        <v>52</v>
      </c>
      <c r="C53" s="2"/>
      <c r="D53" s="3">
        <v>52</v>
      </c>
      <c r="E53" s="3">
        <f t="shared" si="0"/>
        <v>1627</v>
      </c>
      <c r="F53" s="51">
        <v>52</v>
      </c>
      <c r="G53" s="51">
        <f t="shared" si="1"/>
        <v>2785</v>
      </c>
      <c r="H53" s="52">
        <v>52</v>
      </c>
      <c r="I53" s="52">
        <f t="shared" si="2"/>
        <v>3943</v>
      </c>
    </row>
    <row r="54" spans="1:9">
      <c r="A54">
        <v>53</v>
      </c>
      <c r="B54" s="2">
        <v>53</v>
      </c>
      <c r="C54" s="2"/>
      <c r="D54" s="3">
        <v>53</v>
      </c>
      <c r="E54" s="3">
        <f t="shared" si="0"/>
        <v>1629</v>
      </c>
      <c r="F54" s="51">
        <v>53</v>
      </c>
      <c r="G54" s="51">
        <f t="shared" si="1"/>
        <v>2787</v>
      </c>
      <c r="H54" s="52">
        <v>53</v>
      </c>
      <c r="I54" s="52">
        <f t="shared" si="2"/>
        <v>3945</v>
      </c>
    </row>
    <row r="55" spans="1:9">
      <c r="A55">
        <v>54</v>
      </c>
      <c r="B55" s="2">
        <v>54</v>
      </c>
      <c r="C55" s="2"/>
      <c r="D55" s="3">
        <v>54</v>
      </c>
      <c r="E55" s="3">
        <f t="shared" si="0"/>
        <v>1630</v>
      </c>
      <c r="F55" s="51">
        <v>54</v>
      </c>
      <c r="G55" s="51">
        <f t="shared" si="1"/>
        <v>2788</v>
      </c>
      <c r="H55" s="52">
        <v>54</v>
      </c>
      <c r="I55" s="52">
        <f t="shared" si="2"/>
        <v>3946</v>
      </c>
    </row>
    <row r="56" spans="1:9">
      <c r="A56">
        <v>55</v>
      </c>
      <c r="B56" s="2">
        <v>55</v>
      </c>
      <c r="C56" s="2"/>
      <c r="D56" s="3">
        <v>55</v>
      </c>
      <c r="E56" s="3">
        <f t="shared" si="0"/>
        <v>1631</v>
      </c>
      <c r="F56" s="51">
        <v>55</v>
      </c>
      <c r="G56" s="51">
        <f t="shared" si="1"/>
        <v>2789</v>
      </c>
      <c r="H56" s="52">
        <v>55</v>
      </c>
      <c r="I56" s="52">
        <f t="shared" si="2"/>
        <v>3947</v>
      </c>
    </row>
    <row r="57" spans="1:9">
      <c r="A57">
        <v>56</v>
      </c>
      <c r="B57" s="2">
        <v>56</v>
      </c>
      <c r="C57" s="2"/>
      <c r="D57" s="3">
        <v>56</v>
      </c>
      <c r="E57" s="3">
        <f t="shared" si="0"/>
        <v>1633</v>
      </c>
      <c r="F57" s="51">
        <v>56</v>
      </c>
      <c r="G57" s="51">
        <f t="shared" si="1"/>
        <v>2791</v>
      </c>
      <c r="H57" s="52">
        <v>56</v>
      </c>
      <c r="I57" s="52">
        <f t="shared" si="2"/>
        <v>3949</v>
      </c>
    </row>
    <row r="58" spans="1:9">
      <c r="A58">
        <v>57</v>
      </c>
      <c r="B58" s="2">
        <v>57</v>
      </c>
      <c r="C58" s="2"/>
      <c r="D58" s="3">
        <v>57</v>
      </c>
      <c r="E58" s="3">
        <f t="shared" si="0"/>
        <v>1634</v>
      </c>
      <c r="F58" s="51">
        <v>57</v>
      </c>
      <c r="G58" s="51">
        <f t="shared" si="1"/>
        <v>2792</v>
      </c>
      <c r="H58" s="52">
        <v>57</v>
      </c>
      <c r="I58" s="52">
        <f t="shared" si="2"/>
        <v>3950</v>
      </c>
    </row>
    <row r="59" spans="1:9">
      <c r="A59">
        <v>58</v>
      </c>
      <c r="B59" s="2">
        <v>58</v>
      </c>
      <c r="C59" s="2"/>
      <c r="D59" s="3">
        <v>58</v>
      </c>
      <c r="E59" s="3">
        <f t="shared" si="0"/>
        <v>1635</v>
      </c>
      <c r="F59" s="51">
        <v>58</v>
      </c>
      <c r="G59" s="51">
        <f t="shared" si="1"/>
        <v>2793</v>
      </c>
      <c r="H59" s="52">
        <v>58</v>
      </c>
      <c r="I59" s="52">
        <f t="shared" si="2"/>
        <v>3951</v>
      </c>
    </row>
    <row r="60" spans="1:9">
      <c r="A60">
        <v>59</v>
      </c>
      <c r="B60" s="2">
        <v>59</v>
      </c>
      <c r="C60" s="2"/>
      <c r="D60" s="3">
        <v>59</v>
      </c>
      <c r="E60" s="3">
        <f t="shared" si="0"/>
        <v>1637</v>
      </c>
      <c r="F60" s="51">
        <v>59</v>
      </c>
      <c r="G60" s="51">
        <f t="shared" si="1"/>
        <v>2795</v>
      </c>
      <c r="H60" s="52">
        <v>59</v>
      </c>
      <c r="I60" s="52">
        <f t="shared" si="2"/>
        <v>3953</v>
      </c>
    </row>
    <row r="61" spans="1:9">
      <c r="A61">
        <v>60</v>
      </c>
      <c r="B61" s="2">
        <v>60</v>
      </c>
      <c r="C61" s="2"/>
      <c r="D61" s="3">
        <v>60</v>
      </c>
      <c r="E61" s="3">
        <f t="shared" si="0"/>
        <v>1638</v>
      </c>
      <c r="F61" s="51">
        <v>60</v>
      </c>
      <c r="G61" s="51">
        <f t="shared" si="1"/>
        <v>2796</v>
      </c>
      <c r="H61" s="52">
        <v>60</v>
      </c>
      <c r="I61" s="52">
        <f t="shared" si="2"/>
        <v>3954</v>
      </c>
    </row>
    <row r="62" spans="1:9">
      <c r="A62">
        <v>61</v>
      </c>
      <c r="B62" s="2">
        <v>61</v>
      </c>
      <c r="C62" s="2"/>
      <c r="D62" s="3">
        <v>61</v>
      </c>
      <c r="E62" s="3">
        <f t="shared" si="0"/>
        <v>1639</v>
      </c>
      <c r="F62" s="51">
        <v>61</v>
      </c>
      <c r="G62" s="51">
        <f t="shared" si="1"/>
        <v>2797</v>
      </c>
      <c r="H62" s="52">
        <v>61</v>
      </c>
      <c r="I62" s="52">
        <f t="shared" si="2"/>
        <v>3955</v>
      </c>
    </row>
    <row r="63" spans="1:9">
      <c r="A63">
        <v>62</v>
      </c>
      <c r="B63" s="2">
        <v>62</v>
      </c>
      <c r="C63" s="2"/>
      <c r="D63" s="3">
        <v>62</v>
      </c>
      <c r="E63" s="3">
        <f t="shared" si="0"/>
        <v>1641</v>
      </c>
      <c r="F63" s="51">
        <v>62</v>
      </c>
      <c r="G63" s="51">
        <f t="shared" si="1"/>
        <v>2799</v>
      </c>
      <c r="H63" s="52">
        <v>62</v>
      </c>
      <c r="I63" s="52">
        <f t="shared" si="2"/>
        <v>3957</v>
      </c>
    </row>
    <row r="64" spans="1:9">
      <c r="A64">
        <v>63</v>
      </c>
      <c r="B64" s="2">
        <v>63</v>
      </c>
      <c r="C64" s="2"/>
      <c r="D64" s="3">
        <v>63</v>
      </c>
      <c r="E64" s="3">
        <f t="shared" si="0"/>
        <v>1642</v>
      </c>
      <c r="F64" s="51">
        <v>63</v>
      </c>
      <c r="G64" s="51">
        <f t="shared" si="1"/>
        <v>2800</v>
      </c>
      <c r="H64" s="52">
        <v>63</v>
      </c>
      <c r="I64" s="52">
        <f t="shared" si="2"/>
        <v>3958</v>
      </c>
    </row>
    <row r="65" spans="1:9">
      <c r="A65">
        <v>64</v>
      </c>
      <c r="B65" s="2">
        <v>64</v>
      </c>
      <c r="C65" s="2"/>
      <c r="D65" s="3">
        <v>64</v>
      </c>
      <c r="E65" s="3">
        <f t="shared" si="0"/>
        <v>1643</v>
      </c>
      <c r="F65" s="51">
        <v>64</v>
      </c>
      <c r="G65" s="51">
        <f t="shared" si="1"/>
        <v>2801</v>
      </c>
      <c r="H65" s="52">
        <v>64</v>
      </c>
      <c r="I65" s="52">
        <f t="shared" si="2"/>
        <v>3959</v>
      </c>
    </row>
    <row r="66" spans="1:9">
      <c r="A66">
        <v>65</v>
      </c>
      <c r="B66" s="2">
        <v>65</v>
      </c>
      <c r="C66" s="2"/>
      <c r="D66" s="3">
        <v>65</v>
      </c>
      <c r="E66" s="3">
        <f t="shared" si="0"/>
        <v>1645</v>
      </c>
      <c r="F66" s="51">
        <v>65</v>
      </c>
      <c r="G66" s="51">
        <f t="shared" si="1"/>
        <v>2803</v>
      </c>
      <c r="H66" s="52">
        <v>65</v>
      </c>
      <c r="I66" s="52">
        <f t="shared" si="2"/>
        <v>3961</v>
      </c>
    </row>
    <row r="67" spans="1:9">
      <c r="A67">
        <v>66</v>
      </c>
      <c r="B67" s="2">
        <v>66</v>
      </c>
      <c r="C67" s="2"/>
      <c r="D67" s="3">
        <v>66</v>
      </c>
      <c r="E67" s="3">
        <f t="shared" si="0"/>
        <v>1646</v>
      </c>
      <c r="F67" s="51">
        <v>66</v>
      </c>
      <c r="G67" s="51">
        <f t="shared" si="1"/>
        <v>2804</v>
      </c>
      <c r="H67" s="52">
        <v>66</v>
      </c>
      <c r="I67" s="52">
        <f t="shared" si="2"/>
        <v>3962</v>
      </c>
    </row>
    <row r="68" spans="1:9">
      <c r="A68">
        <v>67</v>
      </c>
      <c r="B68" s="2">
        <v>67</v>
      </c>
      <c r="C68" s="2"/>
      <c r="D68" s="3">
        <v>67</v>
      </c>
      <c r="E68" s="3">
        <f t="shared" ref="E68:E131" si="3">INT((D68-D$2)*1.3333333)+E$2</f>
        <v>1647</v>
      </c>
      <c r="F68" s="51">
        <v>67</v>
      </c>
      <c r="G68" s="51">
        <f t="shared" ref="G68:G131" si="4">INT((F68-F$2)*1.3333333)+G$2</f>
        <v>2805</v>
      </c>
      <c r="H68" s="52">
        <v>67</v>
      </c>
      <c r="I68" s="52">
        <f t="shared" ref="I68:I131" si="5">INT((H68-H$2)*1.3333333)+I$2</f>
        <v>3963</v>
      </c>
    </row>
    <row r="69" spans="1:9">
      <c r="A69">
        <v>68</v>
      </c>
      <c r="B69" s="2">
        <v>68</v>
      </c>
      <c r="C69" s="2"/>
      <c r="D69" s="3">
        <v>68</v>
      </c>
      <c r="E69" s="3">
        <f t="shared" si="3"/>
        <v>1649</v>
      </c>
      <c r="F69" s="51">
        <v>68</v>
      </c>
      <c r="G69" s="51">
        <f t="shared" si="4"/>
        <v>2807</v>
      </c>
      <c r="H69" s="52">
        <v>68</v>
      </c>
      <c r="I69" s="52">
        <f t="shared" si="5"/>
        <v>3965</v>
      </c>
    </row>
    <row r="70" spans="1:9">
      <c r="A70">
        <v>69</v>
      </c>
      <c r="B70" s="2">
        <v>69</v>
      </c>
      <c r="C70" s="2"/>
      <c r="D70" s="3">
        <v>69</v>
      </c>
      <c r="E70" s="3">
        <f t="shared" si="3"/>
        <v>1650</v>
      </c>
      <c r="F70" s="51">
        <v>69</v>
      </c>
      <c r="G70" s="51">
        <f t="shared" si="4"/>
        <v>2808</v>
      </c>
      <c r="H70" s="52">
        <v>69</v>
      </c>
      <c r="I70" s="52">
        <f t="shared" si="5"/>
        <v>3966</v>
      </c>
    </row>
    <row r="71" spans="1:9">
      <c r="A71">
        <v>70</v>
      </c>
      <c r="B71" s="2">
        <v>70</v>
      </c>
      <c r="C71" s="2"/>
      <c r="D71" s="3">
        <v>70</v>
      </c>
      <c r="E71" s="3">
        <f t="shared" si="3"/>
        <v>1651</v>
      </c>
      <c r="F71" s="51">
        <v>70</v>
      </c>
      <c r="G71" s="51">
        <f t="shared" si="4"/>
        <v>2809</v>
      </c>
      <c r="H71" s="52">
        <v>70</v>
      </c>
      <c r="I71" s="52">
        <f t="shared" si="5"/>
        <v>3967</v>
      </c>
    </row>
    <row r="72" spans="1:9">
      <c r="A72">
        <v>71</v>
      </c>
      <c r="B72" s="2">
        <v>71</v>
      </c>
      <c r="C72" s="2"/>
      <c r="D72" s="3">
        <v>71</v>
      </c>
      <c r="E72" s="3">
        <f t="shared" si="3"/>
        <v>1653</v>
      </c>
      <c r="F72" s="51">
        <v>71</v>
      </c>
      <c r="G72" s="51">
        <f t="shared" si="4"/>
        <v>2811</v>
      </c>
      <c r="H72" s="52">
        <v>71</v>
      </c>
      <c r="I72" s="52">
        <f t="shared" si="5"/>
        <v>3969</v>
      </c>
    </row>
    <row r="73" spans="1:9">
      <c r="A73">
        <v>72</v>
      </c>
      <c r="B73" s="2">
        <v>72</v>
      </c>
      <c r="C73" s="2"/>
      <c r="D73" s="3">
        <v>72</v>
      </c>
      <c r="E73" s="3">
        <f t="shared" si="3"/>
        <v>1654</v>
      </c>
      <c r="F73" s="51">
        <v>72</v>
      </c>
      <c r="G73" s="51">
        <f t="shared" si="4"/>
        <v>2812</v>
      </c>
      <c r="H73" s="52">
        <v>72</v>
      </c>
      <c r="I73" s="52">
        <f t="shared" si="5"/>
        <v>3970</v>
      </c>
    </row>
    <row r="74" spans="1:9">
      <c r="A74">
        <v>73</v>
      </c>
      <c r="B74" s="2">
        <v>73</v>
      </c>
      <c r="C74" s="2"/>
      <c r="D74" s="3">
        <v>73</v>
      </c>
      <c r="E74" s="3">
        <f t="shared" si="3"/>
        <v>1655</v>
      </c>
      <c r="F74" s="51">
        <v>73</v>
      </c>
      <c r="G74" s="51">
        <f t="shared" si="4"/>
        <v>2813</v>
      </c>
      <c r="H74" s="52">
        <v>73</v>
      </c>
      <c r="I74" s="52">
        <f t="shared" si="5"/>
        <v>3971</v>
      </c>
    </row>
    <row r="75" spans="1:9">
      <c r="A75">
        <v>74</v>
      </c>
      <c r="B75" s="2">
        <v>74</v>
      </c>
      <c r="C75" s="2"/>
      <c r="D75" s="3">
        <v>74</v>
      </c>
      <c r="E75" s="3">
        <f t="shared" si="3"/>
        <v>1657</v>
      </c>
      <c r="F75" s="51">
        <v>74</v>
      </c>
      <c r="G75" s="51">
        <f t="shared" si="4"/>
        <v>2815</v>
      </c>
      <c r="H75" s="52">
        <v>74</v>
      </c>
      <c r="I75" s="52">
        <f t="shared" si="5"/>
        <v>3973</v>
      </c>
    </row>
    <row r="76" spans="1:9">
      <c r="A76">
        <v>75</v>
      </c>
      <c r="B76" s="2">
        <v>75</v>
      </c>
      <c r="C76" s="2"/>
      <c r="D76" s="3">
        <v>75</v>
      </c>
      <c r="E76" s="3">
        <f t="shared" si="3"/>
        <v>1658</v>
      </c>
      <c r="F76" s="51">
        <v>75</v>
      </c>
      <c r="G76" s="51">
        <f t="shared" si="4"/>
        <v>2816</v>
      </c>
      <c r="H76" s="52">
        <v>75</v>
      </c>
      <c r="I76" s="52">
        <f t="shared" si="5"/>
        <v>3974</v>
      </c>
    </row>
    <row r="77" spans="1:9">
      <c r="A77">
        <v>76</v>
      </c>
      <c r="B77" s="2">
        <v>76</v>
      </c>
      <c r="C77" s="2"/>
      <c r="D77" s="3">
        <v>76</v>
      </c>
      <c r="E77" s="3">
        <f t="shared" si="3"/>
        <v>1659</v>
      </c>
      <c r="F77" s="51">
        <v>76</v>
      </c>
      <c r="G77" s="51">
        <f t="shared" si="4"/>
        <v>2817</v>
      </c>
      <c r="H77" s="52">
        <v>76</v>
      </c>
      <c r="I77" s="52">
        <f t="shared" si="5"/>
        <v>3975</v>
      </c>
    </row>
    <row r="78" spans="1:9">
      <c r="A78">
        <v>77</v>
      </c>
      <c r="B78" s="2">
        <v>77</v>
      </c>
      <c r="C78" s="2"/>
      <c r="D78" s="3">
        <v>77</v>
      </c>
      <c r="E78" s="3">
        <f t="shared" si="3"/>
        <v>1661</v>
      </c>
      <c r="F78" s="51">
        <v>77</v>
      </c>
      <c r="G78" s="51">
        <f t="shared" si="4"/>
        <v>2819</v>
      </c>
      <c r="H78" s="52">
        <v>77</v>
      </c>
      <c r="I78" s="52">
        <f t="shared" si="5"/>
        <v>3977</v>
      </c>
    </row>
    <row r="79" spans="1:9">
      <c r="A79">
        <v>78</v>
      </c>
      <c r="B79" s="2">
        <v>78</v>
      </c>
      <c r="C79" s="2"/>
      <c r="D79" s="3">
        <v>78</v>
      </c>
      <c r="E79" s="3">
        <f t="shared" si="3"/>
        <v>1662</v>
      </c>
      <c r="F79" s="51">
        <v>78</v>
      </c>
      <c r="G79" s="51">
        <f t="shared" si="4"/>
        <v>2820</v>
      </c>
      <c r="H79" s="52">
        <v>78</v>
      </c>
      <c r="I79" s="52">
        <f t="shared" si="5"/>
        <v>3978</v>
      </c>
    </row>
    <row r="80" spans="1:9">
      <c r="A80">
        <v>79</v>
      </c>
      <c r="B80" s="2">
        <v>79</v>
      </c>
      <c r="C80" s="2"/>
      <c r="D80" s="3">
        <v>79</v>
      </c>
      <c r="E80" s="3">
        <f t="shared" si="3"/>
        <v>1663</v>
      </c>
      <c r="F80" s="51">
        <v>79</v>
      </c>
      <c r="G80" s="51">
        <f t="shared" si="4"/>
        <v>2821</v>
      </c>
      <c r="H80" s="52">
        <v>79</v>
      </c>
      <c r="I80" s="52">
        <f t="shared" si="5"/>
        <v>3979</v>
      </c>
    </row>
    <row r="81" spans="1:9">
      <c r="A81">
        <v>80</v>
      </c>
      <c r="B81" s="2">
        <v>80</v>
      </c>
      <c r="C81" s="2"/>
      <c r="D81" s="3">
        <v>80</v>
      </c>
      <c r="E81" s="3">
        <f t="shared" si="3"/>
        <v>1665</v>
      </c>
      <c r="F81" s="51">
        <v>80</v>
      </c>
      <c r="G81" s="51">
        <f t="shared" si="4"/>
        <v>2823</v>
      </c>
      <c r="H81" s="52">
        <v>80</v>
      </c>
      <c r="I81" s="52">
        <f t="shared" si="5"/>
        <v>3981</v>
      </c>
    </row>
    <row r="82" spans="1:9">
      <c r="A82">
        <v>81</v>
      </c>
      <c r="B82" s="2">
        <v>81</v>
      </c>
      <c r="C82" s="2"/>
      <c r="D82" s="3">
        <v>81</v>
      </c>
      <c r="E82" s="3">
        <f t="shared" si="3"/>
        <v>1666</v>
      </c>
      <c r="F82" s="51">
        <v>81</v>
      </c>
      <c r="G82" s="51">
        <f t="shared" si="4"/>
        <v>2824</v>
      </c>
      <c r="H82" s="52">
        <v>81</v>
      </c>
      <c r="I82" s="52">
        <f t="shared" si="5"/>
        <v>3982</v>
      </c>
    </row>
    <row r="83" spans="1:9">
      <c r="A83">
        <v>82</v>
      </c>
      <c r="B83" s="2">
        <v>82</v>
      </c>
      <c r="C83" s="2"/>
      <c r="D83" s="3">
        <v>82</v>
      </c>
      <c r="E83" s="3">
        <f t="shared" si="3"/>
        <v>1667</v>
      </c>
      <c r="F83" s="51">
        <v>82</v>
      </c>
      <c r="G83" s="51">
        <f t="shared" si="4"/>
        <v>2825</v>
      </c>
      <c r="H83" s="52">
        <v>82</v>
      </c>
      <c r="I83" s="52">
        <f t="shared" si="5"/>
        <v>3983</v>
      </c>
    </row>
    <row r="84" spans="1:9">
      <c r="A84">
        <v>83</v>
      </c>
      <c r="B84" s="2">
        <v>83</v>
      </c>
      <c r="C84" s="2"/>
      <c r="D84" s="3">
        <v>83</v>
      </c>
      <c r="E84" s="3">
        <f t="shared" si="3"/>
        <v>1669</v>
      </c>
      <c r="F84" s="51">
        <v>83</v>
      </c>
      <c r="G84" s="51">
        <f t="shared" si="4"/>
        <v>2827</v>
      </c>
      <c r="H84" s="52">
        <v>83</v>
      </c>
      <c r="I84" s="52">
        <f t="shared" si="5"/>
        <v>3985</v>
      </c>
    </row>
    <row r="85" spans="1:9">
      <c r="A85">
        <v>84</v>
      </c>
      <c r="B85" s="2">
        <v>84</v>
      </c>
      <c r="C85" s="2"/>
      <c r="D85" s="3">
        <v>84</v>
      </c>
      <c r="E85" s="3">
        <f t="shared" si="3"/>
        <v>1670</v>
      </c>
      <c r="F85" s="51">
        <v>84</v>
      </c>
      <c r="G85" s="51">
        <f t="shared" si="4"/>
        <v>2828</v>
      </c>
      <c r="H85" s="52">
        <v>84</v>
      </c>
      <c r="I85" s="52">
        <f t="shared" si="5"/>
        <v>3986</v>
      </c>
    </row>
    <row r="86" spans="1:9">
      <c r="A86">
        <v>85</v>
      </c>
      <c r="B86" s="2">
        <v>85</v>
      </c>
      <c r="C86" s="2"/>
      <c r="D86" s="3">
        <v>85</v>
      </c>
      <c r="E86" s="3">
        <f t="shared" si="3"/>
        <v>1671</v>
      </c>
      <c r="F86" s="51">
        <v>85</v>
      </c>
      <c r="G86" s="51">
        <f t="shared" si="4"/>
        <v>2829</v>
      </c>
      <c r="H86" s="52">
        <v>85</v>
      </c>
      <c r="I86" s="52">
        <f t="shared" si="5"/>
        <v>3987</v>
      </c>
    </row>
    <row r="87" spans="1:9">
      <c r="A87">
        <v>86</v>
      </c>
      <c r="B87" s="2">
        <v>86</v>
      </c>
      <c r="C87" s="2"/>
      <c r="D87" s="3">
        <v>86</v>
      </c>
      <c r="E87" s="3">
        <f t="shared" si="3"/>
        <v>1673</v>
      </c>
      <c r="F87" s="51">
        <v>86</v>
      </c>
      <c r="G87" s="51">
        <f t="shared" si="4"/>
        <v>2831</v>
      </c>
      <c r="H87" s="52">
        <v>86</v>
      </c>
      <c r="I87" s="52">
        <f t="shared" si="5"/>
        <v>3989</v>
      </c>
    </row>
    <row r="88" spans="1:9">
      <c r="A88">
        <v>87</v>
      </c>
      <c r="B88" s="2">
        <v>87</v>
      </c>
      <c r="C88" s="2"/>
      <c r="D88" s="3">
        <v>87</v>
      </c>
      <c r="E88" s="3">
        <f t="shared" si="3"/>
        <v>1674</v>
      </c>
      <c r="F88" s="51">
        <v>87</v>
      </c>
      <c r="G88" s="51">
        <f t="shared" si="4"/>
        <v>2832</v>
      </c>
      <c r="H88" s="52">
        <v>87</v>
      </c>
      <c r="I88" s="52">
        <f t="shared" si="5"/>
        <v>3990</v>
      </c>
    </row>
    <row r="89" spans="1:9">
      <c r="A89">
        <v>88</v>
      </c>
      <c r="B89" s="2">
        <v>88</v>
      </c>
      <c r="C89" s="2"/>
      <c r="D89" s="3">
        <v>88</v>
      </c>
      <c r="E89" s="3">
        <f t="shared" si="3"/>
        <v>1675</v>
      </c>
      <c r="F89" s="51">
        <v>88</v>
      </c>
      <c r="G89" s="51">
        <f t="shared" si="4"/>
        <v>2833</v>
      </c>
      <c r="H89" s="52">
        <v>88</v>
      </c>
      <c r="I89" s="52">
        <f t="shared" si="5"/>
        <v>3991</v>
      </c>
    </row>
    <row r="90" spans="1:9">
      <c r="A90">
        <v>89</v>
      </c>
      <c r="B90" s="2">
        <v>89</v>
      </c>
      <c r="C90" s="2"/>
      <c r="D90" s="3">
        <v>89</v>
      </c>
      <c r="E90" s="3">
        <f t="shared" si="3"/>
        <v>1677</v>
      </c>
      <c r="F90" s="51">
        <v>89</v>
      </c>
      <c r="G90" s="51">
        <f t="shared" si="4"/>
        <v>2835</v>
      </c>
      <c r="H90" s="52">
        <v>89</v>
      </c>
      <c r="I90" s="52">
        <f t="shared" si="5"/>
        <v>3993</v>
      </c>
    </row>
    <row r="91" spans="1:9">
      <c r="A91">
        <v>90</v>
      </c>
      <c r="B91" s="2">
        <v>90</v>
      </c>
      <c r="C91" s="2"/>
      <c r="D91" s="3">
        <v>90</v>
      </c>
      <c r="E91" s="3">
        <f t="shared" si="3"/>
        <v>1678</v>
      </c>
      <c r="F91" s="51">
        <v>90</v>
      </c>
      <c r="G91" s="51">
        <f t="shared" si="4"/>
        <v>2836</v>
      </c>
      <c r="H91" s="52">
        <v>90</v>
      </c>
      <c r="I91" s="52">
        <f t="shared" si="5"/>
        <v>3994</v>
      </c>
    </row>
    <row r="92" spans="1:9">
      <c r="A92">
        <v>91</v>
      </c>
      <c r="B92" s="2">
        <v>91</v>
      </c>
      <c r="C92" s="2"/>
      <c r="D92" s="3">
        <v>91</v>
      </c>
      <c r="E92" s="3">
        <f t="shared" si="3"/>
        <v>1679</v>
      </c>
      <c r="F92" s="51">
        <v>91</v>
      </c>
      <c r="G92" s="51">
        <f t="shared" si="4"/>
        <v>2837</v>
      </c>
      <c r="H92" s="52">
        <v>91</v>
      </c>
      <c r="I92" s="52">
        <f t="shared" si="5"/>
        <v>3995</v>
      </c>
    </row>
    <row r="93" spans="1:9">
      <c r="A93">
        <v>92</v>
      </c>
      <c r="B93" s="2">
        <v>92</v>
      </c>
      <c r="C93" s="2"/>
      <c r="D93" s="3">
        <v>92</v>
      </c>
      <c r="E93" s="3">
        <f t="shared" si="3"/>
        <v>1681</v>
      </c>
      <c r="F93" s="51">
        <v>92</v>
      </c>
      <c r="G93" s="51">
        <f t="shared" si="4"/>
        <v>2839</v>
      </c>
      <c r="H93" s="52">
        <v>92</v>
      </c>
      <c r="I93" s="52">
        <f t="shared" si="5"/>
        <v>3997</v>
      </c>
    </row>
    <row r="94" spans="1:9">
      <c r="A94">
        <v>93</v>
      </c>
      <c r="B94" s="2">
        <v>93</v>
      </c>
      <c r="C94" s="2"/>
      <c r="D94" s="3">
        <v>93</v>
      </c>
      <c r="E94" s="3">
        <f t="shared" si="3"/>
        <v>1682</v>
      </c>
      <c r="F94" s="51">
        <v>93</v>
      </c>
      <c r="G94" s="51">
        <f t="shared" si="4"/>
        <v>2840</v>
      </c>
      <c r="H94" s="52">
        <v>93</v>
      </c>
      <c r="I94" s="52">
        <f t="shared" si="5"/>
        <v>3998</v>
      </c>
    </row>
    <row r="95" spans="1:9">
      <c r="A95">
        <v>94</v>
      </c>
      <c r="B95" s="2">
        <v>94</v>
      </c>
      <c r="C95" s="2"/>
      <c r="D95" s="3">
        <v>94</v>
      </c>
      <c r="E95" s="3">
        <f t="shared" si="3"/>
        <v>1683</v>
      </c>
      <c r="F95" s="51">
        <v>94</v>
      </c>
      <c r="G95" s="51">
        <f t="shared" si="4"/>
        <v>2841</v>
      </c>
      <c r="H95" s="52">
        <v>94</v>
      </c>
      <c r="I95" s="52">
        <f t="shared" si="5"/>
        <v>3999</v>
      </c>
    </row>
    <row r="96" spans="1:9">
      <c r="A96">
        <v>95</v>
      </c>
      <c r="B96" s="2">
        <v>95</v>
      </c>
      <c r="C96" s="2"/>
      <c r="D96" s="3">
        <v>95</v>
      </c>
      <c r="E96" s="3">
        <f t="shared" si="3"/>
        <v>1685</v>
      </c>
      <c r="F96" s="51">
        <v>95</v>
      </c>
      <c r="G96" s="51">
        <f t="shared" si="4"/>
        <v>2843</v>
      </c>
      <c r="H96" s="52">
        <v>95</v>
      </c>
      <c r="I96" s="52">
        <f t="shared" si="5"/>
        <v>4001</v>
      </c>
    </row>
    <row r="97" spans="1:9">
      <c r="A97">
        <v>96</v>
      </c>
      <c r="B97" s="2">
        <v>96</v>
      </c>
      <c r="C97" s="2"/>
      <c r="D97" s="3">
        <v>96</v>
      </c>
      <c r="E97" s="3">
        <f t="shared" si="3"/>
        <v>1686</v>
      </c>
      <c r="F97" s="51">
        <v>96</v>
      </c>
      <c r="G97" s="51">
        <f t="shared" si="4"/>
        <v>2844</v>
      </c>
      <c r="H97" s="52">
        <v>96</v>
      </c>
      <c r="I97" s="52">
        <f t="shared" si="5"/>
        <v>4002</v>
      </c>
    </row>
    <row r="98" spans="1:9">
      <c r="A98">
        <v>97</v>
      </c>
      <c r="B98" s="2">
        <v>97</v>
      </c>
      <c r="C98" s="2"/>
      <c r="D98" s="3">
        <v>97</v>
      </c>
      <c r="E98" s="3">
        <f t="shared" si="3"/>
        <v>1687</v>
      </c>
      <c r="F98" s="51">
        <v>97</v>
      </c>
      <c r="G98" s="51">
        <f t="shared" si="4"/>
        <v>2845</v>
      </c>
      <c r="H98" s="52">
        <v>97</v>
      </c>
      <c r="I98" s="52">
        <f t="shared" si="5"/>
        <v>4003</v>
      </c>
    </row>
    <row r="99" spans="1:9">
      <c r="A99">
        <v>98</v>
      </c>
      <c r="B99" s="2">
        <v>98</v>
      </c>
      <c r="C99" s="2"/>
      <c r="D99" s="3">
        <v>98</v>
      </c>
      <c r="E99" s="3">
        <f t="shared" si="3"/>
        <v>1689</v>
      </c>
      <c r="F99" s="51">
        <v>98</v>
      </c>
      <c r="G99" s="51">
        <f t="shared" si="4"/>
        <v>2847</v>
      </c>
      <c r="H99" s="52">
        <v>98</v>
      </c>
      <c r="I99" s="52">
        <f t="shared" si="5"/>
        <v>4005</v>
      </c>
    </row>
    <row r="100" spans="1:9">
      <c r="A100">
        <v>99</v>
      </c>
      <c r="B100" s="2">
        <v>99</v>
      </c>
      <c r="C100" s="2"/>
      <c r="D100" s="3">
        <v>99</v>
      </c>
      <c r="E100" s="3">
        <f t="shared" si="3"/>
        <v>1690</v>
      </c>
      <c r="F100" s="51">
        <v>99</v>
      </c>
      <c r="G100" s="51">
        <f t="shared" si="4"/>
        <v>2848</v>
      </c>
      <c r="H100" s="52">
        <v>99</v>
      </c>
      <c r="I100" s="52">
        <f t="shared" si="5"/>
        <v>4006</v>
      </c>
    </row>
    <row r="101" spans="1:9">
      <c r="A101">
        <v>100</v>
      </c>
      <c r="B101" s="2">
        <v>100</v>
      </c>
      <c r="C101" s="2"/>
      <c r="D101" s="3">
        <v>100</v>
      </c>
      <c r="E101" s="3">
        <f t="shared" si="3"/>
        <v>1691</v>
      </c>
      <c r="F101" s="51">
        <v>100</v>
      </c>
      <c r="G101" s="51">
        <f t="shared" si="4"/>
        <v>2849</v>
      </c>
      <c r="H101" s="52">
        <v>100</v>
      </c>
      <c r="I101" s="52">
        <f t="shared" si="5"/>
        <v>4007</v>
      </c>
    </row>
    <row r="102" spans="1:9">
      <c r="A102">
        <v>101</v>
      </c>
      <c r="B102" s="2">
        <v>101</v>
      </c>
      <c r="C102" s="2"/>
      <c r="D102" s="3">
        <v>101</v>
      </c>
      <c r="E102" s="3">
        <f t="shared" si="3"/>
        <v>1693</v>
      </c>
      <c r="F102" s="51">
        <v>101</v>
      </c>
      <c r="G102" s="51">
        <f t="shared" si="4"/>
        <v>2851</v>
      </c>
      <c r="H102" s="52">
        <v>101</v>
      </c>
      <c r="I102" s="52">
        <f t="shared" si="5"/>
        <v>4009</v>
      </c>
    </row>
    <row r="103" spans="1:9">
      <c r="A103">
        <v>102</v>
      </c>
      <c r="B103" s="2">
        <v>102</v>
      </c>
      <c r="C103" s="2"/>
      <c r="D103" s="3">
        <v>102</v>
      </c>
      <c r="E103" s="3">
        <f t="shared" si="3"/>
        <v>1694</v>
      </c>
      <c r="F103" s="51">
        <v>102</v>
      </c>
      <c r="G103" s="51">
        <f t="shared" si="4"/>
        <v>2852</v>
      </c>
      <c r="H103" s="52">
        <v>102</v>
      </c>
      <c r="I103" s="52">
        <f t="shared" si="5"/>
        <v>4010</v>
      </c>
    </row>
    <row r="104" spans="1:9">
      <c r="A104">
        <v>103</v>
      </c>
      <c r="B104" s="2">
        <v>103</v>
      </c>
      <c r="C104" s="2"/>
      <c r="D104" s="3">
        <v>103</v>
      </c>
      <c r="E104" s="3">
        <f t="shared" si="3"/>
        <v>1695</v>
      </c>
      <c r="F104" s="51">
        <v>103</v>
      </c>
      <c r="G104" s="51">
        <f t="shared" si="4"/>
        <v>2853</v>
      </c>
      <c r="H104" s="52">
        <v>103</v>
      </c>
      <c r="I104" s="52">
        <f t="shared" si="5"/>
        <v>4011</v>
      </c>
    </row>
    <row r="105" spans="1:9">
      <c r="A105">
        <v>104</v>
      </c>
      <c r="B105" s="2">
        <v>104</v>
      </c>
      <c r="C105" s="2"/>
      <c r="D105" s="3">
        <v>104</v>
      </c>
      <c r="E105" s="3">
        <f t="shared" si="3"/>
        <v>1697</v>
      </c>
      <c r="F105" s="51">
        <v>104</v>
      </c>
      <c r="G105" s="51">
        <f t="shared" si="4"/>
        <v>2855</v>
      </c>
      <c r="H105" s="52">
        <v>104</v>
      </c>
      <c r="I105" s="52">
        <f t="shared" si="5"/>
        <v>4013</v>
      </c>
    </row>
    <row r="106" spans="1:9">
      <c r="A106">
        <v>105</v>
      </c>
      <c r="B106" s="2">
        <v>105</v>
      </c>
      <c r="C106" s="2"/>
      <c r="D106" s="3">
        <v>105</v>
      </c>
      <c r="E106" s="3">
        <f t="shared" si="3"/>
        <v>1698</v>
      </c>
      <c r="F106" s="51">
        <v>105</v>
      </c>
      <c r="G106" s="51">
        <f t="shared" si="4"/>
        <v>2856</v>
      </c>
      <c r="H106" s="52">
        <v>105</v>
      </c>
      <c r="I106" s="52">
        <f t="shared" si="5"/>
        <v>4014</v>
      </c>
    </row>
    <row r="107" spans="1:9">
      <c r="A107">
        <v>106</v>
      </c>
      <c r="B107" s="2">
        <v>106</v>
      </c>
      <c r="C107" s="2"/>
      <c r="D107" s="3">
        <v>106</v>
      </c>
      <c r="E107" s="3">
        <f t="shared" si="3"/>
        <v>1699</v>
      </c>
      <c r="F107" s="51">
        <v>106</v>
      </c>
      <c r="G107" s="51">
        <f t="shared" si="4"/>
        <v>2857</v>
      </c>
      <c r="H107" s="52">
        <v>106</v>
      </c>
      <c r="I107" s="52">
        <f t="shared" si="5"/>
        <v>4015</v>
      </c>
    </row>
    <row r="108" spans="1:9">
      <c r="A108">
        <v>107</v>
      </c>
      <c r="B108" s="2">
        <v>107</v>
      </c>
      <c r="C108" s="2"/>
      <c r="D108" s="3">
        <v>107</v>
      </c>
      <c r="E108" s="3">
        <f t="shared" si="3"/>
        <v>1701</v>
      </c>
      <c r="F108" s="51">
        <v>107</v>
      </c>
      <c r="G108" s="51">
        <f t="shared" si="4"/>
        <v>2859</v>
      </c>
      <c r="H108" s="52">
        <v>107</v>
      </c>
      <c r="I108" s="52">
        <f t="shared" si="5"/>
        <v>4017</v>
      </c>
    </row>
    <row r="109" spans="1:9">
      <c r="A109">
        <v>108</v>
      </c>
      <c r="B109" s="2">
        <v>108</v>
      </c>
      <c r="C109" s="2"/>
      <c r="D109" s="3">
        <v>108</v>
      </c>
      <c r="E109" s="3">
        <f t="shared" si="3"/>
        <v>1702</v>
      </c>
      <c r="F109" s="51">
        <v>108</v>
      </c>
      <c r="G109" s="51">
        <f t="shared" si="4"/>
        <v>2860</v>
      </c>
      <c r="H109" s="52">
        <v>108</v>
      </c>
      <c r="I109" s="52">
        <f t="shared" si="5"/>
        <v>4018</v>
      </c>
    </row>
    <row r="110" spans="1:9">
      <c r="A110">
        <v>109</v>
      </c>
      <c r="B110" s="2">
        <v>109</v>
      </c>
      <c r="C110" s="2"/>
      <c r="D110" s="3">
        <v>109</v>
      </c>
      <c r="E110" s="3">
        <f t="shared" si="3"/>
        <v>1703</v>
      </c>
      <c r="F110" s="51">
        <v>109</v>
      </c>
      <c r="G110" s="51">
        <f t="shared" si="4"/>
        <v>2861</v>
      </c>
      <c r="H110" s="52">
        <v>109</v>
      </c>
      <c r="I110" s="52">
        <f t="shared" si="5"/>
        <v>4019</v>
      </c>
    </row>
    <row r="111" spans="1:9">
      <c r="A111">
        <v>110</v>
      </c>
      <c r="B111" s="2">
        <v>110</v>
      </c>
      <c r="C111" s="2"/>
      <c r="D111" s="3">
        <v>110</v>
      </c>
      <c r="E111" s="3">
        <f t="shared" si="3"/>
        <v>1705</v>
      </c>
      <c r="F111" s="51">
        <v>110</v>
      </c>
      <c r="G111" s="51">
        <f t="shared" si="4"/>
        <v>2863</v>
      </c>
      <c r="H111" s="52">
        <v>110</v>
      </c>
      <c r="I111" s="52">
        <f t="shared" si="5"/>
        <v>4021</v>
      </c>
    </row>
    <row r="112" spans="1:9">
      <c r="A112">
        <v>111</v>
      </c>
      <c r="B112" s="2">
        <v>111</v>
      </c>
      <c r="C112" s="2"/>
      <c r="D112" s="3">
        <v>111</v>
      </c>
      <c r="E112" s="3">
        <f t="shared" si="3"/>
        <v>1706</v>
      </c>
      <c r="F112" s="51">
        <v>111</v>
      </c>
      <c r="G112" s="51">
        <f t="shared" si="4"/>
        <v>2864</v>
      </c>
      <c r="H112" s="52">
        <v>111</v>
      </c>
      <c r="I112" s="52">
        <f t="shared" si="5"/>
        <v>4022</v>
      </c>
    </row>
    <row r="113" spans="1:9">
      <c r="A113">
        <v>112</v>
      </c>
      <c r="B113" s="2">
        <v>112</v>
      </c>
      <c r="C113" s="2"/>
      <c r="D113" s="3">
        <v>112</v>
      </c>
      <c r="E113" s="3">
        <f t="shared" si="3"/>
        <v>1707</v>
      </c>
      <c r="F113" s="51">
        <v>112</v>
      </c>
      <c r="G113" s="51">
        <f t="shared" si="4"/>
        <v>2865</v>
      </c>
      <c r="H113" s="52">
        <v>112</v>
      </c>
      <c r="I113" s="52">
        <f t="shared" si="5"/>
        <v>4023</v>
      </c>
    </row>
    <row r="114" spans="1:9">
      <c r="A114">
        <v>113</v>
      </c>
      <c r="B114" s="2">
        <v>113</v>
      </c>
      <c r="C114" s="2"/>
      <c r="D114" s="3">
        <v>113</v>
      </c>
      <c r="E114" s="3">
        <f t="shared" si="3"/>
        <v>1709</v>
      </c>
      <c r="F114" s="51">
        <v>113</v>
      </c>
      <c r="G114" s="51">
        <f t="shared" si="4"/>
        <v>2867</v>
      </c>
      <c r="H114" s="52">
        <v>113</v>
      </c>
      <c r="I114" s="52">
        <f t="shared" si="5"/>
        <v>4025</v>
      </c>
    </row>
    <row r="115" spans="1:9">
      <c r="A115">
        <v>114</v>
      </c>
      <c r="B115" s="2">
        <v>114</v>
      </c>
      <c r="C115" s="2"/>
      <c r="D115" s="3">
        <v>114</v>
      </c>
      <c r="E115" s="3">
        <f t="shared" si="3"/>
        <v>1710</v>
      </c>
      <c r="F115" s="51">
        <v>114</v>
      </c>
      <c r="G115" s="51">
        <f t="shared" si="4"/>
        <v>2868</v>
      </c>
      <c r="H115" s="52">
        <v>114</v>
      </c>
      <c r="I115" s="52">
        <f t="shared" si="5"/>
        <v>4026</v>
      </c>
    </row>
    <row r="116" spans="1:9">
      <c r="A116">
        <v>115</v>
      </c>
      <c r="B116" s="2">
        <v>115</v>
      </c>
      <c r="C116" s="2"/>
      <c r="D116" s="3">
        <v>115</v>
      </c>
      <c r="E116" s="3">
        <f t="shared" si="3"/>
        <v>1711</v>
      </c>
      <c r="F116" s="51">
        <v>115</v>
      </c>
      <c r="G116" s="51">
        <f t="shared" si="4"/>
        <v>2869</v>
      </c>
      <c r="H116" s="52">
        <v>115</v>
      </c>
      <c r="I116" s="52">
        <f t="shared" si="5"/>
        <v>4027</v>
      </c>
    </row>
    <row r="117" spans="1:9">
      <c r="A117">
        <v>116</v>
      </c>
      <c r="B117" s="2">
        <v>116</v>
      </c>
      <c r="C117" s="2"/>
      <c r="D117" s="3">
        <v>116</v>
      </c>
      <c r="E117" s="3">
        <f t="shared" si="3"/>
        <v>1713</v>
      </c>
      <c r="F117" s="51">
        <v>116</v>
      </c>
      <c r="G117" s="51">
        <f t="shared" si="4"/>
        <v>2871</v>
      </c>
      <c r="H117" s="52">
        <v>116</v>
      </c>
      <c r="I117" s="52">
        <f t="shared" si="5"/>
        <v>4029</v>
      </c>
    </row>
    <row r="118" spans="1:9">
      <c r="A118">
        <v>117</v>
      </c>
      <c r="B118" s="2">
        <v>117</v>
      </c>
      <c r="C118" s="2"/>
      <c r="D118" s="3">
        <v>117</v>
      </c>
      <c r="E118" s="3">
        <f t="shared" si="3"/>
        <v>1714</v>
      </c>
      <c r="F118" s="51">
        <v>117</v>
      </c>
      <c r="G118" s="51">
        <f t="shared" si="4"/>
        <v>2872</v>
      </c>
      <c r="H118" s="52">
        <v>117</v>
      </c>
      <c r="I118" s="52">
        <f t="shared" si="5"/>
        <v>4030</v>
      </c>
    </row>
    <row r="119" spans="1:9">
      <c r="A119">
        <v>118</v>
      </c>
      <c r="B119" s="2">
        <v>118</v>
      </c>
      <c r="C119" s="2"/>
      <c r="D119" s="3">
        <v>118</v>
      </c>
      <c r="E119" s="3">
        <f t="shared" si="3"/>
        <v>1715</v>
      </c>
      <c r="F119" s="51">
        <v>118</v>
      </c>
      <c r="G119" s="51">
        <f t="shared" si="4"/>
        <v>2873</v>
      </c>
      <c r="H119" s="52">
        <v>118</v>
      </c>
      <c r="I119" s="52">
        <f t="shared" si="5"/>
        <v>4031</v>
      </c>
    </row>
    <row r="120" spans="1:9">
      <c r="A120">
        <v>119</v>
      </c>
      <c r="B120" s="2">
        <v>119</v>
      </c>
      <c r="C120" s="2"/>
      <c r="D120" s="3">
        <v>119</v>
      </c>
      <c r="E120" s="3">
        <f t="shared" si="3"/>
        <v>1717</v>
      </c>
      <c r="F120" s="51">
        <v>119</v>
      </c>
      <c r="G120" s="51">
        <f t="shared" si="4"/>
        <v>2875</v>
      </c>
      <c r="H120" s="52">
        <v>119</v>
      </c>
      <c r="I120" s="52">
        <f t="shared" si="5"/>
        <v>4033</v>
      </c>
    </row>
    <row r="121" spans="1:9">
      <c r="A121">
        <v>120</v>
      </c>
      <c r="B121" s="2">
        <v>120</v>
      </c>
      <c r="C121" s="2"/>
      <c r="D121" s="3">
        <v>120</v>
      </c>
      <c r="E121" s="3">
        <f t="shared" si="3"/>
        <v>1718</v>
      </c>
      <c r="F121" s="51">
        <v>120</v>
      </c>
      <c r="G121" s="51">
        <f t="shared" si="4"/>
        <v>2876</v>
      </c>
      <c r="H121" s="52">
        <v>120</v>
      </c>
      <c r="I121" s="52">
        <f t="shared" si="5"/>
        <v>4034</v>
      </c>
    </row>
    <row r="122" spans="1:9">
      <c r="A122">
        <v>121</v>
      </c>
      <c r="B122" s="2">
        <v>121</v>
      </c>
      <c r="C122" s="2">
        <f>562</f>
        <v>562</v>
      </c>
      <c r="D122" s="3">
        <v>121</v>
      </c>
      <c r="E122" s="3">
        <f t="shared" si="3"/>
        <v>1719</v>
      </c>
      <c r="F122" s="51">
        <v>121</v>
      </c>
      <c r="G122" s="51">
        <f t="shared" si="4"/>
        <v>2877</v>
      </c>
      <c r="H122" s="52">
        <v>121</v>
      </c>
      <c r="I122" s="52">
        <f t="shared" si="5"/>
        <v>4035</v>
      </c>
    </row>
    <row r="123" spans="1:9">
      <c r="A123">
        <v>122</v>
      </c>
      <c r="B123" s="2">
        <v>122</v>
      </c>
      <c r="C123" s="2">
        <f>INT((B123-B$122)*1.3333333)+C$122</f>
        <v>563</v>
      </c>
      <c r="D123" s="3">
        <v>122</v>
      </c>
      <c r="E123" s="3">
        <f t="shared" si="3"/>
        <v>1721</v>
      </c>
      <c r="F123" s="51">
        <v>122</v>
      </c>
      <c r="G123" s="51">
        <f t="shared" si="4"/>
        <v>2879</v>
      </c>
      <c r="H123" s="52">
        <v>122</v>
      </c>
      <c r="I123" s="52">
        <f t="shared" si="5"/>
        <v>4037</v>
      </c>
    </row>
    <row r="124" spans="1:9">
      <c r="A124">
        <v>123</v>
      </c>
      <c r="B124" s="2">
        <v>123</v>
      </c>
      <c r="C124" s="2">
        <f t="shared" ref="C124:C187" si="6">INT((B124-B$122)*1.3333333)+C$122</f>
        <v>564</v>
      </c>
      <c r="D124" s="3">
        <v>123</v>
      </c>
      <c r="E124" s="3">
        <f t="shared" si="3"/>
        <v>1722</v>
      </c>
      <c r="F124" s="51">
        <v>123</v>
      </c>
      <c r="G124" s="51">
        <f t="shared" si="4"/>
        <v>2880</v>
      </c>
      <c r="H124" s="52">
        <v>123</v>
      </c>
      <c r="I124" s="52">
        <f t="shared" si="5"/>
        <v>4038</v>
      </c>
    </row>
    <row r="125" spans="1:9">
      <c r="A125">
        <v>124</v>
      </c>
      <c r="B125" s="2">
        <v>124</v>
      </c>
      <c r="C125" s="2">
        <f t="shared" si="6"/>
        <v>565</v>
      </c>
      <c r="D125" s="3">
        <v>124</v>
      </c>
      <c r="E125" s="3">
        <f t="shared" si="3"/>
        <v>1723</v>
      </c>
      <c r="F125" s="51">
        <v>124</v>
      </c>
      <c r="G125" s="51">
        <f t="shared" si="4"/>
        <v>2881</v>
      </c>
      <c r="H125" s="52">
        <v>124</v>
      </c>
      <c r="I125" s="52">
        <f t="shared" si="5"/>
        <v>4039</v>
      </c>
    </row>
    <row r="126" spans="1:9">
      <c r="A126">
        <v>125</v>
      </c>
      <c r="B126" s="2">
        <v>125</v>
      </c>
      <c r="C126" s="2">
        <f t="shared" si="6"/>
        <v>567</v>
      </c>
      <c r="D126" s="3">
        <v>125</v>
      </c>
      <c r="E126" s="3">
        <f t="shared" si="3"/>
        <v>1725</v>
      </c>
      <c r="F126" s="51">
        <v>125</v>
      </c>
      <c r="G126" s="51">
        <f t="shared" si="4"/>
        <v>2883</v>
      </c>
      <c r="H126" s="52">
        <v>125</v>
      </c>
      <c r="I126" s="52">
        <f t="shared" si="5"/>
        <v>4041</v>
      </c>
    </row>
    <row r="127" spans="1:9">
      <c r="A127">
        <v>126</v>
      </c>
      <c r="B127" s="2">
        <v>126</v>
      </c>
      <c r="C127" s="2">
        <f t="shared" si="6"/>
        <v>568</v>
      </c>
      <c r="D127" s="3">
        <v>126</v>
      </c>
      <c r="E127" s="3">
        <f t="shared" si="3"/>
        <v>1726</v>
      </c>
      <c r="F127" s="51">
        <v>126</v>
      </c>
      <c r="G127" s="51">
        <f t="shared" si="4"/>
        <v>2884</v>
      </c>
      <c r="H127" s="52">
        <v>126</v>
      </c>
      <c r="I127" s="52">
        <f t="shared" si="5"/>
        <v>4042</v>
      </c>
    </row>
    <row r="128" spans="1:9">
      <c r="A128">
        <v>127</v>
      </c>
      <c r="B128" s="2">
        <v>127</v>
      </c>
      <c r="C128" s="2">
        <f t="shared" si="6"/>
        <v>569</v>
      </c>
      <c r="D128" s="3">
        <v>127</v>
      </c>
      <c r="E128" s="3">
        <f t="shared" si="3"/>
        <v>1727</v>
      </c>
      <c r="F128" s="51">
        <v>127</v>
      </c>
      <c r="G128" s="51">
        <f t="shared" si="4"/>
        <v>2885</v>
      </c>
      <c r="H128" s="52">
        <v>127</v>
      </c>
      <c r="I128" s="52">
        <f t="shared" si="5"/>
        <v>4043</v>
      </c>
    </row>
    <row r="129" spans="1:9">
      <c r="A129">
        <v>128</v>
      </c>
      <c r="B129" s="2">
        <v>128</v>
      </c>
      <c r="C129" s="2">
        <f t="shared" si="6"/>
        <v>571</v>
      </c>
      <c r="D129" s="3">
        <v>128</v>
      </c>
      <c r="E129" s="3">
        <f t="shared" si="3"/>
        <v>1729</v>
      </c>
      <c r="F129" s="51">
        <v>128</v>
      </c>
      <c r="G129" s="51">
        <f t="shared" si="4"/>
        <v>2887</v>
      </c>
      <c r="H129" s="52">
        <v>128</v>
      </c>
      <c r="I129" s="52">
        <f t="shared" si="5"/>
        <v>4045</v>
      </c>
    </row>
    <row r="130" spans="1:9">
      <c r="A130">
        <v>129</v>
      </c>
      <c r="B130" s="2">
        <v>129</v>
      </c>
      <c r="C130" s="2">
        <f t="shared" si="6"/>
        <v>572</v>
      </c>
      <c r="D130" s="3">
        <v>129</v>
      </c>
      <c r="E130" s="3">
        <f t="shared" si="3"/>
        <v>1730</v>
      </c>
      <c r="F130" s="51">
        <v>129</v>
      </c>
      <c r="G130" s="51">
        <f t="shared" si="4"/>
        <v>2888</v>
      </c>
      <c r="H130" s="52">
        <v>129</v>
      </c>
      <c r="I130" s="52">
        <f t="shared" si="5"/>
        <v>4046</v>
      </c>
    </row>
    <row r="131" spans="1:9">
      <c r="A131">
        <v>130</v>
      </c>
      <c r="B131" s="2">
        <v>130</v>
      </c>
      <c r="C131" s="2">
        <f t="shared" si="6"/>
        <v>573</v>
      </c>
      <c r="D131" s="3">
        <v>130</v>
      </c>
      <c r="E131" s="3">
        <f t="shared" si="3"/>
        <v>1731</v>
      </c>
      <c r="F131" s="51">
        <v>130</v>
      </c>
      <c r="G131" s="51">
        <f t="shared" si="4"/>
        <v>2889</v>
      </c>
      <c r="H131" s="52">
        <v>130</v>
      </c>
      <c r="I131" s="52">
        <f t="shared" si="5"/>
        <v>4047</v>
      </c>
    </row>
    <row r="132" spans="1:9">
      <c r="A132">
        <v>131</v>
      </c>
      <c r="B132" s="2">
        <v>131</v>
      </c>
      <c r="C132" s="2">
        <f t="shared" si="6"/>
        <v>575</v>
      </c>
      <c r="D132" s="3">
        <v>131</v>
      </c>
      <c r="E132" s="3">
        <f t="shared" ref="E132:E195" si="7">INT((D132-D$2)*1.3333333)+E$2</f>
        <v>1733</v>
      </c>
      <c r="F132" s="51">
        <v>131</v>
      </c>
      <c r="G132" s="51">
        <f t="shared" ref="G132:G195" si="8">INT((F132-F$2)*1.3333333)+G$2</f>
        <v>2891</v>
      </c>
      <c r="H132" s="52">
        <v>131</v>
      </c>
      <c r="I132" s="52">
        <f t="shared" ref="I132:I195" si="9">INT((H132-H$2)*1.3333333)+I$2</f>
        <v>4049</v>
      </c>
    </row>
    <row r="133" spans="1:9">
      <c r="A133">
        <v>132</v>
      </c>
      <c r="B133" s="2">
        <v>132</v>
      </c>
      <c r="C133" s="2">
        <f t="shared" si="6"/>
        <v>576</v>
      </c>
      <c r="D133" s="3">
        <v>132</v>
      </c>
      <c r="E133" s="3">
        <f t="shared" si="7"/>
        <v>1734</v>
      </c>
      <c r="F133" s="51">
        <v>132</v>
      </c>
      <c r="G133" s="51">
        <f t="shared" si="8"/>
        <v>2892</v>
      </c>
      <c r="H133" s="52">
        <v>132</v>
      </c>
      <c r="I133" s="52">
        <f t="shared" si="9"/>
        <v>4050</v>
      </c>
    </row>
    <row r="134" spans="1:9">
      <c r="A134">
        <v>133</v>
      </c>
      <c r="B134" s="2">
        <v>133</v>
      </c>
      <c r="C134" s="2">
        <f t="shared" si="6"/>
        <v>577</v>
      </c>
      <c r="D134" s="3">
        <v>133</v>
      </c>
      <c r="E134" s="3">
        <f t="shared" si="7"/>
        <v>1735</v>
      </c>
      <c r="F134" s="51">
        <v>133</v>
      </c>
      <c r="G134" s="51">
        <f t="shared" si="8"/>
        <v>2893</v>
      </c>
      <c r="H134" s="52">
        <v>133</v>
      </c>
      <c r="I134" s="52">
        <f t="shared" si="9"/>
        <v>4051</v>
      </c>
    </row>
    <row r="135" spans="1:9">
      <c r="A135">
        <v>134</v>
      </c>
      <c r="B135" s="2">
        <v>134</v>
      </c>
      <c r="C135" s="2">
        <f t="shared" si="6"/>
        <v>579</v>
      </c>
      <c r="D135" s="3">
        <v>134</v>
      </c>
      <c r="E135" s="3">
        <f t="shared" si="7"/>
        <v>1737</v>
      </c>
      <c r="F135" s="51">
        <v>134</v>
      </c>
      <c r="G135" s="51">
        <f t="shared" si="8"/>
        <v>2895</v>
      </c>
      <c r="H135" s="52">
        <v>134</v>
      </c>
      <c r="I135" s="52">
        <f t="shared" si="9"/>
        <v>4053</v>
      </c>
    </row>
    <row r="136" spans="1:9">
      <c r="A136">
        <v>135</v>
      </c>
      <c r="B136" s="2">
        <v>135</v>
      </c>
      <c r="C136" s="2">
        <f t="shared" si="6"/>
        <v>580</v>
      </c>
      <c r="D136" s="3">
        <v>135</v>
      </c>
      <c r="E136" s="3">
        <f t="shared" si="7"/>
        <v>1738</v>
      </c>
      <c r="F136" s="51">
        <v>135</v>
      </c>
      <c r="G136" s="51">
        <f t="shared" si="8"/>
        <v>2896</v>
      </c>
      <c r="H136" s="52">
        <v>135</v>
      </c>
      <c r="I136" s="52">
        <f t="shared" si="9"/>
        <v>4054</v>
      </c>
    </row>
    <row r="137" spans="1:9">
      <c r="A137">
        <v>136</v>
      </c>
      <c r="B137" s="2">
        <v>136</v>
      </c>
      <c r="C137" s="2">
        <f t="shared" si="6"/>
        <v>581</v>
      </c>
      <c r="D137" s="3">
        <v>136</v>
      </c>
      <c r="E137" s="3">
        <f t="shared" si="7"/>
        <v>1739</v>
      </c>
      <c r="F137" s="51">
        <v>136</v>
      </c>
      <c r="G137" s="51">
        <f t="shared" si="8"/>
        <v>2897</v>
      </c>
      <c r="H137" s="52">
        <v>136</v>
      </c>
      <c r="I137" s="52">
        <f t="shared" si="9"/>
        <v>4055</v>
      </c>
    </row>
    <row r="138" spans="1:9">
      <c r="A138">
        <v>137</v>
      </c>
      <c r="B138" s="2">
        <v>137</v>
      </c>
      <c r="C138" s="2">
        <f t="shared" si="6"/>
        <v>583</v>
      </c>
      <c r="D138" s="3">
        <v>137</v>
      </c>
      <c r="E138" s="3">
        <f t="shared" si="7"/>
        <v>1741</v>
      </c>
      <c r="F138" s="51">
        <v>137</v>
      </c>
      <c r="G138" s="51">
        <f t="shared" si="8"/>
        <v>2899</v>
      </c>
      <c r="H138" s="52">
        <v>137</v>
      </c>
      <c r="I138" s="52">
        <f t="shared" si="9"/>
        <v>4057</v>
      </c>
    </row>
    <row r="139" spans="1:9">
      <c r="A139">
        <v>138</v>
      </c>
      <c r="B139" s="2">
        <v>138</v>
      </c>
      <c r="C139" s="2">
        <f t="shared" si="6"/>
        <v>584</v>
      </c>
      <c r="D139" s="3">
        <v>138</v>
      </c>
      <c r="E139" s="3">
        <f t="shared" si="7"/>
        <v>1742</v>
      </c>
      <c r="F139" s="51">
        <v>138</v>
      </c>
      <c r="G139" s="51">
        <f t="shared" si="8"/>
        <v>2900</v>
      </c>
      <c r="H139" s="52">
        <v>138</v>
      </c>
      <c r="I139" s="52">
        <f t="shared" si="9"/>
        <v>4058</v>
      </c>
    </row>
    <row r="140" spans="1:9">
      <c r="A140">
        <v>139</v>
      </c>
      <c r="B140" s="2">
        <v>139</v>
      </c>
      <c r="C140" s="2">
        <f t="shared" si="6"/>
        <v>585</v>
      </c>
      <c r="D140" s="3">
        <v>139</v>
      </c>
      <c r="E140" s="3">
        <f t="shared" si="7"/>
        <v>1743</v>
      </c>
      <c r="F140" s="51">
        <v>139</v>
      </c>
      <c r="G140" s="51">
        <f t="shared" si="8"/>
        <v>2901</v>
      </c>
      <c r="H140" s="52">
        <v>139</v>
      </c>
      <c r="I140" s="52">
        <f t="shared" si="9"/>
        <v>4059</v>
      </c>
    </row>
    <row r="141" spans="1:9">
      <c r="A141">
        <v>140</v>
      </c>
      <c r="B141" s="2">
        <v>140</v>
      </c>
      <c r="C141" s="2">
        <f t="shared" si="6"/>
        <v>587</v>
      </c>
      <c r="D141" s="3">
        <v>140</v>
      </c>
      <c r="E141" s="3">
        <f t="shared" si="7"/>
        <v>1745</v>
      </c>
      <c r="F141" s="51">
        <v>140</v>
      </c>
      <c r="G141" s="51">
        <f t="shared" si="8"/>
        <v>2903</v>
      </c>
      <c r="H141" s="52">
        <v>140</v>
      </c>
      <c r="I141" s="52">
        <f t="shared" si="9"/>
        <v>4061</v>
      </c>
    </row>
    <row r="142" spans="1:9">
      <c r="A142">
        <v>141</v>
      </c>
      <c r="B142" s="2">
        <v>141</v>
      </c>
      <c r="C142" s="2">
        <f t="shared" si="6"/>
        <v>588</v>
      </c>
      <c r="D142" s="3">
        <v>141</v>
      </c>
      <c r="E142" s="3">
        <f t="shared" si="7"/>
        <v>1746</v>
      </c>
      <c r="F142" s="51">
        <v>141</v>
      </c>
      <c r="G142" s="51">
        <f t="shared" si="8"/>
        <v>2904</v>
      </c>
      <c r="H142" s="52">
        <v>141</v>
      </c>
      <c r="I142" s="52">
        <f t="shared" si="9"/>
        <v>4062</v>
      </c>
    </row>
    <row r="143" spans="1:9">
      <c r="A143">
        <v>142</v>
      </c>
      <c r="B143" s="2">
        <v>142</v>
      </c>
      <c r="C143" s="2">
        <f t="shared" si="6"/>
        <v>589</v>
      </c>
      <c r="D143" s="3">
        <v>142</v>
      </c>
      <c r="E143" s="3">
        <f t="shared" si="7"/>
        <v>1747</v>
      </c>
      <c r="F143" s="51">
        <v>142</v>
      </c>
      <c r="G143" s="51">
        <f t="shared" si="8"/>
        <v>2905</v>
      </c>
      <c r="H143" s="52">
        <v>142</v>
      </c>
      <c r="I143" s="52">
        <f t="shared" si="9"/>
        <v>4063</v>
      </c>
    </row>
    <row r="144" spans="1:9">
      <c r="A144">
        <v>143</v>
      </c>
      <c r="B144" s="2">
        <v>143</v>
      </c>
      <c r="C144" s="2">
        <f t="shared" si="6"/>
        <v>591</v>
      </c>
      <c r="D144" s="3">
        <v>143</v>
      </c>
      <c r="E144" s="3">
        <f t="shared" si="7"/>
        <v>1749</v>
      </c>
      <c r="F144" s="51">
        <v>143</v>
      </c>
      <c r="G144" s="51">
        <f t="shared" si="8"/>
        <v>2907</v>
      </c>
      <c r="H144" s="52">
        <v>143</v>
      </c>
      <c r="I144" s="52">
        <f t="shared" si="9"/>
        <v>4065</v>
      </c>
    </row>
    <row r="145" spans="1:9">
      <c r="A145">
        <v>144</v>
      </c>
      <c r="B145" s="2">
        <v>144</v>
      </c>
      <c r="C145" s="2">
        <f t="shared" si="6"/>
        <v>592</v>
      </c>
      <c r="D145" s="3">
        <v>144</v>
      </c>
      <c r="E145" s="3">
        <f t="shared" si="7"/>
        <v>1750</v>
      </c>
      <c r="F145" s="51">
        <v>144</v>
      </c>
      <c r="G145" s="51">
        <f t="shared" si="8"/>
        <v>2908</v>
      </c>
      <c r="H145" s="52">
        <v>144</v>
      </c>
      <c r="I145" s="52">
        <f t="shared" si="9"/>
        <v>4066</v>
      </c>
    </row>
    <row r="146" spans="1:9">
      <c r="A146">
        <v>145</v>
      </c>
      <c r="B146" s="2">
        <v>145</v>
      </c>
      <c r="C146" s="2">
        <f t="shared" si="6"/>
        <v>593</v>
      </c>
      <c r="D146" s="3">
        <v>145</v>
      </c>
      <c r="E146" s="3">
        <f t="shared" si="7"/>
        <v>1751</v>
      </c>
      <c r="F146" s="51">
        <v>145</v>
      </c>
      <c r="G146" s="51">
        <f t="shared" si="8"/>
        <v>2909</v>
      </c>
      <c r="H146" s="52">
        <v>145</v>
      </c>
      <c r="I146" s="52">
        <f t="shared" si="9"/>
        <v>4067</v>
      </c>
    </row>
    <row r="147" spans="1:9">
      <c r="A147">
        <v>146</v>
      </c>
      <c r="B147" s="2">
        <v>146</v>
      </c>
      <c r="C147" s="2">
        <f t="shared" si="6"/>
        <v>595</v>
      </c>
      <c r="D147" s="3">
        <v>146</v>
      </c>
      <c r="E147" s="3">
        <f t="shared" si="7"/>
        <v>1753</v>
      </c>
      <c r="F147" s="51">
        <v>146</v>
      </c>
      <c r="G147" s="51">
        <f t="shared" si="8"/>
        <v>2911</v>
      </c>
      <c r="H147" s="52">
        <v>146</v>
      </c>
      <c r="I147" s="52">
        <f t="shared" si="9"/>
        <v>4069</v>
      </c>
    </row>
    <row r="148" spans="1:9">
      <c r="A148">
        <v>147</v>
      </c>
      <c r="B148" s="2">
        <v>147</v>
      </c>
      <c r="C148" s="2">
        <f t="shared" si="6"/>
        <v>596</v>
      </c>
      <c r="D148" s="3">
        <v>147</v>
      </c>
      <c r="E148" s="3">
        <f t="shared" si="7"/>
        <v>1754</v>
      </c>
      <c r="F148" s="51">
        <v>147</v>
      </c>
      <c r="G148" s="51">
        <f t="shared" si="8"/>
        <v>2912</v>
      </c>
      <c r="H148" s="52">
        <v>147</v>
      </c>
      <c r="I148" s="52">
        <f t="shared" si="9"/>
        <v>4070</v>
      </c>
    </row>
    <row r="149" spans="1:9">
      <c r="A149">
        <v>148</v>
      </c>
      <c r="B149" s="2">
        <v>148</v>
      </c>
      <c r="C149" s="2">
        <f t="shared" si="6"/>
        <v>597</v>
      </c>
      <c r="D149" s="3">
        <v>148</v>
      </c>
      <c r="E149" s="3">
        <f t="shared" si="7"/>
        <v>1755</v>
      </c>
      <c r="F149" s="51">
        <v>148</v>
      </c>
      <c r="G149" s="51">
        <f t="shared" si="8"/>
        <v>2913</v>
      </c>
      <c r="H149" s="52">
        <v>148</v>
      </c>
      <c r="I149" s="52">
        <f t="shared" si="9"/>
        <v>4071</v>
      </c>
    </row>
    <row r="150" spans="1:9">
      <c r="A150">
        <v>149</v>
      </c>
      <c r="B150" s="2">
        <v>149</v>
      </c>
      <c r="C150" s="2">
        <f t="shared" si="6"/>
        <v>599</v>
      </c>
      <c r="D150" s="3">
        <v>149</v>
      </c>
      <c r="E150" s="3">
        <f t="shared" si="7"/>
        <v>1757</v>
      </c>
      <c r="F150" s="51">
        <v>149</v>
      </c>
      <c r="G150" s="51">
        <f t="shared" si="8"/>
        <v>2915</v>
      </c>
      <c r="H150" s="52">
        <v>149</v>
      </c>
      <c r="I150" s="52">
        <f t="shared" si="9"/>
        <v>4073</v>
      </c>
    </row>
    <row r="151" spans="1:9">
      <c r="A151">
        <v>150</v>
      </c>
      <c r="B151" s="2">
        <v>150</v>
      </c>
      <c r="C151" s="2">
        <f t="shared" si="6"/>
        <v>600</v>
      </c>
      <c r="D151" s="3">
        <v>150</v>
      </c>
      <c r="E151" s="3">
        <f t="shared" si="7"/>
        <v>1758</v>
      </c>
      <c r="F151" s="51">
        <v>150</v>
      </c>
      <c r="G151" s="51">
        <f t="shared" si="8"/>
        <v>2916</v>
      </c>
      <c r="H151" s="52">
        <v>150</v>
      </c>
      <c r="I151" s="52">
        <f t="shared" si="9"/>
        <v>4074</v>
      </c>
    </row>
    <row r="152" spans="1:9">
      <c r="A152">
        <v>151</v>
      </c>
      <c r="B152" s="2">
        <v>151</v>
      </c>
      <c r="C152" s="2">
        <f t="shared" si="6"/>
        <v>601</v>
      </c>
      <c r="D152" s="3">
        <v>151</v>
      </c>
      <c r="E152" s="3">
        <f t="shared" si="7"/>
        <v>1759</v>
      </c>
      <c r="F152" s="51">
        <v>151</v>
      </c>
      <c r="G152" s="51">
        <f t="shared" si="8"/>
        <v>2917</v>
      </c>
      <c r="H152" s="52">
        <v>151</v>
      </c>
      <c r="I152" s="52">
        <f t="shared" si="9"/>
        <v>4075</v>
      </c>
    </row>
    <row r="153" spans="1:9">
      <c r="A153">
        <v>152</v>
      </c>
      <c r="B153" s="2">
        <v>152</v>
      </c>
      <c r="C153" s="2">
        <f t="shared" si="6"/>
        <v>603</v>
      </c>
      <c r="D153" s="3">
        <v>152</v>
      </c>
      <c r="E153" s="3">
        <f t="shared" si="7"/>
        <v>1761</v>
      </c>
      <c r="F153" s="51">
        <v>152</v>
      </c>
      <c r="G153" s="51">
        <f t="shared" si="8"/>
        <v>2919</v>
      </c>
      <c r="H153" s="52">
        <v>152</v>
      </c>
      <c r="I153" s="52">
        <f t="shared" si="9"/>
        <v>4077</v>
      </c>
    </row>
    <row r="154" spans="1:9">
      <c r="A154">
        <v>153</v>
      </c>
      <c r="B154" s="2">
        <v>153</v>
      </c>
      <c r="C154" s="2">
        <f t="shared" si="6"/>
        <v>604</v>
      </c>
      <c r="D154" s="3">
        <v>153</v>
      </c>
      <c r="E154" s="3">
        <f t="shared" si="7"/>
        <v>1762</v>
      </c>
      <c r="F154" s="51">
        <v>153</v>
      </c>
      <c r="G154" s="51">
        <f t="shared" si="8"/>
        <v>2920</v>
      </c>
      <c r="H154" s="52">
        <v>153</v>
      </c>
      <c r="I154" s="52">
        <f t="shared" si="9"/>
        <v>4078</v>
      </c>
    </row>
    <row r="155" spans="1:9">
      <c r="A155">
        <v>154</v>
      </c>
      <c r="B155" s="2">
        <v>154</v>
      </c>
      <c r="C155" s="2">
        <f t="shared" si="6"/>
        <v>605</v>
      </c>
      <c r="D155" s="3">
        <v>154</v>
      </c>
      <c r="E155" s="3">
        <f t="shared" si="7"/>
        <v>1763</v>
      </c>
      <c r="F155" s="51">
        <v>154</v>
      </c>
      <c r="G155" s="51">
        <f t="shared" si="8"/>
        <v>2921</v>
      </c>
      <c r="H155" s="52">
        <v>154</v>
      </c>
      <c r="I155" s="52">
        <f t="shared" si="9"/>
        <v>4079</v>
      </c>
    </row>
    <row r="156" spans="1:9">
      <c r="A156">
        <v>155</v>
      </c>
      <c r="B156" s="2">
        <v>155</v>
      </c>
      <c r="C156" s="2">
        <f t="shared" si="6"/>
        <v>607</v>
      </c>
      <c r="D156" s="3">
        <v>155</v>
      </c>
      <c r="E156" s="3">
        <f t="shared" si="7"/>
        <v>1765</v>
      </c>
      <c r="F156" s="51">
        <v>155</v>
      </c>
      <c r="G156" s="51">
        <f t="shared" si="8"/>
        <v>2923</v>
      </c>
      <c r="H156" s="52">
        <v>155</v>
      </c>
      <c r="I156" s="52">
        <f t="shared" si="9"/>
        <v>4081</v>
      </c>
    </row>
    <row r="157" spans="1:9">
      <c r="A157">
        <v>156</v>
      </c>
      <c r="B157" s="2">
        <v>156</v>
      </c>
      <c r="C157" s="2">
        <f t="shared" si="6"/>
        <v>608</v>
      </c>
      <c r="D157" s="3">
        <v>156</v>
      </c>
      <c r="E157" s="3">
        <f t="shared" si="7"/>
        <v>1766</v>
      </c>
      <c r="F157" s="51">
        <v>156</v>
      </c>
      <c r="G157" s="51">
        <f t="shared" si="8"/>
        <v>2924</v>
      </c>
      <c r="H157" s="52">
        <v>156</v>
      </c>
      <c r="I157" s="52">
        <f t="shared" si="9"/>
        <v>4082</v>
      </c>
    </row>
    <row r="158" spans="1:9">
      <c r="A158">
        <v>157</v>
      </c>
      <c r="B158" s="2">
        <v>157</v>
      </c>
      <c r="C158" s="2">
        <f t="shared" si="6"/>
        <v>609</v>
      </c>
      <c r="D158" s="3">
        <v>157</v>
      </c>
      <c r="E158" s="3">
        <f t="shared" si="7"/>
        <v>1767</v>
      </c>
      <c r="F158" s="51">
        <v>157</v>
      </c>
      <c r="G158" s="51">
        <f t="shared" si="8"/>
        <v>2925</v>
      </c>
      <c r="H158" s="52">
        <v>157</v>
      </c>
      <c r="I158" s="52">
        <f t="shared" si="9"/>
        <v>4083</v>
      </c>
    </row>
    <row r="159" spans="1:9">
      <c r="A159">
        <v>158</v>
      </c>
      <c r="B159" s="2">
        <v>158</v>
      </c>
      <c r="C159" s="2">
        <f t="shared" si="6"/>
        <v>611</v>
      </c>
      <c r="D159" s="3">
        <v>158</v>
      </c>
      <c r="E159" s="3">
        <f t="shared" si="7"/>
        <v>1769</v>
      </c>
      <c r="F159" s="51">
        <v>158</v>
      </c>
      <c r="G159" s="51">
        <f t="shared" si="8"/>
        <v>2927</v>
      </c>
      <c r="H159" s="52">
        <v>158</v>
      </c>
      <c r="I159" s="52">
        <f t="shared" si="9"/>
        <v>4085</v>
      </c>
    </row>
    <row r="160" spans="1:9">
      <c r="A160">
        <v>159</v>
      </c>
      <c r="B160" s="2">
        <v>159</v>
      </c>
      <c r="C160" s="2">
        <f t="shared" si="6"/>
        <v>612</v>
      </c>
      <c r="D160" s="3">
        <v>159</v>
      </c>
      <c r="E160" s="3">
        <f t="shared" si="7"/>
        <v>1770</v>
      </c>
      <c r="F160" s="51">
        <v>159</v>
      </c>
      <c r="G160" s="51">
        <f t="shared" si="8"/>
        <v>2928</v>
      </c>
      <c r="H160" s="52">
        <v>159</v>
      </c>
      <c r="I160" s="52">
        <f t="shared" si="9"/>
        <v>4086</v>
      </c>
    </row>
    <row r="161" spans="1:9">
      <c r="A161">
        <v>160</v>
      </c>
      <c r="B161" s="2">
        <v>160</v>
      </c>
      <c r="C161" s="2">
        <f t="shared" si="6"/>
        <v>613</v>
      </c>
      <c r="D161" s="3">
        <v>160</v>
      </c>
      <c r="E161" s="3">
        <f t="shared" si="7"/>
        <v>1771</v>
      </c>
      <c r="F161" s="51">
        <v>160</v>
      </c>
      <c r="G161" s="51">
        <f t="shared" si="8"/>
        <v>2929</v>
      </c>
      <c r="H161" s="52">
        <v>160</v>
      </c>
      <c r="I161" s="52">
        <f t="shared" si="9"/>
        <v>4087</v>
      </c>
    </row>
    <row r="162" spans="1:9">
      <c r="A162">
        <v>161</v>
      </c>
      <c r="B162" s="2">
        <v>161</v>
      </c>
      <c r="C162" s="2">
        <f t="shared" si="6"/>
        <v>615</v>
      </c>
      <c r="D162" s="3">
        <v>161</v>
      </c>
      <c r="E162" s="3">
        <f t="shared" si="7"/>
        <v>1773</v>
      </c>
      <c r="F162" s="51">
        <v>161</v>
      </c>
      <c r="G162" s="51">
        <f t="shared" si="8"/>
        <v>2931</v>
      </c>
      <c r="H162" s="52">
        <v>161</v>
      </c>
      <c r="I162" s="52">
        <f t="shared" si="9"/>
        <v>4089</v>
      </c>
    </row>
    <row r="163" spans="1:9">
      <c r="A163">
        <v>162</v>
      </c>
      <c r="B163" s="2">
        <v>162</v>
      </c>
      <c r="C163" s="2">
        <f t="shared" si="6"/>
        <v>616</v>
      </c>
      <c r="D163" s="3">
        <v>162</v>
      </c>
      <c r="E163" s="3">
        <f t="shared" si="7"/>
        <v>1774</v>
      </c>
      <c r="F163" s="51">
        <v>162</v>
      </c>
      <c r="G163" s="51">
        <f t="shared" si="8"/>
        <v>2932</v>
      </c>
      <c r="H163" s="52">
        <v>162</v>
      </c>
      <c r="I163" s="52">
        <f t="shared" si="9"/>
        <v>4090</v>
      </c>
    </row>
    <row r="164" spans="1:9">
      <c r="A164">
        <v>163</v>
      </c>
      <c r="B164" s="2">
        <v>163</v>
      </c>
      <c r="C164" s="2">
        <f t="shared" si="6"/>
        <v>617</v>
      </c>
      <c r="D164" s="3">
        <v>163</v>
      </c>
      <c r="E164" s="3">
        <f t="shared" si="7"/>
        <v>1775</v>
      </c>
      <c r="F164" s="51">
        <v>163</v>
      </c>
      <c r="G164" s="51">
        <f t="shared" si="8"/>
        <v>2933</v>
      </c>
      <c r="H164" s="52">
        <v>163</v>
      </c>
      <c r="I164" s="52">
        <f t="shared" si="9"/>
        <v>4091</v>
      </c>
    </row>
    <row r="165" spans="1:9">
      <c r="A165">
        <v>164</v>
      </c>
      <c r="B165" s="2">
        <v>164</v>
      </c>
      <c r="C165" s="2">
        <f t="shared" si="6"/>
        <v>619</v>
      </c>
      <c r="D165" s="3">
        <v>164</v>
      </c>
      <c r="E165" s="3">
        <f t="shared" si="7"/>
        <v>1777</v>
      </c>
      <c r="F165" s="51">
        <v>164</v>
      </c>
      <c r="G165" s="51">
        <f t="shared" si="8"/>
        <v>2935</v>
      </c>
      <c r="H165" s="52">
        <v>164</v>
      </c>
      <c r="I165" s="52">
        <f t="shared" si="9"/>
        <v>4093</v>
      </c>
    </row>
    <row r="166" spans="1:9">
      <c r="A166">
        <v>165</v>
      </c>
      <c r="B166" s="2">
        <v>165</v>
      </c>
      <c r="C166" s="2">
        <f t="shared" si="6"/>
        <v>620</v>
      </c>
      <c r="D166" s="3">
        <v>165</v>
      </c>
      <c r="E166" s="3">
        <f t="shared" si="7"/>
        <v>1778</v>
      </c>
      <c r="F166" s="51">
        <v>165</v>
      </c>
      <c r="G166" s="51">
        <f t="shared" si="8"/>
        <v>2936</v>
      </c>
      <c r="H166" s="52">
        <v>165</v>
      </c>
      <c r="I166" s="52">
        <f t="shared" si="9"/>
        <v>4094</v>
      </c>
    </row>
    <row r="167" spans="1:9">
      <c r="A167">
        <v>166</v>
      </c>
      <c r="B167" s="2">
        <v>166</v>
      </c>
      <c r="C167" s="2">
        <f t="shared" si="6"/>
        <v>621</v>
      </c>
      <c r="D167" s="3">
        <v>166</v>
      </c>
      <c r="E167" s="3">
        <f t="shared" si="7"/>
        <v>1779</v>
      </c>
      <c r="F167" s="51">
        <v>166</v>
      </c>
      <c r="G167" s="51">
        <f t="shared" si="8"/>
        <v>2937</v>
      </c>
      <c r="H167" s="52">
        <v>166</v>
      </c>
      <c r="I167" s="52">
        <f t="shared" si="9"/>
        <v>4095</v>
      </c>
    </row>
    <row r="168" spans="1:9">
      <c r="A168">
        <v>167</v>
      </c>
      <c r="B168" s="2">
        <v>167</v>
      </c>
      <c r="C168" s="2">
        <f t="shared" si="6"/>
        <v>623</v>
      </c>
      <c r="D168" s="3">
        <v>167</v>
      </c>
      <c r="E168" s="3">
        <f t="shared" si="7"/>
        <v>1781</v>
      </c>
      <c r="F168" s="51">
        <v>167</v>
      </c>
      <c r="G168" s="51">
        <f t="shared" si="8"/>
        <v>2939</v>
      </c>
      <c r="H168" s="52">
        <v>167</v>
      </c>
      <c r="I168" s="52">
        <f t="shared" si="9"/>
        <v>4097</v>
      </c>
    </row>
    <row r="169" spans="1:9">
      <c r="A169">
        <v>168</v>
      </c>
      <c r="B169" s="2">
        <v>168</v>
      </c>
      <c r="C169" s="2">
        <f t="shared" si="6"/>
        <v>624</v>
      </c>
      <c r="D169" s="3">
        <v>168</v>
      </c>
      <c r="E169" s="3">
        <f t="shared" si="7"/>
        <v>1782</v>
      </c>
      <c r="F169" s="51">
        <v>168</v>
      </c>
      <c r="G169" s="51">
        <f t="shared" si="8"/>
        <v>2940</v>
      </c>
      <c r="H169" s="52">
        <v>168</v>
      </c>
      <c r="I169" s="52">
        <f t="shared" si="9"/>
        <v>4098</v>
      </c>
    </row>
    <row r="170" spans="1:9">
      <c r="A170">
        <v>169</v>
      </c>
      <c r="B170" s="2">
        <v>169</v>
      </c>
      <c r="C170" s="2">
        <f t="shared" si="6"/>
        <v>625</v>
      </c>
      <c r="D170" s="3">
        <v>169</v>
      </c>
      <c r="E170" s="3">
        <f t="shared" si="7"/>
        <v>1783</v>
      </c>
      <c r="F170" s="51">
        <v>169</v>
      </c>
      <c r="G170" s="51">
        <f t="shared" si="8"/>
        <v>2941</v>
      </c>
      <c r="H170" s="52">
        <v>169</v>
      </c>
      <c r="I170" s="52">
        <f t="shared" si="9"/>
        <v>4099</v>
      </c>
    </row>
    <row r="171" spans="1:9">
      <c r="A171">
        <v>170</v>
      </c>
      <c r="B171" s="2">
        <v>170</v>
      </c>
      <c r="C171" s="2">
        <f t="shared" si="6"/>
        <v>627</v>
      </c>
      <c r="D171" s="3">
        <v>170</v>
      </c>
      <c r="E171" s="3">
        <f t="shared" si="7"/>
        <v>1785</v>
      </c>
      <c r="F171" s="51">
        <v>170</v>
      </c>
      <c r="G171" s="51">
        <f t="shared" si="8"/>
        <v>2943</v>
      </c>
      <c r="H171" s="52">
        <v>170</v>
      </c>
      <c r="I171" s="52">
        <f t="shared" si="9"/>
        <v>4101</v>
      </c>
    </row>
    <row r="172" spans="1:9">
      <c r="A172">
        <v>171</v>
      </c>
      <c r="B172" s="2">
        <v>171</v>
      </c>
      <c r="C172" s="2">
        <f t="shared" si="6"/>
        <v>628</v>
      </c>
      <c r="D172" s="3">
        <v>171</v>
      </c>
      <c r="E172" s="3">
        <f t="shared" si="7"/>
        <v>1786</v>
      </c>
      <c r="F172" s="51">
        <v>171</v>
      </c>
      <c r="G172" s="51">
        <f t="shared" si="8"/>
        <v>2944</v>
      </c>
      <c r="H172" s="52">
        <v>171</v>
      </c>
      <c r="I172" s="52">
        <f t="shared" si="9"/>
        <v>4102</v>
      </c>
    </row>
    <row r="173" spans="1:9">
      <c r="A173">
        <v>172</v>
      </c>
      <c r="B173" s="2">
        <v>172</v>
      </c>
      <c r="C173" s="2">
        <f t="shared" si="6"/>
        <v>629</v>
      </c>
      <c r="D173" s="3">
        <v>172</v>
      </c>
      <c r="E173" s="3">
        <f t="shared" si="7"/>
        <v>1787</v>
      </c>
      <c r="F173" s="51">
        <v>172</v>
      </c>
      <c r="G173" s="51">
        <f t="shared" si="8"/>
        <v>2945</v>
      </c>
      <c r="H173" s="52">
        <v>172</v>
      </c>
      <c r="I173" s="52">
        <f t="shared" si="9"/>
        <v>4103</v>
      </c>
    </row>
    <row r="174" spans="1:9">
      <c r="A174">
        <v>173</v>
      </c>
      <c r="B174" s="2">
        <v>173</v>
      </c>
      <c r="C174" s="2">
        <f t="shared" si="6"/>
        <v>631</v>
      </c>
      <c r="D174" s="3">
        <v>173</v>
      </c>
      <c r="E174" s="3">
        <f t="shared" si="7"/>
        <v>1789</v>
      </c>
      <c r="F174" s="51">
        <v>173</v>
      </c>
      <c r="G174" s="51">
        <f t="shared" si="8"/>
        <v>2947</v>
      </c>
      <c r="H174" s="52">
        <v>173</v>
      </c>
      <c r="I174" s="52">
        <f t="shared" si="9"/>
        <v>4105</v>
      </c>
    </row>
    <row r="175" spans="1:9">
      <c r="A175">
        <v>174</v>
      </c>
      <c r="B175" s="2">
        <v>174</v>
      </c>
      <c r="C175" s="2">
        <f t="shared" si="6"/>
        <v>632</v>
      </c>
      <c r="D175" s="3">
        <v>174</v>
      </c>
      <c r="E175" s="3">
        <f t="shared" si="7"/>
        <v>1790</v>
      </c>
      <c r="F175" s="51">
        <v>174</v>
      </c>
      <c r="G175" s="51">
        <f t="shared" si="8"/>
        <v>2948</v>
      </c>
      <c r="H175" s="52">
        <v>174</v>
      </c>
      <c r="I175" s="52">
        <f t="shared" si="9"/>
        <v>4106</v>
      </c>
    </row>
    <row r="176" spans="1:9">
      <c r="A176">
        <v>175</v>
      </c>
      <c r="B176" s="2">
        <v>175</v>
      </c>
      <c r="C176" s="2">
        <f t="shared" si="6"/>
        <v>633</v>
      </c>
      <c r="D176" s="3">
        <v>175</v>
      </c>
      <c r="E176" s="3">
        <f t="shared" si="7"/>
        <v>1791</v>
      </c>
      <c r="F176" s="51">
        <v>175</v>
      </c>
      <c r="G176" s="51">
        <f t="shared" si="8"/>
        <v>2949</v>
      </c>
      <c r="H176" s="52">
        <v>175</v>
      </c>
      <c r="I176" s="52">
        <f t="shared" si="9"/>
        <v>4107</v>
      </c>
    </row>
    <row r="177" spans="1:9">
      <c r="A177">
        <v>176</v>
      </c>
      <c r="B177" s="2">
        <v>176</v>
      </c>
      <c r="C177" s="2">
        <f t="shared" si="6"/>
        <v>635</v>
      </c>
      <c r="D177" s="3">
        <v>176</v>
      </c>
      <c r="E177" s="3">
        <f t="shared" si="7"/>
        <v>1793</v>
      </c>
      <c r="F177" s="51">
        <v>176</v>
      </c>
      <c r="G177" s="51">
        <f t="shared" si="8"/>
        <v>2951</v>
      </c>
      <c r="H177" s="52">
        <v>176</v>
      </c>
      <c r="I177" s="52">
        <f t="shared" si="9"/>
        <v>4109</v>
      </c>
    </row>
    <row r="178" spans="1:9">
      <c r="A178">
        <v>177</v>
      </c>
      <c r="B178" s="2">
        <v>177</v>
      </c>
      <c r="C178" s="2">
        <f t="shared" si="6"/>
        <v>636</v>
      </c>
      <c r="D178" s="3">
        <v>177</v>
      </c>
      <c r="E178" s="3">
        <f t="shared" si="7"/>
        <v>1794</v>
      </c>
      <c r="F178" s="51">
        <v>177</v>
      </c>
      <c r="G178" s="51">
        <f t="shared" si="8"/>
        <v>2952</v>
      </c>
      <c r="H178" s="52">
        <v>177</v>
      </c>
      <c r="I178" s="52">
        <f t="shared" si="9"/>
        <v>4110</v>
      </c>
    </row>
    <row r="179" spans="1:9">
      <c r="A179">
        <v>178</v>
      </c>
      <c r="B179" s="2">
        <v>178</v>
      </c>
      <c r="C179" s="2">
        <f t="shared" si="6"/>
        <v>637</v>
      </c>
      <c r="D179" s="3">
        <v>178</v>
      </c>
      <c r="E179" s="3">
        <f t="shared" si="7"/>
        <v>1795</v>
      </c>
      <c r="F179" s="51">
        <v>178</v>
      </c>
      <c r="G179" s="51">
        <f t="shared" si="8"/>
        <v>2953</v>
      </c>
      <c r="H179" s="52">
        <v>178</v>
      </c>
      <c r="I179" s="52">
        <f t="shared" si="9"/>
        <v>4111</v>
      </c>
    </row>
    <row r="180" spans="1:9">
      <c r="A180">
        <v>179</v>
      </c>
      <c r="B180" s="2">
        <v>179</v>
      </c>
      <c r="C180" s="2">
        <f t="shared" si="6"/>
        <v>639</v>
      </c>
      <c r="D180" s="3">
        <v>179</v>
      </c>
      <c r="E180" s="3">
        <f t="shared" si="7"/>
        <v>1797</v>
      </c>
      <c r="F180" s="51">
        <v>179</v>
      </c>
      <c r="G180" s="51">
        <f t="shared" si="8"/>
        <v>2955</v>
      </c>
      <c r="H180" s="52">
        <v>179</v>
      </c>
      <c r="I180" s="52">
        <f t="shared" si="9"/>
        <v>4113</v>
      </c>
    </row>
    <row r="181" spans="1:9">
      <c r="A181">
        <v>180</v>
      </c>
      <c r="B181" s="2">
        <v>180</v>
      </c>
      <c r="C181" s="2">
        <f t="shared" si="6"/>
        <v>640</v>
      </c>
      <c r="D181" s="3">
        <v>180</v>
      </c>
      <c r="E181" s="3">
        <f t="shared" si="7"/>
        <v>1798</v>
      </c>
      <c r="F181" s="51">
        <v>180</v>
      </c>
      <c r="G181" s="51">
        <f t="shared" si="8"/>
        <v>2956</v>
      </c>
      <c r="H181" s="52">
        <v>180</v>
      </c>
      <c r="I181" s="52">
        <f t="shared" si="9"/>
        <v>4114</v>
      </c>
    </row>
    <row r="182" spans="1:9">
      <c r="A182">
        <v>181</v>
      </c>
      <c r="B182" s="2">
        <v>181</v>
      </c>
      <c r="C182" s="2">
        <f t="shared" si="6"/>
        <v>641</v>
      </c>
      <c r="D182" s="3">
        <v>181</v>
      </c>
      <c r="E182" s="3">
        <f t="shared" si="7"/>
        <v>1799</v>
      </c>
      <c r="F182" s="51">
        <v>181</v>
      </c>
      <c r="G182" s="51">
        <f t="shared" si="8"/>
        <v>2957</v>
      </c>
      <c r="H182" s="52">
        <v>181</v>
      </c>
      <c r="I182" s="52">
        <f t="shared" si="9"/>
        <v>4115</v>
      </c>
    </row>
    <row r="183" spans="1:9">
      <c r="A183">
        <v>182</v>
      </c>
      <c r="B183" s="2">
        <v>182</v>
      </c>
      <c r="C183" s="2">
        <f t="shared" si="6"/>
        <v>643</v>
      </c>
      <c r="D183" s="3">
        <v>182</v>
      </c>
      <c r="E183" s="3">
        <f t="shared" si="7"/>
        <v>1801</v>
      </c>
      <c r="F183" s="51">
        <v>182</v>
      </c>
      <c r="G183" s="51">
        <f t="shared" si="8"/>
        <v>2959</v>
      </c>
      <c r="H183" s="52">
        <v>182</v>
      </c>
      <c r="I183" s="52">
        <f t="shared" si="9"/>
        <v>4117</v>
      </c>
    </row>
    <row r="184" spans="1:9">
      <c r="A184">
        <v>183</v>
      </c>
      <c r="B184" s="2">
        <v>183</v>
      </c>
      <c r="C184" s="2">
        <f t="shared" si="6"/>
        <v>644</v>
      </c>
      <c r="D184" s="3">
        <v>183</v>
      </c>
      <c r="E184" s="3">
        <f t="shared" si="7"/>
        <v>1802</v>
      </c>
      <c r="F184" s="51">
        <v>183</v>
      </c>
      <c r="G184" s="51">
        <f t="shared" si="8"/>
        <v>2960</v>
      </c>
      <c r="H184" s="52">
        <v>183</v>
      </c>
      <c r="I184" s="52">
        <f t="shared" si="9"/>
        <v>4118</v>
      </c>
    </row>
    <row r="185" spans="1:9">
      <c r="A185">
        <v>184</v>
      </c>
      <c r="B185" s="2">
        <v>184</v>
      </c>
      <c r="C185" s="2">
        <f t="shared" si="6"/>
        <v>645</v>
      </c>
      <c r="D185" s="3">
        <v>184</v>
      </c>
      <c r="E185" s="3">
        <f t="shared" si="7"/>
        <v>1803</v>
      </c>
      <c r="F185" s="51">
        <v>184</v>
      </c>
      <c r="G185" s="51">
        <f t="shared" si="8"/>
        <v>2961</v>
      </c>
      <c r="H185" s="52">
        <v>184</v>
      </c>
      <c r="I185" s="52">
        <f t="shared" si="9"/>
        <v>4119</v>
      </c>
    </row>
    <row r="186" spans="1:9">
      <c r="A186">
        <v>185</v>
      </c>
      <c r="B186" s="2">
        <v>185</v>
      </c>
      <c r="C186" s="2">
        <f t="shared" si="6"/>
        <v>647</v>
      </c>
      <c r="D186" s="3">
        <v>185</v>
      </c>
      <c r="E186" s="3">
        <f t="shared" si="7"/>
        <v>1805</v>
      </c>
      <c r="F186" s="51">
        <v>185</v>
      </c>
      <c r="G186" s="51">
        <f t="shared" si="8"/>
        <v>2963</v>
      </c>
      <c r="H186" s="52">
        <v>185</v>
      </c>
      <c r="I186" s="52">
        <f t="shared" si="9"/>
        <v>4121</v>
      </c>
    </row>
    <row r="187" spans="1:9">
      <c r="A187">
        <v>186</v>
      </c>
      <c r="B187" s="2">
        <v>186</v>
      </c>
      <c r="C187" s="2">
        <f t="shared" si="6"/>
        <v>648</v>
      </c>
      <c r="D187" s="3">
        <v>186</v>
      </c>
      <c r="E187" s="3">
        <f t="shared" si="7"/>
        <v>1806</v>
      </c>
      <c r="F187" s="51">
        <v>186</v>
      </c>
      <c r="G187" s="51">
        <f t="shared" si="8"/>
        <v>2964</v>
      </c>
      <c r="H187" s="52">
        <v>186</v>
      </c>
      <c r="I187" s="52">
        <f t="shared" si="9"/>
        <v>4122</v>
      </c>
    </row>
    <row r="188" spans="1:9">
      <c r="A188">
        <v>187</v>
      </c>
      <c r="B188" s="2">
        <v>187</v>
      </c>
      <c r="C188" s="2">
        <f t="shared" ref="C188:C251" si="10">INT((B188-B$122)*1.3333333)+C$122</f>
        <v>649</v>
      </c>
      <c r="D188" s="3">
        <v>187</v>
      </c>
      <c r="E188" s="3">
        <f t="shared" si="7"/>
        <v>1807</v>
      </c>
      <c r="F188" s="51">
        <v>187</v>
      </c>
      <c r="G188" s="51">
        <f t="shared" si="8"/>
        <v>2965</v>
      </c>
      <c r="H188" s="52">
        <v>187</v>
      </c>
      <c r="I188" s="52">
        <f t="shared" si="9"/>
        <v>4123</v>
      </c>
    </row>
    <row r="189" spans="1:9">
      <c r="A189">
        <v>188</v>
      </c>
      <c r="B189" s="2">
        <v>188</v>
      </c>
      <c r="C189" s="2">
        <f t="shared" si="10"/>
        <v>651</v>
      </c>
      <c r="D189" s="3">
        <v>188</v>
      </c>
      <c r="E189" s="3">
        <f t="shared" si="7"/>
        <v>1809</v>
      </c>
      <c r="F189" s="51">
        <v>188</v>
      </c>
      <c r="G189" s="51">
        <f t="shared" si="8"/>
        <v>2967</v>
      </c>
      <c r="H189" s="52">
        <v>188</v>
      </c>
      <c r="I189" s="52">
        <f t="shared" si="9"/>
        <v>4125</v>
      </c>
    </row>
    <row r="190" spans="1:9">
      <c r="A190">
        <v>189</v>
      </c>
      <c r="B190" s="2">
        <v>189</v>
      </c>
      <c r="C190" s="2">
        <f t="shared" si="10"/>
        <v>652</v>
      </c>
      <c r="D190" s="3">
        <v>189</v>
      </c>
      <c r="E190" s="3">
        <f t="shared" si="7"/>
        <v>1810</v>
      </c>
      <c r="F190" s="51">
        <v>189</v>
      </c>
      <c r="G190" s="51">
        <f t="shared" si="8"/>
        <v>2968</v>
      </c>
      <c r="H190" s="52">
        <v>189</v>
      </c>
      <c r="I190" s="52">
        <f t="shared" si="9"/>
        <v>4126</v>
      </c>
    </row>
    <row r="191" spans="1:9">
      <c r="A191">
        <v>190</v>
      </c>
      <c r="B191" s="2">
        <v>190</v>
      </c>
      <c r="C191" s="2">
        <f t="shared" si="10"/>
        <v>653</v>
      </c>
      <c r="D191" s="3">
        <v>190</v>
      </c>
      <c r="E191" s="3">
        <f t="shared" si="7"/>
        <v>1811</v>
      </c>
      <c r="F191" s="51">
        <v>190</v>
      </c>
      <c r="G191" s="51">
        <f t="shared" si="8"/>
        <v>2969</v>
      </c>
      <c r="H191" s="52">
        <v>190</v>
      </c>
      <c r="I191" s="52">
        <f t="shared" si="9"/>
        <v>4127</v>
      </c>
    </row>
    <row r="192" spans="1:9">
      <c r="A192">
        <v>191</v>
      </c>
      <c r="B192" s="2">
        <v>191</v>
      </c>
      <c r="C192" s="2">
        <f t="shared" si="10"/>
        <v>655</v>
      </c>
      <c r="D192" s="3">
        <v>191</v>
      </c>
      <c r="E192" s="3">
        <f t="shared" si="7"/>
        <v>1813</v>
      </c>
      <c r="F192" s="51">
        <v>191</v>
      </c>
      <c r="G192" s="51">
        <f t="shared" si="8"/>
        <v>2971</v>
      </c>
      <c r="H192" s="52">
        <v>191</v>
      </c>
      <c r="I192" s="52">
        <f t="shared" si="9"/>
        <v>4129</v>
      </c>
    </row>
    <row r="193" spans="1:9">
      <c r="A193">
        <v>192</v>
      </c>
      <c r="B193" s="2">
        <v>192</v>
      </c>
      <c r="C193" s="2">
        <f t="shared" si="10"/>
        <v>656</v>
      </c>
      <c r="D193" s="3">
        <v>192</v>
      </c>
      <c r="E193" s="3">
        <f t="shared" si="7"/>
        <v>1814</v>
      </c>
      <c r="F193" s="51">
        <v>192</v>
      </c>
      <c r="G193" s="51">
        <f t="shared" si="8"/>
        <v>2972</v>
      </c>
      <c r="H193" s="52">
        <v>192</v>
      </c>
      <c r="I193" s="52">
        <f t="shared" si="9"/>
        <v>4130</v>
      </c>
    </row>
    <row r="194" spans="1:9">
      <c r="A194">
        <v>193</v>
      </c>
      <c r="B194" s="2">
        <v>193</v>
      </c>
      <c r="C194" s="2">
        <f t="shared" si="10"/>
        <v>657</v>
      </c>
      <c r="D194" s="3">
        <v>193</v>
      </c>
      <c r="E194" s="3">
        <f t="shared" si="7"/>
        <v>1815</v>
      </c>
      <c r="F194" s="51">
        <v>193</v>
      </c>
      <c r="G194" s="51">
        <f t="shared" si="8"/>
        <v>2973</v>
      </c>
      <c r="H194" s="52">
        <v>193</v>
      </c>
      <c r="I194" s="52">
        <f t="shared" si="9"/>
        <v>4131</v>
      </c>
    </row>
    <row r="195" spans="1:9">
      <c r="A195">
        <v>194</v>
      </c>
      <c r="B195" s="2">
        <v>194</v>
      </c>
      <c r="C195" s="2">
        <f t="shared" si="10"/>
        <v>659</v>
      </c>
      <c r="D195" s="3">
        <v>194</v>
      </c>
      <c r="E195" s="3">
        <f t="shared" si="7"/>
        <v>1817</v>
      </c>
      <c r="F195" s="51">
        <v>194</v>
      </c>
      <c r="G195" s="51">
        <f t="shared" si="8"/>
        <v>2975</v>
      </c>
      <c r="H195" s="52">
        <v>194</v>
      </c>
      <c r="I195" s="52">
        <f t="shared" si="9"/>
        <v>4133</v>
      </c>
    </row>
    <row r="196" spans="1:9">
      <c r="A196">
        <v>195</v>
      </c>
      <c r="B196" s="2">
        <v>195</v>
      </c>
      <c r="C196" s="2">
        <f t="shared" si="10"/>
        <v>660</v>
      </c>
      <c r="D196" s="3">
        <v>195</v>
      </c>
      <c r="E196" s="3">
        <f t="shared" ref="E196:E259" si="11">INT((D196-D$2)*1.3333333)+E$2</f>
        <v>1818</v>
      </c>
      <c r="F196" s="51">
        <v>195</v>
      </c>
      <c r="G196" s="51">
        <f t="shared" ref="G196:G259" si="12">INT((F196-F$2)*1.3333333)+G$2</f>
        <v>2976</v>
      </c>
      <c r="H196" s="52">
        <v>195</v>
      </c>
      <c r="I196" s="52">
        <f t="shared" ref="I196:I259" si="13">INT((H196-H$2)*1.3333333)+I$2</f>
        <v>4134</v>
      </c>
    </row>
    <row r="197" spans="1:9">
      <c r="A197">
        <v>196</v>
      </c>
      <c r="B197" s="2">
        <v>196</v>
      </c>
      <c r="C197" s="2">
        <f t="shared" si="10"/>
        <v>661</v>
      </c>
      <c r="D197" s="3">
        <v>196</v>
      </c>
      <c r="E197" s="3">
        <f t="shared" si="11"/>
        <v>1819</v>
      </c>
      <c r="F197" s="51">
        <v>196</v>
      </c>
      <c r="G197" s="51">
        <f t="shared" si="12"/>
        <v>2977</v>
      </c>
      <c r="H197" s="52">
        <v>196</v>
      </c>
      <c r="I197" s="52">
        <f t="shared" si="13"/>
        <v>4135</v>
      </c>
    </row>
    <row r="198" spans="1:9">
      <c r="A198">
        <v>197</v>
      </c>
      <c r="B198" s="2">
        <v>197</v>
      </c>
      <c r="C198" s="2">
        <f t="shared" si="10"/>
        <v>663</v>
      </c>
      <c r="D198" s="3">
        <v>197</v>
      </c>
      <c r="E198" s="3">
        <f t="shared" si="11"/>
        <v>1821</v>
      </c>
      <c r="F198" s="51">
        <v>197</v>
      </c>
      <c r="G198" s="51">
        <f t="shared" si="12"/>
        <v>2979</v>
      </c>
      <c r="H198" s="52">
        <v>197</v>
      </c>
      <c r="I198" s="52">
        <f t="shared" si="13"/>
        <v>4137</v>
      </c>
    </row>
    <row r="199" spans="1:9">
      <c r="A199">
        <v>198</v>
      </c>
      <c r="B199" s="2">
        <v>198</v>
      </c>
      <c r="C199" s="2">
        <f t="shared" si="10"/>
        <v>664</v>
      </c>
      <c r="D199" s="3">
        <v>198</v>
      </c>
      <c r="E199" s="3">
        <f t="shared" si="11"/>
        <v>1822</v>
      </c>
      <c r="F199" s="51">
        <v>198</v>
      </c>
      <c r="G199" s="51">
        <f t="shared" si="12"/>
        <v>2980</v>
      </c>
      <c r="H199" s="52">
        <v>198</v>
      </c>
      <c r="I199" s="52">
        <f t="shared" si="13"/>
        <v>4138</v>
      </c>
    </row>
    <row r="200" spans="1:9">
      <c r="A200">
        <v>199</v>
      </c>
      <c r="B200" s="2">
        <v>199</v>
      </c>
      <c r="C200" s="2">
        <f t="shared" si="10"/>
        <v>665</v>
      </c>
      <c r="D200" s="3">
        <v>199</v>
      </c>
      <c r="E200" s="3">
        <f t="shared" si="11"/>
        <v>1823</v>
      </c>
      <c r="F200" s="51">
        <v>199</v>
      </c>
      <c r="G200" s="51">
        <f t="shared" si="12"/>
        <v>2981</v>
      </c>
      <c r="H200" s="52">
        <v>199</v>
      </c>
      <c r="I200" s="52">
        <f t="shared" si="13"/>
        <v>4139</v>
      </c>
    </row>
    <row r="201" spans="1:9">
      <c r="A201">
        <v>200</v>
      </c>
      <c r="B201" s="2">
        <v>200</v>
      </c>
      <c r="C201" s="2">
        <f t="shared" si="10"/>
        <v>667</v>
      </c>
      <c r="D201" s="3">
        <v>200</v>
      </c>
      <c r="E201" s="3">
        <f t="shared" si="11"/>
        <v>1825</v>
      </c>
      <c r="F201" s="51">
        <v>200</v>
      </c>
      <c r="G201" s="51">
        <f t="shared" si="12"/>
        <v>2983</v>
      </c>
      <c r="H201" s="52">
        <v>200</v>
      </c>
      <c r="I201" s="52">
        <f t="shared" si="13"/>
        <v>4141</v>
      </c>
    </row>
    <row r="202" spans="1:9">
      <c r="A202">
        <v>201</v>
      </c>
      <c r="B202" s="2">
        <v>201</v>
      </c>
      <c r="C202" s="2">
        <f t="shared" si="10"/>
        <v>668</v>
      </c>
      <c r="D202" s="3">
        <v>201</v>
      </c>
      <c r="E202" s="3">
        <f t="shared" si="11"/>
        <v>1826</v>
      </c>
      <c r="F202" s="51">
        <v>201</v>
      </c>
      <c r="G202" s="51">
        <f t="shared" si="12"/>
        <v>2984</v>
      </c>
      <c r="H202" s="52">
        <v>201</v>
      </c>
      <c r="I202" s="52">
        <f t="shared" si="13"/>
        <v>4142</v>
      </c>
    </row>
    <row r="203" spans="1:9">
      <c r="A203">
        <v>202</v>
      </c>
      <c r="B203" s="2">
        <v>202</v>
      </c>
      <c r="C203" s="2">
        <f t="shared" si="10"/>
        <v>669</v>
      </c>
      <c r="D203" s="3">
        <v>202</v>
      </c>
      <c r="E203" s="3">
        <f t="shared" si="11"/>
        <v>1827</v>
      </c>
      <c r="F203" s="51">
        <v>202</v>
      </c>
      <c r="G203" s="51">
        <f t="shared" si="12"/>
        <v>2985</v>
      </c>
      <c r="H203" s="52">
        <v>202</v>
      </c>
      <c r="I203" s="52">
        <f t="shared" si="13"/>
        <v>4143</v>
      </c>
    </row>
    <row r="204" spans="1:9">
      <c r="A204">
        <v>203</v>
      </c>
      <c r="B204" s="2">
        <v>203</v>
      </c>
      <c r="C204" s="2">
        <f t="shared" si="10"/>
        <v>671</v>
      </c>
      <c r="D204" s="3">
        <v>203</v>
      </c>
      <c r="E204" s="3">
        <f t="shared" si="11"/>
        <v>1829</v>
      </c>
      <c r="F204" s="51">
        <v>203</v>
      </c>
      <c r="G204" s="51">
        <f t="shared" si="12"/>
        <v>2987</v>
      </c>
      <c r="H204" s="52">
        <v>203</v>
      </c>
      <c r="I204" s="52">
        <f t="shared" si="13"/>
        <v>4145</v>
      </c>
    </row>
    <row r="205" spans="1:9">
      <c r="A205">
        <v>204</v>
      </c>
      <c r="B205" s="2">
        <v>204</v>
      </c>
      <c r="C205" s="2">
        <f t="shared" si="10"/>
        <v>672</v>
      </c>
      <c r="D205" s="3">
        <v>204</v>
      </c>
      <c r="E205" s="3">
        <f t="shared" si="11"/>
        <v>1830</v>
      </c>
      <c r="F205" s="51">
        <v>204</v>
      </c>
      <c r="G205" s="51">
        <f t="shared" si="12"/>
        <v>2988</v>
      </c>
      <c r="H205" s="52">
        <v>204</v>
      </c>
      <c r="I205" s="52">
        <f t="shared" si="13"/>
        <v>4146</v>
      </c>
    </row>
    <row r="206" spans="1:9">
      <c r="A206">
        <v>205</v>
      </c>
      <c r="B206" s="2">
        <v>205</v>
      </c>
      <c r="C206" s="2">
        <f t="shared" si="10"/>
        <v>673</v>
      </c>
      <c r="D206" s="3">
        <v>205</v>
      </c>
      <c r="E206" s="3">
        <f t="shared" si="11"/>
        <v>1831</v>
      </c>
      <c r="F206" s="51">
        <v>205</v>
      </c>
      <c r="G206" s="51">
        <f t="shared" si="12"/>
        <v>2989</v>
      </c>
      <c r="H206" s="52">
        <v>205</v>
      </c>
      <c r="I206" s="52">
        <f t="shared" si="13"/>
        <v>4147</v>
      </c>
    </row>
    <row r="207" spans="1:9">
      <c r="A207">
        <v>206</v>
      </c>
      <c r="B207" s="2">
        <v>206</v>
      </c>
      <c r="C207" s="2">
        <f t="shared" si="10"/>
        <v>675</v>
      </c>
      <c r="D207" s="3">
        <v>206</v>
      </c>
      <c r="E207" s="3">
        <f t="shared" si="11"/>
        <v>1833</v>
      </c>
      <c r="F207" s="51">
        <v>206</v>
      </c>
      <c r="G207" s="51">
        <f t="shared" si="12"/>
        <v>2991</v>
      </c>
      <c r="H207" s="52">
        <v>206</v>
      </c>
      <c r="I207" s="52">
        <f t="shared" si="13"/>
        <v>4149</v>
      </c>
    </row>
    <row r="208" spans="1:9">
      <c r="A208">
        <v>207</v>
      </c>
      <c r="B208" s="2">
        <v>207</v>
      </c>
      <c r="C208" s="2">
        <f t="shared" si="10"/>
        <v>676</v>
      </c>
      <c r="D208" s="3">
        <v>207</v>
      </c>
      <c r="E208" s="3">
        <f t="shared" si="11"/>
        <v>1834</v>
      </c>
      <c r="F208" s="51">
        <v>207</v>
      </c>
      <c r="G208" s="51">
        <f t="shared" si="12"/>
        <v>2992</v>
      </c>
      <c r="H208" s="52">
        <v>207</v>
      </c>
      <c r="I208" s="52">
        <f t="shared" si="13"/>
        <v>4150</v>
      </c>
    </row>
    <row r="209" spans="1:9">
      <c r="A209">
        <v>208</v>
      </c>
      <c r="B209" s="2">
        <v>208</v>
      </c>
      <c r="C209" s="2">
        <f t="shared" si="10"/>
        <v>677</v>
      </c>
      <c r="D209" s="3">
        <v>208</v>
      </c>
      <c r="E209" s="3">
        <f t="shared" si="11"/>
        <v>1835</v>
      </c>
      <c r="F209" s="51">
        <v>208</v>
      </c>
      <c r="G209" s="51">
        <f t="shared" si="12"/>
        <v>2993</v>
      </c>
      <c r="H209" s="52">
        <v>208</v>
      </c>
      <c r="I209" s="52">
        <f t="shared" si="13"/>
        <v>4151</v>
      </c>
    </row>
    <row r="210" spans="1:9">
      <c r="A210">
        <v>209</v>
      </c>
      <c r="B210" s="2">
        <v>209</v>
      </c>
      <c r="C210" s="2">
        <f t="shared" si="10"/>
        <v>679</v>
      </c>
      <c r="D210" s="3">
        <v>209</v>
      </c>
      <c r="E210" s="3">
        <f t="shared" si="11"/>
        <v>1837</v>
      </c>
      <c r="F210" s="51">
        <v>209</v>
      </c>
      <c r="G210" s="51">
        <f t="shared" si="12"/>
        <v>2995</v>
      </c>
      <c r="H210" s="52">
        <v>209</v>
      </c>
      <c r="I210" s="52">
        <f t="shared" si="13"/>
        <v>4153</v>
      </c>
    </row>
    <row r="211" spans="1:9">
      <c r="A211">
        <v>210</v>
      </c>
      <c r="B211" s="2">
        <v>210</v>
      </c>
      <c r="C211" s="2">
        <f t="shared" si="10"/>
        <v>680</v>
      </c>
      <c r="D211" s="3">
        <v>210</v>
      </c>
      <c r="E211" s="3">
        <f t="shared" si="11"/>
        <v>1838</v>
      </c>
      <c r="F211" s="51">
        <v>210</v>
      </c>
      <c r="G211" s="51">
        <f t="shared" si="12"/>
        <v>2996</v>
      </c>
      <c r="H211" s="52">
        <v>210</v>
      </c>
      <c r="I211" s="52">
        <f t="shared" si="13"/>
        <v>4154</v>
      </c>
    </row>
    <row r="212" spans="1:9">
      <c r="A212">
        <v>211</v>
      </c>
      <c r="B212" s="2">
        <v>211</v>
      </c>
      <c r="C212" s="2">
        <f t="shared" si="10"/>
        <v>681</v>
      </c>
      <c r="D212" s="3">
        <v>211</v>
      </c>
      <c r="E212" s="3">
        <f t="shared" si="11"/>
        <v>1839</v>
      </c>
      <c r="F212" s="51">
        <v>211</v>
      </c>
      <c r="G212" s="51">
        <f t="shared" si="12"/>
        <v>2997</v>
      </c>
      <c r="H212" s="52">
        <v>211</v>
      </c>
      <c r="I212" s="52">
        <f t="shared" si="13"/>
        <v>4155</v>
      </c>
    </row>
    <row r="213" spans="1:9">
      <c r="A213">
        <v>212</v>
      </c>
      <c r="B213" s="2">
        <v>212</v>
      </c>
      <c r="C213" s="2">
        <f t="shared" si="10"/>
        <v>683</v>
      </c>
      <c r="D213" s="3">
        <v>212</v>
      </c>
      <c r="E213" s="3">
        <f t="shared" si="11"/>
        <v>1841</v>
      </c>
      <c r="F213" s="51">
        <v>212</v>
      </c>
      <c r="G213" s="51">
        <f t="shared" si="12"/>
        <v>2999</v>
      </c>
      <c r="H213" s="52">
        <v>212</v>
      </c>
      <c r="I213" s="52">
        <f t="shared" si="13"/>
        <v>4157</v>
      </c>
    </row>
    <row r="214" spans="1:9">
      <c r="A214">
        <v>213</v>
      </c>
      <c r="B214" s="2">
        <v>213</v>
      </c>
      <c r="C214" s="2">
        <f t="shared" si="10"/>
        <v>684</v>
      </c>
      <c r="D214" s="3">
        <v>213</v>
      </c>
      <c r="E214" s="3">
        <f t="shared" si="11"/>
        <v>1842</v>
      </c>
      <c r="F214" s="51">
        <v>213</v>
      </c>
      <c r="G214" s="51">
        <f t="shared" si="12"/>
        <v>3000</v>
      </c>
      <c r="H214" s="52">
        <v>213</v>
      </c>
      <c r="I214" s="52">
        <f t="shared" si="13"/>
        <v>4158</v>
      </c>
    </row>
    <row r="215" spans="1:9">
      <c r="A215">
        <v>214</v>
      </c>
      <c r="B215" s="2">
        <v>214</v>
      </c>
      <c r="C215" s="2">
        <f t="shared" si="10"/>
        <v>685</v>
      </c>
      <c r="D215" s="3">
        <v>214</v>
      </c>
      <c r="E215" s="3">
        <f t="shared" si="11"/>
        <v>1843</v>
      </c>
      <c r="F215" s="51">
        <v>214</v>
      </c>
      <c r="G215" s="51">
        <f t="shared" si="12"/>
        <v>3001</v>
      </c>
      <c r="H215" s="52">
        <v>214</v>
      </c>
      <c r="I215" s="52">
        <f t="shared" si="13"/>
        <v>4159</v>
      </c>
    </row>
    <row r="216" spans="1:9">
      <c r="A216">
        <v>215</v>
      </c>
      <c r="B216" s="2">
        <v>215</v>
      </c>
      <c r="C216" s="2">
        <f t="shared" si="10"/>
        <v>687</v>
      </c>
      <c r="D216" s="3">
        <v>215</v>
      </c>
      <c r="E216" s="3">
        <f t="shared" si="11"/>
        <v>1845</v>
      </c>
      <c r="F216" s="51">
        <v>215</v>
      </c>
      <c r="G216" s="51">
        <f t="shared" si="12"/>
        <v>3003</v>
      </c>
      <c r="H216" s="52">
        <v>215</v>
      </c>
      <c r="I216" s="52">
        <f t="shared" si="13"/>
        <v>4161</v>
      </c>
    </row>
    <row r="217" spans="1:9">
      <c r="A217">
        <v>216</v>
      </c>
      <c r="B217" s="2">
        <v>216</v>
      </c>
      <c r="C217" s="2">
        <f t="shared" si="10"/>
        <v>688</v>
      </c>
      <c r="D217" s="3">
        <v>216</v>
      </c>
      <c r="E217" s="3">
        <f t="shared" si="11"/>
        <v>1846</v>
      </c>
      <c r="F217" s="51">
        <v>216</v>
      </c>
      <c r="G217" s="51">
        <f t="shared" si="12"/>
        <v>3004</v>
      </c>
      <c r="H217" s="52">
        <v>216</v>
      </c>
      <c r="I217" s="52">
        <f t="shared" si="13"/>
        <v>4162</v>
      </c>
    </row>
    <row r="218" spans="1:9">
      <c r="A218">
        <v>217</v>
      </c>
      <c r="B218" s="2">
        <v>217</v>
      </c>
      <c r="C218" s="2">
        <f t="shared" si="10"/>
        <v>689</v>
      </c>
      <c r="D218" s="3">
        <v>217</v>
      </c>
      <c r="E218" s="3">
        <f t="shared" si="11"/>
        <v>1847</v>
      </c>
      <c r="F218" s="51">
        <v>217</v>
      </c>
      <c r="G218" s="51">
        <f t="shared" si="12"/>
        <v>3005</v>
      </c>
      <c r="H218" s="52">
        <v>217</v>
      </c>
      <c r="I218" s="52">
        <f t="shared" si="13"/>
        <v>4163</v>
      </c>
    </row>
    <row r="219" spans="1:9">
      <c r="A219">
        <v>218</v>
      </c>
      <c r="B219" s="2">
        <v>218</v>
      </c>
      <c r="C219" s="2">
        <f t="shared" si="10"/>
        <v>691</v>
      </c>
      <c r="D219" s="3">
        <v>218</v>
      </c>
      <c r="E219" s="3">
        <f t="shared" si="11"/>
        <v>1849</v>
      </c>
      <c r="F219" s="51">
        <v>218</v>
      </c>
      <c r="G219" s="51">
        <f t="shared" si="12"/>
        <v>3007</v>
      </c>
      <c r="H219" s="52">
        <v>218</v>
      </c>
      <c r="I219" s="52">
        <f t="shared" si="13"/>
        <v>4165</v>
      </c>
    </row>
    <row r="220" spans="1:9">
      <c r="A220">
        <v>219</v>
      </c>
      <c r="B220" s="2">
        <v>219</v>
      </c>
      <c r="C220" s="2">
        <f t="shared" si="10"/>
        <v>692</v>
      </c>
      <c r="D220" s="3">
        <v>219</v>
      </c>
      <c r="E220" s="3">
        <f t="shared" si="11"/>
        <v>1850</v>
      </c>
      <c r="F220" s="51">
        <v>219</v>
      </c>
      <c r="G220" s="51">
        <f t="shared" si="12"/>
        <v>3008</v>
      </c>
      <c r="H220" s="52">
        <v>219</v>
      </c>
      <c r="I220" s="52">
        <f t="shared" si="13"/>
        <v>4166</v>
      </c>
    </row>
    <row r="221" spans="1:9">
      <c r="A221">
        <v>220</v>
      </c>
      <c r="B221" s="2">
        <v>220</v>
      </c>
      <c r="C221" s="2">
        <f t="shared" si="10"/>
        <v>693</v>
      </c>
      <c r="D221" s="3">
        <v>220</v>
      </c>
      <c r="E221" s="3">
        <f t="shared" si="11"/>
        <v>1851</v>
      </c>
      <c r="F221" s="51">
        <v>220</v>
      </c>
      <c r="G221" s="51">
        <f t="shared" si="12"/>
        <v>3009</v>
      </c>
      <c r="H221" s="52">
        <v>220</v>
      </c>
      <c r="I221" s="52">
        <f t="shared" si="13"/>
        <v>4167</v>
      </c>
    </row>
    <row r="222" spans="1:9">
      <c r="A222">
        <v>221</v>
      </c>
      <c r="B222" s="2">
        <v>221</v>
      </c>
      <c r="C222" s="2">
        <f t="shared" si="10"/>
        <v>695</v>
      </c>
      <c r="D222" s="3">
        <v>221</v>
      </c>
      <c r="E222" s="3">
        <f t="shared" si="11"/>
        <v>1853</v>
      </c>
      <c r="F222" s="51">
        <v>221</v>
      </c>
      <c r="G222" s="51">
        <f t="shared" si="12"/>
        <v>3011</v>
      </c>
      <c r="H222" s="52">
        <v>221</v>
      </c>
      <c r="I222" s="52">
        <f t="shared" si="13"/>
        <v>4169</v>
      </c>
    </row>
    <row r="223" spans="1:9">
      <c r="A223">
        <v>222</v>
      </c>
      <c r="B223" s="2">
        <v>222</v>
      </c>
      <c r="C223" s="2">
        <f t="shared" si="10"/>
        <v>696</v>
      </c>
      <c r="D223" s="3">
        <v>222</v>
      </c>
      <c r="E223" s="3">
        <f t="shared" si="11"/>
        <v>1854</v>
      </c>
      <c r="F223" s="51">
        <v>222</v>
      </c>
      <c r="G223" s="51">
        <f t="shared" si="12"/>
        <v>3012</v>
      </c>
      <c r="H223" s="52">
        <v>222</v>
      </c>
      <c r="I223" s="52">
        <f t="shared" si="13"/>
        <v>4170</v>
      </c>
    </row>
    <row r="224" spans="1:9">
      <c r="A224">
        <v>223</v>
      </c>
      <c r="B224" s="2">
        <v>223</v>
      </c>
      <c r="C224" s="2">
        <f t="shared" si="10"/>
        <v>697</v>
      </c>
      <c r="D224" s="3">
        <v>223</v>
      </c>
      <c r="E224" s="3">
        <f t="shared" si="11"/>
        <v>1855</v>
      </c>
      <c r="F224" s="51">
        <v>223</v>
      </c>
      <c r="G224" s="51">
        <f t="shared" si="12"/>
        <v>3013</v>
      </c>
      <c r="H224" s="52">
        <v>223</v>
      </c>
      <c r="I224" s="52">
        <f t="shared" si="13"/>
        <v>4171</v>
      </c>
    </row>
    <row r="225" spans="1:9">
      <c r="A225">
        <v>224</v>
      </c>
      <c r="B225" s="2">
        <v>224</v>
      </c>
      <c r="C225" s="2">
        <f t="shared" si="10"/>
        <v>699</v>
      </c>
      <c r="D225" s="3">
        <v>224</v>
      </c>
      <c r="E225" s="3">
        <f t="shared" si="11"/>
        <v>1857</v>
      </c>
      <c r="F225" s="51">
        <v>224</v>
      </c>
      <c r="G225" s="51">
        <f t="shared" si="12"/>
        <v>3015</v>
      </c>
      <c r="H225" s="52">
        <v>224</v>
      </c>
      <c r="I225" s="52">
        <f t="shared" si="13"/>
        <v>4173</v>
      </c>
    </row>
    <row r="226" spans="1:9">
      <c r="A226">
        <v>225</v>
      </c>
      <c r="B226" s="2">
        <v>225</v>
      </c>
      <c r="C226" s="2">
        <f t="shared" si="10"/>
        <v>700</v>
      </c>
      <c r="D226" s="3">
        <v>225</v>
      </c>
      <c r="E226" s="3">
        <f t="shared" si="11"/>
        <v>1858</v>
      </c>
      <c r="F226" s="51">
        <v>225</v>
      </c>
      <c r="G226" s="51">
        <f t="shared" si="12"/>
        <v>3016</v>
      </c>
      <c r="H226" s="52">
        <v>225</v>
      </c>
      <c r="I226" s="52">
        <f t="shared" si="13"/>
        <v>4174</v>
      </c>
    </row>
    <row r="227" spans="1:9">
      <c r="A227">
        <v>226</v>
      </c>
      <c r="B227" s="2">
        <v>226</v>
      </c>
      <c r="C227" s="2">
        <f t="shared" si="10"/>
        <v>701</v>
      </c>
      <c r="D227" s="3">
        <v>226</v>
      </c>
      <c r="E227" s="3">
        <f t="shared" si="11"/>
        <v>1859</v>
      </c>
      <c r="F227" s="51">
        <v>226</v>
      </c>
      <c r="G227" s="51">
        <f t="shared" si="12"/>
        <v>3017</v>
      </c>
      <c r="H227" s="52">
        <v>226</v>
      </c>
      <c r="I227" s="52">
        <f t="shared" si="13"/>
        <v>4175</v>
      </c>
    </row>
    <row r="228" spans="1:9">
      <c r="A228">
        <v>227</v>
      </c>
      <c r="B228" s="2">
        <v>227</v>
      </c>
      <c r="C228" s="2">
        <f t="shared" si="10"/>
        <v>703</v>
      </c>
      <c r="D228" s="3">
        <v>227</v>
      </c>
      <c r="E228" s="3">
        <f t="shared" si="11"/>
        <v>1861</v>
      </c>
      <c r="F228" s="51">
        <v>227</v>
      </c>
      <c r="G228" s="51">
        <f t="shared" si="12"/>
        <v>3019</v>
      </c>
      <c r="H228" s="52">
        <v>227</v>
      </c>
      <c r="I228" s="52">
        <f t="shared" si="13"/>
        <v>4177</v>
      </c>
    </row>
    <row r="229" spans="1:9">
      <c r="A229">
        <v>228</v>
      </c>
      <c r="B229" s="2">
        <v>228</v>
      </c>
      <c r="C229" s="2">
        <f t="shared" si="10"/>
        <v>704</v>
      </c>
      <c r="D229" s="3">
        <v>228</v>
      </c>
      <c r="E229" s="3">
        <f t="shared" si="11"/>
        <v>1862</v>
      </c>
      <c r="F229" s="51">
        <v>228</v>
      </c>
      <c r="G229" s="51">
        <f t="shared" si="12"/>
        <v>3020</v>
      </c>
      <c r="H229" s="52">
        <v>228</v>
      </c>
      <c r="I229" s="52">
        <f t="shared" si="13"/>
        <v>4178</v>
      </c>
    </row>
    <row r="230" spans="1:9">
      <c r="A230">
        <v>229</v>
      </c>
      <c r="B230" s="2">
        <v>229</v>
      </c>
      <c r="C230" s="2">
        <f t="shared" si="10"/>
        <v>705</v>
      </c>
      <c r="D230" s="3">
        <v>229</v>
      </c>
      <c r="E230" s="3">
        <f t="shared" si="11"/>
        <v>1863</v>
      </c>
      <c r="F230" s="51">
        <v>229</v>
      </c>
      <c r="G230" s="51">
        <f t="shared" si="12"/>
        <v>3021</v>
      </c>
      <c r="H230" s="52">
        <v>229</v>
      </c>
      <c r="I230" s="52">
        <f t="shared" si="13"/>
        <v>4179</v>
      </c>
    </row>
    <row r="231" spans="1:9">
      <c r="A231">
        <v>230</v>
      </c>
      <c r="B231" s="2">
        <v>230</v>
      </c>
      <c r="C231" s="2">
        <f t="shared" si="10"/>
        <v>707</v>
      </c>
      <c r="D231" s="3">
        <v>230</v>
      </c>
      <c r="E231" s="3">
        <f t="shared" si="11"/>
        <v>1865</v>
      </c>
      <c r="F231" s="51">
        <v>230</v>
      </c>
      <c r="G231" s="51">
        <f t="shared" si="12"/>
        <v>3023</v>
      </c>
      <c r="H231" s="52">
        <v>230</v>
      </c>
      <c r="I231" s="52">
        <f t="shared" si="13"/>
        <v>4181</v>
      </c>
    </row>
    <row r="232" spans="1:9">
      <c r="A232">
        <v>231</v>
      </c>
      <c r="B232" s="2">
        <v>231</v>
      </c>
      <c r="C232" s="2">
        <f t="shared" si="10"/>
        <v>708</v>
      </c>
      <c r="D232" s="3">
        <v>231</v>
      </c>
      <c r="E232" s="3">
        <f t="shared" si="11"/>
        <v>1866</v>
      </c>
      <c r="F232" s="51">
        <v>231</v>
      </c>
      <c r="G232" s="51">
        <f t="shared" si="12"/>
        <v>3024</v>
      </c>
      <c r="H232" s="52">
        <v>231</v>
      </c>
      <c r="I232" s="52">
        <f t="shared" si="13"/>
        <v>4182</v>
      </c>
    </row>
    <row r="233" spans="1:9">
      <c r="A233">
        <v>232</v>
      </c>
      <c r="B233" s="2">
        <v>232</v>
      </c>
      <c r="C233" s="2">
        <f t="shared" si="10"/>
        <v>709</v>
      </c>
      <c r="D233" s="3">
        <v>232</v>
      </c>
      <c r="E233" s="3">
        <f t="shared" si="11"/>
        <v>1867</v>
      </c>
      <c r="F233" s="51">
        <v>232</v>
      </c>
      <c r="G233" s="51">
        <f t="shared" si="12"/>
        <v>3025</v>
      </c>
      <c r="H233" s="52">
        <v>232</v>
      </c>
      <c r="I233" s="52">
        <f t="shared" si="13"/>
        <v>4183</v>
      </c>
    </row>
    <row r="234" spans="1:9">
      <c r="A234">
        <v>233</v>
      </c>
      <c r="B234" s="2">
        <v>233</v>
      </c>
      <c r="C234" s="2">
        <f t="shared" si="10"/>
        <v>711</v>
      </c>
      <c r="D234" s="3">
        <v>233</v>
      </c>
      <c r="E234" s="3">
        <f t="shared" si="11"/>
        <v>1869</v>
      </c>
      <c r="F234" s="51">
        <v>233</v>
      </c>
      <c r="G234" s="51">
        <f t="shared" si="12"/>
        <v>3027</v>
      </c>
      <c r="H234" s="52">
        <v>233</v>
      </c>
      <c r="I234" s="52">
        <f t="shared" si="13"/>
        <v>4185</v>
      </c>
    </row>
    <row r="235" spans="1:9">
      <c r="A235">
        <v>234</v>
      </c>
      <c r="B235" s="2">
        <v>234</v>
      </c>
      <c r="C235" s="2">
        <f t="shared" si="10"/>
        <v>712</v>
      </c>
      <c r="D235" s="3">
        <v>234</v>
      </c>
      <c r="E235" s="3">
        <f t="shared" si="11"/>
        <v>1870</v>
      </c>
      <c r="F235" s="51">
        <v>234</v>
      </c>
      <c r="G235" s="51">
        <f t="shared" si="12"/>
        <v>3028</v>
      </c>
      <c r="H235" s="52">
        <v>234</v>
      </c>
      <c r="I235" s="52">
        <f t="shared" si="13"/>
        <v>4186</v>
      </c>
    </row>
    <row r="236" spans="1:9">
      <c r="A236">
        <v>235</v>
      </c>
      <c r="B236" s="2">
        <v>235</v>
      </c>
      <c r="C236" s="2">
        <f t="shared" si="10"/>
        <v>713</v>
      </c>
      <c r="D236" s="3">
        <v>235</v>
      </c>
      <c r="E236" s="3">
        <f t="shared" si="11"/>
        <v>1871</v>
      </c>
      <c r="F236" s="51">
        <v>235</v>
      </c>
      <c r="G236" s="51">
        <f t="shared" si="12"/>
        <v>3029</v>
      </c>
      <c r="H236" s="52">
        <v>235</v>
      </c>
      <c r="I236" s="52">
        <f t="shared" si="13"/>
        <v>4187</v>
      </c>
    </row>
    <row r="237" spans="1:9">
      <c r="A237">
        <v>236</v>
      </c>
      <c r="B237" s="2">
        <v>236</v>
      </c>
      <c r="C237" s="2">
        <f t="shared" si="10"/>
        <v>715</v>
      </c>
      <c r="D237" s="3">
        <v>236</v>
      </c>
      <c r="E237" s="3">
        <f t="shared" si="11"/>
        <v>1873</v>
      </c>
      <c r="F237" s="51">
        <v>236</v>
      </c>
      <c r="G237" s="51">
        <f t="shared" si="12"/>
        <v>3031</v>
      </c>
      <c r="H237" s="52">
        <v>236</v>
      </c>
      <c r="I237" s="52">
        <f t="shared" si="13"/>
        <v>4189</v>
      </c>
    </row>
    <row r="238" spans="1:9">
      <c r="A238">
        <v>237</v>
      </c>
      <c r="B238" s="2">
        <v>237</v>
      </c>
      <c r="C238" s="2">
        <f t="shared" si="10"/>
        <v>716</v>
      </c>
      <c r="D238" s="3">
        <v>237</v>
      </c>
      <c r="E238" s="3">
        <f t="shared" si="11"/>
        <v>1874</v>
      </c>
      <c r="F238" s="51">
        <v>237</v>
      </c>
      <c r="G238" s="51">
        <f t="shared" si="12"/>
        <v>3032</v>
      </c>
      <c r="H238" s="52">
        <v>237</v>
      </c>
      <c r="I238" s="52">
        <f t="shared" si="13"/>
        <v>4190</v>
      </c>
    </row>
    <row r="239" spans="1:9">
      <c r="A239">
        <v>238</v>
      </c>
      <c r="B239" s="2">
        <v>238</v>
      </c>
      <c r="C239" s="2">
        <f t="shared" si="10"/>
        <v>717</v>
      </c>
      <c r="D239" s="3">
        <v>238</v>
      </c>
      <c r="E239" s="3">
        <f t="shared" si="11"/>
        <v>1875</v>
      </c>
      <c r="F239" s="51">
        <v>238</v>
      </c>
      <c r="G239" s="51">
        <f t="shared" si="12"/>
        <v>3033</v>
      </c>
      <c r="H239" s="52">
        <v>238</v>
      </c>
      <c r="I239" s="52">
        <f t="shared" si="13"/>
        <v>4191</v>
      </c>
    </row>
    <row r="240" spans="1:9">
      <c r="A240">
        <v>239</v>
      </c>
      <c r="B240" s="2">
        <v>239</v>
      </c>
      <c r="C240" s="2">
        <f t="shared" si="10"/>
        <v>719</v>
      </c>
      <c r="D240" s="3">
        <v>239</v>
      </c>
      <c r="E240" s="3">
        <f t="shared" si="11"/>
        <v>1877</v>
      </c>
      <c r="F240" s="51">
        <v>239</v>
      </c>
      <c r="G240" s="51">
        <f t="shared" si="12"/>
        <v>3035</v>
      </c>
      <c r="H240" s="52">
        <v>239</v>
      </c>
      <c r="I240" s="52">
        <f t="shared" si="13"/>
        <v>4193</v>
      </c>
    </row>
    <row r="241" spans="1:9">
      <c r="A241">
        <v>240</v>
      </c>
      <c r="B241" s="2">
        <v>240</v>
      </c>
      <c r="C241" s="2">
        <f t="shared" si="10"/>
        <v>720</v>
      </c>
      <c r="D241" s="3">
        <v>240</v>
      </c>
      <c r="E241" s="3">
        <f t="shared" si="11"/>
        <v>1878</v>
      </c>
      <c r="F241" s="51">
        <v>240</v>
      </c>
      <c r="G241" s="51">
        <f t="shared" si="12"/>
        <v>3036</v>
      </c>
      <c r="H241" s="52">
        <v>240</v>
      </c>
      <c r="I241" s="52">
        <f t="shared" si="13"/>
        <v>4194</v>
      </c>
    </row>
    <row r="242" spans="1:9">
      <c r="A242">
        <v>241</v>
      </c>
      <c r="B242" s="2">
        <v>241</v>
      </c>
      <c r="C242" s="2">
        <f t="shared" si="10"/>
        <v>721</v>
      </c>
      <c r="D242" s="3">
        <v>241</v>
      </c>
      <c r="E242" s="3">
        <f t="shared" si="11"/>
        <v>1879</v>
      </c>
      <c r="F242" s="51">
        <v>241</v>
      </c>
      <c r="G242" s="51">
        <f t="shared" si="12"/>
        <v>3037</v>
      </c>
      <c r="H242" s="52">
        <v>241</v>
      </c>
      <c r="I242" s="52">
        <f t="shared" si="13"/>
        <v>4195</v>
      </c>
    </row>
    <row r="243" spans="1:9">
      <c r="A243">
        <v>242</v>
      </c>
      <c r="B243" s="2">
        <v>242</v>
      </c>
      <c r="C243" s="2">
        <f t="shared" si="10"/>
        <v>723</v>
      </c>
      <c r="D243" s="3">
        <v>242</v>
      </c>
      <c r="E243" s="3">
        <f t="shared" si="11"/>
        <v>1881</v>
      </c>
      <c r="F243" s="51">
        <v>242</v>
      </c>
      <c r="G243" s="51">
        <f t="shared" si="12"/>
        <v>3039</v>
      </c>
      <c r="H243" s="52">
        <v>242</v>
      </c>
      <c r="I243" s="52">
        <f t="shared" si="13"/>
        <v>4197</v>
      </c>
    </row>
    <row r="244" spans="1:9">
      <c r="A244">
        <v>243</v>
      </c>
      <c r="B244" s="2">
        <v>243</v>
      </c>
      <c r="C244" s="2">
        <f t="shared" si="10"/>
        <v>724</v>
      </c>
      <c r="D244" s="3">
        <v>243</v>
      </c>
      <c r="E244" s="3">
        <f t="shared" si="11"/>
        <v>1882</v>
      </c>
      <c r="F244" s="51">
        <v>243</v>
      </c>
      <c r="G244" s="51">
        <f t="shared" si="12"/>
        <v>3040</v>
      </c>
      <c r="H244" s="52">
        <v>243</v>
      </c>
      <c r="I244" s="52">
        <f t="shared" si="13"/>
        <v>4198</v>
      </c>
    </row>
    <row r="245" spans="1:9">
      <c r="A245">
        <v>244</v>
      </c>
      <c r="B245" s="2">
        <v>244</v>
      </c>
      <c r="C245" s="2">
        <f t="shared" si="10"/>
        <v>725</v>
      </c>
      <c r="D245" s="3">
        <v>244</v>
      </c>
      <c r="E245" s="3">
        <f t="shared" si="11"/>
        <v>1883</v>
      </c>
      <c r="F245" s="51">
        <v>244</v>
      </c>
      <c r="G245" s="51">
        <f t="shared" si="12"/>
        <v>3041</v>
      </c>
      <c r="H245" s="52">
        <v>244</v>
      </c>
      <c r="I245" s="52">
        <f t="shared" si="13"/>
        <v>4199</v>
      </c>
    </row>
    <row r="246" spans="1:9">
      <c r="A246">
        <v>245</v>
      </c>
      <c r="B246" s="2">
        <v>245</v>
      </c>
      <c r="C246" s="2">
        <f t="shared" si="10"/>
        <v>727</v>
      </c>
      <c r="D246" s="3">
        <v>245</v>
      </c>
      <c r="E246" s="3">
        <f t="shared" si="11"/>
        <v>1885</v>
      </c>
      <c r="F246" s="51">
        <v>245</v>
      </c>
      <c r="G246" s="51">
        <f t="shared" si="12"/>
        <v>3043</v>
      </c>
      <c r="H246" s="52">
        <v>245</v>
      </c>
      <c r="I246" s="52">
        <f t="shared" si="13"/>
        <v>4201</v>
      </c>
    </row>
    <row r="247" spans="1:9">
      <c r="A247">
        <v>246</v>
      </c>
      <c r="B247" s="2">
        <v>246</v>
      </c>
      <c r="C247" s="2">
        <f t="shared" si="10"/>
        <v>728</v>
      </c>
      <c r="D247" s="3">
        <v>246</v>
      </c>
      <c r="E247" s="3">
        <f t="shared" si="11"/>
        <v>1886</v>
      </c>
      <c r="F247" s="51">
        <v>246</v>
      </c>
      <c r="G247" s="51">
        <f t="shared" si="12"/>
        <v>3044</v>
      </c>
      <c r="H247" s="52">
        <v>246</v>
      </c>
      <c r="I247" s="52">
        <f t="shared" si="13"/>
        <v>4202</v>
      </c>
    </row>
    <row r="248" spans="1:9">
      <c r="A248">
        <v>247</v>
      </c>
      <c r="B248" s="2">
        <v>247</v>
      </c>
      <c r="C248" s="2">
        <f t="shared" si="10"/>
        <v>729</v>
      </c>
      <c r="D248" s="3">
        <v>247</v>
      </c>
      <c r="E248" s="3">
        <f t="shared" si="11"/>
        <v>1887</v>
      </c>
      <c r="F248" s="51">
        <v>247</v>
      </c>
      <c r="G248" s="51">
        <f t="shared" si="12"/>
        <v>3045</v>
      </c>
      <c r="H248" s="52">
        <v>247</v>
      </c>
      <c r="I248" s="52">
        <f t="shared" si="13"/>
        <v>4203</v>
      </c>
    </row>
    <row r="249" spans="1:9">
      <c r="A249">
        <v>248</v>
      </c>
      <c r="B249" s="2">
        <v>248</v>
      </c>
      <c r="C249" s="2">
        <f t="shared" si="10"/>
        <v>731</v>
      </c>
      <c r="D249" s="3">
        <v>248</v>
      </c>
      <c r="E249" s="3">
        <f t="shared" si="11"/>
        <v>1889</v>
      </c>
      <c r="F249" s="51">
        <v>248</v>
      </c>
      <c r="G249" s="51">
        <f t="shared" si="12"/>
        <v>3047</v>
      </c>
      <c r="H249" s="52">
        <v>248</v>
      </c>
      <c r="I249" s="52">
        <f t="shared" si="13"/>
        <v>4205</v>
      </c>
    </row>
    <row r="250" spans="1:9">
      <c r="A250">
        <v>249</v>
      </c>
      <c r="B250" s="2">
        <v>249</v>
      </c>
      <c r="C250" s="2">
        <f t="shared" si="10"/>
        <v>732</v>
      </c>
      <c r="D250" s="3">
        <v>249</v>
      </c>
      <c r="E250" s="3">
        <f t="shared" si="11"/>
        <v>1890</v>
      </c>
      <c r="F250" s="51">
        <v>249</v>
      </c>
      <c r="G250" s="51">
        <f t="shared" si="12"/>
        <v>3048</v>
      </c>
      <c r="H250" s="52">
        <v>249</v>
      </c>
      <c r="I250" s="52">
        <f t="shared" si="13"/>
        <v>4206</v>
      </c>
    </row>
    <row r="251" spans="1:9">
      <c r="A251">
        <v>250</v>
      </c>
      <c r="B251" s="2">
        <v>250</v>
      </c>
      <c r="C251" s="2">
        <f t="shared" si="10"/>
        <v>733</v>
      </c>
      <c r="D251" s="3">
        <v>250</v>
      </c>
      <c r="E251" s="3">
        <f t="shared" si="11"/>
        <v>1891</v>
      </c>
      <c r="F251" s="51">
        <v>250</v>
      </c>
      <c r="G251" s="51">
        <f t="shared" si="12"/>
        <v>3049</v>
      </c>
      <c r="H251" s="52">
        <v>250</v>
      </c>
      <c r="I251" s="52">
        <f t="shared" si="13"/>
        <v>4207</v>
      </c>
    </row>
    <row r="252" spans="1:9">
      <c r="A252">
        <v>251</v>
      </c>
      <c r="B252" s="2">
        <v>251</v>
      </c>
      <c r="C252" s="2">
        <f t="shared" ref="C252:C315" si="14">INT((B252-B$122)*1.3333333)+C$122</f>
        <v>735</v>
      </c>
      <c r="D252" s="3">
        <v>251</v>
      </c>
      <c r="E252" s="3">
        <f t="shared" si="11"/>
        <v>1893</v>
      </c>
      <c r="F252" s="51">
        <v>251</v>
      </c>
      <c r="G252" s="51">
        <f t="shared" si="12"/>
        <v>3051</v>
      </c>
      <c r="H252" s="52">
        <v>251</v>
      </c>
      <c r="I252" s="52">
        <f t="shared" si="13"/>
        <v>4209</v>
      </c>
    </row>
    <row r="253" spans="1:9">
      <c r="A253">
        <v>252</v>
      </c>
      <c r="B253" s="2">
        <v>252</v>
      </c>
      <c r="C253" s="2">
        <f t="shared" si="14"/>
        <v>736</v>
      </c>
      <c r="D253" s="3">
        <v>252</v>
      </c>
      <c r="E253" s="3">
        <f t="shared" si="11"/>
        <v>1894</v>
      </c>
      <c r="F253" s="51">
        <v>252</v>
      </c>
      <c r="G253" s="51">
        <f t="shared" si="12"/>
        <v>3052</v>
      </c>
      <c r="H253" s="52">
        <v>252</v>
      </c>
      <c r="I253" s="52">
        <f t="shared" si="13"/>
        <v>4210</v>
      </c>
    </row>
    <row r="254" spans="1:9">
      <c r="A254">
        <v>253</v>
      </c>
      <c r="B254" s="2">
        <v>253</v>
      </c>
      <c r="C254" s="2">
        <f t="shared" si="14"/>
        <v>737</v>
      </c>
      <c r="D254" s="3">
        <v>253</v>
      </c>
      <c r="E254" s="3">
        <f t="shared" si="11"/>
        <v>1895</v>
      </c>
      <c r="F254" s="51">
        <v>253</v>
      </c>
      <c r="G254" s="51">
        <f t="shared" si="12"/>
        <v>3053</v>
      </c>
      <c r="H254" s="52">
        <v>253</v>
      </c>
      <c r="I254" s="52">
        <f t="shared" si="13"/>
        <v>4211</v>
      </c>
    </row>
    <row r="255" spans="1:9">
      <c r="A255">
        <v>254</v>
      </c>
      <c r="B255" s="2">
        <v>254</v>
      </c>
      <c r="C255" s="2">
        <f t="shared" si="14"/>
        <v>739</v>
      </c>
      <c r="D255" s="3">
        <v>254</v>
      </c>
      <c r="E255" s="3">
        <f t="shared" si="11"/>
        <v>1897</v>
      </c>
      <c r="F255" s="51">
        <v>254</v>
      </c>
      <c r="G255" s="51">
        <f t="shared" si="12"/>
        <v>3055</v>
      </c>
      <c r="H255" s="52">
        <v>254</v>
      </c>
      <c r="I255" s="52">
        <f t="shared" si="13"/>
        <v>4213</v>
      </c>
    </row>
    <row r="256" spans="1:9">
      <c r="A256">
        <v>255</v>
      </c>
      <c r="B256" s="2">
        <v>255</v>
      </c>
      <c r="C256" s="2">
        <f t="shared" si="14"/>
        <v>740</v>
      </c>
      <c r="D256" s="3">
        <v>255</v>
      </c>
      <c r="E256" s="3">
        <f t="shared" si="11"/>
        <v>1898</v>
      </c>
      <c r="F256" s="51">
        <v>255</v>
      </c>
      <c r="G256" s="51">
        <f t="shared" si="12"/>
        <v>3056</v>
      </c>
      <c r="H256" s="52">
        <v>255</v>
      </c>
      <c r="I256" s="52">
        <f t="shared" si="13"/>
        <v>4214</v>
      </c>
    </row>
    <row r="257" spans="1:9">
      <c r="A257">
        <v>256</v>
      </c>
      <c r="B257" s="2">
        <v>256</v>
      </c>
      <c r="C257" s="2">
        <f t="shared" si="14"/>
        <v>741</v>
      </c>
      <c r="D257" s="3">
        <v>256</v>
      </c>
      <c r="E257" s="3">
        <f t="shared" si="11"/>
        <v>1899</v>
      </c>
      <c r="F257" s="51">
        <v>256</v>
      </c>
      <c r="G257" s="51">
        <f t="shared" si="12"/>
        <v>3057</v>
      </c>
      <c r="H257" s="52">
        <v>256</v>
      </c>
      <c r="I257" s="52">
        <f t="shared" si="13"/>
        <v>4215</v>
      </c>
    </row>
    <row r="258" spans="1:9">
      <c r="A258">
        <v>257</v>
      </c>
      <c r="B258" s="2">
        <v>257</v>
      </c>
      <c r="C258" s="2">
        <f t="shared" si="14"/>
        <v>743</v>
      </c>
      <c r="D258" s="3">
        <v>257</v>
      </c>
      <c r="E258" s="3">
        <f t="shared" si="11"/>
        <v>1901</v>
      </c>
      <c r="F258" s="51">
        <v>257</v>
      </c>
      <c r="G258" s="51">
        <f t="shared" si="12"/>
        <v>3059</v>
      </c>
      <c r="H258" s="52">
        <v>257</v>
      </c>
      <c r="I258" s="52">
        <f t="shared" si="13"/>
        <v>4217</v>
      </c>
    </row>
    <row r="259" spans="1:9">
      <c r="A259">
        <v>258</v>
      </c>
      <c r="B259" s="2">
        <v>258</v>
      </c>
      <c r="C259" s="2">
        <f t="shared" si="14"/>
        <v>744</v>
      </c>
      <c r="D259" s="3">
        <v>258</v>
      </c>
      <c r="E259" s="3">
        <f t="shared" si="11"/>
        <v>1902</v>
      </c>
      <c r="F259" s="51">
        <v>258</v>
      </c>
      <c r="G259" s="51">
        <f t="shared" si="12"/>
        <v>3060</v>
      </c>
      <c r="H259" s="52">
        <v>258</v>
      </c>
      <c r="I259" s="52">
        <f t="shared" si="13"/>
        <v>4218</v>
      </c>
    </row>
    <row r="260" spans="1:9">
      <c r="A260">
        <v>259</v>
      </c>
      <c r="B260" s="2">
        <v>259</v>
      </c>
      <c r="C260" s="2">
        <f t="shared" si="14"/>
        <v>745</v>
      </c>
      <c r="D260" s="3">
        <v>259</v>
      </c>
      <c r="E260" s="3">
        <f t="shared" ref="E260:E323" si="15">INT((D260-D$2)*1.3333333)+E$2</f>
        <v>1903</v>
      </c>
      <c r="F260" s="51">
        <v>259</v>
      </c>
      <c r="G260" s="51">
        <f t="shared" ref="G260:G323" si="16">INT((F260-F$2)*1.3333333)+G$2</f>
        <v>3061</v>
      </c>
      <c r="H260" s="52">
        <v>259</v>
      </c>
      <c r="I260" s="52">
        <f t="shared" ref="I260:I323" si="17">INT((H260-H$2)*1.3333333)+I$2</f>
        <v>4219</v>
      </c>
    </row>
    <row r="261" spans="1:9">
      <c r="A261">
        <v>260</v>
      </c>
      <c r="B261" s="2">
        <v>260</v>
      </c>
      <c r="C261" s="2">
        <f t="shared" si="14"/>
        <v>747</v>
      </c>
      <c r="D261" s="3">
        <v>260</v>
      </c>
      <c r="E261" s="3">
        <f t="shared" si="15"/>
        <v>1905</v>
      </c>
      <c r="F261" s="51">
        <v>260</v>
      </c>
      <c r="G261" s="51">
        <f t="shared" si="16"/>
        <v>3063</v>
      </c>
      <c r="H261" s="52">
        <v>260</v>
      </c>
      <c r="I261" s="52">
        <f t="shared" si="17"/>
        <v>4221</v>
      </c>
    </row>
    <row r="262" spans="1:9">
      <c r="A262">
        <v>261</v>
      </c>
      <c r="B262" s="2">
        <v>261</v>
      </c>
      <c r="C262" s="2">
        <f t="shared" si="14"/>
        <v>748</v>
      </c>
      <c r="D262" s="3">
        <v>261</v>
      </c>
      <c r="E262" s="3">
        <f t="shared" si="15"/>
        <v>1906</v>
      </c>
      <c r="F262" s="51">
        <v>261</v>
      </c>
      <c r="G262" s="51">
        <f t="shared" si="16"/>
        <v>3064</v>
      </c>
      <c r="H262" s="52">
        <v>261</v>
      </c>
      <c r="I262" s="52">
        <f t="shared" si="17"/>
        <v>4222</v>
      </c>
    </row>
    <row r="263" spans="1:9">
      <c r="A263">
        <v>262</v>
      </c>
      <c r="B263" s="2">
        <v>262</v>
      </c>
      <c r="C263" s="2">
        <f t="shared" si="14"/>
        <v>749</v>
      </c>
      <c r="D263" s="3">
        <v>262</v>
      </c>
      <c r="E263" s="3">
        <f t="shared" si="15"/>
        <v>1907</v>
      </c>
      <c r="F263" s="51">
        <v>262</v>
      </c>
      <c r="G263" s="51">
        <f t="shared" si="16"/>
        <v>3065</v>
      </c>
      <c r="H263" s="52">
        <v>262</v>
      </c>
      <c r="I263" s="52">
        <f t="shared" si="17"/>
        <v>4223</v>
      </c>
    </row>
    <row r="264" spans="1:9">
      <c r="A264">
        <v>263</v>
      </c>
      <c r="B264" s="2">
        <v>263</v>
      </c>
      <c r="C264" s="2">
        <f t="shared" si="14"/>
        <v>751</v>
      </c>
      <c r="D264" s="3">
        <v>263</v>
      </c>
      <c r="E264" s="3">
        <f t="shared" si="15"/>
        <v>1909</v>
      </c>
      <c r="F264" s="51">
        <v>263</v>
      </c>
      <c r="G264" s="51">
        <f t="shared" si="16"/>
        <v>3067</v>
      </c>
      <c r="H264" s="52">
        <v>263</v>
      </c>
      <c r="I264" s="52">
        <f t="shared" si="17"/>
        <v>4225</v>
      </c>
    </row>
    <row r="265" spans="1:9">
      <c r="A265">
        <v>264</v>
      </c>
      <c r="B265" s="2">
        <v>264</v>
      </c>
      <c r="C265" s="2">
        <f t="shared" si="14"/>
        <v>752</v>
      </c>
      <c r="D265" s="3">
        <v>264</v>
      </c>
      <c r="E265" s="3">
        <f t="shared" si="15"/>
        <v>1910</v>
      </c>
      <c r="F265" s="51">
        <v>264</v>
      </c>
      <c r="G265" s="51">
        <f t="shared" si="16"/>
        <v>3068</v>
      </c>
      <c r="H265" s="52">
        <v>264</v>
      </c>
      <c r="I265" s="52">
        <f t="shared" si="17"/>
        <v>4226</v>
      </c>
    </row>
    <row r="266" spans="1:9">
      <c r="A266">
        <v>265</v>
      </c>
      <c r="B266" s="2">
        <v>265</v>
      </c>
      <c r="C266" s="2">
        <f t="shared" si="14"/>
        <v>753</v>
      </c>
      <c r="D266" s="3">
        <v>265</v>
      </c>
      <c r="E266" s="3">
        <f t="shared" si="15"/>
        <v>1911</v>
      </c>
      <c r="F266" s="51">
        <v>265</v>
      </c>
      <c r="G266" s="51">
        <f t="shared" si="16"/>
        <v>3069</v>
      </c>
      <c r="H266" s="52">
        <v>265</v>
      </c>
      <c r="I266" s="52">
        <f t="shared" si="17"/>
        <v>4227</v>
      </c>
    </row>
    <row r="267" spans="1:9">
      <c r="A267">
        <v>266</v>
      </c>
      <c r="B267" s="2">
        <v>266</v>
      </c>
      <c r="C267" s="2">
        <f t="shared" si="14"/>
        <v>755</v>
      </c>
      <c r="D267" s="3">
        <v>266</v>
      </c>
      <c r="E267" s="3">
        <f t="shared" si="15"/>
        <v>1913</v>
      </c>
      <c r="F267" s="51">
        <v>266</v>
      </c>
      <c r="G267" s="51">
        <f t="shared" si="16"/>
        <v>3071</v>
      </c>
      <c r="H267" s="52">
        <v>266</v>
      </c>
      <c r="I267" s="52">
        <f t="shared" si="17"/>
        <v>4229</v>
      </c>
    </row>
    <row r="268" spans="1:9">
      <c r="A268">
        <v>267</v>
      </c>
      <c r="B268" s="2">
        <v>267</v>
      </c>
      <c r="C268" s="2">
        <f t="shared" si="14"/>
        <v>756</v>
      </c>
      <c r="D268" s="3">
        <v>267</v>
      </c>
      <c r="E268" s="3">
        <f t="shared" si="15"/>
        <v>1914</v>
      </c>
      <c r="F268" s="51">
        <v>267</v>
      </c>
      <c r="G268" s="51">
        <f t="shared" si="16"/>
        <v>3072</v>
      </c>
      <c r="H268" s="52">
        <v>267</v>
      </c>
      <c r="I268" s="52">
        <f t="shared" si="17"/>
        <v>4230</v>
      </c>
    </row>
    <row r="269" spans="1:9">
      <c r="A269">
        <v>268</v>
      </c>
      <c r="B269" s="2">
        <v>268</v>
      </c>
      <c r="C269" s="2">
        <f t="shared" si="14"/>
        <v>757</v>
      </c>
      <c r="D269" s="3">
        <v>268</v>
      </c>
      <c r="E269" s="3">
        <f t="shared" si="15"/>
        <v>1915</v>
      </c>
      <c r="F269" s="51">
        <v>268</v>
      </c>
      <c r="G269" s="51">
        <f t="shared" si="16"/>
        <v>3073</v>
      </c>
      <c r="H269" s="52">
        <v>268</v>
      </c>
      <c r="I269" s="52">
        <f t="shared" si="17"/>
        <v>4231</v>
      </c>
    </row>
    <row r="270" spans="1:9">
      <c r="A270">
        <v>269</v>
      </c>
      <c r="B270" s="2">
        <v>269</v>
      </c>
      <c r="C270" s="2">
        <f t="shared" si="14"/>
        <v>759</v>
      </c>
      <c r="D270" s="3">
        <v>269</v>
      </c>
      <c r="E270" s="3">
        <f t="shared" si="15"/>
        <v>1917</v>
      </c>
      <c r="F270" s="51">
        <v>269</v>
      </c>
      <c r="G270" s="51">
        <f t="shared" si="16"/>
        <v>3075</v>
      </c>
      <c r="H270" s="52">
        <v>269</v>
      </c>
      <c r="I270" s="52">
        <f t="shared" si="17"/>
        <v>4233</v>
      </c>
    </row>
    <row r="271" spans="1:9">
      <c r="A271">
        <v>270</v>
      </c>
      <c r="B271" s="2">
        <v>270</v>
      </c>
      <c r="C271" s="2">
        <f t="shared" si="14"/>
        <v>760</v>
      </c>
      <c r="D271" s="3">
        <v>270</v>
      </c>
      <c r="E271" s="3">
        <f t="shared" si="15"/>
        <v>1918</v>
      </c>
      <c r="F271" s="51">
        <v>270</v>
      </c>
      <c r="G271" s="51">
        <f t="shared" si="16"/>
        <v>3076</v>
      </c>
      <c r="H271" s="52">
        <v>270</v>
      </c>
      <c r="I271" s="52">
        <f t="shared" si="17"/>
        <v>4234</v>
      </c>
    </row>
    <row r="272" spans="1:9">
      <c r="A272">
        <v>271</v>
      </c>
      <c r="B272" s="2">
        <v>271</v>
      </c>
      <c r="C272" s="2">
        <f t="shared" si="14"/>
        <v>761</v>
      </c>
      <c r="D272" s="3">
        <v>271</v>
      </c>
      <c r="E272" s="3">
        <f t="shared" si="15"/>
        <v>1919</v>
      </c>
      <c r="F272" s="51">
        <v>271</v>
      </c>
      <c r="G272" s="51">
        <f t="shared" si="16"/>
        <v>3077</v>
      </c>
      <c r="H272" s="52">
        <v>271</v>
      </c>
      <c r="I272" s="52">
        <f t="shared" si="17"/>
        <v>4235</v>
      </c>
    </row>
    <row r="273" spans="1:9">
      <c r="A273">
        <v>272</v>
      </c>
      <c r="B273" s="2">
        <v>272</v>
      </c>
      <c r="C273" s="2">
        <f t="shared" si="14"/>
        <v>763</v>
      </c>
      <c r="D273" s="3">
        <v>272</v>
      </c>
      <c r="E273" s="3">
        <f t="shared" si="15"/>
        <v>1921</v>
      </c>
      <c r="F273" s="51">
        <v>272</v>
      </c>
      <c r="G273" s="51">
        <f t="shared" si="16"/>
        <v>3079</v>
      </c>
      <c r="H273" s="52">
        <v>272</v>
      </c>
      <c r="I273" s="52">
        <f t="shared" si="17"/>
        <v>4237</v>
      </c>
    </row>
    <row r="274" spans="1:9">
      <c r="A274">
        <v>273</v>
      </c>
      <c r="B274" s="2">
        <v>273</v>
      </c>
      <c r="C274" s="2">
        <f t="shared" si="14"/>
        <v>764</v>
      </c>
      <c r="D274" s="3">
        <v>273</v>
      </c>
      <c r="E274" s="3">
        <f t="shared" si="15"/>
        <v>1922</v>
      </c>
      <c r="F274" s="51">
        <v>273</v>
      </c>
      <c r="G274" s="51">
        <f t="shared" si="16"/>
        <v>3080</v>
      </c>
      <c r="H274" s="52">
        <v>273</v>
      </c>
      <c r="I274" s="52">
        <f t="shared" si="17"/>
        <v>4238</v>
      </c>
    </row>
    <row r="275" spans="1:9">
      <c r="A275">
        <v>274</v>
      </c>
      <c r="B275" s="2">
        <v>274</v>
      </c>
      <c r="C275" s="2">
        <f t="shared" si="14"/>
        <v>765</v>
      </c>
      <c r="D275" s="3">
        <v>274</v>
      </c>
      <c r="E275" s="3">
        <f t="shared" si="15"/>
        <v>1923</v>
      </c>
      <c r="F275" s="51">
        <v>274</v>
      </c>
      <c r="G275" s="51">
        <f t="shared" si="16"/>
        <v>3081</v>
      </c>
      <c r="H275" s="52">
        <v>274</v>
      </c>
      <c r="I275" s="52">
        <f t="shared" si="17"/>
        <v>4239</v>
      </c>
    </row>
    <row r="276" spans="1:9">
      <c r="A276">
        <v>275</v>
      </c>
      <c r="B276" s="2">
        <v>275</v>
      </c>
      <c r="C276" s="2">
        <f t="shared" si="14"/>
        <v>767</v>
      </c>
      <c r="D276" s="3">
        <v>275</v>
      </c>
      <c r="E276" s="3">
        <f t="shared" si="15"/>
        <v>1925</v>
      </c>
      <c r="F276" s="51">
        <v>275</v>
      </c>
      <c r="G276" s="51">
        <f t="shared" si="16"/>
        <v>3083</v>
      </c>
      <c r="H276" s="52">
        <v>275</v>
      </c>
      <c r="I276" s="52">
        <f t="shared" si="17"/>
        <v>4241</v>
      </c>
    </row>
    <row r="277" spans="1:9">
      <c r="A277">
        <v>276</v>
      </c>
      <c r="B277" s="2">
        <v>276</v>
      </c>
      <c r="C277" s="2">
        <f t="shared" si="14"/>
        <v>768</v>
      </c>
      <c r="D277" s="3">
        <v>276</v>
      </c>
      <c r="E277" s="3">
        <f t="shared" si="15"/>
        <v>1926</v>
      </c>
      <c r="F277" s="51">
        <v>276</v>
      </c>
      <c r="G277" s="51">
        <f t="shared" si="16"/>
        <v>3084</v>
      </c>
      <c r="H277" s="52">
        <v>276</v>
      </c>
      <c r="I277" s="52">
        <f t="shared" si="17"/>
        <v>4242</v>
      </c>
    </row>
    <row r="278" spans="1:9">
      <c r="A278">
        <v>277</v>
      </c>
      <c r="B278" s="2">
        <v>277</v>
      </c>
      <c r="C278" s="2">
        <f t="shared" si="14"/>
        <v>769</v>
      </c>
      <c r="D278" s="3">
        <v>277</v>
      </c>
      <c r="E278" s="3">
        <f t="shared" si="15"/>
        <v>1927</v>
      </c>
      <c r="F278" s="51">
        <v>277</v>
      </c>
      <c r="G278" s="51">
        <f t="shared" si="16"/>
        <v>3085</v>
      </c>
      <c r="H278" s="52">
        <v>277</v>
      </c>
      <c r="I278" s="52">
        <f t="shared" si="17"/>
        <v>4243</v>
      </c>
    </row>
    <row r="279" spans="1:9">
      <c r="A279">
        <v>278</v>
      </c>
      <c r="B279" s="2">
        <v>278</v>
      </c>
      <c r="C279" s="2">
        <f t="shared" si="14"/>
        <v>771</v>
      </c>
      <c r="D279" s="3">
        <v>278</v>
      </c>
      <c r="E279" s="3">
        <f t="shared" si="15"/>
        <v>1929</v>
      </c>
      <c r="F279" s="51">
        <v>278</v>
      </c>
      <c r="G279" s="51">
        <f t="shared" si="16"/>
        <v>3087</v>
      </c>
      <c r="H279" s="52">
        <v>278</v>
      </c>
      <c r="I279" s="52">
        <f t="shared" si="17"/>
        <v>4245</v>
      </c>
    </row>
    <row r="280" spans="1:9">
      <c r="A280">
        <v>279</v>
      </c>
      <c r="B280" s="2">
        <v>279</v>
      </c>
      <c r="C280" s="2">
        <f t="shared" si="14"/>
        <v>772</v>
      </c>
      <c r="D280" s="3">
        <v>279</v>
      </c>
      <c r="E280" s="3">
        <f t="shared" si="15"/>
        <v>1930</v>
      </c>
      <c r="F280" s="51">
        <v>279</v>
      </c>
      <c r="G280" s="51">
        <f t="shared" si="16"/>
        <v>3088</v>
      </c>
      <c r="H280" s="52">
        <v>279</v>
      </c>
      <c r="I280" s="52">
        <f t="shared" si="17"/>
        <v>4246</v>
      </c>
    </row>
    <row r="281" spans="1:9">
      <c r="A281">
        <v>280</v>
      </c>
      <c r="B281" s="2">
        <v>280</v>
      </c>
      <c r="C281" s="2">
        <f t="shared" si="14"/>
        <v>773</v>
      </c>
      <c r="D281" s="3">
        <v>280</v>
      </c>
      <c r="E281" s="3">
        <f t="shared" si="15"/>
        <v>1931</v>
      </c>
      <c r="F281" s="51">
        <v>280</v>
      </c>
      <c r="G281" s="51">
        <f t="shared" si="16"/>
        <v>3089</v>
      </c>
      <c r="H281" s="52">
        <v>280</v>
      </c>
      <c r="I281" s="52">
        <f t="shared" si="17"/>
        <v>4247</v>
      </c>
    </row>
    <row r="282" spans="1:9">
      <c r="A282">
        <v>281</v>
      </c>
      <c r="B282" s="2">
        <v>281</v>
      </c>
      <c r="C282" s="2">
        <f t="shared" si="14"/>
        <v>775</v>
      </c>
      <c r="D282" s="3">
        <v>281</v>
      </c>
      <c r="E282" s="3">
        <f t="shared" si="15"/>
        <v>1933</v>
      </c>
      <c r="F282" s="51">
        <v>281</v>
      </c>
      <c r="G282" s="51">
        <f t="shared" si="16"/>
        <v>3091</v>
      </c>
      <c r="H282" s="52">
        <v>281</v>
      </c>
      <c r="I282" s="52">
        <f t="shared" si="17"/>
        <v>4249</v>
      </c>
    </row>
    <row r="283" spans="1:9">
      <c r="A283">
        <v>282</v>
      </c>
      <c r="B283" s="2">
        <v>282</v>
      </c>
      <c r="C283" s="2">
        <f t="shared" si="14"/>
        <v>776</v>
      </c>
      <c r="D283" s="3">
        <v>282</v>
      </c>
      <c r="E283" s="3">
        <f t="shared" si="15"/>
        <v>1934</v>
      </c>
      <c r="F283" s="51">
        <v>282</v>
      </c>
      <c r="G283" s="51">
        <f t="shared" si="16"/>
        <v>3092</v>
      </c>
      <c r="H283" s="52">
        <v>282</v>
      </c>
      <c r="I283" s="52">
        <f t="shared" si="17"/>
        <v>4250</v>
      </c>
    </row>
    <row r="284" spans="1:9">
      <c r="A284">
        <v>283</v>
      </c>
      <c r="B284" s="2">
        <v>283</v>
      </c>
      <c r="C284" s="2">
        <f t="shared" si="14"/>
        <v>777</v>
      </c>
      <c r="D284" s="3">
        <v>283</v>
      </c>
      <c r="E284" s="3">
        <f t="shared" si="15"/>
        <v>1935</v>
      </c>
      <c r="F284" s="51">
        <v>283</v>
      </c>
      <c r="G284" s="51">
        <f t="shared" si="16"/>
        <v>3093</v>
      </c>
      <c r="H284" s="52">
        <v>283</v>
      </c>
      <c r="I284" s="52">
        <f t="shared" si="17"/>
        <v>4251</v>
      </c>
    </row>
    <row r="285" spans="1:9">
      <c r="A285">
        <v>284</v>
      </c>
      <c r="B285" s="2">
        <v>284</v>
      </c>
      <c r="C285" s="2">
        <f t="shared" si="14"/>
        <v>779</v>
      </c>
      <c r="D285" s="3">
        <v>284</v>
      </c>
      <c r="E285" s="3">
        <f t="shared" si="15"/>
        <v>1937</v>
      </c>
      <c r="F285" s="51">
        <v>284</v>
      </c>
      <c r="G285" s="51">
        <f t="shared" si="16"/>
        <v>3095</v>
      </c>
      <c r="H285" s="52">
        <v>284</v>
      </c>
      <c r="I285" s="52">
        <f t="shared" si="17"/>
        <v>4253</v>
      </c>
    </row>
    <row r="286" spans="1:9">
      <c r="A286">
        <v>285</v>
      </c>
      <c r="B286" s="2">
        <v>285</v>
      </c>
      <c r="C286" s="2">
        <f t="shared" si="14"/>
        <v>780</v>
      </c>
      <c r="D286" s="3">
        <v>285</v>
      </c>
      <c r="E286" s="3">
        <f t="shared" si="15"/>
        <v>1938</v>
      </c>
      <c r="F286" s="51">
        <v>285</v>
      </c>
      <c r="G286" s="51">
        <f t="shared" si="16"/>
        <v>3096</v>
      </c>
      <c r="H286" s="52">
        <v>285</v>
      </c>
      <c r="I286" s="52">
        <f t="shared" si="17"/>
        <v>4254</v>
      </c>
    </row>
    <row r="287" spans="1:9">
      <c r="A287">
        <v>286</v>
      </c>
      <c r="B287" s="2">
        <v>286</v>
      </c>
      <c r="C287" s="2">
        <f t="shared" si="14"/>
        <v>781</v>
      </c>
      <c r="D287" s="3">
        <v>286</v>
      </c>
      <c r="E287" s="3">
        <f t="shared" si="15"/>
        <v>1939</v>
      </c>
      <c r="F287" s="51">
        <v>286</v>
      </c>
      <c r="G287" s="51">
        <f t="shared" si="16"/>
        <v>3097</v>
      </c>
      <c r="H287" s="52">
        <v>286</v>
      </c>
      <c r="I287" s="52">
        <f t="shared" si="17"/>
        <v>4255</v>
      </c>
    </row>
    <row r="288" spans="1:9">
      <c r="A288">
        <v>287</v>
      </c>
      <c r="B288" s="2">
        <v>287</v>
      </c>
      <c r="C288" s="2">
        <f t="shared" si="14"/>
        <v>783</v>
      </c>
      <c r="D288" s="3">
        <v>287</v>
      </c>
      <c r="E288" s="3">
        <f t="shared" si="15"/>
        <v>1941</v>
      </c>
      <c r="F288" s="51">
        <v>287</v>
      </c>
      <c r="G288" s="51">
        <f t="shared" si="16"/>
        <v>3099</v>
      </c>
      <c r="H288" s="52">
        <v>287</v>
      </c>
      <c r="I288" s="52">
        <f t="shared" si="17"/>
        <v>4257</v>
      </c>
    </row>
    <row r="289" spans="1:9">
      <c r="A289">
        <v>288</v>
      </c>
      <c r="B289" s="2">
        <v>288</v>
      </c>
      <c r="C289" s="2">
        <f t="shared" si="14"/>
        <v>784</v>
      </c>
      <c r="D289" s="3">
        <v>288</v>
      </c>
      <c r="E289" s="3">
        <f t="shared" si="15"/>
        <v>1942</v>
      </c>
      <c r="F289" s="51">
        <v>288</v>
      </c>
      <c r="G289" s="51">
        <f t="shared" si="16"/>
        <v>3100</v>
      </c>
      <c r="H289" s="52">
        <v>288</v>
      </c>
      <c r="I289" s="52">
        <f t="shared" si="17"/>
        <v>4258</v>
      </c>
    </row>
    <row r="290" spans="1:9">
      <c r="A290">
        <v>289</v>
      </c>
      <c r="B290" s="2">
        <v>289</v>
      </c>
      <c r="C290" s="2">
        <f t="shared" si="14"/>
        <v>785</v>
      </c>
      <c r="D290" s="3">
        <v>289</v>
      </c>
      <c r="E290" s="3">
        <f t="shared" si="15"/>
        <v>1943</v>
      </c>
      <c r="F290" s="51">
        <v>289</v>
      </c>
      <c r="G290" s="51">
        <f t="shared" si="16"/>
        <v>3101</v>
      </c>
      <c r="H290" s="52">
        <v>289</v>
      </c>
      <c r="I290" s="52">
        <f t="shared" si="17"/>
        <v>4259</v>
      </c>
    </row>
    <row r="291" spans="1:9">
      <c r="A291">
        <v>290</v>
      </c>
      <c r="B291" s="2">
        <v>290</v>
      </c>
      <c r="C291" s="2">
        <f t="shared" si="14"/>
        <v>787</v>
      </c>
      <c r="D291" s="3">
        <v>290</v>
      </c>
      <c r="E291" s="3">
        <f t="shared" si="15"/>
        <v>1945</v>
      </c>
      <c r="F291" s="51">
        <v>290</v>
      </c>
      <c r="G291" s="51">
        <f t="shared" si="16"/>
        <v>3103</v>
      </c>
      <c r="H291" s="52">
        <v>290</v>
      </c>
      <c r="I291" s="52">
        <f t="shared" si="17"/>
        <v>4261</v>
      </c>
    </row>
    <row r="292" spans="1:9">
      <c r="A292">
        <v>291</v>
      </c>
      <c r="B292" s="2">
        <v>291</v>
      </c>
      <c r="C292" s="2">
        <f t="shared" si="14"/>
        <v>788</v>
      </c>
      <c r="D292" s="3">
        <v>291</v>
      </c>
      <c r="E292" s="3">
        <f t="shared" si="15"/>
        <v>1946</v>
      </c>
      <c r="F292" s="51">
        <v>291</v>
      </c>
      <c r="G292" s="51">
        <f t="shared" si="16"/>
        <v>3104</v>
      </c>
      <c r="H292" s="52">
        <v>291</v>
      </c>
      <c r="I292" s="52">
        <f t="shared" si="17"/>
        <v>4262</v>
      </c>
    </row>
    <row r="293" spans="1:9">
      <c r="A293">
        <v>292</v>
      </c>
      <c r="B293" s="2">
        <v>292</v>
      </c>
      <c r="C293" s="2">
        <f t="shared" si="14"/>
        <v>789</v>
      </c>
      <c r="D293" s="3">
        <v>292</v>
      </c>
      <c r="E293" s="3">
        <f t="shared" si="15"/>
        <v>1947</v>
      </c>
      <c r="F293" s="51">
        <v>292</v>
      </c>
      <c r="G293" s="51">
        <f t="shared" si="16"/>
        <v>3105</v>
      </c>
      <c r="H293" s="52">
        <v>292</v>
      </c>
      <c r="I293" s="52">
        <f t="shared" si="17"/>
        <v>4263</v>
      </c>
    </row>
    <row r="294" spans="1:9">
      <c r="A294">
        <v>293</v>
      </c>
      <c r="B294" s="2">
        <v>293</v>
      </c>
      <c r="C294" s="2">
        <f t="shared" si="14"/>
        <v>791</v>
      </c>
      <c r="D294" s="3">
        <v>293</v>
      </c>
      <c r="E294" s="3">
        <f t="shared" si="15"/>
        <v>1949</v>
      </c>
      <c r="F294" s="51">
        <v>293</v>
      </c>
      <c r="G294" s="51">
        <f t="shared" si="16"/>
        <v>3107</v>
      </c>
      <c r="H294" s="52">
        <v>293</v>
      </c>
      <c r="I294" s="52">
        <f t="shared" si="17"/>
        <v>4265</v>
      </c>
    </row>
    <row r="295" spans="1:9">
      <c r="A295">
        <v>294</v>
      </c>
      <c r="B295" s="2">
        <v>294</v>
      </c>
      <c r="C295" s="2">
        <f t="shared" si="14"/>
        <v>792</v>
      </c>
      <c r="D295" s="3">
        <v>294</v>
      </c>
      <c r="E295" s="3">
        <f t="shared" si="15"/>
        <v>1950</v>
      </c>
      <c r="F295" s="51">
        <v>294</v>
      </c>
      <c r="G295" s="51">
        <f t="shared" si="16"/>
        <v>3108</v>
      </c>
      <c r="H295" s="52">
        <v>294</v>
      </c>
      <c r="I295" s="52">
        <f t="shared" si="17"/>
        <v>4266</v>
      </c>
    </row>
    <row r="296" spans="1:9">
      <c r="A296">
        <v>295</v>
      </c>
      <c r="B296" s="2">
        <v>295</v>
      </c>
      <c r="C296" s="2">
        <f t="shared" si="14"/>
        <v>793</v>
      </c>
      <c r="D296" s="3">
        <v>295</v>
      </c>
      <c r="E296" s="3">
        <f t="shared" si="15"/>
        <v>1951</v>
      </c>
      <c r="F296" s="51">
        <v>295</v>
      </c>
      <c r="G296" s="51">
        <f t="shared" si="16"/>
        <v>3109</v>
      </c>
      <c r="H296" s="52">
        <v>295</v>
      </c>
      <c r="I296" s="52">
        <f t="shared" si="17"/>
        <v>4267</v>
      </c>
    </row>
    <row r="297" spans="1:9">
      <c r="A297">
        <v>296</v>
      </c>
      <c r="B297" s="2">
        <v>296</v>
      </c>
      <c r="C297" s="2">
        <f t="shared" si="14"/>
        <v>795</v>
      </c>
      <c r="D297" s="3">
        <v>296</v>
      </c>
      <c r="E297" s="3">
        <f t="shared" si="15"/>
        <v>1953</v>
      </c>
      <c r="F297" s="51">
        <v>296</v>
      </c>
      <c r="G297" s="51">
        <f t="shared" si="16"/>
        <v>3111</v>
      </c>
      <c r="H297" s="52">
        <v>296</v>
      </c>
      <c r="I297" s="52">
        <f t="shared" si="17"/>
        <v>4269</v>
      </c>
    </row>
    <row r="298" spans="1:9">
      <c r="A298">
        <v>297</v>
      </c>
      <c r="B298" s="2">
        <v>297</v>
      </c>
      <c r="C298" s="2">
        <f t="shared" si="14"/>
        <v>796</v>
      </c>
      <c r="D298" s="3">
        <v>297</v>
      </c>
      <c r="E298" s="3">
        <f t="shared" si="15"/>
        <v>1954</v>
      </c>
      <c r="F298" s="51">
        <v>297</v>
      </c>
      <c r="G298" s="51">
        <f t="shared" si="16"/>
        <v>3112</v>
      </c>
      <c r="H298" s="52">
        <v>297</v>
      </c>
      <c r="I298" s="52">
        <f t="shared" si="17"/>
        <v>4270</v>
      </c>
    </row>
    <row r="299" spans="1:9">
      <c r="A299">
        <v>298</v>
      </c>
      <c r="B299" s="2">
        <v>298</v>
      </c>
      <c r="C299" s="2">
        <f t="shared" si="14"/>
        <v>797</v>
      </c>
      <c r="D299" s="3">
        <v>298</v>
      </c>
      <c r="E299" s="3">
        <f t="shared" si="15"/>
        <v>1955</v>
      </c>
      <c r="F299" s="51">
        <v>298</v>
      </c>
      <c r="G299" s="51">
        <f t="shared" si="16"/>
        <v>3113</v>
      </c>
      <c r="H299" s="52">
        <v>298</v>
      </c>
      <c r="I299" s="52">
        <f t="shared" si="17"/>
        <v>4271</v>
      </c>
    </row>
    <row r="300" spans="1:9">
      <c r="A300">
        <v>299</v>
      </c>
      <c r="B300" s="2">
        <v>299</v>
      </c>
      <c r="C300" s="2">
        <f t="shared" si="14"/>
        <v>799</v>
      </c>
      <c r="D300" s="3">
        <v>299</v>
      </c>
      <c r="E300" s="3">
        <f t="shared" si="15"/>
        <v>1957</v>
      </c>
      <c r="F300" s="51">
        <v>299</v>
      </c>
      <c r="G300" s="51">
        <f t="shared" si="16"/>
        <v>3115</v>
      </c>
      <c r="H300" s="52">
        <v>299</v>
      </c>
      <c r="I300" s="52">
        <f t="shared" si="17"/>
        <v>4273</v>
      </c>
    </row>
    <row r="301" spans="1:9">
      <c r="A301">
        <v>300</v>
      </c>
      <c r="B301" s="2">
        <v>300</v>
      </c>
      <c r="C301" s="2">
        <f t="shared" si="14"/>
        <v>800</v>
      </c>
      <c r="D301" s="3">
        <v>300</v>
      </c>
      <c r="E301" s="3">
        <f t="shared" si="15"/>
        <v>1958</v>
      </c>
      <c r="F301" s="51">
        <v>300</v>
      </c>
      <c r="G301" s="51">
        <f t="shared" si="16"/>
        <v>3116</v>
      </c>
      <c r="H301" s="52">
        <v>300</v>
      </c>
      <c r="I301" s="52">
        <f t="shared" si="17"/>
        <v>4274</v>
      </c>
    </row>
    <row r="302" spans="1:9">
      <c r="A302">
        <v>301</v>
      </c>
      <c r="B302" s="2">
        <v>301</v>
      </c>
      <c r="C302" s="2">
        <f t="shared" si="14"/>
        <v>801</v>
      </c>
      <c r="D302" s="3">
        <v>301</v>
      </c>
      <c r="E302" s="3">
        <f t="shared" si="15"/>
        <v>1959</v>
      </c>
      <c r="F302" s="51">
        <v>301</v>
      </c>
      <c r="G302" s="51">
        <f t="shared" si="16"/>
        <v>3117</v>
      </c>
      <c r="H302" s="52">
        <v>301</v>
      </c>
      <c r="I302" s="52">
        <f t="shared" si="17"/>
        <v>4275</v>
      </c>
    </row>
    <row r="303" spans="1:9">
      <c r="A303">
        <v>302</v>
      </c>
      <c r="B303" s="2">
        <v>302</v>
      </c>
      <c r="C303" s="2">
        <f t="shared" si="14"/>
        <v>803</v>
      </c>
      <c r="D303" s="3">
        <v>302</v>
      </c>
      <c r="E303" s="3">
        <f t="shared" si="15"/>
        <v>1961</v>
      </c>
      <c r="F303" s="51">
        <v>302</v>
      </c>
      <c r="G303" s="51">
        <f t="shared" si="16"/>
        <v>3119</v>
      </c>
      <c r="H303" s="52">
        <v>302</v>
      </c>
      <c r="I303" s="52">
        <f t="shared" si="17"/>
        <v>4277</v>
      </c>
    </row>
    <row r="304" spans="1:9">
      <c r="A304">
        <v>303</v>
      </c>
      <c r="B304" s="2">
        <v>303</v>
      </c>
      <c r="C304" s="2">
        <f t="shared" si="14"/>
        <v>804</v>
      </c>
      <c r="D304" s="3">
        <v>303</v>
      </c>
      <c r="E304" s="3">
        <f t="shared" si="15"/>
        <v>1962</v>
      </c>
      <c r="F304" s="51">
        <v>303</v>
      </c>
      <c r="G304" s="51">
        <f t="shared" si="16"/>
        <v>3120</v>
      </c>
      <c r="H304" s="52">
        <v>303</v>
      </c>
      <c r="I304" s="52">
        <f t="shared" si="17"/>
        <v>4278</v>
      </c>
    </row>
    <row r="305" spans="1:9">
      <c r="A305">
        <v>304</v>
      </c>
      <c r="B305" s="2">
        <v>304</v>
      </c>
      <c r="C305" s="2">
        <f t="shared" si="14"/>
        <v>805</v>
      </c>
      <c r="D305" s="3">
        <v>304</v>
      </c>
      <c r="E305" s="3">
        <f t="shared" si="15"/>
        <v>1963</v>
      </c>
      <c r="F305" s="51">
        <v>304</v>
      </c>
      <c r="G305" s="51">
        <f t="shared" si="16"/>
        <v>3121</v>
      </c>
      <c r="H305" s="52">
        <v>304</v>
      </c>
      <c r="I305" s="52">
        <f t="shared" si="17"/>
        <v>4279</v>
      </c>
    </row>
    <row r="306" spans="1:9">
      <c r="A306">
        <v>305</v>
      </c>
      <c r="B306" s="2">
        <v>305</v>
      </c>
      <c r="C306" s="2">
        <f t="shared" si="14"/>
        <v>807</v>
      </c>
      <c r="D306" s="3">
        <v>305</v>
      </c>
      <c r="E306" s="3">
        <f t="shared" si="15"/>
        <v>1965</v>
      </c>
      <c r="F306" s="51">
        <v>305</v>
      </c>
      <c r="G306" s="51">
        <f t="shared" si="16"/>
        <v>3123</v>
      </c>
      <c r="H306" s="52">
        <v>305</v>
      </c>
      <c r="I306" s="52">
        <f t="shared" si="17"/>
        <v>4281</v>
      </c>
    </row>
    <row r="307" spans="1:9">
      <c r="A307">
        <v>306</v>
      </c>
      <c r="B307" s="2">
        <v>306</v>
      </c>
      <c r="C307" s="2">
        <f t="shared" si="14"/>
        <v>808</v>
      </c>
      <c r="D307" s="3">
        <v>306</v>
      </c>
      <c r="E307" s="3">
        <f t="shared" si="15"/>
        <v>1966</v>
      </c>
      <c r="F307" s="51">
        <v>306</v>
      </c>
      <c r="G307" s="51">
        <f t="shared" si="16"/>
        <v>3124</v>
      </c>
      <c r="H307" s="52">
        <v>306</v>
      </c>
      <c r="I307" s="52">
        <f t="shared" si="17"/>
        <v>4282</v>
      </c>
    </row>
    <row r="308" spans="1:9">
      <c r="A308">
        <v>307</v>
      </c>
      <c r="B308" s="2">
        <v>307</v>
      </c>
      <c r="C308" s="2">
        <f t="shared" si="14"/>
        <v>809</v>
      </c>
      <c r="D308" s="3">
        <v>307</v>
      </c>
      <c r="E308" s="3">
        <f t="shared" si="15"/>
        <v>1967</v>
      </c>
      <c r="F308" s="51">
        <v>307</v>
      </c>
      <c r="G308" s="51">
        <f t="shared" si="16"/>
        <v>3125</v>
      </c>
      <c r="H308" s="52">
        <v>307</v>
      </c>
      <c r="I308" s="52">
        <f t="shared" si="17"/>
        <v>4283</v>
      </c>
    </row>
    <row r="309" spans="1:9">
      <c r="A309">
        <v>308</v>
      </c>
      <c r="B309" s="2">
        <v>308</v>
      </c>
      <c r="C309" s="2">
        <f t="shared" si="14"/>
        <v>811</v>
      </c>
      <c r="D309" s="3">
        <v>308</v>
      </c>
      <c r="E309" s="3">
        <f t="shared" si="15"/>
        <v>1969</v>
      </c>
      <c r="F309" s="51">
        <v>308</v>
      </c>
      <c r="G309" s="51">
        <f t="shared" si="16"/>
        <v>3127</v>
      </c>
      <c r="H309" s="52">
        <v>308</v>
      </c>
      <c r="I309" s="52">
        <f t="shared" si="17"/>
        <v>4285</v>
      </c>
    </row>
    <row r="310" spans="1:9">
      <c r="A310">
        <v>309</v>
      </c>
      <c r="B310" s="2">
        <v>309</v>
      </c>
      <c r="C310" s="2">
        <f t="shared" si="14"/>
        <v>812</v>
      </c>
      <c r="D310" s="3">
        <v>309</v>
      </c>
      <c r="E310" s="3">
        <f t="shared" si="15"/>
        <v>1970</v>
      </c>
      <c r="F310" s="51">
        <v>309</v>
      </c>
      <c r="G310" s="51">
        <f t="shared" si="16"/>
        <v>3128</v>
      </c>
      <c r="H310" s="52">
        <v>309</v>
      </c>
      <c r="I310" s="52">
        <f t="shared" si="17"/>
        <v>4286</v>
      </c>
    </row>
    <row r="311" spans="1:9">
      <c r="A311">
        <v>310</v>
      </c>
      <c r="B311" s="2">
        <v>310</v>
      </c>
      <c r="C311" s="2">
        <f t="shared" si="14"/>
        <v>813</v>
      </c>
      <c r="D311" s="3">
        <v>310</v>
      </c>
      <c r="E311" s="3">
        <f t="shared" si="15"/>
        <v>1971</v>
      </c>
      <c r="F311" s="51">
        <v>310</v>
      </c>
      <c r="G311" s="51">
        <f t="shared" si="16"/>
        <v>3129</v>
      </c>
      <c r="H311" s="52">
        <v>310</v>
      </c>
      <c r="I311" s="52">
        <f t="shared" si="17"/>
        <v>4287</v>
      </c>
    </row>
    <row r="312" spans="1:9">
      <c r="A312">
        <v>311</v>
      </c>
      <c r="B312" s="2">
        <v>311</v>
      </c>
      <c r="C312" s="2">
        <f t="shared" si="14"/>
        <v>815</v>
      </c>
      <c r="D312" s="3">
        <v>311</v>
      </c>
      <c r="E312" s="3">
        <f t="shared" si="15"/>
        <v>1973</v>
      </c>
      <c r="F312" s="51">
        <v>311</v>
      </c>
      <c r="G312" s="51">
        <f t="shared" si="16"/>
        <v>3131</v>
      </c>
      <c r="H312" s="52">
        <v>311</v>
      </c>
      <c r="I312" s="52">
        <f t="shared" si="17"/>
        <v>4289</v>
      </c>
    </row>
    <row r="313" spans="1:9">
      <c r="A313">
        <v>312</v>
      </c>
      <c r="B313" s="2">
        <v>312</v>
      </c>
      <c r="C313" s="2">
        <f t="shared" si="14"/>
        <v>816</v>
      </c>
      <c r="D313" s="3">
        <v>312</v>
      </c>
      <c r="E313" s="3">
        <f t="shared" si="15"/>
        <v>1974</v>
      </c>
      <c r="F313" s="51">
        <v>312</v>
      </c>
      <c r="G313" s="51">
        <f t="shared" si="16"/>
        <v>3132</v>
      </c>
      <c r="H313" s="52">
        <v>312</v>
      </c>
      <c r="I313" s="52">
        <f t="shared" si="17"/>
        <v>4290</v>
      </c>
    </row>
    <row r="314" spans="1:9">
      <c r="A314">
        <v>313</v>
      </c>
      <c r="B314" s="2">
        <v>313</v>
      </c>
      <c r="C314" s="2">
        <f t="shared" si="14"/>
        <v>817</v>
      </c>
      <c r="D314" s="3">
        <v>313</v>
      </c>
      <c r="E314" s="3">
        <f t="shared" si="15"/>
        <v>1975</v>
      </c>
      <c r="F314" s="51">
        <v>313</v>
      </c>
      <c r="G314" s="51">
        <f t="shared" si="16"/>
        <v>3133</v>
      </c>
      <c r="H314" s="52">
        <v>313</v>
      </c>
      <c r="I314" s="52">
        <f t="shared" si="17"/>
        <v>4291</v>
      </c>
    </row>
    <row r="315" spans="1:9">
      <c r="A315">
        <v>314</v>
      </c>
      <c r="B315" s="2">
        <v>314</v>
      </c>
      <c r="C315" s="2">
        <f t="shared" si="14"/>
        <v>819</v>
      </c>
      <c r="D315" s="3">
        <v>314</v>
      </c>
      <c r="E315" s="3">
        <f t="shared" si="15"/>
        <v>1977</v>
      </c>
      <c r="F315" s="51">
        <v>314</v>
      </c>
      <c r="G315" s="51">
        <f t="shared" si="16"/>
        <v>3135</v>
      </c>
      <c r="H315" s="52">
        <v>314</v>
      </c>
      <c r="I315" s="52">
        <f t="shared" si="17"/>
        <v>4293</v>
      </c>
    </row>
    <row r="316" spans="1:9">
      <c r="A316">
        <v>315</v>
      </c>
      <c r="B316" s="2">
        <v>315</v>
      </c>
      <c r="C316" s="2">
        <f t="shared" ref="C316:C379" si="18">INT((B316-B$122)*1.3333333)+C$122</f>
        <v>820</v>
      </c>
      <c r="D316" s="3">
        <v>315</v>
      </c>
      <c r="E316" s="3">
        <f t="shared" si="15"/>
        <v>1978</v>
      </c>
      <c r="F316" s="51">
        <v>315</v>
      </c>
      <c r="G316" s="51">
        <f t="shared" si="16"/>
        <v>3136</v>
      </c>
      <c r="H316" s="52">
        <v>315</v>
      </c>
      <c r="I316" s="52">
        <f t="shared" si="17"/>
        <v>4294</v>
      </c>
    </row>
    <row r="317" spans="1:9">
      <c r="A317">
        <v>316</v>
      </c>
      <c r="B317" s="2">
        <v>316</v>
      </c>
      <c r="C317" s="2">
        <f t="shared" si="18"/>
        <v>821</v>
      </c>
      <c r="D317" s="3">
        <v>316</v>
      </c>
      <c r="E317" s="3">
        <f t="shared" si="15"/>
        <v>1979</v>
      </c>
      <c r="F317" s="51">
        <v>316</v>
      </c>
      <c r="G317" s="51">
        <f t="shared" si="16"/>
        <v>3137</v>
      </c>
      <c r="H317" s="52">
        <v>316</v>
      </c>
      <c r="I317" s="52">
        <f t="shared" si="17"/>
        <v>4295</v>
      </c>
    </row>
    <row r="318" spans="1:9">
      <c r="A318">
        <v>317</v>
      </c>
      <c r="B318" s="2">
        <v>317</v>
      </c>
      <c r="C318" s="2">
        <f t="shared" si="18"/>
        <v>823</v>
      </c>
      <c r="D318" s="3">
        <v>317</v>
      </c>
      <c r="E318" s="3">
        <f t="shared" si="15"/>
        <v>1981</v>
      </c>
      <c r="F318" s="51">
        <v>317</v>
      </c>
      <c r="G318" s="51">
        <f t="shared" si="16"/>
        <v>3139</v>
      </c>
      <c r="H318" s="52">
        <v>317</v>
      </c>
      <c r="I318" s="52">
        <f t="shared" si="17"/>
        <v>4297</v>
      </c>
    </row>
    <row r="319" spans="1:9">
      <c r="A319">
        <v>318</v>
      </c>
      <c r="B319" s="2">
        <v>318</v>
      </c>
      <c r="C319" s="2">
        <f t="shared" si="18"/>
        <v>824</v>
      </c>
      <c r="D319" s="3">
        <v>318</v>
      </c>
      <c r="E319" s="3">
        <f t="shared" si="15"/>
        <v>1982</v>
      </c>
      <c r="F319" s="51">
        <v>318</v>
      </c>
      <c r="G319" s="51">
        <f t="shared" si="16"/>
        <v>3140</v>
      </c>
      <c r="H319" s="52">
        <v>318</v>
      </c>
      <c r="I319" s="52">
        <f t="shared" si="17"/>
        <v>4298</v>
      </c>
    </row>
    <row r="320" spans="1:9">
      <c r="A320">
        <v>319</v>
      </c>
      <c r="B320" s="2">
        <v>319</v>
      </c>
      <c r="C320" s="2">
        <f t="shared" si="18"/>
        <v>825</v>
      </c>
      <c r="D320" s="3">
        <v>319</v>
      </c>
      <c r="E320" s="3">
        <f t="shared" si="15"/>
        <v>1983</v>
      </c>
      <c r="F320" s="51">
        <v>319</v>
      </c>
      <c r="G320" s="51">
        <f t="shared" si="16"/>
        <v>3141</v>
      </c>
      <c r="H320" s="52">
        <v>319</v>
      </c>
      <c r="I320" s="52">
        <f t="shared" si="17"/>
        <v>4299</v>
      </c>
    </row>
    <row r="321" spans="1:9">
      <c r="A321">
        <v>320</v>
      </c>
      <c r="B321" s="2">
        <v>320</v>
      </c>
      <c r="C321" s="2">
        <f t="shared" si="18"/>
        <v>827</v>
      </c>
      <c r="D321" s="3">
        <v>320</v>
      </c>
      <c r="E321" s="3">
        <f t="shared" si="15"/>
        <v>1985</v>
      </c>
      <c r="F321" s="51">
        <v>320</v>
      </c>
      <c r="G321" s="51">
        <f t="shared" si="16"/>
        <v>3143</v>
      </c>
      <c r="H321" s="52">
        <v>320</v>
      </c>
      <c r="I321" s="52">
        <f t="shared" si="17"/>
        <v>4301</v>
      </c>
    </row>
    <row r="322" spans="1:9">
      <c r="A322">
        <v>321</v>
      </c>
      <c r="B322" s="2">
        <v>321</v>
      </c>
      <c r="C322" s="2">
        <f t="shared" si="18"/>
        <v>828</v>
      </c>
      <c r="D322" s="3">
        <v>321</v>
      </c>
      <c r="E322" s="3">
        <f t="shared" si="15"/>
        <v>1986</v>
      </c>
      <c r="F322" s="51">
        <v>321</v>
      </c>
      <c r="G322" s="51">
        <f t="shared" si="16"/>
        <v>3144</v>
      </c>
      <c r="H322" s="52">
        <v>321</v>
      </c>
      <c r="I322" s="52">
        <f t="shared" si="17"/>
        <v>4302</v>
      </c>
    </row>
    <row r="323" spans="1:9">
      <c r="A323">
        <v>322</v>
      </c>
      <c r="B323" s="2">
        <v>322</v>
      </c>
      <c r="C323" s="2">
        <f t="shared" si="18"/>
        <v>829</v>
      </c>
      <c r="D323" s="3">
        <v>322</v>
      </c>
      <c r="E323" s="3">
        <f t="shared" si="15"/>
        <v>1987</v>
      </c>
      <c r="F323" s="51">
        <v>322</v>
      </c>
      <c r="G323" s="51">
        <f t="shared" si="16"/>
        <v>3145</v>
      </c>
      <c r="H323" s="52">
        <v>322</v>
      </c>
      <c r="I323" s="52">
        <f t="shared" si="17"/>
        <v>4303</v>
      </c>
    </row>
    <row r="324" spans="1:9">
      <c r="A324">
        <v>323</v>
      </c>
      <c r="B324" s="2">
        <v>323</v>
      </c>
      <c r="C324" s="2">
        <f t="shared" si="18"/>
        <v>831</v>
      </c>
      <c r="D324" s="3">
        <v>323</v>
      </c>
      <c r="E324" s="3">
        <f t="shared" ref="E324:E387" si="19">INT((D324-D$2)*1.3333333)+E$2</f>
        <v>1989</v>
      </c>
      <c r="F324" s="51">
        <v>323</v>
      </c>
      <c r="G324" s="51">
        <f t="shared" ref="G324:G387" si="20">INT((F324-F$2)*1.3333333)+G$2</f>
        <v>3147</v>
      </c>
      <c r="H324" s="52">
        <v>323</v>
      </c>
      <c r="I324" s="52">
        <f t="shared" ref="I324:I387" si="21">INT((H324-H$2)*1.3333333)+I$2</f>
        <v>4305</v>
      </c>
    </row>
    <row r="325" spans="1:9">
      <c r="A325">
        <v>324</v>
      </c>
      <c r="B325" s="2">
        <v>324</v>
      </c>
      <c r="C325" s="2">
        <f t="shared" si="18"/>
        <v>832</v>
      </c>
      <c r="D325" s="3">
        <v>324</v>
      </c>
      <c r="E325" s="3">
        <f t="shared" si="19"/>
        <v>1990</v>
      </c>
      <c r="F325" s="51">
        <v>324</v>
      </c>
      <c r="G325" s="51">
        <f t="shared" si="20"/>
        <v>3148</v>
      </c>
      <c r="H325" s="52">
        <v>324</v>
      </c>
      <c r="I325" s="52">
        <f t="shared" si="21"/>
        <v>4306</v>
      </c>
    </row>
    <row r="326" spans="1:9">
      <c r="A326">
        <v>325</v>
      </c>
      <c r="B326" s="2">
        <v>325</v>
      </c>
      <c r="C326" s="2">
        <f t="shared" si="18"/>
        <v>833</v>
      </c>
      <c r="D326" s="3">
        <v>325</v>
      </c>
      <c r="E326" s="3">
        <f t="shared" si="19"/>
        <v>1991</v>
      </c>
      <c r="F326" s="51">
        <v>325</v>
      </c>
      <c r="G326" s="51">
        <f t="shared" si="20"/>
        <v>3149</v>
      </c>
      <c r="H326" s="52">
        <v>325</v>
      </c>
      <c r="I326" s="52">
        <f t="shared" si="21"/>
        <v>4307</v>
      </c>
    </row>
    <row r="327" spans="1:9">
      <c r="A327">
        <v>326</v>
      </c>
      <c r="B327" s="2">
        <v>326</v>
      </c>
      <c r="C327" s="2">
        <f t="shared" si="18"/>
        <v>835</v>
      </c>
      <c r="D327" s="3">
        <v>326</v>
      </c>
      <c r="E327" s="3">
        <f t="shared" si="19"/>
        <v>1993</v>
      </c>
      <c r="F327" s="51">
        <v>326</v>
      </c>
      <c r="G327" s="51">
        <f t="shared" si="20"/>
        <v>3151</v>
      </c>
      <c r="H327" s="52">
        <v>326</v>
      </c>
      <c r="I327" s="52">
        <f t="shared" si="21"/>
        <v>4309</v>
      </c>
    </row>
    <row r="328" spans="1:9">
      <c r="A328">
        <v>327</v>
      </c>
      <c r="B328" s="2">
        <v>327</v>
      </c>
      <c r="C328" s="2">
        <f t="shared" si="18"/>
        <v>836</v>
      </c>
      <c r="D328" s="3">
        <v>327</v>
      </c>
      <c r="E328" s="3">
        <f t="shared" si="19"/>
        <v>1994</v>
      </c>
      <c r="F328" s="51">
        <v>327</v>
      </c>
      <c r="G328" s="51">
        <f t="shared" si="20"/>
        <v>3152</v>
      </c>
      <c r="H328" s="52">
        <v>327</v>
      </c>
      <c r="I328" s="52">
        <f t="shared" si="21"/>
        <v>4310</v>
      </c>
    </row>
    <row r="329" spans="1:9">
      <c r="A329">
        <v>328</v>
      </c>
      <c r="B329" s="2">
        <v>328</v>
      </c>
      <c r="C329" s="2">
        <f t="shared" si="18"/>
        <v>837</v>
      </c>
      <c r="D329" s="3">
        <v>328</v>
      </c>
      <c r="E329" s="3">
        <f t="shared" si="19"/>
        <v>1995</v>
      </c>
      <c r="F329" s="51">
        <v>328</v>
      </c>
      <c r="G329" s="51">
        <f t="shared" si="20"/>
        <v>3153</v>
      </c>
      <c r="H329" s="52">
        <v>328</v>
      </c>
      <c r="I329" s="52">
        <f t="shared" si="21"/>
        <v>4311</v>
      </c>
    </row>
    <row r="330" spans="1:9">
      <c r="A330">
        <v>329</v>
      </c>
      <c r="B330" s="2">
        <v>329</v>
      </c>
      <c r="C330" s="2">
        <f t="shared" si="18"/>
        <v>839</v>
      </c>
      <c r="D330" s="3">
        <v>329</v>
      </c>
      <c r="E330" s="3">
        <f t="shared" si="19"/>
        <v>1997</v>
      </c>
      <c r="F330" s="51">
        <v>329</v>
      </c>
      <c r="G330" s="51">
        <f t="shared" si="20"/>
        <v>3155</v>
      </c>
      <c r="H330" s="52">
        <v>329</v>
      </c>
      <c r="I330" s="52">
        <f t="shared" si="21"/>
        <v>4313</v>
      </c>
    </row>
    <row r="331" spans="1:9">
      <c r="A331">
        <v>330</v>
      </c>
      <c r="B331" s="2">
        <v>330</v>
      </c>
      <c r="C331" s="2">
        <f t="shared" si="18"/>
        <v>840</v>
      </c>
      <c r="D331" s="3">
        <v>330</v>
      </c>
      <c r="E331" s="3">
        <f t="shared" si="19"/>
        <v>1998</v>
      </c>
      <c r="F331" s="51">
        <v>330</v>
      </c>
      <c r="G331" s="51">
        <f t="shared" si="20"/>
        <v>3156</v>
      </c>
      <c r="H331" s="52">
        <v>330</v>
      </c>
      <c r="I331" s="52">
        <f t="shared" si="21"/>
        <v>4314</v>
      </c>
    </row>
    <row r="332" spans="1:9">
      <c r="A332">
        <v>331</v>
      </c>
      <c r="B332" s="2">
        <v>331</v>
      </c>
      <c r="C332" s="2">
        <f t="shared" si="18"/>
        <v>841</v>
      </c>
      <c r="D332" s="3">
        <v>331</v>
      </c>
      <c r="E332" s="3">
        <f t="shared" si="19"/>
        <v>1999</v>
      </c>
      <c r="F332" s="51">
        <v>331</v>
      </c>
      <c r="G332" s="51">
        <f t="shared" si="20"/>
        <v>3157</v>
      </c>
      <c r="H332" s="52">
        <v>331</v>
      </c>
      <c r="I332" s="52">
        <f t="shared" si="21"/>
        <v>4315</v>
      </c>
    </row>
    <row r="333" spans="1:9">
      <c r="A333">
        <v>332</v>
      </c>
      <c r="B333" s="2">
        <v>332</v>
      </c>
      <c r="C333" s="2">
        <f t="shared" si="18"/>
        <v>843</v>
      </c>
      <c r="D333" s="3">
        <v>332</v>
      </c>
      <c r="E333" s="3">
        <f t="shared" si="19"/>
        <v>2001</v>
      </c>
      <c r="F333" s="51">
        <v>332</v>
      </c>
      <c r="G333" s="51">
        <f t="shared" si="20"/>
        <v>3159</v>
      </c>
      <c r="H333" s="52">
        <v>332</v>
      </c>
      <c r="I333" s="52">
        <f t="shared" si="21"/>
        <v>4317</v>
      </c>
    </row>
    <row r="334" spans="1:9">
      <c r="A334">
        <v>333</v>
      </c>
      <c r="B334" s="2">
        <v>333</v>
      </c>
      <c r="C334" s="2">
        <f t="shared" si="18"/>
        <v>844</v>
      </c>
      <c r="D334" s="3">
        <v>333</v>
      </c>
      <c r="E334" s="3">
        <f t="shared" si="19"/>
        <v>2002</v>
      </c>
      <c r="F334" s="51">
        <v>333</v>
      </c>
      <c r="G334" s="51">
        <f t="shared" si="20"/>
        <v>3160</v>
      </c>
      <c r="H334" s="52">
        <v>333</v>
      </c>
      <c r="I334" s="52">
        <f t="shared" si="21"/>
        <v>4318</v>
      </c>
    </row>
    <row r="335" spans="1:9">
      <c r="A335">
        <v>334</v>
      </c>
      <c r="B335" s="2">
        <v>334</v>
      </c>
      <c r="C335" s="2">
        <f t="shared" si="18"/>
        <v>845</v>
      </c>
      <c r="D335" s="3">
        <v>334</v>
      </c>
      <c r="E335" s="3">
        <f t="shared" si="19"/>
        <v>2003</v>
      </c>
      <c r="F335" s="51">
        <v>334</v>
      </c>
      <c r="G335" s="51">
        <f t="shared" si="20"/>
        <v>3161</v>
      </c>
      <c r="H335" s="52">
        <v>334</v>
      </c>
      <c r="I335" s="52">
        <f t="shared" si="21"/>
        <v>4319</v>
      </c>
    </row>
    <row r="336" spans="1:9">
      <c r="A336">
        <v>335</v>
      </c>
      <c r="B336" s="2">
        <v>335</v>
      </c>
      <c r="C336" s="2">
        <f t="shared" si="18"/>
        <v>847</v>
      </c>
      <c r="D336" s="3">
        <v>335</v>
      </c>
      <c r="E336" s="3">
        <f t="shared" si="19"/>
        <v>2005</v>
      </c>
      <c r="F336" s="51">
        <v>335</v>
      </c>
      <c r="G336" s="51">
        <f t="shared" si="20"/>
        <v>3163</v>
      </c>
      <c r="H336" s="52">
        <v>335</v>
      </c>
      <c r="I336" s="52">
        <f t="shared" si="21"/>
        <v>4321</v>
      </c>
    </row>
    <row r="337" spans="1:9">
      <c r="A337">
        <v>336</v>
      </c>
      <c r="B337" s="2">
        <v>336</v>
      </c>
      <c r="C337" s="2">
        <f t="shared" si="18"/>
        <v>848</v>
      </c>
      <c r="D337" s="3">
        <v>336</v>
      </c>
      <c r="E337" s="3">
        <f t="shared" si="19"/>
        <v>2006</v>
      </c>
      <c r="F337" s="51">
        <v>336</v>
      </c>
      <c r="G337" s="51">
        <f t="shared" si="20"/>
        <v>3164</v>
      </c>
      <c r="H337" s="52">
        <v>336</v>
      </c>
      <c r="I337" s="52">
        <f t="shared" si="21"/>
        <v>4322</v>
      </c>
    </row>
    <row r="338" spans="1:9">
      <c r="A338">
        <v>337</v>
      </c>
      <c r="B338" s="2">
        <v>337</v>
      </c>
      <c r="C338" s="2">
        <f t="shared" si="18"/>
        <v>849</v>
      </c>
      <c r="D338" s="3">
        <v>337</v>
      </c>
      <c r="E338" s="3">
        <f t="shared" si="19"/>
        <v>2007</v>
      </c>
      <c r="F338" s="51">
        <v>337</v>
      </c>
      <c r="G338" s="51">
        <f t="shared" si="20"/>
        <v>3165</v>
      </c>
      <c r="H338" s="52">
        <v>337</v>
      </c>
      <c r="I338" s="52">
        <f t="shared" si="21"/>
        <v>4323</v>
      </c>
    </row>
    <row r="339" spans="1:9">
      <c r="A339">
        <v>338</v>
      </c>
      <c r="B339" s="2">
        <v>338</v>
      </c>
      <c r="C339" s="2">
        <f t="shared" si="18"/>
        <v>851</v>
      </c>
      <c r="D339" s="3">
        <v>338</v>
      </c>
      <c r="E339" s="3">
        <f t="shared" si="19"/>
        <v>2009</v>
      </c>
      <c r="F339" s="51">
        <v>338</v>
      </c>
      <c r="G339" s="51">
        <f t="shared" si="20"/>
        <v>3167</v>
      </c>
      <c r="H339" s="52">
        <v>338</v>
      </c>
      <c r="I339" s="52">
        <f t="shared" si="21"/>
        <v>4325</v>
      </c>
    </row>
    <row r="340" spans="1:9">
      <c r="A340">
        <v>339</v>
      </c>
      <c r="B340" s="2">
        <v>339</v>
      </c>
      <c r="C340" s="2">
        <f t="shared" si="18"/>
        <v>852</v>
      </c>
      <c r="D340" s="3">
        <v>339</v>
      </c>
      <c r="E340" s="3">
        <f t="shared" si="19"/>
        <v>2010</v>
      </c>
      <c r="F340" s="51">
        <v>339</v>
      </c>
      <c r="G340" s="51">
        <f t="shared" si="20"/>
        <v>3168</v>
      </c>
      <c r="H340" s="52">
        <v>339</v>
      </c>
      <c r="I340" s="52">
        <f t="shared" si="21"/>
        <v>4326</v>
      </c>
    </row>
    <row r="341" spans="1:9">
      <c r="A341">
        <v>340</v>
      </c>
      <c r="B341" s="2">
        <v>340</v>
      </c>
      <c r="C341" s="2">
        <f t="shared" si="18"/>
        <v>853</v>
      </c>
      <c r="D341" s="3">
        <v>340</v>
      </c>
      <c r="E341" s="3">
        <f t="shared" si="19"/>
        <v>2011</v>
      </c>
      <c r="F341" s="51">
        <v>340</v>
      </c>
      <c r="G341" s="51">
        <f t="shared" si="20"/>
        <v>3169</v>
      </c>
      <c r="H341" s="52">
        <v>340</v>
      </c>
      <c r="I341" s="52">
        <f t="shared" si="21"/>
        <v>4327</v>
      </c>
    </row>
    <row r="342" spans="1:9">
      <c r="A342">
        <v>341</v>
      </c>
      <c r="B342" s="2">
        <v>341</v>
      </c>
      <c r="C342" s="2">
        <f t="shared" si="18"/>
        <v>855</v>
      </c>
      <c r="D342" s="3">
        <v>341</v>
      </c>
      <c r="E342" s="3">
        <f t="shared" si="19"/>
        <v>2013</v>
      </c>
      <c r="F342" s="51">
        <v>341</v>
      </c>
      <c r="G342" s="51">
        <f t="shared" si="20"/>
        <v>3171</v>
      </c>
      <c r="H342" s="52">
        <v>341</v>
      </c>
      <c r="I342" s="52">
        <f t="shared" si="21"/>
        <v>4329</v>
      </c>
    </row>
    <row r="343" spans="1:9">
      <c r="A343">
        <v>342</v>
      </c>
      <c r="B343" s="2">
        <v>342</v>
      </c>
      <c r="C343" s="2">
        <f t="shared" si="18"/>
        <v>856</v>
      </c>
      <c r="D343" s="3">
        <v>342</v>
      </c>
      <c r="E343" s="3">
        <f t="shared" si="19"/>
        <v>2014</v>
      </c>
      <c r="F343" s="51">
        <v>342</v>
      </c>
      <c r="G343" s="51">
        <f t="shared" si="20"/>
        <v>3172</v>
      </c>
      <c r="H343" s="52">
        <v>342</v>
      </c>
      <c r="I343" s="52">
        <f t="shared" si="21"/>
        <v>4330</v>
      </c>
    </row>
    <row r="344" spans="1:9">
      <c r="A344">
        <v>343</v>
      </c>
      <c r="B344" s="2">
        <v>343</v>
      </c>
      <c r="C344" s="2">
        <f t="shared" si="18"/>
        <v>857</v>
      </c>
      <c r="D344" s="3">
        <v>343</v>
      </c>
      <c r="E344" s="3">
        <f t="shared" si="19"/>
        <v>2015</v>
      </c>
      <c r="F344" s="51">
        <v>343</v>
      </c>
      <c r="G344" s="51">
        <f t="shared" si="20"/>
        <v>3173</v>
      </c>
      <c r="H344" s="52">
        <v>343</v>
      </c>
      <c r="I344" s="52">
        <f t="shared" si="21"/>
        <v>4331</v>
      </c>
    </row>
    <row r="345" spans="1:9">
      <c r="A345">
        <v>344</v>
      </c>
      <c r="B345" s="2">
        <v>344</v>
      </c>
      <c r="C345" s="2">
        <f t="shared" si="18"/>
        <v>859</v>
      </c>
      <c r="D345" s="3">
        <v>344</v>
      </c>
      <c r="E345" s="3">
        <f t="shared" si="19"/>
        <v>2017</v>
      </c>
      <c r="F345" s="51">
        <v>344</v>
      </c>
      <c r="G345" s="51">
        <f t="shared" si="20"/>
        <v>3175</v>
      </c>
      <c r="H345" s="52">
        <v>344</v>
      </c>
      <c r="I345" s="52">
        <f t="shared" si="21"/>
        <v>4333</v>
      </c>
    </row>
    <row r="346" spans="1:9">
      <c r="A346">
        <v>345</v>
      </c>
      <c r="B346" s="2">
        <v>345</v>
      </c>
      <c r="C346" s="2">
        <f t="shared" si="18"/>
        <v>860</v>
      </c>
      <c r="D346" s="3">
        <v>345</v>
      </c>
      <c r="E346" s="3">
        <f t="shared" si="19"/>
        <v>2018</v>
      </c>
      <c r="F346" s="51">
        <v>345</v>
      </c>
      <c r="G346" s="51">
        <f t="shared" si="20"/>
        <v>3176</v>
      </c>
      <c r="H346" s="52">
        <v>345</v>
      </c>
      <c r="I346" s="52">
        <f t="shared" si="21"/>
        <v>4334</v>
      </c>
    </row>
    <row r="347" spans="1:9">
      <c r="A347">
        <v>346</v>
      </c>
      <c r="B347" s="2">
        <v>346</v>
      </c>
      <c r="C347" s="2">
        <f t="shared" si="18"/>
        <v>861</v>
      </c>
      <c r="D347" s="3">
        <v>346</v>
      </c>
      <c r="E347" s="3">
        <f t="shared" si="19"/>
        <v>2019</v>
      </c>
      <c r="F347" s="51">
        <v>346</v>
      </c>
      <c r="G347" s="51">
        <f t="shared" si="20"/>
        <v>3177</v>
      </c>
      <c r="H347" s="52">
        <v>346</v>
      </c>
      <c r="I347" s="52">
        <f t="shared" si="21"/>
        <v>4335</v>
      </c>
    </row>
    <row r="348" spans="1:9">
      <c r="A348">
        <v>347</v>
      </c>
      <c r="B348" s="2">
        <v>347</v>
      </c>
      <c r="C348" s="2">
        <f t="shared" si="18"/>
        <v>863</v>
      </c>
      <c r="D348" s="3">
        <v>347</v>
      </c>
      <c r="E348" s="3">
        <f t="shared" si="19"/>
        <v>2021</v>
      </c>
      <c r="F348" s="51">
        <v>347</v>
      </c>
      <c r="G348" s="51">
        <f t="shared" si="20"/>
        <v>3179</v>
      </c>
      <c r="H348" s="52">
        <v>347</v>
      </c>
      <c r="I348" s="52">
        <f t="shared" si="21"/>
        <v>4337</v>
      </c>
    </row>
    <row r="349" spans="1:9">
      <c r="A349">
        <v>348</v>
      </c>
      <c r="B349" s="2">
        <v>348</v>
      </c>
      <c r="C349" s="2">
        <f t="shared" si="18"/>
        <v>864</v>
      </c>
      <c r="D349" s="3">
        <v>348</v>
      </c>
      <c r="E349" s="3">
        <f t="shared" si="19"/>
        <v>2022</v>
      </c>
      <c r="F349" s="51">
        <v>348</v>
      </c>
      <c r="G349" s="51">
        <f t="shared" si="20"/>
        <v>3180</v>
      </c>
      <c r="H349" s="52">
        <v>348</v>
      </c>
      <c r="I349" s="52">
        <f t="shared" si="21"/>
        <v>4338</v>
      </c>
    </row>
    <row r="350" spans="1:9">
      <c r="A350">
        <v>349</v>
      </c>
      <c r="B350" s="2">
        <v>349</v>
      </c>
      <c r="C350" s="2">
        <f t="shared" si="18"/>
        <v>865</v>
      </c>
      <c r="D350" s="3">
        <v>349</v>
      </c>
      <c r="E350" s="3">
        <f t="shared" si="19"/>
        <v>2023</v>
      </c>
      <c r="F350" s="51">
        <v>349</v>
      </c>
      <c r="G350" s="51">
        <f t="shared" si="20"/>
        <v>3181</v>
      </c>
      <c r="H350" s="52">
        <v>349</v>
      </c>
      <c r="I350" s="52">
        <f t="shared" si="21"/>
        <v>4339</v>
      </c>
    </row>
    <row r="351" spans="1:9">
      <c r="A351">
        <v>350</v>
      </c>
      <c r="B351" s="2">
        <v>350</v>
      </c>
      <c r="C351" s="2">
        <f t="shared" si="18"/>
        <v>867</v>
      </c>
      <c r="D351" s="3">
        <v>350</v>
      </c>
      <c r="E351" s="3">
        <f t="shared" si="19"/>
        <v>2025</v>
      </c>
      <c r="F351" s="51">
        <v>350</v>
      </c>
      <c r="G351" s="51">
        <f t="shared" si="20"/>
        <v>3183</v>
      </c>
      <c r="H351" s="52">
        <v>350</v>
      </c>
      <c r="I351" s="52">
        <f t="shared" si="21"/>
        <v>4341</v>
      </c>
    </row>
    <row r="352" spans="1:9">
      <c r="A352">
        <v>351</v>
      </c>
      <c r="B352" s="2">
        <v>351</v>
      </c>
      <c r="C352" s="2">
        <f t="shared" si="18"/>
        <v>868</v>
      </c>
      <c r="D352" s="3">
        <v>351</v>
      </c>
      <c r="E352" s="3">
        <f t="shared" si="19"/>
        <v>2026</v>
      </c>
      <c r="F352" s="51">
        <v>351</v>
      </c>
      <c r="G352" s="51">
        <f t="shared" si="20"/>
        <v>3184</v>
      </c>
      <c r="H352" s="52">
        <v>351</v>
      </c>
      <c r="I352" s="52">
        <f t="shared" si="21"/>
        <v>4342</v>
      </c>
    </row>
    <row r="353" spans="1:9">
      <c r="A353">
        <v>352</v>
      </c>
      <c r="B353" s="2">
        <v>352</v>
      </c>
      <c r="C353" s="2">
        <f t="shared" si="18"/>
        <v>869</v>
      </c>
      <c r="D353" s="3">
        <v>352</v>
      </c>
      <c r="E353" s="3">
        <f t="shared" si="19"/>
        <v>2027</v>
      </c>
      <c r="F353" s="51">
        <v>352</v>
      </c>
      <c r="G353" s="51">
        <f t="shared" si="20"/>
        <v>3185</v>
      </c>
      <c r="H353" s="52">
        <v>352</v>
      </c>
      <c r="I353" s="52">
        <f t="shared" si="21"/>
        <v>4343</v>
      </c>
    </row>
    <row r="354" spans="1:9">
      <c r="A354">
        <v>353</v>
      </c>
      <c r="B354" s="2">
        <v>353</v>
      </c>
      <c r="C354" s="2">
        <f t="shared" si="18"/>
        <v>871</v>
      </c>
      <c r="D354" s="3">
        <v>353</v>
      </c>
      <c r="E354" s="3">
        <f t="shared" si="19"/>
        <v>2029</v>
      </c>
      <c r="F354" s="51">
        <v>353</v>
      </c>
      <c r="G354" s="51">
        <f t="shared" si="20"/>
        <v>3187</v>
      </c>
      <c r="H354" s="52">
        <v>353</v>
      </c>
      <c r="I354" s="52">
        <f t="shared" si="21"/>
        <v>4345</v>
      </c>
    </row>
    <row r="355" spans="1:9">
      <c r="A355">
        <v>354</v>
      </c>
      <c r="B355" s="2">
        <v>354</v>
      </c>
      <c r="C355" s="2">
        <f t="shared" si="18"/>
        <v>872</v>
      </c>
      <c r="D355" s="3">
        <v>354</v>
      </c>
      <c r="E355" s="3">
        <f t="shared" si="19"/>
        <v>2030</v>
      </c>
      <c r="F355" s="51">
        <v>354</v>
      </c>
      <c r="G355" s="51">
        <f t="shared" si="20"/>
        <v>3188</v>
      </c>
      <c r="H355" s="52">
        <v>354</v>
      </c>
      <c r="I355" s="52">
        <f t="shared" si="21"/>
        <v>4346</v>
      </c>
    </row>
    <row r="356" spans="1:9">
      <c r="A356">
        <v>355</v>
      </c>
      <c r="B356" s="2">
        <v>355</v>
      </c>
      <c r="C356" s="2">
        <f t="shared" si="18"/>
        <v>873</v>
      </c>
      <c r="D356" s="3">
        <v>355</v>
      </c>
      <c r="E356" s="3">
        <f t="shared" si="19"/>
        <v>2031</v>
      </c>
      <c r="F356" s="51">
        <v>355</v>
      </c>
      <c r="G356" s="51">
        <f t="shared" si="20"/>
        <v>3189</v>
      </c>
      <c r="H356" s="52">
        <v>355</v>
      </c>
      <c r="I356" s="52">
        <f t="shared" si="21"/>
        <v>4347</v>
      </c>
    </row>
    <row r="357" spans="1:9">
      <c r="A357">
        <v>356</v>
      </c>
      <c r="B357" s="2">
        <v>356</v>
      </c>
      <c r="C357" s="2">
        <f t="shared" si="18"/>
        <v>875</v>
      </c>
      <c r="D357" s="3">
        <v>356</v>
      </c>
      <c r="E357" s="3">
        <f t="shared" si="19"/>
        <v>2033</v>
      </c>
      <c r="F357" s="51">
        <v>356</v>
      </c>
      <c r="G357" s="51">
        <f t="shared" si="20"/>
        <v>3191</v>
      </c>
      <c r="H357" s="52">
        <v>356</v>
      </c>
      <c r="I357" s="52">
        <f t="shared" si="21"/>
        <v>4349</v>
      </c>
    </row>
    <row r="358" spans="1:9">
      <c r="A358">
        <v>357</v>
      </c>
      <c r="B358" s="2">
        <v>357</v>
      </c>
      <c r="C358" s="2">
        <f t="shared" si="18"/>
        <v>876</v>
      </c>
      <c r="D358" s="3">
        <v>357</v>
      </c>
      <c r="E358" s="3">
        <f t="shared" si="19"/>
        <v>2034</v>
      </c>
      <c r="F358" s="51">
        <v>357</v>
      </c>
      <c r="G358" s="51">
        <f t="shared" si="20"/>
        <v>3192</v>
      </c>
      <c r="H358" s="52">
        <v>357</v>
      </c>
      <c r="I358" s="52">
        <f t="shared" si="21"/>
        <v>4350</v>
      </c>
    </row>
    <row r="359" spans="1:9">
      <c r="A359">
        <v>358</v>
      </c>
      <c r="B359" s="2">
        <v>358</v>
      </c>
      <c r="C359" s="2">
        <f t="shared" si="18"/>
        <v>877</v>
      </c>
      <c r="D359" s="3">
        <v>358</v>
      </c>
      <c r="E359" s="3">
        <f t="shared" si="19"/>
        <v>2035</v>
      </c>
      <c r="F359" s="51">
        <v>358</v>
      </c>
      <c r="G359" s="51">
        <f t="shared" si="20"/>
        <v>3193</v>
      </c>
      <c r="H359" s="52">
        <v>358</v>
      </c>
      <c r="I359" s="52">
        <f t="shared" si="21"/>
        <v>4351</v>
      </c>
    </row>
    <row r="360" spans="1:9">
      <c r="A360">
        <v>359</v>
      </c>
      <c r="B360" s="2">
        <v>359</v>
      </c>
      <c r="C360" s="2">
        <f t="shared" si="18"/>
        <v>879</v>
      </c>
      <c r="D360" s="3">
        <v>359</v>
      </c>
      <c r="E360" s="3">
        <f t="shared" si="19"/>
        <v>2037</v>
      </c>
      <c r="F360" s="51">
        <v>359</v>
      </c>
      <c r="G360" s="51">
        <f t="shared" si="20"/>
        <v>3195</v>
      </c>
      <c r="H360" s="52">
        <v>359</v>
      </c>
      <c r="I360" s="52">
        <f t="shared" si="21"/>
        <v>4353</v>
      </c>
    </row>
    <row r="361" spans="1:9">
      <c r="A361">
        <v>360</v>
      </c>
      <c r="B361" s="2">
        <v>360</v>
      </c>
      <c r="C361" s="2">
        <f t="shared" si="18"/>
        <v>880</v>
      </c>
      <c r="D361" s="3">
        <v>360</v>
      </c>
      <c r="E361" s="3">
        <f t="shared" si="19"/>
        <v>2038</v>
      </c>
      <c r="F361" s="51">
        <v>360</v>
      </c>
      <c r="G361" s="51">
        <f t="shared" si="20"/>
        <v>3196</v>
      </c>
      <c r="H361" s="52">
        <v>360</v>
      </c>
      <c r="I361" s="52">
        <f t="shared" si="21"/>
        <v>4354</v>
      </c>
    </row>
    <row r="362" spans="1:9">
      <c r="A362">
        <v>361</v>
      </c>
      <c r="B362" s="2">
        <v>361</v>
      </c>
      <c r="C362" s="2">
        <f t="shared" si="18"/>
        <v>881</v>
      </c>
      <c r="D362" s="3">
        <v>361</v>
      </c>
      <c r="E362" s="3">
        <f t="shared" si="19"/>
        <v>2039</v>
      </c>
      <c r="F362" s="51">
        <v>361</v>
      </c>
      <c r="G362" s="51">
        <f t="shared" si="20"/>
        <v>3197</v>
      </c>
      <c r="H362" s="52">
        <v>361</v>
      </c>
      <c r="I362" s="52">
        <f t="shared" si="21"/>
        <v>4355</v>
      </c>
    </row>
    <row r="363" spans="1:9">
      <c r="A363">
        <v>362</v>
      </c>
      <c r="B363" s="2">
        <v>362</v>
      </c>
      <c r="C363" s="2">
        <f t="shared" si="18"/>
        <v>883</v>
      </c>
      <c r="D363" s="3">
        <v>362</v>
      </c>
      <c r="E363" s="3">
        <f t="shared" si="19"/>
        <v>2041</v>
      </c>
      <c r="F363" s="51">
        <v>362</v>
      </c>
      <c r="G363" s="51">
        <f t="shared" si="20"/>
        <v>3199</v>
      </c>
      <c r="H363" s="52">
        <v>362</v>
      </c>
      <c r="I363" s="52">
        <f t="shared" si="21"/>
        <v>4357</v>
      </c>
    </row>
    <row r="364" spans="1:9">
      <c r="A364">
        <v>363</v>
      </c>
      <c r="B364" s="2">
        <v>363</v>
      </c>
      <c r="C364" s="2">
        <f t="shared" si="18"/>
        <v>884</v>
      </c>
      <c r="D364" s="3">
        <v>363</v>
      </c>
      <c r="E364" s="3">
        <f t="shared" si="19"/>
        <v>2042</v>
      </c>
      <c r="F364" s="51">
        <v>363</v>
      </c>
      <c r="G364" s="51">
        <f t="shared" si="20"/>
        <v>3200</v>
      </c>
      <c r="H364" s="52">
        <v>363</v>
      </c>
      <c r="I364" s="52">
        <f t="shared" si="21"/>
        <v>4358</v>
      </c>
    </row>
    <row r="365" spans="1:9">
      <c r="A365">
        <v>364</v>
      </c>
      <c r="B365" s="2">
        <v>364</v>
      </c>
      <c r="C365" s="2">
        <f t="shared" si="18"/>
        <v>885</v>
      </c>
      <c r="D365" s="3">
        <v>364</v>
      </c>
      <c r="E365" s="3">
        <f t="shared" si="19"/>
        <v>2043</v>
      </c>
      <c r="F365" s="51">
        <v>364</v>
      </c>
      <c r="G365" s="51">
        <f t="shared" si="20"/>
        <v>3201</v>
      </c>
      <c r="H365" s="52">
        <v>364</v>
      </c>
      <c r="I365" s="52">
        <f t="shared" si="21"/>
        <v>4359</v>
      </c>
    </row>
    <row r="366" spans="1:9">
      <c r="A366">
        <v>365</v>
      </c>
      <c r="B366" s="2">
        <v>365</v>
      </c>
      <c r="C366" s="2">
        <f t="shared" si="18"/>
        <v>887</v>
      </c>
      <c r="D366" s="3">
        <v>365</v>
      </c>
      <c r="E366" s="3">
        <f t="shared" si="19"/>
        <v>2045</v>
      </c>
      <c r="F366" s="51">
        <v>365</v>
      </c>
      <c r="G366" s="51">
        <f t="shared" si="20"/>
        <v>3203</v>
      </c>
      <c r="H366" s="52">
        <v>365</v>
      </c>
      <c r="I366" s="52">
        <f t="shared" si="21"/>
        <v>4361</v>
      </c>
    </row>
    <row r="367" spans="1:9">
      <c r="A367">
        <v>366</v>
      </c>
      <c r="B367" s="2">
        <v>366</v>
      </c>
      <c r="C367" s="2">
        <f t="shared" si="18"/>
        <v>888</v>
      </c>
      <c r="D367" s="3">
        <v>366</v>
      </c>
      <c r="E367" s="3">
        <f t="shared" si="19"/>
        <v>2046</v>
      </c>
      <c r="F367" s="51">
        <v>366</v>
      </c>
      <c r="G367" s="51">
        <f t="shared" si="20"/>
        <v>3204</v>
      </c>
      <c r="H367" s="52">
        <v>366</v>
      </c>
      <c r="I367" s="52">
        <f t="shared" si="21"/>
        <v>4362</v>
      </c>
    </row>
    <row r="368" spans="1:9">
      <c r="A368">
        <v>367</v>
      </c>
      <c r="B368" s="2">
        <v>367</v>
      </c>
      <c r="C368" s="2">
        <f t="shared" si="18"/>
        <v>889</v>
      </c>
      <c r="D368" s="3">
        <v>367</v>
      </c>
      <c r="E368" s="3">
        <f t="shared" si="19"/>
        <v>2047</v>
      </c>
      <c r="F368" s="51">
        <v>367</v>
      </c>
      <c r="G368" s="51">
        <f t="shared" si="20"/>
        <v>3205</v>
      </c>
      <c r="H368" s="52">
        <v>367</v>
      </c>
      <c r="I368" s="52">
        <f t="shared" si="21"/>
        <v>4363</v>
      </c>
    </row>
    <row r="369" spans="1:9">
      <c r="A369">
        <v>368</v>
      </c>
      <c r="B369" s="2">
        <v>368</v>
      </c>
      <c r="C369" s="2">
        <f t="shared" si="18"/>
        <v>891</v>
      </c>
      <c r="D369" s="3">
        <v>368</v>
      </c>
      <c r="E369" s="3">
        <f t="shared" si="19"/>
        <v>2049</v>
      </c>
      <c r="F369" s="51">
        <v>368</v>
      </c>
      <c r="G369" s="51">
        <f t="shared" si="20"/>
        <v>3207</v>
      </c>
      <c r="H369" s="52">
        <v>368</v>
      </c>
      <c r="I369" s="52">
        <f t="shared" si="21"/>
        <v>4365</v>
      </c>
    </row>
    <row r="370" spans="1:9">
      <c r="A370">
        <v>369</v>
      </c>
      <c r="B370" s="2">
        <v>369</v>
      </c>
      <c r="C370" s="2">
        <f t="shared" si="18"/>
        <v>892</v>
      </c>
      <c r="D370" s="3">
        <v>369</v>
      </c>
      <c r="E370" s="3">
        <f t="shared" si="19"/>
        <v>2050</v>
      </c>
      <c r="F370" s="51">
        <v>369</v>
      </c>
      <c r="G370" s="51">
        <f t="shared" si="20"/>
        <v>3208</v>
      </c>
      <c r="H370" s="52">
        <v>369</v>
      </c>
      <c r="I370" s="52">
        <f t="shared" si="21"/>
        <v>4366</v>
      </c>
    </row>
    <row r="371" spans="1:9">
      <c r="A371">
        <v>370</v>
      </c>
      <c r="B371" s="2">
        <v>370</v>
      </c>
      <c r="C371" s="2">
        <f t="shared" si="18"/>
        <v>893</v>
      </c>
      <c r="D371" s="3">
        <v>370</v>
      </c>
      <c r="E371" s="3">
        <f t="shared" si="19"/>
        <v>2051</v>
      </c>
      <c r="F371" s="51">
        <v>370</v>
      </c>
      <c r="G371" s="51">
        <f t="shared" si="20"/>
        <v>3209</v>
      </c>
      <c r="H371" s="52">
        <v>370</v>
      </c>
      <c r="I371" s="52">
        <f t="shared" si="21"/>
        <v>4367</v>
      </c>
    </row>
    <row r="372" spans="1:9">
      <c r="A372">
        <v>371</v>
      </c>
      <c r="B372" s="2">
        <v>371</v>
      </c>
      <c r="C372" s="2">
        <f t="shared" si="18"/>
        <v>895</v>
      </c>
      <c r="D372" s="3">
        <v>371</v>
      </c>
      <c r="E372" s="3">
        <f t="shared" si="19"/>
        <v>2053</v>
      </c>
      <c r="F372" s="51">
        <v>371</v>
      </c>
      <c r="G372" s="51">
        <f t="shared" si="20"/>
        <v>3211</v>
      </c>
      <c r="H372" s="52">
        <v>371</v>
      </c>
      <c r="I372" s="52">
        <f t="shared" si="21"/>
        <v>4369</v>
      </c>
    </row>
    <row r="373" spans="1:9">
      <c r="A373">
        <v>372</v>
      </c>
      <c r="B373" s="2">
        <v>372</v>
      </c>
      <c r="C373" s="2">
        <f t="shared" si="18"/>
        <v>896</v>
      </c>
      <c r="D373" s="3">
        <v>372</v>
      </c>
      <c r="E373" s="3">
        <f t="shared" si="19"/>
        <v>2054</v>
      </c>
      <c r="F373" s="51">
        <v>372</v>
      </c>
      <c r="G373" s="51">
        <f t="shared" si="20"/>
        <v>3212</v>
      </c>
      <c r="H373" s="52">
        <v>372</v>
      </c>
      <c r="I373" s="52">
        <f t="shared" si="21"/>
        <v>4370</v>
      </c>
    </row>
    <row r="374" spans="1:9">
      <c r="A374">
        <v>373</v>
      </c>
      <c r="B374" s="2">
        <v>373</v>
      </c>
      <c r="C374" s="2">
        <f t="shared" si="18"/>
        <v>897</v>
      </c>
      <c r="D374" s="3">
        <v>373</v>
      </c>
      <c r="E374" s="3">
        <f t="shared" si="19"/>
        <v>2055</v>
      </c>
      <c r="F374" s="51">
        <v>373</v>
      </c>
      <c r="G374" s="51">
        <f t="shared" si="20"/>
        <v>3213</v>
      </c>
      <c r="H374" s="52">
        <v>373</v>
      </c>
      <c r="I374" s="52">
        <f t="shared" si="21"/>
        <v>4371</v>
      </c>
    </row>
    <row r="375" spans="1:9">
      <c r="A375">
        <v>374</v>
      </c>
      <c r="B375" s="2">
        <v>374</v>
      </c>
      <c r="C375" s="2">
        <f t="shared" si="18"/>
        <v>899</v>
      </c>
      <c r="D375" s="3">
        <v>374</v>
      </c>
      <c r="E375" s="3">
        <f t="shared" si="19"/>
        <v>2057</v>
      </c>
      <c r="F375" s="51">
        <v>374</v>
      </c>
      <c r="G375" s="51">
        <f t="shared" si="20"/>
        <v>3215</v>
      </c>
      <c r="H375" s="52">
        <v>374</v>
      </c>
      <c r="I375" s="52">
        <f t="shared" si="21"/>
        <v>4373</v>
      </c>
    </row>
    <row r="376" spans="1:9">
      <c r="A376">
        <v>375</v>
      </c>
      <c r="B376" s="2">
        <v>375</v>
      </c>
      <c r="C376" s="2">
        <f t="shared" si="18"/>
        <v>900</v>
      </c>
      <c r="D376" s="3">
        <v>375</v>
      </c>
      <c r="E376" s="3">
        <f t="shared" si="19"/>
        <v>2058</v>
      </c>
      <c r="F376" s="51">
        <v>375</v>
      </c>
      <c r="G376" s="51">
        <f t="shared" si="20"/>
        <v>3216</v>
      </c>
      <c r="H376" s="52">
        <v>375</v>
      </c>
      <c r="I376" s="52">
        <f t="shared" si="21"/>
        <v>4374</v>
      </c>
    </row>
    <row r="377" spans="1:9">
      <c r="A377">
        <v>376</v>
      </c>
      <c r="B377" s="2">
        <v>376</v>
      </c>
      <c r="C377" s="2">
        <f t="shared" si="18"/>
        <v>901</v>
      </c>
      <c r="D377" s="3">
        <v>376</v>
      </c>
      <c r="E377" s="3">
        <f t="shared" si="19"/>
        <v>2059</v>
      </c>
      <c r="F377" s="51">
        <v>376</v>
      </c>
      <c r="G377" s="51">
        <f t="shared" si="20"/>
        <v>3217</v>
      </c>
      <c r="H377" s="52">
        <v>376</v>
      </c>
      <c r="I377" s="52">
        <f t="shared" si="21"/>
        <v>4375</v>
      </c>
    </row>
    <row r="378" spans="1:9">
      <c r="A378">
        <v>377</v>
      </c>
      <c r="B378" s="2">
        <v>377</v>
      </c>
      <c r="C378" s="2">
        <f t="shared" si="18"/>
        <v>903</v>
      </c>
      <c r="D378" s="3">
        <v>377</v>
      </c>
      <c r="E378" s="3">
        <f t="shared" si="19"/>
        <v>2061</v>
      </c>
      <c r="F378" s="51">
        <v>377</v>
      </c>
      <c r="G378" s="51">
        <f t="shared" si="20"/>
        <v>3219</v>
      </c>
      <c r="H378" s="52">
        <v>377</v>
      </c>
      <c r="I378" s="52">
        <f t="shared" si="21"/>
        <v>4377</v>
      </c>
    </row>
    <row r="379" spans="1:9">
      <c r="A379">
        <v>378</v>
      </c>
      <c r="B379" s="2">
        <v>378</v>
      </c>
      <c r="C379" s="2">
        <f t="shared" si="18"/>
        <v>904</v>
      </c>
      <c r="D379" s="3">
        <v>378</v>
      </c>
      <c r="E379" s="3">
        <f t="shared" si="19"/>
        <v>2062</v>
      </c>
      <c r="F379" s="51">
        <v>378</v>
      </c>
      <c r="G379" s="51">
        <f t="shared" si="20"/>
        <v>3220</v>
      </c>
      <c r="H379" s="52">
        <v>378</v>
      </c>
      <c r="I379" s="52">
        <f t="shared" si="21"/>
        <v>4378</v>
      </c>
    </row>
    <row r="380" spans="1:9">
      <c r="A380">
        <v>379</v>
      </c>
      <c r="B380" s="2">
        <v>379</v>
      </c>
      <c r="C380" s="2">
        <f t="shared" ref="C380:C443" si="22">INT((B380-B$122)*1.3333333)+C$122</f>
        <v>905</v>
      </c>
      <c r="D380" s="3">
        <v>379</v>
      </c>
      <c r="E380" s="3">
        <f t="shared" si="19"/>
        <v>2063</v>
      </c>
      <c r="F380" s="51">
        <v>379</v>
      </c>
      <c r="G380" s="51">
        <f t="shared" si="20"/>
        <v>3221</v>
      </c>
      <c r="H380" s="52">
        <v>379</v>
      </c>
      <c r="I380" s="52">
        <f t="shared" si="21"/>
        <v>4379</v>
      </c>
    </row>
    <row r="381" spans="1:9">
      <c r="A381">
        <v>380</v>
      </c>
      <c r="B381" s="2">
        <v>380</v>
      </c>
      <c r="C381" s="2">
        <f t="shared" si="22"/>
        <v>907</v>
      </c>
      <c r="D381" s="3">
        <v>380</v>
      </c>
      <c r="E381" s="3">
        <f t="shared" si="19"/>
        <v>2065</v>
      </c>
      <c r="F381" s="51">
        <v>380</v>
      </c>
      <c r="G381" s="51">
        <f t="shared" si="20"/>
        <v>3223</v>
      </c>
      <c r="H381" s="52">
        <v>380</v>
      </c>
      <c r="I381" s="52">
        <f t="shared" si="21"/>
        <v>4381</v>
      </c>
    </row>
    <row r="382" spans="1:9">
      <c r="A382">
        <v>381</v>
      </c>
      <c r="B382" s="2">
        <v>381</v>
      </c>
      <c r="C382" s="2">
        <f t="shared" si="22"/>
        <v>908</v>
      </c>
      <c r="D382" s="3">
        <v>381</v>
      </c>
      <c r="E382" s="3">
        <f t="shared" si="19"/>
        <v>2066</v>
      </c>
      <c r="F382" s="51">
        <v>381</v>
      </c>
      <c r="G382" s="51">
        <f t="shared" si="20"/>
        <v>3224</v>
      </c>
      <c r="H382" s="52">
        <v>381</v>
      </c>
      <c r="I382" s="52">
        <f t="shared" si="21"/>
        <v>4382</v>
      </c>
    </row>
    <row r="383" spans="1:9">
      <c r="A383">
        <v>382</v>
      </c>
      <c r="B383" s="2">
        <v>382</v>
      </c>
      <c r="C383" s="2">
        <f t="shared" si="22"/>
        <v>909</v>
      </c>
      <c r="D383" s="3">
        <v>382</v>
      </c>
      <c r="E383" s="3">
        <f t="shared" si="19"/>
        <v>2067</v>
      </c>
      <c r="F383" s="51">
        <v>382</v>
      </c>
      <c r="G383" s="51">
        <f t="shared" si="20"/>
        <v>3225</v>
      </c>
      <c r="H383" s="52">
        <v>382</v>
      </c>
      <c r="I383" s="52">
        <f t="shared" si="21"/>
        <v>4383</v>
      </c>
    </row>
    <row r="384" spans="1:9">
      <c r="A384">
        <v>383</v>
      </c>
      <c r="B384" s="2">
        <v>383</v>
      </c>
      <c r="C384" s="2">
        <f t="shared" si="22"/>
        <v>911</v>
      </c>
      <c r="D384" s="3">
        <v>383</v>
      </c>
      <c r="E384" s="3">
        <f t="shared" si="19"/>
        <v>2069</v>
      </c>
      <c r="F384" s="51">
        <v>383</v>
      </c>
      <c r="G384" s="51">
        <f t="shared" si="20"/>
        <v>3227</v>
      </c>
      <c r="H384" s="52">
        <v>383</v>
      </c>
      <c r="I384" s="52">
        <f t="shared" si="21"/>
        <v>4385</v>
      </c>
    </row>
    <row r="385" spans="1:9">
      <c r="A385">
        <v>384</v>
      </c>
      <c r="B385" s="2">
        <v>384</v>
      </c>
      <c r="C385" s="2">
        <f t="shared" si="22"/>
        <v>912</v>
      </c>
      <c r="D385" s="3">
        <v>384</v>
      </c>
      <c r="E385" s="3">
        <f t="shared" si="19"/>
        <v>2070</v>
      </c>
      <c r="F385" s="51">
        <v>384</v>
      </c>
      <c r="G385" s="51">
        <f t="shared" si="20"/>
        <v>3228</v>
      </c>
      <c r="H385" s="52">
        <v>384</v>
      </c>
      <c r="I385" s="52">
        <f t="shared" si="21"/>
        <v>4386</v>
      </c>
    </row>
    <row r="386" spans="1:9">
      <c r="A386">
        <v>385</v>
      </c>
      <c r="B386" s="2">
        <v>385</v>
      </c>
      <c r="C386" s="2">
        <f t="shared" si="22"/>
        <v>913</v>
      </c>
      <c r="D386" s="3">
        <v>385</v>
      </c>
      <c r="E386" s="3">
        <f t="shared" si="19"/>
        <v>2071</v>
      </c>
      <c r="F386" s="51">
        <v>385</v>
      </c>
      <c r="G386" s="51">
        <f t="shared" si="20"/>
        <v>3229</v>
      </c>
      <c r="H386" s="52">
        <v>385</v>
      </c>
      <c r="I386" s="52">
        <f t="shared" si="21"/>
        <v>4387</v>
      </c>
    </row>
    <row r="387" spans="1:9">
      <c r="A387">
        <v>386</v>
      </c>
      <c r="B387" s="2">
        <v>386</v>
      </c>
      <c r="C387" s="2">
        <f t="shared" si="22"/>
        <v>915</v>
      </c>
      <c r="D387" s="3">
        <v>386</v>
      </c>
      <c r="E387" s="3">
        <f t="shared" si="19"/>
        <v>2073</v>
      </c>
      <c r="F387" s="51">
        <v>386</v>
      </c>
      <c r="G387" s="51">
        <f t="shared" si="20"/>
        <v>3231</v>
      </c>
      <c r="H387" s="52">
        <v>386</v>
      </c>
      <c r="I387" s="52">
        <f t="shared" si="21"/>
        <v>4389</v>
      </c>
    </row>
    <row r="388" spans="1:9">
      <c r="A388">
        <v>387</v>
      </c>
      <c r="B388" s="2">
        <v>387</v>
      </c>
      <c r="C388" s="2">
        <f t="shared" si="22"/>
        <v>916</v>
      </c>
      <c r="D388" s="3">
        <v>387</v>
      </c>
      <c r="E388" s="3">
        <f t="shared" ref="E388:E451" si="23">INT((D388-D$2)*1.3333333)+E$2</f>
        <v>2074</v>
      </c>
      <c r="F388" s="51">
        <v>387</v>
      </c>
      <c r="G388" s="51">
        <f t="shared" ref="G388:G451" si="24">INT((F388-F$2)*1.3333333)+G$2</f>
        <v>3232</v>
      </c>
      <c r="H388" s="52">
        <v>387</v>
      </c>
      <c r="I388" s="52">
        <f t="shared" ref="I388:I451" si="25">INT((H388-H$2)*1.3333333)+I$2</f>
        <v>4390</v>
      </c>
    </row>
    <row r="389" spans="1:9">
      <c r="A389">
        <v>388</v>
      </c>
      <c r="B389" s="2">
        <v>388</v>
      </c>
      <c r="C389" s="2">
        <f t="shared" si="22"/>
        <v>917</v>
      </c>
      <c r="D389" s="3">
        <v>388</v>
      </c>
      <c r="E389" s="3">
        <f t="shared" si="23"/>
        <v>2075</v>
      </c>
      <c r="F389" s="51">
        <v>388</v>
      </c>
      <c r="G389" s="51">
        <f t="shared" si="24"/>
        <v>3233</v>
      </c>
      <c r="H389" s="52">
        <v>388</v>
      </c>
      <c r="I389" s="52">
        <f t="shared" si="25"/>
        <v>4391</v>
      </c>
    </row>
    <row r="390" spans="1:9">
      <c r="A390">
        <v>389</v>
      </c>
      <c r="B390" s="2">
        <v>389</v>
      </c>
      <c r="C390" s="2">
        <f t="shared" si="22"/>
        <v>919</v>
      </c>
      <c r="D390" s="3">
        <v>389</v>
      </c>
      <c r="E390" s="3">
        <f t="shared" si="23"/>
        <v>2077</v>
      </c>
      <c r="F390" s="51">
        <v>389</v>
      </c>
      <c r="G390" s="51">
        <f t="shared" si="24"/>
        <v>3235</v>
      </c>
      <c r="H390" s="52">
        <v>389</v>
      </c>
      <c r="I390" s="52">
        <f t="shared" si="25"/>
        <v>4393</v>
      </c>
    </row>
    <row r="391" spans="1:9">
      <c r="A391">
        <v>390</v>
      </c>
      <c r="B391" s="2">
        <v>390</v>
      </c>
      <c r="C391" s="2">
        <f t="shared" si="22"/>
        <v>920</v>
      </c>
      <c r="D391" s="3">
        <v>390</v>
      </c>
      <c r="E391" s="3">
        <f t="shared" si="23"/>
        <v>2078</v>
      </c>
      <c r="F391" s="51">
        <v>390</v>
      </c>
      <c r="G391" s="51">
        <f t="shared" si="24"/>
        <v>3236</v>
      </c>
      <c r="H391" s="52">
        <v>390</v>
      </c>
      <c r="I391" s="52">
        <f t="shared" si="25"/>
        <v>4394</v>
      </c>
    </row>
    <row r="392" spans="1:9">
      <c r="A392">
        <v>391</v>
      </c>
      <c r="B392" s="2">
        <v>391</v>
      </c>
      <c r="C392" s="2">
        <f t="shared" si="22"/>
        <v>921</v>
      </c>
      <c r="D392" s="3">
        <v>391</v>
      </c>
      <c r="E392" s="3">
        <f t="shared" si="23"/>
        <v>2079</v>
      </c>
      <c r="F392" s="51">
        <v>391</v>
      </c>
      <c r="G392" s="51">
        <f t="shared" si="24"/>
        <v>3237</v>
      </c>
      <c r="H392" s="52">
        <v>391</v>
      </c>
      <c r="I392" s="52">
        <f t="shared" si="25"/>
        <v>4395</v>
      </c>
    </row>
    <row r="393" spans="1:9">
      <c r="A393">
        <v>392</v>
      </c>
      <c r="B393" s="2">
        <v>392</v>
      </c>
      <c r="C393" s="2">
        <f t="shared" si="22"/>
        <v>923</v>
      </c>
      <c r="D393" s="3">
        <v>392</v>
      </c>
      <c r="E393" s="3">
        <f t="shared" si="23"/>
        <v>2081</v>
      </c>
      <c r="F393" s="51">
        <v>392</v>
      </c>
      <c r="G393" s="51">
        <f t="shared" si="24"/>
        <v>3239</v>
      </c>
      <c r="H393" s="52">
        <v>392</v>
      </c>
      <c r="I393" s="52">
        <f t="shared" si="25"/>
        <v>4397</v>
      </c>
    </row>
    <row r="394" spans="1:9">
      <c r="A394">
        <v>393</v>
      </c>
      <c r="B394" s="2">
        <v>393</v>
      </c>
      <c r="C394" s="2">
        <f t="shared" si="22"/>
        <v>924</v>
      </c>
      <c r="D394" s="3">
        <v>393</v>
      </c>
      <c r="E394" s="3">
        <f t="shared" si="23"/>
        <v>2082</v>
      </c>
      <c r="F394" s="51">
        <v>393</v>
      </c>
      <c r="G394" s="51">
        <f t="shared" si="24"/>
        <v>3240</v>
      </c>
      <c r="H394" s="52">
        <v>393</v>
      </c>
      <c r="I394" s="52">
        <f t="shared" si="25"/>
        <v>4398</v>
      </c>
    </row>
    <row r="395" spans="1:9">
      <c r="A395">
        <v>394</v>
      </c>
      <c r="B395" s="2">
        <v>394</v>
      </c>
      <c r="C395" s="2">
        <f t="shared" si="22"/>
        <v>925</v>
      </c>
      <c r="D395" s="3">
        <v>394</v>
      </c>
      <c r="E395" s="3">
        <f t="shared" si="23"/>
        <v>2083</v>
      </c>
      <c r="F395" s="51">
        <v>394</v>
      </c>
      <c r="G395" s="51">
        <f t="shared" si="24"/>
        <v>3241</v>
      </c>
      <c r="H395" s="52">
        <v>394</v>
      </c>
      <c r="I395" s="52">
        <f t="shared" si="25"/>
        <v>4399</v>
      </c>
    </row>
    <row r="396" spans="1:9">
      <c r="A396">
        <v>395</v>
      </c>
      <c r="B396" s="2">
        <v>395</v>
      </c>
      <c r="C396" s="2">
        <f t="shared" si="22"/>
        <v>927</v>
      </c>
      <c r="D396" s="3">
        <v>395</v>
      </c>
      <c r="E396" s="3">
        <f t="shared" si="23"/>
        <v>2085</v>
      </c>
      <c r="F396" s="51">
        <v>395</v>
      </c>
      <c r="G396" s="51">
        <f t="shared" si="24"/>
        <v>3243</v>
      </c>
      <c r="H396" s="52">
        <v>395</v>
      </c>
      <c r="I396" s="52">
        <f t="shared" si="25"/>
        <v>4401</v>
      </c>
    </row>
    <row r="397" spans="1:9">
      <c r="A397">
        <v>396</v>
      </c>
      <c r="B397" s="2">
        <v>396</v>
      </c>
      <c r="C397" s="2">
        <f t="shared" si="22"/>
        <v>928</v>
      </c>
      <c r="D397" s="3">
        <v>396</v>
      </c>
      <c r="E397" s="3">
        <f t="shared" si="23"/>
        <v>2086</v>
      </c>
      <c r="F397" s="51">
        <v>396</v>
      </c>
      <c r="G397" s="51">
        <f t="shared" si="24"/>
        <v>3244</v>
      </c>
      <c r="H397" s="52">
        <v>396</v>
      </c>
      <c r="I397" s="52">
        <f t="shared" si="25"/>
        <v>4402</v>
      </c>
    </row>
    <row r="398" spans="1:9">
      <c r="A398">
        <v>397</v>
      </c>
      <c r="B398" s="2">
        <v>397</v>
      </c>
      <c r="C398" s="2">
        <f t="shared" si="22"/>
        <v>929</v>
      </c>
      <c r="D398" s="3">
        <v>397</v>
      </c>
      <c r="E398" s="3">
        <f t="shared" si="23"/>
        <v>2087</v>
      </c>
      <c r="F398" s="51">
        <v>397</v>
      </c>
      <c r="G398" s="51">
        <f t="shared" si="24"/>
        <v>3245</v>
      </c>
      <c r="H398" s="52">
        <v>397</v>
      </c>
      <c r="I398" s="52">
        <f t="shared" si="25"/>
        <v>4403</v>
      </c>
    </row>
    <row r="399" spans="1:9">
      <c r="A399">
        <v>398</v>
      </c>
      <c r="B399" s="2">
        <v>398</v>
      </c>
      <c r="C399" s="2">
        <f t="shared" si="22"/>
        <v>931</v>
      </c>
      <c r="D399" s="3">
        <v>398</v>
      </c>
      <c r="E399" s="3">
        <f t="shared" si="23"/>
        <v>2089</v>
      </c>
      <c r="F399" s="51">
        <v>398</v>
      </c>
      <c r="G399" s="51">
        <f t="shared" si="24"/>
        <v>3247</v>
      </c>
      <c r="H399" s="52">
        <v>398</v>
      </c>
      <c r="I399" s="52">
        <f t="shared" si="25"/>
        <v>4405</v>
      </c>
    </row>
    <row r="400" spans="1:9">
      <c r="A400">
        <v>399</v>
      </c>
      <c r="B400" s="2">
        <v>399</v>
      </c>
      <c r="C400" s="2">
        <f t="shared" si="22"/>
        <v>932</v>
      </c>
      <c r="D400" s="3">
        <v>399</v>
      </c>
      <c r="E400" s="3">
        <f t="shared" si="23"/>
        <v>2090</v>
      </c>
      <c r="F400" s="51">
        <v>399</v>
      </c>
      <c r="G400" s="51">
        <f t="shared" si="24"/>
        <v>3248</v>
      </c>
      <c r="H400" s="52">
        <v>399</v>
      </c>
      <c r="I400" s="52">
        <f t="shared" si="25"/>
        <v>4406</v>
      </c>
    </row>
    <row r="401" spans="1:9">
      <c r="A401">
        <v>400</v>
      </c>
      <c r="B401" s="2">
        <v>400</v>
      </c>
      <c r="C401" s="2">
        <f t="shared" si="22"/>
        <v>933</v>
      </c>
      <c r="D401" s="3">
        <v>400</v>
      </c>
      <c r="E401" s="3">
        <f t="shared" si="23"/>
        <v>2091</v>
      </c>
      <c r="F401" s="51">
        <v>400</v>
      </c>
      <c r="G401" s="51">
        <f t="shared" si="24"/>
        <v>3249</v>
      </c>
      <c r="H401" s="52">
        <v>400</v>
      </c>
      <c r="I401" s="52">
        <f t="shared" si="25"/>
        <v>4407</v>
      </c>
    </row>
    <row r="402" spans="1:9">
      <c r="A402">
        <v>401</v>
      </c>
      <c r="B402" s="2">
        <v>401</v>
      </c>
      <c r="C402" s="2">
        <f t="shared" si="22"/>
        <v>935</v>
      </c>
      <c r="D402" s="3">
        <v>401</v>
      </c>
      <c r="E402" s="3">
        <f t="shared" si="23"/>
        <v>2093</v>
      </c>
      <c r="F402" s="51">
        <v>401</v>
      </c>
      <c r="G402" s="51">
        <f t="shared" si="24"/>
        <v>3251</v>
      </c>
      <c r="H402" s="52">
        <v>401</v>
      </c>
      <c r="I402" s="52">
        <f t="shared" si="25"/>
        <v>4409</v>
      </c>
    </row>
    <row r="403" spans="1:9">
      <c r="A403">
        <v>402</v>
      </c>
      <c r="B403" s="2">
        <v>402</v>
      </c>
      <c r="C403" s="2">
        <f t="shared" si="22"/>
        <v>936</v>
      </c>
      <c r="D403" s="3">
        <v>402</v>
      </c>
      <c r="E403" s="3">
        <f t="shared" si="23"/>
        <v>2094</v>
      </c>
      <c r="F403" s="51">
        <v>402</v>
      </c>
      <c r="G403" s="51">
        <f t="shared" si="24"/>
        <v>3252</v>
      </c>
      <c r="H403" s="52">
        <v>402</v>
      </c>
      <c r="I403" s="52">
        <f t="shared" si="25"/>
        <v>4410</v>
      </c>
    </row>
    <row r="404" spans="1:9">
      <c r="A404">
        <v>403</v>
      </c>
      <c r="B404" s="2">
        <v>403</v>
      </c>
      <c r="C404" s="2">
        <f t="shared" si="22"/>
        <v>937</v>
      </c>
      <c r="D404" s="3">
        <v>403</v>
      </c>
      <c r="E404" s="3">
        <f t="shared" si="23"/>
        <v>2095</v>
      </c>
      <c r="F404" s="51">
        <v>403</v>
      </c>
      <c r="G404" s="51">
        <f t="shared" si="24"/>
        <v>3253</v>
      </c>
      <c r="H404" s="52">
        <v>403</v>
      </c>
      <c r="I404" s="52">
        <f t="shared" si="25"/>
        <v>4411</v>
      </c>
    </row>
    <row r="405" spans="1:9">
      <c r="A405">
        <v>404</v>
      </c>
      <c r="B405" s="2">
        <v>404</v>
      </c>
      <c r="C405" s="2">
        <f t="shared" si="22"/>
        <v>939</v>
      </c>
      <c r="D405" s="3">
        <v>404</v>
      </c>
      <c r="E405" s="3">
        <f t="shared" si="23"/>
        <v>2097</v>
      </c>
      <c r="F405" s="51">
        <v>404</v>
      </c>
      <c r="G405" s="51">
        <f t="shared" si="24"/>
        <v>3255</v>
      </c>
      <c r="H405" s="52">
        <v>404</v>
      </c>
      <c r="I405" s="52">
        <f t="shared" si="25"/>
        <v>4413</v>
      </c>
    </row>
    <row r="406" spans="1:9">
      <c r="A406">
        <v>405</v>
      </c>
      <c r="B406" s="2">
        <v>405</v>
      </c>
      <c r="C406" s="2">
        <f t="shared" si="22"/>
        <v>940</v>
      </c>
      <c r="D406" s="3">
        <v>405</v>
      </c>
      <c r="E406" s="3">
        <f t="shared" si="23"/>
        <v>2098</v>
      </c>
      <c r="F406" s="51">
        <v>405</v>
      </c>
      <c r="G406" s="51">
        <f t="shared" si="24"/>
        <v>3256</v>
      </c>
      <c r="H406" s="52">
        <v>405</v>
      </c>
      <c r="I406" s="52">
        <f t="shared" si="25"/>
        <v>4414</v>
      </c>
    </row>
    <row r="407" spans="1:9">
      <c r="A407">
        <v>406</v>
      </c>
      <c r="B407" s="2">
        <v>406</v>
      </c>
      <c r="C407" s="2">
        <f t="shared" si="22"/>
        <v>941</v>
      </c>
      <c r="D407" s="3">
        <v>406</v>
      </c>
      <c r="E407" s="3">
        <f t="shared" si="23"/>
        <v>2099</v>
      </c>
      <c r="F407" s="51">
        <v>406</v>
      </c>
      <c r="G407" s="51">
        <f t="shared" si="24"/>
        <v>3257</v>
      </c>
      <c r="H407" s="52">
        <v>406</v>
      </c>
      <c r="I407" s="52">
        <f t="shared" si="25"/>
        <v>4415</v>
      </c>
    </row>
    <row r="408" spans="1:9">
      <c r="A408">
        <v>407</v>
      </c>
      <c r="B408" s="2">
        <v>407</v>
      </c>
      <c r="C408" s="2">
        <f t="shared" si="22"/>
        <v>943</v>
      </c>
      <c r="D408" s="3">
        <v>407</v>
      </c>
      <c r="E408" s="3">
        <f t="shared" si="23"/>
        <v>2101</v>
      </c>
      <c r="F408" s="51">
        <v>407</v>
      </c>
      <c r="G408" s="51">
        <f t="shared" si="24"/>
        <v>3259</v>
      </c>
      <c r="H408" s="52">
        <v>407</v>
      </c>
      <c r="I408" s="52">
        <f t="shared" si="25"/>
        <v>4417</v>
      </c>
    </row>
    <row r="409" spans="1:9">
      <c r="A409">
        <v>408</v>
      </c>
      <c r="B409" s="2">
        <v>408</v>
      </c>
      <c r="C409" s="2">
        <f t="shared" si="22"/>
        <v>944</v>
      </c>
      <c r="D409" s="3">
        <v>408</v>
      </c>
      <c r="E409" s="3">
        <f t="shared" si="23"/>
        <v>2102</v>
      </c>
      <c r="F409" s="51">
        <v>408</v>
      </c>
      <c r="G409" s="51">
        <f t="shared" si="24"/>
        <v>3260</v>
      </c>
      <c r="H409" s="52">
        <v>408</v>
      </c>
      <c r="I409" s="52">
        <f t="shared" si="25"/>
        <v>4418</v>
      </c>
    </row>
    <row r="410" spans="1:9">
      <c r="A410">
        <v>409</v>
      </c>
      <c r="B410" s="2">
        <v>409</v>
      </c>
      <c r="C410" s="2">
        <f t="shared" si="22"/>
        <v>945</v>
      </c>
      <c r="D410" s="3">
        <v>409</v>
      </c>
      <c r="E410" s="3">
        <f t="shared" si="23"/>
        <v>2103</v>
      </c>
      <c r="F410" s="51">
        <v>409</v>
      </c>
      <c r="G410" s="51">
        <f t="shared" si="24"/>
        <v>3261</v>
      </c>
      <c r="H410" s="52">
        <v>409</v>
      </c>
      <c r="I410" s="52">
        <f t="shared" si="25"/>
        <v>4419</v>
      </c>
    </row>
    <row r="411" spans="1:9">
      <c r="A411">
        <v>410</v>
      </c>
      <c r="B411" s="2">
        <v>410</v>
      </c>
      <c r="C411" s="2">
        <f t="shared" si="22"/>
        <v>947</v>
      </c>
      <c r="D411" s="3">
        <v>410</v>
      </c>
      <c r="E411" s="3">
        <f t="shared" si="23"/>
        <v>2105</v>
      </c>
      <c r="F411" s="51">
        <v>410</v>
      </c>
      <c r="G411" s="51">
        <f t="shared" si="24"/>
        <v>3263</v>
      </c>
      <c r="H411" s="52">
        <v>410</v>
      </c>
      <c r="I411" s="52">
        <f t="shared" si="25"/>
        <v>4421</v>
      </c>
    </row>
    <row r="412" spans="1:9">
      <c r="A412">
        <v>411</v>
      </c>
      <c r="B412" s="2">
        <v>411</v>
      </c>
      <c r="C412" s="2">
        <f t="shared" si="22"/>
        <v>948</v>
      </c>
      <c r="D412" s="3">
        <v>411</v>
      </c>
      <c r="E412" s="3">
        <f t="shared" si="23"/>
        <v>2106</v>
      </c>
      <c r="F412" s="51">
        <v>411</v>
      </c>
      <c r="G412" s="51">
        <f t="shared" si="24"/>
        <v>3264</v>
      </c>
      <c r="H412" s="52">
        <v>411</v>
      </c>
      <c r="I412" s="52">
        <f t="shared" si="25"/>
        <v>4422</v>
      </c>
    </row>
    <row r="413" spans="1:9">
      <c r="A413">
        <v>412</v>
      </c>
      <c r="B413" s="2">
        <v>412</v>
      </c>
      <c r="C413" s="2">
        <f t="shared" si="22"/>
        <v>949</v>
      </c>
      <c r="D413" s="3">
        <v>412</v>
      </c>
      <c r="E413" s="3">
        <f t="shared" si="23"/>
        <v>2107</v>
      </c>
      <c r="F413" s="51">
        <v>412</v>
      </c>
      <c r="G413" s="51">
        <f t="shared" si="24"/>
        <v>3265</v>
      </c>
      <c r="H413" s="52">
        <v>412</v>
      </c>
      <c r="I413" s="52">
        <f t="shared" si="25"/>
        <v>4423</v>
      </c>
    </row>
    <row r="414" spans="1:9">
      <c r="A414">
        <v>413</v>
      </c>
      <c r="B414" s="2">
        <v>413</v>
      </c>
      <c r="C414" s="2">
        <f t="shared" si="22"/>
        <v>951</v>
      </c>
      <c r="D414" s="3">
        <v>413</v>
      </c>
      <c r="E414" s="3">
        <f t="shared" si="23"/>
        <v>2109</v>
      </c>
      <c r="F414" s="51">
        <v>413</v>
      </c>
      <c r="G414" s="51">
        <f t="shared" si="24"/>
        <v>3267</v>
      </c>
      <c r="H414" s="52">
        <v>413</v>
      </c>
      <c r="I414" s="52">
        <f t="shared" si="25"/>
        <v>4425</v>
      </c>
    </row>
    <row r="415" spans="1:9">
      <c r="A415">
        <v>414</v>
      </c>
      <c r="B415" s="2">
        <v>414</v>
      </c>
      <c r="C415" s="2">
        <f t="shared" si="22"/>
        <v>952</v>
      </c>
      <c r="D415" s="3">
        <v>414</v>
      </c>
      <c r="E415" s="3">
        <f t="shared" si="23"/>
        <v>2110</v>
      </c>
      <c r="F415" s="51">
        <v>414</v>
      </c>
      <c r="G415" s="51">
        <f t="shared" si="24"/>
        <v>3268</v>
      </c>
      <c r="H415" s="52">
        <v>414</v>
      </c>
      <c r="I415" s="52">
        <f t="shared" si="25"/>
        <v>4426</v>
      </c>
    </row>
    <row r="416" spans="1:9">
      <c r="A416">
        <v>415</v>
      </c>
      <c r="B416" s="2">
        <v>415</v>
      </c>
      <c r="C416" s="2">
        <f t="shared" si="22"/>
        <v>953</v>
      </c>
      <c r="D416" s="3">
        <v>415</v>
      </c>
      <c r="E416" s="3">
        <f t="shared" si="23"/>
        <v>2111</v>
      </c>
      <c r="F416" s="51">
        <v>415</v>
      </c>
      <c r="G416" s="51">
        <f t="shared" si="24"/>
        <v>3269</v>
      </c>
      <c r="H416" s="52">
        <v>415</v>
      </c>
      <c r="I416" s="52">
        <f t="shared" si="25"/>
        <v>4427</v>
      </c>
    </row>
    <row r="417" spans="1:9">
      <c r="A417">
        <v>416</v>
      </c>
      <c r="B417" s="2">
        <v>416</v>
      </c>
      <c r="C417" s="2">
        <f t="shared" si="22"/>
        <v>955</v>
      </c>
      <c r="D417" s="3">
        <v>416</v>
      </c>
      <c r="E417" s="3">
        <f t="shared" si="23"/>
        <v>2113</v>
      </c>
      <c r="F417" s="51">
        <v>416</v>
      </c>
      <c r="G417" s="51">
        <f t="shared" si="24"/>
        <v>3271</v>
      </c>
      <c r="H417" s="52">
        <v>416</v>
      </c>
      <c r="I417" s="52">
        <f t="shared" si="25"/>
        <v>4429</v>
      </c>
    </row>
    <row r="418" spans="1:9">
      <c r="A418">
        <v>417</v>
      </c>
      <c r="B418" s="2">
        <v>417</v>
      </c>
      <c r="C418" s="2">
        <f t="shared" si="22"/>
        <v>956</v>
      </c>
      <c r="D418" s="3">
        <v>417</v>
      </c>
      <c r="E418" s="3">
        <f t="shared" si="23"/>
        <v>2114</v>
      </c>
      <c r="F418" s="51">
        <v>417</v>
      </c>
      <c r="G418" s="51">
        <f t="shared" si="24"/>
        <v>3272</v>
      </c>
      <c r="H418" s="52">
        <v>417</v>
      </c>
      <c r="I418" s="52">
        <f t="shared" si="25"/>
        <v>4430</v>
      </c>
    </row>
    <row r="419" spans="1:9">
      <c r="A419">
        <v>418</v>
      </c>
      <c r="B419" s="2">
        <v>418</v>
      </c>
      <c r="C419" s="2">
        <f t="shared" si="22"/>
        <v>957</v>
      </c>
      <c r="D419" s="3">
        <v>418</v>
      </c>
      <c r="E419" s="3">
        <f t="shared" si="23"/>
        <v>2115</v>
      </c>
      <c r="F419" s="51">
        <v>418</v>
      </c>
      <c r="G419" s="51">
        <f t="shared" si="24"/>
        <v>3273</v>
      </c>
      <c r="H419" s="52">
        <v>418</v>
      </c>
      <c r="I419" s="52">
        <f t="shared" si="25"/>
        <v>4431</v>
      </c>
    </row>
    <row r="420" spans="1:9">
      <c r="A420">
        <v>419</v>
      </c>
      <c r="B420" s="2">
        <v>419</v>
      </c>
      <c r="C420" s="2">
        <f t="shared" si="22"/>
        <v>959</v>
      </c>
      <c r="D420" s="3">
        <v>419</v>
      </c>
      <c r="E420" s="3">
        <f t="shared" si="23"/>
        <v>2117</v>
      </c>
      <c r="F420" s="51">
        <v>419</v>
      </c>
      <c r="G420" s="51">
        <f t="shared" si="24"/>
        <v>3275</v>
      </c>
      <c r="H420" s="52">
        <v>419</v>
      </c>
      <c r="I420" s="52">
        <f t="shared" si="25"/>
        <v>4433</v>
      </c>
    </row>
    <row r="421" spans="1:9">
      <c r="A421">
        <v>420</v>
      </c>
      <c r="B421" s="2">
        <v>420</v>
      </c>
      <c r="C421" s="2">
        <f t="shared" si="22"/>
        <v>960</v>
      </c>
      <c r="D421" s="3">
        <v>420</v>
      </c>
      <c r="E421" s="3">
        <f t="shared" si="23"/>
        <v>2118</v>
      </c>
      <c r="F421" s="51">
        <v>420</v>
      </c>
      <c r="G421" s="51">
        <f t="shared" si="24"/>
        <v>3276</v>
      </c>
      <c r="H421" s="52">
        <v>420</v>
      </c>
      <c r="I421" s="52">
        <f t="shared" si="25"/>
        <v>4434</v>
      </c>
    </row>
    <row r="422" spans="1:9">
      <c r="A422">
        <v>421</v>
      </c>
      <c r="B422" s="2">
        <v>421</v>
      </c>
      <c r="C422" s="2">
        <f t="shared" si="22"/>
        <v>961</v>
      </c>
      <c r="D422" s="3">
        <v>421</v>
      </c>
      <c r="E422" s="3">
        <f t="shared" si="23"/>
        <v>2119</v>
      </c>
      <c r="F422" s="51">
        <v>421</v>
      </c>
      <c r="G422" s="51">
        <f t="shared" si="24"/>
        <v>3277</v>
      </c>
      <c r="H422" s="52">
        <v>421</v>
      </c>
      <c r="I422" s="52">
        <f t="shared" si="25"/>
        <v>4435</v>
      </c>
    </row>
    <row r="423" spans="1:9">
      <c r="A423">
        <v>422</v>
      </c>
      <c r="B423" s="2">
        <v>422</v>
      </c>
      <c r="C423" s="2">
        <f t="shared" si="22"/>
        <v>963</v>
      </c>
      <c r="D423" s="3">
        <v>422</v>
      </c>
      <c r="E423" s="3">
        <f t="shared" si="23"/>
        <v>2121</v>
      </c>
      <c r="F423" s="51">
        <v>422</v>
      </c>
      <c r="G423" s="51">
        <f t="shared" si="24"/>
        <v>3279</v>
      </c>
      <c r="H423" s="52">
        <v>422</v>
      </c>
      <c r="I423" s="52">
        <f t="shared" si="25"/>
        <v>4437</v>
      </c>
    </row>
    <row r="424" spans="1:9">
      <c r="A424">
        <v>423</v>
      </c>
      <c r="B424" s="2">
        <v>423</v>
      </c>
      <c r="C424" s="2">
        <f t="shared" si="22"/>
        <v>964</v>
      </c>
      <c r="D424" s="3">
        <v>423</v>
      </c>
      <c r="E424" s="3">
        <f t="shared" si="23"/>
        <v>2122</v>
      </c>
      <c r="F424" s="51">
        <v>423</v>
      </c>
      <c r="G424" s="51">
        <f t="shared" si="24"/>
        <v>3280</v>
      </c>
      <c r="H424" s="52">
        <v>423</v>
      </c>
      <c r="I424" s="52">
        <f t="shared" si="25"/>
        <v>4438</v>
      </c>
    </row>
    <row r="425" spans="1:9">
      <c r="A425">
        <v>424</v>
      </c>
      <c r="B425" s="2">
        <v>424</v>
      </c>
      <c r="C425" s="2">
        <f t="shared" si="22"/>
        <v>965</v>
      </c>
      <c r="D425" s="3">
        <v>424</v>
      </c>
      <c r="E425" s="3">
        <f t="shared" si="23"/>
        <v>2123</v>
      </c>
      <c r="F425" s="51">
        <v>424</v>
      </c>
      <c r="G425" s="51">
        <f t="shared" si="24"/>
        <v>3281</v>
      </c>
      <c r="H425" s="52">
        <v>424</v>
      </c>
      <c r="I425" s="52">
        <f t="shared" si="25"/>
        <v>4439</v>
      </c>
    </row>
    <row r="426" spans="1:9">
      <c r="A426">
        <v>425</v>
      </c>
      <c r="B426" s="2">
        <v>425</v>
      </c>
      <c r="C426" s="2">
        <f t="shared" si="22"/>
        <v>967</v>
      </c>
      <c r="D426" s="3">
        <v>425</v>
      </c>
      <c r="E426" s="3">
        <f t="shared" si="23"/>
        <v>2125</v>
      </c>
      <c r="F426" s="51">
        <v>425</v>
      </c>
      <c r="G426" s="51">
        <f t="shared" si="24"/>
        <v>3283</v>
      </c>
      <c r="H426" s="52">
        <v>425</v>
      </c>
      <c r="I426" s="52">
        <f t="shared" si="25"/>
        <v>4441</v>
      </c>
    </row>
    <row r="427" spans="1:9">
      <c r="A427">
        <v>426</v>
      </c>
      <c r="B427" s="2">
        <v>426</v>
      </c>
      <c r="C427" s="2">
        <f t="shared" si="22"/>
        <v>968</v>
      </c>
      <c r="D427" s="3">
        <v>426</v>
      </c>
      <c r="E427" s="3">
        <f t="shared" si="23"/>
        <v>2126</v>
      </c>
      <c r="F427" s="51">
        <v>426</v>
      </c>
      <c r="G427" s="51">
        <f t="shared" si="24"/>
        <v>3284</v>
      </c>
      <c r="H427" s="52">
        <v>426</v>
      </c>
      <c r="I427" s="52">
        <f t="shared" si="25"/>
        <v>4442</v>
      </c>
    </row>
    <row r="428" spans="1:9">
      <c r="A428">
        <v>427</v>
      </c>
      <c r="B428" s="2">
        <v>427</v>
      </c>
      <c r="C428" s="2">
        <f t="shared" si="22"/>
        <v>969</v>
      </c>
      <c r="D428" s="3">
        <v>427</v>
      </c>
      <c r="E428" s="3">
        <f t="shared" si="23"/>
        <v>2127</v>
      </c>
      <c r="F428" s="51">
        <v>427</v>
      </c>
      <c r="G428" s="51">
        <f t="shared" si="24"/>
        <v>3285</v>
      </c>
      <c r="H428" s="52">
        <v>427</v>
      </c>
      <c r="I428" s="52">
        <f t="shared" si="25"/>
        <v>4443</v>
      </c>
    </row>
    <row r="429" spans="1:9">
      <c r="A429">
        <v>428</v>
      </c>
      <c r="B429" s="2">
        <v>428</v>
      </c>
      <c r="C429" s="2">
        <f t="shared" si="22"/>
        <v>971</v>
      </c>
      <c r="D429" s="3">
        <v>428</v>
      </c>
      <c r="E429" s="3">
        <f t="shared" si="23"/>
        <v>2129</v>
      </c>
      <c r="F429" s="51">
        <v>428</v>
      </c>
      <c r="G429" s="51">
        <f t="shared" si="24"/>
        <v>3287</v>
      </c>
      <c r="H429" s="52">
        <v>428</v>
      </c>
      <c r="I429" s="52">
        <f t="shared" si="25"/>
        <v>4445</v>
      </c>
    </row>
    <row r="430" spans="1:9">
      <c r="A430">
        <v>429</v>
      </c>
      <c r="B430" s="2">
        <v>429</v>
      </c>
      <c r="C430" s="2">
        <f t="shared" si="22"/>
        <v>972</v>
      </c>
      <c r="D430" s="3">
        <v>429</v>
      </c>
      <c r="E430" s="3">
        <f t="shared" si="23"/>
        <v>2130</v>
      </c>
      <c r="F430" s="51">
        <v>429</v>
      </c>
      <c r="G430" s="51">
        <f t="shared" si="24"/>
        <v>3288</v>
      </c>
      <c r="H430" s="52">
        <v>429</v>
      </c>
      <c r="I430" s="52">
        <f t="shared" si="25"/>
        <v>4446</v>
      </c>
    </row>
    <row r="431" spans="1:9">
      <c r="A431">
        <v>430</v>
      </c>
      <c r="B431" s="2">
        <v>430</v>
      </c>
      <c r="C431" s="2">
        <f t="shared" si="22"/>
        <v>973</v>
      </c>
      <c r="D431" s="3">
        <v>430</v>
      </c>
      <c r="E431" s="3">
        <f t="shared" si="23"/>
        <v>2131</v>
      </c>
      <c r="F431" s="51">
        <v>430</v>
      </c>
      <c r="G431" s="51">
        <f t="shared" si="24"/>
        <v>3289</v>
      </c>
      <c r="H431" s="52">
        <v>430</v>
      </c>
      <c r="I431" s="52">
        <f t="shared" si="25"/>
        <v>4447</v>
      </c>
    </row>
    <row r="432" spans="1:9">
      <c r="A432">
        <v>431</v>
      </c>
      <c r="B432" s="2">
        <v>431</v>
      </c>
      <c r="C432" s="2">
        <f t="shared" si="22"/>
        <v>975</v>
      </c>
      <c r="D432" s="3">
        <v>431</v>
      </c>
      <c r="E432" s="3">
        <f t="shared" si="23"/>
        <v>2133</v>
      </c>
      <c r="F432" s="51">
        <v>431</v>
      </c>
      <c r="G432" s="51">
        <f t="shared" si="24"/>
        <v>3291</v>
      </c>
      <c r="H432" s="52">
        <v>431</v>
      </c>
      <c r="I432" s="52">
        <f t="shared" si="25"/>
        <v>4449</v>
      </c>
    </row>
    <row r="433" spans="1:9">
      <c r="A433">
        <v>432</v>
      </c>
      <c r="B433" s="2">
        <v>432</v>
      </c>
      <c r="C433" s="2">
        <f t="shared" si="22"/>
        <v>976</v>
      </c>
      <c r="D433" s="3">
        <v>432</v>
      </c>
      <c r="E433" s="3">
        <f t="shared" si="23"/>
        <v>2134</v>
      </c>
      <c r="F433" s="51">
        <v>432</v>
      </c>
      <c r="G433" s="51">
        <f t="shared" si="24"/>
        <v>3292</v>
      </c>
      <c r="H433" s="52">
        <v>432</v>
      </c>
      <c r="I433" s="52">
        <f t="shared" si="25"/>
        <v>4450</v>
      </c>
    </row>
    <row r="434" spans="1:9">
      <c r="A434">
        <v>433</v>
      </c>
      <c r="B434" s="2">
        <v>433</v>
      </c>
      <c r="C434" s="2">
        <f t="shared" si="22"/>
        <v>977</v>
      </c>
      <c r="D434" s="3">
        <v>433</v>
      </c>
      <c r="E434" s="3">
        <f t="shared" si="23"/>
        <v>2135</v>
      </c>
      <c r="F434" s="51">
        <v>433</v>
      </c>
      <c r="G434" s="51">
        <f t="shared" si="24"/>
        <v>3293</v>
      </c>
      <c r="H434" s="52">
        <v>433</v>
      </c>
      <c r="I434" s="52">
        <f t="shared" si="25"/>
        <v>4451</v>
      </c>
    </row>
    <row r="435" spans="1:9">
      <c r="A435">
        <v>434</v>
      </c>
      <c r="B435" s="2">
        <v>434</v>
      </c>
      <c r="C435" s="2">
        <f t="shared" si="22"/>
        <v>979</v>
      </c>
      <c r="D435" s="3">
        <v>434</v>
      </c>
      <c r="E435" s="3">
        <f t="shared" si="23"/>
        <v>2137</v>
      </c>
      <c r="F435" s="51">
        <v>434</v>
      </c>
      <c r="G435" s="51">
        <f t="shared" si="24"/>
        <v>3295</v>
      </c>
      <c r="H435" s="52">
        <v>434</v>
      </c>
      <c r="I435" s="52">
        <f t="shared" si="25"/>
        <v>4453</v>
      </c>
    </row>
    <row r="436" spans="1:9">
      <c r="A436">
        <v>435</v>
      </c>
      <c r="B436" s="2">
        <v>435</v>
      </c>
      <c r="C436" s="2">
        <f t="shared" si="22"/>
        <v>980</v>
      </c>
      <c r="D436" s="3">
        <v>435</v>
      </c>
      <c r="E436" s="3">
        <f t="shared" si="23"/>
        <v>2138</v>
      </c>
      <c r="F436" s="51">
        <v>435</v>
      </c>
      <c r="G436" s="51">
        <f t="shared" si="24"/>
        <v>3296</v>
      </c>
      <c r="H436" s="52">
        <v>435</v>
      </c>
      <c r="I436" s="52">
        <f t="shared" si="25"/>
        <v>4454</v>
      </c>
    </row>
    <row r="437" spans="1:9">
      <c r="A437">
        <v>436</v>
      </c>
      <c r="B437" s="2">
        <v>436</v>
      </c>
      <c r="C437" s="2">
        <f t="shared" si="22"/>
        <v>981</v>
      </c>
      <c r="D437" s="3">
        <v>436</v>
      </c>
      <c r="E437" s="3">
        <f t="shared" si="23"/>
        <v>2139</v>
      </c>
      <c r="F437" s="51">
        <v>436</v>
      </c>
      <c r="G437" s="51">
        <f t="shared" si="24"/>
        <v>3297</v>
      </c>
      <c r="H437" s="52">
        <v>436</v>
      </c>
      <c r="I437" s="52">
        <f t="shared" si="25"/>
        <v>4455</v>
      </c>
    </row>
    <row r="438" spans="1:9">
      <c r="A438">
        <v>437</v>
      </c>
      <c r="B438" s="2">
        <v>437</v>
      </c>
      <c r="C438" s="2">
        <f t="shared" si="22"/>
        <v>983</v>
      </c>
      <c r="D438" s="3">
        <v>437</v>
      </c>
      <c r="E438" s="3">
        <f t="shared" si="23"/>
        <v>2141</v>
      </c>
      <c r="F438" s="51">
        <v>437</v>
      </c>
      <c r="G438" s="51">
        <f t="shared" si="24"/>
        <v>3299</v>
      </c>
      <c r="H438" s="52">
        <v>437</v>
      </c>
      <c r="I438" s="52">
        <f t="shared" si="25"/>
        <v>4457</v>
      </c>
    </row>
    <row r="439" spans="1:9">
      <c r="A439">
        <v>438</v>
      </c>
      <c r="B439" s="2">
        <v>438</v>
      </c>
      <c r="C439" s="2">
        <f t="shared" si="22"/>
        <v>984</v>
      </c>
      <c r="D439" s="3">
        <v>438</v>
      </c>
      <c r="E439" s="3">
        <f t="shared" si="23"/>
        <v>2142</v>
      </c>
      <c r="F439" s="51">
        <v>438</v>
      </c>
      <c r="G439" s="51">
        <f t="shared" si="24"/>
        <v>3300</v>
      </c>
      <c r="H439" s="52">
        <v>438</v>
      </c>
      <c r="I439" s="52">
        <f t="shared" si="25"/>
        <v>4458</v>
      </c>
    </row>
    <row r="440" spans="1:9">
      <c r="A440">
        <v>439</v>
      </c>
      <c r="B440" s="2">
        <v>439</v>
      </c>
      <c r="C440" s="2">
        <f t="shared" si="22"/>
        <v>985</v>
      </c>
      <c r="D440" s="3">
        <v>439</v>
      </c>
      <c r="E440" s="3">
        <f t="shared" si="23"/>
        <v>2143</v>
      </c>
      <c r="F440" s="51">
        <v>439</v>
      </c>
      <c r="G440" s="51">
        <f t="shared" si="24"/>
        <v>3301</v>
      </c>
      <c r="H440" s="52">
        <v>439</v>
      </c>
      <c r="I440" s="52">
        <f t="shared" si="25"/>
        <v>4459</v>
      </c>
    </row>
    <row r="441" spans="1:9">
      <c r="A441">
        <v>440</v>
      </c>
      <c r="B441" s="2">
        <v>440</v>
      </c>
      <c r="C441" s="2">
        <f t="shared" si="22"/>
        <v>987</v>
      </c>
      <c r="D441" s="3">
        <v>440</v>
      </c>
      <c r="E441" s="3">
        <f t="shared" si="23"/>
        <v>2145</v>
      </c>
      <c r="F441" s="51">
        <v>440</v>
      </c>
      <c r="G441" s="51">
        <f t="shared" si="24"/>
        <v>3303</v>
      </c>
      <c r="H441" s="52">
        <v>440</v>
      </c>
      <c r="I441" s="52">
        <f t="shared" si="25"/>
        <v>4461</v>
      </c>
    </row>
    <row r="442" spans="1:9">
      <c r="A442">
        <v>441</v>
      </c>
      <c r="B442" s="2">
        <v>441</v>
      </c>
      <c r="C442" s="2">
        <f t="shared" si="22"/>
        <v>988</v>
      </c>
      <c r="D442" s="3">
        <v>441</v>
      </c>
      <c r="E442" s="3">
        <f t="shared" si="23"/>
        <v>2146</v>
      </c>
      <c r="F442" s="51">
        <v>441</v>
      </c>
      <c r="G442" s="51">
        <f t="shared" si="24"/>
        <v>3304</v>
      </c>
      <c r="H442" s="52">
        <v>441</v>
      </c>
      <c r="I442" s="52">
        <f t="shared" si="25"/>
        <v>4462</v>
      </c>
    </row>
    <row r="443" spans="1:9">
      <c r="A443">
        <v>442</v>
      </c>
      <c r="B443" s="2">
        <v>442</v>
      </c>
      <c r="C443" s="2">
        <f t="shared" si="22"/>
        <v>989</v>
      </c>
      <c r="D443" s="3">
        <v>442</v>
      </c>
      <c r="E443" s="3">
        <f t="shared" si="23"/>
        <v>2147</v>
      </c>
      <c r="F443" s="51">
        <v>442</v>
      </c>
      <c r="G443" s="51">
        <f t="shared" si="24"/>
        <v>3305</v>
      </c>
      <c r="H443" s="52">
        <v>442</v>
      </c>
      <c r="I443" s="52">
        <f t="shared" si="25"/>
        <v>4463</v>
      </c>
    </row>
    <row r="444" spans="1:9">
      <c r="A444">
        <v>443</v>
      </c>
      <c r="B444" s="2">
        <v>443</v>
      </c>
      <c r="C444" s="2">
        <f t="shared" ref="C444:C507" si="26">INT((B444-B$122)*1.3333333)+C$122</f>
        <v>991</v>
      </c>
      <c r="D444" s="3">
        <v>443</v>
      </c>
      <c r="E444" s="3">
        <f t="shared" si="23"/>
        <v>2149</v>
      </c>
      <c r="F444" s="51">
        <v>443</v>
      </c>
      <c r="G444" s="51">
        <f t="shared" si="24"/>
        <v>3307</v>
      </c>
      <c r="H444" s="52">
        <v>443</v>
      </c>
      <c r="I444" s="52">
        <f t="shared" si="25"/>
        <v>4465</v>
      </c>
    </row>
    <row r="445" spans="1:9">
      <c r="A445">
        <v>444</v>
      </c>
      <c r="B445" s="2">
        <v>444</v>
      </c>
      <c r="C445" s="2">
        <f t="shared" si="26"/>
        <v>992</v>
      </c>
      <c r="D445" s="3">
        <v>444</v>
      </c>
      <c r="E445" s="3">
        <f t="shared" si="23"/>
        <v>2150</v>
      </c>
      <c r="F445" s="51">
        <v>444</v>
      </c>
      <c r="G445" s="51">
        <f t="shared" si="24"/>
        <v>3308</v>
      </c>
      <c r="H445" s="52">
        <v>444</v>
      </c>
      <c r="I445" s="52">
        <f t="shared" si="25"/>
        <v>4466</v>
      </c>
    </row>
    <row r="446" spans="1:9">
      <c r="A446">
        <v>445</v>
      </c>
      <c r="B446" s="2">
        <v>445</v>
      </c>
      <c r="C446" s="2">
        <f t="shared" si="26"/>
        <v>993</v>
      </c>
      <c r="D446" s="3">
        <v>445</v>
      </c>
      <c r="E446" s="3">
        <f t="shared" si="23"/>
        <v>2151</v>
      </c>
      <c r="F446" s="51">
        <v>445</v>
      </c>
      <c r="G446" s="51">
        <f t="shared" si="24"/>
        <v>3309</v>
      </c>
      <c r="H446" s="52">
        <v>445</v>
      </c>
      <c r="I446" s="52">
        <f t="shared" si="25"/>
        <v>4467</v>
      </c>
    </row>
    <row r="447" spans="1:9">
      <c r="A447">
        <v>446</v>
      </c>
      <c r="B447" s="2">
        <v>446</v>
      </c>
      <c r="C447" s="2">
        <f t="shared" si="26"/>
        <v>995</v>
      </c>
      <c r="D447" s="3">
        <v>446</v>
      </c>
      <c r="E447" s="3">
        <f t="shared" si="23"/>
        <v>2153</v>
      </c>
      <c r="F447" s="51">
        <v>446</v>
      </c>
      <c r="G447" s="51">
        <f t="shared" si="24"/>
        <v>3311</v>
      </c>
      <c r="H447" s="52">
        <v>446</v>
      </c>
      <c r="I447" s="52">
        <f t="shared" si="25"/>
        <v>4469</v>
      </c>
    </row>
    <row r="448" spans="1:9">
      <c r="A448">
        <v>447</v>
      </c>
      <c r="B448" s="2">
        <v>447</v>
      </c>
      <c r="C448" s="2">
        <f t="shared" si="26"/>
        <v>996</v>
      </c>
      <c r="D448" s="3">
        <v>447</v>
      </c>
      <c r="E448" s="3">
        <f t="shared" si="23"/>
        <v>2154</v>
      </c>
      <c r="F448" s="51">
        <v>447</v>
      </c>
      <c r="G448" s="51">
        <f t="shared" si="24"/>
        <v>3312</v>
      </c>
      <c r="H448" s="52">
        <v>447</v>
      </c>
      <c r="I448" s="52">
        <f t="shared" si="25"/>
        <v>4470</v>
      </c>
    </row>
    <row r="449" spans="1:9">
      <c r="A449">
        <v>448</v>
      </c>
      <c r="B449" s="2">
        <v>448</v>
      </c>
      <c r="C449" s="2">
        <f t="shared" si="26"/>
        <v>997</v>
      </c>
      <c r="D449" s="3">
        <v>448</v>
      </c>
      <c r="E449" s="3">
        <f t="shared" si="23"/>
        <v>2155</v>
      </c>
      <c r="F449" s="51">
        <v>448</v>
      </c>
      <c r="G449" s="51">
        <f t="shared" si="24"/>
        <v>3313</v>
      </c>
      <c r="H449" s="52">
        <v>448</v>
      </c>
      <c r="I449" s="52">
        <f t="shared" si="25"/>
        <v>4471</v>
      </c>
    </row>
    <row r="450" spans="1:9">
      <c r="A450">
        <v>449</v>
      </c>
      <c r="B450" s="2">
        <v>449</v>
      </c>
      <c r="C450" s="2">
        <f t="shared" si="26"/>
        <v>999</v>
      </c>
      <c r="D450" s="3">
        <v>449</v>
      </c>
      <c r="E450" s="3">
        <f t="shared" si="23"/>
        <v>2157</v>
      </c>
      <c r="F450" s="51">
        <v>449</v>
      </c>
      <c r="G450" s="51">
        <f t="shared" si="24"/>
        <v>3315</v>
      </c>
      <c r="H450" s="52">
        <v>449</v>
      </c>
      <c r="I450" s="52">
        <f t="shared" si="25"/>
        <v>4473</v>
      </c>
    </row>
    <row r="451" spans="1:9">
      <c r="A451">
        <v>450</v>
      </c>
      <c r="B451" s="2">
        <v>450</v>
      </c>
      <c r="C451" s="2">
        <f t="shared" si="26"/>
        <v>1000</v>
      </c>
      <c r="D451" s="3">
        <v>450</v>
      </c>
      <c r="E451" s="3">
        <f t="shared" si="23"/>
        <v>2158</v>
      </c>
      <c r="F451" s="51">
        <v>450</v>
      </c>
      <c r="G451" s="51">
        <f t="shared" si="24"/>
        <v>3316</v>
      </c>
      <c r="H451" s="52">
        <v>450</v>
      </c>
      <c r="I451" s="52">
        <f t="shared" si="25"/>
        <v>4474</v>
      </c>
    </row>
    <row r="452" spans="1:9">
      <c r="A452">
        <v>451</v>
      </c>
      <c r="B452" s="2">
        <v>451</v>
      </c>
      <c r="C452" s="2">
        <f t="shared" si="26"/>
        <v>1001</v>
      </c>
      <c r="D452" s="3">
        <v>451</v>
      </c>
      <c r="E452" s="3">
        <f t="shared" ref="E452:E515" si="27">INT((D452-D$2)*1.3333333)+E$2</f>
        <v>2159</v>
      </c>
      <c r="F452" s="51">
        <v>451</v>
      </c>
      <c r="G452" s="51">
        <f t="shared" ref="G452:G515" si="28">INT((F452-F$2)*1.3333333)+G$2</f>
        <v>3317</v>
      </c>
      <c r="H452" s="52">
        <v>451</v>
      </c>
      <c r="I452" s="52">
        <f t="shared" ref="I452:I515" si="29">INT((H452-H$2)*1.3333333)+I$2</f>
        <v>4475</v>
      </c>
    </row>
    <row r="453" spans="1:9">
      <c r="A453">
        <v>452</v>
      </c>
      <c r="B453" s="2">
        <v>452</v>
      </c>
      <c r="C453" s="2">
        <f t="shared" si="26"/>
        <v>1003</v>
      </c>
      <c r="D453" s="3">
        <v>452</v>
      </c>
      <c r="E453" s="3">
        <f t="shared" si="27"/>
        <v>2161</v>
      </c>
      <c r="F453" s="51">
        <v>452</v>
      </c>
      <c r="G453" s="51">
        <f t="shared" si="28"/>
        <v>3319</v>
      </c>
      <c r="H453" s="52">
        <v>452</v>
      </c>
      <c r="I453" s="52">
        <f t="shared" si="29"/>
        <v>4477</v>
      </c>
    </row>
    <row r="454" spans="1:9">
      <c r="A454">
        <v>453</v>
      </c>
      <c r="B454" s="2">
        <v>453</v>
      </c>
      <c r="C454" s="2">
        <f t="shared" si="26"/>
        <v>1004</v>
      </c>
      <c r="D454" s="3">
        <v>453</v>
      </c>
      <c r="E454" s="3">
        <f t="shared" si="27"/>
        <v>2162</v>
      </c>
      <c r="F454" s="51">
        <v>453</v>
      </c>
      <c r="G454" s="51">
        <f t="shared" si="28"/>
        <v>3320</v>
      </c>
      <c r="H454" s="52">
        <v>453</v>
      </c>
      <c r="I454" s="52">
        <f t="shared" si="29"/>
        <v>4478</v>
      </c>
    </row>
    <row r="455" spans="1:9">
      <c r="A455">
        <v>454</v>
      </c>
      <c r="B455" s="2">
        <v>454</v>
      </c>
      <c r="C455" s="2">
        <f t="shared" si="26"/>
        <v>1005</v>
      </c>
      <c r="D455" s="3">
        <v>454</v>
      </c>
      <c r="E455" s="3">
        <f t="shared" si="27"/>
        <v>2163</v>
      </c>
      <c r="F455" s="51">
        <v>454</v>
      </c>
      <c r="G455" s="51">
        <f t="shared" si="28"/>
        <v>3321</v>
      </c>
      <c r="H455" s="52">
        <v>454</v>
      </c>
      <c r="I455" s="52">
        <f t="shared" si="29"/>
        <v>4479</v>
      </c>
    </row>
    <row r="456" spans="1:9">
      <c r="A456">
        <v>455</v>
      </c>
      <c r="B456" s="2">
        <v>455</v>
      </c>
      <c r="C456" s="2">
        <f t="shared" si="26"/>
        <v>1007</v>
      </c>
      <c r="D456" s="3">
        <v>455</v>
      </c>
      <c r="E456" s="3">
        <f t="shared" si="27"/>
        <v>2165</v>
      </c>
      <c r="F456" s="51">
        <v>455</v>
      </c>
      <c r="G456" s="51">
        <f t="shared" si="28"/>
        <v>3323</v>
      </c>
      <c r="H456" s="52">
        <v>455</v>
      </c>
      <c r="I456" s="52">
        <f t="shared" si="29"/>
        <v>4481</v>
      </c>
    </row>
    <row r="457" spans="1:9">
      <c r="A457">
        <v>456</v>
      </c>
      <c r="B457" s="2">
        <v>456</v>
      </c>
      <c r="C457" s="2">
        <f t="shared" si="26"/>
        <v>1008</v>
      </c>
      <c r="D457" s="3">
        <v>456</v>
      </c>
      <c r="E457" s="3">
        <f t="shared" si="27"/>
        <v>2166</v>
      </c>
      <c r="F457" s="51">
        <v>456</v>
      </c>
      <c r="G457" s="51">
        <f t="shared" si="28"/>
        <v>3324</v>
      </c>
      <c r="H457" s="52">
        <v>456</v>
      </c>
      <c r="I457" s="52">
        <f t="shared" si="29"/>
        <v>4482</v>
      </c>
    </row>
    <row r="458" spans="1:9">
      <c r="A458">
        <v>457</v>
      </c>
      <c r="B458" s="2">
        <v>457</v>
      </c>
      <c r="C458" s="2">
        <f t="shared" si="26"/>
        <v>1009</v>
      </c>
      <c r="D458" s="3">
        <v>457</v>
      </c>
      <c r="E458" s="3">
        <f t="shared" si="27"/>
        <v>2167</v>
      </c>
      <c r="F458" s="51">
        <v>457</v>
      </c>
      <c r="G458" s="51">
        <f t="shared" si="28"/>
        <v>3325</v>
      </c>
      <c r="H458" s="52">
        <v>457</v>
      </c>
      <c r="I458" s="52">
        <f t="shared" si="29"/>
        <v>4483</v>
      </c>
    </row>
    <row r="459" spans="1:9">
      <c r="A459">
        <v>458</v>
      </c>
      <c r="B459" s="2">
        <v>458</v>
      </c>
      <c r="C459" s="2">
        <f t="shared" si="26"/>
        <v>1011</v>
      </c>
      <c r="D459" s="3">
        <v>458</v>
      </c>
      <c r="E459" s="3">
        <f t="shared" si="27"/>
        <v>2169</v>
      </c>
      <c r="F459" s="51">
        <v>458</v>
      </c>
      <c r="G459" s="51">
        <f t="shared" si="28"/>
        <v>3327</v>
      </c>
      <c r="H459" s="52">
        <v>458</v>
      </c>
      <c r="I459" s="52">
        <f t="shared" si="29"/>
        <v>4485</v>
      </c>
    </row>
    <row r="460" spans="1:9">
      <c r="A460">
        <v>459</v>
      </c>
      <c r="B460" s="2">
        <v>459</v>
      </c>
      <c r="C460" s="2">
        <f t="shared" si="26"/>
        <v>1012</v>
      </c>
      <c r="D460" s="3">
        <v>459</v>
      </c>
      <c r="E460" s="3">
        <f t="shared" si="27"/>
        <v>2170</v>
      </c>
      <c r="F460" s="51">
        <v>459</v>
      </c>
      <c r="G460" s="51">
        <f t="shared" si="28"/>
        <v>3328</v>
      </c>
      <c r="H460" s="52">
        <v>459</v>
      </c>
      <c r="I460" s="52">
        <f t="shared" si="29"/>
        <v>4486</v>
      </c>
    </row>
    <row r="461" spans="1:9">
      <c r="A461">
        <v>460</v>
      </c>
      <c r="B461" s="2">
        <v>460</v>
      </c>
      <c r="C461" s="2">
        <f t="shared" si="26"/>
        <v>1013</v>
      </c>
      <c r="D461" s="3">
        <v>460</v>
      </c>
      <c r="E461" s="3">
        <f t="shared" si="27"/>
        <v>2171</v>
      </c>
      <c r="F461" s="51">
        <v>460</v>
      </c>
      <c r="G461" s="51">
        <f t="shared" si="28"/>
        <v>3329</v>
      </c>
      <c r="H461" s="52">
        <v>460</v>
      </c>
      <c r="I461" s="52">
        <f t="shared" si="29"/>
        <v>4487</v>
      </c>
    </row>
    <row r="462" spans="1:9">
      <c r="A462">
        <v>461</v>
      </c>
      <c r="B462" s="2">
        <v>461</v>
      </c>
      <c r="C462" s="2">
        <f t="shared" si="26"/>
        <v>1015</v>
      </c>
      <c r="D462" s="3">
        <v>461</v>
      </c>
      <c r="E462" s="3">
        <f t="shared" si="27"/>
        <v>2173</v>
      </c>
      <c r="F462" s="51">
        <v>461</v>
      </c>
      <c r="G462" s="51">
        <f t="shared" si="28"/>
        <v>3331</v>
      </c>
      <c r="H462" s="52">
        <v>461</v>
      </c>
      <c r="I462" s="52">
        <f t="shared" si="29"/>
        <v>4489</v>
      </c>
    </row>
    <row r="463" spans="1:9">
      <c r="A463">
        <v>462</v>
      </c>
      <c r="B463" s="2">
        <v>462</v>
      </c>
      <c r="C463" s="2">
        <f t="shared" si="26"/>
        <v>1016</v>
      </c>
      <c r="D463" s="3">
        <v>462</v>
      </c>
      <c r="E463" s="3">
        <f t="shared" si="27"/>
        <v>2174</v>
      </c>
      <c r="F463" s="51">
        <v>462</v>
      </c>
      <c r="G463" s="51">
        <f t="shared" si="28"/>
        <v>3332</v>
      </c>
      <c r="H463" s="52">
        <v>462</v>
      </c>
      <c r="I463" s="52">
        <f t="shared" si="29"/>
        <v>4490</v>
      </c>
    </row>
    <row r="464" spans="1:9">
      <c r="A464">
        <v>463</v>
      </c>
      <c r="B464" s="2">
        <v>463</v>
      </c>
      <c r="C464" s="2">
        <f t="shared" si="26"/>
        <v>1017</v>
      </c>
      <c r="D464" s="3">
        <v>463</v>
      </c>
      <c r="E464" s="3">
        <f t="shared" si="27"/>
        <v>2175</v>
      </c>
      <c r="F464" s="51">
        <v>463</v>
      </c>
      <c r="G464" s="51">
        <f t="shared" si="28"/>
        <v>3333</v>
      </c>
      <c r="H464" s="52">
        <v>463</v>
      </c>
      <c r="I464" s="52">
        <f t="shared" si="29"/>
        <v>4491</v>
      </c>
    </row>
    <row r="465" spans="1:9">
      <c r="A465">
        <v>464</v>
      </c>
      <c r="B465" s="2">
        <v>464</v>
      </c>
      <c r="C465" s="2">
        <f t="shared" si="26"/>
        <v>1019</v>
      </c>
      <c r="D465" s="3">
        <v>464</v>
      </c>
      <c r="E465" s="3">
        <f t="shared" si="27"/>
        <v>2177</v>
      </c>
      <c r="F465" s="51">
        <v>464</v>
      </c>
      <c r="G465" s="51">
        <f t="shared" si="28"/>
        <v>3335</v>
      </c>
      <c r="H465" s="52">
        <v>464</v>
      </c>
      <c r="I465" s="52">
        <f t="shared" si="29"/>
        <v>4493</v>
      </c>
    </row>
    <row r="466" spans="1:9">
      <c r="A466">
        <v>465</v>
      </c>
      <c r="B466" s="2">
        <v>465</v>
      </c>
      <c r="C466" s="2">
        <f t="shared" si="26"/>
        <v>1020</v>
      </c>
      <c r="D466" s="3">
        <v>465</v>
      </c>
      <c r="E466" s="3">
        <f t="shared" si="27"/>
        <v>2178</v>
      </c>
      <c r="F466" s="51">
        <v>465</v>
      </c>
      <c r="G466" s="51">
        <f t="shared" si="28"/>
        <v>3336</v>
      </c>
      <c r="H466" s="52">
        <v>465</v>
      </c>
      <c r="I466" s="52">
        <f t="shared" si="29"/>
        <v>4494</v>
      </c>
    </row>
    <row r="467" spans="1:9">
      <c r="A467">
        <v>466</v>
      </c>
      <c r="B467" s="2">
        <v>466</v>
      </c>
      <c r="C467" s="2">
        <f t="shared" si="26"/>
        <v>1021</v>
      </c>
      <c r="D467" s="3">
        <v>466</v>
      </c>
      <c r="E467" s="3">
        <f t="shared" si="27"/>
        <v>2179</v>
      </c>
      <c r="F467" s="51">
        <v>466</v>
      </c>
      <c r="G467" s="51">
        <f t="shared" si="28"/>
        <v>3337</v>
      </c>
      <c r="H467" s="52">
        <v>466</v>
      </c>
      <c r="I467" s="52">
        <f t="shared" si="29"/>
        <v>4495</v>
      </c>
    </row>
    <row r="468" spans="1:9">
      <c r="A468">
        <v>467</v>
      </c>
      <c r="B468" s="2">
        <v>467</v>
      </c>
      <c r="C468" s="2">
        <f t="shared" si="26"/>
        <v>1023</v>
      </c>
      <c r="D468" s="3">
        <v>467</v>
      </c>
      <c r="E468" s="3">
        <f t="shared" si="27"/>
        <v>2181</v>
      </c>
      <c r="F468" s="51">
        <v>467</v>
      </c>
      <c r="G468" s="51">
        <f t="shared" si="28"/>
        <v>3339</v>
      </c>
      <c r="H468" s="52">
        <v>467</v>
      </c>
      <c r="I468" s="52">
        <f t="shared" si="29"/>
        <v>4497</v>
      </c>
    </row>
    <row r="469" spans="1:9">
      <c r="A469">
        <v>468</v>
      </c>
      <c r="B469" s="2">
        <v>468</v>
      </c>
      <c r="C469" s="2">
        <f t="shared" si="26"/>
        <v>1024</v>
      </c>
      <c r="D469" s="3">
        <v>468</v>
      </c>
      <c r="E469" s="3">
        <f t="shared" si="27"/>
        <v>2182</v>
      </c>
      <c r="F469" s="51">
        <v>468</v>
      </c>
      <c r="G469" s="51">
        <f t="shared" si="28"/>
        <v>3340</v>
      </c>
      <c r="H469" s="52">
        <v>468</v>
      </c>
      <c r="I469" s="52">
        <f t="shared" si="29"/>
        <v>4498</v>
      </c>
    </row>
    <row r="470" spans="1:9">
      <c r="A470">
        <v>469</v>
      </c>
      <c r="B470" s="2">
        <v>469</v>
      </c>
      <c r="C470" s="2">
        <f t="shared" si="26"/>
        <v>1025</v>
      </c>
      <c r="D470" s="3">
        <v>469</v>
      </c>
      <c r="E470" s="3">
        <f t="shared" si="27"/>
        <v>2183</v>
      </c>
      <c r="F470" s="51">
        <v>469</v>
      </c>
      <c r="G470" s="51">
        <f t="shared" si="28"/>
        <v>3341</v>
      </c>
      <c r="H470" s="52">
        <v>469</v>
      </c>
      <c r="I470" s="52">
        <f t="shared" si="29"/>
        <v>4499</v>
      </c>
    </row>
    <row r="471" spans="1:9">
      <c r="A471">
        <v>470</v>
      </c>
      <c r="B471" s="2">
        <v>470</v>
      </c>
      <c r="C471" s="2">
        <f t="shared" si="26"/>
        <v>1027</v>
      </c>
      <c r="D471" s="3">
        <v>470</v>
      </c>
      <c r="E471" s="3">
        <f t="shared" si="27"/>
        <v>2185</v>
      </c>
      <c r="F471" s="51">
        <v>470</v>
      </c>
      <c r="G471" s="51">
        <f t="shared" si="28"/>
        <v>3343</v>
      </c>
      <c r="H471" s="52">
        <v>470</v>
      </c>
      <c r="I471" s="52">
        <f t="shared" si="29"/>
        <v>4501</v>
      </c>
    </row>
    <row r="472" spans="1:9">
      <c r="A472">
        <v>471</v>
      </c>
      <c r="B472" s="2">
        <v>471</v>
      </c>
      <c r="C472" s="2">
        <f t="shared" si="26"/>
        <v>1028</v>
      </c>
      <c r="D472" s="3">
        <v>471</v>
      </c>
      <c r="E472" s="3">
        <f t="shared" si="27"/>
        <v>2186</v>
      </c>
      <c r="F472" s="51">
        <v>471</v>
      </c>
      <c r="G472" s="51">
        <f t="shared" si="28"/>
        <v>3344</v>
      </c>
      <c r="H472" s="52">
        <v>471</v>
      </c>
      <c r="I472" s="52">
        <f t="shared" si="29"/>
        <v>4502</v>
      </c>
    </row>
    <row r="473" spans="1:9">
      <c r="A473">
        <v>472</v>
      </c>
      <c r="B473" s="2">
        <v>472</v>
      </c>
      <c r="C473" s="2">
        <f t="shared" si="26"/>
        <v>1029</v>
      </c>
      <c r="D473" s="3">
        <v>472</v>
      </c>
      <c r="E473" s="3">
        <f t="shared" si="27"/>
        <v>2187</v>
      </c>
      <c r="F473" s="51">
        <v>472</v>
      </c>
      <c r="G473" s="51">
        <f t="shared" si="28"/>
        <v>3345</v>
      </c>
      <c r="H473" s="52">
        <v>472</v>
      </c>
      <c r="I473" s="52">
        <f t="shared" si="29"/>
        <v>4503</v>
      </c>
    </row>
    <row r="474" spans="1:9">
      <c r="A474">
        <v>473</v>
      </c>
      <c r="B474" s="2">
        <v>473</v>
      </c>
      <c r="C474" s="2">
        <f t="shared" si="26"/>
        <v>1031</v>
      </c>
      <c r="D474" s="3">
        <v>473</v>
      </c>
      <c r="E474" s="3">
        <f t="shared" si="27"/>
        <v>2189</v>
      </c>
      <c r="F474" s="51">
        <v>473</v>
      </c>
      <c r="G474" s="51">
        <f t="shared" si="28"/>
        <v>3347</v>
      </c>
      <c r="H474" s="52">
        <v>473</v>
      </c>
      <c r="I474" s="52">
        <f t="shared" si="29"/>
        <v>4505</v>
      </c>
    </row>
    <row r="475" spans="1:9">
      <c r="A475">
        <v>474</v>
      </c>
      <c r="B475" s="2">
        <v>474</v>
      </c>
      <c r="C475" s="2">
        <f t="shared" si="26"/>
        <v>1032</v>
      </c>
      <c r="D475" s="3">
        <v>474</v>
      </c>
      <c r="E475" s="3">
        <f t="shared" si="27"/>
        <v>2190</v>
      </c>
      <c r="F475" s="51">
        <v>474</v>
      </c>
      <c r="G475" s="51">
        <f t="shared" si="28"/>
        <v>3348</v>
      </c>
      <c r="H475" s="52">
        <v>474</v>
      </c>
      <c r="I475" s="52">
        <f t="shared" si="29"/>
        <v>4506</v>
      </c>
    </row>
    <row r="476" spans="1:9">
      <c r="A476">
        <v>475</v>
      </c>
      <c r="B476" s="2">
        <v>475</v>
      </c>
      <c r="C476" s="2">
        <f t="shared" si="26"/>
        <v>1033</v>
      </c>
      <c r="D476" s="3">
        <v>475</v>
      </c>
      <c r="E476" s="3">
        <f t="shared" si="27"/>
        <v>2191</v>
      </c>
      <c r="F476" s="51">
        <v>475</v>
      </c>
      <c r="G476" s="51">
        <f t="shared" si="28"/>
        <v>3349</v>
      </c>
      <c r="H476" s="52">
        <v>475</v>
      </c>
      <c r="I476" s="52">
        <f t="shared" si="29"/>
        <v>4507</v>
      </c>
    </row>
    <row r="477" spans="1:9">
      <c r="A477">
        <v>476</v>
      </c>
      <c r="B477" s="2">
        <v>476</v>
      </c>
      <c r="C477" s="2">
        <f t="shared" si="26"/>
        <v>1035</v>
      </c>
      <c r="D477" s="3">
        <v>476</v>
      </c>
      <c r="E477" s="3">
        <f t="shared" si="27"/>
        <v>2193</v>
      </c>
      <c r="F477" s="51">
        <v>476</v>
      </c>
      <c r="G477" s="51">
        <f t="shared" si="28"/>
        <v>3351</v>
      </c>
      <c r="H477" s="52">
        <v>476</v>
      </c>
      <c r="I477" s="52">
        <f t="shared" si="29"/>
        <v>4509</v>
      </c>
    </row>
    <row r="478" spans="1:9">
      <c r="A478">
        <v>477</v>
      </c>
      <c r="B478" s="2">
        <v>477</v>
      </c>
      <c r="C478" s="2">
        <f t="shared" si="26"/>
        <v>1036</v>
      </c>
      <c r="D478" s="3">
        <v>477</v>
      </c>
      <c r="E478" s="3">
        <f t="shared" si="27"/>
        <v>2194</v>
      </c>
      <c r="F478" s="51">
        <v>477</v>
      </c>
      <c r="G478" s="51">
        <f t="shared" si="28"/>
        <v>3352</v>
      </c>
      <c r="H478" s="52">
        <v>477</v>
      </c>
      <c r="I478" s="52">
        <f t="shared" si="29"/>
        <v>4510</v>
      </c>
    </row>
    <row r="479" spans="1:9">
      <c r="A479">
        <v>478</v>
      </c>
      <c r="B479" s="2">
        <v>478</v>
      </c>
      <c r="C479" s="2">
        <f t="shared" si="26"/>
        <v>1037</v>
      </c>
      <c r="D479" s="3">
        <v>478</v>
      </c>
      <c r="E479" s="3">
        <f t="shared" si="27"/>
        <v>2195</v>
      </c>
      <c r="F479" s="51">
        <v>478</v>
      </c>
      <c r="G479" s="51">
        <f t="shared" si="28"/>
        <v>3353</v>
      </c>
      <c r="H479" s="52">
        <v>478</v>
      </c>
      <c r="I479" s="52">
        <f t="shared" si="29"/>
        <v>4511</v>
      </c>
    </row>
    <row r="480" spans="1:9">
      <c r="A480">
        <v>479</v>
      </c>
      <c r="B480" s="2">
        <v>479</v>
      </c>
      <c r="C480" s="2">
        <f t="shared" si="26"/>
        <v>1039</v>
      </c>
      <c r="D480" s="3">
        <v>479</v>
      </c>
      <c r="E480" s="3">
        <f t="shared" si="27"/>
        <v>2197</v>
      </c>
      <c r="F480" s="51">
        <v>479</v>
      </c>
      <c r="G480" s="51">
        <f t="shared" si="28"/>
        <v>3355</v>
      </c>
      <c r="H480" s="52">
        <v>479</v>
      </c>
      <c r="I480" s="52">
        <f t="shared" si="29"/>
        <v>4513</v>
      </c>
    </row>
    <row r="481" spans="1:9">
      <c r="A481">
        <v>480</v>
      </c>
      <c r="B481" s="2">
        <v>480</v>
      </c>
      <c r="C481" s="2">
        <f t="shared" si="26"/>
        <v>1040</v>
      </c>
      <c r="D481" s="3">
        <v>480</v>
      </c>
      <c r="E481" s="3">
        <f t="shared" si="27"/>
        <v>2198</v>
      </c>
      <c r="F481" s="51">
        <v>480</v>
      </c>
      <c r="G481" s="51">
        <f t="shared" si="28"/>
        <v>3356</v>
      </c>
      <c r="H481" s="52">
        <v>480</v>
      </c>
      <c r="I481" s="52">
        <f t="shared" si="29"/>
        <v>4514</v>
      </c>
    </row>
    <row r="482" spans="1:9">
      <c r="A482">
        <v>481</v>
      </c>
      <c r="B482" s="2">
        <v>481</v>
      </c>
      <c r="C482" s="2">
        <f t="shared" si="26"/>
        <v>1041</v>
      </c>
      <c r="D482" s="3">
        <v>481</v>
      </c>
      <c r="E482" s="3">
        <f t="shared" si="27"/>
        <v>2199</v>
      </c>
      <c r="F482" s="51">
        <v>481</v>
      </c>
      <c r="G482" s="51">
        <f t="shared" si="28"/>
        <v>3357</v>
      </c>
      <c r="H482" s="52">
        <v>481</v>
      </c>
      <c r="I482" s="52">
        <f t="shared" si="29"/>
        <v>4515</v>
      </c>
    </row>
    <row r="483" spans="1:9">
      <c r="A483">
        <v>482</v>
      </c>
      <c r="B483" s="2">
        <v>482</v>
      </c>
      <c r="C483" s="2">
        <f t="shared" si="26"/>
        <v>1043</v>
      </c>
      <c r="D483" s="3">
        <v>482</v>
      </c>
      <c r="E483" s="3">
        <f t="shared" si="27"/>
        <v>2201</v>
      </c>
      <c r="F483" s="51">
        <v>482</v>
      </c>
      <c r="G483" s="51">
        <f t="shared" si="28"/>
        <v>3359</v>
      </c>
      <c r="H483" s="52">
        <v>482</v>
      </c>
      <c r="I483" s="52">
        <f t="shared" si="29"/>
        <v>4517</v>
      </c>
    </row>
    <row r="484" spans="1:9">
      <c r="A484">
        <v>483</v>
      </c>
      <c r="B484" s="2">
        <v>483</v>
      </c>
      <c r="C484" s="2">
        <f t="shared" si="26"/>
        <v>1044</v>
      </c>
      <c r="D484" s="3">
        <v>483</v>
      </c>
      <c r="E484" s="3">
        <f t="shared" si="27"/>
        <v>2202</v>
      </c>
      <c r="F484" s="51">
        <v>483</v>
      </c>
      <c r="G484" s="51">
        <f t="shared" si="28"/>
        <v>3360</v>
      </c>
      <c r="H484" s="52">
        <v>483</v>
      </c>
      <c r="I484" s="52">
        <f t="shared" si="29"/>
        <v>4518</v>
      </c>
    </row>
    <row r="485" spans="1:9">
      <c r="A485">
        <v>484</v>
      </c>
      <c r="B485" s="2">
        <v>484</v>
      </c>
      <c r="C485" s="2">
        <f t="shared" si="26"/>
        <v>1045</v>
      </c>
      <c r="D485" s="3">
        <v>484</v>
      </c>
      <c r="E485" s="3">
        <f t="shared" si="27"/>
        <v>2203</v>
      </c>
      <c r="F485" s="51">
        <v>484</v>
      </c>
      <c r="G485" s="51">
        <f t="shared" si="28"/>
        <v>3361</v>
      </c>
      <c r="H485" s="52">
        <v>484</v>
      </c>
      <c r="I485" s="52">
        <f t="shared" si="29"/>
        <v>4519</v>
      </c>
    </row>
    <row r="486" spans="1:9">
      <c r="A486">
        <v>485</v>
      </c>
      <c r="B486" s="2">
        <v>485</v>
      </c>
      <c r="C486" s="2">
        <f t="shared" si="26"/>
        <v>1047</v>
      </c>
      <c r="D486" s="3">
        <v>485</v>
      </c>
      <c r="E486" s="3">
        <f t="shared" si="27"/>
        <v>2205</v>
      </c>
      <c r="F486" s="51">
        <v>485</v>
      </c>
      <c r="G486" s="51">
        <f t="shared" si="28"/>
        <v>3363</v>
      </c>
      <c r="H486" s="52">
        <v>485</v>
      </c>
      <c r="I486" s="52">
        <f t="shared" si="29"/>
        <v>4521</v>
      </c>
    </row>
    <row r="487" spans="1:9">
      <c r="A487">
        <v>486</v>
      </c>
      <c r="B487" s="2">
        <v>486</v>
      </c>
      <c r="C487" s="2">
        <f t="shared" si="26"/>
        <v>1048</v>
      </c>
      <c r="D487" s="3">
        <v>486</v>
      </c>
      <c r="E487" s="3">
        <f t="shared" si="27"/>
        <v>2206</v>
      </c>
      <c r="F487" s="51">
        <v>486</v>
      </c>
      <c r="G487" s="51">
        <f t="shared" si="28"/>
        <v>3364</v>
      </c>
      <c r="H487" s="52">
        <v>486</v>
      </c>
      <c r="I487" s="52">
        <f t="shared" si="29"/>
        <v>4522</v>
      </c>
    </row>
    <row r="488" spans="1:9">
      <c r="A488">
        <v>487</v>
      </c>
      <c r="B488" s="2">
        <v>487</v>
      </c>
      <c r="C488" s="2">
        <f t="shared" si="26"/>
        <v>1049</v>
      </c>
      <c r="D488" s="3">
        <v>487</v>
      </c>
      <c r="E488" s="3">
        <f t="shared" si="27"/>
        <v>2207</v>
      </c>
      <c r="F488" s="51">
        <v>487</v>
      </c>
      <c r="G488" s="51">
        <f t="shared" si="28"/>
        <v>3365</v>
      </c>
      <c r="H488" s="52">
        <v>487</v>
      </c>
      <c r="I488" s="52">
        <f t="shared" si="29"/>
        <v>4523</v>
      </c>
    </row>
    <row r="489" spans="1:9">
      <c r="A489">
        <v>488</v>
      </c>
      <c r="B489" s="2">
        <v>488</v>
      </c>
      <c r="C489" s="2">
        <f t="shared" si="26"/>
        <v>1051</v>
      </c>
      <c r="D489" s="3">
        <v>488</v>
      </c>
      <c r="E489" s="3">
        <f t="shared" si="27"/>
        <v>2209</v>
      </c>
      <c r="F489" s="51">
        <v>488</v>
      </c>
      <c r="G489" s="51">
        <f t="shared" si="28"/>
        <v>3367</v>
      </c>
      <c r="H489" s="52">
        <v>488</v>
      </c>
      <c r="I489" s="52">
        <f t="shared" si="29"/>
        <v>4525</v>
      </c>
    </row>
    <row r="490" spans="1:9">
      <c r="A490">
        <v>489</v>
      </c>
      <c r="B490" s="2">
        <v>489</v>
      </c>
      <c r="C490" s="2">
        <f t="shared" si="26"/>
        <v>1052</v>
      </c>
      <c r="D490" s="3">
        <v>489</v>
      </c>
      <c r="E490" s="3">
        <f t="shared" si="27"/>
        <v>2210</v>
      </c>
      <c r="F490" s="51">
        <v>489</v>
      </c>
      <c r="G490" s="51">
        <f t="shared" si="28"/>
        <v>3368</v>
      </c>
      <c r="H490" s="52">
        <v>489</v>
      </c>
      <c r="I490" s="52">
        <f t="shared" si="29"/>
        <v>4526</v>
      </c>
    </row>
    <row r="491" spans="1:9">
      <c r="A491">
        <v>490</v>
      </c>
      <c r="B491" s="2">
        <v>490</v>
      </c>
      <c r="C491" s="2">
        <f t="shared" si="26"/>
        <v>1053</v>
      </c>
      <c r="D491" s="3">
        <v>490</v>
      </c>
      <c r="E491" s="3">
        <f t="shared" si="27"/>
        <v>2211</v>
      </c>
      <c r="F491" s="51">
        <v>490</v>
      </c>
      <c r="G491" s="51">
        <f t="shared" si="28"/>
        <v>3369</v>
      </c>
      <c r="H491" s="52">
        <v>490</v>
      </c>
      <c r="I491" s="52">
        <f t="shared" si="29"/>
        <v>4527</v>
      </c>
    </row>
    <row r="492" spans="1:9">
      <c r="A492">
        <v>491</v>
      </c>
      <c r="B492" s="2">
        <v>491</v>
      </c>
      <c r="C492" s="2">
        <f t="shared" si="26"/>
        <v>1055</v>
      </c>
      <c r="D492" s="3">
        <v>491</v>
      </c>
      <c r="E492" s="3">
        <f t="shared" si="27"/>
        <v>2213</v>
      </c>
      <c r="F492" s="51">
        <v>491</v>
      </c>
      <c r="G492" s="51">
        <f t="shared" si="28"/>
        <v>3371</v>
      </c>
      <c r="H492" s="52">
        <v>491</v>
      </c>
      <c r="I492" s="52">
        <f t="shared" si="29"/>
        <v>4529</v>
      </c>
    </row>
    <row r="493" spans="1:9">
      <c r="A493">
        <v>492</v>
      </c>
      <c r="B493" s="2">
        <v>492</v>
      </c>
      <c r="C493" s="2">
        <f t="shared" si="26"/>
        <v>1056</v>
      </c>
      <c r="D493" s="3">
        <v>492</v>
      </c>
      <c r="E493" s="3">
        <f t="shared" si="27"/>
        <v>2214</v>
      </c>
      <c r="F493" s="51">
        <v>492</v>
      </c>
      <c r="G493" s="51">
        <f t="shared" si="28"/>
        <v>3372</v>
      </c>
      <c r="H493" s="52">
        <v>492</v>
      </c>
      <c r="I493" s="52">
        <f t="shared" si="29"/>
        <v>4530</v>
      </c>
    </row>
    <row r="494" spans="1:9">
      <c r="A494">
        <v>493</v>
      </c>
      <c r="B494" s="2">
        <v>493</v>
      </c>
      <c r="C494" s="2">
        <f t="shared" si="26"/>
        <v>1057</v>
      </c>
      <c r="D494" s="3">
        <v>493</v>
      </c>
      <c r="E494" s="3">
        <f t="shared" si="27"/>
        <v>2215</v>
      </c>
      <c r="F494" s="51">
        <v>493</v>
      </c>
      <c r="G494" s="51">
        <f t="shared" si="28"/>
        <v>3373</v>
      </c>
      <c r="H494" s="52">
        <v>493</v>
      </c>
      <c r="I494" s="52">
        <f t="shared" si="29"/>
        <v>4531</v>
      </c>
    </row>
    <row r="495" spans="1:9">
      <c r="A495">
        <v>494</v>
      </c>
      <c r="B495" s="2">
        <v>494</v>
      </c>
      <c r="C495" s="2">
        <f t="shared" si="26"/>
        <v>1059</v>
      </c>
      <c r="D495" s="3">
        <v>494</v>
      </c>
      <c r="E495" s="3">
        <f t="shared" si="27"/>
        <v>2217</v>
      </c>
      <c r="F495" s="51">
        <v>494</v>
      </c>
      <c r="G495" s="51">
        <f t="shared" si="28"/>
        <v>3375</v>
      </c>
      <c r="H495" s="52">
        <v>494</v>
      </c>
      <c r="I495" s="52">
        <f t="shared" si="29"/>
        <v>4533</v>
      </c>
    </row>
    <row r="496" spans="1:9">
      <c r="A496">
        <v>495</v>
      </c>
      <c r="B496" s="2">
        <v>495</v>
      </c>
      <c r="C496" s="2">
        <f t="shared" si="26"/>
        <v>1060</v>
      </c>
      <c r="D496" s="3">
        <v>495</v>
      </c>
      <c r="E496" s="3">
        <f t="shared" si="27"/>
        <v>2218</v>
      </c>
      <c r="F496" s="51">
        <v>495</v>
      </c>
      <c r="G496" s="51">
        <f t="shared" si="28"/>
        <v>3376</v>
      </c>
      <c r="H496" s="52">
        <v>495</v>
      </c>
      <c r="I496" s="52">
        <f t="shared" si="29"/>
        <v>4534</v>
      </c>
    </row>
    <row r="497" spans="1:9">
      <c r="A497">
        <v>496</v>
      </c>
      <c r="B497" s="2">
        <v>496</v>
      </c>
      <c r="C497" s="2">
        <f t="shared" si="26"/>
        <v>1061</v>
      </c>
      <c r="D497" s="3">
        <v>496</v>
      </c>
      <c r="E497" s="3">
        <f t="shared" si="27"/>
        <v>2219</v>
      </c>
      <c r="F497" s="51">
        <v>496</v>
      </c>
      <c r="G497" s="51">
        <f t="shared" si="28"/>
        <v>3377</v>
      </c>
      <c r="H497" s="52">
        <v>496</v>
      </c>
      <c r="I497" s="52">
        <f t="shared" si="29"/>
        <v>4535</v>
      </c>
    </row>
    <row r="498" spans="1:9">
      <c r="A498">
        <v>497</v>
      </c>
      <c r="B498" s="2">
        <v>497</v>
      </c>
      <c r="C498" s="2">
        <f t="shared" si="26"/>
        <v>1063</v>
      </c>
      <c r="D498" s="3">
        <v>497</v>
      </c>
      <c r="E498" s="3">
        <f t="shared" si="27"/>
        <v>2221</v>
      </c>
      <c r="F498" s="51">
        <v>497</v>
      </c>
      <c r="G498" s="51">
        <f t="shared" si="28"/>
        <v>3379</v>
      </c>
      <c r="H498" s="52">
        <v>497</v>
      </c>
      <c r="I498" s="52">
        <f t="shared" si="29"/>
        <v>4537</v>
      </c>
    </row>
    <row r="499" spans="1:9">
      <c r="A499">
        <v>498</v>
      </c>
      <c r="B499" s="2">
        <v>498</v>
      </c>
      <c r="C499" s="2">
        <f t="shared" si="26"/>
        <v>1064</v>
      </c>
      <c r="D499" s="3">
        <v>498</v>
      </c>
      <c r="E499" s="3">
        <f t="shared" si="27"/>
        <v>2222</v>
      </c>
      <c r="F499" s="51">
        <v>498</v>
      </c>
      <c r="G499" s="51">
        <f t="shared" si="28"/>
        <v>3380</v>
      </c>
      <c r="H499" s="52">
        <v>498</v>
      </c>
      <c r="I499" s="52">
        <f t="shared" si="29"/>
        <v>4538</v>
      </c>
    </row>
    <row r="500" spans="1:9">
      <c r="A500">
        <v>499</v>
      </c>
      <c r="B500" s="2">
        <v>499</v>
      </c>
      <c r="C500" s="2">
        <f t="shared" si="26"/>
        <v>1065</v>
      </c>
      <c r="D500" s="3">
        <v>499</v>
      </c>
      <c r="E500" s="3">
        <f t="shared" si="27"/>
        <v>2223</v>
      </c>
      <c r="F500" s="51">
        <v>499</v>
      </c>
      <c r="G500" s="51">
        <f t="shared" si="28"/>
        <v>3381</v>
      </c>
      <c r="H500" s="52">
        <v>499</v>
      </c>
      <c r="I500" s="52">
        <f t="shared" si="29"/>
        <v>4539</v>
      </c>
    </row>
    <row r="501" spans="1:9">
      <c r="A501">
        <v>500</v>
      </c>
      <c r="B501" s="2">
        <v>500</v>
      </c>
      <c r="C501" s="2">
        <f t="shared" si="26"/>
        <v>1067</v>
      </c>
      <c r="D501" s="3">
        <v>500</v>
      </c>
      <c r="E501" s="3">
        <f t="shared" si="27"/>
        <v>2225</v>
      </c>
      <c r="F501" s="51">
        <v>500</v>
      </c>
      <c r="G501" s="51">
        <f t="shared" si="28"/>
        <v>3383</v>
      </c>
      <c r="H501" s="52">
        <v>500</v>
      </c>
      <c r="I501" s="52">
        <f t="shared" si="29"/>
        <v>4541</v>
      </c>
    </row>
    <row r="502" spans="1:9">
      <c r="A502">
        <v>501</v>
      </c>
      <c r="B502" s="2">
        <v>501</v>
      </c>
      <c r="C502" s="2">
        <f t="shared" si="26"/>
        <v>1068</v>
      </c>
      <c r="D502" s="3">
        <v>501</v>
      </c>
      <c r="E502" s="3">
        <f t="shared" si="27"/>
        <v>2226</v>
      </c>
      <c r="F502" s="51">
        <v>501</v>
      </c>
      <c r="G502" s="51">
        <f t="shared" si="28"/>
        <v>3384</v>
      </c>
      <c r="H502" s="52">
        <v>501</v>
      </c>
      <c r="I502" s="52">
        <f t="shared" si="29"/>
        <v>4542</v>
      </c>
    </row>
    <row r="503" spans="1:9">
      <c r="A503">
        <v>502</v>
      </c>
      <c r="B503" s="2">
        <v>502</v>
      </c>
      <c r="C503" s="2">
        <f t="shared" si="26"/>
        <v>1069</v>
      </c>
      <c r="D503" s="3">
        <v>502</v>
      </c>
      <c r="E503" s="3">
        <f t="shared" si="27"/>
        <v>2227</v>
      </c>
      <c r="F503" s="51">
        <v>502</v>
      </c>
      <c r="G503" s="51">
        <f t="shared" si="28"/>
        <v>3385</v>
      </c>
      <c r="H503" s="52">
        <v>502</v>
      </c>
      <c r="I503" s="52">
        <f t="shared" si="29"/>
        <v>4543</v>
      </c>
    </row>
    <row r="504" spans="1:9">
      <c r="A504">
        <v>503</v>
      </c>
      <c r="B504" s="2">
        <v>503</v>
      </c>
      <c r="C504" s="2">
        <f t="shared" si="26"/>
        <v>1071</v>
      </c>
      <c r="D504" s="3">
        <v>503</v>
      </c>
      <c r="E504" s="3">
        <f t="shared" si="27"/>
        <v>2229</v>
      </c>
      <c r="F504" s="51">
        <v>503</v>
      </c>
      <c r="G504" s="51">
        <f t="shared" si="28"/>
        <v>3387</v>
      </c>
      <c r="H504" s="52">
        <v>503</v>
      </c>
      <c r="I504" s="52">
        <f t="shared" si="29"/>
        <v>4545</v>
      </c>
    </row>
    <row r="505" spans="1:9">
      <c r="A505">
        <v>504</v>
      </c>
      <c r="B505" s="2">
        <v>504</v>
      </c>
      <c r="C505" s="2">
        <f t="shared" si="26"/>
        <v>1072</v>
      </c>
      <c r="D505" s="3">
        <v>504</v>
      </c>
      <c r="E505" s="3">
        <f t="shared" si="27"/>
        <v>2230</v>
      </c>
      <c r="F505" s="51">
        <v>504</v>
      </c>
      <c r="G505" s="51">
        <f t="shared" si="28"/>
        <v>3388</v>
      </c>
      <c r="H505" s="52">
        <v>504</v>
      </c>
      <c r="I505" s="52">
        <f t="shared" si="29"/>
        <v>4546</v>
      </c>
    </row>
    <row r="506" spans="1:9">
      <c r="A506">
        <v>505</v>
      </c>
      <c r="B506" s="2">
        <v>505</v>
      </c>
      <c r="C506" s="2">
        <f t="shared" si="26"/>
        <v>1073</v>
      </c>
      <c r="D506" s="3">
        <v>505</v>
      </c>
      <c r="E506" s="3">
        <f t="shared" si="27"/>
        <v>2231</v>
      </c>
      <c r="F506" s="51">
        <v>505</v>
      </c>
      <c r="G506" s="51">
        <f t="shared" si="28"/>
        <v>3389</v>
      </c>
      <c r="H506" s="52">
        <v>505</v>
      </c>
      <c r="I506" s="52">
        <f t="shared" si="29"/>
        <v>4547</v>
      </c>
    </row>
    <row r="507" spans="1:9">
      <c r="A507">
        <v>506</v>
      </c>
      <c r="B507" s="2">
        <v>506</v>
      </c>
      <c r="C507" s="2">
        <f t="shared" si="26"/>
        <v>1075</v>
      </c>
      <c r="D507" s="3">
        <v>506</v>
      </c>
      <c r="E507" s="3">
        <f t="shared" si="27"/>
        <v>2233</v>
      </c>
      <c r="F507" s="51">
        <v>506</v>
      </c>
      <c r="G507" s="51">
        <f t="shared" si="28"/>
        <v>3391</v>
      </c>
      <c r="H507" s="52">
        <v>506</v>
      </c>
      <c r="I507" s="52">
        <f t="shared" si="29"/>
        <v>4549</v>
      </c>
    </row>
    <row r="508" spans="1:9">
      <c r="A508">
        <v>507</v>
      </c>
      <c r="B508" s="2">
        <v>507</v>
      </c>
      <c r="C508" s="2">
        <f t="shared" ref="C508:C571" si="30">INT((B508-B$122)*1.3333333)+C$122</f>
        <v>1076</v>
      </c>
      <c r="D508" s="3">
        <v>507</v>
      </c>
      <c r="E508" s="3">
        <f t="shared" si="27"/>
        <v>2234</v>
      </c>
      <c r="F508" s="51">
        <v>507</v>
      </c>
      <c r="G508" s="51">
        <f t="shared" si="28"/>
        <v>3392</v>
      </c>
      <c r="H508" s="52">
        <v>507</v>
      </c>
      <c r="I508" s="52">
        <f t="shared" si="29"/>
        <v>4550</v>
      </c>
    </row>
    <row r="509" spans="1:9">
      <c r="A509">
        <v>508</v>
      </c>
      <c r="B509" s="2">
        <v>508</v>
      </c>
      <c r="C509" s="2">
        <f t="shared" si="30"/>
        <v>1077</v>
      </c>
      <c r="D509" s="3">
        <v>508</v>
      </c>
      <c r="E509" s="3">
        <f t="shared" si="27"/>
        <v>2235</v>
      </c>
      <c r="F509" s="51">
        <v>508</v>
      </c>
      <c r="G509" s="51">
        <f t="shared" si="28"/>
        <v>3393</v>
      </c>
      <c r="H509" s="52">
        <v>508</v>
      </c>
      <c r="I509" s="52">
        <f t="shared" si="29"/>
        <v>4551</v>
      </c>
    </row>
    <row r="510" spans="1:9">
      <c r="A510">
        <v>509</v>
      </c>
      <c r="B510" s="2">
        <v>509</v>
      </c>
      <c r="C510" s="2">
        <f t="shared" si="30"/>
        <v>1079</v>
      </c>
      <c r="D510" s="3">
        <v>509</v>
      </c>
      <c r="E510" s="3">
        <f t="shared" si="27"/>
        <v>2237</v>
      </c>
      <c r="F510" s="51">
        <v>509</v>
      </c>
      <c r="G510" s="51">
        <f t="shared" si="28"/>
        <v>3395</v>
      </c>
      <c r="H510" s="52">
        <v>509</v>
      </c>
      <c r="I510" s="52">
        <f t="shared" si="29"/>
        <v>4553</v>
      </c>
    </row>
    <row r="511" spans="1:9">
      <c r="A511">
        <v>510</v>
      </c>
      <c r="B511" s="2">
        <v>510</v>
      </c>
      <c r="C511" s="2">
        <f t="shared" si="30"/>
        <v>1080</v>
      </c>
      <c r="D511" s="3">
        <v>510</v>
      </c>
      <c r="E511" s="3">
        <f t="shared" si="27"/>
        <v>2238</v>
      </c>
      <c r="F511" s="51">
        <v>510</v>
      </c>
      <c r="G511" s="51">
        <f t="shared" si="28"/>
        <v>3396</v>
      </c>
      <c r="H511" s="52">
        <v>510</v>
      </c>
      <c r="I511" s="52">
        <f t="shared" si="29"/>
        <v>4554</v>
      </c>
    </row>
    <row r="512" spans="1:9">
      <c r="A512">
        <v>511</v>
      </c>
      <c r="B512" s="2">
        <v>511</v>
      </c>
      <c r="C512" s="2">
        <f t="shared" si="30"/>
        <v>1081</v>
      </c>
      <c r="D512" s="3">
        <v>511</v>
      </c>
      <c r="E512" s="3">
        <f t="shared" si="27"/>
        <v>2239</v>
      </c>
      <c r="F512" s="51">
        <v>511</v>
      </c>
      <c r="G512" s="51">
        <f t="shared" si="28"/>
        <v>3397</v>
      </c>
      <c r="H512" s="52">
        <v>511</v>
      </c>
      <c r="I512" s="52">
        <f t="shared" si="29"/>
        <v>4555</v>
      </c>
    </row>
    <row r="513" spans="1:9">
      <c r="A513">
        <v>512</v>
      </c>
      <c r="B513" s="2">
        <v>512</v>
      </c>
      <c r="C513" s="2">
        <f t="shared" si="30"/>
        <v>1083</v>
      </c>
      <c r="D513" s="3">
        <v>512</v>
      </c>
      <c r="E513" s="3">
        <f t="shared" si="27"/>
        <v>2241</v>
      </c>
      <c r="F513" s="51">
        <v>512</v>
      </c>
      <c r="G513" s="51">
        <f t="shared" si="28"/>
        <v>3399</v>
      </c>
      <c r="H513" s="52">
        <v>512</v>
      </c>
      <c r="I513" s="52">
        <f t="shared" si="29"/>
        <v>4557</v>
      </c>
    </row>
    <row r="514" spans="1:9">
      <c r="A514">
        <v>513</v>
      </c>
      <c r="B514" s="2">
        <v>513</v>
      </c>
      <c r="C514" s="2">
        <f t="shared" si="30"/>
        <v>1084</v>
      </c>
      <c r="D514" s="3">
        <v>513</v>
      </c>
      <c r="E514" s="3">
        <f t="shared" si="27"/>
        <v>2242</v>
      </c>
      <c r="F514" s="51">
        <v>513</v>
      </c>
      <c r="G514" s="51">
        <f t="shared" si="28"/>
        <v>3400</v>
      </c>
      <c r="H514" s="52">
        <v>513</v>
      </c>
      <c r="I514" s="52">
        <f t="shared" si="29"/>
        <v>4558</v>
      </c>
    </row>
    <row r="515" spans="1:9">
      <c r="A515">
        <v>514</v>
      </c>
      <c r="B515" s="2">
        <v>514</v>
      </c>
      <c r="C515" s="2">
        <f t="shared" si="30"/>
        <v>1085</v>
      </c>
      <c r="D515" s="3">
        <v>514</v>
      </c>
      <c r="E515" s="3">
        <f t="shared" si="27"/>
        <v>2243</v>
      </c>
      <c r="F515" s="51">
        <v>514</v>
      </c>
      <c r="G515" s="51">
        <f t="shared" si="28"/>
        <v>3401</v>
      </c>
      <c r="H515" s="52">
        <v>514</v>
      </c>
      <c r="I515" s="52">
        <f t="shared" si="29"/>
        <v>4559</v>
      </c>
    </row>
    <row r="516" spans="1:9">
      <c r="A516">
        <v>515</v>
      </c>
      <c r="B516" s="2">
        <v>515</v>
      </c>
      <c r="C516" s="2">
        <f t="shared" si="30"/>
        <v>1087</v>
      </c>
      <c r="D516" s="3">
        <v>515</v>
      </c>
      <c r="E516" s="3">
        <f t="shared" ref="E516:E579" si="31">INT((D516-D$2)*1.3333333)+E$2</f>
        <v>2245</v>
      </c>
      <c r="F516" s="51">
        <v>515</v>
      </c>
      <c r="G516" s="51">
        <f t="shared" ref="G516:G579" si="32">INT((F516-F$2)*1.3333333)+G$2</f>
        <v>3403</v>
      </c>
      <c r="H516" s="52">
        <v>515</v>
      </c>
      <c r="I516" s="52">
        <f t="shared" ref="I516:I579" si="33">INT((H516-H$2)*1.3333333)+I$2</f>
        <v>4561</v>
      </c>
    </row>
    <row r="517" spans="1:9">
      <c r="A517">
        <v>516</v>
      </c>
      <c r="B517" s="2">
        <v>516</v>
      </c>
      <c r="C517" s="2">
        <f t="shared" si="30"/>
        <v>1088</v>
      </c>
      <c r="D517" s="3">
        <v>516</v>
      </c>
      <c r="E517" s="3">
        <f t="shared" si="31"/>
        <v>2246</v>
      </c>
      <c r="F517" s="51">
        <v>516</v>
      </c>
      <c r="G517" s="51">
        <f t="shared" si="32"/>
        <v>3404</v>
      </c>
      <c r="H517" s="52">
        <v>516</v>
      </c>
      <c r="I517" s="52">
        <f t="shared" si="33"/>
        <v>4562</v>
      </c>
    </row>
    <row r="518" spans="1:9">
      <c r="A518">
        <v>517</v>
      </c>
      <c r="B518" s="2">
        <v>517</v>
      </c>
      <c r="C518" s="2">
        <f t="shared" si="30"/>
        <v>1089</v>
      </c>
      <c r="D518" s="3">
        <v>517</v>
      </c>
      <c r="E518" s="3">
        <f t="shared" si="31"/>
        <v>2247</v>
      </c>
      <c r="F518" s="51">
        <v>517</v>
      </c>
      <c r="G518" s="51">
        <f t="shared" si="32"/>
        <v>3405</v>
      </c>
      <c r="H518" s="52">
        <v>517</v>
      </c>
      <c r="I518" s="52">
        <f t="shared" si="33"/>
        <v>4563</v>
      </c>
    </row>
    <row r="519" spans="1:9">
      <c r="A519">
        <v>518</v>
      </c>
      <c r="B519" s="2">
        <v>518</v>
      </c>
      <c r="C519" s="2">
        <f t="shared" si="30"/>
        <v>1091</v>
      </c>
      <c r="D519" s="3">
        <v>518</v>
      </c>
      <c r="E519" s="3">
        <f t="shared" si="31"/>
        <v>2249</v>
      </c>
      <c r="F519" s="51">
        <v>518</v>
      </c>
      <c r="G519" s="51">
        <f t="shared" si="32"/>
        <v>3407</v>
      </c>
      <c r="H519" s="52">
        <v>518</v>
      </c>
      <c r="I519" s="52">
        <f t="shared" si="33"/>
        <v>4565</v>
      </c>
    </row>
    <row r="520" spans="1:9">
      <c r="A520">
        <v>519</v>
      </c>
      <c r="B520" s="2">
        <v>519</v>
      </c>
      <c r="C520" s="2">
        <f t="shared" si="30"/>
        <v>1092</v>
      </c>
      <c r="D520" s="3">
        <v>519</v>
      </c>
      <c r="E520" s="3">
        <f t="shared" si="31"/>
        <v>2250</v>
      </c>
      <c r="F520" s="51">
        <v>519</v>
      </c>
      <c r="G520" s="51">
        <f t="shared" si="32"/>
        <v>3408</v>
      </c>
      <c r="H520" s="52">
        <v>519</v>
      </c>
      <c r="I520" s="52">
        <f t="shared" si="33"/>
        <v>4566</v>
      </c>
    </row>
    <row r="521" spans="1:9">
      <c r="A521">
        <v>520</v>
      </c>
      <c r="B521" s="2">
        <v>520</v>
      </c>
      <c r="C521" s="2">
        <f t="shared" si="30"/>
        <v>1093</v>
      </c>
      <c r="D521" s="3">
        <v>520</v>
      </c>
      <c r="E521" s="3">
        <f t="shared" si="31"/>
        <v>2251</v>
      </c>
      <c r="F521" s="51">
        <v>520</v>
      </c>
      <c r="G521" s="51">
        <f t="shared" si="32"/>
        <v>3409</v>
      </c>
      <c r="H521" s="52">
        <v>520</v>
      </c>
      <c r="I521" s="52">
        <f t="shared" si="33"/>
        <v>4567</v>
      </c>
    </row>
    <row r="522" spans="1:9">
      <c r="A522">
        <v>521</v>
      </c>
      <c r="B522" s="2">
        <v>521</v>
      </c>
      <c r="C522" s="2">
        <f t="shared" si="30"/>
        <v>1095</v>
      </c>
      <c r="D522" s="3">
        <v>521</v>
      </c>
      <c r="E522" s="3">
        <f t="shared" si="31"/>
        <v>2253</v>
      </c>
      <c r="F522" s="51">
        <v>521</v>
      </c>
      <c r="G522" s="51">
        <f t="shared" si="32"/>
        <v>3411</v>
      </c>
      <c r="H522" s="52">
        <v>521</v>
      </c>
      <c r="I522" s="52">
        <f t="shared" si="33"/>
        <v>4569</v>
      </c>
    </row>
    <row r="523" spans="1:9">
      <c r="A523">
        <v>522</v>
      </c>
      <c r="B523" s="2">
        <v>522</v>
      </c>
      <c r="C523" s="2">
        <f t="shared" si="30"/>
        <v>1096</v>
      </c>
      <c r="D523" s="3">
        <v>522</v>
      </c>
      <c r="E523" s="3">
        <f t="shared" si="31"/>
        <v>2254</v>
      </c>
      <c r="F523" s="51">
        <v>522</v>
      </c>
      <c r="G523" s="51">
        <f t="shared" si="32"/>
        <v>3412</v>
      </c>
      <c r="H523" s="52">
        <v>522</v>
      </c>
      <c r="I523" s="52">
        <f t="shared" si="33"/>
        <v>4570</v>
      </c>
    </row>
    <row r="524" spans="1:9">
      <c r="A524">
        <v>523</v>
      </c>
      <c r="B524" s="2">
        <v>523</v>
      </c>
      <c r="C524" s="2">
        <f t="shared" si="30"/>
        <v>1097</v>
      </c>
      <c r="D524" s="3">
        <v>523</v>
      </c>
      <c r="E524" s="3">
        <f t="shared" si="31"/>
        <v>2255</v>
      </c>
      <c r="F524" s="51">
        <v>523</v>
      </c>
      <c r="G524" s="51">
        <f t="shared" si="32"/>
        <v>3413</v>
      </c>
      <c r="H524" s="52">
        <v>523</v>
      </c>
      <c r="I524" s="52">
        <f t="shared" si="33"/>
        <v>4571</v>
      </c>
    </row>
    <row r="525" spans="1:9">
      <c r="A525">
        <v>524</v>
      </c>
      <c r="B525" s="2">
        <v>524</v>
      </c>
      <c r="C525" s="2">
        <f t="shared" si="30"/>
        <v>1099</v>
      </c>
      <c r="D525" s="3">
        <v>524</v>
      </c>
      <c r="E525" s="3">
        <f t="shared" si="31"/>
        <v>2257</v>
      </c>
      <c r="F525" s="51">
        <v>524</v>
      </c>
      <c r="G525" s="51">
        <f t="shared" si="32"/>
        <v>3415</v>
      </c>
      <c r="H525" s="52">
        <v>524</v>
      </c>
      <c r="I525" s="52">
        <f t="shared" si="33"/>
        <v>4573</v>
      </c>
    </row>
    <row r="526" spans="1:9">
      <c r="A526">
        <v>525</v>
      </c>
      <c r="B526" s="2">
        <v>525</v>
      </c>
      <c r="C526" s="2">
        <f t="shared" si="30"/>
        <v>1100</v>
      </c>
      <c r="D526" s="3">
        <v>525</v>
      </c>
      <c r="E526" s="3">
        <f t="shared" si="31"/>
        <v>2258</v>
      </c>
      <c r="F526" s="51">
        <v>525</v>
      </c>
      <c r="G526" s="51">
        <f t="shared" si="32"/>
        <v>3416</v>
      </c>
      <c r="H526" s="52">
        <v>525</v>
      </c>
      <c r="I526" s="52">
        <f t="shared" si="33"/>
        <v>4574</v>
      </c>
    </row>
    <row r="527" spans="1:9">
      <c r="A527">
        <v>526</v>
      </c>
      <c r="B527" s="2">
        <v>526</v>
      </c>
      <c r="C527" s="2">
        <f t="shared" si="30"/>
        <v>1101</v>
      </c>
      <c r="D527" s="3">
        <v>526</v>
      </c>
      <c r="E527" s="3">
        <f t="shared" si="31"/>
        <v>2259</v>
      </c>
      <c r="F527" s="51">
        <v>526</v>
      </c>
      <c r="G527" s="51">
        <f t="shared" si="32"/>
        <v>3417</v>
      </c>
      <c r="H527" s="52">
        <v>526</v>
      </c>
      <c r="I527" s="52">
        <f t="shared" si="33"/>
        <v>4575</v>
      </c>
    </row>
    <row r="528" spans="1:9">
      <c r="A528">
        <v>527</v>
      </c>
      <c r="B528" s="2">
        <v>527</v>
      </c>
      <c r="C528" s="2">
        <f t="shared" si="30"/>
        <v>1103</v>
      </c>
      <c r="D528" s="3">
        <v>527</v>
      </c>
      <c r="E528" s="3">
        <f t="shared" si="31"/>
        <v>2261</v>
      </c>
      <c r="F528" s="51">
        <v>527</v>
      </c>
      <c r="G528" s="51">
        <f t="shared" si="32"/>
        <v>3419</v>
      </c>
      <c r="H528" s="52">
        <v>527</v>
      </c>
      <c r="I528" s="52">
        <f t="shared" si="33"/>
        <v>4577</v>
      </c>
    </row>
    <row r="529" spans="1:9">
      <c r="A529">
        <v>528</v>
      </c>
      <c r="B529" s="2">
        <v>528</v>
      </c>
      <c r="C529" s="2">
        <f t="shared" si="30"/>
        <v>1104</v>
      </c>
      <c r="D529" s="3">
        <v>528</v>
      </c>
      <c r="E529" s="3">
        <f t="shared" si="31"/>
        <v>2262</v>
      </c>
      <c r="F529" s="51">
        <v>528</v>
      </c>
      <c r="G529" s="51">
        <f t="shared" si="32"/>
        <v>3420</v>
      </c>
      <c r="H529" s="52">
        <v>528</v>
      </c>
      <c r="I529" s="52">
        <f t="shared" si="33"/>
        <v>4578</v>
      </c>
    </row>
    <row r="530" spans="1:9">
      <c r="A530">
        <v>529</v>
      </c>
      <c r="B530" s="2">
        <v>529</v>
      </c>
      <c r="C530" s="2">
        <f t="shared" si="30"/>
        <v>1105</v>
      </c>
      <c r="D530" s="3">
        <v>529</v>
      </c>
      <c r="E530" s="3">
        <f t="shared" si="31"/>
        <v>2263</v>
      </c>
      <c r="F530" s="51">
        <v>529</v>
      </c>
      <c r="G530" s="51">
        <f t="shared" si="32"/>
        <v>3421</v>
      </c>
      <c r="H530" s="52">
        <v>529</v>
      </c>
      <c r="I530" s="52">
        <f t="shared" si="33"/>
        <v>4579</v>
      </c>
    </row>
    <row r="531" spans="1:9">
      <c r="A531">
        <v>530</v>
      </c>
      <c r="B531" s="2">
        <v>530</v>
      </c>
      <c r="C531" s="2">
        <f t="shared" si="30"/>
        <v>1107</v>
      </c>
      <c r="D531" s="3">
        <v>530</v>
      </c>
      <c r="E531" s="3">
        <f t="shared" si="31"/>
        <v>2265</v>
      </c>
      <c r="F531" s="51">
        <v>530</v>
      </c>
      <c r="G531" s="51">
        <f t="shared" si="32"/>
        <v>3423</v>
      </c>
      <c r="H531" s="52">
        <v>530</v>
      </c>
      <c r="I531" s="52">
        <f t="shared" si="33"/>
        <v>4581</v>
      </c>
    </row>
    <row r="532" spans="1:9">
      <c r="A532">
        <v>531</v>
      </c>
      <c r="B532" s="2">
        <v>531</v>
      </c>
      <c r="C532" s="2">
        <f t="shared" si="30"/>
        <v>1108</v>
      </c>
      <c r="D532" s="3">
        <v>531</v>
      </c>
      <c r="E532" s="3">
        <f t="shared" si="31"/>
        <v>2266</v>
      </c>
      <c r="F532" s="51">
        <v>531</v>
      </c>
      <c r="G532" s="51">
        <f t="shared" si="32"/>
        <v>3424</v>
      </c>
      <c r="H532" s="52">
        <v>531</v>
      </c>
      <c r="I532" s="52">
        <f t="shared" si="33"/>
        <v>4582</v>
      </c>
    </row>
    <row r="533" spans="1:9">
      <c r="A533">
        <v>532</v>
      </c>
      <c r="B533" s="2">
        <v>532</v>
      </c>
      <c r="C533" s="2">
        <f t="shared" si="30"/>
        <v>1109</v>
      </c>
      <c r="D533" s="3">
        <v>532</v>
      </c>
      <c r="E533" s="3">
        <f t="shared" si="31"/>
        <v>2267</v>
      </c>
      <c r="F533" s="51">
        <v>532</v>
      </c>
      <c r="G533" s="51">
        <f t="shared" si="32"/>
        <v>3425</v>
      </c>
      <c r="H533" s="52">
        <v>532</v>
      </c>
      <c r="I533" s="52">
        <f t="shared" si="33"/>
        <v>4583</v>
      </c>
    </row>
    <row r="534" spans="1:9">
      <c r="A534">
        <v>533</v>
      </c>
      <c r="B534" s="2">
        <v>533</v>
      </c>
      <c r="C534" s="2">
        <f t="shared" si="30"/>
        <v>1111</v>
      </c>
      <c r="D534" s="3">
        <v>533</v>
      </c>
      <c r="E534" s="3">
        <f t="shared" si="31"/>
        <v>2269</v>
      </c>
      <c r="F534" s="51">
        <v>533</v>
      </c>
      <c r="G534" s="51">
        <f t="shared" si="32"/>
        <v>3427</v>
      </c>
      <c r="H534" s="52">
        <v>533</v>
      </c>
      <c r="I534" s="52">
        <f t="shared" si="33"/>
        <v>4585</v>
      </c>
    </row>
    <row r="535" spans="1:9">
      <c r="A535">
        <v>534</v>
      </c>
      <c r="B535" s="2">
        <v>534</v>
      </c>
      <c r="C535" s="2">
        <f t="shared" si="30"/>
        <v>1112</v>
      </c>
      <c r="D535" s="3">
        <v>534</v>
      </c>
      <c r="E535" s="3">
        <f t="shared" si="31"/>
        <v>2270</v>
      </c>
      <c r="F535" s="51">
        <v>534</v>
      </c>
      <c r="G535" s="51">
        <f t="shared" si="32"/>
        <v>3428</v>
      </c>
      <c r="H535" s="52">
        <v>534</v>
      </c>
      <c r="I535" s="52">
        <f t="shared" si="33"/>
        <v>4586</v>
      </c>
    </row>
    <row r="536" spans="1:9">
      <c r="A536">
        <v>535</v>
      </c>
      <c r="B536" s="2">
        <v>535</v>
      </c>
      <c r="C536" s="2">
        <f t="shared" si="30"/>
        <v>1113</v>
      </c>
      <c r="D536" s="3">
        <v>535</v>
      </c>
      <c r="E536" s="3">
        <f t="shared" si="31"/>
        <v>2271</v>
      </c>
      <c r="F536" s="51">
        <v>535</v>
      </c>
      <c r="G536" s="51">
        <f t="shared" si="32"/>
        <v>3429</v>
      </c>
      <c r="H536" s="52">
        <v>535</v>
      </c>
      <c r="I536" s="52">
        <f t="shared" si="33"/>
        <v>4587</v>
      </c>
    </row>
    <row r="537" spans="1:9">
      <c r="A537">
        <v>536</v>
      </c>
      <c r="B537" s="2">
        <v>536</v>
      </c>
      <c r="C537" s="2">
        <f t="shared" si="30"/>
        <v>1115</v>
      </c>
      <c r="D537" s="3">
        <v>536</v>
      </c>
      <c r="E537" s="3">
        <f t="shared" si="31"/>
        <v>2273</v>
      </c>
      <c r="F537" s="51">
        <v>536</v>
      </c>
      <c r="G537" s="51">
        <f t="shared" si="32"/>
        <v>3431</v>
      </c>
      <c r="H537" s="52">
        <v>536</v>
      </c>
      <c r="I537" s="52">
        <f t="shared" si="33"/>
        <v>4589</v>
      </c>
    </row>
    <row r="538" spans="1:9">
      <c r="A538">
        <v>537</v>
      </c>
      <c r="B538" s="2">
        <v>537</v>
      </c>
      <c r="C538" s="2">
        <f t="shared" si="30"/>
        <v>1116</v>
      </c>
      <c r="D538" s="3">
        <v>537</v>
      </c>
      <c r="E538" s="3">
        <f t="shared" si="31"/>
        <v>2274</v>
      </c>
      <c r="F538" s="51">
        <v>537</v>
      </c>
      <c r="G538" s="51">
        <f t="shared" si="32"/>
        <v>3432</v>
      </c>
      <c r="H538" s="52">
        <v>537</v>
      </c>
      <c r="I538" s="52">
        <f t="shared" si="33"/>
        <v>4590</v>
      </c>
    </row>
    <row r="539" spans="1:9">
      <c r="A539">
        <v>538</v>
      </c>
      <c r="B539" s="2">
        <v>538</v>
      </c>
      <c r="C539" s="2">
        <f t="shared" si="30"/>
        <v>1117</v>
      </c>
      <c r="D539" s="3">
        <v>538</v>
      </c>
      <c r="E539" s="3">
        <f t="shared" si="31"/>
        <v>2275</v>
      </c>
      <c r="F539" s="51">
        <v>538</v>
      </c>
      <c r="G539" s="51">
        <f t="shared" si="32"/>
        <v>3433</v>
      </c>
      <c r="H539" s="52">
        <v>538</v>
      </c>
      <c r="I539" s="52">
        <f t="shared" si="33"/>
        <v>4591</v>
      </c>
    </row>
    <row r="540" spans="1:9">
      <c r="A540">
        <v>539</v>
      </c>
      <c r="B540" s="2">
        <v>539</v>
      </c>
      <c r="C540" s="2">
        <f t="shared" si="30"/>
        <v>1119</v>
      </c>
      <c r="D540" s="3">
        <v>539</v>
      </c>
      <c r="E540" s="3">
        <f t="shared" si="31"/>
        <v>2277</v>
      </c>
      <c r="F540" s="51">
        <v>539</v>
      </c>
      <c r="G540" s="51">
        <f t="shared" si="32"/>
        <v>3435</v>
      </c>
      <c r="H540" s="52">
        <v>539</v>
      </c>
      <c r="I540" s="52">
        <f t="shared" si="33"/>
        <v>4593</v>
      </c>
    </row>
    <row r="541" spans="1:9">
      <c r="A541">
        <v>540</v>
      </c>
      <c r="B541" s="2">
        <v>540</v>
      </c>
      <c r="C541" s="2">
        <f t="shared" si="30"/>
        <v>1120</v>
      </c>
      <c r="D541" s="3">
        <v>540</v>
      </c>
      <c r="E541" s="3">
        <f t="shared" si="31"/>
        <v>2278</v>
      </c>
      <c r="F541" s="51">
        <v>540</v>
      </c>
      <c r="G541" s="51">
        <f t="shared" si="32"/>
        <v>3436</v>
      </c>
      <c r="H541" s="52">
        <v>540</v>
      </c>
      <c r="I541" s="52">
        <f t="shared" si="33"/>
        <v>4594</v>
      </c>
    </row>
    <row r="542" spans="1:9">
      <c r="A542">
        <v>541</v>
      </c>
      <c r="B542" s="2">
        <v>541</v>
      </c>
      <c r="C542" s="2">
        <f t="shared" si="30"/>
        <v>1121</v>
      </c>
      <c r="D542" s="3">
        <v>541</v>
      </c>
      <c r="E542" s="3">
        <f t="shared" si="31"/>
        <v>2279</v>
      </c>
      <c r="F542" s="51">
        <v>541</v>
      </c>
      <c r="G542" s="51">
        <f t="shared" si="32"/>
        <v>3437</v>
      </c>
      <c r="H542" s="52">
        <v>541</v>
      </c>
      <c r="I542" s="52">
        <f t="shared" si="33"/>
        <v>4595</v>
      </c>
    </row>
    <row r="543" spans="1:9">
      <c r="A543">
        <v>542</v>
      </c>
      <c r="B543" s="2">
        <v>542</v>
      </c>
      <c r="C543" s="2">
        <f t="shared" si="30"/>
        <v>1123</v>
      </c>
      <c r="D543" s="3">
        <v>542</v>
      </c>
      <c r="E543" s="3">
        <f t="shared" si="31"/>
        <v>2281</v>
      </c>
      <c r="F543" s="51">
        <v>542</v>
      </c>
      <c r="G543" s="51">
        <f t="shared" si="32"/>
        <v>3439</v>
      </c>
      <c r="H543" s="52">
        <v>542</v>
      </c>
      <c r="I543" s="52">
        <f t="shared" si="33"/>
        <v>4597</v>
      </c>
    </row>
    <row r="544" spans="1:9">
      <c r="A544">
        <v>543</v>
      </c>
      <c r="B544" s="2">
        <v>543</v>
      </c>
      <c r="C544" s="2">
        <f t="shared" si="30"/>
        <v>1124</v>
      </c>
      <c r="D544" s="3">
        <v>543</v>
      </c>
      <c r="E544" s="3">
        <f t="shared" si="31"/>
        <v>2282</v>
      </c>
      <c r="F544" s="51">
        <v>543</v>
      </c>
      <c r="G544" s="51">
        <f t="shared" si="32"/>
        <v>3440</v>
      </c>
      <c r="H544" s="52">
        <v>543</v>
      </c>
      <c r="I544" s="52">
        <f t="shared" si="33"/>
        <v>4598</v>
      </c>
    </row>
    <row r="545" spans="1:9">
      <c r="A545">
        <v>544</v>
      </c>
      <c r="B545" s="2">
        <v>544</v>
      </c>
      <c r="C545" s="2">
        <f t="shared" si="30"/>
        <v>1125</v>
      </c>
      <c r="D545" s="3">
        <v>544</v>
      </c>
      <c r="E545" s="3">
        <f t="shared" si="31"/>
        <v>2283</v>
      </c>
      <c r="F545" s="51">
        <v>544</v>
      </c>
      <c r="G545" s="51">
        <f t="shared" si="32"/>
        <v>3441</v>
      </c>
      <c r="H545" s="52">
        <v>544</v>
      </c>
      <c r="I545" s="52">
        <f t="shared" si="33"/>
        <v>4599</v>
      </c>
    </row>
    <row r="546" spans="1:9">
      <c r="A546">
        <v>545</v>
      </c>
      <c r="B546" s="2">
        <v>545</v>
      </c>
      <c r="C546" s="2">
        <f t="shared" si="30"/>
        <v>1127</v>
      </c>
      <c r="D546" s="3">
        <v>545</v>
      </c>
      <c r="E546" s="3">
        <f t="shared" si="31"/>
        <v>2285</v>
      </c>
      <c r="F546" s="51">
        <v>545</v>
      </c>
      <c r="G546" s="51">
        <f t="shared" si="32"/>
        <v>3443</v>
      </c>
      <c r="H546" s="52">
        <v>545</v>
      </c>
      <c r="I546" s="52">
        <f t="shared" si="33"/>
        <v>4601</v>
      </c>
    </row>
    <row r="547" spans="1:9">
      <c r="A547">
        <v>546</v>
      </c>
      <c r="B547" s="2">
        <v>546</v>
      </c>
      <c r="C547" s="2">
        <f t="shared" si="30"/>
        <v>1128</v>
      </c>
      <c r="D547" s="3">
        <v>546</v>
      </c>
      <c r="E547" s="3">
        <f t="shared" si="31"/>
        <v>2286</v>
      </c>
      <c r="F547" s="51">
        <v>546</v>
      </c>
      <c r="G547" s="51">
        <f t="shared" si="32"/>
        <v>3444</v>
      </c>
      <c r="H547" s="52">
        <v>546</v>
      </c>
      <c r="I547" s="52">
        <f t="shared" si="33"/>
        <v>4602</v>
      </c>
    </row>
    <row r="548" spans="1:9">
      <c r="A548">
        <v>547</v>
      </c>
      <c r="B548" s="2">
        <v>547</v>
      </c>
      <c r="C548" s="2">
        <f t="shared" si="30"/>
        <v>1129</v>
      </c>
      <c r="D548" s="3">
        <v>547</v>
      </c>
      <c r="E548" s="3">
        <f t="shared" si="31"/>
        <v>2287</v>
      </c>
      <c r="F548" s="51">
        <v>547</v>
      </c>
      <c r="G548" s="51">
        <f t="shared" si="32"/>
        <v>3445</v>
      </c>
      <c r="H548" s="52">
        <v>547</v>
      </c>
      <c r="I548" s="52">
        <f t="shared" si="33"/>
        <v>4603</v>
      </c>
    </row>
    <row r="549" spans="1:9">
      <c r="A549">
        <v>548</v>
      </c>
      <c r="B549" s="2">
        <v>548</v>
      </c>
      <c r="C549" s="2">
        <f t="shared" si="30"/>
        <v>1131</v>
      </c>
      <c r="D549" s="3">
        <v>548</v>
      </c>
      <c r="E549" s="3">
        <f t="shared" si="31"/>
        <v>2289</v>
      </c>
      <c r="F549" s="51">
        <v>548</v>
      </c>
      <c r="G549" s="51">
        <f t="shared" si="32"/>
        <v>3447</v>
      </c>
      <c r="H549" s="52">
        <v>548</v>
      </c>
      <c r="I549" s="52">
        <f t="shared" si="33"/>
        <v>4605</v>
      </c>
    </row>
    <row r="550" spans="1:9">
      <c r="A550">
        <v>549</v>
      </c>
      <c r="B550" s="2">
        <v>549</v>
      </c>
      <c r="C550" s="2">
        <f t="shared" si="30"/>
        <v>1132</v>
      </c>
      <c r="D550" s="3">
        <v>549</v>
      </c>
      <c r="E550" s="3">
        <f t="shared" si="31"/>
        <v>2290</v>
      </c>
      <c r="F550" s="51">
        <v>549</v>
      </c>
      <c r="G550" s="51">
        <f t="shared" si="32"/>
        <v>3448</v>
      </c>
      <c r="H550" s="52">
        <v>549</v>
      </c>
      <c r="I550" s="52">
        <f t="shared" si="33"/>
        <v>4606</v>
      </c>
    </row>
    <row r="551" spans="1:9">
      <c r="A551">
        <v>550</v>
      </c>
      <c r="B551" s="2">
        <v>550</v>
      </c>
      <c r="C551" s="2">
        <f t="shared" si="30"/>
        <v>1133</v>
      </c>
      <c r="D551" s="3">
        <v>550</v>
      </c>
      <c r="E551" s="3">
        <f t="shared" si="31"/>
        <v>2291</v>
      </c>
      <c r="F551" s="51">
        <v>550</v>
      </c>
      <c r="G551" s="51">
        <f t="shared" si="32"/>
        <v>3449</v>
      </c>
      <c r="H551" s="52">
        <v>550</v>
      </c>
      <c r="I551" s="52">
        <f t="shared" si="33"/>
        <v>4607</v>
      </c>
    </row>
    <row r="552" spans="1:9">
      <c r="A552">
        <v>551</v>
      </c>
      <c r="B552" s="2">
        <v>551</v>
      </c>
      <c r="C552" s="2">
        <f t="shared" si="30"/>
        <v>1135</v>
      </c>
      <c r="D552" s="3">
        <v>551</v>
      </c>
      <c r="E552" s="3">
        <f t="shared" si="31"/>
        <v>2293</v>
      </c>
      <c r="F552" s="51">
        <v>551</v>
      </c>
      <c r="G552" s="51">
        <f t="shared" si="32"/>
        <v>3451</v>
      </c>
      <c r="H552" s="52">
        <v>551</v>
      </c>
      <c r="I552" s="52">
        <f t="shared" si="33"/>
        <v>4609</v>
      </c>
    </row>
    <row r="553" spans="1:9">
      <c r="A553">
        <v>552</v>
      </c>
      <c r="B553" s="2">
        <v>552</v>
      </c>
      <c r="C553" s="2">
        <f t="shared" si="30"/>
        <v>1136</v>
      </c>
      <c r="D553" s="3">
        <v>552</v>
      </c>
      <c r="E553" s="3">
        <f t="shared" si="31"/>
        <v>2294</v>
      </c>
      <c r="F553" s="51">
        <v>552</v>
      </c>
      <c r="G553" s="51">
        <f t="shared" si="32"/>
        <v>3452</v>
      </c>
      <c r="H553" s="52">
        <v>552</v>
      </c>
      <c r="I553" s="52">
        <f t="shared" si="33"/>
        <v>4610</v>
      </c>
    </row>
    <row r="554" spans="1:9">
      <c r="A554">
        <v>553</v>
      </c>
      <c r="B554" s="2">
        <v>553</v>
      </c>
      <c r="C554" s="2">
        <f t="shared" si="30"/>
        <v>1137</v>
      </c>
      <c r="D554" s="3">
        <v>553</v>
      </c>
      <c r="E554" s="3">
        <f t="shared" si="31"/>
        <v>2295</v>
      </c>
      <c r="F554" s="51">
        <v>553</v>
      </c>
      <c r="G554" s="51">
        <f t="shared" si="32"/>
        <v>3453</v>
      </c>
      <c r="H554" s="52">
        <v>553</v>
      </c>
      <c r="I554" s="52">
        <f t="shared" si="33"/>
        <v>4611</v>
      </c>
    </row>
    <row r="555" spans="1:9">
      <c r="A555">
        <v>554</v>
      </c>
      <c r="B555" s="2">
        <v>554</v>
      </c>
      <c r="C555" s="2">
        <f t="shared" si="30"/>
        <v>1139</v>
      </c>
      <c r="D555" s="3">
        <v>554</v>
      </c>
      <c r="E555" s="3">
        <f t="shared" si="31"/>
        <v>2297</v>
      </c>
      <c r="F555" s="51">
        <v>554</v>
      </c>
      <c r="G555" s="51">
        <f t="shared" si="32"/>
        <v>3455</v>
      </c>
      <c r="H555" s="52">
        <v>554</v>
      </c>
      <c r="I555" s="52">
        <f t="shared" si="33"/>
        <v>4613</v>
      </c>
    </row>
    <row r="556" spans="1:9">
      <c r="A556">
        <v>555</v>
      </c>
      <c r="B556" s="2">
        <v>555</v>
      </c>
      <c r="C556" s="2">
        <f t="shared" si="30"/>
        <v>1140</v>
      </c>
      <c r="D556" s="3">
        <v>555</v>
      </c>
      <c r="E556" s="3">
        <f t="shared" si="31"/>
        <v>2298</v>
      </c>
      <c r="F556" s="51">
        <v>555</v>
      </c>
      <c r="G556" s="51">
        <f t="shared" si="32"/>
        <v>3456</v>
      </c>
      <c r="H556" s="52">
        <v>555</v>
      </c>
      <c r="I556" s="52">
        <f t="shared" si="33"/>
        <v>4614</v>
      </c>
    </row>
    <row r="557" spans="1:9">
      <c r="A557">
        <v>556</v>
      </c>
      <c r="B557" s="2">
        <v>556</v>
      </c>
      <c r="C557" s="2">
        <f t="shared" si="30"/>
        <v>1141</v>
      </c>
      <c r="D557" s="3">
        <v>556</v>
      </c>
      <c r="E557" s="3">
        <f t="shared" si="31"/>
        <v>2299</v>
      </c>
      <c r="F557" s="51">
        <v>556</v>
      </c>
      <c r="G557" s="51">
        <f t="shared" si="32"/>
        <v>3457</v>
      </c>
      <c r="H557" s="52">
        <v>556</v>
      </c>
      <c r="I557" s="52">
        <f t="shared" si="33"/>
        <v>4615</v>
      </c>
    </row>
    <row r="558" spans="1:9">
      <c r="A558">
        <v>557</v>
      </c>
      <c r="B558" s="2">
        <v>557</v>
      </c>
      <c r="C558" s="2">
        <f t="shared" si="30"/>
        <v>1143</v>
      </c>
      <c r="D558" s="3">
        <v>557</v>
      </c>
      <c r="E558" s="3">
        <f t="shared" si="31"/>
        <v>2301</v>
      </c>
      <c r="F558" s="51">
        <v>557</v>
      </c>
      <c r="G558" s="51">
        <f t="shared" si="32"/>
        <v>3459</v>
      </c>
      <c r="H558" s="52">
        <v>557</v>
      </c>
      <c r="I558" s="52">
        <f t="shared" si="33"/>
        <v>4617</v>
      </c>
    </row>
    <row r="559" spans="1:9">
      <c r="A559">
        <v>558</v>
      </c>
      <c r="B559" s="2">
        <v>558</v>
      </c>
      <c r="C559" s="2">
        <f t="shared" si="30"/>
        <v>1144</v>
      </c>
      <c r="D559" s="3">
        <v>558</v>
      </c>
      <c r="E559" s="3">
        <f t="shared" si="31"/>
        <v>2302</v>
      </c>
      <c r="F559" s="51">
        <v>558</v>
      </c>
      <c r="G559" s="51">
        <f t="shared" si="32"/>
        <v>3460</v>
      </c>
      <c r="H559" s="52">
        <v>558</v>
      </c>
      <c r="I559" s="52">
        <f t="shared" si="33"/>
        <v>4618</v>
      </c>
    </row>
    <row r="560" spans="1:9">
      <c r="A560">
        <v>559</v>
      </c>
      <c r="B560" s="2">
        <v>559</v>
      </c>
      <c r="C560" s="2">
        <f t="shared" si="30"/>
        <v>1145</v>
      </c>
      <c r="D560" s="3">
        <v>559</v>
      </c>
      <c r="E560" s="3">
        <f t="shared" si="31"/>
        <v>2303</v>
      </c>
      <c r="F560" s="51">
        <v>559</v>
      </c>
      <c r="G560" s="51">
        <f t="shared" si="32"/>
        <v>3461</v>
      </c>
      <c r="H560" s="52">
        <v>559</v>
      </c>
      <c r="I560" s="52">
        <f t="shared" si="33"/>
        <v>4619</v>
      </c>
    </row>
    <row r="561" spans="1:9">
      <c r="A561">
        <v>560</v>
      </c>
      <c r="B561" s="2">
        <v>560</v>
      </c>
      <c r="C561" s="2">
        <f t="shared" si="30"/>
        <v>1147</v>
      </c>
      <c r="D561" s="3">
        <v>560</v>
      </c>
      <c r="E561" s="3">
        <f t="shared" si="31"/>
        <v>2305</v>
      </c>
      <c r="F561" s="51">
        <v>560</v>
      </c>
      <c r="G561" s="51">
        <f t="shared" si="32"/>
        <v>3463</v>
      </c>
      <c r="H561" s="52">
        <v>560</v>
      </c>
      <c r="I561" s="52">
        <f t="shared" si="33"/>
        <v>4621</v>
      </c>
    </row>
    <row r="562" spans="1:9">
      <c r="A562">
        <v>561</v>
      </c>
      <c r="B562" s="2">
        <v>561</v>
      </c>
      <c r="C562" s="2">
        <f t="shared" si="30"/>
        <v>1148</v>
      </c>
      <c r="D562" s="3">
        <v>561</v>
      </c>
      <c r="E562" s="3">
        <f t="shared" si="31"/>
        <v>2306</v>
      </c>
      <c r="F562" s="51">
        <v>561</v>
      </c>
      <c r="G562" s="51">
        <f t="shared" si="32"/>
        <v>3464</v>
      </c>
      <c r="H562" s="52">
        <v>561</v>
      </c>
      <c r="I562" s="52">
        <f t="shared" si="33"/>
        <v>4622</v>
      </c>
    </row>
    <row r="563" spans="1:9">
      <c r="A563">
        <v>562</v>
      </c>
      <c r="B563" s="2">
        <v>562</v>
      </c>
      <c r="C563" s="2">
        <f t="shared" si="30"/>
        <v>1149</v>
      </c>
      <c r="D563" s="3">
        <v>562</v>
      </c>
      <c r="E563" s="3">
        <f t="shared" si="31"/>
        <v>2307</v>
      </c>
      <c r="F563" s="51">
        <v>562</v>
      </c>
      <c r="G563" s="51">
        <f t="shared" si="32"/>
        <v>3465</v>
      </c>
      <c r="H563" s="52">
        <v>562</v>
      </c>
      <c r="I563" s="52">
        <f t="shared" si="33"/>
        <v>4623</v>
      </c>
    </row>
    <row r="564" spans="1:9">
      <c r="A564">
        <v>563</v>
      </c>
      <c r="B564" s="2">
        <v>563</v>
      </c>
      <c r="C564" s="2">
        <f t="shared" si="30"/>
        <v>1151</v>
      </c>
      <c r="D564" s="3">
        <v>563</v>
      </c>
      <c r="E564" s="3">
        <f t="shared" si="31"/>
        <v>2309</v>
      </c>
      <c r="F564" s="51">
        <v>563</v>
      </c>
      <c r="G564" s="51">
        <f t="shared" si="32"/>
        <v>3467</v>
      </c>
      <c r="H564" s="52">
        <v>563</v>
      </c>
      <c r="I564" s="52">
        <f t="shared" si="33"/>
        <v>4625</v>
      </c>
    </row>
    <row r="565" spans="1:9">
      <c r="A565">
        <v>564</v>
      </c>
      <c r="B565" s="2">
        <v>564</v>
      </c>
      <c r="C565" s="2">
        <f t="shared" si="30"/>
        <v>1152</v>
      </c>
      <c r="D565" s="3">
        <v>564</v>
      </c>
      <c r="E565" s="3">
        <f t="shared" si="31"/>
        <v>2310</v>
      </c>
      <c r="F565" s="51">
        <v>564</v>
      </c>
      <c r="G565" s="51">
        <f t="shared" si="32"/>
        <v>3468</v>
      </c>
      <c r="H565" s="52">
        <v>564</v>
      </c>
      <c r="I565" s="52">
        <f t="shared" si="33"/>
        <v>4626</v>
      </c>
    </row>
    <row r="566" spans="1:9">
      <c r="A566">
        <v>565</v>
      </c>
      <c r="B566" s="2">
        <v>565</v>
      </c>
      <c r="C566" s="2">
        <f t="shared" si="30"/>
        <v>1153</v>
      </c>
      <c r="D566" s="3">
        <v>565</v>
      </c>
      <c r="E566" s="3">
        <f t="shared" si="31"/>
        <v>2311</v>
      </c>
      <c r="F566" s="51">
        <v>565</v>
      </c>
      <c r="G566" s="51">
        <f t="shared" si="32"/>
        <v>3469</v>
      </c>
      <c r="H566" s="52">
        <v>565</v>
      </c>
      <c r="I566" s="52">
        <f t="shared" si="33"/>
        <v>4627</v>
      </c>
    </row>
    <row r="567" spans="1:9">
      <c r="A567">
        <v>566</v>
      </c>
      <c r="B567" s="2">
        <v>566</v>
      </c>
      <c r="C567" s="2">
        <f t="shared" si="30"/>
        <v>1155</v>
      </c>
      <c r="D567" s="3">
        <v>566</v>
      </c>
      <c r="E567" s="3">
        <f t="shared" si="31"/>
        <v>2313</v>
      </c>
      <c r="F567" s="51">
        <v>566</v>
      </c>
      <c r="G567" s="51">
        <f t="shared" si="32"/>
        <v>3471</v>
      </c>
      <c r="H567" s="52">
        <v>566</v>
      </c>
      <c r="I567" s="52">
        <f t="shared" si="33"/>
        <v>4629</v>
      </c>
    </row>
    <row r="568" spans="1:9">
      <c r="A568">
        <v>567</v>
      </c>
      <c r="B568" s="2">
        <v>567</v>
      </c>
      <c r="C568" s="2">
        <f t="shared" si="30"/>
        <v>1156</v>
      </c>
      <c r="D568" s="3">
        <v>567</v>
      </c>
      <c r="E568" s="3">
        <f t="shared" si="31"/>
        <v>2314</v>
      </c>
      <c r="F568" s="51">
        <v>567</v>
      </c>
      <c r="G568" s="51">
        <f t="shared" si="32"/>
        <v>3472</v>
      </c>
      <c r="H568" s="52">
        <v>567</v>
      </c>
      <c r="I568" s="52">
        <f t="shared" si="33"/>
        <v>4630</v>
      </c>
    </row>
    <row r="569" spans="1:9">
      <c r="A569">
        <v>568</v>
      </c>
      <c r="B569" s="2">
        <v>568</v>
      </c>
      <c r="C569" s="2">
        <f t="shared" si="30"/>
        <v>1157</v>
      </c>
      <c r="D569" s="3">
        <v>568</v>
      </c>
      <c r="E569" s="3">
        <f t="shared" si="31"/>
        <v>2315</v>
      </c>
      <c r="F569" s="51">
        <v>568</v>
      </c>
      <c r="G569" s="51">
        <f t="shared" si="32"/>
        <v>3473</v>
      </c>
      <c r="H569" s="52">
        <v>568</v>
      </c>
      <c r="I569" s="52">
        <f t="shared" si="33"/>
        <v>4631</v>
      </c>
    </row>
    <row r="570" spans="1:9">
      <c r="A570">
        <v>569</v>
      </c>
      <c r="B570" s="2">
        <v>569</v>
      </c>
      <c r="C570" s="2">
        <f t="shared" si="30"/>
        <v>1159</v>
      </c>
      <c r="D570" s="3">
        <v>569</v>
      </c>
      <c r="E570" s="3">
        <f t="shared" si="31"/>
        <v>2317</v>
      </c>
      <c r="F570" s="51">
        <v>569</v>
      </c>
      <c r="G570" s="51">
        <f t="shared" si="32"/>
        <v>3475</v>
      </c>
      <c r="H570" s="52">
        <v>569</v>
      </c>
      <c r="I570" s="52">
        <f t="shared" si="33"/>
        <v>4633</v>
      </c>
    </row>
    <row r="571" spans="1:9">
      <c r="A571">
        <v>570</v>
      </c>
      <c r="B571" s="2">
        <v>570</v>
      </c>
      <c r="C571" s="2">
        <f t="shared" si="30"/>
        <v>1160</v>
      </c>
      <c r="D571" s="3">
        <v>570</v>
      </c>
      <c r="E571" s="3">
        <f t="shared" si="31"/>
        <v>2318</v>
      </c>
      <c r="F571" s="51">
        <v>570</v>
      </c>
      <c r="G571" s="51">
        <f t="shared" si="32"/>
        <v>3476</v>
      </c>
      <c r="H571" s="52">
        <v>570</v>
      </c>
      <c r="I571" s="52">
        <f t="shared" si="33"/>
        <v>4634</v>
      </c>
    </row>
    <row r="572" spans="1:9">
      <c r="A572">
        <v>571</v>
      </c>
      <c r="B572" s="2">
        <v>571</v>
      </c>
      <c r="C572" s="2">
        <f t="shared" ref="C572:C635" si="34">INT((B572-B$122)*1.3333333)+C$122</f>
        <v>1161</v>
      </c>
      <c r="D572" s="3">
        <v>571</v>
      </c>
      <c r="E572" s="3">
        <f t="shared" si="31"/>
        <v>2319</v>
      </c>
      <c r="F572" s="51">
        <v>571</v>
      </c>
      <c r="G572" s="51">
        <f t="shared" si="32"/>
        <v>3477</v>
      </c>
      <c r="H572" s="52">
        <v>571</v>
      </c>
      <c r="I572" s="52">
        <f t="shared" si="33"/>
        <v>4635</v>
      </c>
    </row>
    <row r="573" spans="1:9">
      <c r="A573">
        <v>572</v>
      </c>
      <c r="B573" s="2">
        <v>572</v>
      </c>
      <c r="C573" s="2">
        <f t="shared" si="34"/>
        <v>1163</v>
      </c>
      <c r="D573" s="3">
        <v>572</v>
      </c>
      <c r="E573" s="3">
        <f t="shared" si="31"/>
        <v>2321</v>
      </c>
      <c r="F573" s="51">
        <v>572</v>
      </c>
      <c r="G573" s="51">
        <f t="shared" si="32"/>
        <v>3479</v>
      </c>
      <c r="H573" s="52">
        <v>572</v>
      </c>
      <c r="I573" s="52">
        <f t="shared" si="33"/>
        <v>4637</v>
      </c>
    </row>
    <row r="574" spans="1:9">
      <c r="A574">
        <v>573</v>
      </c>
      <c r="B574" s="2">
        <v>573</v>
      </c>
      <c r="C574" s="2">
        <f t="shared" si="34"/>
        <v>1164</v>
      </c>
      <c r="D574" s="3">
        <v>573</v>
      </c>
      <c r="E574" s="3">
        <f t="shared" si="31"/>
        <v>2322</v>
      </c>
      <c r="F574" s="51">
        <v>573</v>
      </c>
      <c r="G574" s="51">
        <f t="shared" si="32"/>
        <v>3480</v>
      </c>
      <c r="H574" s="52">
        <v>573</v>
      </c>
      <c r="I574" s="52">
        <f t="shared" si="33"/>
        <v>4638</v>
      </c>
    </row>
    <row r="575" spans="1:9">
      <c r="A575">
        <v>574</v>
      </c>
      <c r="B575" s="2">
        <v>574</v>
      </c>
      <c r="C575" s="2">
        <f t="shared" si="34"/>
        <v>1165</v>
      </c>
      <c r="D575" s="3">
        <v>574</v>
      </c>
      <c r="E575" s="3">
        <f t="shared" si="31"/>
        <v>2323</v>
      </c>
      <c r="F575" s="51">
        <v>574</v>
      </c>
      <c r="G575" s="51">
        <f t="shared" si="32"/>
        <v>3481</v>
      </c>
      <c r="H575" s="52">
        <v>574</v>
      </c>
      <c r="I575" s="52">
        <f t="shared" si="33"/>
        <v>4639</v>
      </c>
    </row>
    <row r="576" spans="1:9">
      <c r="A576">
        <v>575</v>
      </c>
      <c r="B576" s="2">
        <v>575</v>
      </c>
      <c r="C576" s="2">
        <f t="shared" si="34"/>
        <v>1167</v>
      </c>
      <c r="D576" s="3">
        <v>575</v>
      </c>
      <c r="E576" s="3">
        <f t="shared" si="31"/>
        <v>2325</v>
      </c>
      <c r="F576" s="51">
        <v>575</v>
      </c>
      <c r="G576" s="51">
        <f t="shared" si="32"/>
        <v>3483</v>
      </c>
      <c r="H576" s="52">
        <v>575</v>
      </c>
      <c r="I576" s="52">
        <f t="shared" si="33"/>
        <v>4641</v>
      </c>
    </row>
    <row r="577" spans="1:9">
      <c r="A577">
        <v>576</v>
      </c>
      <c r="B577" s="2">
        <v>576</v>
      </c>
      <c r="C577" s="2">
        <f t="shared" si="34"/>
        <v>1168</v>
      </c>
      <c r="D577" s="3">
        <v>576</v>
      </c>
      <c r="E577" s="3">
        <f t="shared" si="31"/>
        <v>2326</v>
      </c>
      <c r="F577" s="51">
        <v>576</v>
      </c>
      <c r="G577" s="51">
        <f t="shared" si="32"/>
        <v>3484</v>
      </c>
      <c r="H577" s="52">
        <v>576</v>
      </c>
      <c r="I577" s="52">
        <f t="shared" si="33"/>
        <v>4642</v>
      </c>
    </row>
    <row r="578" spans="1:9">
      <c r="A578">
        <v>577</v>
      </c>
      <c r="B578" s="2">
        <v>577</v>
      </c>
      <c r="C578" s="2">
        <f t="shared" si="34"/>
        <v>1169</v>
      </c>
      <c r="D578" s="3">
        <v>577</v>
      </c>
      <c r="E578" s="3">
        <f t="shared" si="31"/>
        <v>2327</v>
      </c>
      <c r="F578" s="51">
        <v>577</v>
      </c>
      <c r="G578" s="51">
        <f t="shared" si="32"/>
        <v>3485</v>
      </c>
      <c r="H578" s="52">
        <v>577</v>
      </c>
      <c r="I578" s="52">
        <f t="shared" si="33"/>
        <v>4643</v>
      </c>
    </row>
    <row r="579" spans="1:9">
      <c r="A579">
        <v>578</v>
      </c>
      <c r="B579" s="2">
        <v>578</v>
      </c>
      <c r="C579" s="2">
        <f t="shared" si="34"/>
        <v>1171</v>
      </c>
      <c r="D579" s="3">
        <v>578</v>
      </c>
      <c r="E579" s="3">
        <f t="shared" si="31"/>
        <v>2329</v>
      </c>
      <c r="F579" s="51">
        <v>578</v>
      </c>
      <c r="G579" s="51">
        <f t="shared" si="32"/>
        <v>3487</v>
      </c>
      <c r="H579" s="52">
        <v>578</v>
      </c>
      <c r="I579" s="52">
        <f t="shared" si="33"/>
        <v>4645</v>
      </c>
    </row>
    <row r="580" spans="1:9">
      <c r="A580">
        <v>579</v>
      </c>
      <c r="B580" s="2">
        <v>579</v>
      </c>
      <c r="C580" s="2">
        <f t="shared" si="34"/>
        <v>1172</v>
      </c>
      <c r="D580" s="3">
        <v>579</v>
      </c>
      <c r="E580" s="3">
        <f t="shared" ref="E580:E643" si="35">INT((D580-D$2)*1.3333333)+E$2</f>
        <v>2330</v>
      </c>
      <c r="F580" s="51">
        <v>579</v>
      </c>
      <c r="G580" s="51">
        <f t="shared" ref="G580:G643" si="36">INT((F580-F$2)*1.3333333)+G$2</f>
        <v>3488</v>
      </c>
      <c r="H580" s="52">
        <v>579</v>
      </c>
      <c r="I580" s="52">
        <f t="shared" ref="I580:I643" si="37">INT((H580-H$2)*1.3333333)+I$2</f>
        <v>4646</v>
      </c>
    </row>
    <row r="581" spans="1:9">
      <c r="A581">
        <v>580</v>
      </c>
      <c r="B581" s="2">
        <v>580</v>
      </c>
      <c r="C581" s="2">
        <f t="shared" si="34"/>
        <v>1173</v>
      </c>
      <c r="D581" s="3">
        <v>580</v>
      </c>
      <c r="E581" s="3">
        <f t="shared" si="35"/>
        <v>2331</v>
      </c>
      <c r="F581" s="51">
        <v>580</v>
      </c>
      <c r="G581" s="51">
        <f t="shared" si="36"/>
        <v>3489</v>
      </c>
      <c r="H581" s="52">
        <v>580</v>
      </c>
      <c r="I581" s="52">
        <f t="shared" si="37"/>
        <v>4647</v>
      </c>
    </row>
    <row r="582" spans="1:9">
      <c r="A582">
        <v>581</v>
      </c>
      <c r="B582" s="2">
        <v>581</v>
      </c>
      <c r="C582" s="2">
        <f t="shared" si="34"/>
        <v>1175</v>
      </c>
      <c r="D582" s="3">
        <v>581</v>
      </c>
      <c r="E582" s="3">
        <f t="shared" si="35"/>
        <v>2333</v>
      </c>
      <c r="F582" s="51">
        <v>581</v>
      </c>
      <c r="G582" s="51">
        <f t="shared" si="36"/>
        <v>3491</v>
      </c>
      <c r="H582" s="52">
        <v>581</v>
      </c>
      <c r="I582" s="52">
        <f t="shared" si="37"/>
        <v>4649</v>
      </c>
    </row>
    <row r="583" spans="1:9">
      <c r="A583">
        <v>582</v>
      </c>
      <c r="B583" s="2">
        <v>582</v>
      </c>
      <c r="C583" s="2">
        <f t="shared" si="34"/>
        <v>1176</v>
      </c>
      <c r="D583" s="3">
        <v>582</v>
      </c>
      <c r="E583" s="3">
        <f t="shared" si="35"/>
        <v>2334</v>
      </c>
      <c r="F583" s="51">
        <v>582</v>
      </c>
      <c r="G583" s="51">
        <f t="shared" si="36"/>
        <v>3492</v>
      </c>
      <c r="H583" s="52">
        <v>582</v>
      </c>
      <c r="I583" s="52">
        <f t="shared" si="37"/>
        <v>4650</v>
      </c>
    </row>
    <row r="584" spans="1:9">
      <c r="A584">
        <v>583</v>
      </c>
      <c r="B584" s="2">
        <v>583</v>
      </c>
      <c r="C584" s="2">
        <f t="shared" si="34"/>
        <v>1177</v>
      </c>
      <c r="D584" s="3">
        <v>583</v>
      </c>
      <c r="E584" s="3">
        <f t="shared" si="35"/>
        <v>2335</v>
      </c>
      <c r="F584" s="51">
        <v>583</v>
      </c>
      <c r="G584" s="51">
        <f t="shared" si="36"/>
        <v>3493</v>
      </c>
      <c r="H584" s="52">
        <v>583</v>
      </c>
      <c r="I584" s="52">
        <f t="shared" si="37"/>
        <v>4651</v>
      </c>
    </row>
    <row r="585" spans="1:9">
      <c r="A585">
        <v>584</v>
      </c>
      <c r="B585" s="2">
        <v>584</v>
      </c>
      <c r="C585" s="2">
        <f t="shared" si="34"/>
        <v>1179</v>
      </c>
      <c r="D585" s="3">
        <v>584</v>
      </c>
      <c r="E585" s="3">
        <f t="shared" si="35"/>
        <v>2337</v>
      </c>
      <c r="F585" s="51">
        <v>584</v>
      </c>
      <c r="G585" s="51">
        <f t="shared" si="36"/>
        <v>3495</v>
      </c>
      <c r="H585" s="52">
        <v>584</v>
      </c>
      <c r="I585" s="52">
        <f t="shared" si="37"/>
        <v>4653</v>
      </c>
    </row>
    <row r="586" spans="1:9">
      <c r="A586">
        <v>585</v>
      </c>
      <c r="B586" s="2">
        <v>585</v>
      </c>
      <c r="C586" s="2">
        <f t="shared" si="34"/>
        <v>1180</v>
      </c>
      <c r="D586" s="3">
        <v>585</v>
      </c>
      <c r="E586" s="3">
        <f t="shared" si="35"/>
        <v>2338</v>
      </c>
      <c r="F586" s="51">
        <v>585</v>
      </c>
      <c r="G586" s="51">
        <f t="shared" si="36"/>
        <v>3496</v>
      </c>
      <c r="H586" s="52">
        <v>585</v>
      </c>
      <c r="I586" s="52">
        <f t="shared" si="37"/>
        <v>4654</v>
      </c>
    </row>
    <row r="587" spans="1:9">
      <c r="A587">
        <v>586</v>
      </c>
      <c r="B587" s="2">
        <v>586</v>
      </c>
      <c r="C587" s="2">
        <f t="shared" si="34"/>
        <v>1181</v>
      </c>
      <c r="D587" s="3">
        <v>586</v>
      </c>
      <c r="E587" s="3">
        <f t="shared" si="35"/>
        <v>2339</v>
      </c>
      <c r="F587" s="51">
        <v>586</v>
      </c>
      <c r="G587" s="51">
        <f t="shared" si="36"/>
        <v>3497</v>
      </c>
      <c r="H587" s="52">
        <v>586</v>
      </c>
      <c r="I587" s="52">
        <f t="shared" si="37"/>
        <v>4655</v>
      </c>
    </row>
    <row r="588" spans="1:9">
      <c r="A588">
        <v>587</v>
      </c>
      <c r="B588" s="2">
        <v>587</v>
      </c>
      <c r="C588" s="2">
        <f t="shared" si="34"/>
        <v>1183</v>
      </c>
      <c r="D588" s="3">
        <v>587</v>
      </c>
      <c r="E588" s="3">
        <f t="shared" si="35"/>
        <v>2341</v>
      </c>
      <c r="F588" s="51">
        <v>587</v>
      </c>
      <c r="G588" s="51">
        <f t="shared" si="36"/>
        <v>3499</v>
      </c>
      <c r="H588" s="52">
        <v>587</v>
      </c>
      <c r="I588" s="52">
        <f t="shared" si="37"/>
        <v>4657</v>
      </c>
    </row>
    <row r="589" spans="1:9">
      <c r="A589">
        <v>588</v>
      </c>
      <c r="B589" s="2">
        <v>588</v>
      </c>
      <c r="C589" s="2">
        <f t="shared" si="34"/>
        <v>1184</v>
      </c>
      <c r="D589" s="3">
        <v>588</v>
      </c>
      <c r="E589" s="3">
        <f t="shared" si="35"/>
        <v>2342</v>
      </c>
      <c r="F589" s="51">
        <v>588</v>
      </c>
      <c r="G589" s="51">
        <f t="shared" si="36"/>
        <v>3500</v>
      </c>
      <c r="H589" s="52">
        <v>588</v>
      </c>
      <c r="I589" s="52">
        <f t="shared" si="37"/>
        <v>4658</v>
      </c>
    </row>
    <row r="590" spans="1:9">
      <c r="A590">
        <v>589</v>
      </c>
      <c r="B590" s="2">
        <v>589</v>
      </c>
      <c r="C590" s="2">
        <f t="shared" si="34"/>
        <v>1185</v>
      </c>
      <c r="D590" s="3">
        <v>589</v>
      </c>
      <c r="E590" s="3">
        <f t="shared" si="35"/>
        <v>2343</v>
      </c>
      <c r="F590" s="51">
        <v>589</v>
      </c>
      <c r="G590" s="51">
        <f t="shared" si="36"/>
        <v>3501</v>
      </c>
      <c r="H590" s="52">
        <v>589</v>
      </c>
      <c r="I590" s="52">
        <f t="shared" si="37"/>
        <v>4659</v>
      </c>
    </row>
    <row r="591" spans="1:9">
      <c r="A591">
        <v>590</v>
      </c>
      <c r="B591" s="2">
        <v>590</v>
      </c>
      <c r="C591" s="2">
        <f t="shared" si="34"/>
        <v>1187</v>
      </c>
      <c r="D591" s="3">
        <v>590</v>
      </c>
      <c r="E591" s="3">
        <f t="shared" si="35"/>
        <v>2345</v>
      </c>
      <c r="F591" s="51">
        <v>590</v>
      </c>
      <c r="G591" s="51">
        <f t="shared" si="36"/>
        <v>3503</v>
      </c>
      <c r="H591" s="52">
        <v>590</v>
      </c>
      <c r="I591" s="52">
        <f t="shared" si="37"/>
        <v>4661</v>
      </c>
    </row>
    <row r="592" spans="1:9">
      <c r="A592">
        <v>591</v>
      </c>
      <c r="B592" s="2">
        <v>591</v>
      </c>
      <c r="C592" s="2">
        <f t="shared" si="34"/>
        <v>1188</v>
      </c>
      <c r="D592" s="3">
        <v>591</v>
      </c>
      <c r="E592" s="3">
        <f t="shared" si="35"/>
        <v>2346</v>
      </c>
      <c r="F592" s="51">
        <v>591</v>
      </c>
      <c r="G592" s="51">
        <f t="shared" si="36"/>
        <v>3504</v>
      </c>
      <c r="H592" s="52">
        <v>591</v>
      </c>
      <c r="I592" s="52">
        <f t="shared" si="37"/>
        <v>4662</v>
      </c>
    </row>
    <row r="593" spans="1:9">
      <c r="A593">
        <v>592</v>
      </c>
      <c r="B593" s="2">
        <v>592</v>
      </c>
      <c r="C593" s="2">
        <f t="shared" si="34"/>
        <v>1189</v>
      </c>
      <c r="D593" s="3">
        <v>592</v>
      </c>
      <c r="E593" s="3">
        <f t="shared" si="35"/>
        <v>2347</v>
      </c>
      <c r="F593" s="51">
        <v>592</v>
      </c>
      <c r="G593" s="51">
        <f t="shared" si="36"/>
        <v>3505</v>
      </c>
      <c r="H593" s="52">
        <v>592</v>
      </c>
      <c r="I593" s="52">
        <f t="shared" si="37"/>
        <v>4663</v>
      </c>
    </row>
    <row r="594" spans="1:9">
      <c r="A594">
        <v>593</v>
      </c>
      <c r="B594" s="2">
        <v>593</v>
      </c>
      <c r="C594" s="2">
        <f t="shared" si="34"/>
        <v>1191</v>
      </c>
      <c r="D594" s="3">
        <v>593</v>
      </c>
      <c r="E594" s="3">
        <f t="shared" si="35"/>
        <v>2349</v>
      </c>
      <c r="F594" s="51">
        <v>593</v>
      </c>
      <c r="G594" s="51">
        <f t="shared" si="36"/>
        <v>3507</v>
      </c>
      <c r="H594" s="52">
        <v>593</v>
      </c>
      <c r="I594" s="52">
        <f t="shared" si="37"/>
        <v>4665</v>
      </c>
    </row>
    <row r="595" spans="1:9">
      <c r="A595">
        <v>594</v>
      </c>
      <c r="B595" s="2">
        <v>594</v>
      </c>
      <c r="C595" s="2">
        <f t="shared" si="34"/>
        <v>1192</v>
      </c>
      <c r="D595" s="3">
        <v>594</v>
      </c>
      <c r="E595" s="3">
        <f t="shared" si="35"/>
        <v>2350</v>
      </c>
      <c r="F595" s="51">
        <v>594</v>
      </c>
      <c r="G595" s="51">
        <f t="shared" si="36"/>
        <v>3508</v>
      </c>
      <c r="H595" s="52">
        <v>594</v>
      </c>
      <c r="I595" s="52">
        <f t="shared" si="37"/>
        <v>4666</v>
      </c>
    </row>
    <row r="596" spans="1:9">
      <c r="A596">
        <v>595</v>
      </c>
      <c r="B596" s="2">
        <v>595</v>
      </c>
      <c r="C596" s="2">
        <f t="shared" si="34"/>
        <v>1193</v>
      </c>
      <c r="D596" s="3">
        <v>595</v>
      </c>
      <c r="E596" s="3">
        <f t="shared" si="35"/>
        <v>2351</v>
      </c>
      <c r="F596" s="51">
        <v>595</v>
      </c>
      <c r="G596" s="51">
        <f t="shared" si="36"/>
        <v>3509</v>
      </c>
      <c r="H596" s="52">
        <v>595</v>
      </c>
      <c r="I596" s="52">
        <f t="shared" si="37"/>
        <v>4667</v>
      </c>
    </row>
    <row r="597" spans="1:9">
      <c r="A597">
        <v>596</v>
      </c>
      <c r="B597" s="2">
        <v>596</v>
      </c>
      <c r="C597" s="2">
        <f t="shared" si="34"/>
        <v>1195</v>
      </c>
      <c r="D597" s="3">
        <v>596</v>
      </c>
      <c r="E597" s="3">
        <f t="shared" si="35"/>
        <v>2353</v>
      </c>
      <c r="F597" s="51">
        <v>596</v>
      </c>
      <c r="G597" s="51">
        <f t="shared" si="36"/>
        <v>3511</v>
      </c>
      <c r="H597" s="52">
        <v>596</v>
      </c>
      <c r="I597" s="52">
        <f t="shared" si="37"/>
        <v>4669</v>
      </c>
    </row>
    <row r="598" spans="1:9">
      <c r="A598">
        <v>597</v>
      </c>
      <c r="B598" s="2">
        <v>597</v>
      </c>
      <c r="C598" s="2">
        <f t="shared" si="34"/>
        <v>1196</v>
      </c>
      <c r="D598" s="3">
        <v>597</v>
      </c>
      <c r="E598" s="3">
        <f t="shared" si="35"/>
        <v>2354</v>
      </c>
      <c r="F598" s="51">
        <v>597</v>
      </c>
      <c r="G598" s="51">
        <f t="shared" si="36"/>
        <v>3512</v>
      </c>
      <c r="H598" s="52">
        <v>597</v>
      </c>
      <c r="I598" s="52">
        <f t="shared" si="37"/>
        <v>4670</v>
      </c>
    </row>
    <row r="599" spans="1:9">
      <c r="A599">
        <v>598</v>
      </c>
      <c r="B599" s="2">
        <v>598</v>
      </c>
      <c r="C599" s="2">
        <f t="shared" si="34"/>
        <v>1197</v>
      </c>
      <c r="D599" s="3">
        <v>598</v>
      </c>
      <c r="E599" s="3">
        <f t="shared" si="35"/>
        <v>2355</v>
      </c>
      <c r="F599" s="51">
        <v>598</v>
      </c>
      <c r="G599" s="51">
        <f t="shared" si="36"/>
        <v>3513</v>
      </c>
      <c r="H599" s="52">
        <v>598</v>
      </c>
      <c r="I599" s="52">
        <f t="shared" si="37"/>
        <v>4671</v>
      </c>
    </row>
    <row r="600" spans="1:9">
      <c r="A600">
        <v>599</v>
      </c>
      <c r="B600" s="2">
        <v>599</v>
      </c>
      <c r="C600" s="2">
        <f t="shared" si="34"/>
        <v>1199</v>
      </c>
      <c r="D600" s="3">
        <v>599</v>
      </c>
      <c r="E600" s="3">
        <f t="shared" si="35"/>
        <v>2357</v>
      </c>
      <c r="F600" s="51">
        <v>599</v>
      </c>
      <c r="G600" s="51">
        <f t="shared" si="36"/>
        <v>3515</v>
      </c>
      <c r="H600" s="52">
        <v>599</v>
      </c>
      <c r="I600" s="52">
        <f t="shared" si="37"/>
        <v>4673</v>
      </c>
    </row>
    <row r="601" spans="1:9">
      <c r="A601">
        <v>600</v>
      </c>
      <c r="B601" s="2">
        <v>600</v>
      </c>
      <c r="C601" s="2">
        <f t="shared" si="34"/>
        <v>1200</v>
      </c>
      <c r="D601" s="3">
        <v>600</v>
      </c>
      <c r="E601" s="3">
        <f t="shared" si="35"/>
        <v>2358</v>
      </c>
      <c r="F601" s="51">
        <v>600</v>
      </c>
      <c r="G601" s="51">
        <f t="shared" si="36"/>
        <v>3516</v>
      </c>
      <c r="H601" s="52">
        <v>600</v>
      </c>
      <c r="I601" s="52">
        <f t="shared" si="37"/>
        <v>4674</v>
      </c>
    </row>
    <row r="602" spans="1:9">
      <c r="A602">
        <v>601</v>
      </c>
      <c r="B602" s="2">
        <v>601</v>
      </c>
      <c r="C602" s="2">
        <f t="shared" si="34"/>
        <v>1201</v>
      </c>
      <c r="D602" s="3">
        <v>601</v>
      </c>
      <c r="E602" s="3">
        <f t="shared" si="35"/>
        <v>2359</v>
      </c>
      <c r="F602" s="51">
        <v>601</v>
      </c>
      <c r="G602" s="51">
        <f t="shared" si="36"/>
        <v>3517</v>
      </c>
      <c r="H602" s="52">
        <v>601</v>
      </c>
      <c r="I602" s="52">
        <f t="shared" si="37"/>
        <v>4675</v>
      </c>
    </row>
    <row r="603" spans="1:9">
      <c r="A603">
        <v>602</v>
      </c>
      <c r="B603" s="2">
        <v>602</v>
      </c>
      <c r="C603" s="2">
        <f t="shared" si="34"/>
        <v>1203</v>
      </c>
      <c r="D603" s="3">
        <v>602</v>
      </c>
      <c r="E603" s="3">
        <f t="shared" si="35"/>
        <v>2361</v>
      </c>
      <c r="F603" s="51">
        <v>602</v>
      </c>
      <c r="G603" s="51">
        <f t="shared" si="36"/>
        <v>3519</v>
      </c>
      <c r="H603" s="52">
        <v>602</v>
      </c>
      <c r="I603" s="52">
        <f t="shared" si="37"/>
        <v>4677</v>
      </c>
    </row>
    <row r="604" spans="1:9">
      <c r="A604">
        <v>603</v>
      </c>
      <c r="B604" s="2">
        <v>603</v>
      </c>
      <c r="C604" s="2">
        <f t="shared" si="34"/>
        <v>1204</v>
      </c>
      <c r="D604" s="3">
        <v>603</v>
      </c>
      <c r="E604" s="3">
        <f t="shared" si="35"/>
        <v>2362</v>
      </c>
      <c r="F604" s="51">
        <v>603</v>
      </c>
      <c r="G604" s="51">
        <f t="shared" si="36"/>
        <v>3520</v>
      </c>
      <c r="H604" s="52">
        <v>603</v>
      </c>
      <c r="I604" s="52">
        <f t="shared" si="37"/>
        <v>4678</v>
      </c>
    </row>
    <row r="605" spans="1:9">
      <c r="A605">
        <v>604</v>
      </c>
      <c r="B605" s="2">
        <v>604</v>
      </c>
      <c r="C605" s="2">
        <f t="shared" si="34"/>
        <v>1205</v>
      </c>
      <c r="D605" s="3">
        <v>604</v>
      </c>
      <c r="E605" s="3">
        <f t="shared" si="35"/>
        <v>2363</v>
      </c>
      <c r="F605" s="51">
        <v>604</v>
      </c>
      <c r="G605" s="51">
        <f t="shared" si="36"/>
        <v>3521</v>
      </c>
      <c r="H605" s="52">
        <v>604</v>
      </c>
      <c r="I605" s="52">
        <f t="shared" si="37"/>
        <v>4679</v>
      </c>
    </row>
    <row r="606" spans="1:9">
      <c r="A606">
        <v>605</v>
      </c>
      <c r="B606" s="2">
        <v>605</v>
      </c>
      <c r="C606" s="2">
        <f t="shared" si="34"/>
        <v>1207</v>
      </c>
      <c r="D606" s="3">
        <v>605</v>
      </c>
      <c r="E606" s="3">
        <f t="shared" si="35"/>
        <v>2365</v>
      </c>
      <c r="F606" s="51">
        <v>605</v>
      </c>
      <c r="G606" s="51">
        <f t="shared" si="36"/>
        <v>3523</v>
      </c>
      <c r="H606" s="52">
        <v>605</v>
      </c>
      <c r="I606" s="52">
        <f t="shared" si="37"/>
        <v>4681</v>
      </c>
    </row>
    <row r="607" spans="1:9">
      <c r="A607">
        <v>606</v>
      </c>
      <c r="B607" s="2">
        <v>606</v>
      </c>
      <c r="C607" s="2">
        <f t="shared" si="34"/>
        <v>1208</v>
      </c>
      <c r="D607" s="3">
        <v>606</v>
      </c>
      <c r="E607" s="3">
        <f t="shared" si="35"/>
        <v>2366</v>
      </c>
      <c r="F607" s="51">
        <v>606</v>
      </c>
      <c r="G607" s="51">
        <f t="shared" si="36"/>
        <v>3524</v>
      </c>
      <c r="H607" s="52">
        <v>606</v>
      </c>
      <c r="I607" s="52">
        <f t="shared" si="37"/>
        <v>4682</v>
      </c>
    </row>
    <row r="608" spans="1:9">
      <c r="A608">
        <v>607</v>
      </c>
      <c r="B608" s="2">
        <v>607</v>
      </c>
      <c r="C608" s="2">
        <f t="shared" si="34"/>
        <v>1209</v>
      </c>
      <c r="D608" s="3">
        <v>607</v>
      </c>
      <c r="E608" s="3">
        <f t="shared" si="35"/>
        <v>2367</v>
      </c>
      <c r="F608" s="51">
        <v>607</v>
      </c>
      <c r="G608" s="51">
        <f t="shared" si="36"/>
        <v>3525</v>
      </c>
      <c r="H608" s="52">
        <v>607</v>
      </c>
      <c r="I608" s="52">
        <f t="shared" si="37"/>
        <v>4683</v>
      </c>
    </row>
    <row r="609" spans="1:9">
      <c r="A609">
        <v>608</v>
      </c>
      <c r="B609" s="2">
        <v>608</v>
      </c>
      <c r="C609" s="2">
        <f t="shared" si="34"/>
        <v>1211</v>
      </c>
      <c r="D609" s="3">
        <v>608</v>
      </c>
      <c r="E609" s="3">
        <f t="shared" si="35"/>
        <v>2369</v>
      </c>
      <c r="F609" s="51">
        <v>608</v>
      </c>
      <c r="G609" s="51">
        <f t="shared" si="36"/>
        <v>3527</v>
      </c>
      <c r="H609" s="52">
        <v>608</v>
      </c>
      <c r="I609" s="52">
        <f t="shared" si="37"/>
        <v>4685</v>
      </c>
    </row>
    <row r="610" spans="1:9">
      <c r="A610">
        <v>609</v>
      </c>
      <c r="B610" s="2">
        <v>609</v>
      </c>
      <c r="C610" s="2">
        <f t="shared" si="34"/>
        <v>1212</v>
      </c>
      <c r="D610" s="3">
        <v>609</v>
      </c>
      <c r="E610" s="3">
        <f t="shared" si="35"/>
        <v>2370</v>
      </c>
      <c r="F610" s="51">
        <v>609</v>
      </c>
      <c r="G610" s="51">
        <f t="shared" si="36"/>
        <v>3528</v>
      </c>
      <c r="H610" s="52">
        <v>609</v>
      </c>
      <c r="I610" s="52">
        <f t="shared" si="37"/>
        <v>4686</v>
      </c>
    </row>
    <row r="611" spans="1:9">
      <c r="A611">
        <v>610</v>
      </c>
      <c r="B611" s="2">
        <v>610</v>
      </c>
      <c r="C611" s="2">
        <f t="shared" si="34"/>
        <v>1213</v>
      </c>
      <c r="D611" s="3">
        <v>610</v>
      </c>
      <c r="E611" s="3">
        <f t="shared" si="35"/>
        <v>2371</v>
      </c>
      <c r="F611" s="51">
        <v>610</v>
      </c>
      <c r="G611" s="51">
        <f t="shared" si="36"/>
        <v>3529</v>
      </c>
      <c r="H611" s="52">
        <v>610</v>
      </c>
      <c r="I611" s="52">
        <f t="shared" si="37"/>
        <v>4687</v>
      </c>
    </row>
    <row r="612" spans="1:9">
      <c r="A612">
        <v>611</v>
      </c>
      <c r="B612" s="2">
        <v>611</v>
      </c>
      <c r="C612" s="2">
        <f t="shared" si="34"/>
        <v>1215</v>
      </c>
      <c r="D612" s="3">
        <v>611</v>
      </c>
      <c r="E612" s="3">
        <f t="shared" si="35"/>
        <v>2373</v>
      </c>
      <c r="F612" s="51">
        <v>611</v>
      </c>
      <c r="G612" s="51">
        <f t="shared" si="36"/>
        <v>3531</v>
      </c>
      <c r="H612" s="52">
        <v>611</v>
      </c>
      <c r="I612" s="52">
        <f t="shared" si="37"/>
        <v>4689</v>
      </c>
    </row>
    <row r="613" spans="1:9">
      <c r="A613">
        <v>612</v>
      </c>
      <c r="B613" s="2">
        <v>612</v>
      </c>
      <c r="C613" s="2">
        <f t="shared" si="34"/>
        <v>1216</v>
      </c>
      <c r="D613" s="3">
        <v>612</v>
      </c>
      <c r="E613" s="3">
        <f t="shared" si="35"/>
        <v>2374</v>
      </c>
      <c r="F613" s="51">
        <v>612</v>
      </c>
      <c r="G613" s="51">
        <f t="shared" si="36"/>
        <v>3532</v>
      </c>
      <c r="H613" s="52">
        <v>612</v>
      </c>
      <c r="I613" s="52">
        <f t="shared" si="37"/>
        <v>4690</v>
      </c>
    </row>
    <row r="614" spans="1:9">
      <c r="A614">
        <v>613</v>
      </c>
      <c r="B614" s="2">
        <v>613</v>
      </c>
      <c r="C614" s="2">
        <f t="shared" si="34"/>
        <v>1217</v>
      </c>
      <c r="D614" s="3">
        <v>613</v>
      </c>
      <c r="E614" s="3">
        <f t="shared" si="35"/>
        <v>2375</v>
      </c>
      <c r="F614" s="51">
        <v>613</v>
      </c>
      <c r="G614" s="51">
        <f t="shared" si="36"/>
        <v>3533</v>
      </c>
      <c r="H614" s="52">
        <v>613</v>
      </c>
      <c r="I614" s="52">
        <f t="shared" si="37"/>
        <v>4691</v>
      </c>
    </row>
    <row r="615" spans="1:9">
      <c r="A615">
        <v>614</v>
      </c>
      <c r="B615" s="2">
        <v>614</v>
      </c>
      <c r="C615" s="2">
        <f t="shared" si="34"/>
        <v>1219</v>
      </c>
      <c r="D615" s="3">
        <v>614</v>
      </c>
      <c r="E615" s="3">
        <f t="shared" si="35"/>
        <v>2377</v>
      </c>
      <c r="F615" s="51">
        <v>614</v>
      </c>
      <c r="G615" s="51">
        <f t="shared" si="36"/>
        <v>3535</v>
      </c>
      <c r="H615" s="52">
        <v>614</v>
      </c>
      <c r="I615" s="52">
        <f t="shared" si="37"/>
        <v>4693</v>
      </c>
    </row>
    <row r="616" spans="1:9">
      <c r="A616">
        <v>615</v>
      </c>
      <c r="B616" s="2">
        <v>615</v>
      </c>
      <c r="C616" s="2">
        <f t="shared" si="34"/>
        <v>1220</v>
      </c>
      <c r="D616" s="3">
        <v>615</v>
      </c>
      <c r="E616" s="3">
        <f t="shared" si="35"/>
        <v>2378</v>
      </c>
      <c r="F616" s="51">
        <v>615</v>
      </c>
      <c r="G616" s="51">
        <f t="shared" si="36"/>
        <v>3536</v>
      </c>
      <c r="H616" s="52">
        <v>615</v>
      </c>
      <c r="I616" s="52">
        <f t="shared" si="37"/>
        <v>4694</v>
      </c>
    </row>
    <row r="617" spans="1:9">
      <c r="A617">
        <v>616</v>
      </c>
      <c r="B617" s="2">
        <v>616</v>
      </c>
      <c r="C617" s="2">
        <f t="shared" si="34"/>
        <v>1221</v>
      </c>
      <c r="D617" s="3">
        <v>616</v>
      </c>
      <c r="E617" s="3">
        <f t="shared" si="35"/>
        <v>2379</v>
      </c>
      <c r="F617" s="51">
        <v>616</v>
      </c>
      <c r="G617" s="51">
        <f t="shared" si="36"/>
        <v>3537</v>
      </c>
      <c r="H617" s="52">
        <v>616</v>
      </c>
      <c r="I617" s="52">
        <f t="shared" si="37"/>
        <v>4695</v>
      </c>
    </row>
    <row r="618" spans="1:9">
      <c r="A618">
        <v>617</v>
      </c>
      <c r="B618" s="2">
        <v>617</v>
      </c>
      <c r="C618" s="2">
        <f t="shared" si="34"/>
        <v>1223</v>
      </c>
      <c r="D618" s="3">
        <v>617</v>
      </c>
      <c r="E618" s="3">
        <f t="shared" si="35"/>
        <v>2381</v>
      </c>
      <c r="F618" s="51">
        <v>617</v>
      </c>
      <c r="G618" s="51">
        <f t="shared" si="36"/>
        <v>3539</v>
      </c>
      <c r="H618" s="52">
        <v>617</v>
      </c>
      <c r="I618" s="52">
        <f t="shared" si="37"/>
        <v>4697</v>
      </c>
    </row>
    <row r="619" spans="1:9">
      <c r="A619">
        <v>618</v>
      </c>
      <c r="B619" s="2">
        <v>618</v>
      </c>
      <c r="C619" s="2">
        <f t="shared" si="34"/>
        <v>1224</v>
      </c>
      <c r="D619" s="3">
        <v>618</v>
      </c>
      <c r="E619" s="3">
        <f t="shared" si="35"/>
        <v>2382</v>
      </c>
      <c r="F619" s="51">
        <v>618</v>
      </c>
      <c r="G619" s="51">
        <f t="shared" si="36"/>
        <v>3540</v>
      </c>
      <c r="H619" s="52">
        <v>618</v>
      </c>
      <c r="I619" s="52">
        <f t="shared" si="37"/>
        <v>4698</v>
      </c>
    </row>
    <row r="620" spans="1:9">
      <c r="A620">
        <v>619</v>
      </c>
      <c r="B620" s="2">
        <v>619</v>
      </c>
      <c r="C620" s="2">
        <f t="shared" si="34"/>
        <v>1225</v>
      </c>
      <c r="D620" s="3">
        <v>619</v>
      </c>
      <c r="E620" s="3">
        <f t="shared" si="35"/>
        <v>2383</v>
      </c>
      <c r="F620" s="51">
        <v>619</v>
      </c>
      <c r="G620" s="51">
        <f t="shared" si="36"/>
        <v>3541</v>
      </c>
      <c r="H620" s="52">
        <v>619</v>
      </c>
      <c r="I620" s="52">
        <f t="shared" si="37"/>
        <v>4699</v>
      </c>
    </row>
    <row r="621" spans="1:9">
      <c r="A621">
        <v>620</v>
      </c>
      <c r="B621" s="2">
        <v>620</v>
      </c>
      <c r="C621" s="2">
        <f t="shared" si="34"/>
        <v>1227</v>
      </c>
      <c r="D621" s="3">
        <v>620</v>
      </c>
      <c r="E621" s="3">
        <f t="shared" si="35"/>
        <v>2385</v>
      </c>
      <c r="F621" s="51">
        <v>620</v>
      </c>
      <c r="G621" s="51">
        <f t="shared" si="36"/>
        <v>3543</v>
      </c>
      <c r="H621" s="52">
        <v>620</v>
      </c>
      <c r="I621" s="52">
        <f t="shared" si="37"/>
        <v>4701</v>
      </c>
    </row>
    <row r="622" spans="1:9">
      <c r="A622">
        <v>621</v>
      </c>
      <c r="B622" s="2">
        <v>621</v>
      </c>
      <c r="C622" s="2">
        <f t="shared" si="34"/>
        <v>1228</v>
      </c>
      <c r="D622" s="3">
        <v>621</v>
      </c>
      <c r="E622" s="3">
        <f t="shared" si="35"/>
        <v>2386</v>
      </c>
      <c r="F622" s="51">
        <v>621</v>
      </c>
      <c r="G622" s="51">
        <f t="shared" si="36"/>
        <v>3544</v>
      </c>
      <c r="H622" s="52">
        <v>621</v>
      </c>
      <c r="I622" s="52">
        <f t="shared" si="37"/>
        <v>4702</v>
      </c>
    </row>
    <row r="623" spans="1:9">
      <c r="A623">
        <v>622</v>
      </c>
      <c r="B623" s="2">
        <v>622</v>
      </c>
      <c r="C623" s="2">
        <f t="shared" si="34"/>
        <v>1229</v>
      </c>
      <c r="D623" s="3">
        <v>622</v>
      </c>
      <c r="E623" s="3">
        <f t="shared" si="35"/>
        <v>2387</v>
      </c>
      <c r="F623" s="51">
        <v>622</v>
      </c>
      <c r="G623" s="51">
        <f t="shared" si="36"/>
        <v>3545</v>
      </c>
      <c r="H623" s="52">
        <v>622</v>
      </c>
      <c r="I623" s="52">
        <f t="shared" si="37"/>
        <v>4703</v>
      </c>
    </row>
    <row r="624" spans="1:9">
      <c r="A624">
        <v>623</v>
      </c>
      <c r="B624" s="2">
        <v>623</v>
      </c>
      <c r="C624" s="2">
        <f t="shared" si="34"/>
        <v>1231</v>
      </c>
      <c r="D624" s="3">
        <v>623</v>
      </c>
      <c r="E624" s="3">
        <f t="shared" si="35"/>
        <v>2389</v>
      </c>
      <c r="F624" s="51">
        <v>623</v>
      </c>
      <c r="G624" s="51">
        <f t="shared" si="36"/>
        <v>3547</v>
      </c>
      <c r="H624" s="52">
        <v>623</v>
      </c>
      <c r="I624" s="52">
        <f t="shared" si="37"/>
        <v>4705</v>
      </c>
    </row>
    <row r="625" spans="1:9">
      <c r="A625">
        <v>624</v>
      </c>
      <c r="B625" s="2">
        <v>624</v>
      </c>
      <c r="C625" s="2">
        <f t="shared" si="34"/>
        <v>1232</v>
      </c>
      <c r="D625" s="3">
        <v>624</v>
      </c>
      <c r="E625" s="3">
        <f t="shared" si="35"/>
        <v>2390</v>
      </c>
      <c r="F625" s="51">
        <v>624</v>
      </c>
      <c r="G625" s="51">
        <f t="shared" si="36"/>
        <v>3548</v>
      </c>
      <c r="H625" s="52">
        <v>624</v>
      </c>
      <c r="I625" s="52">
        <f t="shared" si="37"/>
        <v>4706</v>
      </c>
    </row>
    <row r="626" spans="1:9">
      <c r="A626">
        <v>625</v>
      </c>
      <c r="B626" s="2">
        <v>625</v>
      </c>
      <c r="C626" s="2">
        <f t="shared" si="34"/>
        <v>1233</v>
      </c>
      <c r="D626" s="3">
        <v>625</v>
      </c>
      <c r="E626" s="3">
        <f t="shared" si="35"/>
        <v>2391</v>
      </c>
      <c r="F626" s="51">
        <v>625</v>
      </c>
      <c r="G626" s="51">
        <f t="shared" si="36"/>
        <v>3549</v>
      </c>
      <c r="H626" s="52">
        <v>625</v>
      </c>
      <c r="I626" s="52">
        <f t="shared" si="37"/>
        <v>4707</v>
      </c>
    </row>
    <row r="627" spans="1:9">
      <c r="A627">
        <v>626</v>
      </c>
      <c r="B627" s="2">
        <v>626</v>
      </c>
      <c r="C627" s="2">
        <f t="shared" si="34"/>
        <v>1235</v>
      </c>
      <c r="D627" s="3">
        <v>626</v>
      </c>
      <c r="E627" s="3">
        <f t="shared" si="35"/>
        <v>2393</v>
      </c>
      <c r="F627" s="51">
        <v>626</v>
      </c>
      <c r="G627" s="51">
        <f t="shared" si="36"/>
        <v>3551</v>
      </c>
      <c r="H627" s="52">
        <v>626</v>
      </c>
      <c r="I627" s="52">
        <f t="shared" si="37"/>
        <v>4709</v>
      </c>
    </row>
    <row r="628" spans="1:9">
      <c r="A628">
        <v>627</v>
      </c>
      <c r="B628" s="2">
        <v>627</v>
      </c>
      <c r="C628" s="2">
        <f t="shared" si="34"/>
        <v>1236</v>
      </c>
      <c r="D628" s="3">
        <v>627</v>
      </c>
      <c r="E628" s="3">
        <f t="shared" si="35"/>
        <v>2394</v>
      </c>
      <c r="F628" s="51">
        <v>627</v>
      </c>
      <c r="G628" s="51">
        <f t="shared" si="36"/>
        <v>3552</v>
      </c>
      <c r="H628" s="52">
        <v>627</v>
      </c>
      <c r="I628" s="52">
        <f t="shared" si="37"/>
        <v>4710</v>
      </c>
    </row>
    <row r="629" spans="1:9">
      <c r="A629">
        <v>628</v>
      </c>
      <c r="B629" s="2">
        <v>628</v>
      </c>
      <c r="C629" s="2">
        <f t="shared" si="34"/>
        <v>1237</v>
      </c>
      <c r="D629" s="3">
        <v>628</v>
      </c>
      <c r="E629" s="3">
        <f t="shared" si="35"/>
        <v>2395</v>
      </c>
      <c r="F629" s="51">
        <v>628</v>
      </c>
      <c r="G629" s="51">
        <f t="shared" si="36"/>
        <v>3553</v>
      </c>
      <c r="H629" s="52">
        <v>628</v>
      </c>
      <c r="I629" s="52">
        <f t="shared" si="37"/>
        <v>4711</v>
      </c>
    </row>
    <row r="630" spans="1:9">
      <c r="A630">
        <v>629</v>
      </c>
      <c r="B630" s="2">
        <v>629</v>
      </c>
      <c r="C630" s="2">
        <f t="shared" si="34"/>
        <v>1239</v>
      </c>
      <c r="D630" s="3">
        <v>629</v>
      </c>
      <c r="E630" s="3">
        <f t="shared" si="35"/>
        <v>2397</v>
      </c>
      <c r="F630" s="51">
        <v>629</v>
      </c>
      <c r="G630" s="51">
        <f t="shared" si="36"/>
        <v>3555</v>
      </c>
      <c r="H630" s="52">
        <v>629</v>
      </c>
      <c r="I630" s="52">
        <f t="shared" si="37"/>
        <v>4713</v>
      </c>
    </row>
    <row r="631" spans="1:9">
      <c r="A631">
        <v>630</v>
      </c>
      <c r="B631" s="2">
        <v>630</v>
      </c>
      <c r="C631" s="2">
        <f t="shared" si="34"/>
        <v>1240</v>
      </c>
      <c r="D631" s="3">
        <v>630</v>
      </c>
      <c r="E631" s="3">
        <f t="shared" si="35"/>
        <v>2398</v>
      </c>
      <c r="F631" s="51">
        <v>630</v>
      </c>
      <c r="G631" s="51">
        <f t="shared" si="36"/>
        <v>3556</v>
      </c>
      <c r="H631" s="52">
        <v>630</v>
      </c>
      <c r="I631" s="52">
        <f t="shared" si="37"/>
        <v>4714</v>
      </c>
    </row>
    <row r="632" spans="1:9">
      <c r="A632">
        <v>631</v>
      </c>
      <c r="B632" s="2">
        <v>631</v>
      </c>
      <c r="C632" s="2">
        <f t="shared" si="34"/>
        <v>1241</v>
      </c>
      <c r="D632" s="3">
        <v>631</v>
      </c>
      <c r="E632" s="3">
        <f t="shared" si="35"/>
        <v>2399</v>
      </c>
      <c r="F632" s="51">
        <v>631</v>
      </c>
      <c r="G632" s="51">
        <f t="shared" si="36"/>
        <v>3557</v>
      </c>
      <c r="H632" s="52">
        <v>631</v>
      </c>
      <c r="I632" s="52">
        <f t="shared" si="37"/>
        <v>4715</v>
      </c>
    </row>
    <row r="633" spans="1:9">
      <c r="A633">
        <v>632</v>
      </c>
      <c r="B633" s="2">
        <v>632</v>
      </c>
      <c r="C633" s="2">
        <f t="shared" si="34"/>
        <v>1243</v>
      </c>
      <c r="D633" s="3">
        <v>632</v>
      </c>
      <c r="E633" s="3">
        <f t="shared" si="35"/>
        <v>2401</v>
      </c>
      <c r="F633" s="51">
        <v>632</v>
      </c>
      <c r="G633" s="51">
        <f t="shared" si="36"/>
        <v>3559</v>
      </c>
      <c r="H633" s="52">
        <v>632</v>
      </c>
      <c r="I633" s="52">
        <f t="shared" si="37"/>
        <v>4717</v>
      </c>
    </row>
    <row r="634" spans="1:9">
      <c r="A634">
        <v>633</v>
      </c>
      <c r="B634" s="2">
        <v>633</v>
      </c>
      <c r="C634" s="2">
        <f t="shared" si="34"/>
        <v>1244</v>
      </c>
      <c r="D634" s="3">
        <v>633</v>
      </c>
      <c r="E634" s="3">
        <f t="shared" si="35"/>
        <v>2402</v>
      </c>
      <c r="F634" s="51">
        <v>633</v>
      </c>
      <c r="G634" s="51">
        <f t="shared" si="36"/>
        <v>3560</v>
      </c>
      <c r="H634" s="52">
        <v>633</v>
      </c>
      <c r="I634" s="52">
        <f t="shared" si="37"/>
        <v>4718</v>
      </c>
    </row>
    <row r="635" spans="1:9">
      <c r="A635">
        <v>634</v>
      </c>
      <c r="B635" s="2">
        <v>634</v>
      </c>
      <c r="C635" s="2">
        <f t="shared" si="34"/>
        <v>1245</v>
      </c>
      <c r="D635" s="3">
        <v>634</v>
      </c>
      <c r="E635" s="3">
        <f t="shared" si="35"/>
        <v>2403</v>
      </c>
      <c r="F635" s="51">
        <v>634</v>
      </c>
      <c r="G635" s="51">
        <f t="shared" si="36"/>
        <v>3561</v>
      </c>
      <c r="H635" s="52">
        <v>634</v>
      </c>
      <c r="I635" s="52">
        <f t="shared" si="37"/>
        <v>4719</v>
      </c>
    </row>
    <row r="636" spans="1:9">
      <c r="A636">
        <v>635</v>
      </c>
      <c r="B636" s="2">
        <v>635</v>
      </c>
      <c r="C636" s="2">
        <f t="shared" ref="C636:C699" si="38">INT((B636-B$122)*1.3333333)+C$122</f>
        <v>1247</v>
      </c>
      <c r="D636" s="3">
        <v>635</v>
      </c>
      <c r="E636" s="3">
        <f t="shared" si="35"/>
        <v>2405</v>
      </c>
      <c r="F636" s="51">
        <v>635</v>
      </c>
      <c r="G636" s="51">
        <f t="shared" si="36"/>
        <v>3563</v>
      </c>
      <c r="H636" s="52">
        <v>635</v>
      </c>
      <c r="I636" s="52">
        <f t="shared" si="37"/>
        <v>4721</v>
      </c>
    </row>
    <row r="637" spans="1:9">
      <c r="A637">
        <v>636</v>
      </c>
      <c r="B637" s="2">
        <v>636</v>
      </c>
      <c r="C637" s="2">
        <f t="shared" si="38"/>
        <v>1248</v>
      </c>
      <c r="D637" s="3">
        <v>636</v>
      </c>
      <c r="E637" s="3">
        <f t="shared" si="35"/>
        <v>2406</v>
      </c>
      <c r="F637" s="51">
        <v>636</v>
      </c>
      <c r="G637" s="51">
        <f t="shared" si="36"/>
        <v>3564</v>
      </c>
      <c r="H637" s="52">
        <v>636</v>
      </c>
      <c r="I637" s="52">
        <f t="shared" si="37"/>
        <v>4722</v>
      </c>
    </row>
    <row r="638" spans="1:9">
      <c r="A638">
        <v>637</v>
      </c>
      <c r="B638" s="2">
        <v>637</v>
      </c>
      <c r="C638" s="2">
        <f t="shared" si="38"/>
        <v>1249</v>
      </c>
      <c r="D638" s="3">
        <v>637</v>
      </c>
      <c r="E638" s="3">
        <f t="shared" si="35"/>
        <v>2407</v>
      </c>
      <c r="F638" s="51">
        <v>637</v>
      </c>
      <c r="G638" s="51">
        <f t="shared" si="36"/>
        <v>3565</v>
      </c>
      <c r="H638" s="52">
        <v>637</v>
      </c>
      <c r="I638" s="52">
        <f t="shared" si="37"/>
        <v>4723</v>
      </c>
    </row>
    <row r="639" spans="1:9">
      <c r="A639">
        <v>638</v>
      </c>
      <c r="B639" s="2">
        <v>638</v>
      </c>
      <c r="C639" s="2">
        <f t="shared" si="38"/>
        <v>1251</v>
      </c>
      <c r="D639" s="3">
        <v>638</v>
      </c>
      <c r="E639" s="3">
        <f t="shared" si="35"/>
        <v>2409</v>
      </c>
      <c r="F639" s="51">
        <v>638</v>
      </c>
      <c r="G639" s="51">
        <f t="shared" si="36"/>
        <v>3567</v>
      </c>
      <c r="H639" s="52">
        <v>638</v>
      </c>
      <c r="I639" s="52">
        <f t="shared" si="37"/>
        <v>4725</v>
      </c>
    </row>
    <row r="640" spans="1:9">
      <c r="A640">
        <v>639</v>
      </c>
      <c r="B640" s="2">
        <v>639</v>
      </c>
      <c r="C640" s="2">
        <f t="shared" si="38"/>
        <v>1252</v>
      </c>
      <c r="D640" s="3">
        <v>639</v>
      </c>
      <c r="E640" s="3">
        <f t="shared" si="35"/>
        <v>2410</v>
      </c>
      <c r="F640" s="51">
        <v>639</v>
      </c>
      <c r="G640" s="51">
        <f t="shared" si="36"/>
        <v>3568</v>
      </c>
      <c r="H640" s="52">
        <v>639</v>
      </c>
      <c r="I640" s="52">
        <f t="shared" si="37"/>
        <v>4726</v>
      </c>
    </row>
    <row r="641" spans="1:9">
      <c r="A641">
        <v>640</v>
      </c>
      <c r="B641" s="2">
        <v>640</v>
      </c>
      <c r="C641" s="2">
        <f t="shared" si="38"/>
        <v>1253</v>
      </c>
      <c r="D641" s="3">
        <v>640</v>
      </c>
      <c r="E641" s="3">
        <f t="shared" si="35"/>
        <v>2411</v>
      </c>
      <c r="F641" s="51">
        <v>640</v>
      </c>
      <c r="G641" s="51">
        <f t="shared" si="36"/>
        <v>3569</v>
      </c>
      <c r="H641" s="52">
        <v>640</v>
      </c>
      <c r="I641" s="52">
        <f t="shared" si="37"/>
        <v>4727</v>
      </c>
    </row>
    <row r="642" spans="1:9">
      <c r="A642">
        <v>641</v>
      </c>
      <c r="B642" s="2">
        <v>641</v>
      </c>
      <c r="C642" s="2">
        <f t="shared" si="38"/>
        <v>1255</v>
      </c>
      <c r="D642" s="3">
        <v>641</v>
      </c>
      <c r="E642" s="3">
        <f t="shared" si="35"/>
        <v>2413</v>
      </c>
      <c r="F642" s="51">
        <v>641</v>
      </c>
      <c r="G642" s="51">
        <f t="shared" si="36"/>
        <v>3571</v>
      </c>
      <c r="H642" s="52">
        <v>641</v>
      </c>
      <c r="I642" s="52">
        <f t="shared" si="37"/>
        <v>4729</v>
      </c>
    </row>
    <row r="643" spans="1:9">
      <c r="A643">
        <v>642</v>
      </c>
      <c r="B643" s="2">
        <v>642</v>
      </c>
      <c r="C643" s="2">
        <f t="shared" si="38"/>
        <v>1256</v>
      </c>
      <c r="D643" s="3">
        <v>642</v>
      </c>
      <c r="E643" s="3">
        <f t="shared" si="35"/>
        <v>2414</v>
      </c>
      <c r="F643" s="51">
        <v>642</v>
      </c>
      <c r="G643" s="51">
        <f t="shared" si="36"/>
        <v>3572</v>
      </c>
      <c r="H643" s="52">
        <v>642</v>
      </c>
      <c r="I643" s="52">
        <f t="shared" si="37"/>
        <v>4730</v>
      </c>
    </row>
    <row r="644" spans="1:9">
      <c r="A644">
        <v>643</v>
      </c>
      <c r="B644" s="2">
        <v>643</v>
      </c>
      <c r="C644" s="2">
        <f t="shared" si="38"/>
        <v>1257</v>
      </c>
      <c r="D644" s="3">
        <v>643</v>
      </c>
      <c r="E644" s="3">
        <f t="shared" ref="E644:E707" si="39">INT((D644-D$2)*1.3333333)+E$2</f>
        <v>2415</v>
      </c>
      <c r="F644" s="51">
        <v>643</v>
      </c>
      <c r="G644" s="51">
        <f t="shared" ref="G644:G707" si="40">INT((F644-F$2)*1.3333333)+G$2</f>
        <v>3573</v>
      </c>
      <c r="H644" s="52">
        <v>643</v>
      </c>
      <c r="I644" s="52">
        <f t="shared" ref="I644:I707" si="41">INT((H644-H$2)*1.3333333)+I$2</f>
        <v>4731</v>
      </c>
    </row>
    <row r="645" spans="1:9">
      <c r="A645">
        <v>644</v>
      </c>
      <c r="B645" s="2">
        <v>644</v>
      </c>
      <c r="C645" s="2">
        <f t="shared" si="38"/>
        <v>1259</v>
      </c>
      <c r="D645" s="3">
        <v>644</v>
      </c>
      <c r="E645" s="3">
        <f t="shared" si="39"/>
        <v>2417</v>
      </c>
      <c r="F645" s="51">
        <v>644</v>
      </c>
      <c r="G645" s="51">
        <f t="shared" si="40"/>
        <v>3575</v>
      </c>
      <c r="H645" s="52">
        <v>644</v>
      </c>
      <c r="I645" s="52">
        <f t="shared" si="41"/>
        <v>4733</v>
      </c>
    </row>
    <row r="646" spans="1:9">
      <c r="A646">
        <v>645</v>
      </c>
      <c r="B646" s="2">
        <v>645</v>
      </c>
      <c r="C646" s="2">
        <f t="shared" si="38"/>
        <v>1260</v>
      </c>
      <c r="D646" s="3">
        <v>645</v>
      </c>
      <c r="E646" s="3">
        <f t="shared" si="39"/>
        <v>2418</v>
      </c>
      <c r="F646" s="51">
        <v>645</v>
      </c>
      <c r="G646" s="51">
        <f t="shared" si="40"/>
        <v>3576</v>
      </c>
      <c r="H646" s="52">
        <v>645</v>
      </c>
      <c r="I646" s="52">
        <f t="shared" si="41"/>
        <v>4734</v>
      </c>
    </row>
    <row r="647" spans="1:9">
      <c r="A647">
        <v>646</v>
      </c>
      <c r="B647" s="2">
        <v>646</v>
      </c>
      <c r="C647" s="2">
        <f t="shared" si="38"/>
        <v>1261</v>
      </c>
      <c r="D647" s="3">
        <v>646</v>
      </c>
      <c r="E647" s="3">
        <f t="shared" si="39"/>
        <v>2419</v>
      </c>
      <c r="F647" s="51">
        <v>646</v>
      </c>
      <c r="G647" s="51">
        <f t="shared" si="40"/>
        <v>3577</v>
      </c>
      <c r="H647" s="52">
        <v>646</v>
      </c>
      <c r="I647" s="52">
        <f t="shared" si="41"/>
        <v>4735</v>
      </c>
    </row>
    <row r="648" spans="1:9">
      <c r="A648">
        <v>647</v>
      </c>
      <c r="B648" s="2">
        <v>647</v>
      </c>
      <c r="C648" s="2">
        <f t="shared" si="38"/>
        <v>1263</v>
      </c>
      <c r="D648" s="3">
        <v>647</v>
      </c>
      <c r="E648" s="3">
        <f t="shared" si="39"/>
        <v>2421</v>
      </c>
      <c r="F648" s="51">
        <v>647</v>
      </c>
      <c r="G648" s="51">
        <f t="shared" si="40"/>
        <v>3579</v>
      </c>
      <c r="H648" s="52">
        <v>647</v>
      </c>
      <c r="I648" s="52">
        <f t="shared" si="41"/>
        <v>4737</v>
      </c>
    </row>
    <row r="649" spans="1:9">
      <c r="A649">
        <v>648</v>
      </c>
      <c r="B649" s="2">
        <v>648</v>
      </c>
      <c r="C649" s="2">
        <f t="shared" si="38"/>
        <v>1264</v>
      </c>
      <c r="D649" s="3">
        <v>648</v>
      </c>
      <c r="E649" s="3">
        <f t="shared" si="39"/>
        <v>2422</v>
      </c>
      <c r="F649" s="51">
        <v>648</v>
      </c>
      <c r="G649" s="51">
        <f t="shared" si="40"/>
        <v>3580</v>
      </c>
      <c r="H649" s="52">
        <v>648</v>
      </c>
      <c r="I649" s="52">
        <f t="shared" si="41"/>
        <v>4738</v>
      </c>
    </row>
    <row r="650" spans="1:9">
      <c r="A650">
        <v>649</v>
      </c>
      <c r="B650" s="2">
        <v>649</v>
      </c>
      <c r="C650" s="2">
        <f t="shared" si="38"/>
        <v>1265</v>
      </c>
      <c r="D650" s="3">
        <v>649</v>
      </c>
      <c r="E650" s="3">
        <f t="shared" si="39"/>
        <v>2423</v>
      </c>
      <c r="F650" s="51">
        <v>649</v>
      </c>
      <c r="G650" s="51">
        <f t="shared" si="40"/>
        <v>3581</v>
      </c>
      <c r="H650" s="52">
        <v>649</v>
      </c>
      <c r="I650" s="52">
        <f t="shared" si="41"/>
        <v>4739</v>
      </c>
    </row>
    <row r="651" spans="1:9">
      <c r="A651">
        <v>650</v>
      </c>
      <c r="B651" s="2">
        <v>650</v>
      </c>
      <c r="C651" s="2">
        <f t="shared" si="38"/>
        <v>1267</v>
      </c>
      <c r="D651" s="3">
        <v>650</v>
      </c>
      <c r="E651" s="3">
        <f t="shared" si="39"/>
        <v>2425</v>
      </c>
      <c r="F651" s="51">
        <v>650</v>
      </c>
      <c r="G651" s="51">
        <f t="shared" si="40"/>
        <v>3583</v>
      </c>
      <c r="H651" s="52">
        <v>650</v>
      </c>
      <c r="I651" s="52">
        <f t="shared" si="41"/>
        <v>4741</v>
      </c>
    </row>
    <row r="652" spans="1:9">
      <c r="A652">
        <v>651</v>
      </c>
      <c r="B652" s="2">
        <v>651</v>
      </c>
      <c r="C652" s="2">
        <f t="shared" si="38"/>
        <v>1268</v>
      </c>
      <c r="D652" s="3">
        <v>651</v>
      </c>
      <c r="E652" s="3">
        <f t="shared" si="39"/>
        <v>2426</v>
      </c>
      <c r="F652" s="51">
        <v>651</v>
      </c>
      <c r="G652" s="51">
        <f t="shared" si="40"/>
        <v>3584</v>
      </c>
      <c r="H652" s="52">
        <v>651</v>
      </c>
      <c r="I652" s="52">
        <f t="shared" si="41"/>
        <v>4742</v>
      </c>
    </row>
    <row r="653" spans="1:9">
      <c r="A653">
        <v>652</v>
      </c>
      <c r="B653" s="2">
        <v>652</v>
      </c>
      <c r="C653" s="2">
        <f t="shared" si="38"/>
        <v>1269</v>
      </c>
      <c r="D653" s="3">
        <v>652</v>
      </c>
      <c r="E653" s="3">
        <f t="shared" si="39"/>
        <v>2427</v>
      </c>
      <c r="F653" s="51">
        <v>652</v>
      </c>
      <c r="G653" s="51">
        <f t="shared" si="40"/>
        <v>3585</v>
      </c>
      <c r="H653" s="52">
        <v>652</v>
      </c>
      <c r="I653" s="52">
        <f t="shared" si="41"/>
        <v>4743</v>
      </c>
    </row>
    <row r="654" spans="1:9">
      <c r="A654">
        <v>653</v>
      </c>
      <c r="B654" s="2">
        <v>653</v>
      </c>
      <c r="C654" s="2">
        <f t="shared" si="38"/>
        <v>1271</v>
      </c>
      <c r="D654" s="3">
        <v>653</v>
      </c>
      <c r="E654" s="3">
        <f t="shared" si="39"/>
        <v>2429</v>
      </c>
      <c r="F654" s="51">
        <v>653</v>
      </c>
      <c r="G654" s="51">
        <f t="shared" si="40"/>
        <v>3587</v>
      </c>
      <c r="H654" s="52">
        <v>653</v>
      </c>
      <c r="I654" s="52">
        <f t="shared" si="41"/>
        <v>4745</v>
      </c>
    </row>
    <row r="655" spans="1:9">
      <c r="A655">
        <v>654</v>
      </c>
      <c r="B655" s="2">
        <v>654</v>
      </c>
      <c r="C655" s="2">
        <f t="shared" si="38"/>
        <v>1272</v>
      </c>
      <c r="D655" s="3">
        <v>654</v>
      </c>
      <c r="E655" s="3">
        <f t="shared" si="39"/>
        <v>2430</v>
      </c>
      <c r="F655" s="51">
        <v>654</v>
      </c>
      <c r="G655" s="51">
        <f t="shared" si="40"/>
        <v>3588</v>
      </c>
      <c r="H655" s="52">
        <v>654</v>
      </c>
      <c r="I655" s="52">
        <f t="shared" si="41"/>
        <v>4746</v>
      </c>
    </row>
    <row r="656" spans="1:9">
      <c r="A656">
        <v>655</v>
      </c>
      <c r="B656" s="2">
        <v>655</v>
      </c>
      <c r="C656" s="2">
        <f t="shared" si="38"/>
        <v>1273</v>
      </c>
      <c r="D656" s="3">
        <v>655</v>
      </c>
      <c r="E656" s="3">
        <f t="shared" si="39"/>
        <v>2431</v>
      </c>
      <c r="F656" s="51">
        <v>655</v>
      </c>
      <c r="G656" s="51">
        <f t="shared" si="40"/>
        <v>3589</v>
      </c>
      <c r="H656" s="52">
        <v>655</v>
      </c>
      <c r="I656" s="52">
        <f t="shared" si="41"/>
        <v>4747</v>
      </c>
    </row>
    <row r="657" spans="1:9">
      <c r="A657">
        <v>656</v>
      </c>
      <c r="B657" s="2">
        <v>656</v>
      </c>
      <c r="C657" s="2">
        <f t="shared" si="38"/>
        <v>1275</v>
      </c>
      <c r="D657" s="3">
        <v>656</v>
      </c>
      <c r="E657" s="3">
        <f t="shared" si="39"/>
        <v>2433</v>
      </c>
      <c r="F657" s="51">
        <v>656</v>
      </c>
      <c r="G657" s="51">
        <f t="shared" si="40"/>
        <v>3591</v>
      </c>
      <c r="H657" s="52">
        <v>656</v>
      </c>
      <c r="I657" s="52">
        <f t="shared" si="41"/>
        <v>4749</v>
      </c>
    </row>
    <row r="658" spans="1:9">
      <c r="A658">
        <v>657</v>
      </c>
      <c r="B658" s="2">
        <v>657</v>
      </c>
      <c r="C658" s="2">
        <f t="shared" si="38"/>
        <v>1276</v>
      </c>
      <c r="D658" s="3">
        <v>657</v>
      </c>
      <c r="E658" s="3">
        <f t="shared" si="39"/>
        <v>2434</v>
      </c>
      <c r="F658" s="51">
        <v>657</v>
      </c>
      <c r="G658" s="51">
        <f t="shared" si="40"/>
        <v>3592</v>
      </c>
      <c r="H658" s="52">
        <v>657</v>
      </c>
      <c r="I658" s="52">
        <f t="shared" si="41"/>
        <v>4750</v>
      </c>
    </row>
    <row r="659" spans="1:9">
      <c r="A659">
        <v>658</v>
      </c>
      <c r="B659" s="2">
        <v>658</v>
      </c>
      <c r="C659" s="2">
        <f t="shared" si="38"/>
        <v>1277</v>
      </c>
      <c r="D659" s="3">
        <v>658</v>
      </c>
      <c r="E659" s="3">
        <f t="shared" si="39"/>
        <v>2435</v>
      </c>
      <c r="F659" s="51">
        <v>658</v>
      </c>
      <c r="G659" s="51">
        <f t="shared" si="40"/>
        <v>3593</v>
      </c>
      <c r="H659" s="52">
        <v>658</v>
      </c>
      <c r="I659" s="52">
        <f t="shared" si="41"/>
        <v>4751</v>
      </c>
    </row>
    <row r="660" spans="1:9">
      <c r="A660">
        <v>659</v>
      </c>
      <c r="B660" s="2">
        <v>659</v>
      </c>
      <c r="C660" s="2">
        <f t="shared" si="38"/>
        <v>1279</v>
      </c>
      <c r="D660" s="3">
        <v>659</v>
      </c>
      <c r="E660" s="3">
        <f t="shared" si="39"/>
        <v>2437</v>
      </c>
      <c r="F660" s="51">
        <v>659</v>
      </c>
      <c r="G660" s="51">
        <f t="shared" si="40"/>
        <v>3595</v>
      </c>
      <c r="H660" s="52">
        <v>659</v>
      </c>
      <c r="I660" s="52">
        <f t="shared" si="41"/>
        <v>4753</v>
      </c>
    </row>
    <row r="661" spans="1:9">
      <c r="A661">
        <v>660</v>
      </c>
      <c r="B661" s="2">
        <v>660</v>
      </c>
      <c r="C661" s="2">
        <f t="shared" si="38"/>
        <v>1280</v>
      </c>
      <c r="D661" s="3">
        <v>660</v>
      </c>
      <c r="E661" s="3">
        <f t="shared" si="39"/>
        <v>2438</v>
      </c>
      <c r="F661" s="51">
        <v>660</v>
      </c>
      <c r="G661" s="51">
        <f t="shared" si="40"/>
        <v>3596</v>
      </c>
      <c r="H661" s="52">
        <v>660</v>
      </c>
      <c r="I661" s="52">
        <f t="shared" si="41"/>
        <v>4754</v>
      </c>
    </row>
    <row r="662" spans="1:9">
      <c r="A662">
        <v>661</v>
      </c>
      <c r="B662" s="2">
        <v>661</v>
      </c>
      <c r="C662" s="2">
        <f t="shared" si="38"/>
        <v>1281</v>
      </c>
      <c r="D662" s="3">
        <v>661</v>
      </c>
      <c r="E662" s="3">
        <f t="shared" si="39"/>
        <v>2439</v>
      </c>
      <c r="F662" s="51">
        <v>661</v>
      </c>
      <c r="G662" s="51">
        <f t="shared" si="40"/>
        <v>3597</v>
      </c>
      <c r="H662" s="52">
        <v>661</v>
      </c>
      <c r="I662" s="52">
        <f t="shared" si="41"/>
        <v>4755</v>
      </c>
    </row>
    <row r="663" spans="1:9">
      <c r="A663">
        <v>662</v>
      </c>
      <c r="B663" s="2">
        <v>662</v>
      </c>
      <c r="C663" s="2">
        <f t="shared" si="38"/>
        <v>1283</v>
      </c>
      <c r="D663" s="3">
        <v>662</v>
      </c>
      <c r="E663" s="3">
        <f t="shared" si="39"/>
        <v>2441</v>
      </c>
      <c r="F663" s="51">
        <v>662</v>
      </c>
      <c r="G663" s="51">
        <f t="shared" si="40"/>
        <v>3599</v>
      </c>
      <c r="H663" s="52">
        <v>662</v>
      </c>
      <c r="I663" s="52">
        <f t="shared" si="41"/>
        <v>4757</v>
      </c>
    </row>
    <row r="664" spans="1:9">
      <c r="A664">
        <v>663</v>
      </c>
      <c r="B664" s="2">
        <v>663</v>
      </c>
      <c r="C664" s="2">
        <f t="shared" si="38"/>
        <v>1284</v>
      </c>
      <c r="D664" s="3">
        <v>663</v>
      </c>
      <c r="E664" s="3">
        <f t="shared" si="39"/>
        <v>2442</v>
      </c>
      <c r="F664" s="51">
        <v>663</v>
      </c>
      <c r="G664" s="51">
        <f t="shared" si="40"/>
        <v>3600</v>
      </c>
      <c r="H664" s="52">
        <v>663</v>
      </c>
      <c r="I664" s="52">
        <f t="shared" si="41"/>
        <v>4758</v>
      </c>
    </row>
    <row r="665" spans="1:9">
      <c r="A665">
        <v>664</v>
      </c>
      <c r="B665" s="2">
        <v>664</v>
      </c>
      <c r="C665" s="2">
        <f t="shared" si="38"/>
        <v>1285</v>
      </c>
      <c r="D665" s="3">
        <v>664</v>
      </c>
      <c r="E665" s="3">
        <f t="shared" si="39"/>
        <v>2443</v>
      </c>
      <c r="F665" s="51">
        <v>664</v>
      </c>
      <c r="G665" s="51">
        <f t="shared" si="40"/>
        <v>3601</v>
      </c>
      <c r="H665" s="52">
        <v>664</v>
      </c>
      <c r="I665" s="52">
        <f t="shared" si="41"/>
        <v>4759</v>
      </c>
    </row>
    <row r="666" spans="1:9">
      <c r="A666">
        <v>665</v>
      </c>
      <c r="B666" s="2">
        <v>665</v>
      </c>
      <c r="C666" s="2">
        <f t="shared" si="38"/>
        <v>1287</v>
      </c>
      <c r="D666" s="3">
        <v>665</v>
      </c>
      <c r="E666" s="3">
        <f t="shared" si="39"/>
        <v>2445</v>
      </c>
      <c r="F666" s="51">
        <v>665</v>
      </c>
      <c r="G666" s="51">
        <f t="shared" si="40"/>
        <v>3603</v>
      </c>
      <c r="H666" s="52">
        <v>665</v>
      </c>
      <c r="I666" s="52">
        <f t="shared" si="41"/>
        <v>4761</v>
      </c>
    </row>
    <row r="667" spans="1:9">
      <c r="A667">
        <v>666</v>
      </c>
      <c r="B667" s="2">
        <v>666</v>
      </c>
      <c r="C667" s="2">
        <f t="shared" si="38"/>
        <v>1288</v>
      </c>
      <c r="D667" s="3">
        <v>666</v>
      </c>
      <c r="E667" s="3">
        <f t="shared" si="39"/>
        <v>2446</v>
      </c>
      <c r="F667" s="51">
        <v>666</v>
      </c>
      <c r="G667" s="51">
        <f t="shared" si="40"/>
        <v>3604</v>
      </c>
      <c r="H667" s="52">
        <v>666</v>
      </c>
      <c r="I667" s="52">
        <f t="shared" si="41"/>
        <v>4762</v>
      </c>
    </row>
    <row r="668" spans="1:9">
      <c r="A668">
        <v>667</v>
      </c>
      <c r="B668" s="2">
        <v>667</v>
      </c>
      <c r="C668" s="2">
        <f t="shared" si="38"/>
        <v>1289</v>
      </c>
      <c r="D668" s="3">
        <v>667</v>
      </c>
      <c r="E668" s="3">
        <f t="shared" si="39"/>
        <v>2447</v>
      </c>
      <c r="F668" s="51">
        <v>667</v>
      </c>
      <c r="G668" s="51">
        <f t="shared" si="40"/>
        <v>3605</v>
      </c>
      <c r="H668" s="52">
        <v>667</v>
      </c>
      <c r="I668" s="52">
        <f t="shared" si="41"/>
        <v>4763</v>
      </c>
    </row>
    <row r="669" spans="1:9">
      <c r="A669">
        <v>668</v>
      </c>
      <c r="B669" s="2">
        <v>668</v>
      </c>
      <c r="C669" s="2">
        <f t="shared" si="38"/>
        <v>1291</v>
      </c>
      <c r="D669" s="3">
        <v>668</v>
      </c>
      <c r="E669" s="3">
        <f t="shared" si="39"/>
        <v>2449</v>
      </c>
      <c r="F669" s="51">
        <v>668</v>
      </c>
      <c r="G669" s="51">
        <f t="shared" si="40"/>
        <v>3607</v>
      </c>
      <c r="H669" s="52">
        <v>668</v>
      </c>
      <c r="I669" s="52">
        <f t="shared" si="41"/>
        <v>4765</v>
      </c>
    </row>
    <row r="670" spans="1:9">
      <c r="A670">
        <v>669</v>
      </c>
      <c r="B670" s="2">
        <v>669</v>
      </c>
      <c r="C670" s="2">
        <f t="shared" si="38"/>
        <v>1292</v>
      </c>
      <c r="D670" s="3">
        <v>669</v>
      </c>
      <c r="E670" s="3">
        <f t="shared" si="39"/>
        <v>2450</v>
      </c>
      <c r="F670" s="51">
        <v>669</v>
      </c>
      <c r="G670" s="51">
        <f t="shared" si="40"/>
        <v>3608</v>
      </c>
      <c r="H670" s="52">
        <v>669</v>
      </c>
      <c r="I670" s="52">
        <f t="shared" si="41"/>
        <v>4766</v>
      </c>
    </row>
    <row r="671" spans="1:9">
      <c r="A671">
        <v>670</v>
      </c>
      <c r="B671" s="2">
        <v>670</v>
      </c>
      <c r="C671" s="2">
        <f t="shared" si="38"/>
        <v>1293</v>
      </c>
      <c r="D671" s="3">
        <v>670</v>
      </c>
      <c r="E671" s="3">
        <f t="shared" si="39"/>
        <v>2451</v>
      </c>
      <c r="F671" s="51">
        <v>670</v>
      </c>
      <c r="G671" s="51">
        <f t="shared" si="40"/>
        <v>3609</v>
      </c>
      <c r="H671" s="52">
        <v>670</v>
      </c>
      <c r="I671" s="52">
        <f t="shared" si="41"/>
        <v>4767</v>
      </c>
    </row>
    <row r="672" spans="1:9">
      <c r="A672">
        <v>671</v>
      </c>
      <c r="B672" s="2">
        <v>671</v>
      </c>
      <c r="C672" s="2">
        <f t="shared" si="38"/>
        <v>1295</v>
      </c>
      <c r="D672" s="3">
        <v>671</v>
      </c>
      <c r="E672" s="3">
        <f t="shared" si="39"/>
        <v>2453</v>
      </c>
      <c r="F672" s="51">
        <v>671</v>
      </c>
      <c r="G672" s="51">
        <f t="shared" si="40"/>
        <v>3611</v>
      </c>
      <c r="H672" s="52">
        <v>671</v>
      </c>
      <c r="I672" s="52">
        <f t="shared" si="41"/>
        <v>4769</v>
      </c>
    </row>
    <row r="673" spans="1:9">
      <c r="A673">
        <v>672</v>
      </c>
      <c r="B673" s="2">
        <v>672</v>
      </c>
      <c r="C673" s="2">
        <f t="shared" si="38"/>
        <v>1296</v>
      </c>
      <c r="D673" s="3">
        <v>672</v>
      </c>
      <c r="E673" s="3">
        <f t="shared" si="39"/>
        <v>2454</v>
      </c>
      <c r="F673" s="51">
        <v>672</v>
      </c>
      <c r="G673" s="51">
        <f t="shared" si="40"/>
        <v>3612</v>
      </c>
      <c r="H673" s="52">
        <v>672</v>
      </c>
      <c r="I673" s="52">
        <f t="shared" si="41"/>
        <v>4770</v>
      </c>
    </row>
    <row r="674" spans="1:9">
      <c r="A674">
        <v>673</v>
      </c>
      <c r="B674" s="2">
        <v>673</v>
      </c>
      <c r="C674" s="2">
        <f t="shared" si="38"/>
        <v>1297</v>
      </c>
      <c r="D674" s="3">
        <v>673</v>
      </c>
      <c r="E674" s="3">
        <f t="shared" si="39"/>
        <v>2455</v>
      </c>
      <c r="F674" s="51">
        <v>673</v>
      </c>
      <c r="G674" s="51">
        <f t="shared" si="40"/>
        <v>3613</v>
      </c>
      <c r="H674" s="52">
        <v>673</v>
      </c>
      <c r="I674" s="52">
        <f t="shared" si="41"/>
        <v>4771</v>
      </c>
    </row>
    <row r="675" spans="1:9">
      <c r="A675">
        <v>674</v>
      </c>
      <c r="B675" s="2">
        <v>674</v>
      </c>
      <c r="C675" s="2">
        <f t="shared" si="38"/>
        <v>1299</v>
      </c>
      <c r="D675" s="3">
        <v>674</v>
      </c>
      <c r="E675" s="3">
        <f t="shared" si="39"/>
        <v>2457</v>
      </c>
      <c r="F675" s="51">
        <v>674</v>
      </c>
      <c r="G675" s="51">
        <f t="shared" si="40"/>
        <v>3615</v>
      </c>
      <c r="H675" s="52">
        <v>674</v>
      </c>
      <c r="I675" s="52">
        <f t="shared" si="41"/>
        <v>4773</v>
      </c>
    </row>
    <row r="676" spans="1:9">
      <c r="A676">
        <v>675</v>
      </c>
      <c r="B676" s="2">
        <v>675</v>
      </c>
      <c r="C676" s="2">
        <f t="shared" si="38"/>
        <v>1300</v>
      </c>
      <c r="D676" s="3">
        <v>675</v>
      </c>
      <c r="E676" s="3">
        <f t="shared" si="39"/>
        <v>2458</v>
      </c>
      <c r="F676" s="51">
        <v>675</v>
      </c>
      <c r="G676" s="51">
        <f t="shared" si="40"/>
        <v>3616</v>
      </c>
      <c r="H676" s="52">
        <v>675</v>
      </c>
      <c r="I676" s="52">
        <f t="shared" si="41"/>
        <v>4774</v>
      </c>
    </row>
    <row r="677" spans="1:9">
      <c r="A677">
        <v>676</v>
      </c>
      <c r="B677" s="2">
        <v>676</v>
      </c>
      <c r="C677" s="2">
        <f t="shared" si="38"/>
        <v>1301</v>
      </c>
      <c r="D677" s="3">
        <v>676</v>
      </c>
      <c r="E677" s="3">
        <f t="shared" si="39"/>
        <v>2459</v>
      </c>
      <c r="F677" s="51">
        <v>676</v>
      </c>
      <c r="G677" s="51">
        <f t="shared" si="40"/>
        <v>3617</v>
      </c>
      <c r="H677" s="52">
        <v>676</v>
      </c>
      <c r="I677" s="52">
        <f t="shared" si="41"/>
        <v>4775</v>
      </c>
    </row>
    <row r="678" spans="1:9">
      <c r="A678">
        <v>677</v>
      </c>
      <c r="B678" s="2">
        <v>677</v>
      </c>
      <c r="C678" s="2">
        <f t="shared" si="38"/>
        <v>1303</v>
      </c>
      <c r="D678" s="3">
        <v>677</v>
      </c>
      <c r="E678" s="3">
        <f t="shared" si="39"/>
        <v>2461</v>
      </c>
      <c r="F678" s="51">
        <v>677</v>
      </c>
      <c r="G678" s="51">
        <f t="shared" si="40"/>
        <v>3619</v>
      </c>
      <c r="H678" s="52">
        <v>677</v>
      </c>
      <c r="I678" s="52">
        <f t="shared" si="41"/>
        <v>4777</v>
      </c>
    </row>
    <row r="679" spans="1:9">
      <c r="A679">
        <v>678</v>
      </c>
      <c r="B679" s="2">
        <v>678</v>
      </c>
      <c r="C679" s="2">
        <f t="shared" si="38"/>
        <v>1304</v>
      </c>
      <c r="D679" s="3">
        <v>678</v>
      </c>
      <c r="E679" s="3">
        <f t="shared" si="39"/>
        <v>2462</v>
      </c>
      <c r="F679" s="51">
        <v>678</v>
      </c>
      <c r="G679" s="51">
        <f t="shared" si="40"/>
        <v>3620</v>
      </c>
      <c r="H679" s="52">
        <v>678</v>
      </c>
      <c r="I679" s="52">
        <f t="shared" si="41"/>
        <v>4778</v>
      </c>
    </row>
    <row r="680" spans="1:9">
      <c r="A680">
        <v>679</v>
      </c>
      <c r="B680" s="2">
        <v>679</v>
      </c>
      <c r="C680" s="2">
        <f t="shared" si="38"/>
        <v>1305</v>
      </c>
      <c r="D680" s="3">
        <v>679</v>
      </c>
      <c r="E680" s="3">
        <f t="shared" si="39"/>
        <v>2463</v>
      </c>
      <c r="F680" s="51">
        <v>679</v>
      </c>
      <c r="G680" s="51">
        <f t="shared" si="40"/>
        <v>3621</v>
      </c>
      <c r="H680" s="52">
        <v>679</v>
      </c>
      <c r="I680" s="52">
        <f t="shared" si="41"/>
        <v>4779</v>
      </c>
    </row>
    <row r="681" spans="1:9">
      <c r="A681">
        <v>680</v>
      </c>
      <c r="B681" s="2">
        <v>680</v>
      </c>
      <c r="C681" s="2">
        <f t="shared" si="38"/>
        <v>1307</v>
      </c>
      <c r="D681" s="3">
        <v>680</v>
      </c>
      <c r="E681" s="3">
        <f t="shared" si="39"/>
        <v>2465</v>
      </c>
      <c r="F681" s="51">
        <v>680</v>
      </c>
      <c r="G681" s="51">
        <f t="shared" si="40"/>
        <v>3623</v>
      </c>
      <c r="H681" s="52">
        <v>680</v>
      </c>
      <c r="I681" s="52">
        <f t="shared" si="41"/>
        <v>4781</v>
      </c>
    </row>
    <row r="682" spans="1:9">
      <c r="A682">
        <v>681</v>
      </c>
      <c r="B682" s="2">
        <v>681</v>
      </c>
      <c r="C682" s="2">
        <f t="shared" si="38"/>
        <v>1308</v>
      </c>
      <c r="D682" s="3">
        <v>681</v>
      </c>
      <c r="E682" s="3">
        <f t="shared" si="39"/>
        <v>2466</v>
      </c>
      <c r="F682" s="51">
        <v>681</v>
      </c>
      <c r="G682" s="51">
        <f t="shared" si="40"/>
        <v>3624</v>
      </c>
      <c r="H682" s="52">
        <v>681</v>
      </c>
      <c r="I682" s="52">
        <f t="shared" si="41"/>
        <v>4782</v>
      </c>
    </row>
    <row r="683" spans="1:9">
      <c r="A683">
        <v>682</v>
      </c>
      <c r="B683" s="2">
        <v>682</v>
      </c>
      <c r="C683" s="2">
        <f t="shared" si="38"/>
        <v>1309</v>
      </c>
      <c r="D683" s="3">
        <v>682</v>
      </c>
      <c r="E683" s="3">
        <f t="shared" si="39"/>
        <v>2467</v>
      </c>
      <c r="F683" s="51">
        <v>682</v>
      </c>
      <c r="G683" s="51">
        <f t="shared" si="40"/>
        <v>3625</v>
      </c>
      <c r="H683" s="52">
        <v>682</v>
      </c>
      <c r="I683" s="52">
        <f t="shared" si="41"/>
        <v>4783</v>
      </c>
    </row>
    <row r="684" spans="1:9">
      <c r="A684">
        <v>683</v>
      </c>
      <c r="B684" s="2">
        <v>683</v>
      </c>
      <c r="C684" s="2">
        <f t="shared" si="38"/>
        <v>1311</v>
      </c>
      <c r="D684" s="3">
        <v>683</v>
      </c>
      <c r="E684" s="3">
        <f t="shared" si="39"/>
        <v>2469</v>
      </c>
      <c r="F684" s="51">
        <v>683</v>
      </c>
      <c r="G684" s="51">
        <f t="shared" si="40"/>
        <v>3627</v>
      </c>
      <c r="H684" s="52">
        <v>683</v>
      </c>
      <c r="I684" s="52">
        <f t="shared" si="41"/>
        <v>4785</v>
      </c>
    </row>
    <row r="685" spans="1:9">
      <c r="A685">
        <v>684</v>
      </c>
      <c r="B685" s="2">
        <v>684</v>
      </c>
      <c r="C685" s="2">
        <f t="shared" si="38"/>
        <v>1312</v>
      </c>
      <c r="D685" s="3">
        <v>684</v>
      </c>
      <c r="E685" s="3">
        <f t="shared" si="39"/>
        <v>2470</v>
      </c>
      <c r="F685" s="51">
        <v>684</v>
      </c>
      <c r="G685" s="51">
        <f t="shared" si="40"/>
        <v>3628</v>
      </c>
      <c r="H685" s="52">
        <v>684</v>
      </c>
      <c r="I685" s="52">
        <f t="shared" si="41"/>
        <v>4786</v>
      </c>
    </row>
    <row r="686" spans="1:9">
      <c r="A686">
        <v>685</v>
      </c>
      <c r="B686" s="2">
        <v>685</v>
      </c>
      <c r="C686" s="2">
        <f t="shared" si="38"/>
        <v>1313</v>
      </c>
      <c r="D686" s="3">
        <v>685</v>
      </c>
      <c r="E686" s="3">
        <f t="shared" si="39"/>
        <v>2471</v>
      </c>
      <c r="F686" s="51">
        <v>685</v>
      </c>
      <c r="G686" s="51">
        <f t="shared" si="40"/>
        <v>3629</v>
      </c>
      <c r="H686" s="52">
        <v>685</v>
      </c>
      <c r="I686" s="52">
        <f t="shared" si="41"/>
        <v>4787</v>
      </c>
    </row>
    <row r="687" spans="1:9">
      <c r="A687">
        <v>686</v>
      </c>
      <c r="B687" s="2">
        <v>686</v>
      </c>
      <c r="C687" s="2">
        <f t="shared" si="38"/>
        <v>1315</v>
      </c>
      <c r="D687" s="3">
        <v>686</v>
      </c>
      <c r="E687" s="3">
        <f t="shared" si="39"/>
        <v>2473</v>
      </c>
      <c r="F687" s="51">
        <v>686</v>
      </c>
      <c r="G687" s="51">
        <f t="shared" si="40"/>
        <v>3631</v>
      </c>
      <c r="H687" s="52">
        <v>686</v>
      </c>
      <c r="I687" s="52">
        <f t="shared" si="41"/>
        <v>4789</v>
      </c>
    </row>
    <row r="688" spans="1:9">
      <c r="A688">
        <v>687</v>
      </c>
      <c r="B688" s="2">
        <v>687</v>
      </c>
      <c r="C688" s="2">
        <f t="shared" si="38"/>
        <v>1316</v>
      </c>
      <c r="D688" s="3">
        <v>687</v>
      </c>
      <c r="E688" s="3">
        <f t="shared" si="39"/>
        <v>2474</v>
      </c>
      <c r="F688" s="51">
        <v>687</v>
      </c>
      <c r="G688" s="51">
        <f t="shared" si="40"/>
        <v>3632</v>
      </c>
      <c r="H688" s="52">
        <v>687</v>
      </c>
      <c r="I688" s="52">
        <f t="shared" si="41"/>
        <v>4790</v>
      </c>
    </row>
    <row r="689" spans="1:9">
      <c r="A689">
        <v>688</v>
      </c>
      <c r="B689" s="2">
        <v>688</v>
      </c>
      <c r="C689" s="2">
        <f t="shared" si="38"/>
        <v>1317</v>
      </c>
      <c r="D689" s="3">
        <v>688</v>
      </c>
      <c r="E689" s="3">
        <f t="shared" si="39"/>
        <v>2475</v>
      </c>
      <c r="F689" s="51">
        <v>688</v>
      </c>
      <c r="G689" s="51">
        <f t="shared" si="40"/>
        <v>3633</v>
      </c>
      <c r="H689" s="52">
        <v>688</v>
      </c>
      <c r="I689" s="52">
        <f t="shared" si="41"/>
        <v>4791</v>
      </c>
    </row>
    <row r="690" spans="1:9">
      <c r="A690">
        <v>689</v>
      </c>
      <c r="B690" s="2">
        <v>689</v>
      </c>
      <c r="C690" s="2">
        <f t="shared" si="38"/>
        <v>1319</v>
      </c>
      <c r="D690" s="3">
        <v>689</v>
      </c>
      <c r="E690" s="3">
        <f t="shared" si="39"/>
        <v>2477</v>
      </c>
      <c r="F690" s="51">
        <v>689</v>
      </c>
      <c r="G690" s="51">
        <f t="shared" si="40"/>
        <v>3635</v>
      </c>
      <c r="H690" s="52">
        <v>689</v>
      </c>
      <c r="I690" s="52">
        <f t="shared" si="41"/>
        <v>4793</v>
      </c>
    </row>
    <row r="691" spans="1:9">
      <c r="A691">
        <v>690</v>
      </c>
      <c r="B691" s="2">
        <v>690</v>
      </c>
      <c r="C691" s="2">
        <f t="shared" si="38"/>
        <v>1320</v>
      </c>
      <c r="D691" s="3">
        <v>690</v>
      </c>
      <c r="E691" s="3">
        <f t="shared" si="39"/>
        <v>2478</v>
      </c>
      <c r="F691" s="51">
        <v>690</v>
      </c>
      <c r="G691" s="51">
        <f t="shared" si="40"/>
        <v>3636</v>
      </c>
      <c r="H691" s="52">
        <v>690</v>
      </c>
      <c r="I691" s="52">
        <f t="shared" si="41"/>
        <v>4794</v>
      </c>
    </row>
    <row r="692" spans="1:9">
      <c r="A692">
        <v>691</v>
      </c>
      <c r="B692" s="2">
        <v>691</v>
      </c>
      <c r="C692" s="2">
        <f t="shared" si="38"/>
        <v>1321</v>
      </c>
      <c r="D692" s="3">
        <v>691</v>
      </c>
      <c r="E692" s="3">
        <f t="shared" si="39"/>
        <v>2479</v>
      </c>
      <c r="F692" s="51">
        <v>691</v>
      </c>
      <c r="G692" s="51">
        <f t="shared" si="40"/>
        <v>3637</v>
      </c>
      <c r="H692" s="52">
        <v>691</v>
      </c>
      <c r="I692" s="52">
        <f t="shared" si="41"/>
        <v>4795</v>
      </c>
    </row>
    <row r="693" spans="1:9">
      <c r="A693">
        <v>692</v>
      </c>
      <c r="B693" s="2">
        <v>692</v>
      </c>
      <c r="C693" s="2">
        <f t="shared" si="38"/>
        <v>1323</v>
      </c>
      <c r="D693" s="3">
        <v>692</v>
      </c>
      <c r="E693" s="3">
        <f t="shared" si="39"/>
        <v>2481</v>
      </c>
      <c r="F693" s="51">
        <v>692</v>
      </c>
      <c r="G693" s="51">
        <f t="shared" si="40"/>
        <v>3639</v>
      </c>
      <c r="H693" s="52">
        <v>692</v>
      </c>
      <c r="I693" s="52">
        <f t="shared" si="41"/>
        <v>4797</v>
      </c>
    </row>
    <row r="694" spans="1:9">
      <c r="A694">
        <v>693</v>
      </c>
      <c r="B694" s="2">
        <v>693</v>
      </c>
      <c r="C694" s="2">
        <f t="shared" si="38"/>
        <v>1324</v>
      </c>
      <c r="D694" s="3">
        <v>693</v>
      </c>
      <c r="E694" s="3">
        <f t="shared" si="39"/>
        <v>2482</v>
      </c>
      <c r="F694" s="51">
        <v>693</v>
      </c>
      <c r="G694" s="51">
        <f t="shared" si="40"/>
        <v>3640</v>
      </c>
      <c r="H694" s="52">
        <v>693</v>
      </c>
      <c r="I694" s="52">
        <f t="shared" si="41"/>
        <v>4798</v>
      </c>
    </row>
    <row r="695" spans="1:9">
      <c r="A695">
        <v>694</v>
      </c>
      <c r="B695" s="2">
        <v>694</v>
      </c>
      <c r="C695" s="2">
        <f t="shared" si="38"/>
        <v>1325</v>
      </c>
      <c r="D695" s="3">
        <v>694</v>
      </c>
      <c r="E695" s="3">
        <f t="shared" si="39"/>
        <v>2483</v>
      </c>
      <c r="F695" s="51">
        <v>694</v>
      </c>
      <c r="G695" s="51">
        <f t="shared" si="40"/>
        <v>3641</v>
      </c>
      <c r="H695" s="52">
        <v>694</v>
      </c>
      <c r="I695" s="52">
        <f t="shared" si="41"/>
        <v>4799</v>
      </c>
    </row>
    <row r="696" spans="1:9">
      <c r="A696">
        <v>695</v>
      </c>
      <c r="B696" s="2">
        <v>695</v>
      </c>
      <c r="C696" s="2">
        <f t="shared" si="38"/>
        <v>1327</v>
      </c>
      <c r="D696" s="3">
        <v>695</v>
      </c>
      <c r="E696" s="3">
        <f t="shared" si="39"/>
        <v>2485</v>
      </c>
      <c r="F696" s="51">
        <v>695</v>
      </c>
      <c r="G696" s="51">
        <f t="shared" si="40"/>
        <v>3643</v>
      </c>
      <c r="H696" s="52">
        <v>695</v>
      </c>
      <c r="I696" s="52">
        <f t="shared" si="41"/>
        <v>4801</v>
      </c>
    </row>
    <row r="697" spans="1:9">
      <c r="A697">
        <v>696</v>
      </c>
      <c r="B697" s="2">
        <v>696</v>
      </c>
      <c r="C697" s="2">
        <f t="shared" si="38"/>
        <v>1328</v>
      </c>
      <c r="D697" s="3">
        <v>696</v>
      </c>
      <c r="E697" s="3">
        <f t="shared" si="39"/>
        <v>2486</v>
      </c>
      <c r="F697" s="51">
        <v>696</v>
      </c>
      <c r="G697" s="51">
        <f t="shared" si="40"/>
        <v>3644</v>
      </c>
      <c r="H697" s="52">
        <v>696</v>
      </c>
      <c r="I697" s="52">
        <f t="shared" si="41"/>
        <v>4802</v>
      </c>
    </row>
    <row r="698" spans="1:9">
      <c r="A698">
        <v>697</v>
      </c>
      <c r="B698" s="2">
        <v>697</v>
      </c>
      <c r="C698" s="2">
        <f t="shared" si="38"/>
        <v>1329</v>
      </c>
      <c r="D698" s="3">
        <v>697</v>
      </c>
      <c r="E698" s="3">
        <f t="shared" si="39"/>
        <v>2487</v>
      </c>
      <c r="F698" s="51">
        <v>697</v>
      </c>
      <c r="G698" s="51">
        <f t="shared" si="40"/>
        <v>3645</v>
      </c>
      <c r="H698" s="52">
        <v>697</v>
      </c>
      <c r="I698" s="52">
        <f t="shared" si="41"/>
        <v>4803</v>
      </c>
    </row>
    <row r="699" spans="1:9">
      <c r="A699">
        <v>698</v>
      </c>
      <c r="B699" s="2">
        <v>698</v>
      </c>
      <c r="C699" s="2">
        <f t="shared" si="38"/>
        <v>1331</v>
      </c>
      <c r="D699" s="3">
        <v>698</v>
      </c>
      <c r="E699" s="3">
        <f t="shared" si="39"/>
        <v>2489</v>
      </c>
      <c r="F699" s="51">
        <v>698</v>
      </c>
      <c r="G699" s="51">
        <f t="shared" si="40"/>
        <v>3647</v>
      </c>
      <c r="H699" s="52">
        <v>698</v>
      </c>
      <c r="I699" s="52">
        <f t="shared" si="41"/>
        <v>4805</v>
      </c>
    </row>
    <row r="700" spans="1:9">
      <c r="A700">
        <v>699</v>
      </c>
      <c r="B700" s="2">
        <v>699</v>
      </c>
      <c r="C700" s="2">
        <f t="shared" ref="C700:C763" si="42">INT((B700-B$122)*1.3333333)+C$122</f>
        <v>1332</v>
      </c>
      <c r="D700" s="3">
        <v>699</v>
      </c>
      <c r="E700" s="3">
        <f t="shared" si="39"/>
        <v>2490</v>
      </c>
      <c r="F700" s="51">
        <v>699</v>
      </c>
      <c r="G700" s="51">
        <f t="shared" si="40"/>
        <v>3648</v>
      </c>
      <c r="H700" s="52">
        <v>699</v>
      </c>
      <c r="I700" s="52">
        <f t="shared" si="41"/>
        <v>4806</v>
      </c>
    </row>
    <row r="701" spans="1:9">
      <c r="A701">
        <v>700</v>
      </c>
      <c r="B701" s="2">
        <v>700</v>
      </c>
      <c r="C701" s="2">
        <f t="shared" si="42"/>
        <v>1333</v>
      </c>
      <c r="D701" s="3">
        <v>700</v>
      </c>
      <c r="E701" s="3">
        <f t="shared" si="39"/>
        <v>2491</v>
      </c>
      <c r="F701" s="51">
        <v>700</v>
      </c>
      <c r="G701" s="51">
        <f t="shared" si="40"/>
        <v>3649</v>
      </c>
      <c r="H701" s="52">
        <v>700</v>
      </c>
      <c r="I701" s="52">
        <f t="shared" si="41"/>
        <v>4807</v>
      </c>
    </row>
    <row r="702" spans="1:9">
      <c r="A702">
        <v>701</v>
      </c>
      <c r="B702" s="2">
        <v>701</v>
      </c>
      <c r="C702" s="2">
        <f t="shared" si="42"/>
        <v>1335</v>
      </c>
      <c r="D702" s="3">
        <v>701</v>
      </c>
      <c r="E702" s="3">
        <f t="shared" si="39"/>
        <v>2493</v>
      </c>
      <c r="F702" s="51">
        <v>701</v>
      </c>
      <c r="G702" s="51">
        <f t="shared" si="40"/>
        <v>3651</v>
      </c>
      <c r="H702" s="52">
        <v>701</v>
      </c>
      <c r="I702" s="52">
        <f t="shared" si="41"/>
        <v>4809</v>
      </c>
    </row>
    <row r="703" spans="1:9">
      <c r="A703">
        <v>702</v>
      </c>
      <c r="B703" s="2">
        <v>702</v>
      </c>
      <c r="C703" s="2">
        <f t="shared" si="42"/>
        <v>1336</v>
      </c>
      <c r="D703" s="3">
        <v>702</v>
      </c>
      <c r="E703" s="3">
        <f t="shared" si="39"/>
        <v>2494</v>
      </c>
      <c r="F703" s="51">
        <v>702</v>
      </c>
      <c r="G703" s="51">
        <f t="shared" si="40"/>
        <v>3652</v>
      </c>
      <c r="H703" s="52">
        <v>702</v>
      </c>
      <c r="I703" s="52">
        <f t="shared" si="41"/>
        <v>4810</v>
      </c>
    </row>
    <row r="704" spans="1:9">
      <c r="A704">
        <v>703</v>
      </c>
      <c r="B704" s="2">
        <v>703</v>
      </c>
      <c r="C704" s="2">
        <f t="shared" si="42"/>
        <v>1337</v>
      </c>
      <c r="D704" s="3">
        <v>703</v>
      </c>
      <c r="E704" s="3">
        <f t="shared" si="39"/>
        <v>2495</v>
      </c>
      <c r="F704" s="51">
        <v>703</v>
      </c>
      <c r="G704" s="51">
        <f t="shared" si="40"/>
        <v>3653</v>
      </c>
      <c r="H704" s="52">
        <v>703</v>
      </c>
      <c r="I704" s="52">
        <f t="shared" si="41"/>
        <v>4811</v>
      </c>
    </row>
    <row r="705" spans="1:9">
      <c r="A705">
        <v>704</v>
      </c>
      <c r="B705" s="2">
        <v>704</v>
      </c>
      <c r="C705" s="2">
        <f t="shared" si="42"/>
        <v>1339</v>
      </c>
      <c r="D705" s="3">
        <v>704</v>
      </c>
      <c r="E705" s="3">
        <f t="shared" si="39"/>
        <v>2497</v>
      </c>
      <c r="F705" s="51">
        <v>704</v>
      </c>
      <c r="G705" s="51">
        <f t="shared" si="40"/>
        <v>3655</v>
      </c>
      <c r="H705" s="52">
        <v>704</v>
      </c>
      <c r="I705" s="52">
        <f t="shared" si="41"/>
        <v>4813</v>
      </c>
    </row>
    <row r="706" spans="1:9">
      <c r="A706">
        <v>705</v>
      </c>
      <c r="B706" s="2">
        <v>705</v>
      </c>
      <c r="C706" s="2">
        <f t="shared" si="42"/>
        <v>1340</v>
      </c>
      <c r="D706" s="3">
        <v>705</v>
      </c>
      <c r="E706" s="3">
        <f t="shared" si="39"/>
        <v>2498</v>
      </c>
      <c r="F706" s="51">
        <v>705</v>
      </c>
      <c r="G706" s="51">
        <f t="shared" si="40"/>
        <v>3656</v>
      </c>
      <c r="H706" s="52">
        <v>705</v>
      </c>
      <c r="I706" s="52">
        <f t="shared" si="41"/>
        <v>4814</v>
      </c>
    </row>
    <row r="707" spans="1:9">
      <c r="A707">
        <v>706</v>
      </c>
      <c r="B707" s="2">
        <v>706</v>
      </c>
      <c r="C707" s="2">
        <f t="shared" si="42"/>
        <v>1341</v>
      </c>
      <c r="D707" s="3">
        <v>706</v>
      </c>
      <c r="E707" s="3">
        <f t="shared" si="39"/>
        <v>2499</v>
      </c>
      <c r="F707" s="51">
        <v>706</v>
      </c>
      <c r="G707" s="51">
        <f t="shared" si="40"/>
        <v>3657</v>
      </c>
      <c r="H707" s="52">
        <v>706</v>
      </c>
      <c r="I707" s="52">
        <f t="shared" si="41"/>
        <v>4815</v>
      </c>
    </row>
    <row r="708" spans="1:9">
      <c r="A708">
        <v>707</v>
      </c>
      <c r="B708" s="2">
        <v>707</v>
      </c>
      <c r="C708" s="2">
        <f t="shared" si="42"/>
        <v>1343</v>
      </c>
      <c r="D708" s="3">
        <v>707</v>
      </c>
      <c r="E708" s="3">
        <f t="shared" ref="E708:E771" si="43">INT((D708-D$2)*1.3333333)+E$2</f>
        <v>2501</v>
      </c>
      <c r="F708" s="51">
        <v>707</v>
      </c>
      <c r="G708" s="51">
        <f t="shared" ref="G708:G771" si="44">INT((F708-F$2)*1.3333333)+G$2</f>
        <v>3659</v>
      </c>
      <c r="H708" s="52">
        <v>707</v>
      </c>
      <c r="I708" s="52">
        <f t="shared" ref="I708:I771" si="45">INT((H708-H$2)*1.3333333)+I$2</f>
        <v>4817</v>
      </c>
    </row>
    <row r="709" spans="1:9">
      <c r="A709">
        <v>708</v>
      </c>
      <c r="B709" s="2">
        <v>708</v>
      </c>
      <c r="C709" s="2">
        <f t="shared" si="42"/>
        <v>1344</v>
      </c>
      <c r="D709" s="3">
        <v>708</v>
      </c>
      <c r="E709" s="3">
        <f t="shared" si="43"/>
        <v>2502</v>
      </c>
      <c r="F709" s="51">
        <v>708</v>
      </c>
      <c r="G709" s="51">
        <f t="shared" si="44"/>
        <v>3660</v>
      </c>
      <c r="H709" s="52">
        <v>708</v>
      </c>
      <c r="I709" s="52">
        <f t="shared" si="45"/>
        <v>4818</v>
      </c>
    </row>
    <row r="710" spans="1:9">
      <c r="A710">
        <v>709</v>
      </c>
      <c r="B710" s="2">
        <v>709</v>
      </c>
      <c r="C710" s="2">
        <f t="shared" si="42"/>
        <v>1345</v>
      </c>
      <c r="D710" s="3">
        <v>709</v>
      </c>
      <c r="E710" s="3">
        <f t="shared" si="43"/>
        <v>2503</v>
      </c>
      <c r="F710" s="51">
        <v>709</v>
      </c>
      <c r="G710" s="51">
        <f t="shared" si="44"/>
        <v>3661</v>
      </c>
      <c r="H710" s="52">
        <v>709</v>
      </c>
      <c r="I710" s="52">
        <f t="shared" si="45"/>
        <v>4819</v>
      </c>
    </row>
    <row r="711" spans="1:9">
      <c r="A711">
        <v>710</v>
      </c>
      <c r="B711" s="2">
        <v>710</v>
      </c>
      <c r="C711" s="2">
        <f t="shared" si="42"/>
        <v>1347</v>
      </c>
      <c r="D711" s="3">
        <v>710</v>
      </c>
      <c r="E711" s="3">
        <f t="shared" si="43"/>
        <v>2505</v>
      </c>
      <c r="F711" s="51">
        <v>710</v>
      </c>
      <c r="G711" s="51">
        <f t="shared" si="44"/>
        <v>3663</v>
      </c>
      <c r="H711" s="52">
        <v>710</v>
      </c>
      <c r="I711" s="52">
        <f t="shared" si="45"/>
        <v>4821</v>
      </c>
    </row>
    <row r="712" spans="1:9">
      <c r="A712">
        <v>711</v>
      </c>
      <c r="B712" s="2">
        <v>711</v>
      </c>
      <c r="C712" s="2">
        <f t="shared" si="42"/>
        <v>1348</v>
      </c>
      <c r="D712" s="3">
        <v>711</v>
      </c>
      <c r="E712" s="3">
        <f t="shared" si="43"/>
        <v>2506</v>
      </c>
      <c r="F712" s="51">
        <v>711</v>
      </c>
      <c r="G712" s="51">
        <f t="shared" si="44"/>
        <v>3664</v>
      </c>
      <c r="H712" s="52">
        <v>711</v>
      </c>
      <c r="I712" s="52">
        <f t="shared" si="45"/>
        <v>4822</v>
      </c>
    </row>
    <row r="713" spans="1:9">
      <c r="A713">
        <v>712</v>
      </c>
      <c r="B713" s="2">
        <v>712</v>
      </c>
      <c r="C713" s="2">
        <f t="shared" si="42"/>
        <v>1349</v>
      </c>
      <c r="D713" s="3">
        <v>712</v>
      </c>
      <c r="E713" s="3">
        <f t="shared" si="43"/>
        <v>2507</v>
      </c>
      <c r="F713" s="51">
        <v>712</v>
      </c>
      <c r="G713" s="51">
        <f t="shared" si="44"/>
        <v>3665</v>
      </c>
      <c r="H713" s="52">
        <v>712</v>
      </c>
      <c r="I713" s="52">
        <f t="shared" si="45"/>
        <v>4823</v>
      </c>
    </row>
    <row r="714" spans="1:9">
      <c r="A714">
        <v>713</v>
      </c>
      <c r="B714" s="2">
        <v>713</v>
      </c>
      <c r="C714" s="2">
        <f t="shared" si="42"/>
        <v>1351</v>
      </c>
      <c r="D714" s="3">
        <v>713</v>
      </c>
      <c r="E714" s="3">
        <f t="shared" si="43"/>
        <v>2509</v>
      </c>
      <c r="F714" s="51">
        <v>713</v>
      </c>
      <c r="G714" s="51">
        <f t="shared" si="44"/>
        <v>3667</v>
      </c>
      <c r="H714" s="52">
        <v>713</v>
      </c>
      <c r="I714" s="52">
        <f t="shared" si="45"/>
        <v>4825</v>
      </c>
    </row>
    <row r="715" spans="1:9">
      <c r="A715">
        <v>714</v>
      </c>
      <c r="B715" s="2">
        <v>714</v>
      </c>
      <c r="C715" s="2">
        <f t="shared" si="42"/>
        <v>1352</v>
      </c>
      <c r="D715" s="3">
        <v>714</v>
      </c>
      <c r="E715" s="3">
        <f t="shared" si="43"/>
        <v>2510</v>
      </c>
      <c r="F715" s="51">
        <v>714</v>
      </c>
      <c r="G715" s="51">
        <f t="shared" si="44"/>
        <v>3668</v>
      </c>
      <c r="H715" s="52">
        <v>714</v>
      </c>
      <c r="I715" s="52">
        <f t="shared" si="45"/>
        <v>4826</v>
      </c>
    </row>
    <row r="716" spans="1:9">
      <c r="A716">
        <v>715</v>
      </c>
      <c r="B716" s="2">
        <v>715</v>
      </c>
      <c r="C716" s="2">
        <f t="shared" si="42"/>
        <v>1353</v>
      </c>
      <c r="D716" s="3">
        <v>715</v>
      </c>
      <c r="E716" s="3">
        <f t="shared" si="43"/>
        <v>2511</v>
      </c>
      <c r="F716" s="51">
        <v>715</v>
      </c>
      <c r="G716" s="51">
        <f t="shared" si="44"/>
        <v>3669</v>
      </c>
      <c r="H716" s="52">
        <v>715</v>
      </c>
      <c r="I716" s="52">
        <f t="shared" si="45"/>
        <v>4827</v>
      </c>
    </row>
    <row r="717" spans="1:9">
      <c r="A717">
        <v>716</v>
      </c>
      <c r="B717" s="2">
        <v>716</v>
      </c>
      <c r="C717" s="2">
        <f t="shared" si="42"/>
        <v>1355</v>
      </c>
      <c r="D717" s="3">
        <v>716</v>
      </c>
      <c r="E717" s="3">
        <f t="shared" si="43"/>
        <v>2513</v>
      </c>
      <c r="F717" s="51">
        <v>716</v>
      </c>
      <c r="G717" s="51">
        <f t="shared" si="44"/>
        <v>3671</v>
      </c>
      <c r="H717" s="52">
        <v>716</v>
      </c>
      <c r="I717" s="52">
        <f t="shared" si="45"/>
        <v>4829</v>
      </c>
    </row>
    <row r="718" spans="1:9">
      <c r="A718">
        <v>717</v>
      </c>
      <c r="B718" s="2">
        <v>717</v>
      </c>
      <c r="C718" s="2">
        <f t="shared" si="42"/>
        <v>1356</v>
      </c>
      <c r="D718" s="3">
        <v>717</v>
      </c>
      <c r="E718" s="3">
        <f t="shared" si="43"/>
        <v>2514</v>
      </c>
      <c r="F718" s="51">
        <v>717</v>
      </c>
      <c r="G718" s="51">
        <f t="shared" si="44"/>
        <v>3672</v>
      </c>
      <c r="H718" s="52">
        <v>717</v>
      </c>
      <c r="I718" s="52">
        <f t="shared" si="45"/>
        <v>4830</v>
      </c>
    </row>
    <row r="719" spans="1:9">
      <c r="A719">
        <v>718</v>
      </c>
      <c r="B719" s="2">
        <v>718</v>
      </c>
      <c r="C719" s="2">
        <f t="shared" si="42"/>
        <v>1357</v>
      </c>
      <c r="D719" s="3">
        <v>718</v>
      </c>
      <c r="E719" s="3">
        <f t="shared" si="43"/>
        <v>2515</v>
      </c>
      <c r="F719" s="51">
        <v>718</v>
      </c>
      <c r="G719" s="51">
        <f t="shared" si="44"/>
        <v>3673</v>
      </c>
      <c r="H719" s="52">
        <v>718</v>
      </c>
      <c r="I719" s="52">
        <f t="shared" si="45"/>
        <v>4831</v>
      </c>
    </row>
    <row r="720" spans="1:9">
      <c r="A720">
        <v>719</v>
      </c>
      <c r="B720" s="2">
        <v>719</v>
      </c>
      <c r="C720" s="2">
        <f t="shared" si="42"/>
        <v>1359</v>
      </c>
      <c r="D720" s="3">
        <v>719</v>
      </c>
      <c r="E720" s="3">
        <f t="shared" si="43"/>
        <v>2517</v>
      </c>
      <c r="F720" s="51">
        <v>719</v>
      </c>
      <c r="G720" s="51">
        <f t="shared" si="44"/>
        <v>3675</v>
      </c>
      <c r="H720" s="52">
        <v>719</v>
      </c>
      <c r="I720" s="52">
        <f t="shared" si="45"/>
        <v>4833</v>
      </c>
    </row>
    <row r="721" spans="1:9">
      <c r="A721">
        <v>720</v>
      </c>
      <c r="B721" s="2">
        <v>720</v>
      </c>
      <c r="C721" s="2">
        <f t="shared" si="42"/>
        <v>1360</v>
      </c>
      <c r="D721" s="3">
        <v>720</v>
      </c>
      <c r="E721" s="3">
        <f t="shared" si="43"/>
        <v>2518</v>
      </c>
      <c r="F721" s="51">
        <v>720</v>
      </c>
      <c r="G721" s="51">
        <f t="shared" si="44"/>
        <v>3676</v>
      </c>
      <c r="H721" s="52">
        <v>720</v>
      </c>
      <c r="I721" s="52">
        <f t="shared" si="45"/>
        <v>4834</v>
      </c>
    </row>
    <row r="722" spans="1:9">
      <c r="A722">
        <v>721</v>
      </c>
      <c r="B722" s="2">
        <v>721</v>
      </c>
      <c r="C722" s="2">
        <f t="shared" si="42"/>
        <v>1361</v>
      </c>
      <c r="D722" s="3">
        <v>721</v>
      </c>
      <c r="E722" s="3">
        <f t="shared" si="43"/>
        <v>2519</v>
      </c>
      <c r="F722" s="51">
        <v>721</v>
      </c>
      <c r="G722" s="51">
        <f t="shared" si="44"/>
        <v>3677</v>
      </c>
      <c r="H722" s="52">
        <v>721</v>
      </c>
      <c r="I722" s="52">
        <f t="shared" si="45"/>
        <v>4835</v>
      </c>
    </row>
    <row r="723" spans="1:9">
      <c r="A723">
        <v>722</v>
      </c>
      <c r="B723" s="2">
        <v>722</v>
      </c>
      <c r="C723" s="2">
        <f t="shared" si="42"/>
        <v>1363</v>
      </c>
      <c r="D723" s="3">
        <v>722</v>
      </c>
      <c r="E723" s="3">
        <f t="shared" si="43"/>
        <v>2521</v>
      </c>
      <c r="F723" s="51">
        <v>722</v>
      </c>
      <c r="G723" s="51">
        <f t="shared" si="44"/>
        <v>3679</v>
      </c>
      <c r="H723" s="52">
        <v>722</v>
      </c>
      <c r="I723" s="52">
        <f t="shared" si="45"/>
        <v>4837</v>
      </c>
    </row>
    <row r="724" spans="1:9">
      <c r="A724">
        <v>723</v>
      </c>
      <c r="B724" s="2">
        <v>723</v>
      </c>
      <c r="C724" s="2">
        <f t="shared" si="42"/>
        <v>1364</v>
      </c>
      <c r="D724" s="3">
        <v>723</v>
      </c>
      <c r="E724" s="3">
        <f t="shared" si="43"/>
        <v>2522</v>
      </c>
      <c r="F724" s="51">
        <v>723</v>
      </c>
      <c r="G724" s="51">
        <f t="shared" si="44"/>
        <v>3680</v>
      </c>
      <c r="H724" s="52">
        <v>723</v>
      </c>
      <c r="I724" s="52">
        <f t="shared" si="45"/>
        <v>4838</v>
      </c>
    </row>
    <row r="725" spans="1:9">
      <c r="A725">
        <v>724</v>
      </c>
      <c r="B725" s="2">
        <v>724</v>
      </c>
      <c r="C725" s="2">
        <f t="shared" si="42"/>
        <v>1365</v>
      </c>
      <c r="D725" s="3">
        <v>724</v>
      </c>
      <c r="E725" s="3">
        <f t="shared" si="43"/>
        <v>2523</v>
      </c>
      <c r="F725" s="51">
        <v>724</v>
      </c>
      <c r="G725" s="51">
        <f t="shared" si="44"/>
        <v>3681</v>
      </c>
      <c r="H725" s="52">
        <v>724</v>
      </c>
      <c r="I725" s="52">
        <f t="shared" si="45"/>
        <v>4839</v>
      </c>
    </row>
    <row r="726" spans="1:9">
      <c r="A726">
        <v>725</v>
      </c>
      <c r="B726" s="2">
        <v>725</v>
      </c>
      <c r="C726" s="2">
        <f t="shared" si="42"/>
        <v>1367</v>
      </c>
      <c r="D726" s="3">
        <v>725</v>
      </c>
      <c r="E726" s="3">
        <f t="shared" si="43"/>
        <v>2525</v>
      </c>
      <c r="F726" s="51">
        <v>725</v>
      </c>
      <c r="G726" s="51">
        <f t="shared" si="44"/>
        <v>3683</v>
      </c>
      <c r="H726" s="52">
        <v>725</v>
      </c>
      <c r="I726" s="52">
        <f t="shared" si="45"/>
        <v>4841</v>
      </c>
    </row>
    <row r="727" spans="1:9">
      <c r="A727">
        <v>726</v>
      </c>
      <c r="B727" s="2">
        <v>726</v>
      </c>
      <c r="C727" s="2">
        <f t="shared" si="42"/>
        <v>1368</v>
      </c>
      <c r="D727" s="3">
        <v>726</v>
      </c>
      <c r="E727" s="3">
        <f t="shared" si="43"/>
        <v>2526</v>
      </c>
      <c r="F727" s="51">
        <v>726</v>
      </c>
      <c r="G727" s="51">
        <f t="shared" si="44"/>
        <v>3684</v>
      </c>
      <c r="H727" s="52">
        <v>726</v>
      </c>
      <c r="I727" s="52">
        <f t="shared" si="45"/>
        <v>4842</v>
      </c>
    </row>
    <row r="728" spans="1:9">
      <c r="A728">
        <v>727</v>
      </c>
      <c r="B728" s="2">
        <v>727</v>
      </c>
      <c r="C728" s="2">
        <f t="shared" si="42"/>
        <v>1369</v>
      </c>
      <c r="D728" s="3">
        <v>727</v>
      </c>
      <c r="E728" s="3">
        <f t="shared" si="43"/>
        <v>2527</v>
      </c>
      <c r="F728" s="51">
        <v>727</v>
      </c>
      <c r="G728" s="51">
        <f t="shared" si="44"/>
        <v>3685</v>
      </c>
      <c r="H728" s="52">
        <v>727</v>
      </c>
      <c r="I728" s="52">
        <f t="shared" si="45"/>
        <v>4843</v>
      </c>
    </row>
    <row r="729" spans="1:9">
      <c r="A729">
        <v>728</v>
      </c>
      <c r="B729" s="2">
        <v>728</v>
      </c>
      <c r="C729" s="2">
        <f t="shared" si="42"/>
        <v>1371</v>
      </c>
      <c r="D729" s="3">
        <v>728</v>
      </c>
      <c r="E729" s="3">
        <f t="shared" si="43"/>
        <v>2529</v>
      </c>
      <c r="F729" s="51">
        <v>728</v>
      </c>
      <c r="G729" s="51">
        <f t="shared" si="44"/>
        <v>3687</v>
      </c>
      <c r="H729" s="52">
        <v>728</v>
      </c>
      <c r="I729" s="52">
        <f t="shared" si="45"/>
        <v>4845</v>
      </c>
    </row>
    <row r="730" spans="1:9">
      <c r="A730">
        <v>729</v>
      </c>
      <c r="B730" s="2">
        <v>729</v>
      </c>
      <c r="C730" s="2">
        <f t="shared" si="42"/>
        <v>1372</v>
      </c>
      <c r="D730" s="3">
        <v>729</v>
      </c>
      <c r="E730" s="3">
        <f t="shared" si="43"/>
        <v>2530</v>
      </c>
      <c r="F730" s="51">
        <v>729</v>
      </c>
      <c r="G730" s="51">
        <f t="shared" si="44"/>
        <v>3688</v>
      </c>
      <c r="H730" s="52">
        <v>729</v>
      </c>
      <c r="I730" s="52">
        <f t="shared" si="45"/>
        <v>4846</v>
      </c>
    </row>
    <row r="731" spans="1:9">
      <c r="A731">
        <v>730</v>
      </c>
      <c r="B731" s="2">
        <v>730</v>
      </c>
      <c r="C731" s="2">
        <f t="shared" si="42"/>
        <v>1373</v>
      </c>
      <c r="D731" s="3">
        <v>730</v>
      </c>
      <c r="E731" s="3">
        <f t="shared" si="43"/>
        <v>2531</v>
      </c>
      <c r="F731" s="51">
        <v>730</v>
      </c>
      <c r="G731" s="51">
        <f t="shared" si="44"/>
        <v>3689</v>
      </c>
      <c r="H731" s="52">
        <v>730</v>
      </c>
      <c r="I731" s="52">
        <f t="shared" si="45"/>
        <v>4847</v>
      </c>
    </row>
    <row r="732" spans="1:9">
      <c r="A732">
        <v>731</v>
      </c>
      <c r="B732" s="2">
        <v>731</v>
      </c>
      <c r="C732" s="2">
        <f t="shared" si="42"/>
        <v>1375</v>
      </c>
      <c r="D732" s="3">
        <v>731</v>
      </c>
      <c r="E732" s="3">
        <f t="shared" si="43"/>
        <v>2533</v>
      </c>
      <c r="F732" s="51">
        <v>731</v>
      </c>
      <c r="G732" s="51">
        <f t="shared" si="44"/>
        <v>3691</v>
      </c>
      <c r="H732" s="52">
        <v>731</v>
      </c>
      <c r="I732" s="52">
        <f t="shared" si="45"/>
        <v>4849</v>
      </c>
    </row>
    <row r="733" spans="1:9">
      <c r="A733">
        <v>732</v>
      </c>
      <c r="B733" s="2">
        <v>732</v>
      </c>
      <c r="C733" s="2">
        <f t="shared" si="42"/>
        <v>1376</v>
      </c>
      <c r="D733" s="3">
        <v>732</v>
      </c>
      <c r="E733" s="3">
        <f t="shared" si="43"/>
        <v>2534</v>
      </c>
      <c r="F733" s="51">
        <v>732</v>
      </c>
      <c r="G733" s="51">
        <f t="shared" si="44"/>
        <v>3692</v>
      </c>
      <c r="H733" s="52">
        <v>732</v>
      </c>
      <c r="I733" s="52">
        <f t="shared" si="45"/>
        <v>4850</v>
      </c>
    </row>
    <row r="734" spans="1:9">
      <c r="A734">
        <v>733</v>
      </c>
      <c r="B734" s="2">
        <v>733</v>
      </c>
      <c r="C734" s="2">
        <f t="shared" si="42"/>
        <v>1377</v>
      </c>
      <c r="D734" s="3">
        <v>733</v>
      </c>
      <c r="E734" s="3">
        <f t="shared" si="43"/>
        <v>2535</v>
      </c>
      <c r="F734" s="51">
        <v>733</v>
      </c>
      <c r="G734" s="51">
        <f t="shared" si="44"/>
        <v>3693</v>
      </c>
      <c r="H734" s="52">
        <v>733</v>
      </c>
      <c r="I734" s="52">
        <f t="shared" si="45"/>
        <v>4851</v>
      </c>
    </row>
    <row r="735" spans="1:9">
      <c r="A735">
        <v>734</v>
      </c>
      <c r="B735" s="2">
        <v>734</v>
      </c>
      <c r="C735" s="2">
        <f t="shared" si="42"/>
        <v>1379</v>
      </c>
      <c r="D735" s="3">
        <v>734</v>
      </c>
      <c r="E735" s="3">
        <f t="shared" si="43"/>
        <v>2537</v>
      </c>
      <c r="F735" s="51">
        <v>734</v>
      </c>
      <c r="G735" s="51">
        <f t="shared" si="44"/>
        <v>3695</v>
      </c>
      <c r="H735" s="52">
        <v>734</v>
      </c>
      <c r="I735" s="52">
        <f t="shared" si="45"/>
        <v>4853</v>
      </c>
    </row>
    <row r="736" spans="1:9">
      <c r="A736">
        <v>735</v>
      </c>
      <c r="B736" s="2">
        <v>735</v>
      </c>
      <c r="C736" s="2">
        <f t="shared" si="42"/>
        <v>1380</v>
      </c>
      <c r="D736" s="3">
        <v>735</v>
      </c>
      <c r="E736" s="3">
        <f t="shared" si="43"/>
        <v>2538</v>
      </c>
      <c r="F736" s="51">
        <v>735</v>
      </c>
      <c r="G736" s="51">
        <f t="shared" si="44"/>
        <v>3696</v>
      </c>
      <c r="H736" s="52">
        <v>735</v>
      </c>
      <c r="I736" s="52">
        <f t="shared" si="45"/>
        <v>4854</v>
      </c>
    </row>
    <row r="737" spans="1:9">
      <c r="A737">
        <v>736</v>
      </c>
      <c r="B737" s="2">
        <v>736</v>
      </c>
      <c r="C737" s="2">
        <f t="shared" si="42"/>
        <v>1381</v>
      </c>
      <c r="D737" s="3">
        <v>736</v>
      </c>
      <c r="E737" s="3">
        <f t="shared" si="43"/>
        <v>2539</v>
      </c>
      <c r="F737" s="51">
        <v>736</v>
      </c>
      <c r="G737" s="51">
        <f t="shared" si="44"/>
        <v>3697</v>
      </c>
      <c r="H737" s="52">
        <v>736</v>
      </c>
      <c r="I737" s="52">
        <f t="shared" si="45"/>
        <v>4855</v>
      </c>
    </row>
    <row r="738" spans="1:9">
      <c r="A738">
        <v>737</v>
      </c>
      <c r="B738" s="2">
        <v>737</v>
      </c>
      <c r="C738" s="2">
        <f t="shared" si="42"/>
        <v>1383</v>
      </c>
      <c r="D738" s="3">
        <v>737</v>
      </c>
      <c r="E738" s="3">
        <f t="shared" si="43"/>
        <v>2541</v>
      </c>
      <c r="F738" s="51">
        <v>737</v>
      </c>
      <c r="G738" s="51">
        <f t="shared" si="44"/>
        <v>3699</v>
      </c>
      <c r="H738" s="52">
        <v>737</v>
      </c>
      <c r="I738" s="52">
        <f t="shared" si="45"/>
        <v>4857</v>
      </c>
    </row>
    <row r="739" spans="1:9">
      <c r="A739">
        <v>738</v>
      </c>
      <c r="B739" s="2">
        <v>738</v>
      </c>
      <c r="C739" s="2">
        <f t="shared" si="42"/>
        <v>1384</v>
      </c>
      <c r="D739" s="3">
        <v>738</v>
      </c>
      <c r="E739" s="3">
        <f t="shared" si="43"/>
        <v>2542</v>
      </c>
      <c r="F739" s="51">
        <v>738</v>
      </c>
      <c r="G739" s="51">
        <f t="shared" si="44"/>
        <v>3700</v>
      </c>
      <c r="H739" s="52">
        <v>738</v>
      </c>
      <c r="I739" s="52">
        <f t="shared" si="45"/>
        <v>4858</v>
      </c>
    </row>
    <row r="740" spans="1:9">
      <c r="A740">
        <v>739</v>
      </c>
      <c r="B740" s="2">
        <v>739</v>
      </c>
      <c r="C740" s="2">
        <f t="shared" si="42"/>
        <v>1385</v>
      </c>
      <c r="D740" s="3">
        <v>739</v>
      </c>
      <c r="E740" s="3">
        <f t="shared" si="43"/>
        <v>2543</v>
      </c>
      <c r="F740" s="51">
        <v>739</v>
      </c>
      <c r="G740" s="51">
        <f t="shared" si="44"/>
        <v>3701</v>
      </c>
      <c r="H740" s="52">
        <v>739</v>
      </c>
      <c r="I740" s="52">
        <f t="shared" si="45"/>
        <v>4859</v>
      </c>
    </row>
    <row r="741" spans="1:9">
      <c r="A741">
        <v>740</v>
      </c>
      <c r="B741" s="2">
        <v>740</v>
      </c>
      <c r="C741" s="2">
        <f t="shared" si="42"/>
        <v>1387</v>
      </c>
      <c r="D741" s="3">
        <v>740</v>
      </c>
      <c r="E741" s="3">
        <f t="shared" si="43"/>
        <v>2545</v>
      </c>
      <c r="F741" s="51">
        <v>740</v>
      </c>
      <c r="G741" s="51">
        <f t="shared" si="44"/>
        <v>3703</v>
      </c>
      <c r="H741" s="52">
        <v>740</v>
      </c>
      <c r="I741" s="52">
        <f t="shared" si="45"/>
        <v>4861</v>
      </c>
    </row>
    <row r="742" spans="1:9">
      <c r="A742">
        <v>741</v>
      </c>
      <c r="B742" s="2">
        <v>741</v>
      </c>
      <c r="C742" s="2">
        <f t="shared" si="42"/>
        <v>1388</v>
      </c>
      <c r="D742" s="3">
        <v>741</v>
      </c>
      <c r="E742" s="3">
        <f t="shared" si="43"/>
        <v>2546</v>
      </c>
      <c r="F742" s="51">
        <v>741</v>
      </c>
      <c r="G742" s="51">
        <f t="shared" si="44"/>
        <v>3704</v>
      </c>
      <c r="H742" s="52">
        <v>741</v>
      </c>
      <c r="I742" s="52">
        <f t="shared" si="45"/>
        <v>4862</v>
      </c>
    </row>
    <row r="743" spans="1:9">
      <c r="A743">
        <v>742</v>
      </c>
      <c r="B743" s="2">
        <v>742</v>
      </c>
      <c r="C743" s="2">
        <f t="shared" si="42"/>
        <v>1389</v>
      </c>
      <c r="D743" s="3">
        <v>742</v>
      </c>
      <c r="E743" s="3">
        <f t="shared" si="43"/>
        <v>2547</v>
      </c>
      <c r="F743" s="51">
        <v>742</v>
      </c>
      <c r="G743" s="51">
        <f t="shared" si="44"/>
        <v>3705</v>
      </c>
      <c r="H743" s="52">
        <v>742</v>
      </c>
      <c r="I743" s="52">
        <f t="shared" si="45"/>
        <v>4863</v>
      </c>
    </row>
    <row r="744" spans="1:9">
      <c r="A744">
        <v>743</v>
      </c>
      <c r="B744" s="2">
        <v>743</v>
      </c>
      <c r="C744" s="2">
        <f t="shared" si="42"/>
        <v>1391</v>
      </c>
      <c r="D744" s="3">
        <v>743</v>
      </c>
      <c r="E744" s="3">
        <f t="shared" si="43"/>
        <v>2549</v>
      </c>
      <c r="F744" s="51">
        <v>743</v>
      </c>
      <c r="G744" s="51">
        <f t="shared" si="44"/>
        <v>3707</v>
      </c>
      <c r="H744" s="52">
        <v>743</v>
      </c>
      <c r="I744" s="52">
        <f t="shared" si="45"/>
        <v>4865</v>
      </c>
    </row>
    <row r="745" spans="1:9">
      <c r="A745">
        <v>744</v>
      </c>
      <c r="B745" s="2">
        <v>744</v>
      </c>
      <c r="C745" s="2">
        <f t="shared" si="42"/>
        <v>1392</v>
      </c>
      <c r="D745" s="3">
        <v>744</v>
      </c>
      <c r="E745" s="3">
        <f t="shared" si="43"/>
        <v>2550</v>
      </c>
      <c r="F745" s="51">
        <v>744</v>
      </c>
      <c r="G745" s="51">
        <f t="shared" si="44"/>
        <v>3708</v>
      </c>
      <c r="H745" s="52">
        <v>744</v>
      </c>
      <c r="I745" s="52">
        <f t="shared" si="45"/>
        <v>4866</v>
      </c>
    </row>
    <row r="746" spans="1:9">
      <c r="A746">
        <v>745</v>
      </c>
      <c r="B746" s="2">
        <v>745</v>
      </c>
      <c r="C746" s="2">
        <f t="shared" si="42"/>
        <v>1393</v>
      </c>
      <c r="D746" s="3">
        <v>745</v>
      </c>
      <c r="E746" s="3">
        <f t="shared" si="43"/>
        <v>2551</v>
      </c>
      <c r="F746" s="51">
        <v>745</v>
      </c>
      <c r="G746" s="51">
        <f t="shared" si="44"/>
        <v>3709</v>
      </c>
      <c r="H746" s="52">
        <v>745</v>
      </c>
      <c r="I746" s="52">
        <f t="shared" si="45"/>
        <v>4867</v>
      </c>
    </row>
    <row r="747" spans="1:9">
      <c r="A747">
        <v>746</v>
      </c>
      <c r="B747" s="2">
        <v>746</v>
      </c>
      <c r="C747" s="2">
        <f t="shared" si="42"/>
        <v>1395</v>
      </c>
      <c r="D747" s="3">
        <v>746</v>
      </c>
      <c r="E747" s="3">
        <f t="shared" si="43"/>
        <v>2553</v>
      </c>
      <c r="F747" s="51">
        <v>746</v>
      </c>
      <c r="G747" s="51">
        <f t="shared" si="44"/>
        <v>3711</v>
      </c>
      <c r="H747" s="52">
        <v>746</v>
      </c>
      <c r="I747" s="52">
        <f t="shared" si="45"/>
        <v>4869</v>
      </c>
    </row>
    <row r="748" spans="1:9">
      <c r="A748">
        <v>747</v>
      </c>
      <c r="B748" s="2">
        <v>747</v>
      </c>
      <c r="C748" s="2">
        <f t="shared" si="42"/>
        <v>1396</v>
      </c>
      <c r="D748" s="3">
        <v>747</v>
      </c>
      <c r="E748" s="3">
        <f t="shared" si="43"/>
        <v>2554</v>
      </c>
      <c r="F748" s="51">
        <v>747</v>
      </c>
      <c r="G748" s="51">
        <f t="shared" si="44"/>
        <v>3712</v>
      </c>
      <c r="H748" s="52">
        <v>747</v>
      </c>
      <c r="I748" s="52">
        <f t="shared" si="45"/>
        <v>4870</v>
      </c>
    </row>
    <row r="749" spans="1:9">
      <c r="A749">
        <v>748</v>
      </c>
      <c r="B749" s="2">
        <v>748</v>
      </c>
      <c r="C749" s="2">
        <f t="shared" si="42"/>
        <v>1397</v>
      </c>
      <c r="D749" s="3">
        <v>748</v>
      </c>
      <c r="E749" s="3">
        <f t="shared" si="43"/>
        <v>2555</v>
      </c>
      <c r="F749" s="51">
        <v>748</v>
      </c>
      <c r="G749" s="51">
        <f t="shared" si="44"/>
        <v>3713</v>
      </c>
      <c r="H749" s="52">
        <v>748</v>
      </c>
      <c r="I749" s="52">
        <f t="shared" si="45"/>
        <v>4871</v>
      </c>
    </row>
    <row r="750" spans="1:9">
      <c r="A750">
        <v>749</v>
      </c>
      <c r="B750" s="2">
        <v>749</v>
      </c>
      <c r="C750" s="2">
        <f t="shared" si="42"/>
        <v>1399</v>
      </c>
      <c r="D750" s="3">
        <v>749</v>
      </c>
      <c r="E750" s="3">
        <f t="shared" si="43"/>
        <v>2557</v>
      </c>
      <c r="F750" s="51">
        <v>749</v>
      </c>
      <c r="G750" s="51">
        <f t="shared" si="44"/>
        <v>3715</v>
      </c>
      <c r="H750" s="52">
        <v>749</v>
      </c>
      <c r="I750" s="52">
        <f t="shared" si="45"/>
        <v>4873</v>
      </c>
    </row>
    <row r="751" spans="1:9">
      <c r="A751">
        <v>750</v>
      </c>
      <c r="B751" s="2">
        <v>750</v>
      </c>
      <c r="C751" s="2">
        <f t="shared" si="42"/>
        <v>1400</v>
      </c>
      <c r="D751" s="3">
        <v>750</v>
      </c>
      <c r="E751" s="3">
        <f t="shared" si="43"/>
        <v>2558</v>
      </c>
      <c r="F751" s="51">
        <v>750</v>
      </c>
      <c r="G751" s="51">
        <f t="shared" si="44"/>
        <v>3716</v>
      </c>
      <c r="H751" s="52">
        <v>750</v>
      </c>
      <c r="I751" s="52">
        <f t="shared" si="45"/>
        <v>4874</v>
      </c>
    </row>
    <row r="752" spans="1:9">
      <c r="A752">
        <v>751</v>
      </c>
      <c r="B752" s="2">
        <v>751</v>
      </c>
      <c r="C752" s="2">
        <f t="shared" si="42"/>
        <v>1401</v>
      </c>
      <c r="D752" s="3">
        <v>751</v>
      </c>
      <c r="E752" s="3">
        <f t="shared" si="43"/>
        <v>2559</v>
      </c>
      <c r="F752" s="51">
        <v>751</v>
      </c>
      <c r="G752" s="51">
        <f t="shared" si="44"/>
        <v>3717</v>
      </c>
      <c r="H752" s="52">
        <v>751</v>
      </c>
      <c r="I752" s="52">
        <f t="shared" si="45"/>
        <v>4875</v>
      </c>
    </row>
    <row r="753" spans="1:9">
      <c r="A753">
        <v>752</v>
      </c>
      <c r="B753" s="2">
        <v>752</v>
      </c>
      <c r="C753" s="2">
        <f t="shared" si="42"/>
        <v>1403</v>
      </c>
      <c r="D753" s="3">
        <v>752</v>
      </c>
      <c r="E753" s="3">
        <f t="shared" si="43"/>
        <v>2561</v>
      </c>
      <c r="F753" s="51">
        <v>752</v>
      </c>
      <c r="G753" s="51">
        <f t="shared" si="44"/>
        <v>3719</v>
      </c>
      <c r="H753" s="52">
        <v>752</v>
      </c>
      <c r="I753" s="52">
        <f t="shared" si="45"/>
        <v>4877</v>
      </c>
    </row>
    <row r="754" spans="1:9">
      <c r="A754">
        <v>753</v>
      </c>
      <c r="B754" s="2">
        <v>753</v>
      </c>
      <c r="C754" s="2">
        <f t="shared" si="42"/>
        <v>1404</v>
      </c>
      <c r="D754" s="3">
        <v>753</v>
      </c>
      <c r="E754" s="3">
        <f t="shared" si="43"/>
        <v>2562</v>
      </c>
      <c r="F754" s="51">
        <v>753</v>
      </c>
      <c r="G754" s="51">
        <f t="shared" si="44"/>
        <v>3720</v>
      </c>
      <c r="H754" s="52">
        <v>753</v>
      </c>
      <c r="I754" s="52">
        <f t="shared" si="45"/>
        <v>4878</v>
      </c>
    </row>
    <row r="755" spans="1:9">
      <c r="A755">
        <v>754</v>
      </c>
      <c r="B755" s="2">
        <v>754</v>
      </c>
      <c r="C755" s="2">
        <f t="shared" si="42"/>
        <v>1405</v>
      </c>
      <c r="D755" s="3">
        <v>754</v>
      </c>
      <c r="E755" s="3">
        <f t="shared" si="43"/>
        <v>2563</v>
      </c>
      <c r="F755" s="51">
        <v>754</v>
      </c>
      <c r="G755" s="51">
        <f t="shared" si="44"/>
        <v>3721</v>
      </c>
      <c r="H755" s="52">
        <v>754</v>
      </c>
      <c r="I755" s="52">
        <f t="shared" si="45"/>
        <v>4879</v>
      </c>
    </row>
    <row r="756" spans="1:9">
      <c r="A756">
        <v>755</v>
      </c>
      <c r="B756" s="2">
        <v>755</v>
      </c>
      <c r="C756" s="2">
        <f t="shared" si="42"/>
        <v>1407</v>
      </c>
      <c r="D756" s="3">
        <v>755</v>
      </c>
      <c r="E756" s="3">
        <f t="shared" si="43"/>
        <v>2565</v>
      </c>
      <c r="F756" s="51">
        <v>755</v>
      </c>
      <c r="G756" s="51">
        <f t="shared" si="44"/>
        <v>3723</v>
      </c>
      <c r="H756" s="52">
        <v>755</v>
      </c>
      <c r="I756" s="52">
        <f t="shared" si="45"/>
        <v>4881</v>
      </c>
    </row>
    <row r="757" spans="1:9">
      <c r="A757">
        <v>756</v>
      </c>
      <c r="B757" s="2">
        <v>756</v>
      </c>
      <c r="C757" s="2">
        <f t="shared" si="42"/>
        <v>1408</v>
      </c>
      <c r="D757" s="3">
        <v>756</v>
      </c>
      <c r="E757" s="3">
        <f t="shared" si="43"/>
        <v>2566</v>
      </c>
      <c r="F757" s="51">
        <v>756</v>
      </c>
      <c r="G757" s="51">
        <f t="shared" si="44"/>
        <v>3724</v>
      </c>
      <c r="H757" s="52">
        <v>756</v>
      </c>
      <c r="I757" s="52">
        <f t="shared" si="45"/>
        <v>4882</v>
      </c>
    </row>
    <row r="758" spans="1:9">
      <c r="A758">
        <v>757</v>
      </c>
      <c r="B758" s="2">
        <v>757</v>
      </c>
      <c r="C758" s="2">
        <f t="shared" si="42"/>
        <v>1409</v>
      </c>
      <c r="D758" s="3">
        <v>757</v>
      </c>
      <c r="E758" s="3">
        <f t="shared" si="43"/>
        <v>2567</v>
      </c>
      <c r="F758" s="51">
        <v>757</v>
      </c>
      <c r="G758" s="51">
        <f t="shared" si="44"/>
        <v>3725</v>
      </c>
      <c r="H758" s="52">
        <v>757</v>
      </c>
      <c r="I758" s="52">
        <f t="shared" si="45"/>
        <v>4883</v>
      </c>
    </row>
    <row r="759" spans="1:9">
      <c r="A759">
        <v>758</v>
      </c>
      <c r="B759" s="2">
        <v>758</v>
      </c>
      <c r="C759" s="2">
        <f t="shared" si="42"/>
        <v>1411</v>
      </c>
      <c r="D759" s="3">
        <v>758</v>
      </c>
      <c r="E759" s="3">
        <f t="shared" si="43"/>
        <v>2569</v>
      </c>
      <c r="F759" s="51">
        <v>758</v>
      </c>
      <c r="G759" s="51">
        <f t="shared" si="44"/>
        <v>3727</v>
      </c>
      <c r="H759" s="52">
        <v>758</v>
      </c>
      <c r="I759" s="52">
        <f t="shared" si="45"/>
        <v>4885</v>
      </c>
    </row>
    <row r="760" spans="1:9">
      <c r="A760">
        <v>759</v>
      </c>
      <c r="B760" s="2">
        <v>759</v>
      </c>
      <c r="C760" s="2">
        <f t="shared" si="42"/>
        <v>1412</v>
      </c>
      <c r="D760" s="3">
        <v>759</v>
      </c>
      <c r="E760" s="3">
        <f t="shared" si="43"/>
        <v>2570</v>
      </c>
      <c r="F760" s="51">
        <v>759</v>
      </c>
      <c r="G760" s="51">
        <f t="shared" si="44"/>
        <v>3728</v>
      </c>
      <c r="H760" s="52">
        <v>759</v>
      </c>
      <c r="I760" s="52">
        <f t="shared" si="45"/>
        <v>4886</v>
      </c>
    </row>
    <row r="761" spans="1:9">
      <c r="A761">
        <v>760</v>
      </c>
      <c r="B761" s="2">
        <v>760</v>
      </c>
      <c r="C761" s="2">
        <f t="shared" si="42"/>
        <v>1413</v>
      </c>
      <c r="D761" s="3">
        <v>760</v>
      </c>
      <c r="E761" s="3">
        <f t="shared" si="43"/>
        <v>2571</v>
      </c>
      <c r="F761" s="51">
        <v>760</v>
      </c>
      <c r="G761" s="51">
        <f t="shared" si="44"/>
        <v>3729</v>
      </c>
      <c r="H761" s="52">
        <v>760</v>
      </c>
      <c r="I761" s="52">
        <f t="shared" si="45"/>
        <v>4887</v>
      </c>
    </row>
    <row r="762" spans="1:9">
      <c r="A762">
        <v>761</v>
      </c>
      <c r="B762" s="2">
        <v>761</v>
      </c>
      <c r="C762" s="2">
        <f t="shared" si="42"/>
        <v>1415</v>
      </c>
      <c r="D762" s="3">
        <v>761</v>
      </c>
      <c r="E762" s="3">
        <f t="shared" si="43"/>
        <v>2573</v>
      </c>
      <c r="F762" s="51">
        <v>761</v>
      </c>
      <c r="G762" s="51">
        <f t="shared" si="44"/>
        <v>3731</v>
      </c>
      <c r="H762" s="52">
        <v>761</v>
      </c>
      <c r="I762" s="52">
        <f t="shared" si="45"/>
        <v>4889</v>
      </c>
    </row>
    <row r="763" spans="1:9">
      <c r="A763">
        <v>762</v>
      </c>
      <c r="B763" s="2">
        <v>762</v>
      </c>
      <c r="C763" s="2">
        <f t="shared" si="42"/>
        <v>1416</v>
      </c>
      <c r="D763" s="3">
        <v>762</v>
      </c>
      <c r="E763" s="3">
        <f t="shared" si="43"/>
        <v>2574</v>
      </c>
      <c r="F763" s="51">
        <v>762</v>
      </c>
      <c r="G763" s="51">
        <f t="shared" si="44"/>
        <v>3732</v>
      </c>
      <c r="H763" s="52">
        <v>762</v>
      </c>
      <c r="I763" s="52">
        <f t="shared" si="45"/>
        <v>4890</v>
      </c>
    </row>
    <row r="764" spans="1:9">
      <c r="A764">
        <v>763</v>
      </c>
      <c r="B764" s="2">
        <v>763</v>
      </c>
      <c r="C764" s="2">
        <f t="shared" ref="C764:C827" si="46">INT((B764-B$122)*1.3333333)+C$122</f>
        <v>1417</v>
      </c>
      <c r="D764" s="3">
        <v>763</v>
      </c>
      <c r="E764" s="3">
        <f t="shared" si="43"/>
        <v>2575</v>
      </c>
      <c r="F764" s="51">
        <v>763</v>
      </c>
      <c r="G764" s="51">
        <f t="shared" si="44"/>
        <v>3733</v>
      </c>
      <c r="H764" s="52">
        <v>763</v>
      </c>
      <c r="I764" s="52">
        <f t="shared" si="45"/>
        <v>4891</v>
      </c>
    </row>
    <row r="765" spans="1:9">
      <c r="A765">
        <v>764</v>
      </c>
      <c r="B765" s="2">
        <v>764</v>
      </c>
      <c r="C765" s="2">
        <f t="shared" si="46"/>
        <v>1419</v>
      </c>
      <c r="D765" s="3">
        <v>764</v>
      </c>
      <c r="E765" s="3">
        <f t="shared" si="43"/>
        <v>2577</v>
      </c>
      <c r="F765" s="51">
        <v>764</v>
      </c>
      <c r="G765" s="51">
        <f t="shared" si="44"/>
        <v>3735</v>
      </c>
      <c r="H765" s="52">
        <v>764</v>
      </c>
      <c r="I765" s="52">
        <f t="shared" si="45"/>
        <v>4893</v>
      </c>
    </row>
    <row r="766" spans="1:9">
      <c r="A766">
        <v>765</v>
      </c>
      <c r="B766" s="2">
        <v>765</v>
      </c>
      <c r="C766" s="2">
        <f t="shared" si="46"/>
        <v>1420</v>
      </c>
      <c r="D766" s="3">
        <v>765</v>
      </c>
      <c r="E766" s="3">
        <f t="shared" si="43"/>
        <v>2578</v>
      </c>
      <c r="F766" s="51">
        <v>765</v>
      </c>
      <c r="G766" s="51">
        <f t="shared" si="44"/>
        <v>3736</v>
      </c>
      <c r="H766" s="52">
        <v>765</v>
      </c>
      <c r="I766" s="52">
        <f t="shared" si="45"/>
        <v>4894</v>
      </c>
    </row>
    <row r="767" spans="1:9">
      <c r="A767">
        <v>766</v>
      </c>
      <c r="B767" s="2">
        <v>766</v>
      </c>
      <c r="C767" s="2">
        <f t="shared" si="46"/>
        <v>1421</v>
      </c>
      <c r="D767" s="3">
        <v>766</v>
      </c>
      <c r="E767" s="3">
        <f t="shared" si="43"/>
        <v>2579</v>
      </c>
      <c r="F767" s="51">
        <v>766</v>
      </c>
      <c r="G767" s="51">
        <f t="shared" si="44"/>
        <v>3737</v>
      </c>
      <c r="H767" s="52">
        <v>766</v>
      </c>
      <c r="I767" s="52">
        <f t="shared" si="45"/>
        <v>4895</v>
      </c>
    </row>
    <row r="768" spans="1:9">
      <c r="A768">
        <v>767</v>
      </c>
      <c r="B768" s="2">
        <v>767</v>
      </c>
      <c r="C768" s="2">
        <f t="shared" si="46"/>
        <v>1423</v>
      </c>
      <c r="D768" s="3">
        <v>767</v>
      </c>
      <c r="E768" s="3">
        <f t="shared" si="43"/>
        <v>2581</v>
      </c>
      <c r="F768" s="51">
        <v>767</v>
      </c>
      <c r="G768" s="51">
        <f t="shared" si="44"/>
        <v>3739</v>
      </c>
      <c r="H768" s="52">
        <v>767</v>
      </c>
      <c r="I768" s="52">
        <f t="shared" si="45"/>
        <v>4897</v>
      </c>
    </row>
    <row r="769" spans="1:9">
      <c r="A769">
        <v>768</v>
      </c>
      <c r="B769" s="2">
        <v>768</v>
      </c>
      <c r="C769" s="2">
        <f t="shared" si="46"/>
        <v>1424</v>
      </c>
      <c r="D769" s="3">
        <v>768</v>
      </c>
      <c r="E769" s="3">
        <f t="shared" si="43"/>
        <v>2582</v>
      </c>
      <c r="F769" s="51">
        <v>768</v>
      </c>
      <c r="G769" s="51">
        <f t="shared" si="44"/>
        <v>3740</v>
      </c>
      <c r="H769" s="52">
        <v>768</v>
      </c>
      <c r="I769" s="52">
        <f t="shared" si="45"/>
        <v>4898</v>
      </c>
    </row>
    <row r="770" spans="1:9">
      <c r="A770">
        <v>769</v>
      </c>
      <c r="B770" s="2">
        <v>769</v>
      </c>
      <c r="C770" s="2">
        <f t="shared" si="46"/>
        <v>1425</v>
      </c>
      <c r="D770" s="3">
        <v>769</v>
      </c>
      <c r="E770" s="3">
        <f t="shared" si="43"/>
        <v>2583</v>
      </c>
      <c r="F770" s="51">
        <v>769</v>
      </c>
      <c r="G770" s="51">
        <f t="shared" si="44"/>
        <v>3741</v>
      </c>
      <c r="H770" s="52">
        <v>769</v>
      </c>
      <c r="I770" s="52">
        <f t="shared" si="45"/>
        <v>4899</v>
      </c>
    </row>
    <row r="771" spans="1:9">
      <c r="A771">
        <v>770</v>
      </c>
      <c r="B771" s="2">
        <v>770</v>
      </c>
      <c r="C771" s="2">
        <f t="shared" si="46"/>
        <v>1427</v>
      </c>
      <c r="D771" s="3">
        <v>770</v>
      </c>
      <c r="E771" s="3">
        <f t="shared" si="43"/>
        <v>2585</v>
      </c>
      <c r="F771" s="51">
        <v>770</v>
      </c>
      <c r="G771" s="51">
        <f t="shared" si="44"/>
        <v>3743</v>
      </c>
      <c r="H771" s="52">
        <v>770</v>
      </c>
      <c r="I771" s="52">
        <f t="shared" si="45"/>
        <v>4901</v>
      </c>
    </row>
    <row r="772" spans="1:9">
      <c r="A772">
        <v>771</v>
      </c>
      <c r="B772" s="2">
        <v>771</v>
      </c>
      <c r="C772" s="2">
        <f t="shared" si="46"/>
        <v>1428</v>
      </c>
      <c r="D772" s="3">
        <v>771</v>
      </c>
      <c r="E772" s="3">
        <f t="shared" ref="E772:E835" si="47">INT((D772-D$2)*1.3333333)+E$2</f>
        <v>2586</v>
      </c>
      <c r="F772" s="51">
        <v>771</v>
      </c>
      <c r="G772" s="51">
        <f t="shared" ref="G772:G835" si="48">INT((F772-F$2)*1.3333333)+G$2</f>
        <v>3744</v>
      </c>
      <c r="H772" s="52">
        <v>771</v>
      </c>
      <c r="I772" s="52">
        <f t="shared" ref="I772:I835" si="49">INT((H772-H$2)*1.3333333)+I$2</f>
        <v>4902</v>
      </c>
    </row>
    <row r="773" spans="1:9">
      <c r="A773">
        <v>772</v>
      </c>
      <c r="B773" s="2">
        <v>772</v>
      </c>
      <c r="C773" s="2">
        <f t="shared" si="46"/>
        <v>1429</v>
      </c>
      <c r="D773" s="3">
        <v>772</v>
      </c>
      <c r="E773" s="3">
        <f t="shared" si="47"/>
        <v>2587</v>
      </c>
      <c r="F773" s="51">
        <v>772</v>
      </c>
      <c r="G773" s="51">
        <f t="shared" si="48"/>
        <v>3745</v>
      </c>
      <c r="H773" s="52">
        <v>772</v>
      </c>
      <c r="I773" s="52">
        <f t="shared" si="49"/>
        <v>4903</v>
      </c>
    </row>
    <row r="774" spans="1:9">
      <c r="A774">
        <v>773</v>
      </c>
      <c r="B774" s="2">
        <v>773</v>
      </c>
      <c r="C774" s="2">
        <f t="shared" si="46"/>
        <v>1431</v>
      </c>
      <c r="D774" s="3">
        <v>773</v>
      </c>
      <c r="E774" s="3">
        <f t="shared" si="47"/>
        <v>2589</v>
      </c>
      <c r="F774" s="51">
        <v>773</v>
      </c>
      <c r="G774" s="51">
        <f t="shared" si="48"/>
        <v>3747</v>
      </c>
      <c r="H774" s="52">
        <v>773</v>
      </c>
      <c r="I774" s="52">
        <f t="shared" si="49"/>
        <v>4905</v>
      </c>
    </row>
    <row r="775" spans="1:9">
      <c r="A775">
        <v>774</v>
      </c>
      <c r="B775" s="2">
        <v>774</v>
      </c>
      <c r="C775" s="2">
        <f t="shared" si="46"/>
        <v>1432</v>
      </c>
      <c r="D775" s="3">
        <v>774</v>
      </c>
      <c r="E775" s="3">
        <f t="shared" si="47"/>
        <v>2590</v>
      </c>
      <c r="F775" s="51">
        <v>774</v>
      </c>
      <c r="G775" s="51">
        <f t="shared" si="48"/>
        <v>3748</v>
      </c>
      <c r="H775" s="52">
        <v>774</v>
      </c>
      <c r="I775" s="52">
        <f t="shared" si="49"/>
        <v>4906</v>
      </c>
    </row>
    <row r="776" spans="1:9">
      <c r="A776">
        <v>775</v>
      </c>
      <c r="B776" s="2">
        <v>775</v>
      </c>
      <c r="C776" s="2">
        <f t="shared" si="46"/>
        <v>1433</v>
      </c>
      <c r="D776" s="3">
        <v>775</v>
      </c>
      <c r="E776" s="3">
        <f t="shared" si="47"/>
        <v>2591</v>
      </c>
      <c r="F776" s="51">
        <v>775</v>
      </c>
      <c r="G776" s="51">
        <f t="shared" si="48"/>
        <v>3749</v>
      </c>
      <c r="H776" s="52">
        <v>775</v>
      </c>
      <c r="I776" s="52">
        <f t="shared" si="49"/>
        <v>4907</v>
      </c>
    </row>
    <row r="777" spans="1:9">
      <c r="A777">
        <v>776</v>
      </c>
      <c r="B777" s="2">
        <v>776</v>
      </c>
      <c r="C777" s="2">
        <f t="shared" si="46"/>
        <v>1435</v>
      </c>
      <c r="D777" s="3">
        <v>776</v>
      </c>
      <c r="E777" s="3">
        <f t="shared" si="47"/>
        <v>2593</v>
      </c>
      <c r="F777" s="51">
        <v>776</v>
      </c>
      <c r="G777" s="51">
        <f t="shared" si="48"/>
        <v>3751</v>
      </c>
      <c r="H777" s="52">
        <v>776</v>
      </c>
      <c r="I777" s="52">
        <f t="shared" si="49"/>
        <v>4909</v>
      </c>
    </row>
    <row r="778" spans="1:9">
      <c r="A778">
        <v>777</v>
      </c>
      <c r="B778" s="2">
        <v>777</v>
      </c>
      <c r="C778" s="2">
        <f t="shared" si="46"/>
        <v>1436</v>
      </c>
      <c r="D778" s="3">
        <v>777</v>
      </c>
      <c r="E778" s="3">
        <f t="shared" si="47"/>
        <v>2594</v>
      </c>
      <c r="F778" s="51">
        <v>777</v>
      </c>
      <c r="G778" s="51">
        <f t="shared" si="48"/>
        <v>3752</v>
      </c>
      <c r="H778" s="52">
        <v>777</v>
      </c>
      <c r="I778" s="52">
        <f t="shared" si="49"/>
        <v>4910</v>
      </c>
    </row>
    <row r="779" spans="1:9">
      <c r="A779">
        <v>778</v>
      </c>
      <c r="B779" s="2">
        <v>778</v>
      </c>
      <c r="C779" s="2">
        <f t="shared" si="46"/>
        <v>1437</v>
      </c>
      <c r="D779" s="3">
        <v>778</v>
      </c>
      <c r="E779" s="3">
        <f t="shared" si="47"/>
        <v>2595</v>
      </c>
      <c r="F779" s="51">
        <v>778</v>
      </c>
      <c r="G779" s="51">
        <f t="shared" si="48"/>
        <v>3753</v>
      </c>
      <c r="H779" s="52">
        <v>778</v>
      </c>
      <c r="I779" s="52">
        <f t="shared" si="49"/>
        <v>4911</v>
      </c>
    </row>
    <row r="780" spans="1:9">
      <c r="A780">
        <v>779</v>
      </c>
      <c r="B780" s="2">
        <v>779</v>
      </c>
      <c r="C780" s="2">
        <f t="shared" si="46"/>
        <v>1439</v>
      </c>
      <c r="D780" s="3">
        <v>779</v>
      </c>
      <c r="E780" s="3">
        <f t="shared" si="47"/>
        <v>2597</v>
      </c>
      <c r="F780" s="51">
        <v>779</v>
      </c>
      <c r="G780" s="51">
        <f t="shared" si="48"/>
        <v>3755</v>
      </c>
      <c r="H780" s="52">
        <v>779</v>
      </c>
      <c r="I780" s="52">
        <f t="shared" si="49"/>
        <v>4913</v>
      </c>
    </row>
    <row r="781" spans="1:9">
      <c r="A781">
        <v>780</v>
      </c>
      <c r="B781" s="2">
        <v>780</v>
      </c>
      <c r="C781" s="2">
        <f t="shared" si="46"/>
        <v>1440</v>
      </c>
      <c r="D781" s="3">
        <v>780</v>
      </c>
      <c r="E781" s="3">
        <f t="shared" si="47"/>
        <v>2598</v>
      </c>
      <c r="F781" s="51">
        <v>780</v>
      </c>
      <c r="G781" s="51">
        <f t="shared" si="48"/>
        <v>3756</v>
      </c>
      <c r="H781" s="52">
        <v>780</v>
      </c>
      <c r="I781" s="52">
        <f t="shared" si="49"/>
        <v>4914</v>
      </c>
    </row>
    <row r="782" spans="1:9">
      <c r="A782">
        <v>781</v>
      </c>
      <c r="B782" s="2">
        <v>781</v>
      </c>
      <c r="C782" s="2">
        <f t="shared" si="46"/>
        <v>1441</v>
      </c>
      <c r="D782" s="3">
        <v>781</v>
      </c>
      <c r="E782" s="3">
        <f t="shared" si="47"/>
        <v>2599</v>
      </c>
      <c r="F782" s="51">
        <v>781</v>
      </c>
      <c r="G782" s="51">
        <f t="shared" si="48"/>
        <v>3757</v>
      </c>
      <c r="H782" s="52">
        <v>781</v>
      </c>
      <c r="I782" s="52">
        <f t="shared" si="49"/>
        <v>4915</v>
      </c>
    </row>
    <row r="783" spans="1:9">
      <c r="A783">
        <v>782</v>
      </c>
      <c r="B783" s="2">
        <v>782</v>
      </c>
      <c r="C783" s="2">
        <f t="shared" si="46"/>
        <v>1443</v>
      </c>
      <c r="D783" s="3">
        <v>782</v>
      </c>
      <c r="E783" s="3">
        <f t="shared" si="47"/>
        <v>2601</v>
      </c>
      <c r="F783" s="51">
        <v>782</v>
      </c>
      <c r="G783" s="51">
        <f t="shared" si="48"/>
        <v>3759</v>
      </c>
      <c r="H783" s="52">
        <v>782</v>
      </c>
      <c r="I783" s="52">
        <f t="shared" si="49"/>
        <v>4917</v>
      </c>
    </row>
    <row r="784" spans="1:9">
      <c r="A784">
        <v>783</v>
      </c>
      <c r="B784" s="2">
        <v>783</v>
      </c>
      <c r="C784" s="2">
        <f t="shared" si="46"/>
        <v>1444</v>
      </c>
      <c r="D784" s="3">
        <v>783</v>
      </c>
      <c r="E784" s="3">
        <f t="shared" si="47"/>
        <v>2602</v>
      </c>
      <c r="F784" s="51">
        <v>783</v>
      </c>
      <c r="G784" s="51">
        <f t="shared" si="48"/>
        <v>3760</v>
      </c>
      <c r="H784" s="52">
        <v>783</v>
      </c>
      <c r="I784" s="52">
        <f t="shared" si="49"/>
        <v>4918</v>
      </c>
    </row>
    <row r="785" spans="1:9">
      <c r="A785">
        <v>784</v>
      </c>
      <c r="B785" s="2">
        <v>784</v>
      </c>
      <c r="C785" s="2">
        <f t="shared" si="46"/>
        <v>1445</v>
      </c>
      <c r="D785" s="3">
        <v>784</v>
      </c>
      <c r="E785" s="3">
        <f t="shared" si="47"/>
        <v>2603</v>
      </c>
      <c r="F785" s="51">
        <v>784</v>
      </c>
      <c r="G785" s="51">
        <f t="shared" si="48"/>
        <v>3761</v>
      </c>
      <c r="H785" s="52">
        <v>784</v>
      </c>
      <c r="I785" s="52">
        <f t="shared" si="49"/>
        <v>4919</v>
      </c>
    </row>
    <row r="786" spans="1:9">
      <c r="A786">
        <v>785</v>
      </c>
      <c r="B786" s="2">
        <v>785</v>
      </c>
      <c r="C786" s="2">
        <f t="shared" si="46"/>
        <v>1447</v>
      </c>
      <c r="D786" s="3">
        <v>785</v>
      </c>
      <c r="E786" s="3">
        <f t="shared" si="47"/>
        <v>2605</v>
      </c>
      <c r="F786" s="51">
        <v>785</v>
      </c>
      <c r="G786" s="51">
        <f t="shared" si="48"/>
        <v>3763</v>
      </c>
      <c r="H786" s="52">
        <v>785</v>
      </c>
      <c r="I786" s="52">
        <f t="shared" si="49"/>
        <v>4921</v>
      </c>
    </row>
    <row r="787" spans="1:9">
      <c r="A787">
        <v>786</v>
      </c>
      <c r="B787" s="2">
        <v>786</v>
      </c>
      <c r="C787" s="2">
        <f t="shared" si="46"/>
        <v>1448</v>
      </c>
      <c r="D787" s="3">
        <v>786</v>
      </c>
      <c r="E787" s="3">
        <f t="shared" si="47"/>
        <v>2606</v>
      </c>
      <c r="F787" s="51">
        <v>786</v>
      </c>
      <c r="G787" s="51">
        <f t="shared" si="48"/>
        <v>3764</v>
      </c>
      <c r="H787" s="52">
        <v>786</v>
      </c>
      <c r="I787" s="52">
        <f t="shared" si="49"/>
        <v>4922</v>
      </c>
    </row>
    <row r="788" spans="1:9">
      <c r="A788">
        <v>787</v>
      </c>
      <c r="B788" s="2">
        <v>787</v>
      </c>
      <c r="C788" s="2">
        <f t="shared" si="46"/>
        <v>1449</v>
      </c>
      <c r="D788" s="3">
        <v>787</v>
      </c>
      <c r="E788" s="3">
        <f t="shared" si="47"/>
        <v>2607</v>
      </c>
      <c r="F788" s="51">
        <v>787</v>
      </c>
      <c r="G788" s="51">
        <f t="shared" si="48"/>
        <v>3765</v>
      </c>
      <c r="H788" s="52">
        <v>787</v>
      </c>
      <c r="I788" s="52">
        <f t="shared" si="49"/>
        <v>4923</v>
      </c>
    </row>
    <row r="789" spans="1:9">
      <c r="A789">
        <v>788</v>
      </c>
      <c r="B789" s="2">
        <v>788</v>
      </c>
      <c r="C789" s="2">
        <f t="shared" si="46"/>
        <v>1451</v>
      </c>
      <c r="D789" s="3">
        <v>788</v>
      </c>
      <c r="E789" s="3">
        <f t="shared" si="47"/>
        <v>2609</v>
      </c>
      <c r="F789" s="51">
        <v>788</v>
      </c>
      <c r="G789" s="51">
        <f t="shared" si="48"/>
        <v>3767</v>
      </c>
      <c r="H789" s="52">
        <v>788</v>
      </c>
      <c r="I789" s="52">
        <f t="shared" si="49"/>
        <v>4925</v>
      </c>
    </row>
    <row r="790" spans="1:9">
      <c r="A790">
        <v>789</v>
      </c>
      <c r="B790" s="2">
        <v>789</v>
      </c>
      <c r="C790" s="2">
        <f t="shared" si="46"/>
        <v>1452</v>
      </c>
      <c r="D790" s="3">
        <v>789</v>
      </c>
      <c r="E790" s="3">
        <f t="shared" si="47"/>
        <v>2610</v>
      </c>
      <c r="F790" s="51">
        <v>789</v>
      </c>
      <c r="G790" s="51">
        <f t="shared" si="48"/>
        <v>3768</v>
      </c>
      <c r="H790" s="52">
        <v>789</v>
      </c>
      <c r="I790" s="52">
        <f t="shared" si="49"/>
        <v>4926</v>
      </c>
    </row>
    <row r="791" spans="1:9">
      <c r="A791">
        <v>790</v>
      </c>
      <c r="B791" s="2">
        <v>790</v>
      </c>
      <c r="C791" s="2">
        <f t="shared" si="46"/>
        <v>1453</v>
      </c>
      <c r="D791" s="3">
        <v>790</v>
      </c>
      <c r="E791" s="3">
        <f t="shared" si="47"/>
        <v>2611</v>
      </c>
      <c r="F791" s="51">
        <v>790</v>
      </c>
      <c r="G791" s="51">
        <f t="shared" si="48"/>
        <v>3769</v>
      </c>
      <c r="H791" s="52">
        <v>790</v>
      </c>
      <c r="I791" s="52">
        <f t="shared" si="49"/>
        <v>4927</v>
      </c>
    </row>
    <row r="792" spans="1:9">
      <c r="A792">
        <v>791</v>
      </c>
      <c r="B792" s="2">
        <v>791</v>
      </c>
      <c r="C792" s="2">
        <f t="shared" si="46"/>
        <v>1455</v>
      </c>
      <c r="D792" s="3">
        <v>791</v>
      </c>
      <c r="E792" s="3">
        <f t="shared" si="47"/>
        <v>2613</v>
      </c>
      <c r="F792" s="51">
        <v>791</v>
      </c>
      <c r="G792" s="51">
        <f t="shared" si="48"/>
        <v>3771</v>
      </c>
      <c r="H792" s="52">
        <v>791</v>
      </c>
      <c r="I792" s="52">
        <f t="shared" si="49"/>
        <v>4929</v>
      </c>
    </row>
    <row r="793" spans="1:9">
      <c r="A793">
        <v>792</v>
      </c>
      <c r="B793" s="2">
        <v>792</v>
      </c>
      <c r="C793" s="2">
        <f t="shared" si="46"/>
        <v>1456</v>
      </c>
      <c r="D793" s="3">
        <v>792</v>
      </c>
      <c r="E793" s="3">
        <f t="shared" si="47"/>
        <v>2614</v>
      </c>
      <c r="F793" s="51">
        <v>792</v>
      </c>
      <c r="G793" s="51">
        <f t="shared" si="48"/>
        <v>3772</v>
      </c>
      <c r="H793" s="52">
        <v>792</v>
      </c>
      <c r="I793" s="52">
        <f t="shared" si="49"/>
        <v>4930</v>
      </c>
    </row>
    <row r="794" spans="1:9">
      <c r="A794">
        <v>793</v>
      </c>
      <c r="B794" s="2">
        <v>793</v>
      </c>
      <c r="C794" s="2">
        <f t="shared" si="46"/>
        <v>1457</v>
      </c>
      <c r="D794" s="3">
        <v>793</v>
      </c>
      <c r="E794" s="3">
        <f t="shared" si="47"/>
        <v>2615</v>
      </c>
      <c r="F794" s="51">
        <v>793</v>
      </c>
      <c r="G794" s="51">
        <f t="shared" si="48"/>
        <v>3773</v>
      </c>
      <c r="H794" s="52">
        <v>793</v>
      </c>
      <c r="I794" s="52">
        <f t="shared" si="49"/>
        <v>4931</v>
      </c>
    </row>
    <row r="795" spans="1:9">
      <c r="A795">
        <v>794</v>
      </c>
      <c r="B795" s="2">
        <v>794</v>
      </c>
      <c r="C795" s="2">
        <f t="shared" si="46"/>
        <v>1459</v>
      </c>
      <c r="D795" s="3">
        <v>794</v>
      </c>
      <c r="E795" s="3">
        <f t="shared" si="47"/>
        <v>2617</v>
      </c>
      <c r="F795" s="51">
        <v>794</v>
      </c>
      <c r="G795" s="51">
        <f t="shared" si="48"/>
        <v>3775</v>
      </c>
      <c r="H795" s="52">
        <v>794</v>
      </c>
      <c r="I795" s="52">
        <f t="shared" si="49"/>
        <v>4933</v>
      </c>
    </row>
    <row r="796" spans="1:9">
      <c r="A796">
        <v>795</v>
      </c>
      <c r="B796" s="2">
        <v>795</v>
      </c>
      <c r="C796" s="2">
        <f t="shared" si="46"/>
        <v>1460</v>
      </c>
      <c r="D796" s="3">
        <v>795</v>
      </c>
      <c r="E796" s="3">
        <f t="shared" si="47"/>
        <v>2618</v>
      </c>
      <c r="F796" s="51">
        <v>795</v>
      </c>
      <c r="G796" s="51">
        <f t="shared" si="48"/>
        <v>3776</v>
      </c>
      <c r="H796" s="52">
        <v>795</v>
      </c>
      <c r="I796" s="52">
        <f t="shared" si="49"/>
        <v>4934</v>
      </c>
    </row>
    <row r="797" spans="1:9">
      <c r="A797">
        <v>796</v>
      </c>
      <c r="B797" s="2">
        <v>796</v>
      </c>
      <c r="C797" s="2">
        <f t="shared" si="46"/>
        <v>1461</v>
      </c>
      <c r="D797" s="3">
        <v>796</v>
      </c>
      <c r="E797" s="3">
        <f t="shared" si="47"/>
        <v>2619</v>
      </c>
      <c r="F797" s="51">
        <v>796</v>
      </c>
      <c r="G797" s="51">
        <f t="shared" si="48"/>
        <v>3777</v>
      </c>
      <c r="H797" s="52">
        <v>796</v>
      </c>
      <c r="I797" s="52">
        <f t="shared" si="49"/>
        <v>4935</v>
      </c>
    </row>
    <row r="798" spans="1:9">
      <c r="A798">
        <v>797</v>
      </c>
      <c r="B798" s="2">
        <v>797</v>
      </c>
      <c r="C798" s="2">
        <f t="shared" si="46"/>
        <v>1463</v>
      </c>
      <c r="D798" s="3">
        <v>797</v>
      </c>
      <c r="E798" s="3">
        <f t="shared" si="47"/>
        <v>2621</v>
      </c>
      <c r="F798" s="51">
        <v>797</v>
      </c>
      <c r="G798" s="51">
        <f t="shared" si="48"/>
        <v>3779</v>
      </c>
      <c r="H798" s="52">
        <v>797</v>
      </c>
      <c r="I798" s="52">
        <f t="shared" si="49"/>
        <v>4937</v>
      </c>
    </row>
    <row r="799" spans="1:9">
      <c r="A799">
        <v>798</v>
      </c>
      <c r="B799" s="2">
        <v>798</v>
      </c>
      <c r="C799" s="2">
        <f t="shared" si="46"/>
        <v>1464</v>
      </c>
      <c r="D799" s="3">
        <v>798</v>
      </c>
      <c r="E799" s="3">
        <f t="shared" si="47"/>
        <v>2622</v>
      </c>
      <c r="F799" s="51">
        <v>798</v>
      </c>
      <c r="G799" s="51">
        <f t="shared" si="48"/>
        <v>3780</v>
      </c>
      <c r="H799" s="52">
        <v>798</v>
      </c>
      <c r="I799" s="52">
        <f t="shared" si="49"/>
        <v>4938</v>
      </c>
    </row>
    <row r="800" spans="1:9">
      <c r="A800">
        <v>799</v>
      </c>
      <c r="B800" s="2">
        <v>799</v>
      </c>
      <c r="C800" s="2">
        <f t="shared" si="46"/>
        <v>1465</v>
      </c>
      <c r="D800" s="3">
        <v>799</v>
      </c>
      <c r="E800" s="3">
        <f t="shared" si="47"/>
        <v>2623</v>
      </c>
      <c r="F800" s="51">
        <v>799</v>
      </c>
      <c r="G800" s="51">
        <f t="shared" si="48"/>
        <v>3781</v>
      </c>
      <c r="H800" s="52">
        <v>799</v>
      </c>
      <c r="I800" s="52">
        <f t="shared" si="49"/>
        <v>4939</v>
      </c>
    </row>
    <row r="801" spans="1:9">
      <c r="A801">
        <v>800</v>
      </c>
      <c r="B801" s="2">
        <v>800</v>
      </c>
      <c r="C801" s="2">
        <f t="shared" si="46"/>
        <v>1467</v>
      </c>
      <c r="D801" s="3">
        <v>800</v>
      </c>
      <c r="E801" s="3">
        <f t="shared" si="47"/>
        <v>2625</v>
      </c>
      <c r="F801" s="51">
        <v>800</v>
      </c>
      <c r="G801" s="51">
        <f t="shared" si="48"/>
        <v>3783</v>
      </c>
      <c r="H801" s="52">
        <v>800</v>
      </c>
      <c r="I801" s="52">
        <f t="shared" si="49"/>
        <v>4941</v>
      </c>
    </row>
    <row r="802" spans="1:9">
      <c r="A802">
        <v>801</v>
      </c>
      <c r="B802" s="2">
        <v>801</v>
      </c>
      <c r="C802" s="2">
        <f t="shared" si="46"/>
        <v>1468</v>
      </c>
      <c r="D802" s="3">
        <v>801</v>
      </c>
      <c r="E802" s="3">
        <f t="shared" si="47"/>
        <v>2626</v>
      </c>
      <c r="F802" s="51">
        <v>801</v>
      </c>
      <c r="G802" s="51">
        <f t="shared" si="48"/>
        <v>3784</v>
      </c>
      <c r="H802" s="52">
        <v>801</v>
      </c>
      <c r="I802" s="52">
        <f t="shared" si="49"/>
        <v>4942</v>
      </c>
    </row>
    <row r="803" spans="1:9">
      <c r="A803">
        <v>802</v>
      </c>
      <c r="B803" s="2">
        <v>802</v>
      </c>
      <c r="C803" s="2">
        <f t="shared" si="46"/>
        <v>1469</v>
      </c>
      <c r="D803" s="3">
        <v>802</v>
      </c>
      <c r="E803" s="3">
        <f t="shared" si="47"/>
        <v>2627</v>
      </c>
      <c r="F803" s="51">
        <v>802</v>
      </c>
      <c r="G803" s="51">
        <f t="shared" si="48"/>
        <v>3785</v>
      </c>
      <c r="H803" s="52">
        <v>802</v>
      </c>
      <c r="I803" s="52">
        <f t="shared" si="49"/>
        <v>4943</v>
      </c>
    </row>
    <row r="804" spans="1:9">
      <c r="A804">
        <v>803</v>
      </c>
      <c r="B804" s="2">
        <v>803</v>
      </c>
      <c r="C804" s="2">
        <f t="shared" si="46"/>
        <v>1471</v>
      </c>
      <c r="D804" s="3">
        <v>803</v>
      </c>
      <c r="E804" s="3">
        <f t="shared" si="47"/>
        <v>2629</v>
      </c>
      <c r="F804" s="51">
        <v>803</v>
      </c>
      <c r="G804" s="51">
        <f t="shared" si="48"/>
        <v>3787</v>
      </c>
      <c r="H804" s="52">
        <v>803</v>
      </c>
      <c r="I804" s="52">
        <f t="shared" si="49"/>
        <v>4945</v>
      </c>
    </row>
    <row r="805" spans="1:9">
      <c r="A805">
        <v>804</v>
      </c>
      <c r="B805" s="2">
        <v>804</v>
      </c>
      <c r="C805" s="2">
        <f t="shared" si="46"/>
        <v>1472</v>
      </c>
      <c r="D805" s="3">
        <v>804</v>
      </c>
      <c r="E805" s="3">
        <f t="shared" si="47"/>
        <v>2630</v>
      </c>
      <c r="F805" s="51">
        <v>804</v>
      </c>
      <c r="G805" s="51">
        <f t="shared" si="48"/>
        <v>3788</v>
      </c>
      <c r="H805" s="52">
        <v>804</v>
      </c>
      <c r="I805" s="52">
        <f t="shared" si="49"/>
        <v>4946</v>
      </c>
    </row>
    <row r="806" spans="1:9">
      <c r="A806">
        <v>805</v>
      </c>
      <c r="B806" s="2">
        <v>805</v>
      </c>
      <c r="C806" s="2">
        <f t="shared" si="46"/>
        <v>1473</v>
      </c>
      <c r="D806" s="3">
        <v>805</v>
      </c>
      <c r="E806" s="3">
        <f t="shared" si="47"/>
        <v>2631</v>
      </c>
      <c r="F806" s="51">
        <v>805</v>
      </c>
      <c r="G806" s="51">
        <f t="shared" si="48"/>
        <v>3789</v>
      </c>
      <c r="H806" s="52">
        <v>805</v>
      </c>
      <c r="I806" s="52">
        <f t="shared" si="49"/>
        <v>4947</v>
      </c>
    </row>
    <row r="807" spans="1:9">
      <c r="A807">
        <v>806</v>
      </c>
      <c r="B807" s="2">
        <v>806</v>
      </c>
      <c r="C807" s="2">
        <f t="shared" si="46"/>
        <v>1475</v>
      </c>
      <c r="D807" s="3">
        <v>806</v>
      </c>
      <c r="E807" s="3">
        <f t="shared" si="47"/>
        <v>2633</v>
      </c>
      <c r="F807" s="51">
        <v>806</v>
      </c>
      <c r="G807" s="51">
        <f t="shared" si="48"/>
        <v>3791</v>
      </c>
      <c r="H807" s="52">
        <v>806</v>
      </c>
      <c r="I807" s="52">
        <f t="shared" si="49"/>
        <v>4949</v>
      </c>
    </row>
    <row r="808" spans="1:9">
      <c r="A808">
        <v>807</v>
      </c>
      <c r="B808" s="2">
        <v>807</v>
      </c>
      <c r="C808" s="2">
        <f t="shared" si="46"/>
        <v>1476</v>
      </c>
      <c r="D808" s="3">
        <v>807</v>
      </c>
      <c r="E808" s="3">
        <f t="shared" si="47"/>
        <v>2634</v>
      </c>
      <c r="F808" s="51">
        <v>807</v>
      </c>
      <c r="G808" s="51">
        <f t="shared" si="48"/>
        <v>3792</v>
      </c>
      <c r="H808" s="52">
        <v>807</v>
      </c>
      <c r="I808" s="52">
        <f t="shared" si="49"/>
        <v>4950</v>
      </c>
    </row>
    <row r="809" spans="1:9">
      <c r="A809">
        <v>808</v>
      </c>
      <c r="B809" s="2">
        <v>808</v>
      </c>
      <c r="C809" s="2">
        <f t="shared" si="46"/>
        <v>1477</v>
      </c>
      <c r="D809" s="3">
        <v>808</v>
      </c>
      <c r="E809" s="3">
        <f t="shared" si="47"/>
        <v>2635</v>
      </c>
      <c r="F809" s="51">
        <v>808</v>
      </c>
      <c r="G809" s="51">
        <f t="shared" si="48"/>
        <v>3793</v>
      </c>
      <c r="H809" s="52">
        <v>808</v>
      </c>
      <c r="I809" s="52">
        <f t="shared" si="49"/>
        <v>4951</v>
      </c>
    </row>
    <row r="810" spans="1:9">
      <c r="A810">
        <v>809</v>
      </c>
      <c r="B810" s="2">
        <v>809</v>
      </c>
      <c r="C810" s="2">
        <f t="shared" si="46"/>
        <v>1479</v>
      </c>
      <c r="D810" s="3">
        <v>809</v>
      </c>
      <c r="E810" s="3">
        <f t="shared" si="47"/>
        <v>2637</v>
      </c>
      <c r="F810" s="51">
        <v>809</v>
      </c>
      <c r="G810" s="51">
        <f t="shared" si="48"/>
        <v>3795</v>
      </c>
      <c r="H810" s="52">
        <v>809</v>
      </c>
      <c r="I810" s="52">
        <f t="shared" si="49"/>
        <v>4953</v>
      </c>
    </row>
    <row r="811" spans="1:9">
      <c r="A811">
        <v>810</v>
      </c>
      <c r="B811" s="2">
        <v>810</v>
      </c>
      <c r="C811" s="2">
        <f t="shared" si="46"/>
        <v>1480</v>
      </c>
      <c r="D811" s="3">
        <v>810</v>
      </c>
      <c r="E811" s="3">
        <f t="shared" si="47"/>
        <v>2638</v>
      </c>
      <c r="F811" s="51">
        <v>810</v>
      </c>
      <c r="G811" s="51">
        <f t="shared" si="48"/>
        <v>3796</v>
      </c>
      <c r="H811" s="52">
        <v>810</v>
      </c>
      <c r="I811" s="52">
        <f t="shared" si="49"/>
        <v>4954</v>
      </c>
    </row>
    <row r="812" spans="1:9">
      <c r="A812">
        <v>811</v>
      </c>
      <c r="B812" s="2">
        <v>811</v>
      </c>
      <c r="C812" s="2">
        <f t="shared" si="46"/>
        <v>1481</v>
      </c>
      <c r="D812" s="3">
        <v>811</v>
      </c>
      <c r="E812" s="3">
        <f t="shared" si="47"/>
        <v>2639</v>
      </c>
      <c r="F812" s="51">
        <v>811</v>
      </c>
      <c r="G812" s="51">
        <f t="shared" si="48"/>
        <v>3797</v>
      </c>
      <c r="H812" s="52">
        <v>811</v>
      </c>
      <c r="I812" s="52">
        <f t="shared" si="49"/>
        <v>4955</v>
      </c>
    </row>
    <row r="813" spans="1:9">
      <c r="A813">
        <v>812</v>
      </c>
      <c r="B813" s="2">
        <v>812</v>
      </c>
      <c r="C813" s="2">
        <f t="shared" si="46"/>
        <v>1483</v>
      </c>
      <c r="D813" s="3">
        <v>812</v>
      </c>
      <c r="E813" s="3">
        <f t="shared" si="47"/>
        <v>2641</v>
      </c>
      <c r="F813" s="51">
        <v>812</v>
      </c>
      <c r="G813" s="51">
        <f t="shared" si="48"/>
        <v>3799</v>
      </c>
      <c r="H813" s="52">
        <v>812</v>
      </c>
      <c r="I813" s="52">
        <f t="shared" si="49"/>
        <v>4957</v>
      </c>
    </row>
    <row r="814" spans="1:9">
      <c r="A814">
        <v>813</v>
      </c>
      <c r="B814" s="2">
        <v>813</v>
      </c>
      <c r="C814" s="2">
        <f t="shared" si="46"/>
        <v>1484</v>
      </c>
      <c r="D814" s="3">
        <v>813</v>
      </c>
      <c r="E814" s="3">
        <f t="shared" si="47"/>
        <v>2642</v>
      </c>
      <c r="F814" s="51">
        <v>813</v>
      </c>
      <c r="G814" s="51">
        <f t="shared" si="48"/>
        <v>3800</v>
      </c>
      <c r="H814" s="52">
        <v>813</v>
      </c>
      <c r="I814" s="52">
        <f t="shared" si="49"/>
        <v>4958</v>
      </c>
    </row>
    <row r="815" spans="1:9">
      <c r="A815">
        <v>814</v>
      </c>
      <c r="B815" s="2">
        <v>814</v>
      </c>
      <c r="C815" s="2">
        <f t="shared" si="46"/>
        <v>1485</v>
      </c>
      <c r="D815" s="3">
        <v>814</v>
      </c>
      <c r="E815" s="3">
        <f t="shared" si="47"/>
        <v>2643</v>
      </c>
      <c r="F815" s="51">
        <v>814</v>
      </c>
      <c r="G815" s="51">
        <f t="shared" si="48"/>
        <v>3801</v>
      </c>
      <c r="H815" s="52">
        <v>814</v>
      </c>
      <c r="I815" s="52">
        <f t="shared" si="49"/>
        <v>4959</v>
      </c>
    </row>
    <row r="816" spans="1:9">
      <c r="A816">
        <v>815</v>
      </c>
      <c r="B816" s="2">
        <v>815</v>
      </c>
      <c r="C816" s="2">
        <f t="shared" si="46"/>
        <v>1487</v>
      </c>
      <c r="D816" s="3">
        <v>815</v>
      </c>
      <c r="E816" s="3">
        <f t="shared" si="47"/>
        <v>2645</v>
      </c>
      <c r="F816" s="51">
        <v>815</v>
      </c>
      <c r="G816" s="51">
        <f t="shared" si="48"/>
        <v>3803</v>
      </c>
      <c r="H816" s="52">
        <v>815</v>
      </c>
      <c r="I816" s="52">
        <f t="shared" si="49"/>
        <v>4961</v>
      </c>
    </row>
    <row r="817" spans="1:9">
      <c r="A817">
        <v>816</v>
      </c>
      <c r="B817" s="2">
        <v>816</v>
      </c>
      <c r="C817" s="2">
        <f t="shared" si="46"/>
        <v>1488</v>
      </c>
      <c r="D817" s="3">
        <v>816</v>
      </c>
      <c r="E817" s="3">
        <f t="shared" si="47"/>
        <v>2646</v>
      </c>
      <c r="F817" s="51">
        <v>816</v>
      </c>
      <c r="G817" s="51">
        <f t="shared" si="48"/>
        <v>3804</v>
      </c>
      <c r="H817" s="52">
        <v>816</v>
      </c>
      <c r="I817" s="52">
        <f t="shared" si="49"/>
        <v>4962</v>
      </c>
    </row>
    <row r="818" spans="1:9">
      <c r="A818">
        <v>817</v>
      </c>
      <c r="B818" s="2">
        <v>817</v>
      </c>
      <c r="C818" s="2">
        <f t="shared" si="46"/>
        <v>1489</v>
      </c>
      <c r="D818" s="3">
        <v>817</v>
      </c>
      <c r="E818" s="3">
        <f t="shared" si="47"/>
        <v>2647</v>
      </c>
      <c r="F818" s="51">
        <v>817</v>
      </c>
      <c r="G818" s="51">
        <f t="shared" si="48"/>
        <v>3805</v>
      </c>
      <c r="H818" s="52">
        <v>817</v>
      </c>
      <c r="I818" s="52">
        <f t="shared" si="49"/>
        <v>4963</v>
      </c>
    </row>
    <row r="819" spans="1:9">
      <c r="A819">
        <v>818</v>
      </c>
      <c r="B819" s="2">
        <v>818</v>
      </c>
      <c r="C819" s="2">
        <f t="shared" si="46"/>
        <v>1491</v>
      </c>
      <c r="D819" s="3">
        <v>818</v>
      </c>
      <c r="E819" s="3">
        <f t="shared" si="47"/>
        <v>2649</v>
      </c>
      <c r="F819" s="51">
        <v>818</v>
      </c>
      <c r="G819" s="51">
        <f t="shared" si="48"/>
        <v>3807</v>
      </c>
      <c r="H819" s="52">
        <v>818</v>
      </c>
      <c r="I819" s="52">
        <f t="shared" si="49"/>
        <v>4965</v>
      </c>
    </row>
    <row r="820" spans="1:9">
      <c r="A820">
        <v>819</v>
      </c>
      <c r="B820" s="2">
        <v>819</v>
      </c>
      <c r="C820" s="2">
        <f t="shared" si="46"/>
        <v>1492</v>
      </c>
      <c r="D820" s="3">
        <v>819</v>
      </c>
      <c r="E820" s="3">
        <f t="shared" si="47"/>
        <v>2650</v>
      </c>
      <c r="F820" s="51">
        <v>819</v>
      </c>
      <c r="G820" s="51">
        <f t="shared" si="48"/>
        <v>3808</v>
      </c>
      <c r="H820" s="52">
        <v>819</v>
      </c>
      <c r="I820" s="52">
        <f t="shared" si="49"/>
        <v>4966</v>
      </c>
    </row>
    <row r="821" spans="1:9">
      <c r="A821">
        <v>820</v>
      </c>
      <c r="B821" s="2">
        <v>820</v>
      </c>
      <c r="C821" s="2">
        <f t="shared" si="46"/>
        <v>1493</v>
      </c>
      <c r="D821" s="3">
        <v>820</v>
      </c>
      <c r="E821" s="3">
        <f t="shared" si="47"/>
        <v>2651</v>
      </c>
      <c r="F821" s="51">
        <v>820</v>
      </c>
      <c r="G821" s="51">
        <f t="shared" si="48"/>
        <v>3809</v>
      </c>
      <c r="H821" s="52">
        <v>820</v>
      </c>
      <c r="I821" s="52">
        <f t="shared" si="49"/>
        <v>4967</v>
      </c>
    </row>
    <row r="822" spans="1:9">
      <c r="A822">
        <v>821</v>
      </c>
      <c r="B822" s="2">
        <v>821</v>
      </c>
      <c r="C822" s="2">
        <f t="shared" si="46"/>
        <v>1495</v>
      </c>
      <c r="D822" s="3">
        <v>821</v>
      </c>
      <c r="E822" s="3">
        <f t="shared" si="47"/>
        <v>2653</v>
      </c>
      <c r="F822" s="51">
        <v>821</v>
      </c>
      <c r="G822" s="51">
        <f t="shared" si="48"/>
        <v>3811</v>
      </c>
      <c r="H822" s="52">
        <v>821</v>
      </c>
      <c r="I822" s="52">
        <f t="shared" si="49"/>
        <v>4969</v>
      </c>
    </row>
    <row r="823" spans="1:9">
      <c r="A823">
        <v>822</v>
      </c>
      <c r="B823" s="2">
        <v>822</v>
      </c>
      <c r="C823" s="2">
        <f t="shared" si="46"/>
        <v>1496</v>
      </c>
      <c r="D823" s="3">
        <v>822</v>
      </c>
      <c r="E823" s="3">
        <f t="shared" si="47"/>
        <v>2654</v>
      </c>
      <c r="F823" s="51">
        <v>822</v>
      </c>
      <c r="G823" s="51">
        <f t="shared" si="48"/>
        <v>3812</v>
      </c>
      <c r="H823" s="52">
        <v>822</v>
      </c>
      <c r="I823" s="52">
        <f t="shared" si="49"/>
        <v>4970</v>
      </c>
    </row>
    <row r="824" spans="1:9">
      <c r="A824">
        <v>823</v>
      </c>
      <c r="B824" s="2">
        <v>823</v>
      </c>
      <c r="C824" s="2">
        <f t="shared" si="46"/>
        <v>1497</v>
      </c>
      <c r="D824" s="3">
        <v>823</v>
      </c>
      <c r="E824" s="3">
        <f t="shared" si="47"/>
        <v>2655</v>
      </c>
      <c r="F824" s="51">
        <v>823</v>
      </c>
      <c r="G824" s="51">
        <f t="shared" si="48"/>
        <v>3813</v>
      </c>
      <c r="H824" s="52">
        <v>823</v>
      </c>
      <c r="I824" s="52">
        <f t="shared" si="49"/>
        <v>4971</v>
      </c>
    </row>
    <row r="825" spans="1:9">
      <c r="A825">
        <v>824</v>
      </c>
      <c r="B825" s="2">
        <v>824</v>
      </c>
      <c r="C825" s="2">
        <f t="shared" si="46"/>
        <v>1499</v>
      </c>
      <c r="D825" s="3">
        <v>824</v>
      </c>
      <c r="E825" s="3">
        <f t="shared" si="47"/>
        <v>2657</v>
      </c>
      <c r="F825" s="51">
        <v>824</v>
      </c>
      <c r="G825" s="51">
        <f t="shared" si="48"/>
        <v>3815</v>
      </c>
      <c r="H825" s="52">
        <v>824</v>
      </c>
      <c r="I825" s="52">
        <f t="shared" si="49"/>
        <v>4973</v>
      </c>
    </row>
    <row r="826" spans="1:9">
      <c r="A826">
        <v>825</v>
      </c>
      <c r="B826" s="2">
        <v>825</v>
      </c>
      <c r="C826" s="2">
        <f t="shared" si="46"/>
        <v>1500</v>
      </c>
      <c r="D826" s="3">
        <v>825</v>
      </c>
      <c r="E826" s="3">
        <f t="shared" si="47"/>
        <v>2658</v>
      </c>
      <c r="F826" s="51">
        <v>825</v>
      </c>
      <c r="G826" s="51">
        <f t="shared" si="48"/>
        <v>3816</v>
      </c>
      <c r="H826" s="52">
        <v>825</v>
      </c>
      <c r="I826" s="52">
        <f t="shared" si="49"/>
        <v>4974</v>
      </c>
    </row>
    <row r="827" spans="1:9">
      <c r="A827">
        <v>826</v>
      </c>
      <c r="B827" s="2">
        <v>826</v>
      </c>
      <c r="C827" s="2">
        <f t="shared" si="46"/>
        <v>1501</v>
      </c>
      <c r="D827" s="3">
        <v>826</v>
      </c>
      <c r="E827" s="3">
        <f t="shared" si="47"/>
        <v>2659</v>
      </c>
      <c r="F827" s="51">
        <v>826</v>
      </c>
      <c r="G827" s="51">
        <f t="shared" si="48"/>
        <v>3817</v>
      </c>
      <c r="H827" s="52">
        <v>826</v>
      </c>
      <c r="I827" s="52">
        <f t="shared" si="49"/>
        <v>4975</v>
      </c>
    </row>
    <row r="828" spans="1:9">
      <c r="A828">
        <v>827</v>
      </c>
      <c r="B828" s="2">
        <v>827</v>
      </c>
      <c r="C828" s="2">
        <f t="shared" ref="C828:C891" si="50">INT((B828-B$122)*1.3333333)+C$122</f>
        <v>1503</v>
      </c>
      <c r="D828" s="3">
        <v>827</v>
      </c>
      <c r="E828" s="3">
        <f t="shared" si="47"/>
        <v>2661</v>
      </c>
      <c r="F828" s="51">
        <v>827</v>
      </c>
      <c r="G828" s="51">
        <f t="shared" si="48"/>
        <v>3819</v>
      </c>
      <c r="H828" s="52">
        <v>827</v>
      </c>
      <c r="I828" s="52">
        <f t="shared" si="49"/>
        <v>4977</v>
      </c>
    </row>
    <row r="829" spans="1:9">
      <c r="A829">
        <v>828</v>
      </c>
      <c r="B829" s="2">
        <v>828</v>
      </c>
      <c r="C829" s="2">
        <f t="shared" si="50"/>
        <v>1504</v>
      </c>
      <c r="D829" s="3">
        <v>828</v>
      </c>
      <c r="E829" s="3">
        <f t="shared" si="47"/>
        <v>2662</v>
      </c>
      <c r="F829" s="51">
        <v>828</v>
      </c>
      <c r="G829" s="51">
        <f t="shared" si="48"/>
        <v>3820</v>
      </c>
      <c r="H829" s="52">
        <v>828</v>
      </c>
      <c r="I829" s="52">
        <f t="shared" si="49"/>
        <v>4978</v>
      </c>
    </row>
    <row r="830" spans="1:9">
      <c r="A830">
        <v>829</v>
      </c>
      <c r="B830" s="2">
        <v>829</v>
      </c>
      <c r="C830" s="2">
        <f t="shared" si="50"/>
        <v>1505</v>
      </c>
      <c r="D830" s="3">
        <v>829</v>
      </c>
      <c r="E830" s="3">
        <f t="shared" si="47"/>
        <v>2663</v>
      </c>
      <c r="F830" s="51">
        <v>829</v>
      </c>
      <c r="G830" s="51">
        <f t="shared" si="48"/>
        <v>3821</v>
      </c>
      <c r="H830" s="52">
        <v>829</v>
      </c>
      <c r="I830" s="52">
        <f t="shared" si="49"/>
        <v>4979</v>
      </c>
    </row>
    <row r="831" spans="1:9">
      <c r="A831">
        <v>830</v>
      </c>
      <c r="B831" s="2">
        <v>830</v>
      </c>
      <c r="C831" s="2">
        <f t="shared" si="50"/>
        <v>1507</v>
      </c>
      <c r="D831" s="3">
        <v>830</v>
      </c>
      <c r="E831" s="3">
        <f t="shared" si="47"/>
        <v>2665</v>
      </c>
      <c r="F831" s="51">
        <v>830</v>
      </c>
      <c r="G831" s="51">
        <f t="shared" si="48"/>
        <v>3823</v>
      </c>
      <c r="H831" s="52">
        <v>830</v>
      </c>
      <c r="I831" s="52">
        <f t="shared" si="49"/>
        <v>4981</v>
      </c>
    </row>
    <row r="832" spans="1:9">
      <c r="A832">
        <v>831</v>
      </c>
      <c r="B832" s="2">
        <v>831</v>
      </c>
      <c r="C832" s="2">
        <f t="shared" si="50"/>
        <v>1508</v>
      </c>
      <c r="D832" s="3">
        <v>831</v>
      </c>
      <c r="E832" s="3">
        <f t="shared" si="47"/>
        <v>2666</v>
      </c>
      <c r="F832" s="51">
        <v>831</v>
      </c>
      <c r="G832" s="51">
        <f t="shared" si="48"/>
        <v>3824</v>
      </c>
      <c r="H832" s="52">
        <v>831</v>
      </c>
      <c r="I832" s="52">
        <f t="shared" si="49"/>
        <v>4982</v>
      </c>
    </row>
    <row r="833" spans="1:9">
      <c r="A833">
        <v>832</v>
      </c>
      <c r="B833" s="2">
        <v>832</v>
      </c>
      <c r="C833" s="2">
        <f t="shared" si="50"/>
        <v>1509</v>
      </c>
      <c r="D833" s="3">
        <v>832</v>
      </c>
      <c r="E833" s="3">
        <f t="shared" si="47"/>
        <v>2667</v>
      </c>
      <c r="F833" s="51">
        <v>832</v>
      </c>
      <c r="G833" s="51">
        <f t="shared" si="48"/>
        <v>3825</v>
      </c>
      <c r="H833" s="52">
        <v>832</v>
      </c>
      <c r="I833" s="52">
        <f t="shared" si="49"/>
        <v>4983</v>
      </c>
    </row>
    <row r="834" spans="1:9">
      <c r="A834">
        <v>833</v>
      </c>
      <c r="B834" s="2">
        <v>833</v>
      </c>
      <c r="C834" s="2">
        <f t="shared" si="50"/>
        <v>1511</v>
      </c>
      <c r="D834" s="3">
        <v>833</v>
      </c>
      <c r="E834" s="3">
        <f t="shared" si="47"/>
        <v>2669</v>
      </c>
      <c r="F834" s="51">
        <v>833</v>
      </c>
      <c r="G834" s="51">
        <f t="shared" si="48"/>
        <v>3827</v>
      </c>
      <c r="H834" s="52">
        <v>833</v>
      </c>
      <c r="I834" s="52">
        <f t="shared" si="49"/>
        <v>4985</v>
      </c>
    </row>
    <row r="835" spans="1:9">
      <c r="A835">
        <v>834</v>
      </c>
      <c r="B835" s="2">
        <v>834</v>
      </c>
      <c r="C835" s="2">
        <f t="shared" si="50"/>
        <v>1512</v>
      </c>
      <c r="D835" s="3">
        <v>834</v>
      </c>
      <c r="E835" s="3">
        <f t="shared" si="47"/>
        <v>2670</v>
      </c>
      <c r="F835" s="51">
        <v>834</v>
      </c>
      <c r="G835" s="51">
        <f t="shared" si="48"/>
        <v>3828</v>
      </c>
      <c r="H835" s="52">
        <v>834</v>
      </c>
      <c r="I835" s="52">
        <f t="shared" si="49"/>
        <v>4986</v>
      </c>
    </row>
    <row r="836" spans="1:9">
      <c r="A836">
        <v>835</v>
      </c>
      <c r="B836" s="2">
        <v>835</v>
      </c>
      <c r="C836" s="2">
        <f t="shared" si="50"/>
        <v>1513</v>
      </c>
      <c r="D836" s="3">
        <v>835</v>
      </c>
      <c r="E836" s="3">
        <f t="shared" ref="E836:E899" si="51">INT((D836-D$2)*1.3333333)+E$2</f>
        <v>2671</v>
      </c>
      <c r="F836" s="51">
        <v>835</v>
      </c>
      <c r="G836" s="51">
        <f t="shared" ref="G836:G899" si="52">INT((F836-F$2)*1.3333333)+G$2</f>
        <v>3829</v>
      </c>
      <c r="H836" s="52">
        <v>835</v>
      </c>
      <c r="I836" s="52">
        <f t="shared" ref="I836:I899" si="53">INT((H836-H$2)*1.3333333)+I$2</f>
        <v>4987</v>
      </c>
    </row>
    <row r="837" spans="1:9">
      <c r="A837">
        <v>836</v>
      </c>
      <c r="B837" s="2">
        <v>836</v>
      </c>
      <c r="C837" s="2">
        <f t="shared" si="50"/>
        <v>1515</v>
      </c>
      <c r="D837" s="3">
        <v>836</v>
      </c>
      <c r="E837" s="3">
        <f t="shared" si="51"/>
        <v>2673</v>
      </c>
      <c r="F837" s="51">
        <v>836</v>
      </c>
      <c r="G837" s="51">
        <f t="shared" si="52"/>
        <v>3831</v>
      </c>
      <c r="H837" s="52">
        <v>836</v>
      </c>
      <c r="I837" s="52">
        <f t="shared" si="53"/>
        <v>4989</v>
      </c>
    </row>
    <row r="838" spans="1:9">
      <c r="A838">
        <v>837</v>
      </c>
      <c r="B838" s="2">
        <v>837</v>
      </c>
      <c r="C838" s="2">
        <f t="shared" si="50"/>
        <v>1516</v>
      </c>
      <c r="D838" s="3">
        <v>837</v>
      </c>
      <c r="E838" s="3">
        <f t="shared" si="51"/>
        <v>2674</v>
      </c>
      <c r="F838" s="51">
        <v>837</v>
      </c>
      <c r="G838" s="51">
        <f t="shared" si="52"/>
        <v>3832</v>
      </c>
      <c r="H838" s="52">
        <v>837</v>
      </c>
      <c r="I838" s="52">
        <f t="shared" si="53"/>
        <v>4990</v>
      </c>
    </row>
    <row r="839" spans="1:9">
      <c r="A839">
        <v>838</v>
      </c>
      <c r="B839" s="2">
        <v>838</v>
      </c>
      <c r="C839" s="2">
        <f t="shared" si="50"/>
        <v>1517</v>
      </c>
      <c r="D839" s="3">
        <v>838</v>
      </c>
      <c r="E839" s="3">
        <f t="shared" si="51"/>
        <v>2675</v>
      </c>
      <c r="F839" s="51">
        <v>838</v>
      </c>
      <c r="G839" s="51">
        <f t="shared" si="52"/>
        <v>3833</v>
      </c>
      <c r="H839" s="52">
        <v>838</v>
      </c>
      <c r="I839" s="52">
        <f t="shared" si="53"/>
        <v>4991</v>
      </c>
    </row>
    <row r="840" spans="1:9">
      <c r="A840">
        <v>839</v>
      </c>
      <c r="B840" s="2">
        <v>839</v>
      </c>
      <c r="C840" s="2">
        <f t="shared" si="50"/>
        <v>1519</v>
      </c>
      <c r="D840" s="3">
        <v>839</v>
      </c>
      <c r="E840" s="3">
        <f t="shared" si="51"/>
        <v>2677</v>
      </c>
      <c r="F840" s="51">
        <v>839</v>
      </c>
      <c r="G840" s="51">
        <f t="shared" si="52"/>
        <v>3835</v>
      </c>
      <c r="H840" s="52">
        <v>839</v>
      </c>
      <c r="I840" s="52">
        <f t="shared" si="53"/>
        <v>4993</v>
      </c>
    </row>
    <row r="841" spans="1:9">
      <c r="A841">
        <v>840</v>
      </c>
      <c r="B841" s="2">
        <v>840</v>
      </c>
      <c r="C841" s="2">
        <f t="shared" si="50"/>
        <v>1520</v>
      </c>
      <c r="D841" s="3">
        <v>840</v>
      </c>
      <c r="E841" s="3">
        <f t="shared" si="51"/>
        <v>2678</v>
      </c>
      <c r="F841" s="51">
        <v>840</v>
      </c>
      <c r="G841" s="51">
        <f t="shared" si="52"/>
        <v>3836</v>
      </c>
      <c r="H841" s="52">
        <v>840</v>
      </c>
      <c r="I841" s="52">
        <f t="shared" si="53"/>
        <v>4994</v>
      </c>
    </row>
    <row r="842" spans="1:9">
      <c r="A842">
        <v>841</v>
      </c>
      <c r="B842" s="2">
        <v>841</v>
      </c>
      <c r="C842" s="2">
        <f t="shared" si="50"/>
        <v>1521</v>
      </c>
      <c r="D842" s="3">
        <v>841</v>
      </c>
      <c r="E842" s="3">
        <f t="shared" si="51"/>
        <v>2679</v>
      </c>
      <c r="F842" s="51">
        <v>841</v>
      </c>
      <c r="G842" s="51">
        <f t="shared" si="52"/>
        <v>3837</v>
      </c>
      <c r="H842" s="52">
        <v>841</v>
      </c>
      <c r="I842" s="52">
        <f t="shared" si="53"/>
        <v>4995</v>
      </c>
    </row>
    <row r="843" spans="1:9">
      <c r="A843">
        <v>842</v>
      </c>
      <c r="B843" s="2">
        <v>842</v>
      </c>
      <c r="C843" s="2">
        <f t="shared" si="50"/>
        <v>1523</v>
      </c>
      <c r="D843" s="3">
        <v>842</v>
      </c>
      <c r="E843" s="3">
        <f t="shared" si="51"/>
        <v>2681</v>
      </c>
      <c r="F843" s="51">
        <v>842</v>
      </c>
      <c r="G843" s="51">
        <f t="shared" si="52"/>
        <v>3839</v>
      </c>
      <c r="H843" s="52">
        <v>842</v>
      </c>
      <c r="I843" s="52">
        <f t="shared" si="53"/>
        <v>4997</v>
      </c>
    </row>
    <row r="844" spans="1:9">
      <c r="A844">
        <v>843</v>
      </c>
      <c r="B844" s="2">
        <v>843</v>
      </c>
      <c r="C844" s="2">
        <f t="shared" si="50"/>
        <v>1524</v>
      </c>
      <c r="D844" s="3">
        <v>843</v>
      </c>
      <c r="E844" s="3">
        <f t="shared" si="51"/>
        <v>2682</v>
      </c>
      <c r="F844" s="51">
        <v>843</v>
      </c>
      <c r="G844" s="51">
        <f t="shared" si="52"/>
        <v>3840</v>
      </c>
      <c r="H844" s="52">
        <v>843</v>
      </c>
      <c r="I844" s="52">
        <f t="shared" si="53"/>
        <v>4998</v>
      </c>
    </row>
    <row r="845" spans="1:9">
      <c r="A845">
        <v>844</v>
      </c>
      <c r="B845" s="2">
        <v>844</v>
      </c>
      <c r="C845" s="2">
        <f t="shared" si="50"/>
        <v>1525</v>
      </c>
      <c r="D845" s="3">
        <v>844</v>
      </c>
      <c r="E845" s="3">
        <f t="shared" si="51"/>
        <v>2683</v>
      </c>
      <c r="F845" s="51">
        <v>844</v>
      </c>
      <c r="G845" s="51">
        <f t="shared" si="52"/>
        <v>3841</v>
      </c>
      <c r="H845" s="52">
        <v>844</v>
      </c>
      <c r="I845" s="52">
        <f t="shared" si="53"/>
        <v>4999</v>
      </c>
    </row>
    <row r="846" spans="1:9">
      <c r="A846">
        <v>845</v>
      </c>
      <c r="B846" s="2">
        <v>845</v>
      </c>
      <c r="C846" s="2">
        <f t="shared" si="50"/>
        <v>1527</v>
      </c>
      <c r="D846" s="3">
        <v>845</v>
      </c>
      <c r="E846" s="3">
        <f t="shared" si="51"/>
        <v>2685</v>
      </c>
      <c r="F846" s="51">
        <v>845</v>
      </c>
      <c r="G846" s="51">
        <f t="shared" si="52"/>
        <v>3843</v>
      </c>
      <c r="H846" s="52">
        <v>845</v>
      </c>
      <c r="I846" s="52">
        <f t="shared" si="53"/>
        <v>5001</v>
      </c>
    </row>
    <row r="847" spans="1:9">
      <c r="A847">
        <v>846</v>
      </c>
      <c r="B847" s="2">
        <v>846</v>
      </c>
      <c r="C847" s="2">
        <f t="shared" si="50"/>
        <v>1528</v>
      </c>
      <c r="D847" s="3">
        <v>846</v>
      </c>
      <c r="E847" s="3">
        <f t="shared" si="51"/>
        <v>2686</v>
      </c>
      <c r="F847" s="51">
        <v>846</v>
      </c>
      <c r="G847" s="51">
        <f t="shared" si="52"/>
        <v>3844</v>
      </c>
      <c r="H847" s="52">
        <v>846</v>
      </c>
      <c r="I847" s="52">
        <f t="shared" si="53"/>
        <v>5002</v>
      </c>
    </row>
    <row r="848" spans="1:9">
      <c r="A848">
        <v>847</v>
      </c>
      <c r="B848" s="2">
        <v>847</v>
      </c>
      <c r="C848" s="2">
        <f t="shared" si="50"/>
        <v>1529</v>
      </c>
      <c r="D848" s="3">
        <v>847</v>
      </c>
      <c r="E848" s="3">
        <f t="shared" si="51"/>
        <v>2687</v>
      </c>
      <c r="F848" s="51">
        <v>847</v>
      </c>
      <c r="G848" s="51">
        <f t="shared" si="52"/>
        <v>3845</v>
      </c>
      <c r="H848" s="52">
        <v>847</v>
      </c>
      <c r="I848" s="52">
        <f t="shared" si="53"/>
        <v>5003</v>
      </c>
    </row>
    <row r="849" spans="1:9">
      <c r="A849">
        <v>848</v>
      </c>
      <c r="B849" s="2">
        <v>848</v>
      </c>
      <c r="C849" s="2">
        <f t="shared" si="50"/>
        <v>1531</v>
      </c>
      <c r="D849" s="3">
        <v>848</v>
      </c>
      <c r="E849" s="3">
        <f t="shared" si="51"/>
        <v>2689</v>
      </c>
      <c r="F849" s="51">
        <v>848</v>
      </c>
      <c r="G849" s="51">
        <f t="shared" si="52"/>
        <v>3847</v>
      </c>
      <c r="H849" s="52">
        <v>848</v>
      </c>
      <c r="I849" s="52">
        <f t="shared" si="53"/>
        <v>5005</v>
      </c>
    </row>
    <row r="850" spans="1:9">
      <c r="A850">
        <v>849</v>
      </c>
      <c r="B850" s="2">
        <v>849</v>
      </c>
      <c r="C850" s="2">
        <f t="shared" si="50"/>
        <v>1532</v>
      </c>
      <c r="D850" s="3">
        <v>849</v>
      </c>
      <c r="E850" s="3">
        <f t="shared" si="51"/>
        <v>2690</v>
      </c>
      <c r="F850" s="51">
        <v>849</v>
      </c>
      <c r="G850" s="51">
        <f t="shared" si="52"/>
        <v>3848</v>
      </c>
      <c r="H850" s="52">
        <v>849</v>
      </c>
      <c r="I850" s="52">
        <f t="shared" si="53"/>
        <v>5006</v>
      </c>
    </row>
    <row r="851" spans="1:9">
      <c r="A851">
        <v>850</v>
      </c>
      <c r="B851" s="2">
        <v>850</v>
      </c>
      <c r="C851" s="2">
        <f t="shared" si="50"/>
        <v>1533</v>
      </c>
      <c r="D851" s="3">
        <v>850</v>
      </c>
      <c r="E851" s="3">
        <f t="shared" si="51"/>
        <v>2691</v>
      </c>
      <c r="F851" s="51">
        <v>850</v>
      </c>
      <c r="G851" s="51">
        <f t="shared" si="52"/>
        <v>3849</v>
      </c>
      <c r="H851" s="52">
        <v>850</v>
      </c>
      <c r="I851" s="52">
        <f t="shared" si="53"/>
        <v>5007</v>
      </c>
    </row>
    <row r="852" spans="1:9">
      <c r="A852">
        <v>851</v>
      </c>
      <c r="B852" s="2">
        <v>851</v>
      </c>
      <c r="C852" s="2">
        <f t="shared" si="50"/>
        <v>1535</v>
      </c>
      <c r="D852" s="3">
        <v>851</v>
      </c>
      <c r="E852" s="3">
        <f t="shared" si="51"/>
        <v>2693</v>
      </c>
      <c r="F852" s="51">
        <v>851</v>
      </c>
      <c r="G852" s="51">
        <f t="shared" si="52"/>
        <v>3851</v>
      </c>
      <c r="H852" s="52">
        <v>851</v>
      </c>
      <c r="I852" s="52">
        <f t="shared" si="53"/>
        <v>5009</v>
      </c>
    </row>
    <row r="853" spans="1:9">
      <c r="A853">
        <v>852</v>
      </c>
      <c r="B853" s="2">
        <v>852</v>
      </c>
      <c r="C853" s="2">
        <f t="shared" si="50"/>
        <v>1536</v>
      </c>
      <c r="D853" s="3">
        <v>852</v>
      </c>
      <c r="E853" s="3">
        <f t="shared" si="51"/>
        <v>2694</v>
      </c>
      <c r="F853" s="51">
        <v>852</v>
      </c>
      <c r="G853" s="51">
        <f t="shared" si="52"/>
        <v>3852</v>
      </c>
      <c r="H853" s="52">
        <v>852</v>
      </c>
      <c r="I853" s="52">
        <f t="shared" si="53"/>
        <v>5010</v>
      </c>
    </row>
    <row r="854" spans="1:9">
      <c r="A854">
        <v>853</v>
      </c>
      <c r="B854" s="2">
        <v>853</v>
      </c>
      <c r="C854" s="2">
        <f t="shared" si="50"/>
        <v>1537</v>
      </c>
      <c r="D854" s="3">
        <v>853</v>
      </c>
      <c r="E854" s="3">
        <f t="shared" si="51"/>
        <v>2695</v>
      </c>
      <c r="F854" s="51">
        <v>853</v>
      </c>
      <c r="G854" s="51">
        <f t="shared" si="52"/>
        <v>3853</v>
      </c>
      <c r="H854" s="52">
        <v>853</v>
      </c>
      <c r="I854" s="52">
        <f t="shared" si="53"/>
        <v>5011</v>
      </c>
    </row>
    <row r="855" spans="1:9">
      <c r="A855">
        <v>854</v>
      </c>
      <c r="B855" s="2">
        <v>854</v>
      </c>
      <c r="C855" s="2">
        <f t="shared" si="50"/>
        <v>1539</v>
      </c>
      <c r="D855" s="3">
        <v>854</v>
      </c>
      <c r="E855" s="3">
        <f t="shared" si="51"/>
        <v>2697</v>
      </c>
      <c r="F855" s="51">
        <v>854</v>
      </c>
      <c r="G855" s="51">
        <f t="shared" si="52"/>
        <v>3855</v>
      </c>
      <c r="H855" s="52">
        <v>854</v>
      </c>
      <c r="I855" s="52">
        <f t="shared" si="53"/>
        <v>5013</v>
      </c>
    </row>
    <row r="856" spans="1:9">
      <c r="A856">
        <v>855</v>
      </c>
      <c r="B856" s="2">
        <v>855</v>
      </c>
      <c r="C856" s="2">
        <f t="shared" si="50"/>
        <v>1540</v>
      </c>
      <c r="D856" s="3">
        <v>855</v>
      </c>
      <c r="E856" s="3">
        <f t="shared" si="51"/>
        <v>2698</v>
      </c>
      <c r="F856" s="51">
        <v>855</v>
      </c>
      <c r="G856" s="51">
        <f t="shared" si="52"/>
        <v>3856</v>
      </c>
      <c r="H856" s="52">
        <v>855</v>
      </c>
      <c r="I856" s="52">
        <f t="shared" si="53"/>
        <v>5014</v>
      </c>
    </row>
    <row r="857" spans="1:9">
      <c r="A857">
        <v>856</v>
      </c>
      <c r="B857" s="2">
        <v>856</v>
      </c>
      <c r="C857" s="2">
        <f t="shared" si="50"/>
        <v>1541</v>
      </c>
      <c r="D857" s="3">
        <v>856</v>
      </c>
      <c r="E857" s="3">
        <f t="shared" si="51"/>
        <v>2699</v>
      </c>
      <c r="F857" s="51">
        <v>856</v>
      </c>
      <c r="G857" s="51">
        <f t="shared" si="52"/>
        <v>3857</v>
      </c>
      <c r="H857" s="52">
        <v>856</v>
      </c>
      <c r="I857" s="52">
        <f t="shared" si="53"/>
        <v>5015</v>
      </c>
    </row>
    <row r="858" spans="1:9">
      <c r="A858">
        <v>857</v>
      </c>
      <c r="B858" s="2">
        <v>857</v>
      </c>
      <c r="C858" s="2">
        <f t="shared" si="50"/>
        <v>1543</v>
      </c>
      <c r="D858" s="3">
        <v>857</v>
      </c>
      <c r="E858" s="3">
        <f t="shared" si="51"/>
        <v>2701</v>
      </c>
      <c r="F858" s="51">
        <v>857</v>
      </c>
      <c r="G858" s="51">
        <f t="shared" si="52"/>
        <v>3859</v>
      </c>
      <c r="H858" s="52">
        <v>857</v>
      </c>
      <c r="I858" s="52">
        <f t="shared" si="53"/>
        <v>5017</v>
      </c>
    </row>
    <row r="859" spans="1:9">
      <c r="A859">
        <v>858</v>
      </c>
      <c r="B859" s="2">
        <v>858</v>
      </c>
      <c r="C859" s="2">
        <f t="shared" si="50"/>
        <v>1544</v>
      </c>
      <c r="D859" s="3">
        <v>858</v>
      </c>
      <c r="E859" s="3">
        <f t="shared" si="51"/>
        <v>2702</v>
      </c>
      <c r="F859" s="51">
        <v>858</v>
      </c>
      <c r="G859" s="51">
        <f t="shared" si="52"/>
        <v>3860</v>
      </c>
      <c r="H859" s="52">
        <v>858</v>
      </c>
      <c r="I859" s="52">
        <f t="shared" si="53"/>
        <v>5018</v>
      </c>
    </row>
    <row r="860" spans="1:9">
      <c r="A860">
        <v>859</v>
      </c>
      <c r="B860" s="2">
        <v>859</v>
      </c>
      <c r="C860" s="2">
        <f t="shared" si="50"/>
        <v>1545</v>
      </c>
      <c r="D860" s="3">
        <v>859</v>
      </c>
      <c r="E860" s="3">
        <f t="shared" si="51"/>
        <v>2703</v>
      </c>
      <c r="F860" s="51">
        <v>859</v>
      </c>
      <c r="G860" s="51">
        <f t="shared" si="52"/>
        <v>3861</v>
      </c>
      <c r="H860" s="52">
        <v>859</v>
      </c>
      <c r="I860" s="52">
        <f t="shared" si="53"/>
        <v>5019</v>
      </c>
    </row>
    <row r="861" spans="1:9">
      <c r="A861">
        <v>860</v>
      </c>
      <c r="B861" s="2">
        <v>860</v>
      </c>
      <c r="C861" s="2">
        <f t="shared" si="50"/>
        <v>1547</v>
      </c>
      <c r="D861" s="3">
        <v>860</v>
      </c>
      <c r="E861" s="3">
        <f t="shared" si="51"/>
        <v>2705</v>
      </c>
      <c r="F861" s="51">
        <v>860</v>
      </c>
      <c r="G861" s="51">
        <f t="shared" si="52"/>
        <v>3863</v>
      </c>
      <c r="H861" s="52">
        <v>860</v>
      </c>
      <c r="I861" s="52">
        <f t="shared" si="53"/>
        <v>5021</v>
      </c>
    </row>
    <row r="862" spans="1:9">
      <c r="A862">
        <v>861</v>
      </c>
      <c r="B862" s="2">
        <v>861</v>
      </c>
      <c r="C862" s="2">
        <f t="shared" si="50"/>
        <v>1548</v>
      </c>
      <c r="D862" s="3">
        <v>861</v>
      </c>
      <c r="E862" s="3">
        <f t="shared" si="51"/>
        <v>2706</v>
      </c>
      <c r="F862" s="51">
        <v>861</v>
      </c>
      <c r="G862" s="51">
        <f t="shared" si="52"/>
        <v>3864</v>
      </c>
      <c r="H862" s="52">
        <v>861</v>
      </c>
      <c r="I862" s="52">
        <f t="shared" si="53"/>
        <v>5022</v>
      </c>
    </row>
    <row r="863" spans="1:9">
      <c r="A863">
        <v>862</v>
      </c>
      <c r="B863" s="2">
        <v>862</v>
      </c>
      <c r="C863" s="2">
        <f t="shared" si="50"/>
        <v>1549</v>
      </c>
      <c r="D863" s="3">
        <v>862</v>
      </c>
      <c r="E863" s="3">
        <f t="shared" si="51"/>
        <v>2707</v>
      </c>
      <c r="F863" s="51">
        <v>862</v>
      </c>
      <c r="G863" s="51">
        <f t="shared" si="52"/>
        <v>3865</v>
      </c>
      <c r="H863" s="52">
        <v>862</v>
      </c>
      <c r="I863" s="52">
        <f t="shared" si="53"/>
        <v>5023</v>
      </c>
    </row>
    <row r="864" spans="1:9">
      <c r="A864">
        <v>863</v>
      </c>
      <c r="B864" s="2">
        <v>863</v>
      </c>
      <c r="C864" s="2">
        <f t="shared" si="50"/>
        <v>1551</v>
      </c>
      <c r="D864" s="3">
        <v>863</v>
      </c>
      <c r="E864" s="3">
        <f t="shared" si="51"/>
        <v>2709</v>
      </c>
      <c r="F864" s="51">
        <v>863</v>
      </c>
      <c r="G864" s="51">
        <f t="shared" si="52"/>
        <v>3867</v>
      </c>
      <c r="H864" s="52">
        <v>863</v>
      </c>
      <c r="I864" s="52">
        <f t="shared" si="53"/>
        <v>5025</v>
      </c>
    </row>
    <row r="865" spans="1:9">
      <c r="A865">
        <v>864</v>
      </c>
      <c r="B865" s="2">
        <v>864</v>
      </c>
      <c r="C865" s="2">
        <f t="shared" si="50"/>
        <v>1552</v>
      </c>
      <c r="D865" s="3">
        <v>864</v>
      </c>
      <c r="E865" s="3">
        <f t="shared" si="51"/>
        <v>2710</v>
      </c>
      <c r="F865" s="51">
        <v>864</v>
      </c>
      <c r="G865" s="51">
        <f t="shared" si="52"/>
        <v>3868</v>
      </c>
      <c r="H865" s="52">
        <v>864</v>
      </c>
      <c r="I865" s="52">
        <f t="shared" si="53"/>
        <v>5026</v>
      </c>
    </row>
    <row r="866" spans="1:9">
      <c r="A866">
        <v>865</v>
      </c>
      <c r="B866" s="2">
        <v>865</v>
      </c>
      <c r="C866" s="2">
        <f t="shared" si="50"/>
        <v>1553</v>
      </c>
      <c r="D866" s="3">
        <v>865</v>
      </c>
      <c r="E866" s="3">
        <f t="shared" si="51"/>
        <v>2711</v>
      </c>
      <c r="F866" s="51">
        <v>865</v>
      </c>
      <c r="G866" s="51">
        <f t="shared" si="52"/>
        <v>3869</v>
      </c>
      <c r="H866" s="52">
        <v>865</v>
      </c>
      <c r="I866" s="52">
        <f t="shared" si="53"/>
        <v>5027</v>
      </c>
    </row>
    <row r="867" spans="1:9">
      <c r="A867">
        <v>866</v>
      </c>
      <c r="B867" s="2">
        <v>866</v>
      </c>
      <c r="C867" s="2">
        <f t="shared" si="50"/>
        <v>1555</v>
      </c>
      <c r="D867" s="3">
        <v>866</v>
      </c>
      <c r="E867" s="3">
        <f t="shared" si="51"/>
        <v>2713</v>
      </c>
      <c r="F867" s="51">
        <v>866</v>
      </c>
      <c r="G867" s="51">
        <f t="shared" si="52"/>
        <v>3871</v>
      </c>
      <c r="H867" s="52">
        <v>866</v>
      </c>
      <c r="I867" s="52">
        <f t="shared" si="53"/>
        <v>5029</v>
      </c>
    </row>
    <row r="868" spans="1:9">
      <c r="A868">
        <v>867</v>
      </c>
      <c r="B868" s="2">
        <v>867</v>
      </c>
      <c r="C868" s="2">
        <f t="shared" si="50"/>
        <v>1556</v>
      </c>
      <c r="D868" s="3">
        <v>867</v>
      </c>
      <c r="E868" s="3">
        <f t="shared" si="51"/>
        <v>2714</v>
      </c>
      <c r="F868" s="51">
        <v>867</v>
      </c>
      <c r="G868" s="51">
        <f t="shared" si="52"/>
        <v>3872</v>
      </c>
      <c r="H868" s="52">
        <v>867</v>
      </c>
      <c r="I868" s="52">
        <f t="shared" si="53"/>
        <v>5030</v>
      </c>
    </row>
    <row r="869" spans="1:9">
      <c r="A869">
        <v>868</v>
      </c>
      <c r="B869" s="2">
        <v>868</v>
      </c>
      <c r="C869" s="2">
        <f t="shared" si="50"/>
        <v>1557</v>
      </c>
      <c r="D869" s="3">
        <v>868</v>
      </c>
      <c r="E869" s="3">
        <f t="shared" si="51"/>
        <v>2715</v>
      </c>
      <c r="F869" s="51">
        <v>868</v>
      </c>
      <c r="G869" s="51">
        <f t="shared" si="52"/>
        <v>3873</v>
      </c>
      <c r="H869" s="52">
        <v>868</v>
      </c>
      <c r="I869" s="52">
        <f t="shared" si="53"/>
        <v>5031</v>
      </c>
    </row>
    <row r="870" spans="1:9">
      <c r="A870">
        <v>869</v>
      </c>
      <c r="B870" s="2">
        <v>869</v>
      </c>
      <c r="C870" s="2">
        <f t="shared" si="50"/>
        <v>1559</v>
      </c>
      <c r="D870" s="3">
        <v>869</v>
      </c>
      <c r="E870" s="3">
        <f t="shared" si="51"/>
        <v>2717</v>
      </c>
      <c r="F870" s="51">
        <v>869</v>
      </c>
      <c r="G870" s="51">
        <f t="shared" si="52"/>
        <v>3875</v>
      </c>
      <c r="H870" s="52">
        <v>869</v>
      </c>
      <c r="I870" s="52">
        <f t="shared" si="53"/>
        <v>5033</v>
      </c>
    </row>
    <row r="871" spans="1:9">
      <c r="A871">
        <v>870</v>
      </c>
      <c r="B871" s="2">
        <v>870</v>
      </c>
      <c r="C871" s="2">
        <f t="shared" si="50"/>
        <v>1560</v>
      </c>
      <c r="D871" s="3">
        <v>870</v>
      </c>
      <c r="E871" s="3">
        <f t="shared" si="51"/>
        <v>2718</v>
      </c>
      <c r="F871" s="51">
        <v>870</v>
      </c>
      <c r="G871" s="51">
        <f t="shared" si="52"/>
        <v>3876</v>
      </c>
      <c r="H871" s="52">
        <v>870</v>
      </c>
      <c r="I871" s="52">
        <f t="shared" si="53"/>
        <v>5034</v>
      </c>
    </row>
    <row r="872" spans="1:9">
      <c r="A872">
        <v>871</v>
      </c>
      <c r="B872" s="2">
        <v>871</v>
      </c>
      <c r="C872" s="2">
        <f t="shared" si="50"/>
        <v>1561</v>
      </c>
      <c r="D872" s="3">
        <v>871</v>
      </c>
      <c r="E872" s="3">
        <f t="shared" si="51"/>
        <v>2719</v>
      </c>
      <c r="F872" s="51">
        <v>871</v>
      </c>
      <c r="G872" s="51">
        <f t="shared" si="52"/>
        <v>3877</v>
      </c>
      <c r="H872" s="52">
        <v>871</v>
      </c>
      <c r="I872" s="52">
        <f t="shared" si="53"/>
        <v>5035</v>
      </c>
    </row>
    <row r="873" spans="1:9">
      <c r="A873">
        <v>872</v>
      </c>
      <c r="B873" s="2">
        <v>872</v>
      </c>
      <c r="C873" s="2">
        <f t="shared" si="50"/>
        <v>1563</v>
      </c>
      <c r="D873" s="3">
        <v>872</v>
      </c>
      <c r="E873" s="3">
        <f t="shared" si="51"/>
        <v>2721</v>
      </c>
      <c r="F873" s="51">
        <v>872</v>
      </c>
      <c r="G873" s="51">
        <f t="shared" si="52"/>
        <v>3879</v>
      </c>
      <c r="H873" s="52">
        <v>872</v>
      </c>
      <c r="I873" s="52">
        <f t="shared" si="53"/>
        <v>5037</v>
      </c>
    </row>
    <row r="874" spans="1:9">
      <c r="A874">
        <v>873</v>
      </c>
      <c r="B874" s="2">
        <v>873</v>
      </c>
      <c r="C874" s="2">
        <f t="shared" si="50"/>
        <v>1564</v>
      </c>
      <c r="D874" s="3">
        <v>873</v>
      </c>
      <c r="E874" s="3">
        <f t="shared" si="51"/>
        <v>2722</v>
      </c>
      <c r="F874" s="51">
        <v>873</v>
      </c>
      <c r="G874" s="51">
        <f t="shared" si="52"/>
        <v>3880</v>
      </c>
      <c r="H874" s="52">
        <v>873</v>
      </c>
      <c r="I874" s="52">
        <f t="shared" si="53"/>
        <v>5038</v>
      </c>
    </row>
    <row r="875" spans="1:9">
      <c r="A875">
        <v>874</v>
      </c>
      <c r="B875" s="2">
        <v>874</v>
      </c>
      <c r="C875" s="2">
        <f t="shared" si="50"/>
        <v>1565</v>
      </c>
      <c r="D875" s="3">
        <v>874</v>
      </c>
      <c r="E875" s="3">
        <f t="shared" si="51"/>
        <v>2723</v>
      </c>
      <c r="F875" s="51">
        <v>874</v>
      </c>
      <c r="G875" s="51">
        <f t="shared" si="52"/>
        <v>3881</v>
      </c>
      <c r="H875" s="52">
        <v>874</v>
      </c>
      <c r="I875" s="52">
        <f t="shared" si="53"/>
        <v>5039</v>
      </c>
    </row>
    <row r="876" spans="1:9">
      <c r="A876">
        <v>875</v>
      </c>
      <c r="B876" s="2">
        <v>875</v>
      </c>
      <c r="C876" s="2">
        <f t="shared" si="50"/>
        <v>1567</v>
      </c>
      <c r="D876" s="3">
        <v>875</v>
      </c>
      <c r="E876" s="3">
        <f t="shared" si="51"/>
        <v>2725</v>
      </c>
      <c r="F876" s="51">
        <v>875</v>
      </c>
      <c r="G876" s="51">
        <f t="shared" si="52"/>
        <v>3883</v>
      </c>
      <c r="H876" s="52">
        <v>875</v>
      </c>
      <c r="I876" s="52">
        <f t="shared" si="53"/>
        <v>5041</v>
      </c>
    </row>
    <row r="877" spans="1:9">
      <c r="A877">
        <v>876</v>
      </c>
      <c r="B877" s="2">
        <v>876</v>
      </c>
      <c r="C877" s="2">
        <f t="shared" si="50"/>
        <v>1568</v>
      </c>
      <c r="D877" s="3">
        <v>876</v>
      </c>
      <c r="E877" s="3">
        <f t="shared" si="51"/>
        <v>2726</v>
      </c>
      <c r="F877" s="51">
        <v>876</v>
      </c>
      <c r="G877" s="51">
        <f t="shared" si="52"/>
        <v>3884</v>
      </c>
      <c r="H877" s="52">
        <v>876</v>
      </c>
      <c r="I877" s="52">
        <f t="shared" si="53"/>
        <v>5042</v>
      </c>
    </row>
    <row r="878" spans="1:9">
      <c r="A878">
        <v>877</v>
      </c>
      <c r="B878" s="2">
        <v>877</v>
      </c>
      <c r="C878" s="2">
        <f t="shared" si="50"/>
        <v>1569</v>
      </c>
      <c r="D878" s="3">
        <v>877</v>
      </c>
      <c r="E878" s="3">
        <f t="shared" si="51"/>
        <v>2727</v>
      </c>
      <c r="F878" s="51">
        <v>877</v>
      </c>
      <c r="G878" s="51">
        <f t="shared" si="52"/>
        <v>3885</v>
      </c>
      <c r="H878" s="52">
        <v>877</v>
      </c>
      <c r="I878" s="52">
        <f t="shared" si="53"/>
        <v>5043</v>
      </c>
    </row>
    <row r="879" spans="1:9">
      <c r="A879">
        <v>878</v>
      </c>
      <c r="B879" s="2">
        <v>878</v>
      </c>
      <c r="C879" s="2">
        <f t="shared" si="50"/>
        <v>1571</v>
      </c>
      <c r="D879" s="3">
        <v>878</v>
      </c>
      <c r="E879" s="3">
        <f t="shared" si="51"/>
        <v>2729</v>
      </c>
      <c r="F879" s="51">
        <v>878</v>
      </c>
      <c r="G879" s="51">
        <f t="shared" si="52"/>
        <v>3887</v>
      </c>
      <c r="H879" s="52">
        <v>878</v>
      </c>
      <c r="I879" s="52">
        <f t="shared" si="53"/>
        <v>5045</v>
      </c>
    </row>
    <row r="880" spans="1:9">
      <c r="A880">
        <v>879</v>
      </c>
      <c r="B880" s="2">
        <v>879</v>
      </c>
      <c r="C880" s="2">
        <f t="shared" si="50"/>
        <v>1572</v>
      </c>
      <c r="D880" s="3">
        <v>879</v>
      </c>
      <c r="E880" s="3">
        <f t="shared" si="51"/>
        <v>2730</v>
      </c>
      <c r="F880" s="51">
        <v>879</v>
      </c>
      <c r="G880" s="51">
        <f t="shared" si="52"/>
        <v>3888</v>
      </c>
      <c r="H880" s="52">
        <v>879</v>
      </c>
      <c r="I880" s="52">
        <f t="shared" si="53"/>
        <v>5046</v>
      </c>
    </row>
    <row r="881" spans="1:9">
      <c r="A881">
        <v>880</v>
      </c>
      <c r="B881" s="2">
        <v>880</v>
      </c>
      <c r="C881" s="2">
        <f t="shared" si="50"/>
        <v>1573</v>
      </c>
      <c r="D881" s="3">
        <v>880</v>
      </c>
      <c r="E881" s="3">
        <f t="shared" si="51"/>
        <v>2731</v>
      </c>
      <c r="F881" s="51">
        <v>880</v>
      </c>
      <c r="G881" s="51">
        <f t="shared" si="52"/>
        <v>3889</v>
      </c>
      <c r="H881" s="52">
        <v>880</v>
      </c>
      <c r="I881" s="52">
        <f t="shared" si="53"/>
        <v>5047</v>
      </c>
    </row>
    <row r="882" spans="1:9">
      <c r="A882">
        <v>881</v>
      </c>
      <c r="B882" s="2">
        <v>881</v>
      </c>
      <c r="C882" s="2">
        <f t="shared" si="50"/>
        <v>1575</v>
      </c>
      <c r="D882" s="3">
        <v>881</v>
      </c>
      <c r="E882" s="3">
        <f t="shared" si="51"/>
        <v>2733</v>
      </c>
      <c r="F882" s="51">
        <v>881</v>
      </c>
      <c r="G882" s="51">
        <f t="shared" si="52"/>
        <v>3891</v>
      </c>
      <c r="H882" s="52">
        <v>881</v>
      </c>
      <c r="I882" s="52">
        <f t="shared" si="53"/>
        <v>5049</v>
      </c>
    </row>
    <row r="883" spans="1:9">
      <c r="A883">
        <v>882</v>
      </c>
      <c r="B883" s="2">
        <v>882</v>
      </c>
      <c r="C883" s="2">
        <f t="shared" si="50"/>
        <v>1576</v>
      </c>
      <c r="D883" s="3">
        <v>882</v>
      </c>
      <c r="E883" s="3">
        <f t="shared" si="51"/>
        <v>2734</v>
      </c>
      <c r="F883" s="51">
        <v>882</v>
      </c>
      <c r="G883" s="51">
        <f t="shared" si="52"/>
        <v>3892</v>
      </c>
      <c r="H883" s="52">
        <v>882</v>
      </c>
      <c r="I883" s="52">
        <f t="shared" si="53"/>
        <v>5050</v>
      </c>
    </row>
    <row r="884" spans="1:9">
      <c r="A884">
        <v>883</v>
      </c>
      <c r="B884" s="2">
        <v>883</v>
      </c>
      <c r="C884" s="2">
        <f t="shared" si="50"/>
        <v>1577</v>
      </c>
      <c r="D884" s="3">
        <v>883</v>
      </c>
      <c r="E884" s="3">
        <f t="shared" si="51"/>
        <v>2735</v>
      </c>
      <c r="F884" s="51">
        <v>883</v>
      </c>
      <c r="G884" s="51">
        <f t="shared" si="52"/>
        <v>3893</v>
      </c>
      <c r="H884" s="52">
        <v>883</v>
      </c>
      <c r="I884" s="52">
        <f t="shared" si="53"/>
        <v>5051</v>
      </c>
    </row>
    <row r="885" spans="1:9">
      <c r="A885">
        <v>884</v>
      </c>
      <c r="B885" s="2">
        <v>884</v>
      </c>
      <c r="C885" s="2">
        <f t="shared" si="50"/>
        <v>1579</v>
      </c>
      <c r="D885" s="3">
        <v>884</v>
      </c>
      <c r="E885" s="3">
        <f t="shared" si="51"/>
        <v>2737</v>
      </c>
      <c r="F885" s="51">
        <v>884</v>
      </c>
      <c r="G885" s="51">
        <f t="shared" si="52"/>
        <v>3895</v>
      </c>
      <c r="H885" s="52">
        <v>884</v>
      </c>
      <c r="I885" s="52">
        <f t="shared" si="53"/>
        <v>5053</v>
      </c>
    </row>
    <row r="886" spans="1:9">
      <c r="A886">
        <v>885</v>
      </c>
      <c r="B886" s="2">
        <v>885</v>
      </c>
      <c r="C886" s="2">
        <f t="shared" si="50"/>
        <v>1580</v>
      </c>
      <c r="D886" s="3">
        <v>885</v>
      </c>
      <c r="E886" s="3">
        <f t="shared" si="51"/>
        <v>2738</v>
      </c>
      <c r="F886" s="51">
        <v>885</v>
      </c>
      <c r="G886" s="51">
        <f t="shared" si="52"/>
        <v>3896</v>
      </c>
      <c r="H886" s="52">
        <v>885</v>
      </c>
      <c r="I886" s="52">
        <f t="shared" si="53"/>
        <v>5054</v>
      </c>
    </row>
    <row r="887" spans="1:9">
      <c r="A887">
        <v>886</v>
      </c>
      <c r="B887" s="2">
        <v>886</v>
      </c>
      <c r="C887" s="2">
        <f t="shared" si="50"/>
        <v>1581</v>
      </c>
      <c r="D887" s="3">
        <v>886</v>
      </c>
      <c r="E887" s="3">
        <f t="shared" si="51"/>
        <v>2739</v>
      </c>
      <c r="F887" s="51">
        <v>886</v>
      </c>
      <c r="G887" s="51">
        <f t="shared" si="52"/>
        <v>3897</v>
      </c>
      <c r="H887" s="52">
        <v>886</v>
      </c>
      <c r="I887" s="52">
        <f t="shared" si="53"/>
        <v>5055</v>
      </c>
    </row>
    <row r="888" spans="1:9">
      <c r="A888">
        <v>887</v>
      </c>
      <c r="B888" s="2">
        <v>887</v>
      </c>
      <c r="C888" s="2">
        <f t="shared" si="50"/>
        <v>1583</v>
      </c>
      <c r="D888" s="3">
        <v>887</v>
      </c>
      <c r="E888" s="3">
        <f t="shared" si="51"/>
        <v>2741</v>
      </c>
      <c r="F888" s="51">
        <v>887</v>
      </c>
      <c r="G888" s="51">
        <f t="shared" si="52"/>
        <v>3899</v>
      </c>
      <c r="H888" s="52">
        <v>887</v>
      </c>
      <c r="I888" s="52">
        <f t="shared" si="53"/>
        <v>5057</v>
      </c>
    </row>
    <row r="889" spans="1:9">
      <c r="A889">
        <v>888</v>
      </c>
      <c r="B889" s="2">
        <v>888</v>
      </c>
      <c r="C889" s="2">
        <f t="shared" si="50"/>
        <v>1584</v>
      </c>
      <c r="D889" s="3">
        <v>888</v>
      </c>
      <c r="E889" s="3">
        <f t="shared" si="51"/>
        <v>2742</v>
      </c>
      <c r="F889" s="51">
        <v>888</v>
      </c>
      <c r="G889" s="51">
        <f t="shared" si="52"/>
        <v>3900</v>
      </c>
      <c r="H889" s="52">
        <v>888</v>
      </c>
      <c r="I889" s="52">
        <f t="shared" si="53"/>
        <v>5058</v>
      </c>
    </row>
    <row r="890" spans="1:9">
      <c r="A890">
        <v>889</v>
      </c>
      <c r="B890" s="2">
        <v>889</v>
      </c>
      <c r="C890" s="2">
        <f t="shared" si="50"/>
        <v>1585</v>
      </c>
      <c r="D890" s="3">
        <v>889</v>
      </c>
      <c r="E890" s="3">
        <f t="shared" si="51"/>
        <v>2743</v>
      </c>
      <c r="F890" s="51">
        <v>889</v>
      </c>
      <c r="G890" s="51">
        <f t="shared" si="52"/>
        <v>3901</v>
      </c>
      <c r="H890" s="52">
        <v>889</v>
      </c>
      <c r="I890" s="52">
        <f t="shared" si="53"/>
        <v>5059</v>
      </c>
    </row>
    <row r="891" spans="1:9">
      <c r="A891">
        <v>890</v>
      </c>
      <c r="B891" s="2">
        <v>890</v>
      </c>
      <c r="C891" s="2">
        <f t="shared" si="50"/>
        <v>1587</v>
      </c>
      <c r="D891" s="3">
        <v>890</v>
      </c>
      <c r="E891" s="3">
        <f t="shared" si="51"/>
        <v>2745</v>
      </c>
      <c r="F891" s="51">
        <v>890</v>
      </c>
      <c r="G891" s="51">
        <f t="shared" si="52"/>
        <v>3903</v>
      </c>
      <c r="H891" s="52">
        <v>890</v>
      </c>
      <c r="I891" s="52">
        <f t="shared" si="53"/>
        <v>5061</v>
      </c>
    </row>
    <row r="892" spans="1:9">
      <c r="A892">
        <v>891</v>
      </c>
      <c r="B892" s="2">
        <v>891</v>
      </c>
      <c r="C892" s="2">
        <f t="shared" ref="C892:C955" si="54">INT((B892-B$122)*1.3333333)+C$122</f>
        <v>1588</v>
      </c>
      <c r="D892" s="3">
        <v>891</v>
      </c>
      <c r="E892" s="3">
        <f t="shared" si="51"/>
        <v>2746</v>
      </c>
      <c r="F892" s="51">
        <v>891</v>
      </c>
      <c r="G892" s="51">
        <f t="shared" si="52"/>
        <v>3904</v>
      </c>
      <c r="H892" s="52">
        <v>891</v>
      </c>
      <c r="I892" s="52">
        <f t="shared" si="53"/>
        <v>5062</v>
      </c>
    </row>
    <row r="893" spans="1:9">
      <c r="A893">
        <v>892</v>
      </c>
      <c r="B893" s="2">
        <v>892</v>
      </c>
      <c r="C893" s="2">
        <f t="shared" si="54"/>
        <v>1589</v>
      </c>
      <c r="D893" s="3">
        <v>892</v>
      </c>
      <c r="E893" s="3">
        <f t="shared" si="51"/>
        <v>2747</v>
      </c>
      <c r="F893" s="51">
        <v>892</v>
      </c>
      <c r="G893" s="51">
        <f t="shared" si="52"/>
        <v>3905</v>
      </c>
      <c r="H893" s="52">
        <v>892</v>
      </c>
      <c r="I893" s="52">
        <f t="shared" si="53"/>
        <v>5063</v>
      </c>
    </row>
    <row r="894" spans="1:9">
      <c r="A894">
        <v>893</v>
      </c>
      <c r="B894" s="2">
        <v>893</v>
      </c>
      <c r="C894" s="2">
        <f t="shared" si="54"/>
        <v>1591</v>
      </c>
      <c r="D894" s="3">
        <v>893</v>
      </c>
      <c r="E894" s="3">
        <f t="shared" si="51"/>
        <v>2749</v>
      </c>
      <c r="F894" s="51">
        <v>893</v>
      </c>
      <c r="G894" s="51">
        <f t="shared" si="52"/>
        <v>3907</v>
      </c>
      <c r="H894" s="52">
        <v>893</v>
      </c>
      <c r="I894" s="52">
        <f t="shared" si="53"/>
        <v>5065</v>
      </c>
    </row>
    <row r="895" spans="1:9">
      <c r="A895">
        <v>894</v>
      </c>
      <c r="B895" s="2">
        <v>894</v>
      </c>
      <c r="C895" s="2">
        <f t="shared" si="54"/>
        <v>1592</v>
      </c>
      <c r="D895" s="3">
        <v>894</v>
      </c>
      <c r="E895" s="3">
        <f t="shared" si="51"/>
        <v>2750</v>
      </c>
      <c r="F895" s="51">
        <v>894</v>
      </c>
      <c r="G895" s="51">
        <f t="shared" si="52"/>
        <v>3908</v>
      </c>
      <c r="H895" s="52">
        <v>894</v>
      </c>
      <c r="I895" s="52">
        <f t="shared" si="53"/>
        <v>5066</v>
      </c>
    </row>
    <row r="896" spans="1:9">
      <c r="A896">
        <v>895</v>
      </c>
      <c r="B896" s="2">
        <v>895</v>
      </c>
      <c r="C896" s="2">
        <f t="shared" si="54"/>
        <v>1593</v>
      </c>
      <c r="D896" s="3">
        <v>895</v>
      </c>
      <c r="E896" s="3">
        <f t="shared" si="51"/>
        <v>2751</v>
      </c>
      <c r="F896" s="51">
        <v>895</v>
      </c>
      <c r="G896" s="51">
        <f t="shared" si="52"/>
        <v>3909</v>
      </c>
      <c r="H896" s="52">
        <v>895</v>
      </c>
      <c r="I896" s="52">
        <f t="shared" si="53"/>
        <v>5067</v>
      </c>
    </row>
    <row r="897" spans="1:9">
      <c r="A897">
        <v>896</v>
      </c>
      <c r="B897" s="2">
        <v>896</v>
      </c>
      <c r="C897" s="2">
        <f t="shared" si="54"/>
        <v>1595</v>
      </c>
      <c r="D897" s="3">
        <v>896</v>
      </c>
      <c r="E897" s="3">
        <f t="shared" si="51"/>
        <v>2753</v>
      </c>
      <c r="F897" s="51">
        <v>896</v>
      </c>
      <c r="G897" s="51">
        <f t="shared" si="52"/>
        <v>3911</v>
      </c>
      <c r="H897" s="52">
        <v>896</v>
      </c>
      <c r="I897" s="52">
        <f t="shared" si="53"/>
        <v>5069</v>
      </c>
    </row>
    <row r="898" spans="1:9">
      <c r="A898">
        <v>897</v>
      </c>
      <c r="B898" s="2">
        <v>897</v>
      </c>
      <c r="C898" s="2">
        <f t="shared" si="54"/>
        <v>1596</v>
      </c>
      <c r="D898" s="3">
        <v>897</v>
      </c>
      <c r="E898" s="3">
        <f t="shared" si="51"/>
        <v>2754</v>
      </c>
      <c r="F898" s="51">
        <v>897</v>
      </c>
      <c r="G898" s="51">
        <f t="shared" si="52"/>
        <v>3912</v>
      </c>
      <c r="H898" s="52">
        <v>897</v>
      </c>
      <c r="I898" s="52">
        <f t="shared" si="53"/>
        <v>5070</v>
      </c>
    </row>
    <row r="899" spans="1:9">
      <c r="A899">
        <v>898</v>
      </c>
      <c r="B899" s="2">
        <v>898</v>
      </c>
      <c r="C899" s="2">
        <f t="shared" si="54"/>
        <v>1597</v>
      </c>
      <c r="D899" s="3">
        <v>898</v>
      </c>
      <c r="E899" s="3">
        <f t="shared" si="51"/>
        <v>2755</v>
      </c>
      <c r="F899" s="51">
        <v>898</v>
      </c>
      <c r="G899" s="51">
        <f t="shared" si="52"/>
        <v>3913</v>
      </c>
      <c r="H899" s="52">
        <v>898</v>
      </c>
      <c r="I899" s="52">
        <f t="shared" si="53"/>
        <v>5071</v>
      </c>
    </row>
    <row r="900" spans="1:9">
      <c r="A900">
        <v>899</v>
      </c>
      <c r="B900" s="2">
        <v>899</v>
      </c>
      <c r="C900" s="2">
        <f t="shared" si="54"/>
        <v>1599</v>
      </c>
      <c r="D900" s="3">
        <v>899</v>
      </c>
      <c r="E900" s="3">
        <f t="shared" ref="E900:E963" si="55">INT((D900-D$2)*1.3333333)+E$2</f>
        <v>2757</v>
      </c>
      <c r="F900" s="51">
        <v>899</v>
      </c>
      <c r="G900" s="51">
        <f t="shared" ref="G900:G963" si="56">INT((F900-F$2)*1.3333333)+G$2</f>
        <v>3915</v>
      </c>
      <c r="H900" s="52">
        <v>899</v>
      </c>
      <c r="I900" s="52">
        <f t="shared" ref="I900:I963" si="57">INT((H900-H$2)*1.3333333)+I$2</f>
        <v>5073</v>
      </c>
    </row>
    <row r="901" spans="1:9">
      <c r="A901">
        <v>900</v>
      </c>
      <c r="B901" s="2">
        <v>900</v>
      </c>
      <c r="C901" s="2">
        <f t="shared" si="54"/>
        <v>1600</v>
      </c>
      <c r="D901" s="3">
        <v>900</v>
      </c>
      <c r="E901" s="3">
        <f t="shared" si="55"/>
        <v>2758</v>
      </c>
      <c r="F901" s="51">
        <v>900</v>
      </c>
      <c r="G901" s="51">
        <f t="shared" si="56"/>
        <v>3916</v>
      </c>
      <c r="H901" s="52">
        <v>900</v>
      </c>
      <c r="I901" s="52">
        <f t="shared" si="57"/>
        <v>5074</v>
      </c>
    </row>
    <row r="902" spans="1:9">
      <c r="A902">
        <v>901</v>
      </c>
      <c r="B902" s="2">
        <v>901</v>
      </c>
      <c r="C902" s="2">
        <f t="shared" si="54"/>
        <v>1601</v>
      </c>
      <c r="D902" s="3">
        <v>901</v>
      </c>
      <c r="E902" s="3">
        <f t="shared" si="55"/>
        <v>2759</v>
      </c>
      <c r="F902" s="51">
        <v>901</v>
      </c>
      <c r="G902" s="51">
        <f t="shared" si="56"/>
        <v>3917</v>
      </c>
      <c r="H902" s="52">
        <v>901</v>
      </c>
      <c r="I902" s="52">
        <f t="shared" si="57"/>
        <v>5075</v>
      </c>
    </row>
    <row r="903" spans="1:9">
      <c r="A903">
        <v>902</v>
      </c>
      <c r="B903" s="2">
        <v>902</v>
      </c>
      <c r="C903" s="2">
        <f t="shared" si="54"/>
        <v>1603</v>
      </c>
      <c r="D903" s="3">
        <v>902</v>
      </c>
      <c r="E903" s="3">
        <f t="shared" si="55"/>
        <v>2761</v>
      </c>
      <c r="F903" s="51">
        <v>902</v>
      </c>
      <c r="G903" s="51">
        <f t="shared" si="56"/>
        <v>3919</v>
      </c>
      <c r="H903" s="52">
        <v>902</v>
      </c>
      <c r="I903" s="52">
        <f t="shared" si="57"/>
        <v>5077</v>
      </c>
    </row>
    <row r="904" spans="1:9">
      <c r="A904">
        <v>903</v>
      </c>
      <c r="B904" s="2">
        <v>903</v>
      </c>
      <c r="C904" s="2">
        <f t="shared" si="54"/>
        <v>1604</v>
      </c>
      <c r="D904" s="3">
        <v>903</v>
      </c>
      <c r="E904" s="3">
        <f t="shared" si="55"/>
        <v>2762</v>
      </c>
      <c r="F904" s="51">
        <v>903</v>
      </c>
      <c r="G904" s="51">
        <f t="shared" si="56"/>
        <v>3920</v>
      </c>
      <c r="H904" s="52">
        <v>903</v>
      </c>
      <c r="I904" s="52">
        <f t="shared" si="57"/>
        <v>5078</v>
      </c>
    </row>
    <row r="905" spans="1:9">
      <c r="A905">
        <v>904</v>
      </c>
      <c r="B905" s="2">
        <v>904</v>
      </c>
      <c r="C905" s="2">
        <f t="shared" si="54"/>
        <v>1605</v>
      </c>
      <c r="D905" s="3">
        <v>904</v>
      </c>
      <c r="E905" s="3">
        <f t="shared" si="55"/>
        <v>2763</v>
      </c>
      <c r="F905" s="51">
        <v>904</v>
      </c>
      <c r="G905" s="51">
        <f t="shared" si="56"/>
        <v>3921</v>
      </c>
      <c r="H905" s="52">
        <v>904</v>
      </c>
      <c r="I905" s="52">
        <f t="shared" si="57"/>
        <v>5079</v>
      </c>
    </row>
    <row r="906" spans="1:9">
      <c r="A906">
        <v>905</v>
      </c>
      <c r="B906" s="2">
        <v>905</v>
      </c>
      <c r="C906" s="2">
        <f t="shared" si="54"/>
        <v>1607</v>
      </c>
      <c r="D906" s="3">
        <v>905</v>
      </c>
      <c r="E906" s="3">
        <f t="shared" si="55"/>
        <v>2765</v>
      </c>
      <c r="F906" s="51">
        <v>905</v>
      </c>
      <c r="G906" s="51">
        <f t="shared" si="56"/>
        <v>3923</v>
      </c>
      <c r="H906" s="52">
        <v>905</v>
      </c>
      <c r="I906" s="52">
        <f t="shared" si="57"/>
        <v>5081</v>
      </c>
    </row>
    <row r="907" spans="1:9">
      <c r="A907">
        <v>906</v>
      </c>
      <c r="B907" s="2">
        <v>906</v>
      </c>
      <c r="C907" s="2">
        <f t="shared" si="54"/>
        <v>1608</v>
      </c>
      <c r="D907" s="3">
        <v>906</v>
      </c>
      <c r="E907" s="3">
        <f t="shared" si="55"/>
        <v>2766</v>
      </c>
      <c r="F907" s="51">
        <v>906</v>
      </c>
      <c r="G907" s="51">
        <f t="shared" si="56"/>
        <v>3924</v>
      </c>
      <c r="H907" s="52">
        <v>906</v>
      </c>
      <c r="I907" s="52">
        <f t="shared" si="57"/>
        <v>5082</v>
      </c>
    </row>
    <row r="908" spans="1:9">
      <c r="A908">
        <v>907</v>
      </c>
      <c r="B908" s="2">
        <v>907</v>
      </c>
      <c r="C908" s="2">
        <f t="shared" si="54"/>
        <v>1609</v>
      </c>
      <c r="D908" s="3">
        <v>907</v>
      </c>
      <c r="E908" s="3">
        <f t="shared" si="55"/>
        <v>2767</v>
      </c>
      <c r="F908" s="51">
        <v>907</v>
      </c>
      <c r="G908" s="51">
        <f t="shared" si="56"/>
        <v>3925</v>
      </c>
      <c r="H908" s="52">
        <v>907</v>
      </c>
      <c r="I908" s="52">
        <f t="shared" si="57"/>
        <v>5083</v>
      </c>
    </row>
    <row r="909" spans="1:9">
      <c r="A909">
        <v>908</v>
      </c>
      <c r="B909" s="2">
        <v>908</v>
      </c>
      <c r="C909" s="2">
        <f t="shared" si="54"/>
        <v>1611</v>
      </c>
      <c r="D909" s="3">
        <v>908</v>
      </c>
      <c r="E909" s="3">
        <f t="shared" si="55"/>
        <v>2769</v>
      </c>
      <c r="F909" s="51">
        <v>908</v>
      </c>
      <c r="G909" s="51">
        <f t="shared" si="56"/>
        <v>3927</v>
      </c>
      <c r="H909" s="52">
        <v>908</v>
      </c>
      <c r="I909" s="52">
        <f t="shared" si="57"/>
        <v>5085</v>
      </c>
    </row>
    <row r="910" spans="1:9">
      <c r="A910">
        <v>909</v>
      </c>
      <c r="B910" s="2">
        <v>909</v>
      </c>
      <c r="C910" s="2">
        <f t="shared" si="54"/>
        <v>1612</v>
      </c>
      <c r="D910" s="3">
        <v>909</v>
      </c>
      <c r="E910" s="3">
        <f t="shared" si="55"/>
        <v>2770</v>
      </c>
      <c r="F910" s="51">
        <v>909</v>
      </c>
      <c r="G910" s="51">
        <f t="shared" si="56"/>
        <v>3928</v>
      </c>
      <c r="H910" s="52">
        <v>909</v>
      </c>
      <c r="I910" s="52">
        <f t="shared" si="57"/>
        <v>5086</v>
      </c>
    </row>
    <row r="911" spans="1:9">
      <c r="A911">
        <v>910</v>
      </c>
      <c r="B911" s="2">
        <v>910</v>
      </c>
      <c r="C911" s="2">
        <f t="shared" si="54"/>
        <v>1613</v>
      </c>
      <c r="D911" s="3">
        <v>910</v>
      </c>
      <c r="E911" s="3">
        <f t="shared" si="55"/>
        <v>2771</v>
      </c>
      <c r="F911" s="51">
        <v>910</v>
      </c>
      <c r="G911" s="51">
        <f t="shared" si="56"/>
        <v>3929</v>
      </c>
      <c r="H911" s="52">
        <v>910</v>
      </c>
      <c r="I911" s="52">
        <f t="shared" si="57"/>
        <v>5087</v>
      </c>
    </row>
    <row r="912" spans="1:9">
      <c r="A912">
        <v>911</v>
      </c>
      <c r="B912" s="2">
        <v>911</v>
      </c>
      <c r="C912" s="2">
        <f t="shared" si="54"/>
        <v>1615</v>
      </c>
      <c r="D912" s="3">
        <v>911</v>
      </c>
      <c r="E912" s="3">
        <f t="shared" si="55"/>
        <v>2773</v>
      </c>
      <c r="F912" s="51">
        <v>911</v>
      </c>
      <c r="G912" s="51">
        <f t="shared" si="56"/>
        <v>3931</v>
      </c>
      <c r="H912" s="52">
        <v>911</v>
      </c>
      <c r="I912" s="52">
        <f t="shared" si="57"/>
        <v>5089</v>
      </c>
    </row>
    <row r="913" spans="1:9">
      <c r="A913">
        <v>912</v>
      </c>
      <c r="B913" s="2">
        <v>912</v>
      </c>
      <c r="C913" s="2">
        <f t="shared" si="54"/>
        <v>1616</v>
      </c>
      <c r="D913" s="3">
        <v>912</v>
      </c>
      <c r="E913" s="3">
        <f t="shared" si="55"/>
        <v>2774</v>
      </c>
      <c r="F913" s="51">
        <v>912</v>
      </c>
      <c r="G913" s="51">
        <f t="shared" si="56"/>
        <v>3932</v>
      </c>
      <c r="H913" s="52">
        <v>912</v>
      </c>
      <c r="I913" s="52">
        <f t="shared" si="57"/>
        <v>5090</v>
      </c>
    </row>
    <row r="914" spans="1:9">
      <c r="A914">
        <v>913</v>
      </c>
      <c r="B914" s="2">
        <v>913</v>
      </c>
      <c r="C914" s="2">
        <f t="shared" si="54"/>
        <v>1617</v>
      </c>
      <c r="D914" s="3">
        <v>913</v>
      </c>
      <c r="E914" s="3">
        <f t="shared" si="55"/>
        <v>2775</v>
      </c>
      <c r="F914" s="51">
        <v>913</v>
      </c>
      <c r="G914" s="51">
        <f t="shared" si="56"/>
        <v>3933</v>
      </c>
      <c r="H914" s="52">
        <v>913</v>
      </c>
      <c r="I914" s="52">
        <f t="shared" si="57"/>
        <v>5091</v>
      </c>
    </row>
    <row r="915" spans="1:9">
      <c r="A915">
        <v>914</v>
      </c>
      <c r="B915" s="2">
        <v>914</v>
      </c>
      <c r="C915" s="2">
        <f t="shared" si="54"/>
        <v>1619</v>
      </c>
      <c r="D915" s="3">
        <v>914</v>
      </c>
      <c r="E915" s="3">
        <f t="shared" si="55"/>
        <v>2777</v>
      </c>
      <c r="F915" s="51">
        <v>914</v>
      </c>
      <c r="G915" s="51">
        <f t="shared" si="56"/>
        <v>3935</v>
      </c>
      <c r="H915" s="52">
        <v>914</v>
      </c>
      <c r="I915" s="52">
        <f t="shared" si="57"/>
        <v>5093</v>
      </c>
    </row>
    <row r="916" spans="1:9">
      <c r="A916">
        <v>915</v>
      </c>
      <c r="B916" s="2">
        <v>915</v>
      </c>
      <c r="C916" s="2">
        <f t="shared" si="54"/>
        <v>1620</v>
      </c>
      <c r="D916" s="3">
        <v>915</v>
      </c>
      <c r="E916" s="3">
        <f t="shared" si="55"/>
        <v>2778</v>
      </c>
      <c r="F916" s="51">
        <v>915</v>
      </c>
      <c r="G916" s="51">
        <f t="shared" si="56"/>
        <v>3936</v>
      </c>
      <c r="H916" s="52">
        <v>915</v>
      </c>
      <c r="I916" s="52">
        <f t="shared" si="57"/>
        <v>5094</v>
      </c>
    </row>
    <row r="917" spans="1:9">
      <c r="A917">
        <v>916</v>
      </c>
      <c r="B917" s="2">
        <v>916</v>
      </c>
      <c r="C917" s="2">
        <f t="shared" si="54"/>
        <v>1621</v>
      </c>
      <c r="D917" s="3">
        <v>916</v>
      </c>
      <c r="E917" s="3">
        <f t="shared" si="55"/>
        <v>2779</v>
      </c>
      <c r="F917" s="51">
        <v>916</v>
      </c>
      <c r="G917" s="51">
        <f t="shared" si="56"/>
        <v>3937</v>
      </c>
      <c r="H917" s="52">
        <v>916</v>
      </c>
      <c r="I917" s="52">
        <f t="shared" si="57"/>
        <v>5095</v>
      </c>
    </row>
    <row r="918" spans="1:9">
      <c r="A918">
        <v>917</v>
      </c>
      <c r="B918" s="2">
        <v>917</v>
      </c>
      <c r="C918" s="2">
        <f t="shared" si="54"/>
        <v>1623</v>
      </c>
      <c r="D918" s="3">
        <v>917</v>
      </c>
      <c r="E918" s="3">
        <f t="shared" si="55"/>
        <v>2781</v>
      </c>
      <c r="F918" s="51">
        <v>917</v>
      </c>
      <c r="G918" s="51">
        <f t="shared" si="56"/>
        <v>3939</v>
      </c>
      <c r="H918" s="52">
        <v>917</v>
      </c>
      <c r="I918" s="52">
        <f t="shared" si="57"/>
        <v>5097</v>
      </c>
    </row>
    <row r="919" spans="1:9">
      <c r="A919">
        <v>918</v>
      </c>
      <c r="B919" s="2">
        <v>918</v>
      </c>
      <c r="C919" s="2">
        <f t="shared" si="54"/>
        <v>1624</v>
      </c>
      <c r="D919" s="3">
        <v>918</v>
      </c>
      <c r="E919" s="3">
        <f t="shared" si="55"/>
        <v>2782</v>
      </c>
      <c r="F919" s="51">
        <v>918</v>
      </c>
      <c r="G919" s="51">
        <f t="shared" si="56"/>
        <v>3940</v>
      </c>
      <c r="H919" s="52">
        <v>918</v>
      </c>
      <c r="I919" s="52">
        <f t="shared" si="57"/>
        <v>5098</v>
      </c>
    </row>
    <row r="920" spans="1:9">
      <c r="A920">
        <v>919</v>
      </c>
      <c r="B920" s="2">
        <v>919</v>
      </c>
      <c r="C920" s="2">
        <f t="shared" si="54"/>
        <v>1625</v>
      </c>
      <c r="D920" s="3">
        <v>919</v>
      </c>
      <c r="E920" s="3">
        <f t="shared" si="55"/>
        <v>2783</v>
      </c>
      <c r="F920" s="51">
        <v>919</v>
      </c>
      <c r="G920" s="51">
        <f t="shared" si="56"/>
        <v>3941</v>
      </c>
      <c r="H920" s="52">
        <v>919</v>
      </c>
      <c r="I920" s="52">
        <f t="shared" si="57"/>
        <v>5099</v>
      </c>
    </row>
    <row r="921" spans="1:9">
      <c r="A921">
        <v>920</v>
      </c>
      <c r="B921" s="2">
        <v>920</v>
      </c>
      <c r="C921" s="2">
        <f t="shared" si="54"/>
        <v>1627</v>
      </c>
      <c r="D921" s="3">
        <v>920</v>
      </c>
      <c r="E921" s="3">
        <f t="shared" si="55"/>
        <v>2785</v>
      </c>
      <c r="F921" s="51">
        <v>920</v>
      </c>
      <c r="G921" s="51">
        <f t="shared" si="56"/>
        <v>3943</v>
      </c>
      <c r="H921" s="52">
        <v>920</v>
      </c>
      <c r="I921" s="52">
        <f t="shared" si="57"/>
        <v>5101</v>
      </c>
    </row>
    <row r="922" spans="1:9">
      <c r="A922">
        <v>921</v>
      </c>
      <c r="B922" s="2">
        <v>921</v>
      </c>
      <c r="C922" s="2">
        <f t="shared" si="54"/>
        <v>1628</v>
      </c>
      <c r="D922" s="3">
        <v>921</v>
      </c>
      <c r="E922" s="3">
        <f t="shared" si="55"/>
        <v>2786</v>
      </c>
      <c r="F922" s="51">
        <v>921</v>
      </c>
      <c r="G922" s="51">
        <f t="shared" si="56"/>
        <v>3944</v>
      </c>
      <c r="H922" s="52">
        <v>921</v>
      </c>
      <c r="I922" s="52">
        <f t="shared" si="57"/>
        <v>5102</v>
      </c>
    </row>
    <row r="923" spans="1:9">
      <c r="A923">
        <v>922</v>
      </c>
      <c r="B923" s="2">
        <v>922</v>
      </c>
      <c r="C923" s="2">
        <f t="shared" si="54"/>
        <v>1629</v>
      </c>
      <c r="D923" s="3">
        <v>922</v>
      </c>
      <c r="E923" s="3">
        <f t="shared" si="55"/>
        <v>2787</v>
      </c>
      <c r="F923" s="51">
        <v>922</v>
      </c>
      <c r="G923" s="51">
        <f t="shared" si="56"/>
        <v>3945</v>
      </c>
      <c r="H923" s="52">
        <v>922</v>
      </c>
      <c r="I923" s="52">
        <f t="shared" si="57"/>
        <v>5103</v>
      </c>
    </row>
    <row r="924" spans="1:9">
      <c r="A924">
        <v>923</v>
      </c>
      <c r="B924" s="2">
        <v>923</v>
      </c>
      <c r="C924" s="2">
        <f t="shared" si="54"/>
        <v>1631</v>
      </c>
      <c r="D924" s="3">
        <v>923</v>
      </c>
      <c r="E924" s="3">
        <f t="shared" si="55"/>
        <v>2789</v>
      </c>
      <c r="F924" s="51">
        <v>923</v>
      </c>
      <c r="G924" s="51">
        <f t="shared" si="56"/>
        <v>3947</v>
      </c>
      <c r="H924" s="52">
        <v>923</v>
      </c>
      <c r="I924" s="52">
        <f t="shared" si="57"/>
        <v>5105</v>
      </c>
    </row>
    <row r="925" spans="1:9">
      <c r="A925">
        <v>924</v>
      </c>
      <c r="B925" s="2">
        <v>924</v>
      </c>
      <c r="C925" s="2">
        <f t="shared" si="54"/>
        <v>1632</v>
      </c>
      <c r="D925" s="3">
        <v>924</v>
      </c>
      <c r="E925" s="3">
        <f t="shared" si="55"/>
        <v>2790</v>
      </c>
      <c r="F925" s="51">
        <v>924</v>
      </c>
      <c r="G925" s="51">
        <f t="shared" si="56"/>
        <v>3948</v>
      </c>
      <c r="H925" s="52">
        <v>924</v>
      </c>
      <c r="I925" s="52">
        <f t="shared" si="57"/>
        <v>5106</v>
      </c>
    </row>
    <row r="926" spans="1:9">
      <c r="A926">
        <v>925</v>
      </c>
      <c r="B926" s="2">
        <v>925</v>
      </c>
      <c r="C926" s="2">
        <f t="shared" si="54"/>
        <v>1633</v>
      </c>
      <c r="D926" s="3">
        <v>925</v>
      </c>
      <c r="E926" s="3">
        <f t="shared" si="55"/>
        <v>2791</v>
      </c>
      <c r="F926" s="51">
        <v>925</v>
      </c>
      <c r="G926" s="51">
        <f t="shared" si="56"/>
        <v>3949</v>
      </c>
      <c r="H926" s="52">
        <v>925</v>
      </c>
      <c r="I926" s="52">
        <f t="shared" si="57"/>
        <v>5107</v>
      </c>
    </row>
    <row r="927" spans="1:9">
      <c r="A927">
        <v>926</v>
      </c>
      <c r="B927" s="2">
        <v>926</v>
      </c>
      <c r="C927" s="2">
        <f t="shared" si="54"/>
        <v>1635</v>
      </c>
      <c r="D927" s="3">
        <v>926</v>
      </c>
      <c r="E927" s="3">
        <f t="shared" si="55"/>
        <v>2793</v>
      </c>
      <c r="F927" s="51">
        <v>926</v>
      </c>
      <c r="G927" s="51">
        <f t="shared" si="56"/>
        <v>3951</v>
      </c>
      <c r="H927" s="52">
        <v>926</v>
      </c>
      <c r="I927" s="52">
        <f t="shared" si="57"/>
        <v>5109</v>
      </c>
    </row>
    <row r="928" spans="1:9">
      <c r="A928">
        <v>927</v>
      </c>
      <c r="B928" s="2">
        <v>927</v>
      </c>
      <c r="C928" s="2">
        <f t="shared" si="54"/>
        <v>1636</v>
      </c>
      <c r="D928" s="3">
        <v>927</v>
      </c>
      <c r="E928" s="3">
        <f t="shared" si="55"/>
        <v>2794</v>
      </c>
      <c r="F928" s="51">
        <v>927</v>
      </c>
      <c r="G928" s="51">
        <f t="shared" si="56"/>
        <v>3952</v>
      </c>
      <c r="H928" s="52">
        <v>927</v>
      </c>
      <c r="I928" s="52">
        <f t="shared" si="57"/>
        <v>5110</v>
      </c>
    </row>
    <row r="929" spans="1:9">
      <c r="A929">
        <v>928</v>
      </c>
      <c r="B929" s="2">
        <v>928</v>
      </c>
      <c r="C929" s="2">
        <f t="shared" si="54"/>
        <v>1637</v>
      </c>
      <c r="D929" s="3">
        <v>928</v>
      </c>
      <c r="E929" s="3">
        <f t="shared" si="55"/>
        <v>2795</v>
      </c>
      <c r="F929" s="51">
        <v>928</v>
      </c>
      <c r="G929" s="51">
        <f t="shared" si="56"/>
        <v>3953</v>
      </c>
      <c r="H929" s="52">
        <v>928</v>
      </c>
      <c r="I929" s="52">
        <f t="shared" si="57"/>
        <v>5111</v>
      </c>
    </row>
    <row r="930" spans="1:9">
      <c r="A930">
        <v>929</v>
      </c>
      <c r="B930" s="2">
        <v>929</v>
      </c>
      <c r="C930" s="2">
        <f t="shared" si="54"/>
        <v>1639</v>
      </c>
      <c r="D930" s="3">
        <v>929</v>
      </c>
      <c r="E930" s="3">
        <f t="shared" si="55"/>
        <v>2797</v>
      </c>
      <c r="F930" s="51">
        <v>929</v>
      </c>
      <c r="G930" s="51">
        <f t="shared" si="56"/>
        <v>3955</v>
      </c>
      <c r="H930" s="52">
        <v>929</v>
      </c>
      <c r="I930" s="52">
        <f t="shared" si="57"/>
        <v>5113</v>
      </c>
    </row>
    <row r="931" spans="1:9">
      <c r="A931">
        <v>930</v>
      </c>
      <c r="B931" s="2">
        <v>930</v>
      </c>
      <c r="C931" s="2">
        <f t="shared" si="54"/>
        <v>1640</v>
      </c>
      <c r="D931" s="3">
        <v>930</v>
      </c>
      <c r="E931" s="3">
        <f t="shared" si="55"/>
        <v>2798</v>
      </c>
      <c r="F931" s="51">
        <v>930</v>
      </c>
      <c r="G931" s="51">
        <f t="shared" si="56"/>
        <v>3956</v>
      </c>
      <c r="H931" s="52">
        <v>930</v>
      </c>
      <c r="I931" s="52">
        <f t="shared" si="57"/>
        <v>5114</v>
      </c>
    </row>
    <row r="932" spans="1:9">
      <c r="A932">
        <v>931</v>
      </c>
      <c r="B932" s="2">
        <v>931</v>
      </c>
      <c r="C932" s="2">
        <f t="shared" si="54"/>
        <v>1641</v>
      </c>
      <c r="D932" s="3">
        <v>931</v>
      </c>
      <c r="E932" s="3">
        <f t="shared" si="55"/>
        <v>2799</v>
      </c>
      <c r="F932" s="51">
        <v>931</v>
      </c>
      <c r="G932" s="51">
        <f t="shared" si="56"/>
        <v>3957</v>
      </c>
      <c r="H932" s="52">
        <v>931</v>
      </c>
      <c r="I932" s="52">
        <f t="shared" si="57"/>
        <v>5115</v>
      </c>
    </row>
    <row r="933" spans="1:9">
      <c r="A933">
        <v>932</v>
      </c>
      <c r="B933" s="2">
        <v>932</v>
      </c>
      <c r="C933" s="2">
        <f t="shared" si="54"/>
        <v>1643</v>
      </c>
      <c r="D933" s="3">
        <v>932</v>
      </c>
      <c r="E933" s="3">
        <f t="shared" si="55"/>
        <v>2801</v>
      </c>
      <c r="F933" s="51">
        <v>932</v>
      </c>
      <c r="G933" s="51">
        <f t="shared" si="56"/>
        <v>3959</v>
      </c>
      <c r="H933" s="52">
        <v>932</v>
      </c>
      <c r="I933" s="52">
        <f t="shared" si="57"/>
        <v>5117</v>
      </c>
    </row>
    <row r="934" spans="1:9">
      <c r="A934">
        <v>933</v>
      </c>
      <c r="B934" s="2">
        <v>933</v>
      </c>
      <c r="C934" s="2">
        <f t="shared" si="54"/>
        <v>1644</v>
      </c>
      <c r="D934" s="3">
        <v>933</v>
      </c>
      <c r="E934" s="3">
        <f t="shared" si="55"/>
        <v>2802</v>
      </c>
      <c r="F934" s="51">
        <v>933</v>
      </c>
      <c r="G934" s="51">
        <f t="shared" si="56"/>
        <v>3960</v>
      </c>
      <c r="H934" s="52">
        <v>933</v>
      </c>
      <c r="I934" s="52">
        <f t="shared" si="57"/>
        <v>5118</v>
      </c>
    </row>
    <row r="935" spans="1:9">
      <c r="A935">
        <v>934</v>
      </c>
      <c r="B935" s="2">
        <v>934</v>
      </c>
      <c r="C935" s="2">
        <f t="shared" si="54"/>
        <v>1645</v>
      </c>
      <c r="D935" s="3">
        <v>934</v>
      </c>
      <c r="E935" s="3">
        <f t="shared" si="55"/>
        <v>2803</v>
      </c>
      <c r="F935" s="51">
        <v>934</v>
      </c>
      <c r="G935" s="51">
        <f t="shared" si="56"/>
        <v>3961</v>
      </c>
      <c r="H935" s="52">
        <v>934</v>
      </c>
      <c r="I935" s="52">
        <f t="shared" si="57"/>
        <v>5119</v>
      </c>
    </row>
    <row r="936" spans="1:9">
      <c r="A936">
        <v>935</v>
      </c>
      <c r="B936" s="2">
        <v>935</v>
      </c>
      <c r="C936" s="2">
        <f t="shared" si="54"/>
        <v>1647</v>
      </c>
      <c r="D936" s="3">
        <v>935</v>
      </c>
      <c r="E936" s="3">
        <f t="shared" si="55"/>
        <v>2805</v>
      </c>
      <c r="F936" s="51">
        <v>935</v>
      </c>
      <c r="G936" s="51">
        <f t="shared" si="56"/>
        <v>3963</v>
      </c>
      <c r="H936" s="52">
        <v>935</v>
      </c>
      <c r="I936" s="52">
        <f t="shared" si="57"/>
        <v>5121</v>
      </c>
    </row>
    <row r="937" spans="1:9">
      <c r="A937">
        <v>936</v>
      </c>
      <c r="B937" s="2">
        <v>936</v>
      </c>
      <c r="C937" s="2">
        <f t="shared" si="54"/>
        <v>1648</v>
      </c>
      <c r="D937" s="3">
        <v>936</v>
      </c>
      <c r="E937" s="3">
        <f t="shared" si="55"/>
        <v>2806</v>
      </c>
      <c r="F937" s="51">
        <v>936</v>
      </c>
      <c r="G937" s="51">
        <f t="shared" si="56"/>
        <v>3964</v>
      </c>
      <c r="H937" s="52">
        <v>936</v>
      </c>
      <c r="I937" s="52">
        <f t="shared" si="57"/>
        <v>5122</v>
      </c>
    </row>
    <row r="938" spans="1:9">
      <c r="A938">
        <v>937</v>
      </c>
      <c r="B938" s="2">
        <v>937</v>
      </c>
      <c r="C938" s="2">
        <f t="shared" si="54"/>
        <v>1649</v>
      </c>
      <c r="D938" s="3">
        <v>937</v>
      </c>
      <c r="E938" s="3">
        <f t="shared" si="55"/>
        <v>2807</v>
      </c>
      <c r="F938" s="51">
        <v>937</v>
      </c>
      <c r="G938" s="51">
        <f t="shared" si="56"/>
        <v>3965</v>
      </c>
      <c r="H938" s="52">
        <v>937</v>
      </c>
      <c r="I938" s="52">
        <f t="shared" si="57"/>
        <v>5123</v>
      </c>
    </row>
    <row r="939" spans="1:9">
      <c r="A939">
        <v>938</v>
      </c>
      <c r="B939" s="2">
        <v>938</v>
      </c>
      <c r="C939" s="2">
        <f t="shared" si="54"/>
        <v>1651</v>
      </c>
      <c r="D939" s="3">
        <v>938</v>
      </c>
      <c r="E939" s="3">
        <f t="shared" si="55"/>
        <v>2809</v>
      </c>
      <c r="F939" s="51">
        <v>938</v>
      </c>
      <c r="G939" s="51">
        <f t="shared" si="56"/>
        <v>3967</v>
      </c>
      <c r="H939" s="52">
        <v>938</v>
      </c>
      <c r="I939" s="52">
        <f t="shared" si="57"/>
        <v>5125</v>
      </c>
    </row>
    <row r="940" spans="1:9">
      <c r="A940">
        <v>939</v>
      </c>
      <c r="B940" s="2">
        <v>939</v>
      </c>
      <c r="C940" s="2">
        <f t="shared" si="54"/>
        <v>1652</v>
      </c>
      <c r="D940" s="3">
        <v>939</v>
      </c>
      <c r="E940" s="3">
        <f t="shared" si="55"/>
        <v>2810</v>
      </c>
      <c r="F940" s="51">
        <v>939</v>
      </c>
      <c r="G940" s="51">
        <f t="shared" si="56"/>
        <v>3968</v>
      </c>
      <c r="H940" s="52">
        <v>939</v>
      </c>
      <c r="I940" s="52">
        <f t="shared" si="57"/>
        <v>5126</v>
      </c>
    </row>
    <row r="941" spans="1:9">
      <c r="A941">
        <v>940</v>
      </c>
      <c r="B941" s="2">
        <v>940</v>
      </c>
      <c r="C941" s="2">
        <f t="shared" si="54"/>
        <v>1653</v>
      </c>
      <c r="D941" s="3">
        <v>940</v>
      </c>
      <c r="E941" s="3">
        <f t="shared" si="55"/>
        <v>2811</v>
      </c>
      <c r="F941" s="51">
        <v>940</v>
      </c>
      <c r="G941" s="51">
        <f t="shared" si="56"/>
        <v>3969</v>
      </c>
      <c r="H941" s="52">
        <v>940</v>
      </c>
      <c r="I941" s="52">
        <f t="shared" si="57"/>
        <v>5127</v>
      </c>
    </row>
    <row r="942" spans="1:9">
      <c r="A942">
        <v>941</v>
      </c>
      <c r="B942" s="2">
        <v>941</v>
      </c>
      <c r="C942" s="2">
        <f t="shared" si="54"/>
        <v>1655</v>
      </c>
      <c r="D942" s="3">
        <v>941</v>
      </c>
      <c r="E942" s="3">
        <f t="shared" si="55"/>
        <v>2813</v>
      </c>
      <c r="F942" s="51">
        <v>941</v>
      </c>
      <c r="G942" s="51">
        <f t="shared" si="56"/>
        <v>3971</v>
      </c>
      <c r="H942" s="52">
        <v>941</v>
      </c>
      <c r="I942" s="52">
        <f t="shared" si="57"/>
        <v>5129</v>
      </c>
    </row>
    <row r="943" spans="1:9">
      <c r="A943">
        <v>942</v>
      </c>
      <c r="B943" s="2">
        <v>942</v>
      </c>
      <c r="C943" s="2">
        <f t="shared" si="54"/>
        <v>1656</v>
      </c>
      <c r="D943" s="3">
        <v>942</v>
      </c>
      <c r="E943" s="3">
        <f t="shared" si="55"/>
        <v>2814</v>
      </c>
      <c r="F943" s="51">
        <v>942</v>
      </c>
      <c r="G943" s="51">
        <f t="shared" si="56"/>
        <v>3972</v>
      </c>
      <c r="H943" s="52">
        <v>942</v>
      </c>
      <c r="I943" s="52">
        <f t="shared" si="57"/>
        <v>5130</v>
      </c>
    </row>
    <row r="944" spans="1:9">
      <c r="A944">
        <v>943</v>
      </c>
      <c r="B944" s="2">
        <v>943</v>
      </c>
      <c r="C944" s="2">
        <f t="shared" si="54"/>
        <v>1657</v>
      </c>
      <c r="D944" s="3">
        <v>943</v>
      </c>
      <c r="E944" s="3">
        <f t="shared" si="55"/>
        <v>2815</v>
      </c>
      <c r="F944" s="51">
        <v>943</v>
      </c>
      <c r="G944" s="51">
        <f t="shared" si="56"/>
        <v>3973</v>
      </c>
      <c r="H944" s="52">
        <v>943</v>
      </c>
      <c r="I944" s="52">
        <f t="shared" si="57"/>
        <v>5131</v>
      </c>
    </row>
    <row r="945" spans="1:9">
      <c r="A945">
        <v>944</v>
      </c>
      <c r="B945" s="2">
        <v>944</v>
      </c>
      <c r="C945" s="2">
        <f t="shared" si="54"/>
        <v>1659</v>
      </c>
      <c r="D945" s="3">
        <v>944</v>
      </c>
      <c r="E945" s="3">
        <f t="shared" si="55"/>
        <v>2817</v>
      </c>
      <c r="F945" s="51">
        <v>944</v>
      </c>
      <c r="G945" s="51">
        <f t="shared" si="56"/>
        <v>3975</v>
      </c>
      <c r="H945" s="52">
        <v>944</v>
      </c>
      <c r="I945" s="52">
        <f t="shared" si="57"/>
        <v>5133</v>
      </c>
    </row>
    <row r="946" spans="1:9">
      <c r="A946">
        <v>945</v>
      </c>
      <c r="B946" s="2">
        <v>945</v>
      </c>
      <c r="C946" s="2">
        <f t="shared" si="54"/>
        <v>1660</v>
      </c>
      <c r="D946" s="3">
        <v>945</v>
      </c>
      <c r="E946" s="3">
        <f t="shared" si="55"/>
        <v>2818</v>
      </c>
      <c r="F946" s="51">
        <v>945</v>
      </c>
      <c r="G946" s="51">
        <f t="shared" si="56"/>
        <v>3976</v>
      </c>
      <c r="H946" s="52">
        <v>945</v>
      </c>
      <c r="I946" s="52">
        <f t="shared" si="57"/>
        <v>5134</v>
      </c>
    </row>
    <row r="947" spans="1:9">
      <c r="A947">
        <v>946</v>
      </c>
      <c r="B947" s="2">
        <v>946</v>
      </c>
      <c r="C947" s="2">
        <f t="shared" si="54"/>
        <v>1661</v>
      </c>
      <c r="D947" s="3">
        <v>946</v>
      </c>
      <c r="E947" s="3">
        <f t="shared" si="55"/>
        <v>2819</v>
      </c>
      <c r="F947" s="51">
        <v>946</v>
      </c>
      <c r="G947" s="51">
        <f t="shared" si="56"/>
        <v>3977</v>
      </c>
      <c r="H947" s="52">
        <v>946</v>
      </c>
      <c r="I947" s="52">
        <f t="shared" si="57"/>
        <v>5135</v>
      </c>
    </row>
    <row r="948" spans="1:9">
      <c r="A948">
        <v>947</v>
      </c>
      <c r="B948" s="2">
        <v>947</v>
      </c>
      <c r="C948" s="2">
        <f t="shared" si="54"/>
        <v>1663</v>
      </c>
      <c r="D948" s="3">
        <v>947</v>
      </c>
      <c r="E948" s="3">
        <f t="shared" si="55"/>
        <v>2821</v>
      </c>
      <c r="F948" s="51">
        <v>947</v>
      </c>
      <c r="G948" s="51">
        <f t="shared" si="56"/>
        <v>3979</v>
      </c>
      <c r="H948" s="52">
        <v>947</v>
      </c>
      <c r="I948" s="52">
        <f t="shared" si="57"/>
        <v>5137</v>
      </c>
    </row>
    <row r="949" spans="1:9">
      <c r="A949">
        <v>948</v>
      </c>
      <c r="B949" s="2">
        <v>948</v>
      </c>
      <c r="C949" s="2">
        <f t="shared" si="54"/>
        <v>1664</v>
      </c>
      <c r="D949" s="3">
        <v>948</v>
      </c>
      <c r="E949" s="3">
        <f t="shared" si="55"/>
        <v>2822</v>
      </c>
      <c r="F949" s="51">
        <v>948</v>
      </c>
      <c r="G949" s="51">
        <f t="shared" si="56"/>
        <v>3980</v>
      </c>
      <c r="H949" s="52">
        <v>948</v>
      </c>
      <c r="I949" s="52">
        <f t="shared" si="57"/>
        <v>5138</v>
      </c>
    </row>
    <row r="950" spans="1:9">
      <c r="A950">
        <v>949</v>
      </c>
      <c r="B950" s="2">
        <v>949</v>
      </c>
      <c r="C950" s="2">
        <f t="shared" si="54"/>
        <v>1665</v>
      </c>
      <c r="D950" s="3">
        <v>949</v>
      </c>
      <c r="E950" s="3">
        <f t="shared" si="55"/>
        <v>2823</v>
      </c>
      <c r="F950" s="51">
        <v>949</v>
      </c>
      <c r="G950" s="51">
        <f t="shared" si="56"/>
        <v>3981</v>
      </c>
      <c r="H950" s="52">
        <v>949</v>
      </c>
      <c r="I950" s="52">
        <f t="shared" si="57"/>
        <v>5139</v>
      </c>
    </row>
    <row r="951" spans="1:9">
      <c r="A951">
        <v>950</v>
      </c>
      <c r="B951" s="2">
        <v>950</v>
      </c>
      <c r="C951" s="2">
        <f t="shared" si="54"/>
        <v>1667</v>
      </c>
      <c r="D951" s="3">
        <v>950</v>
      </c>
      <c r="E951" s="3">
        <f t="shared" si="55"/>
        <v>2825</v>
      </c>
      <c r="F951" s="51">
        <v>950</v>
      </c>
      <c r="G951" s="51">
        <f t="shared" si="56"/>
        <v>3983</v>
      </c>
      <c r="H951" s="52">
        <v>950</v>
      </c>
      <c r="I951" s="52">
        <f t="shared" si="57"/>
        <v>5141</v>
      </c>
    </row>
    <row r="952" spans="1:9">
      <c r="A952">
        <v>951</v>
      </c>
      <c r="B952" s="2">
        <v>951</v>
      </c>
      <c r="C952" s="2">
        <f t="shared" si="54"/>
        <v>1668</v>
      </c>
      <c r="D952" s="3">
        <v>951</v>
      </c>
      <c r="E952" s="3">
        <f t="shared" si="55"/>
        <v>2826</v>
      </c>
      <c r="F952" s="51">
        <v>951</v>
      </c>
      <c r="G952" s="51">
        <f t="shared" si="56"/>
        <v>3984</v>
      </c>
      <c r="H952" s="52">
        <v>951</v>
      </c>
      <c r="I952" s="52">
        <f t="shared" si="57"/>
        <v>5142</v>
      </c>
    </row>
    <row r="953" spans="1:9">
      <c r="A953">
        <v>952</v>
      </c>
      <c r="B953" s="2">
        <v>952</v>
      </c>
      <c r="C953" s="2">
        <f t="shared" si="54"/>
        <v>1669</v>
      </c>
      <c r="D953" s="3">
        <v>952</v>
      </c>
      <c r="E953" s="3">
        <f t="shared" si="55"/>
        <v>2827</v>
      </c>
      <c r="F953" s="51">
        <v>952</v>
      </c>
      <c r="G953" s="51">
        <f t="shared" si="56"/>
        <v>3985</v>
      </c>
      <c r="H953" s="52">
        <v>952</v>
      </c>
      <c r="I953" s="52">
        <f t="shared" si="57"/>
        <v>5143</v>
      </c>
    </row>
    <row r="954" spans="1:9">
      <c r="A954">
        <v>953</v>
      </c>
      <c r="B954" s="2">
        <v>953</v>
      </c>
      <c r="C954" s="2">
        <f t="shared" si="54"/>
        <v>1671</v>
      </c>
      <c r="D954" s="3">
        <v>953</v>
      </c>
      <c r="E954" s="3">
        <f t="shared" si="55"/>
        <v>2829</v>
      </c>
      <c r="F954" s="51">
        <v>953</v>
      </c>
      <c r="G954" s="51">
        <f t="shared" si="56"/>
        <v>3987</v>
      </c>
      <c r="H954" s="52">
        <v>953</v>
      </c>
      <c r="I954" s="52">
        <f t="shared" si="57"/>
        <v>5145</v>
      </c>
    </row>
    <row r="955" spans="1:9">
      <c r="A955">
        <v>954</v>
      </c>
      <c r="B955" s="2">
        <v>954</v>
      </c>
      <c r="C955" s="2">
        <f t="shared" si="54"/>
        <v>1672</v>
      </c>
      <c r="D955" s="3">
        <v>954</v>
      </c>
      <c r="E955" s="3">
        <f t="shared" si="55"/>
        <v>2830</v>
      </c>
      <c r="F955" s="51">
        <v>954</v>
      </c>
      <c r="G955" s="51">
        <f t="shared" si="56"/>
        <v>3988</v>
      </c>
      <c r="H955" s="52">
        <v>954</v>
      </c>
      <c r="I955" s="52">
        <f t="shared" si="57"/>
        <v>5146</v>
      </c>
    </row>
    <row r="956" spans="1:9">
      <c r="A956">
        <v>955</v>
      </c>
      <c r="B956" s="2">
        <v>955</v>
      </c>
      <c r="C956" s="2">
        <f t="shared" ref="C956:C1019" si="58">INT((B956-B$122)*1.3333333)+C$122</f>
        <v>1673</v>
      </c>
      <c r="D956" s="3">
        <v>955</v>
      </c>
      <c r="E956" s="3">
        <f t="shared" si="55"/>
        <v>2831</v>
      </c>
      <c r="F956" s="51">
        <v>955</v>
      </c>
      <c r="G956" s="51">
        <f t="shared" si="56"/>
        <v>3989</v>
      </c>
      <c r="H956" s="52">
        <v>955</v>
      </c>
      <c r="I956" s="52">
        <f t="shared" si="57"/>
        <v>5147</v>
      </c>
    </row>
    <row r="957" spans="1:9">
      <c r="A957">
        <v>956</v>
      </c>
      <c r="B957" s="2">
        <v>956</v>
      </c>
      <c r="C957" s="2">
        <f t="shared" si="58"/>
        <v>1675</v>
      </c>
      <c r="D957" s="3">
        <v>956</v>
      </c>
      <c r="E957" s="3">
        <f t="shared" si="55"/>
        <v>2833</v>
      </c>
      <c r="F957" s="51">
        <v>956</v>
      </c>
      <c r="G957" s="51">
        <f t="shared" si="56"/>
        <v>3991</v>
      </c>
      <c r="H957" s="52">
        <v>956</v>
      </c>
      <c r="I957" s="52">
        <f t="shared" si="57"/>
        <v>5149</v>
      </c>
    </row>
    <row r="958" spans="1:9">
      <c r="A958">
        <v>957</v>
      </c>
      <c r="B958" s="2">
        <v>957</v>
      </c>
      <c r="C958" s="2">
        <f t="shared" si="58"/>
        <v>1676</v>
      </c>
      <c r="D958" s="3">
        <v>957</v>
      </c>
      <c r="E958" s="3">
        <f t="shared" si="55"/>
        <v>2834</v>
      </c>
      <c r="F958" s="51">
        <v>957</v>
      </c>
      <c r="G958" s="51">
        <f t="shared" si="56"/>
        <v>3992</v>
      </c>
      <c r="H958" s="52">
        <v>957</v>
      </c>
      <c r="I958" s="52">
        <f t="shared" si="57"/>
        <v>5150</v>
      </c>
    </row>
    <row r="959" spans="1:9">
      <c r="A959">
        <v>958</v>
      </c>
      <c r="B959" s="2">
        <v>958</v>
      </c>
      <c r="C959" s="2">
        <f t="shared" si="58"/>
        <v>1677</v>
      </c>
      <c r="D959" s="3">
        <v>958</v>
      </c>
      <c r="E959" s="3">
        <f t="shared" si="55"/>
        <v>2835</v>
      </c>
      <c r="F959" s="51">
        <v>958</v>
      </c>
      <c r="G959" s="51">
        <f t="shared" si="56"/>
        <v>3993</v>
      </c>
      <c r="H959" s="52">
        <v>958</v>
      </c>
      <c r="I959" s="52">
        <f t="shared" si="57"/>
        <v>5151</v>
      </c>
    </row>
    <row r="960" spans="1:9">
      <c r="A960">
        <v>959</v>
      </c>
      <c r="B960" s="2">
        <v>959</v>
      </c>
      <c r="C960" s="2">
        <f t="shared" si="58"/>
        <v>1679</v>
      </c>
      <c r="D960" s="3">
        <v>959</v>
      </c>
      <c r="E960" s="3">
        <f t="shared" si="55"/>
        <v>2837</v>
      </c>
      <c r="F960" s="51">
        <v>959</v>
      </c>
      <c r="G960" s="51">
        <f t="shared" si="56"/>
        <v>3995</v>
      </c>
      <c r="H960" s="52">
        <v>959</v>
      </c>
      <c r="I960" s="52">
        <f t="shared" si="57"/>
        <v>5153</v>
      </c>
    </row>
    <row r="961" spans="1:9">
      <c r="A961">
        <v>960</v>
      </c>
      <c r="B961" s="2">
        <v>960</v>
      </c>
      <c r="C961" s="2">
        <f t="shared" si="58"/>
        <v>1680</v>
      </c>
      <c r="D961" s="3">
        <v>960</v>
      </c>
      <c r="E961" s="3">
        <f t="shared" si="55"/>
        <v>2838</v>
      </c>
      <c r="F961" s="51">
        <v>960</v>
      </c>
      <c r="G961" s="51">
        <f t="shared" si="56"/>
        <v>3996</v>
      </c>
      <c r="H961" s="52">
        <v>960</v>
      </c>
      <c r="I961" s="52">
        <f t="shared" si="57"/>
        <v>5154</v>
      </c>
    </row>
    <row r="962" spans="1:9">
      <c r="A962">
        <v>961</v>
      </c>
      <c r="B962" s="2">
        <v>961</v>
      </c>
      <c r="C962" s="2">
        <f t="shared" si="58"/>
        <v>1681</v>
      </c>
      <c r="D962" s="3">
        <v>961</v>
      </c>
      <c r="E962" s="3">
        <f t="shared" si="55"/>
        <v>2839</v>
      </c>
      <c r="F962" s="51">
        <v>961</v>
      </c>
      <c r="G962" s="51">
        <f t="shared" si="56"/>
        <v>3997</v>
      </c>
      <c r="H962" s="52">
        <v>961</v>
      </c>
      <c r="I962" s="52">
        <f t="shared" si="57"/>
        <v>5155</v>
      </c>
    </row>
    <row r="963" spans="1:9">
      <c r="A963">
        <v>962</v>
      </c>
      <c r="B963" s="2">
        <v>962</v>
      </c>
      <c r="C963" s="2">
        <f t="shared" si="58"/>
        <v>1683</v>
      </c>
      <c r="D963" s="3">
        <v>962</v>
      </c>
      <c r="E963" s="3">
        <f t="shared" si="55"/>
        <v>2841</v>
      </c>
      <c r="F963" s="51">
        <v>962</v>
      </c>
      <c r="G963" s="51">
        <f t="shared" si="56"/>
        <v>3999</v>
      </c>
      <c r="H963" s="52">
        <v>962</v>
      </c>
      <c r="I963" s="52">
        <f t="shared" si="57"/>
        <v>5157</v>
      </c>
    </row>
    <row r="964" spans="1:9">
      <c r="A964">
        <v>963</v>
      </c>
      <c r="B964" s="2">
        <v>963</v>
      </c>
      <c r="C964" s="2">
        <f t="shared" si="58"/>
        <v>1684</v>
      </c>
      <c r="D964" s="3">
        <v>963</v>
      </c>
      <c r="E964" s="3">
        <f t="shared" ref="E964:E1027" si="59">INT((D964-D$2)*1.3333333)+E$2</f>
        <v>2842</v>
      </c>
      <c r="F964" s="51">
        <v>963</v>
      </c>
      <c r="G964" s="51">
        <f t="shared" ref="G964:G1027" si="60">INT((F964-F$2)*1.3333333)+G$2</f>
        <v>4000</v>
      </c>
      <c r="H964" s="52">
        <v>963</v>
      </c>
      <c r="I964" s="52">
        <f t="shared" ref="I964:I1027" si="61">INT((H964-H$2)*1.3333333)+I$2</f>
        <v>5158</v>
      </c>
    </row>
    <row r="965" spans="1:9">
      <c r="A965">
        <v>964</v>
      </c>
      <c r="B965" s="2">
        <v>964</v>
      </c>
      <c r="C965" s="2">
        <f t="shared" si="58"/>
        <v>1685</v>
      </c>
      <c r="D965" s="3">
        <v>964</v>
      </c>
      <c r="E965" s="3">
        <f t="shared" si="59"/>
        <v>2843</v>
      </c>
      <c r="F965" s="51">
        <v>964</v>
      </c>
      <c r="G965" s="51">
        <f t="shared" si="60"/>
        <v>4001</v>
      </c>
      <c r="H965" s="52">
        <v>964</v>
      </c>
      <c r="I965" s="52">
        <f t="shared" si="61"/>
        <v>5159</v>
      </c>
    </row>
    <row r="966" spans="1:9">
      <c r="A966">
        <v>965</v>
      </c>
      <c r="B966" s="2">
        <v>965</v>
      </c>
      <c r="C966" s="2">
        <f t="shared" si="58"/>
        <v>1687</v>
      </c>
      <c r="D966" s="3">
        <v>965</v>
      </c>
      <c r="E966" s="3">
        <f t="shared" si="59"/>
        <v>2845</v>
      </c>
      <c r="F966" s="51">
        <v>965</v>
      </c>
      <c r="G966" s="51">
        <f t="shared" si="60"/>
        <v>4003</v>
      </c>
      <c r="H966" s="52">
        <v>965</v>
      </c>
      <c r="I966" s="52">
        <f t="shared" si="61"/>
        <v>5161</v>
      </c>
    </row>
    <row r="967" spans="1:9">
      <c r="A967">
        <v>966</v>
      </c>
      <c r="B967" s="2">
        <v>966</v>
      </c>
      <c r="C967" s="2">
        <f t="shared" si="58"/>
        <v>1688</v>
      </c>
      <c r="D967" s="3">
        <v>966</v>
      </c>
      <c r="E967" s="3">
        <f t="shared" si="59"/>
        <v>2846</v>
      </c>
      <c r="F967" s="51">
        <v>966</v>
      </c>
      <c r="G967" s="51">
        <f t="shared" si="60"/>
        <v>4004</v>
      </c>
      <c r="H967" s="52">
        <v>966</v>
      </c>
      <c r="I967" s="52">
        <f t="shared" si="61"/>
        <v>5162</v>
      </c>
    </row>
    <row r="968" spans="1:9">
      <c r="A968">
        <v>967</v>
      </c>
      <c r="B968" s="2">
        <v>967</v>
      </c>
      <c r="C968" s="2">
        <f t="shared" si="58"/>
        <v>1689</v>
      </c>
      <c r="D968" s="3">
        <v>967</v>
      </c>
      <c r="E968" s="3">
        <f t="shared" si="59"/>
        <v>2847</v>
      </c>
      <c r="F968" s="51">
        <v>967</v>
      </c>
      <c r="G968" s="51">
        <f t="shared" si="60"/>
        <v>4005</v>
      </c>
      <c r="H968" s="52">
        <v>967</v>
      </c>
      <c r="I968" s="52">
        <f t="shared" si="61"/>
        <v>5163</v>
      </c>
    </row>
    <row r="969" spans="1:9">
      <c r="A969">
        <v>968</v>
      </c>
      <c r="B969" s="2">
        <v>968</v>
      </c>
      <c r="C969" s="2">
        <f t="shared" si="58"/>
        <v>1691</v>
      </c>
      <c r="D969" s="3">
        <v>968</v>
      </c>
      <c r="E969" s="3">
        <f t="shared" si="59"/>
        <v>2849</v>
      </c>
      <c r="F969" s="51">
        <v>968</v>
      </c>
      <c r="G969" s="51">
        <f t="shared" si="60"/>
        <v>4007</v>
      </c>
      <c r="H969" s="52">
        <v>968</v>
      </c>
      <c r="I969" s="52">
        <f t="shared" si="61"/>
        <v>5165</v>
      </c>
    </row>
    <row r="970" spans="1:9">
      <c r="A970">
        <v>969</v>
      </c>
      <c r="B970" s="2">
        <v>969</v>
      </c>
      <c r="C970" s="2">
        <f t="shared" si="58"/>
        <v>1692</v>
      </c>
      <c r="D970" s="3">
        <v>969</v>
      </c>
      <c r="E970" s="3">
        <f t="shared" si="59"/>
        <v>2850</v>
      </c>
      <c r="F970" s="51">
        <v>969</v>
      </c>
      <c r="G970" s="51">
        <f t="shared" si="60"/>
        <v>4008</v>
      </c>
      <c r="H970" s="52">
        <v>969</v>
      </c>
      <c r="I970" s="52">
        <f t="shared" si="61"/>
        <v>5166</v>
      </c>
    </row>
    <row r="971" spans="1:9">
      <c r="A971">
        <v>970</v>
      </c>
      <c r="B971" s="2">
        <v>970</v>
      </c>
      <c r="C971" s="2">
        <f t="shared" si="58"/>
        <v>1693</v>
      </c>
      <c r="D971" s="3">
        <v>970</v>
      </c>
      <c r="E971" s="3">
        <f t="shared" si="59"/>
        <v>2851</v>
      </c>
      <c r="F971" s="51">
        <v>970</v>
      </c>
      <c r="G971" s="51">
        <f t="shared" si="60"/>
        <v>4009</v>
      </c>
      <c r="H971" s="52">
        <v>970</v>
      </c>
      <c r="I971" s="52">
        <f t="shared" si="61"/>
        <v>5167</v>
      </c>
    </row>
    <row r="972" spans="1:9">
      <c r="A972">
        <v>971</v>
      </c>
      <c r="B972" s="2">
        <v>971</v>
      </c>
      <c r="C972" s="2">
        <f t="shared" si="58"/>
        <v>1695</v>
      </c>
      <c r="D972" s="3">
        <v>971</v>
      </c>
      <c r="E972" s="3">
        <f t="shared" si="59"/>
        <v>2853</v>
      </c>
      <c r="F972" s="51">
        <v>971</v>
      </c>
      <c r="G972" s="51">
        <f t="shared" si="60"/>
        <v>4011</v>
      </c>
      <c r="H972" s="52">
        <v>971</v>
      </c>
      <c r="I972" s="52">
        <f t="shared" si="61"/>
        <v>5169</v>
      </c>
    </row>
    <row r="973" spans="1:9">
      <c r="A973">
        <v>972</v>
      </c>
      <c r="B973" s="2">
        <v>972</v>
      </c>
      <c r="C973" s="2">
        <f t="shared" si="58"/>
        <v>1696</v>
      </c>
      <c r="D973" s="3">
        <v>972</v>
      </c>
      <c r="E973" s="3">
        <f t="shared" si="59"/>
        <v>2854</v>
      </c>
      <c r="F973" s="51">
        <v>972</v>
      </c>
      <c r="G973" s="51">
        <f t="shared" si="60"/>
        <v>4012</v>
      </c>
      <c r="H973" s="52">
        <v>972</v>
      </c>
      <c r="I973" s="52">
        <f t="shared" si="61"/>
        <v>5170</v>
      </c>
    </row>
    <row r="974" spans="1:9">
      <c r="A974">
        <v>973</v>
      </c>
      <c r="B974" s="2">
        <v>973</v>
      </c>
      <c r="C974" s="2">
        <f t="shared" si="58"/>
        <v>1697</v>
      </c>
      <c r="D974" s="3">
        <v>973</v>
      </c>
      <c r="E974" s="3">
        <f t="shared" si="59"/>
        <v>2855</v>
      </c>
      <c r="F974" s="51">
        <v>973</v>
      </c>
      <c r="G974" s="51">
        <f t="shared" si="60"/>
        <v>4013</v>
      </c>
      <c r="H974" s="52">
        <v>973</v>
      </c>
      <c r="I974" s="52">
        <f t="shared" si="61"/>
        <v>5171</v>
      </c>
    </row>
    <row r="975" spans="1:9">
      <c r="A975">
        <v>974</v>
      </c>
      <c r="B975" s="2">
        <v>974</v>
      </c>
      <c r="C975" s="2">
        <f t="shared" si="58"/>
        <v>1699</v>
      </c>
      <c r="D975" s="3">
        <v>974</v>
      </c>
      <c r="E975" s="3">
        <f t="shared" si="59"/>
        <v>2857</v>
      </c>
      <c r="F975" s="51">
        <v>974</v>
      </c>
      <c r="G975" s="51">
        <f t="shared" si="60"/>
        <v>4015</v>
      </c>
      <c r="H975" s="52">
        <v>974</v>
      </c>
      <c r="I975" s="52">
        <f t="shared" si="61"/>
        <v>5173</v>
      </c>
    </row>
    <row r="976" spans="1:9">
      <c r="A976">
        <v>975</v>
      </c>
      <c r="B976" s="2">
        <v>975</v>
      </c>
      <c r="C976" s="2">
        <f t="shared" si="58"/>
        <v>1700</v>
      </c>
      <c r="D976" s="3">
        <v>975</v>
      </c>
      <c r="E976" s="3">
        <f t="shared" si="59"/>
        <v>2858</v>
      </c>
      <c r="F976" s="51">
        <v>975</v>
      </c>
      <c r="G976" s="51">
        <f t="shared" si="60"/>
        <v>4016</v>
      </c>
      <c r="H976" s="52">
        <v>975</v>
      </c>
      <c r="I976" s="52">
        <f t="shared" si="61"/>
        <v>5174</v>
      </c>
    </row>
    <row r="977" spans="1:9">
      <c r="A977">
        <v>976</v>
      </c>
      <c r="B977" s="2">
        <v>976</v>
      </c>
      <c r="C977" s="2">
        <f t="shared" si="58"/>
        <v>1701</v>
      </c>
      <c r="D977" s="3">
        <v>976</v>
      </c>
      <c r="E977" s="3">
        <f t="shared" si="59"/>
        <v>2859</v>
      </c>
      <c r="F977" s="51">
        <v>976</v>
      </c>
      <c r="G977" s="51">
        <f t="shared" si="60"/>
        <v>4017</v>
      </c>
      <c r="H977" s="52">
        <v>976</v>
      </c>
      <c r="I977" s="52">
        <f t="shared" si="61"/>
        <v>5175</v>
      </c>
    </row>
    <row r="978" spans="1:9">
      <c r="A978">
        <v>977</v>
      </c>
      <c r="B978" s="2">
        <v>977</v>
      </c>
      <c r="C978" s="2">
        <f t="shared" si="58"/>
        <v>1703</v>
      </c>
      <c r="D978" s="3">
        <v>977</v>
      </c>
      <c r="E978" s="3">
        <f t="shared" si="59"/>
        <v>2861</v>
      </c>
      <c r="F978" s="51">
        <v>977</v>
      </c>
      <c r="G978" s="51">
        <f t="shared" si="60"/>
        <v>4019</v>
      </c>
      <c r="H978" s="52">
        <v>977</v>
      </c>
      <c r="I978" s="52">
        <f t="shared" si="61"/>
        <v>5177</v>
      </c>
    </row>
    <row r="979" spans="1:9">
      <c r="A979">
        <v>978</v>
      </c>
      <c r="B979" s="2">
        <v>978</v>
      </c>
      <c r="C979" s="2">
        <f t="shared" si="58"/>
        <v>1704</v>
      </c>
      <c r="D979" s="3">
        <v>978</v>
      </c>
      <c r="E979" s="3">
        <f t="shared" si="59"/>
        <v>2862</v>
      </c>
      <c r="F979" s="51">
        <v>978</v>
      </c>
      <c r="G979" s="51">
        <f t="shared" si="60"/>
        <v>4020</v>
      </c>
      <c r="H979" s="52">
        <v>978</v>
      </c>
      <c r="I979" s="52">
        <f t="shared" si="61"/>
        <v>5178</v>
      </c>
    </row>
    <row r="980" spans="1:9">
      <c r="A980">
        <v>979</v>
      </c>
      <c r="B980" s="2">
        <v>979</v>
      </c>
      <c r="C980" s="2">
        <f t="shared" si="58"/>
        <v>1705</v>
      </c>
      <c r="D980" s="3">
        <v>979</v>
      </c>
      <c r="E980" s="3">
        <f t="shared" si="59"/>
        <v>2863</v>
      </c>
      <c r="F980" s="51">
        <v>979</v>
      </c>
      <c r="G980" s="51">
        <f t="shared" si="60"/>
        <v>4021</v>
      </c>
      <c r="H980" s="52">
        <v>979</v>
      </c>
      <c r="I980" s="52">
        <f t="shared" si="61"/>
        <v>5179</v>
      </c>
    </row>
    <row r="981" spans="1:9">
      <c r="A981">
        <v>980</v>
      </c>
      <c r="B981" s="2">
        <v>980</v>
      </c>
      <c r="C981" s="2">
        <f t="shared" si="58"/>
        <v>1707</v>
      </c>
      <c r="D981" s="3">
        <v>980</v>
      </c>
      <c r="E981" s="3">
        <f t="shared" si="59"/>
        <v>2865</v>
      </c>
      <c r="F981" s="51">
        <v>980</v>
      </c>
      <c r="G981" s="51">
        <f t="shared" si="60"/>
        <v>4023</v>
      </c>
      <c r="H981" s="52">
        <v>980</v>
      </c>
      <c r="I981" s="52">
        <f t="shared" si="61"/>
        <v>5181</v>
      </c>
    </row>
    <row r="982" spans="1:9">
      <c r="A982">
        <v>981</v>
      </c>
      <c r="B982" s="2">
        <v>981</v>
      </c>
      <c r="C982" s="2">
        <f t="shared" si="58"/>
        <v>1708</v>
      </c>
      <c r="D982" s="3">
        <v>981</v>
      </c>
      <c r="E982" s="3">
        <f t="shared" si="59"/>
        <v>2866</v>
      </c>
      <c r="F982" s="51">
        <v>981</v>
      </c>
      <c r="G982" s="51">
        <f t="shared" si="60"/>
        <v>4024</v>
      </c>
      <c r="H982" s="52">
        <v>981</v>
      </c>
      <c r="I982" s="52">
        <f t="shared" si="61"/>
        <v>5182</v>
      </c>
    </row>
    <row r="983" spans="1:9">
      <c r="A983">
        <v>982</v>
      </c>
      <c r="B983" s="2">
        <v>982</v>
      </c>
      <c r="C983" s="2">
        <f t="shared" si="58"/>
        <v>1709</v>
      </c>
      <c r="D983" s="3">
        <v>982</v>
      </c>
      <c r="E983" s="3">
        <f t="shared" si="59"/>
        <v>2867</v>
      </c>
      <c r="F983" s="51">
        <v>982</v>
      </c>
      <c r="G983" s="51">
        <f t="shared" si="60"/>
        <v>4025</v>
      </c>
      <c r="H983" s="52">
        <v>982</v>
      </c>
      <c r="I983" s="52">
        <f t="shared" si="61"/>
        <v>5183</v>
      </c>
    </row>
    <row r="984" spans="1:9">
      <c r="A984">
        <v>983</v>
      </c>
      <c r="B984" s="2">
        <v>983</v>
      </c>
      <c r="C984" s="2">
        <f t="shared" si="58"/>
        <v>1711</v>
      </c>
      <c r="D984" s="3">
        <v>983</v>
      </c>
      <c r="E984" s="3">
        <f t="shared" si="59"/>
        <v>2869</v>
      </c>
      <c r="F984" s="51">
        <v>983</v>
      </c>
      <c r="G984" s="51">
        <f t="shared" si="60"/>
        <v>4027</v>
      </c>
      <c r="H984" s="52">
        <v>983</v>
      </c>
      <c r="I984" s="52">
        <f t="shared" si="61"/>
        <v>5185</v>
      </c>
    </row>
    <row r="985" spans="1:9">
      <c r="A985">
        <v>984</v>
      </c>
      <c r="B985" s="2">
        <v>984</v>
      </c>
      <c r="C985" s="2">
        <f t="shared" si="58"/>
        <v>1712</v>
      </c>
      <c r="D985" s="3">
        <v>984</v>
      </c>
      <c r="E985" s="3">
        <f t="shared" si="59"/>
        <v>2870</v>
      </c>
      <c r="F985" s="51">
        <v>984</v>
      </c>
      <c r="G985" s="51">
        <f t="shared" si="60"/>
        <v>4028</v>
      </c>
      <c r="H985" s="52">
        <v>984</v>
      </c>
      <c r="I985" s="52">
        <f t="shared" si="61"/>
        <v>5186</v>
      </c>
    </row>
    <row r="986" spans="1:9">
      <c r="A986">
        <v>985</v>
      </c>
      <c r="B986" s="2">
        <v>985</v>
      </c>
      <c r="C986" s="2">
        <f t="shared" si="58"/>
        <v>1713</v>
      </c>
      <c r="D986" s="3">
        <v>985</v>
      </c>
      <c r="E986" s="3">
        <f t="shared" si="59"/>
        <v>2871</v>
      </c>
      <c r="F986" s="51">
        <v>985</v>
      </c>
      <c r="G986" s="51">
        <f t="shared" si="60"/>
        <v>4029</v>
      </c>
      <c r="H986" s="52">
        <v>985</v>
      </c>
      <c r="I986" s="52">
        <f t="shared" si="61"/>
        <v>5187</v>
      </c>
    </row>
    <row r="987" spans="1:9">
      <c r="A987">
        <v>986</v>
      </c>
      <c r="B987" s="2">
        <v>986</v>
      </c>
      <c r="C987" s="2">
        <f t="shared" si="58"/>
        <v>1715</v>
      </c>
      <c r="D987" s="3">
        <v>986</v>
      </c>
      <c r="E987" s="3">
        <f t="shared" si="59"/>
        <v>2873</v>
      </c>
      <c r="F987" s="51">
        <v>986</v>
      </c>
      <c r="G987" s="51">
        <f t="shared" si="60"/>
        <v>4031</v>
      </c>
      <c r="H987" s="52">
        <v>986</v>
      </c>
      <c r="I987" s="52">
        <f t="shared" si="61"/>
        <v>5189</v>
      </c>
    </row>
    <row r="988" spans="1:9">
      <c r="A988">
        <v>987</v>
      </c>
      <c r="B988" s="2">
        <v>987</v>
      </c>
      <c r="C988" s="2">
        <f t="shared" si="58"/>
        <v>1716</v>
      </c>
      <c r="D988" s="3">
        <v>987</v>
      </c>
      <c r="E988" s="3">
        <f t="shared" si="59"/>
        <v>2874</v>
      </c>
      <c r="F988" s="51">
        <v>987</v>
      </c>
      <c r="G988" s="51">
        <f t="shared" si="60"/>
        <v>4032</v>
      </c>
      <c r="H988" s="52">
        <v>987</v>
      </c>
      <c r="I988" s="52">
        <f t="shared" si="61"/>
        <v>5190</v>
      </c>
    </row>
    <row r="989" spans="1:9">
      <c r="A989">
        <v>988</v>
      </c>
      <c r="B989" s="2">
        <v>988</v>
      </c>
      <c r="C989" s="2">
        <f t="shared" si="58"/>
        <v>1717</v>
      </c>
      <c r="D989" s="3">
        <v>988</v>
      </c>
      <c r="E989" s="3">
        <f t="shared" si="59"/>
        <v>2875</v>
      </c>
      <c r="F989" s="51">
        <v>988</v>
      </c>
      <c r="G989" s="51">
        <f t="shared" si="60"/>
        <v>4033</v>
      </c>
      <c r="H989" s="52">
        <v>988</v>
      </c>
      <c r="I989" s="52">
        <f t="shared" si="61"/>
        <v>5191</v>
      </c>
    </row>
    <row r="990" spans="1:9">
      <c r="A990">
        <v>989</v>
      </c>
      <c r="B990" s="2">
        <v>989</v>
      </c>
      <c r="C990" s="2">
        <f t="shared" si="58"/>
        <v>1719</v>
      </c>
      <c r="D990" s="3">
        <v>989</v>
      </c>
      <c r="E990" s="3">
        <f t="shared" si="59"/>
        <v>2877</v>
      </c>
      <c r="F990" s="51">
        <v>989</v>
      </c>
      <c r="G990" s="51">
        <f t="shared" si="60"/>
        <v>4035</v>
      </c>
      <c r="H990" s="52">
        <v>989</v>
      </c>
      <c r="I990" s="52">
        <f t="shared" si="61"/>
        <v>5193</v>
      </c>
    </row>
    <row r="991" spans="1:9">
      <c r="A991">
        <v>990</v>
      </c>
      <c r="B991" s="2">
        <v>990</v>
      </c>
      <c r="C991" s="2">
        <f t="shared" si="58"/>
        <v>1720</v>
      </c>
      <c r="D991" s="3">
        <v>990</v>
      </c>
      <c r="E991" s="3">
        <f t="shared" si="59"/>
        <v>2878</v>
      </c>
      <c r="F991" s="51">
        <v>990</v>
      </c>
      <c r="G991" s="51">
        <f t="shared" si="60"/>
        <v>4036</v>
      </c>
      <c r="H991" s="52">
        <v>990</v>
      </c>
      <c r="I991" s="52">
        <f t="shared" si="61"/>
        <v>5194</v>
      </c>
    </row>
    <row r="992" spans="1:9">
      <c r="A992">
        <v>991</v>
      </c>
      <c r="B992" s="2">
        <v>991</v>
      </c>
      <c r="C992" s="2">
        <f t="shared" si="58"/>
        <v>1721</v>
      </c>
      <c r="D992" s="3">
        <v>991</v>
      </c>
      <c r="E992" s="3">
        <f t="shared" si="59"/>
        <v>2879</v>
      </c>
      <c r="F992" s="51">
        <v>991</v>
      </c>
      <c r="G992" s="51">
        <f t="shared" si="60"/>
        <v>4037</v>
      </c>
      <c r="H992" s="52">
        <v>991</v>
      </c>
      <c r="I992" s="52">
        <f t="shared" si="61"/>
        <v>5195</v>
      </c>
    </row>
    <row r="993" spans="1:9">
      <c r="A993">
        <v>992</v>
      </c>
      <c r="B993" s="2">
        <v>992</v>
      </c>
      <c r="C993" s="2">
        <f t="shared" si="58"/>
        <v>1723</v>
      </c>
      <c r="D993" s="3">
        <v>992</v>
      </c>
      <c r="E993" s="3">
        <f t="shared" si="59"/>
        <v>2881</v>
      </c>
      <c r="F993" s="51">
        <v>992</v>
      </c>
      <c r="G993" s="51">
        <f t="shared" si="60"/>
        <v>4039</v>
      </c>
      <c r="H993" s="52">
        <v>992</v>
      </c>
      <c r="I993" s="52">
        <f t="shared" si="61"/>
        <v>5197</v>
      </c>
    </row>
    <row r="994" spans="1:9">
      <c r="A994">
        <v>993</v>
      </c>
      <c r="B994" s="2">
        <v>993</v>
      </c>
      <c r="C994" s="2">
        <f t="shared" si="58"/>
        <v>1724</v>
      </c>
      <c r="D994" s="3">
        <v>993</v>
      </c>
      <c r="E994" s="3">
        <f t="shared" si="59"/>
        <v>2882</v>
      </c>
      <c r="F994" s="51">
        <v>993</v>
      </c>
      <c r="G994" s="51">
        <f t="shared" si="60"/>
        <v>4040</v>
      </c>
      <c r="H994" s="52">
        <v>993</v>
      </c>
      <c r="I994" s="52">
        <f t="shared" si="61"/>
        <v>5198</v>
      </c>
    </row>
    <row r="995" spans="1:9">
      <c r="A995">
        <v>994</v>
      </c>
      <c r="B995" s="2">
        <v>994</v>
      </c>
      <c r="C995" s="2">
        <f t="shared" si="58"/>
        <v>1725</v>
      </c>
      <c r="D995" s="3">
        <v>994</v>
      </c>
      <c r="E995" s="3">
        <f t="shared" si="59"/>
        <v>2883</v>
      </c>
      <c r="F995" s="51">
        <v>994</v>
      </c>
      <c r="G995" s="51">
        <f t="shared" si="60"/>
        <v>4041</v>
      </c>
      <c r="H995" s="52">
        <v>994</v>
      </c>
      <c r="I995" s="52">
        <f t="shared" si="61"/>
        <v>5199</v>
      </c>
    </row>
    <row r="996" spans="1:9">
      <c r="A996">
        <v>995</v>
      </c>
      <c r="B996" s="2">
        <v>995</v>
      </c>
      <c r="C996" s="2">
        <f t="shared" si="58"/>
        <v>1727</v>
      </c>
      <c r="D996" s="3">
        <v>995</v>
      </c>
      <c r="E996" s="3">
        <f t="shared" si="59"/>
        <v>2885</v>
      </c>
      <c r="F996" s="51">
        <v>995</v>
      </c>
      <c r="G996" s="51">
        <f t="shared" si="60"/>
        <v>4043</v>
      </c>
      <c r="H996" s="52">
        <v>995</v>
      </c>
      <c r="I996" s="52">
        <f t="shared" si="61"/>
        <v>5201</v>
      </c>
    </row>
    <row r="997" spans="1:9">
      <c r="A997">
        <v>996</v>
      </c>
      <c r="B997" s="2">
        <v>996</v>
      </c>
      <c r="C997" s="2">
        <f t="shared" si="58"/>
        <v>1728</v>
      </c>
      <c r="D997" s="3">
        <v>996</v>
      </c>
      <c r="E997" s="3">
        <f t="shared" si="59"/>
        <v>2886</v>
      </c>
      <c r="F997" s="51">
        <v>996</v>
      </c>
      <c r="G997" s="51">
        <f t="shared" si="60"/>
        <v>4044</v>
      </c>
      <c r="H997" s="52">
        <v>996</v>
      </c>
      <c r="I997" s="52">
        <f t="shared" si="61"/>
        <v>5202</v>
      </c>
    </row>
    <row r="998" spans="1:9">
      <c r="A998">
        <v>997</v>
      </c>
      <c r="B998" s="2">
        <v>997</v>
      </c>
      <c r="C998" s="2">
        <f t="shared" si="58"/>
        <v>1729</v>
      </c>
      <c r="D998" s="3">
        <v>997</v>
      </c>
      <c r="E998" s="3">
        <f t="shared" si="59"/>
        <v>2887</v>
      </c>
      <c r="F998" s="51">
        <v>997</v>
      </c>
      <c r="G998" s="51">
        <f t="shared" si="60"/>
        <v>4045</v>
      </c>
      <c r="H998" s="52">
        <v>997</v>
      </c>
      <c r="I998" s="52">
        <f t="shared" si="61"/>
        <v>5203</v>
      </c>
    </row>
    <row r="999" spans="1:9">
      <c r="A999">
        <v>998</v>
      </c>
      <c r="B999" s="2">
        <v>998</v>
      </c>
      <c r="C999" s="2">
        <f t="shared" si="58"/>
        <v>1731</v>
      </c>
      <c r="D999" s="3">
        <v>998</v>
      </c>
      <c r="E999" s="3">
        <f t="shared" si="59"/>
        <v>2889</v>
      </c>
      <c r="F999" s="51">
        <v>998</v>
      </c>
      <c r="G999" s="51">
        <f t="shared" si="60"/>
        <v>4047</v>
      </c>
      <c r="H999" s="52">
        <v>998</v>
      </c>
      <c r="I999" s="52">
        <f t="shared" si="61"/>
        <v>5205</v>
      </c>
    </row>
    <row r="1000" spans="1:9">
      <c r="A1000">
        <v>999</v>
      </c>
      <c r="B1000" s="2">
        <v>999</v>
      </c>
      <c r="C1000" s="2">
        <f t="shared" si="58"/>
        <v>1732</v>
      </c>
      <c r="D1000" s="3">
        <v>999</v>
      </c>
      <c r="E1000" s="3">
        <f t="shared" si="59"/>
        <v>2890</v>
      </c>
      <c r="F1000" s="51">
        <v>999</v>
      </c>
      <c r="G1000" s="51">
        <f t="shared" si="60"/>
        <v>4048</v>
      </c>
      <c r="H1000" s="52">
        <v>999</v>
      </c>
      <c r="I1000" s="52">
        <f t="shared" si="61"/>
        <v>5206</v>
      </c>
    </row>
    <row r="1001" spans="1:9">
      <c r="A1001">
        <v>1000</v>
      </c>
      <c r="B1001" s="2">
        <v>1000</v>
      </c>
      <c r="C1001" s="2">
        <f t="shared" si="58"/>
        <v>1733</v>
      </c>
      <c r="D1001" s="3">
        <v>1000</v>
      </c>
      <c r="E1001" s="3">
        <f t="shared" si="59"/>
        <v>2891</v>
      </c>
      <c r="F1001" s="51">
        <v>1000</v>
      </c>
      <c r="G1001" s="51">
        <f t="shared" si="60"/>
        <v>4049</v>
      </c>
      <c r="H1001" s="52">
        <v>1000</v>
      </c>
      <c r="I1001" s="52">
        <f t="shared" si="61"/>
        <v>5207</v>
      </c>
    </row>
    <row r="1002" spans="1:9">
      <c r="A1002">
        <v>1001</v>
      </c>
      <c r="B1002" s="2">
        <v>1001</v>
      </c>
      <c r="C1002" s="2">
        <f t="shared" si="58"/>
        <v>1735</v>
      </c>
      <c r="D1002" s="3">
        <v>1001</v>
      </c>
      <c r="E1002" s="3">
        <f t="shared" si="59"/>
        <v>2893</v>
      </c>
      <c r="F1002" s="51">
        <v>1001</v>
      </c>
      <c r="G1002" s="51">
        <f t="shared" si="60"/>
        <v>4051</v>
      </c>
      <c r="H1002" s="52">
        <v>1001</v>
      </c>
      <c r="I1002" s="52">
        <f t="shared" si="61"/>
        <v>5209</v>
      </c>
    </row>
    <row r="1003" spans="1:9">
      <c r="A1003">
        <v>1002</v>
      </c>
      <c r="B1003" s="2">
        <v>1002</v>
      </c>
      <c r="C1003" s="2">
        <f t="shared" si="58"/>
        <v>1736</v>
      </c>
      <c r="D1003" s="3">
        <v>1002</v>
      </c>
      <c r="E1003" s="3">
        <f t="shared" si="59"/>
        <v>2894</v>
      </c>
      <c r="F1003" s="51">
        <v>1002</v>
      </c>
      <c r="G1003" s="51">
        <f t="shared" si="60"/>
        <v>4052</v>
      </c>
      <c r="H1003" s="52">
        <v>1002</v>
      </c>
      <c r="I1003" s="52">
        <f t="shared" si="61"/>
        <v>5210</v>
      </c>
    </row>
    <row r="1004" spans="1:9">
      <c r="A1004">
        <v>1003</v>
      </c>
      <c r="B1004" s="2">
        <v>1003</v>
      </c>
      <c r="C1004" s="2">
        <f t="shared" si="58"/>
        <v>1737</v>
      </c>
      <c r="D1004" s="3">
        <v>1003</v>
      </c>
      <c r="E1004" s="3">
        <f t="shared" si="59"/>
        <v>2895</v>
      </c>
      <c r="F1004" s="51">
        <v>1003</v>
      </c>
      <c r="G1004" s="51">
        <f t="shared" si="60"/>
        <v>4053</v>
      </c>
      <c r="H1004" s="52">
        <v>1003</v>
      </c>
      <c r="I1004" s="52">
        <f t="shared" si="61"/>
        <v>5211</v>
      </c>
    </row>
    <row r="1005" spans="1:9">
      <c r="A1005">
        <v>1004</v>
      </c>
      <c r="B1005" s="2">
        <v>1004</v>
      </c>
      <c r="C1005" s="2">
        <f t="shared" si="58"/>
        <v>1739</v>
      </c>
      <c r="D1005" s="3">
        <v>1004</v>
      </c>
      <c r="E1005" s="3">
        <f t="shared" si="59"/>
        <v>2897</v>
      </c>
      <c r="F1005" s="51">
        <v>1004</v>
      </c>
      <c r="G1005" s="51">
        <f t="shared" si="60"/>
        <v>4055</v>
      </c>
      <c r="H1005" s="52">
        <v>1004</v>
      </c>
      <c r="I1005" s="52">
        <f t="shared" si="61"/>
        <v>5213</v>
      </c>
    </row>
    <row r="1006" spans="1:9">
      <c r="A1006">
        <v>1005</v>
      </c>
      <c r="B1006" s="2">
        <v>1005</v>
      </c>
      <c r="C1006" s="2">
        <f t="shared" si="58"/>
        <v>1740</v>
      </c>
      <c r="D1006" s="3">
        <v>1005</v>
      </c>
      <c r="E1006" s="3">
        <f t="shared" si="59"/>
        <v>2898</v>
      </c>
      <c r="F1006" s="51">
        <v>1005</v>
      </c>
      <c r="G1006" s="51">
        <f t="shared" si="60"/>
        <v>4056</v>
      </c>
      <c r="H1006" s="52">
        <v>1005</v>
      </c>
      <c r="I1006" s="52">
        <f t="shared" si="61"/>
        <v>5214</v>
      </c>
    </row>
    <row r="1007" spans="1:9">
      <c r="A1007">
        <v>1006</v>
      </c>
      <c r="B1007" s="2">
        <v>1006</v>
      </c>
      <c r="C1007" s="2">
        <f t="shared" si="58"/>
        <v>1741</v>
      </c>
      <c r="D1007" s="3">
        <v>1006</v>
      </c>
      <c r="E1007" s="3">
        <f t="shared" si="59"/>
        <v>2899</v>
      </c>
      <c r="F1007" s="51">
        <v>1006</v>
      </c>
      <c r="G1007" s="51">
        <f t="shared" si="60"/>
        <v>4057</v>
      </c>
      <c r="H1007" s="52">
        <v>1006</v>
      </c>
      <c r="I1007" s="52">
        <f t="shared" si="61"/>
        <v>5215</v>
      </c>
    </row>
    <row r="1008" spans="1:9">
      <c r="A1008">
        <v>1007</v>
      </c>
      <c r="B1008" s="2">
        <v>1007</v>
      </c>
      <c r="C1008" s="2">
        <f t="shared" si="58"/>
        <v>1743</v>
      </c>
      <c r="D1008" s="3">
        <v>1007</v>
      </c>
      <c r="E1008" s="3">
        <f t="shared" si="59"/>
        <v>2901</v>
      </c>
      <c r="F1008" s="51">
        <v>1007</v>
      </c>
      <c r="G1008" s="51">
        <f t="shared" si="60"/>
        <v>4059</v>
      </c>
      <c r="H1008" s="52">
        <v>1007</v>
      </c>
      <c r="I1008" s="52">
        <f t="shared" si="61"/>
        <v>5217</v>
      </c>
    </row>
    <row r="1009" spans="1:9">
      <c r="A1009">
        <v>1008</v>
      </c>
      <c r="B1009" s="2">
        <v>1008</v>
      </c>
      <c r="C1009" s="2">
        <f t="shared" si="58"/>
        <v>1744</v>
      </c>
      <c r="D1009" s="3">
        <v>1008</v>
      </c>
      <c r="E1009" s="3">
        <f t="shared" si="59"/>
        <v>2902</v>
      </c>
      <c r="F1009" s="51">
        <v>1008</v>
      </c>
      <c r="G1009" s="51">
        <f t="shared" si="60"/>
        <v>4060</v>
      </c>
      <c r="H1009" s="52">
        <v>1008</v>
      </c>
      <c r="I1009" s="52">
        <f t="shared" si="61"/>
        <v>5218</v>
      </c>
    </row>
    <row r="1010" spans="1:9">
      <c r="A1010">
        <v>1009</v>
      </c>
      <c r="B1010" s="2">
        <v>1009</v>
      </c>
      <c r="C1010" s="2">
        <f t="shared" si="58"/>
        <v>1745</v>
      </c>
      <c r="D1010" s="3">
        <v>1009</v>
      </c>
      <c r="E1010" s="3">
        <f t="shared" si="59"/>
        <v>2903</v>
      </c>
      <c r="F1010" s="51">
        <v>1009</v>
      </c>
      <c r="G1010" s="51">
        <f t="shared" si="60"/>
        <v>4061</v>
      </c>
      <c r="H1010" s="52">
        <v>1009</v>
      </c>
      <c r="I1010" s="52">
        <f t="shared" si="61"/>
        <v>5219</v>
      </c>
    </row>
    <row r="1011" spans="1:9">
      <c r="A1011">
        <v>1010</v>
      </c>
      <c r="B1011" s="2">
        <v>1010</v>
      </c>
      <c r="C1011" s="2">
        <f t="shared" si="58"/>
        <v>1747</v>
      </c>
      <c r="D1011" s="3">
        <v>1010</v>
      </c>
      <c r="E1011" s="3">
        <f t="shared" si="59"/>
        <v>2905</v>
      </c>
      <c r="F1011" s="51">
        <v>1010</v>
      </c>
      <c r="G1011" s="51">
        <f t="shared" si="60"/>
        <v>4063</v>
      </c>
      <c r="H1011" s="52">
        <v>1010</v>
      </c>
      <c r="I1011" s="52">
        <f t="shared" si="61"/>
        <v>5221</v>
      </c>
    </row>
    <row r="1012" spans="1:9">
      <c r="A1012">
        <v>1011</v>
      </c>
      <c r="B1012" s="2">
        <v>1011</v>
      </c>
      <c r="C1012" s="2">
        <f t="shared" si="58"/>
        <v>1748</v>
      </c>
      <c r="D1012" s="3">
        <v>1011</v>
      </c>
      <c r="E1012" s="3">
        <f t="shared" si="59"/>
        <v>2906</v>
      </c>
      <c r="F1012" s="51">
        <v>1011</v>
      </c>
      <c r="G1012" s="51">
        <f t="shared" si="60"/>
        <v>4064</v>
      </c>
      <c r="H1012" s="52">
        <v>1011</v>
      </c>
      <c r="I1012" s="52">
        <f t="shared" si="61"/>
        <v>5222</v>
      </c>
    </row>
    <row r="1013" spans="1:9">
      <c r="A1013">
        <v>1012</v>
      </c>
      <c r="B1013" s="2">
        <v>1012</v>
      </c>
      <c r="C1013" s="2">
        <f t="shared" si="58"/>
        <v>1749</v>
      </c>
      <c r="D1013" s="3">
        <v>1012</v>
      </c>
      <c r="E1013" s="3">
        <f t="shared" si="59"/>
        <v>2907</v>
      </c>
      <c r="F1013" s="51">
        <v>1012</v>
      </c>
      <c r="G1013" s="51">
        <f t="shared" si="60"/>
        <v>4065</v>
      </c>
      <c r="H1013" s="52">
        <v>1012</v>
      </c>
      <c r="I1013" s="52">
        <f t="shared" si="61"/>
        <v>5223</v>
      </c>
    </row>
    <row r="1014" spans="1:9">
      <c r="A1014">
        <v>1013</v>
      </c>
      <c r="B1014" s="2">
        <v>1013</v>
      </c>
      <c r="C1014" s="2">
        <f t="shared" si="58"/>
        <v>1751</v>
      </c>
      <c r="D1014" s="3">
        <v>1013</v>
      </c>
      <c r="E1014" s="3">
        <f t="shared" si="59"/>
        <v>2909</v>
      </c>
      <c r="F1014" s="51">
        <v>1013</v>
      </c>
      <c r="G1014" s="51">
        <f t="shared" si="60"/>
        <v>4067</v>
      </c>
      <c r="H1014" s="52">
        <v>1013</v>
      </c>
      <c r="I1014" s="52">
        <f t="shared" si="61"/>
        <v>5225</v>
      </c>
    </row>
    <row r="1015" spans="1:9">
      <c r="A1015">
        <v>1014</v>
      </c>
      <c r="B1015" s="2">
        <v>1014</v>
      </c>
      <c r="C1015" s="2">
        <f t="shared" si="58"/>
        <v>1752</v>
      </c>
      <c r="D1015" s="3">
        <v>1014</v>
      </c>
      <c r="E1015" s="3">
        <f t="shared" si="59"/>
        <v>2910</v>
      </c>
      <c r="F1015" s="51">
        <v>1014</v>
      </c>
      <c r="G1015" s="51">
        <f t="shared" si="60"/>
        <v>4068</v>
      </c>
      <c r="H1015" s="52">
        <v>1014</v>
      </c>
      <c r="I1015" s="52">
        <f t="shared" si="61"/>
        <v>5226</v>
      </c>
    </row>
    <row r="1016" spans="1:9">
      <c r="A1016">
        <v>1015</v>
      </c>
      <c r="B1016" s="2">
        <v>1015</v>
      </c>
      <c r="C1016" s="2">
        <f t="shared" si="58"/>
        <v>1753</v>
      </c>
      <c r="D1016" s="3">
        <v>1015</v>
      </c>
      <c r="E1016" s="3">
        <f t="shared" si="59"/>
        <v>2911</v>
      </c>
      <c r="F1016" s="51">
        <v>1015</v>
      </c>
      <c r="G1016" s="51">
        <f t="shared" si="60"/>
        <v>4069</v>
      </c>
      <c r="H1016" s="52">
        <v>1015</v>
      </c>
      <c r="I1016" s="52">
        <f t="shared" si="61"/>
        <v>5227</v>
      </c>
    </row>
    <row r="1017" spans="1:9">
      <c r="A1017">
        <v>1016</v>
      </c>
      <c r="B1017" s="2">
        <v>1016</v>
      </c>
      <c r="C1017" s="2">
        <f t="shared" si="58"/>
        <v>1755</v>
      </c>
      <c r="D1017" s="3">
        <v>1016</v>
      </c>
      <c r="E1017" s="3">
        <f t="shared" si="59"/>
        <v>2913</v>
      </c>
      <c r="F1017" s="51">
        <v>1016</v>
      </c>
      <c r="G1017" s="51">
        <f t="shared" si="60"/>
        <v>4071</v>
      </c>
      <c r="H1017" s="52">
        <v>1016</v>
      </c>
      <c r="I1017" s="52">
        <f t="shared" si="61"/>
        <v>5229</v>
      </c>
    </row>
    <row r="1018" spans="1:9">
      <c r="A1018">
        <v>1017</v>
      </c>
      <c r="B1018" s="2">
        <v>1017</v>
      </c>
      <c r="C1018" s="2">
        <f t="shared" si="58"/>
        <v>1756</v>
      </c>
      <c r="D1018" s="3">
        <v>1017</v>
      </c>
      <c r="E1018" s="3">
        <f t="shared" si="59"/>
        <v>2914</v>
      </c>
      <c r="F1018" s="51">
        <v>1017</v>
      </c>
      <c r="G1018" s="51">
        <f t="shared" si="60"/>
        <v>4072</v>
      </c>
      <c r="H1018" s="52">
        <v>1017</v>
      </c>
      <c r="I1018" s="52">
        <f t="shared" si="61"/>
        <v>5230</v>
      </c>
    </row>
    <row r="1019" spans="1:9">
      <c r="A1019">
        <v>1018</v>
      </c>
      <c r="B1019" s="2">
        <v>1018</v>
      </c>
      <c r="C1019" s="2">
        <f t="shared" si="58"/>
        <v>1757</v>
      </c>
      <c r="D1019" s="3">
        <v>1018</v>
      </c>
      <c r="E1019" s="3">
        <f t="shared" si="59"/>
        <v>2915</v>
      </c>
      <c r="F1019" s="51">
        <v>1018</v>
      </c>
      <c r="G1019" s="51">
        <f t="shared" si="60"/>
        <v>4073</v>
      </c>
      <c r="H1019" s="52">
        <v>1018</v>
      </c>
      <c r="I1019" s="52">
        <f t="shared" si="61"/>
        <v>5231</v>
      </c>
    </row>
    <row r="1020" spans="1:9">
      <c r="A1020">
        <v>1019</v>
      </c>
      <c r="B1020" s="2">
        <v>1019</v>
      </c>
      <c r="C1020" s="2">
        <f t="shared" ref="C1020:C1083" si="62">INT((B1020-B$122)*1.3333333)+C$122</f>
        <v>1759</v>
      </c>
      <c r="D1020" s="3">
        <v>1019</v>
      </c>
      <c r="E1020" s="3">
        <f t="shared" si="59"/>
        <v>2917</v>
      </c>
      <c r="F1020" s="51">
        <v>1019</v>
      </c>
      <c r="G1020" s="51">
        <f t="shared" si="60"/>
        <v>4075</v>
      </c>
      <c r="H1020" s="52">
        <v>1019</v>
      </c>
      <c r="I1020" s="52">
        <f t="shared" si="61"/>
        <v>5233</v>
      </c>
    </row>
    <row r="1021" spans="1:9">
      <c r="A1021">
        <v>1020</v>
      </c>
      <c r="B1021" s="2">
        <v>1020</v>
      </c>
      <c r="C1021" s="2">
        <f t="shared" si="62"/>
        <v>1760</v>
      </c>
      <c r="D1021" s="3">
        <v>1020</v>
      </c>
      <c r="E1021" s="3">
        <f t="shared" si="59"/>
        <v>2918</v>
      </c>
      <c r="F1021" s="51">
        <v>1020</v>
      </c>
      <c r="G1021" s="51">
        <f t="shared" si="60"/>
        <v>4076</v>
      </c>
      <c r="H1021" s="52">
        <v>1020</v>
      </c>
      <c r="I1021" s="52">
        <f t="shared" si="61"/>
        <v>5234</v>
      </c>
    </row>
    <row r="1022" spans="1:9">
      <c r="A1022">
        <v>1021</v>
      </c>
      <c r="B1022" s="2">
        <v>1021</v>
      </c>
      <c r="C1022" s="2">
        <f t="shared" si="62"/>
        <v>1761</v>
      </c>
      <c r="D1022" s="3">
        <v>1021</v>
      </c>
      <c r="E1022" s="3">
        <f t="shared" si="59"/>
        <v>2919</v>
      </c>
      <c r="F1022" s="51">
        <v>1021</v>
      </c>
      <c r="G1022" s="51">
        <f t="shared" si="60"/>
        <v>4077</v>
      </c>
      <c r="H1022" s="52">
        <v>1021</v>
      </c>
      <c r="I1022" s="52">
        <f t="shared" si="61"/>
        <v>5235</v>
      </c>
    </row>
    <row r="1023" spans="1:9">
      <c r="A1023">
        <v>1022</v>
      </c>
      <c r="B1023" s="2">
        <v>1022</v>
      </c>
      <c r="C1023" s="2">
        <f t="shared" si="62"/>
        <v>1763</v>
      </c>
      <c r="D1023" s="3">
        <v>1022</v>
      </c>
      <c r="E1023" s="3">
        <f t="shared" si="59"/>
        <v>2921</v>
      </c>
      <c r="F1023" s="51">
        <v>1022</v>
      </c>
      <c r="G1023" s="51">
        <f t="shared" si="60"/>
        <v>4079</v>
      </c>
      <c r="H1023" s="52">
        <v>1022</v>
      </c>
      <c r="I1023" s="52">
        <f t="shared" si="61"/>
        <v>5237</v>
      </c>
    </row>
    <row r="1024" spans="1:9">
      <c r="A1024">
        <v>1023</v>
      </c>
      <c r="B1024" s="2">
        <v>1023</v>
      </c>
      <c r="C1024" s="2">
        <f t="shared" si="62"/>
        <v>1764</v>
      </c>
      <c r="D1024" s="3">
        <v>1023</v>
      </c>
      <c r="E1024" s="3">
        <f t="shared" si="59"/>
        <v>2922</v>
      </c>
      <c r="F1024" s="51">
        <v>1023</v>
      </c>
      <c r="G1024" s="51">
        <f t="shared" si="60"/>
        <v>4080</v>
      </c>
      <c r="H1024" s="52">
        <v>1023</v>
      </c>
      <c r="I1024" s="52">
        <f t="shared" si="61"/>
        <v>5238</v>
      </c>
    </row>
    <row r="1025" spans="1:9">
      <c r="A1025">
        <v>1024</v>
      </c>
      <c r="B1025" s="2">
        <v>1024</v>
      </c>
      <c r="C1025" s="2">
        <f t="shared" si="62"/>
        <v>1765</v>
      </c>
      <c r="D1025" s="3">
        <v>1024</v>
      </c>
      <c r="E1025" s="3">
        <f t="shared" si="59"/>
        <v>2923</v>
      </c>
      <c r="F1025" s="51">
        <v>1024</v>
      </c>
      <c r="G1025" s="51">
        <f t="shared" si="60"/>
        <v>4081</v>
      </c>
      <c r="H1025" s="52">
        <v>1024</v>
      </c>
      <c r="I1025" s="52">
        <f t="shared" si="61"/>
        <v>5239</v>
      </c>
    </row>
    <row r="1026" spans="1:9">
      <c r="A1026">
        <v>1025</v>
      </c>
      <c r="B1026" s="2">
        <v>1025</v>
      </c>
      <c r="C1026" s="2">
        <f t="shared" si="62"/>
        <v>1767</v>
      </c>
      <c r="D1026" s="3">
        <v>1025</v>
      </c>
      <c r="E1026" s="3">
        <f t="shared" si="59"/>
        <v>2925</v>
      </c>
      <c r="F1026" s="51">
        <v>1025</v>
      </c>
      <c r="G1026" s="51">
        <f t="shared" si="60"/>
        <v>4083</v>
      </c>
      <c r="H1026" s="52">
        <v>1025</v>
      </c>
      <c r="I1026" s="52">
        <f t="shared" si="61"/>
        <v>5241</v>
      </c>
    </row>
    <row r="1027" spans="1:9">
      <c r="A1027">
        <v>1026</v>
      </c>
      <c r="B1027" s="2">
        <v>1026</v>
      </c>
      <c r="C1027" s="2">
        <f t="shared" si="62"/>
        <v>1768</v>
      </c>
      <c r="D1027" s="3">
        <v>1026</v>
      </c>
      <c r="E1027" s="3">
        <f t="shared" si="59"/>
        <v>2926</v>
      </c>
      <c r="F1027" s="51">
        <v>1026</v>
      </c>
      <c r="G1027" s="51">
        <f t="shared" si="60"/>
        <v>4084</v>
      </c>
      <c r="H1027" s="52">
        <v>1026</v>
      </c>
      <c r="I1027" s="52">
        <f t="shared" si="61"/>
        <v>5242</v>
      </c>
    </row>
    <row r="1028" spans="1:9">
      <c r="A1028">
        <v>1027</v>
      </c>
      <c r="B1028" s="2">
        <v>1027</v>
      </c>
      <c r="C1028" s="2">
        <f t="shared" si="62"/>
        <v>1769</v>
      </c>
      <c r="D1028" s="3">
        <v>1027</v>
      </c>
      <c r="E1028" s="3">
        <f t="shared" ref="E1028:E1091" si="63">INT((D1028-D$2)*1.3333333)+E$2</f>
        <v>2927</v>
      </c>
      <c r="F1028" s="51">
        <v>1027</v>
      </c>
      <c r="G1028" s="51">
        <f t="shared" ref="G1028:G1091" si="64">INT((F1028-F$2)*1.3333333)+G$2</f>
        <v>4085</v>
      </c>
      <c r="H1028" s="52">
        <v>1027</v>
      </c>
      <c r="I1028" s="52">
        <f t="shared" ref="I1028:I1091" si="65">INT((H1028-H$2)*1.3333333)+I$2</f>
        <v>5243</v>
      </c>
    </row>
    <row r="1029" spans="1:9">
      <c r="A1029">
        <v>1028</v>
      </c>
      <c r="B1029" s="2">
        <v>1028</v>
      </c>
      <c r="C1029" s="2">
        <f t="shared" si="62"/>
        <v>1771</v>
      </c>
      <c r="D1029" s="3">
        <v>1028</v>
      </c>
      <c r="E1029" s="3">
        <f t="shared" si="63"/>
        <v>2929</v>
      </c>
      <c r="F1029" s="51">
        <v>1028</v>
      </c>
      <c r="G1029" s="51">
        <f t="shared" si="64"/>
        <v>4087</v>
      </c>
      <c r="H1029" s="52">
        <v>1028</v>
      </c>
      <c r="I1029" s="52">
        <f t="shared" si="65"/>
        <v>5245</v>
      </c>
    </row>
    <row r="1030" spans="1:9">
      <c r="A1030">
        <v>1029</v>
      </c>
      <c r="B1030" s="2">
        <v>1029</v>
      </c>
      <c r="C1030" s="2">
        <f t="shared" si="62"/>
        <v>1772</v>
      </c>
      <c r="D1030" s="3">
        <v>1029</v>
      </c>
      <c r="E1030" s="3">
        <f t="shared" si="63"/>
        <v>2930</v>
      </c>
      <c r="F1030" s="51">
        <v>1029</v>
      </c>
      <c r="G1030" s="51">
        <f t="shared" si="64"/>
        <v>4088</v>
      </c>
      <c r="H1030" s="52">
        <v>1029</v>
      </c>
      <c r="I1030" s="52">
        <f t="shared" si="65"/>
        <v>5246</v>
      </c>
    </row>
    <row r="1031" spans="1:9">
      <c r="A1031">
        <v>1030</v>
      </c>
      <c r="B1031" s="2">
        <v>1030</v>
      </c>
      <c r="C1031" s="2">
        <f t="shared" si="62"/>
        <v>1773</v>
      </c>
      <c r="D1031" s="3">
        <v>1030</v>
      </c>
      <c r="E1031" s="3">
        <f t="shared" si="63"/>
        <v>2931</v>
      </c>
      <c r="F1031" s="51">
        <v>1030</v>
      </c>
      <c r="G1031" s="51">
        <f t="shared" si="64"/>
        <v>4089</v>
      </c>
      <c r="H1031" s="52">
        <v>1030</v>
      </c>
      <c r="I1031" s="52">
        <f t="shared" si="65"/>
        <v>5247</v>
      </c>
    </row>
    <row r="1032" spans="1:9">
      <c r="A1032">
        <v>1031</v>
      </c>
      <c r="B1032" s="2">
        <v>1031</v>
      </c>
      <c r="C1032" s="2">
        <f t="shared" si="62"/>
        <v>1775</v>
      </c>
      <c r="D1032" s="3">
        <v>1031</v>
      </c>
      <c r="E1032" s="3">
        <f t="shared" si="63"/>
        <v>2933</v>
      </c>
      <c r="F1032" s="51">
        <v>1031</v>
      </c>
      <c r="G1032" s="51">
        <f t="shared" si="64"/>
        <v>4091</v>
      </c>
      <c r="H1032" s="52">
        <v>1031</v>
      </c>
      <c r="I1032" s="52">
        <f t="shared" si="65"/>
        <v>5249</v>
      </c>
    </row>
    <row r="1033" spans="1:9">
      <c r="A1033">
        <v>1032</v>
      </c>
      <c r="B1033" s="2">
        <v>1032</v>
      </c>
      <c r="C1033" s="2">
        <f t="shared" si="62"/>
        <v>1776</v>
      </c>
      <c r="D1033" s="3">
        <v>1032</v>
      </c>
      <c r="E1033" s="3">
        <f t="shared" si="63"/>
        <v>2934</v>
      </c>
      <c r="F1033" s="51">
        <v>1032</v>
      </c>
      <c r="G1033" s="51">
        <f t="shared" si="64"/>
        <v>4092</v>
      </c>
      <c r="H1033" s="52">
        <v>1032</v>
      </c>
      <c r="I1033" s="52">
        <f t="shared" si="65"/>
        <v>5250</v>
      </c>
    </row>
    <row r="1034" spans="1:9">
      <c r="A1034">
        <v>1033</v>
      </c>
      <c r="B1034" s="2">
        <v>1033</v>
      </c>
      <c r="C1034" s="2">
        <f t="shared" si="62"/>
        <v>1777</v>
      </c>
      <c r="D1034" s="3">
        <v>1033</v>
      </c>
      <c r="E1034" s="3">
        <f t="shared" si="63"/>
        <v>2935</v>
      </c>
      <c r="F1034" s="51">
        <v>1033</v>
      </c>
      <c r="G1034" s="51">
        <f t="shared" si="64"/>
        <v>4093</v>
      </c>
      <c r="H1034" s="52">
        <v>1033</v>
      </c>
      <c r="I1034" s="52">
        <f t="shared" si="65"/>
        <v>5251</v>
      </c>
    </row>
    <row r="1035" spans="1:9">
      <c r="A1035">
        <v>1034</v>
      </c>
      <c r="B1035" s="2">
        <v>1034</v>
      </c>
      <c r="C1035" s="2">
        <f t="shared" si="62"/>
        <v>1779</v>
      </c>
      <c r="D1035" s="3">
        <v>1034</v>
      </c>
      <c r="E1035" s="3">
        <f t="shared" si="63"/>
        <v>2937</v>
      </c>
      <c r="F1035" s="51">
        <v>1034</v>
      </c>
      <c r="G1035" s="51">
        <f t="shared" si="64"/>
        <v>4095</v>
      </c>
      <c r="H1035" s="52">
        <v>1034</v>
      </c>
      <c r="I1035" s="52">
        <f t="shared" si="65"/>
        <v>5253</v>
      </c>
    </row>
    <row r="1036" spans="1:9">
      <c r="A1036">
        <v>1035</v>
      </c>
      <c r="B1036" s="2">
        <v>1035</v>
      </c>
      <c r="C1036" s="2">
        <f t="shared" si="62"/>
        <v>1780</v>
      </c>
      <c r="D1036" s="3">
        <v>1035</v>
      </c>
      <c r="E1036" s="3">
        <f t="shared" si="63"/>
        <v>2938</v>
      </c>
      <c r="F1036" s="51">
        <v>1035</v>
      </c>
      <c r="G1036" s="51">
        <f t="shared" si="64"/>
        <v>4096</v>
      </c>
      <c r="H1036" s="52">
        <v>1035</v>
      </c>
      <c r="I1036" s="52">
        <f t="shared" si="65"/>
        <v>5254</v>
      </c>
    </row>
    <row r="1037" spans="1:9">
      <c r="A1037">
        <v>1036</v>
      </c>
      <c r="B1037" s="2">
        <v>1036</v>
      </c>
      <c r="C1037" s="2">
        <f t="shared" si="62"/>
        <v>1781</v>
      </c>
      <c r="D1037" s="3">
        <v>1036</v>
      </c>
      <c r="E1037" s="3">
        <f t="shared" si="63"/>
        <v>2939</v>
      </c>
      <c r="F1037" s="51">
        <v>1036</v>
      </c>
      <c r="G1037" s="51">
        <f t="shared" si="64"/>
        <v>4097</v>
      </c>
      <c r="H1037" s="52">
        <v>1036</v>
      </c>
      <c r="I1037" s="52">
        <f t="shared" si="65"/>
        <v>5255</v>
      </c>
    </row>
    <row r="1038" spans="1:9">
      <c r="A1038">
        <v>1037</v>
      </c>
      <c r="B1038" s="2">
        <v>1037</v>
      </c>
      <c r="C1038" s="2">
        <f t="shared" si="62"/>
        <v>1783</v>
      </c>
      <c r="D1038" s="3">
        <v>1037</v>
      </c>
      <c r="E1038" s="3">
        <f t="shared" si="63"/>
        <v>2941</v>
      </c>
      <c r="F1038" s="51">
        <v>1037</v>
      </c>
      <c r="G1038" s="51">
        <f t="shared" si="64"/>
        <v>4099</v>
      </c>
      <c r="H1038" s="52">
        <v>1037</v>
      </c>
      <c r="I1038" s="52">
        <f t="shared" si="65"/>
        <v>5257</v>
      </c>
    </row>
    <row r="1039" spans="1:9">
      <c r="A1039">
        <v>1038</v>
      </c>
      <c r="B1039" s="2">
        <v>1038</v>
      </c>
      <c r="C1039" s="2">
        <f t="shared" si="62"/>
        <v>1784</v>
      </c>
      <c r="D1039" s="3">
        <v>1038</v>
      </c>
      <c r="E1039" s="3">
        <f t="shared" si="63"/>
        <v>2942</v>
      </c>
      <c r="F1039" s="51">
        <v>1038</v>
      </c>
      <c r="G1039" s="51">
        <f t="shared" si="64"/>
        <v>4100</v>
      </c>
      <c r="H1039" s="52">
        <v>1038</v>
      </c>
      <c r="I1039" s="52">
        <f t="shared" si="65"/>
        <v>5258</v>
      </c>
    </row>
    <row r="1040" spans="1:9">
      <c r="A1040">
        <v>1039</v>
      </c>
      <c r="B1040" s="2">
        <v>1039</v>
      </c>
      <c r="C1040" s="2">
        <f t="shared" si="62"/>
        <v>1785</v>
      </c>
      <c r="D1040" s="3">
        <v>1039</v>
      </c>
      <c r="E1040" s="3">
        <f t="shared" si="63"/>
        <v>2943</v>
      </c>
      <c r="F1040" s="51">
        <v>1039</v>
      </c>
      <c r="G1040" s="51">
        <f t="shared" si="64"/>
        <v>4101</v>
      </c>
      <c r="H1040" s="52">
        <v>1039</v>
      </c>
      <c r="I1040" s="52">
        <f t="shared" si="65"/>
        <v>5259</v>
      </c>
    </row>
    <row r="1041" spans="1:9">
      <c r="A1041">
        <v>1040</v>
      </c>
      <c r="B1041" s="2">
        <v>1040</v>
      </c>
      <c r="C1041" s="2">
        <f t="shared" si="62"/>
        <v>1787</v>
      </c>
      <c r="D1041" s="3">
        <v>1040</v>
      </c>
      <c r="E1041" s="3">
        <f t="shared" si="63"/>
        <v>2945</v>
      </c>
      <c r="F1041" s="51">
        <v>1040</v>
      </c>
      <c r="G1041" s="51">
        <f t="shared" si="64"/>
        <v>4103</v>
      </c>
      <c r="H1041" s="52">
        <v>1040</v>
      </c>
      <c r="I1041" s="52">
        <f t="shared" si="65"/>
        <v>5261</v>
      </c>
    </row>
    <row r="1042" spans="1:9">
      <c r="A1042">
        <v>1041</v>
      </c>
      <c r="B1042" s="2">
        <v>1041</v>
      </c>
      <c r="C1042" s="2">
        <f t="shared" si="62"/>
        <v>1788</v>
      </c>
      <c r="D1042" s="3">
        <v>1041</v>
      </c>
      <c r="E1042" s="3">
        <f t="shared" si="63"/>
        <v>2946</v>
      </c>
      <c r="F1042" s="51">
        <v>1041</v>
      </c>
      <c r="G1042" s="51">
        <f t="shared" si="64"/>
        <v>4104</v>
      </c>
      <c r="H1042" s="52">
        <v>1041</v>
      </c>
      <c r="I1042" s="52">
        <f t="shared" si="65"/>
        <v>5262</v>
      </c>
    </row>
    <row r="1043" spans="1:9">
      <c r="A1043">
        <v>1042</v>
      </c>
      <c r="B1043" s="2">
        <v>1042</v>
      </c>
      <c r="C1043" s="2">
        <f t="shared" si="62"/>
        <v>1789</v>
      </c>
      <c r="D1043" s="3">
        <v>1042</v>
      </c>
      <c r="E1043" s="3">
        <f t="shared" si="63"/>
        <v>2947</v>
      </c>
      <c r="F1043" s="51">
        <v>1042</v>
      </c>
      <c r="G1043" s="51">
        <f t="shared" si="64"/>
        <v>4105</v>
      </c>
      <c r="H1043" s="52">
        <v>1042</v>
      </c>
      <c r="I1043" s="52">
        <f t="shared" si="65"/>
        <v>5263</v>
      </c>
    </row>
    <row r="1044" spans="1:9">
      <c r="A1044">
        <v>1043</v>
      </c>
      <c r="B1044" s="2">
        <v>1043</v>
      </c>
      <c r="C1044" s="2">
        <f t="shared" si="62"/>
        <v>1791</v>
      </c>
      <c r="D1044" s="3">
        <v>1043</v>
      </c>
      <c r="E1044" s="3">
        <f t="shared" si="63"/>
        <v>2949</v>
      </c>
      <c r="F1044" s="51">
        <v>1043</v>
      </c>
      <c r="G1044" s="51">
        <f t="shared" si="64"/>
        <v>4107</v>
      </c>
      <c r="H1044" s="52">
        <v>1043</v>
      </c>
      <c r="I1044" s="52">
        <f t="shared" si="65"/>
        <v>5265</v>
      </c>
    </row>
    <row r="1045" spans="1:9">
      <c r="A1045">
        <v>1044</v>
      </c>
      <c r="B1045" s="2">
        <v>1044</v>
      </c>
      <c r="C1045" s="2">
        <f t="shared" si="62"/>
        <v>1792</v>
      </c>
      <c r="D1045" s="3">
        <v>1044</v>
      </c>
      <c r="E1045" s="3">
        <f t="shared" si="63"/>
        <v>2950</v>
      </c>
      <c r="F1045" s="51">
        <v>1044</v>
      </c>
      <c r="G1045" s="51">
        <f t="shared" si="64"/>
        <v>4108</v>
      </c>
      <c r="H1045" s="52">
        <v>1044</v>
      </c>
      <c r="I1045" s="52">
        <f t="shared" si="65"/>
        <v>5266</v>
      </c>
    </row>
    <row r="1046" spans="1:9">
      <c r="A1046">
        <v>1045</v>
      </c>
      <c r="B1046" s="2">
        <v>1045</v>
      </c>
      <c r="C1046" s="2">
        <f t="shared" si="62"/>
        <v>1793</v>
      </c>
      <c r="D1046" s="3">
        <v>1045</v>
      </c>
      <c r="E1046" s="3">
        <f t="shared" si="63"/>
        <v>2951</v>
      </c>
      <c r="F1046" s="51">
        <v>1045</v>
      </c>
      <c r="G1046" s="51">
        <f t="shared" si="64"/>
        <v>4109</v>
      </c>
      <c r="H1046" s="52">
        <v>1045</v>
      </c>
      <c r="I1046" s="52">
        <f t="shared" si="65"/>
        <v>5267</v>
      </c>
    </row>
    <row r="1047" spans="1:9">
      <c r="A1047">
        <v>1046</v>
      </c>
      <c r="B1047" s="2">
        <v>1046</v>
      </c>
      <c r="C1047" s="2">
        <f t="shared" si="62"/>
        <v>1795</v>
      </c>
      <c r="D1047" s="3">
        <v>1046</v>
      </c>
      <c r="E1047" s="3">
        <f t="shared" si="63"/>
        <v>2953</v>
      </c>
      <c r="F1047" s="51">
        <v>1046</v>
      </c>
      <c r="G1047" s="51">
        <f t="shared" si="64"/>
        <v>4111</v>
      </c>
      <c r="H1047" s="52">
        <v>1046</v>
      </c>
      <c r="I1047" s="52">
        <f t="shared" si="65"/>
        <v>5269</v>
      </c>
    </row>
    <row r="1048" spans="1:9">
      <c r="A1048">
        <v>1047</v>
      </c>
      <c r="B1048" s="2">
        <v>1047</v>
      </c>
      <c r="C1048" s="2">
        <f t="shared" si="62"/>
        <v>1796</v>
      </c>
      <c r="D1048" s="3">
        <v>1047</v>
      </c>
      <c r="E1048" s="3">
        <f t="shared" si="63"/>
        <v>2954</v>
      </c>
      <c r="F1048" s="51">
        <v>1047</v>
      </c>
      <c r="G1048" s="51">
        <f t="shared" si="64"/>
        <v>4112</v>
      </c>
      <c r="H1048" s="52">
        <v>1047</v>
      </c>
      <c r="I1048" s="52">
        <f t="shared" si="65"/>
        <v>5270</v>
      </c>
    </row>
    <row r="1049" spans="1:9">
      <c r="A1049">
        <v>1048</v>
      </c>
      <c r="B1049" s="2">
        <v>1048</v>
      </c>
      <c r="C1049" s="2">
        <f t="shared" si="62"/>
        <v>1797</v>
      </c>
      <c r="D1049" s="3">
        <v>1048</v>
      </c>
      <c r="E1049" s="3">
        <f t="shared" si="63"/>
        <v>2955</v>
      </c>
      <c r="F1049" s="51">
        <v>1048</v>
      </c>
      <c r="G1049" s="51">
        <f t="shared" si="64"/>
        <v>4113</v>
      </c>
      <c r="H1049" s="52">
        <v>1048</v>
      </c>
      <c r="I1049" s="52">
        <f t="shared" si="65"/>
        <v>5271</v>
      </c>
    </row>
    <row r="1050" spans="1:9">
      <c r="A1050">
        <v>1049</v>
      </c>
      <c r="B1050" s="2">
        <v>1049</v>
      </c>
      <c r="C1050" s="2">
        <f t="shared" si="62"/>
        <v>1799</v>
      </c>
      <c r="D1050" s="3">
        <v>1049</v>
      </c>
      <c r="E1050" s="3">
        <f t="shared" si="63"/>
        <v>2957</v>
      </c>
      <c r="F1050" s="51">
        <v>1049</v>
      </c>
      <c r="G1050" s="51">
        <f t="shared" si="64"/>
        <v>4115</v>
      </c>
      <c r="H1050" s="52">
        <v>1049</v>
      </c>
      <c r="I1050" s="52">
        <f t="shared" si="65"/>
        <v>5273</v>
      </c>
    </row>
    <row r="1051" spans="1:9">
      <c r="A1051">
        <v>1050</v>
      </c>
      <c r="B1051" s="2">
        <v>1050</v>
      </c>
      <c r="C1051" s="2">
        <f t="shared" si="62"/>
        <v>1800</v>
      </c>
      <c r="D1051" s="3">
        <v>1050</v>
      </c>
      <c r="E1051" s="3">
        <f t="shared" si="63"/>
        <v>2958</v>
      </c>
      <c r="F1051" s="51">
        <v>1050</v>
      </c>
      <c r="G1051" s="51">
        <f t="shared" si="64"/>
        <v>4116</v>
      </c>
      <c r="H1051" s="52">
        <v>1050</v>
      </c>
      <c r="I1051" s="52">
        <f t="shared" si="65"/>
        <v>5274</v>
      </c>
    </row>
    <row r="1052" spans="1:9">
      <c r="A1052">
        <v>1051</v>
      </c>
      <c r="B1052" s="2">
        <v>1051</v>
      </c>
      <c r="C1052" s="2">
        <f t="shared" si="62"/>
        <v>1801</v>
      </c>
      <c r="D1052" s="3">
        <v>1051</v>
      </c>
      <c r="E1052" s="3">
        <f t="shared" si="63"/>
        <v>2959</v>
      </c>
      <c r="F1052" s="51">
        <v>1051</v>
      </c>
      <c r="G1052" s="51">
        <f t="shared" si="64"/>
        <v>4117</v>
      </c>
      <c r="H1052" s="52">
        <v>1051</v>
      </c>
      <c r="I1052" s="52">
        <f t="shared" si="65"/>
        <v>5275</v>
      </c>
    </row>
    <row r="1053" spans="1:9">
      <c r="A1053">
        <v>1052</v>
      </c>
      <c r="B1053" s="2">
        <v>1052</v>
      </c>
      <c r="C1053" s="2">
        <f t="shared" si="62"/>
        <v>1803</v>
      </c>
      <c r="D1053" s="3">
        <v>1052</v>
      </c>
      <c r="E1053" s="3">
        <f t="shared" si="63"/>
        <v>2961</v>
      </c>
      <c r="F1053" s="51">
        <v>1052</v>
      </c>
      <c r="G1053" s="51">
        <f t="shared" si="64"/>
        <v>4119</v>
      </c>
      <c r="H1053" s="52">
        <v>1052</v>
      </c>
      <c r="I1053" s="52">
        <f t="shared" si="65"/>
        <v>5277</v>
      </c>
    </row>
    <row r="1054" spans="1:9">
      <c r="A1054">
        <v>1053</v>
      </c>
      <c r="B1054" s="2">
        <v>1053</v>
      </c>
      <c r="C1054" s="2">
        <f t="shared" si="62"/>
        <v>1804</v>
      </c>
      <c r="D1054" s="3">
        <v>1053</v>
      </c>
      <c r="E1054" s="3">
        <f t="shared" si="63"/>
        <v>2962</v>
      </c>
      <c r="F1054" s="51">
        <v>1053</v>
      </c>
      <c r="G1054" s="51">
        <f t="shared" si="64"/>
        <v>4120</v>
      </c>
      <c r="H1054" s="52">
        <v>1053</v>
      </c>
      <c r="I1054" s="52">
        <f t="shared" si="65"/>
        <v>5278</v>
      </c>
    </row>
    <row r="1055" spans="1:9">
      <c r="A1055">
        <v>1054</v>
      </c>
      <c r="B1055" s="2">
        <v>1054</v>
      </c>
      <c r="C1055" s="2">
        <f t="shared" si="62"/>
        <v>1805</v>
      </c>
      <c r="D1055" s="3">
        <v>1054</v>
      </c>
      <c r="E1055" s="3">
        <f t="shared" si="63"/>
        <v>2963</v>
      </c>
      <c r="F1055" s="51">
        <v>1054</v>
      </c>
      <c r="G1055" s="51">
        <f t="shared" si="64"/>
        <v>4121</v>
      </c>
      <c r="H1055" s="52">
        <v>1054</v>
      </c>
      <c r="I1055" s="52">
        <f t="shared" si="65"/>
        <v>5279</v>
      </c>
    </row>
    <row r="1056" spans="1:9">
      <c r="A1056">
        <v>1055</v>
      </c>
      <c r="B1056" s="2">
        <v>1055</v>
      </c>
      <c r="C1056" s="2">
        <f t="shared" si="62"/>
        <v>1807</v>
      </c>
      <c r="D1056" s="3">
        <v>1055</v>
      </c>
      <c r="E1056" s="3">
        <f t="shared" si="63"/>
        <v>2965</v>
      </c>
      <c r="F1056" s="51">
        <v>1055</v>
      </c>
      <c r="G1056" s="51">
        <f t="shared" si="64"/>
        <v>4123</v>
      </c>
      <c r="H1056" s="52">
        <v>1055</v>
      </c>
      <c r="I1056" s="52">
        <f t="shared" si="65"/>
        <v>5281</v>
      </c>
    </row>
    <row r="1057" spans="1:9">
      <c r="A1057">
        <v>1056</v>
      </c>
      <c r="B1057" s="2">
        <v>1056</v>
      </c>
      <c r="C1057" s="2">
        <f t="shared" si="62"/>
        <v>1808</v>
      </c>
      <c r="D1057" s="3">
        <v>1056</v>
      </c>
      <c r="E1057" s="3">
        <f t="shared" si="63"/>
        <v>2966</v>
      </c>
      <c r="F1057" s="51">
        <v>1056</v>
      </c>
      <c r="G1057" s="51">
        <f t="shared" si="64"/>
        <v>4124</v>
      </c>
      <c r="H1057" s="52">
        <v>1056</v>
      </c>
      <c r="I1057" s="52">
        <f t="shared" si="65"/>
        <v>5282</v>
      </c>
    </row>
    <row r="1058" spans="1:9">
      <c r="A1058">
        <v>1057</v>
      </c>
      <c r="B1058" s="2">
        <v>1057</v>
      </c>
      <c r="C1058" s="2">
        <f t="shared" si="62"/>
        <v>1809</v>
      </c>
      <c r="D1058" s="3">
        <v>1057</v>
      </c>
      <c r="E1058" s="3">
        <f t="shared" si="63"/>
        <v>2967</v>
      </c>
      <c r="F1058" s="51">
        <v>1057</v>
      </c>
      <c r="G1058" s="51">
        <f t="shared" si="64"/>
        <v>4125</v>
      </c>
      <c r="H1058" s="52">
        <v>1057</v>
      </c>
      <c r="I1058" s="52">
        <f t="shared" si="65"/>
        <v>5283</v>
      </c>
    </row>
    <row r="1059" spans="1:9">
      <c r="A1059">
        <v>1058</v>
      </c>
      <c r="B1059" s="2">
        <v>1058</v>
      </c>
      <c r="C1059" s="2">
        <f t="shared" si="62"/>
        <v>1811</v>
      </c>
      <c r="D1059" s="3">
        <v>1058</v>
      </c>
      <c r="E1059" s="3">
        <f t="shared" si="63"/>
        <v>2969</v>
      </c>
      <c r="F1059" s="51">
        <v>1058</v>
      </c>
      <c r="G1059" s="51">
        <f t="shared" si="64"/>
        <v>4127</v>
      </c>
      <c r="H1059" s="52">
        <v>1058</v>
      </c>
      <c r="I1059" s="52">
        <f t="shared" si="65"/>
        <v>5285</v>
      </c>
    </row>
    <row r="1060" spans="1:9">
      <c r="A1060">
        <v>1059</v>
      </c>
      <c r="B1060" s="2">
        <v>1059</v>
      </c>
      <c r="C1060" s="2">
        <f t="shared" si="62"/>
        <v>1812</v>
      </c>
      <c r="D1060" s="3">
        <v>1059</v>
      </c>
      <c r="E1060" s="3">
        <f t="shared" si="63"/>
        <v>2970</v>
      </c>
      <c r="F1060" s="51">
        <v>1059</v>
      </c>
      <c r="G1060" s="51">
        <f t="shared" si="64"/>
        <v>4128</v>
      </c>
      <c r="H1060" s="52">
        <v>1059</v>
      </c>
      <c r="I1060" s="52">
        <f t="shared" si="65"/>
        <v>5286</v>
      </c>
    </row>
    <row r="1061" spans="1:9">
      <c r="A1061">
        <v>1060</v>
      </c>
      <c r="B1061" s="2">
        <v>1060</v>
      </c>
      <c r="C1061" s="2">
        <f t="shared" si="62"/>
        <v>1813</v>
      </c>
      <c r="D1061" s="3">
        <v>1060</v>
      </c>
      <c r="E1061" s="3">
        <f t="shared" si="63"/>
        <v>2971</v>
      </c>
      <c r="F1061" s="51">
        <v>1060</v>
      </c>
      <c r="G1061" s="51">
        <f t="shared" si="64"/>
        <v>4129</v>
      </c>
      <c r="H1061" s="52">
        <v>1060</v>
      </c>
      <c r="I1061" s="52">
        <f t="shared" si="65"/>
        <v>5287</v>
      </c>
    </row>
    <row r="1062" spans="1:9">
      <c r="A1062">
        <v>1061</v>
      </c>
      <c r="B1062" s="2">
        <v>1061</v>
      </c>
      <c r="C1062" s="2">
        <f t="shared" si="62"/>
        <v>1815</v>
      </c>
      <c r="D1062" s="3">
        <v>1061</v>
      </c>
      <c r="E1062" s="3">
        <f t="shared" si="63"/>
        <v>2973</v>
      </c>
      <c r="F1062" s="51">
        <v>1061</v>
      </c>
      <c r="G1062" s="51">
        <f t="shared" si="64"/>
        <v>4131</v>
      </c>
      <c r="H1062" s="52">
        <v>1061</v>
      </c>
      <c r="I1062" s="52">
        <f t="shared" si="65"/>
        <v>5289</v>
      </c>
    </row>
    <row r="1063" spans="1:9">
      <c r="A1063">
        <v>1062</v>
      </c>
      <c r="B1063" s="2">
        <v>1062</v>
      </c>
      <c r="C1063" s="2">
        <f t="shared" si="62"/>
        <v>1816</v>
      </c>
      <c r="D1063" s="3">
        <v>1062</v>
      </c>
      <c r="E1063" s="3">
        <f t="shared" si="63"/>
        <v>2974</v>
      </c>
      <c r="F1063" s="51">
        <v>1062</v>
      </c>
      <c r="G1063" s="51">
        <f t="shared" si="64"/>
        <v>4132</v>
      </c>
      <c r="H1063" s="52">
        <v>1062</v>
      </c>
      <c r="I1063" s="52">
        <f t="shared" si="65"/>
        <v>5290</v>
      </c>
    </row>
    <row r="1064" spans="1:9">
      <c r="A1064">
        <v>1063</v>
      </c>
      <c r="B1064" s="2">
        <v>1063</v>
      </c>
      <c r="C1064" s="2">
        <f t="shared" si="62"/>
        <v>1817</v>
      </c>
      <c r="D1064" s="3">
        <v>1063</v>
      </c>
      <c r="E1064" s="3">
        <f t="shared" si="63"/>
        <v>2975</v>
      </c>
      <c r="F1064" s="51">
        <v>1063</v>
      </c>
      <c r="G1064" s="51">
        <f t="shared" si="64"/>
        <v>4133</v>
      </c>
      <c r="H1064" s="52">
        <v>1063</v>
      </c>
      <c r="I1064" s="52">
        <f t="shared" si="65"/>
        <v>5291</v>
      </c>
    </row>
    <row r="1065" spans="1:9">
      <c r="A1065">
        <v>1064</v>
      </c>
      <c r="B1065" s="2">
        <v>1064</v>
      </c>
      <c r="C1065" s="2">
        <f t="shared" si="62"/>
        <v>1819</v>
      </c>
      <c r="D1065" s="3">
        <v>1064</v>
      </c>
      <c r="E1065" s="3">
        <f t="shared" si="63"/>
        <v>2977</v>
      </c>
      <c r="F1065" s="51">
        <v>1064</v>
      </c>
      <c r="G1065" s="51">
        <f t="shared" si="64"/>
        <v>4135</v>
      </c>
      <c r="H1065" s="52">
        <v>1064</v>
      </c>
      <c r="I1065" s="52">
        <f t="shared" si="65"/>
        <v>5293</v>
      </c>
    </row>
    <row r="1066" spans="1:9">
      <c r="A1066">
        <v>1065</v>
      </c>
      <c r="B1066" s="2">
        <v>1065</v>
      </c>
      <c r="C1066" s="2">
        <f t="shared" si="62"/>
        <v>1820</v>
      </c>
      <c r="D1066" s="3">
        <v>1065</v>
      </c>
      <c r="E1066" s="3">
        <f t="shared" si="63"/>
        <v>2978</v>
      </c>
      <c r="F1066" s="51">
        <v>1065</v>
      </c>
      <c r="G1066" s="51">
        <f t="shared" si="64"/>
        <v>4136</v>
      </c>
      <c r="H1066" s="52">
        <v>1065</v>
      </c>
      <c r="I1066" s="52">
        <f t="shared" si="65"/>
        <v>5294</v>
      </c>
    </row>
    <row r="1067" spans="1:9">
      <c r="A1067">
        <v>1066</v>
      </c>
      <c r="B1067" s="2">
        <v>1066</v>
      </c>
      <c r="C1067" s="2">
        <f t="shared" si="62"/>
        <v>1821</v>
      </c>
      <c r="D1067" s="3">
        <v>1066</v>
      </c>
      <c r="E1067" s="3">
        <f t="shared" si="63"/>
        <v>2979</v>
      </c>
      <c r="F1067" s="51">
        <v>1066</v>
      </c>
      <c r="G1067" s="51">
        <f t="shared" si="64"/>
        <v>4137</v>
      </c>
      <c r="H1067" s="52">
        <v>1066</v>
      </c>
      <c r="I1067" s="52">
        <f t="shared" si="65"/>
        <v>5295</v>
      </c>
    </row>
    <row r="1068" spans="1:9">
      <c r="A1068">
        <v>1067</v>
      </c>
      <c r="B1068" s="2">
        <v>1067</v>
      </c>
      <c r="C1068" s="2">
        <f t="shared" si="62"/>
        <v>1823</v>
      </c>
      <c r="D1068" s="3">
        <v>1067</v>
      </c>
      <c r="E1068" s="3">
        <f t="shared" si="63"/>
        <v>2981</v>
      </c>
      <c r="F1068" s="51">
        <v>1067</v>
      </c>
      <c r="G1068" s="51">
        <f t="shared" si="64"/>
        <v>4139</v>
      </c>
      <c r="H1068" s="52">
        <v>1067</v>
      </c>
      <c r="I1068" s="52">
        <f t="shared" si="65"/>
        <v>5297</v>
      </c>
    </row>
    <row r="1069" spans="1:9">
      <c r="A1069">
        <v>1068</v>
      </c>
      <c r="B1069" s="2">
        <v>1068</v>
      </c>
      <c r="C1069" s="2">
        <f t="shared" si="62"/>
        <v>1824</v>
      </c>
      <c r="D1069" s="3">
        <v>1068</v>
      </c>
      <c r="E1069" s="3">
        <f t="shared" si="63"/>
        <v>2982</v>
      </c>
      <c r="F1069" s="51">
        <v>1068</v>
      </c>
      <c r="G1069" s="51">
        <f t="shared" si="64"/>
        <v>4140</v>
      </c>
      <c r="H1069" s="52">
        <v>1068</v>
      </c>
      <c r="I1069" s="52">
        <f t="shared" si="65"/>
        <v>5298</v>
      </c>
    </row>
    <row r="1070" spans="1:9">
      <c r="A1070">
        <v>1069</v>
      </c>
      <c r="B1070" s="2">
        <v>1069</v>
      </c>
      <c r="C1070" s="2">
        <f t="shared" si="62"/>
        <v>1825</v>
      </c>
      <c r="D1070" s="3">
        <v>1069</v>
      </c>
      <c r="E1070" s="3">
        <f t="shared" si="63"/>
        <v>2983</v>
      </c>
      <c r="F1070" s="51">
        <v>1069</v>
      </c>
      <c r="G1070" s="51">
        <f t="shared" si="64"/>
        <v>4141</v>
      </c>
      <c r="H1070" s="52">
        <v>1069</v>
      </c>
      <c r="I1070" s="52">
        <f t="shared" si="65"/>
        <v>5299</v>
      </c>
    </row>
    <row r="1071" spans="1:9">
      <c r="A1071">
        <v>1070</v>
      </c>
      <c r="B1071" s="2">
        <v>1070</v>
      </c>
      <c r="C1071" s="2">
        <f t="shared" si="62"/>
        <v>1827</v>
      </c>
      <c r="D1071" s="3">
        <v>1070</v>
      </c>
      <c r="E1071" s="3">
        <f t="shared" si="63"/>
        <v>2985</v>
      </c>
      <c r="F1071" s="51">
        <v>1070</v>
      </c>
      <c r="G1071" s="51">
        <f t="shared" si="64"/>
        <v>4143</v>
      </c>
      <c r="H1071" s="52">
        <v>1070</v>
      </c>
      <c r="I1071" s="52">
        <f t="shared" si="65"/>
        <v>5301</v>
      </c>
    </row>
    <row r="1072" spans="1:9">
      <c r="A1072">
        <v>1071</v>
      </c>
      <c r="B1072" s="2">
        <v>1071</v>
      </c>
      <c r="C1072" s="2">
        <f t="shared" si="62"/>
        <v>1828</v>
      </c>
      <c r="D1072" s="3">
        <v>1071</v>
      </c>
      <c r="E1072" s="3">
        <f t="shared" si="63"/>
        <v>2986</v>
      </c>
      <c r="F1072" s="51">
        <v>1071</v>
      </c>
      <c r="G1072" s="51">
        <f t="shared" si="64"/>
        <v>4144</v>
      </c>
      <c r="H1072" s="52">
        <v>1071</v>
      </c>
      <c r="I1072" s="52">
        <f t="shared" si="65"/>
        <v>5302</v>
      </c>
    </row>
    <row r="1073" spans="1:9">
      <c r="A1073">
        <v>1072</v>
      </c>
      <c r="B1073" s="2">
        <v>1072</v>
      </c>
      <c r="C1073" s="2">
        <f t="shared" si="62"/>
        <v>1829</v>
      </c>
      <c r="D1073" s="3">
        <v>1072</v>
      </c>
      <c r="E1073" s="3">
        <f t="shared" si="63"/>
        <v>2987</v>
      </c>
      <c r="F1073" s="51">
        <v>1072</v>
      </c>
      <c r="G1073" s="51">
        <f t="shared" si="64"/>
        <v>4145</v>
      </c>
      <c r="H1073" s="52">
        <v>1072</v>
      </c>
      <c r="I1073" s="52">
        <f t="shared" si="65"/>
        <v>5303</v>
      </c>
    </row>
    <row r="1074" spans="1:9">
      <c r="A1074">
        <v>1073</v>
      </c>
      <c r="B1074" s="2">
        <v>1073</v>
      </c>
      <c r="C1074" s="2">
        <f t="shared" si="62"/>
        <v>1831</v>
      </c>
      <c r="D1074" s="3">
        <v>1073</v>
      </c>
      <c r="E1074" s="3">
        <f t="shared" si="63"/>
        <v>2989</v>
      </c>
      <c r="F1074" s="51">
        <v>1073</v>
      </c>
      <c r="G1074" s="51">
        <f t="shared" si="64"/>
        <v>4147</v>
      </c>
      <c r="H1074" s="52">
        <v>1073</v>
      </c>
      <c r="I1074" s="52">
        <f t="shared" si="65"/>
        <v>5305</v>
      </c>
    </row>
    <row r="1075" spans="1:9">
      <c r="A1075">
        <v>1074</v>
      </c>
      <c r="B1075" s="2">
        <v>1074</v>
      </c>
      <c r="C1075" s="2">
        <f t="shared" si="62"/>
        <v>1832</v>
      </c>
      <c r="D1075" s="3">
        <v>1074</v>
      </c>
      <c r="E1075" s="3">
        <f t="shared" si="63"/>
        <v>2990</v>
      </c>
      <c r="F1075" s="51">
        <v>1074</v>
      </c>
      <c r="G1075" s="51">
        <f t="shared" si="64"/>
        <v>4148</v>
      </c>
      <c r="H1075" s="52">
        <v>1074</v>
      </c>
      <c r="I1075" s="52">
        <f t="shared" si="65"/>
        <v>5306</v>
      </c>
    </row>
    <row r="1076" spans="1:9">
      <c r="A1076">
        <v>1075</v>
      </c>
      <c r="B1076" s="2">
        <v>1075</v>
      </c>
      <c r="C1076" s="2">
        <f t="shared" si="62"/>
        <v>1833</v>
      </c>
      <c r="D1076" s="3">
        <v>1075</v>
      </c>
      <c r="E1076" s="3">
        <f t="shared" si="63"/>
        <v>2991</v>
      </c>
      <c r="F1076" s="51">
        <v>1075</v>
      </c>
      <c r="G1076" s="51">
        <f t="shared" si="64"/>
        <v>4149</v>
      </c>
      <c r="H1076" s="52">
        <v>1075</v>
      </c>
      <c r="I1076" s="52">
        <f t="shared" si="65"/>
        <v>5307</v>
      </c>
    </row>
    <row r="1077" spans="1:9">
      <c r="A1077">
        <v>1076</v>
      </c>
      <c r="B1077" s="2">
        <v>1076</v>
      </c>
      <c r="C1077" s="2">
        <f t="shared" si="62"/>
        <v>1835</v>
      </c>
      <c r="D1077" s="3">
        <v>1076</v>
      </c>
      <c r="E1077" s="3">
        <f t="shared" si="63"/>
        <v>2993</v>
      </c>
      <c r="F1077" s="51">
        <v>1076</v>
      </c>
      <c r="G1077" s="51">
        <f t="shared" si="64"/>
        <v>4151</v>
      </c>
      <c r="H1077" s="52">
        <v>1076</v>
      </c>
      <c r="I1077" s="52">
        <f t="shared" si="65"/>
        <v>5309</v>
      </c>
    </row>
    <row r="1078" spans="1:9">
      <c r="A1078">
        <v>1077</v>
      </c>
      <c r="B1078" s="2">
        <v>1077</v>
      </c>
      <c r="C1078" s="2">
        <f t="shared" si="62"/>
        <v>1836</v>
      </c>
      <c r="D1078" s="3">
        <v>1077</v>
      </c>
      <c r="E1078" s="3">
        <f t="shared" si="63"/>
        <v>2994</v>
      </c>
      <c r="F1078" s="51">
        <v>1077</v>
      </c>
      <c r="G1078" s="51">
        <f t="shared" si="64"/>
        <v>4152</v>
      </c>
      <c r="H1078" s="52">
        <v>1077</v>
      </c>
      <c r="I1078" s="52">
        <f t="shared" si="65"/>
        <v>5310</v>
      </c>
    </row>
    <row r="1079" spans="1:9">
      <c r="A1079">
        <v>1078</v>
      </c>
      <c r="B1079" s="2">
        <v>1078</v>
      </c>
      <c r="C1079" s="2">
        <f t="shared" si="62"/>
        <v>1837</v>
      </c>
      <c r="D1079" s="3">
        <v>1078</v>
      </c>
      <c r="E1079" s="3">
        <f t="shared" si="63"/>
        <v>2995</v>
      </c>
      <c r="F1079" s="51">
        <v>1078</v>
      </c>
      <c r="G1079" s="51">
        <f t="shared" si="64"/>
        <v>4153</v>
      </c>
      <c r="H1079" s="52">
        <v>1078</v>
      </c>
      <c r="I1079" s="52">
        <f t="shared" si="65"/>
        <v>5311</v>
      </c>
    </row>
    <row r="1080" spans="1:9">
      <c r="A1080">
        <v>1079</v>
      </c>
      <c r="B1080" s="2">
        <v>1079</v>
      </c>
      <c r="C1080" s="2">
        <f t="shared" si="62"/>
        <v>1839</v>
      </c>
      <c r="D1080" s="3">
        <v>1079</v>
      </c>
      <c r="E1080" s="3">
        <f t="shared" si="63"/>
        <v>2997</v>
      </c>
      <c r="F1080" s="51">
        <v>1079</v>
      </c>
      <c r="G1080" s="51">
        <f t="shared" si="64"/>
        <v>4155</v>
      </c>
      <c r="H1080" s="52">
        <v>1079</v>
      </c>
      <c r="I1080" s="52">
        <f t="shared" si="65"/>
        <v>5313</v>
      </c>
    </row>
    <row r="1081" spans="1:9">
      <c r="A1081">
        <v>1080</v>
      </c>
      <c r="B1081" s="2">
        <v>1080</v>
      </c>
      <c r="C1081" s="2">
        <f t="shared" si="62"/>
        <v>1840</v>
      </c>
      <c r="D1081" s="3">
        <v>1080</v>
      </c>
      <c r="E1081" s="3">
        <f t="shared" si="63"/>
        <v>2998</v>
      </c>
      <c r="F1081" s="51">
        <v>1080</v>
      </c>
      <c r="G1081" s="51">
        <f t="shared" si="64"/>
        <v>4156</v>
      </c>
      <c r="H1081" s="52">
        <v>1080</v>
      </c>
      <c r="I1081" s="52">
        <f t="shared" si="65"/>
        <v>5314</v>
      </c>
    </row>
    <row r="1082" spans="1:9">
      <c r="A1082">
        <v>1081</v>
      </c>
      <c r="B1082" s="2">
        <v>1081</v>
      </c>
      <c r="C1082" s="2">
        <f t="shared" si="62"/>
        <v>1841</v>
      </c>
      <c r="D1082" s="3">
        <v>1081</v>
      </c>
      <c r="E1082" s="3">
        <f t="shared" si="63"/>
        <v>2999</v>
      </c>
      <c r="F1082" s="51">
        <v>1081</v>
      </c>
      <c r="G1082" s="51">
        <f t="shared" si="64"/>
        <v>4157</v>
      </c>
      <c r="H1082" s="52">
        <v>1081</v>
      </c>
      <c r="I1082" s="52">
        <f t="shared" si="65"/>
        <v>5315</v>
      </c>
    </row>
    <row r="1083" spans="1:9">
      <c r="A1083">
        <v>1082</v>
      </c>
      <c r="B1083" s="2">
        <v>1082</v>
      </c>
      <c r="C1083" s="2">
        <f t="shared" si="62"/>
        <v>1843</v>
      </c>
      <c r="D1083" s="3">
        <v>1082</v>
      </c>
      <c r="E1083" s="3">
        <f t="shared" si="63"/>
        <v>3001</v>
      </c>
      <c r="F1083" s="51">
        <v>1082</v>
      </c>
      <c r="G1083" s="51">
        <f t="shared" si="64"/>
        <v>4159</v>
      </c>
      <c r="H1083" s="52">
        <v>1082</v>
      </c>
      <c r="I1083" s="52">
        <f t="shared" si="65"/>
        <v>5317</v>
      </c>
    </row>
    <row r="1084" spans="1:9">
      <c r="A1084">
        <v>1083</v>
      </c>
      <c r="B1084" s="2">
        <v>1083</v>
      </c>
      <c r="C1084" s="2">
        <f t="shared" ref="C1084:C1147" si="66">INT((B1084-B$122)*1.3333333)+C$122</f>
        <v>1844</v>
      </c>
      <c r="D1084" s="3">
        <v>1083</v>
      </c>
      <c r="E1084" s="3">
        <f t="shared" si="63"/>
        <v>3002</v>
      </c>
      <c r="F1084" s="51">
        <v>1083</v>
      </c>
      <c r="G1084" s="51">
        <f t="shared" si="64"/>
        <v>4160</v>
      </c>
      <c r="H1084" s="52">
        <v>1083</v>
      </c>
      <c r="I1084" s="52">
        <f t="shared" si="65"/>
        <v>5318</v>
      </c>
    </row>
    <row r="1085" spans="1:9">
      <c r="A1085">
        <v>1084</v>
      </c>
      <c r="B1085" s="2">
        <v>1084</v>
      </c>
      <c r="C1085" s="2">
        <f t="shared" si="66"/>
        <v>1845</v>
      </c>
      <c r="D1085" s="3">
        <v>1084</v>
      </c>
      <c r="E1085" s="3">
        <f t="shared" si="63"/>
        <v>3003</v>
      </c>
      <c r="F1085" s="51">
        <v>1084</v>
      </c>
      <c r="G1085" s="51">
        <f t="shared" si="64"/>
        <v>4161</v>
      </c>
      <c r="H1085" s="52">
        <v>1084</v>
      </c>
      <c r="I1085" s="52">
        <f t="shared" si="65"/>
        <v>5319</v>
      </c>
    </row>
    <row r="1086" spans="1:9">
      <c r="A1086">
        <v>1085</v>
      </c>
      <c r="B1086" s="2">
        <v>1085</v>
      </c>
      <c r="C1086" s="2">
        <f t="shared" si="66"/>
        <v>1847</v>
      </c>
      <c r="D1086" s="3">
        <v>1085</v>
      </c>
      <c r="E1086" s="3">
        <f t="shared" si="63"/>
        <v>3005</v>
      </c>
      <c r="F1086" s="51">
        <v>1085</v>
      </c>
      <c r="G1086" s="51">
        <f t="shared" si="64"/>
        <v>4163</v>
      </c>
      <c r="H1086" s="52">
        <v>1085</v>
      </c>
      <c r="I1086" s="52">
        <f t="shared" si="65"/>
        <v>5321</v>
      </c>
    </row>
    <row r="1087" spans="1:9">
      <c r="A1087">
        <v>1086</v>
      </c>
      <c r="B1087" s="2">
        <v>1086</v>
      </c>
      <c r="C1087" s="2">
        <f t="shared" si="66"/>
        <v>1848</v>
      </c>
      <c r="D1087" s="3">
        <v>1086</v>
      </c>
      <c r="E1087" s="3">
        <f t="shared" si="63"/>
        <v>3006</v>
      </c>
      <c r="F1087" s="51">
        <v>1086</v>
      </c>
      <c r="G1087" s="51">
        <f t="shared" si="64"/>
        <v>4164</v>
      </c>
      <c r="H1087" s="52">
        <v>1086</v>
      </c>
      <c r="I1087" s="52">
        <f t="shared" si="65"/>
        <v>5322</v>
      </c>
    </row>
    <row r="1088" spans="1:9">
      <c r="A1088">
        <v>1087</v>
      </c>
      <c r="B1088" s="2">
        <v>1087</v>
      </c>
      <c r="C1088" s="2">
        <f t="shared" si="66"/>
        <v>1849</v>
      </c>
      <c r="D1088" s="3">
        <v>1087</v>
      </c>
      <c r="E1088" s="3">
        <f t="shared" si="63"/>
        <v>3007</v>
      </c>
      <c r="F1088" s="51">
        <v>1087</v>
      </c>
      <c r="G1088" s="51">
        <f t="shared" si="64"/>
        <v>4165</v>
      </c>
      <c r="H1088" s="52">
        <v>1087</v>
      </c>
      <c r="I1088" s="52">
        <f t="shared" si="65"/>
        <v>5323</v>
      </c>
    </row>
    <row r="1089" spans="1:9">
      <c r="A1089">
        <v>1088</v>
      </c>
      <c r="B1089" s="2">
        <v>1088</v>
      </c>
      <c r="C1089" s="2">
        <f t="shared" si="66"/>
        <v>1851</v>
      </c>
      <c r="D1089" s="3">
        <v>1088</v>
      </c>
      <c r="E1089" s="3">
        <f t="shared" si="63"/>
        <v>3009</v>
      </c>
      <c r="F1089" s="51">
        <v>1088</v>
      </c>
      <c r="G1089" s="51">
        <f t="shared" si="64"/>
        <v>4167</v>
      </c>
      <c r="H1089" s="52">
        <v>1088</v>
      </c>
      <c r="I1089" s="52">
        <f t="shared" si="65"/>
        <v>5325</v>
      </c>
    </row>
    <row r="1090" spans="1:9">
      <c r="A1090">
        <v>1089</v>
      </c>
      <c r="B1090" s="2">
        <v>1089</v>
      </c>
      <c r="C1090" s="2">
        <f t="shared" si="66"/>
        <v>1852</v>
      </c>
      <c r="D1090" s="3">
        <v>1089</v>
      </c>
      <c r="E1090" s="3">
        <f t="shared" si="63"/>
        <v>3010</v>
      </c>
      <c r="F1090" s="51">
        <v>1089</v>
      </c>
      <c r="G1090" s="51">
        <f t="shared" si="64"/>
        <v>4168</v>
      </c>
      <c r="H1090" s="52">
        <v>1089</v>
      </c>
      <c r="I1090" s="52">
        <f t="shared" si="65"/>
        <v>5326</v>
      </c>
    </row>
    <row r="1091" spans="1:9">
      <c r="A1091">
        <v>1090</v>
      </c>
      <c r="B1091" s="2">
        <v>1090</v>
      </c>
      <c r="C1091" s="2">
        <f t="shared" si="66"/>
        <v>1853</v>
      </c>
      <c r="D1091" s="3">
        <v>1090</v>
      </c>
      <c r="E1091" s="3">
        <f t="shared" si="63"/>
        <v>3011</v>
      </c>
      <c r="F1091" s="51">
        <v>1090</v>
      </c>
      <c r="G1091" s="51">
        <f t="shared" si="64"/>
        <v>4169</v>
      </c>
      <c r="H1091" s="52">
        <v>1090</v>
      </c>
      <c r="I1091" s="52">
        <f t="shared" si="65"/>
        <v>5327</v>
      </c>
    </row>
    <row r="1092" spans="1:9">
      <c r="A1092">
        <v>1091</v>
      </c>
      <c r="B1092" s="2">
        <v>1091</v>
      </c>
      <c r="C1092" s="2">
        <f t="shared" si="66"/>
        <v>1855</v>
      </c>
      <c r="D1092" s="3">
        <v>1091</v>
      </c>
      <c r="E1092" s="3">
        <f t="shared" ref="E1092:E1155" si="67">INT((D1092-D$2)*1.3333333)+E$2</f>
        <v>3013</v>
      </c>
      <c r="F1092" s="51">
        <v>1091</v>
      </c>
      <c r="G1092" s="51">
        <f t="shared" ref="G1092:G1155" si="68">INT((F1092-F$2)*1.3333333)+G$2</f>
        <v>4171</v>
      </c>
      <c r="H1092" s="52">
        <v>1091</v>
      </c>
      <c r="I1092" s="52">
        <f t="shared" ref="I1092:I1155" si="69">INT((H1092-H$2)*1.3333333)+I$2</f>
        <v>5329</v>
      </c>
    </row>
    <row r="1093" spans="1:9">
      <c r="A1093">
        <v>1092</v>
      </c>
      <c r="B1093" s="2">
        <v>1092</v>
      </c>
      <c r="C1093" s="2">
        <f t="shared" si="66"/>
        <v>1856</v>
      </c>
      <c r="D1093" s="3">
        <v>1092</v>
      </c>
      <c r="E1093" s="3">
        <f t="shared" si="67"/>
        <v>3014</v>
      </c>
      <c r="F1093" s="51">
        <v>1092</v>
      </c>
      <c r="G1093" s="51">
        <f t="shared" si="68"/>
        <v>4172</v>
      </c>
      <c r="H1093" s="52">
        <v>1092</v>
      </c>
      <c r="I1093" s="52">
        <f t="shared" si="69"/>
        <v>5330</v>
      </c>
    </row>
    <row r="1094" spans="1:9">
      <c r="A1094">
        <v>1093</v>
      </c>
      <c r="B1094" s="2">
        <v>1093</v>
      </c>
      <c r="C1094" s="2">
        <f t="shared" si="66"/>
        <v>1857</v>
      </c>
      <c r="D1094" s="3">
        <v>1093</v>
      </c>
      <c r="E1094" s="3">
        <f t="shared" si="67"/>
        <v>3015</v>
      </c>
      <c r="F1094" s="51">
        <v>1093</v>
      </c>
      <c r="G1094" s="51">
        <f t="shared" si="68"/>
        <v>4173</v>
      </c>
      <c r="H1094" s="52">
        <v>1093</v>
      </c>
      <c r="I1094" s="52">
        <f t="shared" si="69"/>
        <v>5331</v>
      </c>
    </row>
    <row r="1095" spans="1:9">
      <c r="A1095">
        <v>1094</v>
      </c>
      <c r="B1095" s="2">
        <v>1094</v>
      </c>
      <c r="C1095" s="2">
        <f t="shared" si="66"/>
        <v>1859</v>
      </c>
      <c r="D1095" s="3">
        <v>1094</v>
      </c>
      <c r="E1095" s="3">
        <f t="shared" si="67"/>
        <v>3017</v>
      </c>
      <c r="F1095" s="51">
        <v>1094</v>
      </c>
      <c r="G1095" s="51">
        <f t="shared" si="68"/>
        <v>4175</v>
      </c>
      <c r="H1095" s="52">
        <v>1094</v>
      </c>
      <c r="I1095" s="52">
        <f t="shared" si="69"/>
        <v>5333</v>
      </c>
    </row>
    <row r="1096" spans="1:9">
      <c r="A1096">
        <v>1095</v>
      </c>
      <c r="B1096" s="2">
        <v>1095</v>
      </c>
      <c r="C1096" s="2">
        <f t="shared" si="66"/>
        <v>1860</v>
      </c>
      <c r="D1096" s="3">
        <v>1095</v>
      </c>
      <c r="E1096" s="3">
        <f t="shared" si="67"/>
        <v>3018</v>
      </c>
      <c r="F1096" s="51">
        <v>1095</v>
      </c>
      <c r="G1096" s="51">
        <f t="shared" si="68"/>
        <v>4176</v>
      </c>
      <c r="H1096" s="52">
        <v>1095</v>
      </c>
      <c r="I1096" s="52">
        <f t="shared" si="69"/>
        <v>5334</v>
      </c>
    </row>
    <row r="1097" spans="1:9">
      <c r="A1097">
        <v>1096</v>
      </c>
      <c r="B1097" s="2">
        <v>1096</v>
      </c>
      <c r="C1097" s="2">
        <f t="shared" si="66"/>
        <v>1861</v>
      </c>
      <c r="D1097" s="3">
        <v>1096</v>
      </c>
      <c r="E1097" s="3">
        <f t="shared" si="67"/>
        <v>3019</v>
      </c>
      <c r="F1097" s="51">
        <v>1096</v>
      </c>
      <c r="G1097" s="51">
        <f t="shared" si="68"/>
        <v>4177</v>
      </c>
      <c r="H1097" s="52">
        <v>1096</v>
      </c>
      <c r="I1097" s="52">
        <f t="shared" si="69"/>
        <v>5335</v>
      </c>
    </row>
    <row r="1098" spans="1:9">
      <c r="A1098">
        <v>1097</v>
      </c>
      <c r="B1098" s="2">
        <v>1097</v>
      </c>
      <c r="C1098" s="2">
        <f t="shared" si="66"/>
        <v>1863</v>
      </c>
      <c r="D1098" s="3">
        <v>1097</v>
      </c>
      <c r="E1098" s="3">
        <f t="shared" si="67"/>
        <v>3021</v>
      </c>
      <c r="F1098" s="51">
        <v>1097</v>
      </c>
      <c r="G1098" s="51">
        <f t="shared" si="68"/>
        <v>4179</v>
      </c>
      <c r="H1098" s="52">
        <v>1097</v>
      </c>
      <c r="I1098" s="52">
        <f t="shared" si="69"/>
        <v>5337</v>
      </c>
    </row>
    <row r="1099" spans="1:9">
      <c r="A1099">
        <v>1098</v>
      </c>
      <c r="B1099" s="2">
        <v>1098</v>
      </c>
      <c r="C1099" s="2">
        <f t="shared" si="66"/>
        <v>1864</v>
      </c>
      <c r="D1099" s="3">
        <v>1098</v>
      </c>
      <c r="E1099" s="3">
        <f t="shared" si="67"/>
        <v>3022</v>
      </c>
      <c r="F1099" s="51">
        <v>1098</v>
      </c>
      <c r="G1099" s="51">
        <f t="shared" si="68"/>
        <v>4180</v>
      </c>
      <c r="H1099" s="52">
        <v>1098</v>
      </c>
      <c r="I1099" s="52">
        <f t="shared" si="69"/>
        <v>5338</v>
      </c>
    </row>
    <row r="1100" spans="1:9">
      <c r="A1100">
        <v>1099</v>
      </c>
      <c r="B1100" s="2">
        <v>1099</v>
      </c>
      <c r="C1100" s="2">
        <f t="shared" si="66"/>
        <v>1865</v>
      </c>
      <c r="D1100" s="3">
        <v>1099</v>
      </c>
      <c r="E1100" s="3">
        <f t="shared" si="67"/>
        <v>3023</v>
      </c>
      <c r="F1100" s="51">
        <v>1099</v>
      </c>
      <c r="G1100" s="51">
        <f t="shared" si="68"/>
        <v>4181</v>
      </c>
      <c r="H1100" s="52">
        <v>1099</v>
      </c>
      <c r="I1100" s="52">
        <f t="shared" si="69"/>
        <v>5339</v>
      </c>
    </row>
    <row r="1101" spans="1:9">
      <c r="A1101">
        <v>1100</v>
      </c>
      <c r="B1101" s="2">
        <v>1100</v>
      </c>
      <c r="C1101" s="2">
        <f t="shared" si="66"/>
        <v>1867</v>
      </c>
      <c r="D1101" s="3">
        <v>1100</v>
      </c>
      <c r="E1101" s="3">
        <f t="shared" si="67"/>
        <v>3025</v>
      </c>
      <c r="F1101" s="51">
        <v>1100</v>
      </c>
      <c r="G1101" s="51">
        <f t="shared" si="68"/>
        <v>4183</v>
      </c>
      <c r="H1101" s="52">
        <v>1100</v>
      </c>
      <c r="I1101" s="52">
        <f t="shared" si="69"/>
        <v>5341</v>
      </c>
    </row>
    <row r="1102" spans="1:9">
      <c r="A1102">
        <v>1101</v>
      </c>
      <c r="B1102" s="2">
        <v>1101</v>
      </c>
      <c r="C1102" s="2">
        <f t="shared" si="66"/>
        <v>1868</v>
      </c>
      <c r="D1102" s="3">
        <v>1101</v>
      </c>
      <c r="E1102" s="3">
        <f t="shared" si="67"/>
        <v>3026</v>
      </c>
      <c r="F1102" s="51">
        <v>1101</v>
      </c>
      <c r="G1102" s="51">
        <f t="shared" si="68"/>
        <v>4184</v>
      </c>
      <c r="H1102" s="52">
        <v>1101</v>
      </c>
      <c r="I1102" s="52">
        <f t="shared" si="69"/>
        <v>5342</v>
      </c>
    </row>
    <row r="1103" spans="1:9">
      <c r="A1103">
        <v>1102</v>
      </c>
      <c r="B1103" s="2">
        <v>1102</v>
      </c>
      <c r="C1103" s="2">
        <f t="shared" si="66"/>
        <v>1869</v>
      </c>
      <c r="D1103" s="3">
        <v>1102</v>
      </c>
      <c r="E1103" s="3">
        <f t="shared" si="67"/>
        <v>3027</v>
      </c>
      <c r="F1103" s="51">
        <v>1102</v>
      </c>
      <c r="G1103" s="51">
        <f t="shared" si="68"/>
        <v>4185</v>
      </c>
      <c r="H1103" s="52">
        <v>1102</v>
      </c>
      <c r="I1103" s="52">
        <f t="shared" si="69"/>
        <v>5343</v>
      </c>
    </row>
    <row r="1104" spans="1:9">
      <c r="A1104">
        <v>1103</v>
      </c>
      <c r="B1104" s="2">
        <v>1103</v>
      </c>
      <c r="C1104" s="2">
        <f t="shared" si="66"/>
        <v>1871</v>
      </c>
      <c r="D1104" s="3">
        <v>1103</v>
      </c>
      <c r="E1104" s="3">
        <f t="shared" si="67"/>
        <v>3029</v>
      </c>
      <c r="F1104" s="51">
        <v>1103</v>
      </c>
      <c r="G1104" s="51">
        <f t="shared" si="68"/>
        <v>4187</v>
      </c>
      <c r="H1104" s="52">
        <v>1103</v>
      </c>
      <c r="I1104" s="52">
        <f t="shared" si="69"/>
        <v>5345</v>
      </c>
    </row>
    <row r="1105" spans="1:9">
      <c r="A1105">
        <v>1104</v>
      </c>
      <c r="B1105" s="2">
        <v>1104</v>
      </c>
      <c r="C1105" s="2">
        <f t="shared" si="66"/>
        <v>1872</v>
      </c>
      <c r="D1105" s="3">
        <v>1104</v>
      </c>
      <c r="E1105" s="3">
        <f t="shared" si="67"/>
        <v>3030</v>
      </c>
      <c r="F1105" s="51">
        <v>1104</v>
      </c>
      <c r="G1105" s="51">
        <f t="shared" si="68"/>
        <v>4188</v>
      </c>
      <c r="H1105" s="52">
        <v>1104</v>
      </c>
      <c r="I1105" s="52">
        <f t="shared" si="69"/>
        <v>5346</v>
      </c>
    </row>
    <row r="1106" spans="1:9">
      <c r="A1106">
        <v>1105</v>
      </c>
      <c r="B1106" s="2">
        <v>1105</v>
      </c>
      <c r="C1106" s="2">
        <f t="shared" si="66"/>
        <v>1873</v>
      </c>
      <c r="D1106" s="3">
        <v>1105</v>
      </c>
      <c r="E1106" s="3">
        <f t="shared" si="67"/>
        <v>3031</v>
      </c>
      <c r="F1106" s="51">
        <v>1105</v>
      </c>
      <c r="G1106" s="51">
        <f t="shared" si="68"/>
        <v>4189</v>
      </c>
      <c r="H1106" s="52">
        <v>1105</v>
      </c>
      <c r="I1106" s="52">
        <f t="shared" si="69"/>
        <v>5347</v>
      </c>
    </row>
    <row r="1107" spans="1:9">
      <c r="A1107">
        <v>1106</v>
      </c>
      <c r="B1107" s="2">
        <v>1106</v>
      </c>
      <c r="C1107" s="2">
        <f t="shared" si="66"/>
        <v>1875</v>
      </c>
      <c r="D1107" s="3">
        <v>1106</v>
      </c>
      <c r="E1107" s="3">
        <f t="shared" si="67"/>
        <v>3033</v>
      </c>
      <c r="F1107" s="51">
        <v>1106</v>
      </c>
      <c r="G1107" s="51">
        <f t="shared" si="68"/>
        <v>4191</v>
      </c>
      <c r="H1107" s="52">
        <v>1106</v>
      </c>
      <c r="I1107" s="52">
        <f t="shared" si="69"/>
        <v>5349</v>
      </c>
    </row>
    <row r="1108" spans="1:9">
      <c r="A1108">
        <v>1107</v>
      </c>
      <c r="B1108" s="2">
        <v>1107</v>
      </c>
      <c r="C1108" s="2">
        <f t="shared" si="66"/>
        <v>1876</v>
      </c>
      <c r="D1108" s="3">
        <v>1107</v>
      </c>
      <c r="E1108" s="3">
        <f t="shared" si="67"/>
        <v>3034</v>
      </c>
      <c r="F1108" s="51">
        <v>1107</v>
      </c>
      <c r="G1108" s="51">
        <f t="shared" si="68"/>
        <v>4192</v>
      </c>
      <c r="H1108" s="52">
        <v>1107</v>
      </c>
      <c r="I1108" s="52">
        <f t="shared" si="69"/>
        <v>5350</v>
      </c>
    </row>
    <row r="1109" spans="1:9">
      <c r="A1109">
        <v>1108</v>
      </c>
      <c r="B1109" s="2">
        <v>1108</v>
      </c>
      <c r="C1109" s="2">
        <f t="shared" si="66"/>
        <v>1877</v>
      </c>
      <c r="D1109" s="3">
        <v>1108</v>
      </c>
      <c r="E1109" s="3">
        <f t="shared" si="67"/>
        <v>3035</v>
      </c>
      <c r="F1109" s="51">
        <v>1108</v>
      </c>
      <c r="G1109" s="51">
        <f t="shared" si="68"/>
        <v>4193</v>
      </c>
      <c r="H1109" s="52">
        <v>1108</v>
      </c>
      <c r="I1109" s="52">
        <f t="shared" si="69"/>
        <v>5351</v>
      </c>
    </row>
    <row r="1110" spans="1:9">
      <c r="A1110">
        <v>1109</v>
      </c>
      <c r="B1110" s="2">
        <v>1109</v>
      </c>
      <c r="C1110" s="2">
        <f t="shared" si="66"/>
        <v>1879</v>
      </c>
      <c r="D1110" s="3">
        <v>1109</v>
      </c>
      <c r="E1110" s="3">
        <f t="shared" si="67"/>
        <v>3037</v>
      </c>
      <c r="F1110" s="51">
        <v>1109</v>
      </c>
      <c r="G1110" s="51">
        <f t="shared" si="68"/>
        <v>4195</v>
      </c>
      <c r="H1110" s="52">
        <v>1109</v>
      </c>
      <c r="I1110" s="52">
        <f t="shared" si="69"/>
        <v>5353</v>
      </c>
    </row>
    <row r="1111" spans="1:9">
      <c r="A1111">
        <v>1110</v>
      </c>
      <c r="B1111" s="2">
        <v>1110</v>
      </c>
      <c r="C1111" s="2">
        <f t="shared" si="66"/>
        <v>1880</v>
      </c>
      <c r="D1111" s="3">
        <v>1110</v>
      </c>
      <c r="E1111" s="3">
        <f t="shared" si="67"/>
        <v>3038</v>
      </c>
      <c r="F1111" s="51">
        <v>1110</v>
      </c>
      <c r="G1111" s="51">
        <f t="shared" si="68"/>
        <v>4196</v>
      </c>
      <c r="H1111" s="52">
        <v>1110</v>
      </c>
      <c r="I1111" s="52">
        <f t="shared" si="69"/>
        <v>5354</v>
      </c>
    </row>
    <row r="1112" spans="1:9">
      <c r="A1112">
        <v>1111</v>
      </c>
      <c r="B1112" s="2">
        <v>1111</v>
      </c>
      <c r="C1112" s="2">
        <f t="shared" si="66"/>
        <v>1881</v>
      </c>
      <c r="D1112" s="3">
        <v>1111</v>
      </c>
      <c r="E1112" s="3">
        <f t="shared" si="67"/>
        <v>3039</v>
      </c>
      <c r="F1112" s="51">
        <v>1111</v>
      </c>
      <c r="G1112" s="51">
        <f t="shared" si="68"/>
        <v>4197</v>
      </c>
      <c r="H1112" s="52">
        <v>1111</v>
      </c>
      <c r="I1112" s="52">
        <f t="shared" si="69"/>
        <v>5355</v>
      </c>
    </row>
    <row r="1113" spans="1:9">
      <c r="A1113">
        <v>1112</v>
      </c>
      <c r="B1113" s="2">
        <v>1112</v>
      </c>
      <c r="C1113" s="2">
        <f t="shared" si="66"/>
        <v>1883</v>
      </c>
      <c r="D1113" s="3">
        <v>1112</v>
      </c>
      <c r="E1113" s="3">
        <f t="shared" si="67"/>
        <v>3041</v>
      </c>
      <c r="F1113" s="51">
        <v>1112</v>
      </c>
      <c r="G1113" s="51">
        <f t="shared" si="68"/>
        <v>4199</v>
      </c>
      <c r="H1113" s="52">
        <v>1112</v>
      </c>
      <c r="I1113" s="52">
        <f t="shared" si="69"/>
        <v>5357</v>
      </c>
    </row>
    <row r="1114" spans="1:9">
      <c r="A1114">
        <v>1113</v>
      </c>
      <c r="B1114" s="2">
        <v>1113</v>
      </c>
      <c r="C1114" s="2">
        <f t="shared" si="66"/>
        <v>1884</v>
      </c>
      <c r="D1114" s="3">
        <v>1113</v>
      </c>
      <c r="E1114" s="3">
        <f t="shared" si="67"/>
        <v>3042</v>
      </c>
      <c r="F1114" s="51">
        <v>1113</v>
      </c>
      <c r="G1114" s="51">
        <f t="shared" si="68"/>
        <v>4200</v>
      </c>
      <c r="H1114" s="52">
        <v>1113</v>
      </c>
      <c r="I1114" s="52">
        <f t="shared" si="69"/>
        <v>5358</v>
      </c>
    </row>
    <row r="1115" spans="1:9">
      <c r="A1115">
        <v>1114</v>
      </c>
      <c r="B1115" s="2">
        <v>1114</v>
      </c>
      <c r="C1115" s="2">
        <f t="shared" si="66"/>
        <v>1885</v>
      </c>
      <c r="D1115" s="3">
        <v>1114</v>
      </c>
      <c r="E1115" s="3">
        <f t="shared" si="67"/>
        <v>3043</v>
      </c>
      <c r="F1115" s="51">
        <v>1114</v>
      </c>
      <c r="G1115" s="51">
        <f t="shared" si="68"/>
        <v>4201</v>
      </c>
      <c r="H1115" s="52">
        <v>1114</v>
      </c>
      <c r="I1115" s="52">
        <f t="shared" si="69"/>
        <v>5359</v>
      </c>
    </row>
    <row r="1116" spans="1:9">
      <c r="A1116">
        <v>1115</v>
      </c>
      <c r="B1116" s="2">
        <v>1115</v>
      </c>
      <c r="C1116" s="2">
        <f t="shared" si="66"/>
        <v>1887</v>
      </c>
      <c r="D1116" s="3">
        <v>1115</v>
      </c>
      <c r="E1116" s="3">
        <f t="shared" si="67"/>
        <v>3045</v>
      </c>
      <c r="F1116" s="51">
        <v>1115</v>
      </c>
      <c r="G1116" s="51">
        <f t="shared" si="68"/>
        <v>4203</v>
      </c>
      <c r="H1116" s="52">
        <v>1115</v>
      </c>
      <c r="I1116" s="52">
        <f t="shared" si="69"/>
        <v>5361</v>
      </c>
    </row>
    <row r="1117" spans="1:9">
      <c r="A1117">
        <v>1116</v>
      </c>
      <c r="B1117" s="2">
        <v>1116</v>
      </c>
      <c r="C1117" s="2">
        <f t="shared" si="66"/>
        <v>1888</v>
      </c>
      <c r="D1117" s="3">
        <v>1116</v>
      </c>
      <c r="E1117" s="3">
        <f t="shared" si="67"/>
        <v>3046</v>
      </c>
      <c r="F1117" s="51">
        <v>1116</v>
      </c>
      <c r="G1117" s="51">
        <f t="shared" si="68"/>
        <v>4204</v>
      </c>
      <c r="H1117" s="52">
        <v>1116</v>
      </c>
      <c r="I1117" s="52">
        <f t="shared" si="69"/>
        <v>5362</v>
      </c>
    </row>
    <row r="1118" spans="1:9">
      <c r="A1118">
        <v>1117</v>
      </c>
      <c r="B1118" s="2">
        <v>1117</v>
      </c>
      <c r="C1118" s="2">
        <f t="shared" si="66"/>
        <v>1889</v>
      </c>
      <c r="D1118" s="3">
        <v>1117</v>
      </c>
      <c r="E1118" s="3">
        <f t="shared" si="67"/>
        <v>3047</v>
      </c>
      <c r="F1118" s="51">
        <v>1117</v>
      </c>
      <c r="G1118" s="51">
        <f t="shared" si="68"/>
        <v>4205</v>
      </c>
      <c r="H1118" s="52">
        <v>1117</v>
      </c>
      <c r="I1118" s="52">
        <f t="shared" si="69"/>
        <v>5363</v>
      </c>
    </row>
    <row r="1119" spans="1:9">
      <c r="A1119">
        <v>1118</v>
      </c>
      <c r="B1119" s="2">
        <v>1118</v>
      </c>
      <c r="C1119" s="2">
        <f t="shared" si="66"/>
        <v>1891</v>
      </c>
      <c r="D1119" s="3">
        <v>1118</v>
      </c>
      <c r="E1119" s="3">
        <f t="shared" si="67"/>
        <v>3049</v>
      </c>
      <c r="F1119" s="51">
        <v>1118</v>
      </c>
      <c r="G1119" s="51">
        <f t="shared" si="68"/>
        <v>4207</v>
      </c>
      <c r="H1119" s="52">
        <v>1118</v>
      </c>
      <c r="I1119" s="52">
        <f t="shared" si="69"/>
        <v>5365</v>
      </c>
    </row>
    <row r="1120" spans="1:9">
      <c r="A1120">
        <v>1119</v>
      </c>
      <c r="B1120" s="2">
        <v>1119</v>
      </c>
      <c r="C1120" s="2">
        <f t="shared" si="66"/>
        <v>1892</v>
      </c>
      <c r="D1120" s="3">
        <v>1119</v>
      </c>
      <c r="E1120" s="3">
        <f t="shared" si="67"/>
        <v>3050</v>
      </c>
      <c r="F1120" s="51">
        <v>1119</v>
      </c>
      <c r="G1120" s="51">
        <f t="shared" si="68"/>
        <v>4208</v>
      </c>
      <c r="H1120" s="52">
        <v>1119</v>
      </c>
      <c r="I1120" s="52">
        <f t="shared" si="69"/>
        <v>5366</v>
      </c>
    </row>
    <row r="1121" spans="1:9">
      <c r="A1121">
        <v>1120</v>
      </c>
      <c r="B1121" s="2">
        <v>1120</v>
      </c>
      <c r="C1121" s="2">
        <f t="shared" si="66"/>
        <v>1893</v>
      </c>
      <c r="D1121" s="3">
        <v>1120</v>
      </c>
      <c r="E1121" s="3">
        <f t="shared" si="67"/>
        <v>3051</v>
      </c>
      <c r="F1121" s="51">
        <v>1120</v>
      </c>
      <c r="G1121" s="51">
        <f t="shared" si="68"/>
        <v>4209</v>
      </c>
      <c r="H1121" s="52">
        <v>1120</v>
      </c>
      <c r="I1121" s="52">
        <f t="shared" si="69"/>
        <v>5367</v>
      </c>
    </row>
    <row r="1122" spans="1:9">
      <c r="A1122">
        <v>1121</v>
      </c>
      <c r="B1122" s="2">
        <v>1121</v>
      </c>
      <c r="C1122" s="2">
        <f t="shared" si="66"/>
        <v>1895</v>
      </c>
      <c r="D1122" s="3">
        <v>1121</v>
      </c>
      <c r="E1122" s="3">
        <f t="shared" si="67"/>
        <v>3053</v>
      </c>
      <c r="F1122" s="51">
        <v>1121</v>
      </c>
      <c r="G1122" s="51">
        <f t="shared" si="68"/>
        <v>4211</v>
      </c>
      <c r="H1122" s="52">
        <v>1121</v>
      </c>
      <c r="I1122" s="52">
        <f t="shared" si="69"/>
        <v>5369</v>
      </c>
    </row>
    <row r="1123" spans="1:9">
      <c r="A1123">
        <v>1122</v>
      </c>
      <c r="B1123" s="2">
        <v>1122</v>
      </c>
      <c r="C1123" s="2">
        <f t="shared" si="66"/>
        <v>1896</v>
      </c>
      <c r="D1123" s="3">
        <v>1122</v>
      </c>
      <c r="E1123" s="3">
        <f t="shared" si="67"/>
        <v>3054</v>
      </c>
      <c r="F1123" s="51">
        <v>1122</v>
      </c>
      <c r="G1123" s="51">
        <f t="shared" si="68"/>
        <v>4212</v>
      </c>
      <c r="H1123" s="52">
        <v>1122</v>
      </c>
      <c r="I1123" s="52">
        <f t="shared" si="69"/>
        <v>5370</v>
      </c>
    </row>
    <row r="1124" spans="1:9">
      <c r="A1124">
        <v>1123</v>
      </c>
      <c r="B1124" s="2">
        <v>1123</v>
      </c>
      <c r="C1124" s="2">
        <f t="shared" si="66"/>
        <v>1897</v>
      </c>
      <c r="D1124" s="3">
        <v>1123</v>
      </c>
      <c r="E1124" s="3">
        <f t="shared" si="67"/>
        <v>3055</v>
      </c>
      <c r="F1124" s="51">
        <v>1123</v>
      </c>
      <c r="G1124" s="51">
        <f t="shared" si="68"/>
        <v>4213</v>
      </c>
      <c r="H1124" s="52">
        <v>1123</v>
      </c>
      <c r="I1124" s="52">
        <f t="shared" si="69"/>
        <v>5371</v>
      </c>
    </row>
    <row r="1125" spans="1:9">
      <c r="A1125">
        <v>1124</v>
      </c>
      <c r="B1125" s="2">
        <v>1124</v>
      </c>
      <c r="C1125" s="2">
        <f t="shared" si="66"/>
        <v>1899</v>
      </c>
      <c r="D1125" s="3">
        <v>1124</v>
      </c>
      <c r="E1125" s="3">
        <f t="shared" si="67"/>
        <v>3057</v>
      </c>
      <c r="F1125" s="51">
        <v>1124</v>
      </c>
      <c r="G1125" s="51">
        <f t="shared" si="68"/>
        <v>4215</v>
      </c>
      <c r="H1125" s="52">
        <v>1124</v>
      </c>
      <c r="I1125" s="52">
        <f t="shared" si="69"/>
        <v>5373</v>
      </c>
    </row>
    <row r="1126" spans="1:9">
      <c r="A1126">
        <v>1125</v>
      </c>
      <c r="B1126" s="2">
        <v>1125</v>
      </c>
      <c r="C1126" s="2">
        <f t="shared" si="66"/>
        <v>1900</v>
      </c>
      <c r="D1126" s="3">
        <v>1125</v>
      </c>
      <c r="E1126" s="3">
        <f t="shared" si="67"/>
        <v>3058</v>
      </c>
      <c r="F1126" s="51">
        <v>1125</v>
      </c>
      <c r="G1126" s="51">
        <f t="shared" si="68"/>
        <v>4216</v>
      </c>
      <c r="H1126" s="52">
        <v>1125</v>
      </c>
      <c r="I1126" s="52">
        <f t="shared" si="69"/>
        <v>5374</v>
      </c>
    </row>
    <row r="1127" spans="1:9">
      <c r="A1127">
        <v>1126</v>
      </c>
      <c r="B1127" s="2">
        <v>1126</v>
      </c>
      <c r="C1127" s="2">
        <f t="shared" si="66"/>
        <v>1901</v>
      </c>
      <c r="D1127" s="3">
        <v>1126</v>
      </c>
      <c r="E1127" s="3">
        <f t="shared" si="67"/>
        <v>3059</v>
      </c>
      <c r="F1127" s="51">
        <v>1126</v>
      </c>
      <c r="G1127" s="51">
        <f t="shared" si="68"/>
        <v>4217</v>
      </c>
      <c r="H1127" s="52">
        <v>1126</v>
      </c>
      <c r="I1127" s="52">
        <f t="shared" si="69"/>
        <v>5375</v>
      </c>
    </row>
    <row r="1128" spans="1:9">
      <c r="A1128">
        <v>1127</v>
      </c>
      <c r="B1128" s="2">
        <v>1127</v>
      </c>
      <c r="C1128" s="2">
        <f t="shared" si="66"/>
        <v>1903</v>
      </c>
      <c r="D1128" s="3">
        <v>1127</v>
      </c>
      <c r="E1128" s="3">
        <f t="shared" si="67"/>
        <v>3061</v>
      </c>
      <c r="F1128" s="51">
        <v>1127</v>
      </c>
      <c r="G1128" s="51">
        <f t="shared" si="68"/>
        <v>4219</v>
      </c>
      <c r="H1128" s="52">
        <v>1127</v>
      </c>
      <c r="I1128" s="52">
        <f t="shared" si="69"/>
        <v>5377</v>
      </c>
    </row>
    <row r="1129" spans="1:9">
      <c r="A1129">
        <v>1128</v>
      </c>
      <c r="B1129" s="2">
        <v>1128</v>
      </c>
      <c r="C1129" s="2">
        <f t="shared" si="66"/>
        <v>1904</v>
      </c>
      <c r="D1129" s="3">
        <v>1128</v>
      </c>
      <c r="E1129" s="3">
        <f t="shared" si="67"/>
        <v>3062</v>
      </c>
      <c r="F1129" s="51">
        <v>1128</v>
      </c>
      <c r="G1129" s="51">
        <f t="shared" si="68"/>
        <v>4220</v>
      </c>
      <c r="H1129" s="52">
        <v>1128</v>
      </c>
      <c r="I1129" s="52">
        <f t="shared" si="69"/>
        <v>5378</v>
      </c>
    </row>
    <row r="1130" spans="1:9">
      <c r="A1130">
        <v>1129</v>
      </c>
      <c r="B1130" s="2">
        <v>1129</v>
      </c>
      <c r="C1130" s="2">
        <f t="shared" si="66"/>
        <v>1905</v>
      </c>
      <c r="D1130" s="3">
        <v>1129</v>
      </c>
      <c r="E1130" s="3">
        <f t="shared" si="67"/>
        <v>3063</v>
      </c>
      <c r="F1130" s="51">
        <v>1129</v>
      </c>
      <c r="G1130" s="51">
        <f t="shared" si="68"/>
        <v>4221</v>
      </c>
      <c r="H1130" s="52">
        <v>1129</v>
      </c>
      <c r="I1130" s="52">
        <f t="shared" si="69"/>
        <v>5379</v>
      </c>
    </row>
    <row r="1131" spans="1:9">
      <c r="A1131">
        <v>1130</v>
      </c>
      <c r="B1131" s="2">
        <v>1130</v>
      </c>
      <c r="C1131" s="2">
        <f t="shared" si="66"/>
        <v>1907</v>
      </c>
      <c r="D1131" s="3">
        <v>1130</v>
      </c>
      <c r="E1131" s="3">
        <f t="shared" si="67"/>
        <v>3065</v>
      </c>
      <c r="F1131" s="51">
        <v>1130</v>
      </c>
      <c r="G1131" s="51">
        <f t="shared" si="68"/>
        <v>4223</v>
      </c>
      <c r="H1131" s="52">
        <v>1130</v>
      </c>
      <c r="I1131" s="52">
        <f t="shared" si="69"/>
        <v>5381</v>
      </c>
    </row>
    <row r="1132" spans="1:9">
      <c r="A1132">
        <v>1131</v>
      </c>
      <c r="B1132" s="2">
        <v>1131</v>
      </c>
      <c r="C1132" s="2">
        <f t="shared" si="66"/>
        <v>1908</v>
      </c>
      <c r="D1132" s="3">
        <v>1131</v>
      </c>
      <c r="E1132" s="3">
        <f t="shared" si="67"/>
        <v>3066</v>
      </c>
      <c r="F1132" s="51">
        <v>1131</v>
      </c>
      <c r="G1132" s="51">
        <f t="shared" si="68"/>
        <v>4224</v>
      </c>
      <c r="H1132" s="52">
        <v>1131</v>
      </c>
      <c r="I1132" s="52">
        <f t="shared" si="69"/>
        <v>5382</v>
      </c>
    </row>
    <row r="1133" spans="1:9">
      <c r="A1133">
        <v>1132</v>
      </c>
      <c r="B1133" s="2">
        <v>1132</v>
      </c>
      <c r="C1133" s="2">
        <f t="shared" si="66"/>
        <v>1909</v>
      </c>
      <c r="D1133" s="3">
        <v>1132</v>
      </c>
      <c r="E1133" s="3">
        <f t="shared" si="67"/>
        <v>3067</v>
      </c>
      <c r="F1133" s="51">
        <v>1132</v>
      </c>
      <c r="G1133" s="51">
        <f t="shared" si="68"/>
        <v>4225</v>
      </c>
      <c r="H1133" s="52">
        <v>1132</v>
      </c>
      <c r="I1133" s="52">
        <f t="shared" si="69"/>
        <v>5383</v>
      </c>
    </row>
    <row r="1134" spans="1:9">
      <c r="A1134">
        <v>1133</v>
      </c>
      <c r="B1134" s="2">
        <v>1133</v>
      </c>
      <c r="C1134" s="2">
        <f t="shared" si="66"/>
        <v>1911</v>
      </c>
      <c r="D1134" s="3">
        <v>1133</v>
      </c>
      <c r="E1134" s="3">
        <f t="shared" si="67"/>
        <v>3069</v>
      </c>
      <c r="F1134" s="51">
        <v>1133</v>
      </c>
      <c r="G1134" s="51">
        <f t="shared" si="68"/>
        <v>4227</v>
      </c>
      <c r="H1134" s="52">
        <v>1133</v>
      </c>
      <c r="I1134" s="52">
        <f t="shared" si="69"/>
        <v>5385</v>
      </c>
    </row>
    <row r="1135" spans="1:9">
      <c r="A1135">
        <v>1134</v>
      </c>
      <c r="B1135" s="2">
        <v>1134</v>
      </c>
      <c r="C1135" s="2">
        <f t="shared" si="66"/>
        <v>1912</v>
      </c>
      <c r="D1135" s="3">
        <v>1134</v>
      </c>
      <c r="E1135" s="3">
        <f t="shared" si="67"/>
        <v>3070</v>
      </c>
      <c r="F1135" s="51">
        <v>1134</v>
      </c>
      <c r="G1135" s="51">
        <f t="shared" si="68"/>
        <v>4228</v>
      </c>
      <c r="H1135" s="52">
        <v>1134</v>
      </c>
      <c r="I1135" s="52">
        <f t="shared" si="69"/>
        <v>5386</v>
      </c>
    </row>
    <row r="1136" spans="1:9">
      <c r="A1136">
        <v>1135</v>
      </c>
      <c r="B1136" s="2">
        <v>1135</v>
      </c>
      <c r="C1136" s="2">
        <f t="shared" si="66"/>
        <v>1913</v>
      </c>
      <c r="D1136" s="3">
        <v>1135</v>
      </c>
      <c r="E1136" s="3">
        <f t="shared" si="67"/>
        <v>3071</v>
      </c>
      <c r="F1136" s="51">
        <v>1135</v>
      </c>
      <c r="G1136" s="51">
        <f t="shared" si="68"/>
        <v>4229</v>
      </c>
      <c r="H1136" s="52">
        <v>1135</v>
      </c>
      <c r="I1136" s="52">
        <f t="shared" si="69"/>
        <v>5387</v>
      </c>
    </row>
    <row r="1137" spans="1:9">
      <c r="A1137">
        <v>1136</v>
      </c>
      <c r="B1137" s="2">
        <v>1136</v>
      </c>
      <c r="C1137" s="2">
        <f t="shared" si="66"/>
        <v>1915</v>
      </c>
      <c r="D1137" s="3">
        <v>1136</v>
      </c>
      <c r="E1137" s="3">
        <f t="shared" si="67"/>
        <v>3073</v>
      </c>
      <c r="F1137" s="51">
        <v>1136</v>
      </c>
      <c r="G1137" s="51">
        <f t="shared" si="68"/>
        <v>4231</v>
      </c>
      <c r="H1137" s="52">
        <v>1136</v>
      </c>
      <c r="I1137" s="52">
        <f t="shared" si="69"/>
        <v>5389</v>
      </c>
    </row>
    <row r="1138" spans="1:9">
      <c r="A1138">
        <v>1137</v>
      </c>
      <c r="B1138" s="2">
        <v>1137</v>
      </c>
      <c r="C1138" s="2">
        <f t="shared" si="66"/>
        <v>1916</v>
      </c>
      <c r="D1138" s="3">
        <v>1137</v>
      </c>
      <c r="E1138" s="3">
        <f t="shared" si="67"/>
        <v>3074</v>
      </c>
      <c r="F1138" s="51">
        <v>1137</v>
      </c>
      <c r="G1138" s="51">
        <f t="shared" si="68"/>
        <v>4232</v>
      </c>
      <c r="H1138" s="52">
        <v>1137</v>
      </c>
      <c r="I1138" s="52">
        <f t="shared" si="69"/>
        <v>5390</v>
      </c>
    </row>
    <row r="1139" spans="1:9">
      <c r="A1139">
        <v>1138</v>
      </c>
      <c r="B1139" s="2">
        <v>1138</v>
      </c>
      <c r="C1139" s="2">
        <f t="shared" si="66"/>
        <v>1917</v>
      </c>
      <c r="D1139" s="3">
        <v>1138</v>
      </c>
      <c r="E1139" s="3">
        <f t="shared" si="67"/>
        <v>3075</v>
      </c>
      <c r="F1139" s="51">
        <v>1138</v>
      </c>
      <c r="G1139" s="51">
        <f t="shared" si="68"/>
        <v>4233</v>
      </c>
      <c r="H1139" s="52">
        <v>1138</v>
      </c>
      <c r="I1139" s="52">
        <f t="shared" si="69"/>
        <v>5391</v>
      </c>
    </row>
    <row r="1140" spans="1:9">
      <c r="A1140">
        <v>1139</v>
      </c>
      <c r="B1140" s="2">
        <v>1139</v>
      </c>
      <c r="C1140" s="2">
        <f t="shared" si="66"/>
        <v>1919</v>
      </c>
      <c r="D1140" s="3">
        <v>1139</v>
      </c>
      <c r="E1140" s="3">
        <f t="shared" si="67"/>
        <v>3077</v>
      </c>
      <c r="F1140" s="51">
        <v>1139</v>
      </c>
      <c r="G1140" s="51">
        <f t="shared" si="68"/>
        <v>4235</v>
      </c>
      <c r="H1140" s="52">
        <v>1139</v>
      </c>
      <c r="I1140" s="52">
        <f t="shared" si="69"/>
        <v>5393</v>
      </c>
    </row>
    <row r="1141" spans="1:9">
      <c r="A1141">
        <v>1140</v>
      </c>
      <c r="B1141" s="2">
        <v>1140</v>
      </c>
      <c r="C1141" s="2">
        <f t="shared" si="66"/>
        <v>1920</v>
      </c>
      <c r="D1141" s="3">
        <v>1140</v>
      </c>
      <c r="E1141" s="3">
        <f t="shared" si="67"/>
        <v>3078</v>
      </c>
      <c r="F1141" s="51">
        <v>1140</v>
      </c>
      <c r="G1141" s="51">
        <f t="shared" si="68"/>
        <v>4236</v>
      </c>
      <c r="H1141" s="52">
        <v>1140</v>
      </c>
      <c r="I1141" s="52">
        <f t="shared" si="69"/>
        <v>5394</v>
      </c>
    </row>
    <row r="1142" spans="1:9">
      <c r="A1142">
        <v>1141</v>
      </c>
      <c r="B1142" s="2">
        <v>1141</v>
      </c>
      <c r="C1142" s="2">
        <f t="shared" si="66"/>
        <v>1921</v>
      </c>
      <c r="D1142" s="3">
        <v>1141</v>
      </c>
      <c r="E1142" s="3">
        <f t="shared" si="67"/>
        <v>3079</v>
      </c>
      <c r="F1142" s="51">
        <v>1141</v>
      </c>
      <c r="G1142" s="51">
        <f t="shared" si="68"/>
        <v>4237</v>
      </c>
      <c r="H1142" s="52">
        <v>1141</v>
      </c>
      <c r="I1142" s="52">
        <f t="shared" si="69"/>
        <v>5395</v>
      </c>
    </row>
    <row r="1143" spans="1:9">
      <c r="A1143">
        <v>1142</v>
      </c>
      <c r="B1143" s="2">
        <v>1142</v>
      </c>
      <c r="C1143" s="2">
        <f t="shared" si="66"/>
        <v>1923</v>
      </c>
      <c r="D1143" s="3">
        <v>1142</v>
      </c>
      <c r="E1143" s="3">
        <f t="shared" si="67"/>
        <v>3081</v>
      </c>
      <c r="F1143" s="51">
        <v>1142</v>
      </c>
      <c r="G1143" s="51">
        <f t="shared" si="68"/>
        <v>4239</v>
      </c>
      <c r="H1143" s="52">
        <v>1142</v>
      </c>
      <c r="I1143" s="52">
        <f t="shared" si="69"/>
        <v>5397</v>
      </c>
    </row>
    <row r="1144" spans="1:9">
      <c r="A1144">
        <v>1143</v>
      </c>
      <c r="B1144" s="2">
        <v>1143</v>
      </c>
      <c r="C1144" s="2">
        <f t="shared" si="66"/>
        <v>1924</v>
      </c>
      <c r="D1144" s="3">
        <v>1143</v>
      </c>
      <c r="E1144" s="3">
        <f t="shared" si="67"/>
        <v>3082</v>
      </c>
      <c r="F1144" s="51">
        <v>1143</v>
      </c>
      <c r="G1144" s="51">
        <f t="shared" si="68"/>
        <v>4240</v>
      </c>
      <c r="H1144" s="52">
        <v>1143</v>
      </c>
      <c r="I1144" s="52">
        <f t="shared" si="69"/>
        <v>5398</v>
      </c>
    </row>
    <row r="1145" spans="1:9">
      <c r="A1145">
        <v>1144</v>
      </c>
      <c r="B1145" s="2">
        <v>1144</v>
      </c>
      <c r="C1145" s="2">
        <f t="shared" si="66"/>
        <v>1925</v>
      </c>
      <c r="D1145" s="3">
        <v>1144</v>
      </c>
      <c r="E1145" s="3">
        <f t="shared" si="67"/>
        <v>3083</v>
      </c>
      <c r="F1145" s="51">
        <v>1144</v>
      </c>
      <c r="G1145" s="51">
        <f t="shared" si="68"/>
        <v>4241</v>
      </c>
      <c r="H1145" s="52">
        <v>1144</v>
      </c>
      <c r="I1145" s="52">
        <f t="shared" si="69"/>
        <v>5399</v>
      </c>
    </row>
    <row r="1146" spans="1:9">
      <c r="A1146">
        <v>1145</v>
      </c>
      <c r="B1146" s="2">
        <v>1145</v>
      </c>
      <c r="C1146" s="2">
        <f t="shared" si="66"/>
        <v>1927</v>
      </c>
      <c r="D1146" s="3">
        <v>1145</v>
      </c>
      <c r="E1146" s="3">
        <f t="shared" si="67"/>
        <v>3085</v>
      </c>
      <c r="F1146" s="51">
        <v>1145</v>
      </c>
      <c r="G1146" s="51">
        <f t="shared" si="68"/>
        <v>4243</v>
      </c>
      <c r="H1146" s="52">
        <v>1145</v>
      </c>
      <c r="I1146" s="52">
        <f t="shared" si="69"/>
        <v>5401</v>
      </c>
    </row>
    <row r="1147" spans="1:9">
      <c r="A1147">
        <v>1146</v>
      </c>
      <c r="B1147" s="2">
        <v>1146</v>
      </c>
      <c r="C1147" s="2">
        <f t="shared" si="66"/>
        <v>1928</v>
      </c>
      <c r="D1147" s="3">
        <v>1146</v>
      </c>
      <c r="E1147" s="3">
        <f t="shared" si="67"/>
        <v>3086</v>
      </c>
      <c r="F1147" s="51">
        <v>1146</v>
      </c>
      <c r="G1147" s="51">
        <f t="shared" si="68"/>
        <v>4244</v>
      </c>
      <c r="H1147" s="52">
        <v>1146</v>
      </c>
      <c r="I1147" s="52">
        <f t="shared" si="69"/>
        <v>5402</v>
      </c>
    </row>
    <row r="1148" spans="1:9">
      <c r="A1148">
        <v>1147</v>
      </c>
      <c r="B1148" s="2">
        <v>1147</v>
      </c>
      <c r="C1148" s="2">
        <f t="shared" ref="C1148:C1211" si="70">INT((B1148-B$122)*1.3333333)+C$122</f>
        <v>1929</v>
      </c>
      <c r="D1148" s="3">
        <v>1147</v>
      </c>
      <c r="E1148" s="3">
        <f t="shared" si="67"/>
        <v>3087</v>
      </c>
      <c r="F1148" s="51">
        <v>1147</v>
      </c>
      <c r="G1148" s="51">
        <f t="shared" si="68"/>
        <v>4245</v>
      </c>
      <c r="H1148" s="52">
        <v>1147</v>
      </c>
      <c r="I1148" s="52">
        <f t="shared" si="69"/>
        <v>5403</v>
      </c>
    </row>
    <row r="1149" spans="1:9">
      <c r="A1149">
        <v>1148</v>
      </c>
      <c r="B1149" s="2">
        <v>1148</v>
      </c>
      <c r="C1149" s="2">
        <f t="shared" si="70"/>
        <v>1931</v>
      </c>
      <c r="D1149" s="3">
        <v>1148</v>
      </c>
      <c r="E1149" s="3">
        <f t="shared" si="67"/>
        <v>3089</v>
      </c>
      <c r="F1149" s="51">
        <v>1148</v>
      </c>
      <c r="G1149" s="51">
        <f t="shared" si="68"/>
        <v>4247</v>
      </c>
      <c r="H1149" s="52">
        <v>1148</v>
      </c>
      <c r="I1149" s="52">
        <f t="shared" si="69"/>
        <v>5405</v>
      </c>
    </row>
    <row r="1150" spans="1:9">
      <c r="A1150">
        <v>1149</v>
      </c>
      <c r="B1150" s="2">
        <v>1149</v>
      </c>
      <c r="C1150" s="2">
        <f t="shared" si="70"/>
        <v>1932</v>
      </c>
      <c r="D1150" s="3">
        <v>1149</v>
      </c>
      <c r="E1150" s="3">
        <f t="shared" si="67"/>
        <v>3090</v>
      </c>
      <c r="F1150" s="51">
        <v>1149</v>
      </c>
      <c r="G1150" s="51">
        <f t="shared" si="68"/>
        <v>4248</v>
      </c>
      <c r="H1150" s="52">
        <v>1149</v>
      </c>
      <c r="I1150" s="52">
        <f t="shared" si="69"/>
        <v>5406</v>
      </c>
    </row>
    <row r="1151" spans="1:9">
      <c r="A1151">
        <v>1150</v>
      </c>
      <c r="B1151" s="2">
        <v>1150</v>
      </c>
      <c r="C1151" s="2">
        <f t="shared" si="70"/>
        <v>1933</v>
      </c>
      <c r="D1151" s="3">
        <v>1150</v>
      </c>
      <c r="E1151" s="3">
        <f t="shared" si="67"/>
        <v>3091</v>
      </c>
      <c r="F1151" s="51">
        <v>1150</v>
      </c>
      <c r="G1151" s="51">
        <f t="shared" si="68"/>
        <v>4249</v>
      </c>
      <c r="H1151" s="52">
        <v>1150</v>
      </c>
      <c r="I1151" s="52">
        <f t="shared" si="69"/>
        <v>5407</v>
      </c>
    </row>
    <row r="1152" spans="1:9">
      <c r="A1152">
        <v>1151</v>
      </c>
      <c r="B1152" s="2">
        <v>1151</v>
      </c>
      <c r="C1152" s="2">
        <f t="shared" si="70"/>
        <v>1935</v>
      </c>
      <c r="D1152" s="3">
        <v>1151</v>
      </c>
      <c r="E1152" s="3">
        <f t="shared" si="67"/>
        <v>3093</v>
      </c>
      <c r="F1152" s="51">
        <v>1151</v>
      </c>
      <c r="G1152" s="51">
        <f t="shared" si="68"/>
        <v>4251</v>
      </c>
      <c r="H1152" s="52">
        <v>1151</v>
      </c>
      <c r="I1152" s="52">
        <f t="shared" si="69"/>
        <v>5409</v>
      </c>
    </row>
    <row r="1153" spans="1:9">
      <c r="A1153">
        <v>1152</v>
      </c>
      <c r="B1153" s="2">
        <v>1152</v>
      </c>
      <c r="C1153" s="2">
        <f t="shared" si="70"/>
        <v>1936</v>
      </c>
      <c r="D1153" s="3">
        <v>1152</v>
      </c>
      <c r="E1153" s="3">
        <f t="shared" si="67"/>
        <v>3094</v>
      </c>
      <c r="F1153" s="51">
        <v>1152</v>
      </c>
      <c r="G1153" s="51">
        <f t="shared" si="68"/>
        <v>4252</v>
      </c>
      <c r="H1153" s="52">
        <v>1152</v>
      </c>
      <c r="I1153" s="52">
        <f t="shared" si="69"/>
        <v>5410</v>
      </c>
    </row>
    <row r="1154" spans="1:9">
      <c r="A1154">
        <v>1153</v>
      </c>
      <c r="B1154" s="2">
        <v>1153</v>
      </c>
      <c r="C1154" s="2">
        <f t="shared" si="70"/>
        <v>1937</v>
      </c>
      <c r="D1154" s="3">
        <v>1153</v>
      </c>
      <c r="E1154" s="3">
        <f t="shared" si="67"/>
        <v>3095</v>
      </c>
      <c r="F1154" s="51">
        <v>1153</v>
      </c>
      <c r="G1154" s="51">
        <f t="shared" si="68"/>
        <v>4253</v>
      </c>
      <c r="H1154" s="52">
        <v>1153</v>
      </c>
      <c r="I1154" s="52">
        <f t="shared" si="69"/>
        <v>5411</v>
      </c>
    </row>
    <row r="1155" spans="1:9">
      <c r="A1155">
        <v>1154</v>
      </c>
      <c r="B1155" s="2">
        <v>1154</v>
      </c>
      <c r="C1155" s="2">
        <f t="shared" si="70"/>
        <v>1939</v>
      </c>
      <c r="D1155" s="3">
        <v>1154</v>
      </c>
      <c r="E1155" s="3">
        <f t="shared" si="67"/>
        <v>3097</v>
      </c>
      <c r="F1155" s="51">
        <v>1154</v>
      </c>
      <c r="G1155" s="51">
        <f t="shared" si="68"/>
        <v>4255</v>
      </c>
      <c r="H1155" s="52">
        <v>1154</v>
      </c>
      <c r="I1155" s="52">
        <f t="shared" si="69"/>
        <v>5413</v>
      </c>
    </row>
    <row r="1156" spans="1:9">
      <c r="A1156">
        <v>1155</v>
      </c>
      <c r="B1156" s="2">
        <v>1155</v>
      </c>
      <c r="C1156" s="2">
        <f t="shared" si="70"/>
        <v>1940</v>
      </c>
      <c r="D1156" s="3">
        <v>1155</v>
      </c>
      <c r="E1156" s="3">
        <f t="shared" ref="E1156:E1219" si="71">INT((D1156-D$2)*1.3333333)+E$2</f>
        <v>3098</v>
      </c>
      <c r="F1156" s="51">
        <v>1155</v>
      </c>
      <c r="G1156" s="51">
        <f t="shared" ref="G1156:G1219" si="72">INT((F1156-F$2)*1.3333333)+G$2</f>
        <v>4256</v>
      </c>
      <c r="H1156" s="52">
        <v>1155</v>
      </c>
      <c r="I1156" s="52">
        <f t="shared" ref="I1156:I1219" si="73">INT((H1156-H$2)*1.3333333)+I$2</f>
        <v>5414</v>
      </c>
    </row>
    <row r="1157" spans="1:9">
      <c r="A1157">
        <v>1156</v>
      </c>
      <c r="B1157" s="2">
        <v>1156</v>
      </c>
      <c r="C1157" s="2">
        <f t="shared" si="70"/>
        <v>1941</v>
      </c>
      <c r="D1157" s="3">
        <v>1156</v>
      </c>
      <c r="E1157" s="3">
        <f t="shared" si="71"/>
        <v>3099</v>
      </c>
      <c r="F1157" s="51">
        <v>1156</v>
      </c>
      <c r="G1157" s="51">
        <f t="shared" si="72"/>
        <v>4257</v>
      </c>
      <c r="H1157" s="52">
        <v>1156</v>
      </c>
      <c r="I1157" s="52">
        <f t="shared" si="73"/>
        <v>5415</v>
      </c>
    </row>
    <row r="1158" spans="1:9">
      <c r="A1158">
        <v>1157</v>
      </c>
      <c r="B1158" s="2">
        <v>1157</v>
      </c>
      <c r="C1158" s="2">
        <f t="shared" si="70"/>
        <v>1943</v>
      </c>
      <c r="D1158" s="3">
        <v>1157</v>
      </c>
      <c r="E1158" s="3">
        <f t="shared" si="71"/>
        <v>3101</v>
      </c>
      <c r="F1158" s="51">
        <v>1157</v>
      </c>
      <c r="G1158" s="51">
        <f t="shared" si="72"/>
        <v>4259</v>
      </c>
      <c r="H1158" s="52">
        <v>1157</v>
      </c>
      <c r="I1158" s="52">
        <f t="shared" si="73"/>
        <v>5417</v>
      </c>
    </row>
    <row r="1159" spans="1:9">
      <c r="A1159">
        <v>1158</v>
      </c>
      <c r="B1159" s="2">
        <v>1158</v>
      </c>
      <c r="C1159" s="2">
        <f t="shared" si="70"/>
        <v>1944</v>
      </c>
      <c r="D1159" s="3">
        <v>1158</v>
      </c>
      <c r="E1159" s="3">
        <f t="shared" si="71"/>
        <v>3102</v>
      </c>
      <c r="F1159" s="51">
        <v>1158</v>
      </c>
      <c r="G1159" s="51">
        <f t="shared" si="72"/>
        <v>4260</v>
      </c>
      <c r="H1159" s="52">
        <v>1158</v>
      </c>
      <c r="I1159" s="52">
        <f t="shared" si="73"/>
        <v>5418</v>
      </c>
    </row>
    <row r="1160" spans="1:9">
      <c r="A1160">
        <v>1159</v>
      </c>
      <c r="B1160" s="2">
        <v>1159</v>
      </c>
      <c r="C1160" s="2">
        <f t="shared" si="70"/>
        <v>1945</v>
      </c>
      <c r="D1160" s="3">
        <v>1159</v>
      </c>
      <c r="E1160" s="3">
        <f t="shared" si="71"/>
        <v>3103</v>
      </c>
      <c r="F1160" s="51">
        <v>1159</v>
      </c>
      <c r="G1160" s="51">
        <f t="shared" si="72"/>
        <v>4261</v>
      </c>
      <c r="H1160" s="52">
        <v>1159</v>
      </c>
      <c r="I1160" s="52">
        <f t="shared" si="73"/>
        <v>5419</v>
      </c>
    </row>
    <row r="1161" spans="1:9">
      <c r="A1161">
        <v>1160</v>
      </c>
      <c r="B1161" s="2">
        <v>1160</v>
      </c>
      <c r="C1161" s="2">
        <f t="shared" si="70"/>
        <v>1947</v>
      </c>
      <c r="D1161" s="3">
        <v>1160</v>
      </c>
      <c r="E1161" s="3">
        <f t="shared" si="71"/>
        <v>3105</v>
      </c>
      <c r="F1161" s="51">
        <v>1160</v>
      </c>
      <c r="G1161" s="51">
        <f t="shared" si="72"/>
        <v>4263</v>
      </c>
      <c r="H1161" s="52">
        <v>1160</v>
      </c>
      <c r="I1161" s="52">
        <f t="shared" si="73"/>
        <v>5421</v>
      </c>
    </row>
    <row r="1162" spans="1:9">
      <c r="A1162">
        <v>1161</v>
      </c>
      <c r="B1162" s="2">
        <v>1161</v>
      </c>
      <c r="C1162" s="2">
        <f t="shared" si="70"/>
        <v>1948</v>
      </c>
      <c r="D1162" s="3">
        <v>1161</v>
      </c>
      <c r="E1162" s="3">
        <f t="shared" si="71"/>
        <v>3106</v>
      </c>
      <c r="F1162" s="51">
        <v>1161</v>
      </c>
      <c r="G1162" s="51">
        <f t="shared" si="72"/>
        <v>4264</v>
      </c>
      <c r="H1162" s="52">
        <v>1161</v>
      </c>
      <c r="I1162" s="52">
        <f t="shared" si="73"/>
        <v>5422</v>
      </c>
    </row>
    <row r="1163" spans="1:9">
      <c r="A1163">
        <v>1162</v>
      </c>
      <c r="B1163" s="2">
        <v>1162</v>
      </c>
      <c r="C1163" s="2">
        <f t="shared" si="70"/>
        <v>1949</v>
      </c>
      <c r="D1163" s="3">
        <v>1162</v>
      </c>
      <c r="E1163" s="3">
        <f t="shared" si="71"/>
        <v>3107</v>
      </c>
      <c r="F1163" s="51">
        <v>1162</v>
      </c>
      <c r="G1163" s="51">
        <f t="shared" si="72"/>
        <v>4265</v>
      </c>
      <c r="H1163" s="52">
        <v>1162</v>
      </c>
      <c r="I1163" s="52">
        <f t="shared" si="73"/>
        <v>5423</v>
      </c>
    </row>
    <row r="1164" spans="1:9">
      <c r="A1164">
        <v>1163</v>
      </c>
      <c r="B1164" s="2">
        <v>1163</v>
      </c>
      <c r="C1164" s="2">
        <f t="shared" si="70"/>
        <v>1951</v>
      </c>
      <c r="D1164" s="3">
        <v>1163</v>
      </c>
      <c r="E1164" s="3">
        <f t="shared" si="71"/>
        <v>3109</v>
      </c>
      <c r="F1164" s="51">
        <v>1163</v>
      </c>
      <c r="G1164" s="51">
        <f t="shared" si="72"/>
        <v>4267</v>
      </c>
      <c r="H1164" s="52">
        <v>1163</v>
      </c>
      <c r="I1164" s="52">
        <f t="shared" si="73"/>
        <v>5425</v>
      </c>
    </row>
    <row r="1165" spans="1:9">
      <c r="A1165">
        <v>1164</v>
      </c>
      <c r="B1165" s="2">
        <v>1164</v>
      </c>
      <c r="C1165" s="2">
        <f t="shared" si="70"/>
        <v>1952</v>
      </c>
      <c r="D1165" s="3">
        <v>1164</v>
      </c>
      <c r="E1165" s="3">
        <f t="shared" si="71"/>
        <v>3110</v>
      </c>
      <c r="F1165" s="51">
        <v>1164</v>
      </c>
      <c r="G1165" s="51">
        <f t="shared" si="72"/>
        <v>4268</v>
      </c>
      <c r="H1165" s="52">
        <v>1164</v>
      </c>
      <c r="I1165" s="52">
        <f t="shared" si="73"/>
        <v>5426</v>
      </c>
    </row>
    <row r="1166" spans="1:9">
      <c r="A1166">
        <v>1165</v>
      </c>
      <c r="B1166" s="2">
        <v>1165</v>
      </c>
      <c r="C1166" s="2">
        <f t="shared" si="70"/>
        <v>1953</v>
      </c>
      <c r="D1166" s="3">
        <v>1165</v>
      </c>
      <c r="E1166" s="3">
        <f t="shared" si="71"/>
        <v>3111</v>
      </c>
      <c r="F1166" s="51">
        <v>1165</v>
      </c>
      <c r="G1166" s="51">
        <f t="shared" si="72"/>
        <v>4269</v>
      </c>
      <c r="H1166" s="52">
        <v>1165</v>
      </c>
      <c r="I1166" s="52">
        <f t="shared" si="73"/>
        <v>5427</v>
      </c>
    </row>
    <row r="1167" spans="1:9">
      <c r="A1167">
        <v>1166</v>
      </c>
      <c r="B1167" s="2">
        <v>1166</v>
      </c>
      <c r="C1167" s="2">
        <f t="shared" si="70"/>
        <v>1955</v>
      </c>
      <c r="D1167" s="3">
        <v>1166</v>
      </c>
      <c r="E1167" s="3">
        <f t="shared" si="71"/>
        <v>3113</v>
      </c>
      <c r="F1167" s="51">
        <v>1166</v>
      </c>
      <c r="G1167" s="51">
        <f t="shared" si="72"/>
        <v>4271</v>
      </c>
      <c r="H1167" s="52">
        <v>1166</v>
      </c>
      <c r="I1167" s="52">
        <f t="shared" si="73"/>
        <v>5429</v>
      </c>
    </row>
    <row r="1168" spans="1:9">
      <c r="A1168">
        <v>1167</v>
      </c>
      <c r="B1168" s="2">
        <v>1167</v>
      </c>
      <c r="C1168" s="2">
        <f t="shared" si="70"/>
        <v>1956</v>
      </c>
      <c r="D1168" s="3">
        <v>1167</v>
      </c>
      <c r="E1168" s="3">
        <f t="shared" si="71"/>
        <v>3114</v>
      </c>
      <c r="F1168" s="51">
        <v>1167</v>
      </c>
      <c r="G1168" s="51">
        <f t="shared" si="72"/>
        <v>4272</v>
      </c>
      <c r="H1168" s="52">
        <v>1167</v>
      </c>
      <c r="I1168" s="52">
        <f t="shared" si="73"/>
        <v>5430</v>
      </c>
    </row>
    <row r="1169" spans="1:9">
      <c r="A1169">
        <v>1168</v>
      </c>
      <c r="B1169" s="2">
        <v>1168</v>
      </c>
      <c r="C1169" s="2">
        <f t="shared" si="70"/>
        <v>1957</v>
      </c>
      <c r="D1169" s="3">
        <v>1168</v>
      </c>
      <c r="E1169" s="3">
        <f t="shared" si="71"/>
        <v>3115</v>
      </c>
      <c r="F1169" s="51">
        <v>1168</v>
      </c>
      <c r="G1169" s="51">
        <f t="shared" si="72"/>
        <v>4273</v>
      </c>
      <c r="H1169" s="52">
        <v>1168</v>
      </c>
      <c r="I1169" s="52">
        <f t="shared" si="73"/>
        <v>5431</v>
      </c>
    </row>
    <row r="1170" spans="1:9">
      <c r="A1170">
        <v>1169</v>
      </c>
      <c r="B1170" s="2">
        <v>1169</v>
      </c>
      <c r="C1170" s="2">
        <f t="shared" si="70"/>
        <v>1959</v>
      </c>
      <c r="D1170" s="3">
        <v>1169</v>
      </c>
      <c r="E1170" s="3">
        <f t="shared" si="71"/>
        <v>3117</v>
      </c>
      <c r="F1170" s="51">
        <v>1169</v>
      </c>
      <c r="G1170" s="51">
        <f t="shared" si="72"/>
        <v>4275</v>
      </c>
      <c r="H1170" s="52">
        <v>1169</v>
      </c>
      <c r="I1170" s="52">
        <f t="shared" si="73"/>
        <v>5433</v>
      </c>
    </row>
    <row r="1171" spans="1:9">
      <c r="A1171">
        <v>1170</v>
      </c>
      <c r="B1171" s="2">
        <v>1170</v>
      </c>
      <c r="C1171" s="2">
        <f t="shared" si="70"/>
        <v>1960</v>
      </c>
      <c r="D1171" s="3">
        <v>1170</v>
      </c>
      <c r="E1171" s="3">
        <f t="shared" si="71"/>
        <v>3118</v>
      </c>
      <c r="F1171" s="51">
        <v>1170</v>
      </c>
      <c r="G1171" s="51">
        <f t="shared" si="72"/>
        <v>4276</v>
      </c>
      <c r="H1171" s="52">
        <v>1170</v>
      </c>
      <c r="I1171" s="52">
        <f t="shared" si="73"/>
        <v>5434</v>
      </c>
    </row>
    <row r="1172" spans="1:9">
      <c r="A1172">
        <v>1171</v>
      </c>
      <c r="B1172" s="2">
        <v>1171</v>
      </c>
      <c r="C1172" s="2">
        <f t="shared" si="70"/>
        <v>1961</v>
      </c>
      <c r="D1172" s="3">
        <v>1171</v>
      </c>
      <c r="E1172" s="3">
        <f t="shared" si="71"/>
        <v>3119</v>
      </c>
      <c r="F1172" s="51">
        <v>1171</v>
      </c>
      <c r="G1172" s="51">
        <f t="shared" si="72"/>
        <v>4277</v>
      </c>
      <c r="H1172" s="52">
        <v>1171</v>
      </c>
      <c r="I1172" s="52">
        <f t="shared" si="73"/>
        <v>5435</v>
      </c>
    </row>
    <row r="1173" spans="1:9">
      <c r="A1173">
        <v>1172</v>
      </c>
      <c r="B1173" s="2">
        <v>1172</v>
      </c>
      <c r="C1173" s="2">
        <f t="shared" si="70"/>
        <v>1963</v>
      </c>
      <c r="D1173" s="3">
        <v>1172</v>
      </c>
      <c r="E1173" s="3">
        <f t="shared" si="71"/>
        <v>3121</v>
      </c>
      <c r="F1173" s="51">
        <v>1172</v>
      </c>
      <c r="G1173" s="51">
        <f t="shared" si="72"/>
        <v>4279</v>
      </c>
      <c r="H1173" s="52">
        <v>1172</v>
      </c>
      <c r="I1173" s="52">
        <f t="shared" si="73"/>
        <v>5437</v>
      </c>
    </row>
    <row r="1174" spans="1:9">
      <c r="A1174">
        <v>1173</v>
      </c>
      <c r="B1174" s="2">
        <v>1173</v>
      </c>
      <c r="C1174" s="2">
        <f t="shared" si="70"/>
        <v>1964</v>
      </c>
      <c r="D1174" s="3">
        <v>1173</v>
      </c>
      <c r="E1174" s="3">
        <f t="shared" si="71"/>
        <v>3122</v>
      </c>
      <c r="F1174" s="51">
        <v>1173</v>
      </c>
      <c r="G1174" s="51">
        <f t="shared" si="72"/>
        <v>4280</v>
      </c>
      <c r="H1174" s="52">
        <v>1173</v>
      </c>
      <c r="I1174" s="52">
        <f t="shared" si="73"/>
        <v>5438</v>
      </c>
    </row>
    <row r="1175" spans="1:9">
      <c r="A1175">
        <v>1174</v>
      </c>
      <c r="B1175" s="2">
        <v>1174</v>
      </c>
      <c r="C1175" s="2">
        <f t="shared" si="70"/>
        <v>1965</v>
      </c>
      <c r="D1175" s="3">
        <v>1174</v>
      </c>
      <c r="E1175" s="3">
        <f t="shared" si="71"/>
        <v>3123</v>
      </c>
      <c r="F1175" s="51">
        <v>1174</v>
      </c>
      <c r="G1175" s="51">
        <f t="shared" si="72"/>
        <v>4281</v>
      </c>
      <c r="H1175" s="52">
        <v>1174</v>
      </c>
      <c r="I1175" s="52">
        <f t="shared" si="73"/>
        <v>5439</v>
      </c>
    </row>
    <row r="1176" spans="1:9">
      <c r="A1176">
        <v>1175</v>
      </c>
      <c r="B1176" s="2">
        <v>1175</v>
      </c>
      <c r="C1176" s="2">
        <f t="shared" si="70"/>
        <v>1967</v>
      </c>
      <c r="D1176" s="3">
        <v>1175</v>
      </c>
      <c r="E1176" s="3">
        <f t="shared" si="71"/>
        <v>3125</v>
      </c>
      <c r="F1176" s="51">
        <v>1175</v>
      </c>
      <c r="G1176" s="51">
        <f t="shared" si="72"/>
        <v>4283</v>
      </c>
      <c r="H1176" s="52">
        <v>1175</v>
      </c>
      <c r="I1176" s="52">
        <f t="shared" si="73"/>
        <v>5441</v>
      </c>
    </row>
    <row r="1177" spans="1:9">
      <c r="A1177">
        <v>1176</v>
      </c>
      <c r="B1177" s="2">
        <v>1176</v>
      </c>
      <c r="C1177" s="2">
        <f t="shared" si="70"/>
        <v>1968</v>
      </c>
      <c r="D1177" s="3">
        <v>1176</v>
      </c>
      <c r="E1177" s="3">
        <f t="shared" si="71"/>
        <v>3126</v>
      </c>
      <c r="F1177" s="51">
        <v>1176</v>
      </c>
      <c r="G1177" s="51">
        <f t="shared" si="72"/>
        <v>4284</v>
      </c>
      <c r="H1177" s="52">
        <v>1176</v>
      </c>
      <c r="I1177" s="52">
        <f t="shared" si="73"/>
        <v>5442</v>
      </c>
    </row>
    <row r="1178" spans="1:9">
      <c r="A1178">
        <v>1177</v>
      </c>
      <c r="B1178" s="2">
        <v>1177</v>
      </c>
      <c r="C1178" s="2">
        <f t="shared" si="70"/>
        <v>1969</v>
      </c>
      <c r="D1178" s="3">
        <v>1177</v>
      </c>
      <c r="E1178" s="3">
        <f t="shared" si="71"/>
        <v>3127</v>
      </c>
      <c r="F1178" s="51">
        <v>1177</v>
      </c>
      <c r="G1178" s="51">
        <f t="shared" si="72"/>
        <v>4285</v>
      </c>
      <c r="H1178" s="52">
        <v>1177</v>
      </c>
      <c r="I1178" s="52">
        <f t="shared" si="73"/>
        <v>5443</v>
      </c>
    </row>
    <row r="1179" spans="1:9">
      <c r="A1179">
        <v>1178</v>
      </c>
      <c r="B1179" s="2">
        <v>1178</v>
      </c>
      <c r="C1179" s="2">
        <f t="shared" si="70"/>
        <v>1971</v>
      </c>
      <c r="D1179" s="3">
        <v>1178</v>
      </c>
      <c r="E1179" s="3">
        <f t="shared" si="71"/>
        <v>3129</v>
      </c>
      <c r="F1179" s="51">
        <v>1178</v>
      </c>
      <c r="G1179" s="51">
        <f t="shared" si="72"/>
        <v>4287</v>
      </c>
      <c r="H1179" s="52">
        <v>1178</v>
      </c>
      <c r="I1179" s="52">
        <f t="shared" si="73"/>
        <v>5445</v>
      </c>
    </row>
    <row r="1180" spans="1:9">
      <c r="A1180">
        <v>1179</v>
      </c>
      <c r="B1180" s="2">
        <v>1179</v>
      </c>
      <c r="C1180" s="2">
        <f t="shared" si="70"/>
        <v>1972</v>
      </c>
      <c r="D1180" s="3">
        <v>1179</v>
      </c>
      <c r="E1180" s="3">
        <f t="shared" si="71"/>
        <v>3130</v>
      </c>
      <c r="F1180" s="51">
        <v>1179</v>
      </c>
      <c r="G1180" s="51">
        <f t="shared" si="72"/>
        <v>4288</v>
      </c>
      <c r="H1180" s="52">
        <v>1179</v>
      </c>
      <c r="I1180" s="52">
        <f t="shared" si="73"/>
        <v>5446</v>
      </c>
    </row>
    <row r="1181" spans="1:9">
      <c r="A1181">
        <v>1180</v>
      </c>
      <c r="B1181" s="2">
        <v>1180</v>
      </c>
      <c r="C1181" s="2">
        <f t="shared" si="70"/>
        <v>1973</v>
      </c>
      <c r="D1181" s="3">
        <v>1180</v>
      </c>
      <c r="E1181" s="3">
        <f t="shared" si="71"/>
        <v>3131</v>
      </c>
      <c r="F1181" s="51">
        <v>1180</v>
      </c>
      <c r="G1181" s="51">
        <f t="shared" si="72"/>
        <v>4289</v>
      </c>
      <c r="H1181" s="52">
        <v>1180</v>
      </c>
      <c r="I1181" s="52">
        <f t="shared" si="73"/>
        <v>5447</v>
      </c>
    </row>
    <row r="1182" spans="1:9">
      <c r="A1182">
        <v>1181</v>
      </c>
      <c r="B1182" s="2">
        <v>1181</v>
      </c>
      <c r="C1182" s="2">
        <f t="shared" si="70"/>
        <v>1975</v>
      </c>
      <c r="D1182" s="3">
        <v>1181</v>
      </c>
      <c r="E1182" s="3">
        <f t="shared" si="71"/>
        <v>3133</v>
      </c>
      <c r="F1182" s="51">
        <v>1181</v>
      </c>
      <c r="G1182" s="51">
        <f t="shared" si="72"/>
        <v>4291</v>
      </c>
      <c r="H1182" s="52">
        <v>1181</v>
      </c>
      <c r="I1182" s="52">
        <f t="shared" si="73"/>
        <v>5449</v>
      </c>
    </row>
    <row r="1183" spans="1:9">
      <c r="A1183">
        <v>1182</v>
      </c>
      <c r="B1183" s="2">
        <v>1182</v>
      </c>
      <c r="C1183" s="2">
        <f t="shared" si="70"/>
        <v>1976</v>
      </c>
      <c r="D1183" s="3">
        <v>1182</v>
      </c>
      <c r="E1183" s="3">
        <f t="shared" si="71"/>
        <v>3134</v>
      </c>
      <c r="F1183" s="51">
        <v>1182</v>
      </c>
      <c r="G1183" s="51">
        <f t="shared" si="72"/>
        <v>4292</v>
      </c>
      <c r="H1183" s="52">
        <v>1182</v>
      </c>
      <c r="I1183" s="52">
        <f t="shared" si="73"/>
        <v>5450</v>
      </c>
    </row>
    <row r="1184" spans="1:9">
      <c r="A1184">
        <v>1183</v>
      </c>
      <c r="B1184" s="2">
        <v>1183</v>
      </c>
      <c r="C1184" s="2">
        <f t="shared" si="70"/>
        <v>1977</v>
      </c>
      <c r="D1184" s="3">
        <v>1183</v>
      </c>
      <c r="E1184" s="3">
        <f t="shared" si="71"/>
        <v>3135</v>
      </c>
      <c r="F1184" s="51">
        <v>1183</v>
      </c>
      <c r="G1184" s="51">
        <f t="shared" si="72"/>
        <v>4293</v>
      </c>
      <c r="H1184" s="52">
        <v>1183</v>
      </c>
      <c r="I1184" s="52">
        <f t="shared" si="73"/>
        <v>5451</v>
      </c>
    </row>
    <row r="1185" spans="1:9">
      <c r="A1185">
        <v>1184</v>
      </c>
      <c r="B1185" s="2">
        <v>1184</v>
      </c>
      <c r="C1185" s="2">
        <f t="shared" si="70"/>
        <v>1979</v>
      </c>
      <c r="D1185" s="3">
        <v>1184</v>
      </c>
      <c r="E1185" s="3">
        <f t="shared" si="71"/>
        <v>3137</v>
      </c>
      <c r="F1185" s="51">
        <v>1184</v>
      </c>
      <c r="G1185" s="51">
        <f t="shared" si="72"/>
        <v>4295</v>
      </c>
      <c r="H1185" s="52">
        <v>1184</v>
      </c>
      <c r="I1185" s="52">
        <f t="shared" si="73"/>
        <v>5453</v>
      </c>
    </row>
    <row r="1186" spans="1:9">
      <c r="A1186">
        <v>1185</v>
      </c>
      <c r="B1186" s="2">
        <v>1185</v>
      </c>
      <c r="C1186" s="2">
        <f t="shared" si="70"/>
        <v>1980</v>
      </c>
      <c r="D1186" s="3">
        <v>1185</v>
      </c>
      <c r="E1186" s="3">
        <f t="shared" si="71"/>
        <v>3138</v>
      </c>
      <c r="F1186" s="51">
        <v>1185</v>
      </c>
      <c r="G1186" s="51">
        <f t="shared" si="72"/>
        <v>4296</v>
      </c>
      <c r="H1186" s="52">
        <v>1185</v>
      </c>
      <c r="I1186" s="52">
        <f t="shared" si="73"/>
        <v>5454</v>
      </c>
    </row>
    <row r="1187" spans="1:9">
      <c r="A1187">
        <v>1186</v>
      </c>
      <c r="B1187" s="2">
        <v>1186</v>
      </c>
      <c r="C1187" s="2">
        <f t="shared" si="70"/>
        <v>1981</v>
      </c>
      <c r="D1187" s="3">
        <v>1186</v>
      </c>
      <c r="E1187" s="3">
        <f t="shared" si="71"/>
        <v>3139</v>
      </c>
      <c r="F1187" s="51">
        <v>1186</v>
      </c>
      <c r="G1187" s="51">
        <f t="shared" si="72"/>
        <v>4297</v>
      </c>
      <c r="H1187" s="52">
        <v>1186</v>
      </c>
      <c r="I1187" s="52">
        <f t="shared" si="73"/>
        <v>5455</v>
      </c>
    </row>
    <row r="1188" spans="1:9">
      <c r="A1188">
        <v>1187</v>
      </c>
      <c r="B1188" s="2">
        <v>1187</v>
      </c>
      <c r="C1188" s="2">
        <f t="shared" si="70"/>
        <v>1983</v>
      </c>
      <c r="D1188" s="3">
        <v>1187</v>
      </c>
      <c r="E1188" s="3">
        <f t="shared" si="71"/>
        <v>3141</v>
      </c>
      <c r="F1188" s="51">
        <v>1187</v>
      </c>
      <c r="G1188" s="51">
        <f t="shared" si="72"/>
        <v>4299</v>
      </c>
      <c r="H1188" s="52">
        <v>1187</v>
      </c>
      <c r="I1188" s="52">
        <f t="shared" si="73"/>
        <v>5457</v>
      </c>
    </row>
    <row r="1189" spans="1:9">
      <c r="A1189">
        <v>1188</v>
      </c>
      <c r="B1189" s="2">
        <v>1188</v>
      </c>
      <c r="C1189" s="2">
        <f t="shared" si="70"/>
        <v>1984</v>
      </c>
      <c r="D1189" s="3">
        <v>1188</v>
      </c>
      <c r="E1189" s="3">
        <f t="shared" si="71"/>
        <v>3142</v>
      </c>
      <c r="F1189" s="51">
        <v>1188</v>
      </c>
      <c r="G1189" s="51">
        <f t="shared" si="72"/>
        <v>4300</v>
      </c>
      <c r="H1189" s="52">
        <v>1188</v>
      </c>
      <c r="I1189" s="52">
        <f t="shared" si="73"/>
        <v>5458</v>
      </c>
    </row>
    <row r="1190" spans="1:9">
      <c r="A1190">
        <v>1189</v>
      </c>
      <c r="B1190" s="2">
        <v>1189</v>
      </c>
      <c r="C1190" s="2">
        <f t="shared" si="70"/>
        <v>1985</v>
      </c>
      <c r="D1190" s="3">
        <v>1189</v>
      </c>
      <c r="E1190" s="3">
        <f t="shared" si="71"/>
        <v>3143</v>
      </c>
      <c r="F1190" s="51">
        <v>1189</v>
      </c>
      <c r="G1190" s="51">
        <f t="shared" si="72"/>
        <v>4301</v>
      </c>
      <c r="H1190" s="52">
        <v>1189</v>
      </c>
      <c r="I1190" s="52">
        <f t="shared" si="73"/>
        <v>5459</v>
      </c>
    </row>
    <row r="1191" spans="1:9">
      <c r="A1191">
        <v>1190</v>
      </c>
      <c r="B1191" s="2">
        <v>1190</v>
      </c>
      <c r="C1191" s="2">
        <f t="shared" si="70"/>
        <v>1987</v>
      </c>
      <c r="D1191" s="3">
        <v>1190</v>
      </c>
      <c r="E1191" s="3">
        <f t="shared" si="71"/>
        <v>3145</v>
      </c>
      <c r="F1191" s="51">
        <v>1190</v>
      </c>
      <c r="G1191" s="51">
        <f t="shared" si="72"/>
        <v>4303</v>
      </c>
      <c r="H1191" s="52">
        <v>1190</v>
      </c>
      <c r="I1191" s="52">
        <f t="shared" si="73"/>
        <v>5461</v>
      </c>
    </row>
    <row r="1192" spans="1:9">
      <c r="A1192">
        <v>1191</v>
      </c>
      <c r="B1192" s="2">
        <v>1191</v>
      </c>
      <c r="C1192" s="2">
        <f t="shared" si="70"/>
        <v>1988</v>
      </c>
      <c r="D1192" s="3">
        <v>1191</v>
      </c>
      <c r="E1192" s="3">
        <f t="shared" si="71"/>
        <v>3146</v>
      </c>
      <c r="F1192" s="51">
        <v>1191</v>
      </c>
      <c r="G1192" s="51">
        <f t="shared" si="72"/>
        <v>4304</v>
      </c>
      <c r="H1192" s="52">
        <v>1191</v>
      </c>
      <c r="I1192" s="52">
        <f t="shared" si="73"/>
        <v>5462</v>
      </c>
    </row>
    <row r="1193" spans="1:9">
      <c r="A1193">
        <v>1192</v>
      </c>
      <c r="B1193" s="2">
        <v>1192</v>
      </c>
      <c r="C1193" s="2">
        <f t="shared" si="70"/>
        <v>1989</v>
      </c>
      <c r="D1193" s="3">
        <v>1192</v>
      </c>
      <c r="E1193" s="3">
        <f t="shared" si="71"/>
        <v>3147</v>
      </c>
      <c r="F1193" s="51">
        <v>1192</v>
      </c>
      <c r="G1193" s="51">
        <f t="shared" si="72"/>
        <v>4305</v>
      </c>
      <c r="H1193" s="52">
        <v>1192</v>
      </c>
      <c r="I1193" s="52">
        <f t="shared" si="73"/>
        <v>5463</v>
      </c>
    </row>
    <row r="1194" spans="1:9">
      <c r="A1194">
        <v>1193</v>
      </c>
      <c r="B1194" s="2">
        <v>1193</v>
      </c>
      <c r="C1194" s="2">
        <f t="shared" si="70"/>
        <v>1991</v>
      </c>
      <c r="D1194" s="3">
        <v>1193</v>
      </c>
      <c r="E1194" s="3">
        <f t="shared" si="71"/>
        <v>3149</v>
      </c>
      <c r="F1194" s="51">
        <v>1193</v>
      </c>
      <c r="G1194" s="51">
        <f t="shared" si="72"/>
        <v>4307</v>
      </c>
      <c r="H1194" s="52">
        <v>1193</v>
      </c>
      <c r="I1194" s="52">
        <f t="shared" si="73"/>
        <v>5465</v>
      </c>
    </row>
    <row r="1195" spans="1:9">
      <c r="A1195">
        <v>1194</v>
      </c>
      <c r="B1195" s="2">
        <v>1194</v>
      </c>
      <c r="C1195" s="2">
        <f t="shared" si="70"/>
        <v>1992</v>
      </c>
      <c r="D1195" s="3">
        <v>1194</v>
      </c>
      <c r="E1195" s="3">
        <f t="shared" si="71"/>
        <v>3150</v>
      </c>
      <c r="F1195" s="51">
        <v>1194</v>
      </c>
      <c r="G1195" s="51">
        <f t="shared" si="72"/>
        <v>4308</v>
      </c>
      <c r="H1195" s="52">
        <v>1194</v>
      </c>
      <c r="I1195" s="52">
        <f t="shared" si="73"/>
        <v>5466</v>
      </c>
    </row>
    <row r="1196" spans="1:9">
      <c r="A1196">
        <v>1195</v>
      </c>
      <c r="B1196" s="2">
        <v>1195</v>
      </c>
      <c r="C1196" s="2">
        <f t="shared" si="70"/>
        <v>1993</v>
      </c>
      <c r="D1196" s="3">
        <v>1195</v>
      </c>
      <c r="E1196" s="3">
        <f t="shared" si="71"/>
        <v>3151</v>
      </c>
      <c r="F1196" s="51">
        <v>1195</v>
      </c>
      <c r="G1196" s="51">
        <f t="shared" si="72"/>
        <v>4309</v>
      </c>
      <c r="H1196" s="52">
        <v>1195</v>
      </c>
      <c r="I1196" s="52">
        <f t="shared" si="73"/>
        <v>5467</v>
      </c>
    </row>
    <row r="1197" spans="1:9">
      <c r="A1197">
        <v>1196</v>
      </c>
      <c r="B1197" s="2">
        <v>1196</v>
      </c>
      <c r="C1197" s="2">
        <f t="shared" si="70"/>
        <v>1995</v>
      </c>
      <c r="D1197" s="3">
        <v>1196</v>
      </c>
      <c r="E1197" s="3">
        <f t="shared" si="71"/>
        <v>3153</v>
      </c>
      <c r="F1197" s="51">
        <v>1196</v>
      </c>
      <c r="G1197" s="51">
        <f t="shared" si="72"/>
        <v>4311</v>
      </c>
      <c r="H1197" s="52">
        <v>1196</v>
      </c>
      <c r="I1197" s="52">
        <f t="shared" si="73"/>
        <v>5469</v>
      </c>
    </row>
    <row r="1198" spans="1:9">
      <c r="A1198">
        <v>1197</v>
      </c>
      <c r="B1198" s="2">
        <v>1197</v>
      </c>
      <c r="C1198" s="2">
        <f t="shared" si="70"/>
        <v>1996</v>
      </c>
      <c r="D1198" s="3">
        <v>1197</v>
      </c>
      <c r="E1198" s="3">
        <f t="shared" si="71"/>
        <v>3154</v>
      </c>
      <c r="F1198" s="51">
        <v>1197</v>
      </c>
      <c r="G1198" s="51">
        <f t="shared" si="72"/>
        <v>4312</v>
      </c>
      <c r="H1198" s="52">
        <v>1197</v>
      </c>
      <c r="I1198" s="52">
        <f t="shared" si="73"/>
        <v>5470</v>
      </c>
    </row>
    <row r="1199" spans="1:9">
      <c r="A1199">
        <v>1198</v>
      </c>
      <c r="B1199" s="2">
        <v>1198</v>
      </c>
      <c r="C1199" s="2">
        <f t="shared" si="70"/>
        <v>1997</v>
      </c>
      <c r="D1199" s="3">
        <v>1198</v>
      </c>
      <c r="E1199" s="3">
        <f t="shared" si="71"/>
        <v>3155</v>
      </c>
      <c r="F1199" s="51">
        <v>1198</v>
      </c>
      <c r="G1199" s="51">
        <f t="shared" si="72"/>
        <v>4313</v>
      </c>
      <c r="H1199" s="52">
        <v>1198</v>
      </c>
      <c r="I1199" s="52">
        <f t="shared" si="73"/>
        <v>5471</v>
      </c>
    </row>
    <row r="1200" spans="1:9">
      <c r="A1200">
        <v>1199</v>
      </c>
      <c r="B1200" s="2">
        <v>1199</v>
      </c>
      <c r="C1200" s="2">
        <f t="shared" si="70"/>
        <v>1999</v>
      </c>
      <c r="D1200" s="3">
        <v>1199</v>
      </c>
      <c r="E1200" s="3">
        <f t="shared" si="71"/>
        <v>3157</v>
      </c>
      <c r="F1200" s="51">
        <v>1199</v>
      </c>
      <c r="G1200" s="51">
        <f t="shared" si="72"/>
        <v>4315</v>
      </c>
      <c r="H1200" s="52">
        <v>1199</v>
      </c>
      <c r="I1200" s="52">
        <f t="shared" si="73"/>
        <v>5473</v>
      </c>
    </row>
    <row r="1201" spans="1:9">
      <c r="A1201">
        <v>1200</v>
      </c>
      <c r="B1201" s="2">
        <v>1200</v>
      </c>
      <c r="C1201" s="2">
        <f t="shared" si="70"/>
        <v>2000</v>
      </c>
      <c r="D1201" s="3">
        <v>1200</v>
      </c>
      <c r="E1201" s="3">
        <f t="shared" si="71"/>
        <v>3158</v>
      </c>
      <c r="F1201" s="51">
        <v>1200</v>
      </c>
      <c r="G1201" s="51">
        <f t="shared" si="72"/>
        <v>4316</v>
      </c>
      <c r="H1201" s="52">
        <v>1200</v>
      </c>
      <c r="I1201" s="52">
        <f t="shared" si="73"/>
        <v>5474</v>
      </c>
    </row>
    <row r="1202" spans="1:9">
      <c r="A1202">
        <v>1201</v>
      </c>
      <c r="B1202" s="2">
        <v>1201</v>
      </c>
      <c r="C1202" s="2">
        <f t="shared" si="70"/>
        <v>2001</v>
      </c>
      <c r="D1202" s="3">
        <v>1201</v>
      </c>
      <c r="E1202" s="3">
        <f t="shared" si="71"/>
        <v>3159</v>
      </c>
      <c r="F1202" s="51">
        <v>1201</v>
      </c>
      <c r="G1202" s="51">
        <f t="shared" si="72"/>
        <v>4317</v>
      </c>
      <c r="H1202" s="52">
        <v>1201</v>
      </c>
      <c r="I1202" s="52">
        <f t="shared" si="73"/>
        <v>5475</v>
      </c>
    </row>
    <row r="1203" spans="1:9">
      <c r="A1203">
        <v>1202</v>
      </c>
      <c r="B1203" s="2">
        <v>1202</v>
      </c>
      <c r="C1203" s="2">
        <f t="shared" si="70"/>
        <v>2003</v>
      </c>
      <c r="D1203" s="3">
        <v>1202</v>
      </c>
      <c r="E1203" s="3">
        <f t="shared" si="71"/>
        <v>3161</v>
      </c>
      <c r="F1203" s="51">
        <v>1202</v>
      </c>
      <c r="G1203" s="51">
        <f t="shared" si="72"/>
        <v>4319</v>
      </c>
      <c r="H1203" s="52">
        <v>1202</v>
      </c>
      <c r="I1203" s="52">
        <f t="shared" si="73"/>
        <v>5477</v>
      </c>
    </row>
    <row r="1204" spans="1:9">
      <c r="A1204">
        <v>1203</v>
      </c>
      <c r="B1204" s="2">
        <v>1203</v>
      </c>
      <c r="C1204" s="2">
        <f t="shared" si="70"/>
        <v>2004</v>
      </c>
      <c r="D1204" s="3">
        <v>1203</v>
      </c>
      <c r="E1204" s="3">
        <f t="shared" si="71"/>
        <v>3162</v>
      </c>
      <c r="F1204" s="51">
        <v>1203</v>
      </c>
      <c r="G1204" s="51">
        <f t="shared" si="72"/>
        <v>4320</v>
      </c>
      <c r="H1204" s="52">
        <v>1203</v>
      </c>
      <c r="I1204" s="52">
        <f t="shared" si="73"/>
        <v>5478</v>
      </c>
    </row>
    <row r="1205" spans="1:9">
      <c r="A1205">
        <v>1204</v>
      </c>
      <c r="B1205" s="2">
        <v>1204</v>
      </c>
      <c r="C1205" s="2">
        <f t="shared" si="70"/>
        <v>2005</v>
      </c>
      <c r="D1205" s="3">
        <v>1204</v>
      </c>
      <c r="E1205" s="3">
        <f t="shared" si="71"/>
        <v>3163</v>
      </c>
      <c r="F1205" s="51">
        <v>1204</v>
      </c>
      <c r="G1205" s="51">
        <f t="shared" si="72"/>
        <v>4321</v>
      </c>
      <c r="H1205" s="52">
        <v>1204</v>
      </c>
      <c r="I1205" s="52">
        <f t="shared" si="73"/>
        <v>5479</v>
      </c>
    </row>
    <row r="1206" spans="1:9">
      <c r="A1206">
        <v>1205</v>
      </c>
      <c r="B1206" s="2">
        <v>1205</v>
      </c>
      <c r="C1206" s="2">
        <f t="shared" si="70"/>
        <v>2007</v>
      </c>
      <c r="D1206" s="3">
        <v>1205</v>
      </c>
      <c r="E1206" s="3">
        <f t="shared" si="71"/>
        <v>3165</v>
      </c>
      <c r="F1206" s="51">
        <v>1205</v>
      </c>
      <c r="G1206" s="51">
        <f t="shared" si="72"/>
        <v>4323</v>
      </c>
      <c r="H1206" s="52">
        <v>1205</v>
      </c>
      <c r="I1206" s="52">
        <f t="shared" si="73"/>
        <v>5481</v>
      </c>
    </row>
    <row r="1207" spans="1:9">
      <c r="A1207">
        <v>1206</v>
      </c>
      <c r="B1207" s="2">
        <v>1206</v>
      </c>
      <c r="C1207" s="2">
        <f t="shared" si="70"/>
        <v>2008</v>
      </c>
      <c r="D1207" s="3">
        <v>1206</v>
      </c>
      <c r="E1207" s="3">
        <f t="shared" si="71"/>
        <v>3166</v>
      </c>
      <c r="F1207" s="51">
        <v>1206</v>
      </c>
      <c r="G1207" s="51">
        <f t="shared" si="72"/>
        <v>4324</v>
      </c>
      <c r="H1207" s="52">
        <v>1206</v>
      </c>
      <c r="I1207" s="52">
        <f t="shared" si="73"/>
        <v>5482</v>
      </c>
    </row>
    <row r="1208" spans="1:9">
      <c r="A1208">
        <v>1207</v>
      </c>
      <c r="B1208" s="2">
        <v>1207</v>
      </c>
      <c r="C1208" s="2">
        <f t="shared" si="70"/>
        <v>2009</v>
      </c>
      <c r="D1208" s="3">
        <v>1207</v>
      </c>
      <c r="E1208" s="3">
        <f t="shared" si="71"/>
        <v>3167</v>
      </c>
      <c r="F1208" s="51">
        <v>1207</v>
      </c>
      <c r="G1208" s="51">
        <f t="shared" si="72"/>
        <v>4325</v>
      </c>
      <c r="H1208" s="52">
        <v>1207</v>
      </c>
      <c r="I1208" s="52">
        <f t="shared" si="73"/>
        <v>5483</v>
      </c>
    </row>
    <row r="1209" spans="1:9">
      <c r="A1209">
        <v>1208</v>
      </c>
      <c r="B1209" s="2">
        <v>1208</v>
      </c>
      <c r="C1209" s="2">
        <f t="shared" si="70"/>
        <v>2011</v>
      </c>
      <c r="D1209" s="3">
        <v>1208</v>
      </c>
      <c r="E1209" s="3">
        <f t="shared" si="71"/>
        <v>3169</v>
      </c>
      <c r="F1209" s="51">
        <v>1208</v>
      </c>
      <c r="G1209" s="51">
        <f t="shared" si="72"/>
        <v>4327</v>
      </c>
      <c r="H1209" s="52">
        <v>1208</v>
      </c>
      <c r="I1209" s="52">
        <f t="shared" si="73"/>
        <v>5485</v>
      </c>
    </row>
    <row r="1210" spans="1:9">
      <c r="A1210">
        <v>1209</v>
      </c>
      <c r="B1210" s="2">
        <v>1209</v>
      </c>
      <c r="C1210" s="2">
        <f t="shared" si="70"/>
        <v>2012</v>
      </c>
      <c r="D1210" s="3">
        <v>1209</v>
      </c>
      <c r="E1210" s="3">
        <f t="shared" si="71"/>
        <v>3170</v>
      </c>
      <c r="F1210" s="51">
        <v>1209</v>
      </c>
      <c r="G1210" s="51">
        <f t="shared" si="72"/>
        <v>4328</v>
      </c>
      <c r="H1210" s="52">
        <v>1209</v>
      </c>
      <c r="I1210" s="52">
        <f t="shared" si="73"/>
        <v>5486</v>
      </c>
    </row>
    <row r="1211" spans="1:9">
      <c r="A1211">
        <v>1210</v>
      </c>
      <c r="B1211" s="2">
        <v>1210</v>
      </c>
      <c r="C1211" s="2">
        <f t="shared" si="70"/>
        <v>2013</v>
      </c>
      <c r="D1211" s="3">
        <v>1210</v>
      </c>
      <c r="E1211" s="3">
        <f t="shared" si="71"/>
        <v>3171</v>
      </c>
      <c r="F1211" s="51">
        <v>1210</v>
      </c>
      <c r="G1211" s="51">
        <f t="shared" si="72"/>
        <v>4329</v>
      </c>
      <c r="H1211" s="52">
        <v>1210</v>
      </c>
      <c r="I1211" s="52">
        <f t="shared" si="73"/>
        <v>5487</v>
      </c>
    </row>
    <row r="1212" spans="1:9">
      <c r="A1212">
        <v>1211</v>
      </c>
      <c r="B1212" s="2">
        <v>1211</v>
      </c>
      <c r="C1212" s="2">
        <f t="shared" ref="C1212:C1275" si="74">INT((B1212-B$122)*1.3333333)+C$122</f>
        <v>2015</v>
      </c>
      <c r="D1212" s="3">
        <v>1211</v>
      </c>
      <c r="E1212" s="3">
        <f t="shared" si="71"/>
        <v>3173</v>
      </c>
      <c r="F1212" s="51">
        <v>1211</v>
      </c>
      <c r="G1212" s="51">
        <f t="shared" si="72"/>
        <v>4331</v>
      </c>
      <c r="H1212" s="52">
        <v>1211</v>
      </c>
      <c r="I1212" s="52">
        <f t="shared" si="73"/>
        <v>5489</v>
      </c>
    </row>
    <row r="1213" spans="1:9">
      <c r="A1213">
        <v>1212</v>
      </c>
      <c r="B1213" s="2">
        <v>1212</v>
      </c>
      <c r="C1213" s="2">
        <f t="shared" si="74"/>
        <v>2016</v>
      </c>
      <c r="D1213" s="3">
        <v>1212</v>
      </c>
      <c r="E1213" s="3">
        <f t="shared" si="71"/>
        <v>3174</v>
      </c>
      <c r="F1213" s="51">
        <v>1212</v>
      </c>
      <c r="G1213" s="51">
        <f t="shared" si="72"/>
        <v>4332</v>
      </c>
      <c r="H1213" s="52">
        <v>1212</v>
      </c>
      <c r="I1213" s="52">
        <f t="shared" si="73"/>
        <v>5490</v>
      </c>
    </row>
    <row r="1214" spans="1:9">
      <c r="A1214">
        <v>1213</v>
      </c>
      <c r="B1214" s="2">
        <v>1213</v>
      </c>
      <c r="C1214" s="2">
        <f t="shared" si="74"/>
        <v>2017</v>
      </c>
      <c r="D1214" s="3">
        <v>1213</v>
      </c>
      <c r="E1214" s="3">
        <f t="shared" si="71"/>
        <v>3175</v>
      </c>
      <c r="F1214" s="51">
        <v>1213</v>
      </c>
      <c r="G1214" s="51">
        <f t="shared" si="72"/>
        <v>4333</v>
      </c>
      <c r="H1214" s="52">
        <v>1213</v>
      </c>
      <c r="I1214" s="52">
        <f t="shared" si="73"/>
        <v>5491</v>
      </c>
    </row>
    <row r="1215" spans="1:9">
      <c r="A1215">
        <v>1214</v>
      </c>
      <c r="B1215" s="2">
        <v>1214</v>
      </c>
      <c r="C1215" s="2">
        <f t="shared" si="74"/>
        <v>2019</v>
      </c>
      <c r="D1215" s="3">
        <v>1214</v>
      </c>
      <c r="E1215" s="3">
        <f t="shared" si="71"/>
        <v>3177</v>
      </c>
      <c r="F1215" s="51">
        <v>1214</v>
      </c>
      <c r="G1215" s="51">
        <f t="shared" si="72"/>
        <v>4335</v>
      </c>
      <c r="H1215" s="52">
        <v>1214</v>
      </c>
      <c r="I1215" s="52">
        <f t="shared" si="73"/>
        <v>5493</v>
      </c>
    </row>
    <row r="1216" spans="1:9">
      <c r="A1216">
        <v>1215</v>
      </c>
      <c r="B1216" s="2">
        <v>1215</v>
      </c>
      <c r="C1216" s="2">
        <f t="shared" si="74"/>
        <v>2020</v>
      </c>
      <c r="D1216" s="3">
        <v>1215</v>
      </c>
      <c r="E1216" s="3">
        <f t="shared" si="71"/>
        <v>3178</v>
      </c>
      <c r="F1216" s="51">
        <v>1215</v>
      </c>
      <c r="G1216" s="51">
        <f t="shared" si="72"/>
        <v>4336</v>
      </c>
      <c r="H1216" s="52">
        <v>1215</v>
      </c>
      <c r="I1216" s="52">
        <f t="shared" si="73"/>
        <v>5494</v>
      </c>
    </row>
    <row r="1217" spans="1:9">
      <c r="A1217">
        <v>1216</v>
      </c>
      <c r="B1217" s="2">
        <v>1216</v>
      </c>
      <c r="C1217" s="2">
        <f t="shared" si="74"/>
        <v>2021</v>
      </c>
      <c r="D1217" s="3">
        <v>1216</v>
      </c>
      <c r="E1217" s="3">
        <f t="shared" si="71"/>
        <v>3179</v>
      </c>
      <c r="F1217" s="51">
        <v>1216</v>
      </c>
      <c r="G1217" s="51">
        <f t="shared" si="72"/>
        <v>4337</v>
      </c>
      <c r="H1217" s="52">
        <v>1216</v>
      </c>
      <c r="I1217" s="52">
        <f t="shared" si="73"/>
        <v>5495</v>
      </c>
    </row>
    <row r="1218" spans="1:9">
      <c r="A1218">
        <v>1217</v>
      </c>
      <c r="B1218" s="2">
        <v>1217</v>
      </c>
      <c r="C1218" s="2">
        <f t="shared" si="74"/>
        <v>2023</v>
      </c>
      <c r="D1218" s="3">
        <v>1217</v>
      </c>
      <c r="E1218" s="3">
        <f t="shared" si="71"/>
        <v>3181</v>
      </c>
      <c r="F1218" s="51">
        <v>1217</v>
      </c>
      <c r="G1218" s="51">
        <f t="shared" si="72"/>
        <v>4339</v>
      </c>
      <c r="H1218" s="52">
        <v>1217</v>
      </c>
      <c r="I1218" s="52">
        <f t="shared" si="73"/>
        <v>5497</v>
      </c>
    </row>
    <row r="1219" spans="1:9">
      <c r="A1219">
        <v>1218</v>
      </c>
      <c r="B1219" s="2">
        <v>1218</v>
      </c>
      <c r="C1219" s="2">
        <f t="shared" si="74"/>
        <v>2024</v>
      </c>
      <c r="D1219" s="3">
        <v>1218</v>
      </c>
      <c r="E1219" s="3">
        <f t="shared" si="71"/>
        <v>3182</v>
      </c>
      <c r="F1219" s="51">
        <v>1218</v>
      </c>
      <c r="G1219" s="51">
        <f t="shared" si="72"/>
        <v>4340</v>
      </c>
      <c r="H1219" s="52">
        <v>1218</v>
      </c>
      <c r="I1219" s="52">
        <f t="shared" si="73"/>
        <v>5498</v>
      </c>
    </row>
    <row r="1220" spans="1:9">
      <c r="A1220">
        <v>1219</v>
      </c>
      <c r="B1220" s="2">
        <v>1219</v>
      </c>
      <c r="C1220" s="2">
        <f t="shared" si="74"/>
        <v>2025</v>
      </c>
      <c r="D1220" s="3">
        <v>1219</v>
      </c>
      <c r="E1220" s="3">
        <f t="shared" ref="E1220:E1283" si="75">INT((D1220-D$2)*1.3333333)+E$2</f>
        <v>3183</v>
      </c>
      <c r="F1220" s="51">
        <v>1219</v>
      </c>
      <c r="G1220" s="51">
        <f t="shared" ref="G1220:G1283" si="76">INT((F1220-F$2)*1.3333333)+G$2</f>
        <v>4341</v>
      </c>
      <c r="H1220" s="52">
        <v>1219</v>
      </c>
      <c r="I1220" s="52">
        <f t="shared" ref="I1220:I1283" si="77">INT((H1220-H$2)*1.3333333)+I$2</f>
        <v>5499</v>
      </c>
    </row>
    <row r="1221" spans="1:9">
      <c r="A1221">
        <v>1220</v>
      </c>
      <c r="B1221" s="2">
        <v>1220</v>
      </c>
      <c r="C1221" s="2">
        <f t="shared" si="74"/>
        <v>2027</v>
      </c>
      <c r="D1221" s="3">
        <v>1220</v>
      </c>
      <c r="E1221" s="3">
        <f t="shared" si="75"/>
        <v>3185</v>
      </c>
      <c r="F1221" s="51">
        <v>1220</v>
      </c>
      <c r="G1221" s="51">
        <f t="shared" si="76"/>
        <v>4343</v>
      </c>
      <c r="H1221" s="52">
        <v>1220</v>
      </c>
      <c r="I1221" s="52">
        <f t="shared" si="77"/>
        <v>5501</v>
      </c>
    </row>
    <row r="1222" spans="1:9">
      <c r="A1222">
        <v>1221</v>
      </c>
      <c r="B1222" s="2">
        <v>1221</v>
      </c>
      <c r="C1222" s="2">
        <f t="shared" si="74"/>
        <v>2028</v>
      </c>
      <c r="D1222" s="3">
        <v>1221</v>
      </c>
      <c r="E1222" s="3">
        <f t="shared" si="75"/>
        <v>3186</v>
      </c>
      <c r="F1222" s="51">
        <v>1221</v>
      </c>
      <c r="G1222" s="51">
        <f t="shared" si="76"/>
        <v>4344</v>
      </c>
      <c r="H1222" s="52">
        <v>1221</v>
      </c>
      <c r="I1222" s="52">
        <f t="shared" si="77"/>
        <v>5502</v>
      </c>
    </row>
    <row r="1223" spans="1:9">
      <c r="A1223">
        <v>1222</v>
      </c>
      <c r="B1223" s="2">
        <v>1222</v>
      </c>
      <c r="C1223" s="2">
        <f t="shared" si="74"/>
        <v>2029</v>
      </c>
      <c r="D1223" s="3">
        <v>1222</v>
      </c>
      <c r="E1223" s="3">
        <f t="shared" si="75"/>
        <v>3187</v>
      </c>
      <c r="F1223" s="51">
        <v>1222</v>
      </c>
      <c r="G1223" s="51">
        <f t="shared" si="76"/>
        <v>4345</v>
      </c>
      <c r="H1223" s="52">
        <v>1222</v>
      </c>
      <c r="I1223" s="52">
        <f t="shared" si="77"/>
        <v>5503</v>
      </c>
    </row>
    <row r="1224" spans="1:9">
      <c r="A1224">
        <v>1223</v>
      </c>
      <c r="B1224" s="2">
        <v>1223</v>
      </c>
      <c r="C1224" s="2">
        <f t="shared" si="74"/>
        <v>2031</v>
      </c>
      <c r="D1224" s="3">
        <v>1223</v>
      </c>
      <c r="E1224" s="3">
        <f t="shared" si="75"/>
        <v>3189</v>
      </c>
      <c r="F1224" s="51">
        <v>1223</v>
      </c>
      <c r="G1224" s="51">
        <f t="shared" si="76"/>
        <v>4347</v>
      </c>
      <c r="H1224" s="52">
        <v>1223</v>
      </c>
      <c r="I1224" s="52">
        <f t="shared" si="77"/>
        <v>5505</v>
      </c>
    </row>
    <row r="1225" spans="1:9">
      <c r="A1225">
        <v>1224</v>
      </c>
      <c r="B1225" s="2">
        <v>1224</v>
      </c>
      <c r="C1225" s="2">
        <f t="shared" si="74"/>
        <v>2032</v>
      </c>
      <c r="D1225" s="3">
        <v>1224</v>
      </c>
      <c r="E1225" s="3">
        <f t="shared" si="75"/>
        <v>3190</v>
      </c>
      <c r="F1225" s="51">
        <v>1224</v>
      </c>
      <c r="G1225" s="51">
        <f t="shared" si="76"/>
        <v>4348</v>
      </c>
      <c r="H1225" s="52">
        <v>1224</v>
      </c>
      <c r="I1225" s="52">
        <f t="shared" si="77"/>
        <v>5506</v>
      </c>
    </row>
    <row r="1226" spans="1:9">
      <c r="A1226">
        <v>1225</v>
      </c>
      <c r="B1226" s="2">
        <v>1225</v>
      </c>
      <c r="C1226" s="2">
        <f t="shared" si="74"/>
        <v>2033</v>
      </c>
      <c r="D1226" s="3">
        <v>1225</v>
      </c>
      <c r="E1226" s="3">
        <f t="shared" si="75"/>
        <v>3191</v>
      </c>
      <c r="F1226" s="51">
        <v>1225</v>
      </c>
      <c r="G1226" s="51">
        <f t="shared" si="76"/>
        <v>4349</v>
      </c>
      <c r="H1226" s="52">
        <v>1225</v>
      </c>
      <c r="I1226" s="52">
        <f t="shared" si="77"/>
        <v>5507</v>
      </c>
    </row>
    <row r="1227" spans="1:9">
      <c r="A1227">
        <v>1226</v>
      </c>
      <c r="B1227" s="2">
        <v>1226</v>
      </c>
      <c r="C1227" s="2">
        <f t="shared" si="74"/>
        <v>2035</v>
      </c>
      <c r="D1227" s="3">
        <v>1226</v>
      </c>
      <c r="E1227" s="3">
        <f t="shared" si="75"/>
        <v>3193</v>
      </c>
      <c r="F1227" s="51">
        <v>1226</v>
      </c>
      <c r="G1227" s="51">
        <f t="shared" si="76"/>
        <v>4351</v>
      </c>
      <c r="H1227" s="52">
        <v>1226</v>
      </c>
      <c r="I1227" s="52">
        <f t="shared" si="77"/>
        <v>5509</v>
      </c>
    </row>
    <row r="1228" spans="1:9">
      <c r="A1228">
        <v>1227</v>
      </c>
      <c r="B1228" s="2">
        <v>1227</v>
      </c>
      <c r="C1228" s="2">
        <f t="shared" si="74"/>
        <v>2036</v>
      </c>
      <c r="D1228" s="3">
        <v>1227</v>
      </c>
      <c r="E1228" s="3">
        <f t="shared" si="75"/>
        <v>3194</v>
      </c>
      <c r="F1228" s="51">
        <v>1227</v>
      </c>
      <c r="G1228" s="51">
        <f t="shared" si="76"/>
        <v>4352</v>
      </c>
      <c r="H1228" s="52">
        <v>1227</v>
      </c>
      <c r="I1228" s="52">
        <f t="shared" si="77"/>
        <v>5510</v>
      </c>
    </row>
    <row r="1229" spans="1:9">
      <c r="A1229">
        <v>1228</v>
      </c>
      <c r="B1229" s="2">
        <v>1228</v>
      </c>
      <c r="C1229" s="2">
        <f t="shared" si="74"/>
        <v>2037</v>
      </c>
      <c r="D1229" s="3">
        <v>1228</v>
      </c>
      <c r="E1229" s="3">
        <f t="shared" si="75"/>
        <v>3195</v>
      </c>
      <c r="F1229" s="51">
        <v>1228</v>
      </c>
      <c r="G1229" s="51">
        <f t="shared" si="76"/>
        <v>4353</v>
      </c>
      <c r="H1229" s="52">
        <v>1228</v>
      </c>
      <c r="I1229" s="52">
        <f t="shared" si="77"/>
        <v>5511</v>
      </c>
    </row>
    <row r="1230" spans="1:9">
      <c r="A1230">
        <v>1229</v>
      </c>
      <c r="B1230" s="2">
        <v>1229</v>
      </c>
      <c r="C1230" s="2">
        <f t="shared" si="74"/>
        <v>2039</v>
      </c>
      <c r="D1230" s="3">
        <v>1229</v>
      </c>
      <c r="E1230" s="3">
        <f t="shared" si="75"/>
        <v>3197</v>
      </c>
      <c r="F1230" s="51">
        <v>1229</v>
      </c>
      <c r="G1230" s="51">
        <f t="shared" si="76"/>
        <v>4355</v>
      </c>
      <c r="H1230" s="52">
        <v>1229</v>
      </c>
      <c r="I1230" s="52">
        <f t="shared" si="77"/>
        <v>5513</v>
      </c>
    </row>
    <row r="1231" spans="1:9">
      <c r="A1231">
        <v>1230</v>
      </c>
      <c r="B1231" s="2">
        <v>1230</v>
      </c>
      <c r="C1231" s="2">
        <f t="shared" si="74"/>
        <v>2040</v>
      </c>
      <c r="D1231" s="3">
        <v>1230</v>
      </c>
      <c r="E1231" s="3">
        <f t="shared" si="75"/>
        <v>3198</v>
      </c>
      <c r="F1231" s="51">
        <v>1230</v>
      </c>
      <c r="G1231" s="51">
        <f t="shared" si="76"/>
        <v>4356</v>
      </c>
      <c r="H1231" s="52">
        <v>1230</v>
      </c>
      <c r="I1231" s="52">
        <f t="shared" si="77"/>
        <v>5514</v>
      </c>
    </row>
    <row r="1232" spans="1:9">
      <c r="A1232">
        <v>1231</v>
      </c>
      <c r="B1232" s="2">
        <v>1231</v>
      </c>
      <c r="C1232" s="2">
        <f t="shared" si="74"/>
        <v>2041</v>
      </c>
      <c r="D1232" s="3">
        <v>1231</v>
      </c>
      <c r="E1232" s="3">
        <f t="shared" si="75"/>
        <v>3199</v>
      </c>
      <c r="F1232" s="51">
        <v>1231</v>
      </c>
      <c r="G1232" s="51">
        <f t="shared" si="76"/>
        <v>4357</v>
      </c>
      <c r="H1232" s="52">
        <v>1231</v>
      </c>
      <c r="I1232" s="52">
        <f t="shared" si="77"/>
        <v>5515</v>
      </c>
    </row>
    <row r="1233" spans="1:9">
      <c r="A1233">
        <v>1232</v>
      </c>
      <c r="B1233" s="2">
        <v>1232</v>
      </c>
      <c r="C1233" s="2">
        <f t="shared" si="74"/>
        <v>2043</v>
      </c>
      <c r="D1233" s="3">
        <v>1232</v>
      </c>
      <c r="E1233" s="3">
        <f t="shared" si="75"/>
        <v>3201</v>
      </c>
      <c r="F1233" s="51">
        <v>1232</v>
      </c>
      <c r="G1233" s="51">
        <f t="shared" si="76"/>
        <v>4359</v>
      </c>
      <c r="H1233" s="52">
        <v>1232</v>
      </c>
      <c r="I1233" s="52">
        <f t="shared" si="77"/>
        <v>5517</v>
      </c>
    </row>
    <row r="1234" spans="1:9">
      <c r="A1234">
        <v>1233</v>
      </c>
      <c r="B1234" s="2">
        <v>1233</v>
      </c>
      <c r="C1234" s="2">
        <f t="shared" si="74"/>
        <v>2044</v>
      </c>
      <c r="D1234" s="3">
        <v>1233</v>
      </c>
      <c r="E1234" s="3">
        <f t="shared" si="75"/>
        <v>3202</v>
      </c>
      <c r="F1234" s="51">
        <v>1233</v>
      </c>
      <c r="G1234" s="51">
        <f t="shared" si="76"/>
        <v>4360</v>
      </c>
      <c r="H1234" s="52">
        <v>1233</v>
      </c>
      <c r="I1234" s="52">
        <f t="shared" si="77"/>
        <v>5518</v>
      </c>
    </row>
    <row r="1235" spans="1:9">
      <c r="A1235">
        <v>1234</v>
      </c>
      <c r="B1235" s="2">
        <v>1234</v>
      </c>
      <c r="C1235" s="2">
        <f t="shared" si="74"/>
        <v>2045</v>
      </c>
      <c r="D1235" s="3">
        <v>1234</v>
      </c>
      <c r="E1235" s="3">
        <f t="shared" si="75"/>
        <v>3203</v>
      </c>
      <c r="F1235" s="51">
        <v>1234</v>
      </c>
      <c r="G1235" s="51">
        <f t="shared" si="76"/>
        <v>4361</v>
      </c>
      <c r="H1235" s="52">
        <v>1234</v>
      </c>
      <c r="I1235" s="52">
        <f t="shared" si="77"/>
        <v>5519</v>
      </c>
    </row>
    <row r="1236" spans="1:9">
      <c r="A1236">
        <v>1235</v>
      </c>
      <c r="B1236" s="2">
        <v>1235</v>
      </c>
      <c r="C1236" s="2">
        <f t="shared" si="74"/>
        <v>2047</v>
      </c>
      <c r="D1236" s="3">
        <v>1235</v>
      </c>
      <c r="E1236" s="3">
        <f t="shared" si="75"/>
        <v>3205</v>
      </c>
      <c r="F1236" s="51">
        <v>1235</v>
      </c>
      <c r="G1236" s="51">
        <f t="shared" si="76"/>
        <v>4363</v>
      </c>
      <c r="H1236" s="52">
        <v>1235</v>
      </c>
      <c r="I1236" s="52">
        <f t="shared" si="77"/>
        <v>5521</v>
      </c>
    </row>
    <row r="1237" spans="1:9">
      <c r="A1237">
        <v>1236</v>
      </c>
      <c r="B1237" s="2">
        <v>1236</v>
      </c>
      <c r="C1237" s="2">
        <f t="shared" si="74"/>
        <v>2048</v>
      </c>
      <c r="D1237" s="3">
        <v>1236</v>
      </c>
      <c r="E1237" s="3">
        <f t="shared" si="75"/>
        <v>3206</v>
      </c>
      <c r="F1237" s="51">
        <v>1236</v>
      </c>
      <c r="G1237" s="51">
        <f t="shared" si="76"/>
        <v>4364</v>
      </c>
      <c r="H1237" s="52">
        <v>1236</v>
      </c>
      <c r="I1237" s="52">
        <f t="shared" si="77"/>
        <v>5522</v>
      </c>
    </row>
    <row r="1238" spans="1:9">
      <c r="A1238">
        <v>1237</v>
      </c>
      <c r="B1238" s="2">
        <v>1237</v>
      </c>
      <c r="C1238" s="2">
        <f t="shared" si="74"/>
        <v>2049</v>
      </c>
      <c r="D1238" s="3">
        <v>1237</v>
      </c>
      <c r="E1238" s="3">
        <f t="shared" si="75"/>
        <v>3207</v>
      </c>
      <c r="F1238" s="51">
        <v>1237</v>
      </c>
      <c r="G1238" s="51">
        <f t="shared" si="76"/>
        <v>4365</v>
      </c>
      <c r="H1238" s="52">
        <v>1237</v>
      </c>
      <c r="I1238" s="52">
        <f t="shared" si="77"/>
        <v>5523</v>
      </c>
    </row>
    <row r="1239" spans="1:9">
      <c r="A1239">
        <v>1238</v>
      </c>
      <c r="B1239" s="2">
        <v>1238</v>
      </c>
      <c r="C1239" s="2">
        <f t="shared" si="74"/>
        <v>2051</v>
      </c>
      <c r="D1239" s="3">
        <v>1238</v>
      </c>
      <c r="E1239" s="3">
        <f t="shared" si="75"/>
        <v>3209</v>
      </c>
      <c r="F1239" s="51">
        <v>1238</v>
      </c>
      <c r="G1239" s="51">
        <f t="shared" si="76"/>
        <v>4367</v>
      </c>
      <c r="H1239" s="52">
        <v>1238</v>
      </c>
      <c r="I1239" s="52">
        <f t="shared" si="77"/>
        <v>5525</v>
      </c>
    </row>
    <row r="1240" spans="1:9">
      <c r="A1240">
        <v>1239</v>
      </c>
      <c r="B1240" s="2">
        <v>1239</v>
      </c>
      <c r="C1240" s="2">
        <f t="shared" si="74"/>
        <v>2052</v>
      </c>
      <c r="D1240" s="3">
        <v>1239</v>
      </c>
      <c r="E1240" s="3">
        <f t="shared" si="75"/>
        <v>3210</v>
      </c>
      <c r="F1240" s="51">
        <v>1239</v>
      </c>
      <c r="G1240" s="51">
        <f t="shared" si="76"/>
        <v>4368</v>
      </c>
      <c r="H1240" s="52">
        <v>1239</v>
      </c>
      <c r="I1240" s="52">
        <f t="shared" si="77"/>
        <v>5526</v>
      </c>
    </row>
    <row r="1241" spans="1:9">
      <c r="A1241">
        <v>1240</v>
      </c>
      <c r="B1241" s="2">
        <v>1240</v>
      </c>
      <c r="C1241" s="2">
        <f t="shared" si="74"/>
        <v>2053</v>
      </c>
      <c r="D1241" s="3">
        <v>1240</v>
      </c>
      <c r="E1241" s="3">
        <f t="shared" si="75"/>
        <v>3211</v>
      </c>
      <c r="F1241" s="51">
        <v>1240</v>
      </c>
      <c r="G1241" s="51">
        <f t="shared" si="76"/>
        <v>4369</v>
      </c>
      <c r="H1241" s="52">
        <v>1240</v>
      </c>
      <c r="I1241" s="52">
        <f t="shared" si="77"/>
        <v>5527</v>
      </c>
    </row>
    <row r="1242" spans="1:9">
      <c r="A1242">
        <v>1241</v>
      </c>
      <c r="B1242" s="2">
        <v>1241</v>
      </c>
      <c r="C1242" s="2">
        <f t="shared" si="74"/>
        <v>2055</v>
      </c>
      <c r="D1242" s="3">
        <v>1241</v>
      </c>
      <c r="E1242" s="3">
        <f t="shared" si="75"/>
        <v>3213</v>
      </c>
      <c r="F1242" s="51">
        <v>1241</v>
      </c>
      <c r="G1242" s="51">
        <f t="shared" si="76"/>
        <v>4371</v>
      </c>
      <c r="H1242" s="52">
        <v>1241</v>
      </c>
      <c r="I1242" s="52">
        <f t="shared" si="77"/>
        <v>5529</v>
      </c>
    </row>
    <row r="1243" spans="1:9">
      <c r="A1243">
        <v>1242</v>
      </c>
      <c r="B1243" s="2">
        <v>1242</v>
      </c>
      <c r="C1243" s="2">
        <f t="shared" si="74"/>
        <v>2056</v>
      </c>
      <c r="D1243" s="3">
        <v>1242</v>
      </c>
      <c r="E1243" s="3">
        <f t="shared" si="75"/>
        <v>3214</v>
      </c>
      <c r="F1243" s="51">
        <v>1242</v>
      </c>
      <c r="G1243" s="51">
        <f t="shared" si="76"/>
        <v>4372</v>
      </c>
      <c r="H1243" s="52">
        <v>1242</v>
      </c>
      <c r="I1243" s="52">
        <f t="shared" si="77"/>
        <v>5530</v>
      </c>
    </row>
    <row r="1244" spans="1:9">
      <c r="A1244">
        <v>1243</v>
      </c>
      <c r="B1244" s="2">
        <v>1243</v>
      </c>
      <c r="C1244" s="2">
        <f t="shared" si="74"/>
        <v>2057</v>
      </c>
      <c r="D1244" s="3">
        <v>1243</v>
      </c>
      <c r="E1244" s="3">
        <f t="shared" si="75"/>
        <v>3215</v>
      </c>
      <c r="F1244" s="51">
        <v>1243</v>
      </c>
      <c r="G1244" s="51">
        <f t="shared" si="76"/>
        <v>4373</v>
      </c>
      <c r="H1244" s="52">
        <v>1243</v>
      </c>
      <c r="I1244" s="52">
        <f t="shared" si="77"/>
        <v>5531</v>
      </c>
    </row>
    <row r="1245" spans="1:9">
      <c r="A1245">
        <v>1244</v>
      </c>
      <c r="B1245" s="2">
        <v>1244</v>
      </c>
      <c r="C1245" s="2">
        <f t="shared" si="74"/>
        <v>2059</v>
      </c>
      <c r="D1245" s="3">
        <v>1244</v>
      </c>
      <c r="E1245" s="3">
        <f t="shared" si="75"/>
        <v>3217</v>
      </c>
      <c r="F1245" s="51">
        <v>1244</v>
      </c>
      <c r="G1245" s="51">
        <f t="shared" si="76"/>
        <v>4375</v>
      </c>
      <c r="H1245" s="52">
        <v>1244</v>
      </c>
      <c r="I1245" s="52">
        <f t="shared" si="77"/>
        <v>5533</v>
      </c>
    </row>
    <row r="1246" spans="1:9">
      <c r="A1246">
        <v>1245</v>
      </c>
      <c r="B1246" s="2">
        <v>1245</v>
      </c>
      <c r="C1246" s="2">
        <f t="shared" si="74"/>
        <v>2060</v>
      </c>
      <c r="D1246" s="3">
        <v>1245</v>
      </c>
      <c r="E1246" s="3">
        <f t="shared" si="75"/>
        <v>3218</v>
      </c>
      <c r="F1246" s="51">
        <v>1245</v>
      </c>
      <c r="G1246" s="51">
        <f t="shared" si="76"/>
        <v>4376</v>
      </c>
      <c r="H1246" s="52">
        <v>1245</v>
      </c>
      <c r="I1246" s="52">
        <f t="shared" si="77"/>
        <v>5534</v>
      </c>
    </row>
    <row r="1247" spans="1:9">
      <c r="A1247">
        <v>1246</v>
      </c>
      <c r="B1247" s="2">
        <v>1246</v>
      </c>
      <c r="C1247" s="2">
        <f t="shared" si="74"/>
        <v>2061</v>
      </c>
      <c r="D1247" s="3">
        <v>1246</v>
      </c>
      <c r="E1247" s="3">
        <f t="shared" si="75"/>
        <v>3219</v>
      </c>
      <c r="F1247" s="51">
        <v>1246</v>
      </c>
      <c r="G1247" s="51">
        <f t="shared" si="76"/>
        <v>4377</v>
      </c>
      <c r="H1247" s="52">
        <v>1246</v>
      </c>
      <c r="I1247" s="52">
        <f t="shared" si="77"/>
        <v>5535</v>
      </c>
    </row>
    <row r="1248" spans="1:9">
      <c r="A1248">
        <v>1247</v>
      </c>
      <c r="B1248" s="2">
        <v>1247</v>
      </c>
      <c r="C1248" s="2">
        <f t="shared" si="74"/>
        <v>2063</v>
      </c>
      <c r="D1248" s="3">
        <v>1247</v>
      </c>
      <c r="E1248" s="3">
        <f t="shared" si="75"/>
        <v>3221</v>
      </c>
      <c r="F1248" s="51">
        <v>1247</v>
      </c>
      <c r="G1248" s="51">
        <f t="shared" si="76"/>
        <v>4379</v>
      </c>
      <c r="H1248" s="52">
        <v>1247</v>
      </c>
      <c r="I1248" s="52">
        <f t="shared" si="77"/>
        <v>5537</v>
      </c>
    </row>
    <row r="1249" spans="1:9">
      <c r="A1249">
        <v>1248</v>
      </c>
      <c r="B1249" s="2">
        <v>1248</v>
      </c>
      <c r="C1249" s="2">
        <f t="shared" si="74"/>
        <v>2064</v>
      </c>
      <c r="D1249" s="3">
        <v>1248</v>
      </c>
      <c r="E1249" s="3">
        <f t="shared" si="75"/>
        <v>3222</v>
      </c>
      <c r="F1249" s="51">
        <v>1248</v>
      </c>
      <c r="G1249" s="51">
        <f t="shared" si="76"/>
        <v>4380</v>
      </c>
      <c r="H1249" s="52">
        <v>1248</v>
      </c>
      <c r="I1249" s="52">
        <f t="shared" si="77"/>
        <v>5538</v>
      </c>
    </row>
    <row r="1250" spans="1:9">
      <c r="A1250">
        <v>1249</v>
      </c>
      <c r="B1250" s="2">
        <v>1249</v>
      </c>
      <c r="C1250" s="2">
        <f t="shared" si="74"/>
        <v>2065</v>
      </c>
      <c r="D1250" s="3">
        <v>1249</v>
      </c>
      <c r="E1250" s="3">
        <f t="shared" si="75"/>
        <v>3223</v>
      </c>
      <c r="F1250" s="51">
        <v>1249</v>
      </c>
      <c r="G1250" s="51">
        <f t="shared" si="76"/>
        <v>4381</v>
      </c>
      <c r="H1250" s="52">
        <v>1249</v>
      </c>
      <c r="I1250" s="52">
        <f t="shared" si="77"/>
        <v>5539</v>
      </c>
    </row>
    <row r="1251" spans="1:9">
      <c r="A1251">
        <v>1250</v>
      </c>
      <c r="B1251" s="2">
        <v>1250</v>
      </c>
      <c r="C1251" s="2">
        <f t="shared" si="74"/>
        <v>2067</v>
      </c>
      <c r="D1251" s="3">
        <v>1250</v>
      </c>
      <c r="E1251" s="3">
        <f t="shared" si="75"/>
        <v>3225</v>
      </c>
      <c r="F1251" s="51">
        <v>1250</v>
      </c>
      <c r="G1251" s="51">
        <f t="shared" si="76"/>
        <v>4383</v>
      </c>
      <c r="H1251" s="52">
        <v>1250</v>
      </c>
      <c r="I1251" s="52">
        <f t="shared" si="77"/>
        <v>5541</v>
      </c>
    </row>
    <row r="1252" spans="1:9">
      <c r="A1252">
        <v>1251</v>
      </c>
      <c r="B1252" s="2">
        <v>1251</v>
      </c>
      <c r="C1252" s="2">
        <f t="shared" si="74"/>
        <v>2068</v>
      </c>
      <c r="D1252" s="3">
        <v>1251</v>
      </c>
      <c r="E1252" s="3">
        <f t="shared" si="75"/>
        <v>3226</v>
      </c>
      <c r="F1252" s="51">
        <v>1251</v>
      </c>
      <c r="G1252" s="51">
        <f t="shared" si="76"/>
        <v>4384</v>
      </c>
      <c r="H1252" s="52">
        <v>1251</v>
      </c>
      <c r="I1252" s="52">
        <f t="shared" si="77"/>
        <v>5542</v>
      </c>
    </row>
    <row r="1253" spans="1:9">
      <c r="A1253">
        <v>1252</v>
      </c>
      <c r="B1253" s="2">
        <v>1252</v>
      </c>
      <c r="C1253" s="2">
        <f t="shared" si="74"/>
        <v>2069</v>
      </c>
      <c r="D1253" s="3">
        <v>1252</v>
      </c>
      <c r="E1253" s="3">
        <f t="shared" si="75"/>
        <v>3227</v>
      </c>
      <c r="F1253" s="51">
        <v>1252</v>
      </c>
      <c r="G1253" s="51">
        <f t="shared" si="76"/>
        <v>4385</v>
      </c>
      <c r="H1253" s="52">
        <v>1252</v>
      </c>
      <c r="I1253" s="52">
        <f t="shared" si="77"/>
        <v>5543</v>
      </c>
    </row>
    <row r="1254" spans="1:9">
      <c r="A1254">
        <v>1253</v>
      </c>
      <c r="B1254" s="2">
        <v>1253</v>
      </c>
      <c r="C1254" s="2">
        <f t="shared" si="74"/>
        <v>2071</v>
      </c>
      <c r="D1254" s="3">
        <v>1253</v>
      </c>
      <c r="E1254" s="3">
        <f t="shared" si="75"/>
        <v>3229</v>
      </c>
      <c r="F1254" s="51">
        <v>1253</v>
      </c>
      <c r="G1254" s="51">
        <f t="shared" si="76"/>
        <v>4387</v>
      </c>
      <c r="H1254" s="52">
        <v>1253</v>
      </c>
      <c r="I1254" s="52">
        <f t="shared" si="77"/>
        <v>5545</v>
      </c>
    </row>
    <row r="1255" spans="1:9">
      <c r="A1255">
        <v>1254</v>
      </c>
      <c r="B1255" s="2">
        <v>1254</v>
      </c>
      <c r="C1255" s="2">
        <f t="shared" si="74"/>
        <v>2072</v>
      </c>
      <c r="D1255" s="3">
        <v>1254</v>
      </c>
      <c r="E1255" s="3">
        <f t="shared" si="75"/>
        <v>3230</v>
      </c>
      <c r="F1255" s="51">
        <v>1254</v>
      </c>
      <c r="G1255" s="51">
        <f t="shared" si="76"/>
        <v>4388</v>
      </c>
      <c r="H1255" s="52">
        <v>1254</v>
      </c>
      <c r="I1255" s="52">
        <f t="shared" si="77"/>
        <v>5546</v>
      </c>
    </row>
    <row r="1256" spans="1:9">
      <c r="A1256">
        <v>1255</v>
      </c>
      <c r="B1256" s="2">
        <v>1255</v>
      </c>
      <c r="C1256" s="2">
        <f t="shared" si="74"/>
        <v>2073</v>
      </c>
      <c r="D1256" s="3">
        <v>1255</v>
      </c>
      <c r="E1256" s="3">
        <f t="shared" si="75"/>
        <v>3231</v>
      </c>
      <c r="F1256" s="51">
        <v>1255</v>
      </c>
      <c r="G1256" s="51">
        <f t="shared" si="76"/>
        <v>4389</v>
      </c>
      <c r="H1256" s="52">
        <v>1255</v>
      </c>
      <c r="I1256" s="52">
        <f t="shared" si="77"/>
        <v>5547</v>
      </c>
    </row>
    <row r="1257" spans="1:9">
      <c r="A1257">
        <v>1256</v>
      </c>
      <c r="B1257" s="2">
        <v>1256</v>
      </c>
      <c r="C1257" s="2">
        <f t="shared" si="74"/>
        <v>2075</v>
      </c>
      <c r="D1257" s="3">
        <v>1256</v>
      </c>
      <c r="E1257" s="3">
        <f t="shared" si="75"/>
        <v>3233</v>
      </c>
      <c r="F1257" s="51">
        <v>1256</v>
      </c>
      <c r="G1257" s="51">
        <f t="shared" si="76"/>
        <v>4391</v>
      </c>
      <c r="H1257" s="52">
        <v>1256</v>
      </c>
      <c r="I1257" s="52">
        <f t="shared" si="77"/>
        <v>5549</v>
      </c>
    </row>
    <row r="1258" spans="1:9">
      <c r="A1258">
        <v>1257</v>
      </c>
      <c r="B1258" s="2">
        <v>1257</v>
      </c>
      <c r="C1258" s="2">
        <f t="shared" si="74"/>
        <v>2076</v>
      </c>
      <c r="D1258" s="3">
        <v>1257</v>
      </c>
      <c r="E1258" s="3">
        <f t="shared" si="75"/>
        <v>3234</v>
      </c>
      <c r="F1258" s="51">
        <v>1257</v>
      </c>
      <c r="G1258" s="51">
        <f t="shared" si="76"/>
        <v>4392</v>
      </c>
      <c r="H1258" s="52">
        <v>1257</v>
      </c>
      <c r="I1258" s="52">
        <f t="shared" si="77"/>
        <v>5550</v>
      </c>
    </row>
    <row r="1259" spans="1:9">
      <c r="A1259">
        <v>1258</v>
      </c>
      <c r="B1259" s="2">
        <v>1258</v>
      </c>
      <c r="C1259" s="2">
        <f t="shared" si="74"/>
        <v>2077</v>
      </c>
      <c r="D1259" s="3">
        <v>1258</v>
      </c>
      <c r="E1259" s="3">
        <f t="shared" si="75"/>
        <v>3235</v>
      </c>
      <c r="F1259" s="51">
        <v>1258</v>
      </c>
      <c r="G1259" s="51">
        <f t="shared" si="76"/>
        <v>4393</v>
      </c>
      <c r="H1259" s="52">
        <v>1258</v>
      </c>
      <c r="I1259" s="52">
        <f t="shared" si="77"/>
        <v>5551</v>
      </c>
    </row>
    <row r="1260" spans="1:9">
      <c r="A1260">
        <v>1259</v>
      </c>
      <c r="B1260" s="2">
        <v>1259</v>
      </c>
      <c r="C1260" s="2">
        <f t="shared" si="74"/>
        <v>2079</v>
      </c>
      <c r="D1260" s="3">
        <v>1259</v>
      </c>
      <c r="E1260" s="3">
        <f t="shared" si="75"/>
        <v>3237</v>
      </c>
      <c r="F1260" s="51">
        <v>1259</v>
      </c>
      <c r="G1260" s="51">
        <f t="shared" si="76"/>
        <v>4395</v>
      </c>
      <c r="H1260" s="52">
        <v>1259</v>
      </c>
      <c r="I1260" s="52">
        <f t="shared" si="77"/>
        <v>5553</v>
      </c>
    </row>
    <row r="1261" spans="1:9">
      <c r="A1261">
        <v>1260</v>
      </c>
      <c r="B1261" s="2">
        <v>1260</v>
      </c>
      <c r="C1261" s="2">
        <f t="shared" si="74"/>
        <v>2080</v>
      </c>
      <c r="D1261" s="3">
        <v>1260</v>
      </c>
      <c r="E1261" s="3">
        <f t="shared" si="75"/>
        <v>3238</v>
      </c>
      <c r="F1261" s="51">
        <v>1260</v>
      </c>
      <c r="G1261" s="51">
        <f t="shared" si="76"/>
        <v>4396</v>
      </c>
      <c r="H1261" s="52">
        <v>1260</v>
      </c>
      <c r="I1261" s="52">
        <f t="shared" si="77"/>
        <v>5554</v>
      </c>
    </row>
    <row r="1262" spans="1:9">
      <c r="A1262">
        <v>1261</v>
      </c>
      <c r="B1262" s="2">
        <v>1261</v>
      </c>
      <c r="C1262" s="2">
        <f t="shared" si="74"/>
        <v>2081</v>
      </c>
      <c r="D1262" s="3">
        <v>1261</v>
      </c>
      <c r="E1262" s="3">
        <f t="shared" si="75"/>
        <v>3239</v>
      </c>
      <c r="F1262" s="51">
        <v>1261</v>
      </c>
      <c r="G1262" s="51">
        <f t="shared" si="76"/>
        <v>4397</v>
      </c>
      <c r="H1262" s="52">
        <v>1261</v>
      </c>
      <c r="I1262" s="52">
        <f t="shared" si="77"/>
        <v>5555</v>
      </c>
    </row>
    <row r="1263" spans="1:9">
      <c r="A1263">
        <v>1262</v>
      </c>
      <c r="B1263" s="2">
        <v>1262</v>
      </c>
      <c r="C1263" s="2">
        <f t="shared" si="74"/>
        <v>2083</v>
      </c>
      <c r="D1263" s="3">
        <v>1262</v>
      </c>
      <c r="E1263" s="3">
        <f t="shared" si="75"/>
        <v>3241</v>
      </c>
      <c r="F1263" s="51">
        <v>1262</v>
      </c>
      <c r="G1263" s="51">
        <f t="shared" si="76"/>
        <v>4399</v>
      </c>
      <c r="H1263" s="52">
        <v>1262</v>
      </c>
      <c r="I1263" s="52">
        <f t="shared" si="77"/>
        <v>5557</v>
      </c>
    </row>
    <row r="1264" spans="1:9">
      <c r="A1264">
        <v>1263</v>
      </c>
      <c r="B1264" s="2">
        <v>1263</v>
      </c>
      <c r="C1264" s="2">
        <f t="shared" si="74"/>
        <v>2084</v>
      </c>
      <c r="D1264" s="3">
        <v>1263</v>
      </c>
      <c r="E1264" s="3">
        <f t="shared" si="75"/>
        <v>3242</v>
      </c>
      <c r="F1264" s="51">
        <v>1263</v>
      </c>
      <c r="G1264" s="51">
        <f t="shared" si="76"/>
        <v>4400</v>
      </c>
      <c r="H1264" s="52">
        <v>1263</v>
      </c>
      <c r="I1264" s="52">
        <f t="shared" si="77"/>
        <v>5558</v>
      </c>
    </row>
    <row r="1265" spans="1:9">
      <c r="A1265">
        <v>1264</v>
      </c>
      <c r="B1265" s="2">
        <v>1264</v>
      </c>
      <c r="C1265" s="2">
        <f t="shared" si="74"/>
        <v>2085</v>
      </c>
      <c r="D1265" s="3">
        <v>1264</v>
      </c>
      <c r="E1265" s="3">
        <f t="shared" si="75"/>
        <v>3243</v>
      </c>
      <c r="F1265" s="51">
        <v>1264</v>
      </c>
      <c r="G1265" s="51">
        <f t="shared" si="76"/>
        <v>4401</v>
      </c>
      <c r="H1265" s="52">
        <v>1264</v>
      </c>
      <c r="I1265" s="52">
        <f t="shared" si="77"/>
        <v>5559</v>
      </c>
    </row>
    <row r="1266" spans="1:9">
      <c r="A1266">
        <v>1265</v>
      </c>
      <c r="B1266" s="2">
        <v>1265</v>
      </c>
      <c r="C1266" s="2">
        <f t="shared" si="74"/>
        <v>2087</v>
      </c>
      <c r="D1266" s="3">
        <v>1265</v>
      </c>
      <c r="E1266" s="3">
        <f t="shared" si="75"/>
        <v>3245</v>
      </c>
      <c r="F1266" s="51">
        <v>1265</v>
      </c>
      <c r="G1266" s="51">
        <f t="shared" si="76"/>
        <v>4403</v>
      </c>
      <c r="H1266" s="52">
        <v>1265</v>
      </c>
      <c r="I1266" s="52">
        <f t="shared" si="77"/>
        <v>5561</v>
      </c>
    </row>
    <row r="1267" spans="1:9">
      <c r="A1267">
        <v>1266</v>
      </c>
      <c r="B1267" s="2">
        <v>1266</v>
      </c>
      <c r="C1267" s="2">
        <f t="shared" si="74"/>
        <v>2088</v>
      </c>
      <c r="D1267" s="3">
        <v>1266</v>
      </c>
      <c r="E1267" s="3">
        <f t="shared" si="75"/>
        <v>3246</v>
      </c>
      <c r="F1267" s="51">
        <v>1266</v>
      </c>
      <c r="G1267" s="51">
        <f t="shared" si="76"/>
        <v>4404</v>
      </c>
      <c r="H1267" s="52">
        <v>1266</v>
      </c>
      <c r="I1267" s="52">
        <f t="shared" si="77"/>
        <v>5562</v>
      </c>
    </row>
    <row r="1268" spans="1:9">
      <c r="A1268">
        <v>1267</v>
      </c>
      <c r="B1268" s="2">
        <v>1267</v>
      </c>
      <c r="C1268" s="2">
        <f t="shared" si="74"/>
        <v>2089</v>
      </c>
      <c r="D1268" s="3">
        <v>1267</v>
      </c>
      <c r="E1268" s="3">
        <f t="shared" si="75"/>
        <v>3247</v>
      </c>
      <c r="F1268" s="51">
        <v>1267</v>
      </c>
      <c r="G1268" s="51">
        <f t="shared" si="76"/>
        <v>4405</v>
      </c>
      <c r="H1268" s="52">
        <v>1267</v>
      </c>
      <c r="I1268" s="52">
        <f t="shared" si="77"/>
        <v>5563</v>
      </c>
    </row>
    <row r="1269" spans="1:9">
      <c r="A1269">
        <v>1268</v>
      </c>
      <c r="B1269" s="2">
        <v>1268</v>
      </c>
      <c r="C1269" s="2">
        <f t="shared" si="74"/>
        <v>2091</v>
      </c>
      <c r="D1269" s="3">
        <v>1268</v>
      </c>
      <c r="E1269" s="3">
        <f t="shared" si="75"/>
        <v>3249</v>
      </c>
      <c r="F1269" s="51">
        <v>1268</v>
      </c>
      <c r="G1269" s="51">
        <f t="shared" si="76"/>
        <v>4407</v>
      </c>
      <c r="H1269" s="52">
        <v>1268</v>
      </c>
      <c r="I1269" s="52">
        <f t="shared" si="77"/>
        <v>5565</v>
      </c>
    </row>
    <row r="1270" spans="1:9">
      <c r="A1270">
        <v>1269</v>
      </c>
      <c r="B1270" s="2">
        <v>1269</v>
      </c>
      <c r="C1270" s="2">
        <f t="shared" si="74"/>
        <v>2092</v>
      </c>
      <c r="D1270" s="3">
        <v>1269</v>
      </c>
      <c r="E1270" s="3">
        <f t="shared" si="75"/>
        <v>3250</v>
      </c>
      <c r="F1270" s="51">
        <v>1269</v>
      </c>
      <c r="G1270" s="51">
        <f t="shared" si="76"/>
        <v>4408</v>
      </c>
      <c r="H1270" s="52">
        <v>1269</v>
      </c>
      <c r="I1270" s="52">
        <f t="shared" si="77"/>
        <v>5566</v>
      </c>
    </row>
    <row r="1271" spans="1:9">
      <c r="A1271">
        <v>1270</v>
      </c>
      <c r="B1271" s="2">
        <v>1270</v>
      </c>
      <c r="C1271" s="2">
        <f t="shared" si="74"/>
        <v>2093</v>
      </c>
      <c r="D1271" s="3">
        <v>1270</v>
      </c>
      <c r="E1271" s="3">
        <f t="shared" si="75"/>
        <v>3251</v>
      </c>
      <c r="F1271" s="51">
        <v>1270</v>
      </c>
      <c r="G1271" s="51">
        <f t="shared" si="76"/>
        <v>4409</v>
      </c>
      <c r="H1271" s="52">
        <v>1270</v>
      </c>
      <c r="I1271" s="52">
        <f t="shared" si="77"/>
        <v>5567</v>
      </c>
    </row>
    <row r="1272" spans="1:9">
      <c r="A1272">
        <v>1271</v>
      </c>
      <c r="B1272" s="2">
        <v>1271</v>
      </c>
      <c r="C1272" s="2">
        <f t="shared" si="74"/>
        <v>2095</v>
      </c>
      <c r="D1272" s="3">
        <v>1271</v>
      </c>
      <c r="E1272" s="3">
        <f t="shared" si="75"/>
        <v>3253</v>
      </c>
      <c r="F1272" s="51">
        <v>1271</v>
      </c>
      <c r="G1272" s="51">
        <f t="shared" si="76"/>
        <v>4411</v>
      </c>
      <c r="H1272" s="52">
        <v>1271</v>
      </c>
      <c r="I1272" s="52">
        <f t="shared" si="77"/>
        <v>5569</v>
      </c>
    </row>
    <row r="1273" spans="1:9">
      <c r="A1273">
        <v>1272</v>
      </c>
      <c r="B1273" s="2">
        <v>1272</v>
      </c>
      <c r="C1273" s="2">
        <f t="shared" si="74"/>
        <v>2096</v>
      </c>
      <c r="D1273" s="3">
        <v>1272</v>
      </c>
      <c r="E1273" s="3">
        <f t="shared" si="75"/>
        <v>3254</v>
      </c>
      <c r="F1273" s="51">
        <v>1272</v>
      </c>
      <c r="G1273" s="51">
        <f t="shared" si="76"/>
        <v>4412</v>
      </c>
      <c r="H1273" s="52">
        <v>1272</v>
      </c>
      <c r="I1273" s="52">
        <f t="shared" si="77"/>
        <v>5570</v>
      </c>
    </row>
    <row r="1274" spans="1:9">
      <c r="A1274">
        <v>1273</v>
      </c>
      <c r="B1274" s="2">
        <v>1273</v>
      </c>
      <c r="C1274" s="2">
        <f t="shared" si="74"/>
        <v>2097</v>
      </c>
      <c r="D1274" s="3">
        <v>1273</v>
      </c>
      <c r="E1274" s="3">
        <f t="shared" si="75"/>
        <v>3255</v>
      </c>
      <c r="F1274" s="51">
        <v>1273</v>
      </c>
      <c r="G1274" s="51">
        <f t="shared" si="76"/>
        <v>4413</v>
      </c>
      <c r="H1274" s="52">
        <v>1273</v>
      </c>
      <c r="I1274" s="52">
        <f t="shared" si="77"/>
        <v>5571</v>
      </c>
    </row>
    <row r="1275" spans="1:9">
      <c r="A1275">
        <v>1274</v>
      </c>
      <c r="B1275" s="2">
        <v>1274</v>
      </c>
      <c r="C1275" s="2">
        <f t="shared" si="74"/>
        <v>2099</v>
      </c>
      <c r="D1275" s="3">
        <v>1274</v>
      </c>
      <c r="E1275" s="3">
        <f t="shared" si="75"/>
        <v>3257</v>
      </c>
      <c r="F1275" s="51">
        <v>1274</v>
      </c>
      <c r="G1275" s="51">
        <f t="shared" si="76"/>
        <v>4415</v>
      </c>
      <c r="H1275" s="52">
        <v>1274</v>
      </c>
      <c r="I1275" s="52">
        <f t="shared" si="77"/>
        <v>5573</v>
      </c>
    </row>
    <row r="1276" spans="1:9">
      <c r="A1276">
        <v>1275</v>
      </c>
      <c r="B1276" s="2">
        <v>1275</v>
      </c>
      <c r="C1276" s="2">
        <f t="shared" ref="C1276:C1339" si="78">INT((B1276-B$122)*1.3333333)+C$122</f>
        <v>2100</v>
      </c>
      <c r="D1276" s="3">
        <v>1275</v>
      </c>
      <c r="E1276" s="3">
        <f t="shared" si="75"/>
        <v>3258</v>
      </c>
      <c r="F1276" s="51">
        <v>1275</v>
      </c>
      <c r="G1276" s="51">
        <f t="shared" si="76"/>
        <v>4416</v>
      </c>
      <c r="H1276" s="52">
        <v>1275</v>
      </c>
      <c r="I1276" s="52">
        <f t="shared" si="77"/>
        <v>5574</v>
      </c>
    </row>
    <row r="1277" spans="1:9">
      <c r="A1277">
        <v>1276</v>
      </c>
      <c r="B1277" s="2">
        <v>1276</v>
      </c>
      <c r="C1277" s="2">
        <f t="shared" si="78"/>
        <v>2101</v>
      </c>
      <c r="D1277" s="3">
        <v>1276</v>
      </c>
      <c r="E1277" s="3">
        <f t="shared" si="75"/>
        <v>3259</v>
      </c>
      <c r="F1277" s="51">
        <v>1276</v>
      </c>
      <c r="G1277" s="51">
        <f t="shared" si="76"/>
        <v>4417</v>
      </c>
      <c r="H1277" s="52">
        <v>1276</v>
      </c>
      <c r="I1277" s="52">
        <f t="shared" si="77"/>
        <v>5575</v>
      </c>
    </row>
    <row r="1278" spans="1:9">
      <c r="A1278">
        <v>1277</v>
      </c>
      <c r="B1278" s="2">
        <v>1277</v>
      </c>
      <c r="C1278" s="2">
        <f t="shared" si="78"/>
        <v>2103</v>
      </c>
      <c r="D1278" s="3">
        <v>1277</v>
      </c>
      <c r="E1278" s="3">
        <f t="shared" si="75"/>
        <v>3261</v>
      </c>
      <c r="F1278" s="51">
        <v>1277</v>
      </c>
      <c r="G1278" s="51">
        <f t="shared" si="76"/>
        <v>4419</v>
      </c>
      <c r="H1278" s="52">
        <v>1277</v>
      </c>
      <c r="I1278" s="52">
        <f t="shared" si="77"/>
        <v>5577</v>
      </c>
    </row>
    <row r="1279" spans="1:9">
      <c r="A1279">
        <v>1278</v>
      </c>
      <c r="B1279" s="2">
        <v>1278</v>
      </c>
      <c r="C1279" s="2">
        <f t="shared" si="78"/>
        <v>2104</v>
      </c>
      <c r="D1279" s="3">
        <v>1278</v>
      </c>
      <c r="E1279" s="3">
        <f t="shared" si="75"/>
        <v>3262</v>
      </c>
      <c r="F1279" s="51">
        <v>1278</v>
      </c>
      <c r="G1279" s="51">
        <f t="shared" si="76"/>
        <v>4420</v>
      </c>
      <c r="H1279" s="52">
        <v>1278</v>
      </c>
      <c r="I1279" s="52">
        <f t="shared" si="77"/>
        <v>5578</v>
      </c>
    </row>
    <row r="1280" spans="1:9">
      <c r="A1280">
        <v>1279</v>
      </c>
      <c r="B1280" s="2">
        <v>1279</v>
      </c>
      <c r="C1280" s="2">
        <f t="shared" si="78"/>
        <v>2105</v>
      </c>
      <c r="D1280" s="3">
        <v>1279</v>
      </c>
      <c r="E1280" s="3">
        <f t="shared" si="75"/>
        <v>3263</v>
      </c>
      <c r="F1280" s="51">
        <v>1279</v>
      </c>
      <c r="G1280" s="51">
        <f t="shared" si="76"/>
        <v>4421</v>
      </c>
      <c r="H1280" s="52">
        <v>1279</v>
      </c>
      <c r="I1280" s="52">
        <f t="shared" si="77"/>
        <v>5579</v>
      </c>
    </row>
    <row r="1281" spans="1:9">
      <c r="A1281">
        <v>1280</v>
      </c>
      <c r="B1281" s="2">
        <v>1280</v>
      </c>
      <c r="C1281" s="2">
        <f t="shared" si="78"/>
        <v>2107</v>
      </c>
      <c r="D1281" s="3">
        <v>1280</v>
      </c>
      <c r="E1281" s="3">
        <f t="shared" si="75"/>
        <v>3265</v>
      </c>
      <c r="F1281" s="51">
        <v>1280</v>
      </c>
      <c r="G1281" s="51">
        <f t="shared" si="76"/>
        <v>4423</v>
      </c>
      <c r="H1281" s="52">
        <v>1280</v>
      </c>
      <c r="I1281" s="52">
        <f t="shared" si="77"/>
        <v>5581</v>
      </c>
    </row>
    <row r="1282" spans="1:9">
      <c r="A1282">
        <v>1281</v>
      </c>
      <c r="B1282" s="2">
        <v>1281</v>
      </c>
      <c r="C1282" s="2">
        <f t="shared" si="78"/>
        <v>2108</v>
      </c>
      <c r="D1282" s="3">
        <v>1281</v>
      </c>
      <c r="E1282" s="3">
        <f t="shared" si="75"/>
        <v>3266</v>
      </c>
      <c r="F1282" s="51">
        <v>1281</v>
      </c>
      <c r="G1282" s="51">
        <f t="shared" si="76"/>
        <v>4424</v>
      </c>
      <c r="H1282" s="52">
        <v>1281</v>
      </c>
      <c r="I1282" s="52">
        <f t="shared" si="77"/>
        <v>5582</v>
      </c>
    </row>
    <row r="1283" spans="1:9">
      <c r="A1283">
        <v>1282</v>
      </c>
      <c r="B1283" s="2">
        <v>1282</v>
      </c>
      <c r="C1283" s="2">
        <f t="shared" si="78"/>
        <v>2109</v>
      </c>
      <c r="D1283" s="3">
        <v>1282</v>
      </c>
      <c r="E1283" s="3">
        <f t="shared" si="75"/>
        <v>3267</v>
      </c>
      <c r="F1283" s="51">
        <v>1282</v>
      </c>
      <c r="G1283" s="51">
        <f t="shared" si="76"/>
        <v>4425</v>
      </c>
      <c r="H1283" s="52">
        <v>1282</v>
      </c>
      <c r="I1283" s="52">
        <f t="shared" si="77"/>
        <v>5583</v>
      </c>
    </row>
    <row r="1284" spans="1:9">
      <c r="A1284">
        <v>1283</v>
      </c>
      <c r="B1284" s="2">
        <v>1283</v>
      </c>
      <c r="C1284" s="2">
        <f t="shared" si="78"/>
        <v>2111</v>
      </c>
      <c r="D1284" s="3">
        <v>1283</v>
      </c>
      <c r="E1284" s="3">
        <f t="shared" ref="E1284:E1347" si="79">INT((D1284-D$2)*1.3333333)+E$2</f>
        <v>3269</v>
      </c>
      <c r="F1284" s="51">
        <v>1283</v>
      </c>
      <c r="G1284" s="51">
        <f t="shared" ref="G1284:G1347" si="80">INT((F1284-F$2)*1.3333333)+G$2</f>
        <v>4427</v>
      </c>
      <c r="H1284" s="52">
        <v>1283</v>
      </c>
      <c r="I1284" s="52">
        <f t="shared" ref="I1284:I1347" si="81">INT((H1284-H$2)*1.3333333)+I$2</f>
        <v>5585</v>
      </c>
    </row>
    <row r="1285" spans="1:9">
      <c r="A1285">
        <v>1284</v>
      </c>
      <c r="B1285" s="2">
        <v>1284</v>
      </c>
      <c r="C1285" s="2">
        <f t="shared" si="78"/>
        <v>2112</v>
      </c>
      <c r="D1285" s="3">
        <v>1284</v>
      </c>
      <c r="E1285" s="3">
        <f t="shared" si="79"/>
        <v>3270</v>
      </c>
      <c r="F1285" s="51">
        <v>1284</v>
      </c>
      <c r="G1285" s="51">
        <f t="shared" si="80"/>
        <v>4428</v>
      </c>
      <c r="H1285" s="52">
        <v>1284</v>
      </c>
      <c r="I1285" s="52">
        <f t="shared" si="81"/>
        <v>5586</v>
      </c>
    </row>
    <row r="1286" spans="1:9">
      <c r="A1286">
        <v>1285</v>
      </c>
      <c r="B1286" s="2">
        <v>1285</v>
      </c>
      <c r="C1286" s="2">
        <f t="shared" si="78"/>
        <v>2113</v>
      </c>
      <c r="D1286" s="3">
        <v>1285</v>
      </c>
      <c r="E1286" s="3">
        <f t="shared" si="79"/>
        <v>3271</v>
      </c>
      <c r="F1286" s="51">
        <v>1285</v>
      </c>
      <c r="G1286" s="51">
        <f t="shared" si="80"/>
        <v>4429</v>
      </c>
      <c r="H1286" s="52">
        <v>1285</v>
      </c>
      <c r="I1286" s="52">
        <f t="shared" si="81"/>
        <v>5587</v>
      </c>
    </row>
    <row r="1287" spans="1:9">
      <c r="A1287">
        <v>1286</v>
      </c>
      <c r="B1287" s="2">
        <v>1286</v>
      </c>
      <c r="C1287" s="2">
        <f t="shared" si="78"/>
        <v>2115</v>
      </c>
      <c r="D1287" s="3">
        <v>1286</v>
      </c>
      <c r="E1287" s="3">
        <f t="shared" si="79"/>
        <v>3273</v>
      </c>
      <c r="F1287" s="51">
        <v>1286</v>
      </c>
      <c r="G1287" s="51">
        <f t="shared" si="80"/>
        <v>4431</v>
      </c>
      <c r="H1287" s="52">
        <v>1286</v>
      </c>
      <c r="I1287" s="52">
        <f t="shared" si="81"/>
        <v>5589</v>
      </c>
    </row>
    <row r="1288" spans="1:9">
      <c r="A1288">
        <v>1287</v>
      </c>
      <c r="B1288" s="2">
        <v>1287</v>
      </c>
      <c r="C1288" s="2">
        <f t="shared" si="78"/>
        <v>2116</v>
      </c>
      <c r="D1288" s="3">
        <v>1287</v>
      </c>
      <c r="E1288" s="3">
        <f t="shared" si="79"/>
        <v>3274</v>
      </c>
      <c r="F1288" s="51">
        <v>1287</v>
      </c>
      <c r="G1288" s="51">
        <f t="shared" si="80"/>
        <v>4432</v>
      </c>
      <c r="H1288" s="52">
        <v>1287</v>
      </c>
      <c r="I1288" s="52">
        <f t="shared" si="81"/>
        <v>5590</v>
      </c>
    </row>
    <row r="1289" spans="1:9">
      <c r="A1289">
        <v>1288</v>
      </c>
      <c r="B1289" s="2">
        <v>1288</v>
      </c>
      <c r="C1289" s="2">
        <f t="shared" si="78"/>
        <v>2117</v>
      </c>
      <c r="D1289" s="3">
        <v>1288</v>
      </c>
      <c r="E1289" s="3">
        <f t="shared" si="79"/>
        <v>3275</v>
      </c>
      <c r="F1289" s="51">
        <v>1288</v>
      </c>
      <c r="G1289" s="51">
        <f t="shared" si="80"/>
        <v>4433</v>
      </c>
      <c r="H1289" s="52">
        <v>1288</v>
      </c>
      <c r="I1289" s="52">
        <f t="shared" si="81"/>
        <v>5591</v>
      </c>
    </row>
    <row r="1290" spans="1:9">
      <c r="A1290">
        <v>1289</v>
      </c>
      <c r="B1290" s="2">
        <v>1289</v>
      </c>
      <c r="C1290" s="2">
        <f t="shared" si="78"/>
        <v>2119</v>
      </c>
      <c r="D1290" s="3">
        <v>1289</v>
      </c>
      <c r="E1290" s="3">
        <f t="shared" si="79"/>
        <v>3277</v>
      </c>
      <c r="F1290" s="51">
        <v>1289</v>
      </c>
      <c r="G1290" s="51">
        <f t="shared" si="80"/>
        <v>4435</v>
      </c>
      <c r="H1290" s="52">
        <v>1289</v>
      </c>
      <c r="I1290" s="52">
        <f t="shared" si="81"/>
        <v>5593</v>
      </c>
    </row>
    <row r="1291" spans="1:9">
      <c r="A1291">
        <v>1290</v>
      </c>
      <c r="B1291" s="2">
        <v>1290</v>
      </c>
      <c r="C1291" s="2">
        <f t="shared" si="78"/>
        <v>2120</v>
      </c>
      <c r="D1291" s="3">
        <v>1290</v>
      </c>
      <c r="E1291" s="3">
        <f t="shared" si="79"/>
        <v>3278</v>
      </c>
      <c r="F1291" s="51">
        <v>1290</v>
      </c>
      <c r="G1291" s="51">
        <f t="shared" si="80"/>
        <v>4436</v>
      </c>
      <c r="H1291" s="52">
        <v>1290</v>
      </c>
      <c r="I1291" s="52">
        <f t="shared" si="81"/>
        <v>5594</v>
      </c>
    </row>
    <row r="1292" spans="1:9">
      <c r="A1292">
        <v>1291</v>
      </c>
      <c r="B1292" s="2">
        <v>1291</v>
      </c>
      <c r="C1292" s="2">
        <f t="shared" si="78"/>
        <v>2121</v>
      </c>
      <c r="D1292" s="3">
        <v>1291</v>
      </c>
      <c r="E1292" s="3">
        <f t="shared" si="79"/>
        <v>3279</v>
      </c>
      <c r="F1292" s="51">
        <v>1291</v>
      </c>
      <c r="G1292" s="51">
        <f t="shared" si="80"/>
        <v>4437</v>
      </c>
      <c r="H1292" s="52">
        <v>1291</v>
      </c>
      <c r="I1292" s="52">
        <f t="shared" si="81"/>
        <v>5595</v>
      </c>
    </row>
    <row r="1293" spans="1:9">
      <c r="A1293">
        <v>1292</v>
      </c>
      <c r="B1293" s="2">
        <v>1292</v>
      </c>
      <c r="C1293" s="2">
        <f t="shared" si="78"/>
        <v>2123</v>
      </c>
      <c r="D1293" s="3">
        <v>1292</v>
      </c>
      <c r="E1293" s="3">
        <f t="shared" si="79"/>
        <v>3281</v>
      </c>
      <c r="F1293" s="51">
        <v>1292</v>
      </c>
      <c r="G1293" s="51">
        <f t="shared" si="80"/>
        <v>4439</v>
      </c>
      <c r="H1293" s="52">
        <v>1292</v>
      </c>
      <c r="I1293" s="52">
        <f t="shared" si="81"/>
        <v>5597</v>
      </c>
    </row>
    <row r="1294" spans="1:9">
      <c r="A1294">
        <v>1293</v>
      </c>
      <c r="B1294" s="2">
        <v>1293</v>
      </c>
      <c r="C1294" s="2">
        <f t="shared" si="78"/>
        <v>2124</v>
      </c>
      <c r="D1294" s="3">
        <v>1293</v>
      </c>
      <c r="E1294" s="3">
        <f t="shared" si="79"/>
        <v>3282</v>
      </c>
      <c r="F1294" s="51">
        <v>1293</v>
      </c>
      <c r="G1294" s="51">
        <f t="shared" si="80"/>
        <v>4440</v>
      </c>
      <c r="H1294" s="52">
        <v>1293</v>
      </c>
      <c r="I1294" s="52">
        <f t="shared" si="81"/>
        <v>5598</v>
      </c>
    </row>
    <row r="1295" spans="1:9">
      <c r="A1295">
        <v>1294</v>
      </c>
      <c r="B1295" s="2">
        <v>1294</v>
      </c>
      <c r="C1295" s="2">
        <f t="shared" si="78"/>
        <v>2125</v>
      </c>
      <c r="D1295" s="3">
        <v>1294</v>
      </c>
      <c r="E1295" s="3">
        <f t="shared" si="79"/>
        <v>3283</v>
      </c>
      <c r="F1295" s="51">
        <v>1294</v>
      </c>
      <c r="G1295" s="51">
        <f t="shared" si="80"/>
        <v>4441</v>
      </c>
      <c r="H1295" s="52">
        <v>1294</v>
      </c>
      <c r="I1295" s="52">
        <f t="shared" si="81"/>
        <v>5599</v>
      </c>
    </row>
    <row r="1296" spans="1:9">
      <c r="A1296">
        <v>1295</v>
      </c>
      <c r="B1296" s="2">
        <v>1295</v>
      </c>
      <c r="C1296" s="2">
        <f t="shared" si="78"/>
        <v>2127</v>
      </c>
      <c r="D1296" s="3">
        <v>1295</v>
      </c>
      <c r="E1296" s="3">
        <f t="shared" si="79"/>
        <v>3285</v>
      </c>
      <c r="F1296" s="51">
        <v>1295</v>
      </c>
      <c r="G1296" s="51">
        <f t="shared" si="80"/>
        <v>4443</v>
      </c>
      <c r="H1296" s="52">
        <v>1295</v>
      </c>
      <c r="I1296" s="52">
        <f t="shared" si="81"/>
        <v>5601</v>
      </c>
    </row>
    <row r="1297" spans="1:9">
      <c r="A1297">
        <v>1296</v>
      </c>
      <c r="B1297" s="2">
        <v>1296</v>
      </c>
      <c r="C1297" s="2">
        <f t="shared" si="78"/>
        <v>2128</v>
      </c>
      <c r="D1297" s="3">
        <v>1296</v>
      </c>
      <c r="E1297" s="3">
        <f t="shared" si="79"/>
        <v>3286</v>
      </c>
      <c r="F1297" s="51">
        <v>1296</v>
      </c>
      <c r="G1297" s="51">
        <f t="shared" si="80"/>
        <v>4444</v>
      </c>
      <c r="H1297" s="52">
        <v>1296</v>
      </c>
      <c r="I1297" s="52">
        <f t="shared" si="81"/>
        <v>5602</v>
      </c>
    </row>
    <row r="1298" spans="1:9">
      <c r="A1298">
        <v>1297</v>
      </c>
      <c r="B1298" s="2">
        <v>1297</v>
      </c>
      <c r="C1298" s="2">
        <f t="shared" si="78"/>
        <v>2129</v>
      </c>
      <c r="D1298" s="3">
        <v>1297</v>
      </c>
      <c r="E1298" s="3">
        <f t="shared" si="79"/>
        <v>3287</v>
      </c>
      <c r="F1298" s="51">
        <v>1297</v>
      </c>
      <c r="G1298" s="51">
        <f t="shared" si="80"/>
        <v>4445</v>
      </c>
      <c r="H1298" s="52">
        <v>1297</v>
      </c>
      <c r="I1298" s="52">
        <f t="shared" si="81"/>
        <v>5603</v>
      </c>
    </row>
    <row r="1299" spans="1:9">
      <c r="A1299">
        <v>1298</v>
      </c>
      <c r="B1299" s="2">
        <v>1298</v>
      </c>
      <c r="C1299" s="2">
        <f t="shared" si="78"/>
        <v>2131</v>
      </c>
      <c r="D1299" s="3">
        <v>1298</v>
      </c>
      <c r="E1299" s="3">
        <f t="shared" si="79"/>
        <v>3289</v>
      </c>
      <c r="F1299" s="51">
        <v>1298</v>
      </c>
      <c r="G1299" s="51">
        <f t="shared" si="80"/>
        <v>4447</v>
      </c>
      <c r="H1299" s="52">
        <v>1298</v>
      </c>
      <c r="I1299" s="52">
        <f t="shared" si="81"/>
        <v>5605</v>
      </c>
    </row>
    <row r="1300" spans="1:9">
      <c r="A1300">
        <v>1299</v>
      </c>
      <c r="B1300" s="2">
        <v>1299</v>
      </c>
      <c r="C1300" s="2">
        <f t="shared" si="78"/>
        <v>2132</v>
      </c>
      <c r="D1300" s="3">
        <v>1299</v>
      </c>
      <c r="E1300" s="3">
        <f t="shared" si="79"/>
        <v>3290</v>
      </c>
      <c r="F1300" s="51">
        <v>1299</v>
      </c>
      <c r="G1300" s="51">
        <f t="shared" si="80"/>
        <v>4448</v>
      </c>
      <c r="H1300" s="52">
        <v>1299</v>
      </c>
      <c r="I1300" s="52">
        <f t="shared" si="81"/>
        <v>5606</v>
      </c>
    </row>
    <row r="1301" spans="1:9">
      <c r="A1301">
        <v>1300</v>
      </c>
      <c r="B1301" s="2">
        <v>1300</v>
      </c>
      <c r="C1301" s="2">
        <f t="shared" si="78"/>
        <v>2133</v>
      </c>
      <c r="D1301" s="3">
        <v>1300</v>
      </c>
      <c r="E1301" s="3">
        <f t="shared" si="79"/>
        <v>3291</v>
      </c>
      <c r="F1301" s="51">
        <v>1300</v>
      </c>
      <c r="G1301" s="51">
        <f t="shared" si="80"/>
        <v>4449</v>
      </c>
      <c r="H1301" s="52">
        <v>1300</v>
      </c>
      <c r="I1301" s="52">
        <f t="shared" si="81"/>
        <v>5607</v>
      </c>
    </row>
    <row r="1302" spans="1:9">
      <c r="A1302">
        <v>1301</v>
      </c>
      <c r="B1302" s="2">
        <v>1301</v>
      </c>
      <c r="C1302" s="2">
        <f t="shared" si="78"/>
        <v>2135</v>
      </c>
      <c r="D1302" s="3">
        <v>1301</v>
      </c>
      <c r="E1302" s="3">
        <f t="shared" si="79"/>
        <v>3293</v>
      </c>
      <c r="F1302" s="51">
        <v>1301</v>
      </c>
      <c r="G1302" s="51">
        <f t="shared" si="80"/>
        <v>4451</v>
      </c>
      <c r="H1302" s="52">
        <v>1301</v>
      </c>
      <c r="I1302" s="52">
        <f t="shared" si="81"/>
        <v>5609</v>
      </c>
    </row>
    <row r="1303" spans="1:9">
      <c r="A1303">
        <v>1302</v>
      </c>
      <c r="B1303" s="2">
        <v>1302</v>
      </c>
      <c r="C1303" s="2">
        <f t="shared" si="78"/>
        <v>2136</v>
      </c>
      <c r="D1303" s="3">
        <v>1302</v>
      </c>
      <c r="E1303" s="3">
        <f t="shared" si="79"/>
        <v>3294</v>
      </c>
      <c r="F1303" s="51">
        <v>1302</v>
      </c>
      <c r="G1303" s="51">
        <f t="shared" si="80"/>
        <v>4452</v>
      </c>
      <c r="H1303" s="52">
        <v>1302</v>
      </c>
      <c r="I1303" s="52">
        <f t="shared" si="81"/>
        <v>5610</v>
      </c>
    </row>
    <row r="1304" spans="1:9">
      <c r="A1304">
        <v>1303</v>
      </c>
      <c r="B1304" s="2">
        <v>1303</v>
      </c>
      <c r="C1304" s="2">
        <f t="shared" si="78"/>
        <v>2137</v>
      </c>
      <c r="D1304" s="3">
        <v>1303</v>
      </c>
      <c r="E1304" s="3">
        <f t="shared" si="79"/>
        <v>3295</v>
      </c>
      <c r="F1304" s="51">
        <v>1303</v>
      </c>
      <c r="G1304" s="51">
        <f t="shared" si="80"/>
        <v>4453</v>
      </c>
      <c r="H1304" s="52">
        <v>1303</v>
      </c>
      <c r="I1304" s="52">
        <f t="shared" si="81"/>
        <v>5611</v>
      </c>
    </row>
    <row r="1305" spans="1:9">
      <c r="A1305">
        <v>1304</v>
      </c>
      <c r="B1305" s="2">
        <v>1304</v>
      </c>
      <c r="C1305" s="2">
        <f t="shared" si="78"/>
        <v>2139</v>
      </c>
      <c r="D1305" s="3">
        <v>1304</v>
      </c>
      <c r="E1305" s="3">
        <f t="shared" si="79"/>
        <v>3297</v>
      </c>
      <c r="F1305" s="51">
        <v>1304</v>
      </c>
      <c r="G1305" s="51">
        <f t="shared" si="80"/>
        <v>4455</v>
      </c>
      <c r="H1305" s="52">
        <v>1304</v>
      </c>
      <c r="I1305" s="52">
        <f t="shared" si="81"/>
        <v>5613</v>
      </c>
    </row>
    <row r="1306" spans="1:9">
      <c r="A1306">
        <v>1305</v>
      </c>
      <c r="B1306" s="2">
        <v>1305</v>
      </c>
      <c r="C1306" s="2">
        <f t="shared" si="78"/>
        <v>2140</v>
      </c>
      <c r="D1306" s="3">
        <v>1305</v>
      </c>
      <c r="E1306" s="3">
        <f t="shared" si="79"/>
        <v>3298</v>
      </c>
      <c r="F1306" s="51">
        <v>1305</v>
      </c>
      <c r="G1306" s="51">
        <f t="shared" si="80"/>
        <v>4456</v>
      </c>
      <c r="H1306" s="52">
        <v>1305</v>
      </c>
      <c r="I1306" s="52">
        <f t="shared" si="81"/>
        <v>5614</v>
      </c>
    </row>
    <row r="1307" spans="1:9">
      <c r="A1307">
        <v>1306</v>
      </c>
      <c r="B1307" s="2">
        <v>1306</v>
      </c>
      <c r="C1307" s="2">
        <f t="shared" si="78"/>
        <v>2141</v>
      </c>
      <c r="D1307" s="3">
        <v>1306</v>
      </c>
      <c r="E1307" s="3">
        <f t="shared" si="79"/>
        <v>3299</v>
      </c>
      <c r="F1307" s="51">
        <v>1306</v>
      </c>
      <c r="G1307" s="51">
        <f t="shared" si="80"/>
        <v>4457</v>
      </c>
      <c r="H1307" s="52">
        <v>1306</v>
      </c>
      <c r="I1307" s="52">
        <f t="shared" si="81"/>
        <v>5615</v>
      </c>
    </row>
    <row r="1308" spans="1:9">
      <c r="A1308">
        <v>1307</v>
      </c>
      <c r="B1308" s="2">
        <v>1307</v>
      </c>
      <c r="C1308" s="2">
        <f t="shared" si="78"/>
        <v>2143</v>
      </c>
      <c r="D1308" s="3">
        <v>1307</v>
      </c>
      <c r="E1308" s="3">
        <f t="shared" si="79"/>
        <v>3301</v>
      </c>
      <c r="F1308" s="51">
        <v>1307</v>
      </c>
      <c r="G1308" s="51">
        <f t="shared" si="80"/>
        <v>4459</v>
      </c>
      <c r="H1308" s="52">
        <v>1307</v>
      </c>
      <c r="I1308" s="52">
        <f t="shared" si="81"/>
        <v>5617</v>
      </c>
    </row>
    <row r="1309" spans="1:9">
      <c r="A1309">
        <v>1308</v>
      </c>
      <c r="B1309" s="2">
        <v>1308</v>
      </c>
      <c r="C1309" s="2">
        <f t="shared" si="78"/>
        <v>2144</v>
      </c>
      <c r="D1309" s="3">
        <v>1308</v>
      </c>
      <c r="E1309" s="3">
        <f t="shared" si="79"/>
        <v>3302</v>
      </c>
      <c r="F1309" s="51">
        <v>1308</v>
      </c>
      <c r="G1309" s="51">
        <f t="shared" si="80"/>
        <v>4460</v>
      </c>
      <c r="H1309" s="52">
        <v>1308</v>
      </c>
      <c r="I1309" s="52">
        <f t="shared" si="81"/>
        <v>5618</v>
      </c>
    </row>
    <row r="1310" spans="1:9">
      <c r="A1310">
        <v>1309</v>
      </c>
      <c r="B1310" s="2">
        <v>1309</v>
      </c>
      <c r="C1310" s="2">
        <f t="shared" si="78"/>
        <v>2145</v>
      </c>
      <c r="D1310" s="3">
        <v>1309</v>
      </c>
      <c r="E1310" s="3">
        <f t="shared" si="79"/>
        <v>3303</v>
      </c>
      <c r="F1310" s="51">
        <v>1309</v>
      </c>
      <c r="G1310" s="51">
        <f t="shared" si="80"/>
        <v>4461</v>
      </c>
      <c r="H1310" s="52">
        <v>1309</v>
      </c>
      <c r="I1310" s="52">
        <f t="shared" si="81"/>
        <v>5619</v>
      </c>
    </row>
    <row r="1311" spans="1:9">
      <c r="A1311">
        <v>1310</v>
      </c>
      <c r="B1311" s="2">
        <v>1310</v>
      </c>
      <c r="C1311" s="2">
        <f t="shared" si="78"/>
        <v>2147</v>
      </c>
      <c r="D1311" s="3">
        <v>1310</v>
      </c>
      <c r="E1311" s="3">
        <f t="shared" si="79"/>
        <v>3305</v>
      </c>
      <c r="F1311" s="51">
        <v>1310</v>
      </c>
      <c r="G1311" s="51">
        <f t="shared" si="80"/>
        <v>4463</v>
      </c>
      <c r="H1311" s="52">
        <v>1310</v>
      </c>
      <c r="I1311" s="52">
        <f t="shared" si="81"/>
        <v>5621</v>
      </c>
    </row>
    <row r="1312" spans="1:9">
      <c r="A1312">
        <v>1311</v>
      </c>
      <c r="B1312" s="2">
        <v>1311</v>
      </c>
      <c r="C1312" s="2">
        <f t="shared" si="78"/>
        <v>2148</v>
      </c>
      <c r="D1312" s="3">
        <v>1311</v>
      </c>
      <c r="E1312" s="3">
        <f t="shared" si="79"/>
        <v>3306</v>
      </c>
      <c r="F1312" s="51">
        <v>1311</v>
      </c>
      <c r="G1312" s="51">
        <f t="shared" si="80"/>
        <v>4464</v>
      </c>
      <c r="H1312" s="52">
        <v>1311</v>
      </c>
      <c r="I1312" s="52">
        <f t="shared" si="81"/>
        <v>5622</v>
      </c>
    </row>
    <row r="1313" spans="1:9">
      <c r="A1313">
        <v>1312</v>
      </c>
      <c r="B1313" s="2">
        <v>1312</v>
      </c>
      <c r="C1313" s="2">
        <f t="shared" si="78"/>
        <v>2149</v>
      </c>
      <c r="D1313" s="3">
        <v>1312</v>
      </c>
      <c r="E1313" s="3">
        <f t="shared" si="79"/>
        <v>3307</v>
      </c>
      <c r="F1313" s="51">
        <v>1312</v>
      </c>
      <c r="G1313" s="51">
        <f t="shared" si="80"/>
        <v>4465</v>
      </c>
      <c r="H1313" s="52">
        <v>1312</v>
      </c>
      <c r="I1313" s="52">
        <f t="shared" si="81"/>
        <v>5623</v>
      </c>
    </row>
    <row r="1314" spans="1:9">
      <c r="A1314">
        <v>1313</v>
      </c>
      <c r="B1314" s="2">
        <v>1313</v>
      </c>
      <c r="C1314" s="2">
        <f t="shared" si="78"/>
        <v>2151</v>
      </c>
      <c r="D1314" s="3">
        <v>1313</v>
      </c>
      <c r="E1314" s="3">
        <f t="shared" si="79"/>
        <v>3309</v>
      </c>
      <c r="F1314" s="51">
        <v>1313</v>
      </c>
      <c r="G1314" s="51">
        <f t="shared" si="80"/>
        <v>4467</v>
      </c>
      <c r="H1314" s="52">
        <v>1313</v>
      </c>
      <c r="I1314" s="52">
        <f t="shared" si="81"/>
        <v>5625</v>
      </c>
    </row>
    <row r="1315" spans="1:9">
      <c r="A1315">
        <v>1314</v>
      </c>
      <c r="B1315" s="2">
        <v>1314</v>
      </c>
      <c r="C1315" s="2">
        <f t="shared" si="78"/>
        <v>2152</v>
      </c>
      <c r="D1315" s="3">
        <v>1314</v>
      </c>
      <c r="E1315" s="3">
        <f t="shared" si="79"/>
        <v>3310</v>
      </c>
      <c r="F1315" s="51">
        <v>1314</v>
      </c>
      <c r="G1315" s="51">
        <f t="shared" si="80"/>
        <v>4468</v>
      </c>
      <c r="H1315" s="52">
        <v>1314</v>
      </c>
      <c r="I1315" s="52">
        <f t="shared" si="81"/>
        <v>5626</v>
      </c>
    </row>
    <row r="1316" spans="1:9">
      <c r="A1316">
        <v>1315</v>
      </c>
      <c r="B1316" s="2">
        <v>1315</v>
      </c>
      <c r="C1316" s="2">
        <f t="shared" si="78"/>
        <v>2153</v>
      </c>
      <c r="D1316" s="3">
        <v>1315</v>
      </c>
      <c r="E1316" s="3">
        <f t="shared" si="79"/>
        <v>3311</v>
      </c>
      <c r="F1316" s="51">
        <v>1315</v>
      </c>
      <c r="G1316" s="51">
        <f t="shared" si="80"/>
        <v>4469</v>
      </c>
      <c r="H1316" s="52">
        <v>1315</v>
      </c>
      <c r="I1316" s="52">
        <f t="shared" si="81"/>
        <v>5627</v>
      </c>
    </row>
    <row r="1317" spans="1:9">
      <c r="A1317">
        <v>1316</v>
      </c>
      <c r="B1317" s="2">
        <v>1316</v>
      </c>
      <c r="C1317" s="2">
        <f t="shared" si="78"/>
        <v>2155</v>
      </c>
      <c r="D1317" s="3">
        <v>1316</v>
      </c>
      <c r="E1317" s="3">
        <f t="shared" si="79"/>
        <v>3313</v>
      </c>
      <c r="F1317" s="51">
        <v>1316</v>
      </c>
      <c r="G1317" s="51">
        <f t="shared" si="80"/>
        <v>4471</v>
      </c>
      <c r="H1317" s="52">
        <v>1316</v>
      </c>
      <c r="I1317" s="52">
        <f t="shared" si="81"/>
        <v>5629</v>
      </c>
    </row>
    <row r="1318" spans="1:9">
      <c r="A1318">
        <v>1317</v>
      </c>
      <c r="B1318" s="2">
        <v>1317</v>
      </c>
      <c r="C1318" s="2">
        <f t="shared" si="78"/>
        <v>2156</v>
      </c>
      <c r="D1318" s="3">
        <v>1317</v>
      </c>
      <c r="E1318" s="3">
        <f t="shared" si="79"/>
        <v>3314</v>
      </c>
      <c r="F1318" s="51">
        <v>1317</v>
      </c>
      <c r="G1318" s="51">
        <f t="shared" si="80"/>
        <v>4472</v>
      </c>
      <c r="H1318" s="52">
        <v>1317</v>
      </c>
      <c r="I1318" s="52">
        <f t="shared" si="81"/>
        <v>5630</v>
      </c>
    </row>
    <row r="1319" spans="1:9">
      <c r="A1319">
        <v>1318</v>
      </c>
      <c r="B1319" s="2">
        <v>1318</v>
      </c>
      <c r="C1319" s="2">
        <f t="shared" si="78"/>
        <v>2157</v>
      </c>
      <c r="D1319" s="3">
        <v>1318</v>
      </c>
      <c r="E1319" s="3">
        <f t="shared" si="79"/>
        <v>3315</v>
      </c>
      <c r="F1319" s="51">
        <v>1318</v>
      </c>
      <c r="G1319" s="51">
        <f t="shared" si="80"/>
        <v>4473</v>
      </c>
      <c r="H1319" s="52">
        <v>1318</v>
      </c>
      <c r="I1319" s="52">
        <f t="shared" si="81"/>
        <v>5631</v>
      </c>
    </row>
    <row r="1320" spans="1:9">
      <c r="A1320">
        <v>1319</v>
      </c>
      <c r="B1320" s="2">
        <v>1319</v>
      </c>
      <c r="C1320" s="2">
        <f t="shared" si="78"/>
        <v>2159</v>
      </c>
      <c r="D1320" s="3">
        <v>1319</v>
      </c>
      <c r="E1320" s="3">
        <f t="shared" si="79"/>
        <v>3317</v>
      </c>
      <c r="F1320" s="51">
        <v>1319</v>
      </c>
      <c r="G1320" s="51">
        <f t="shared" si="80"/>
        <v>4475</v>
      </c>
      <c r="H1320" s="52">
        <v>1319</v>
      </c>
      <c r="I1320" s="52">
        <f t="shared" si="81"/>
        <v>5633</v>
      </c>
    </row>
    <row r="1321" spans="1:9">
      <c r="A1321">
        <v>1320</v>
      </c>
      <c r="B1321" s="2">
        <v>1320</v>
      </c>
      <c r="C1321" s="2">
        <f t="shared" si="78"/>
        <v>2160</v>
      </c>
      <c r="D1321" s="3">
        <v>1320</v>
      </c>
      <c r="E1321" s="3">
        <f t="shared" si="79"/>
        <v>3318</v>
      </c>
      <c r="F1321" s="51">
        <v>1320</v>
      </c>
      <c r="G1321" s="51">
        <f t="shared" si="80"/>
        <v>4476</v>
      </c>
      <c r="H1321" s="52">
        <v>1320</v>
      </c>
      <c r="I1321" s="52">
        <f t="shared" si="81"/>
        <v>5634</v>
      </c>
    </row>
    <row r="1322" spans="1:9">
      <c r="A1322">
        <v>1321</v>
      </c>
      <c r="B1322" s="2">
        <v>1321</v>
      </c>
      <c r="C1322" s="2">
        <f t="shared" si="78"/>
        <v>2161</v>
      </c>
      <c r="D1322" s="3">
        <v>1321</v>
      </c>
      <c r="E1322" s="3">
        <f t="shared" si="79"/>
        <v>3319</v>
      </c>
      <c r="F1322" s="51">
        <v>1321</v>
      </c>
      <c r="G1322" s="51">
        <f t="shared" si="80"/>
        <v>4477</v>
      </c>
      <c r="H1322" s="52">
        <v>1321</v>
      </c>
      <c r="I1322" s="52">
        <f t="shared" si="81"/>
        <v>5635</v>
      </c>
    </row>
    <row r="1323" spans="1:9">
      <c r="A1323">
        <v>1322</v>
      </c>
      <c r="B1323" s="2">
        <v>1322</v>
      </c>
      <c r="C1323" s="2">
        <f t="shared" si="78"/>
        <v>2163</v>
      </c>
      <c r="D1323" s="3">
        <v>1322</v>
      </c>
      <c r="E1323" s="3">
        <f t="shared" si="79"/>
        <v>3321</v>
      </c>
      <c r="F1323" s="51">
        <v>1322</v>
      </c>
      <c r="G1323" s="51">
        <f t="shared" si="80"/>
        <v>4479</v>
      </c>
      <c r="H1323" s="52">
        <v>1322</v>
      </c>
      <c r="I1323" s="52">
        <f t="shared" si="81"/>
        <v>5637</v>
      </c>
    </row>
    <row r="1324" spans="1:9">
      <c r="A1324">
        <v>1323</v>
      </c>
      <c r="B1324" s="2">
        <v>1323</v>
      </c>
      <c r="C1324" s="2">
        <f t="shared" si="78"/>
        <v>2164</v>
      </c>
      <c r="D1324" s="3">
        <v>1323</v>
      </c>
      <c r="E1324" s="3">
        <f t="shared" si="79"/>
        <v>3322</v>
      </c>
      <c r="F1324" s="51">
        <v>1323</v>
      </c>
      <c r="G1324" s="51">
        <f t="shared" si="80"/>
        <v>4480</v>
      </c>
      <c r="H1324" s="52">
        <v>1323</v>
      </c>
      <c r="I1324" s="52">
        <f t="shared" si="81"/>
        <v>5638</v>
      </c>
    </row>
    <row r="1325" spans="1:9">
      <c r="A1325">
        <v>1324</v>
      </c>
      <c r="B1325" s="2">
        <v>1324</v>
      </c>
      <c r="C1325" s="2">
        <f t="shared" si="78"/>
        <v>2165</v>
      </c>
      <c r="D1325" s="3">
        <v>1324</v>
      </c>
      <c r="E1325" s="3">
        <f t="shared" si="79"/>
        <v>3323</v>
      </c>
      <c r="F1325" s="51">
        <v>1324</v>
      </c>
      <c r="G1325" s="51">
        <f t="shared" si="80"/>
        <v>4481</v>
      </c>
      <c r="H1325" s="52">
        <v>1324</v>
      </c>
      <c r="I1325" s="52">
        <f t="shared" si="81"/>
        <v>5639</v>
      </c>
    </row>
    <row r="1326" spans="1:9">
      <c r="A1326">
        <v>1325</v>
      </c>
      <c r="B1326" s="2">
        <v>1325</v>
      </c>
      <c r="C1326" s="2">
        <f t="shared" si="78"/>
        <v>2167</v>
      </c>
      <c r="D1326" s="3">
        <v>1325</v>
      </c>
      <c r="E1326" s="3">
        <f t="shared" si="79"/>
        <v>3325</v>
      </c>
      <c r="F1326" s="51">
        <v>1325</v>
      </c>
      <c r="G1326" s="51">
        <f t="shared" si="80"/>
        <v>4483</v>
      </c>
      <c r="H1326" s="52">
        <v>1325</v>
      </c>
      <c r="I1326" s="52">
        <f t="shared" si="81"/>
        <v>5641</v>
      </c>
    </row>
    <row r="1327" spans="1:9">
      <c r="A1327">
        <v>1326</v>
      </c>
      <c r="B1327" s="2">
        <v>1326</v>
      </c>
      <c r="C1327" s="2">
        <f t="shared" si="78"/>
        <v>2168</v>
      </c>
      <c r="D1327" s="3">
        <v>1326</v>
      </c>
      <c r="E1327" s="3">
        <f t="shared" si="79"/>
        <v>3326</v>
      </c>
      <c r="F1327" s="51">
        <v>1326</v>
      </c>
      <c r="G1327" s="51">
        <f t="shared" si="80"/>
        <v>4484</v>
      </c>
      <c r="H1327" s="52">
        <v>1326</v>
      </c>
      <c r="I1327" s="52">
        <f t="shared" si="81"/>
        <v>5642</v>
      </c>
    </row>
    <row r="1328" spans="1:9">
      <c r="A1328">
        <v>1327</v>
      </c>
      <c r="B1328" s="2">
        <v>1327</v>
      </c>
      <c r="C1328" s="2">
        <f t="shared" si="78"/>
        <v>2169</v>
      </c>
      <c r="D1328" s="3">
        <v>1327</v>
      </c>
      <c r="E1328" s="3">
        <f t="shared" si="79"/>
        <v>3327</v>
      </c>
      <c r="F1328" s="51">
        <v>1327</v>
      </c>
      <c r="G1328" s="51">
        <f t="shared" si="80"/>
        <v>4485</v>
      </c>
      <c r="H1328" s="52">
        <v>1327</v>
      </c>
      <c r="I1328" s="52">
        <f t="shared" si="81"/>
        <v>5643</v>
      </c>
    </row>
    <row r="1329" spans="1:9">
      <c r="A1329">
        <v>1328</v>
      </c>
      <c r="B1329" s="2">
        <v>1328</v>
      </c>
      <c r="C1329" s="2">
        <f t="shared" si="78"/>
        <v>2171</v>
      </c>
      <c r="D1329" s="3">
        <v>1328</v>
      </c>
      <c r="E1329" s="3">
        <f t="shared" si="79"/>
        <v>3329</v>
      </c>
      <c r="F1329" s="51">
        <v>1328</v>
      </c>
      <c r="G1329" s="51">
        <f t="shared" si="80"/>
        <v>4487</v>
      </c>
      <c r="H1329" s="52">
        <v>1328</v>
      </c>
      <c r="I1329" s="52">
        <f t="shared" si="81"/>
        <v>5645</v>
      </c>
    </row>
    <row r="1330" spans="1:9">
      <c r="A1330">
        <v>1329</v>
      </c>
      <c r="B1330" s="2">
        <v>1329</v>
      </c>
      <c r="C1330" s="2">
        <f t="shared" si="78"/>
        <v>2172</v>
      </c>
      <c r="D1330" s="3">
        <v>1329</v>
      </c>
      <c r="E1330" s="3">
        <f t="shared" si="79"/>
        <v>3330</v>
      </c>
      <c r="F1330" s="51">
        <v>1329</v>
      </c>
      <c r="G1330" s="51">
        <f t="shared" si="80"/>
        <v>4488</v>
      </c>
      <c r="H1330" s="52">
        <v>1329</v>
      </c>
      <c r="I1330" s="52">
        <f t="shared" si="81"/>
        <v>5646</v>
      </c>
    </row>
    <row r="1331" spans="1:9">
      <c r="A1331">
        <v>1330</v>
      </c>
      <c r="B1331" s="2">
        <v>1330</v>
      </c>
      <c r="C1331" s="2">
        <f t="shared" si="78"/>
        <v>2173</v>
      </c>
      <c r="D1331" s="3">
        <v>1330</v>
      </c>
      <c r="E1331" s="3">
        <f t="shared" si="79"/>
        <v>3331</v>
      </c>
      <c r="F1331" s="51">
        <v>1330</v>
      </c>
      <c r="G1331" s="51">
        <f t="shared" si="80"/>
        <v>4489</v>
      </c>
      <c r="H1331" s="52">
        <v>1330</v>
      </c>
      <c r="I1331" s="52">
        <f t="shared" si="81"/>
        <v>5647</v>
      </c>
    </row>
    <row r="1332" spans="1:9">
      <c r="A1332">
        <v>1331</v>
      </c>
      <c r="B1332" s="2">
        <v>1331</v>
      </c>
      <c r="C1332" s="2">
        <f t="shared" si="78"/>
        <v>2175</v>
      </c>
      <c r="D1332" s="3">
        <v>1331</v>
      </c>
      <c r="E1332" s="3">
        <f t="shared" si="79"/>
        <v>3333</v>
      </c>
      <c r="F1332" s="51">
        <v>1331</v>
      </c>
      <c r="G1332" s="51">
        <f t="shared" si="80"/>
        <v>4491</v>
      </c>
      <c r="H1332" s="52">
        <v>1331</v>
      </c>
      <c r="I1332" s="52">
        <f t="shared" si="81"/>
        <v>5649</v>
      </c>
    </row>
    <row r="1333" spans="1:9">
      <c r="A1333">
        <v>1332</v>
      </c>
      <c r="B1333" s="2">
        <v>1332</v>
      </c>
      <c r="C1333" s="2">
        <f t="shared" si="78"/>
        <v>2176</v>
      </c>
      <c r="D1333" s="3">
        <v>1332</v>
      </c>
      <c r="E1333" s="3">
        <f t="shared" si="79"/>
        <v>3334</v>
      </c>
      <c r="F1333" s="51">
        <v>1332</v>
      </c>
      <c r="G1333" s="51">
        <f t="shared" si="80"/>
        <v>4492</v>
      </c>
      <c r="H1333" s="52">
        <v>1332</v>
      </c>
      <c r="I1333" s="52">
        <f t="shared" si="81"/>
        <v>5650</v>
      </c>
    </row>
    <row r="1334" spans="1:9">
      <c r="A1334">
        <v>1333</v>
      </c>
      <c r="B1334" s="2">
        <v>1333</v>
      </c>
      <c r="C1334" s="2">
        <f t="shared" si="78"/>
        <v>2177</v>
      </c>
      <c r="D1334" s="3">
        <v>1333</v>
      </c>
      <c r="E1334" s="3">
        <f t="shared" si="79"/>
        <v>3335</v>
      </c>
      <c r="F1334" s="51">
        <v>1333</v>
      </c>
      <c r="G1334" s="51">
        <f t="shared" si="80"/>
        <v>4493</v>
      </c>
      <c r="H1334" s="52">
        <v>1333</v>
      </c>
      <c r="I1334" s="52">
        <f t="shared" si="81"/>
        <v>5651</v>
      </c>
    </row>
    <row r="1335" spans="1:9">
      <c r="A1335">
        <v>1334</v>
      </c>
      <c r="B1335" s="2">
        <v>1334</v>
      </c>
      <c r="C1335" s="2">
        <f t="shared" si="78"/>
        <v>2179</v>
      </c>
      <c r="D1335" s="3">
        <v>1334</v>
      </c>
      <c r="E1335" s="3">
        <f t="shared" si="79"/>
        <v>3337</v>
      </c>
      <c r="F1335" s="51">
        <v>1334</v>
      </c>
      <c r="G1335" s="51">
        <f t="shared" si="80"/>
        <v>4495</v>
      </c>
      <c r="H1335" s="52">
        <v>1334</v>
      </c>
      <c r="I1335" s="52">
        <f t="shared" si="81"/>
        <v>5653</v>
      </c>
    </row>
    <row r="1336" spans="1:9">
      <c r="A1336">
        <v>1335</v>
      </c>
      <c r="B1336" s="2">
        <v>1335</v>
      </c>
      <c r="C1336" s="2">
        <f t="shared" si="78"/>
        <v>2180</v>
      </c>
      <c r="D1336" s="3">
        <v>1335</v>
      </c>
      <c r="E1336" s="3">
        <f t="shared" si="79"/>
        <v>3338</v>
      </c>
      <c r="F1336" s="51">
        <v>1335</v>
      </c>
      <c r="G1336" s="51">
        <f t="shared" si="80"/>
        <v>4496</v>
      </c>
      <c r="H1336" s="52">
        <v>1335</v>
      </c>
      <c r="I1336" s="52">
        <f t="shared" si="81"/>
        <v>5654</v>
      </c>
    </row>
    <row r="1337" spans="1:9">
      <c r="A1337">
        <v>1336</v>
      </c>
      <c r="B1337" s="2">
        <v>1336</v>
      </c>
      <c r="C1337" s="2">
        <f t="shared" si="78"/>
        <v>2181</v>
      </c>
      <c r="D1337" s="3">
        <v>1336</v>
      </c>
      <c r="E1337" s="3">
        <f t="shared" si="79"/>
        <v>3339</v>
      </c>
      <c r="F1337" s="51">
        <v>1336</v>
      </c>
      <c r="G1337" s="51">
        <f t="shared" si="80"/>
        <v>4497</v>
      </c>
      <c r="H1337" s="52">
        <v>1336</v>
      </c>
      <c r="I1337" s="52">
        <f t="shared" si="81"/>
        <v>5655</v>
      </c>
    </row>
    <row r="1338" spans="1:9">
      <c r="A1338">
        <v>1337</v>
      </c>
      <c r="B1338" s="2">
        <v>1337</v>
      </c>
      <c r="C1338" s="2">
        <f t="shared" si="78"/>
        <v>2183</v>
      </c>
      <c r="D1338" s="3">
        <v>1337</v>
      </c>
      <c r="E1338" s="3">
        <f t="shared" si="79"/>
        <v>3341</v>
      </c>
      <c r="F1338" s="51">
        <v>1337</v>
      </c>
      <c r="G1338" s="51">
        <f t="shared" si="80"/>
        <v>4499</v>
      </c>
      <c r="H1338" s="52">
        <v>1337</v>
      </c>
      <c r="I1338" s="52">
        <f t="shared" si="81"/>
        <v>5657</v>
      </c>
    </row>
    <row r="1339" spans="1:9">
      <c r="A1339">
        <v>1338</v>
      </c>
      <c r="B1339" s="2">
        <v>1338</v>
      </c>
      <c r="C1339" s="2">
        <f t="shared" si="78"/>
        <v>2184</v>
      </c>
      <c r="D1339" s="3">
        <v>1338</v>
      </c>
      <c r="E1339" s="3">
        <f t="shared" si="79"/>
        <v>3342</v>
      </c>
      <c r="F1339" s="51">
        <v>1338</v>
      </c>
      <c r="G1339" s="51">
        <f t="shared" si="80"/>
        <v>4500</v>
      </c>
      <c r="H1339" s="52">
        <v>1338</v>
      </c>
      <c r="I1339" s="52">
        <f t="shared" si="81"/>
        <v>5658</v>
      </c>
    </row>
    <row r="1340" spans="1:9">
      <c r="A1340">
        <v>1339</v>
      </c>
      <c r="B1340" s="2">
        <v>1339</v>
      </c>
      <c r="C1340" s="2">
        <f t="shared" ref="C1340:C1403" si="82">INT((B1340-B$122)*1.3333333)+C$122</f>
        <v>2185</v>
      </c>
      <c r="D1340" s="3">
        <v>1339</v>
      </c>
      <c r="E1340" s="3">
        <f t="shared" si="79"/>
        <v>3343</v>
      </c>
      <c r="F1340" s="51">
        <v>1339</v>
      </c>
      <c r="G1340" s="51">
        <f t="shared" si="80"/>
        <v>4501</v>
      </c>
      <c r="H1340" s="52">
        <v>1339</v>
      </c>
      <c r="I1340" s="52">
        <f t="shared" si="81"/>
        <v>5659</v>
      </c>
    </row>
    <row r="1341" spans="1:9">
      <c r="A1341">
        <v>1340</v>
      </c>
      <c r="B1341" s="2">
        <v>1340</v>
      </c>
      <c r="C1341" s="2">
        <f t="shared" si="82"/>
        <v>2187</v>
      </c>
      <c r="D1341" s="3">
        <v>1340</v>
      </c>
      <c r="E1341" s="3">
        <f t="shared" si="79"/>
        <v>3345</v>
      </c>
      <c r="F1341" s="51">
        <v>1340</v>
      </c>
      <c r="G1341" s="51">
        <f t="shared" si="80"/>
        <v>4503</v>
      </c>
      <c r="H1341" s="52">
        <v>1340</v>
      </c>
      <c r="I1341" s="52">
        <f t="shared" si="81"/>
        <v>5661</v>
      </c>
    </row>
    <row r="1342" spans="1:9">
      <c r="A1342">
        <v>1341</v>
      </c>
      <c r="B1342" s="2">
        <v>1341</v>
      </c>
      <c r="C1342" s="2">
        <f t="shared" si="82"/>
        <v>2188</v>
      </c>
      <c r="D1342" s="3">
        <v>1341</v>
      </c>
      <c r="E1342" s="3">
        <f t="shared" si="79"/>
        <v>3346</v>
      </c>
      <c r="F1342" s="51">
        <v>1341</v>
      </c>
      <c r="G1342" s="51">
        <f t="shared" si="80"/>
        <v>4504</v>
      </c>
      <c r="H1342" s="52">
        <v>1341</v>
      </c>
      <c r="I1342" s="52">
        <f t="shared" si="81"/>
        <v>5662</v>
      </c>
    </row>
    <row r="1343" spans="1:9">
      <c r="A1343">
        <v>1342</v>
      </c>
      <c r="B1343" s="2">
        <v>1342</v>
      </c>
      <c r="C1343" s="2">
        <f t="shared" si="82"/>
        <v>2189</v>
      </c>
      <c r="D1343" s="3">
        <v>1342</v>
      </c>
      <c r="E1343" s="3">
        <f t="shared" si="79"/>
        <v>3347</v>
      </c>
      <c r="F1343" s="51">
        <v>1342</v>
      </c>
      <c r="G1343" s="51">
        <f t="shared" si="80"/>
        <v>4505</v>
      </c>
      <c r="H1343" s="52">
        <v>1342</v>
      </c>
      <c r="I1343" s="52">
        <f t="shared" si="81"/>
        <v>5663</v>
      </c>
    </row>
    <row r="1344" spans="1:9">
      <c r="A1344">
        <v>1343</v>
      </c>
      <c r="B1344" s="2">
        <v>1343</v>
      </c>
      <c r="C1344" s="2">
        <f t="shared" si="82"/>
        <v>2191</v>
      </c>
      <c r="D1344" s="3">
        <v>1343</v>
      </c>
      <c r="E1344" s="3">
        <f t="shared" si="79"/>
        <v>3349</v>
      </c>
      <c r="F1344" s="51">
        <v>1343</v>
      </c>
      <c r="G1344" s="51">
        <f t="shared" si="80"/>
        <v>4507</v>
      </c>
      <c r="H1344" s="52">
        <v>1343</v>
      </c>
      <c r="I1344" s="52">
        <f t="shared" si="81"/>
        <v>5665</v>
      </c>
    </row>
    <row r="1345" spans="1:9">
      <c r="A1345">
        <v>1344</v>
      </c>
      <c r="B1345" s="2">
        <v>1344</v>
      </c>
      <c r="C1345" s="2">
        <f t="shared" si="82"/>
        <v>2192</v>
      </c>
      <c r="D1345" s="3">
        <v>1344</v>
      </c>
      <c r="E1345" s="3">
        <f t="shared" si="79"/>
        <v>3350</v>
      </c>
      <c r="F1345" s="51">
        <v>1344</v>
      </c>
      <c r="G1345" s="51">
        <f t="shared" si="80"/>
        <v>4508</v>
      </c>
      <c r="H1345" s="52">
        <v>1344</v>
      </c>
      <c r="I1345" s="52">
        <f t="shared" si="81"/>
        <v>5666</v>
      </c>
    </row>
    <row r="1346" spans="1:9">
      <c r="A1346">
        <v>1345</v>
      </c>
      <c r="B1346" s="2">
        <v>1345</v>
      </c>
      <c r="C1346" s="2">
        <f t="shared" si="82"/>
        <v>2193</v>
      </c>
      <c r="D1346" s="3">
        <v>1345</v>
      </c>
      <c r="E1346" s="3">
        <f t="shared" si="79"/>
        <v>3351</v>
      </c>
      <c r="F1346" s="51">
        <v>1345</v>
      </c>
      <c r="G1346" s="51">
        <f t="shared" si="80"/>
        <v>4509</v>
      </c>
      <c r="H1346" s="52">
        <v>1345</v>
      </c>
      <c r="I1346" s="52">
        <f t="shared" si="81"/>
        <v>5667</v>
      </c>
    </row>
    <row r="1347" spans="1:9">
      <c r="A1347">
        <v>1346</v>
      </c>
      <c r="B1347" s="2">
        <v>1346</v>
      </c>
      <c r="C1347" s="2">
        <f t="shared" si="82"/>
        <v>2195</v>
      </c>
      <c r="D1347" s="3">
        <v>1346</v>
      </c>
      <c r="E1347" s="3">
        <f t="shared" si="79"/>
        <v>3353</v>
      </c>
      <c r="F1347" s="51">
        <v>1346</v>
      </c>
      <c r="G1347" s="51">
        <f t="shared" si="80"/>
        <v>4511</v>
      </c>
      <c r="H1347" s="52">
        <v>1346</v>
      </c>
      <c r="I1347" s="52">
        <f t="shared" si="81"/>
        <v>5669</v>
      </c>
    </row>
    <row r="1348" spans="1:9">
      <c r="A1348">
        <v>1347</v>
      </c>
      <c r="B1348" s="2">
        <v>1347</v>
      </c>
      <c r="C1348" s="2">
        <f t="shared" si="82"/>
        <v>2196</v>
      </c>
      <c r="D1348" s="3">
        <v>1347</v>
      </c>
      <c r="E1348" s="3">
        <f t="shared" ref="E1348:E1411" si="83">INT((D1348-D$2)*1.3333333)+E$2</f>
        <v>3354</v>
      </c>
      <c r="F1348" s="51">
        <v>1347</v>
      </c>
      <c r="G1348" s="51">
        <f t="shared" ref="G1348:G1411" si="84">INT((F1348-F$2)*1.3333333)+G$2</f>
        <v>4512</v>
      </c>
      <c r="H1348" s="52">
        <v>1347</v>
      </c>
      <c r="I1348" s="52">
        <f t="shared" ref="I1348:I1411" si="85">INT((H1348-H$2)*1.3333333)+I$2</f>
        <v>5670</v>
      </c>
    </row>
    <row r="1349" spans="1:9">
      <c r="A1349">
        <v>1348</v>
      </c>
      <c r="B1349" s="2">
        <v>1348</v>
      </c>
      <c r="C1349" s="2">
        <f t="shared" si="82"/>
        <v>2197</v>
      </c>
      <c r="D1349" s="3">
        <v>1348</v>
      </c>
      <c r="E1349" s="3">
        <f t="shared" si="83"/>
        <v>3355</v>
      </c>
      <c r="F1349" s="51">
        <v>1348</v>
      </c>
      <c r="G1349" s="51">
        <f t="shared" si="84"/>
        <v>4513</v>
      </c>
      <c r="H1349" s="52">
        <v>1348</v>
      </c>
      <c r="I1349" s="52">
        <f t="shared" si="85"/>
        <v>5671</v>
      </c>
    </row>
    <row r="1350" spans="1:9">
      <c r="A1350">
        <v>1349</v>
      </c>
      <c r="B1350" s="2">
        <v>1349</v>
      </c>
      <c r="C1350" s="2">
        <f t="shared" si="82"/>
        <v>2199</v>
      </c>
      <c r="D1350" s="3">
        <v>1349</v>
      </c>
      <c r="E1350" s="3">
        <f t="shared" si="83"/>
        <v>3357</v>
      </c>
      <c r="F1350" s="51">
        <v>1349</v>
      </c>
      <c r="G1350" s="51">
        <f t="shared" si="84"/>
        <v>4515</v>
      </c>
      <c r="H1350" s="52">
        <v>1349</v>
      </c>
      <c r="I1350" s="52">
        <f t="shared" si="85"/>
        <v>5673</v>
      </c>
    </row>
    <row r="1351" spans="1:9">
      <c r="A1351">
        <v>1350</v>
      </c>
      <c r="B1351" s="2">
        <v>1350</v>
      </c>
      <c r="C1351" s="2">
        <f t="shared" si="82"/>
        <v>2200</v>
      </c>
      <c r="D1351" s="3">
        <v>1350</v>
      </c>
      <c r="E1351" s="3">
        <f t="shared" si="83"/>
        <v>3358</v>
      </c>
      <c r="F1351" s="51">
        <v>1350</v>
      </c>
      <c r="G1351" s="51">
        <f t="shared" si="84"/>
        <v>4516</v>
      </c>
      <c r="H1351" s="52">
        <v>1350</v>
      </c>
      <c r="I1351" s="52">
        <f t="shared" si="85"/>
        <v>5674</v>
      </c>
    </row>
    <row r="1352" spans="1:9">
      <c r="A1352">
        <v>1351</v>
      </c>
      <c r="B1352" s="2">
        <v>1351</v>
      </c>
      <c r="C1352" s="2">
        <f t="shared" si="82"/>
        <v>2201</v>
      </c>
      <c r="D1352" s="3">
        <v>1351</v>
      </c>
      <c r="E1352" s="3">
        <f t="shared" si="83"/>
        <v>3359</v>
      </c>
      <c r="F1352" s="51">
        <v>1351</v>
      </c>
      <c r="G1352" s="51">
        <f t="shared" si="84"/>
        <v>4517</v>
      </c>
      <c r="H1352" s="52">
        <v>1351</v>
      </c>
      <c r="I1352" s="52">
        <f t="shared" si="85"/>
        <v>5675</v>
      </c>
    </row>
    <row r="1353" spans="1:9">
      <c r="A1353">
        <v>1352</v>
      </c>
      <c r="B1353" s="2">
        <v>1352</v>
      </c>
      <c r="C1353" s="2">
        <f t="shared" si="82"/>
        <v>2203</v>
      </c>
      <c r="D1353" s="3">
        <v>1352</v>
      </c>
      <c r="E1353" s="3">
        <f t="shared" si="83"/>
        <v>3361</v>
      </c>
      <c r="F1353" s="51">
        <v>1352</v>
      </c>
      <c r="G1353" s="51">
        <f t="shared" si="84"/>
        <v>4519</v>
      </c>
      <c r="H1353" s="52">
        <v>1352</v>
      </c>
      <c r="I1353" s="52">
        <f t="shared" si="85"/>
        <v>5677</v>
      </c>
    </row>
    <row r="1354" spans="1:9">
      <c r="A1354">
        <v>1353</v>
      </c>
      <c r="B1354" s="2">
        <v>1353</v>
      </c>
      <c r="C1354" s="2">
        <f t="shared" si="82"/>
        <v>2204</v>
      </c>
      <c r="D1354" s="3">
        <v>1353</v>
      </c>
      <c r="E1354" s="3">
        <f t="shared" si="83"/>
        <v>3362</v>
      </c>
      <c r="F1354" s="51">
        <v>1353</v>
      </c>
      <c r="G1354" s="51">
        <f t="shared" si="84"/>
        <v>4520</v>
      </c>
      <c r="H1354" s="52">
        <v>1353</v>
      </c>
      <c r="I1354" s="52">
        <f t="shared" si="85"/>
        <v>5678</v>
      </c>
    </row>
    <row r="1355" spans="1:9">
      <c r="A1355">
        <v>1354</v>
      </c>
      <c r="B1355" s="2">
        <v>1354</v>
      </c>
      <c r="C1355" s="2">
        <f t="shared" si="82"/>
        <v>2205</v>
      </c>
      <c r="D1355" s="3">
        <v>1354</v>
      </c>
      <c r="E1355" s="3">
        <f t="shared" si="83"/>
        <v>3363</v>
      </c>
      <c r="F1355" s="51">
        <v>1354</v>
      </c>
      <c r="G1355" s="51">
        <f t="shared" si="84"/>
        <v>4521</v>
      </c>
      <c r="H1355" s="52">
        <v>1354</v>
      </c>
      <c r="I1355" s="52">
        <f t="shared" si="85"/>
        <v>5679</v>
      </c>
    </row>
    <row r="1356" spans="1:9">
      <c r="A1356">
        <v>1355</v>
      </c>
      <c r="B1356" s="2">
        <v>1355</v>
      </c>
      <c r="C1356" s="2">
        <f t="shared" si="82"/>
        <v>2207</v>
      </c>
      <c r="D1356" s="3">
        <v>1355</v>
      </c>
      <c r="E1356" s="3">
        <f t="shared" si="83"/>
        <v>3365</v>
      </c>
      <c r="F1356" s="51">
        <v>1355</v>
      </c>
      <c r="G1356" s="51">
        <f t="shared" si="84"/>
        <v>4523</v>
      </c>
      <c r="H1356" s="52">
        <v>1355</v>
      </c>
      <c r="I1356" s="52">
        <f t="shared" si="85"/>
        <v>5681</v>
      </c>
    </row>
    <row r="1357" spans="1:9">
      <c r="A1357">
        <v>1356</v>
      </c>
      <c r="B1357" s="2">
        <v>1356</v>
      </c>
      <c r="C1357" s="2">
        <f t="shared" si="82"/>
        <v>2208</v>
      </c>
      <c r="D1357" s="3">
        <v>1356</v>
      </c>
      <c r="E1357" s="3">
        <f t="shared" si="83"/>
        <v>3366</v>
      </c>
      <c r="F1357" s="51">
        <v>1356</v>
      </c>
      <c r="G1357" s="51">
        <f t="shared" si="84"/>
        <v>4524</v>
      </c>
      <c r="H1357" s="52">
        <v>1356</v>
      </c>
      <c r="I1357" s="52">
        <f t="shared" si="85"/>
        <v>5682</v>
      </c>
    </row>
    <row r="1358" spans="1:9">
      <c r="A1358">
        <v>1357</v>
      </c>
      <c r="B1358" s="2">
        <v>1357</v>
      </c>
      <c r="C1358" s="2">
        <f t="shared" si="82"/>
        <v>2209</v>
      </c>
      <c r="D1358" s="3">
        <v>1357</v>
      </c>
      <c r="E1358" s="3">
        <f t="shared" si="83"/>
        <v>3367</v>
      </c>
      <c r="F1358" s="51">
        <v>1357</v>
      </c>
      <c r="G1358" s="51">
        <f t="shared" si="84"/>
        <v>4525</v>
      </c>
      <c r="H1358" s="52">
        <v>1357</v>
      </c>
      <c r="I1358" s="52">
        <f t="shared" si="85"/>
        <v>5683</v>
      </c>
    </row>
    <row r="1359" spans="1:9">
      <c r="A1359">
        <v>1358</v>
      </c>
      <c r="B1359" s="2">
        <v>1358</v>
      </c>
      <c r="C1359" s="2">
        <f t="shared" si="82"/>
        <v>2211</v>
      </c>
      <c r="D1359" s="3">
        <v>1358</v>
      </c>
      <c r="E1359" s="3">
        <f t="shared" si="83"/>
        <v>3369</v>
      </c>
      <c r="F1359" s="51">
        <v>1358</v>
      </c>
      <c r="G1359" s="51">
        <f t="shared" si="84"/>
        <v>4527</v>
      </c>
      <c r="H1359" s="52">
        <v>1358</v>
      </c>
      <c r="I1359" s="52">
        <f t="shared" si="85"/>
        <v>5685</v>
      </c>
    </row>
    <row r="1360" spans="1:9">
      <c r="A1360">
        <v>1359</v>
      </c>
      <c r="B1360" s="2">
        <v>1359</v>
      </c>
      <c r="C1360" s="2">
        <f t="shared" si="82"/>
        <v>2212</v>
      </c>
      <c r="D1360" s="3">
        <v>1359</v>
      </c>
      <c r="E1360" s="3">
        <f t="shared" si="83"/>
        <v>3370</v>
      </c>
      <c r="F1360" s="51">
        <v>1359</v>
      </c>
      <c r="G1360" s="51">
        <f t="shared" si="84"/>
        <v>4528</v>
      </c>
      <c r="H1360" s="52">
        <v>1359</v>
      </c>
      <c r="I1360" s="52">
        <f t="shared" si="85"/>
        <v>5686</v>
      </c>
    </row>
    <row r="1361" spans="1:9">
      <c r="A1361">
        <v>1360</v>
      </c>
      <c r="B1361" s="2">
        <v>1360</v>
      </c>
      <c r="C1361" s="2">
        <f t="shared" si="82"/>
        <v>2213</v>
      </c>
      <c r="D1361" s="3">
        <v>1360</v>
      </c>
      <c r="E1361" s="3">
        <f t="shared" si="83"/>
        <v>3371</v>
      </c>
      <c r="F1361" s="51">
        <v>1360</v>
      </c>
      <c r="G1361" s="51">
        <f t="shared" si="84"/>
        <v>4529</v>
      </c>
      <c r="H1361" s="52">
        <v>1360</v>
      </c>
      <c r="I1361" s="52">
        <f t="shared" si="85"/>
        <v>5687</v>
      </c>
    </row>
    <row r="1362" spans="1:9">
      <c r="A1362">
        <v>1361</v>
      </c>
      <c r="B1362" s="2">
        <v>1361</v>
      </c>
      <c r="C1362" s="2">
        <f t="shared" si="82"/>
        <v>2215</v>
      </c>
      <c r="D1362" s="3">
        <v>1361</v>
      </c>
      <c r="E1362" s="3">
        <f t="shared" si="83"/>
        <v>3373</v>
      </c>
      <c r="F1362" s="51">
        <v>1361</v>
      </c>
      <c r="G1362" s="51">
        <f t="shared" si="84"/>
        <v>4531</v>
      </c>
      <c r="H1362" s="52">
        <v>1361</v>
      </c>
      <c r="I1362" s="52">
        <f t="shared" si="85"/>
        <v>5689</v>
      </c>
    </row>
    <row r="1363" spans="1:9">
      <c r="A1363">
        <v>1362</v>
      </c>
      <c r="B1363" s="2">
        <v>1362</v>
      </c>
      <c r="C1363" s="2">
        <f t="shared" si="82"/>
        <v>2216</v>
      </c>
      <c r="D1363" s="3">
        <v>1362</v>
      </c>
      <c r="E1363" s="3">
        <f t="shared" si="83"/>
        <v>3374</v>
      </c>
      <c r="F1363" s="51">
        <v>1362</v>
      </c>
      <c r="G1363" s="51">
        <f t="shared" si="84"/>
        <v>4532</v>
      </c>
      <c r="H1363" s="52">
        <v>1362</v>
      </c>
      <c r="I1363" s="52">
        <f t="shared" si="85"/>
        <v>5690</v>
      </c>
    </row>
    <row r="1364" spans="1:9">
      <c r="A1364">
        <v>1363</v>
      </c>
      <c r="B1364" s="2">
        <v>1363</v>
      </c>
      <c r="C1364" s="2">
        <f t="shared" si="82"/>
        <v>2217</v>
      </c>
      <c r="D1364" s="3">
        <v>1363</v>
      </c>
      <c r="E1364" s="3">
        <f t="shared" si="83"/>
        <v>3375</v>
      </c>
      <c r="F1364" s="51">
        <v>1363</v>
      </c>
      <c r="G1364" s="51">
        <f t="shared" si="84"/>
        <v>4533</v>
      </c>
      <c r="H1364" s="52">
        <v>1363</v>
      </c>
      <c r="I1364" s="52">
        <f t="shared" si="85"/>
        <v>5691</v>
      </c>
    </row>
    <row r="1365" spans="1:9">
      <c r="A1365">
        <v>1364</v>
      </c>
      <c r="B1365" s="2">
        <v>1364</v>
      </c>
      <c r="C1365" s="2">
        <f t="shared" si="82"/>
        <v>2219</v>
      </c>
      <c r="D1365" s="3">
        <v>1364</v>
      </c>
      <c r="E1365" s="3">
        <f t="shared" si="83"/>
        <v>3377</v>
      </c>
      <c r="F1365" s="51">
        <v>1364</v>
      </c>
      <c r="G1365" s="51">
        <f t="shared" si="84"/>
        <v>4535</v>
      </c>
      <c r="H1365" s="52">
        <v>1364</v>
      </c>
      <c r="I1365" s="52">
        <f t="shared" si="85"/>
        <v>5693</v>
      </c>
    </row>
    <row r="1366" spans="1:9">
      <c r="A1366">
        <v>1365</v>
      </c>
      <c r="B1366" s="2">
        <v>1365</v>
      </c>
      <c r="C1366" s="2">
        <f t="shared" si="82"/>
        <v>2220</v>
      </c>
      <c r="D1366" s="3">
        <v>1365</v>
      </c>
      <c r="E1366" s="3">
        <f t="shared" si="83"/>
        <v>3378</v>
      </c>
      <c r="F1366" s="51">
        <v>1365</v>
      </c>
      <c r="G1366" s="51">
        <f t="shared" si="84"/>
        <v>4536</v>
      </c>
      <c r="H1366" s="52">
        <v>1365</v>
      </c>
      <c r="I1366" s="52">
        <f t="shared" si="85"/>
        <v>5694</v>
      </c>
    </row>
    <row r="1367" spans="1:9">
      <c r="A1367">
        <v>1366</v>
      </c>
      <c r="B1367" s="2">
        <v>1366</v>
      </c>
      <c r="C1367" s="2">
        <f t="shared" si="82"/>
        <v>2221</v>
      </c>
      <c r="D1367" s="3">
        <v>1366</v>
      </c>
      <c r="E1367" s="3">
        <f t="shared" si="83"/>
        <v>3379</v>
      </c>
      <c r="F1367" s="51">
        <v>1366</v>
      </c>
      <c r="G1367" s="51">
        <f t="shared" si="84"/>
        <v>4537</v>
      </c>
      <c r="H1367" s="52">
        <v>1366</v>
      </c>
      <c r="I1367" s="52">
        <f t="shared" si="85"/>
        <v>5695</v>
      </c>
    </row>
    <row r="1368" spans="1:9">
      <c r="A1368">
        <v>1367</v>
      </c>
      <c r="B1368" s="2">
        <v>1367</v>
      </c>
      <c r="C1368" s="2">
        <f t="shared" si="82"/>
        <v>2223</v>
      </c>
      <c r="D1368" s="3">
        <v>1367</v>
      </c>
      <c r="E1368" s="3">
        <f t="shared" si="83"/>
        <v>3381</v>
      </c>
      <c r="F1368" s="51">
        <v>1367</v>
      </c>
      <c r="G1368" s="51">
        <f t="shared" si="84"/>
        <v>4539</v>
      </c>
      <c r="H1368" s="52">
        <v>1367</v>
      </c>
      <c r="I1368" s="52">
        <f t="shared" si="85"/>
        <v>5697</v>
      </c>
    </row>
    <row r="1369" spans="1:9">
      <c r="A1369">
        <v>1368</v>
      </c>
      <c r="B1369" s="2">
        <v>1368</v>
      </c>
      <c r="C1369" s="2">
        <f t="shared" si="82"/>
        <v>2224</v>
      </c>
      <c r="D1369" s="3">
        <v>1368</v>
      </c>
      <c r="E1369" s="3">
        <f t="shared" si="83"/>
        <v>3382</v>
      </c>
      <c r="F1369" s="51">
        <v>1368</v>
      </c>
      <c r="G1369" s="51">
        <f t="shared" si="84"/>
        <v>4540</v>
      </c>
      <c r="H1369" s="52">
        <v>1368</v>
      </c>
      <c r="I1369" s="52">
        <f t="shared" si="85"/>
        <v>5698</v>
      </c>
    </row>
    <row r="1370" spans="1:9">
      <c r="A1370">
        <v>1369</v>
      </c>
      <c r="B1370" s="2">
        <v>1369</v>
      </c>
      <c r="C1370" s="2">
        <f t="shared" si="82"/>
        <v>2225</v>
      </c>
      <c r="D1370" s="3">
        <v>1369</v>
      </c>
      <c r="E1370" s="3">
        <f t="shared" si="83"/>
        <v>3383</v>
      </c>
      <c r="F1370" s="51">
        <v>1369</v>
      </c>
      <c r="G1370" s="51">
        <f t="shared" si="84"/>
        <v>4541</v>
      </c>
      <c r="H1370" s="52">
        <v>1369</v>
      </c>
      <c r="I1370" s="52">
        <f t="shared" si="85"/>
        <v>5699</v>
      </c>
    </row>
    <row r="1371" spans="1:9">
      <c r="A1371">
        <v>1370</v>
      </c>
      <c r="B1371" s="2">
        <v>1370</v>
      </c>
      <c r="C1371" s="2">
        <f t="shared" si="82"/>
        <v>2227</v>
      </c>
      <c r="D1371" s="3">
        <v>1370</v>
      </c>
      <c r="E1371" s="3">
        <f t="shared" si="83"/>
        <v>3385</v>
      </c>
      <c r="F1371" s="51">
        <v>1370</v>
      </c>
      <c r="G1371" s="51">
        <f t="shared" si="84"/>
        <v>4543</v>
      </c>
      <c r="H1371" s="52">
        <v>1370</v>
      </c>
      <c r="I1371" s="52">
        <f t="shared" si="85"/>
        <v>5701</v>
      </c>
    </row>
    <row r="1372" spans="1:9">
      <c r="A1372">
        <v>1371</v>
      </c>
      <c r="B1372" s="2">
        <v>1371</v>
      </c>
      <c r="C1372" s="2">
        <f t="shared" si="82"/>
        <v>2228</v>
      </c>
      <c r="D1372" s="3">
        <v>1371</v>
      </c>
      <c r="E1372" s="3">
        <f t="shared" si="83"/>
        <v>3386</v>
      </c>
      <c r="F1372" s="51">
        <v>1371</v>
      </c>
      <c r="G1372" s="51">
        <f t="shared" si="84"/>
        <v>4544</v>
      </c>
      <c r="H1372" s="52">
        <v>1371</v>
      </c>
      <c r="I1372" s="52">
        <f t="shared" si="85"/>
        <v>5702</v>
      </c>
    </row>
    <row r="1373" spans="1:9">
      <c r="A1373">
        <v>1372</v>
      </c>
      <c r="B1373" s="2">
        <v>1372</v>
      </c>
      <c r="C1373" s="2">
        <f t="shared" si="82"/>
        <v>2229</v>
      </c>
      <c r="D1373" s="3">
        <v>1372</v>
      </c>
      <c r="E1373" s="3">
        <f t="shared" si="83"/>
        <v>3387</v>
      </c>
      <c r="F1373" s="51">
        <v>1372</v>
      </c>
      <c r="G1373" s="51">
        <f t="shared" si="84"/>
        <v>4545</v>
      </c>
      <c r="H1373" s="52">
        <v>1372</v>
      </c>
      <c r="I1373" s="52">
        <f t="shared" si="85"/>
        <v>5703</v>
      </c>
    </row>
    <row r="1374" spans="1:9">
      <c r="A1374">
        <v>1373</v>
      </c>
      <c r="B1374" s="2">
        <v>1373</v>
      </c>
      <c r="C1374" s="2">
        <f t="shared" si="82"/>
        <v>2231</v>
      </c>
      <c r="D1374" s="3">
        <v>1373</v>
      </c>
      <c r="E1374" s="3">
        <f t="shared" si="83"/>
        <v>3389</v>
      </c>
      <c r="F1374" s="51">
        <v>1373</v>
      </c>
      <c r="G1374" s="51">
        <f t="shared" si="84"/>
        <v>4547</v>
      </c>
      <c r="H1374" s="52">
        <v>1373</v>
      </c>
      <c r="I1374" s="52">
        <f t="shared" si="85"/>
        <v>5705</v>
      </c>
    </row>
    <row r="1375" spans="1:9">
      <c r="A1375">
        <v>1374</v>
      </c>
      <c r="B1375" s="2">
        <v>1374</v>
      </c>
      <c r="C1375" s="2">
        <f t="shared" si="82"/>
        <v>2232</v>
      </c>
      <c r="D1375" s="3">
        <v>1374</v>
      </c>
      <c r="E1375" s="3">
        <f t="shared" si="83"/>
        <v>3390</v>
      </c>
      <c r="F1375" s="51">
        <v>1374</v>
      </c>
      <c r="G1375" s="51">
        <f t="shared" si="84"/>
        <v>4548</v>
      </c>
      <c r="H1375" s="52">
        <v>1374</v>
      </c>
      <c r="I1375" s="52">
        <f t="shared" si="85"/>
        <v>5706</v>
      </c>
    </row>
    <row r="1376" spans="1:9">
      <c r="A1376">
        <v>1375</v>
      </c>
      <c r="B1376" s="2">
        <v>1375</v>
      </c>
      <c r="C1376" s="2">
        <f t="shared" si="82"/>
        <v>2233</v>
      </c>
      <c r="D1376" s="3">
        <v>1375</v>
      </c>
      <c r="E1376" s="3">
        <f t="shared" si="83"/>
        <v>3391</v>
      </c>
      <c r="F1376" s="51">
        <v>1375</v>
      </c>
      <c r="G1376" s="51">
        <f t="shared" si="84"/>
        <v>4549</v>
      </c>
      <c r="H1376" s="52">
        <v>1375</v>
      </c>
      <c r="I1376" s="52">
        <f t="shared" si="85"/>
        <v>5707</v>
      </c>
    </row>
    <row r="1377" spans="1:9">
      <c r="A1377">
        <v>1376</v>
      </c>
      <c r="B1377" s="2">
        <v>1376</v>
      </c>
      <c r="C1377" s="2">
        <f t="shared" si="82"/>
        <v>2235</v>
      </c>
      <c r="D1377" s="3">
        <v>1376</v>
      </c>
      <c r="E1377" s="3">
        <f t="shared" si="83"/>
        <v>3393</v>
      </c>
      <c r="F1377" s="51">
        <v>1376</v>
      </c>
      <c r="G1377" s="51">
        <f t="shared" si="84"/>
        <v>4551</v>
      </c>
      <c r="H1377" s="52">
        <v>1376</v>
      </c>
      <c r="I1377" s="52">
        <f t="shared" si="85"/>
        <v>5709</v>
      </c>
    </row>
    <row r="1378" spans="1:9">
      <c r="A1378">
        <v>1377</v>
      </c>
      <c r="B1378" s="2">
        <v>1377</v>
      </c>
      <c r="C1378" s="2">
        <f t="shared" si="82"/>
        <v>2236</v>
      </c>
      <c r="D1378" s="3">
        <v>1377</v>
      </c>
      <c r="E1378" s="3">
        <f t="shared" si="83"/>
        <v>3394</v>
      </c>
      <c r="F1378" s="51">
        <v>1377</v>
      </c>
      <c r="G1378" s="51">
        <f t="shared" si="84"/>
        <v>4552</v>
      </c>
      <c r="H1378" s="52">
        <v>1377</v>
      </c>
      <c r="I1378" s="52">
        <f t="shared" si="85"/>
        <v>5710</v>
      </c>
    </row>
    <row r="1379" spans="1:9">
      <c r="A1379">
        <v>1378</v>
      </c>
      <c r="B1379" s="2">
        <v>1378</v>
      </c>
      <c r="C1379" s="2">
        <f t="shared" si="82"/>
        <v>2237</v>
      </c>
      <c r="D1379" s="3">
        <v>1378</v>
      </c>
      <c r="E1379" s="3">
        <f t="shared" si="83"/>
        <v>3395</v>
      </c>
      <c r="F1379" s="51">
        <v>1378</v>
      </c>
      <c r="G1379" s="51">
        <f t="shared" si="84"/>
        <v>4553</v>
      </c>
      <c r="H1379" s="52">
        <v>1378</v>
      </c>
      <c r="I1379" s="52">
        <f t="shared" si="85"/>
        <v>5711</v>
      </c>
    </row>
    <row r="1380" spans="1:9">
      <c r="A1380">
        <v>1379</v>
      </c>
      <c r="B1380" s="2">
        <v>1379</v>
      </c>
      <c r="C1380" s="2">
        <f t="shared" si="82"/>
        <v>2239</v>
      </c>
      <c r="D1380" s="3">
        <v>1379</v>
      </c>
      <c r="E1380" s="3">
        <f t="shared" si="83"/>
        <v>3397</v>
      </c>
      <c r="F1380" s="51">
        <v>1379</v>
      </c>
      <c r="G1380" s="51">
        <f t="shared" si="84"/>
        <v>4555</v>
      </c>
      <c r="H1380" s="52">
        <v>1379</v>
      </c>
      <c r="I1380" s="52">
        <f t="shared" si="85"/>
        <v>5713</v>
      </c>
    </row>
    <row r="1381" spans="1:9">
      <c r="A1381">
        <v>1380</v>
      </c>
      <c r="B1381" s="2">
        <v>1380</v>
      </c>
      <c r="C1381" s="2">
        <f t="shared" si="82"/>
        <v>2240</v>
      </c>
      <c r="D1381" s="3">
        <v>1380</v>
      </c>
      <c r="E1381" s="3">
        <f t="shared" si="83"/>
        <v>3398</v>
      </c>
      <c r="F1381" s="51">
        <v>1380</v>
      </c>
      <c r="G1381" s="51">
        <f t="shared" si="84"/>
        <v>4556</v>
      </c>
      <c r="H1381" s="52">
        <v>1380</v>
      </c>
      <c r="I1381" s="52">
        <f t="shared" si="85"/>
        <v>5714</v>
      </c>
    </row>
    <row r="1382" spans="1:9">
      <c r="A1382">
        <v>1381</v>
      </c>
      <c r="B1382" s="2">
        <v>1381</v>
      </c>
      <c r="C1382" s="2">
        <f t="shared" si="82"/>
        <v>2241</v>
      </c>
      <c r="D1382" s="3">
        <v>1381</v>
      </c>
      <c r="E1382" s="3">
        <f t="shared" si="83"/>
        <v>3399</v>
      </c>
      <c r="F1382" s="51">
        <v>1381</v>
      </c>
      <c r="G1382" s="51">
        <f t="shared" si="84"/>
        <v>4557</v>
      </c>
      <c r="H1382" s="52">
        <v>1381</v>
      </c>
      <c r="I1382" s="52">
        <f t="shared" si="85"/>
        <v>5715</v>
      </c>
    </row>
    <row r="1383" spans="1:9">
      <c r="A1383">
        <v>1382</v>
      </c>
      <c r="B1383" s="2">
        <v>1382</v>
      </c>
      <c r="C1383" s="2">
        <f t="shared" si="82"/>
        <v>2243</v>
      </c>
      <c r="D1383" s="3">
        <v>1382</v>
      </c>
      <c r="E1383" s="3">
        <f t="shared" si="83"/>
        <v>3401</v>
      </c>
      <c r="F1383" s="51">
        <v>1382</v>
      </c>
      <c r="G1383" s="51">
        <f t="shared" si="84"/>
        <v>4559</v>
      </c>
      <c r="H1383" s="52">
        <v>1382</v>
      </c>
      <c r="I1383" s="52">
        <f t="shared" si="85"/>
        <v>5717</v>
      </c>
    </row>
    <row r="1384" spans="1:9">
      <c r="A1384">
        <v>1383</v>
      </c>
      <c r="B1384" s="2">
        <v>1383</v>
      </c>
      <c r="C1384" s="2">
        <f t="shared" si="82"/>
        <v>2244</v>
      </c>
      <c r="D1384" s="3">
        <v>1383</v>
      </c>
      <c r="E1384" s="3">
        <f t="shared" si="83"/>
        <v>3402</v>
      </c>
      <c r="F1384" s="51">
        <v>1383</v>
      </c>
      <c r="G1384" s="51">
        <f t="shared" si="84"/>
        <v>4560</v>
      </c>
      <c r="H1384" s="52">
        <v>1383</v>
      </c>
      <c r="I1384" s="52">
        <f t="shared" si="85"/>
        <v>5718</v>
      </c>
    </row>
    <row r="1385" spans="1:9">
      <c r="A1385">
        <v>1384</v>
      </c>
      <c r="B1385" s="2">
        <v>1384</v>
      </c>
      <c r="C1385" s="2">
        <f t="shared" si="82"/>
        <v>2245</v>
      </c>
      <c r="D1385" s="3">
        <v>1384</v>
      </c>
      <c r="E1385" s="3">
        <f t="shared" si="83"/>
        <v>3403</v>
      </c>
      <c r="F1385" s="51">
        <v>1384</v>
      </c>
      <c r="G1385" s="51">
        <f t="shared" si="84"/>
        <v>4561</v>
      </c>
      <c r="H1385" s="52">
        <v>1384</v>
      </c>
      <c r="I1385" s="52">
        <f t="shared" si="85"/>
        <v>5719</v>
      </c>
    </row>
    <row r="1386" spans="1:9">
      <c r="A1386">
        <v>1385</v>
      </c>
      <c r="B1386" s="2">
        <v>1385</v>
      </c>
      <c r="C1386" s="2">
        <f t="shared" si="82"/>
        <v>2247</v>
      </c>
      <c r="D1386" s="3">
        <v>1385</v>
      </c>
      <c r="E1386" s="3">
        <f t="shared" si="83"/>
        <v>3405</v>
      </c>
      <c r="F1386" s="51">
        <v>1385</v>
      </c>
      <c r="G1386" s="51">
        <f t="shared" si="84"/>
        <v>4563</v>
      </c>
      <c r="H1386" s="52">
        <v>1385</v>
      </c>
      <c r="I1386" s="52">
        <f t="shared" si="85"/>
        <v>5721</v>
      </c>
    </row>
    <row r="1387" spans="1:9">
      <c r="A1387">
        <v>1386</v>
      </c>
      <c r="B1387" s="2">
        <v>1386</v>
      </c>
      <c r="C1387" s="2">
        <f t="shared" si="82"/>
        <v>2248</v>
      </c>
      <c r="D1387" s="3">
        <v>1386</v>
      </c>
      <c r="E1387" s="3">
        <f t="shared" si="83"/>
        <v>3406</v>
      </c>
      <c r="F1387" s="51">
        <v>1386</v>
      </c>
      <c r="G1387" s="51">
        <f t="shared" si="84"/>
        <v>4564</v>
      </c>
      <c r="H1387" s="52">
        <v>1386</v>
      </c>
      <c r="I1387" s="52">
        <f t="shared" si="85"/>
        <v>5722</v>
      </c>
    </row>
    <row r="1388" spans="1:9">
      <c r="A1388">
        <v>1387</v>
      </c>
      <c r="B1388" s="2">
        <v>1387</v>
      </c>
      <c r="C1388" s="2">
        <f t="shared" si="82"/>
        <v>2249</v>
      </c>
      <c r="D1388" s="3">
        <v>1387</v>
      </c>
      <c r="E1388" s="3">
        <f t="shared" si="83"/>
        <v>3407</v>
      </c>
      <c r="F1388" s="51">
        <v>1387</v>
      </c>
      <c r="G1388" s="51">
        <f t="shared" si="84"/>
        <v>4565</v>
      </c>
      <c r="H1388" s="52">
        <v>1387</v>
      </c>
      <c r="I1388" s="52">
        <f t="shared" si="85"/>
        <v>5723</v>
      </c>
    </row>
    <row r="1389" spans="1:9">
      <c r="A1389">
        <v>1388</v>
      </c>
      <c r="B1389" s="2">
        <v>1388</v>
      </c>
      <c r="C1389" s="2">
        <f t="shared" si="82"/>
        <v>2251</v>
      </c>
      <c r="D1389" s="3">
        <v>1388</v>
      </c>
      <c r="E1389" s="3">
        <f t="shared" si="83"/>
        <v>3409</v>
      </c>
      <c r="F1389" s="51">
        <v>1388</v>
      </c>
      <c r="G1389" s="51">
        <f t="shared" si="84"/>
        <v>4567</v>
      </c>
      <c r="H1389" s="52">
        <v>1388</v>
      </c>
      <c r="I1389" s="52">
        <f t="shared" si="85"/>
        <v>5725</v>
      </c>
    </row>
    <row r="1390" spans="1:9">
      <c r="A1390">
        <v>1389</v>
      </c>
      <c r="B1390" s="2">
        <v>1389</v>
      </c>
      <c r="C1390" s="2">
        <f t="shared" si="82"/>
        <v>2252</v>
      </c>
      <c r="D1390" s="3">
        <v>1389</v>
      </c>
      <c r="E1390" s="3">
        <f t="shared" si="83"/>
        <v>3410</v>
      </c>
      <c r="F1390" s="51">
        <v>1389</v>
      </c>
      <c r="G1390" s="51">
        <f t="shared" si="84"/>
        <v>4568</v>
      </c>
      <c r="H1390" s="52">
        <v>1389</v>
      </c>
      <c r="I1390" s="52">
        <f t="shared" si="85"/>
        <v>5726</v>
      </c>
    </row>
    <row r="1391" spans="1:9">
      <c r="A1391">
        <v>1390</v>
      </c>
      <c r="B1391" s="2">
        <v>1390</v>
      </c>
      <c r="C1391" s="2">
        <f t="shared" si="82"/>
        <v>2253</v>
      </c>
      <c r="D1391" s="3">
        <v>1390</v>
      </c>
      <c r="E1391" s="3">
        <f t="shared" si="83"/>
        <v>3411</v>
      </c>
      <c r="F1391" s="51">
        <v>1390</v>
      </c>
      <c r="G1391" s="51">
        <f t="shared" si="84"/>
        <v>4569</v>
      </c>
      <c r="H1391" s="52">
        <v>1390</v>
      </c>
      <c r="I1391" s="52">
        <f t="shared" si="85"/>
        <v>5727</v>
      </c>
    </row>
    <row r="1392" spans="1:9">
      <c r="A1392">
        <v>1391</v>
      </c>
      <c r="B1392" s="2">
        <v>1391</v>
      </c>
      <c r="C1392" s="2">
        <f t="shared" si="82"/>
        <v>2255</v>
      </c>
      <c r="D1392" s="3">
        <v>1391</v>
      </c>
      <c r="E1392" s="3">
        <f t="shared" si="83"/>
        <v>3413</v>
      </c>
      <c r="F1392" s="51">
        <v>1391</v>
      </c>
      <c r="G1392" s="51">
        <f t="shared" si="84"/>
        <v>4571</v>
      </c>
      <c r="H1392" s="52">
        <v>1391</v>
      </c>
      <c r="I1392" s="52">
        <f t="shared" si="85"/>
        <v>5729</v>
      </c>
    </row>
    <row r="1393" spans="1:9">
      <c r="A1393">
        <v>1392</v>
      </c>
      <c r="B1393" s="2">
        <v>1392</v>
      </c>
      <c r="C1393" s="2">
        <f t="shared" si="82"/>
        <v>2256</v>
      </c>
      <c r="D1393" s="3">
        <v>1392</v>
      </c>
      <c r="E1393" s="3">
        <f t="shared" si="83"/>
        <v>3414</v>
      </c>
      <c r="F1393" s="51">
        <v>1392</v>
      </c>
      <c r="G1393" s="51">
        <f t="shared" si="84"/>
        <v>4572</v>
      </c>
      <c r="H1393" s="52">
        <v>1392</v>
      </c>
      <c r="I1393" s="52">
        <f t="shared" si="85"/>
        <v>5730</v>
      </c>
    </row>
    <row r="1394" spans="1:9">
      <c r="A1394">
        <v>1393</v>
      </c>
      <c r="B1394" s="2">
        <v>1393</v>
      </c>
      <c r="C1394" s="2">
        <f t="shared" si="82"/>
        <v>2257</v>
      </c>
      <c r="D1394" s="3">
        <v>1393</v>
      </c>
      <c r="E1394" s="3">
        <f t="shared" si="83"/>
        <v>3415</v>
      </c>
      <c r="F1394" s="51">
        <v>1393</v>
      </c>
      <c r="G1394" s="51">
        <f t="shared" si="84"/>
        <v>4573</v>
      </c>
      <c r="H1394" s="52">
        <v>1393</v>
      </c>
      <c r="I1394" s="52">
        <f t="shared" si="85"/>
        <v>5731</v>
      </c>
    </row>
    <row r="1395" spans="1:9">
      <c r="A1395">
        <v>1394</v>
      </c>
      <c r="B1395" s="2">
        <v>1394</v>
      </c>
      <c r="C1395" s="2">
        <f t="shared" si="82"/>
        <v>2259</v>
      </c>
      <c r="D1395" s="3">
        <v>1394</v>
      </c>
      <c r="E1395" s="3">
        <f t="shared" si="83"/>
        <v>3417</v>
      </c>
      <c r="F1395" s="51">
        <v>1394</v>
      </c>
      <c r="G1395" s="51">
        <f t="shared" si="84"/>
        <v>4575</v>
      </c>
      <c r="H1395" s="52">
        <v>1394</v>
      </c>
      <c r="I1395" s="52">
        <f t="shared" si="85"/>
        <v>5733</v>
      </c>
    </row>
    <row r="1396" spans="1:9">
      <c r="A1396">
        <v>1395</v>
      </c>
      <c r="B1396" s="2">
        <v>1395</v>
      </c>
      <c r="C1396" s="2">
        <f t="shared" si="82"/>
        <v>2260</v>
      </c>
      <c r="D1396" s="3">
        <v>1395</v>
      </c>
      <c r="E1396" s="3">
        <f t="shared" si="83"/>
        <v>3418</v>
      </c>
      <c r="F1396" s="51">
        <v>1395</v>
      </c>
      <c r="G1396" s="51">
        <f t="shared" si="84"/>
        <v>4576</v>
      </c>
      <c r="H1396" s="52">
        <v>1395</v>
      </c>
      <c r="I1396" s="52">
        <f t="shared" si="85"/>
        <v>5734</v>
      </c>
    </row>
    <row r="1397" spans="1:9">
      <c r="A1397">
        <v>1396</v>
      </c>
      <c r="B1397" s="2">
        <v>1396</v>
      </c>
      <c r="C1397" s="2">
        <f t="shared" si="82"/>
        <v>2261</v>
      </c>
      <c r="D1397" s="3">
        <v>1396</v>
      </c>
      <c r="E1397" s="3">
        <f t="shared" si="83"/>
        <v>3419</v>
      </c>
      <c r="F1397" s="51">
        <v>1396</v>
      </c>
      <c r="G1397" s="51">
        <f t="shared" si="84"/>
        <v>4577</v>
      </c>
      <c r="H1397" s="52">
        <v>1396</v>
      </c>
      <c r="I1397" s="52">
        <f t="shared" si="85"/>
        <v>5735</v>
      </c>
    </row>
    <row r="1398" spans="1:9">
      <c r="A1398">
        <v>1397</v>
      </c>
      <c r="B1398" s="2">
        <v>1397</v>
      </c>
      <c r="C1398" s="2">
        <f t="shared" si="82"/>
        <v>2263</v>
      </c>
      <c r="D1398" s="3">
        <v>1397</v>
      </c>
      <c r="E1398" s="3">
        <f t="shared" si="83"/>
        <v>3421</v>
      </c>
      <c r="F1398" s="51">
        <v>1397</v>
      </c>
      <c r="G1398" s="51">
        <f t="shared" si="84"/>
        <v>4579</v>
      </c>
      <c r="H1398" s="52">
        <v>1397</v>
      </c>
      <c r="I1398" s="52">
        <f t="shared" si="85"/>
        <v>5737</v>
      </c>
    </row>
    <row r="1399" spans="1:9">
      <c r="A1399">
        <v>1398</v>
      </c>
      <c r="B1399" s="2">
        <v>1398</v>
      </c>
      <c r="C1399" s="2">
        <f t="shared" si="82"/>
        <v>2264</v>
      </c>
      <c r="D1399" s="3">
        <v>1398</v>
      </c>
      <c r="E1399" s="3">
        <f t="shared" si="83"/>
        <v>3422</v>
      </c>
      <c r="F1399" s="51">
        <v>1398</v>
      </c>
      <c r="G1399" s="51">
        <f t="shared" si="84"/>
        <v>4580</v>
      </c>
      <c r="H1399" s="52">
        <v>1398</v>
      </c>
      <c r="I1399" s="52">
        <f t="shared" si="85"/>
        <v>5738</v>
      </c>
    </row>
    <row r="1400" spans="1:9">
      <c r="A1400">
        <v>1399</v>
      </c>
      <c r="B1400" s="2">
        <v>1399</v>
      </c>
      <c r="C1400" s="2">
        <f t="shared" si="82"/>
        <v>2265</v>
      </c>
      <c r="D1400" s="3">
        <v>1399</v>
      </c>
      <c r="E1400" s="3">
        <f t="shared" si="83"/>
        <v>3423</v>
      </c>
      <c r="F1400" s="51">
        <v>1399</v>
      </c>
      <c r="G1400" s="51">
        <f t="shared" si="84"/>
        <v>4581</v>
      </c>
      <c r="H1400" s="52">
        <v>1399</v>
      </c>
      <c r="I1400" s="52">
        <f t="shared" si="85"/>
        <v>5739</v>
      </c>
    </row>
    <row r="1401" spans="1:9">
      <c r="A1401">
        <v>1400</v>
      </c>
      <c r="B1401" s="2">
        <v>1400</v>
      </c>
      <c r="C1401" s="2">
        <f t="shared" si="82"/>
        <v>2267</v>
      </c>
      <c r="D1401" s="3">
        <v>1400</v>
      </c>
      <c r="E1401" s="3">
        <f t="shared" si="83"/>
        <v>3425</v>
      </c>
      <c r="F1401" s="51">
        <v>1400</v>
      </c>
      <c r="G1401" s="51">
        <f t="shared" si="84"/>
        <v>4583</v>
      </c>
      <c r="H1401" s="52">
        <v>1400</v>
      </c>
      <c r="I1401" s="52">
        <f t="shared" si="85"/>
        <v>5741</v>
      </c>
    </row>
    <row r="1402" spans="1:9">
      <c r="A1402">
        <v>1401</v>
      </c>
      <c r="B1402" s="2">
        <v>1401</v>
      </c>
      <c r="C1402" s="2">
        <f t="shared" si="82"/>
        <v>2268</v>
      </c>
      <c r="D1402" s="3">
        <v>1401</v>
      </c>
      <c r="E1402" s="3">
        <f t="shared" si="83"/>
        <v>3426</v>
      </c>
      <c r="F1402" s="51">
        <v>1401</v>
      </c>
      <c r="G1402" s="51">
        <f t="shared" si="84"/>
        <v>4584</v>
      </c>
      <c r="H1402" s="52">
        <v>1401</v>
      </c>
      <c r="I1402" s="52">
        <f t="shared" si="85"/>
        <v>5742</v>
      </c>
    </row>
    <row r="1403" spans="1:9">
      <c r="A1403">
        <v>1402</v>
      </c>
      <c r="B1403" s="2">
        <v>1402</v>
      </c>
      <c r="C1403" s="2">
        <f t="shared" si="82"/>
        <v>2269</v>
      </c>
      <c r="D1403" s="3">
        <v>1402</v>
      </c>
      <c r="E1403" s="3">
        <f t="shared" si="83"/>
        <v>3427</v>
      </c>
      <c r="F1403" s="51">
        <v>1402</v>
      </c>
      <c r="G1403" s="51">
        <f t="shared" si="84"/>
        <v>4585</v>
      </c>
      <c r="H1403" s="52">
        <v>1402</v>
      </c>
      <c r="I1403" s="52">
        <f t="shared" si="85"/>
        <v>5743</v>
      </c>
    </row>
    <row r="1404" spans="1:9">
      <c r="A1404">
        <v>1403</v>
      </c>
      <c r="B1404" s="2">
        <v>1403</v>
      </c>
      <c r="C1404" s="2">
        <f t="shared" ref="C1404:C1467" si="86">INT((B1404-B$122)*1.3333333)+C$122</f>
        <v>2271</v>
      </c>
      <c r="D1404" s="3">
        <v>1403</v>
      </c>
      <c r="E1404" s="3">
        <f t="shared" si="83"/>
        <v>3429</v>
      </c>
      <c r="F1404" s="51">
        <v>1403</v>
      </c>
      <c r="G1404" s="51">
        <f t="shared" si="84"/>
        <v>4587</v>
      </c>
      <c r="H1404" s="52">
        <v>1403</v>
      </c>
      <c r="I1404" s="52">
        <f t="shared" si="85"/>
        <v>5745</v>
      </c>
    </row>
    <row r="1405" spans="1:9">
      <c r="A1405">
        <v>1404</v>
      </c>
      <c r="B1405" s="2">
        <v>1404</v>
      </c>
      <c r="C1405" s="2">
        <f t="shared" si="86"/>
        <v>2272</v>
      </c>
      <c r="D1405" s="3">
        <v>1404</v>
      </c>
      <c r="E1405" s="3">
        <f t="shared" si="83"/>
        <v>3430</v>
      </c>
      <c r="F1405" s="51">
        <v>1404</v>
      </c>
      <c r="G1405" s="51">
        <f t="shared" si="84"/>
        <v>4588</v>
      </c>
      <c r="H1405" s="52">
        <v>1404</v>
      </c>
      <c r="I1405" s="52">
        <f t="shared" si="85"/>
        <v>5746</v>
      </c>
    </row>
    <row r="1406" spans="1:9">
      <c r="A1406">
        <v>1405</v>
      </c>
      <c r="B1406" s="2">
        <v>1405</v>
      </c>
      <c r="C1406" s="2">
        <f t="shared" si="86"/>
        <v>2273</v>
      </c>
      <c r="D1406" s="3">
        <v>1405</v>
      </c>
      <c r="E1406" s="3">
        <f t="shared" si="83"/>
        <v>3431</v>
      </c>
      <c r="F1406" s="51">
        <v>1405</v>
      </c>
      <c r="G1406" s="51">
        <f t="shared" si="84"/>
        <v>4589</v>
      </c>
      <c r="H1406" s="52">
        <v>1405</v>
      </c>
      <c r="I1406" s="52">
        <f t="shared" si="85"/>
        <v>5747</v>
      </c>
    </row>
    <row r="1407" spans="1:9">
      <c r="A1407">
        <v>1406</v>
      </c>
      <c r="B1407" s="2">
        <v>1406</v>
      </c>
      <c r="C1407" s="2">
        <f t="shared" si="86"/>
        <v>2275</v>
      </c>
      <c r="D1407" s="3">
        <v>1406</v>
      </c>
      <c r="E1407" s="3">
        <f t="shared" si="83"/>
        <v>3433</v>
      </c>
      <c r="F1407" s="51">
        <v>1406</v>
      </c>
      <c r="G1407" s="51">
        <f t="shared" si="84"/>
        <v>4591</v>
      </c>
      <c r="H1407" s="52">
        <v>1406</v>
      </c>
      <c r="I1407" s="52">
        <f t="shared" si="85"/>
        <v>5749</v>
      </c>
    </row>
    <row r="1408" spans="1:9">
      <c r="A1408">
        <v>1407</v>
      </c>
      <c r="B1408" s="2">
        <v>1407</v>
      </c>
      <c r="C1408" s="2">
        <f t="shared" si="86"/>
        <v>2276</v>
      </c>
      <c r="D1408" s="3">
        <v>1407</v>
      </c>
      <c r="E1408" s="3">
        <f t="shared" si="83"/>
        <v>3434</v>
      </c>
      <c r="F1408" s="51">
        <v>1407</v>
      </c>
      <c r="G1408" s="51">
        <f t="shared" si="84"/>
        <v>4592</v>
      </c>
      <c r="H1408" s="52">
        <v>1407</v>
      </c>
      <c r="I1408" s="52">
        <f t="shared" si="85"/>
        <v>5750</v>
      </c>
    </row>
    <row r="1409" spans="1:9">
      <c r="A1409">
        <v>1408</v>
      </c>
      <c r="B1409" s="2">
        <v>1408</v>
      </c>
      <c r="C1409" s="2">
        <f t="shared" si="86"/>
        <v>2277</v>
      </c>
      <c r="D1409" s="3">
        <v>1408</v>
      </c>
      <c r="E1409" s="3">
        <f t="shared" si="83"/>
        <v>3435</v>
      </c>
      <c r="F1409" s="51">
        <v>1408</v>
      </c>
      <c r="G1409" s="51">
        <f t="shared" si="84"/>
        <v>4593</v>
      </c>
      <c r="H1409" s="52">
        <v>1408</v>
      </c>
      <c r="I1409" s="52">
        <f t="shared" si="85"/>
        <v>5751</v>
      </c>
    </row>
    <row r="1410" spans="1:9">
      <c r="A1410">
        <v>1409</v>
      </c>
      <c r="B1410" s="2">
        <v>1409</v>
      </c>
      <c r="C1410" s="2">
        <f t="shared" si="86"/>
        <v>2279</v>
      </c>
      <c r="D1410" s="3">
        <v>1409</v>
      </c>
      <c r="E1410" s="3">
        <f t="shared" si="83"/>
        <v>3437</v>
      </c>
      <c r="F1410" s="51">
        <v>1409</v>
      </c>
      <c r="G1410" s="51">
        <f t="shared" si="84"/>
        <v>4595</v>
      </c>
      <c r="H1410" s="52">
        <v>1409</v>
      </c>
      <c r="I1410" s="52">
        <f t="shared" si="85"/>
        <v>5753</v>
      </c>
    </row>
    <row r="1411" spans="1:9">
      <c r="A1411">
        <v>1410</v>
      </c>
      <c r="B1411" s="2">
        <v>1410</v>
      </c>
      <c r="C1411" s="2">
        <f t="shared" si="86"/>
        <v>2280</v>
      </c>
      <c r="D1411" s="3">
        <v>1410</v>
      </c>
      <c r="E1411" s="3">
        <f t="shared" si="83"/>
        <v>3438</v>
      </c>
      <c r="F1411" s="51">
        <v>1410</v>
      </c>
      <c r="G1411" s="51">
        <f t="shared" si="84"/>
        <v>4596</v>
      </c>
      <c r="H1411" s="52">
        <v>1410</v>
      </c>
      <c r="I1411" s="52">
        <f t="shared" si="85"/>
        <v>5754</v>
      </c>
    </row>
    <row r="1412" spans="1:9">
      <c r="A1412">
        <v>1411</v>
      </c>
      <c r="B1412" s="2">
        <v>1411</v>
      </c>
      <c r="C1412" s="2">
        <f t="shared" si="86"/>
        <v>2281</v>
      </c>
      <c r="D1412" s="3">
        <v>1411</v>
      </c>
      <c r="E1412" s="3">
        <f t="shared" ref="E1412:E1475" si="87">INT((D1412-D$2)*1.3333333)+E$2</f>
        <v>3439</v>
      </c>
      <c r="F1412" s="51">
        <v>1411</v>
      </c>
      <c r="G1412" s="51">
        <f t="shared" ref="G1412:G1475" si="88">INT((F1412-F$2)*1.3333333)+G$2</f>
        <v>4597</v>
      </c>
      <c r="H1412" s="52">
        <v>1411</v>
      </c>
      <c r="I1412" s="52">
        <f t="shared" ref="I1412:I1475" si="89">INT((H1412-H$2)*1.3333333)+I$2</f>
        <v>5755</v>
      </c>
    </row>
    <row r="1413" spans="1:9">
      <c r="A1413">
        <v>1412</v>
      </c>
      <c r="B1413" s="2">
        <v>1412</v>
      </c>
      <c r="C1413" s="2">
        <f t="shared" si="86"/>
        <v>2283</v>
      </c>
      <c r="D1413" s="3">
        <v>1412</v>
      </c>
      <c r="E1413" s="3">
        <f t="shared" si="87"/>
        <v>3441</v>
      </c>
      <c r="F1413" s="51">
        <v>1412</v>
      </c>
      <c r="G1413" s="51">
        <f t="shared" si="88"/>
        <v>4599</v>
      </c>
      <c r="H1413" s="52">
        <v>1412</v>
      </c>
      <c r="I1413" s="52">
        <f t="shared" si="89"/>
        <v>5757</v>
      </c>
    </row>
    <row r="1414" spans="1:9">
      <c r="A1414">
        <v>1413</v>
      </c>
      <c r="B1414" s="2">
        <v>1413</v>
      </c>
      <c r="C1414" s="2">
        <f t="shared" si="86"/>
        <v>2284</v>
      </c>
      <c r="D1414" s="3">
        <v>1413</v>
      </c>
      <c r="E1414" s="3">
        <f t="shared" si="87"/>
        <v>3442</v>
      </c>
      <c r="F1414" s="51">
        <v>1413</v>
      </c>
      <c r="G1414" s="51">
        <f t="shared" si="88"/>
        <v>4600</v>
      </c>
      <c r="H1414" s="52">
        <v>1413</v>
      </c>
      <c r="I1414" s="52">
        <f t="shared" si="89"/>
        <v>5758</v>
      </c>
    </row>
    <row r="1415" spans="1:9">
      <c r="A1415">
        <v>1414</v>
      </c>
      <c r="B1415" s="2">
        <v>1414</v>
      </c>
      <c r="C1415" s="2">
        <f t="shared" si="86"/>
        <v>2285</v>
      </c>
      <c r="D1415" s="3">
        <v>1414</v>
      </c>
      <c r="E1415" s="3">
        <f t="shared" si="87"/>
        <v>3443</v>
      </c>
      <c r="F1415" s="51">
        <v>1414</v>
      </c>
      <c r="G1415" s="51">
        <f t="shared" si="88"/>
        <v>4601</v>
      </c>
      <c r="H1415" s="52">
        <v>1414</v>
      </c>
      <c r="I1415" s="52">
        <f t="shared" si="89"/>
        <v>5759</v>
      </c>
    </row>
    <row r="1416" spans="1:9">
      <c r="A1416">
        <v>1415</v>
      </c>
      <c r="B1416" s="2">
        <v>1415</v>
      </c>
      <c r="C1416" s="2">
        <f t="shared" si="86"/>
        <v>2287</v>
      </c>
      <c r="D1416" s="3">
        <v>1415</v>
      </c>
      <c r="E1416" s="3">
        <f t="shared" si="87"/>
        <v>3445</v>
      </c>
      <c r="F1416" s="51">
        <v>1415</v>
      </c>
      <c r="G1416" s="51">
        <f t="shared" si="88"/>
        <v>4603</v>
      </c>
      <c r="H1416" s="52">
        <v>1415</v>
      </c>
      <c r="I1416" s="52">
        <f t="shared" si="89"/>
        <v>5761</v>
      </c>
    </row>
    <row r="1417" spans="1:9">
      <c r="A1417">
        <v>1416</v>
      </c>
      <c r="B1417" s="2">
        <v>1416</v>
      </c>
      <c r="C1417" s="2">
        <f t="shared" si="86"/>
        <v>2288</v>
      </c>
      <c r="D1417" s="3">
        <v>1416</v>
      </c>
      <c r="E1417" s="3">
        <f t="shared" si="87"/>
        <v>3446</v>
      </c>
      <c r="F1417" s="51">
        <v>1416</v>
      </c>
      <c r="G1417" s="51">
        <f t="shared" si="88"/>
        <v>4604</v>
      </c>
      <c r="H1417" s="52">
        <v>1416</v>
      </c>
      <c r="I1417" s="52">
        <f t="shared" si="89"/>
        <v>5762</v>
      </c>
    </row>
    <row r="1418" spans="1:9">
      <c r="A1418">
        <v>1417</v>
      </c>
      <c r="B1418" s="2">
        <v>1417</v>
      </c>
      <c r="C1418" s="2">
        <f t="shared" si="86"/>
        <v>2289</v>
      </c>
      <c r="D1418" s="3">
        <v>1417</v>
      </c>
      <c r="E1418" s="3">
        <f t="shared" si="87"/>
        <v>3447</v>
      </c>
      <c r="F1418" s="51">
        <v>1417</v>
      </c>
      <c r="G1418" s="51">
        <f t="shared" si="88"/>
        <v>4605</v>
      </c>
      <c r="H1418" s="52">
        <v>1417</v>
      </c>
      <c r="I1418" s="52">
        <f t="shared" si="89"/>
        <v>5763</v>
      </c>
    </row>
    <row r="1419" spans="1:9">
      <c r="A1419">
        <v>1418</v>
      </c>
      <c r="B1419" s="2">
        <v>1418</v>
      </c>
      <c r="C1419" s="2">
        <f t="shared" si="86"/>
        <v>2291</v>
      </c>
      <c r="D1419" s="3">
        <v>1418</v>
      </c>
      <c r="E1419" s="3">
        <f t="shared" si="87"/>
        <v>3449</v>
      </c>
      <c r="F1419" s="51">
        <v>1418</v>
      </c>
      <c r="G1419" s="51">
        <f t="shared" si="88"/>
        <v>4607</v>
      </c>
      <c r="H1419" s="52">
        <v>1418</v>
      </c>
      <c r="I1419" s="52">
        <f t="shared" si="89"/>
        <v>5765</v>
      </c>
    </row>
    <row r="1420" spans="1:9">
      <c r="A1420">
        <v>1419</v>
      </c>
      <c r="B1420" s="2">
        <v>1419</v>
      </c>
      <c r="C1420" s="2">
        <f t="shared" si="86"/>
        <v>2292</v>
      </c>
      <c r="D1420" s="3">
        <v>1419</v>
      </c>
      <c r="E1420" s="3">
        <f t="shared" si="87"/>
        <v>3450</v>
      </c>
      <c r="F1420" s="51">
        <v>1419</v>
      </c>
      <c r="G1420" s="51">
        <f t="shared" si="88"/>
        <v>4608</v>
      </c>
      <c r="H1420" s="52">
        <v>1419</v>
      </c>
      <c r="I1420" s="52">
        <f t="shared" si="89"/>
        <v>5766</v>
      </c>
    </row>
    <row r="1421" spans="1:9">
      <c r="A1421">
        <v>1420</v>
      </c>
      <c r="B1421" s="2">
        <v>1420</v>
      </c>
      <c r="C1421" s="2">
        <f t="shared" si="86"/>
        <v>2293</v>
      </c>
      <c r="D1421" s="3">
        <v>1420</v>
      </c>
      <c r="E1421" s="3">
        <f t="shared" si="87"/>
        <v>3451</v>
      </c>
      <c r="F1421" s="51">
        <v>1420</v>
      </c>
      <c r="G1421" s="51">
        <f t="shared" si="88"/>
        <v>4609</v>
      </c>
      <c r="H1421" s="52">
        <v>1420</v>
      </c>
      <c r="I1421" s="52">
        <f t="shared" si="89"/>
        <v>5767</v>
      </c>
    </row>
    <row r="1422" spans="1:9">
      <c r="A1422">
        <v>1421</v>
      </c>
      <c r="B1422" s="2">
        <v>1421</v>
      </c>
      <c r="C1422" s="2">
        <f t="shared" si="86"/>
        <v>2295</v>
      </c>
      <c r="D1422" s="3">
        <v>1421</v>
      </c>
      <c r="E1422" s="3">
        <f t="shared" si="87"/>
        <v>3453</v>
      </c>
      <c r="F1422" s="51">
        <v>1421</v>
      </c>
      <c r="G1422" s="51">
        <f t="shared" si="88"/>
        <v>4611</v>
      </c>
      <c r="H1422" s="52">
        <v>1421</v>
      </c>
      <c r="I1422" s="52">
        <f t="shared" si="89"/>
        <v>5769</v>
      </c>
    </row>
    <row r="1423" spans="1:9">
      <c r="A1423">
        <v>1422</v>
      </c>
      <c r="B1423" s="2">
        <v>1422</v>
      </c>
      <c r="C1423" s="2">
        <f t="shared" si="86"/>
        <v>2296</v>
      </c>
      <c r="D1423" s="3">
        <v>1422</v>
      </c>
      <c r="E1423" s="3">
        <f t="shared" si="87"/>
        <v>3454</v>
      </c>
      <c r="F1423" s="51">
        <v>1422</v>
      </c>
      <c r="G1423" s="51">
        <f t="shared" si="88"/>
        <v>4612</v>
      </c>
      <c r="H1423" s="52">
        <v>1422</v>
      </c>
      <c r="I1423" s="52">
        <f t="shared" si="89"/>
        <v>5770</v>
      </c>
    </row>
    <row r="1424" spans="1:9">
      <c r="A1424">
        <v>1423</v>
      </c>
      <c r="B1424" s="2">
        <v>1423</v>
      </c>
      <c r="C1424" s="2">
        <f t="shared" si="86"/>
        <v>2297</v>
      </c>
      <c r="D1424" s="3">
        <v>1423</v>
      </c>
      <c r="E1424" s="3">
        <f t="shared" si="87"/>
        <v>3455</v>
      </c>
      <c r="F1424" s="51">
        <v>1423</v>
      </c>
      <c r="G1424" s="51">
        <f t="shared" si="88"/>
        <v>4613</v>
      </c>
      <c r="H1424" s="52">
        <v>1423</v>
      </c>
      <c r="I1424" s="52">
        <f t="shared" si="89"/>
        <v>5771</v>
      </c>
    </row>
    <row r="1425" spans="1:9">
      <c r="A1425">
        <v>1424</v>
      </c>
      <c r="B1425" s="2">
        <v>1424</v>
      </c>
      <c r="C1425" s="2">
        <f t="shared" si="86"/>
        <v>2299</v>
      </c>
      <c r="D1425" s="3">
        <v>1424</v>
      </c>
      <c r="E1425" s="3">
        <f t="shared" si="87"/>
        <v>3457</v>
      </c>
      <c r="F1425" s="51">
        <v>1424</v>
      </c>
      <c r="G1425" s="51">
        <f t="shared" si="88"/>
        <v>4615</v>
      </c>
      <c r="H1425" s="52">
        <v>1424</v>
      </c>
      <c r="I1425" s="52">
        <f t="shared" si="89"/>
        <v>5773</v>
      </c>
    </row>
    <row r="1426" spans="1:9">
      <c r="A1426">
        <v>1425</v>
      </c>
      <c r="B1426" s="2">
        <v>1425</v>
      </c>
      <c r="C1426" s="2">
        <f t="shared" si="86"/>
        <v>2300</v>
      </c>
      <c r="D1426" s="3">
        <v>1425</v>
      </c>
      <c r="E1426" s="3">
        <f t="shared" si="87"/>
        <v>3458</v>
      </c>
      <c r="F1426" s="51">
        <v>1425</v>
      </c>
      <c r="G1426" s="51">
        <f t="shared" si="88"/>
        <v>4616</v>
      </c>
      <c r="H1426" s="52">
        <v>1425</v>
      </c>
      <c r="I1426" s="52">
        <f t="shared" si="89"/>
        <v>5774</v>
      </c>
    </row>
    <row r="1427" spans="1:9">
      <c r="A1427">
        <v>1426</v>
      </c>
      <c r="B1427" s="2">
        <v>1426</v>
      </c>
      <c r="C1427" s="2">
        <f t="shared" si="86"/>
        <v>2301</v>
      </c>
      <c r="D1427" s="3">
        <v>1426</v>
      </c>
      <c r="E1427" s="3">
        <f t="shared" si="87"/>
        <v>3459</v>
      </c>
      <c r="F1427" s="51">
        <v>1426</v>
      </c>
      <c r="G1427" s="51">
        <f t="shared" si="88"/>
        <v>4617</v>
      </c>
      <c r="H1427" s="52">
        <v>1426</v>
      </c>
      <c r="I1427" s="52">
        <f t="shared" si="89"/>
        <v>5775</v>
      </c>
    </row>
    <row r="1428" spans="1:9">
      <c r="A1428">
        <v>1427</v>
      </c>
      <c r="B1428" s="2">
        <v>1427</v>
      </c>
      <c r="C1428" s="2">
        <f t="shared" si="86"/>
        <v>2303</v>
      </c>
      <c r="D1428" s="3">
        <v>1427</v>
      </c>
      <c r="E1428" s="3">
        <f t="shared" si="87"/>
        <v>3461</v>
      </c>
      <c r="F1428" s="51">
        <v>1427</v>
      </c>
      <c r="G1428" s="51">
        <f t="shared" si="88"/>
        <v>4619</v>
      </c>
      <c r="H1428" s="52">
        <v>1427</v>
      </c>
      <c r="I1428" s="52">
        <f t="shared" si="89"/>
        <v>5777</v>
      </c>
    </row>
    <row r="1429" spans="1:9">
      <c r="A1429">
        <v>1428</v>
      </c>
      <c r="B1429" s="2">
        <v>1428</v>
      </c>
      <c r="C1429" s="2">
        <f t="shared" si="86"/>
        <v>2304</v>
      </c>
      <c r="D1429" s="3">
        <v>1428</v>
      </c>
      <c r="E1429" s="3">
        <f t="shared" si="87"/>
        <v>3462</v>
      </c>
      <c r="F1429" s="51">
        <v>1428</v>
      </c>
      <c r="G1429" s="51">
        <f t="shared" si="88"/>
        <v>4620</v>
      </c>
      <c r="H1429" s="52">
        <v>1428</v>
      </c>
      <c r="I1429" s="52">
        <f t="shared" si="89"/>
        <v>5778</v>
      </c>
    </row>
    <row r="1430" spans="1:9">
      <c r="A1430">
        <v>1429</v>
      </c>
      <c r="B1430" s="2">
        <v>1429</v>
      </c>
      <c r="C1430" s="2">
        <f t="shared" si="86"/>
        <v>2305</v>
      </c>
      <c r="D1430" s="3">
        <v>1429</v>
      </c>
      <c r="E1430" s="3">
        <f t="shared" si="87"/>
        <v>3463</v>
      </c>
      <c r="F1430" s="51">
        <v>1429</v>
      </c>
      <c r="G1430" s="51">
        <f t="shared" si="88"/>
        <v>4621</v>
      </c>
      <c r="H1430" s="52">
        <v>1429</v>
      </c>
      <c r="I1430" s="52">
        <f t="shared" si="89"/>
        <v>5779</v>
      </c>
    </row>
    <row r="1431" spans="1:9">
      <c r="A1431">
        <v>1430</v>
      </c>
      <c r="B1431" s="2">
        <v>1430</v>
      </c>
      <c r="C1431" s="2">
        <f t="shared" si="86"/>
        <v>2307</v>
      </c>
      <c r="D1431" s="3">
        <v>1430</v>
      </c>
      <c r="E1431" s="3">
        <f t="shared" si="87"/>
        <v>3465</v>
      </c>
      <c r="F1431" s="51">
        <v>1430</v>
      </c>
      <c r="G1431" s="51">
        <f t="shared" si="88"/>
        <v>4623</v>
      </c>
      <c r="H1431" s="52">
        <v>1430</v>
      </c>
      <c r="I1431" s="52">
        <f t="shared" si="89"/>
        <v>5781</v>
      </c>
    </row>
    <row r="1432" spans="1:9">
      <c r="A1432">
        <v>1431</v>
      </c>
      <c r="B1432" s="2">
        <v>1431</v>
      </c>
      <c r="C1432" s="2">
        <f t="shared" si="86"/>
        <v>2308</v>
      </c>
      <c r="D1432" s="3">
        <v>1431</v>
      </c>
      <c r="E1432" s="3">
        <f t="shared" si="87"/>
        <v>3466</v>
      </c>
      <c r="F1432" s="51">
        <v>1431</v>
      </c>
      <c r="G1432" s="51">
        <f t="shared" si="88"/>
        <v>4624</v>
      </c>
      <c r="H1432" s="52">
        <v>1431</v>
      </c>
      <c r="I1432" s="52">
        <f t="shared" si="89"/>
        <v>5782</v>
      </c>
    </row>
    <row r="1433" spans="1:9">
      <c r="A1433">
        <v>1432</v>
      </c>
      <c r="B1433" s="2">
        <v>1432</v>
      </c>
      <c r="C1433" s="2">
        <f t="shared" si="86"/>
        <v>2309</v>
      </c>
      <c r="D1433" s="3">
        <v>1432</v>
      </c>
      <c r="E1433" s="3">
        <f t="shared" si="87"/>
        <v>3467</v>
      </c>
      <c r="F1433" s="51">
        <v>1432</v>
      </c>
      <c r="G1433" s="51">
        <f t="shared" si="88"/>
        <v>4625</v>
      </c>
      <c r="H1433" s="52">
        <v>1432</v>
      </c>
      <c r="I1433" s="52">
        <f t="shared" si="89"/>
        <v>5783</v>
      </c>
    </row>
    <row r="1434" spans="1:9">
      <c r="A1434">
        <v>1433</v>
      </c>
      <c r="B1434" s="2">
        <v>1433</v>
      </c>
      <c r="C1434" s="2">
        <f t="shared" si="86"/>
        <v>2311</v>
      </c>
      <c r="D1434" s="3">
        <v>1433</v>
      </c>
      <c r="E1434" s="3">
        <f t="shared" si="87"/>
        <v>3469</v>
      </c>
      <c r="F1434" s="51">
        <v>1433</v>
      </c>
      <c r="G1434" s="51">
        <f t="shared" si="88"/>
        <v>4627</v>
      </c>
      <c r="H1434" s="52">
        <v>1433</v>
      </c>
      <c r="I1434" s="52">
        <f t="shared" si="89"/>
        <v>5785</v>
      </c>
    </row>
    <row r="1435" spans="1:9">
      <c r="A1435">
        <v>1434</v>
      </c>
      <c r="B1435" s="2">
        <v>1434</v>
      </c>
      <c r="C1435" s="2">
        <f t="shared" si="86"/>
        <v>2312</v>
      </c>
      <c r="D1435" s="3">
        <v>1434</v>
      </c>
      <c r="E1435" s="3">
        <f t="shared" si="87"/>
        <v>3470</v>
      </c>
      <c r="F1435" s="51">
        <v>1434</v>
      </c>
      <c r="G1435" s="51">
        <f t="shared" si="88"/>
        <v>4628</v>
      </c>
      <c r="H1435" s="52">
        <v>1434</v>
      </c>
      <c r="I1435" s="52">
        <f t="shared" si="89"/>
        <v>5786</v>
      </c>
    </row>
    <row r="1436" spans="1:9">
      <c r="A1436">
        <v>1435</v>
      </c>
      <c r="B1436" s="2">
        <v>1435</v>
      </c>
      <c r="C1436" s="2">
        <f t="shared" si="86"/>
        <v>2313</v>
      </c>
      <c r="D1436" s="3">
        <v>1435</v>
      </c>
      <c r="E1436" s="3">
        <f t="shared" si="87"/>
        <v>3471</v>
      </c>
      <c r="F1436" s="51">
        <v>1435</v>
      </c>
      <c r="G1436" s="51">
        <f t="shared" si="88"/>
        <v>4629</v>
      </c>
      <c r="H1436" s="52">
        <v>1435</v>
      </c>
      <c r="I1436" s="52">
        <f t="shared" si="89"/>
        <v>5787</v>
      </c>
    </row>
    <row r="1437" spans="1:9">
      <c r="A1437">
        <v>1436</v>
      </c>
      <c r="B1437" s="2">
        <v>1436</v>
      </c>
      <c r="C1437" s="2">
        <f t="shared" si="86"/>
        <v>2315</v>
      </c>
      <c r="D1437" s="3">
        <v>1436</v>
      </c>
      <c r="E1437" s="3">
        <f t="shared" si="87"/>
        <v>3473</v>
      </c>
      <c r="F1437" s="51">
        <v>1436</v>
      </c>
      <c r="G1437" s="51">
        <f t="shared" si="88"/>
        <v>4631</v>
      </c>
      <c r="H1437" s="52">
        <v>1436</v>
      </c>
      <c r="I1437" s="52">
        <f t="shared" si="89"/>
        <v>5789</v>
      </c>
    </row>
    <row r="1438" spans="1:9">
      <c r="A1438">
        <v>1437</v>
      </c>
      <c r="B1438" s="2">
        <v>1437</v>
      </c>
      <c r="C1438" s="2">
        <f t="shared" si="86"/>
        <v>2316</v>
      </c>
      <c r="D1438" s="3">
        <v>1437</v>
      </c>
      <c r="E1438" s="3">
        <f t="shared" si="87"/>
        <v>3474</v>
      </c>
      <c r="F1438" s="51">
        <v>1437</v>
      </c>
      <c r="G1438" s="51">
        <f t="shared" si="88"/>
        <v>4632</v>
      </c>
      <c r="H1438" s="52">
        <v>1437</v>
      </c>
      <c r="I1438" s="52">
        <f t="shared" si="89"/>
        <v>5790</v>
      </c>
    </row>
    <row r="1439" spans="1:9">
      <c r="A1439">
        <v>1438</v>
      </c>
      <c r="B1439" s="2">
        <v>1438</v>
      </c>
      <c r="C1439" s="2">
        <f t="shared" si="86"/>
        <v>2317</v>
      </c>
      <c r="D1439" s="3">
        <v>1438</v>
      </c>
      <c r="E1439" s="3">
        <f t="shared" si="87"/>
        <v>3475</v>
      </c>
      <c r="F1439" s="51">
        <v>1438</v>
      </c>
      <c r="G1439" s="51">
        <f t="shared" si="88"/>
        <v>4633</v>
      </c>
      <c r="H1439" s="52">
        <v>1438</v>
      </c>
      <c r="I1439" s="52">
        <f t="shared" si="89"/>
        <v>5791</v>
      </c>
    </row>
    <row r="1440" spans="1:9">
      <c r="A1440">
        <v>1439</v>
      </c>
      <c r="B1440" s="2">
        <v>1439</v>
      </c>
      <c r="C1440" s="2">
        <f t="shared" si="86"/>
        <v>2319</v>
      </c>
      <c r="D1440" s="3">
        <v>1439</v>
      </c>
      <c r="E1440" s="3">
        <f t="shared" si="87"/>
        <v>3477</v>
      </c>
      <c r="F1440" s="51">
        <v>1439</v>
      </c>
      <c r="G1440" s="51">
        <f t="shared" si="88"/>
        <v>4635</v>
      </c>
      <c r="H1440" s="52">
        <v>1439</v>
      </c>
      <c r="I1440" s="52">
        <f t="shared" si="89"/>
        <v>5793</v>
      </c>
    </row>
    <row r="1441" spans="1:9">
      <c r="A1441">
        <v>1440</v>
      </c>
      <c r="B1441" s="2">
        <v>1440</v>
      </c>
      <c r="C1441" s="2">
        <f t="shared" si="86"/>
        <v>2320</v>
      </c>
      <c r="D1441" s="3">
        <v>1440</v>
      </c>
      <c r="E1441" s="3">
        <f t="shared" si="87"/>
        <v>3478</v>
      </c>
      <c r="F1441" s="51">
        <v>1440</v>
      </c>
      <c r="G1441" s="51">
        <f t="shared" si="88"/>
        <v>4636</v>
      </c>
      <c r="H1441" s="52">
        <v>1440</v>
      </c>
      <c r="I1441" s="52">
        <f t="shared" si="89"/>
        <v>5794</v>
      </c>
    </row>
    <row r="1442" spans="1:9">
      <c r="A1442">
        <v>1441</v>
      </c>
      <c r="B1442" s="2">
        <v>1441</v>
      </c>
      <c r="C1442" s="2">
        <f t="shared" si="86"/>
        <v>2321</v>
      </c>
      <c r="D1442" s="3">
        <v>1441</v>
      </c>
      <c r="E1442" s="3">
        <f t="shared" si="87"/>
        <v>3479</v>
      </c>
      <c r="F1442" s="51">
        <v>1441</v>
      </c>
      <c r="G1442" s="51">
        <f t="shared" si="88"/>
        <v>4637</v>
      </c>
      <c r="H1442" s="52">
        <v>1441</v>
      </c>
      <c r="I1442" s="52">
        <f t="shared" si="89"/>
        <v>5795</v>
      </c>
    </row>
    <row r="1443" spans="1:9">
      <c r="A1443">
        <v>1442</v>
      </c>
      <c r="B1443" s="2">
        <v>1442</v>
      </c>
      <c r="C1443" s="2">
        <f t="shared" si="86"/>
        <v>2323</v>
      </c>
      <c r="D1443" s="3">
        <v>1442</v>
      </c>
      <c r="E1443" s="3">
        <f t="shared" si="87"/>
        <v>3481</v>
      </c>
      <c r="F1443" s="51">
        <v>1442</v>
      </c>
      <c r="G1443" s="51">
        <f t="shared" si="88"/>
        <v>4639</v>
      </c>
      <c r="H1443" s="52">
        <v>1442</v>
      </c>
      <c r="I1443" s="52">
        <f t="shared" si="89"/>
        <v>5797</v>
      </c>
    </row>
    <row r="1444" spans="1:9">
      <c r="A1444">
        <v>1443</v>
      </c>
      <c r="B1444" s="2">
        <v>1443</v>
      </c>
      <c r="C1444" s="2">
        <f t="shared" si="86"/>
        <v>2324</v>
      </c>
      <c r="D1444" s="3">
        <v>1443</v>
      </c>
      <c r="E1444" s="3">
        <f t="shared" si="87"/>
        <v>3482</v>
      </c>
      <c r="F1444" s="51">
        <v>1443</v>
      </c>
      <c r="G1444" s="51">
        <f t="shared" si="88"/>
        <v>4640</v>
      </c>
      <c r="H1444" s="52">
        <v>1443</v>
      </c>
      <c r="I1444" s="52">
        <f t="shared" si="89"/>
        <v>5798</v>
      </c>
    </row>
    <row r="1445" spans="1:9">
      <c r="A1445">
        <v>1444</v>
      </c>
      <c r="B1445" s="2">
        <v>1444</v>
      </c>
      <c r="C1445" s="2">
        <f t="shared" si="86"/>
        <v>2325</v>
      </c>
      <c r="D1445" s="3">
        <v>1444</v>
      </c>
      <c r="E1445" s="3">
        <f t="shared" si="87"/>
        <v>3483</v>
      </c>
      <c r="F1445" s="51">
        <v>1444</v>
      </c>
      <c r="G1445" s="51">
        <f t="shared" si="88"/>
        <v>4641</v>
      </c>
      <c r="H1445" s="52">
        <v>1444</v>
      </c>
      <c r="I1445" s="52">
        <f t="shared" si="89"/>
        <v>5799</v>
      </c>
    </row>
    <row r="1446" spans="1:9">
      <c r="A1446">
        <v>1445</v>
      </c>
      <c r="B1446" s="2">
        <v>1445</v>
      </c>
      <c r="C1446" s="2">
        <f t="shared" si="86"/>
        <v>2327</v>
      </c>
      <c r="D1446" s="3">
        <v>1445</v>
      </c>
      <c r="E1446" s="3">
        <f t="shared" si="87"/>
        <v>3485</v>
      </c>
      <c r="F1446" s="51">
        <v>1445</v>
      </c>
      <c r="G1446" s="51">
        <f t="shared" si="88"/>
        <v>4643</v>
      </c>
      <c r="H1446" s="52">
        <v>1445</v>
      </c>
      <c r="I1446" s="52">
        <f t="shared" si="89"/>
        <v>5801</v>
      </c>
    </row>
    <row r="1447" spans="1:9">
      <c r="A1447">
        <v>1446</v>
      </c>
      <c r="B1447" s="2">
        <v>1446</v>
      </c>
      <c r="C1447" s="2">
        <f t="shared" si="86"/>
        <v>2328</v>
      </c>
      <c r="D1447" s="3">
        <v>1446</v>
      </c>
      <c r="E1447" s="3">
        <f t="shared" si="87"/>
        <v>3486</v>
      </c>
      <c r="F1447" s="51">
        <v>1446</v>
      </c>
      <c r="G1447" s="51">
        <f t="shared" si="88"/>
        <v>4644</v>
      </c>
      <c r="H1447" s="52">
        <v>1446</v>
      </c>
      <c r="I1447" s="52">
        <f t="shared" si="89"/>
        <v>5802</v>
      </c>
    </row>
    <row r="1448" spans="1:9">
      <c r="A1448">
        <v>1447</v>
      </c>
      <c r="B1448" s="2">
        <v>1447</v>
      </c>
      <c r="C1448" s="2">
        <f t="shared" si="86"/>
        <v>2329</v>
      </c>
      <c r="D1448" s="3">
        <v>1447</v>
      </c>
      <c r="E1448" s="3">
        <f t="shared" si="87"/>
        <v>3487</v>
      </c>
      <c r="F1448" s="51">
        <v>1447</v>
      </c>
      <c r="G1448" s="51">
        <f t="shared" si="88"/>
        <v>4645</v>
      </c>
      <c r="H1448" s="52">
        <v>1447</v>
      </c>
      <c r="I1448" s="52">
        <f t="shared" si="89"/>
        <v>5803</v>
      </c>
    </row>
    <row r="1449" spans="1:9">
      <c r="A1449">
        <v>1448</v>
      </c>
      <c r="B1449" s="2">
        <v>1448</v>
      </c>
      <c r="C1449" s="2">
        <f t="shared" si="86"/>
        <v>2331</v>
      </c>
      <c r="D1449" s="3">
        <v>1448</v>
      </c>
      <c r="E1449" s="3">
        <f t="shared" si="87"/>
        <v>3489</v>
      </c>
      <c r="F1449" s="51">
        <v>1448</v>
      </c>
      <c r="G1449" s="51">
        <f t="shared" si="88"/>
        <v>4647</v>
      </c>
      <c r="H1449" s="52">
        <v>1448</v>
      </c>
      <c r="I1449" s="52">
        <f t="shared" si="89"/>
        <v>5805</v>
      </c>
    </row>
    <row r="1450" spans="1:9">
      <c r="A1450">
        <v>1449</v>
      </c>
      <c r="B1450" s="2">
        <v>1449</v>
      </c>
      <c r="C1450" s="2">
        <f t="shared" si="86"/>
        <v>2332</v>
      </c>
      <c r="D1450" s="3">
        <v>1449</v>
      </c>
      <c r="E1450" s="3">
        <f t="shared" si="87"/>
        <v>3490</v>
      </c>
      <c r="F1450" s="51">
        <v>1449</v>
      </c>
      <c r="G1450" s="51">
        <f t="shared" si="88"/>
        <v>4648</v>
      </c>
      <c r="H1450" s="52">
        <v>1449</v>
      </c>
      <c r="I1450" s="52">
        <f t="shared" si="89"/>
        <v>5806</v>
      </c>
    </row>
    <row r="1451" spans="1:9">
      <c r="A1451">
        <v>1450</v>
      </c>
      <c r="B1451" s="2">
        <v>1450</v>
      </c>
      <c r="C1451" s="2">
        <f t="shared" si="86"/>
        <v>2333</v>
      </c>
      <c r="D1451" s="3">
        <v>1450</v>
      </c>
      <c r="E1451" s="3">
        <f t="shared" si="87"/>
        <v>3491</v>
      </c>
      <c r="F1451" s="51">
        <v>1450</v>
      </c>
      <c r="G1451" s="51">
        <f t="shared" si="88"/>
        <v>4649</v>
      </c>
      <c r="H1451" s="52">
        <v>1450</v>
      </c>
      <c r="I1451" s="52">
        <f t="shared" si="89"/>
        <v>5807</v>
      </c>
    </row>
    <row r="1452" spans="1:9">
      <c r="A1452">
        <v>1451</v>
      </c>
      <c r="B1452" s="2">
        <v>1451</v>
      </c>
      <c r="C1452" s="2">
        <f t="shared" si="86"/>
        <v>2335</v>
      </c>
      <c r="D1452" s="3">
        <v>1451</v>
      </c>
      <c r="E1452" s="3">
        <f t="shared" si="87"/>
        <v>3493</v>
      </c>
      <c r="F1452" s="51">
        <v>1451</v>
      </c>
      <c r="G1452" s="51">
        <f t="shared" si="88"/>
        <v>4651</v>
      </c>
      <c r="H1452" s="52">
        <v>1451</v>
      </c>
      <c r="I1452" s="52">
        <f t="shared" si="89"/>
        <v>5809</v>
      </c>
    </row>
    <row r="1453" spans="1:9">
      <c r="A1453">
        <v>1452</v>
      </c>
      <c r="B1453" s="2">
        <v>1452</v>
      </c>
      <c r="C1453" s="2">
        <f t="shared" si="86"/>
        <v>2336</v>
      </c>
      <c r="D1453" s="3">
        <v>1452</v>
      </c>
      <c r="E1453" s="3">
        <f t="shared" si="87"/>
        <v>3494</v>
      </c>
      <c r="F1453" s="51">
        <v>1452</v>
      </c>
      <c r="G1453" s="51">
        <f t="shared" si="88"/>
        <v>4652</v>
      </c>
      <c r="H1453" s="52">
        <v>1452</v>
      </c>
      <c r="I1453" s="52">
        <f t="shared" si="89"/>
        <v>5810</v>
      </c>
    </row>
    <row r="1454" spans="1:9">
      <c r="A1454">
        <v>1453</v>
      </c>
      <c r="B1454" s="2">
        <v>1453</v>
      </c>
      <c r="C1454" s="2">
        <f t="shared" si="86"/>
        <v>2337</v>
      </c>
      <c r="D1454" s="3">
        <v>1453</v>
      </c>
      <c r="E1454" s="3">
        <f t="shared" si="87"/>
        <v>3495</v>
      </c>
      <c r="F1454" s="51">
        <v>1453</v>
      </c>
      <c r="G1454" s="51">
        <f t="shared" si="88"/>
        <v>4653</v>
      </c>
      <c r="H1454" s="52">
        <v>1453</v>
      </c>
      <c r="I1454" s="52">
        <f t="shared" si="89"/>
        <v>5811</v>
      </c>
    </row>
    <row r="1455" spans="1:9">
      <c r="A1455">
        <v>1454</v>
      </c>
      <c r="B1455" s="2">
        <v>1454</v>
      </c>
      <c r="C1455" s="2">
        <f t="shared" si="86"/>
        <v>2339</v>
      </c>
      <c r="D1455" s="3">
        <v>1454</v>
      </c>
      <c r="E1455" s="3">
        <f t="shared" si="87"/>
        <v>3497</v>
      </c>
      <c r="F1455" s="51">
        <v>1454</v>
      </c>
      <c r="G1455" s="51">
        <f t="shared" si="88"/>
        <v>4655</v>
      </c>
      <c r="H1455" s="52">
        <v>1454</v>
      </c>
      <c r="I1455" s="52">
        <f t="shared" si="89"/>
        <v>5813</v>
      </c>
    </row>
    <row r="1456" spans="1:9">
      <c r="A1456">
        <v>1455</v>
      </c>
      <c r="B1456" s="2">
        <v>1455</v>
      </c>
      <c r="C1456" s="2">
        <f t="shared" si="86"/>
        <v>2340</v>
      </c>
      <c r="D1456" s="3">
        <v>1455</v>
      </c>
      <c r="E1456" s="3">
        <f t="shared" si="87"/>
        <v>3498</v>
      </c>
      <c r="F1456" s="51">
        <v>1455</v>
      </c>
      <c r="G1456" s="51">
        <f t="shared" si="88"/>
        <v>4656</v>
      </c>
      <c r="H1456" s="52">
        <v>1455</v>
      </c>
      <c r="I1456" s="52">
        <f t="shared" si="89"/>
        <v>5814</v>
      </c>
    </row>
    <row r="1457" spans="1:9">
      <c r="A1457">
        <v>1456</v>
      </c>
      <c r="B1457" s="2">
        <v>1456</v>
      </c>
      <c r="C1457" s="2">
        <f t="shared" si="86"/>
        <v>2341</v>
      </c>
      <c r="D1457" s="3">
        <v>1456</v>
      </c>
      <c r="E1457" s="3">
        <f t="shared" si="87"/>
        <v>3499</v>
      </c>
      <c r="F1457" s="51">
        <v>1456</v>
      </c>
      <c r="G1457" s="51">
        <f t="shared" si="88"/>
        <v>4657</v>
      </c>
      <c r="H1457" s="52">
        <v>1456</v>
      </c>
      <c r="I1457" s="52">
        <f t="shared" si="89"/>
        <v>5815</v>
      </c>
    </row>
    <row r="1458" spans="1:9">
      <c r="A1458">
        <v>1457</v>
      </c>
      <c r="B1458" s="2">
        <v>1457</v>
      </c>
      <c r="C1458" s="2">
        <f t="shared" si="86"/>
        <v>2343</v>
      </c>
      <c r="D1458" s="3">
        <v>1457</v>
      </c>
      <c r="E1458" s="3">
        <f t="shared" si="87"/>
        <v>3501</v>
      </c>
      <c r="F1458" s="51">
        <v>1457</v>
      </c>
      <c r="G1458" s="51">
        <f t="shared" si="88"/>
        <v>4659</v>
      </c>
      <c r="H1458" s="52">
        <v>1457</v>
      </c>
      <c r="I1458" s="52">
        <f t="shared" si="89"/>
        <v>5817</v>
      </c>
    </row>
    <row r="1459" spans="1:9">
      <c r="A1459">
        <v>1458</v>
      </c>
      <c r="B1459" s="2">
        <v>1458</v>
      </c>
      <c r="C1459" s="2">
        <f t="shared" si="86"/>
        <v>2344</v>
      </c>
      <c r="D1459" s="3">
        <v>1458</v>
      </c>
      <c r="E1459" s="3">
        <f t="shared" si="87"/>
        <v>3502</v>
      </c>
      <c r="F1459" s="51">
        <v>1458</v>
      </c>
      <c r="G1459" s="51">
        <f t="shared" si="88"/>
        <v>4660</v>
      </c>
      <c r="H1459" s="52">
        <v>1458</v>
      </c>
      <c r="I1459" s="52">
        <f t="shared" si="89"/>
        <v>5818</v>
      </c>
    </row>
    <row r="1460" spans="1:9">
      <c r="A1460">
        <v>1459</v>
      </c>
      <c r="B1460" s="2">
        <v>1459</v>
      </c>
      <c r="C1460" s="2">
        <f t="shared" si="86"/>
        <v>2345</v>
      </c>
      <c r="D1460" s="3">
        <v>1459</v>
      </c>
      <c r="E1460" s="3">
        <f t="shared" si="87"/>
        <v>3503</v>
      </c>
      <c r="F1460" s="51">
        <v>1459</v>
      </c>
      <c r="G1460" s="51">
        <f t="shared" si="88"/>
        <v>4661</v>
      </c>
      <c r="H1460" s="52">
        <v>1459</v>
      </c>
      <c r="I1460" s="52">
        <f t="shared" si="89"/>
        <v>5819</v>
      </c>
    </row>
    <row r="1461" spans="1:9">
      <c r="A1461">
        <v>1460</v>
      </c>
      <c r="B1461" s="2">
        <v>1460</v>
      </c>
      <c r="C1461" s="2">
        <f t="shared" si="86"/>
        <v>2347</v>
      </c>
      <c r="D1461" s="3">
        <v>1460</v>
      </c>
      <c r="E1461" s="3">
        <f t="shared" si="87"/>
        <v>3505</v>
      </c>
      <c r="F1461" s="51">
        <v>1460</v>
      </c>
      <c r="G1461" s="51">
        <f t="shared" si="88"/>
        <v>4663</v>
      </c>
      <c r="H1461" s="52">
        <v>1460</v>
      </c>
      <c r="I1461" s="52">
        <f t="shared" si="89"/>
        <v>5821</v>
      </c>
    </row>
    <row r="1462" spans="1:9">
      <c r="A1462">
        <v>1461</v>
      </c>
      <c r="B1462" s="2">
        <v>1461</v>
      </c>
      <c r="C1462" s="2">
        <f t="shared" si="86"/>
        <v>2348</v>
      </c>
      <c r="D1462" s="3">
        <v>1461</v>
      </c>
      <c r="E1462" s="3">
        <f t="shared" si="87"/>
        <v>3506</v>
      </c>
      <c r="F1462" s="51">
        <v>1461</v>
      </c>
      <c r="G1462" s="51">
        <f t="shared" si="88"/>
        <v>4664</v>
      </c>
      <c r="H1462" s="52">
        <v>1461</v>
      </c>
      <c r="I1462" s="52">
        <f t="shared" si="89"/>
        <v>5822</v>
      </c>
    </row>
    <row r="1463" spans="1:9">
      <c r="A1463">
        <v>1462</v>
      </c>
      <c r="B1463" s="2">
        <v>1462</v>
      </c>
      <c r="C1463" s="2">
        <f t="shared" si="86"/>
        <v>2349</v>
      </c>
      <c r="D1463" s="3">
        <v>1462</v>
      </c>
      <c r="E1463" s="3">
        <f t="shared" si="87"/>
        <v>3507</v>
      </c>
      <c r="F1463" s="51">
        <v>1462</v>
      </c>
      <c r="G1463" s="51">
        <f t="shared" si="88"/>
        <v>4665</v>
      </c>
      <c r="H1463" s="52">
        <v>1462</v>
      </c>
      <c r="I1463" s="52">
        <f t="shared" si="89"/>
        <v>5823</v>
      </c>
    </row>
    <row r="1464" spans="1:9">
      <c r="A1464">
        <v>1463</v>
      </c>
      <c r="B1464" s="2">
        <v>1463</v>
      </c>
      <c r="C1464" s="2">
        <f t="shared" si="86"/>
        <v>2351</v>
      </c>
      <c r="D1464" s="3">
        <v>1463</v>
      </c>
      <c r="E1464" s="3">
        <f t="shared" si="87"/>
        <v>3509</v>
      </c>
      <c r="F1464" s="51">
        <v>1463</v>
      </c>
      <c r="G1464" s="51">
        <f t="shared" si="88"/>
        <v>4667</v>
      </c>
      <c r="H1464" s="52">
        <v>1463</v>
      </c>
      <c r="I1464" s="52">
        <f t="shared" si="89"/>
        <v>5825</v>
      </c>
    </row>
    <row r="1465" spans="1:9">
      <c r="A1465">
        <v>1464</v>
      </c>
      <c r="B1465" s="2">
        <v>1464</v>
      </c>
      <c r="C1465" s="2">
        <f t="shared" si="86"/>
        <v>2352</v>
      </c>
      <c r="D1465" s="3">
        <v>1464</v>
      </c>
      <c r="E1465" s="3">
        <f t="shared" si="87"/>
        <v>3510</v>
      </c>
      <c r="F1465" s="51">
        <v>1464</v>
      </c>
      <c r="G1465" s="51">
        <f t="shared" si="88"/>
        <v>4668</v>
      </c>
      <c r="H1465" s="52">
        <v>1464</v>
      </c>
      <c r="I1465" s="52">
        <f t="shared" si="89"/>
        <v>5826</v>
      </c>
    </row>
    <row r="1466" spans="1:9">
      <c r="A1466">
        <v>1465</v>
      </c>
      <c r="B1466" s="2">
        <v>1465</v>
      </c>
      <c r="C1466" s="2">
        <f t="shared" si="86"/>
        <v>2353</v>
      </c>
      <c r="D1466" s="3">
        <v>1465</v>
      </c>
      <c r="E1466" s="3">
        <f t="shared" si="87"/>
        <v>3511</v>
      </c>
      <c r="F1466" s="51">
        <v>1465</v>
      </c>
      <c r="G1466" s="51">
        <f t="shared" si="88"/>
        <v>4669</v>
      </c>
      <c r="H1466" s="52">
        <v>1465</v>
      </c>
      <c r="I1466" s="52">
        <f t="shared" si="89"/>
        <v>5827</v>
      </c>
    </row>
    <row r="1467" spans="1:9">
      <c r="A1467">
        <v>1466</v>
      </c>
      <c r="B1467" s="2">
        <v>1466</v>
      </c>
      <c r="C1467" s="2">
        <f t="shared" si="86"/>
        <v>2355</v>
      </c>
      <c r="D1467" s="3">
        <v>1466</v>
      </c>
      <c r="E1467" s="3">
        <f t="shared" si="87"/>
        <v>3513</v>
      </c>
      <c r="F1467" s="51">
        <v>1466</v>
      </c>
      <c r="G1467" s="51">
        <f t="shared" si="88"/>
        <v>4671</v>
      </c>
      <c r="H1467" s="52">
        <v>1466</v>
      </c>
      <c r="I1467" s="52">
        <f t="shared" si="89"/>
        <v>5829</v>
      </c>
    </row>
    <row r="1468" spans="1:9">
      <c r="A1468">
        <v>1467</v>
      </c>
      <c r="B1468" s="2">
        <v>1467</v>
      </c>
      <c r="C1468" s="2">
        <f t="shared" ref="C1468:C1531" si="90">INT((B1468-B$122)*1.3333333)+C$122</f>
        <v>2356</v>
      </c>
      <c r="D1468" s="3">
        <v>1467</v>
      </c>
      <c r="E1468" s="3">
        <f t="shared" si="87"/>
        <v>3514</v>
      </c>
      <c r="F1468" s="51">
        <v>1467</v>
      </c>
      <c r="G1468" s="51">
        <f t="shared" si="88"/>
        <v>4672</v>
      </c>
      <c r="H1468" s="52">
        <v>1467</v>
      </c>
      <c r="I1468" s="52">
        <f t="shared" si="89"/>
        <v>5830</v>
      </c>
    </row>
    <row r="1469" spans="1:9">
      <c r="A1469">
        <v>1468</v>
      </c>
      <c r="B1469" s="2">
        <v>1468</v>
      </c>
      <c r="C1469" s="2">
        <f t="shared" si="90"/>
        <v>2357</v>
      </c>
      <c r="D1469" s="3">
        <v>1468</v>
      </c>
      <c r="E1469" s="3">
        <f t="shared" si="87"/>
        <v>3515</v>
      </c>
      <c r="F1469" s="51">
        <v>1468</v>
      </c>
      <c r="G1469" s="51">
        <f t="shared" si="88"/>
        <v>4673</v>
      </c>
      <c r="H1469" s="52">
        <v>1468</v>
      </c>
      <c r="I1469" s="52">
        <f t="shared" si="89"/>
        <v>5831</v>
      </c>
    </row>
    <row r="1470" spans="1:9">
      <c r="A1470">
        <v>1469</v>
      </c>
      <c r="B1470" s="2">
        <v>1469</v>
      </c>
      <c r="C1470" s="2">
        <f t="shared" si="90"/>
        <v>2359</v>
      </c>
      <c r="D1470" s="3">
        <v>1469</v>
      </c>
      <c r="E1470" s="3">
        <f t="shared" si="87"/>
        <v>3517</v>
      </c>
      <c r="F1470" s="51">
        <v>1469</v>
      </c>
      <c r="G1470" s="51">
        <f t="shared" si="88"/>
        <v>4675</v>
      </c>
      <c r="H1470" s="52">
        <v>1469</v>
      </c>
      <c r="I1470" s="52">
        <f t="shared" si="89"/>
        <v>5833</v>
      </c>
    </row>
    <row r="1471" spans="1:9">
      <c r="A1471">
        <v>1470</v>
      </c>
      <c r="B1471" s="2">
        <v>1470</v>
      </c>
      <c r="C1471" s="2">
        <f t="shared" si="90"/>
        <v>2360</v>
      </c>
      <c r="D1471" s="3">
        <v>1470</v>
      </c>
      <c r="E1471" s="3">
        <f t="shared" si="87"/>
        <v>3518</v>
      </c>
      <c r="F1471" s="51">
        <v>1470</v>
      </c>
      <c r="G1471" s="51">
        <f t="shared" si="88"/>
        <v>4676</v>
      </c>
      <c r="H1471" s="52">
        <v>1470</v>
      </c>
      <c r="I1471" s="52">
        <f t="shared" si="89"/>
        <v>5834</v>
      </c>
    </row>
    <row r="1472" spans="1:9">
      <c r="A1472">
        <v>1471</v>
      </c>
      <c r="B1472" s="2">
        <v>1471</v>
      </c>
      <c r="C1472" s="2">
        <f t="shared" si="90"/>
        <v>2361</v>
      </c>
      <c r="D1472" s="3">
        <v>1471</v>
      </c>
      <c r="E1472" s="3">
        <f t="shared" si="87"/>
        <v>3519</v>
      </c>
      <c r="F1472" s="51">
        <v>1471</v>
      </c>
      <c r="G1472" s="51">
        <f t="shared" si="88"/>
        <v>4677</v>
      </c>
      <c r="H1472" s="52">
        <v>1471</v>
      </c>
      <c r="I1472" s="52">
        <f t="shared" si="89"/>
        <v>5835</v>
      </c>
    </row>
    <row r="1473" spans="1:9">
      <c r="A1473">
        <v>1472</v>
      </c>
      <c r="B1473" s="2">
        <v>1472</v>
      </c>
      <c r="C1473" s="2">
        <f t="shared" si="90"/>
        <v>2363</v>
      </c>
      <c r="D1473" s="3">
        <v>1472</v>
      </c>
      <c r="E1473" s="3">
        <f t="shared" si="87"/>
        <v>3521</v>
      </c>
      <c r="F1473" s="51">
        <v>1472</v>
      </c>
      <c r="G1473" s="51">
        <f t="shared" si="88"/>
        <v>4679</v>
      </c>
      <c r="H1473" s="52">
        <v>1472</v>
      </c>
      <c r="I1473" s="52">
        <f t="shared" si="89"/>
        <v>5837</v>
      </c>
    </row>
    <row r="1474" spans="1:9">
      <c r="A1474">
        <v>1473</v>
      </c>
      <c r="B1474" s="2">
        <v>1473</v>
      </c>
      <c r="C1474" s="2">
        <f t="shared" si="90"/>
        <v>2364</v>
      </c>
      <c r="D1474" s="3">
        <v>1473</v>
      </c>
      <c r="E1474" s="3">
        <f t="shared" si="87"/>
        <v>3522</v>
      </c>
      <c r="F1474" s="51">
        <v>1473</v>
      </c>
      <c r="G1474" s="51">
        <f t="shared" si="88"/>
        <v>4680</v>
      </c>
      <c r="H1474" s="52">
        <v>1473</v>
      </c>
      <c r="I1474" s="52">
        <f t="shared" si="89"/>
        <v>5838</v>
      </c>
    </row>
    <row r="1475" spans="1:9">
      <c r="A1475">
        <v>1474</v>
      </c>
      <c r="B1475" s="2">
        <v>1474</v>
      </c>
      <c r="C1475" s="2">
        <f t="shared" si="90"/>
        <v>2365</v>
      </c>
      <c r="D1475" s="3">
        <v>1474</v>
      </c>
      <c r="E1475" s="3">
        <f t="shared" si="87"/>
        <v>3523</v>
      </c>
      <c r="F1475" s="51">
        <v>1474</v>
      </c>
      <c r="G1475" s="51">
        <f t="shared" si="88"/>
        <v>4681</v>
      </c>
      <c r="H1475" s="52">
        <v>1474</v>
      </c>
      <c r="I1475" s="52">
        <f t="shared" si="89"/>
        <v>5839</v>
      </c>
    </row>
    <row r="1476" spans="1:9">
      <c r="A1476">
        <v>1475</v>
      </c>
      <c r="B1476" s="2">
        <v>1475</v>
      </c>
      <c r="C1476" s="2">
        <f t="shared" si="90"/>
        <v>2367</v>
      </c>
      <c r="D1476" s="3">
        <v>1475</v>
      </c>
      <c r="E1476" s="3">
        <f t="shared" ref="E1476:E1539" si="91">INT((D1476-D$2)*1.3333333)+E$2</f>
        <v>3525</v>
      </c>
      <c r="F1476" s="51">
        <v>1475</v>
      </c>
      <c r="G1476" s="51">
        <f t="shared" ref="G1476:G1539" si="92">INT((F1476-F$2)*1.3333333)+G$2</f>
        <v>4683</v>
      </c>
      <c r="H1476" s="52">
        <v>1475</v>
      </c>
      <c r="I1476" s="52">
        <f t="shared" ref="I1476:I1539" si="93">INT((H1476-H$2)*1.3333333)+I$2</f>
        <v>5841</v>
      </c>
    </row>
    <row r="1477" spans="1:9">
      <c r="A1477">
        <v>1476</v>
      </c>
      <c r="B1477" s="2">
        <v>1476</v>
      </c>
      <c r="C1477" s="2">
        <f t="shared" si="90"/>
        <v>2368</v>
      </c>
      <c r="D1477" s="3">
        <v>1476</v>
      </c>
      <c r="E1477" s="3">
        <f t="shared" si="91"/>
        <v>3526</v>
      </c>
      <c r="F1477" s="51">
        <v>1476</v>
      </c>
      <c r="G1477" s="51">
        <f t="shared" si="92"/>
        <v>4684</v>
      </c>
      <c r="H1477" s="52">
        <v>1476</v>
      </c>
      <c r="I1477" s="52">
        <f t="shared" si="93"/>
        <v>5842</v>
      </c>
    </row>
    <row r="1478" spans="1:9">
      <c r="A1478">
        <v>1477</v>
      </c>
      <c r="B1478" s="2">
        <v>1477</v>
      </c>
      <c r="C1478" s="2">
        <f t="shared" si="90"/>
        <v>2369</v>
      </c>
      <c r="D1478" s="3">
        <v>1477</v>
      </c>
      <c r="E1478" s="3">
        <f t="shared" si="91"/>
        <v>3527</v>
      </c>
      <c r="F1478" s="51">
        <v>1477</v>
      </c>
      <c r="G1478" s="51">
        <f t="shared" si="92"/>
        <v>4685</v>
      </c>
      <c r="H1478" s="52">
        <v>1477</v>
      </c>
      <c r="I1478" s="52">
        <f t="shared" si="93"/>
        <v>5843</v>
      </c>
    </row>
    <row r="1479" spans="1:9">
      <c r="A1479">
        <v>1478</v>
      </c>
      <c r="B1479" s="2">
        <v>1478</v>
      </c>
      <c r="C1479" s="2">
        <f t="shared" si="90"/>
        <v>2371</v>
      </c>
      <c r="D1479" s="3">
        <v>1478</v>
      </c>
      <c r="E1479" s="3">
        <f t="shared" si="91"/>
        <v>3529</v>
      </c>
      <c r="F1479" s="51">
        <v>1478</v>
      </c>
      <c r="G1479" s="51">
        <f t="shared" si="92"/>
        <v>4687</v>
      </c>
      <c r="H1479" s="52">
        <v>1478</v>
      </c>
      <c r="I1479" s="52">
        <f t="shared" si="93"/>
        <v>5845</v>
      </c>
    </row>
    <row r="1480" spans="1:9">
      <c r="A1480">
        <v>1479</v>
      </c>
      <c r="B1480" s="2">
        <v>1479</v>
      </c>
      <c r="C1480" s="2">
        <f t="shared" si="90"/>
        <v>2372</v>
      </c>
      <c r="D1480" s="3">
        <v>1479</v>
      </c>
      <c r="E1480" s="3">
        <f t="shared" si="91"/>
        <v>3530</v>
      </c>
      <c r="F1480" s="51">
        <v>1479</v>
      </c>
      <c r="G1480" s="51">
        <f t="shared" si="92"/>
        <v>4688</v>
      </c>
      <c r="H1480" s="52">
        <v>1479</v>
      </c>
      <c r="I1480" s="52">
        <f t="shared" si="93"/>
        <v>5846</v>
      </c>
    </row>
    <row r="1481" spans="1:9">
      <c r="A1481">
        <v>1480</v>
      </c>
      <c r="B1481" s="2">
        <v>1480</v>
      </c>
      <c r="C1481" s="2">
        <f t="shared" si="90"/>
        <v>2373</v>
      </c>
      <c r="D1481" s="3">
        <v>1480</v>
      </c>
      <c r="E1481" s="3">
        <f t="shared" si="91"/>
        <v>3531</v>
      </c>
      <c r="F1481" s="51">
        <v>1480</v>
      </c>
      <c r="G1481" s="51">
        <f t="shared" si="92"/>
        <v>4689</v>
      </c>
      <c r="H1481" s="52">
        <v>1480</v>
      </c>
      <c r="I1481" s="52">
        <f t="shared" si="93"/>
        <v>5847</v>
      </c>
    </row>
    <row r="1482" spans="1:9">
      <c r="A1482">
        <v>1481</v>
      </c>
      <c r="B1482" s="2">
        <v>1481</v>
      </c>
      <c r="C1482" s="2">
        <f t="shared" si="90"/>
        <v>2375</v>
      </c>
      <c r="D1482" s="3">
        <v>1481</v>
      </c>
      <c r="E1482" s="3">
        <f t="shared" si="91"/>
        <v>3533</v>
      </c>
      <c r="F1482" s="51">
        <v>1481</v>
      </c>
      <c r="G1482" s="51">
        <f t="shared" si="92"/>
        <v>4691</v>
      </c>
      <c r="H1482" s="52">
        <v>1481</v>
      </c>
      <c r="I1482" s="52">
        <f t="shared" si="93"/>
        <v>5849</v>
      </c>
    </row>
    <row r="1483" spans="1:9">
      <c r="A1483">
        <v>1482</v>
      </c>
      <c r="B1483" s="2">
        <v>1482</v>
      </c>
      <c r="C1483" s="2">
        <f t="shared" si="90"/>
        <v>2376</v>
      </c>
      <c r="D1483" s="3">
        <v>1482</v>
      </c>
      <c r="E1483" s="3">
        <f t="shared" si="91"/>
        <v>3534</v>
      </c>
      <c r="F1483" s="51">
        <v>1482</v>
      </c>
      <c r="G1483" s="51">
        <f t="shared" si="92"/>
        <v>4692</v>
      </c>
      <c r="H1483" s="52">
        <v>1482</v>
      </c>
      <c r="I1483" s="52">
        <f t="shared" si="93"/>
        <v>5850</v>
      </c>
    </row>
    <row r="1484" spans="1:9">
      <c r="A1484">
        <v>1483</v>
      </c>
      <c r="B1484" s="2">
        <v>1483</v>
      </c>
      <c r="C1484" s="2">
        <f t="shared" si="90"/>
        <v>2377</v>
      </c>
      <c r="D1484" s="3">
        <v>1483</v>
      </c>
      <c r="E1484" s="3">
        <f t="shared" si="91"/>
        <v>3535</v>
      </c>
      <c r="F1484" s="51">
        <v>1483</v>
      </c>
      <c r="G1484" s="51">
        <f t="shared" si="92"/>
        <v>4693</v>
      </c>
      <c r="H1484" s="52">
        <v>1483</v>
      </c>
      <c r="I1484" s="52">
        <f t="shared" si="93"/>
        <v>5851</v>
      </c>
    </row>
    <row r="1485" spans="1:9">
      <c r="A1485">
        <v>1484</v>
      </c>
      <c r="B1485" s="2">
        <v>1484</v>
      </c>
      <c r="C1485" s="2">
        <f t="shared" si="90"/>
        <v>2379</v>
      </c>
      <c r="D1485" s="3">
        <v>1484</v>
      </c>
      <c r="E1485" s="3">
        <f t="shared" si="91"/>
        <v>3537</v>
      </c>
      <c r="F1485" s="51">
        <v>1484</v>
      </c>
      <c r="G1485" s="51">
        <f t="shared" si="92"/>
        <v>4695</v>
      </c>
      <c r="H1485" s="52">
        <v>1484</v>
      </c>
      <c r="I1485" s="52">
        <f t="shared" si="93"/>
        <v>5853</v>
      </c>
    </row>
    <row r="1486" spans="1:9">
      <c r="A1486">
        <v>1485</v>
      </c>
      <c r="B1486" s="2">
        <v>1485</v>
      </c>
      <c r="C1486" s="2">
        <f t="shared" si="90"/>
        <v>2380</v>
      </c>
      <c r="D1486" s="3">
        <v>1485</v>
      </c>
      <c r="E1486" s="3">
        <f t="shared" si="91"/>
        <v>3538</v>
      </c>
      <c r="F1486" s="51">
        <v>1485</v>
      </c>
      <c r="G1486" s="51">
        <f t="shared" si="92"/>
        <v>4696</v>
      </c>
      <c r="H1486" s="52">
        <v>1485</v>
      </c>
      <c r="I1486" s="52">
        <f t="shared" si="93"/>
        <v>5854</v>
      </c>
    </row>
    <row r="1487" spans="1:9">
      <c r="A1487">
        <v>1486</v>
      </c>
      <c r="B1487" s="2">
        <v>1486</v>
      </c>
      <c r="C1487" s="2">
        <f t="shared" si="90"/>
        <v>2381</v>
      </c>
      <c r="D1487" s="3">
        <v>1486</v>
      </c>
      <c r="E1487" s="3">
        <f t="shared" si="91"/>
        <v>3539</v>
      </c>
      <c r="F1487" s="51">
        <v>1486</v>
      </c>
      <c r="G1487" s="51">
        <f t="shared" si="92"/>
        <v>4697</v>
      </c>
      <c r="H1487" s="52">
        <v>1486</v>
      </c>
      <c r="I1487" s="52">
        <f t="shared" si="93"/>
        <v>5855</v>
      </c>
    </row>
    <row r="1488" spans="1:9">
      <c r="A1488">
        <v>1487</v>
      </c>
      <c r="B1488" s="2">
        <v>1487</v>
      </c>
      <c r="C1488" s="2">
        <f t="shared" si="90"/>
        <v>2383</v>
      </c>
      <c r="D1488" s="3">
        <v>1487</v>
      </c>
      <c r="E1488" s="3">
        <f t="shared" si="91"/>
        <v>3541</v>
      </c>
      <c r="F1488" s="51">
        <v>1487</v>
      </c>
      <c r="G1488" s="51">
        <f t="shared" si="92"/>
        <v>4699</v>
      </c>
      <c r="H1488" s="52">
        <v>1487</v>
      </c>
      <c r="I1488" s="52">
        <f t="shared" si="93"/>
        <v>5857</v>
      </c>
    </row>
    <row r="1489" spans="1:9">
      <c r="A1489">
        <v>1488</v>
      </c>
      <c r="B1489" s="2">
        <v>1488</v>
      </c>
      <c r="C1489" s="2">
        <f t="shared" si="90"/>
        <v>2384</v>
      </c>
      <c r="D1489" s="3">
        <v>1488</v>
      </c>
      <c r="E1489" s="3">
        <f t="shared" si="91"/>
        <v>3542</v>
      </c>
      <c r="F1489" s="51">
        <v>1488</v>
      </c>
      <c r="G1489" s="51">
        <f t="shared" si="92"/>
        <v>4700</v>
      </c>
      <c r="H1489" s="52">
        <v>1488</v>
      </c>
      <c r="I1489" s="52">
        <f t="shared" si="93"/>
        <v>5858</v>
      </c>
    </row>
    <row r="1490" spans="1:9">
      <c r="A1490">
        <v>1489</v>
      </c>
      <c r="B1490" s="2">
        <v>1489</v>
      </c>
      <c r="C1490" s="2">
        <f t="shared" si="90"/>
        <v>2385</v>
      </c>
      <c r="D1490" s="3">
        <v>1489</v>
      </c>
      <c r="E1490" s="3">
        <f t="shared" si="91"/>
        <v>3543</v>
      </c>
      <c r="F1490" s="51">
        <v>1489</v>
      </c>
      <c r="G1490" s="51">
        <f t="shared" si="92"/>
        <v>4701</v>
      </c>
      <c r="H1490" s="52">
        <v>1489</v>
      </c>
      <c r="I1490" s="52">
        <f t="shared" si="93"/>
        <v>5859</v>
      </c>
    </row>
    <row r="1491" spans="1:9">
      <c r="A1491">
        <v>1490</v>
      </c>
      <c r="B1491" s="2">
        <v>1490</v>
      </c>
      <c r="C1491" s="2">
        <f t="shared" si="90"/>
        <v>2387</v>
      </c>
      <c r="D1491" s="3">
        <v>1490</v>
      </c>
      <c r="E1491" s="3">
        <f t="shared" si="91"/>
        <v>3545</v>
      </c>
      <c r="F1491" s="51">
        <v>1490</v>
      </c>
      <c r="G1491" s="51">
        <f t="shared" si="92"/>
        <v>4703</v>
      </c>
      <c r="H1491" s="52">
        <v>1490</v>
      </c>
      <c r="I1491" s="52">
        <f t="shared" si="93"/>
        <v>5861</v>
      </c>
    </row>
    <row r="1492" spans="1:9">
      <c r="A1492">
        <v>1491</v>
      </c>
      <c r="B1492" s="2">
        <v>1491</v>
      </c>
      <c r="C1492" s="2">
        <f t="shared" si="90"/>
        <v>2388</v>
      </c>
      <c r="D1492" s="3">
        <v>1491</v>
      </c>
      <c r="E1492" s="3">
        <f t="shared" si="91"/>
        <v>3546</v>
      </c>
      <c r="F1492" s="51">
        <v>1491</v>
      </c>
      <c r="G1492" s="51">
        <f t="shared" si="92"/>
        <v>4704</v>
      </c>
      <c r="H1492" s="52">
        <v>1491</v>
      </c>
      <c r="I1492" s="52">
        <f t="shared" si="93"/>
        <v>5862</v>
      </c>
    </row>
    <row r="1493" spans="1:9">
      <c r="A1493">
        <v>1492</v>
      </c>
      <c r="B1493" s="2">
        <v>1492</v>
      </c>
      <c r="C1493" s="2">
        <f t="shared" si="90"/>
        <v>2389</v>
      </c>
      <c r="D1493" s="3">
        <v>1492</v>
      </c>
      <c r="E1493" s="3">
        <f t="shared" si="91"/>
        <v>3547</v>
      </c>
      <c r="F1493" s="51">
        <v>1492</v>
      </c>
      <c r="G1493" s="51">
        <f t="shared" si="92"/>
        <v>4705</v>
      </c>
      <c r="H1493" s="52">
        <v>1492</v>
      </c>
      <c r="I1493" s="52">
        <f t="shared" si="93"/>
        <v>5863</v>
      </c>
    </row>
    <row r="1494" spans="1:9">
      <c r="A1494">
        <v>1493</v>
      </c>
      <c r="B1494" s="2">
        <v>1493</v>
      </c>
      <c r="C1494" s="2">
        <f t="shared" si="90"/>
        <v>2391</v>
      </c>
      <c r="D1494" s="3">
        <v>1493</v>
      </c>
      <c r="E1494" s="3">
        <f t="shared" si="91"/>
        <v>3549</v>
      </c>
      <c r="F1494" s="51">
        <v>1493</v>
      </c>
      <c r="G1494" s="51">
        <f t="shared" si="92"/>
        <v>4707</v>
      </c>
      <c r="H1494" s="52">
        <v>1493</v>
      </c>
      <c r="I1494" s="52">
        <f t="shared" si="93"/>
        <v>5865</v>
      </c>
    </row>
    <row r="1495" spans="1:9">
      <c r="A1495">
        <v>1494</v>
      </c>
      <c r="B1495" s="2">
        <v>1494</v>
      </c>
      <c r="C1495" s="2">
        <f t="shared" si="90"/>
        <v>2392</v>
      </c>
      <c r="D1495" s="3">
        <v>1494</v>
      </c>
      <c r="E1495" s="3">
        <f t="shared" si="91"/>
        <v>3550</v>
      </c>
      <c r="F1495" s="51">
        <v>1494</v>
      </c>
      <c r="G1495" s="51">
        <f t="shared" si="92"/>
        <v>4708</v>
      </c>
      <c r="H1495" s="52">
        <v>1494</v>
      </c>
      <c r="I1495" s="52">
        <f t="shared" si="93"/>
        <v>5866</v>
      </c>
    </row>
    <row r="1496" spans="1:9">
      <c r="A1496">
        <v>1495</v>
      </c>
      <c r="B1496" s="2">
        <v>1495</v>
      </c>
      <c r="C1496" s="2">
        <f t="shared" si="90"/>
        <v>2393</v>
      </c>
      <c r="D1496" s="3">
        <v>1495</v>
      </c>
      <c r="E1496" s="3">
        <f t="shared" si="91"/>
        <v>3551</v>
      </c>
      <c r="F1496" s="51">
        <v>1495</v>
      </c>
      <c r="G1496" s="51">
        <f t="shared" si="92"/>
        <v>4709</v>
      </c>
      <c r="H1496" s="52">
        <v>1495</v>
      </c>
      <c r="I1496" s="52">
        <f t="shared" si="93"/>
        <v>5867</v>
      </c>
    </row>
    <row r="1497" spans="1:9">
      <c r="A1497">
        <v>1496</v>
      </c>
      <c r="B1497" s="2">
        <v>1496</v>
      </c>
      <c r="C1497" s="2">
        <f t="shared" si="90"/>
        <v>2395</v>
      </c>
      <c r="D1497" s="3">
        <v>1496</v>
      </c>
      <c r="E1497" s="3">
        <f t="shared" si="91"/>
        <v>3553</v>
      </c>
      <c r="F1497" s="51">
        <v>1496</v>
      </c>
      <c r="G1497" s="51">
        <f t="shared" si="92"/>
        <v>4711</v>
      </c>
      <c r="H1497" s="52">
        <v>1496</v>
      </c>
      <c r="I1497" s="52">
        <f t="shared" si="93"/>
        <v>5869</v>
      </c>
    </row>
    <row r="1498" spans="1:9">
      <c r="A1498">
        <v>1497</v>
      </c>
      <c r="B1498" s="2">
        <v>1497</v>
      </c>
      <c r="C1498" s="2">
        <f t="shared" si="90"/>
        <v>2396</v>
      </c>
      <c r="D1498" s="3">
        <v>1497</v>
      </c>
      <c r="E1498" s="3">
        <f t="shared" si="91"/>
        <v>3554</v>
      </c>
      <c r="F1498" s="51">
        <v>1497</v>
      </c>
      <c r="G1498" s="51">
        <f t="shared" si="92"/>
        <v>4712</v>
      </c>
      <c r="H1498" s="52">
        <v>1497</v>
      </c>
      <c r="I1498" s="52">
        <f t="shared" si="93"/>
        <v>5870</v>
      </c>
    </row>
    <row r="1499" spans="1:9">
      <c r="A1499">
        <v>1498</v>
      </c>
      <c r="B1499" s="2">
        <v>1498</v>
      </c>
      <c r="C1499" s="2">
        <f t="shared" si="90"/>
        <v>2397</v>
      </c>
      <c r="D1499" s="3">
        <v>1498</v>
      </c>
      <c r="E1499" s="3">
        <f t="shared" si="91"/>
        <v>3555</v>
      </c>
      <c r="F1499" s="51">
        <v>1498</v>
      </c>
      <c r="G1499" s="51">
        <f t="shared" si="92"/>
        <v>4713</v>
      </c>
      <c r="H1499" s="52">
        <v>1498</v>
      </c>
      <c r="I1499" s="52">
        <f t="shared" si="93"/>
        <v>5871</v>
      </c>
    </row>
    <row r="1500" spans="1:9">
      <c r="A1500">
        <v>1499</v>
      </c>
      <c r="B1500" s="2">
        <v>1499</v>
      </c>
      <c r="C1500" s="2">
        <f t="shared" si="90"/>
        <v>2399</v>
      </c>
      <c r="D1500" s="3">
        <v>1499</v>
      </c>
      <c r="E1500" s="3">
        <f t="shared" si="91"/>
        <v>3557</v>
      </c>
      <c r="F1500" s="51">
        <v>1499</v>
      </c>
      <c r="G1500" s="51">
        <f t="shared" si="92"/>
        <v>4715</v>
      </c>
      <c r="H1500" s="52">
        <v>1499</v>
      </c>
      <c r="I1500" s="52">
        <f t="shared" si="93"/>
        <v>5873</v>
      </c>
    </row>
    <row r="1501" spans="1:9">
      <c r="A1501">
        <v>1500</v>
      </c>
      <c r="B1501" s="2">
        <v>1500</v>
      </c>
      <c r="C1501" s="2">
        <f t="shared" si="90"/>
        <v>2400</v>
      </c>
      <c r="D1501" s="3">
        <v>1500</v>
      </c>
      <c r="E1501" s="3">
        <f t="shared" si="91"/>
        <v>3558</v>
      </c>
      <c r="F1501" s="51">
        <v>1500</v>
      </c>
      <c r="G1501" s="51">
        <f t="shared" si="92"/>
        <v>4716</v>
      </c>
      <c r="H1501" s="52">
        <v>1500</v>
      </c>
      <c r="I1501" s="52">
        <f t="shared" si="93"/>
        <v>5874</v>
      </c>
    </row>
    <row r="1502" spans="1:9">
      <c r="A1502">
        <v>1501</v>
      </c>
      <c r="B1502" s="2">
        <v>1501</v>
      </c>
      <c r="C1502" s="2">
        <f t="shared" si="90"/>
        <v>2401</v>
      </c>
      <c r="D1502" s="3">
        <v>1501</v>
      </c>
      <c r="E1502" s="3">
        <f t="shared" si="91"/>
        <v>3559</v>
      </c>
      <c r="F1502" s="51">
        <v>1501</v>
      </c>
      <c r="G1502" s="51">
        <f t="shared" si="92"/>
        <v>4717</v>
      </c>
      <c r="H1502" s="52">
        <v>1501</v>
      </c>
      <c r="I1502" s="52">
        <f t="shared" si="93"/>
        <v>5875</v>
      </c>
    </row>
    <row r="1503" spans="1:9">
      <c r="A1503">
        <v>1502</v>
      </c>
      <c r="B1503" s="2">
        <v>1502</v>
      </c>
      <c r="C1503" s="2">
        <f t="shared" si="90"/>
        <v>2403</v>
      </c>
      <c r="D1503" s="3">
        <v>1502</v>
      </c>
      <c r="E1503" s="3">
        <f t="shared" si="91"/>
        <v>3561</v>
      </c>
      <c r="F1503" s="51">
        <v>1502</v>
      </c>
      <c r="G1503" s="51">
        <f t="shared" si="92"/>
        <v>4719</v>
      </c>
      <c r="H1503" s="52">
        <v>1502</v>
      </c>
      <c r="I1503" s="52">
        <f t="shared" si="93"/>
        <v>5877</v>
      </c>
    </row>
    <row r="1504" spans="1:9">
      <c r="A1504">
        <v>1503</v>
      </c>
      <c r="B1504" s="2">
        <v>1503</v>
      </c>
      <c r="C1504" s="2">
        <f t="shared" si="90"/>
        <v>2404</v>
      </c>
      <c r="D1504" s="3">
        <v>1503</v>
      </c>
      <c r="E1504" s="3">
        <f t="shared" si="91"/>
        <v>3562</v>
      </c>
      <c r="F1504" s="51">
        <v>1503</v>
      </c>
      <c r="G1504" s="51">
        <f t="shared" si="92"/>
        <v>4720</v>
      </c>
      <c r="H1504" s="52">
        <v>1503</v>
      </c>
      <c r="I1504" s="52">
        <f t="shared" si="93"/>
        <v>5878</v>
      </c>
    </row>
    <row r="1505" spans="1:9">
      <c r="A1505">
        <v>1504</v>
      </c>
      <c r="B1505" s="2">
        <v>1504</v>
      </c>
      <c r="C1505" s="2">
        <f t="shared" si="90"/>
        <v>2405</v>
      </c>
      <c r="D1505" s="3">
        <v>1504</v>
      </c>
      <c r="E1505" s="3">
        <f t="shared" si="91"/>
        <v>3563</v>
      </c>
      <c r="F1505" s="51">
        <v>1504</v>
      </c>
      <c r="G1505" s="51">
        <f t="shared" si="92"/>
        <v>4721</v>
      </c>
      <c r="H1505" s="52">
        <v>1504</v>
      </c>
      <c r="I1505" s="52">
        <f t="shared" si="93"/>
        <v>5879</v>
      </c>
    </row>
    <row r="1506" spans="1:9">
      <c r="A1506">
        <v>1505</v>
      </c>
      <c r="B1506" s="2">
        <v>1505</v>
      </c>
      <c r="C1506" s="2">
        <f t="shared" si="90"/>
        <v>2407</v>
      </c>
      <c r="D1506" s="3">
        <v>1505</v>
      </c>
      <c r="E1506" s="3">
        <f t="shared" si="91"/>
        <v>3565</v>
      </c>
      <c r="F1506" s="51">
        <v>1505</v>
      </c>
      <c r="G1506" s="51">
        <f t="shared" si="92"/>
        <v>4723</v>
      </c>
      <c r="H1506" s="52">
        <v>1505</v>
      </c>
      <c r="I1506" s="52">
        <f t="shared" si="93"/>
        <v>5881</v>
      </c>
    </row>
    <row r="1507" spans="1:9">
      <c r="A1507">
        <v>1506</v>
      </c>
      <c r="B1507" s="2">
        <v>1506</v>
      </c>
      <c r="C1507" s="2">
        <f t="shared" si="90"/>
        <v>2408</v>
      </c>
      <c r="D1507" s="3">
        <v>1506</v>
      </c>
      <c r="E1507" s="3">
        <f t="shared" si="91"/>
        <v>3566</v>
      </c>
      <c r="F1507" s="51">
        <v>1506</v>
      </c>
      <c r="G1507" s="51">
        <f t="shared" si="92"/>
        <v>4724</v>
      </c>
      <c r="H1507" s="52">
        <v>1506</v>
      </c>
      <c r="I1507" s="52">
        <f t="shared" si="93"/>
        <v>5882</v>
      </c>
    </row>
    <row r="1508" spans="1:9">
      <c r="A1508">
        <v>1507</v>
      </c>
      <c r="B1508" s="2">
        <v>1507</v>
      </c>
      <c r="C1508" s="2">
        <f t="shared" si="90"/>
        <v>2409</v>
      </c>
      <c r="D1508" s="3">
        <v>1507</v>
      </c>
      <c r="E1508" s="3">
        <f t="shared" si="91"/>
        <v>3567</v>
      </c>
      <c r="F1508" s="51">
        <v>1507</v>
      </c>
      <c r="G1508" s="51">
        <f t="shared" si="92"/>
        <v>4725</v>
      </c>
      <c r="H1508" s="52">
        <v>1507</v>
      </c>
      <c r="I1508" s="52">
        <f t="shared" si="93"/>
        <v>5883</v>
      </c>
    </row>
    <row r="1509" spans="1:9">
      <c r="A1509">
        <v>1508</v>
      </c>
      <c r="B1509" s="2">
        <v>1508</v>
      </c>
      <c r="C1509" s="2">
        <f t="shared" si="90"/>
        <v>2411</v>
      </c>
      <c r="D1509" s="3">
        <v>1508</v>
      </c>
      <c r="E1509" s="3">
        <f t="shared" si="91"/>
        <v>3569</v>
      </c>
      <c r="F1509" s="51">
        <v>1508</v>
      </c>
      <c r="G1509" s="51">
        <f t="shared" si="92"/>
        <v>4727</v>
      </c>
      <c r="H1509" s="52">
        <v>1508</v>
      </c>
      <c r="I1509" s="52">
        <f t="shared" si="93"/>
        <v>5885</v>
      </c>
    </row>
    <row r="1510" spans="1:9">
      <c r="A1510">
        <v>1509</v>
      </c>
      <c r="B1510" s="2">
        <v>1509</v>
      </c>
      <c r="C1510" s="2">
        <f t="shared" si="90"/>
        <v>2412</v>
      </c>
      <c r="D1510" s="3">
        <v>1509</v>
      </c>
      <c r="E1510" s="3">
        <f t="shared" si="91"/>
        <v>3570</v>
      </c>
      <c r="F1510" s="51">
        <v>1509</v>
      </c>
      <c r="G1510" s="51">
        <f t="shared" si="92"/>
        <v>4728</v>
      </c>
      <c r="H1510" s="52">
        <v>1509</v>
      </c>
      <c r="I1510" s="52">
        <f t="shared" si="93"/>
        <v>5886</v>
      </c>
    </row>
    <row r="1511" spans="1:9">
      <c r="A1511">
        <v>1510</v>
      </c>
      <c r="B1511" s="2">
        <v>1510</v>
      </c>
      <c r="C1511" s="2">
        <f t="shared" si="90"/>
        <v>2413</v>
      </c>
      <c r="D1511" s="3">
        <v>1510</v>
      </c>
      <c r="E1511" s="3">
        <f t="shared" si="91"/>
        <v>3571</v>
      </c>
      <c r="F1511" s="51">
        <v>1510</v>
      </c>
      <c r="G1511" s="51">
        <f t="shared" si="92"/>
        <v>4729</v>
      </c>
      <c r="H1511" s="52">
        <v>1510</v>
      </c>
      <c r="I1511" s="52">
        <f t="shared" si="93"/>
        <v>5887</v>
      </c>
    </row>
    <row r="1512" spans="1:9">
      <c r="A1512">
        <v>1511</v>
      </c>
      <c r="B1512" s="2">
        <v>1511</v>
      </c>
      <c r="C1512" s="2">
        <f t="shared" si="90"/>
        <v>2415</v>
      </c>
      <c r="D1512" s="3">
        <v>1511</v>
      </c>
      <c r="E1512" s="3">
        <f t="shared" si="91"/>
        <v>3573</v>
      </c>
      <c r="F1512" s="51">
        <v>1511</v>
      </c>
      <c r="G1512" s="51">
        <f t="shared" si="92"/>
        <v>4731</v>
      </c>
      <c r="H1512" s="52">
        <v>1511</v>
      </c>
      <c r="I1512" s="52">
        <f t="shared" si="93"/>
        <v>5889</v>
      </c>
    </row>
    <row r="1513" spans="1:9">
      <c r="A1513">
        <v>1512</v>
      </c>
      <c r="B1513" s="2">
        <v>1512</v>
      </c>
      <c r="C1513" s="2">
        <f t="shared" si="90"/>
        <v>2416</v>
      </c>
      <c r="D1513" s="3">
        <v>1512</v>
      </c>
      <c r="E1513" s="3">
        <f t="shared" si="91"/>
        <v>3574</v>
      </c>
      <c r="F1513" s="51">
        <v>1512</v>
      </c>
      <c r="G1513" s="51">
        <f t="shared" si="92"/>
        <v>4732</v>
      </c>
      <c r="H1513" s="52">
        <v>1512</v>
      </c>
      <c r="I1513" s="52">
        <f t="shared" si="93"/>
        <v>5890</v>
      </c>
    </row>
    <row r="1514" spans="1:9">
      <c r="A1514">
        <v>1513</v>
      </c>
      <c r="B1514" s="2">
        <v>1513</v>
      </c>
      <c r="C1514" s="2">
        <f t="shared" si="90"/>
        <v>2417</v>
      </c>
      <c r="D1514" s="3">
        <v>1513</v>
      </c>
      <c r="E1514" s="3">
        <f t="shared" si="91"/>
        <v>3575</v>
      </c>
      <c r="F1514" s="51">
        <v>1513</v>
      </c>
      <c r="G1514" s="51">
        <f t="shared" si="92"/>
        <v>4733</v>
      </c>
      <c r="H1514" s="52">
        <v>1513</v>
      </c>
      <c r="I1514" s="52">
        <f t="shared" si="93"/>
        <v>5891</v>
      </c>
    </row>
    <row r="1515" spans="1:9">
      <c r="A1515">
        <v>1514</v>
      </c>
      <c r="B1515" s="2">
        <v>1514</v>
      </c>
      <c r="C1515" s="2">
        <f t="shared" si="90"/>
        <v>2419</v>
      </c>
      <c r="D1515" s="3">
        <v>1514</v>
      </c>
      <c r="E1515" s="3">
        <f t="shared" si="91"/>
        <v>3577</v>
      </c>
      <c r="F1515" s="51">
        <v>1514</v>
      </c>
      <c r="G1515" s="51">
        <f t="shared" si="92"/>
        <v>4735</v>
      </c>
      <c r="H1515" s="52">
        <v>1514</v>
      </c>
      <c r="I1515" s="52">
        <f t="shared" si="93"/>
        <v>5893</v>
      </c>
    </row>
    <row r="1516" spans="1:9">
      <c r="A1516">
        <v>1515</v>
      </c>
      <c r="B1516" s="2">
        <v>1515</v>
      </c>
      <c r="C1516" s="2">
        <f t="shared" si="90"/>
        <v>2420</v>
      </c>
      <c r="D1516" s="3">
        <v>1515</v>
      </c>
      <c r="E1516" s="3">
        <f t="shared" si="91"/>
        <v>3578</v>
      </c>
      <c r="F1516" s="51">
        <v>1515</v>
      </c>
      <c r="G1516" s="51">
        <f t="shared" si="92"/>
        <v>4736</v>
      </c>
      <c r="H1516" s="52">
        <v>1515</v>
      </c>
      <c r="I1516" s="52">
        <f t="shared" si="93"/>
        <v>5894</v>
      </c>
    </row>
    <row r="1517" spans="1:9">
      <c r="A1517">
        <v>1516</v>
      </c>
      <c r="B1517" s="2">
        <v>1516</v>
      </c>
      <c r="C1517" s="2">
        <f t="shared" si="90"/>
        <v>2421</v>
      </c>
      <c r="D1517" s="3">
        <v>1516</v>
      </c>
      <c r="E1517" s="3">
        <f t="shared" si="91"/>
        <v>3579</v>
      </c>
      <c r="F1517" s="51">
        <v>1516</v>
      </c>
      <c r="G1517" s="51">
        <f t="shared" si="92"/>
        <v>4737</v>
      </c>
      <c r="H1517" s="52">
        <v>1516</v>
      </c>
      <c r="I1517" s="52">
        <f t="shared" si="93"/>
        <v>5895</v>
      </c>
    </row>
    <row r="1518" spans="1:9">
      <c r="A1518">
        <v>1517</v>
      </c>
      <c r="B1518" s="2">
        <v>1517</v>
      </c>
      <c r="C1518" s="2">
        <f t="shared" si="90"/>
        <v>2423</v>
      </c>
      <c r="D1518" s="3">
        <v>1517</v>
      </c>
      <c r="E1518" s="3">
        <f t="shared" si="91"/>
        <v>3581</v>
      </c>
      <c r="F1518" s="51">
        <v>1517</v>
      </c>
      <c r="G1518" s="51">
        <f t="shared" si="92"/>
        <v>4739</v>
      </c>
      <c r="H1518" s="52">
        <v>1517</v>
      </c>
      <c r="I1518" s="52">
        <f t="shared" si="93"/>
        <v>5897</v>
      </c>
    </row>
    <row r="1519" spans="1:9">
      <c r="A1519">
        <v>1518</v>
      </c>
      <c r="B1519" s="2">
        <v>1518</v>
      </c>
      <c r="C1519" s="2">
        <f t="shared" si="90"/>
        <v>2424</v>
      </c>
      <c r="D1519" s="3">
        <v>1518</v>
      </c>
      <c r="E1519" s="3">
        <f t="shared" si="91"/>
        <v>3582</v>
      </c>
      <c r="F1519" s="51">
        <v>1518</v>
      </c>
      <c r="G1519" s="51">
        <f t="shared" si="92"/>
        <v>4740</v>
      </c>
      <c r="H1519" s="52">
        <v>1518</v>
      </c>
      <c r="I1519" s="52">
        <f t="shared" si="93"/>
        <v>5898</v>
      </c>
    </row>
    <row r="1520" spans="1:9">
      <c r="A1520">
        <v>1519</v>
      </c>
      <c r="B1520" s="2">
        <v>1519</v>
      </c>
      <c r="C1520" s="2">
        <f t="shared" si="90"/>
        <v>2425</v>
      </c>
      <c r="D1520" s="3">
        <v>1519</v>
      </c>
      <c r="E1520" s="3">
        <f t="shared" si="91"/>
        <v>3583</v>
      </c>
      <c r="F1520" s="51">
        <v>1519</v>
      </c>
      <c r="G1520" s="51">
        <f t="shared" si="92"/>
        <v>4741</v>
      </c>
      <c r="H1520" s="52">
        <v>1519</v>
      </c>
      <c r="I1520" s="52">
        <f t="shared" si="93"/>
        <v>5899</v>
      </c>
    </row>
    <row r="1521" spans="1:9">
      <c r="A1521">
        <v>1520</v>
      </c>
      <c r="B1521" s="2">
        <v>1520</v>
      </c>
      <c r="C1521" s="2">
        <f t="shared" si="90"/>
        <v>2427</v>
      </c>
      <c r="D1521" s="3">
        <v>1520</v>
      </c>
      <c r="E1521" s="3">
        <f t="shared" si="91"/>
        <v>3585</v>
      </c>
      <c r="F1521" s="51">
        <v>1520</v>
      </c>
      <c r="G1521" s="51">
        <f t="shared" si="92"/>
        <v>4743</v>
      </c>
      <c r="H1521" s="52">
        <v>1520</v>
      </c>
      <c r="I1521" s="52">
        <f t="shared" si="93"/>
        <v>5901</v>
      </c>
    </row>
    <row r="1522" spans="1:9">
      <c r="A1522">
        <v>1521</v>
      </c>
      <c r="B1522" s="2">
        <v>1521</v>
      </c>
      <c r="C1522" s="2">
        <f t="shared" si="90"/>
        <v>2428</v>
      </c>
      <c r="D1522" s="3">
        <v>1521</v>
      </c>
      <c r="E1522" s="3">
        <f t="shared" si="91"/>
        <v>3586</v>
      </c>
      <c r="F1522" s="51">
        <v>1521</v>
      </c>
      <c r="G1522" s="51">
        <f t="shared" si="92"/>
        <v>4744</v>
      </c>
      <c r="H1522" s="52">
        <v>1521</v>
      </c>
      <c r="I1522" s="52">
        <f t="shared" si="93"/>
        <v>5902</v>
      </c>
    </row>
    <row r="1523" spans="1:9">
      <c r="A1523">
        <v>1522</v>
      </c>
      <c r="B1523" s="2">
        <v>1522</v>
      </c>
      <c r="C1523" s="2">
        <f t="shared" si="90"/>
        <v>2429</v>
      </c>
      <c r="D1523" s="3">
        <v>1522</v>
      </c>
      <c r="E1523" s="3">
        <f t="shared" si="91"/>
        <v>3587</v>
      </c>
      <c r="F1523" s="51">
        <v>1522</v>
      </c>
      <c r="G1523" s="51">
        <f t="shared" si="92"/>
        <v>4745</v>
      </c>
      <c r="H1523" s="52">
        <v>1522</v>
      </c>
      <c r="I1523" s="52">
        <f t="shared" si="93"/>
        <v>5903</v>
      </c>
    </row>
    <row r="1524" spans="1:9">
      <c r="A1524">
        <v>1523</v>
      </c>
      <c r="B1524" s="2">
        <v>1523</v>
      </c>
      <c r="C1524" s="2">
        <f t="shared" si="90"/>
        <v>2431</v>
      </c>
      <c r="D1524" s="3">
        <v>1523</v>
      </c>
      <c r="E1524" s="3">
        <f t="shared" si="91"/>
        <v>3589</v>
      </c>
      <c r="F1524" s="51">
        <v>1523</v>
      </c>
      <c r="G1524" s="51">
        <f t="shared" si="92"/>
        <v>4747</v>
      </c>
      <c r="H1524" s="52">
        <v>1523</v>
      </c>
      <c r="I1524" s="52">
        <f t="shared" si="93"/>
        <v>5905</v>
      </c>
    </row>
    <row r="1525" spans="1:9">
      <c r="A1525">
        <v>1524</v>
      </c>
      <c r="B1525" s="2">
        <v>1524</v>
      </c>
      <c r="C1525" s="2">
        <f t="shared" si="90"/>
        <v>2432</v>
      </c>
      <c r="D1525" s="3">
        <v>1524</v>
      </c>
      <c r="E1525" s="3">
        <f t="shared" si="91"/>
        <v>3590</v>
      </c>
      <c r="F1525" s="51">
        <v>1524</v>
      </c>
      <c r="G1525" s="51">
        <f t="shared" si="92"/>
        <v>4748</v>
      </c>
      <c r="H1525" s="52">
        <v>1524</v>
      </c>
      <c r="I1525" s="52">
        <f t="shared" si="93"/>
        <v>5906</v>
      </c>
    </row>
    <row r="1526" spans="1:9">
      <c r="A1526">
        <v>1525</v>
      </c>
      <c r="B1526" s="2">
        <v>1525</v>
      </c>
      <c r="C1526" s="2">
        <f t="shared" si="90"/>
        <v>2433</v>
      </c>
      <c r="D1526" s="3">
        <v>1525</v>
      </c>
      <c r="E1526" s="3">
        <f t="shared" si="91"/>
        <v>3591</v>
      </c>
      <c r="F1526" s="51">
        <v>1525</v>
      </c>
      <c r="G1526" s="51">
        <f t="shared" si="92"/>
        <v>4749</v>
      </c>
      <c r="H1526" s="52">
        <v>1525</v>
      </c>
      <c r="I1526" s="52">
        <f t="shared" si="93"/>
        <v>5907</v>
      </c>
    </row>
    <row r="1527" spans="1:9">
      <c r="A1527">
        <v>1526</v>
      </c>
      <c r="B1527" s="2">
        <v>1526</v>
      </c>
      <c r="C1527" s="2">
        <f t="shared" si="90"/>
        <v>2435</v>
      </c>
      <c r="D1527" s="3">
        <v>1526</v>
      </c>
      <c r="E1527" s="3">
        <f t="shared" si="91"/>
        <v>3593</v>
      </c>
      <c r="F1527" s="51">
        <v>1526</v>
      </c>
      <c r="G1527" s="51">
        <f t="shared" si="92"/>
        <v>4751</v>
      </c>
      <c r="H1527" s="52">
        <v>1526</v>
      </c>
      <c r="I1527" s="52">
        <f t="shared" si="93"/>
        <v>5909</v>
      </c>
    </row>
    <row r="1528" spans="1:9">
      <c r="A1528">
        <v>1527</v>
      </c>
      <c r="B1528" s="2">
        <v>1527</v>
      </c>
      <c r="C1528" s="2">
        <f t="shared" si="90"/>
        <v>2436</v>
      </c>
      <c r="D1528" s="3">
        <v>1527</v>
      </c>
      <c r="E1528" s="3">
        <f t="shared" si="91"/>
        <v>3594</v>
      </c>
      <c r="F1528" s="51">
        <v>1527</v>
      </c>
      <c r="G1528" s="51">
        <f t="shared" si="92"/>
        <v>4752</v>
      </c>
      <c r="H1528" s="52">
        <v>1527</v>
      </c>
      <c r="I1528" s="52">
        <f t="shared" si="93"/>
        <v>5910</v>
      </c>
    </row>
    <row r="1529" spans="1:9">
      <c r="A1529">
        <v>1528</v>
      </c>
      <c r="B1529" s="2">
        <v>1528</v>
      </c>
      <c r="C1529" s="2">
        <f t="shared" si="90"/>
        <v>2437</v>
      </c>
      <c r="D1529" s="3">
        <v>1528</v>
      </c>
      <c r="E1529" s="3">
        <f t="shared" si="91"/>
        <v>3595</v>
      </c>
      <c r="F1529" s="51">
        <v>1528</v>
      </c>
      <c r="G1529" s="51">
        <f t="shared" si="92"/>
        <v>4753</v>
      </c>
      <c r="H1529" s="52">
        <v>1528</v>
      </c>
      <c r="I1529" s="52">
        <f t="shared" si="93"/>
        <v>5911</v>
      </c>
    </row>
    <row r="1530" spans="1:9">
      <c r="A1530">
        <v>1529</v>
      </c>
      <c r="B1530" s="2">
        <v>1529</v>
      </c>
      <c r="C1530" s="2">
        <f t="shared" si="90"/>
        <v>2439</v>
      </c>
      <c r="D1530" s="3">
        <v>1529</v>
      </c>
      <c r="E1530" s="3">
        <f t="shared" si="91"/>
        <v>3597</v>
      </c>
      <c r="F1530" s="51">
        <v>1529</v>
      </c>
      <c r="G1530" s="51">
        <f t="shared" si="92"/>
        <v>4755</v>
      </c>
      <c r="H1530" s="52">
        <v>1529</v>
      </c>
      <c r="I1530" s="52">
        <f t="shared" si="93"/>
        <v>5913</v>
      </c>
    </row>
    <row r="1531" spans="1:9">
      <c r="A1531">
        <v>1530</v>
      </c>
      <c r="B1531" s="2">
        <v>1530</v>
      </c>
      <c r="C1531" s="2">
        <f t="shared" si="90"/>
        <v>2440</v>
      </c>
      <c r="D1531" s="3">
        <v>1530</v>
      </c>
      <c r="E1531" s="3">
        <f t="shared" si="91"/>
        <v>3598</v>
      </c>
      <c r="F1531" s="51">
        <v>1530</v>
      </c>
      <c r="G1531" s="51">
        <f t="shared" si="92"/>
        <v>4756</v>
      </c>
      <c r="H1531" s="52">
        <v>1530</v>
      </c>
      <c r="I1531" s="52">
        <f t="shared" si="93"/>
        <v>5914</v>
      </c>
    </row>
    <row r="1532" spans="1:9">
      <c r="A1532">
        <v>1531</v>
      </c>
      <c r="B1532" s="2">
        <v>1531</v>
      </c>
      <c r="C1532" s="2">
        <f t="shared" ref="C1532:C1565" si="94">INT((B1532-B$122)*1.3333333)+C$122</f>
        <v>2441</v>
      </c>
      <c r="D1532" s="3">
        <v>1531</v>
      </c>
      <c r="E1532" s="3">
        <f t="shared" si="91"/>
        <v>3599</v>
      </c>
      <c r="F1532" s="51">
        <v>1531</v>
      </c>
      <c r="G1532" s="51">
        <f t="shared" si="92"/>
        <v>4757</v>
      </c>
      <c r="H1532" s="52">
        <v>1531</v>
      </c>
      <c r="I1532" s="52">
        <f t="shared" si="93"/>
        <v>5915</v>
      </c>
    </row>
    <row r="1533" spans="1:9">
      <c r="A1533">
        <v>1532</v>
      </c>
      <c r="B1533" s="2">
        <v>1532</v>
      </c>
      <c r="C1533" s="2">
        <f t="shared" si="94"/>
        <v>2443</v>
      </c>
      <c r="D1533" s="3">
        <v>1532</v>
      </c>
      <c r="E1533" s="3">
        <f t="shared" si="91"/>
        <v>3601</v>
      </c>
      <c r="F1533" s="51">
        <v>1532</v>
      </c>
      <c r="G1533" s="51">
        <f t="shared" si="92"/>
        <v>4759</v>
      </c>
      <c r="H1533" s="52">
        <v>1532</v>
      </c>
      <c r="I1533" s="52">
        <f t="shared" si="93"/>
        <v>5917</v>
      </c>
    </row>
    <row r="1534" spans="1:9">
      <c r="A1534">
        <v>1533</v>
      </c>
      <c r="B1534" s="2">
        <v>1533</v>
      </c>
      <c r="C1534" s="2">
        <f t="shared" si="94"/>
        <v>2444</v>
      </c>
      <c r="D1534" s="3">
        <v>1533</v>
      </c>
      <c r="E1534" s="3">
        <f t="shared" si="91"/>
        <v>3602</v>
      </c>
      <c r="F1534" s="51">
        <v>1533</v>
      </c>
      <c r="G1534" s="51">
        <f t="shared" si="92"/>
        <v>4760</v>
      </c>
      <c r="H1534" s="52">
        <v>1533</v>
      </c>
      <c r="I1534" s="52">
        <f t="shared" si="93"/>
        <v>5918</v>
      </c>
    </row>
    <row r="1535" spans="1:9">
      <c r="A1535">
        <v>1534</v>
      </c>
      <c r="B1535" s="2">
        <v>1534</v>
      </c>
      <c r="C1535" s="2">
        <f t="shared" si="94"/>
        <v>2445</v>
      </c>
      <c r="D1535" s="3">
        <v>1534</v>
      </c>
      <c r="E1535" s="3">
        <f t="shared" si="91"/>
        <v>3603</v>
      </c>
      <c r="F1535" s="51">
        <v>1534</v>
      </c>
      <c r="G1535" s="51">
        <f t="shared" si="92"/>
        <v>4761</v>
      </c>
      <c r="H1535" s="52">
        <v>1534</v>
      </c>
      <c r="I1535" s="52">
        <f t="shared" si="93"/>
        <v>5919</v>
      </c>
    </row>
    <row r="1536" spans="1:9">
      <c r="A1536">
        <v>1535</v>
      </c>
      <c r="B1536" s="2">
        <v>1535</v>
      </c>
      <c r="C1536" s="2">
        <f t="shared" si="94"/>
        <v>2447</v>
      </c>
      <c r="D1536" s="3">
        <v>1535</v>
      </c>
      <c r="E1536" s="3">
        <f t="shared" si="91"/>
        <v>3605</v>
      </c>
      <c r="F1536" s="51">
        <v>1535</v>
      </c>
      <c r="G1536" s="51">
        <f t="shared" si="92"/>
        <v>4763</v>
      </c>
      <c r="H1536" s="52">
        <v>1535</v>
      </c>
      <c r="I1536" s="52">
        <f t="shared" si="93"/>
        <v>5921</v>
      </c>
    </row>
    <row r="1537" spans="1:9">
      <c r="A1537">
        <v>1536</v>
      </c>
      <c r="B1537" s="2">
        <v>1536</v>
      </c>
      <c r="C1537" s="2">
        <f t="shared" si="94"/>
        <v>2448</v>
      </c>
      <c r="D1537" s="3">
        <v>1536</v>
      </c>
      <c r="E1537" s="3">
        <f t="shared" si="91"/>
        <v>3606</v>
      </c>
      <c r="F1537" s="51">
        <v>1536</v>
      </c>
      <c r="G1537" s="51">
        <f t="shared" si="92"/>
        <v>4764</v>
      </c>
      <c r="H1537" s="52">
        <v>1536</v>
      </c>
      <c r="I1537" s="52">
        <f t="shared" si="93"/>
        <v>5922</v>
      </c>
    </row>
    <row r="1538" spans="1:9">
      <c r="A1538">
        <v>1537</v>
      </c>
      <c r="B1538" s="2">
        <v>1537</v>
      </c>
      <c r="C1538" s="2">
        <f t="shared" si="94"/>
        <v>2449</v>
      </c>
      <c r="D1538" s="3">
        <v>1537</v>
      </c>
      <c r="E1538" s="3">
        <f t="shared" si="91"/>
        <v>3607</v>
      </c>
      <c r="F1538" s="51">
        <v>1537</v>
      </c>
      <c r="G1538" s="51">
        <f t="shared" si="92"/>
        <v>4765</v>
      </c>
      <c r="H1538" s="52">
        <v>1537</v>
      </c>
      <c r="I1538" s="52">
        <f t="shared" si="93"/>
        <v>5923</v>
      </c>
    </row>
    <row r="1539" spans="1:9">
      <c r="A1539">
        <v>1538</v>
      </c>
      <c r="B1539" s="2">
        <v>1538</v>
      </c>
      <c r="C1539" s="2">
        <f t="shared" si="94"/>
        <v>2451</v>
      </c>
      <c r="D1539" s="3">
        <v>1538</v>
      </c>
      <c r="E1539" s="3">
        <f t="shared" si="91"/>
        <v>3609</v>
      </c>
      <c r="F1539" s="51">
        <v>1538</v>
      </c>
      <c r="G1539" s="51">
        <f t="shared" si="92"/>
        <v>4767</v>
      </c>
      <c r="H1539" s="52">
        <v>1538</v>
      </c>
      <c r="I1539" s="52">
        <f t="shared" si="93"/>
        <v>5925</v>
      </c>
    </row>
    <row r="1540" spans="1:9">
      <c r="A1540">
        <v>1539</v>
      </c>
      <c r="B1540" s="2">
        <v>1539</v>
      </c>
      <c r="C1540" s="2">
        <f t="shared" si="94"/>
        <v>2452</v>
      </c>
      <c r="D1540" s="3">
        <v>1539</v>
      </c>
      <c r="E1540" s="3">
        <f t="shared" ref="E1540:E1565" si="95">INT((D1540-D$2)*1.3333333)+E$2</f>
        <v>3610</v>
      </c>
      <c r="F1540" s="51">
        <v>1539</v>
      </c>
      <c r="G1540" s="51">
        <f t="shared" ref="G1540:G1565" si="96">INT((F1540-F$2)*1.3333333)+G$2</f>
        <v>4768</v>
      </c>
      <c r="H1540" s="52">
        <v>1539</v>
      </c>
      <c r="I1540" s="52">
        <f t="shared" ref="I1540:I1565" si="97">INT((H1540-H$2)*1.3333333)+I$2</f>
        <v>5926</v>
      </c>
    </row>
    <row r="1541" spans="1:9">
      <c r="A1541">
        <v>1540</v>
      </c>
      <c r="B1541" s="2">
        <v>1540</v>
      </c>
      <c r="C1541" s="2">
        <f t="shared" si="94"/>
        <v>2453</v>
      </c>
      <c r="D1541" s="3">
        <v>1540</v>
      </c>
      <c r="E1541" s="3">
        <f t="shared" si="95"/>
        <v>3611</v>
      </c>
      <c r="F1541" s="51">
        <v>1540</v>
      </c>
      <c r="G1541" s="51">
        <f t="shared" si="96"/>
        <v>4769</v>
      </c>
      <c r="H1541" s="52">
        <v>1540</v>
      </c>
      <c r="I1541" s="52">
        <f t="shared" si="97"/>
        <v>5927</v>
      </c>
    </row>
    <row r="1542" spans="1:9">
      <c r="A1542">
        <v>1541</v>
      </c>
      <c r="B1542" s="2">
        <v>1541</v>
      </c>
      <c r="C1542" s="2">
        <f t="shared" si="94"/>
        <v>2455</v>
      </c>
      <c r="D1542" s="3">
        <v>1541</v>
      </c>
      <c r="E1542" s="3">
        <f t="shared" si="95"/>
        <v>3613</v>
      </c>
      <c r="F1542" s="51">
        <v>1541</v>
      </c>
      <c r="G1542" s="51">
        <f t="shared" si="96"/>
        <v>4771</v>
      </c>
      <c r="H1542" s="52">
        <v>1541</v>
      </c>
      <c r="I1542" s="52">
        <f t="shared" si="97"/>
        <v>5929</v>
      </c>
    </row>
    <row r="1543" spans="1:9">
      <c r="A1543">
        <v>1542</v>
      </c>
      <c r="B1543" s="2">
        <v>1542</v>
      </c>
      <c r="C1543" s="2">
        <f t="shared" si="94"/>
        <v>2456</v>
      </c>
      <c r="D1543" s="3">
        <v>1542</v>
      </c>
      <c r="E1543" s="3">
        <f t="shared" si="95"/>
        <v>3614</v>
      </c>
      <c r="F1543" s="51">
        <v>1542</v>
      </c>
      <c r="G1543" s="51">
        <f t="shared" si="96"/>
        <v>4772</v>
      </c>
      <c r="H1543" s="52">
        <v>1542</v>
      </c>
      <c r="I1543" s="52">
        <f t="shared" si="97"/>
        <v>5930</v>
      </c>
    </row>
    <row r="1544" spans="1:9">
      <c r="A1544">
        <v>1543</v>
      </c>
      <c r="B1544" s="2">
        <v>1543</v>
      </c>
      <c r="C1544" s="2">
        <f t="shared" si="94"/>
        <v>2457</v>
      </c>
      <c r="D1544" s="3">
        <v>1543</v>
      </c>
      <c r="E1544" s="3">
        <f t="shared" si="95"/>
        <v>3615</v>
      </c>
      <c r="F1544" s="51">
        <v>1543</v>
      </c>
      <c r="G1544" s="51">
        <f t="shared" si="96"/>
        <v>4773</v>
      </c>
      <c r="H1544" s="52">
        <v>1543</v>
      </c>
      <c r="I1544" s="52">
        <f t="shared" si="97"/>
        <v>5931</v>
      </c>
    </row>
    <row r="1545" spans="1:9">
      <c r="A1545">
        <v>1544</v>
      </c>
      <c r="B1545" s="2">
        <v>1544</v>
      </c>
      <c r="C1545" s="2">
        <f t="shared" si="94"/>
        <v>2459</v>
      </c>
      <c r="D1545" s="3">
        <v>1544</v>
      </c>
      <c r="E1545" s="3">
        <f t="shared" si="95"/>
        <v>3617</v>
      </c>
      <c r="F1545" s="51">
        <v>1544</v>
      </c>
      <c r="G1545" s="51">
        <f t="shared" si="96"/>
        <v>4775</v>
      </c>
      <c r="H1545" s="52">
        <v>1544</v>
      </c>
      <c r="I1545" s="52">
        <f t="shared" si="97"/>
        <v>5933</v>
      </c>
    </row>
    <row r="1546" spans="1:9">
      <c r="A1546">
        <v>1545</v>
      </c>
      <c r="B1546" s="2">
        <v>1545</v>
      </c>
      <c r="C1546" s="2">
        <f t="shared" si="94"/>
        <v>2460</v>
      </c>
      <c r="D1546" s="3">
        <v>1545</v>
      </c>
      <c r="E1546" s="3">
        <f t="shared" si="95"/>
        <v>3618</v>
      </c>
      <c r="F1546" s="51">
        <v>1545</v>
      </c>
      <c r="G1546" s="51">
        <f t="shared" si="96"/>
        <v>4776</v>
      </c>
      <c r="H1546" s="52">
        <v>1545</v>
      </c>
      <c r="I1546" s="52">
        <f t="shared" si="97"/>
        <v>5934</v>
      </c>
    </row>
    <row r="1547" spans="1:9">
      <c r="A1547">
        <v>1546</v>
      </c>
      <c r="B1547" s="2">
        <v>1546</v>
      </c>
      <c r="C1547" s="2">
        <f t="shared" si="94"/>
        <v>2461</v>
      </c>
      <c r="D1547" s="3">
        <v>1546</v>
      </c>
      <c r="E1547" s="3">
        <f t="shared" si="95"/>
        <v>3619</v>
      </c>
      <c r="F1547" s="51">
        <v>1546</v>
      </c>
      <c r="G1547" s="51">
        <f t="shared" si="96"/>
        <v>4777</v>
      </c>
      <c r="H1547" s="52">
        <v>1546</v>
      </c>
      <c r="I1547" s="52">
        <f t="shared" si="97"/>
        <v>5935</v>
      </c>
    </row>
    <row r="1548" spans="1:9">
      <c r="A1548">
        <v>1547</v>
      </c>
      <c r="B1548" s="2">
        <v>1547</v>
      </c>
      <c r="C1548" s="2">
        <f t="shared" si="94"/>
        <v>2463</v>
      </c>
      <c r="D1548" s="3">
        <v>1547</v>
      </c>
      <c r="E1548" s="3">
        <f t="shared" si="95"/>
        <v>3621</v>
      </c>
      <c r="F1548" s="51">
        <v>1547</v>
      </c>
      <c r="G1548" s="51">
        <f t="shared" si="96"/>
        <v>4779</v>
      </c>
      <c r="H1548" s="52">
        <v>1547</v>
      </c>
      <c r="I1548" s="52">
        <f t="shared" si="97"/>
        <v>5937</v>
      </c>
    </row>
    <row r="1549" spans="1:9">
      <c r="A1549">
        <v>1548</v>
      </c>
      <c r="B1549" s="2">
        <v>1548</v>
      </c>
      <c r="C1549" s="2">
        <f t="shared" si="94"/>
        <v>2464</v>
      </c>
      <c r="D1549" s="3">
        <v>1548</v>
      </c>
      <c r="E1549" s="3">
        <f t="shared" si="95"/>
        <v>3622</v>
      </c>
      <c r="F1549" s="51">
        <v>1548</v>
      </c>
      <c r="G1549" s="51">
        <f t="shared" si="96"/>
        <v>4780</v>
      </c>
      <c r="H1549" s="52">
        <v>1548</v>
      </c>
      <c r="I1549" s="52">
        <f t="shared" si="97"/>
        <v>5938</v>
      </c>
    </row>
    <row r="1550" spans="1:9">
      <c r="A1550">
        <v>1549</v>
      </c>
      <c r="B1550" s="2">
        <v>1549</v>
      </c>
      <c r="C1550" s="2">
        <f t="shared" si="94"/>
        <v>2465</v>
      </c>
      <c r="D1550" s="3">
        <v>1549</v>
      </c>
      <c r="E1550" s="3">
        <f t="shared" si="95"/>
        <v>3623</v>
      </c>
      <c r="F1550" s="51">
        <v>1549</v>
      </c>
      <c r="G1550" s="51">
        <f t="shared" si="96"/>
        <v>4781</v>
      </c>
      <c r="H1550" s="52">
        <v>1549</v>
      </c>
      <c r="I1550" s="52">
        <f t="shared" si="97"/>
        <v>5939</v>
      </c>
    </row>
    <row r="1551" spans="1:9">
      <c r="A1551">
        <v>1550</v>
      </c>
      <c r="B1551" s="2">
        <v>1550</v>
      </c>
      <c r="C1551" s="2">
        <f t="shared" si="94"/>
        <v>2467</v>
      </c>
      <c r="D1551" s="3">
        <v>1550</v>
      </c>
      <c r="E1551" s="3">
        <f t="shared" si="95"/>
        <v>3625</v>
      </c>
      <c r="F1551" s="51">
        <v>1550</v>
      </c>
      <c r="G1551" s="51">
        <f t="shared" si="96"/>
        <v>4783</v>
      </c>
      <c r="H1551" s="52">
        <v>1550</v>
      </c>
      <c r="I1551" s="52">
        <f t="shared" si="97"/>
        <v>5941</v>
      </c>
    </row>
    <row r="1552" spans="1:9">
      <c r="A1552">
        <v>1551</v>
      </c>
      <c r="B1552" s="2">
        <v>1551</v>
      </c>
      <c r="C1552" s="2">
        <f t="shared" si="94"/>
        <v>2468</v>
      </c>
      <c r="D1552" s="3">
        <v>1551</v>
      </c>
      <c r="E1552" s="3">
        <f t="shared" si="95"/>
        <v>3626</v>
      </c>
      <c r="F1552" s="51">
        <v>1551</v>
      </c>
      <c r="G1552" s="51">
        <f t="shared" si="96"/>
        <v>4784</v>
      </c>
      <c r="H1552" s="52">
        <v>1551</v>
      </c>
      <c r="I1552" s="52">
        <f t="shared" si="97"/>
        <v>5942</v>
      </c>
    </row>
    <row r="1553" spans="1:9">
      <c r="A1553">
        <v>1552</v>
      </c>
      <c r="B1553" s="2">
        <v>1552</v>
      </c>
      <c r="C1553" s="2">
        <f t="shared" si="94"/>
        <v>2469</v>
      </c>
      <c r="D1553" s="3">
        <v>1552</v>
      </c>
      <c r="E1553" s="3">
        <f t="shared" si="95"/>
        <v>3627</v>
      </c>
      <c r="F1553" s="51">
        <v>1552</v>
      </c>
      <c r="G1553" s="51">
        <f t="shared" si="96"/>
        <v>4785</v>
      </c>
      <c r="H1553" s="52">
        <v>1552</v>
      </c>
      <c r="I1553" s="52">
        <f t="shared" si="97"/>
        <v>5943</v>
      </c>
    </row>
    <row r="1554" spans="1:9">
      <c r="A1554">
        <v>1553</v>
      </c>
      <c r="B1554" s="2">
        <v>1553</v>
      </c>
      <c r="C1554" s="2">
        <f t="shared" si="94"/>
        <v>2471</v>
      </c>
      <c r="D1554" s="3">
        <v>1553</v>
      </c>
      <c r="E1554" s="3">
        <f t="shared" si="95"/>
        <v>3629</v>
      </c>
      <c r="F1554" s="51">
        <v>1553</v>
      </c>
      <c r="G1554" s="51">
        <f t="shared" si="96"/>
        <v>4787</v>
      </c>
      <c r="H1554" s="52">
        <v>1553</v>
      </c>
      <c r="I1554" s="52">
        <f t="shared" si="97"/>
        <v>5945</v>
      </c>
    </row>
    <row r="1555" spans="1:9">
      <c r="A1555">
        <v>1554</v>
      </c>
      <c r="B1555" s="2">
        <v>1554</v>
      </c>
      <c r="C1555" s="2">
        <f t="shared" si="94"/>
        <v>2472</v>
      </c>
      <c r="D1555" s="3">
        <v>1554</v>
      </c>
      <c r="E1555" s="3">
        <f t="shared" si="95"/>
        <v>3630</v>
      </c>
      <c r="F1555" s="51">
        <v>1554</v>
      </c>
      <c r="G1555" s="51">
        <f t="shared" si="96"/>
        <v>4788</v>
      </c>
      <c r="H1555" s="52">
        <v>1554</v>
      </c>
      <c r="I1555" s="52">
        <f t="shared" si="97"/>
        <v>5946</v>
      </c>
    </row>
    <row r="1556" spans="1:9">
      <c r="A1556">
        <v>1555</v>
      </c>
      <c r="B1556" s="2">
        <v>1555</v>
      </c>
      <c r="C1556" s="2">
        <f t="shared" si="94"/>
        <v>2473</v>
      </c>
      <c r="D1556" s="3">
        <v>1555</v>
      </c>
      <c r="E1556" s="3">
        <f t="shared" si="95"/>
        <v>3631</v>
      </c>
      <c r="F1556" s="51">
        <v>1555</v>
      </c>
      <c r="G1556" s="51">
        <f t="shared" si="96"/>
        <v>4789</v>
      </c>
      <c r="H1556" s="52">
        <v>1555</v>
      </c>
      <c r="I1556" s="52">
        <f t="shared" si="97"/>
        <v>5947</v>
      </c>
    </row>
    <row r="1557" spans="1:9">
      <c r="A1557">
        <v>1556</v>
      </c>
      <c r="B1557" s="2">
        <v>1556</v>
      </c>
      <c r="C1557" s="2">
        <f t="shared" si="94"/>
        <v>2475</v>
      </c>
      <c r="D1557" s="3">
        <v>1556</v>
      </c>
      <c r="E1557" s="3">
        <f t="shared" si="95"/>
        <v>3633</v>
      </c>
      <c r="F1557" s="51">
        <v>1556</v>
      </c>
      <c r="G1557" s="51">
        <f t="shared" si="96"/>
        <v>4791</v>
      </c>
      <c r="H1557" s="52">
        <v>1556</v>
      </c>
      <c r="I1557" s="52">
        <f t="shared" si="97"/>
        <v>5949</v>
      </c>
    </row>
    <row r="1558" spans="1:9">
      <c r="A1558">
        <v>1557</v>
      </c>
      <c r="B1558" s="2">
        <v>1557</v>
      </c>
      <c r="C1558" s="2">
        <f t="shared" si="94"/>
        <v>2476</v>
      </c>
      <c r="D1558" s="3">
        <v>1557</v>
      </c>
      <c r="E1558" s="3">
        <f t="shared" si="95"/>
        <v>3634</v>
      </c>
      <c r="F1558" s="51">
        <v>1557</v>
      </c>
      <c r="G1558" s="51">
        <f t="shared" si="96"/>
        <v>4792</v>
      </c>
      <c r="H1558" s="52">
        <v>1557</v>
      </c>
      <c r="I1558" s="52">
        <f t="shared" si="97"/>
        <v>5950</v>
      </c>
    </row>
    <row r="1559" spans="1:9">
      <c r="A1559">
        <v>1558</v>
      </c>
      <c r="B1559" s="2">
        <v>1558</v>
      </c>
      <c r="C1559" s="2">
        <f t="shared" si="94"/>
        <v>2477</v>
      </c>
      <c r="D1559" s="3">
        <v>1558</v>
      </c>
      <c r="E1559" s="3">
        <f t="shared" si="95"/>
        <v>3635</v>
      </c>
      <c r="F1559" s="51">
        <v>1558</v>
      </c>
      <c r="G1559" s="51">
        <f t="shared" si="96"/>
        <v>4793</v>
      </c>
      <c r="H1559" s="52">
        <v>1558</v>
      </c>
      <c r="I1559" s="52">
        <f t="shared" si="97"/>
        <v>5951</v>
      </c>
    </row>
    <row r="1560" spans="1:9">
      <c r="A1560">
        <v>1559</v>
      </c>
      <c r="B1560" s="2">
        <v>1559</v>
      </c>
      <c r="C1560" s="2">
        <f t="shared" si="94"/>
        <v>2479</v>
      </c>
      <c r="D1560" s="3">
        <v>1559</v>
      </c>
      <c r="E1560" s="3">
        <f t="shared" si="95"/>
        <v>3637</v>
      </c>
      <c r="F1560" s="51">
        <v>1559</v>
      </c>
      <c r="G1560" s="51">
        <f t="shared" si="96"/>
        <v>4795</v>
      </c>
      <c r="H1560" s="52">
        <v>1559</v>
      </c>
      <c r="I1560" s="52">
        <f t="shared" si="97"/>
        <v>5953</v>
      </c>
    </row>
    <row r="1561" spans="1:9">
      <c r="A1561">
        <v>1560</v>
      </c>
      <c r="B1561" s="2">
        <v>1560</v>
      </c>
      <c r="C1561" s="2">
        <f t="shared" si="94"/>
        <v>2480</v>
      </c>
      <c r="D1561" s="3">
        <v>1560</v>
      </c>
      <c r="E1561" s="3">
        <f t="shared" si="95"/>
        <v>3638</v>
      </c>
      <c r="F1561" s="51">
        <v>1560</v>
      </c>
      <c r="G1561" s="51">
        <f t="shared" si="96"/>
        <v>4796</v>
      </c>
      <c r="H1561" s="52">
        <v>1560</v>
      </c>
      <c r="I1561" s="52">
        <f t="shared" si="97"/>
        <v>5954</v>
      </c>
    </row>
    <row r="1562" spans="1:9">
      <c r="A1562">
        <v>1561</v>
      </c>
      <c r="B1562" s="2">
        <v>1561</v>
      </c>
      <c r="C1562" s="2">
        <f t="shared" si="94"/>
        <v>2481</v>
      </c>
      <c r="D1562" s="3">
        <v>1561</v>
      </c>
      <c r="E1562" s="3">
        <f t="shared" si="95"/>
        <v>3639</v>
      </c>
      <c r="F1562" s="51">
        <v>1561</v>
      </c>
      <c r="G1562" s="51">
        <f t="shared" si="96"/>
        <v>4797</v>
      </c>
      <c r="H1562" s="52">
        <v>1561</v>
      </c>
      <c r="I1562" s="52">
        <f t="shared" si="97"/>
        <v>5955</v>
      </c>
    </row>
    <row r="1563" spans="1:9">
      <c r="A1563">
        <v>1562</v>
      </c>
      <c r="B1563" s="2">
        <v>1562</v>
      </c>
      <c r="C1563" s="2">
        <f t="shared" si="94"/>
        <v>2483</v>
      </c>
      <c r="D1563" s="3">
        <v>1562</v>
      </c>
      <c r="E1563" s="3">
        <f t="shared" si="95"/>
        <v>3641</v>
      </c>
      <c r="F1563" s="51">
        <v>1562</v>
      </c>
      <c r="G1563" s="51">
        <f t="shared" si="96"/>
        <v>4799</v>
      </c>
      <c r="H1563" s="52">
        <v>1562</v>
      </c>
      <c r="I1563" s="52">
        <f t="shared" si="97"/>
        <v>5957</v>
      </c>
    </row>
    <row r="1564" spans="1:9">
      <c r="A1564">
        <v>1563</v>
      </c>
      <c r="B1564" s="2">
        <v>1563</v>
      </c>
      <c r="C1564" s="2">
        <f t="shared" si="94"/>
        <v>2484</v>
      </c>
      <c r="D1564" s="3">
        <v>1563</v>
      </c>
      <c r="E1564" s="3">
        <f t="shared" si="95"/>
        <v>3642</v>
      </c>
      <c r="F1564" s="51">
        <v>1563</v>
      </c>
      <c r="G1564" s="51">
        <f t="shared" si="96"/>
        <v>4800</v>
      </c>
      <c r="H1564" s="52">
        <v>1563</v>
      </c>
      <c r="I1564" s="52">
        <f t="shared" si="97"/>
        <v>5958</v>
      </c>
    </row>
    <row r="1565" spans="1:9">
      <c r="A1565">
        <v>1564</v>
      </c>
      <c r="B1565" s="2">
        <v>1564</v>
      </c>
      <c r="C1565" s="2">
        <f t="shared" si="94"/>
        <v>2485</v>
      </c>
      <c r="D1565" s="3">
        <v>1564</v>
      </c>
      <c r="E1565" s="3">
        <f t="shared" si="95"/>
        <v>3643</v>
      </c>
      <c r="F1565" s="51">
        <v>1564</v>
      </c>
      <c r="G1565" s="51">
        <f t="shared" si="96"/>
        <v>4801</v>
      </c>
      <c r="H1565" s="52">
        <v>1564</v>
      </c>
      <c r="I1565" s="52">
        <f t="shared" si="97"/>
        <v>5959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4232-90D1-4BC1-A684-954582A9FB2C}">
  <dimension ref="A1:AE1664"/>
  <sheetViews>
    <sheetView workbookViewId="0">
      <selection activeCell="V7" sqref="V7"/>
    </sheetView>
  </sheetViews>
  <sheetFormatPr defaultRowHeight="16.5"/>
  <cols>
    <col min="11" max="11" width="9.5" bestFit="1" customWidth="1"/>
    <col min="12" max="12" width="10.5" bestFit="1" customWidth="1"/>
    <col min="15" max="15" width="13.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U1" t="s">
        <v>0</v>
      </c>
      <c r="V1" t="s">
        <v>576</v>
      </c>
      <c r="W1" t="s">
        <v>577</v>
      </c>
      <c r="X1" t="s">
        <v>578</v>
      </c>
      <c r="Y1" t="s">
        <v>579</v>
      </c>
      <c r="Z1" t="s">
        <v>580</v>
      </c>
      <c r="AA1" t="s">
        <v>581</v>
      </c>
      <c r="AC1" t="s">
        <v>583</v>
      </c>
      <c r="AE1" t="s">
        <v>584</v>
      </c>
    </row>
    <row r="2" spans="1:31">
      <c r="A2">
        <v>1</v>
      </c>
      <c r="B2">
        <v>50000000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f>J2*I2*H2*G2*F2*E2*D2*C2*B2</f>
        <v>50000000</v>
      </c>
      <c r="L2" t="e">
        <f>MATCH(K2, 보스체력!#REF!, 1)</f>
        <v>#REF!</v>
      </c>
      <c r="O2" s="4" t="s">
        <v>573</v>
      </c>
      <c r="P2" s="4">
        <v>1207</v>
      </c>
      <c r="R2" t="s">
        <v>582</v>
      </c>
      <c r="S2" t="s">
        <v>575</v>
      </c>
      <c r="U2">
        <v>1</v>
      </c>
      <c r="V2">
        <v>100</v>
      </c>
      <c r="W2">
        <v>1</v>
      </c>
      <c r="X2">
        <v>100</v>
      </c>
      <c r="Y2">
        <v>1</v>
      </c>
      <c r="Z2">
        <v>300</v>
      </c>
      <c r="AA2">
        <v>1</v>
      </c>
      <c r="AC2">
        <v>1</v>
      </c>
      <c r="AD2">
        <f>INT(AC2/5)+1</f>
        <v>1</v>
      </c>
      <c r="AE2" cm="1">
        <f t="array" ref="AE2">INDEX(X:X, AD2+1)*AC2</f>
        <v>100</v>
      </c>
    </row>
    <row r="3" spans="1:31">
      <c r="A3">
        <v>2</v>
      </c>
      <c r="B3">
        <v>100000000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f t="shared" ref="K3:K66" si="0">J3*I3*H3*G3*F3*E3*D3*C3*B3</f>
        <v>100000000</v>
      </c>
      <c r="L3" t="e">
        <f>MATCH(K3, 보스체력!#REF!, 1)</f>
        <v>#REF!</v>
      </c>
      <c r="O3" s="4" t="s">
        <v>574</v>
      </c>
      <c r="P3" s="4">
        <v>265</v>
      </c>
      <c r="Q3">
        <f>P3-6</f>
        <v>259</v>
      </c>
      <c r="R3" cm="1">
        <f t="array" ref="R3">INDEX(AE:AE, P3)</f>
        <v>1399200</v>
      </c>
      <c r="S3" t="e">
        <f>INDEX(U:U, MATCH(P2, L:L, 1))</f>
        <v>#N/A</v>
      </c>
      <c r="U3">
        <v>2</v>
      </c>
      <c r="V3">
        <v>150</v>
      </c>
      <c r="W3">
        <v>1</v>
      </c>
      <c r="X3">
        <v>200</v>
      </c>
      <c r="Y3">
        <v>2</v>
      </c>
      <c r="Z3">
        <v>600</v>
      </c>
      <c r="AA3">
        <v>2</v>
      </c>
      <c r="AC3">
        <v>2</v>
      </c>
      <c r="AD3">
        <f t="shared" ref="AD3:AD66" si="1">INT(AC3/5)+1</f>
        <v>1</v>
      </c>
      <c r="AE3" cm="1">
        <f t="array" ref="AE3">INDEX(X:X, AD3+1)*AC3</f>
        <v>200</v>
      </c>
    </row>
    <row r="4" spans="1:31">
      <c r="A4">
        <v>3</v>
      </c>
      <c r="B4">
        <v>200000000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f t="shared" si="0"/>
        <v>200000000</v>
      </c>
      <c r="L4" t="e">
        <f>MATCH(K4, 보스체력!#REF!, 1)</f>
        <v>#REF!</v>
      </c>
      <c r="U4">
        <v>3</v>
      </c>
      <c r="V4">
        <v>300</v>
      </c>
      <c r="W4">
        <v>1</v>
      </c>
      <c r="X4">
        <v>300</v>
      </c>
      <c r="Y4">
        <v>3</v>
      </c>
      <c r="Z4">
        <v>900</v>
      </c>
      <c r="AA4">
        <v>3</v>
      </c>
      <c r="AC4">
        <v>3</v>
      </c>
      <c r="AD4">
        <f t="shared" si="1"/>
        <v>1</v>
      </c>
      <c r="AE4" cm="1">
        <f t="array" ref="AE4">INDEX(X:X, AD4+1)*AC4</f>
        <v>300</v>
      </c>
    </row>
    <row r="5" spans="1:31">
      <c r="A5">
        <v>4</v>
      </c>
      <c r="B5">
        <v>500000000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f t="shared" si="0"/>
        <v>500000000</v>
      </c>
      <c r="L5" t="e">
        <f>MATCH(K5, 보스체력!#REF!, 1)</f>
        <v>#REF!</v>
      </c>
      <c r="R5" cm="1">
        <f t="array" aca="1" ref="R5" ca="1">INDIRECT("X" &amp;214)</f>
        <v>0</v>
      </c>
      <c r="U5">
        <v>4</v>
      </c>
      <c r="V5">
        <v>540</v>
      </c>
      <c r="W5">
        <v>1</v>
      </c>
      <c r="X5">
        <v>400</v>
      </c>
      <c r="Y5">
        <v>4</v>
      </c>
      <c r="Z5">
        <v>1200</v>
      </c>
      <c r="AA5">
        <v>4</v>
      </c>
      <c r="AC5">
        <v>4</v>
      </c>
      <c r="AD5">
        <f t="shared" si="1"/>
        <v>1</v>
      </c>
      <c r="AE5" cm="1">
        <f t="array" ref="AE5">INDEX(X:X, AD5+1)*AC5</f>
        <v>400</v>
      </c>
    </row>
    <row r="6" spans="1:31">
      <c r="A6">
        <v>5</v>
      </c>
      <c r="B6">
        <v>100000000</v>
      </c>
      <c r="C6">
        <v>10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f t="shared" si="0"/>
        <v>1000000000</v>
      </c>
      <c r="L6" t="e">
        <f>MATCH(K6, 보스체력!#REF!, 1)</f>
        <v>#REF!</v>
      </c>
      <c r="O6" s="19" t="s">
        <v>587</v>
      </c>
      <c r="P6" s="19" t="s">
        <v>585</v>
      </c>
      <c r="Q6" s="19" t="s">
        <v>582</v>
      </c>
      <c r="R6" s="19" t="s">
        <v>586</v>
      </c>
      <c r="U6">
        <v>5</v>
      </c>
      <c r="V6">
        <v>950</v>
      </c>
      <c r="W6">
        <v>1</v>
      </c>
      <c r="X6">
        <v>500</v>
      </c>
      <c r="Y6">
        <v>5</v>
      </c>
      <c r="Z6">
        <v>1500</v>
      </c>
      <c r="AA6">
        <v>5</v>
      </c>
      <c r="AC6">
        <v>5</v>
      </c>
      <c r="AD6">
        <f t="shared" si="1"/>
        <v>2</v>
      </c>
      <c r="AE6" cm="1">
        <f t="array" ref="AE6">INDEX(X:X, AD6+1)*AC6</f>
        <v>1000</v>
      </c>
    </row>
    <row r="7" spans="1:31">
      <c r="A7">
        <v>6</v>
      </c>
      <c r="B7">
        <v>300000000</v>
      </c>
      <c r="C7">
        <v>10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f t="shared" si="0"/>
        <v>3000000000</v>
      </c>
      <c r="L7" t="e">
        <f>MATCH(K7, 보스체력!#REF!, 1)</f>
        <v>#REF!</v>
      </c>
      <c r="O7" s="19">
        <v>4</v>
      </c>
      <c r="P7" s="19"/>
      <c r="Q7" s="19">
        <f>R3</f>
        <v>1399200</v>
      </c>
      <c r="R7" s="19">
        <f>Q7*P7*O7</f>
        <v>0</v>
      </c>
      <c r="U7">
        <v>6</v>
      </c>
      <c r="V7">
        <v>1460</v>
      </c>
      <c r="W7">
        <v>1</v>
      </c>
      <c r="X7">
        <v>600</v>
      </c>
      <c r="Y7">
        <v>6</v>
      </c>
      <c r="Z7">
        <v>1800</v>
      </c>
      <c r="AA7">
        <v>6</v>
      </c>
      <c r="AC7">
        <v>6</v>
      </c>
      <c r="AD7">
        <f t="shared" si="1"/>
        <v>2</v>
      </c>
      <c r="AE7" cm="1">
        <f t="array" ref="AE7">INDEX(X:X, AD7+1)*AC7</f>
        <v>1200</v>
      </c>
    </row>
    <row r="8" spans="1:31">
      <c r="A8">
        <v>7</v>
      </c>
      <c r="B8">
        <v>500000000</v>
      </c>
      <c r="C8">
        <v>10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f t="shared" si="0"/>
        <v>5000000000</v>
      </c>
      <c r="L8" t="e">
        <f>MATCH(K8, 보스체력!#REF!, 1)</f>
        <v>#REF!</v>
      </c>
      <c r="U8">
        <v>7</v>
      </c>
      <c r="V8">
        <v>1970</v>
      </c>
      <c r="W8">
        <v>2</v>
      </c>
      <c r="X8">
        <v>700</v>
      </c>
      <c r="Y8">
        <v>7</v>
      </c>
      <c r="Z8">
        <v>2100</v>
      </c>
      <c r="AA8">
        <v>7</v>
      </c>
      <c r="AC8">
        <v>7</v>
      </c>
      <c r="AD8">
        <f t="shared" si="1"/>
        <v>2</v>
      </c>
      <c r="AE8" cm="1">
        <f t="array" ref="AE8">INDEX(X:X, AD8+1)*AC8</f>
        <v>1400</v>
      </c>
    </row>
    <row r="9" spans="1:31">
      <c r="A9">
        <v>8</v>
      </c>
      <c r="B9">
        <v>700000000</v>
      </c>
      <c r="C9">
        <v>10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f t="shared" si="0"/>
        <v>7000000000</v>
      </c>
      <c r="L9" t="e">
        <f>MATCH(K9, 보스체력!#REF!, 1)</f>
        <v>#REF!</v>
      </c>
      <c r="U9">
        <v>8</v>
      </c>
      <c r="V9">
        <v>2480</v>
      </c>
      <c r="W9">
        <v>2</v>
      </c>
      <c r="X9">
        <v>800</v>
      </c>
      <c r="Y9">
        <v>8</v>
      </c>
      <c r="Z9">
        <v>2400</v>
      </c>
      <c r="AA9">
        <v>8</v>
      </c>
      <c r="AC9">
        <v>8</v>
      </c>
      <c r="AD9">
        <f t="shared" si="1"/>
        <v>2</v>
      </c>
      <c r="AE9" cm="1">
        <f t="array" ref="AE9">INDEX(X:X, AD9+1)*AC9</f>
        <v>1600</v>
      </c>
    </row>
    <row r="10" spans="1:31">
      <c r="A10">
        <v>9</v>
      </c>
      <c r="B10">
        <v>100000000</v>
      </c>
      <c r="C10">
        <v>100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f t="shared" si="0"/>
        <v>10000000000</v>
      </c>
      <c r="L10" t="e">
        <f>MATCH(K10, 보스체력!#REF!, 1)</f>
        <v>#REF!</v>
      </c>
      <c r="U10">
        <v>9</v>
      </c>
      <c r="V10">
        <v>2990</v>
      </c>
      <c r="W10">
        <v>2</v>
      </c>
      <c r="X10">
        <v>900</v>
      </c>
      <c r="Y10">
        <v>9</v>
      </c>
      <c r="Z10">
        <v>2700</v>
      </c>
      <c r="AA10">
        <v>9</v>
      </c>
      <c r="AC10">
        <v>9</v>
      </c>
      <c r="AD10">
        <f t="shared" si="1"/>
        <v>2</v>
      </c>
      <c r="AE10" cm="1">
        <f t="array" ref="AE10">INDEX(X:X, AD10+1)*AC10</f>
        <v>1800</v>
      </c>
    </row>
    <row r="11" spans="1:31">
      <c r="A11">
        <v>10</v>
      </c>
      <c r="B11">
        <v>500000000</v>
      </c>
      <c r="C11">
        <v>100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f t="shared" si="0"/>
        <v>50000000000</v>
      </c>
      <c r="L11" t="e">
        <f>MATCH(K11, 보스체력!#REF!, 1)</f>
        <v>#REF!</v>
      </c>
      <c r="M11" s="48"/>
      <c r="N11" s="48"/>
      <c r="O11" s="48" t="s">
        <v>231</v>
      </c>
      <c r="P11" s="48" t="s">
        <v>107</v>
      </c>
      <c r="Q11" s="48" t="s">
        <v>106</v>
      </c>
      <c r="R11" s="48" t="s">
        <v>105</v>
      </c>
      <c r="S11" s="48" t="s">
        <v>104</v>
      </c>
      <c r="T11" s="48" t="s">
        <v>103</v>
      </c>
      <c r="U11">
        <v>10</v>
      </c>
      <c r="V11">
        <v>4010</v>
      </c>
      <c r="W11">
        <v>2</v>
      </c>
      <c r="X11">
        <v>1000</v>
      </c>
      <c r="Y11">
        <v>10</v>
      </c>
      <c r="Z11">
        <v>3000</v>
      </c>
      <c r="AA11">
        <v>10</v>
      </c>
      <c r="AC11">
        <v>10</v>
      </c>
      <c r="AD11">
        <f t="shared" si="1"/>
        <v>3</v>
      </c>
      <c r="AE11" cm="1">
        <f t="array" ref="AE11">INDEX(X:X, AD11+1)*AC11</f>
        <v>3000</v>
      </c>
    </row>
    <row r="12" spans="1:31">
      <c r="A12">
        <v>11</v>
      </c>
      <c r="B12">
        <v>800000000</v>
      </c>
      <c r="C12">
        <v>100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f t="shared" si="0"/>
        <v>80000000000</v>
      </c>
      <c r="L12" t="e">
        <f>MATCH(K12, 보스체력!#REF!, 1)</f>
        <v>#REF!</v>
      </c>
      <c r="M12" s="48" t="s">
        <v>92</v>
      </c>
      <c r="N12" s="48">
        <v>7</v>
      </c>
      <c r="O12" s="48">
        <v>1</v>
      </c>
      <c r="P12" s="48">
        <v>2</v>
      </c>
      <c r="Q12" s="48">
        <v>3</v>
      </c>
      <c r="R12" s="48">
        <v>4</v>
      </c>
      <c r="S12" s="48">
        <v>6</v>
      </c>
      <c r="T12" s="48">
        <v>10</v>
      </c>
      <c r="U12">
        <v>11</v>
      </c>
      <c r="V12">
        <v>5030</v>
      </c>
      <c r="W12">
        <v>2</v>
      </c>
      <c r="X12">
        <v>1100</v>
      </c>
      <c r="Y12">
        <v>11</v>
      </c>
      <c r="Z12">
        <v>3300</v>
      </c>
      <c r="AA12">
        <v>10</v>
      </c>
      <c r="AC12">
        <v>11</v>
      </c>
      <c r="AD12">
        <f t="shared" si="1"/>
        <v>3</v>
      </c>
      <c r="AE12" cm="1">
        <f t="array" ref="AE12">INDEX(X:X, AD12+1)*AC12</f>
        <v>3300</v>
      </c>
    </row>
    <row r="13" spans="1:31">
      <c r="A13">
        <v>12</v>
      </c>
      <c r="B13">
        <v>100000000</v>
      </c>
      <c r="C13">
        <v>1000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f t="shared" si="0"/>
        <v>100000000000</v>
      </c>
      <c r="L13" t="e">
        <f>MATCH(K13, 보스체력!#REF!, 1)</f>
        <v>#REF!</v>
      </c>
      <c r="M13" s="48" t="s">
        <v>93</v>
      </c>
      <c r="N13" s="48">
        <v>7</v>
      </c>
      <c r="O13" s="48">
        <v>2</v>
      </c>
      <c r="P13" s="48">
        <v>3</v>
      </c>
      <c r="Q13" s="48">
        <v>4</v>
      </c>
      <c r="R13" s="48">
        <v>5</v>
      </c>
      <c r="S13" s="48">
        <v>10</v>
      </c>
      <c r="T13" s="48">
        <v>18</v>
      </c>
      <c r="U13">
        <v>12</v>
      </c>
      <c r="V13">
        <v>6050</v>
      </c>
      <c r="W13">
        <v>2</v>
      </c>
      <c r="X13">
        <v>1200</v>
      </c>
      <c r="Y13">
        <v>12</v>
      </c>
      <c r="Z13">
        <v>3600</v>
      </c>
      <c r="AA13">
        <v>10</v>
      </c>
      <c r="AC13">
        <v>12</v>
      </c>
      <c r="AD13">
        <f t="shared" si="1"/>
        <v>3</v>
      </c>
      <c r="AE13" cm="1">
        <f t="array" ref="AE13">INDEX(X:X, AD13+1)*AC13</f>
        <v>3600</v>
      </c>
    </row>
    <row r="14" spans="1:31">
      <c r="A14">
        <v>13</v>
      </c>
      <c r="B14">
        <v>500000000</v>
      </c>
      <c r="C14">
        <v>1000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f t="shared" si="0"/>
        <v>500000000000</v>
      </c>
      <c r="L14" t="e">
        <f>MATCH(K14, 보스체력!#REF!, 1)</f>
        <v>#REF!</v>
      </c>
      <c r="M14" s="48" t="s">
        <v>94</v>
      </c>
      <c r="N14" s="48">
        <v>7</v>
      </c>
      <c r="O14" s="48">
        <v>3</v>
      </c>
      <c r="P14" s="48">
        <v>4</v>
      </c>
      <c r="Q14" s="48">
        <v>5</v>
      </c>
      <c r="R14" s="48">
        <v>7</v>
      </c>
      <c r="S14" s="48">
        <v>13</v>
      </c>
      <c r="T14" s="48">
        <v>21</v>
      </c>
      <c r="U14">
        <v>13</v>
      </c>
      <c r="V14">
        <v>7070</v>
      </c>
      <c r="W14">
        <v>3</v>
      </c>
      <c r="X14">
        <v>1300</v>
      </c>
      <c r="Y14">
        <v>13</v>
      </c>
      <c r="Z14">
        <v>3900</v>
      </c>
      <c r="AA14">
        <v>10</v>
      </c>
      <c r="AC14">
        <v>13</v>
      </c>
      <c r="AD14">
        <f t="shared" si="1"/>
        <v>3</v>
      </c>
      <c r="AE14" cm="1">
        <f t="array" ref="AE14">INDEX(X:X, AD14+1)*AC14</f>
        <v>3900</v>
      </c>
    </row>
    <row r="15" spans="1:31">
      <c r="A15">
        <v>14</v>
      </c>
      <c r="B15">
        <v>800000000</v>
      </c>
      <c r="C15">
        <v>1000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f t="shared" si="0"/>
        <v>800000000000</v>
      </c>
      <c r="L15" t="e">
        <f>MATCH(K15, 보스체력!#REF!, 1)</f>
        <v>#REF!</v>
      </c>
      <c r="M15" s="48" t="s">
        <v>95</v>
      </c>
      <c r="N15" s="48">
        <v>7</v>
      </c>
      <c r="O15" s="48">
        <v>4</v>
      </c>
      <c r="P15" s="48">
        <v>5</v>
      </c>
      <c r="Q15" s="48">
        <v>6</v>
      </c>
      <c r="R15" s="48">
        <v>8</v>
      </c>
      <c r="S15" s="48">
        <v>15</v>
      </c>
      <c r="T15" s="48">
        <v>25</v>
      </c>
      <c r="U15">
        <v>14</v>
      </c>
      <c r="V15">
        <v>8100</v>
      </c>
      <c r="W15">
        <v>3</v>
      </c>
      <c r="X15">
        <v>1400</v>
      </c>
      <c r="Y15">
        <v>14</v>
      </c>
      <c r="Z15">
        <v>4200</v>
      </c>
      <c r="AA15">
        <v>10</v>
      </c>
      <c r="AC15">
        <v>14</v>
      </c>
      <c r="AD15">
        <f t="shared" si="1"/>
        <v>3</v>
      </c>
      <c r="AE15" cm="1">
        <f t="array" ref="AE15">INDEX(X:X, AD15+1)*AC15</f>
        <v>4200</v>
      </c>
    </row>
    <row r="16" spans="1:31">
      <c r="A16">
        <v>15</v>
      </c>
      <c r="B16">
        <v>100000000</v>
      </c>
      <c r="C16">
        <v>10000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f t="shared" si="0"/>
        <v>1000000000000</v>
      </c>
      <c r="L16" t="e">
        <f>MATCH(K16, 보스체력!#REF!, 1)</f>
        <v>#REF!</v>
      </c>
      <c r="M16" s="48" t="s">
        <v>96</v>
      </c>
      <c r="N16" s="48">
        <v>7</v>
      </c>
      <c r="O16" s="48">
        <v>5</v>
      </c>
      <c r="P16" s="48">
        <v>6</v>
      </c>
      <c r="Q16" s="48">
        <v>7</v>
      </c>
      <c r="R16" s="48">
        <v>9</v>
      </c>
      <c r="S16" s="48">
        <v>18</v>
      </c>
      <c r="T16" s="48">
        <v>30</v>
      </c>
      <c r="U16">
        <v>15</v>
      </c>
      <c r="V16">
        <v>9120</v>
      </c>
      <c r="W16">
        <v>3</v>
      </c>
      <c r="X16">
        <v>1500</v>
      </c>
      <c r="Y16">
        <v>15</v>
      </c>
      <c r="Z16">
        <v>4500</v>
      </c>
      <c r="AA16">
        <v>10</v>
      </c>
      <c r="AC16">
        <v>15</v>
      </c>
      <c r="AD16">
        <f t="shared" si="1"/>
        <v>4</v>
      </c>
      <c r="AE16" cm="1">
        <f t="array" ref="AE16">INDEX(X:X, AD16+1)*AC16</f>
        <v>6000</v>
      </c>
    </row>
    <row r="17" spans="1:31">
      <c r="A17">
        <v>16</v>
      </c>
      <c r="B17">
        <v>300000000</v>
      </c>
      <c r="C17">
        <v>10000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f t="shared" si="0"/>
        <v>3000000000000</v>
      </c>
      <c r="L17" t="e">
        <f>MATCH(K17, 보스체력!#REF!, 1)</f>
        <v>#REF!</v>
      </c>
      <c r="M17" s="48" t="s">
        <v>97</v>
      </c>
      <c r="N17" s="48">
        <v>7</v>
      </c>
      <c r="O17" s="48">
        <v>6</v>
      </c>
      <c r="P17" s="48">
        <v>7</v>
      </c>
      <c r="Q17" s="48">
        <v>8</v>
      </c>
      <c r="R17" s="48">
        <v>10</v>
      </c>
      <c r="S17" s="48">
        <v>20</v>
      </c>
      <c r="T17" s="48">
        <v>33</v>
      </c>
      <c r="U17">
        <v>16</v>
      </c>
      <c r="V17">
        <v>10140</v>
      </c>
      <c r="W17">
        <v>3</v>
      </c>
      <c r="X17">
        <v>1600</v>
      </c>
      <c r="Y17">
        <v>16</v>
      </c>
      <c r="Z17">
        <v>4800</v>
      </c>
      <c r="AA17">
        <v>10</v>
      </c>
      <c r="AC17">
        <v>16</v>
      </c>
      <c r="AD17">
        <f t="shared" si="1"/>
        <v>4</v>
      </c>
      <c r="AE17" cm="1">
        <f t="array" ref="AE17">INDEX(X:X, AD17+1)*AC17</f>
        <v>6400</v>
      </c>
    </row>
    <row r="18" spans="1:31">
      <c r="A18">
        <v>17</v>
      </c>
      <c r="B18">
        <v>500000000</v>
      </c>
      <c r="C18">
        <v>10000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f t="shared" si="0"/>
        <v>5000000000000</v>
      </c>
      <c r="L18" t="e">
        <f>MATCH(K18, 보스체력!#REF!, 1)</f>
        <v>#REF!</v>
      </c>
      <c r="M18" s="48" t="s">
        <v>98</v>
      </c>
      <c r="N18" s="48">
        <v>7</v>
      </c>
      <c r="O18" s="48">
        <v>6</v>
      </c>
      <c r="P18" s="48">
        <v>7</v>
      </c>
      <c r="Q18" s="48">
        <v>8</v>
      </c>
      <c r="R18" s="48">
        <v>10</v>
      </c>
      <c r="S18" s="48">
        <v>20</v>
      </c>
      <c r="T18" s="48">
        <v>33</v>
      </c>
      <c r="U18">
        <v>17</v>
      </c>
      <c r="V18">
        <v>11160</v>
      </c>
      <c r="W18">
        <v>3</v>
      </c>
      <c r="X18">
        <v>1700</v>
      </c>
      <c r="Y18">
        <v>17</v>
      </c>
      <c r="Z18">
        <v>5100</v>
      </c>
      <c r="AA18">
        <v>10</v>
      </c>
      <c r="AC18">
        <v>17</v>
      </c>
      <c r="AD18">
        <f t="shared" si="1"/>
        <v>4</v>
      </c>
      <c r="AE18" cm="1">
        <f t="array" ref="AE18">INDEX(X:X, AD18+1)*AC18</f>
        <v>6800</v>
      </c>
    </row>
    <row r="19" spans="1:31">
      <c r="A19">
        <v>18</v>
      </c>
      <c r="B19">
        <v>700000000</v>
      </c>
      <c r="C19">
        <v>10000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f t="shared" si="0"/>
        <v>7000000000000</v>
      </c>
      <c r="L19" t="e">
        <f>MATCH(K19, 보스체력!#REF!, 1)</f>
        <v>#REF!</v>
      </c>
      <c r="M19" s="48" t="s">
        <v>99</v>
      </c>
      <c r="N19" s="48">
        <v>7</v>
      </c>
      <c r="O19" s="48">
        <v>6</v>
      </c>
      <c r="P19" s="48">
        <v>7</v>
      </c>
      <c r="Q19" s="48">
        <v>8</v>
      </c>
      <c r="R19" s="48">
        <v>10</v>
      </c>
      <c r="S19" s="48">
        <v>20</v>
      </c>
      <c r="T19" s="48">
        <v>33</v>
      </c>
      <c r="U19">
        <v>18</v>
      </c>
      <c r="V19">
        <v>12180</v>
      </c>
      <c r="W19">
        <v>3</v>
      </c>
      <c r="X19">
        <v>1800</v>
      </c>
      <c r="Y19">
        <v>18</v>
      </c>
      <c r="Z19">
        <v>5400</v>
      </c>
      <c r="AA19">
        <v>10</v>
      </c>
      <c r="AC19">
        <v>18</v>
      </c>
      <c r="AD19">
        <f t="shared" si="1"/>
        <v>4</v>
      </c>
      <c r="AE19" cm="1">
        <f t="array" ref="AE19">INDEX(X:X, AD19+1)*AC19</f>
        <v>7200</v>
      </c>
    </row>
    <row r="20" spans="1:31">
      <c r="A20">
        <v>19</v>
      </c>
      <c r="B20">
        <v>900000000</v>
      </c>
      <c r="C20">
        <v>10000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f t="shared" si="0"/>
        <v>9000000000000</v>
      </c>
      <c r="L20" t="e">
        <f>MATCH(K20, 보스체력!#REF!, 1)</f>
        <v>#REF!</v>
      </c>
      <c r="M20" s="48"/>
      <c r="N20" s="48">
        <v>7</v>
      </c>
      <c r="O20" s="48">
        <v>6</v>
      </c>
      <c r="P20" s="48">
        <v>7</v>
      </c>
      <c r="Q20" s="48">
        <v>8</v>
      </c>
      <c r="R20" s="48">
        <v>10</v>
      </c>
      <c r="S20" s="48">
        <v>20</v>
      </c>
      <c r="T20" s="48">
        <v>33</v>
      </c>
      <c r="U20">
        <v>19</v>
      </c>
      <c r="V20">
        <v>13210</v>
      </c>
      <c r="W20">
        <v>4</v>
      </c>
      <c r="X20">
        <v>1900</v>
      </c>
      <c r="Y20">
        <v>19</v>
      </c>
      <c r="Z20">
        <v>5700</v>
      </c>
      <c r="AA20">
        <v>10</v>
      </c>
      <c r="AC20">
        <v>19</v>
      </c>
      <c r="AD20">
        <f t="shared" si="1"/>
        <v>4</v>
      </c>
      <c r="AE20" cm="1">
        <f t="array" ref="AE20">INDEX(X:X, AD20+1)*AC20</f>
        <v>7600</v>
      </c>
    </row>
    <row r="21" spans="1:31">
      <c r="A21">
        <v>20</v>
      </c>
      <c r="B21">
        <v>100000000</v>
      </c>
      <c r="C21">
        <v>100000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f t="shared" si="0"/>
        <v>10000000000000</v>
      </c>
      <c r="L21" t="e">
        <f>MATCH(K21, 보스체력!#REF!, 1)</f>
        <v>#REF!</v>
      </c>
      <c r="M21" s="48"/>
      <c r="N21" s="48"/>
      <c r="O21" s="48">
        <f t="shared" ref="O21:S21" si="2">SUM(O12:O20)*6</f>
        <v>234</v>
      </c>
      <c r="P21" s="48">
        <f t="shared" si="2"/>
        <v>288</v>
      </c>
      <c r="Q21" s="48">
        <f t="shared" si="2"/>
        <v>342</v>
      </c>
      <c r="R21" s="48">
        <f t="shared" si="2"/>
        <v>438</v>
      </c>
      <c r="S21" s="48">
        <f t="shared" si="2"/>
        <v>852</v>
      </c>
      <c r="T21" s="48">
        <f>SUM(T12:T20)*6</f>
        <v>1416</v>
      </c>
      <c r="U21">
        <v>20</v>
      </c>
      <c r="V21">
        <v>15060</v>
      </c>
      <c r="W21">
        <v>4</v>
      </c>
      <c r="X21">
        <v>2000</v>
      </c>
      <c r="Y21">
        <v>20</v>
      </c>
      <c r="Z21">
        <v>6000</v>
      </c>
      <c r="AA21">
        <v>10</v>
      </c>
      <c r="AC21">
        <v>20</v>
      </c>
      <c r="AD21">
        <f t="shared" si="1"/>
        <v>5</v>
      </c>
      <c r="AE21" cm="1">
        <f t="array" ref="AE21">INDEX(X:X, AD21+1)*AC21</f>
        <v>10000</v>
      </c>
    </row>
    <row r="22" spans="1:31">
      <c r="A22">
        <v>21</v>
      </c>
      <c r="B22">
        <v>300000000</v>
      </c>
      <c r="C22">
        <v>100000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f t="shared" si="0"/>
        <v>30000000000000</v>
      </c>
      <c r="L22" t="e">
        <f>MATCH(K22, 보스체력!#REF!, 1)</f>
        <v>#REF!</v>
      </c>
      <c r="U22">
        <v>21</v>
      </c>
      <c r="V22">
        <v>16900</v>
      </c>
      <c r="W22">
        <v>4</v>
      </c>
      <c r="X22">
        <v>2100</v>
      </c>
      <c r="Y22">
        <v>20</v>
      </c>
      <c r="Z22">
        <v>6300</v>
      </c>
      <c r="AA22">
        <v>10</v>
      </c>
      <c r="AC22">
        <v>21</v>
      </c>
      <c r="AD22">
        <f t="shared" si="1"/>
        <v>5</v>
      </c>
      <c r="AE22" cm="1">
        <f t="array" ref="AE22">INDEX(X:X, AD22+1)*AC22</f>
        <v>10500</v>
      </c>
    </row>
    <row r="23" spans="1:31">
      <c r="A23">
        <v>22</v>
      </c>
      <c r="B23">
        <v>500000000</v>
      </c>
      <c r="C23">
        <v>100000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f t="shared" si="0"/>
        <v>50000000000000</v>
      </c>
      <c r="L23" t="e">
        <f>MATCH(K23, 보스체력!#REF!, 1)</f>
        <v>#REF!</v>
      </c>
      <c r="U23">
        <v>22</v>
      </c>
      <c r="V23">
        <v>18700</v>
      </c>
      <c r="W23">
        <v>4</v>
      </c>
      <c r="X23">
        <v>2200</v>
      </c>
      <c r="Y23">
        <v>20</v>
      </c>
      <c r="Z23">
        <v>6600</v>
      </c>
      <c r="AA23">
        <v>10</v>
      </c>
      <c r="AC23">
        <v>22</v>
      </c>
      <c r="AD23">
        <f t="shared" si="1"/>
        <v>5</v>
      </c>
      <c r="AE23" cm="1">
        <f t="array" ref="AE23">INDEX(X:X, AD23+1)*AC23</f>
        <v>11000</v>
      </c>
    </row>
    <row r="24" spans="1:31">
      <c r="A24">
        <v>23</v>
      </c>
      <c r="B24">
        <v>700000000</v>
      </c>
      <c r="C24">
        <v>100000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f t="shared" si="0"/>
        <v>70000000000000</v>
      </c>
      <c r="L24" t="e">
        <f>MATCH(K24, 보스체력!#REF!, 1)</f>
        <v>#REF!</v>
      </c>
      <c r="U24">
        <v>23</v>
      </c>
      <c r="V24">
        <v>20600</v>
      </c>
      <c r="W24">
        <v>4</v>
      </c>
      <c r="X24">
        <v>2300</v>
      </c>
      <c r="Y24">
        <v>20</v>
      </c>
      <c r="Z24">
        <v>6900</v>
      </c>
      <c r="AA24">
        <v>10</v>
      </c>
      <c r="AC24">
        <v>23</v>
      </c>
      <c r="AD24">
        <f t="shared" si="1"/>
        <v>5</v>
      </c>
      <c r="AE24" cm="1">
        <f t="array" ref="AE24">INDEX(X:X, AD24+1)*AC24</f>
        <v>11500</v>
      </c>
    </row>
    <row r="25" spans="1:31">
      <c r="A25">
        <v>24</v>
      </c>
      <c r="B25">
        <v>900000000</v>
      </c>
      <c r="C25">
        <v>100000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f t="shared" si="0"/>
        <v>90000000000000</v>
      </c>
      <c r="L25" t="e">
        <f>MATCH(K25, 보스체력!#REF!, 1)</f>
        <v>#REF!</v>
      </c>
      <c r="U25">
        <v>24</v>
      </c>
      <c r="V25">
        <v>22470</v>
      </c>
      <c r="W25">
        <v>4</v>
      </c>
      <c r="X25">
        <v>2400</v>
      </c>
      <c r="Y25">
        <v>20</v>
      </c>
      <c r="Z25">
        <v>7200</v>
      </c>
      <c r="AA25">
        <v>10</v>
      </c>
      <c r="AC25">
        <v>24</v>
      </c>
      <c r="AD25">
        <f t="shared" si="1"/>
        <v>5</v>
      </c>
      <c r="AE25" cm="1">
        <f t="array" ref="AE25">INDEX(X:X, AD25+1)*AC25</f>
        <v>12000</v>
      </c>
    </row>
    <row r="26" spans="1:31">
      <c r="A26">
        <v>25</v>
      </c>
      <c r="B26">
        <v>100000000</v>
      </c>
      <c r="C26">
        <v>1000000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f t="shared" si="0"/>
        <v>100000000000000</v>
      </c>
      <c r="L26" t="e">
        <f>MATCH(K26, 보스체력!#REF!, 1)</f>
        <v>#REF!</v>
      </c>
      <c r="U26">
        <v>25</v>
      </c>
      <c r="V26">
        <v>24300</v>
      </c>
      <c r="W26">
        <v>5</v>
      </c>
      <c r="X26">
        <v>2500</v>
      </c>
      <c r="Y26">
        <v>20</v>
      </c>
      <c r="Z26">
        <v>7500</v>
      </c>
      <c r="AA26">
        <v>10</v>
      </c>
      <c r="AC26">
        <v>25</v>
      </c>
      <c r="AD26">
        <f t="shared" si="1"/>
        <v>6</v>
      </c>
      <c r="AE26" cm="1">
        <f t="array" ref="AE26">INDEX(X:X, AD26+1)*AC26</f>
        <v>15000</v>
      </c>
    </row>
    <row r="27" spans="1:31">
      <c r="A27">
        <v>26</v>
      </c>
      <c r="B27">
        <v>300000000</v>
      </c>
      <c r="C27">
        <v>1000000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f t="shared" si="0"/>
        <v>300000000000000</v>
      </c>
      <c r="L27" t="e">
        <f>MATCH(K27, 보스체력!#REF!, 1)</f>
        <v>#REF!</v>
      </c>
      <c r="U27">
        <v>26</v>
      </c>
      <c r="V27">
        <v>26170</v>
      </c>
      <c r="W27">
        <v>5</v>
      </c>
      <c r="X27">
        <v>2600</v>
      </c>
      <c r="Y27">
        <v>20</v>
      </c>
      <c r="Z27">
        <v>7800</v>
      </c>
      <c r="AA27">
        <v>10</v>
      </c>
      <c r="AC27">
        <v>26</v>
      </c>
      <c r="AD27">
        <f t="shared" si="1"/>
        <v>6</v>
      </c>
      <c r="AE27" cm="1">
        <f t="array" ref="AE27">INDEX(X:X, AD27+1)*AC27</f>
        <v>15600</v>
      </c>
    </row>
    <row r="28" spans="1:31">
      <c r="A28">
        <v>27</v>
      </c>
      <c r="B28">
        <v>500000000</v>
      </c>
      <c r="C28">
        <v>1000000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f t="shared" si="0"/>
        <v>500000000000000</v>
      </c>
      <c r="L28" t="e">
        <f>MATCH(K28, 보스체력!#REF!, 1)</f>
        <v>#REF!</v>
      </c>
      <c r="U28">
        <v>27</v>
      </c>
      <c r="V28">
        <v>28000</v>
      </c>
      <c r="W28">
        <v>5</v>
      </c>
      <c r="X28">
        <v>2700</v>
      </c>
      <c r="Y28">
        <v>20</v>
      </c>
      <c r="Z28">
        <v>8100</v>
      </c>
      <c r="AA28">
        <v>10</v>
      </c>
      <c r="AC28">
        <v>27</v>
      </c>
      <c r="AD28">
        <f t="shared" si="1"/>
        <v>6</v>
      </c>
      <c r="AE28" cm="1">
        <f t="array" ref="AE28">INDEX(X:X, AD28+1)*AC28</f>
        <v>16200</v>
      </c>
    </row>
    <row r="29" spans="1:31">
      <c r="A29">
        <v>28</v>
      </c>
      <c r="B29">
        <v>700000000</v>
      </c>
      <c r="C29">
        <v>1000000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f t="shared" si="0"/>
        <v>700000000000000</v>
      </c>
      <c r="L29" t="e">
        <f>MATCH(K29, 보스체력!#REF!, 1)</f>
        <v>#REF!</v>
      </c>
      <c r="U29">
        <v>28</v>
      </c>
      <c r="V29">
        <v>29800</v>
      </c>
      <c r="W29">
        <v>5</v>
      </c>
      <c r="X29">
        <v>2800</v>
      </c>
      <c r="Y29">
        <v>20</v>
      </c>
      <c r="Z29">
        <v>8400</v>
      </c>
      <c r="AA29">
        <v>10</v>
      </c>
      <c r="AC29">
        <v>28</v>
      </c>
      <c r="AD29">
        <f t="shared" si="1"/>
        <v>6</v>
      </c>
      <c r="AE29" cm="1">
        <f t="array" ref="AE29">INDEX(X:X, AD29+1)*AC29</f>
        <v>16800</v>
      </c>
    </row>
    <row r="30" spans="1:31">
      <c r="A30">
        <v>29</v>
      </c>
      <c r="B30">
        <v>900000000</v>
      </c>
      <c r="C30">
        <v>1000000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f t="shared" si="0"/>
        <v>900000000000000</v>
      </c>
      <c r="L30" t="e">
        <f>MATCH(K30, 보스체력!#REF!, 1)</f>
        <v>#REF!</v>
      </c>
      <c r="U30">
        <v>29</v>
      </c>
      <c r="V30">
        <v>31730</v>
      </c>
      <c r="W30">
        <v>5</v>
      </c>
      <c r="X30">
        <v>2900</v>
      </c>
      <c r="Y30">
        <v>20</v>
      </c>
      <c r="Z30">
        <v>8700</v>
      </c>
      <c r="AA30">
        <v>10</v>
      </c>
      <c r="AC30">
        <v>29</v>
      </c>
      <c r="AD30">
        <f t="shared" si="1"/>
        <v>6</v>
      </c>
      <c r="AE30" cm="1">
        <f t="array" ref="AE30">INDEX(X:X, AD30+1)*AC30</f>
        <v>17400</v>
      </c>
    </row>
    <row r="31" spans="1:31">
      <c r="A31">
        <v>30</v>
      </c>
      <c r="B31">
        <v>100000000</v>
      </c>
      <c r="C31">
        <v>10000000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f t="shared" si="0"/>
        <v>1000000000000000</v>
      </c>
      <c r="L31" t="e">
        <f>MATCH(K31, 보스체력!#REF!, 1)</f>
        <v>#REF!</v>
      </c>
      <c r="U31">
        <v>30</v>
      </c>
      <c r="V31">
        <v>34000</v>
      </c>
      <c r="W31">
        <v>5</v>
      </c>
      <c r="X31">
        <v>3000</v>
      </c>
      <c r="Y31">
        <v>20</v>
      </c>
      <c r="Z31">
        <v>9000</v>
      </c>
      <c r="AA31">
        <v>10</v>
      </c>
      <c r="AC31">
        <v>30</v>
      </c>
      <c r="AD31">
        <f t="shared" si="1"/>
        <v>7</v>
      </c>
      <c r="AE31" cm="1">
        <f t="array" ref="AE31">INDEX(X:X, AD31+1)*AC31</f>
        <v>21000</v>
      </c>
    </row>
    <row r="32" spans="1:31">
      <c r="A32">
        <v>31</v>
      </c>
      <c r="B32">
        <v>300000000</v>
      </c>
      <c r="C32">
        <v>10000000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f t="shared" si="0"/>
        <v>3000000000000000</v>
      </c>
      <c r="L32" t="e">
        <f>MATCH(K32, 보스체력!#REF!, 1)</f>
        <v>#REF!</v>
      </c>
      <c r="U32">
        <v>31</v>
      </c>
      <c r="V32">
        <v>36400</v>
      </c>
      <c r="W32">
        <v>6</v>
      </c>
      <c r="X32">
        <v>3100</v>
      </c>
      <c r="Y32">
        <v>20</v>
      </c>
      <c r="Z32">
        <v>9300</v>
      </c>
      <c r="AA32">
        <v>10</v>
      </c>
      <c r="AC32">
        <v>31</v>
      </c>
      <c r="AD32">
        <f t="shared" si="1"/>
        <v>7</v>
      </c>
      <c r="AE32" cm="1">
        <f t="array" ref="AE32">INDEX(X:X, AD32+1)*AC32</f>
        <v>21700</v>
      </c>
    </row>
    <row r="33" spans="1:31">
      <c r="A33">
        <v>32</v>
      </c>
      <c r="B33">
        <v>500000000</v>
      </c>
      <c r="C33">
        <v>10000000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f t="shared" si="0"/>
        <v>5000000000000000</v>
      </c>
      <c r="L33" t="e">
        <f>MATCH(K33, 보스체력!#REF!, 1)</f>
        <v>#REF!</v>
      </c>
      <c r="U33">
        <v>32</v>
      </c>
      <c r="V33">
        <v>39000</v>
      </c>
      <c r="W33">
        <v>6</v>
      </c>
      <c r="X33">
        <v>3200</v>
      </c>
      <c r="Y33">
        <v>20</v>
      </c>
      <c r="Z33">
        <v>9600</v>
      </c>
      <c r="AA33">
        <v>10</v>
      </c>
      <c r="AC33">
        <v>32</v>
      </c>
      <c r="AD33">
        <f t="shared" si="1"/>
        <v>7</v>
      </c>
      <c r="AE33" cm="1">
        <f t="array" ref="AE33">INDEX(X:X, AD33+1)*AC33</f>
        <v>22400</v>
      </c>
    </row>
    <row r="34" spans="1:31">
      <c r="A34">
        <v>33</v>
      </c>
      <c r="B34">
        <v>700000000</v>
      </c>
      <c r="C34">
        <v>10000000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f t="shared" si="0"/>
        <v>7000000000000000</v>
      </c>
      <c r="L34" t="e">
        <f>MATCH(K34, 보스체력!#REF!, 1)</f>
        <v>#REF!</v>
      </c>
      <c r="U34">
        <v>33</v>
      </c>
      <c r="V34">
        <v>41200</v>
      </c>
      <c r="W34">
        <v>6</v>
      </c>
      <c r="X34">
        <v>3300</v>
      </c>
      <c r="Y34">
        <v>20</v>
      </c>
      <c r="Z34">
        <v>9900</v>
      </c>
      <c r="AA34">
        <v>10</v>
      </c>
      <c r="AC34">
        <v>33</v>
      </c>
      <c r="AD34">
        <f t="shared" si="1"/>
        <v>7</v>
      </c>
      <c r="AE34" cm="1">
        <f t="array" ref="AE34">INDEX(X:X, AD34+1)*AC34</f>
        <v>23100</v>
      </c>
    </row>
    <row r="35" spans="1:31">
      <c r="A35">
        <v>34</v>
      </c>
      <c r="B35">
        <v>900000000</v>
      </c>
      <c r="C35">
        <v>10000000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f t="shared" si="0"/>
        <v>9000000000000000</v>
      </c>
      <c r="L35" t="e">
        <f>MATCH(K35, 보스체력!#REF!, 1)</f>
        <v>#REF!</v>
      </c>
      <c r="U35">
        <v>34</v>
      </c>
      <c r="V35">
        <v>43500</v>
      </c>
      <c r="W35">
        <v>6</v>
      </c>
      <c r="X35">
        <v>3400</v>
      </c>
      <c r="Y35">
        <v>20</v>
      </c>
      <c r="Z35">
        <v>10200</v>
      </c>
      <c r="AA35">
        <v>10</v>
      </c>
      <c r="AC35">
        <v>34</v>
      </c>
      <c r="AD35">
        <f t="shared" si="1"/>
        <v>7</v>
      </c>
      <c r="AE35" cm="1">
        <f t="array" ref="AE35">INDEX(X:X, AD35+1)*AC35</f>
        <v>23800</v>
      </c>
    </row>
    <row r="36" spans="1:31">
      <c r="A36">
        <v>35</v>
      </c>
      <c r="B36">
        <v>100000000</v>
      </c>
      <c r="C36">
        <v>100000000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f t="shared" si="0"/>
        <v>1E+16</v>
      </c>
      <c r="L36" t="e">
        <f>MATCH(K36, 보스체력!#REF!, 1)</f>
        <v>#REF!</v>
      </c>
      <c r="U36">
        <v>35</v>
      </c>
      <c r="V36">
        <v>45800</v>
      </c>
      <c r="W36">
        <v>6</v>
      </c>
      <c r="X36">
        <v>3500</v>
      </c>
      <c r="Y36">
        <v>20</v>
      </c>
      <c r="Z36">
        <v>10500</v>
      </c>
      <c r="AA36">
        <v>10</v>
      </c>
      <c r="AC36">
        <v>35</v>
      </c>
      <c r="AD36">
        <f t="shared" si="1"/>
        <v>8</v>
      </c>
      <c r="AE36" cm="1">
        <f t="array" ref="AE36">INDEX(X:X, AD36+1)*AC36</f>
        <v>28000</v>
      </c>
    </row>
    <row r="37" spans="1:31">
      <c r="A37">
        <v>36</v>
      </c>
      <c r="B37">
        <v>300000000</v>
      </c>
      <c r="C37">
        <v>100000000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f t="shared" si="0"/>
        <v>3E+16</v>
      </c>
      <c r="L37" t="e">
        <f>MATCH(K37, 보스체력!#REF!, 1)</f>
        <v>#REF!</v>
      </c>
      <c r="U37">
        <v>36</v>
      </c>
      <c r="V37">
        <v>48250</v>
      </c>
      <c r="W37">
        <v>6</v>
      </c>
      <c r="X37">
        <v>3600</v>
      </c>
      <c r="Y37">
        <v>20</v>
      </c>
      <c r="Z37">
        <v>10800</v>
      </c>
      <c r="AA37">
        <v>10</v>
      </c>
      <c r="AC37">
        <v>36</v>
      </c>
      <c r="AD37">
        <f t="shared" si="1"/>
        <v>8</v>
      </c>
      <c r="AE37" cm="1">
        <f t="array" ref="AE37">INDEX(X:X, AD37+1)*AC37</f>
        <v>28800</v>
      </c>
    </row>
    <row r="38" spans="1:31">
      <c r="A38">
        <v>37</v>
      </c>
      <c r="B38">
        <v>500000000</v>
      </c>
      <c r="C38">
        <v>100000000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f t="shared" si="0"/>
        <v>5E+16</v>
      </c>
      <c r="L38" t="e">
        <f>MATCH(K38, 보스체력!#REF!, 1)</f>
        <v>#REF!</v>
      </c>
      <c r="U38">
        <v>37</v>
      </c>
      <c r="V38">
        <v>50600</v>
      </c>
      <c r="W38">
        <v>7</v>
      </c>
      <c r="X38">
        <v>3700</v>
      </c>
      <c r="Y38">
        <v>20</v>
      </c>
      <c r="Z38">
        <v>11100</v>
      </c>
      <c r="AA38">
        <v>10</v>
      </c>
      <c r="AC38">
        <v>37</v>
      </c>
      <c r="AD38">
        <f t="shared" si="1"/>
        <v>8</v>
      </c>
      <c r="AE38" cm="1">
        <f t="array" ref="AE38">INDEX(X:X, AD38+1)*AC38</f>
        <v>29600</v>
      </c>
    </row>
    <row r="39" spans="1:31">
      <c r="A39">
        <v>38</v>
      </c>
      <c r="B39">
        <v>700000000</v>
      </c>
      <c r="C39">
        <v>100000000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f t="shared" si="0"/>
        <v>7E+16</v>
      </c>
      <c r="L39" t="e">
        <f>MATCH(K39, 보스체력!#REF!, 1)</f>
        <v>#REF!</v>
      </c>
      <c r="U39">
        <v>38</v>
      </c>
      <c r="V39">
        <v>53000</v>
      </c>
      <c r="W39">
        <v>7</v>
      </c>
      <c r="X39">
        <v>3800</v>
      </c>
      <c r="Y39">
        <v>20</v>
      </c>
      <c r="Z39">
        <v>11400</v>
      </c>
      <c r="AA39">
        <v>10</v>
      </c>
      <c r="AC39">
        <v>38</v>
      </c>
      <c r="AD39">
        <f t="shared" si="1"/>
        <v>8</v>
      </c>
      <c r="AE39" cm="1">
        <f t="array" ref="AE39">INDEX(X:X, AD39+1)*AC39</f>
        <v>30400</v>
      </c>
    </row>
    <row r="40" spans="1:31">
      <c r="A40">
        <v>39</v>
      </c>
      <c r="B40">
        <v>900000000</v>
      </c>
      <c r="C40">
        <v>100000000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f t="shared" si="0"/>
        <v>9E+16</v>
      </c>
      <c r="L40" t="e">
        <f>MATCH(K40, 보스체력!#REF!, 1)</f>
        <v>#REF!</v>
      </c>
      <c r="U40">
        <v>39</v>
      </c>
      <c r="V40">
        <v>55340</v>
      </c>
      <c r="W40">
        <v>7</v>
      </c>
      <c r="X40">
        <v>3900</v>
      </c>
      <c r="Y40">
        <v>20</v>
      </c>
      <c r="Z40">
        <v>11700</v>
      </c>
      <c r="AA40">
        <v>10</v>
      </c>
      <c r="AC40">
        <v>39</v>
      </c>
      <c r="AD40">
        <f t="shared" si="1"/>
        <v>8</v>
      </c>
      <c r="AE40" cm="1">
        <f t="array" ref="AE40">INDEX(X:X, AD40+1)*AC40</f>
        <v>31200</v>
      </c>
    </row>
    <row r="41" spans="1:31">
      <c r="A41">
        <v>40</v>
      </c>
      <c r="B41">
        <v>100000000</v>
      </c>
      <c r="C41">
        <v>100000000</v>
      </c>
      <c r="D41">
        <v>10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f t="shared" si="0"/>
        <v>1E+17</v>
      </c>
      <c r="L41" t="e">
        <f>MATCH(K41, 보스체력!#REF!, 1)</f>
        <v>#REF!</v>
      </c>
      <c r="U41">
        <v>40</v>
      </c>
      <c r="V41">
        <v>57700</v>
      </c>
      <c r="W41">
        <v>7</v>
      </c>
      <c r="X41">
        <v>4000</v>
      </c>
      <c r="Y41">
        <v>20</v>
      </c>
      <c r="Z41">
        <v>12000</v>
      </c>
      <c r="AA41">
        <v>10</v>
      </c>
      <c r="AC41">
        <v>40</v>
      </c>
      <c r="AD41">
        <f t="shared" si="1"/>
        <v>9</v>
      </c>
      <c r="AE41" cm="1">
        <f t="array" ref="AE41">INDEX(X:X, AD41+1)*AC41</f>
        <v>36000</v>
      </c>
    </row>
    <row r="42" spans="1:31">
      <c r="A42">
        <v>41</v>
      </c>
      <c r="B42">
        <v>300000000</v>
      </c>
      <c r="C42">
        <v>100000000</v>
      </c>
      <c r="D42">
        <v>10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f t="shared" si="0"/>
        <v>3E+17</v>
      </c>
      <c r="L42" t="e">
        <f>MATCH(K42, 보스체력!#REF!, 1)</f>
        <v>#REF!</v>
      </c>
      <c r="U42">
        <v>41</v>
      </c>
      <c r="V42">
        <v>60000</v>
      </c>
      <c r="W42">
        <v>7</v>
      </c>
      <c r="X42">
        <v>4100</v>
      </c>
      <c r="Y42">
        <v>20</v>
      </c>
      <c r="Z42">
        <v>12300</v>
      </c>
      <c r="AA42">
        <v>10</v>
      </c>
      <c r="AC42">
        <v>41</v>
      </c>
      <c r="AD42">
        <f t="shared" si="1"/>
        <v>9</v>
      </c>
      <c r="AE42" cm="1">
        <f t="array" ref="AE42">INDEX(X:X, AD42+1)*AC42</f>
        <v>36900</v>
      </c>
    </row>
    <row r="43" spans="1:31">
      <c r="A43">
        <v>42</v>
      </c>
      <c r="B43">
        <v>500000000</v>
      </c>
      <c r="C43">
        <v>100000000</v>
      </c>
      <c r="D43">
        <v>10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f t="shared" si="0"/>
        <v>5E+17</v>
      </c>
      <c r="L43" t="e">
        <f>MATCH(K43, 보스체력!#REF!, 1)</f>
        <v>#REF!</v>
      </c>
      <c r="U43">
        <v>42</v>
      </c>
      <c r="V43">
        <v>62400</v>
      </c>
      <c r="W43">
        <v>7</v>
      </c>
      <c r="X43">
        <v>4200</v>
      </c>
      <c r="Y43">
        <v>20</v>
      </c>
      <c r="Z43">
        <v>12600</v>
      </c>
      <c r="AA43">
        <v>10</v>
      </c>
      <c r="AC43">
        <v>42</v>
      </c>
      <c r="AD43">
        <f t="shared" si="1"/>
        <v>9</v>
      </c>
      <c r="AE43" cm="1">
        <f t="array" ref="AE43">INDEX(X:X, AD43+1)*AC43</f>
        <v>37800</v>
      </c>
    </row>
    <row r="44" spans="1:31">
      <c r="A44">
        <v>43</v>
      </c>
      <c r="B44">
        <v>700000000</v>
      </c>
      <c r="C44">
        <v>100000000</v>
      </c>
      <c r="D44">
        <v>10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f t="shared" si="0"/>
        <v>7E+17</v>
      </c>
      <c r="L44" t="e">
        <f>MATCH(K44, 보스체력!#REF!, 1)</f>
        <v>#REF!</v>
      </c>
      <c r="U44">
        <v>43</v>
      </c>
      <c r="V44">
        <v>64700</v>
      </c>
      <c r="W44">
        <v>8</v>
      </c>
      <c r="X44">
        <v>4300</v>
      </c>
      <c r="Y44">
        <v>20</v>
      </c>
      <c r="Z44">
        <v>12900</v>
      </c>
      <c r="AA44">
        <v>10</v>
      </c>
      <c r="AC44">
        <v>43</v>
      </c>
      <c r="AD44">
        <f t="shared" si="1"/>
        <v>9</v>
      </c>
      <c r="AE44" cm="1">
        <f t="array" ref="AE44">INDEX(X:X, AD44+1)*AC44</f>
        <v>38700</v>
      </c>
    </row>
    <row r="45" spans="1:31">
      <c r="A45">
        <v>44</v>
      </c>
      <c r="B45">
        <v>900000000</v>
      </c>
      <c r="C45">
        <v>100000000</v>
      </c>
      <c r="D45">
        <v>10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f t="shared" si="0"/>
        <v>9E+17</v>
      </c>
      <c r="L45" t="e">
        <f>MATCH(K45, 보스체력!#REF!, 1)</f>
        <v>#REF!</v>
      </c>
      <c r="U45">
        <v>44</v>
      </c>
      <c r="V45">
        <v>67100</v>
      </c>
      <c r="W45">
        <v>8</v>
      </c>
      <c r="X45">
        <v>4400</v>
      </c>
      <c r="Y45">
        <v>20</v>
      </c>
      <c r="Z45">
        <v>13200</v>
      </c>
      <c r="AA45">
        <v>10</v>
      </c>
      <c r="AC45">
        <v>44</v>
      </c>
      <c r="AD45">
        <f t="shared" si="1"/>
        <v>9</v>
      </c>
      <c r="AE45" cm="1">
        <f t="array" ref="AE45">INDEX(X:X, AD45+1)*AC45</f>
        <v>39600</v>
      </c>
    </row>
    <row r="46" spans="1:31">
      <c r="A46">
        <v>45</v>
      </c>
      <c r="B46">
        <v>100000000</v>
      </c>
      <c r="C46">
        <v>100000000</v>
      </c>
      <c r="D46">
        <v>100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f t="shared" si="0"/>
        <v>1E+18</v>
      </c>
      <c r="L46" t="e">
        <f>MATCH(K46, 보스체력!#REF!, 1)</f>
        <v>#REF!</v>
      </c>
      <c r="U46">
        <v>45</v>
      </c>
      <c r="V46">
        <v>69500</v>
      </c>
      <c r="W46">
        <v>8</v>
      </c>
      <c r="X46">
        <v>4500</v>
      </c>
      <c r="Y46">
        <v>20</v>
      </c>
      <c r="Z46">
        <v>13500</v>
      </c>
      <c r="AA46">
        <v>10</v>
      </c>
      <c r="AC46">
        <v>45</v>
      </c>
      <c r="AD46">
        <f t="shared" si="1"/>
        <v>10</v>
      </c>
      <c r="AE46" cm="1">
        <f t="array" ref="AE46">INDEX(X:X, AD46+1)*AC46</f>
        <v>45000</v>
      </c>
    </row>
    <row r="47" spans="1:31">
      <c r="A47">
        <v>46</v>
      </c>
      <c r="B47">
        <v>300000000</v>
      </c>
      <c r="C47">
        <v>100000000</v>
      </c>
      <c r="D47">
        <v>100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f t="shared" si="0"/>
        <v>3E+18</v>
      </c>
      <c r="L47" t="e">
        <f>MATCH(K47, 보스체력!#REF!, 1)</f>
        <v>#REF!</v>
      </c>
      <c r="U47">
        <v>46</v>
      </c>
      <c r="V47">
        <v>71800</v>
      </c>
      <c r="W47">
        <v>8</v>
      </c>
      <c r="X47">
        <v>4600</v>
      </c>
      <c r="Y47">
        <v>20</v>
      </c>
      <c r="Z47">
        <v>13800</v>
      </c>
      <c r="AA47">
        <v>10</v>
      </c>
      <c r="AC47">
        <v>46</v>
      </c>
      <c r="AD47">
        <f t="shared" si="1"/>
        <v>10</v>
      </c>
      <c r="AE47" cm="1">
        <f t="array" ref="AE47">INDEX(X:X, AD47+1)*AC47</f>
        <v>46000</v>
      </c>
    </row>
    <row r="48" spans="1:31">
      <c r="A48">
        <v>47</v>
      </c>
      <c r="B48">
        <v>500000000</v>
      </c>
      <c r="C48">
        <v>100000000</v>
      </c>
      <c r="D48">
        <v>100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f t="shared" si="0"/>
        <v>5E+18</v>
      </c>
      <c r="L48" t="e">
        <f>MATCH(K48, 보스체력!#REF!, 1)</f>
        <v>#REF!</v>
      </c>
      <c r="U48">
        <v>47</v>
      </c>
      <c r="V48">
        <v>74200</v>
      </c>
      <c r="W48">
        <v>8</v>
      </c>
      <c r="X48">
        <v>4700</v>
      </c>
      <c r="Y48">
        <v>20</v>
      </c>
      <c r="Z48">
        <v>14100</v>
      </c>
      <c r="AA48">
        <v>10</v>
      </c>
      <c r="AC48">
        <v>47</v>
      </c>
      <c r="AD48">
        <f t="shared" si="1"/>
        <v>10</v>
      </c>
      <c r="AE48" cm="1">
        <f t="array" ref="AE48">INDEX(X:X, AD48+1)*AC48</f>
        <v>47000</v>
      </c>
    </row>
    <row r="49" spans="1:31">
      <c r="A49">
        <v>48</v>
      </c>
      <c r="B49">
        <v>700000000</v>
      </c>
      <c r="C49">
        <v>100000000</v>
      </c>
      <c r="D49">
        <v>100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f t="shared" si="0"/>
        <v>7E+18</v>
      </c>
      <c r="L49" t="e">
        <f>MATCH(K49, 보스체력!#REF!, 1)</f>
        <v>#REF!</v>
      </c>
      <c r="U49">
        <v>48</v>
      </c>
      <c r="V49">
        <v>76500</v>
      </c>
      <c r="W49">
        <v>8</v>
      </c>
      <c r="X49">
        <v>4800</v>
      </c>
      <c r="Y49">
        <v>20</v>
      </c>
      <c r="Z49">
        <v>14400</v>
      </c>
      <c r="AA49">
        <v>10</v>
      </c>
      <c r="AC49">
        <v>48</v>
      </c>
      <c r="AD49">
        <f t="shared" si="1"/>
        <v>10</v>
      </c>
      <c r="AE49" cm="1">
        <f t="array" ref="AE49">INDEX(X:X, AD49+1)*AC49</f>
        <v>48000</v>
      </c>
    </row>
    <row r="50" spans="1:31">
      <c r="A50">
        <v>49</v>
      </c>
      <c r="B50">
        <v>900000000</v>
      </c>
      <c r="C50">
        <v>100000000</v>
      </c>
      <c r="D50">
        <v>100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f t="shared" si="0"/>
        <v>9E+18</v>
      </c>
      <c r="L50" t="e">
        <f>MATCH(K50, 보스체력!#REF!, 1)</f>
        <v>#REF!</v>
      </c>
      <c r="U50">
        <v>49</v>
      </c>
      <c r="V50">
        <v>78900</v>
      </c>
      <c r="W50">
        <v>9</v>
      </c>
      <c r="X50">
        <v>4900</v>
      </c>
      <c r="Y50">
        <v>20</v>
      </c>
      <c r="Z50">
        <v>14700</v>
      </c>
      <c r="AA50">
        <v>10</v>
      </c>
      <c r="AC50">
        <v>49</v>
      </c>
      <c r="AD50">
        <f t="shared" si="1"/>
        <v>10</v>
      </c>
      <c r="AE50" cm="1">
        <f t="array" ref="AE50">INDEX(X:X, AD50+1)*AC50</f>
        <v>49000</v>
      </c>
    </row>
    <row r="51" spans="1:31">
      <c r="A51">
        <v>50</v>
      </c>
      <c r="B51">
        <v>900000000</v>
      </c>
      <c r="C51">
        <v>100000000</v>
      </c>
      <c r="D51">
        <v>100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f t="shared" si="0"/>
        <v>9E+18</v>
      </c>
      <c r="L51" t="e">
        <f>MATCH(K51, 보스체력!#REF!, 1)</f>
        <v>#REF!</v>
      </c>
      <c r="U51">
        <v>50</v>
      </c>
      <c r="V51">
        <v>81300</v>
      </c>
      <c r="W51">
        <v>9</v>
      </c>
      <c r="X51">
        <v>5000</v>
      </c>
      <c r="Y51">
        <v>20</v>
      </c>
      <c r="Z51">
        <v>15000</v>
      </c>
      <c r="AA51">
        <v>10</v>
      </c>
      <c r="AC51">
        <v>50</v>
      </c>
      <c r="AD51">
        <f t="shared" si="1"/>
        <v>11</v>
      </c>
      <c r="AE51" cm="1">
        <f t="array" ref="AE51">INDEX(X:X, AD51+1)*AC51</f>
        <v>55000</v>
      </c>
    </row>
    <row r="52" spans="1:31">
      <c r="A52">
        <v>51</v>
      </c>
      <c r="B52">
        <v>110000000</v>
      </c>
      <c r="C52">
        <v>100000000</v>
      </c>
      <c r="D52">
        <v>1000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f t="shared" si="0"/>
        <v>1.1E+19</v>
      </c>
      <c r="L52" t="e">
        <f>MATCH(K52, 보스체력!#REF!, 1)</f>
        <v>#REF!</v>
      </c>
      <c r="U52">
        <v>51</v>
      </c>
      <c r="V52">
        <v>83600</v>
      </c>
      <c r="W52">
        <v>9</v>
      </c>
      <c r="X52">
        <v>5100</v>
      </c>
      <c r="Y52">
        <v>20</v>
      </c>
      <c r="Z52">
        <v>15000</v>
      </c>
      <c r="AA52">
        <v>10</v>
      </c>
      <c r="AC52">
        <v>51</v>
      </c>
      <c r="AD52">
        <f t="shared" si="1"/>
        <v>11</v>
      </c>
      <c r="AE52" cm="1">
        <f t="array" ref="AE52">INDEX(X:X, AD52+1)*AC52</f>
        <v>56100</v>
      </c>
    </row>
    <row r="53" spans="1:31">
      <c r="A53">
        <v>52</v>
      </c>
      <c r="B53">
        <v>300000000</v>
      </c>
      <c r="C53">
        <v>100000000</v>
      </c>
      <c r="D53">
        <v>1000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f t="shared" si="0"/>
        <v>3E+19</v>
      </c>
      <c r="L53" t="e">
        <f>MATCH(K53, 보스체력!#REF!, 1)</f>
        <v>#REF!</v>
      </c>
      <c r="U53">
        <v>52</v>
      </c>
      <c r="V53">
        <v>86000</v>
      </c>
      <c r="W53">
        <v>9</v>
      </c>
      <c r="X53">
        <v>5200</v>
      </c>
      <c r="Y53">
        <v>20</v>
      </c>
      <c r="Z53">
        <v>15000</v>
      </c>
      <c r="AA53">
        <v>10</v>
      </c>
      <c r="AC53">
        <v>52</v>
      </c>
      <c r="AD53">
        <f t="shared" si="1"/>
        <v>11</v>
      </c>
      <c r="AE53" cm="1">
        <f t="array" ref="AE53">INDEX(X:X, AD53+1)*AC53</f>
        <v>57200</v>
      </c>
    </row>
    <row r="54" spans="1:31">
      <c r="A54">
        <v>53</v>
      </c>
      <c r="B54">
        <v>500000000</v>
      </c>
      <c r="C54">
        <v>100000000</v>
      </c>
      <c r="D54">
        <v>1000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f t="shared" si="0"/>
        <v>5E+19</v>
      </c>
      <c r="L54" t="e">
        <f>MATCH(K54, 보스체력!#REF!, 1)</f>
        <v>#REF!</v>
      </c>
      <c r="U54">
        <v>53</v>
      </c>
      <c r="V54">
        <v>88300</v>
      </c>
      <c r="W54">
        <v>9</v>
      </c>
      <c r="X54">
        <v>5300</v>
      </c>
      <c r="Y54">
        <v>20</v>
      </c>
      <c r="Z54">
        <v>15000</v>
      </c>
      <c r="AA54">
        <v>10</v>
      </c>
      <c r="AC54">
        <v>53</v>
      </c>
      <c r="AD54">
        <f t="shared" si="1"/>
        <v>11</v>
      </c>
      <c r="AE54" cm="1">
        <f t="array" ref="AE54">INDEX(X:X, AD54+1)*AC54</f>
        <v>58300</v>
      </c>
    </row>
    <row r="55" spans="1:31">
      <c r="A55">
        <v>54</v>
      </c>
      <c r="B55">
        <v>700000000</v>
      </c>
      <c r="C55">
        <v>100000000</v>
      </c>
      <c r="D55">
        <v>1000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f t="shared" si="0"/>
        <v>7E+19</v>
      </c>
      <c r="L55" t="e">
        <f>MATCH(K55, 보스체력!#REF!, 1)</f>
        <v>#REF!</v>
      </c>
      <c r="U55">
        <v>54</v>
      </c>
      <c r="V55">
        <v>90700</v>
      </c>
      <c r="W55">
        <v>9</v>
      </c>
      <c r="X55">
        <v>5400</v>
      </c>
      <c r="Y55">
        <v>20</v>
      </c>
      <c r="Z55">
        <v>15000</v>
      </c>
      <c r="AA55">
        <v>10</v>
      </c>
      <c r="AC55">
        <v>54</v>
      </c>
      <c r="AD55">
        <f t="shared" si="1"/>
        <v>11</v>
      </c>
      <c r="AE55" cm="1">
        <f t="array" ref="AE55">INDEX(X:X, AD55+1)*AC55</f>
        <v>59400</v>
      </c>
    </row>
    <row r="56" spans="1:31">
      <c r="A56">
        <v>55</v>
      </c>
      <c r="B56">
        <v>900000000</v>
      </c>
      <c r="C56">
        <v>100000000</v>
      </c>
      <c r="D56">
        <v>1000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f t="shared" si="0"/>
        <v>9E+19</v>
      </c>
      <c r="L56" t="e">
        <f>MATCH(K56, 보스체력!#REF!, 1)</f>
        <v>#REF!</v>
      </c>
      <c r="U56">
        <v>55</v>
      </c>
      <c r="V56">
        <v>93100</v>
      </c>
      <c r="W56">
        <v>10</v>
      </c>
      <c r="X56">
        <v>5500</v>
      </c>
      <c r="Y56">
        <v>20</v>
      </c>
      <c r="Z56">
        <v>15000</v>
      </c>
      <c r="AA56">
        <v>10</v>
      </c>
      <c r="AC56">
        <v>55</v>
      </c>
      <c r="AD56">
        <f t="shared" si="1"/>
        <v>12</v>
      </c>
      <c r="AE56" cm="1">
        <f t="array" ref="AE56">INDEX(X:X, AD56+1)*AC56</f>
        <v>66000</v>
      </c>
    </row>
    <row r="57" spans="1:31">
      <c r="A57">
        <v>56</v>
      </c>
      <c r="B57">
        <v>110000000</v>
      </c>
      <c r="C57">
        <v>100000000</v>
      </c>
      <c r="D57">
        <v>10000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f t="shared" si="0"/>
        <v>1.1E+20</v>
      </c>
      <c r="L57" t="e">
        <f>MATCH(K57, 보스체력!#REF!, 1)</f>
        <v>#REF!</v>
      </c>
      <c r="U57">
        <v>56</v>
      </c>
      <c r="V57">
        <v>95400</v>
      </c>
      <c r="W57">
        <v>10</v>
      </c>
      <c r="X57">
        <v>5600</v>
      </c>
      <c r="Y57">
        <v>20</v>
      </c>
      <c r="Z57">
        <v>15000</v>
      </c>
      <c r="AA57">
        <v>10</v>
      </c>
      <c r="AC57">
        <v>56</v>
      </c>
      <c r="AD57">
        <f t="shared" si="1"/>
        <v>12</v>
      </c>
      <c r="AE57" cm="1">
        <f t="array" ref="AE57">INDEX(X:X, AD57+1)*AC57</f>
        <v>67200</v>
      </c>
    </row>
    <row r="58" spans="1:31">
      <c r="A58">
        <v>57</v>
      </c>
      <c r="B58">
        <v>300000000</v>
      </c>
      <c r="C58">
        <v>100000000</v>
      </c>
      <c r="D58">
        <v>10000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f t="shared" si="0"/>
        <v>3E+20</v>
      </c>
      <c r="L58" t="e">
        <f>MATCH(K58, 보스체력!#REF!, 1)</f>
        <v>#REF!</v>
      </c>
      <c r="U58">
        <v>57</v>
      </c>
      <c r="V58">
        <v>97800</v>
      </c>
      <c r="W58">
        <v>10</v>
      </c>
      <c r="X58">
        <v>5700</v>
      </c>
      <c r="Y58">
        <v>20</v>
      </c>
      <c r="Z58">
        <v>15000</v>
      </c>
      <c r="AA58">
        <v>10</v>
      </c>
      <c r="AC58">
        <v>57</v>
      </c>
      <c r="AD58">
        <f t="shared" si="1"/>
        <v>12</v>
      </c>
      <c r="AE58" cm="1">
        <f t="array" ref="AE58">INDEX(X:X, AD58+1)*AC58</f>
        <v>68400</v>
      </c>
    </row>
    <row r="59" spans="1:31">
      <c r="A59">
        <v>58</v>
      </c>
      <c r="B59">
        <v>500000000</v>
      </c>
      <c r="C59">
        <v>100000000</v>
      </c>
      <c r="D59">
        <v>10000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f t="shared" si="0"/>
        <v>5E+20</v>
      </c>
      <c r="L59" t="e">
        <f>MATCH(K59, 보스체력!#REF!, 1)</f>
        <v>#REF!</v>
      </c>
      <c r="U59">
        <v>58</v>
      </c>
      <c r="V59">
        <v>100000</v>
      </c>
      <c r="W59">
        <v>10</v>
      </c>
      <c r="X59">
        <v>5800</v>
      </c>
      <c r="Y59">
        <v>20</v>
      </c>
      <c r="Z59">
        <v>15000</v>
      </c>
      <c r="AA59">
        <v>10</v>
      </c>
      <c r="AC59">
        <v>58</v>
      </c>
      <c r="AD59">
        <f t="shared" si="1"/>
        <v>12</v>
      </c>
      <c r="AE59" cm="1">
        <f t="array" ref="AE59">INDEX(X:X, AD59+1)*AC59</f>
        <v>69600</v>
      </c>
    </row>
    <row r="60" spans="1:31">
      <c r="A60">
        <v>59</v>
      </c>
      <c r="B60">
        <v>700000000</v>
      </c>
      <c r="C60">
        <v>100000000</v>
      </c>
      <c r="D60">
        <v>10000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f t="shared" si="0"/>
        <v>7E+20</v>
      </c>
      <c r="L60" t="e">
        <f>MATCH(K60, 보스체력!#REF!, 1)</f>
        <v>#REF!</v>
      </c>
      <c r="U60">
        <v>59</v>
      </c>
      <c r="V60">
        <v>102000</v>
      </c>
      <c r="W60">
        <v>10</v>
      </c>
      <c r="X60">
        <v>5900</v>
      </c>
      <c r="Y60">
        <v>20</v>
      </c>
      <c r="Z60">
        <v>15000</v>
      </c>
      <c r="AA60">
        <v>10</v>
      </c>
      <c r="AC60">
        <v>59</v>
      </c>
      <c r="AD60">
        <f t="shared" si="1"/>
        <v>12</v>
      </c>
      <c r="AE60" cm="1">
        <f t="array" ref="AE60">INDEX(X:X, AD60+1)*AC60</f>
        <v>70800</v>
      </c>
    </row>
    <row r="61" spans="1:31">
      <c r="A61">
        <v>60</v>
      </c>
      <c r="B61">
        <v>900000000</v>
      </c>
      <c r="C61">
        <v>100000000</v>
      </c>
      <c r="D61">
        <v>10000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f t="shared" si="0"/>
        <v>9E+20</v>
      </c>
      <c r="L61" t="e">
        <f>MATCH(K61, 보스체력!#REF!, 1)</f>
        <v>#REF!</v>
      </c>
      <c r="U61">
        <v>60</v>
      </c>
      <c r="V61">
        <v>104000</v>
      </c>
      <c r="W61">
        <v>10</v>
      </c>
      <c r="X61">
        <v>6000</v>
      </c>
      <c r="Y61">
        <v>20</v>
      </c>
      <c r="Z61">
        <v>15000</v>
      </c>
      <c r="AA61">
        <v>10</v>
      </c>
      <c r="AC61">
        <v>60</v>
      </c>
      <c r="AD61">
        <f t="shared" si="1"/>
        <v>13</v>
      </c>
      <c r="AE61" cm="1">
        <f t="array" ref="AE61">INDEX(X:X, AD61+1)*AC61</f>
        <v>78000</v>
      </c>
    </row>
    <row r="62" spans="1:31">
      <c r="A62">
        <v>61</v>
      </c>
      <c r="B62">
        <v>110000000</v>
      </c>
      <c r="C62">
        <v>100000000</v>
      </c>
      <c r="D62">
        <v>100000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f t="shared" si="0"/>
        <v>1.1E+21</v>
      </c>
      <c r="L62" t="e">
        <f>MATCH(K62, 보스체력!#REF!, 1)</f>
        <v>#REF!</v>
      </c>
      <c r="U62">
        <v>61</v>
      </c>
      <c r="V62">
        <v>107000</v>
      </c>
      <c r="W62">
        <v>10</v>
      </c>
      <c r="X62">
        <v>6100</v>
      </c>
      <c r="Y62">
        <v>20</v>
      </c>
      <c r="Z62">
        <v>15000</v>
      </c>
      <c r="AA62">
        <v>10</v>
      </c>
      <c r="AC62">
        <v>61</v>
      </c>
      <c r="AD62">
        <f t="shared" si="1"/>
        <v>13</v>
      </c>
      <c r="AE62" cm="1">
        <f t="array" ref="AE62">INDEX(X:X, AD62+1)*AC62</f>
        <v>79300</v>
      </c>
    </row>
    <row r="63" spans="1:31">
      <c r="A63">
        <v>62</v>
      </c>
      <c r="B63">
        <v>300000000</v>
      </c>
      <c r="C63">
        <v>100000000</v>
      </c>
      <c r="D63">
        <v>100000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f t="shared" si="0"/>
        <v>3E+21</v>
      </c>
      <c r="L63" t="e">
        <f>MATCH(K63, 보스체력!#REF!, 1)</f>
        <v>#REF!</v>
      </c>
      <c r="U63">
        <v>62</v>
      </c>
      <c r="V63">
        <v>109000</v>
      </c>
      <c r="W63">
        <v>10</v>
      </c>
      <c r="X63">
        <v>6200</v>
      </c>
      <c r="Y63">
        <v>20</v>
      </c>
      <c r="Z63">
        <v>15000</v>
      </c>
      <c r="AA63">
        <v>10</v>
      </c>
      <c r="AC63">
        <v>62</v>
      </c>
      <c r="AD63">
        <f t="shared" si="1"/>
        <v>13</v>
      </c>
      <c r="AE63" cm="1">
        <f t="array" ref="AE63">INDEX(X:X, AD63+1)*AC63</f>
        <v>80600</v>
      </c>
    </row>
    <row r="64" spans="1:31">
      <c r="A64">
        <v>63</v>
      </c>
      <c r="B64">
        <v>500000000</v>
      </c>
      <c r="C64">
        <v>100000000</v>
      </c>
      <c r="D64">
        <v>100000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f t="shared" si="0"/>
        <v>5E+21</v>
      </c>
      <c r="L64" t="e">
        <f>MATCH(K64, 보스체력!#REF!, 1)</f>
        <v>#REF!</v>
      </c>
      <c r="U64">
        <v>63</v>
      </c>
      <c r="V64">
        <v>112000</v>
      </c>
      <c r="W64">
        <v>10</v>
      </c>
      <c r="X64">
        <v>6300</v>
      </c>
      <c r="Y64">
        <v>20</v>
      </c>
      <c r="Z64">
        <v>15000</v>
      </c>
      <c r="AA64">
        <v>10</v>
      </c>
      <c r="AC64">
        <v>63</v>
      </c>
      <c r="AD64">
        <f t="shared" si="1"/>
        <v>13</v>
      </c>
      <c r="AE64" cm="1">
        <f t="array" ref="AE64">INDEX(X:X, AD64+1)*AC64</f>
        <v>81900</v>
      </c>
    </row>
    <row r="65" spans="1:31">
      <c r="A65">
        <v>64</v>
      </c>
      <c r="B65">
        <v>700000000</v>
      </c>
      <c r="C65">
        <v>100000000</v>
      </c>
      <c r="D65">
        <v>100000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f t="shared" si="0"/>
        <v>7E+21</v>
      </c>
      <c r="L65" t="e">
        <f>MATCH(K65, 보스체력!#REF!, 1)</f>
        <v>#REF!</v>
      </c>
      <c r="U65">
        <v>64</v>
      </c>
      <c r="V65">
        <v>114000</v>
      </c>
      <c r="W65">
        <v>10</v>
      </c>
      <c r="X65">
        <v>6400</v>
      </c>
      <c r="Y65">
        <v>20</v>
      </c>
      <c r="Z65">
        <v>15000</v>
      </c>
      <c r="AA65">
        <v>10</v>
      </c>
      <c r="AC65">
        <v>64</v>
      </c>
      <c r="AD65">
        <f t="shared" si="1"/>
        <v>13</v>
      </c>
      <c r="AE65" cm="1">
        <f t="array" ref="AE65">INDEX(X:X, AD65+1)*AC65</f>
        <v>83200</v>
      </c>
    </row>
    <row r="66" spans="1:31">
      <c r="A66">
        <v>65</v>
      </c>
      <c r="B66">
        <v>900000000</v>
      </c>
      <c r="C66">
        <v>100000000</v>
      </c>
      <c r="D66">
        <v>100000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f t="shared" si="0"/>
        <v>9E+21</v>
      </c>
      <c r="L66" t="e">
        <f>MATCH(K66, 보스체력!#REF!, 1)</f>
        <v>#REF!</v>
      </c>
      <c r="U66">
        <v>65</v>
      </c>
      <c r="V66">
        <v>116000</v>
      </c>
      <c r="W66">
        <v>10</v>
      </c>
      <c r="X66">
        <v>6500</v>
      </c>
      <c r="Y66">
        <v>20</v>
      </c>
      <c r="Z66">
        <v>15000</v>
      </c>
      <c r="AA66">
        <v>10</v>
      </c>
      <c r="AC66">
        <v>65</v>
      </c>
      <c r="AD66">
        <f t="shared" si="1"/>
        <v>14</v>
      </c>
      <c r="AE66" cm="1">
        <f t="array" ref="AE66">INDEX(X:X, AD66+1)*AC66</f>
        <v>91000</v>
      </c>
    </row>
    <row r="67" spans="1:31">
      <c r="A67">
        <v>66</v>
      </c>
      <c r="B67">
        <v>110000000</v>
      </c>
      <c r="C67">
        <v>100000000</v>
      </c>
      <c r="D67">
        <v>1000000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f t="shared" ref="K67:K130" si="3">J67*I67*H67*G67*F67*E67*D67*C67*B67</f>
        <v>1.1E+22</v>
      </c>
      <c r="L67" t="e">
        <f>MATCH(K67, 보스체력!#REF!, 1)</f>
        <v>#REF!</v>
      </c>
      <c r="U67">
        <v>66</v>
      </c>
      <c r="V67">
        <v>119000</v>
      </c>
      <c r="W67">
        <v>10</v>
      </c>
      <c r="X67">
        <v>6600</v>
      </c>
      <c r="Y67">
        <v>20</v>
      </c>
      <c r="Z67">
        <v>15000</v>
      </c>
      <c r="AA67">
        <v>10</v>
      </c>
      <c r="AC67">
        <v>66</v>
      </c>
      <c r="AD67">
        <f t="shared" ref="AD67:AD130" si="4">INT(AC67/5)+1</f>
        <v>14</v>
      </c>
      <c r="AE67" cm="1">
        <f t="array" ref="AE67">INDEX(X:X, AD67+1)*AC67</f>
        <v>92400</v>
      </c>
    </row>
    <row r="68" spans="1:31">
      <c r="A68">
        <v>67</v>
      </c>
      <c r="B68">
        <v>300000000</v>
      </c>
      <c r="C68">
        <v>100000000</v>
      </c>
      <c r="D68">
        <v>1000000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f t="shared" si="3"/>
        <v>3E+22</v>
      </c>
      <c r="L68" t="e">
        <f>MATCH(K68, 보스체력!#REF!, 1)</f>
        <v>#REF!</v>
      </c>
      <c r="U68">
        <v>67</v>
      </c>
      <c r="V68">
        <v>121000</v>
      </c>
      <c r="W68">
        <v>10</v>
      </c>
      <c r="X68">
        <v>6700</v>
      </c>
      <c r="Y68">
        <v>20</v>
      </c>
      <c r="Z68">
        <v>15000</v>
      </c>
      <c r="AA68">
        <v>10</v>
      </c>
      <c r="AC68">
        <v>67</v>
      </c>
      <c r="AD68">
        <f t="shared" si="4"/>
        <v>14</v>
      </c>
      <c r="AE68" cm="1">
        <f t="array" ref="AE68">INDEX(X:X, AD68+1)*AC68</f>
        <v>93800</v>
      </c>
    </row>
    <row r="69" spans="1:31">
      <c r="A69">
        <v>68</v>
      </c>
      <c r="B69">
        <v>500000000</v>
      </c>
      <c r="C69">
        <v>100000000</v>
      </c>
      <c r="D69">
        <v>1000000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f t="shared" si="3"/>
        <v>4.9999999999999996E+22</v>
      </c>
      <c r="L69" t="e">
        <f>MATCH(K69, 보스체력!#REF!, 1)</f>
        <v>#REF!</v>
      </c>
      <c r="U69">
        <v>68</v>
      </c>
      <c r="V69">
        <v>123000</v>
      </c>
      <c r="W69">
        <v>10</v>
      </c>
      <c r="X69">
        <v>6800</v>
      </c>
      <c r="Y69">
        <v>20</v>
      </c>
      <c r="Z69">
        <v>15000</v>
      </c>
      <c r="AA69">
        <v>10</v>
      </c>
      <c r="AC69">
        <v>68</v>
      </c>
      <c r="AD69">
        <f t="shared" si="4"/>
        <v>14</v>
      </c>
      <c r="AE69" cm="1">
        <f t="array" ref="AE69">INDEX(X:X, AD69+1)*AC69</f>
        <v>95200</v>
      </c>
    </row>
    <row r="70" spans="1:31">
      <c r="A70">
        <v>69</v>
      </c>
      <c r="B70">
        <v>700000000</v>
      </c>
      <c r="C70">
        <v>100000000</v>
      </c>
      <c r="D70">
        <v>1000000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f t="shared" si="3"/>
        <v>7.0000000000000004E+22</v>
      </c>
      <c r="L70" t="e">
        <f>MATCH(K70, 보스체력!#REF!, 1)</f>
        <v>#REF!</v>
      </c>
      <c r="U70">
        <v>69</v>
      </c>
      <c r="V70">
        <v>126000</v>
      </c>
      <c r="W70">
        <v>10</v>
      </c>
      <c r="X70">
        <v>6900</v>
      </c>
      <c r="Y70">
        <v>20</v>
      </c>
      <c r="Z70">
        <v>15000</v>
      </c>
      <c r="AA70">
        <v>10</v>
      </c>
      <c r="AC70">
        <v>69</v>
      </c>
      <c r="AD70">
        <f t="shared" si="4"/>
        <v>14</v>
      </c>
      <c r="AE70" cm="1">
        <f t="array" ref="AE70">INDEX(X:X, AD70+1)*AC70</f>
        <v>96600</v>
      </c>
    </row>
    <row r="71" spans="1:31">
      <c r="A71">
        <v>70</v>
      </c>
      <c r="B71">
        <v>900000000</v>
      </c>
      <c r="C71">
        <v>100000000</v>
      </c>
      <c r="D71">
        <v>1000000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f t="shared" si="3"/>
        <v>8.9999999999999996E+22</v>
      </c>
      <c r="L71" t="e">
        <f>MATCH(K71, 보스체력!#REF!, 1)</f>
        <v>#REF!</v>
      </c>
      <c r="U71">
        <v>70</v>
      </c>
      <c r="V71">
        <v>128000</v>
      </c>
      <c r="W71">
        <v>10</v>
      </c>
      <c r="X71">
        <v>7000</v>
      </c>
      <c r="Y71">
        <v>20</v>
      </c>
      <c r="Z71">
        <v>15000</v>
      </c>
      <c r="AA71">
        <v>10</v>
      </c>
      <c r="AC71">
        <v>70</v>
      </c>
      <c r="AD71">
        <f t="shared" si="4"/>
        <v>15</v>
      </c>
      <c r="AE71" cm="1">
        <f t="array" ref="AE71">INDEX(X:X, AD71+1)*AC71</f>
        <v>105000</v>
      </c>
    </row>
    <row r="72" spans="1:31">
      <c r="A72">
        <v>71</v>
      </c>
      <c r="B72">
        <v>110000000</v>
      </c>
      <c r="C72">
        <v>100000000</v>
      </c>
      <c r="D72">
        <v>10000000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f t="shared" si="3"/>
        <v>1.1E+23</v>
      </c>
      <c r="L72" t="e">
        <f>MATCH(K72, 보스체력!#REF!, 1)</f>
        <v>#REF!</v>
      </c>
      <c r="U72">
        <v>71</v>
      </c>
      <c r="V72">
        <v>130000</v>
      </c>
      <c r="W72">
        <v>10</v>
      </c>
      <c r="X72">
        <v>7100</v>
      </c>
      <c r="Y72">
        <v>20</v>
      </c>
      <c r="Z72">
        <v>15000</v>
      </c>
      <c r="AA72">
        <v>10</v>
      </c>
      <c r="AC72">
        <v>71</v>
      </c>
      <c r="AD72">
        <f t="shared" si="4"/>
        <v>15</v>
      </c>
      <c r="AE72" cm="1">
        <f t="array" ref="AE72">INDEX(X:X, AD72+1)*AC72</f>
        <v>106500</v>
      </c>
    </row>
    <row r="73" spans="1:31">
      <c r="A73">
        <v>72</v>
      </c>
      <c r="B73">
        <v>300000000</v>
      </c>
      <c r="C73">
        <v>100000000</v>
      </c>
      <c r="D73">
        <v>10000000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f t="shared" si="3"/>
        <v>3.0000000000000001E+23</v>
      </c>
      <c r="L73" t="e">
        <f>MATCH(K73, 보스체력!#REF!, 1)</f>
        <v>#REF!</v>
      </c>
      <c r="U73">
        <v>72</v>
      </c>
      <c r="V73">
        <v>133000</v>
      </c>
      <c r="W73">
        <v>10</v>
      </c>
      <c r="X73">
        <v>7200</v>
      </c>
      <c r="Y73">
        <v>20</v>
      </c>
      <c r="Z73">
        <v>15000</v>
      </c>
      <c r="AA73">
        <v>10</v>
      </c>
      <c r="AC73">
        <v>72</v>
      </c>
      <c r="AD73">
        <f t="shared" si="4"/>
        <v>15</v>
      </c>
      <c r="AE73" cm="1">
        <f t="array" ref="AE73">INDEX(X:X, AD73+1)*AC73</f>
        <v>108000</v>
      </c>
    </row>
    <row r="74" spans="1:31">
      <c r="A74">
        <v>73</v>
      </c>
      <c r="B74">
        <v>500000000</v>
      </c>
      <c r="C74">
        <v>100000000</v>
      </c>
      <c r="D74">
        <v>10000000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f t="shared" si="3"/>
        <v>4.9999999999999999E+23</v>
      </c>
      <c r="L74" t="e">
        <f>MATCH(K74, 보스체력!#REF!, 1)</f>
        <v>#REF!</v>
      </c>
      <c r="U74">
        <v>73</v>
      </c>
      <c r="V74">
        <v>135000</v>
      </c>
      <c r="W74">
        <v>10</v>
      </c>
      <c r="X74">
        <v>7300</v>
      </c>
      <c r="Y74">
        <v>20</v>
      </c>
      <c r="Z74">
        <v>15000</v>
      </c>
      <c r="AA74">
        <v>10</v>
      </c>
      <c r="AC74">
        <v>73</v>
      </c>
      <c r="AD74">
        <f t="shared" si="4"/>
        <v>15</v>
      </c>
      <c r="AE74" cm="1">
        <f t="array" ref="AE74">INDEX(X:X, AD74+1)*AC74</f>
        <v>109500</v>
      </c>
    </row>
    <row r="75" spans="1:31">
      <c r="A75">
        <v>74</v>
      </c>
      <c r="B75">
        <v>700000000</v>
      </c>
      <c r="C75">
        <v>100000000</v>
      </c>
      <c r="D75">
        <v>10000000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f t="shared" si="3"/>
        <v>7.0000000000000004E+23</v>
      </c>
      <c r="L75" t="e">
        <f>MATCH(K75, 보스체력!#REF!, 1)</f>
        <v>#REF!</v>
      </c>
      <c r="U75">
        <v>74</v>
      </c>
      <c r="V75">
        <v>137000</v>
      </c>
      <c r="W75">
        <v>10</v>
      </c>
      <c r="X75">
        <v>7400</v>
      </c>
      <c r="Y75">
        <v>20</v>
      </c>
      <c r="Z75">
        <v>15000</v>
      </c>
      <c r="AA75">
        <v>10</v>
      </c>
      <c r="AC75">
        <v>74</v>
      </c>
      <c r="AD75">
        <f t="shared" si="4"/>
        <v>15</v>
      </c>
      <c r="AE75" cm="1">
        <f t="array" ref="AE75">INDEX(X:X, AD75+1)*AC75</f>
        <v>111000</v>
      </c>
    </row>
    <row r="76" spans="1:31">
      <c r="A76">
        <v>75</v>
      </c>
      <c r="B76">
        <v>900000000</v>
      </c>
      <c r="C76">
        <v>100000000</v>
      </c>
      <c r="D76">
        <v>10000000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f t="shared" si="3"/>
        <v>8.9999999999999996E+23</v>
      </c>
      <c r="L76" t="e">
        <f>MATCH(K76, 보스체력!#REF!, 1)</f>
        <v>#REF!</v>
      </c>
      <c r="U76">
        <v>75</v>
      </c>
      <c r="V76">
        <v>140000</v>
      </c>
      <c r="W76">
        <v>10</v>
      </c>
      <c r="X76">
        <v>7500</v>
      </c>
      <c r="Y76">
        <v>20</v>
      </c>
      <c r="Z76">
        <v>15000</v>
      </c>
      <c r="AA76">
        <v>10</v>
      </c>
      <c r="AC76">
        <v>75</v>
      </c>
      <c r="AD76">
        <f t="shared" si="4"/>
        <v>16</v>
      </c>
      <c r="AE76" cm="1">
        <f t="array" ref="AE76">INDEX(X:X, AD76+1)*AC76</f>
        <v>120000</v>
      </c>
    </row>
    <row r="77" spans="1:31">
      <c r="A77">
        <v>76</v>
      </c>
      <c r="B77">
        <v>110000000</v>
      </c>
      <c r="C77">
        <v>100000000</v>
      </c>
      <c r="D77">
        <v>100000000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f t="shared" si="3"/>
        <v>1.1E+24</v>
      </c>
      <c r="L77" t="e">
        <f>MATCH(K77, 보스체력!#REF!, 1)</f>
        <v>#REF!</v>
      </c>
      <c r="U77">
        <v>76</v>
      </c>
      <c r="V77">
        <v>142000</v>
      </c>
      <c r="W77">
        <v>10</v>
      </c>
      <c r="X77">
        <v>7600</v>
      </c>
      <c r="Y77">
        <v>20</v>
      </c>
      <c r="Z77">
        <v>15000</v>
      </c>
      <c r="AA77">
        <v>10</v>
      </c>
      <c r="AC77">
        <v>76</v>
      </c>
      <c r="AD77">
        <f t="shared" si="4"/>
        <v>16</v>
      </c>
      <c r="AE77" cm="1">
        <f t="array" ref="AE77">INDEX(X:X, AD77+1)*AC77</f>
        <v>121600</v>
      </c>
    </row>
    <row r="78" spans="1:31">
      <c r="A78">
        <v>77</v>
      </c>
      <c r="B78">
        <v>300000000</v>
      </c>
      <c r="C78">
        <v>100000000</v>
      </c>
      <c r="D78">
        <v>100000000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f t="shared" si="3"/>
        <v>2.9999999999999999E+24</v>
      </c>
      <c r="L78" t="e">
        <f>MATCH(K78, 보스체력!#REF!, 1)</f>
        <v>#REF!</v>
      </c>
      <c r="U78">
        <v>77</v>
      </c>
      <c r="V78">
        <v>145000</v>
      </c>
      <c r="W78">
        <v>10</v>
      </c>
      <c r="X78">
        <v>7700</v>
      </c>
      <c r="Y78">
        <v>20</v>
      </c>
      <c r="Z78">
        <v>15000</v>
      </c>
      <c r="AA78">
        <v>10</v>
      </c>
      <c r="AC78">
        <v>77</v>
      </c>
      <c r="AD78">
        <f t="shared" si="4"/>
        <v>16</v>
      </c>
      <c r="AE78" cm="1">
        <f t="array" ref="AE78">INDEX(X:X, AD78+1)*AC78</f>
        <v>123200</v>
      </c>
    </row>
    <row r="79" spans="1:31">
      <c r="A79">
        <v>78</v>
      </c>
      <c r="B79">
        <v>500000000</v>
      </c>
      <c r="C79">
        <v>100000000</v>
      </c>
      <c r="D79">
        <v>100000000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f t="shared" si="3"/>
        <v>5.0000000000000005E+24</v>
      </c>
      <c r="L79" t="e">
        <f>MATCH(K79, 보스체력!#REF!, 1)</f>
        <v>#REF!</v>
      </c>
      <c r="U79">
        <v>78</v>
      </c>
      <c r="V79">
        <v>147000</v>
      </c>
      <c r="W79">
        <v>10</v>
      </c>
      <c r="X79">
        <v>7800</v>
      </c>
      <c r="Y79">
        <v>20</v>
      </c>
      <c r="Z79">
        <v>15000</v>
      </c>
      <c r="AA79">
        <v>10</v>
      </c>
      <c r="AC79">
        <v>78</v>
      </c>
      <c r="AD79">
        <f t="shared" si="4"/>
        <v>16</v>
      </c>
      <c r="AE79" cm="1">
        <f t="array" ref="AE79">INDEX(X:X, AD79+1)*AC79</f>
        <v>124800</v>
      </c>
    </row>
    <row r="80" spans="1:31">
      <c r="A80">
        <v>79</v>
      </c>
      <c r="B80">
        <v>700000000</v>
      </c>
      <c r="C80">
        <v>100000000</v>
      </c>
      <c r="D80">
        <v>100000000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f t="shared" si="3"/>
        <v>7.0000000000000004E+24</v>
      </c>
      <c r="L80" t="e">
        <f>MATCH(K80, 보스체력!#REF!, 1)</f>
        <v>#REF!</v>
      </c>
      <c r="U80">
        <v>79</v>
      </c>
      <c r="V80">
        <v>149000</v>
      </c>
      <c r="W80">
        <v>10</v>
      </c>
      <c r="X80">
        <v>7900</v>
      </c>
      <c r="Y80">
        <v>20</v>
      </c>
      <c r="Z80">
        <v>15000</v>
      </c>
      <c r="AA80">
        <v>10</v>
      </c>
      <c r="AC80">
        <v>79</v>
      </c>
      <c r="AD80">
        <f t="shared" si="4"/>
        <v>16</v>
      </c>
      <c r="AE80" cm="1">
        <f t="array" ref="AE80">INDEX(X:X, AD80+1)*AC80</f>
        <v>126400</v>
      </c>
    </row>
    <row r="81" spans="1:31">
      <c r="A81">
        <v>80</v>
      </c>
      <c r="B81">
        <v>900000000</v>
      </c>
      <c r="C81">
        <v>100000000</v>
      </c>
      <c r="D81">
        <v>100000000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f t="shared" si="3"/>
        <v>9.0000000000000004E+24</v>
      </c>
      <c r="L81" t="e">
        <f>MATCH(K81, 보스체력!#REF!, 1)</f>
        <v>#REF!</v>
      </c>
      <c r="U81">
        <v>80</v>
      </c>
      <c r="V81">
        <v>152000</v>
      </c>
      <c r="W81">
        <v>10</v>
      </c>
      <c r="X81">
        <v>8000</v>
      </c>
      <c r="Y81">
        <v>20</v>
      </c>
      <c r="Z81">
        <v>15000</v>
      </c>
      <c r="AA81">
        <v>10</v>
      </c>
      <c r="AC81">
        <v>80</v>
      </c>
      <c r="AD81">
        <f t="shared" si="4"/>
        <v>17</v>
      </c>
      <c r="AE81" cm="1">
        <f t="array" ref="AE81">INDEX(X:X, AD81+1)*AC81</f>
        <v>136000</v>
      </c>
    </row>
    <row r="82" spans="1:31">
      <c r="A82">
        <v>81</v>
      </c>
      <c r="B82">
        <v>110000000</v>
      </c>
      <c r="C82">
        <v>100000000</v>
      </c>
      <c r="D82">
        <v>100000000</v>
      </c>
      <c r="E82">
        <v>10</v>
      </c>
      <c r="F82">
        <v>1</v>
      </c>
      <c r="G82">
        <v>1</v>
      </c>
      <c r="H82">
        <v>1</v>
      </c>
      <c r="I82">
        <v>1</v>
      </c>
      <c r="J82">
        <v>1</v>
      </c>
      <c r="K82">
        <f t="shared" si="3"/>
        <v>1.1E+25</v>
      </c>
      <c r="L82" t="e">
        <f>MATCH(K82, 보스체력!#REF!, 1)</f>
        <v>#REF!</v>
      </c>
      <c r="U82">
        <v>81</v>
      </c>
      <c r="V82">
        <v>154000</v>
      </c>
      <c r="W82">
        <v>10</v>
      </c>
      <c r="X82">
        <v>8100</v>
      </c>
      <c r="Y82">
        <v>20</v>
      </c>
      <c r="Z82">
        <v>15000</v>
      </c>
      <c r="AA82">
        <v>10</v>
      </c>
      <c r="AC82">
        <v>81</v>
      </c>
      <c r="AD82">
        <f t="shared" si="4"/>
        <v>17</v>
      </c>
      <c r="AE82" cm="1">
        <f t="array" ref="AE82">INDEX(X:X, AD82+1)*AC82</f>
        <v>137700</v>
      </c>
    </row>
    <row r="83" spans="1:31">
      <c r="A83">
        <v>82</v>
      </c>
      <c r="B83">
        <v>300000000</v>
      </c>
      <c r="C83">
        <v>100000000</v>
      </c>
      <c r="D83">
        <v>100000000</v>
      </c>
      <c r="E83">
        <v>10</v>
      </c>
      <c r="F83">
        <v>1</v>
      </c>
      <c r="G83">
        <v>1</v>
      </c>
      <c r="H83">
        <v>1</v>
      </c>
      <c r="I83">
        <v>1</v>
      </c>
      <c r="J83">
        <v>1</v>
      </c>
      <c r="K83">
        <f t="shared" si="3"/>
        <v>3.0000000000000001E+25</v>
      </c>
      <c r="L83" t="e">
        <f>MATCH(K83, 보스체력!#REF!, 1)</f>
        <v>#REF!</v>
      </c>
      <c r="U83">
        <v>82</v>
      </c>
      <c r="V83">
        <v>156000</v>
      </c>
      <c r="W83">
        <v>10</v>
      </c>
      <c r="X83">
        <v>8200</v>
      </c>
      <c r="Y83">
        <v>20</v>
      </c>
      <c r="Z83">
        <v>15000</v>
      </c>
      <c r="AA83">
        <v>10</v>
      </c>
      <c r="AC83">
        <v>82</v>
      </c>
      <c r="AD83">
        <f t="shared" si="4"/>
        <v>17</v>
      </c>
      <c r="AE83" cm="1">
        <f t="array" ref="AE83">INDEX(X:X, AD83+1)*AC83</f>
        <v>139400</v>
      </c>
    </row>
    <row r="84" spans="1:31">
      <c r="A84">
        <v>83</v>
      </c>
      <c r="B84">
        <v>500000000</v>
      </c>
      <c r="C84">
        <v>100000000</v>
      </c>
      <c r="D84">
        <v>100000000</v>
      </c>
      <c r="E84">
        <v>10</v>
      </c>
      <c r="F84">
        <v>1</v>
      </c>
      <c r="G84">
        <v>1</v>
      </c>
      <c r="H84">
        <v>1</v>
      </c>
      <c r="I84">
        <v>1</v>
      </c>
      <c r="J84">
        <v>1</v>
      </c>
      <c r="K84">
        <f t="shared" si="3"/>
        <v>5.0000000000000002E+25</v>
      </c>
      <c r="L84" t="e">
        <f>MATCH(K84, 보스체력!#REF!, 1)</f>
        <v>#REF!</v>
      </c>
      <c r="U84">
        <v>83</v>
      </c>
      <c r="V84">
        <v>159000</v>
      </c>
      <c r="W84">
        <v>10</v>
      </c>
      <c r="X84">
        <v>8300</v>
      </c>
      <c r="Y84">
        <v>20</v>
      </c>
      <c r="Z84">
        <v>15000</v>
      </c>
      <c r="AA84">
        <v>10</v>
      </c>
      <c r="AC84">
        <v>83</v>
      </c>
      <c r="AD84">
        <f t="shared" si="4"/>
        <v>17</v>
      </c>
      <c r="AE84" cm="1">
        <f t="array" ref="AE84">INDEX(X:X, AD84+1)*AC84</f>
        <v>141100</v>
      </c>
    </row>
    <row r="85" spans="1:31">
      <c r="A85">
        <v>84</v>
      </c>
      <c r="B85">
        <v>700000000</v>
      </c>
      <c r="C85">
        <v>100000000</v>
      </c>
      <c r="D85">
        <v>100000000</v>
      </c>
      <c r="E85">
        <v>10</v>
      </c>
      <c r="F85">
        <v>1</v>
      </c>
      <c r="G85">
        <v>1</v>
      </c>
      <c r="H85">
        <v>1</v>
      </c>
      <c r="I85">
        <v>1</v>
      </c>
      <c r="J85">
        <v>1</v>
      </c>
      <c r="K85">
        <f t="shared" si="3"/>
        <v>7E+25</v>
      </c>
      <c r="L85" t="e">
        <f>MATCH(K85, 보스체력!#REF!, 1)</f>
        <v>#REF!</v>
      </c>
      <c r="U85">
        <v>84</v>
      </c>
      <c r="V85">
        <v>161000</v>
      </c>
      <c r="W85">
        <v>10</v>
      </c>
      <c r="X85">
        <v>8400</v>
      </c>
      <c r="Y85">
        <v>20</v>
      </c>
      <c r="Z85">
        <v>15000</v>
      </c>
      <c r="AA85">
        <v>10</v>
      </c>
      <c r="AC85">
        <v>84</v>
      </c>
      <c r="AD85">
        <f t="shared" si="4"/>
        <v>17</v>
      </c>
      <c r="AE85" cm="1">
        <f t="array" ref="AE85">INDEX(X:X, AD85+1)*AC85</f>
        <v>142800</v>
      </c>
    </row>
    <row r="86" spans="1:31">
      <c r="A86">
        <v>85</v>
      </c>
      <c r="B86">
        <v>900000000</v>
      </c>
      <c r="C86">
        <v>100000000</v>
      </c>
      <c r="D86">
        <v>100000000</v>
      </c>
      <c r="E86">
        <v>10</v>
      </c>
      <c r="F86">
        <v>1</v>
      </c>
      <c r="G86">
        <v>1</v>
      </c>
      <c r="H86">
        <v>1</v>
      </c>
      <c r="I86">
        <v>1</v>
      </c>
      <c r="J86">
        <v>1</v>
      </c>
      <c r="K86">
        <f t="shared" si="3"/>
        <v>9.0000000000000006E+25</v>
      </c>
      <c r="L86" t="e">
        <f>MATCH(K86, 보스체력!#REF!, 1)</f>
        <v>#REF!</v>
      </c>
      <c r="U86">
        <v>85</v>
      </c>
      <c r="V86">
        <v>163000</v>
      </c>
      <c r="W86">
        <v>10</v>
      </c>
      <c r="X86">
        <v>8500</v>
      </c>
      <c r="Y86">
        <v>20</v>
      </c>
      <c r="Z86">
        <v>15000</v>
      </c>
      <c r="AA86">
        <v>10</v>
      </c>
      <c r="AC86">
        <v>85</v>
      </c>
      <c r="AD86">
        <f t="shared" si="4"/>
        <v>18</v>
      </c>
      <c r="AE86" cm="1">
        <f t="array" ref="AE86">INDEX(X:X, AD86+1)*AC86</f>
        <v>153000</v>
      </c>
    </row>
    <row r="87" spans="1:31">
      <c r="A87">
        <v>86</v>
      </c>
      <c r="B87">
        <v>110000000</v>
      </c>
      <c r="C87">
        <v>100000000</v>
      </c>
      <c r="D87">
        <v>100000000</v>
      </c>
      <c r="E87">
        <v>100</v>
      </c>
      <c r="F87">
        <v>1</v>
      </c>
      <c r="G87">
        <v>1</v>
      </c>
      <c r="H87">
        <v>1</v>
      </c>
      <c r="I87">
        <v>1</v>
      </c>
      <c r="J87">
        <v>1</v>
      </c>
      <c r="K87">
        <f t="shared" si="3"/>
        <v>1.1E+26</v>
      </c>
      <c r="L87" t="e">
        <f>MATCH(K87, 보스체력!#REF!, 1)</f>
        <v>#REF!</v>
      </c>
      <c r="U87">
        <v>86</v>
      </c>
      <c r="V87">
        <v>166000</v>
      </c>
      <c r="W87">
        <v>10</v>
      </c>
      <c r="X87">
        <v>8600</v>
      </c>
      <c r="Y87">
        <v>20</v>
      </c>
      <c r="Z87">
        <v>15000</v>
      </c>
      <c r="AA87">
        <v>10</v>
      </c>
      <c r="AC87">
        <v>86</v>
      </c>
      <c r="AD87">
        <f t="shared" si="4"/>
        <v>18</v>
      </c>
      <c r="AE87" cm="1">
        <f t="array" ref="AE87">INDEX(X:X, AD87+1)*AC87</f>
        <v>154800</v>
      </c>
    </row>
    <row r="88" spans="1:31">
      <c r="A88">
        <v>87</v>
      </c>
      <c r="B88">
        <v>300000000</v>
      </c>
      <c r="C88">
        <v>100000000</v>
      </c>
      <c r="D88">
        <v>100000000</v>
      </c>
      <c r="E88">
        <v>100</v>
      </c>
      <c r="F88">
        <v>1</v>
      </c>
      <c r="G88">
        <v>1</v>
      </c>
      <c r="H88">
        <v>1</v>
      </c>
      <c r="I88">
        <v>1</v>
      </c>
      <c r="J88">
        <v>1</v>
      </c>
      <c r="K88">
        <f t="shared" si="3"/>
        <v>3E+26</v>
      </c>
      <c r="L88" t="e">
        <f>MATCH(K88, 보스체력!#REF!, 1)</f>
        <v>#REF!</v>
      </c>
      <c r="U88">
        <v>87</v>
      </c>
      <c r="V88">
        <v>168000</v>
      </c>
      <c r="W88">
        <v>10</v>
      </c>
      <c r="X88">
        <v>8700</v>
      </c>
      <c r="Y88">
        <v>20</v>
      </c>
      <c r="Z88">
        <v>15000</v>
      </c>
      <c r="AA88">
        <v>10</v>
      </c>
      <c r="AC88">
        <v>87</v>
      </c>
      <c r="AD88">
        <f t="shared" si="4"/>
        <v>18</v>
      </c>
      <c r="AE88" cm="1">
        <f t="array" ref="AE88">INDEX(X:X, AD88+1)*AC88</f>
        <v>156600</v>
      </c>
    </row>
    <row r="89" spans="1:31">
      <c r="A89">
        <v>88</v>
      </c>
      <c r="B89">
        <v>500000000</v>
      </c>
      <c r="C89">
        <v>100000000</v>
      </c>
      <c r="D89">
        <v>100000000</v>
      </c>
      <c r="E89">
        <v>100</v>
      </c>
      <c r="F89">
        <v>1</v>
      </c>
      <c r="G89">
        <v>1</v>
      </c>
      <c r="H89">
        <v>1</v>
      </c>
      <c r="I89">
        <v>1</v>
      </c>
      <c r="J89">
        <v>1</v>
      </c>
      <c r="K89">
        <f t="shared" si="3"/>
        <v>5.0000000000000001E+26</v>
      </c>
      <c r="L89" t="e">
        <f>MATCH(K89, 보스체력!#REF!, 1)</f>
        <v>#REF!</v>
      </c>
      <c r="U89">
        <v>88</v>
      </c>
      <c r="V89">
        <v>171000</v>
      </c>
      <c r="W89">
        <v>10</v>
      </c>
      <c r="X89">
        <v>8800</v>
      </c>
      <c r="Y89">
        <v>20</v>
      </c>
      <c r="Z89">
        <v>15000</v>
      </c>
      <c r="AA89">
        <v>10</v>
      </c>
      <c r="AC89">
        <v>88</v>
      </c>
      <c r="AD89">
        <f t="shared" si="4"/>
        <v>18</v>
      </c>
      <c r="AE89" cm="1">
        <f t="array" ref="AE89">INDEX(X:X, AD89+1)*AC89</f>
        <v>158400</v>
      </c>
    </row>
    <row r="90" spans="1:31">
      <c r="A90">
        <v>89</v>
      </c>
      <c r="B90">
        <v>700000000</v>
      </c>
      <c r="C90">
        <v>100000000</v>
      </c>
      <c r="D90">
        <v>100000000</v>
      </c>
      <c r="E90">
        <v>100</v>
      </c>
      <c r="F90">
        <v>1</v>
      </c>
      <c r="G90">
        <v>1</v>
      </c>
      <c r="H90">
        <v>1</v>
      </c>
      <c r="I90">
        <v>1</v>
      </c>
      <c r="J90">
        <v>1</v>
      </c>
      <c r="K90">
        <f t="shared" si="3"/>
        <v>6.9999999999999998E+26</v>
      </c>
      <c r="L90" t="e">
        <f>MATCH(K90, 보스체력!#REF!, 1)</f>
        <v>#REF!</v>
      </c>
      <c r="U90">
        <v>89</v>
      </c>
      <c r="V90">
        <v>173000</v>
      </c>
      <c r="W90">
        <v>10</v>
      </c>
      <c r="X90">
        <v>8900</v>
      </c>
      <c r="Y90">
        <v>20</v>
      </c>
      <c r="Z90">
        <v>15000</v>
      </c>
      <c r="AA90">
        <v>10</v>
      </c>
      <c r="AC90">
        <v>89</v>
      </c>
      <c r="AD90">
        <f t="shared" si="4"/>
        <v>18</v>
      </c>
      <c r="AE90" cm="1">
        <f t="array" ref="AE90">INDEX(X:X, AD90+1)*AC90</f>
        <v>160200</v>
      </c>
    </row>
    <row r="91" spans="1:31">
      <c r="A91">
        <v>90</v>
      </c>
      <c r="B91">
        <v>900000000</v>
      </c>
      <c r="C91">
        <v>100000000</v>
      </c>
      <c r="D91">
        <v>100000000</v>
      </c>
      <c r="E91">
        <v>100</v>
      </c>
      <c r="F91">
        <v>1</v>
      </c>
      <c r="G91">
        <v>1</v>
      </c>
      <c r="H91">
        <v>1</v>
      </c>
      <c r="I91">
        <v>1</v>
      </c>
      <c r="J91">
        <v>1</v>
      </c>
      <c r="K91">
        <f t="shared" si="3"/>
        <v>8.9999999999999996E+26</v>
      </c>
      <c r="L91" t="e">
        <f>MATCH(K91, 보스체력!#REF!, 1)</f>
        <v>#REF!</v>
      </c>
      <c r="U91">
        <v>90</v>
      </c>
      <c r="V91">
        <v>175000</v>
      </c>
      <c r="W91">
        <v>10</v>
      </c>
      <c r="X91">
        <v>9000</v>
      </c>
      <c r="Y91">
        <v>20</v>
      </c>
      <c r="Z91">
        <v>15000</v>
      </c>
      <c r="AA91">
        <v>10</v>
      </c>
      <c r="AC91">
        <v>90</v>
      </c>
      <c r="AD91">
        <f t="shared" si="4"/>
        <v>19</v>
      </c>
      <c r="AE91" cm="1">
        <f t="array" ref="AE91">INDEX(X:X, AD91+1)*AC91</f>
        <v>171000</v>
      </c>
    </row>
    <row r="92" spans="1:31">
      <c r="A92">
        <v>91</v>
      </c>
      <c r="B92">
        <v>110000000</v>
      </c>
      <c r="C92">
        <v>100000000</v>
      </c>
      <c r="D92">
        <v>100000000</v>
      </c>
      <c r="E92">
        <v>1000</v>
      </c>
      <c r="F92">
        <v>1</v>
      </c>
      <c r="G92">
        <v>1</v>
      </c>
      <c r="H92">
        <v>1</v>
      </c>
      <c r="I92">
        <v>1</v>
      </c>
      <c r="J92">
        <v>1</v>
      </c>
      <c r="K92">
        <f t="shared" si="3"/>
        <v>1.0999999999999999E+27</v>
      </c>
      <c r="L92" t="e">
        <f>MATCH(K92, 보스체력!#REF!, 1)</f>
        <v>#REF!</v>
      </c>
      <c r="U92">
        <v>91</v>
      </c>
      <c r="V92">
        <v>178000</v>
      </c>
      <c r="W92">
        <v>10</v>
      </c>
      <c r="X92">
        <v>9100</v>
      </c>
      <c r="Y92">
        <v>20</v>
      </c>
      <c r="Z92">
        <v>15000</v>
      </c>
      <c r="AA92">
        <v>10</v>
      </c>
      <c r="AC92">
        <v>91</v>
      </c>
      <c r="AD92">
        <f t="shared" si="4"/>
        <v>19</v>
      </c>
      <c r="AE92" cm="1">
        <f t="array" ref="AE92">INDEX(X:X, AD92+1)*AC92</f>
        <v>172900</v>
      </c>
    </row>
    <row r="93" spans="1:31">
      <c r="A93">
        <v>92</v>
      </c>
      <c r="B93">
        <v>300000000</v>
      </c>
      <c r="C93">
        <v>100000000</v>
      </c>
      <c r="D93">
        <v>100000000</v>
      </c>
      <c r="E93">
        <v>1000</v>
      </c>
      <c r="F93">
        <v>1</v>
      </c>
      <c r="G93">
        <v>1</v>
      </c>
      <c r="H93">
        <v>1</v>
      </c>
      <c r="I93">
        <v>1</v>
      </c>
      <c r="J93">
        <v>1</v>
      </c>
      <c r="K93">
        <f t="shared" si="3"/>
        <v>2.9999999999999998E+27</v>
      </c>
      <c r="L93" t="e">
        <f>MATCH(K93, 보스체력!#REF!, 1)</f>
        <v>#REF!</v>
      </c>
      <c r="U93">
        <v>92</v>
      </c>
      <c r="V93">
        <v>180000</v>
      </c>
      <c r="W93">
        <v>10</v>
      </c>
      <c r="X93">
        <v>9200</v>
      </c>
      <c r="Y93">
        <v>20</v>
      </c>
      <c r="Z93">
        <v>15000</v>
      </c>
      <c r="AA93">
        <v>10</v>
      </c>
      <c r="AC93">
        <v>92</v>
      </c>
      <c r="AD93">
        <f t="shared" si="4"/>
        <v>19</v>
      </c>
      <c r="AE93" cm="1">
        <f t="array" ref="AE93">INDEX(X:X, AD93+1)*AC93</f>
        <v>174800</v>
      </c>
    </row>
    <row r="94" spans="1:31">
      <c r="A94">
        <v>93</v>
      </c>
      <c r="B94">
        <v>500000000</v>
      </c>
      <c r="C94">
        <v>100000000</v>
      </c>
      <c r="D94">
        <v>100000000</v>
      </c>
      <c r="E94">
        <v>1000</v>
      </c>
      <c r="F94">
        <v>1</v>
      </c>
      <c r="G94">
        <v>1</v>
      </c>
      <c r="H94">
        <v>1</v>
      </c>
      <c r="I94">
        <v>1</v>
      </c>
      <c r="J94">
        <v>1</v>
      </c>
      <c r="K94">
        <f t="shared" si="3"/>
        <v>4.9999999999999998E+27</v>
      </c>
      <c r="L94" t="e">
        <f>MATCH(K94, 보스체력!#REF!, 1)</f>
        <v>#REF!</v>
      </c>
      <c r="U94">
        <v>93</v>
      </c>
      <c r="V94">
        <v>182000</v>
      </c>
      <c r="W94">
        <v>10</v>
      </c>
      <c r="X94">
        <v>9300</v>
      </c>
      <c r="Y94">
        <v>20</v>
      </c>
      <c r="Z94">
        <v>15000</v>
      </c>
      <c r="AA94">
        <v>10</v>
      </c>
      <c r="AC94">
        <v>93</v>
      </c>
      <c r="AD94">
        <f t="shared" si="4"/>
        <v>19</v>
      </c>
      <c r="AE94" cm="1">
        <f t="array" ref="AE94">INDEX(X:X, AD94+1)*AC94</f>
        <v>176700</v>
      </c>
    </row>
    <row r="95" spans="1:31">
      <c r="A95">
        <v>94</v>
      </c>
      <c r="B95">
        <v>700000000</v>
      </c>
      <c r="C95">
        <v>100000000</v>
      </c>
      <c r="D95">
        <v>100000000</v>
      </c>
      <c r="E95">
        <v>1000</v>
      </c>
      <c r="F95">
        <v>1</v>
      </c>
      <c r="G95">
        <v>1</v>
      </c>
      <c r="H95">
        <v>1</v>
      </c>
      <c r="I95">
        <v>1</v>
      </c>
      <c r="J95">
        <v>1</v>
      </c>
      <c r="K95">
        <f t="shared" si="3"/>
        <v>7.0000000000000004E+27</v>
      </c>
      <c r="L95" t="e">
        <f>MATCH(K95, 보스체력!#REF!, 1)</f>
        <v>#REF!</v>
      </c>
      <c r="U95">
        <v>94</v>
      </c>
      <c r="V95">
        <v>185000</v>
      </c>
      <c r="W95">
        <v>10</v>
      </c>
      <c r="X95">
        <v>9400</v>
      </c>
      <c r="Y95">
        <v>20</v>
      </c>
      <c r="Z95">
        <v>15000</v>
      </c>
      <c r="AA95">
        <v>10</v>
      </c>
      <c r="AC95">
        <v>94</v>
      </c>
      <c r="AD95">
        <f t="shared" si="4"/>
        <v>19</v>
      </c>
      <c r="AE95" cm="1">
        <f t="array" ref="AE95">INDEX(X:X, AD95+1)*AC95</f>
        <v>178600</v>
      </c>
    </row>
    <row r="96" spans="1:31">
      <c r="A96">
        <v>95</v>
      </c>
      <c r="B96">
        <v>900000000</v>
      </c>
      <c r="C96">
        <v>100000000</v>
      </c>
      <c r="D96">
        <v>100000000</v>
      </c>
      <c r="E96">
        <v>1000</v>
      </c>
      <c r="F96">
        <v>1</v>
      </c>
      <c r="G96">
        <v>1</v>
      </c>
      <c r="H96">
        <v>1</v>
      </c>
      <c r="I96">
        <v>1</v>
      </c>
      <c r="J96">
        <v>1</v>
      </c>
      <c r="K96">
        <f t="shared" si="3"/>
        <v>8.9999999999999998E+27</v>
      </c>
      <c r="L96" t="e">
        <f>MATCH(K96, 보스체력!#REF!, 1)</f>
        <v>#REF!</v>
      </c>
      <c r="U96">
        <v>95</v>
      </c>
      <c r="V96">
        <v>187000</v>
      </c>
      <c r="W96">
        <v>10</v>
      </c>
      <c r="X96">
        <v>9500</v>
      </c>
      <c r="Y96">
        <v>20</v>
      </c>
      <c r="Z96">
        <v>15000</v>
      </c>
      <c r="AA96">
        <v>10</v>
      </c>
      <c r="AC96">
        <v>95</v>
      </c>
      <c r="AD96">
        <f t="shared" si="4"/>
        <v>20</v>
      </c>
      <c r="AE96" cm="1">
        <f t="array" ref="AE96">INDEX(X:X, AD96+1)*AC96</f>
        <v>190000</v>
      </c>
    </row>
    <row r="97" spans="1:31">
      <c r="A97">
        <v>96</v>
      </c>
      <c r="B97">
        <v>110000000</v>
      </c>
      <c r="C97">
        <v>100000000</v>
      </c>
      <c r="D97">
        <v>100000000</v>
      </c>
      <c r="E97">
        <v>10000</v>
      </c>
      <c r="F97">
        <v>1</v>
      </c>
      <c r="G97">
        <v>1</v>
      </c>
      <c r="H97">
        <v>1</v>
      </c>
      <c r="I97">
        <v>1</v>
      </c>
      <c r="J97">
        <v>1</v>
      </c>
      <c r="K97">
        <f t="shared" si="3"/>
        <v>1.0999999999999999E+28</v>
      </c>
      <c r="L97" t="e">
        <f>MATCH(K97, 보스체력!#REF!, 1)</f>
        <v>#REF!</v>
      </c>
      <c r="U97">
        <v>96</v>
      </c>
      <c r="V97">
        <v>190000</v>
      </c>
      <c r="W97">
        <v>10</v>
      </c>
      <c r="X97">
        <v>9600</v>
      </c>
      <c r="Y97">
        <v>20</v>
      </c>
      <c r="Z97">
        <v>15000</v>
      </c>
      <c r="AA97">
        <v>10</v>
      </c>
      <c r="AC97">
        <v>96</v>
      </c>
      <c r="AD97">
        <f t="shared" si="4"/>
        <v>20</v>
      </c>
      <c r="AE97" cm="1">
        <f t="array" ref="AE97">INDEX(X:X, AD97+1)*AC97</f>
        <v>192000</v>
      </c>
    </row>
    <row r="98" spans="1:31">
      <c r="A98">
        <v>97</v>
      </c>
      <c r="B98">
        <v>300000000</v>
      </c>
      <c r="C98">
        <v>100000000</v>
      </c>
      <c r="D98">
        <v>100000000</v>
      </c>
      <c r="E98">
        <v>10000</v>
      </c>
      <c r="F98">
        <v>1</v>
      </c>
      <c r="G98">
        <v>1</v>
      </c>
      <c r="H98">
        <v>1</v>
      </c>
      <c r="I98">
        <v>1</v>
      </c>
      <c r="J98">
        <v>1</v>
      </c>
      <c r="K98">
        <f t="shared" si="3"/>
        <v>3.0000000000000001E+28</v>
      </c>
      <c r="L98" t="e">
        <f>MATCH(K98, 보스체력!#REF!, 1)</f>
        <v>#REF!</v>
      </c>
      <c r="U98">
        <v>97</v>
      </c>
      <c r="V98">
        <v>192000</v>
      </c>
      <c r="W98">
        <v>10</v>
      </c>
      <c r="X98">
        <v>9700</v>
      </c>
      <c r="Y98">
        <v>20</v>
      </c>
      <c r="Z98">
        <v>15000</v>
      </c>
      <c r="AA98">
        <v>10</v>
      </c>
      <c r="AC98">
        <v>97</v>
      </c>
      <c r="AD98">
        <f t="shared" si="4"/>
        <v>20</v>
      </c>
      <c r="AE98" cm="1">
        <f t="array" ref="AE98">INDEX(X:X, AD98+1)*AC98</f>
        <v>194000</v>
      </c>
    </row>
    <row r="99" spans="1:31">
      <c r="A99">
        <v>98</v>
      </c>
      <c r="B99">
        <v>500000000</v>
      </c>
      <c r="C99">
        <v>100000000</v>
      </c>
      <c r="D99">
        <v>100000000</v>
      </c>
      <c r="E99">
        <v>10000</v>
      </c>
      <c r="F99">
        <v>1</v>
      </c>
      <c r="G99">
        <v>1</v>
      </c>
      <c r="H99">
        <v>1</v>
      </c>
      <c r="I99">
        <v>1</v>
      </c>
      <c r="J99">
        <v>1</v>
      </c>
      <c r="K99">
        <f t="shared" si="3"/>
        <v>4.9999999999999996E+28</v>
      </c>
      <c r="L99" t="e">
        <f>MATCH(K99, 보스체력!#REF!, 1)</f>
        <v>#REF!</v>
      </c>
      <c r="U99">
        <v>98</v>
      </c>
      <c r="V99">
        <v>194000</v>
      </c>
      <c r="W99">
        <v>10</v>
      </c>
      <c r="X99">
        <v>9800</v>
      </c>
      <c r="Y99">
        <v>20</v>
      </c>
      <c r="Z99">
        <v>15000</v>
      </c>
      <c r="AA99">
        <v>10</v>
      </c>
      <c r="AC99">
        <v>98</v>
      </c>
      <c r="AD99">
        <f t="shared" si="4"/>
        <v>20</v>
      </c>
      <c r="AE99" cm="1">
        <f t="array" ref="AE99">INDEX(X:X, AD99+1)*AC99</f>
        <v>196000</v>
      </c>
    </row>
    <row r="100" spans="1:31">
      <c r="A100">
        <v>99</v>
      </c>
      <c r="B100">
        <v>700000000</v>
      </c>
      <c r="C100">
        <v>100000000</v>
      </c>
      <c r="D100">
        <v>100000000</v>
      </c>
      <c r="E100">
        <v>10000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f t="shared" si="3"/>
        <v>6.9999999999999999E+28</v>
      </c>
      <c r="L100" t="e">
        <f>MATCH(K100, 보스체력!#REF!, 1)</f>
        <v>#REF!</v>
      </c>
      <c r="U100">
        <v>99</v>
      </c>
      <c r="V100">
        <v>197000</v>
      </c>
      <c r="W100">
        <v>10</v>
      </c>
      <c r="X100">
        <v>9900</v>
      </c>
      <c r="Y100">
        <v>20</v>
      </c>
      <c r="Z100">
        <v>15000</v>
      </c>
      <c r="AA100">
        <v>10</v>
      </c>
      <c r="AC100">
        <v>99</v>
      </c>
      <c r="AD100">
        <f t="shared" si="4"/>
        <v>20</v>
      </c>
      <c r="AE100" cm="1">
        <f t="array" ref="AE100">INDEX(X:X, AD100+1)*AC100</f>
        <v>198000</v>
      </c>
    </row>
    <row r="101" spans="1:31">
      <c r="A101">
        <v>100</v>
      </c>
      <c r="B101">
        <v>900000000</v>
      </c>
      <c r="C101">
        <v>100000000</v>
      </c>
      <c r="D101">
        <v>100000000</v>
      </c>
      <c r="E101">
        <v>10000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f t="shared" si="3"/>
        <v>8.9999999999999994E+28</v>
      </c>
      <c r="L101" t="e">
        <f>MATCH(K101, 보스체력!#REF!, 1)</f>
        <v>#REF!</v>
      </c>
      <c r="U101">
        <v>100</v>
      </c>
      <c r="V101">
        <v>199000</v>
      </c>
      <c r="W101">
        <v>10</v>
      </c>
      <c r="X101">
        <v>10000</v>
      </c>
      <c r="Y101">
        <v>20</v>
      </c>
      <c r="Z101">
        <v>15000</v>
      </c>
      <c r="AA101">
        <v>10</v>
      </c>
      <c r="AC101">
        <v>100</v>
      </c>
      <c r="AD101">
        <f t="shared" si="4"/>
        <v>21</v>
      </c>
      <c r="AE101" cm="1">
        <f t="array" ref="AE101">INDEX(X:X, AD101+1)*AC101</f>
        <v>210000</v>
      </c>
    </row>
    <row r="102" spans="1:31">
      <c r="A102">
        <v>101</v>
      </c>
      <c r="B102">
        <v>110000000</v>
      </c>
      <c r="C102">
        <v>100000000</v>
      </c>
      <c r="D102">
        <v>100000000</v>
      </c>
      <c r="E102">
        <v>100000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f t="shared" si="3"/>
        <v>1.1000000000000001E+29</v>
      </c>
      <c r="L102" t="e">
        <f>MATCH(K102, 보스체력!#REF!, 1)</f>
        <v>#REF!</v>
      </c>
      <c r="U102">
        <v>101</v>
      </c>
      <c r="V102">
        <v>201000</v>
      </c>
      <c r="W102">
        <v>10</v>
      </c>
      <c r="X102">
        <v>10100</v>
      </c>
      <c r="Y102">
        <v>20</v>
      </c>
      <c r="Z102">
        <v>15000</v>
      </c>
      <c r="AA102">
        <v>10</v>
      </c>
      <c r="AC102">
        <v>101</v>
      </c>
      <c r="AD102">
        <f t="shared" si="4"/>
        <v>21</v>
      </c>
      <c r="AE102" cm="1">
        <f t="array" ref="AE102">INDEX(X:X, AD102+1)*AC102</f>
        <v>212100</v>
      </c>
    </row>
    <row r="103" spans="1:31">
      <c r="A103">
        <v>102</v>
      </c>
      <c r="B103">
        <v>300000000</v>
      </c>
      <c r="C103">
        <v>100000000</v>
      </c>
      <c r="D103">
        <v>100000000</v>
      </c>
      <c r="E103">
        <v>100000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f t="shared" si="3"/>
        <v>2.9999999999999999E+29</v>
      </c>
      <c r="L103" t="e">
        <f>MATCH(K103, 보스체력!#REF!, 1)</f>
        <v>#REF!</v>
      </c>
      <c r="U103">
        <v>102</v>
      </c>
      <c r="V103">
        <v>204000</v>
      </c>
      <c r="W103">
        <v>10</v>
      </c>
      <c r="X103">
        <v>10200</v>
      </c>
      <c r="Y103">
        <v>20</v>
      </c>
      <c r="Z103">
        <v>15000</v>
      </c>
      <c r="AA103">
        <v>10</v>
      </c>
      <c r="AC103">
        <v>102</v>
      </c>
      <c r="AD103">
        <f t="shared" si="4"/>
        <v>21</v>
      </c>
      <c r="AE103" cm="1">
        <f t="array" ref="AE103">INDEX(X:X, AD103+1)*AC103</f>
        <v>214200</v>
      </c>
    </row>
    <row r="104" spans="1:31">
      <c r="A104">
        <v>103</v>
      </c>
      <c r="B104">
        <v>500000000</v>
      </c>
      <c r="C104">
        <v>100000000</v>
      </c>
      <c r="D104">
        <v>100000000</v>
      </c>
      <c r="E104">
        <v>100000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f t="shared" si="3"/>
        <v>5.0000000000000001E+29</v>
      </c>
      <c r="L104" t="e">
        <f>MATCH(K104, 보스체력!#REF!, 1)</f>
        <v>#REF!</v>
      </c>
      <c r="U104">
        <v>103</v>
      </c>
      <c r="V104">
        <v>206000</v>
      </c>
      <c r="W104">
        <v>10</v>
      </c>
      <c r="X104">
        <v>10300</v>
      </c>
      <c r="Y104">
        <v>20</v>
      </c>
      <c r="Z104">
        <v>15000</v>
      </c>
      <c r="AA104">
        <v>10</v>
      </c>
      <c r="AC104">
        <v>103</v>
      </c>
      <c r="AD104">
        <f t="shared" si="4"/>
        <v>21</v>
      </c>
      <c r="AE104" cm="1">
        <f t="array" ref="AE104">INDEX(X:X, AD104+1)*AC104</f>
        <v>216300</v>
      </c>
    </row>
    <row r="105" spans="1:31">
      <c r="A105">
        <v>104</v>
      </c>
      <c r="B105">
        <v>700000000</v>
      </c>
      <c r="C105">
        <v>100000000</v>
      </c>
      <c r="D105">
        <v>100000000</v>
      </c>
      <c r="E105">
        <v>100000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f t="shared" si="3"/>
        <v>6.9999999999999996E+29</v>
      </c>
      <c r="L105" t="e">
        <f>MATCH(K105, 보스체력!#REF!, 1)</f>
        <v>#REF!</v>
      </c>
      <c r="U105">
        <v>104</v>
      </c>
      <c r="V105">
        <v>208000</v>
      </c>
      <c r="W105">
        <v>10</v>
      </c>
      <c r="X105">
        <v>10400</v>
      </c>
      <c r="Y105">
        <v>20</v>
      </c>
      <c r="Z105">
        <v>15000</v>
      </c>
      <c r="AA105">
        <v>10</v>
      </c>
      <c r="AC105">
        <v>104</v>
      </c>
      <c r="AD105">
        <f t="shared" si="4"/>
        <v>21</v>
      </c>
      <c r="AE105" cm="1">
        <f t="array" ref="AE105">INDEX(X:X, AD105+1)*AC105</f>
        <v>218400</v>
      </c>
    </row>
    <row r="106" spans="1:31">
      <c r="A106">
        <v>105</v>
      </c>
      <c r="B106">
        <v>900000000</v>
      </c>
      <c r="C106">
        <v>100000000</v>
      </c>
      <c r="D106">
        <v>100000000</v>
      </c>
      <c r="E106">
        <v>100000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f t="shared" si="3"/>
        <v>9.0000000000000005E+29</v>
      </c>
      <c r="L106" t="e">
        <f>MATCH(K106, 보스체력!#REF!, 1)</f>
        <v>#REF!</v>
      </c>
      <c r="U106">
        <v>105</v>
      </c>
      <c r="V106">
        <v>211000</v>
      </c>
      <c r="W106">
        <v>10</v>
      </c>
      <c r="X106">
        <v>10500</v>
      </c>
      <c r="Y106">
        <v>20</v>
      </c>
      <c r="Z106">
        <v>15000</v>
      </c>
      <c r="AA106">
        <v>10</v>
      </c>
      <c r="AC106">
        <v>105</v>
      </c>
      <c r="AD106">
        <f t="shared" si="4"/>
        <v>22</v>
      </c>
      <c r="AE106" cm="1">
        <f t="array" ref="AE106">INDEX(X:X, AD106+1)*AC106</f>
        <v>231000</v>
      </c>
    </row>
    <row r="107" spans="1:31">
      <c r="A107">
        <v>106</v>
      </c>
      <c r="B107">
        <v>110000000</v>
      </c>
      <c r="C107">
        <v>100000000</v>
      </c>
      <c r="D107">
        <v>100000000</v>
      </c>
      <c r="E107">
        <v>1000000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f t="shared" si="3"/>
        <v>1.1E+30</v>
      </c>
      <c r="L107" t="e">
        <f>MATCH(K107, 보스체력!#REF!, 1)</f>
        <v>#REF!</v>
      </c>
      <c r="U107">
        <v>106</v>
      </c>
      <c r="V107">
        <v>213000</v>
      </c>
      <c r="W107">
        <v>10</v>
      </c>
      <c r="X107">
        <v>10600</v>
      </c>
      <c r="Y107">
        <v>20</v>
      </c>
      <c r="Z107">
        <v>15000</v>
      </c>
      <c r="AA107">
        <v>10</v>
      </c>
      <c r="AC107">
        <v>106</v>
      </c>
      <c r="AD107">
        <f t="shared" si="4"/>
        <v>22</v>
      </c>
      <c r="AE107" cm="1">
        <f t="array" ref="AE107">INDEX(X:X, AD107+1)*AC107</f>
        <v>233200</v>
      </c>
    </row>
    <row r="108" spans="1:31">
      <c r="A108">
        <v>107</v>
      </c>
      <c r="B108">
        <v>300000000</v>
      </c>
      <c r="C108">
        <v>100000000</v>
      </c>
      <c r="D108">
        <v>100000000</v>
      </c>
      <c r="E108">
        <v>1000000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f t="shared" si="3"/>
        <v>2.9999999999999998E+30</v>
      </c>
      <c r="L108" t="e">
        <f>MATCH(K108, 보스체력!#REF!, 1)</f>
        <v>#REF!</v>
      </c>
      <c r="U108">
        <v>107</v>
      </c>
      <c r="V108">
        <v>215000</v>
      </c>
      <c r="W108">
        <v>10</v>
      </c>
      <c r="X108">
        <v>10700</v>
      </c>
      <c r="Y108">
        <v>20</v>
      </c>
      <c r="Z108">
        <v>15000</v>
      </c>
      <c r="AA108">
        <v>10</v>
      </c>
      <c r="AC108">
        <v>107</v>
      </c>
      <c r="AD108">
        <f t="shared" si="4"/>
        <v>22</v>
      </c>
      <c r="AE108" cm="1">
        <f t="array" ref="AE108">INDEX(X:X, AD108+1)*AC108</f>
        <v>235400</v>
      </c>
    </row>
    <row r="109" spans="1:31">
      <c r="A109">
        <v>108</v>
      </c>
      <c r="B109">
        <v>500000000</v>
      </c>
      <c r="C109">
        <v>100000000</v>
      </c>
      <c r="D109">
        <v>100000000</v>
      </c>
      <c r="E109">
        <v>1000000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f t="shared" si="3"/>
        <v>4.9999999999999998E+30</v>
      </c>
      <c r="L109" t="e">
        <f>MATCH(K109, 보스체력!#REF!, 1)</f>
        <v>#REF!</v>
      </c>
      <c r="U109">
        <v>108</v>
      </c>
      <c r="V109">
        <v>218000</v>
      </c>
      <c r="W109">
        <v>10</v>
      </c>
      <c r="X109">
        <v>10800</v>
      </c>
      <c r="Y109">
        <v>20</v>
      </c>
      <c r="Z109">
        <v>15000</v>
      </c>
      <c r="AA109">
        <v>10</v>
      </c>
      <c r="AC109">
        <v>108</v>
      </c>
      <c r="AD109">
        <f t="shared" si="4"/>
        <v>22</v>
      </c>
      <c r="AE109" cm="1">
        <f t="array" ref="AE109">INDEX(X:X, AD109+1)*AC109</f>
        <v>237600</v>
      </c>
    </row>
    <row r="110" spans="1:31">
      <c r="A110">
        <v>109</v>
      </c>
      <c r="B110">
        <v>700000000</v>
      </c>
      <c r="C110">
        <v>100000000</v>
      </c>
      <c r="D110">
        <v>100000000</v>
      </c>
      <c r="E110">
        <v>1000000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f t="shared" si="3"/>
        <v>7.0000000000000004E+30</v>
      </c>
      <c r="L110" t="e">
        <f>MATCH(K110, 보스체력!#REF!, 1)</f>
        <v>#REF!</v>
      </c>
      <c r="U110">
        <v>109</v>
      </c>
      <c r="V110">
        <v>220000</v>
      </c>
      <c r="W110">
        <v>10</v>
      </c>
      <c r="X110">
        <v>10900</v>
      </c>
      <c r="Y110">
        <v>20</v>
      </c>
      <c r="Z110">
        <v>15000</v>
      </c>
      <c r="AA110">
        <v>10</v>
      </c>
      <c r="AC110">
        <v>109</v>
      </c>
      <c r="AD110">
        <f t="shared" si="4"/>
        <v>22</v>
      </c>
      <c r="AE110" cm="1">
        <f t="array" ref="AE110">INDEX(X:X, AD110+1)*AC110</f>
        <v>239800</v>
      </c>
    </row>
    <row r="111" spans="1:31">
      <c r="A111">
        <v>110</v>
      </c>
      <c r="B111">
        <v>900000000</v>
      </c>
      <c r="C111">
        <v>100000000</v>
      </c>
      <c r="D111">
        <v>100000000</v>
      </c>
      <c r="E111">
        <v>1000000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f t="shared" si="3"/>
        <v>8.9999999999999999E+30</v>
      </c>
      <c r="L111" t="e">
        <f>MATCH(K111, 보스체력!#REF!, 1)</f>
        <v>#REF!</v>
      </c>
      <c r="U111">
        <v>110</v>
      </c>
      <c r="V111">
        <v>222000</v>
      </c>
      <c r="W111">
        <v>10</v>
      </c>
      <c r="X111">
        <v>11000</v>
      </c>
      <c r="Y111">
        <v>20</v>
      </c>
      <c r="Z111">
        <v>15000</v>
      </c>
      <c r="AA111">
        <v>10</v>
      </c>
      <c r="AC111">
        <v>110</v>
      </c>
      <c r="AD111">
        <f t="shared" si="4"/>
        <v>23</v>
      </c>
      <c r="AE111" cm="1">
        <f t="array" ref="AE111">INDEX(X:X, AD111+1)*AC111</f>
        <v>253000</v>
      </c>
    </row>
    <row r="112" spans="1:31">
      <c r="A112">
        <v>111</v>
      </c>
      <c r="B112">
        <v>110000000</v>
      </c>
      <c r="C112">
        <v>100000000</v>
      </c>
      <c r="D112">
        <v>100000000</v>
      </c>
      <c r="E112">
        <v>10000000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f t="shared" si="3"/>
        <v>1.0999999999999998E+31</v>
      </c>
      <c r="L112" t="e">
        <f>MATCH(K112, 보스체력!#REF!, 1)</f>
        <v>#REF!</v>
      </c>
      <c r="U112">
        <v>111</v>
      </c>
      <c r="V112">
        <v>225000</v>
      </c>
      <c r="W112">
        <v>10</v>
      </c>
      <c r="X112">
        <v>11100</v>
      </c>
      <c r="Y112">
        <v>20</v>
      </c>
      <c r="Z112">
        <v>15000</v>
      </c>
      <c r="AA112">
        <v>10</v>
      </c>
      <c r="AC112">
        <v>111</v>
      </c>
      <c r="AD112">
        <f t="shared" si="4"/>
        <v>23</v>
      </c>
      <c r="AE112" cm="1">
        <f t="array" ref="AE112">INDEX(X:X, AD112+1)*AC112</f>
        <v>255300</v>
      </c>
    </row>
    <row r="113" spans="1:31">
      <c r="A113">
        <v>112</v>
      </c>
      <c r="B113">
        <v>300000000</v>
      </c>
      <c r="C113">
        <v>100000000</v>
      </c>
      <c r="D113">
        <v>100000000</v>
      </c>
      <c r="E113">
        <v>10000000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f t="shared" si="3"/>
        <v>2.9999999999999999E+31</v>
      </c>
      <c r="L113" t="e">
        <f>MATCH(K113, 보스체력!#REF!, 1)</f>
        <v>#REF!</v>
      </c>
      <c r="U113">
        <v>112</v>
      </c>
      <c r="V113">
        <v>227000</v>
      </c>
      <c r="W113">
        <v>10</v>
      </c>
      <c r="X113">
        <v>11200</v>
      </c>
      <c r="Y113">
        <v>20</v>
      </c>
      <c r="Z113">
        <v>15000</v>
      </c>
      <c r="AA113">
        <v>10</v>
      </c>
      <c r="AC113">
        <v>112</v>
      </c>
      <c r="AD113">
        <f t="shared" si="4"/>
        <v>23</v>
      </c>
      <c r="AE113" cm="1">
        <f t="array" ref="AE113">INDEX(X:X, AD113+1)*AC113</f>
        <v>257600</v>
      </c>
    </row>
    <row r="114" spans="1:31">
      <c r="A114">
        <v>113</v>
      </c>
      <c r="B114">
        <v>500000000</v>
      </c>
      <c r="C114">
        <v>100000000</v>
      </c>
      <c r="D114">
        <v>100000000</v>
      </c>
      <c r="E114">
        <v>10000000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f t="shared" si="3"/>
        <v>4.9999999999999994E+31</v>
      </c>
      <c r="L114" t="e">
        <f>MATCH(K114, 보스체력!#REF!, 1)</f>
        <v>#REF!</v>
      </c>
      <c r="U114">
        <v>113</v>
      </c>
      <c r="V114">
        <v>230000</v>
      </c>
      <c r="W114">
        <v>10</v>
      </c>
      <c r="X114">
        <v>11300</v>
      </c>
      <c r="Y114">
        <v>20</v>
      </c>
      <c r="Z114">
        <v>15000</v>
      </c>
      <c r="AA114">
        <v>10</v>
      </c>
      <c r="AC114">
        <v>113</v>
      </c>
      <c r="AD114">
        <f t="shared" si="4"/>
        <v>23</v>
      </c>
      <c r="AE114" cm="1">
        <f t="array" ref="AE114">INDEX(X:X, AD114+1)*AC114</f>
        <v>259900</v>
      </c>
    </row>
    <row r="115" spans="1:31">
      <c r="A115">
        <v>114</v>
      </c>
      <c r="B115">
        <v>700000000</v>
      </c>
      <c r="C115">
        <v>100000000</v>
      </c>
      <c r="D115">
        <v>100000000</v>
      </c>
      <c r="E115">
        <v>10000000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f t="shared" si="3"/>
        <v>6.9999999999999993E+31</v>
      </c>
      <c r="L115" t="e">
        <f>MATCH(K115, 보스체력!#REF!, 1)</f>
        <v>#REF!</v>
      </c>
      <c r="U115">
        <v>114</v>
      </c>
      <c r="V115">
        <v>232000</v>
      </c>
      <c r="W115">
        <v>10</v>
      </c>
      <c r="X115">
        <v>11400</v>
      </c>
      <c r="Y115">
        <v>20</v>
      </c>
      <c r="Z115">
        <v>15000</v>
      </c>
      <c r="AA115">
        <v>10</v>
      </c>
      <c r="AC115">
        <v>114</v>
      </c>
      <c r="AD115">
        <f t="shared" si="4"/>
        <v>23</v>
      </c>
      <c r="AE115" cm="1">
        <f t="array" ref="AE115">INDEX(X:X, AD115+1)*AC115</f>
        <v>262200</v>
      </c>
    </row>
    <row r="116" spans="1:31">
      <c r="A116">
        <v>115</v>
      </c>
      <c r="B116">
        <v>900000000</v>
      </c>
      <c r="C116">
        <v>100000000</v>
      </c>
      <c r="D116">
        <v>100000000</v>
      </c>
      <c r="E116">
        <v>10000000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f t="shared" si="3"/>
        <v>8.9999999999999992E+31</v>
      </c>
      <c r="L116" t="e">
        <f>MATCH(K116, 보스체력!#REF!, 1)</f>
        <v>#REF!</v>
      </c>
      <c r="U116">
        <v>115</v>
      </c>
      <c r="V116">
        <v>234000</v>
      </c>
      <c r="W116">
        <v>10</v>
      </c>
      <c r="X116">
        <v>11500</v>
      </c>
      <c r="Y116">
        <v>20</v>
      </c>
      <c r="Z116">
        <v>15000</v>
      </c>
      <c r="AA116">
        <v>10</v>
      </c>
      <c r="AC116">
        <v>115</v>
      </c>
      <c r="AD116">
        <f t="shared" si="4"/>
        <v>24</v>
      </c>
      <c r="AE116" cm="1">
        <f t="array" ref="AE116">INDEX(X:X, AD116+1)*AC116</f>
        <v>276000</v>
      </c>
    </row>
    <row r="117" spans="1:31">
      <c r="A117">
        <v>116</v>
      </c>
      <c r="B117">
        <v>110000000</v>
      </c>
      <c r="C117">
        <v>100000000</v>
      </c>
      <c r="D117">
        <v>100000000</v>
      </c>
      <c r="E117">
        <v>100000000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f t="shared" si="3"/>
        <v>1.1E+32</v>
      </c>
      <c r="L117" t="e">
        <f>MATCH(K117, 보스체력!#REF!, 1)</f>
        <v>#REF!</v>
      </c>
      <c r="U117">
        <v>116</v>
      </c>
      <c r="V117">
        <v>237000</v>
      </c>
      <c r="W117">
        <v>10</v>
      </c>
      <c r="X117">
        <v>11600</v>
      </c>
      <c r="Y117">
        <v>20</v>
      </c>
      <c r="Z117">
        <v>15000</v>
      </c>
      <c r="AA117">
        <v>10</v>
      </c>
      <c r="AC117">
        <v>116</v>
      </c>
      <c r="AD117">
        <f t="shared" si="4"/>
        <v>24</v>
      </c>
      <c r="AE117" cm="1">
        <f t="array" ref="AE117">INDEX(X:X, AD117+1)*AC117</f>
        <v>278400</v>
      </c>
    </row>
    <row r="118" spans="1:31">
      <c r="A118">
        <v>117</v>
      </c>
      <c r="B118">
        <v>300000000</v>
      </c>
      <c r="C118">
        <v>100000000</v>
      </c>
      <c r="D118">
        <v>100000000</v>
      </c>
      <c r="E118">
        <v>100000000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f t="shared" si="3"/>
        <v>3E+32</v>
      </c>
      <c r="L118" t="e">
        <f>MATCH(K118, 보스체력!#REF!, 1)</f>
        <v>#REF!</v>
      </c>
      <c r="U118">
        <v>117</v>
      </c>
      <c r="V118">
        <v>239000</v>
      </c>
      <c r="W118">
        <v>10</v>
      </c>
      <c r="X118">
        <v>11700</v>
      </c>
      <c r="Y118">
        <v>20</v>
      </c>
      <c r="Z118">
        <v>15000</v>
      </c>
      <c r="AA118">
        <v>10</v>
      </c>
      <c r="AC118">
        <v>117</v>
      </c>
      <c r="AD118">
        <f t="shared" si="4"/>
        <v>24</v>
      </c>
      <c r="AE118" cm="1">
        <f t="array" ref="AE118">INDEX(X:X, AD118+1)*AC118</f>
        <v>280800</v>
      </c>
    </row>
    <row r="119" spans="1:31">
      <c r="A119">
        <v>118</v>
      </c>
      <c r="B119">
        <v>500000000</v>
      </c>
      <c r="C119">
        <v>100000000</v>
      </c>
      <c r="D119">
        <v>100000000</v>
      </c>
      <c r="E119">
        <v>100000000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f t="shared" si="3"/>
        <v>4.9999999999999997E+32</v>
      </c>
      <c r="L119" t="e">
        <f>MATCH(K119, 보스체력!#REF!, 1)</f>
        <v>#REF!</v>
      </c>
      <c r="U119">
        <v>118</v>
      </c>
      <c r="V119">
        <v>241000</v>
      </c>
      <c r="W119">
        <v>10</v>
      </c>
      <c r="X119">
        <v>11800</v>
      </c>
      <c r="Y119">
        <v>20</v>
      </c>
      <c r="Z119">
        <v>15000</v>
      </c>
      <c r="AA119">
        <v>10</v>
      </c>
      <c r="AC119">
        <v>118</v>
      </c>
      <c r="AD119">
        <f t="shared" si="4"/>
        <v>24</v>
      </c>
      <c r="AE119" cm="1">
        <f t="array" ref="AE119">INDEX(X:X, AD119+1)*AC119</f>
        <v>283200</v>
      </c>
    </row>
    <row r="120" spans="1:31">
      <c r="A120">
        <v>119</v>
      </c>
      <c r="B120">
        <v>700000000</v>
      </c>
      <c r="C120">
        <v>100000000</v>
      </c>
      <c r="D120">
        <v>100000000</v>
      </c>
      <c r="E120">
        <v>100000000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f t="shared" si="3"/>
        <v>7.0000000000000002E+32</v>
      </c>
      <c r="L120" t="e">
        <f>MATCH(K120, 보스체력!#REF!, 1)</f>
        <v>#REF!</v>
      </c>
      <c r="U120">
        <v>119</v>
      </c>
      <c r="V120">
        <v>244000</v>
      </c>
      <c r="W120">
        <v>10</v>
      </c>
      <c r="X120">
        <v>11900</v>
      </c>
      <c r="Y120">
        <v>20</v>
      </c>
      <c r="Z120">
        <v>15000</v>
      </c>
      <c r="AA120">
        <v>10</v>
      </c>
      <c r="AC120">
        <v>119</v>
      </c>
      <c r="AD120">
        <f t="shared" si="4"/>
        <v>24</v>
      </c>
      <c r="AE120" cm="1">
        <f t="array" ref="AE120">INDEX(X:X, AD120+1)*AC120</f>
        <v>285600</v>
      </c>
    </row>
    <row r="121" spans="1:31">
      <c r="A121">
        <v>120</v>
      </c>
      <c r="B121">
        <v>900000000</v>
      </c>
      <c r="C121">
        <v>100000000</v>
      </c>
      <c r="D121">
        <v>100000000</v>
      </c>
      <c r="E121">
        <v>100000000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f t="shared" si="3"/>
        <v>8.9999999999999992E+32</v>
      </c>
      <c r="L121" t="e">
        <f>MATCH(K121, 보스체력!#REF!, 1)</f>
        <v>#REF!</v>
      </c>
      <c r="U121">
        <v>120</v>
      </c>
      <c r="V121">
        <v>246000</v>
      </c>
      <c r="W121">
        <v>10</v>
      </c>
      <c r="X121">
        <v>12000</v>
      </c>
      <c r="Y121">
        <v>20</v>
      </c>
      <c r="Z121">
        <v>15000</v>
      </c>
      <c r="AA121">
        <v>10</v>
      </c>
      <c r="AC121">
        <v>120</v>
      </c>
      <c r="AD121">
        <f t="shared" si="4"/>
        <v>25</v>
      </c>
      <c r="AE121" cm="1">
        <f t="array" ref="AE121">INDEX(X:X, AD121+1)*AC121</f>
        <v>300000</v>
      </c>
    </row>
    <row r="122" spans="1:31">
      <c r="A122">
        <v>121</v>
      </c>
      <c r="B122">
        <v>110000000</v>
      </c>
      <c r="C122">
        <v>100000000</v>
      </c>
      <c r="D122">
        <v>100000000</v>
      </c>
      <c r="E122">
        <v>100000000</v>
      </c>
      <c r="F122">
        <v>10</v>
      </c>
      <c r="G122">
        <v>1</v>
      </c>
      <c r="H122">
        <v>1</v>
      </c>
      <c r="I122">
        <v>1</v>
      </c>
      <c r="J122">
        <v>1</v>
      </c>
      <c r="K122">
        <f t="shared" si="3"/>
        <v>1.1000000000000001E+33</v>
      </c>
      <c r="L122" t="e">
        <f>MATCH(K122, 보스체력!#REF!, 1)</f>
        <v>#REF!</v>
      </c>
      <c r="U122">
        <v>121</v>
      </c>
      <c r="V122">
        <v>248000</v>
      </c>
      <c r="W122">
        <v>10</v>
      </c>
      <c r="X122">
        <v>12100</v>
      </c>
      <c r="Y122">
        <v>20</v>
      </c>
      <c r="Z122">
        <v>15000</v>
      </c>
      <c r="AA122">
        <v>10</v>
      </c>
      <c r="AC122">
        <v>121</v>
      </c>
      <c r="AD122">
        <f t="shared" si="4"/>
        <v>25</v>
      </c>
      <c r="AE122" cm="1">
        <f t="array" ref="AE122">INDEX(X:X, AD122+1)*AC122</f>
        <v>302500</v>
      </c>
    </row>
    <row r="123" spans="1:31">
      <c r="A123">
        <v>122</v>
      </c>
      <c r="B123">
        <v>300000000</v>
      </c>
      <c r="C123">
        <v>100000000</v>
      </c>
      <c r="D123">
        <v>100000000</v>
      </c>
      <c r="E123">
        <v>100000000</v>
      </c>
      <c r="F123">
        <v>10</v>
      </c>
      <c r="G123">
        <v>1</v>
      </c>
      <c r="H123">
        <v>1</v>
      </c>
      <c r="I123">
        <v>1</v>
      </c>
      <c r="J123">
        <v>1</v>
      </c>
      <c r="K123">
        <f t="shared" si="3"/>
        <v>3.0000000000000004E+33</v>
      </c>
      <c r="L123" t="e">
        <f>MATCH(K123, 보스체력!#REF!, 1)</f>
        <v>#REF!</v>
      </c>
      <c r="U123">
        <v>122</v>
      </c>
      <c r="V123">
        <v>251000</v>
      </c>
      <c r="W123">
        <v>10</v>
      </c>
      <c r="X123">
        <v>12200</v>
      </c>
      <c r="Y123">
        <v>20</v>
      </c>
      <c r="Z123">
        <v>15000</v>
      </c>
      <c r="AA123">
        <v>10</v>
      </c>
      <c r="AC123">
        <v>122</v>
      </c>
      <c r="AD123">
        <f t="shared" si="4"/>
        <v>25</v>
      </c>
      <c r="AE123" cm="1">
        <f t="array" ref="AE123">INDEX(X:X, AD123+1)*AC123</f>
        <v>305000</v>
      </c>
    </row>
    <row r="124" spans="1:31">
      <c r="A124">
        <v>123</v>
      </c>
      <c r="B124">
        <v>500000000</v>
      </c>
      <c r="C124">
        <v>100000000</v>
      </c>
      <c r="D124">
        <v>100000000</v>
      </c>
      <c r="E124">
        <v>100000000</v>
      </c>
      <c r="F124">
        <v>10</v>
      </c>
      <c r="G124">
        <v>1</v>
      </c>
      <c r="H124">
        <v>1</v>
      </c>
      <c r="I124">
        <v>1</v>
      </c>
      <c r="J124">
        <v>1</v>
      </c>
      <c r="K124">
        <f t="shared" si="3"/>
        <v>5.0000000000000003E+33</v>
      </c>
      <c r="L124" t="e">
        <f>MATCH(K124, 보스체력!#REF!, 1)</f>
        <v>#REF!</v>
      </c>
      <c r="U124">
        <v>123</v>
      </c>
      <c r="V124">
        <v>253000</v>
      </c>
      <c r="W124">
        <v>10</v>
      </c>
      <c r="X124">
        <v>12300</v>
      </c>
      <c r="Y124">
        <v>20</v>
      </c>
      <c r="Z124">
        <v>15000</v>
      </c>
      <c r="AA124">
        <v>10</v>
      </c>
      <c r="AC124">
        <v>123</v>
      </c>
      <c r="AD124">
        <f t="shared" si="4"/>
        <v>25</v>
      </c>
      <c r="AE124" cm="1">
        <f t="array" ref="AE124">INDEX(X:X, AD124+1)*AC124</f>
        <v>307500</v>
      </c>
    </row>
    <row r="125" spans="1:31">
      <c r="A125">
        <v>124</v>
      </c>
      <c r="B125">
        <v>700000000</v>
      </c>
      <c r="C125">
        <v>100000000</v>
      </c>
      <c r="D125">
        <v>100000000</v>
      </c>
      <c r="E125">
        <v>100000000</v>
      </c>
      <c r="F125">
        <v>10</v>
      </c>
      <c r="G125">
        <v>1</v>
      </c>
      <c r="H125">
        <v>1</v>
      </c>
      <c r="I125">
        <v>1</v>
      </c>
      <c r="J125">
        <v>1</v>
      </c>
      <c r="K125">
        <f t="shared" si="3"/>
        <v>7.0000000000000002E+33</v>
      </c>
      <c r="L125" t="e">
        <f>MATCH(K125, 보스체력!#REF!, 1)</f>
        <v>#REF!</v>
      </c>
      <c r="U125">
        <v>124</v>
      </c>
      <c r="V125">
        <v>256000</v>
      </c>
      <c r="W125">
        <v>10</v>
      </c>
      <c r="X125">
        <v>12400</v>
      </c>
      <c r="Y125">
        <v>20</v>
      </c>
      <c r="Z125">
        <v>15000</v>
      </c>
      <c r="AA125">
        <v>10</v>
      </c>
      <c r="AC125">
        <v>124</v>
      </c>
      <c r="AD125">
        <f t="shared" si="4"/>
        <v>25</v>
      </c>
      <c r="AE125" cm="1">
        <f t="array" ref="AE125">INDEX(X:X, AD125+1)*AC125</f>
        <v>310000</v>
      </c>
    </row>
    <row r="126" spans="1:31">
      <c r="A126">
        <v>125</v>
      </c>
      <c r="B126">
        <v>900000000</v>
      </c>
      <c r="C126">
        <v>100000000</v>
      </c>
      <c r="D126">
        <v>100000000</v>
      </c>
      <c r="E126">
        <v>100000000</v>
      </c>
      <c r="F126">
        <v>10</v>
      </c>
      <c r="G126">
        <v>1</v>
      </c>
      <c r="H126">
        <v>1</v>
      </c>
      <c r="I126">
        <v>1</v>
      </c>
      <c r="J126">
        <v>1</v>
      </c>
      <c r="K126">
        <f t="shared" si="3"/>
        <v>9.0000000000000012E+33</v>
      </c>
      <c r="L126" t="e">
        <f>MATCH(K126, 보스체력!#REF!, 1)</f>
        <v>#REF!</v>
      </c>
      <c r="U126">
        <v>125</v>
      </c>
      <c r="V126">
        <v>258000</v>
      </c>
      <c r="W126">
        <v>10</v>
      </c>
      <c r="X126">
        <v>12500</v>
      </c>
      <c r="Y126">
        <v>20</v>
      </c>
      <c r="Z126">
        <v>15000</v>
      </c>
      <c r="AA126">
        <v>10</v>
      </c>
      <c r="AC126">
        <v>125</v>
      </c>
      <c r="AD126">
        <f t="shared" si="4"/>
        <v>26</v>
      </c>
      <c r="AE126" cm="1">
        <f t="array" ref="AE126">INDEX(X:X, AD126+1)*AC126</f>
        <v>325000</v>
      </c>
    </row>
    <row r="127" spans="1:31">
      <c r="A127">
        <v>126</v>
      </c>
      <c r="B127">
        <v>110000000</v>
      </c>
      <c r="C127">
        <v>100000000</v>
      </c>
      <c r="D127">
        <v>100000000</v>
      </c>
      <c r="E127">
        <v>100000000</v>
      </c>
      <c r="F127">
        <v>100</v>
      </c>
      <c r="G127">
        <v>1</v>
      </c>
      <c r="H127">
        <v>1</v>
      </c>
      <c r="I127">
        <v>1</v>
      </c>
      <c r="J127">
        <v>1</v>
      </c>
      <c r="K127">
        <f t="shared" si="3"/>
        <v>1.1000000000000001E+34</v>
      </c>
      <c r="L127" t="e">
        <f>MATCH(K127, 보스체력!#REF!, 1)</f>
        <v>#REF!</v>
      </c>
      <c r="U127">
        <v>126</v>
      </c>
      <c r="V127">
        <v>260000</v>
      </c>
      <c r="W127">
        <v>10</v>
      </c>
      <c r="X127">
        <v>12600</v>
      </c>
      <c r="Y127">
        <v>20</v>
      </c>
      <c r="Z127">
        <v>15000</v>
      </c>
      <c r="AA127">
        <v>10</v>
      </c>
      <c r="AC127">
        <v>126</v>
      </c>
      <c r="AD127">
        <f t="shared" si="4"/>
        <v>26</v>
      </c>
      <c r="AE127" cm="1">
        <f t="array" ref="AE127">INDEX(X:X, AD127+1)*AC127</f>
        <v>327600</v>
      </c>
    </row>
    <row r="128" spans="1:31">
      <c r="A128">
        <v>127</v>
      </c>
      <c r="B128">
        <v>300000000</v>
      </c>
      <c r="C128">
        <v>100000000</v>
      </c>
      <c r="D128">
        <v>100000000</v>
      </c>
      <c r="E128">
        <v>100000000</v>
      </c>
      <c r="F128">
        <v>100</v>
      </c>
      <c r="G128">
        <v>1</v>
      </c>
      <c r="H128">
        <v>1</v>
      </c>
      <c r="I128">
        <v>1</v>
      </c>
      <c r="J128">
        <v>1</v>
      </c>
      <c r="K128">
        <f t="shared" si="3"/>
        <v>3.0000000000000002E+34</v>
      </c>
      <c r="L128" t="e">
        <f>MATCH(K128, 보스체력!#REF!, 1)</f>
        <v>#REF!</v>
      </c>
      <c r="U128">
        <v>127</v>
      </c>
      <c r="V128">
        <v>263000</v>
      </c>
      <c r="W128">
        <v>10</v>
      </c>
      <c r="X128">
        <v>12700</v>
      </c>
      <c r="Y128">
        <v>20</v>
      </c>
      <c r="Z128">
        <v>15000</v>
      </c>
      <c r="AA128">
        <v>10</v>
      </c>
      <c r="AC128">
        <v>127</v>
      </c>
      <c r="AD128">
        <f t="shared" si="4"/>
        <v>26</v>
      </c>
      <c r="AE128" cm="1">
        <f t="array" ref="AE128">INDEX(X:X, AD128+1)*AC128</f>
        <v>330200</v>
      </c>
    </row>
    <row r="129" spans="1:31">
      <c r="A129">
        <v>128</v>
      </c>
      <c r="B129">
        <v>500000000</v>
      </c>
      <c r="C129">
        <v>100000000</v>
      </c>
      <c r="D129">
        <v>100000000</v>
      </c>
      <c r="E129">
        <v>100000000</v>
      </c>
      <c r="F129">
        <v>100</v>
      </c>
      <c r="G129">
        <v>1</v>
      </c>
      <c r="H129">
        <v>1</v>
      </c>
      <c r="I129">
        <v>1</v>
      </c>
      <c r="J129">
        <v>1</v>
      </c>
      <c r="K129">
        <f t="shared" si="3"/>
        <v>4.9999999999999998E+34</v>
      </c>
      <c r="L129" t="e">
        <f>MATCH(K129, 보스체력!#REF!, 1)</f>
        <v>#REF!</v>
      </c>
      <c r="U129">
        <v>128</v>
      </c>
      <c r="V129">
        <v>265000</v>
      </c>
      <c r="W129">
        <v>10</v>
      </c>
      <c r="X129">
        <v>12800</v>
      </c>
      <c r="Y129">
        <v>20</v>
      </c>
      <c r="Z129">
        <v>15000</v>
      </c>
      <c r="AA129">
        <v>10</v>
      </c>
      <c r="AC129">
        <v>128</v>
      </c>
      <c r="AD129">
        <f t="shared" si="4"/>
        <v>26</v>
      </c>
      <c r="AE129" cm="1">
        <f t="array" ref="AE129">INDEX(X:X, AD129+1)*AC129</f>
        <v>332800</v>
      </c>
    </row>
    <row r="130" spans="1:31">
      <c r="A130">
        <v>129</v>
      </c>
      <c r="B130">
        <v>700000000</v>
      </c>
      <c r="C130">
        <v>100000000</v>
      </c>
      <c r="D130">
        <v>100000000</v>
      </c>
      <c r="E130">
        <v>100000000</v>
      </c>
      <c r="F130">
        <v>100</v>
      </c>
      <c r="G130">
        <v>1</v>
      </c>
      <c r="H130">
        <v>1</v>
      </c>
      <c r="I130">
        <v>1</v>
      </c>
      <c r="J130">
        <v>1</v>
      </c>
      <c r="K130">
        <f t="shared" si="3"/>
        <v>7E+34</v>
      </c>
      <c r="L130" t="e">
        <f>MATCH(K130, 보스체력!#REF!, 1)</f>
        <v>#REF!</v>
      </c>
      <c r="U130">
        <v>129</v>
      </c>
      <c r="V130">
        <v>267000</v>
      </c>
      <c r="W130">
        <v>10</v>
      </c>
      <c r="X130">
        <v>12900</v>
      </c>
      <c r="Y130">
        <v>20</v>
      </c>
      <c r="Z130">
        <v>15000</v>
      </c>
      <c r="AA130">
        <v>10</v>
      </c>
      <c r="AC130">
        <v>129</v>
      </c>
      <c r="AD130">
        <f t="shared" si="4"/>
        <v>26</v>
      </c>
      <c r="AE130" cm="1">
        <f t="array" ref="AE130">INDEX(X:X, AD130+1)*AC130</f>
        <v>335400</v>
      </c>
    </row>
    <row r="131" spans="1:31">
      <c r="A131">
        <v>130</v>
      </c>
      <c r="B131">
        <v>900000000</v>
      </c>
      <c r="C131">
        <v>100000000</v>
      </c>
      <c r="D131">
        <v>100000000</v>
      </c>
      <c r="E131">
        <v>100000000</v>
      </c>
      <c r="F131">
        <v>100</v>
      </c>
      <c r="G131">
        <v>1</v>
      </c>
      <c r="H131">
        <v>1</v>
      </c>
      <c r="I131">
        <v>1</v>
      </c>
      <c r="J131">
        <v>1</v>
      </c>
      <c r="K131">
        <f t="shared" ref="K131:K194" si="5">J131*I131*H131*G131*F131*E131*D131*C131*B131</f>
        <v>9.0000000000000001E+34</v>
      </c>
      <c r="L131" t="e">
        <f>MATCH(K131, 보스체력!#REF!, 1)</f>
        <v>#REF!</v>
      </c>
      <c r="U131">
        <v>130</v>
      </c>
      <c r="V131">
        <v>270000</v>
      </c>
      <c r="W131">
        <v>10</v>
      </c>
      <c r="X131">
        <v>13000</v>
      </c>
      <c r="Y131">
        <v>20</v>
      </c>
      <c r="Z131">
        <v>15000</v>
      </c>
      <c r="AA131">
        <v>10</v>
      </c>
      <c r="AC131">
        <v>130</v>
      </c>
      <c r="AD131">
        <f t="shared" ref="AD131:AD194" si="6">INT(AC131/5)+1</f>
        <v>27</v>
      </c>
      <c r="AE131" cm="1">
        <f t="array" ref="AE131">INDEX(X:X, AD131+1)*AC131</f>
        <v>351000</v>
      </c>
    </row>
    <row r="132" spans="1:31">
      <c r="A132">
        <v>131</v>
      </c>
      <c r="B132">
        <v>110000000</v>
      </c>
      <c r="C132">
        <v>100000000</v>
      </c>
      <c r="D132">
        <v>100000000</v>
      </c>
      <c r="E132">
        <v>100000000</v>
      </c>
      <c r="F132">
        <v>1000</v>
      </c>
      <c r="G132">
        <v>1</v>
      </c>
      <c r="H132">
        <v>1</v>
      </c>
      <c r="I132">
        <v>1</v>
      </c>
      <c r="J132">
        <v>1</v>
      </c>
      <c r="K132">
        <f t="shared" si="5"/>
        <v>1.0999999999999999E+35</v>
      </c>
      <c r="L132" t="e">
        <f>MATCH(K132, 보스체력!#REF!, 1)</f>
        <v>#REF!</v>
      </c>
      <c r="U132">
        <v>131</v>
      </c>
      <c r="V132">
        <v>272000</v>
      </c>
      <c r="W132">
        <v>10</v>
      </c>
      <c r="X132">
        <v>13100</v>
      </c>
      <c r="Y132">
        <v>20</v>
      </c>
      <c r="Z132">
        <v>15000</v>
      </c>
      <c r="AA132">
        <v>10</v>
      </c>
      <c r="AC132">
        <v>131</v>
      </c>
      <c r="AD132">
        <f t="shared" si="6"/>
        <v>27</v>
      </c>
      <c r="AE132" cm="1">
        <f t="array" ref="AE132">INDEX(X:X, AD132+1)*AC132</f>
        <v>353700</v>
      </c>
    </row>
    <row r="133" spans="1:31">
      <c r="A133">
        <v>132</v>
      </c>
      <c r="B133">
        <v>300000000</v>
      </c>
      <c r="C133">
        <v>100000000</v>
      </c>
      <c r="D133">
        <v>100000000</v>
      </c>
      <c r="E133">
        <v>100000000</v>
      </c>
      <c r="F133">
        <v>1000</v>
      </c>
      <c r="G133">
        <v>1</v>
      </c>
      <c r="H133">
        <v>1</v>
      </c>
      <c r="I133">
        <v>1</v>
      </c>
      <c r="J133">
        <v>1</v>
      </c>
      <c r="K133">
        <f t="shared" si="5"/>
        <v>2.9999999999999999E+35</v>
      </c>
      <c r="L133" t="e">
        <f>MATCH(K133, 보스체력!#REF!, 1)</f>
        <v>#REF!</v>
      </c>
      <c r="U133">
        <v>132</v>
      </c>
      <c r="V133">
        <v>274000</v>
      </c>
      <c r="W133">
        <v>10</v>
      </c>
      <c r="X133">
        <v>13200</v>
      </c>
      <c r="Y133">
        <v>20</v>
      </c>
      <c r="Z133">
        <v>15000</v>
      </c>
      <c r="AA133">
        <v>10</v>
      </c>
      <c r="AC133">
        <v>132</v>
      </c>
      <c r="AD133">
        <f t="shared" si="6"/>
        <v>27</v>
      </c>
      <c r="AE133" cm="1">
        <f t="array" ref="AE133">INDEX(X:X, AD133+1)*AC133</f>
        <v>356400</v>
      </c>
    </row>
    <row r="134" spans="1:31">
      <c r="A134">
        <v>133</v>
      </c>
      <c r="B134">
        <v>500000000</v>
      </c>
      <c r="C134">
        <v>100000000</v>
      </c>
      <c r="D134">
        <v>100000000</v>
      </c>
      <c r="E134">
        <v>100000000</v>
      </c>
      <c r="F134">
        <v>1000</v>
      </c>
      <c r="G134">
        <v>1</v>
      </c>
      <c r="H134">
        <v>1</v>
      </c>
      <c r="I134">
        <v>1</v>
      </c>
      <c r="J134">
        <v>1</v>
      </c>
      <c r="K134">
        <f t="shared" si="5"/>
        <v>5.0000000000000002E+35</v>
      </c>
      <c r="L134" t="e">
        <f>MATCH(K134, 보스체력!#REF!, 1)</f>
        <v>#REF!</v>
      </c>
      <c r="U134">
        <v>133</v>
      </c>
      <c r="V134">
        <v>277000</v>
      </c>
      <c r="W134">
        <v>10</v>
      </c>
      <c r="X134">
        <v>13300</v>
      </c>
      <c r="Y134">
        <v>20</v>
      </c>
      <c r="Z134">
        <v>15000</v>
      </c>
      <c r="AA134">
        <v>10</v>
      </c>
      <c r="AC134">
        <v>133</v>
      </c>
      <c r="AD134">
        <f t="shared" si="6"/>
        <v>27</v>
      </c>
      <c r="AE134" cm="1">
        <f t="array" ref="AE134">INDEX(X:X, AD134+1)*AC134</f>
        <v>359100</v>
      </c>
    </row>
    <row r="135" spans="1:31">
      <c r="A135">
        <v>134</v>
      </c>
      <c r="B135">
        <v>700000000</v>
      </c>
      <c r="C135">
        <v>100000000</v>
      </c>
      <c r="D135">
        <v>100000000</v>
      </c>
      <c r="E135">
        <v>100000000</v>
      </c>
      <c r="F135">
        <v>1000</v>
      </c>
      <c r="G135">
        <v>1</v>
      </c>
      <c r="H135">
        <v>1</v>
      </c>
      <c r="I135">
        <v>1</v>
      </c>
      <c r="J135">
        <v>1</v>
      </c>
      <c r="K135">
        <f t="shared" si="5"/>
        <v>7.0000000000000001E+35</v>
      </c>
      <c r="L135" t="e">
        <f>MATCH(K135, 보스체력!#REF!, 1)</f>
        <v>#REF!</v>
      </c>
      <c r="U135">
        <v>134</v>
      </c>
      <c r="V135">
        <v>279000</v>
      </c>
      <c r="W135">
        <v>10</v>
      </c>
      <c r="X135">
        <v>13400</v>
      </c>
      <c r="Y135">
        <v>20</v>
      </c>
      <c r="Z135">
        <v>15000</v>
      </c>
      <c r="AA135">
        <v>10</v>
      </c>
      <c r="AC135">
        <v>134</v>
      </c>
      <c r="AD135">
        <f t="shared" si="6"/>
        <v>27</v>
      </c>
      <c r="AE135" cm="1">
        <f t="array" ref="AE135">INDEX(X:X, AD135+1)*AC135</f>
        <v>361800</v>
      </c>
    </row>
    <row r="136" spans="1:31">
      <c r="A136">
        <v>135</v>
      </c>
      <c r="B136">
        <v>900000000</v>
      </c>
      <c r="C136">
        <v>100000000</v>
      </c>
      <c r="D136">
        <v>100000000</v>
      </c>
      <c r="E136">
        <v>100000000</v>
      </c>
      <c r="F136">
        <v>1000</v>
      </c>
      <c r="G136">
        <v>1</v>
      </c>
      <c r="H136">
        <v>1</v>
      </c>
      <c r="I136">
        <v>1</v>
      </c>
      <c r="J136">
        <v>1</v>
      </c>
      <c r="K136">
        <f t="shared" si="5"/>
        <v>9.0000000000000008E+35</v>
      </c>
      <c r="L136" t="e">
        <f>MATCH(K136, 보스체력!#REF!, 1)</f>
        <v>#REF!</v>
      </c>
      <c r="U136">
        <v>135</v>
      </c>
      <c r="V136">
        <v>281000</v>
      </c>
      <c r="W136">
        <v>10</v>
      </c>
      <c r="X136">
        <v>13500</v>
      </c>
      <c r="Y136">
        <v>20</v>
      </c>
      <c r="Z136">
        <v>15000</v>
      </c>
      <c r="AA136">
        <v>10</v>
      </c>
      <c r="AC136">
        <v>135</v>
      </c>
      <c r="AD136">
        <f t="shared" si="6"/>
        <v>28</v>
      </c>
      <c r="AE136" cm="1">
        <f t="array" ref="AE136">INDEX(X:X, AD136+1)*AC136</f>
        <v>378000</v>
      </c>
    </row>
    <row r="137" spans="1:31">
      <c r="A137">
        <v>136</v>
      </c>
      <c r="B137">
        <v>110000000</v>
      </c>
      <c r="C137">
        <v>100000000</v>
      </c>
      <c r="D137">
        <v>100000000</v>
      </c>
      <c r="E137">
        <v>100000000</v>
      </c>
      <c r="F137">
        <v>10000</v>
      </c>
      <c r="G137">
        <v>1</v>
      </c>
      <c r="H137">
        <v>1</v>
      </c>
      <c r="I137">
        <v>1</v>
      </c>
      <c r="J137">
        <v>1</v>
      </c>
      <c r="K137">
        <f t="shared" si="5"/>
        <v>1.1E+36</v>
      </c>
      <c r="L137" t="e">
        <f>MATCH(K137, 보스체력!#REF!, 1)</f>
        <v>#REF!</v>
      </c>
      <c r="U137">
        <v>136</v>
      </c>
      <c r="V137">
        <v>284000</v>
      </c>
      <c r="W137">
        <v>10</v>
      </c>
      <c r="X137">
        <v>13600</v>
      </c>
      <c r="Y137">
        <v>20</v>
      </c>
      <c r="Z137">
        <v>15000</v>
      </c>
      <c r="AA137">
        <v>10</v>
      </c>
      <c r="AC137">
        <v>136</v>
      </c>
      <c r="AD137">
        <f t="shared" si="6"/>
        <v>28</v>
      </c>
      <c r="AE137" cm="1">
        <f t="array" ref="AE137">INDEX(X:X, AD137+1)*AC137</f>
        <v>380800</v>
      </c>
    </row>
    <row r="138" spans="1:31">
      <c r="A138">
        <v>137</v>
      </c>
      <c r="B138">
        <v>300000000</v>
      </c>
      <c r="C138">
        <v>100000000</v>
      </c>
      <c r="D138">
        <v>100000000</v>
      </c>
      <c r="E138">
        <v>100000000</v>
      </c>
      <c r="F138">
        <v>10000</v>
      </c>
      <c r="G138">
        <v>1</v>
      </c>
      <c r="H138">
        <v>1</v>
      </c>
      <c r="I138">
        <v>1</v>
      </c>
      <c r="J138">
        <v>1</v>
      </c>
      <c r="K138">
        <f t="shared" si="5"/>
        <v>3E+36</v>
      </c>
      <c r="L138" t="e">
        <f>MATCH(K138, 보스체력!#REF!, 1)</f>
        <v>#REF!</v>
      </c>
      <c r="U138">
        <v>137</v>
      </c>
      <c r="V138">
        <v>286000</v>
      </c>
      <c r="W138">
        <v>10</v>
      </c>
      <c r="X138">
        <v>13700</v>
      </c>
      <c r="Y138">
        <v>20</v>
      </c>
      <c r="Z138">
        <v>15000</v>
      </c>
      <c r="AA138">
        <v>10</v>
      </c>
      <c r="AC138">
        <v>137</v>
      </c>
      <c r="AD138">
        <f t="shared" si="6"/>
        <v>28</v>
      </c>
      <c r="AE138" cm="1">
        <f t="array" ref="AE138">INDEX(X:X, AD138+1)*AC138</f>
        <v>383600</v>
      </c>
    </row>
    <row r="139" spans="1:31">
      <c r="A139">
        <v>138</v>
      </c>
      <c r="B139">
        <v>500000000</v>
      </c>
      <c r="C139">
        <v>100000000</v>
      </c>
      <c r="D139">
        <v>100000000</v>
      </c>
      <c r="E139">
        <v>100000000</v>
      </c>
      <c r="F139">
        <v>10000</v>
      </c>
      <c r="G139">
        <v>1</v>
      </c>
      <c r="H139">
        <v>1</v>
      </c>
      <c r="I139">
        <v>1</v>
      </c>
      <c r="J139">
        <v>1</v>
      </c>
      <c r="K139">
        <f t="shared" si="5"/>
        <v>4.9999999999999998E+36</v>
      </c>
      <c r="L139" t="e">
        <f>MATCH(K139, 보스체력!#REF!, 1)</f>
        <v>#REF!</v>
      </c>
      <c r="U139">
        <v>138</v>
      </c>
      <c r="V139">
        <v>289000</v>
      </c>
      <c r="W139">
        <v>10</v>
      </c>
      <c r="X139">
        <v>13800</v>
      </c>
      <c r="Y139">
        <v>20</v>
      </c>
      <c r="Z139">
        <v>15000</v>
      </c>
      <c r="AA139">
        <v>10</v>
      </c>
      <c r="AC139">
        <v>138</v>
      </c>
      <c r="AD139">
        <f t="shared" si="6"/>
        <v>28</v>
      </c>
      <c r="AE139" cm="1">
        <f t="array" ref="AE139">INDEX(X:X, AD139+1)*AC139</f>
        <v>386400</v>
      </c>
    </row>
    <row r="140" spans="1:31">
      <c r="A140">
        <v>139</v>
      </c>
      <c r="B140">
        <v>700000000</v>
      </c>
      <c r="C140">
        <v>100000000</v>
      </c>
      <c r="D140">
        <v>100000000</v>
      </c>
      <c r="E140">
        <v>100000000</v>
      </c>
      <c r="F140">
        <v>10000</v>
      </c>
      <c r="G140">
        <v>1</v>
      </c>
      <c r="H140">
        <v>1</v>
      </c>
      <c r="I140">
        <v>1</v>
      </c>
      <c r="J140">
        <v>1</v>
      </c>
      <c r="K140">
        <f t="shared" si="5"/>
        <v>6.9999999999999996E+36</v>
      </c>
      <c r="L140" t="e">
        <f>MATCH(K140, 보스체력!#REF!, 1)</f>
        <v>#REF!</v>
      </c>
      <c r="U140">
        <v>139</v>
      </c>
      <c r="V140">
        <v>291000</v>
      </c>
      <c r="W140">
        <v>10</v>
      </c>
      <c r="X140">
        <v>13900</v>
      </c>
      <c r="Y140">
        <v>20</v>
      </c>
      <c r="Z140">
        <v>15000</v>
      </c>
      <c r="AA140">
        <v>10</v>
      </c>
      <c r="AC140">
        <v>139</v>
      </c>
      <c r="AD140">
        <f t="shared" si="6"/>
        <v>28</v>
      </c>
      <c r="AE140" cm="1">
        <f t="array" ref="AE140">INDEX(X:X, AD140+1)*AC140</f>
        <v>389200</v>
      </c>
    </row>
    <row r="141" spans="1:31">
      <c r="A141">
        <v>140</v>
      </c>
      <c r="B141">
        <v>900000000</v>
      </c>
      <c r="C141">
        <v>100000000</v>
      </c>
      <c r="D141">
        <v>100000000</v>
      </c>
      <c r="E141">
        <v>100000000</v>
      </c>
      <c r="F141">
        <v>10000</v>
      </c>
      <c r="G141">
        <v>1</v>
      </c>
      <c r="H141">
        <v>1</v>
      </c>
      <c r="I141">
        <v>1</v>
      </c>
      <c r="J141">
        <v>1</v>
      </c>
      <c r="K141">
        <f t="shared" si="5"/>
        <v>8.9999999999999999E+36</v>
      </c>
      <c r="L141" t="e">
        <f>MATCH(K141, 보스체력!#REF!, 1)</f>
        <v>#REF!</v>
      </c>
      <c r="U141">
        <v>140</v>
      </c>
      <c r="V141">
        <v>293000</v>
      </c>
      <c r="W141">
        <v>10</v>
      </c>
      <c r="X141">
        <v>14000</v>
      </c>
      <c r="Y141">
        <v>20</v>
      </c>
      <c r="Z141">
        <v>15000</v>
      </c>
      <c r="AA141">
        <v>10</v>
      </c>
      <c r="AC141">
        <v>140</v>
      </c>
      <c r="AD141">
        <f t="shared" si="6"/>
        <v>29</v>
      </c>
      <c r="AE141" cm="1">
        <f t="array" ref="AE141">INDEX(X:X, AD141+1)*AC141</f>
        <v>406000</v>
      </c>
    </row>
    <row r="142" spans="1:31">
      <c r="A142">
        <v>141</v>
      </c>
      <c r="B142">
        <v>145000000</v>
      </c>
      <c r="C142">
        <v>100000000</v>
      </c>
      <c r="D142">
        <v>100000000</v>
      </c>
      <c r="E142">
        <v>100000000</v>
      </c>
      <c r="F142">
        <v>100000</v>
      </c>
      <c r="G142">
        <v>1</v>
      </c>
      <c r="H142">
        <v>1</v>
      </c>
      <c r="I142">
        <v>1</v>
      </c>
      <c r="J142">
        <v>1</v>
      </c>
      <c r="K142">
        <f t="shared" si="5"/>
        <v>1.4499999999999999E+37</v>
      </c>
      <c r="L142" t="e">
        <f>MATCH(K142, 보스체력!#REF!, 1)</f>
        <v>#REF!</v>
      </c>
      <c r="U142">
        <v>141</v>
      </c>
      <c r="V142">
        <v>296000</v>
      </c>
      <c r="W142">
        <v>10</v>
      </c>
      <c r="X142">
        <v>14100</v>
      </c>
      <c r="Y142">
        <v>20</v>
      </c>
      <c r="Z142">
        <v>15000</v>
      </c>
      <c r="AA142">
        <v>10</v>
      </c>
      <c r="AC142">
        <v>141</v>
      </c>
      <c r="AD142">
        <f t="shared" si="6"/>
        <v>29</v>
      </c>
      <c r="AE142" cm="1">
        <f t="array" ref="AE142">INDEX(X:X, AD142+1)*AC142</f>
        <v>408900</v>
      </c>
    </row>
    <row r="143" spans="1:31">
      <c r="A143">
        <v>142</v>
      </c>
      <c r="B143">
        <v>235000000</v>
      </c>
      <c r="C143">
        <v>100000000</v>
      </c>
      <c r="D143">
        <v>100000000</v>
      </c>
      <c r="E143">
        <v>100000000</v>
      </c>
      <c r="F143">
        <v>100000</v>
      </c>
      <c r="G143">
        <v>1</v>
      </c>
      <c r="H143">
        <v>1</v>
      </c>
      <c r="I143">
        <v>1</v>
      </c>
      <c r="J143">
        <v>1</v>
      </c>
      <c r="K143">
        <f t="shared" si="5"/>
        <v>2.3499999999999998E+37</v>
      </c>
      <c r="L143" t="e">
        <f>MATCH(K143, 보스체력!#REF!, 1)</f>
        <v>#REF!</v>
      </c>
      <c r="U143">
        <v>142</v>
      </c>
      <c r="V143">
        <v>298000</v>
      </c>
      <c r="W143">
        <v>10</v>
      </c>
      <c r="X143">
        <v>14200</v>
      </c>
      <c r="Y143">
        <v>20</v>
      </c>
      <c r="Z143">
        <v>15000</v>
      </c>
      <c r="AA143">
        <v>10</v>
      </c>
      <c r="AC143">
        <v>142</v>
      </c>
      <c r="AD143">
        <f t="shared" si="6"/>
        <v>29</v>
      </c>
      <c r="AE143" cm="1">
        <f t="array" ref="AE143">INDEX(X:X, AD143+1)*AC143</f>
        <v>411800</v>
      </c>
    </row>
    <row r="144" spans="1:31">
      <c r="A144">
        <v>143</v>
      </c>
      <c r="B144">
        <v>325000000</v>
      </c>
      <c r="C144">
        <v>100000000</v>
      </c>
      <c r="D144">
        <v>100000000</v>
      </c>
      <c r="E144">
        <v>100000000</v>
      </c>
      <c r="F144">
        <v>100000</v>
      </c>
      <c r="G144">
        <v>1</v>
      </c>
      <c r="H144">
        <v>1</v>
      </c>
      <c r="I144">
        <v>1</v>
      </c>
      <c r="J144">
        <v>1</v>
      </c>
      <c r="K144">
        <f t="shared" si="5"/>
        <v>3.2499999999999999E+37</v>
      </c>
      <c r="L144" t="e">
        <f>MATCH(K144, 보스체력!#REF!, 1)</f>
        <v>#REF!</v>
      </c>
      <c r="U144">
        <v>143</v>
      </c>
      <c r="V144">
        <v>300000</v>
      </c>
      <c r="W144">
        <v>10</v>
      </c>
      <c r="X144">
        <v>14300</v>
      </c>
      <c r="Y144">
        <v>20</v>
      </c>
      <c r="Z144">
        <v>15000</v>
      </c>
      <c r="AA144">
        <v>10</v>
      </c>
      <c r="AC144">
        <v>143</v>
      </c>
      <c r="AD144">
        <f t="shared" si="6"/>
        <v>29</v>
      </c>
      <c r="AE144" cm="1">
        <f t="array" ref="AE144">INDEX(X:X, AD144+1)*AC144</f>
        <v>414700</v>
      </c>
    </row>
    <row r="145" spans="1:31">
      <c r="A145">
        <v>144</v>
      </c>
      <c r="B145">
        <v>415000000</v>
      </c>
      <c r="C145">
        <v>100000000</v>
      </c>
      <c r="D145">
        <v>100000000</v>
      </c>
      <c r="E145">
        <v>100000000</v>
      </c>
      <c r="F145">
        <v>100000</v>
      </c>
      <c r="G145">
        <v>1</v>
      </c>
      <c r="H145">
        <v>1</v>
      </c>
      <c r="I145">
        <v>1</v>
      </c>
      <c r="J145">
        <v>1</v>
      </c>
      <c r="K145">
        <f t="shared" si="5"/>
        <v>4.1499999999999995E+37</v>
      </c>
      <c r="L145" t="e">
        <f>MATCH(K145, 보스체력!#REF!, 1)</f>
        <v>#REF!</v>
      </c>
      <c r="U145">
        <v>144</v>
      </c>
      <c r="V145">
        <v>303000</v>
      </c>
      <c r="W145">
        <v>10</v>
      </c>
      <c r="X145">
        <v>14400</v>
      </c>
      <c r="Y145">
        <v>20</v>
      </c>
      <c r="Z145">
        <v>15000</v>
      </c>
      <c r="AA145">
        <v>10</v>
      </c>
      <c r="AC145">
        <v>144</v>
      </c>
      <c r="AD145">
        <f t="shared" si="6"/>
        <v>29</v>
      </c>
      <c r="AE145" cm="1">
        <f t="array" ref="AE145">INDEX(X:X, AD145+1)*AC145</f>
        <v>417600</v>
      </c>
    </row>
    <row r="146" spans="1:31">
      <c r="A146">
        <v>145</v>
      </c>
      <c r="B146">
        <v>505000000</v>
      </c>
      <c r="C146">
        <v>100000000</v>
      </c>
      <c r="D146">
        <v>100000000</v>
      </c>
      <c r="E146">
        <v>100000000</v>
      </c>
      <c r="F146">
        <v>100000</v>
      </c>
      <c r="G146">
        <v>1</v>
      </c>
      <c r="H146">
        <v>1</v>
      </c>
      <c r="I146">
        <v>1</v>
      </c>
      <c r="J146">
        <v>1</v>
      </c>
      <c r="K146">
        <f t="shared" si="5"/>
        <v>5.0499999999999992E+37</v>
      </c>
      <c r="L146" t="e">
        <f>MATCH(K146, 보스체력!#REF!, 1)</f>
        <v>#REF!</v>
      </c>
      <c r="U146">
        <v>145</v>
      </c>
      <c r="V146">
        <v>305000</v>
      </c>
      <c r="W146">
        <v>10</v>
      </c>
      <c r="X146">
        <v>14500</v>
      </c>
      <c r="Y146">
        <v>20</v>
      </c>
      <c r="Z146">
        <v>15000</v>
      </c>
      <c r="AA146">
        <v>10</v>
      </c>
      <c r="AC146">
        <v>145</v>
      </c>
      <c r="AD146">
        <f t="shared" si="6"/>
        <v>30</v>
      </c>
      <c r="AE146" cm="1">
        <f t="array" ref="AE146">INDEX(X:X, AD146+1)*AC146</f>
        <v>435000</v>
      </c>
    </row>
    <row r="147" spans="1:31">
      <c r="A147">
        <v>146</v>
      </c>
      <c r="B147">
        <v>595000000</v>
      </c>
      <c r="C147">
        <v>100000000</v>
      </c>
      <c r="D147">
        <v>100000000</v>
      </c>
      <c r="E147">
        <v>100000000</v>
      </c>
      <c r="F147">
        <v>100000</v>
      </c>
      <c r="G147">
        <v>1</v>
      </c>
      <c r="H147">
        <v>1</v>
      </c>
      <c r="I147">
        <v>1</v>
      </c>
      <c r="J147">
        <v>1</v>
      </c>
      <c r="K147">
        <f t="shared" si="5"/>
        <v>5.9499999999999993E+37</v>
      </c>
      <c r="L147" t="e">
        <f>MATCH(K147, 보스체력!#REF!, 1)</f>
        <v>#REF!</v>
      </c>
      <c r="U147">
        <v>146</v>
      </c>
      <c r="V147">
        <v>307000</v>
      </c>
      <c r="W147">
        <v>10</v>
      </c>
      <c r="X147">
        <v>14600</v>
      </c>
      <c r="Y147">
        <v>20</v>
      </c>
      <c r="Z147">
        <v>15000</v>
      </c>
      <c r="AA147">
        <v>10</v>
      </c>
      <c r="AC147">
        <v>146</v>
      </c>
      <c r="AD147">
        <f t="shared" si="6"/>
        <v>30</v>
      </c>
      <c r="AE147" cm="1">
        <f t="array" ref="AE147">INDEX(X:X, AD147+1)*AC147</f>
        <v>438000</v>
      </c>
    </row>
    <row r="148" spans="1:31">
      <c r="A148">
        <v>147</v>
      </c>
      <c r="B148">
        <v>685000000</v>
      </c>
      <c r="C148">
        <v>100000000</v>
      </c>
      <c r="D148">
        <v>100000000</v>
      </c>
      <c r="E148">
        <v>100000000</v>
      </c>
      <c r="F148">
        <v>100000</v>
      </c>
      <c r="G148">
        <v>1</v>
      </c>
      <c r="H148">
        <v>1</v>
      </c>
      <c r="I148">
        <v>1</v>
      </c>
      <c r="J148">
        <v>1</v>
      </c>
      <c r="K148">
        <f t="shared" si="5"/>
        <v>6.8499999999999994E+37</v>
      </c>
      <c r="L148" t="e">
        <f>MATCH(K148, 보스체력!#REF!, 1)</f>
        <v>#REF!</v>
      </c>
      <c r="U148">
        <v>147</v>
      </c>
      <c r="V148">
        <v>310000</v>
      </c>
      <c r="W148">
        <v>10</v>
      </c>
      <c r="X148">
        <v>14700</v>
      </c>
      <c r="Y148">
        <v>20</v>
      </c>
      <c r="Z148">
        <v>15000</v>
      </c>
      <c r="AA148">
        <v>10</v>
      </c>
      <c r="AC148">
        <v>147</v>
      </c>
      <c r="AD148">
        <f t="shared" si="6"/>
        <v>30</v>
      </c>
      <c r="AE148" cm="1">
        <f t="array" ref="AE148">INDEX(X:X, AD148+1)*AC148</f>
        <v>441000</v>
      </c>
    </row>
    <row r="149" spans="1:31">
      <c r="A149">
        <v>148</v>
      </c>
      <c r="B149">
        <v>775000000</v>
      </c>
      <c r="C149">
        <v>100000000</v>
      </c>
      <c r="D149">
        <v>100000000</v>
      </c>
      <c r="E149">
        <v>100000000</v>
      </c>
      <c r="F149">
        <v>100000</v>
      </c>
      <c r="G149">
        <v>1</v>
      </c>
      <c r="H149">
        <v>1</v>
      </c>
      <c r="I149">
        <v>1</v>
      </c>
      <c r="J149">
        <v>1</v>
      </c>
      <c r="K149">
        <f t="shared" si="5"/>
        <v>7.7499999999999995E+37</v>
      </c>
      <c r="L149" t="e">
        <f>MATCH(K149, 보스체력!#REF!, 1)</f>
        <v>#REF!</v>
      </c>
      <c r="U149">
        <v>148</v>
      </c>
      <c r="V149">
        <v>312000</v>
      </c>
      <c r="W149">
        <v>10</v>
      </c>
      <c r="X149">
        <v>14800</v>
      </c>
      <c r="Y149">
        <v>20</v>
      </c>
      <c r="Z149">
        <v>15000</v>
      </c>
      <c r="AA149">
        <v>10</v>
      </c>
      <c r="AC149">
        <v>148</v>
      </c>
      <c r="AD149">
        <f t="shared" si="6"/>
        <v>30</v>
      </c>
      <c r="AE149" cm="1">
        <f t="array" ref="AE149">INDEX(X:X, AD149+1)*AC149</f>
        <v>444000</v>
      </c>
    </row>
    <row r="150" spans="1:31">
      <c r="A150">
        <v>149</v>
      </c>
      <c r="B150">
        <v>865000000</v>
      </c>
      <c r="C150">
        <v>100000000</v>
      </c>
      <c r="D150">
        <v>100000000</v>
      </c>
      <c r="E150">
        <v>100000000</v>
      </c>
      <c r="F150">
        <v>100000</v>
      </c>
      <c r="G150">
        <v>1</v>
      </c>
      <c r="H150">
        <v>1</v>
      </c>
      <c r="I150">
        <v>1</v>
      </c>
      <c r="J150">
        <v>1</v>
      </c>
      <c r="K150">
        <f t="shared" si="5"/>
        <v>8.6499999999999996E+37</v>
      </c>
      <c r="L150" t="e">
        <f>MATCH(K150, 보스체력!#REF!, 1)</f>
        <v>#REF!</v>
      </c>
      <c r="U150">
        <v>149</v>
      </c>
      <c r="V150">
        <v>315050</v>
      </c>
      <c r="W150">
        <v>10</v>
      </c>
      <c r="X150">
        <v>14900</v>
      </c>
      <c r="Y150">
        <v>20</v>
      </c>
      <c r="Z150">
        <v>15000</v>
      </c>
      <c r="AA150">
        <v>10</v>
      </c>
      <c r="AC150">
        <v>149</v>
      </c>
      <c r="AD150">
        <f t="shared" si="6"/>
        <v>30</v>
      </c>
      <c r="AE150" cm="1">
        <f t="array" ref="AE150">INDEX(X:X, AD150+1)*AC150</f>
        <v>447000</v>
      </c>
    </row>
    <row r="151" spans="1:31">
      <c r="A151">
        <v>150</v>
      </c>
      <c r="B151">
        <v>955000000</v>
      </c>
      <c r="C151">
        <v>100000000</v>
      </c>
      <c r="D151">
        <v>100000000</v>
      </c>
      <c r="E151">
        <v>100000000</v>
      </c>
      <c r="F151">
        <v>100000</v>
      </c>
      <c r="G151">
        <v>1</v>
      </c>
      <c r="H151">
        <v>1</v>
      </c>
      <c r="I151">
        <v>1</v>
      </c>
      <c r="J151">
        <v>1</v>
      </c>
      <c r="K151">
        <f t="shared" si="5"/>
        <v>9.5499999999999997E+37</v>
      </c>
      <c r="L151" t="e">
        <f>MATCH(K151, 보스체력!#REF!, 1)</f>
        <v>#REF!</v>
      </c>
      <c r="U151">
        <v>150</v>
      </c>
      <c r="V151">
        <v>317000</v>
      </c>
      <c r="W151">
        <v>10</v>
      </c>
      <c r="X151">
        <v>15000</v>
      </c>
      <c r="Y151">
        <v>20</v>
      </c>
      <c r="Z151">
        <v>15000</v>
      </c>
      <c r="AA151">
        <v>10</v>
      </c>
      <c r="AC151">
        <v>150</v>
      </c>
      <c r="AD151">
        <f t="shared" si="6"/>
        <v>31</v>
      </c>
      <c r="AE151" cm="1">
        <f t="array" ref="AE151">INDEX(X:X, AD151+1)*AC151</f>
        <v>465000</v>
      </c>
    </row>
    <row r="152" spans="1:31">
      <c r="A152">
        <v>151</v>
      </c>
      <c r="B152">
        <v>145000000</v>
      </c>
      <c r="C152">
        <v>100000000</v>
      </c>
      <c r="D152">
        <v>100000000</v>
      </c>
      <c r="E152">
        <v>100000000</v>
      </c>
      <c r="F152">
        <v>1000000</v>
      </c>
      <c r="G152">
        <v>1</v>
      </c>
      <c r="H152">
        <v>1</v>
      </c>
      <c r="I152">
        <v>1</v>
      </c>
      <c r="J152">
        <v>1</v>
      </c>
      <c r="K152">
        <f t="shared" si="5"/>
        <v>1.45E+38</v>
      </c>
      <c r="L152" t="e">
        <f>MATCH(K152, 보스체력!#REF!, 1)</f>
        <v>#REF!</v>
      </c>
      <c r="U152">
        <v>151</v>
      </c>
      <c r="V152">
        <v>319000</v>
      </c>
      <c r="W152">
        <v>10</v>
      </c>
      <c r="X152">
        <v>15100</v>
      </c>
      <c r="Y152">
        <v>20</v>
      </c>
      <c r="Z152">
        <v>15000</v>
      </c>
      <c r="AA152">
        <v>10</v>
      </c>
      <c r="AC152">
        <v>151</v>
      </c>
      <c r="AD152">
        <f t="shared" si="6"/>
        <v>31</v>
      </c>
      <c r="AE152" cm="1">
        <f t="array" ref="AE152">INDEX(X:X, AD152+1)*AC152</f>
        <v>468100</v>
      </c>
    </row>
    <row r="153" spans="1:31">
      <c r="A153">
        <v>152</v>
      </c>
      <c r="B153">
        <v>235000000</v>
      </c>
      <c r="C153">
        <v>100000000</v>
      </c>
      <c r="D153">
        <v>100000000</v>
      </c>
      <c r="E153">
        <v>100000000</v>
      </c>
      <c r="F153">
        <v>1000000</v>
      </c>
      <c r="G153">
        <v>1</v>
      </c>
      <c r="H153">
        <v>1</v>
      </c>
      <c r="I153">
        <v>1</v>
      </c>
      <c r="J153">
        <v>1</v>
      </c>
      <c r="K153">
        <f t="shared" si="5"/>
        <v>2.35E+38</v>
      </c>
      <c r="L153" t="e">
        <f>MATCH(K153, 보스체력!#REF!, 1)</f>
        <v>#REF!</v>
      </c>
      <c r="U153">
        <v>152</v>
      </c>
      <c r="V153">
        <v>322000</v>
      </c>
      <c r="W153">
        <v>10</v>
      </c>
      <c r="X153">
        <v>15200</v>
      </c>
      <c r="Y153">
        <v>20</v>
      </c>
      <c r="Z153">
        <v>15000</v>
      </c>
      <c r="AA153">
        <v>10</v>
      </c>
      <c r="AC153">
        <v>152</v>
      </c>
      <c r="AD153">
        <f t="shared" si="6"/>
        <v>31</v>
      </c>
      <c r="AE153" cm="1">
        <f t="array" ref="AE153">INDEX(X:X, AD153+1)*AC153</f>
        <v>471200</v>
      </c>
    </row>
    <row r="154" spans="1:31">
      <c r="A154">
        <v>153</v>
      </c>
      <c r="B154">
        <v>325000000</v>
      </c>
      <c r="C154">
        <v>100000000</v>
      </c>
      <c r="D154">
        <v>100000000</v>
      </c>
      <c r="E154">
        <v>100000000</v>
      </c>
      <c r="F154">
        <v>1000000</v>
      </c>
      <c r="G154">
        <v>1</v>
      </c>
      <c r="H154">
        <v>1</v>
      </c>
      <c r="I154">
        <v>1</v>
      </c>
      <c r="J154">
        <v>1</v>
      </c>
      <c r="K154">
        <f t="shared" si="5"/>
        <v>3.2500000000000001E+38</v>
      </c>
      <c r="L154" t="e">
        <f>MATCH(K154, 보스체력!#REF!, 1)</f>
        <v>#REF!</v>
      </c>
      <c r="U154">
        <v>153</v>
      </c>
      <c r="V154">
        <v>324000</v>
      </c>
      <c r="W154">
        <v>10</v>
      </c>
      <c r="X154">
        <v>15300</v>
      </c>
      <c r="Y154">
        <v>20</v>
      </c>
      <c r="Z154">
        <v>15000</v>
      </c>
      <c r="AA154">
        <v>10</v>
      </c>
      <c r="AC154">
        <v>153</v>
      </c>
      <c r="AD154">
        <f t="shared" si="6"/>
        <v>31</v>
      </c>
      <c r="AE154" cm="1">
        <f t="array" ref="AE154">INDEX(X:X, AD154+1)*AC154</f>
        <v>474300</v>
      </c>
    </row>
    <row r="155" spans="1:31">
      <c r="A155">
        <v>154</v>
      </c>
      <c r="B155">
        <v>415000000</v>
      </c>
      <c r="C155">
        <v>100000000</v>
      </c>
      <c r="D155">
        <v>100000000</v>
      </c>
      <c r="E155">
        <v>100000000</v>
      </c>
      <c r="F155">
        <v>1000000</v>
      </c>
      <c r="G155">
        <v>1</v>
      </c>
      <c r="H155">
        <v>1</v>
      </c>
      <c r="I155">
        <v>1</v>
      </c>
      <c r="J155">
        <v>1</v>
      </c>
      <c r="K155">
        <f t="shared" si="5"/>
        <v>4.1500000000000002E+38</v>
      </c>
      <c r="L155" t="e">
        <f>MATCH(K155, 보스체력!#REF!, 1)</f>
        <v>#REF!</v>
      </c>
      <c r="U155">
        <v>154</v>
      </c>
      <c r="V155">
        <v>326000</v>
      </c>
      <c r="W155">
        <v>10</v>
      </c>
      <c r="X155">
        <v>15400</v>
      </c>
      <c r="Y155">
        <v>20</v>
      </c>
      <c r="Z155">
        <v>15000</v>
      </c>
      <c r="AA155">
        <v>10</v>
      </c>
      <c r="AC155">
        <v>154</v>
      </c>
      <c r="AD155">
        <f t="shared" si="6"/>
        <v>31</v>
      </c>
      <c r="AE155" cm="1">
        <f t="array" ref="AE155">INDEX(X:X, AD155+1)*AC155</f>
        <v>477400</v>
      </c>
    </row>
    <row r="156" spans="1:31">
      <c r="A156">
        <v>155</v>
      </c>
      <c r="B156">
        <v>505000000</v>
      </c>
      <c r="C156">
        <v>100000000</v>
      </c>
      <c r="D156">
        <v>100000000</v>
      </c>
      <c r="E156">
        <v>100000000</v>
      </c>
      <c r="F156">
        <v>1000000</v>
      </c>
      <c r="G156">
        <v>1</v>
      </c>
      <c r="H156">
        <v>1</v>
      </c>
      <c r="I156">
        <v>1</v>
      </c>
      <c r="J156">
        <v>1</v>
      </c>
      <c r="K156">
        <f t="shared" si="5"/>
        <v>5.0500000000000003E+38</v>
      </c>
      <c r="L156" t="e">
        <f>MATCH(K156, 보스체력!#REF!, 1)</f>
        <v>#REF!</v>
      </c>
      <c r="U156">
        <v>155</v>
      </c>
      <c r="V156">
        <v>329000</v>
      </c>
      <c r="W156">
        <v>10</v>
      </c>
      <c r="X156">
        <v>15500</v>
      </c>
      <c r="Y156">
        <v>20</v>
      </c>
      <c r="Z156">
        <v>15000</v>
      </c>
      <c r="AA156">
        <v>10</v>
      </c>
      <c r="AC156">
        <v>155</v>
      </c>
      <c r="AD156">
        <f t="shared" si="6"/>
        <v>32</v>
      </c>
      <c r="AE156" cm="1">
        <f t="array" ref="AE156">INDEX(X:X, AD156+1)*AC156</f>
        <v>496000</v>
      </c>
    </row>
    <row r="157" spans="1:31">
      <c r="A157">
        <v>156</v>
      </c>
      <c r="B157">
        <v>595000000</v>
      </c>
      <c r="C157">
        <v>100000000</v>
      </c>
      <c r="D157">
        <v>100000000</v>
      </c>
      <c r="E157">
        <v>100000000</v>
      </c>
      <c r="F157">
        <v>1000000</v>
      </c>
      <c r="G157">
        <v>1</v>
      </c>
      <c r="H157">
        <v>1</v>
      </c>
      <c r="I157">
        <v>1</v>
      </c>
      <c r="J157">
        <v>1</v>
      </c>
      <c r="K157">
        <f t="shared" si="5"/>
        <v>5.9500000000000004E+38</v>
      </c>
      <c r="L157" t="e">
        <f>MATCH(K157, 보스체력!#REF!, 1)</f>
        <v>#REF!</v>
      </c>
      <c r="U157">
        <v>156</v>
      </c>
      <c r="V157">
        <v>331000</v>
      </c>
      <c r="W157">
        <v>10</v>
      </c>
      <c r="X157">
        <v>15600</v>
      </c>
      <c r="Y157">
        <v>20</v>
      </c>
      <c r="Z157">
        <v>15000</v>
      </c>
      <c r="AA157">
        <v>10</v>
      </c>
      <c r="AC157">
        <v>156</v>
      </c>
      <c r="AD157">
        <f t="shared" si="6"/>
        <v>32</v>
      </c>
      <c r="AE157" cm="1">
        <f t="array" ref="AE157">INDEX(X:X, AD157+1)*AC157</f>
        <v>499200</v>
      </c>
    </row>
    <row r="158" spans="1:31">
      <c r="A158">
        <v>157</v>
      </c>
      <c r="B158">
        <v>685000000</v>
      </c>
      <c r="C158">
        <v>100000000</v>
      </c>
      <c r="D158">
        <v>100000000</v>
      </c>
      <c r="E158">
        <v>100000000</v>
      </c>
      <c r="F158">
        <v>1000000</v>
      </c>
      <c r="G158">
        <v>1</v>
      </c>
      <c r="H158">
        <v>1</v>
      </c>
      <c r="I158">
        <v>1</v>
      </c>
      <c r="J158">
        <v>1</v>
      </c>
      <c r="K158">
        <f t="shared" si="5"/>
        <v>6.8500000000000005E+38</v>
      </c>
      <c r="L158" t="e">
        <f>MATCH(K158, 보스체력!#REF!, 1)</f>
        <v>#REF!</v>
      </c>
      <c r="U158">
        <v>157</v>
      </c>
      <c r="V158">
        <v>333000</v>
      </c>
      <c r="W158">
        <v>10</v>
      </c>
      <c r="X158">
        <v>15700</v>
      </c>
      <c r="Y158">
        <v>20</v>
      </c>
      <c r="Z158">
        <v>15000</v>
      </c>
      <c r="AA158">
        <v>10</v>
      </c>
      <c r="AC158">
        <v>157</v>
      </c>
      <c r="AD158">
        <f t="shared" si="6"/>
        <v>32</v>
      </c>
      <c r="AE158" cm="1">
        <f t="array" ref="AE158">INDEX(X:X, AD158+1)*AC158</f>
        <v>502400</v>
      </c>
    </row>
    <row r="159" spans="1:31">
      <c r="A159">
        <v>158</v>
      </c>
      <c r="B159">
        <v>775000000</v>
      </c>
      <c r="C159">
        <v>100000000</v>
      </c>
      <c r="D159">
        <v>100000000</v>
      </c>
      <c r="E159">
        <v>100000000</v>
      </c>
      <c r="F159">
        <v>1000000</v>
      </c>
      <c r="G159">
        <v>1</v>
      </c>
      <c r="H159">
        <v>1</v>
      </c>
      <c r="I159">
        <v>1</v>
      </c>
      <c r="J159">
        <v>1</v>
      </c>
      <c r="K159">
        <f t="shared" si="5"/>
        <v>7.7500000000000006E+38</v>
      </c>
      <c r="L159" t="e">
        <f>MATCH(K159, 보스체력!#REF!, 1)</f>
        <v>#REF!</v>
      </c>
      <c r="U159">
        <v>158</v>
      </c>
      <c r="V159">
        <v>336000</v>
      </c>
      <c r="W159">
        <v>10</v>
      </c>
      <c r="X159">
        <v>15800</v>
      </c>
      <c r="Y159">
        <v>20</v>
      </c>
      <c r="Z159">
        <v>15000</v>
      </c>
      <c r="AA159">
        <v>10</v>
      </c>
      <c r="AC159">
        <v>158</v>
      </c>
      <c r="AD159">
        <f t="shared" si="6"/>
        <v>32</v>
      </c>
      <c r="AE159" cm="1">
        <f t="array" ref="AE159">INDEX(X:X, AD159+1)*AC159</f>
        <v>505600</v>
      </c>
    </row>
    <row r="160" spans="1:31">
      <c r="A160">
        <v>159</v>
      </c>
      <c r="B160">
        <v>865000000</v>
      </c>
      <c r="C160">
        <v>100000000</v>
      </c>
      <c r="D160">
        <v>100000000</v>
      </c>
      <c r="E160">
        <v>100000000</v>
      </c>
      <c r="F160">
        <v>1000000</v>
      </c>
      <c r="G160">
        <v>1</v>
      </c>
      <c r="H160">
        <v>1</v>
      </c>
      <c r="I160">
        <v>1</v>
      </c>
      <c r="J160">
        <v>1</v>
      </c>
      <c r="K160">
        <f t="shared" si="5"/>
        <v>8.6500000000000007E+38</v>
      </c>
      <c r="L160" t="e">
        <f>MATCH(K160, 보스체력!#REF!, 1)</f>
        <v>#REF!</v>
      </c>
      <c r="U160">
        <v>159</v>
      </c>
      <c r="V160">
        <v>338000</v>
      </c>
      <c r="W160">
        <v>10</v>
      </c>
      <c r="X160">
        <v>15900</v>
      </c>
      <c r="Y160">
        <v>20</v>
      </c>
      <c r="Z160">
        <v>15000</v>
      </c>
      <c r="AA160">
        <v>10</v>
      </c>
      <c r="AC160">
        <v>159</v>
      </c>
      <c r="AD160">
        <f t="shared" si="6"/>
        <v>32</v>
      </c>
      <c r="AE160" cm="1">
        <f t="array" ref="AE160">INDEX(X:X, AD160+1)*AC160</f>
        <v>508800</v>
      </c>
    </row>
    <row r="161" spans="1:31">
      <c r="A161">
        <v>160</v>
      </c>
      <c r="B161">
        <v>955000000</v>
      </c>
      <c r="C161">
        <v>100000000</v>
      </c>
      <c r="D161">
        <v>100000000</v>
      </c>
      <c r="E161">
        <v>100000000</v>
      </c>
      <c r="F161">
        <v>1000000</v>
      </c>
      <c r="G161">
        <v>1</v>
      </c>
      <c r="H161">
        <v>1</v>
      </c>
      <c r="I161">
        <v>1</v>
      </c>
      <c r="J161">
        <v>1</v>
      </c>
      <c r="K161">
        <f t="shared" si="5"/>
        <v>9.5500000000000009E+38</v>
      </c>
      <c r="L161" t="e">
        <f>MATCH(K161, 보스체력!#REF!, 1)</f>
        <v>#REF!</v>
      </c>
      <c r="U161">
        <v>160</v>
      </c>
      <c r="V161">
        <v>341000</v>
      </c>
      <c r="W161">
        <v>10</v>
      </c>
      <c r="X161">
        <v>16000</v>
      </c>
      <c r="Y161">
        <v>20</v>
      </c>
      <c r="Z161">
        <v>15000</v>
      </c>
      <c r="AA161">
        <v>10</v>
      </c>
      <c r="AC161">
        <v>160</v>
      </c>
      <c r="AD161">
        <f t="shared" si="6"/>
        <v>33</v>
      </c>
      <c r="AE161" cm="1">
        <f t="array" ref="AE161">INDEX(X:X, AD161+1)*AC161</f>
        <v>528000</v>
      </c>
    </row>
    <row r="162" spans="1:31">
      <c r="A162">
        <v>161</v>
      </c>
      <c r="B162">
        <v>145000000</v>
      </c>
      <c r="C162">
        <v>100000000</v>
      </c>
      <c r="D162">
        <v>100000000</v>
      </c>
      <c r="E162">
        <v>100000000</v>
      </c>
      <c r="F162">
        <v>10000000</v>
      </c>
      <c r="G162">
        <v>1</v>
      </c>
      <c r="H162">
        <v>1</v>
      </c>
      <c r="I162">
        <v>1</v>
      </c>
      <c r="J162">
        <v>1</v>
      </c>
      <c r="K162">
        <f t="shared" si="5"/>
        <v>1.4499999999999998E+39</v>
      </c>
      <c r="L162" t="e">
        <f>MATCH(K162, 보스체력!#REF!, 1)</f>
        <v>#REF!</v>
      </c>
      <c r="U162">
        <v>161</v>
      </c>
      <c r="V162">
        <v>343000</v>
      </c>
      <c r="W162">
        <v>10</v>
      </c>
      <c r="X162">
        <v>16100</v>
      </c>
      <c r="Y162">
        <v>20</v>
      </c>
      <c r="Z162">
        <v>15000</v>
      </c>
      <c r="AA162">
        <v>10</v>
      </c>
      <c r="AC162">
        <v>161</v>
      </c>
      <c r="AD162">
        <f t="shared" si="6"/>
        <v>33</v>
      </c>
      <c r="AE162" cm="1">
        <f t="array" ref="AE162">INDEX(X:X, AD162+1)*AC162</f>
        <v>531300</v>
      </c>
    </row>
    <row r="163" spans="1:31">
      <c r="A163">
        <v>162</v>
      </c>
      <c r="B163">
        <v>235000000</v>
      </c>
      <c r="C163">
        <v>100000000</v>
      </c>
      <c r="D163">
        <v>100000000</v>
      </c>
      <c r="E163">
        <v>100000000</v>
      </c>
      <c r="F163">
        <v>10000000</v>
      </c>
      <c r="G163">
        <v>1</v>
      </c>
      <c r="H163">
        <v>1</v>
      </c>
      <c r="I163">
        <v>1</v>
      </c>
      <c r="J163">
        <v>1</v>
      </c>
      <c r="K163">
        <f t="shared" si="5"/>
        <v>2.35E+39</v>
      </c>
      <c r="L163" t="e">
        <f>MATCH(K163, 보스체력!#REF!, 1)</f>
        <v>#REF!</v>
      </c>
      <c r="U163">
        <v>162</v>
      </c>
      <c r="V163">
        <v>345000</v>
      </c>
      <c r="W163">
        <v>10</v>
      </c>
      <c r="X163">
        <v>16200</v>
      </c>
      <c r="Y163">
        <v>20</v>
      </c>
      <c r="Z163">
        <v>15000</v>
      </c>
      <c r="AA163">
        <v>10</v>
      </c>
      <c r="AC163">
        <v>162</v>
      </c>
      <c r="AD163">
        <f t="shared" si="6"/>
        <v>33</v>
      </c>
      <c r="AE163" cm="1">
        <f t="array" ref="AE163">INDEX(X:X, AD163+1)*AC163</f>
        <v>534600</v>
      </c>
    </row>
    <row r="164" spans="1:31">
      <c r="A164">
        <v>163</v>
      </c>
      <c r="B164">
        <v>325000000</v>
      </c>
      <c r="C164">
        <v>100000000</v>
      </c>
      <c r="D164">
        <v>100000000</v>
      </c>
      <c r="E164">
        <v>100000000</v>
      </c>
      <c r="F164">
        <v>10000000</v>
      </c>
      <c r="G164">
        <v>1</v>
      </c>
      <c r="H164">
        <v>1</v>
      </c>
      <c r="I164">
        <v>1</v>
      </c>
      <c r="J164">
        <v>1</v>
      </c>
      <c r="K164">
        <f t="shared" si="5"/>
        <v>3.2500000000000001E+39</v>
      </c>
      <c r="L164" t="e">
        <f>MATCH(K164, 보스체력!#REF!, 1)</f>
        <v>#REF!</v>
      </c>
      <c r="U164">
        <v>163</v>
      </c>
      <c r="V164">
        <v>348000</v>
      </c>
      <c r="W164">
        <v>10</v>
      </c>
      <c r="X164">
        <v>16300</v>
      </c>
      <c r="Y164">
        <v>20</v>
      </c>
      <c r="Z164">
        <v>15000</v>
      </c>
      <c r="AA164">
        <v>10</v>
      </c>
      <c r="AC164">
        <v>163</v>
      </c>
      <c r="AD164">
        <f t="shared" si="6"/>
        <v>33</v>
      </c>
      <c r="AE164" cm="1">
        <f t="array" ref="AE164">INDEX(X:X, AD164+1)*AC164</f>
        <v>537900</v>
      </c>
    </row>
    <row r="165" spans="1:31">
      <c r="A165">
        <v>164</v>
      </c>
      <c r="B165">
        <v>415000000</v>
      </c>
      <c r="C165">
        <v>100000000</v>
      </c>
      <c r="D165">
        <v>100000000</v>
      </c>
      <c r="E165">
        <v>100000000</v>
      </c>
      <c r="F165">
        <v>10000000</v>
      </c>
      <c r="G165">
        <v>1</v>
      </c>
      <c r="H165">
        <v>1</v>
      </c>
      <c r="I165">
        <v>1</v>
      </c>
      <c r="J165">
        <v>1</v>
      </c>
      <c r="K165">
        <f t="shared" si="5"/>
        <v>4.1499999999999996E+39</v>
      </c>
      <c r="L165" t="e">
        <f>MATCH(K165, 보스체력!#REF!, 1)</f>
        <v>#REF!</v>
      </c>
      <c r="U165">
        <v>164</v>
      </c>
      <c r="V165">
        <v>350000</v>
      </c>
      <c r="W165">
        <v>10</v>
      </c>
      <c r="X165">
        <v>16400</v>
      </c>
      <c r="Y165">
        <v>20</v>
      </c>
      <c r="Z165">
        <v>15000</v>
      </c>
      <c r="AA165">
        <v>10</v>
      </c>
      <c r="AC165">
        <v>164</v>
      </c>
      <c r="AD165">
        <f t="shared" si="6"/>
        <v>33</v>
      </c>
      <c r="AE165" cm="1">
        <f t="array" ref="AE165">INDEX(X:X, AD165+1)*AC165</f>
        <v>541200</v>
      </c>
    </row>
    <row r="166" spans="1:31">
      <c r="A166">
        <v>165</v>
      </c>
      <c r="B166">
        <v>505000000</v>
      </c>
      <c r="C166">
        <v>100000000</v>
      </c>
      <c r="D166">
        <v>100000000</v>
      </c>
      <c r="E166">
        <v>100000000</v>
      </c>
      <c r="F166">
        <v>10000000</v>
      </c>
      <c r="G166">
        <v>1</v>
      </c>
      <c r="H166">
        <v>1</v>
      </c>
      <c r="I166">
        <v>1</v>
      </c>
      <c r="J166">
        <v>1</v>
      </c>
      <c r="K166">
        <f t="shared" si="5"/>
        <v>5.0499999999999997E+39</v>
      </c>
      <c r="L166" t="e">
        <f>MATCH(K166, 보스체력!#REF!, 1)</f>
        <v>#REF!</v>
      </c>
      <c r="U166">
        <v>165</v>
      </c>
      <c r="V166">
        <v>352000</v>
      </c>
      <c r="W166">
        <v>10</v>
      </c>
      <c r="X166">
        <v>16500</v>
      </c>
      <c r="Y166">
        <v>20</v>
      </c>
      <c r="Z166">
        <v>15000</v>
      </c>
      <c r="AA166">
        <v>10</v>
      </c>
      <c r="AC166">
        <v>165</v>
      </c>
      <c r="AD166">
        <f t="shared" si="6"/>
        <v>34</v>
      </c>
      <c r="AE166" cm="1">
        <f t="array" ref="AE166">INDEX(X:X, AD166+1)*AC166</f>
        <v>561000</v>
      </c>
    </row>
    <row r="167" spans="1:31">
      <c r="A167">
        <v>166</v>
      </c>
      <c r="B167">
        <v>595000000</v>
      </c>
      <c r="C167">
        <v>100000000</v>
      </c>
      <c r="D167">
        <v>100000000</v>
      </c>
      <c r="E167">
        <v>100000000</v>
      </c>
      <c r="F167">
        <v>10000000</v>
      </c>
      <c r="G167">
        <v>1</v>
      </c>
      <c r="H167">
        <v>1</v>
      </c>
      <c r="I167">
        <v>1</v>
      </c>
      <c r="J167">
        <v>1</v>
      </c>
      <c r="K167">
        <f t="shared" si="5"/>
        <v>5.9499999999999992E+39</v>
      </c>
      <c r="L167" t="e">
        <f>MATCH(K167, 보스체력!#REF!, 1)</f>
        <v>#REF!</v>
      </c>
      <c r="U167">
        <v>166</v>
      </c>
      <c r="V167">
        <v>355000</v>
      </c>
      <c r="W167">
        <v>10</v>
      </c>
      <c r="X167">
        <v>16600</v>
      </c>
      <c r="Y167">
        <v>20</v>
      </c>
      <c r="Z167">
        <v>15000</v>
      </c>
      <c r="AA167">
        <v>10</v>
      </c>
      <c r="AC167">
        <v>166</v>
      </c>
      <c r="AD167">
        <f t="shared" si="6"/>
        <v>34</v>
      </c>
      <c r="AE167" cm="1">
        <f t="array" ref="AE167">INDEX(X:X, AD167+1)*AC167</f>
        <v>564400</v>
      </c>
    </row>
    <row r="168" spans="1:31">
      <c r="A168">
        <v>167</v>
      </c>
      <c r="B168">
        <v>685000000</v>
      </c>
      <c r="C168">
        <v>100000000</v>
      </c>
      <c r="D168">
        <v>100000000</v>
      </c>
      <c r="E168">
        <v>100000000</v>
      </c>
      <c r="F168">
        <v>10000000</v>
      </c>
      <c r="G168">
        <v>1</v>
      </c>
      <c r="H168">
        <v>1</v>
      </c>
      <c r="I168">
        <v>1</v>
      </c>
      <c r="J168">
        <v>1</v>
      </c>
      <c r="K168">
        <f t="shared" si="5"/>
        <v>6.8499999999999993E+39</v>
      </c>
      <c r="L168" t="e">
        <f>MATCH(K168, 보스체력!#REF!, 1)</f>
        <v>#REF!</v>
      </c>
      <c r="U168">
        <v>167</v>
      </c>
      <c r="V168">
        <v>357000</v>
      </c>
      <c r="W168">
        <v>10</v>
      </c>
      <c r="X168">
        <v>16700</v>
      </c>
      <c r="Y168">
        <v>20</v>
      </c>
      <c r="Z168">
        <v>15000</v>
      </c>
      <c r="AA168">
        <v>10</v>
      </c>
      <c r="AC168">
        <v>167</v>
      </c>
      <c r="AD168">
        <f t="shared" si="6"/>
        <v>34</v>
      </c>
      <c r="AE168" cm="1">
        <f t="array" ref="AE168">INDEX(X:X, AD168+1)*AC168</f>
        <v>567800</v>
      </c>
    </row>
    <row r="169" spans="1:31">
      <c r="A169">
        <v>168</v>
      </c>
      <c r="B169">
        <v>775000000</v>
      </c>
      <c r="C169">
        <v>100000000</v>
      </c>
      <c r="D169">
        <v>100000000</v>
      </c>
      <c r="E169">
        <v>100000000</v>
      </c>
      <c r="F169">
        <v>10000000</v>
      </c>
      <c r="G169">
        <v>1</v>
      </c>
      <c r="H169">
        <v>1</v>
      </c>
      <c r="I169">
        <v>1</v>
      </c>
      <c r="J169">
        <v>1</v>
      </c>
      <c r="K169">
        <f t="shared" si="5"/>
        <v>7.7499999999999994E+39</v>
      </c>
      <c r="L169" t="e">
        <f>MATCH(K169, 보스체력!#REF!, 1)</f>
        <v>#REF!</v>
      </c>
      <c r="U169">
        <v>168</v>
      </c>
      <c r="V169">
        <v>359000</v>
      </c>
      <c r="W169">
        <v>10</v>
      </c>
      <c r="X169">
        <v>16800</v>
      </c>
      <c r="Y169">
        <v>20</v>
      </c>
      <c r="Z169">
        <v>15000</v>
      </c>
      <c r="AA169">
        <v>10</v>
      </c>
      <c r="AC169">
        <v>168</v>
      </c>
      <c r="AD169">
        <f t="shared" si="6"/>
        <v>34</v>
      </c>
      <c r="AE169" cm="1">
        <f t="array" ref="AE169">INDEX(X:X, AD169+1)*AC169</f>
        <v>571200</v>
      </c>
    </row>
    <row r="170" spans="1:31">
      <c r="A170">
        <v>169</v>
      </c>
      <c r="B170">
        <v>865000000</v>
      </c>
      <c r="C170">
        <v>100000000</v>
      </c>
      <c r="D170">
        <v>100000000</v>
      </c>
      <c r="E170">
        <v>100000000</v>
      </c>
      <c r="F170">
        <v>10000000</v>
      </c>
      <c r="G170">
        <v>1</v>
      </c>
      <c r="H170">
        <v>1</v>
      </c>
      <c r="I170">
        <v>1</v>
      </c>
      <c r="J170">
        <v>1</v>
      </c>
      <c r="K170">
        <f t="shared" si="5"/>
        <v>8.6499999999999995E+39</v>
      </c>
      <c r="L170" t="e">
        <f>MATCH(K170, 보스체력!#REF!, 1)</f>
        <v>#REF!</v>
      </c>
      <c r="U170">
        <v>169</v>
      </c>
      <c r="V170">
        <v>362000</v>
      </c>
      <c r="W170">
        <v>10</v>
      </c>
      <c r="X170">
        <v>16900</v>
      </c>
      <c r="Y170">
        <v>20</v>
      </c>
      <c r="Z170">
        <v>15000</v>
      </c>
      <c r="AA170">
        <v>10</v>
      </c>
      <c r="AC170">
        <v>169</v>
      </c>
      <c r="AD170">
        <f t="shared" si="6"/>
        <v>34</v>
      </c>
      <c r="AE170" cm="1">
        <f t="array" ref="AE170">INDEX(X:X, AD170+1)*AC170</f>
        <v>574600</v>
      </c>
    </row>
    <row r="171" spans="1:31">
      <c r="A171">
        <v>170</v>
      </c>
      <c r="B171">
        <v>955000000</v>
      </c>
      <c r="C171">
        <v>100000000</v>
      </c>
      <c r="D171">
        <v>100000000</v>
      </c>
      <c r="E171">
        <v>100000000</v>
      </c>
      <c r="F171">
        <v>10000000</v>
      </c>
      <c r="G171">
        <v>1</v>
      </c>
      <c r="H171">
        <v>1</v>
      </c>
      <c r="I171">
        <v>1</v>
      </c>
      <c r="J171">
        <v>1</v>
      </c>
      <c r="K171">
        <f t="shared" si="5"/>
        <v>9.5499999999999996E+39</v>
      </c>
      <c r="L171" t="e">
        <f>MATCH(K171, 보스체력!#REF!, 1)</f>
        <v>#REF!</v>
      </c>
      <c r="U171">
        <v>170</v>
      </c>
      <c r="V171">
        <v>364000</v>
      </c>
      <c r="W171">
        <v>10</v>
      </c>
      <c r="X171">
        <v>17000</v>
      </c>
      <c r="Y171">
        <v>20</v>
      </c>
      <c r="Z171">
        <v>15000</v>
      </c>
      <c r="AA171">
        <v>10</v>
      </c>
      <c r="AC171">
        <v>170</v>
      </c>
      <c r="AD171">
        <f t="shared" si="6"/>
        <v>35</v>
      </c>
      <c r="AE171" cm="1">
        <f t="array" ref="AE171">INDEX(X:X, AD171+1)*AC171</f>
        <v>595000</v>
      </c>
    </row>
    <row r="172" spans="1:31">
      <c r="A172">
        <v>171</v>
      </c>
      <c r="B172">
        <v>145000000</v>
      </c>
      <c r="C172">
        <v>100000000</v>
      </c>
      <c r="D172">
        <v>100000000</v>
      </c>
      <c r="E172">
        <v>100000000</v>
      </c>
      <c r="F172">
        <v>100000000</v>
      </c>
      <c r="G172">
        <v>1</v>
      </c>
      <c r="H172">
        <v>1</v>
      </c>
      <c r="I172">
        <v>1</v>
      </c>
      <c r="J172">
        <v>1</v>
      </c>
      <c r="K172">
        <f t="shared" si="5"/>
        <v>1.4500000000000001E+40</v>
      </c>
      <c r="L172" t="e">
        <f>MATCH(K172, 보스체력!#REF!, 1)</f>
        <v>#REF!</v>
      </c>
      <c r="U172">
        <v>171</v>
      </c>
      <c r="V172">
        <v>366000</v>
      </c>
      <c r="W172">
        <v>10</v>
      </c>
      <c r="X172">
        <v>17100</v>
      </c>
      <c r="Y172">
        <v>20</v>
      </c>
      <c r="Z172">
        <v>15000</v>
      </c>
      <c r="AA172">
        <v>10</v>
      </c>
      <c r="AC172">
        <v>171</v>
      </c>
      <c r="AD172">
        <f t="shared" si="6"/>
        <v>35</v>
      </c>
      <c r="AE172" cm="1">
        <f t="array" ref="AE172">INDEX(X:X, AD172+1)*AC172</f>
        <v>598500</v>
      </c>
    </row>
    <row r="173" spans="1:31">
      <c r="A173">
        <v>172</v>
      </c>
      <c r="B173">
        <v>235000000</v>
      </c>
      <c r="C173">
        <v>100000000</v>
      </c>
      <c r="D173">
        <v>100000000</v>
      </c>
      <c r="E173">
        <v>100000000</v>
      </c>
      <c r="F173">
        <v>100000000</v>
      </c>
      <c r="G173">
        <v>1</v>
      </c>
      <c r="H173">
        <v>1</v>
      </c>
      <c r="I173">
        <v>1</v>
      </c>
      <c r="J173">
        <v>1</v>
      </c>
      <c r="K173">
        <f t="shared" si="5"/>
        <v>2.3500000000000002E+40</v>
      </c>
      <c r="L173" t="e">
        <f>MATCH(K173, 보스체력!#REF!, 1)</f>
        <v>#REF!</v>
      </c>
      <c r="U173">
        <v>172</v>
      </c>
      <c r="V173">
        <v>369000</v>
      </c>
      <c r="W173">
        <v>10</v>
      </c>
      <c r="X173">
        <v>17200</v>
      </c>
      <c r="Y173">
        <v>20</v>
      </c>
      <c r="Z173">
        <v>15000</v>
      </c>
      <c r="AA173">
        <v>10</v>
      </c>
      <c r="AC173">
        <v>172</v>
      </c>
      <c r="AD173">
        <f t="shared" si="6"/>
        <v>35</v>
      </c>
      <c r="AE173" cm="1">
        <f t="array" ref="AE173">INDEX(X:X, AD173+1)*AC173</f>
        <v>602000</v>
      </c>
    </row>
    <row r="174" spans="1:31">
      <c r="A174">
        <v>173</v>
      </c>
      <c r="B174">
        <v>325000000</v>
      </c>
      <c r="C174">
        <v>100000000</v>
      </c>
      <c r="D174">
        <v>100000000</v>
      </c>
      <c r="E174">
        <v>100000000</v>
      </c>
      <c r="F174">
        <v>100000000</v>
      </c>
      <c r="G174">
        <v>1</v>
      </c>
      <c r="H174">
        <v>1</v>
      </c>
      <c r="I174">
        <v>1</v>
      </c>
      <c r="J174">
        <v>1</v>
      </c>
      <c r="K174">
        <f t="shared" si="5"/>
        <v>3.2500000000000001E+40</v>
      </c>
      <c r="L174" t="e">
        <f>MATCH(K174, 보스체력!#REF!, 1)</f>
        <v>#REF!</v>
      </c>
      <c r="U174">
        <v>173</v>
      </c>
      <c r="V174">
        <v>371000</v>
      </c>
      <c r="W174">
        <v>10</v>
      </c>
      <c r="X174">
        <v>17300</v>
      </c>
      <c r="Y174">
        <v>20</v>
      </c>
      <c r="Z174">
        <v>15000</v>
      </c>
      <c r="AA174">
        <v>10</v>
      </c>
      <c r="AC174">
        <v>173</v>
      </c>
      <c r="AD174">
        <f t="shared" si="6"/>
        <v>35</v>
      </c>
      <c r="AE174" cm="1">
        <f t="array" ref="AE174">INDEX(X:X, AD174+1)*AC174</f>
        <v>605500</v>
      </c>
    </row>
    <row r="175" spans="1:31">
      <c r="A175">
        <v>174</v>
      </c>
      <c r="B175">
        <v>415000000</v>
      </c>
      <c r="C175">
        <v>100000000</v>
      </c>
      <c r="D175">
        <v>100000000</v>
      </c>
      <c r="E175">
        <v>100000000</v>
      </c>
      <c r="F175">
        <v>100000000</v>
      </c>
      <c r="G175">
        <v>1</v>
      </c>
      <c r="H175">
        <v>1</v>
      </c>
      <c r="I175">
        <v>1</v>
      </c>
      <c r="J175">
        <v>1</v>
      </c>
      <c r="K175">
        <f t="shared" si="5"/>
        <v>4.1500000000000004E+40</v>
      </c>
      <c r="L175" t="e">
        <f>MATCH(K175, 보스체력!#REF!, 1)</f>
        <v>#REF!</v>
      </c>
      <c r="U175">
        <v>174</v>
      </c>
      <c r="V175">
        <v>374000</v>
      </c>
      <c r="W175">
        <v>10</v>
      </c>
      <c r="X175">
        <v>17400</v>
      </c>
      <c r="Y175">
        <v>20</v>
      </c>
      <c r="Z175">
        <v>15000</v>
      </c>
      <c r="AA175">
        <v>10</v>
      </c>
      <c r="AC175">
        <v>174</v>
      </c>
      <c r="AD175">
        <f t="shared" si="6"/>
        <v>35</v>
      </c>
      <c r="AE175" cm="1">
        <f t="array" ref="AE175">INDEX(X:X, AD175+1)*AC175</f>
        <v>609000</v>
      </c>
    </row>
    <row r="176" spans="1:31">
      <c r="A176">
        <v>175</v>
      </c>
      <c r="B176">
        <v>505000000</v>
      </c>
      <c r="C176">
        <v>100000000</v>
      </c>
      <c r="D176">
        <v>100000000</v>
      </c>
      <c r="E176">
        <v>100000000</v>
      </c>
      <c r="F176">
        <v>100000000</v>
      </c>
      <c r="G176">
        <v>1</v>
      </c>
      <c r="H176">
        <v>1</v>
      </c>
      <c r="I176">
        <v>1</v>
      </c>
      <c r="J176">
        <v>1</v>
      </c>
      <c r="K176">
        <f t="shared" si="5"/>
        <v>5.0499999999999998E+40</v>
      </c>
      <c r="L176" t="e">
        <f>MATCH(K176, 보스체력!#REF!, 1)</f>
        <v>#REF!</v>
      </c>
      <c r="U176">
        <v>175</v>
      </c>
      <c r="V176">
        <v>376000</v>
      </c>
      <c r="W176">
        <v>10</v>
      </c>
      <c r="X176">
        <v>17500</v>
      </c>
      <c r="Y176">
        <v>20</v>
      </c>
      <c r="Z176">
        <v>15000</v>
      </c>
      <c r="AA176">
        <v>10</v>
      </c>
      <c r="AC176">
        <v>175</v>
      </c>
      <c r="AD176">
        <f t="shared" si="6"/>
        <v>36</v>
      </c>
      <c r="AE176" cm="1">
        <f t="array" ref="AE176">INDEX(X:X, AD176+1)*AC176</f>
        <v>630000</v>
      </c>
    </row>
    <row r="177" spans="1:31">
      <c r="A177">
        <v>176</v>
      </c>
      <c r="B177">
        <v>595000000</v>
      </c>
      <c r="C177">
        <v>100000000</v>
      </c>
      <c r="D177">
        <v>100000000</v>
      </c>
      <c r="E177">
        <v>100000000</v>
      </c>
      <c r="F177">
        <v>100000000</v>
      </c>
      <c r="G177">
        <v>1</v>
      </c>
      <c r="H177">
        <v>1</v>
      </c>
      <c r="I177">
        <v>1</v>
      </c>
      <c r="J177">
        <v>1</v>
      </c>
      <c r="K177">
        <f t="shared" si="5"/>
        <v>5.9500000000000006E+40</v>
      </c>
      <c r="L177" t="e">
        <f>MATCH(K177, 보스체력!#REF!, 1)</f>
        <v>#REF!</v>
      </c>
      <c r="U177">
        <v>176</v>
      </c>
      <c r="V177">
        <v>378000</v>
      </c>
      <c r="W177">
        <v>10</v>
      </c>
      <c r="X177">
        <v>17600</v>
      </c>
      <c r="Y177">
        <v>20</v>
      </c>
      <c r="Z177">
        <v>15000</v>
      </c>
      <c r="AA177">
        <v>10</v>
      </c>
      <c r="AC177">
        <v>176</v>
      </c>
      <c r="AD177">
        <f t="shared" si="6"/>
        <v>36</v>
      </c>
      <c r="AE177" cm="1">
        <f t="array" ref="AE177">INDEX(X:X, AD177+1)*AC177</f>
        <v>633600</v>
      </c>
    </row>
    <row r="178" spans="1:31">
      <c r="A178">
        <v>177</v>
      </c>
      <c r="B178">
        <v>685000000</v>
      </c>
      <c r="C178">
        <v>100000000</v>
      </c>
      <c r="D178">
        <v>100000000</v>
      </c>
      <c r="E178">
        <v>100000000</v>
      </c>
      <c r="F178">
        <v>100000000</v>
      </c>
      <c r="G178">
        <v>1</v>
      </c>
      <c r="H178">
        <v>1</v>
      </c>
      <c r="I178">
        <v>1</v>
      </c>
      <c r="J178">
        <v>1</v>
      </c>
      <c r="K178">
        <f t="shared" si="5"/>
        <v>6.8500000000000005E+40</v>
      </c>
      <c r="L178" t="e">
        <f>MATCH(K178, 보스체력!#REF!, 1)</f>
        <v>#REF!</v>
      </c>
      <c r="U178">
        <v>177</v>
      </c>
      <c r="V178">
        <v>381000</v>
      </c>
      <c r="W178">
        <v>10</v>
      </c>
      <c r="X178">
        <v>17700</v>
      </c>
      <c r="Y178">
        <v>20</v>
      </c>
      <c r="Z178">
        <v>15000</v>
      </c>
      <c r="AA178">
        <v>10</v>
      </c>
      <c r="AC178">
        <v>177</v>
      </c>
      <c r="AD178">
        <f t="shared" si="6"/>
        <v>36</v>
      </c>
      <c r="AE178" cm="1">
        <f t="array" ref="AE178">INDEX(X:X, AD178+1)*AC178</f>
        <v>637200</v>
      </c>
    </row>
    <row r="179" spans="1:31">
      <c r="A179">
        <v>178</v>
      </c>
      <c r="B179">
        <v>775000000</v>
      </c>
      <c r="C179">
        <v>100000000</v>
      </c>
      <c r="D179">
        <v>100000000</v>
      </c>
      <c r="E179">
        <v>100000000</v>
      </c>
      <c r="F179">
        <v>100000000</v>
      </c>
      <c r="G179">
        <v>1</v>
      </c>
      <c r="H179">
        <v>1</v>
      </c>
      <c r="I179">
        <v>1</v>
      </c>
      <c r="J179">
        <v>1</v>
      </c>
      <c r="K179">
        <f t="shared" si="5"/>
        <v>7.7500000000000004E+40</v>
      </c>
      <c r="L179" t="e">
        <f>MATCH(K179, 보스체력!#REF!, 1)</f>
        <v>#REF!</v>
      </c>
      <c r="U179">
        <v>178</v>
      </c>
      <c r="V179">
        <v>383000</v>
      </c>
      <c r="W179">
        <v>10</v>
      </c>
      <c r="X179">
        <v>17800</v>
      </c>
      <c r="Y179">
        <v>20</v>
      </c>
      <c r="Z179">
        <v>15000</v>
      </c>
      <c r="AA179">
        <v>10</v>
      </c>
      <c r="AC179">
        <v>178</v>
      </c>
      <c r="AD179">
        <f t="shared" si="6"/>
        <v>36</v>
      </c>
      <c r="AE179" cm="1">
        <f t="array" ref="AE179">INDEX(X:X, AD179+1)*AC179</f>
        <v>640800</v>
      </c>
    </row>
    <row r="180" spans="1:31">
      <c r="A180">
        <v>179</v>
      </c>
      <c r="B180">
        <v>865000000</v>
      </c>
      <c r="C180">
        <v>100000000</v>
      </c>
      <c r="D180">
        <v>100000000</v>
      </c>
      <c r="E180">
        <v>100000000</v>
      </c>
      <c r="F180">
        <v>100000000</v>
      </c>
      <c r="G180">
        <v>1</v>
      </c>
      <c r="H180">
        <v>1</v>
      </c>
      <c r="I180">
        <v>1</v>
      </c>
      <c r="J180">
        <v>1</v>
      </c>
      <c r="K180">
        <f t="shared" si="5"/>
        <v>8.6500000000000003E+40</v>
      </c>
      <c r="L180" t="e">
        <f>MATCH(K180, 보스체력!#REF!, 1)</f>
        <v>#REF!</v>
      </c>
      <c r="U180">
        <v>179</v>
      </c>
      <c r="V180">
        <v>385000</v>
      </c>
      <c r="W180">
        <v>10</v>
      </c>
      <c r="X180">
        <v>17900</v>
      </c>
      <c r="Y180">
        <v>20</v>
      </c>
      <c r="Z180">
        <v>15000</v>
      </c>
      <c r="AA180">
        <v>10</v>
      </c>
      <c r="AC180">
        <v>179</v>
      </c>
      <c r="AD180">
        <f t="shared" si="6"/>
        <v>36</v>
      </c>
      <c r="AE180" cm="1">
        <f t="array" ref="AE180">INDEX(X:X, AD180+1)*AC180</f>
        <v>644400</v>
      </c>
    </row>
    <row r="181" spans="1:31">
      <c r="A181">
        <v>180</v>
      </c>
      <c r="B181">
        <v>955000000</v>
      </c>
      <c r="C181">
        <v>100000000</v>
      </c>
      <c r="D181">
        <v>100000000</v>
      </c>
      <c r="E181">
        <v>100000000</v>
      </c>
      <c r="F181">
        <v>100000000</v>
      </c>
      <c r="G181">
        <v>1</v>
      </c>
      <c r="H181">
        <v>1</v>
      </c>
      <c r="I181">
        <v>1</v>
      </c>
      <c r="J181">
        <v>1</v>
      </c>
      <c r="K181">
        <f t="shared" si="5"/>
        <v>9.5500000000000001E+40</v>
      </c>
      <c r="L181" t="e">
        <f>MATCH(K181, 보스체력!#REF!, 1)</f>
        <v>#REF!</v>
      </c>
      <c r="U181">
        <v>180</v>
      </c>
      <c r="V181">
        <v>388000</v>
      </c>
      <c r="W181">
        <v>10</v>
      </c>
      <c r="X181">
        <v>18000</v>
      </c>
      <c r="Y181">
        <v>20</v>
      </c>
      <c r="Z181">
        <v>15000</v>
      </c>
      <c r="AA181">
        <v>10</v>
      </c>
      <c r="AC181">
        <v>180</v>
      </c>
      <c r="AD181">
        <f t="shared" si="6"/>
        <v>37</v>
      </c>
      <c r="AE181" cm="1">
        <f t="array" ref="AE181">INDEX(X:X, AD181+1)*AC181</f>
        <v>666000</v>
      </c>
    </row>
    <row r="182" spans="1:31">
      <c r="A182">
        <v>181</v>
      </c>
      <c r="B182">
        <v>145000000</v>
      </c>
      <c r="C182">
        <v>100000000</v>
      </c>
      <c r="D182">
        <v>100000000</v>
      </c>
      <c r="E182">
        <v>100000000</v>
      </c>
      <c r="F182">
        <v>100000000</v>
      </c>
      <c r="G182">
        <v>10</v>
      </c>
      <c r="H182">
        <v>1</v>
      </c>
      <c r="I182">
        <v>1</v>
      </c>
      <c r="J182">
        <v>1</v>
      </c>
      <c r="K182">
        <f t="shared" si="5"/>
        <v>1.4500000000000001E+41</v>
      </c>
      <c r="L182" t="e">
        <f>MATCH(K182, 보스체력!#REF!, 1)</f>
        <v>#REF!</v>
      </c>
      <c r="U182">
        <v>181</v>
      </c>
      <c r="V182">
        <v>390000</v>
      </c>
      <c r="W182">
        <v>10</v>
      </c>
      <c r="X182">
        <v>18100</v>
      </c>
      <c r="Y182">
        <v>20</v>
      </c>
      <c r="Z182">
        <v>15000</v>
      </c>
      <c r="AA182">
        <v>10</v>
      </c>
      <c r="AC182">
        <v>181</v>
      </c>
      <c r="AD182">
        <f t="shared" si="6"/>
        <v>37</v>
      </c>
      <c r="AE182" cm="1">
        <f t="array" ref="AE182">INDEX(X:X, AD182+1)*AC182</f>
        <v>669700</v>
      </c>
    </row>
    <row r="183" spans="1:31">
      <c r="A183">
        <v>182</v>
      </c>
      <c r="B183">
        <v>235000000</v>
      </c>
      <c r="C183">
        <v>100000000</v>
      </c>
      <c r="D183">
        <v>100000000</v>
      </c>
      <c r="E183">
        <v>100000000</v>
      </c>
      <c r="F183">
        <v>100000000</v>
      </c>
      <c r="G183">
        <v>10</v>
      </c>
      <c r="H183">
        <v>1</v>
      </c>
      <c r="I183">
        <v>1</v>
      </c>
      <c r="J183">
        <v>1</v>
      </c>
      <c r="K183">
        <f t="shared" si="5"/>
        <v>2.3500000000000004E+41</v>
      </c>
      <c r="L183" t="e">
        <f>MATCH(K183, 보스체력!#REF!, 1)</f>
        <v>#REF!</v>
      </c>
      <c r="U183">
        <v>182</v>
      </c>
      <c r="V183">
        <v>392000</v>
      </c>
      <c r="W183">
        <v>10</v>
      </c>
      <c r="X183">
        <v>18200</v>
      </c>
      <c r="Y183">
        <v>20</v>
      </c>
      <c r="Z183">
        <v>15000</v>
      </c>
      <c r="AA183">
        <v>10</v>
      </c>
      <c r="AC183">
        <v>182</v>
      </c>
      <c r="AD183">
        <f t="shared" si="6"/>
        <v>37</v>
      </c>
      <c r="AE183" cm="1">
        <f t="array" ref="AE183">INDEX(X:X, AD183+1)*AC183</f>
        <v>673400</v>
      </c>
    </row>
    <row r="184" spans="1:31">
      <c r="A184">
        <v>183</v>
      </c>
      <c r="B184">
        <v>325000000</v>
      </c>
      <c r="C184">
        <v>100000000</v>
      </c>
      <c r="D184">
        <v>100000000</v>
      </c>
      <c r="E184">
        <v>100000000</v>
      </c>
      <c r="F184">
        <v>100000000</v>
      </c>
      <c r="G184">
        <v>10</v>
      </c>
      <c r="H184">
        <v>1</v>
      </c>
      <c r="I184">
        <v>1</v>
      </c>
      <c r="J184">
        <v>1</v>
      </c>
      <c r="K184">
        <f t="shared" si="5"/>
        <v>3.2500000000000003E+41</v>
      </c>
      <c r="L184" t="e">
        <f>MATCH(K184, 보스체력!#REF!, 1)</f>
        <v>#REF!</v>
      </c>
      <c r="U184">
        <v>183</v>
      </c>
      <c r="V184">
        <v>395000</v>
      </c>
      <c r="W184">
        <v>10</v>
      </c>
      <c r="X184">
        <v>18300</v>
      </c>
      <c r="Y184">
        <v>20</v>
      </c>
      <c r="Z184">
        <v>15000</v>
      </c>
      <c r="AA184">
        <v>10</v>
      </c>
      <c r="AC184">
        <v>183</v>
      </c>
      <c r="AD184">
        <f t="shared" si="6"/>
        <v>37</v>
      </c>
      <c r="AE184" cm="1">
        <f t="array" ref="AE184">INDEX(X:X, AD184+1)*AC184</f>
        <v>677100</v>
      </c>
    </row>
    <row r="185" spans="1:31">
      <c r="A185">
        <v>184</v>
      </c>
      <c r="B185">
        <v>415000000</v>
      </c>
      <c r="C185">
        <v>100000000</v>
      </c>
      <c r="D185">
        <v>100000000</v>
      </c>
      <c r="E185">
        <v>100000000</v>
      </c>
      <c r="F185">
        <v>100000000</v>
      </c>
      <c r="G185">
        <v>10</v>
      </c>
      <c r="H185">
        <v>1</v>
      </c>
      <c r="I185">
        <v>1</v>
      </c>
      <c r="J185">
        <v>1</v>
      </c>
      <c r="K185">
        <f t="shared" si="5"/>
        <v>4.1500000000000001E+41</v>
      </c>
      <c r="L185" t="e">
        <f>MATCH(K185, 보스체력!#REF!, 1)</f>
        <v>#REF!</v>
      </c>
      <c r="U185">
        <v>184</v>
      </c>
      <c r="V185">
        <v>397000</v>
      </c>
      <c r="W185">
        <v>10</v>
      </c>
      <c r="X185">
        <v>18400</v>
      </c>
      <c r="Y185">
        <v>20</v>
      </c>
      <c r="Z185">
        <v>15000</v>
      </c>
      <c r="AA185">
        <v>10</v>
      </c>
      <c r="AC185">
        <v>184</v>
      </c>
      <c r="AD185">
        <f t="shared" si="6"/>
        <v>37</v>
      </c>
      <c r="AE185" cm="1">
        <f t="array" ref="AE185">INDEX(X:X, AD185+1)*AC185</f>
        <v>680800</v>
      </c>
    </row>
    <row r="186" spans="1:31">
      <c r="A186">
        <v>185</v>
      </c>
      <c r="B186">
        <v>505000000</v>
      </c>
      <c r="C186">
        <v>100000000</v>
      </c>
      <c r="D186">
        <v>100000000</v>
      </c>
      <c r="E186">
        <v>100000000</v>
      </c>
      <c r="F186">
        <v>100000000</v>
      </c>
      <c r="G186">
        <v>10</v>
      </c>
      <c r="H186">
        <v>1</v>
      </c>
      <c r="I186">
        <v>1</v>
      </c>
      <c r="J186">
        <v>1</v>
      </c>
      <c r="K186">
        <f t="shared" si="5"/>
        <v>5.0500000000000008E+41</v>
      </c>
      <c r="L186" t="e">
        <f>MATCH(K186, 보스체력!#REF!, 1)</f>
        <v>#REF!</v>
      </c>
      <c r="U186">
        <v>185</v>
      </c>
      <c r="V186">
        <v>400000</v>
      </c>
      <c r="W186">
        <v>10</v>
      </c>
      <c r="X186">
        <v>18500</v>
      </c>
      <c r="Y186">
        <v>20</v>
      </c>
      <c r="Z186">
        <v>15000</v>
      </c>
      <c r="AA186">
        <v>10</v>
      </c>
      <c r="AC186">
        <v>185</v>
      </c>
      <c r="AD186">
        <f t="shared" si="6"/>
        <v>38</v>
      </c>
      <c r="AE186" cm="1">
        <f t="array" ref="AE186">INDEX(X:X, AD186+1)*AC186</f>
        <v>703000</v>
      </c>
    </row>
    <row r="187" spans="1:31">
      <c r="A187">
        <v>186</v>
      </c>
      <c r="B187">
        <v>595000000</v>
      </c>
      <c r="C187">
        <v>100000000</v>
      </c>
      <c r="D187">
        <v>100000000</v>
      </c>
      <c r="E187">
        <v>100000000</v>
      </c>
      <c r="F187">
        <v>100000000</v>
      </c>
      <c r="G187">
        <v>10</v>
      </c>
      <c r="H187">
        <v>1</v>
      </c>
      <c r="I187">
        <v>1</v>
      </c>
      <c r="J187">
        <v>1</v>
      </c>
      <c r="K187">
        <f t="shared" si="5"/>
        <v>5.9500000000000006E+41</v>
      </c>
      <c r="L187" t="e">
        <f>MATCH(K187, 보스체력!#REF!, 1)</f>
        <v>#REF!</v>
      </c>
      <c r="U187">
        <v>186</v>
      </c>
      <c r="V187">
        <v>402000</v>
      </c>
      <c r="W187">
        <v>10</v>
      </c>
      <c r="X187">
        <v>18600</v>
      </c>
      <c r="Y187">
        <v>20</v>
      </c>
      <c r="Z187">
        <v>15000</v>
      </c>
      <c r="AA187">
        <v>10</v>
      </c>
      <c r="AC187">
        <v>186</v>
      </c>
      <c r="AD187">
        <f t="shared" si="6"/>
        <v>38</v>
      </c>
      <c r="AE187" cm="1">
        <f t="array" ref="AE187">INDEX(X:X, AD187+1)*AC187</f>
        <v>706800</v>
      </c>
    </row>
    <row r="188" spans="1:31">
      <c r="A188">
        <v>187</v>
      </c>
      <c r="B188">
        <v>685000000</v>
      </c>
      <c r="C188">
        <v>100000000</v>
      </c>
      <c r="D188">
        <v>100000000</v>
      </c>
      <c r="E188">
        <v>100000000</v>
      </c>
      <c r="F188">
        <v>100000000</v>
      </c>
      <c r="G188">
        <v>10</v>
      </c>
      <c r="H188">
        <v>1</v>
      </c>
      <c r="I188">
        <v>1</v>
      </c>
      <c r="J188">
        <v>1</v>
      </c>
      <c r="K188">
        <f t="shared" si="5"/>
        <v>6.8500000000000005E+41</v>
      </c>
      <c r="L188" t="e">
        <f>MATCH(K188, 보스체력!#REF!, 1)</f>
        <v>#REF!</v>
      </c>
      <c r="U188">
        <v>187</v>
      </c>
      <c r="V188">
        <v>404000</v>
      </c>
      <c r="W188">
        <v>10</v>
      </c>
      <c r="X188">
        <v>18700</v>
      </c>
      <c r="Y188">
        <v>20</v>
      </c>
      <c r="Z188">
        <v>15000</v>
      </c>
      <c r="AA188">
        <v>10</v>
      </c>
      <c r="AC188">
        <v>187</v>
      </c>
      <c r="AD188">
        <f t="shared" si="6"/>
        <v>38</v>
      </c>
      <c r="AE188" cm="1">
        <f t="array" ref="AE188">INDEX(X:X, AD188+1)*AC188</f>
        <v>710600</v>
      </c>
    </row>
    <row r="189" spans="1:31">
      <c r="A189">
        <v>188</v>
      </c>
      <c r="B189">
        <v>775000000</v>
      </c>
      <c r="C189">
        <v>100000000</v>
      </c>
      <c r="D189">
        <v>100000000</v>
      </c>
      <c r="E189">
        <v>100000000</v>
      </c>
      <c r="F189">
        <v>100000000</v>
      </c>
      <c r="G189">
        <v>10</v>
      </c>
      <c r="H189">
        <v>1</v>
      </c>
      <c r="I189">
        <v>1</v>
      </c>
      <c r="J189">
        <v>1</v>
      </c>
      <c r="K189">
        <f t="shared" si="5"/>
        <v>7.7500000000000004E+41</v>
      </c>
      <c r="L189" t="e">
        <f>MATCH(K189, 보스체력!#REF!, 1)</f>
        <v>#REF!</v>
      </c>
      <c r="U189">
        <v>188</v>
      </c>
      <c r="V189">
        <v>407000</v>
      </c>
      <c r="W189">
        <v>10</v>
      </c>
      <c r="X189">
        <v>18800</v>
      </c>
      <c r="Y189">
        <v>20</v>
      </c>
      <c r="Z189">
        <v>15000</v>
      </c>
      <c r="AA189">
        <v>10</v>
      </c>
      <c r="AC189">
        <v>188</v>
      </c>
      <c r="AD189">
        <f t="shared" si="6"/>
        <v>38</v>
      </c>
      <c r="AE189" cm="1">
        <f t="array" ref="AE189">INDEX(X:X, AD189+1)*AC189</f>
        <v>714400</v>
      </c>
    </row>
    <row r="190" spans="1:31">
      <c r="A190">
        <v>189</v>
      </c>
      <c r="B190">
        <v>865000000</v>
      </c>
      <c r="C190">
        <v>100000000</v>
      </c>
      <c r="D190">
        <v>100000000</v>
      </c>
      <c r="E190">
        <v>100000000</v>
      </c>
      <c r="F190">
        <v>100000000</v>
      </c>
      <c r="G190">
        <v>10</v>
      </c>
      <c r="H190">
        <v>1</v>
      </c>
      <c r="I190">
        <v>1</v>
      </c>
      <c r="J190">
        <v>1</v>
      </c>
      <c r="K190">
        <f t="shared" si="5"/>
        <v>8.650000000000001E+41</v>
      </c>
      <c r="L190" t="e">
        <f>MATCH(K190, 보스체력!#REF!, 1)</f>
        <v>#REF!</v>
      </c>
      <c r="U190">
        <v>189</v>
      </c>
      <c r="V190">
        <v>409000</v>
      </c>
      <c r="W190">
        <v>10</v>
      </c>
      <c r="X190">
        <v>18900</v>
      </c>
      <c r="Y190">
        <v>20</v>
      </c>
      <c r="Z190">
        <v>15000</v>
      </c>
      <c r="AA190">
        <v>10</v>
      </c>
      <c r="AC190">
        <v>189</v>
      </c>
      <c r="AD190">
        <f t="shared" si="6"/>
        <v>38</v>
      </c>
      <c r="AE190" cm="1">
        <f t="array" ref="AE190">INDEX(X:X, AD190+1)*AC190</f>
        <v>718200</v>
      </c>
    </row>
    <row r="191" spans="1:31">
      <c r="A191">
        <v>190</v>
      </c>
      <c r="B191">
        <v>955000000</v>
      </c>
      <c r="C191">
        <v>100000000</v>
      </c>
      <c r="D191">
        <v>100000000</v>
      </c>
      <c r="E191">
        <v>100000000</v>
      </c>
      <c r="F191">
        <v>100000000</v>
      </c>
      <c r="G191">
        <v>10</v>
      </c>
      <c r="H191">
        <v>1</v>
      </c>
      <c r="I191">
        <v>1</v>
      </c>
      <c r="J191">
        <v>1</v>
      </c>
      <c r="K191">
        <f t="shared" si="5"/>
        <v>9.5500000000000001E+41</v>
      </c>
      <c r="L191" t="e">
        <f>MATCH(K191, 보스체력!#REF!, 1)</f>
        <v>#REF!</v>
      </c>
      <c r="U191">
        <v>190</v>
      </c>
      <c r="V191">
        <v>411000</v>
      </c>
      <c r="W191">
        <v>10</v>
      </c>
      <c r="X191">
        <v>19000</v>
      </c>
      <c r="Y191">
        <v>20</v>
      </c>
      <c r="Z191">
        <v>15000</v>
      </c>
      <c r="AA191">
        <v>10</v>
      </c>
      <c r="AC191">
        <v>190</v>
      </c>
      <c r="AD191">
        <f t="shared" si="6"/>
        <v>39</v>
      </c>
      <c r="AE191" cm="1">
        <f t="array" ref="AE191">INDEX(X:X, AD191+1)*AC191</f>
        <v>741000</v>
      </c>
    </row>
    <row r="192" spans="1:31">
      <c r="A192">
        <v>191</v>
      </c>
      <c r="B192">
        <v>145000000</v>
      </c>
      <c r="C192">
        <v>100000000</v>
      </c>
      <c r="D192">
        <v>100000000</v>
      </c>
      <c r="E192">
        <v>100000000</v>
      </c>
      <c r="F192">
        <v>100000000</v>
      </c>
      <c r="G192">
        <v>100</v>
      </c>
      <c r="H192">
        <v>1</v>
      </c>
      <c r="I192">
        <v>1</v>
      </c>
      <c r="J192">
        <v>1</v>
      </c>
      <c r="K192">
        <f t="shared" si="5"/>
        <v>1.4500000000000002E+42</v>
      </c>
      <c r="L192" t="e">
        <f>MATCH(K192, 보스체력!#REF!, 1)</f>
        <v>#REF!</v>
      </c>
      <c r="U192">
        <v>191</v>
      </c>
      <c r="V192">
        <v>414000</v>
      </c>
      <c r="W192">
        <v>10</v>
      </c>
      <c r="X192">
        <v>19100</v>
      </c>
      <c r="Y192">
        <v>20</v>
      </c>
      <c r="Z192">
        <v>15000</v>
      </c>
      <c r="AA192">
        <v>10</v>
      </c>
      <c r="AC192">
        <v>191</v>
      </c>
      <c r="AD192">
        <f t="shared" si="6"/>
        <v>39</v>
      </c>
      <c r="AE192" cm="1">
        <f t="array" ref="AE192">INDEX(X:X, AD192+1)*AC192</f>
        <v>744900</v>
      </c>
    </row>
    <row r="193" spans="1:31">
      <c r="A193">
        <v>192</v>
      </c>
      <c r="B193">
        <v>235000000</v>
      </c>
      <c r="C193">
        <v>100000000</v>
      </c>
      <c r="D193">
        <v>100000000</v>
      </c>
      <c r="E193">
        <v>100000000</v>
      </c>
      <c r="F193">
        <v>100000000</v>
      </c>
      <c r="G193">
        <v>100</v>
      </c>
      <c r="H193">
        <v>1</v>
      </c>
      <c r="I193">
        <v>1</v>
      </c>
      <c r="J193">
        <v>1</v>
      </c>
      <c r="K193">
        <f t="shared" si="5"/>
        <v>2.3500000000000002E+42</v>
      </c>
      <c r="L193" t="e">
        <f>MATCH(K193, 보스체력!#REF!, 1)</f>
        <v>#REF!</v>
      </c>
      <c r="U193">
        <v>192</v>
      </c>
      <c r="V193">
        <v>416000</v>
      </c>
      <c r="W193">
        <v>10</v>
      </c>
      <c r="X193">
        <v>19200</v>
      </c>
      <c r="Y193">
        <v>20</v>
      </c>
      <c r="Z193">
        <v>15000</v>
      </c>
      <c r="AA193">
        <v>10</v>
      </c>
      <c r="AC193">
        <v>192</v>
      </c>
      <c r="AD193">
        <f t="shared" si="6"/>
        <v>39</v>
      </c>
      <c r="AE193" cm="1">
        <f t="array" ref="AE193">INDEX(X:X, AD193+1)*AC193</f>
        <v>748800</v>
      </c>
    </row>
    <row r="194" spans="1:31">
      <c r="A194">
        <v>193</v>
      </c>
      <c r="B194">
        <v>325000000</v>
      </c>
      <c r="C194">
        <v>100000000</v>
      </c>
      <c r="D194">
        <v>100000000</v>
      </c>
      <c r="E194">
        <v>100000000</v>
      </c>
      <c r="F194">
        <v>100000000</v>
      </c>
      <c r="G194">
        <v>100</v>
      </c>
      <c r="H194">
        <v>1</v>
      </c>
      <c r="I194">
        <v>1</v>
      </c>
      <c r="J194">
        <v>1</v>
      </c>
      <c r="K194">
        <f t="shared" si="5"/>
        <v>3.2500000000000003E+42</v>
      </c>
      <c r="L194" t="e">
        <f>MATCH(K194, 보스체력!#REF!, 1)</f>
        <v>#REF!</v>
      </c>
      <c r="U194">
        <v>193</v>
      </c>
      <c r="V194">
        <v>418000</v>
      </c>
      <c r="W194">
        <v>10</v>
      </c>
      <c r="X194">
        <v>19300</v>
      </c>
      <c r="Y194">
        <v>20</v>
      </c>
      <c r="Z194">
        <v>15000</v>
      </c>
      <c r="AA194">
        <v>10</v>
      </c>
      <c r="AC194">
        <v>193</v>
      </c>
      <c r="AD194">
        <f t="shared" si="6"/>
        <v>39</v>
      </c>
      <c r="AE194" cm="1">
        <f t="array" ref="AE194">INDEX(X:X, AD194+1)*AC194</f>
        <v>752700</v>
      </c>
    </row>
    <row r="195" spans="1:31">
      <c r="A195">
        <v>194</v>
      </c>
      <c r="B195">
        <v>415000000</v>
      </c>
      <c r="C195">
        <v>100000000</v>
      </c>
      <c r="D195">
        <v>100000000</v>
      </c>
      <c r="E195">
        <v>100000000</v>
      </c>
      <c r="F195">
        <v>100000000</v>
      </c>
      <c r="G195">
        <v>100</v>
      </c>
      <c r="H195">
        <v>1</v>
      </c>
      <c r="I195">
        <v>1</v>
      </c>
      <c r="J195">
        <v>1</v>
      </c>
      <c r="K195">
        <f t="shared" ref="K195:K258" si="7">J195*I195*H195*G195*F195*E195*D195*C195*B195</f>
        <v>4.1500000000000003E+42</v>
      </c>
      <c r="L195" t="e">
        <f>MATCH(K195, 보스체력!#REF!, 1)</f>
        <v>#REF!</v>
      </c>
      <c r="U195">
        <v>194</v>
      </c>
      <c r="V195">
        <v>421000</v>
      </c>
      <c r="W195">
        <v>10</v>
      </c>
      <c r="X195">
        <v>19400</v>
      </c>
      <c r="Y195">
        <v>20</v>
      </c>
      <c r="Z195">
        <v>15000</v>
      </c>
      <c r="AA195">
        <v>10</v>
      </c>
      <c r="AC195">
        <v>194</v>
      </c>
      <c r="AD195">
        <f t="shared" ref="AD195:AD258" si="8">INT(AC195/5)+1</f>
        <v>39</v>
      </c>
      <c r="AE195" cm="1">
        <f t="array" ref="AE195">INDEX(X:X, AD195+1)*AC195</f>
        <v>756600</v>
      </c>
    </row>
    <row r="196" spans="1:31">
      <c r="A196">
        <v>195</v>
      </c>
      <c r="B196">
        <v>505000000</v>
      </c>
      <c r="C196">
        <v>100000000</v>
      </c>
      <c r="D196">
        <v>100000000</v>
      </c>
      <c r="E196">
        <v>100000000</v>
      </c>
      <c r="F196">
        <v>100000000</v>
      </c>
      <c r="G196">
        <v>100</v>
      </c>
      <c r="H196">
        <v>1</v>
      </c>
      <c r="I196">
        <v>1</v>
      </c>
      <c r="J196">
        <v>1</v>
      </c>
      <c r="K196">
        <f t="shared" si="7"/>
        <v>5.0500000000000003E+42</v>
      </c>
      <c r="L196" t="e">
        <f>MATCH(K196, 보스체력!#REF!, 1)</f>
        <v>#REF!</v>
      </c>
      <c r="U196">
        <v>195</v>
      </c>
      <c r="V196">
        <v>423000</v>
      </c>
      <c r="W196">
        <v>10</v>
      </c>
      <c r="X196">
        <v>19500</v>
      </c>
      <c r="Y196">
        <v>20</v>
      </c>
      <c r="Z196">
        <v>15000</v>
      </c>
      <c r="AA196">
        <v>10</v>
      </c>
      <c r="AC196">
        <v>195</v>
      </c>
      <c r="AD196">
        <f t="shared" si="8"/>
        <v>40</v>
      </c>
      <c r="AE196" cm="1">
        <f t="array" ref="AE196">INDEX(X:X, AD196+1)*AC196</f>
        <v>780000</v>
      </c>
    </row>
    <row r="197" spans="1:31">
      <c r="A197">
        <v>196</v>
      </c>
      <c r="B197">
        <v>595000000</v>
      </c>
      <c r="C197">
        <v>100000000</v>
      </c>
      <c r="D197">
        <v>100000000</v>
      </c>
      <c r="E197">
        <v>100000000</v>
      </c>
      <c r="F197">
        <v>100000000</v>
      </c>
      <c r="G197">
        <v>100</v>
      </c>
      <c r="H197">
        <v>1</v>
      </c>
      <c r="I197">
        <v>1</v>
      </c>
      <c r="J197">
        <v>1</v>
      </c>
      <c r="K197">
        <f t="shared" si="7"/>
        <v>5.9500000000000003E+42</v>
      </c>
      <c r="L197" t="e">
        <f>MATCH(K197, 보스체력!#REF!, 1)</f>
        <v>#REF!</v>
      </c>
      <c r="U197">
        <v>196</v>
      </c>
      <c r="V197">
        <v>426000</v>
      </c>
      <c r="W197">
        <v>10</v>
      </c>
      <c r="X197">
        <v>19600</v>
      </c>
      <c r="Y197">
        <v>20</v>
      </c>
      <c r="Z197">
        <v>15000</v>
      </c>
      <c r="AA197">
        <v>10</v>
      </c>
      <c r="AC197">
        <v>196</v>
      </c>
      <c r="AD197">
        <f t="shared" si="8"/>
        <v>40</v>
      </c>
      <c r="AE197" cm="1">
        <f t="array" ref="AE197">INDEX(X:X, AD197+1)*AC197</f>
        <v>784000</v>
      </c>
    </row>
    <row r="198" spans="1:31">
      <c r="A198">
        <v>197</v>
      </c>
      <c r="B198">
        <v>685000000</v>
      </c>
      <c r="C198">
        <v>100000000</v>
      </c>
      <c r="D198">
        <v>100000000</v>
      </c>
      <c r="E198">
        <v>100000000</v>
      </c>
      <c r="F198">
        <v>100000000</v>
      </c>
      <c r="G198">
        <v>100</v>
      </c>
      <c r="H198">
        <v>1</v>
      </c>
      <c r="I198">
        <v>1</v>
      </c>
      <c r="J198">
        <v>1</v>
      </c>
      <c r="K198">
        <f t="shared" si="7"/>
        <v>6.850000000000001E+42</v>
      </c>
      <c r="L198" t="e">
        <f>MATCH(K198, 보스체력!#REF!, 1)</f>
        <v>#REF!</v>
      </c>
      <c r="U198">
        <v>197</v>
      </c>
      <c r="V198">
        <v>428000</v>
      </c>
      <c r="W198">
        <v>10</v>
      </c>
      <c r="X198">
        <v>19700</v>
      </c>
      <c r="Y198">
        <v>20</v>
      </c>
      <c r="Z198">
        <v>15000</v>
      </c>
      <c r="AA198">
        <v>10</v>
      </c>
      <c r="AC198">
        <v>197</v>
      </c>
      <c r="AD198">
        <f t="shared" si="8"/>
        <v>40</v>
      </c>
      <c r="AE198" cm="1">
        <f t="array" ref="AE198">INDEX(X:X, AD198+1)*AC198</f>
        <v>788000</v>
      </c>
    </row>
    <row r="199" spans="1:31">
      <c r="A199">
        <v>198</v>
      </c>
      <c r="B199">
        <v>775000000</v>
      </c>
      <c r="C199">
        <v>100000000</v>
      </c>
      <c r="D199">
        <v>100000000</v>
      </c>
      <c r="E199">
        <v>100000000</v>
      </c>
      <c r="F199">
        <v>100000000</v>
      </c>
      <c r="G199">
        <v>100</v>
      </c>
      <c r="H199">
        <v>1</v>
      </c>
      <c r="I199">
        <v>1</v>
      </c>
      <c r="J199">
        <v>1</v>
      </c>
      <c r="K199">
        <f t="shared" si="7"/>
        <v>7.7500000000000004E+42</v>
      </c>
      <c r="L199" t="e">
        <f>MATCH(K199, 보스체력!#REF!, 1)</f>
        <v>#REF!</v>
      </c>
      <c r="U199">
        <v>198</v>
      </c>
      <c r="V199">
        <v>430000</v>
      </c>
      <c r="W199">
        <v>10</v>
      </c>
      <c r="X199">
        <v>19800</v>
      </c>
      <c r="Y199">
        <v>20</v>
      </c>
      <c r="Z199">
        <v>15000</v>
      </c>
      <c r="AA199">
        <v>10</v>
      </c>
      <c r="AC199">
        <v>198</v>
      </c>
      <c r="AD199">
        <f t="shared" si="8"/>
        <v>40</v>
      </c>
      <c r="AE199" cm="1">
        <f t="array" ref="AE199">INDEX(X:X, AD199+1)*AC199</f>
        <v>792000</v>
      </c>
    </row>
    <row r="200" spans="1:31">
      <c r="A200">
        <v>199</v>
      </c>
      <c r="B200">
        <v>865000000</v>
      </c>
      <c r="C200">
        <v>100000000</v>
      </c>
      <c r="D200">
        <v>100000000</v>
      </c>
      <c r="E200">
        <v>100000000</v>
      </c>
      <c r="F200">
        <v>100000000</v>
      </c>
      <c r="G200">
        <v>100</v>
      </c>
      <c r="H200">
        <v>1</v>
      </c>
      <c r="I200">
        <v>1</v>
      </c>
      <c r="J200">
        <v>1</v>
      </c>
      <c r="K200">
        <f t="shared" si="7"/>
        <v>8.650000000000001E+42</v>
      </c>
      <c r="L200" t="e">
        <f>MATCH(K200, 보스체력!#REF!, 1)</f>
        <v>#REF!</v>
      </c>
      <c r="U200">
        <v>199</v>
      </c>
      <c r="V200">
        <v>433000</v>
      </c>
      <c r="W200">
        <v>10</v>
      </c>
      <c r="X200">
        <v>19900</v>
      </c>
      <c r="Y200">
        <v>20</v>
      </c>
      <c r="Z200">
        <v>15000</v>
      </c>
      <c r="AA200">
        <v>10</v>
      </c>
      <c r="AC200">
        <v>199</v>
      </c>
      <c r="AD200">
        <f t="shared" si="8"/>
        <v>40</v>
      </c>
      <c r="AE200" cm="1">
        <f t="array" ref="AE200">INDEX(X:X, AD200+1)*AC200</f>
        <v>796000</v>
      </c>
    </row>
    <row r="201" spans="1:31">
      <c r="A201">
        <v>200</v>
      </c>
      <c r="B201">
        <v>955000000</v>
      </c>
      <c r="C201">
        <v>100000000</v>
      </c>
      <c r="D201">
        <v>100000000</v>
      </c>
      <c r="E201">
        <v>100000000</v>
      </c>
      <c r="F201">
        <v>100000000</v>
      </c>
      <c r="G201">
        <v>100</v>
      </c>
      <c r="H201">
        <v>1</v>
      </c>
      <c r="I201">
        <v>1</v>
      </c>
      <c r="J201">
        <v>1</v>
      </c>
      <c r="K201">
        <f t="shared" si="7"/>
        <v>9.5500000000000004E+42</v>
      </c>
      <c r="L201" t="e">
        <f>MATCH(K201, 보스체력!#REF!, 1)</f>
        <v>#REF!</v>
      </c>
      <c r="U201">
        <v>200</v>
      </c>
      <c r="V201">
        <v>435000</v>
      </c>
      <c r="W201">
        <v>10</v>
      </c>
      <c r="X201">
        <v>20000</v>
      </c>
      <c r="Y201">
        <v>20</v>
      </c>
      <c r="Z201">
        <v>15000</v>
      </c>
      <c r="AA201">
        <v>10</v>
      </c>
      <c r="AC201">
        <v>200</v>
      </c>
      <c r="AD201">
        <f t="shared" si="8"/>
        <v>41</v>
      </c>
      <c r="AE201" cm="1">
        <f t="array" ref="AE201">INDEX(X:X, AD201+1)*AC201</f>
        <v>820000</v>
      </c>
    </row>
    <row r="202" spans="1:31">
      <c r="A202">
        <v>201</v>
      </c>
      <c r="B202">
        <v>145000000</v>
      </c>
      <c r="C202">
        <v>100000000</v>
      </c>
      <c r="D202">
        <v>100000000</v>
      </c>
      <c r="E202">
        <v>100000000</v>
      </c>
      <c r="F202">
        <v>100000000</v>
      </c>
      <c r="G202">
        <v>1000</v>
      </c>
      <c r="H202">
        <v>1</v>
      </c>
      <c r="I202">
        <v>1</v>
      </c>
      <c r="J202">
        <v>1</v>
      </c>
      <c r="K202">
        <f t="shared" si="7"/>
        <v>1.4499999999999998E+43</v>
      </c>
      <c r="L202" t="e">
        <f>MATCH(K202, 보스체력!#REF!, 1)</f>
        <v>#REF!</v>
      </c>
      <c r="AC202">
        <v>201</v>
      </c>
      <c r="AD202">
        <f t="shared" si="8"/>
        <v>41</v>
      </c>
      <c r="AE202" cm="1">
        <f t="array" ref="AE202">INDEX(X:X, AD202+1)*AC202</f>
        <v>824100</v>
      </c>
    </row>
    <row r="203" spans="1:31">
      <c r="A203">
        <v>202</v>
      </c>
      <c r="B203">
        <v>235000000</v>
      </c>
      <c r="C203">
        <v>100000000</v>
      </c>
      <c r="D203">
        <v>100000000</v>
      </c>
      <c r="E203">
        <v>100000000</v>
      </c>
      <c r="F203">
        <v>100000000</v>
      </c>
      <c r="G203">
        <v>1000</v>
      </c>
      <c r="H203">
        <v>1</v>
      </c>
      <c r="I203">
        <v>1</v>
      </c>
      <c r="J203">
        <v>1</v>
      </c>
      <c r="K203">
        <f t="shared" si="7"/>
        <v>2.35E+43</v>
      </c>
      <c r="L203" t="e">
        <f>MATCH(K203, 보스체력!#REF!, 1)</f>
        <v>#REF!</v>
      </c>
      <c r="AC203">
        <v>202</v>
      </c>
      <c r="AD203">
        <f t="shared" si="8"/>
        <v>41</v>
      </c>
      <c r="AE203" cm="1">
        <f t="array" ref="AE203">INDEX(X:X, AD203+1)*AC203</f>
        <v>828200</v>
      </c>
    </row>
    <row r="204" spans="1:31">
      <c r="A204">
        <v>203</v>
      </c>
      <c r="B204">
        <v>325000000</v>
      </c>
      <c r="C204">
        <v>100000000</v>
      </c>
      <c r="D204">
        <v>100000000</v>
      </c>
      <c r="E204">
        <v>100000000</v>
      </c>
      <c r="F204">
        <v>100000000</v>
      </c>
      <c r="G204">
        <v>1000</v>
      </c>
      <c r="H204">
        <v>1</v>
      </c>
      <c r="I204">
        <v>1</v>
      </c>
      <c r="J204">
        <v>1</v>
      </c>
      <c r="K204">
        <f t="shared" si="7"/>
        <v>3.2499999999999999E+43</v>
      </c>
      <c r="L204" t="e">
        <f>MATCH(K204, 보스체력!#REF!, 1)</f>
        <v>#REF!</v>
      </c>
      <c r="AC204">
        <v>203</v>
      </c>
      <c r="AD204">
        <f t="shared" si="8"/>
        <v>41</v>
      </c>
      <c r="AE204" cm="1">
        <f t="array" ref="AE204">INDEX(X:X, AD204+1)*AC204</f>
        <v>832300</v>
      </c>
    </row>
    <row r="205" spans="1:31">
      <c r="A205">
        <v>204</v>
      </c>
      <c r="B205">
        <v>415000000</v>
      </c>
      <c r="C205">
        <v>100000000</v>
      </c>
      <c r="D205">
        <v>100000000</v>
      </c>
      <c r="E205">
        <v>100000000</v>
      </c>
      <c r="F205">
        <v>100000000</v>
      </c>
      <c r="G205">
        <v>1000</v>
      </c>
      <c r="H205">
        <v>1</v>
      </c>
      <c r="I205">
        <v>1</v>
      </c>
      <c r="J205">
        <v>1</v>
      </c>
      <c r="K205">
        <f t="shared" si="7"/>
        <v>4.1499999999999998E+43</v>
      </c>
      <c r="L205" t="e">
        <f>MATCH(K205, 보스체력!#REF!, 1)</f>
        <v>#REF!</v>
      </c>
      <c r="AC205">
        <v>204</v>
      </c>
      <c r="AD205">
        <f t="shared" si="8"/>
        <v>41</v>
      </c>
      <c r="AE205" cm="1">
        <f t="array" ref="AE205">INDEX(X:X, AD205+1)*AC205</f>
        <v>836400</v>
      </c>
    </row>
    <row r="206" spans="1:31">
      <c r="A206">
        <v>205</v>
      </c>
      <c r="B206">
        <v>505000000</v>
      </c>
      <c r="C206">
        <v>100000000</v>
      </c>
      <c r="D206">
        <v>100000000</v>
      </c>
      <c r="E206">
        <v>100000000</v>
      </c>
      <c r="F206">
        <v>100000000</v>
      </c>
      <c r="G206">
        <v>1000</v>
      </c>
      <c r="H206">
        <v>1</v>
      </c>
      <c r="I206">
        <v>1</v>
      </c>
      <c r="J206">
        <v>1</v>
      </c>
      <c r="K206">
        <f t="shared" si="7"/>
        <v>5.0499999999999997E+43</v>
      </c>
      <c r="L206" t="e">
        <f>MATCH(K206, 보스체력!#REF!, 1)</f>
        <v>#REF!</v>
      </c>
      <c r="AC206">
        <v>205</v>
      </c>
      <c r="AD206">
        <f t="shared" si="8"/>
        <v>42</v>
      </c>
      <c r="AE206" cm="1">
        <f t="array" ref="AE206">INDEX(X:X, AD206+1)*AC206</f>
        <v>861000</v>
      </c>
    </row>
    <row r="207" spans="1:31">
      <c r="A207">
        <v>206</v>
      </c>
      <c r="B207">
        <v>595000000</v>
      </c>
      <c r="C207">
        <v>100000000</v>
      </c>
      <c r="D207">
        <v>100000000</v>
      </c>
      <c r="E207">
        <v>100000000</v>
      </c>
      <c r="F207">
        <v>100000000</v>
      </c>
      <c r="G207">
        <v>1000</v>
      </c>
      <c r="H207">
        <v>1</v>
      </c>
      <c r="I207">
        <v>1</v>
      </c>
      <c r="J207">
        <v>1</v>
      </c>
      <c r="K207">
        <f t="shared" si="7"/>
        <v>5.9500000000000001E+43</v>
      </c>
      <c r="L207" t="e">
        <f>MATCH(K207, 보스체력!#REF!, 1)</f>
        <v>#REF!</v>
      </c>
      <c r="AC207">
        <v>206</v>
      </c>
      <c r="AD207">
        <f t="shared" si="8"/>
        <v>42</v>
      </c>
      <c r="AE207" cm="1">
        <f t="array" ref="AE207">INDEX(X:X, AD207+1)*AC207</f>
        <v>865200</v>
      </c>
    </row>
    <row r="208" spans="1:31">
      <c r="A208">
        <v>207</v>
      </c>
      <c r="B208">
        <v>685000000</v>
      </c>
      <c r="C208">
        <v>100000000</v>
      </c>
      <c r="D208">
        <v>100000000</v>
      </c>
      <c r="E208">
        <v>100000000</v>
      </c>
      <c r="F208">
        <v>100000000</v>
      </c>
      <c r="G208">
        <v>1000</v>
      </c>
      <c r="H208">
        <v>1</v>
      </c>
      <c r="I208">
        <v>1</v>
      </c>
      <c r="J208">
        <v>1</v>
      </c>
      <c r="K208">
        <f t="shared" si="7"/>
        <v>6.8499999999999995E+43</v>
      </c>
      <c r="L208" t="e">
        <f>MATCH(K208, 보스체력!#REF!, 1)</f>
        <v>#REF!</v>
      </c>
      <c r="AC208">
        <v>207</v>
      </c>
      <c r="AD208">
        <f t="shared" si="8"/>
        <v>42</v>
      </c>
      <c r="AE208" cm="1">
        <f t="array" ref="AE208">INDEX(X:X, AD208+1)*AC208</f>
        <v>869400</v>
      </c>
    </row>
    <row r="209" spans="1:31">
      <c r="A209">
        <v>208</v>
      </c>
      <c r="B209">
        <v>775000000</v>
      </c>
      <c r="C209">
        <v>100000000</v>
      </c>
      <c r="D209">
        <v>100000000</v>
      </c>
      <c r="E209">
        <v>100000000</v>
      </c>
      <c r="F209">
        <v>100000000</v>
      </c>
      <c r="G209">
        <v>1000</v>
      </c>
      <c r="H209">
        <v>1</v>
      </c>
      <c r="I209">
        <v>1</v>
      </c>
      <c r="J209">
        <v>1</v>
      </c>
      <c r="K209">
        <f t="shared" si="7"/>
        <v>7.7499999999999999E+43</v>
      </c>
      <c r="L209" t="e">
        <f>MATCH(K209, 보스체력!#REF!, 1)</f>
        <v>#REF!</v>
      </c>
      <c r="AC209">
        <v>208</v>
      </c>
      <c r="AD209">
        <f t="shared" si="8"/>
        <v>42</v>
      </c>
      <c r="AE209" cm="1">
        <f t="array" ref="AE209">INDEX(X:X, AD209+1)*AC209</f>
        <v>873600</v>
      </c>
    </row>
    <row r="210" spans="1:31">
      <c r="A210">
        <v>209</v>
      </c>
      <c r="B210">
        <v>865000000</v>
      </c>
      <c r="C210">
        <v>100000000</v>
      </c>
      <c r="D210">
        <v>100000000</v>
      </c>
      <c r="E210">
        <v>100000000</v>
      </c>
      <c r="F210">
        <v>100000000</v>
      </c>
      <c r="G210">
        <v>1000</v>
      </c>
      <c r="H210">
        <v>1</v>
      </c>
      <c r="I210">
        <v>1</v>
      </c>
      <c r="J210">
        <v>1</v>
      </c>
      <c r="K210">
        <f t="shared" si="7"/>
        <v>8.6499999999999993E+43</v>
      </c>
      <c r="L210" t="e">
        <f>MATCH(K210, 보스체력!#REF!, 1)</f>
        <v>#REF!</v>
      </c>
      <c r="AC210">
        <v>209</v>
      </c>
      <c r="AD210">
        <f t="shared" si="8"/>
        <v>42</v>
      </c>
      <c r="AE210" cm="1">
        <f t="array" ref="AE210">INDEX(X:X, AD210+1)*AC210</f>
        <v>877800</v>
      </c>
    </row>
    <row r="211" spans="1:31">
      <c r="A211">
        <v>210</v>
      </c>
      <c r="B211">
        <v>955000000</v>
      </c>
      <c r="C211">
        <v>100000000</v>
      </c>
      <c r="D211">
        <v>100000000</v>
      </c>
      <c r="E211">
        <v>100000000</v>
      </c>
      <c r="F211">
        <v>100000000</v>
      </c>
      <c r="G211">
        <v>1000</v>
      </c>
      <c r="H211">
        <v>1</v>
      </c>
      <c r="I211">
        <v>1</v>
      </c>
      <c r="J211">
        <v>1</v>
      </c>
      <c r="K211">
        <f t="shared" si="7"/>
        <v>9.5499999999999997E+43</v>
      </c>
      <c r="L211" t="e">
        <f>MATCH(K211, 보스체력!#REF!, 1)</f>
        <v>#REF!</v>
      </c>
      <c r="AC211">
        <v>210</v>
      </c>
      <c r="AD211">
        <f t="shared" si="8"/>
        <v>43</v>
      </c>
      <c r="AE211" cm="1">
        <f t="array" ref="AE211">INDEX(X:X, AD211+1)*AC211</f>
        <v>903000</v>
      </c>
    </row>
    <row r="212" spans="1:31">
      <c r="A212">
        <v>211</v>
      </c>
      <c r="B212">
        <v>145000000</v>
      </c>
      <c r="C212">
        <v>100000000</v>
      </c>
      <c r="D212">
        <v>100000000</v>
      </c>
      <c r="E212">
        <v>100000000</v>
      </c>
      <c r="F212">
        <v>100000000</v>
      </c>
      <c r="G212">
        <v>10000</v>
      </c>
      <c r="H212">
        <v>1</v>
      </c>
      <c r="I212">
        <v>1</v>
      </c>
      <c r="J212">
        <v>1</v>
      </c>
      <c r="K212">
        <f t="shared" si="7"/>
        <v>1.4499999999999999E+44</v>
      </c>
      <c r="L212" t="e">
        <f>MATCH(K212, 보스체력!#REF!, 1)</f>
        <v>#REF!</v>
      </c>
      <c r="AC212">
        <v>211</v>
      </c>
      <c r="AD212">
        <f t="shared" si="8"/>
        <v>43</v>
      </c>
      <c r="AE212" cm="1">
        <f t="array" ref="AE212">INDEX(X:X, AD212+1)*AC212</f>
        <v>907300</v>
      </c>
    </row>
    <row r="213" spans="1:31">
      <c r="A213">
        <v>212</v>
      </c>
      <c r="B213">
        <v>235000000</v>
      </c>
      <c r="C213">
        <v>100000000</v>
      </c>
      <c r="D213">
        <v>100000000</v>
      </c>
      <c r="E213">
        <v>100000000</v>
      </c>
      <c r="F213">
        <v>100000000</v>
      </c>
      <c r="G213">
        <v>10000</v>
      </c>
      <c r="H213">
        <v>1</v>
      </c>
      <c r="I213">
        <v>1</v>
      </c>
      <c r="J213">
        <v>1</v>
      </c>
      <c r="K213">
        <f t="shared" si="7"/>
        <v>2.3499999999999997E+44</v>
      </c>
      <c r="L213" t="e">
        <f>MATCH(K213, 보스체력!#REF!, 1)</f>
        <v>#REF!</v>
      </c>
      <c r="AC213">
        <v>212</v>
      </c>
      <c r="AD213">
        <f t="shared" si="8"/>
        <v>43</v>
      </c>
      <c r="AE213" cm="1">
        <f t="array" ref="AE213">INDEX(X:X, AD213+1)*AC213</f>
        <v>911600</v>
      </c>
    </row>
    <row r="214" spans="1:31">
      <c r="A214">
        <v>213</v>
      </c>
      <c r="B214">
        <v>325000000</v>
      </c>
      <c r="C214">
        <v>100000000</v>
      </c>
      <c r="D214">
        <v>100000000</v>
      </c>
      <c r="E214">
        <v>100000000</v>
      </c>
      <c r="F214">
        <v>100000000</v>
      </c>
      <c r="G214">
        <v>10000</v>
      </c>
      <c r="H214">
        <v>1</v>
      </c>
      <c r="I214">
        <v>1</v>
      </c>
      <c r="J214">
        <v>1</v>
      </c>
      <c r="K214">
        <f t="shared" si="7"/>
        <v>3.2499999999999997E+44</v>
      </c>
      <c r="L214" t="e">
        <f>MATCH(K214, 보스체력!#REF!, 1)</f>
        <v>#REF!</v>
      </c>
      <c r="AC214">
        <v>213</v>
      </c>
      <c r="AD214">
        <f t="shared" si="8"/>
        <v>43</v>
      </c>
      <c r="AE214" cm="1">
        <f t="array" ref="AE214">INDEX(X:X, AD214+1)*AC214</f>
        <v>915900</v>
      </c>
    </row>
    <row r="215" spans="1:31">
      <c r="A215">
        <v>214</v>
      </c>
      <c r="B215">
        <v>415000000</v>
      </c>
      <c r="C215">
        <v>100000000</v>
      </c>
      <c r="D215">
        <v>100000000</v>
      </c>
      <c r="E215">
        <v>100000000</v>
      </c>
      <c r="F215">
        <v>100000000</v>
      </c>
      <c r="G215">
        <v>10000</v>
      </c>
      <c r="H215">
        <v>1</v>
      </c>
      <c r="I215">
        <v>1</v>
      </c>
      <c r="J215">
        <v>1</v>
      </c>
      <c r="K215">
        <f t="shared" si="7"/>
        <v>4.1499999999999997E+44</v>
      </c>
      <c r="L215" t="e">
        <f>MATCH(K215, 보스체력!#REF!, 1)</f>
        <v>#REF!</v>
      </c>
      <c r="AC215">
        <v>214</v>
      </c>
      <c r="AD215">
        <f t="shared" si="8"/>
        <v>43</v>
      </c>
      <c r="AE215" cm="1">
        <f t="array" ref="AE215">INDEX(X:X, AD215+1)*AC215</f>
        <v>920200</v>
      </c>
    </row>
    <row r="216" spans="1:31">
      <c r="A216">
        <v>215</v>
      </c>
      <c r="B216">
        <v>505000000</v>
      </c>
      <c r="C216">
        <v>100000000</v>
      </c>
      <c r="D216">
        <v>100000000</v>
      </c>
      <c r="E216">
        <v>100000000</v>
      </c>
      <c r="F216">
        <v>100000000</v>
      </c>
      <c r="G216">
        <v>10000</v>
      </c>
      <c r="H216">
        <v>1</v>
      </c>
      <c r="I216">
        <v>1</v>
      </c>
      <c r="J216">
        <v>1</v>
      </c>
      <c r="K216">
        <f t="shared" si="7"/>
        <v>5.0499999999999997E+44</v>
      </c>
      <c r="L216" t="e">
        <f>MATCH(K216, 보스체력!#REF!, 1)</f>
        <v>#REF!</v>
      </c>
      <c r="AC216">
        <v>215</v>
      </c>
      <c r="AD216">
        <f t="shared" si="8"/>
        <v>44</v>
      </c>
      <c r="AE216" cm="1">
        <f t="array" ref="AE216">INDEX(X:X, AD216+1)*AC216</f>
        <v>946000</v>
      </c>
    </row>
    <row r="217" spans="1:31">
      <c r="A217">
        <v>216</v>
      </c>
      <c r="B217">
        <v>595000000</v>
      </c>
      <c r="C217">
        <v>100000000</v>
      </c>
      <c r="D217">
        <v>100000000</v>
      </c>
      <c r="E217">
        <v>100000000</v>
      </c>
      <c r="F217">
        <v>100000000</v>
      </c>
      <c r="G217">
        <v>10000</v>
      </c>
      <c r="H217">
        <v>1</v>
      </c>
      <c r="I217">
        <v>1</v>
      </c>
      <c r="J217">
        <v>1</v>
      </c>
      <c r="K217">
        <f t="shared" si="7"/>
        <v>5.9499999999999997E+44</v>
      </c>
      <c r="L217" t="e">
        <f>MATCH(K217, 보스체력!#REF!, 1)</f>
        <v>#REF!</v>
      </c>
      <c r="AC217">
        <v>216</v>
      </c>
      <c r="AD217">
        <f t="shared" si="8"/>
        <v>44</v>
      </c>
      <c r="AE217" cm="1">
        <f t="array" ref="AE217">INDEX(X:X, AD217+1)*AC217</f>
        <v>950400</v>
      </c>
    </row>
    <row r="218" spans="1:31">
      <c r="A218">
        <v>217</v>
      </c>
      <c r="B218">
        <v>685000000</v>
      </c>
      <c r="C218">
        <v>100000000</v>
      </c>
      <c r="D218">
        <v>100000000</v>
      </c>
      <c r="E218">
        <v>100000000</v>
      </c>
      <c r="F218">
        <v>100000000</v>
      </c>
      <c r="G218">
        <v>10000</v>
      </c>
      <c r="H218">
        <v>1</v>
      </c>
      <c r="I218">
        <v>1</v>
      </c>
      <c r="J218">
        <v>1</v>
      </c>
      <c r="K218">
        <f t="shared" si="7"/>
        <v>6.8499999999999989E+44</v>
      </c>
      <c r="L218" t="e">
        <f>MATCH(K218, 보스체력!#REF!, 1)</f>
        <v>#REF!</v>
      </c>
      <c r="AC218">
        <v>217</v>
      </c>
      <c r="AD218">
        <f t="shared" si="8"/>
        <v>44</v>
      </c>
      <c r="AE218" cm="1">
        <f t="array" ref="AE218">INDEX(X:X, AD218+1)*AC218</f>
        <v>954800</v>
      </c>
    </row>
    <row r="219" spans="1:31">
      <c r="A219">
        <v>218</v>
      </c>
      <c r="B219">
        <v>775000000</v>
      </c>
      <c r="C219">
        <v>100000000</v>
      </c>
      <c r="D219">
        <v>100000000</v>
      </c>
      <c r="E219">
        <v>100000000</v>
      </c>
      <c r="F219">
        <v>100000000</v>
      </c>
      <c r="G219">
        <v>10000</v>
      </c>
      <c r="H219">
        <v>1</v>
      </c>
      <c r="I219">
        <v>1</v>
      </c>
      <c r="J219">
        <v>1</v>
      </c>
      <c r="K219">
        <f t="shared" si="7"/>
        <v>7.7499999999999997E+44</v>
      </c>
      <c r="L219" t="e">
        <f>MATCH(K219, 보스체력!#REF!, 1)</f>
        <v>#REF!</v>
      </c>
      <c r="AC219">
        <v>218</v>
      </c>
      <c r="AD219">
        <f t="shared" si="8"/>
        <v>44</v>
      </c>
      <c r="AE219" cm="1">
        <f t="array" ref="AE219">INDEX(X:X, AD219+1)*AC219</f>
        <v>959200</v>
      </c>
    </row>
    <row r="220" spans="1:31">
      <c r="A220">
        <v>219</v>
      </c>
      <c r="B220">
        <v>865000000</v>
      </c>
      <c r="C220">
        <v>100000000</v>
      </c>
      <c r="D220">
        <v>100000000</v>
      </c>
      <c r="E220">
        <v>100000000</v>
      </c>
      <c r="F220">
        <v>100000000</v>
      </c>
      <c r="G220">
        <v>10000</v>
      </c>
      <c r="H220">
        <v>1</v>
      </c>
      <c r="I220">
        <v>1</v>
      </c>
      <c r="J220">
        <v>1</v>
      </c>
      <c r="K220">
        <f t="shared" si="7"/>
        <v>8.6499999999999989E+44</v>
      </c>
      <c r="L220" t="e">
        <f>MATCH(K220, 보스체력!#REF!, 1)</f>
        <v>#REF!</v>
      </c>
      <c r="AC220">
        <v>219</v>
      </c>
      <c r="AD220">
        <f t="shared" si="8"/>
        <v>44</v>
      </c>
      <c r="AE220" cm="1">
        <f t="array" ref="AE220">INDEX(X:X, AD220+1)*AC220</f>
        <v>963600</v>
      </c>
    </row>
    <row r="221" spans="1:31">
      <c r="A221">
        <v>220</v>
      </c>
      <c r="B221">
        <v>955000000</v>
      </c>
      <c r="C221">
        <v>100000000</v>
      </c>
      <c r="D221">
        <v>100000000</v>
      </c>
      <c r="E221">
        <v>100000000</v>
      </c>
      <c r="F221">
        <v>100000000</v>
      </c>
      <c r="G221">
        <v>10000</v>
      </c>
      <c r="H221">
        <v>1</v>
      </c>
      <c r="I221">
        <v>1</v>
      </c>
      <c r="J221">
        <v>1</v>
      </c>
      <c r="K221">
        <f t="shared" si="7"/>
        <v>9.5499999999999997E+44</v>
      </c>
      <c r="L221" t="e">
        <f>MATCH(K221, 보스체력!#REF!, 1)</f>
        <v>#REF!</v>
      </c>
      <c r="AC221">
        <v>220</v>
      </c>
      <c r="AD221">
        <f t="shared" si="8"/>
        <v>45</v>
      </c>
      <c r="AE221" cm="1">
        <f t="array" ref="AE221">INDEX(X:X, AD221+1)*AC221</f>
        <v>990000</v>
      </c>
    </row>
    <row r="222" spans="1:31">
      <c r="A222">
        <v>221</v>
      </c>
      <c r="B222">
        <v>145000000</v>
      </c>
      <c r="C222">
        <v>100000000</v>
      </c>
      <c r="D222">
        <v>100000000</v>
      </c>
      <c r="E222">
        <v>100000000</v>
      </c>
      <c r="F222">
        <v>100000000</v>
      </c>
      <c r="G222">
        <v>100000</v>
      </c>
      <c r="H222">
        <v>1</v>
      </c>
      <c r="I222">
        <v>1</v>
      </c>
      <c r="J222">
        <v>1</v>
      </c>
      <c r="K222">
        <f t="shared" si="7"/>
        <v>1.4499999999999999E+45</v>
      </c>
      <c r="L222" t="e">
        <f>MATCH(K222, 보스체력!#REF!, 1)</f>
        <v>#REF!</v>
      </c>
      <c r="AC222">
        <v>221</v>
      </c>
      <c r="AD222">
        <f t="shared" si="8"/>
        <v>45</v>
      </c>
      <c r="AE222" cm="1">
        <f t="array" ref="AE222">INDEX(X:X, AD222+1)*AC222</f>
        <v>994500</v>
      </c>
    </row>
    <row r="223" spans="1:31">
      <c r="A223">
        <v>222</v>
      </c>
      <c r="B223">
        <v>235000000</v>
      </c>
      <c r="C223">
        <v>100000000</v>
      </c>
      <c r="D223">
        <v>100000000</v>
      </c>
      <c r="E223">
        <v>100000000</v>
      </c>
      <c r="F223">
        <v>100000000</v>
      </c>
      <c r="G223">
        <v>100000</v>
      </c>
      <c r="H223">
        <v>1</v>
      </c>
      <c r="I223">
        <v>1</v>
      </c>
      <c r="J223">
        <v>1</v>
      </c>
      <c r="K223">
        <f t="shared" si="7"/>
        <v>2.35E+45</v>
      </c>
      <c r="L223" t="e">
        <f>MATCH(K223, 보스체력!#REF!, 1)</f>
        <v>#REF!</v>
      </c>
      <c r="AC223">
        <v>222</v>
      </c>
      <c r="AD223">
        <f t="shared" si="8"/>
        <v>45</v>
      </c>
      <c r="AE223" cm="1">
        <f t="array" ref="AE223">INDEX(X:X, AD223+1)*AC223</f>
        <v>999000</v>
      </c>
    </row>
    <row r="224" spans="1:31">
      <c r="A224">
        <v>223</v>
      </c>
      <c r="B224">
        <v>325000000</v>
      </c>
      <c r="C224">
        <v>100000000</v>
      </c>
      <c r="D224">
        <v>100000000</v>
      </c>
      <c r="E224">
        <v>100000000</v>
      </c>
      <c r="F224">
        <v>100000000</v>
      </c>
      <c r="G224">
        <v>100000</v>
      </c>
      <c r="H224">
        <v>1</v>
      </c>
      <c r="I224">
        <v>1</v>
      </c>
      <c r="J224">
        <v>1</v>
      </c>
      <c r="K224">
        <f t="shared" si="7"/>
        <v>3.2499999999999995E+45</v>
      </c>
      <c r="L224" t="e">
        <f>MATCH(K224, 보스체력!#REF!, 1)</f>
        <v>#REF!</v>
      </c>
      <c r="AC224">
        <v>223</v>
      </c>
      <c r="AD224">
        <f t="shared" si="8"/>
        <v>45</v>
      </c>
      <c r="AE224" cm="1">
        <f t="array" ref="AE224">INDEX(X:X, AD224+1)*AC224</f>
        <v>1003500</v>
      </c>
    </row>
    <row r="225" spans="1:31">
      <c r="A225">
        <v>224</v>
      </c>
      <c r="B225">
        <v>415000000</v>
      </c>
      <c r="C225">
        <v>100000000</v>
      </c>
      <c r="D225">
        <v>100000000</v>
      </c>
      <c r="E225">
        <v>100000000</v>
      </c>
      <c r="F225">
        <v>100000000</v>
      </c>
      <c r="G225">
        <v>100000</v>
      </c>
      <c r="H225">
        <v>1</v>
      </c>
      <c r="I225">
        <v>1</v>
      </c>
      <c r="J225">
        <v>1</v>
      </c>
      <c r="K225">
        <f t="shared" si="7"/>
        <v>4.15E+45</v>
      </c>
      <c r="L225" t="e">
        <f>MATCH(K225, 보스체력!#REF!, 1)</f>
        <v>#REF!</v>
      </c>
      <c r="AC225">
        <v>224</v>
      </c>
      <c r="AD225">
        <f t="shared" si="8"/>
        <v>45</v>
      </c>
      <c r="AE225" cm="1">
        <f t="array" ref="AE225">INDEX(X:X, AD225+1)*AC225</f>
        <v>1008000</v>
      </c>
    </row>
    <row r="226" spans="1:31">
      <c r="A226">
        <v>225</v>
      </c>
      <c r="B226">
        <v>505000000</v>
      </c>
      <c r="C226">
        <v>100000000</v>
      </c>
      <c r="D226">
        <v>100000000</v>
      </c>
      <c r="E226">
        <v>100000000</v>
      </c>
      <c r="F226">
        <v>100000000</v>
      </c>
      <c r="G226">
        <v>100000</v>
      </c>
      <c r="H226">
        <v>1</v>
      </c>
      <c r="I226">
        <v>1</v>
      </c>
      <c r="J226">
        <v>1</v>
      </c>
      <c r="K226">
        <f t="shared" si="7"/>
        <v>5.0499999999999999E+45</v>
      </c>
      <c r="L226" t="e">
        <f>MATCH(K226, 보스체력!#REF!, 1)</f>
        <v>#REF!</v>
      </c>
      <c r="AC226">
        <v>225</v>
      </c>
      <c r="AD226">
        <f t="shared" si="8"/>
        <v>46</v>
      </c>
      <c r="AE226" cm="1">
        <f t="array" ref="AE226">INDEX(X:X, AD226+1)*AC226</f>
        <v>1035000</v>
      </c>
    </row>
    <row r="227" spans="1:31">
      <c r="A227">
        <v>226</v>
      </c>
      <c r="B227">
        <v>595000000</v>
      </c>
      <c r="C227">
        <v>100000000</v>
      </c>
      <c r="D227">
        <v>100000000</v>
      </c>
      <c r="E227">
        <v>100000000</v>
      </c>
      <c r="F227">
        <v>100000000</v>
      </c>
      <c r="G227">
        <v>100000</v>
      </c>
      <c r="H227">
        <v>1</v>
      </c>
      <c r="I227">
        <v>1</v>
      </c>
      <c r="J227">
        <v>1</v>
      </c>
      <c r="K227">
        <f t="shared" si="7"/>
        <v>5.9499999999999997E+45</v>
      </c>
      <c r="L227" t="e">
        <f>MATCH(K227, 보스체력!#REF!, 1)</f>
        <v>#REF!</v>
      </c>
      <c r="AC227">
        <v>226</v>
      </c>
      <c r="AD227">
        <f t="shared" si="8"/>
        <v>46</v>
      </c>
      <c r="AE227" cm="1">
        <f t="array" ref="AE227">INDEX(X:X, AD227+1)*AC227</f>
        <v>1039600</v>
      </c>
    </row>
    <row r="228" spans="1:31">
      <c r="A228">
        <v>227</v>
      </c>
      <c r="B228">
        <v>685000000</v>
      </c>
      <c r="C228">
        <v>100000000</v>
      </c>
      <c r="D228">
        <v>100000000</v>
      </c>
      <c r="E228">
        <v>100000000</v>
      </c>
      <c r="F228">
        <v>100000000</v>
      </c>
      <c r="G228">
        <v>100000</v>
      </c>
      <c r="H228">
        <v>1</v>
      </c>
      <c r="I228">
        <v>1</v>
      </c>
      <c r="J228">
        <v>1</v>
      </c>
      <c r="K228">
        <f t="shared" si="7"/>
        <v>6.8500000000000002E+45</v>
      </c>
      <c r="L228" t="e">
        <f>MATCH(K228, 보스체력!#REF!, 1)</f>
        <v>#REF!</v>
      </c>
      <c r="AC228">
        <v>227</v>
      </c>
      <c r="AD228">
        <f t="shared" si="8"/>
        <v>46</v>
      </c>
      <c r="AE228" cm="1">
        <f t="array" ref="AE228">INDEX(X:X, AD228+1)*AC228</f>
        <v>1044200</v>
      </c>
    </row>
    <row r="229" spans="1:31">
      <c r="A229">
        <v>228</v>
      </c>
      <c r="B229">
        <v>775000000</v>
      </c>
      <c r="C229">
        <v>100000000</v>
      </c>
      <c r="D229">
        <v>100000000</v>
      </c>
      <c r="E229">
        <v>100000000</v>
      </c>
      <c r="F229">
        <v>100000000</v>
      </c>
      <c r="G229">
        <v>100000</v>
      </c>
      <c r="H229">
        <v>1</v>
      </c>
      <c r="I229">
        <v>1</v>
      </c>
      <c r="J229">
        <v>1</v>
      </c>
      <c r="K229">
        <f t="shared" si="7"/>
        <v>7.7499999999999994E+45</v>
      </c>
      <c r="L229" t="e">
        <f>MATCH(K229, 보스체력!#REF!, 1)</f>
        <v>#REF!</v>
      </c>
      <c r="AC229">
        <v>228</v>
      </c>
      <c r="AD229">
        <f t="shared" si="8"/>
        <v>46</v>
      </c>
      <c r="AE229" cm="1">
        <f t="array" ref="AE229">INDEX(X:X, AD229+1)*AC229</f>
        <v>1048800</v>
      </c>
    </row>
    <row r="230" spans="1:31">
      <c r="A230">
        <v>229</v>
      </c>
      <c r="B230">
        <v>865000000</v>
      </c>
      <c r="C230">
        <v>100000000</v>
      </c>
      <c r="D230">
        <v>100000000</v>
      </c>
      <c r="E230">
        <v>100000000</v>
      </c>
      <c r="F230">
        <v>100000000</v>
      </c>
      <c r="G230">
        <v>100000</v>
      </c>
      <c r="H230">
        <v>1</v>
      </c>
      <c r="I230">
        <v>1</v>
      </c>
      <c r="J230">
        <v>1</v>
      </c>
      <c r="K230">
        <f t="shared" si="7"/>
        <v>8.6499999999999999E+45</v>
      </c>
      <c r="L230" t="e">
        <f>MATCH(K230, 보스체력!#REF!, 1)</f>
        <v>#REF!</v>
      </c>
      <c r="AC230">
        <v>229</v>
      </c>
      <c r="AD230">
        <f t="shared" si="8"/>
        <v>46</v>
      </c>
      <c r="AE230" cm="1">
        <f t="array" ref="AE230">INDEX(X:X, AD230+1)*AC230</f>
        <v>1053400</v>
      </c>
    </row>
    <row r="231" spans="1:31">
      <c r="A231">
        <v>230</v>
      </c>
      <c r="B231">
        <v>955000000</v>
      </c>
      <c r="C231">
        <v>100000000</v>
      </c>
      <c r="D231">
        <v>100000000</v>
      </c>
      <c r="E231">
        <v>100000000</v>
      </c>
      <c r="F231">
        <v>100000000</v>
      </c>
      <c r="G231">
        <v>100000</v>
      </c>
      <c r="H231">
        <v>1</v>
      </c>
      <c r="I231">
        <v>1</v>
      </c>
      <c r="J231">
        <v>1</v>
      </c>
      <c r="K231">
        <f t="shared" si="7"/>
        <v>9.5499999999999991E+45</v>
      </c>
      <c r="L231" t="e">
        <f>MATCH(K231, 보스체력!#REF!, 1)</f>
        <v>#REF!</v>
      </c>
      <c r="AC231">
        <v>230</v>
      </c>
      <c r="AD231">
        <f t="shared" si="8"/>
        <v>47</v>
      </c>
      <c r="AE231" cm="1">
        <f t="array" ref="AE231">INDEX(X:X, AD231+1)*AC231</f>
        <v>1081000</v>
      </c>
    </row>
    <row r="232" spans="1:31">
      <c r="A232">
        <v>231</v>
      </c>
      <c r="B232">
        <v>145000000</v>
      </c>
      <c r="C232">
        <v>100000000</v>
      </c>
      <c r="D232">
        <v>100000000</v>
      </c>
      <c r="E232">
        <v>100000000</v>
      </c>
      <c r="F232">
        <v>100000000</v>
      </c>
      <c r="G232">
        <v>1000000</v>
      </c>
      <c r="H232">
        <v>1</v>
      </c>
      <c r="I232">
        <v>1</v>
      </c>
      <c r="J232">
        <v>1</v>
      </c>
      <c r="K232">
        <f t="shared" si="7"/>
        <v>1.4499999999999999E+46</v>
      </c>
      <c r="L232" t="e">
        <f>MATCH(K232, 보스체력!#REF!, 1)</f>
        <v>#REF!</v>
      </c>
      <c r="AC232">
        <v>231</v>
      </c>
      <c r="AD232">
        <f t="shared" si="8"/>
        <v>47</v>
      </c>
      <c r="AE232" cm="1">
        <f t="array" ref="AE232">INDEX(X:X, AD232+1)*AC232</f>
        <v>1085700</v>
      </c>
    </row>
    <row r="233" spans="1:31">
      <c r="A233">
        <v>232</v>
      </c>
      <c r="B233">
        <v>235000000</v>
      </c>
      <c r="C233">
        <v>100000000</v>
      </c>
      <c r="D233">
        <v>100000000</v>
      </c>
      <c r="E233">
        <v>100000000</v>
      </c>
      <c r="F233">
        <v>100000000</v>
      </c>
      <c r="G233">
        <v>1000000</v>
      </c>
      <c r="H233">
        <v>1</v>
      </c>
      <c r="I233">
        <v>1</v>
      </c>
      <c r="J233">
        <v>1</v>
      </c>
      <c r="K233">
        <f t="shared" si="7"/>
        <v>2.3499999999999998E+46</v>
      </c>
      <c r="L233" t="e">
        <f>MATCH(K233, 보스체력!#REF!, 1)</f>
        <v>#REF!</v>
      </c>
      <c r="AC233">
        <v>232</v>
      </c>
      <c r="AD233">
        <f t="shared" si="8"/>
        <v>47</v>
      </c>
      <c r="AE233" cm="1">
        <f t="array" ref="AE233">INDEX(X:X, AD233+1)*AC233</f>
        <v>1090400</v>
      </c>
    </row>
    <row r="234" spans="1:31">
      <c r="A234">
        <v>233</v>
      </c>
      <c r="B234">
        <v>325000000</v>
      </c>
      <c r="C234">
        <v>100000000</v>
      </c>
      <c r="D234">
        <v>100000000</v>
      </c>
      <c r="E234">
        <v>100000000</v>
      </c>
      <c r="F234">
        <v>100000000</v>
      </c>
      <c r="G234">
        <v>1000000</v>
      </c>
      <c r="H234">
        <v>1</v>
      </c>
      <c r="I234">
        <v>1</v>
      </c>
      <c r="J234">
        <v>1</v>
      </c>
      <c r="K234">
        <f t="shared" si="7"/>
        <v>3.25E+46</v>
      </c>
      <c r="L234" t="e">
        <f>MATCH(K234, 보스체력!#REF!, 1)</f>
        <v>#REF!</v>
      </c>
      <c r="AC234">
        <v>233</v>
      </c>
      <c r="AD234">
        <f t="shared" si="8"/>
        <v>47</v>
      </c>
      <c r="AE234" cm="1">
        <f t="array" ref="AE234">INDEX(X:X, AD234+1)*AC234</f>
        <v>1095100</v>
      </c>
    </row>
    <row r="235" spans="1:31">
      <c r="A235">
        <v>234</v>
      </c>
      <c r="B235">
        <v>415000000</v>
      </c>
      <c r="C235">
        <v>100000000</v>
      </c>
      <c r="D235">
        <v>100000000</v>
      </c>
      <c r="E235">
        <v>100000000</v>
      </c>
      <c r="F235">
        <v>100000000</v>
      </c>
      <c r="G235">
        <v>1000000</v>
      </c>
      <c r="H235">
        <v>1</v>
      </c>
      <c r="I235">
        <v>1</v>
      </c>
      <c r="J235">
        <v>1</v>
      </c>
      <c r="K235">
        <f t="shared" si="7"/>
        <v>4.1499999999999998E+46</v>
      </c>
      <c r="L235" t="e">
        <f>MATCH(K235, 보스체력!#REF!, 1)</f>
        <v>#REF!</v>
      </c>
      <c r="AC235">
        <v>234</v>
      </c>
      <c r="AD235">
        <f t="shared" si="8"/>
        <v>47</v>
      </c>
      <c r="AE235" cm="1">
        <f t="array" ref="AE235">INDEX(X:X, AD235+1)*AC235</f>
        <v>1099800</v>
      </c>
    </row>
    <row r="236" spans="1:31">
      <c r="A236">
        <v>235</v>
      </c>
      <c r="B236">
        <v>505000000</v>
      </c>
      <c r="C236">
        <v>100000000</v>
      </c>
      <c r="D236">
        <v>100000000</v>
      </c>
      <c r="E236">
        <v>100000000</v>
      </c>
      <c r="F236">
        <v>100000000</v>
      </c>
      <c r="G236">
        <v>1000000</v>
      </c>
      <c r="H236">
        <v>1</v>
      </c>
      <c r="I236">
        <v>1</v>
      </c>
      <c r="J236">
        <v>1</v>
      </c>
      <c r="K236">
        <f t="shared" si="7"/>
        <v>5.05E+46</v>
      </c>
      <c r="L236" t="e">
        <f>MATCH(K236, 보스체력!#REF!, 1)</f>
        <v>#REF!</v>
      </c>
      <c r="AC236">
        <v>235</v>
      </c>
      <c r="AD236">
        <f t="shared" si="8"/>
        <v>48</v>
      </c>
      <c r="AE236" cm="1">
        <f t="array" ref="AE236">INDEX(X:X, AD236+1)*AC236</f>
        <v>1128000</v>
      </c>
    </row>
    <row r="237" spans="1:31">
      <c r="A237">
        <v>236</v>
      </c>
      <c r="B237">
        <v>595000000</v>
      </c>
      <c r="C237">
        <v>100000000</v>
      </c>
      <c r="D237">
        <v>100000000</v>
      </c>
      <c r="E237">
        <v>100000000</v>
      </c>
      <c r="F237">
        <v>100000000</v>
      </c>
      <c r="G237">
        <v>1000000</v>
      </c>
      <c r="H237">
        <v>1</v>
      </c>
      <c r="I237">
        <v>1</v>
      </c>
      <c r="J237">
        <v>1</v>
      </c>
      <c r="K237">
        <f t="shared" si="7"/>
        <v>5.9499999999999997E+46</v>
      </c>
      <c r="L237" t="e">
        <f>MATCH(K237, 보스체력!#REF!, 1)</f>
        <v>#REF!</v>
      </c>
      <c r="AC237">
        <v>236</v>
      </c>
      <c r="AD237">
        <f t="shared" si="8"/>
        <v>48</v>
      </c>
      <c r="AE237" cm="1">
        <f t="array" ref="AE237">INDEX(X:X, AD237+1)*AC237</f>
        <v>1132800</v>
      </c>
    </row>
    <row r="238" spans="1:31">
      <c r="A238">
        <v>237</v>
      </c>
      <c r="B238">
        <v>685000000</v>
      </c>
      <c r="C238">
        <v>100000000</v>
      </c>
      <c r="D238">
        <v>100000000</v>
      </c>
      <c r="E238">
        <v>100000000</v>
      </c>
      <c r="F238">
        <v>100000000</v>
      </c>
      <c r="G238">
        <v>1000000</v>
      </c>
      <c r="H238">
        <v>1</v>
      </c>
      <c r="I238">
        <v>1</v>
      </c>
      <c r="J238">
        <v>1</v>
      </c>
      <c r="K238">
        <f t="shared" si="7"/>
        <v>6.8499999999999994E+46</v>
      </c>
      <c r="L238" t="e">
        <f>MATCH(K238, 보스체력!#REF!, 1)</f>
        <v>#REF!</v>
      </c>
      <c r="AC238">
        <v>237</v>
      </c>
      <c r="AD238">
        <f t="shared" si="8"/>
        <v>48</v>
      </c>
      <c r="AE238" cm="1">
        <f t="array" ref="AE238">INDEX(X:X, AD238+1)*AC238</f>
        <v>1137600</v>
      </c>
    </row>
    <row r="239" spans="1:31">
      <c r="A239">
        <v>238</v>
      </c>
      <c r="B239">
        <v>775000000</v>
      </c>
      <c r="C239">
        <v>100000000</v>
      </c>
      <c r="D239">
        <v>100000000</v>
      </c>
      <c r="E239">
        <v>100000000</v>
      </c>
      <c r="F239">
        <v>100000000</v>
      </c>
      <c r="G239">
        <v>1000000</v>
      </c>
      <c r="H239">
        <v>1</v>
      </c>
      <c r="I239">
        <v>1</v>
      </c>
      <c r="J239">
        <v>1</v>
      </c>
      <c r="K239">
        <f t="shared" si="7"/>
        <v>7.7500000000000001E+46</v>
      </c>
      <c r="L239" t="e">
        <f>MATCH(K239, 보스체력!#REF!, 1)</f>
        <v>#REF!</v>
      </c>
      <c r="AC239">
        <v>238</v>
      </c>
      <c r="AD239">
        <f t="shared" si="8"/>
        <v>48</v>
      </c>
      <c r="AE239" cm="1">
        <f t="array" ref="AE239">INDEX(X:X, AD239+1)*AC239</f>
        <v>1142400</v>
      </c>
    </row>
    <row r="240" spans="1:31">
      <c r="A240">
        <v>239</v>
      </c>
      <c r="B240">
        <v>865000000</v>
      </c>
      <c r="C240">
        <v>100000000</v>
      </c>
      <c r="D240">
        <v>100000000</v>
      </c>
      <c r="E240">
        <v>100000000</v>
      </c>
      <c r="F240">
        <v>100000000</v>
      </c>
      <c r="G240">
        <v>1000000</v>
      </c>
      <c r="H240">
        <v>1</v>
      </c>
      <c r="I240">
        <v>1</v>
      </c>
      <c r="J240">
        <v>1</v>
      </c>
      <c r="K240">
        <f t="shared" si="7"/>
        <v>8.6499999999999999E+46</v>
      </c>
      <c r="L240" t="e">
        <f>MATCH(K240, 보스체력!#REF!, 1)</f>
        <v>#REF!</v>
      </c>
      <c r="AC240">
        <v>239</v>
      </c>
      <c r="AD240">
        <f t="shared" si="8"/>
        <v>48</v>
      </c>
      <c r="AE240" cm="1">
        <f t="array" ref="AE240">INDEX(X:X, AD240+1)*AC240</f>
        <v>1147200</v>
      </c>
    </row>
    <row r="241" spans="1:31">
      <c r="A241">
        <v>240</v>
      </c>
      <c r="B241">
        <v>955000000</v>
      </c>
      <c r="C241">
        <v>100000000</v>
      </c>
      <c r="D241">
        <v>100000000</v>
      </c>
      <c r="E241">
        <v>100000000</v>
      </c>
      <c r="F241">
        <v>100000000</v>
      </c>
      <c r="G241">
        <v>1000000</v>
      </c>
      <c r="H241">
        <v>1</v>
      </c>
      <c r="I241">
        <v>1</v>
      </c>
      <c r="J241">
        <v>1</v>
      </c>
      <c r="K241">
        <f t="shared" si="7"/>
        <v>9.5499999999999996E+46</v>
      </c>
      <c r="L241" t="e">
        <f>MATCH(K241, 보스체력!#REF!, 1)</f>
        <v>#REF!</v>
      </c>
      <c r="AC241">
        <v>240</v>
      </c>
      <c r="AD241">
        <f t="shared" si="8"/>
        <v>49</v>
      </c>
      <c r="AE241" cm="1">
        <f t="array" ref="AE241">INDEX(X:X, AD241+1)*AC241</f>
        <v>1176000</v>
      </c>
    </row>
    <row r="242" spans="1:31">
      <c r="A242">
        <v>241</v>
      </c>
      <c r="B242">
        <v>145000000</v>
      </c>
      <c r="C242">
        <v>100000000</v>
      </c>
      <c r="D242">
        <v>100000000</v>
      </c>
      <c r="E242">
        <v>100000000</v>
      </c>
      <c r="F242">
        <v>100000000</v>
      </c>
      <c r="G242">
        <v>10000000</v>
      </c>
      <c r="H242">
        <v>1</v>
      </c>
      <c r="I242">
        <v>1</v>
      </c>
      <c r="J242">
        <v>1</v>
      </c>
      <c r="K242">
        <f t="shared" si="7"/>
        <v>1.4499999999999999E+47</v>
      </c>
      <c r="L242" t="e">
        <f>MATCH(K242, 보스체력!#REF!, 1)</f>
        <v>#REF!</v>
      </c>
      <c r="AC242">
        <v>241</v>
      </c>
      <c r="AD242">
        <f t="shared" si="8"/>
        <v>49</v>
      </c>
      <c r="AE242" cm="1">
        <f t="array" ref="AE242">INDEX(X:X, AD242+1)*AC242</f>
        <v>1180900</v>
      </c>
    </row>
    <row r="243" spans="1:31">
      <c r="A243">
        <v>242</v>
      </c>
      <c r="B243">
        <v>235000000</v>
      </c>
      <c r="C243">
        <v>100000000</v>
      </c>
      <c r="D243">
        <v>100000000</v>
      </c>
      <c r="E243">
        <v>100000000</v>
      </c>
      <c r="F243">
        <v>100000000</v>
      </c>
      <c r="G243">
        <v>10000000</v>
      </c>
      <c r="H243">
        <v>1</v>
      </c>
      <c r="I243">
        <v>1</v>
      </c>
      <c r="J243">
        <v>1</v>
      </c>
      <c r="K243">
        <f t="shared" si="7"/>
        <v>2.3499999999999998E+47</v>
      </c>
      <c r="L243" t="e">
        <f>MATCH(K243, 보스체력!#REF!, 1)</f>
        <v>#REF!</v>
      </c>
      <c r="AC243">
        <v>242</v>
      </c>
      <c r="AD243">
        <f t="shared" si="8"/>
        <v>49</v>
      </c>
      <c r="AE243" cm="1">
        <f t="array" ref="AE243">INDEX(X:X, AD243+1)*AC243</f>
        <v>1185800</v>
      </c>
    </row>
    <row r="244" spans="1:31">
      <c r="A244">
        <v>243</v>
      </c>
      <c r="B244">
        <v>325000000</v>
      </c>
      <c r="C244">
        <v>100000000</v>
      </c>
      <c r="D244">
        <v>100000000</v>
      </c>
      <c r="E244">
        <v>100000000</v>
      </c>
      <c r="F244">
        <v>100000000</v>
      </c>
      <c r="G244">
        <v>10000000</v>
      </c>
      <c r="H244">
        <v>1</v>
      </c>
      <c r="I244">
        <v>1</v>
      </c>
      <c r="J244">
        <v>1</v>
      </c>
      <c r="K244">
        <f t="shared" si="7"/>
        <v>3.2499999999999999E+47</v>
      </c>
      <c r="L244" t="e">
        <f>MATCH(K244, 보스체력!#REF!, 1)</f>
        <v>#REF!</v>
      </c>
      <c r="AC244">
        <v>243</v>
      </c>
      <c r="AD244">
        <f t="shared" si="8"/>
        <v>49</v>
      </c>
      <c r="AE244" cm="1">
        <f t="array" ref="AE244">INDEX(X:X, AD244+1)*AC244</f>
        <v>1190700</v>
      </c>
    </row>
    <row r="245" spans="1:31">
      <c r="A245">
        <v>244</v>
      </c>
      <c r="B245">
        <v>415000000</v>
      </c>
      <c r="C245">
        <v>100000000</v>
      </c>
      <c r="D245">
        <v>100000000</v>
      </c>
      <c r="E245">
        <v>100000000</v>
      </c>
      <c r="F245">
        <v>100000000</v>
      </c>
      <c r="G245">
        <v>10000000</v>
      </c>
      <c r="H245">
        <v>1</v>
      </c>
      <c r="I245">
        <v>1</v>
      </c>
      <c r="J245">
        <v>1</v>
      </c>
      <c r="K245">
        <f t="shared" si="7"/>
        <v>4.1499999999999997E+47</v>
      </c>
      <c r="L245" t="e">
        <f>MATCH(K245, 보스체력!#REF!, 1)</f>
        <v>#REF!</v>
      </c>
      <c r="AC245">
        <v>244</v>
      </c>
      <c r="AD245">
        <f t="shared" si="8"/>
        <v>49</v>
      </c>
      <c r="AE245" cm="1">
        <f t="array" ref="AE245">INDEX(X:X, AD245+1)*AC245</f>
        <v>1195600</v>
      </c>
    </row>
    <row r="246" spans="1:31">
      <c r="A246">
        <v>245</v>
      </c>
      <c r="B246">
        <v>505000000</v>
      </c>
      <c r="C246">
        <v>100000000</v>
      </c>
      <c r="D246">
        <v>100000000</v>
      </c>
      <c r="E246">
        <v>100000000</v>
      </c>
      <c r="F246">
        <v>100000000</v>
      </c>
      <c r="G246">
        <v>10000000</v>
      </c>
      <c r="H246">
        <v>1</v>
      </c>
      <c r="I246">
        <v>1</v>
      </c>
      <c r="J246">
        <v>1</v>
      </c>
      <c r="K246">
        <f t="shared" si="7"/>
        <v>5.0499999999999998E+47</v>
      </c>
      <c r="L246" t="e">
        <f>MATCH(K246, 보스체력!#REF!, 1)</f>
        <v>#REF!</v>
      </c>
      <c r="AC246">
        <v>245</v>
      </c>
      <c r="AD246">
        <f t="shared" si="8"/>
        <v>50</v>
      </c>
      <c r="AE246" cm="1">
        <f t="array" ref="AE246">INDEX(X:X, AD246+1)*AC246</f>
        <v>1225000</v>
      </c>
    </row>
    <row r="247" spans="1:31">
      <c r="A247">
        <v>246</v>
      </c>
      <c r="B247">
        <v>595000000</v>
      </c>
      <c r="C247">
        <v>100000000</v>
      </c>
      <c r="D247">
        <v>100000000</v>
      </c>
      <c r="E247">
        <v>100000000</v>
      </c>
      <c r="F247">
        <v>100000000</v>
      </c>
      <c r="G247">
        <v>10000000</v>
      </c>
      <c r="H247">
        <v>1</v>
      </c>
      <c r="I247">
        <v>1</v>
      </c>
      <c r="J247">
        <v>1</v>
      </c>
      <c r="K247">
        <f t="shared" si="7"/>
        <v>5.9499999999999999E+47</v>
      </c>
      <c r="L247" t="e">
        <f>MATCH(K247, 보스체력!#REF!, 1)</f>
        <v>#REF!</v>
      </c>
      <c r="AC247">
        <v>246</v>
      </c>
      <c r="AD247">
        <f t="shared" si="8"/>
        <v>50</v>
      </c>
      <c r="AE247" cm="1">
        <f t="array" ref="AE247">INDEX(X:X, AD247+1)*AC247</f>
        <v>1230000</v>
      </c>
    </row>
    <row r="248" spans="1:31">
      <c r="A248">
        <v>247</v>
      </c>
      <c r="B248">
        <v>685000000</v>
      </c>
      <c r="C248">
        <v>100000000</v>
      </c>
      <c r="D248">
        <v>100000000</v>
      </c>
      <c r="E248">
        <v>100000000</v>
      </c>
      <c r="F248">
        <v>100000000</v>
      </c>
      <c r="G248">
        <v>10000000</v>
      </c>
      <c r="H248">
        <v>1</v>
      </c>
      <c r="I248">
        <v>1</v>
      </c>
      <c r="J248">
        <v>1</v>
      </c>
      <c r="K248">
        <f t="shared" si="7"/>
        <v>6.8499999999999992E+47</v>
      </c>
      <c r="L248" t="e">
        <f>MATCH(K248, 보스체력!#REF!, 1)</f>
        <v>#REF!</v>
      </c>
      <c r="AC248">
        <v>247</v>
      </c>
      <c r="AD248">
        <f t="shared" si="8"/>
        <v>50</v>
      </c>
      <c r="AE248" cm="1">
        <f t="array" ref="AE248">INDEX(X:X, AD248+1)*AC248</f>
        <v>1235000</v>
      </c>
    </row>
    <row r="249" spans="1:31">
      <c r="A249">
        <v>248</v>
      </c>
      <c r="B249">
        <v>775000000</v>
      </c>
      <c r="C249">
        <v>100000000</v>
      </c>
      <c r="D249">
        <v>100000000</v>
      </c>
      <c r="E249">
        <v>100000000</v>
      </c>
      <c r="F249">
        <v>100000000</v>
      </c>
      <c r="G249">
        <v>10000000</v>
      </c>
      <c r="H249">
        <v>1</v>
      </c>
      <c r="I249">
        <v>1</v>
      </c>
      <c r="J249">
        <v>1</v>
      </c>
      <c r="K249">
        <f t="shared" si="7"/>
        <v>7.7500000000000001E+47</v>
      </c>
      <c r="L249" t="e">
        <f>MATCH(K249, 보스체력!#REF!, 1)</f>
        <v>#REF!</v>
      </c>
      <c r="AC249">
        <v>248</v>
      </c>
      <c r="AD249">
        <f t="shared" si="8"/>
        <v>50</v>
      </c>
      <c r="AE249" cm="1">
        <f t="array" ref="AE249">INDEX(X:X, AD249+1)*AC249</f>
        <v>1240000</v>
      </c>
    </row>
    <row r="250" spans="1:31">
      <c r="A250">
        <v>249</v>
      </c>
      <c r="B250">
        <v>865000000</v>
      </c>
      <c r="C250">
        <v>100000000</v>
      </c>
      <c r="D250">
        <v>100000000</v>
      </c>
      <c r="E250">
        <v>100000000</v>
      </c>
      <c r="F250">
        <v>100000000</v>
      </c>
      <c r="G250">
        <v>10000000</v>
      </c>
      <c r="H250">
        <v>1</v>
      </c>
      <c r="I250">
        <v>1</v>
      </c>
      <c r="J250">
        <v>1</v>
      </c>
      <c r="K250">
        <f t="shared" si="7"/>
        <v>8.6500000000000003E+47</v>
      </c>
      <c r="L250" t="e">
        <f>MATCH(K250, 보스체력!#REF!, 1)</f>
        <v>#REF!</v>
      </c>
      <c r="AC250">
        <v>249</v>
      </c>
      <c r="AD250">
        <f t="shared" si="8"/>
        <v>50</v>
      </c>
      <c r="AE250" cm="1">
        <f t="array" ref="AE250">INDEX(X:X, AD250+1)*AC250</f>
        <v>1245000</v>
      </c>
    </row>
    <row r="251" spans="1:31">
      <c r="A251">
        <v>250</v>
      </c>
      <c r="B251">
        <v>955000000</v>
      </c>
      <c r="C251">
        <v>100000000</v>
      </c>
      <c r="D251">
        <v>100000000</v>
      </c>
      <c r="E251">
        <v>100000000</v>
      </c>
      <c r="F251">
        <v>100000000</v>
      </c>
      <c r="G251">
        <v>10000000</v>
      </c>
      <c r="H251">
        <v>1</v>
      </c>
      <c r="I251">
        <v>1</v>
      </c>
      <c r="J251">
        <v>1</v>
      </c>
      <c r="K251">
        <f t="shared" si="7"/>
        <v>9.5499999999999988E+47</v>
      </c>
      <c r="L251" t="e">
        <f>MATCH(K251, 보스체력!#REF!, 1)</f>
        <v>#REF!</v>
      </c>
      <c r="AC251">
        <v>250</v>
      </c>
      <c r="AD251">
        <f t="shared" si="8"/>
        <v>51</v>
      </c>
      <c r="AE251" cm="1">
        <f t="array" ref="AE251">INDEX(X:X, AD251+1)*AC251</f>
        <v>1275000</v>
      </c>
    </row>
    <row r="252" spans="1:31">
      <c r="A252">
        <v>251</v>
      </c>
      <c r="B252">
        <v>145000000</v>
      </c>
      <c r="C252">
        <v>100000000</v>
      </c>
      <c r="D252">
        <v>100000000</v>
      </c>
      <c r="E252">
        <v>100000000</v>
      </c>
      <c r="F252">
        <v>100000000</v>
      </c>
      <c r="G252">
        <v>100000000</v>
      </c>
      <c r="H252">
        <v>1</v>
      </c>
      <c r="I252">
        <v>1</v>
      </c>
      <c r="J252">
        <v>1</v>
      </c>
      <c r="K252">
        <f t="shared" si="7"/>
        <v>1.4500000000000001E+48</v>
      </c>
      <c r="L252" t="e">
        <f>MATCH(K252, 보스체력!#REF!, 1)</f>
        <v>#REF!</v>
      </c>
      <c r="AC252">
        <v>251</v>
      </c>
      <c r="AD252">
        <f t="shared" si="8"/>
        <v>51</v>
      </c>
      <c r="AE252" cm="1">
        <f t="array" ref="AE252">INDEX(X:X, AD252+1)*AC252</f>
        <v>1280100</v>
      </c>
    </row>
    <row r="253" spans="1:31">
      <c r="A253">
        <v>252</v>
      </c>
      <c r="B253">
        <v>235000000</v>
      </c>
      <c r="C253">
        <v>100000000</v>
      </c>
      <c r="D253">
        <v>100000000</v>
      </c>
      <c r="E253">
        <v>100000000</v>
      </c>
      <c r="F253">
        <v>100000000</v>
      </c>
      <c r="G253">
        <v>100000000</v>
      </c>
      <c r="H253">
        <v>1</v>
      </c>
      <c r="I253">
        <v>1</v>
      </c>
      <c r="J253">
        <v>1</v>
      </c>
      <c r="K253">
        <f t="shared" si="7"/>
        <v>2.3500000000000001E+48</v>
      </c>
      <c r="L253" t="e">
        <f>MATCH(K253, 보스체력!#REF!, 1)</f>
        <v>#REF!</v>
      </c>
      <c r="AC253">
        <v>252</v>
      </c>
      <c r="AD253">
        <f t="shared" si="8"/>
        <v>51</v>
      </c>
      <c r="AE253" cm="1">
        <f t="array" ref="AE253">INDEX(X:X, AD253+1)*AC253</f>
        <v>1285200</v>
      </c>
    </row>
    <row r="254" spans="1:31">
      <c r="A254">
        <v>253</v>
      </c>
      <c r="B254">
        <v>325000000</v>
      </c>
      <c r="C254">
        <v>100000000</v>
      </c>
      <c r="D254">
        <v>100000000</v>
      </c>
      <c r="E254">
        <v>100000000</v>
      </c>
      <c r="F254">
        <v>100000000</v>
      </c>
      <c r="G254">
        <v>100000000</v>
      </c>
      <c r="H254">
        <v>1</v>
      </c>
      <c r="I254">
        <v>1</v>
      </c>
      <c r="J254">
        <v>1</v>
      </c>
      <c r="K254">
        <f t="shared" si="7"/>
        <v>3.2499999999999999E+48</v>
      </c>
      <c r="L254" t="e">
        <f>MATCH(K254, 보스체력!#REF!, 1)</f>
        <v>#REF!</v>
      </c>
      <c r="AC254">
        <v>253</v>
      </c>
      <c r="AD254">
        <f t="shared" si="8"/>
        <v>51</v>
      </c>
      <c r="AE254" cm="1">
        <f t="array" ref="AE254">INDEX(X:X, AD254+1)*AC254</f>
        <v>1290300</v>
      </c>
    </row>
    <row r="255" spans="1:31">
      <c r="A255">
        <v>254</v>
      </c>
      <c r="B255">
        <v>415000000</v>
      </c>
      <c r="C255">
        <v>100000000</v>
      </c>
      <c r="D255">
        <v>100000000</v>
      </c>
      <c r="E255">
        <v>100000000</v>
      </c>
      <c r="F255">
        <v>100000000</v>
      </c>
      <c r="G255">
        <v>100000000</v>
      </c>
      <c r="H255">
        <v>1</v>
      </c>
      <c r="I255">
        <v>1</v>
      </c>
      <c r="J255">
        <v>1</v>
      </c>
      <c r="K255">
        <f t="shared" si="7"/>
        <v>4.15E+48</v>
      </c>
      <c r="L255" t="e">
        <f>MATCH(K255, 보스체력!#REF!, 1)</f>
        <v>#REF!</v>
      </c>
      <c r="AC255">
        <v>254</v>
      </c>
      <c r="AD255">
        <f t="shared" si="8"/>
        <v>51</v>
      </c>
      <c r="AE255" cm="1">
        <f t="array" ref="AE255">INDEX(X:X, AD255+1)*AC255</f>
        <v>1295400</v>
      </c>
    </row>
    <row r="256" spans="1:31">
      <c r="A256">
        <v>255</v>
      </c>
      <c r="B256">
        <v>505000000</v>
      </c>
      <c r="C256">
        <v>100000000</v>
      </c>
      <c r="D256">
        <v>100000000</v>
      </c>
      <c r="E256">
        <v>100000000</v>
      </c>
      <c r="F256">
        <v>100000000</v>
      </c>
      <c r="G256">
        <v>100000000</v>
      </c>
      <c r="H256">
        <v>1</v>
      </c>
      <c r="I256">
        <v>1</v>
      </c>
      <c r="J256">
        <v>1</v>
      </c>
      <c r="K256">
        <f t="shared" si="7"/>
        <v>5.0500000000000001E+48</v>
      </c>
      <c r="L256" t="e">
        <f>MATCH(K256, 보스체력!#REF!, 1)</f>
        <v>#REF!</v>
      </c>
      <c r="AC256">
        <v>255</v>
      </c>
      <c r="AD256">
        <f t="shared" si="8"/>
        <v>52</v>
      </c>
      <c r="AE256" cm="1">
        <f t="array" ref="AE256">INDEX(X:X, AD256+1)*AC256</f>
        <v>1326000</v>
      </c>
    </row>
    <row r="257" spans="1:31">
      <c r="A257">
        <v>256</v>
      </c>
      <c r="B257">
        <v>595000000</v>
      </c>
      <c r="C257">
        <v>100000000</v>
      </c>
      <c r="D257">
        <v>100000000</v>
      </c>
      <c r="E257">
        <v>100000000</v>
      </c>
      <c r="F257">
        <v>100000000</v>
      </c>
      <c r="G257">
        <v>100000000</v>
      </c>
      <c r="H257">
        <v>1</v>
      </c>
      <c r="I257">
        <v>1</v>
      </c>
      <c r="J257">
        <v>1</v>
      </c>
      <c r="K257">
        <f t="shared" si="7"/>
        <v>5.9499999999999996E+48</v>
      </c>
      <c r="L257" t="e">
        <f>MATCH(K257, 보스체력!#REF!, 1)</f>
        <v>#REF!</v>
      </c>
      <c r="AC257">
        <v>256</v>
      </c>
      <c r="AD257">
        <f t="shared" si="8"/>
        <v>52</v>
      </c>
      <c r="AE257" cm="1">
        <f t="array" ref="AE257">INDEX(X:X, AD257+1)*AC257</f>
        <v>1331200</v>
      </c>
    </row>
    <row r="258" spans="1:31">
      <c r="A258">
        <v>257</v>
      </c>
      <c r="B258">
        <v>685000000</v>
      </c>
      <c r="C258">
        <v>100000000</v>
      </c>
      <c r="D258">
        <v>100000000</v>
      </c>
      <c r="E258">
        <v>100000000</v>
      </c>
      <c r="F258">
        <v>100000000</v>
      </c>
      <c r="G258">
        <v>100000000</v>
      </c>
      <c r="H258">
        <v>1</v>
      </c>
      <c r="I258">
        <v>1</v>
      </c>
      <c r="J258">
        <v>1</v>
      </c>
      <c r="K258">
        <f t="shared" si="7"/>
        <v>6.8499999999999997E+48</v>
      </c>
      <c r="L258" t="e">
        <f>MATCH(K258, 보스체력!#REF!, 1)</f>
        <v>#REF!</v>
      </c>
      <c r="AC258">
        <v>257</v>
      </c>
      <c r="AD258">
        <f t="shared" si="8"/>
        <v>52</v>
      </c>
      <c r="AE258" cm="1">
        <f t="array" ref="AE258">INDEX(X:X, AD258+1)*AC258</f>
        <v>1336400</v>
      </c>
    </row>
    <row r="259" spans="1:31">
      <c r="A259">
        <v>258</v>
      </c>
      <c r="B259">
        <v>775000000</v>
      </c>
      <c r="C259">
        <v>100000000</v>
      </c>
      <c r="D259">
        <v>100000000</v>
      </c>
      <c r="E259">
        <v>100000000</v>
      </c>
      <c r="F259">
        <v>100000000</v>
      </c>
      <c r="G259">
        <v>100000000</v>
      </c>
      <c r="H259">
        <v>1</v>
      </c>
      <c r="I259">
        <v>1</v>
      </c>
      <c r="J259">
        <v>1</v>
      </c>
      <c r="K259">
        <f t="shared" ref="K259:K322" si="9">J259*I259*H259*G259*F259*E259*D259*C259*B259</f>
        <v>7.7499999999999998E+48</v>
      </c>
      <c r="L259" t="e">
        <f>MATCH(K259, 보스체력!#REF!, 1)</f>
        <v>#REF!</v>
      </c>
      <c r="AC259">
        <v>258</v>
      </c>
      <c r="AD259">
        <f t="shared" ref="AD259:AD322" si="10">INT(AC259/5)+1</f>
        <v>52</v>
      </c>
      <c r="AE259" cm="1">
        <f t="array" ref="AE259">INDEX(X:X, AD259+1)*AC259</f>
        <v>1341600</v>
      </c>
    </row>
    <row r="260" spans="1:31">
      <c r="A260">
        <v>259</v>
      </c>
      <c r="B260">
        <v>865000000</v>
      </c>
      <c r="C260">
        <v>100000000</v>
      </c>
      <c r="D260">
        <v>100000000</v>
      </c>
      <c r="E260">
        <v>100000000</v>
      </c>
      <c r="F260">
        <v>100000000</v>
      </c>
      <c r="G260">
        <v>100000000</v>
      </c>
      <c r="H260">
        <v>1</v>
      </c>
      <c r="I260">
        <v>1</v>
      </c>
      <c r="J260">
        <v>1</v>
      </c>
      <c r="K260">
        <f t="shared" si="9"/>
        <v>8.6499999999999999E+48</v>
      </c>
      <c r="L260" t="e">
        <f>MATCH(K260, 보스체력!#REF!, 1)</f>
        <v>#REF!</v>
      </c>
      <c r="AC260">
        <v>259</v>
      </c>
      <c r="AD260">
        <f t="shared" si="10"/>
        <v>52</v>
      </c>
      <c r="AE260" cm="1">
        <f t="array" ref="AE260">INDEX(X:X, AD260+1)*AC260</f>
        <v>1346800</v>
      </c>
    </row>
    <row r="261" spans="1:31">
      <c r="A261">
        <v>260</v>
      </c>
      <c r="B261">
        <v>955000000</v>
      </c>
      <c r="C261">
        <v>100000000</v>
      </c>
      <c r="D261">
        <v>100000000</v>
      </c>
      <c r="E261">
        <v>100000000</v>
      </c>
      <c r="F261">
        <v>100000000</v>
      </c>
      <c r="G261">
        <v>100000000</v>
      </c>
      <c r="H261">
        <v>1</v>
      </c>
      <c r="I261">
        <v>1</v>
      </c>
      <c r="J261">
        <v>1</v>
      </c>
      <c r="K261">
        <f t="shared" si="9"/>
        <v>9.5500000000000001E+48</v>
      </c>
      <c r="L261" t="e">
        <f>MATCH(K261, 보스체력!#REF!, 1)</f>
        <v>#REF!</v>
      </c>
      <c r="AC261">
        <v>260</v>
      </c>
      <c r="AD261">
        <f t="shared" si="10"/>
        <v>53</v>
      </c>
      <c r="AE261" cm="1">
        <f t="array" ref="AE261">INDEX(X:X, AD261+1)*AC261</f>
        <v>1378000</v>
      </c>
    </row>
    <row r="262" spans="1:31">
      <c r="A262">
        <v>261</v>
      </c>
      <c r="B262">
        <v>145000000</v>
      </c>
      <c r="C262">
        <v>100000000</v>
      </c>
      <c r="D262">
        <v>100000000</v>
      </c>
      <c r="E262">
        <v>100000000</v>
      </c>
      <c r="F262">
        <v>100000000</v>
      </c>
      <c r="G262">
        <v>100000000</v>
      </c>
      <c r="H262">
        <v>10</v>
      </c>
      <c r="I262">
        <v>1</v>
      </c>
      <c r="J262">
        <v>1</v>
      </c>
      <c r="K262">
        <f t="shared" si="9"/>
        <v>1.45E+49</v>
      </c>
      <c r="L262" t="e">
        <f>MATCH(K262, 보스체력!#REF!, 1)</f>
        <v>#REF!</v>
      </c>
      <c r="AC262">
        <v>261</v>
      </c>
      <c r="AD262">
        <f t="shared" si="10"/>
        <v>53</v>
      </c>
      <c r="AE262" cm="1">
        <f t="array" ref="AE262">INDEX(X:X, AD262+1)*AC262</f>
        <v>1383300</v>
      </c>
    </row>
    <row r="263" spans="1:31">
      <c r="A263">
        <v>262</v>
      </c>
      <c r="B263">
        <v>235000000</v>
      </c>
      <c r="C263">
        <v>100000000</v>
      </c>
      <c r="D263">
        <v>100000000</v>
      </c>
      <c r="E263">
        <v>100000000</v>
      </c>
      <c r="F263">
        <v>100000000</v>
      </c>
      <c r="G263">
        <v>100000000</v>
      </c>
      <c r="H263">
        <v>10</v>
      </c>
      <c r="I263">
        <v>1</v>
      </c>
      <c r="J263">
        <v>1</v>
      </c>
      <c r="K263">
        <f t="shared" si="9"/>
        <v>2.3499999999999999E+49</v>
      </c>
      <c r="L263" t="e">
        <f>MATCH(K263, 보스체력!#REF!, 1)</f>
        <v>#REF!</v>
      </c>
      <c r="AC263">
        <v>262</v>
      </c>
      <c r="AD263">
        <f t="shared" si="10"/>
        <v>53</v>
      </c>
      <c r="AE263" cm="1">
        <f t="array" ref="AE263">INDEX(X:X, AD263+1)*AC263</f>
        <v>1388600</v>
      </c>
    </row>
    <row r="264" spans="1:31">
      <c r="A264">
        <v>263</v>
      </c>
      <c r="B264">
        <v>325000000</v>
      </c>
      <c r="C264">
        <v>100000000</v>
      </c>
      <c r="D264">
        <v>100000000</v>
      </c>
      <c r="E264">
        <v>100000000</v>
      </c>
      <c r="F264">
        <v>100000000</v>
      </c>
      <c r="G264">
        <v>100000000</v>
      </c>
      <c r="H264">
        <v>10</v>
      </c>
      <c r="I264">
        <v>1</v>
      </c>
      <c r="J264">
        <v>1</v>
      </c>
      <c r="K264">
        <f t="shared" si="9"/>
        <v>3.2500000000000002E+49</v>
      </c>
      <c r="L264" t="e">
        <f>MATCH(K264, 보스체력!#REF!, 1)</f>
        <v>#REF!</v>
      </c>
      <c r="AC264">
        <v>263</v>
      </c>
      <c r="AD264">
        <f t="shared" si="10"/>
        <v>53</v>
      </c>
      <c r="AE264" cm="1">
        <f t="array" ref="AE264">INDEX(X:X, AD264+1)*AC264</f>
        <v>1393900</v>
      </c>
    </row>
    <row r="265" spans="1:31">
      <c r="A265">
        <v>264</v>
      </c>
      <c r="B265">
        <v>415000000</v>
      </c>
      <c r="C265">
        <v>100000000</v>
      </c>
      <c r="D265">
        <v>100000000</v>
      </c>
      <c r="E265">
        <v>100000000</v>
      </c>
      <c r="F265">
        <v>100000000</v>
      </c>
      <c r="G265">
        <v>100000000</v>
      </c>
      <c r="H265">
        <v>10</v>
      </c>
      <c r="I265">
        <v>1</v>
      </c>
      <c r="J265">
        <v>1</v>
      </c>
      <c r="K265">
        <f t="shared" si="9"/>
        <v>4.1500000000000001E+49</v>
      </c>
      <c r="L265" t="e">
        <f>MATCH(K265, 보스체력!#REF!, 1)</f>
        <v>#REF!</v>
      </c>
      <c r="AC265">
        <v>264</v>
      </c>
      <c r="AD265">
        <f t="shared" si="10"/>
        <v>53</v>
      </c>
      <c r="AE265" cm="1">
        <f t="array" ref="AE265">INDEX(X:X, AD265+1)*AC265</f>
        <v>1399200</v>
      </c>
    </row>
    <row r="266" spans="1:31">
      <c r="A266">
        <v>265</v>
      </c>
      <c r="B266">
        <v>505000000</v>
      </c>
      <c r="C266">
        <v>100000000</v>
      </c>
      <c r="D266">
        <v>100000000</v>
      </c>
      <c r="E266">
        <v>100000000</v>
      </c>
      <c r="F266">
        <v>100000000</v>
      </c>
      <c r="G266">
        <v>100000000</v>
      </c>
      <c r="H266">
        <v>10</v>
      </c>
      <c r="I266">
        <v>1</v>
      </c>
      <c r="J266">
        <v>1</v>
      </c>
      <c r="K266">
        <f t="shared" si="9"/>
        <v>5.0500000000000005E+49</v>
      </c>
      <c r="L266" t="e">
        <f>MATCH(K266, 보스체력!#REF!, 1)</f>
        <v>#REF!</v>
      </c>
      <c r="AC266">
        <v>265</v>
      </c>
      <c r="AD266">
        <f t="shared" si="10"/>
        <v>54</v>
      </c>
      <c r="AE266" cm="1">
        <f t="array" ref="AE266">INDEX(X:X, AD266+1)*AC266</f>
        <v>1431000</v>
      </c>
    </row>
    <row r="267" spans="1:31">
      <c r="A267">
        <v>266</v>
      </c>
      <c r="B267">
        <v>595000000</v>
      </c>
      <c r="C267">
        <v>100000000</v>
      </c>
      <c r="D267">
        <v>100000000</v>
      </c>
      <c r="E267">
        <v>100000000</v>
      </c>
      <c r="F267">
        <v>100000000</v>
      </c>
      <c r="G267">
        <v>100000000</v>
      </c>
      <c r="H267">
        <v>10</v>
      </c>
      <c r="I267">
        <v>1</v>
      </c>
      <c r="J267">
        <v>1</v>
      </c>
      <c r="K267">
        <f t="shared" si="9"/>
        <v>5.9500000000000004E+49</v>
      </c>
      <c r="L267" t="e">
        <f>MATCH(K267, 보스체력!#REF!, 1)</f>
        <v>#REF!</v>
      </c>
      <c r="AC267">
        <v>266</v>
      </c>
      <c r="AD267">
        <f t="shared" si="10"/>
        <v>54</v>
      </c>
      <c r="AE267" cm="1">
        <f t="array" ref="AE267">INDEX(X:X, AD267+1)*AC267</f>
        <v>1436400</v>
      </c>
    </row>
    <row r="268" spans="1:31">
      <c r="A268">
        <v>267</v>
      </c>
      <c r="B268">
        <v>685000000</v>
      </c>
      <c r="C268">
        <v>100000000</v>
      </c>
      <c r="D268">
        <v>100000000</v>
      </c>
      <c r="E268">
        <v>100000000</v>
      </c>
      <c r="F268">
        <v>100000000</v>
      </c>
      <c r="G268">
        <v>100000000</v>
      </c>
      <c r="H268">
        <v>10</v>
      </c>
      <c r="I268">
        <v>1</v>
      </c>
      <c r="J268">
        <v>1</v>
      </c>
      <c r="K268">
        <f t="shared" si="9"/>
        <v>6.8500000000000002E+49</v>
      </c>
      <c r="L268" t="e">
        <f>MATCH(K268, 보스체력!#REF!, 1)</f>
        <v>#REF!</v>
      </c>
      <c r="AC268">
        <v>267</v>
      </c>
      <c r="AD268">
        <f t="shared" si="10"/>
        <v>54</v>
      </c>
      <c r="AE268" cm="1">
        <f t="array" ref="AE268">INDEX(X:X, AD268+1)*AC268</f>
        <v>1441800</v>
      </c>
    </row>
    <row r="269" spans="1:31">
      <c r="A269">
        <v>268</v>
      </c>
      <c r="B269">
        <v>775000000</v>
      </c>
      <c r="C269">
        <v>100000000</v>
      </c>
      <c r="D269">
        <v>100000000</v>
      </c>
      <c r="E269">
        <v>100000000</v>
      </c>
      <c r="F269">
        <v>100000000</v>
      </c>
      <c r="G269">
        <v>100000000</v>
      </c>
      <c r="H269">
        <v>10</v>
      </c>
      <c r="I269">
        <v>1</v>
      </c>
      <c r="J269">
        <v>1</v>
      </c>
      <c r="K269">
        <f t="shared" si="9"/>
        <v>7.7500000000000001E+49</v>
      </c>
      <c r="L269" t="e">
        <f>MATCH(K269, 보스체력!#REF!, 1)</f>
        <v>#REF!</v>
      </c>
      <c r="AC269">
        <v>268</v>
      </c>
      <c r="AD269">
        <f t="shared" si="10"/>
        <v>54</v>
      </c>
      <c r="AE269" cm="1">
        <f t="array" ref="AE269">INDEX(X:X, AD269+1)*AC269</f>
        <v>1447200</v>
      </c>
    </row>
    <row r="270" spans="1:31">
      <c r="A270">
        <v>269</v>
      </c>
      <c r="B270">
        <v>865000000</v>
      </c>
      <c r="C270">
        <v>100000000</v>
      </c>
      <c r="D270">
        <v>100000000</v>
      </c>
      <c r="E270">
        <v>100000000</v>
      </c>
      <c r="F270">
        <v>100000000</v>
      </c>
      <c r="G270">
        <v>100000000</v>
      </c>
      <c r="H270">
        <v>10</v>
      </c>
      <c r="I270">
        <v>1</v>
      </c>
      <c r="J270">
        <v>1</v>
      </c>
      <c r="K270">
        <f t="shared" si="9"/>
        <v>8.6499999999999999E+49</v>
      </c>
      <c r="L270" t="e">
        <f>MATCH(K270, 보스체력!#REF!, 1)</f>
        <v>#REF!</v>
      </c>
      <c r="AC270">
        <v>269</v>
      </c>
      <c r="AD270">
        <f t="shared" si="10"/>
        <v>54</v>
      </c>
      <c r="AE270" cm="1">
        <f t="array" ref="AE270">INDEX(X:X, AD270+1)*AC270</f>
        <v>1452600</v>
      </c>
    </row>
    <row r="271" spans="1:31">
      <c r="A271">
        <v>270</v>
      </c>
      <c r="B271">
        <v>955000000</v>
      </c>
      <c r="C271">
        <v>100000000</v>
      </c>
      <c r="D271">
        <v>100000000</v>
      </c>
      <c r="E271">
        <v>100000000</v>
      </c>
      <c r="F271">
        <v>100000000</v>
      </c>
      <c r="G271">
        <v>100000000</v>
      </c>
      <c r="H271">
        <v>10</v>
      </c>
      <c r="I271">
        <v>1</v>
      </c>
      <c r="J271">
        <v>1</v>
      </c>
      <c r="K271">
        <f t="shared" si="9"/>
        <v>9.5500000000000008E+49</v>
      </c>
      <c r="L271" t="e">
        <f>MATCH(K271, 보스체력!#REF!, 1)</f>
        <v>#REF!</v>
      </c>
      <c r="AC271">
        <v>270</v>
      </c>
      <c r="AD271">
        <f t="shared" si="10"/>
        <v>55</v>
      </c>
      <c r="AE271" cm="1">
        <f t="array" ref="AE271">INDEX(X:X, AD271+1)*AC271</f>
        <v>1485000</v>
      </c>
    </row>
    <row r="272" spans="1:31">
      <c r="A272">
        <v>271</v>
      </c>
      <c r="B272">
        <v>145000000</v>
      </c>
      <c r="C272">
        <v>100000000</v>
      </c>
      <c r="D272">
        <v>100000000</v>
      </c>
      <c r="E272">
        <v>100000000</v>
      </c>
      <c r="F272">
        <v>100000000</v>
      </c>
      <c r="G272">
        <v>100000000</v>
      </c>
      <c r="H272">
        <v>100</v>
      </c>
      <c r="I272">
        <v>1</v>
      </c>
      <c r="J272">
        <v>1</v>
      </c>
      <c r="K272">
        <f t="shared" si="9"/>
        <v>1.45E+50</v>
      </c>
      <c r="L272" t="e">
        <f>MATCH(K272, 보스체력!#REF!, 1)</f>
        <v>#REF!</v>
      </c>
      <c r="AC272">
        <v>271</v>
      </c>
      <c r="AD272">
        <f t="shared" si="10"/>
        <v>55</v>
      </c>
      <c r="AE272" cm="1">
        <f t="array" ref="AE272">INDEX(X:X, AD272+1)*AC272</f>
        <v>1490500</v>
      </c>
    </row>
    <row r="273" spans="1:31">
      <c r="A273">
        <v>272</v>
      </c>
      <c r="B273">
        <v>235000000</v>
      </c>
      <c r="C273">
        <v>100000000</v>
      </c>
      <c r="D273">
        <v>100000000</v>
      </c>
      <c r="E273">
        <v>100000000</v>
      </c>
      <c r="F273">
        <v>100000000</v>
      </c>
      <c r="G273">
        <v>100000000</v>
      </c>
      <c r="H273">
        <v>100</v>
      </c>
      <c r="I273">
        <v>1</v>
      </c>
      <c r="J273">
        <v>1</v>
      </c>
      <c r="K273">
        <f t="shared" si="9"/>
        <v>2.3500000000000003E+50</v>
      </c>
      <c r="L273" t="e">
        <f>MATCH(K273, 보스체력!#REF!, 1)</f>
        <v>#REF!</v>
      </c>
      <c r="AC273">
        <v>272</v>
      </c>
      <c r="AD273">
        <f t="shared" si="10"/>
        <v>55</v>
      </c>
      <c r="AE273" cm="1">
        <f t="array" ref="AE273">INDEX(X:X, AD273+1)*AC273</f>
        <v>1496000</v>
      </c>
    </row>
    <row r="274" spans="1:31">
      <c r="A274">
        <v>273</v>
      </c>
      <c r="B274">
        <v>325000000</v>
      </c>
      <c r="C274">
        <v>100000000</v>
      </c>
      <c r="D274">
        <v>100000000</v>
      </c>
      <c r="E274">
        <v>100000000</v>
      </c>
      <c r="F274">
        <v>100000000</v>
      </c>
      <c r="G274">
        <v>100000000</v>
      </c>
      <c r="H274">
        <v>100</v>
      </c>
      <c r="I274">
        <v>1</v>
      </c>
      <c r="J274">
        <v>1</v>
      </c>
      <c r="K274">
        <f t="shared" si="9"/>
        <v>3.2500000000000001E+50</v>
      </c>
      <c r="L274" t="e">
        <f>MATCH(K274, 보스체력!#REF!, 1)</f>
        <v>#REF!</v>
      </c>
      <c r="AC274">
        <v>273</v>
      </c>
      <c r="AD274">
        <f t="shared" si="10"/>
        <v>55</v>
      </c>
      <c r="AE274" cm="1">
        <f t="array" ref="AE274">INDEX(X:X, AD274+1)*AC274</f>
        <v>1501500</v>
      </c>
    </row>
    <row r="275" spans="1:31">
      <c r="A275">
        <v>274</v>
      </c>
      <c r="B275">
        <v>415000000</v>
      </c>
      <c r="C275">
        <v>100000000</v>
      </c>
      <c r="D275">
        <v>100000000</v>
      </c>
      <c r="E275">
        <v>100000000</v>
      </c>
      <c r="F275">
        <v>100000000</v>
      </c>
      <c r="G275">
        <v>100000000</v>
      </c>
      <c r="H275">
        <v>100</v>
      </c>
      <c r="I275">
        <v>1</v>
      </c>
      <c r="J275">
        <v>1</v>
      </c>
      <c r="K275">
        <f t="shared" si="9"/>
        <v>4.15E+50</v>
      </c>
      <c r="L275" t="e">
        <f>MATCH(K275, 보스체력!#REF!, 1)</f>
        <v>#REF!</v>
      </c>
      <c r="AC275">
        <v>274</v>
      </c>
      <c r="AD275">
        <f t="shared" si="10"/>
        <v>55</v>
      </c>
      <c r="AE275" cm="1">
        <f t="array" ref="AE275">INDEX(X:X, AD275+1)*AC275</f>
        <v>1507000</v>
      </c>
    </row>
    <row r="276" spans="1:31">
      <c r="A276">
        <v>275</v>
      </c>
      <c r="B276">
        <v>505000000</v>
      </c>
      <c r="C276">
        <v>100000000</v>
      </c>
      <c r="D276">
        <v>100000000</v>
      </c>
      <c r="E276">
        <v>100000000</v>
      </c>
      <c r="F276">
        <v>100000000</v>
      </c>
      <c r="G276">
        <v>100000000</v>
      </c>
      <c r="H276">
        <v>100</v>
      </c>
      <c r="I276">
        <v>1</v>
      </c>
      <c r="J276">
        <v>1</v>
      </c>
      <c r="K276">
        <f t="shared" si="9"/>
        <v>5.0499999999999999E+50</v>
      </c>
      <c r="L276" t="e">
        <f>MATCH(K276, 보스체력!#REF!, 1)</f>
        <v>#REF!</v>
      </c>
      <c r="AC276">
        <v>275</v>
      </c>
      <c r="AD276">
        <f t="shared" si="10"/>
        <v>56</v>
      </c>
      <c r="AE276" cm="1">
        <f t="array" ref="AE276">INDEX(X:X, AD276+1)*AC276</f>
        <v>1540000</v>
      </c>
    </row>
    <row r="277" spans="1:31">
      <c r="A277">
        <v>276</v>
      </c>
      <c r="B277">
        <v>595000000</v>
      </c>
      <c r="C277">
        <v>100000000</v>
      </c>
      <c r="D277">
        <v>100000000</v>
      </c>
      <c r="E277">
        <v>100000000</v>
      </c>
      <c r="F277">
        <v>100000000</v>
      </c>
      <c r="G277">
        <v>100000000</v>
      </c>
      <c r="H277">
        <v>100</v>
      </c>
      <c r="I277">
        <v>1</v>
      </c>
      <c r="J277">
        <v>1</v>
      </c>
      <c r="K277">
        <f t="shared" si="9"/>
        <v>5.9500000000000006E+50</v>
      </c>
      <c r="L277" t="e">
        <f>MATCH(K277, 보스체력!#REF!, 1)</f>
        <v>#REF!</v>
      </c>
      <c r="AC277">
        <v>276</v>
      </c>
      <c r="AD277">
        <f t="shared" si="10"/>
        <v>56</v>
      </c>
      <c r="AE277" cm="1">
        <f t="array" ref="AE277">INDEX(X:X, AD277+1)*AC277</f>
        <v>1545600</v>
      </c>
    </row>
    <row r="278" spans="1:31">
      <c r="A278">
        <v>277</v>
      </c>
      <c r="B278">
        <v>685000000</v>
      </c>
      <c r="C278">
        <v>100000000</v>
      </c>
      <c r="D278">
        <v>100000000</v>
      </c>
      <c r="E278">
        <v>100000000</v>
      </c>
      <c r="F278">
        <v>100000000</v>
      </c>
      <c r="G278">
        <v>100000000</v>
      </c>
      <c r="H278">
        <v>100</v>
      </c>
      <c r="I278">
        <v>1</v>
      </c>
      <c r="J278">
        <v>1</v>
      </c>
      <c r="K278">
        <f t="shared" si="9"/>
        <v>6.8500000000000004E+50</v>
      </c>
      <c r="L278" t="e">
        <f>MATCH(K278, 보스체력!#REF!, 1)</f>
        <v>#REF!</v>
      </c>
      <c r="AC278">
        <v>277</v>
      </c>
      <c r="AD278">
        <f t="shared" si="10"/>
        <v>56</v>
      </c>
      <c r="AE278" cm="1">
        <f t="array" ref="AE278">INDEX(X:X, AD278+1)*AC278</f>
        <v>1551200</v>
      </c>
    </row>
    <row r="279" spans="1:31">
      <c r="A279">
        <v>278</v>
      </c>
      <c r="B279">
        <v>775000000</v>
      </c>
      <c r="C279">
        <v>100000000</v>
      </c>
      <c r="D279">
        <v>100000000</v>
      </c>
      <c r="E279">
        <v>100000000</v>
      </c>
      <c r="F279">
        <v>100000000</v>
      </c>
      <c r="G279">
        <v>100000000</v>
      </c>
      <c r="H279">
        <v>100</v>
      </c>
      <c r="I279">
        <v>1</v>
      </c>
      <c r="J279">
        <v>1</v>
      </c>
      <c r="K279">
        <f t="shared" si="9"/>
        <v>7.7500000000000003E+50</v>
      </c>
      <c r="L279" t="e">
        <f>MATCH(K279, 보스체력!#REF!, 1)</f>
        <v>#REF!</v>
      </c>
      <c r="AC279">
        <v>278</v>
      </c>
      <c r="AD279">
        <f t="shared" si="10"/>
        <v>56</v>
      </c>
      <c r="AE279" cm="1">
        <f t="array" ref="AE279">INDEX(X:X, AD279+1)*AC279</f>
        <v>1556800</v>
      </c>
    </row>
    <row r="280" spans="1:31">
      <c r="A280">
        <v>279</v>
      </c>
      <c r="B280">
        <v>865000000</v>
      </c>
      <c r="C280">
        <v>100000000</v>
      </c>
      <c r="D280">
        <v>100000000</v>
      </c>
      <c r="E280">
        <v>100000000</v>
      </c>
      <c r="F280">
        <v>100000000</v>
      </c>
      <c r="G280">
        <v>100000000</v>
      </c>
      <c r="H280">
        <v>100</v>
      </c>
      <c r="I280">
        <v>1</v>
      </c>
      <c r="J280">
        <v>1</v>
      </c>
      <c r="K280">
        <f t="shared" si="9"/>
        <v>8.6500000000000001E+50</v>
      </c>
      <c r="L280" t="e">
        <f>MATCH(K280, 보스체력!#REF!, 1)</f>
        <v>#REF!</v>
      </c>
      <c r="AC280">
        <v>279</v>
      </c>
      <c r="AD280">
        <f t="shared" si="10"/>
        <v>56</v>
      </c>
      <c r="AE280" cm="1">
        <f t="array" ref="AE280">INDEX(X:X, AD280+1)*AC280</f>
        <v>1562400</v>
      </c>
    </row>
    <row r="281" spans="1:31">
      <c r="A281">
        <v>280</v>
      </c>
      <c r="B281">
        <v>955000000</v>
      </c>
      <c r="C281">
        <v>100000000</v>
      </c>
      <c r="D281">
        <v>100000000</v>
      </c>
      <c r="E281">
        <v>100000000</v>
      </c>
      <c r="F281">
        <v>100000000</v>
      </c>
      <c r="G281">
        <v>100000000</v>
      </c>
      <c r="H281">
        <v>100</v>
      </c>
      <c r="I281">
        <v>1</v>
      </c>
      <c r="J281">
        <v>1</v>
      </c>
      <c r="K281">
        <f t="shared" si="9"/>
        <v>9.55E+50</v>
      </c>
      <c r="L281" t="e">
        <f>MATCH(K281, 보스체력!#REF!, 1)</f>
        <v>#REF!</v>
      </c>
      <c r="AC281">
        <v>280</v>
      </c>
      <c r="AD281">
        <f t="shared" si="10"/>
        <v>57</v>
      </c>
      <c r="AE281" cm="1">
        <f t="array" ref="AE281">INDEX(X:X, AD281+1)*AC281</f>
        <v>1596000</v>
      </c>
    </row>
    <row r="282" spans="1:31">
      <c r="A282">
        <v>281</v>
      </c>
      <c r="B282">
        <v>145000000</v>
      </c>
      <c r="C282">
        <v>100000000</v>
      </c>
      <c r="D282">
        <v>100000000</v>
      </c>
      <c r="E282">
        <v>100000000</v>
      </c>
      <c r="F282">
        <v>100000000</v>
      </c>
      <c r="G282">
        <v>100000000</v>
      </c>
      <c r="H282">
        <v>1000</v>
      </c>
      <c r="I282">
        <v>1</v>
      </c>
      <c r="J282">
        <v>1</v>
      </c>
      <c r="K282">
        <f t="shared" si="9"/>
        <v>1.4500000000000001E+51</v>
      </c>
      <c r="L282" t="e">
        <f>MATCH(K282, 보스체력!#REF!, 1)</f>
        <v>#REF!</v>
      </c>
      <c r="AC282">
        <v>281</v>
      </c>
      <c r="AD282">
        <f t="shared" si="10"/>
        <v>57</v>
      </c>
      <c r="AE282" cm="1">
        <f t="array" ref="AE282">INDEX(X:X, AD282+1)*AC282</f>
        <v>1601700</v>
      </c>
    </row>
    <row r="283" spans="1:31">
      <c r="A283">
        <v>282</v>
      </c>
      <c r="B283">
        <v>235000000</v>
      </c>
      <c r="C283">
        <v>100000000</v>
      </c>
      <c r="D283">
        <v>100000000</v>
      </c>
      <c r="E283">
        <v>100000000</v>
      </c>
      <c r="F283">
        <v>100000000</v>
      </c>
      <c r="G283">
        <v>100000000</v>
      </c>
      <c r="H283">
        <v>1000</v>
      </c>
      <c r="I283">
        <v>1</v>
      </c>
      <c r="J283">
        <v>1</v>
      </c>
      <c r="K283">
        <f t="shared" si="9"/>
        <v>2.3500000000000001E+51</v>
      </c>
      <c r="L283" t="e">
        <f>MATCH(K283, 보스체력!#REF!, 1)</f>
        <v>#REF!</v>
      </c>
      <c r="AC283">
        <v>282</v>
      </c>
      <c r="AD283">
        <f t="shared" si="10"/>
        <v>57</v>
      </c>
      <c r="AE283" cm="1">
        <f t="array" ref="AE283">INDEX(X:X, AD283+1)*AC283</f>
        <v>1607400</v>
      </c>
    </row>
    <row r="284" spans="1:31">
      <c r="A284">
        <v>283</v>
      </c>
      <c r="B284">
        <v>325000000</v>
      </c>
      <c r="C284">
        <v>100000000</v>
      </c>
      <c r="D284">
        <v>100000000</v>
      </c>
      <c r="E284">
        <v>100000000</v>
      </c>
      <c r="F284">
        <v>100000000</v>
      </c>
      <c r="G284">
        <v>100000000</v>
      </c>
      <c r="H284">
        <v>1000</v>
      </c>
      <c r="I284">
        <v>1</v>
      </c>
      <c r="J284">
        <v>1</v>
      </c>
      <c r="K284">
        <f t="shared" si="9"/>
        <v>3.25E+51</v>
      </c>
      <c r="L284" t="e">
        <f>MATCH(K284, 보스체력!#REF!, 1)</f>
        <v>#REF!</v>
      </c>
      <c r="AC284">
        <v>283</v>
      </c>
      <c r="AD284">
        <f t="shared" si="10"/>
        <v>57</v>
      </c>
      <c r="AE284" cm="1">
        <f t="array" ref="AE284">INDEX(X:X, AD284+1)*AC284</f>
        <v>1613100</v>
      </c>
    </row>
    <row r="285" spans="1:31">
      <c r="A285">
        <v>284</v>
      </c>
      <c r="B285">
        <v>415000000</v>
      </c>
      <c r="C285">
        <v>100000000</v>
      </c>
      <c r="D285">
        <v>100000000</v>
      </c>
      <c r="E285">
        <v>100000000</v>
      </c>
      <c r="F285">
        <v>100000000</v>
      </c>
      <c r="G285">
        <v>100000000</v>
      </c>
      <c r="H285">
        <v>1000</v>
      </c>
      <c r="I285">
        <v>1</v>
      </c>
      <c r="J285">
        <v>1</v>
      </c>
      <c r="K285">
        <f t="shared" si="9"/>
        <v>4.1499999999999998E+51</v>
      </c>
      <c r="L285" t="e">
        <f>MATCH(K285, 보스체력!#REF!, 1)</f>
        <v>#REF!</v>
      </c>
      <c r="AC285">
        <v>284</v>
      </c>
      <c r="AD285">
        <f t="shared" si="10"/>
        <v>57</v>
      </c>
      <c r="AE285" cm="1">
        <f t="array" ref="AE285">INDEX(X:X, AD285+1)*AC285</f>
        <v>1618800</v>
      </c>
    </row>
    <row r="286" spans="1:31">
      <c r="A286">
        <v>285</v>
      </c>
      <c r="B286">
        <v>505000000</v>
      </c>
      <c r="C286">
        <v>100000000</v>
      </c>
      <c r="D286">
        <v>100000000</v>
      </c>
      <c r="E286">
        <v>100000000</v>
      </c>
      <c r="F286">
        <v>100000000</v>
      </c>
      <c r="G286">
        <v>100000000</v>
      </c>
      <c r="H286">
        <v>1000</v>
      </c>
      <c r="I286">
        <v>1</v>
      </c>
      <c r="J286">
        <v>1</v>
      </c>
      <c r="K286">
        <f t="shared" si="9"/>
        <v>5.0500000000000004E+51</v>
      </c>
      <c r="L286" t="e">
        <f>MATCH(K286, 보스체력!#REF!, 1)</f>
        <v>#REF!</v>
      </c>
      <c r="AC286">
        <v>285</v>
      </c>
      <c r="AD286">
        <f t="shared" si="10"/>
        <v>58</v>
      </c>
      <c r="AE286" cm="1">
        <f t="array" ref="AE286">INDEX(X:X, AD286+1)*AC286</f>
        <v>1653000</v>
      </c>
    </row>
    <row r="287" spans="1:31">
      <c r="A287">
        <v>286</v>
      </c>
      <c r="B287">
        <v>595000000</v>
      </c>
      <c r="C287">
        <v>100000000</v>
      </c>
      <c r="D287">
        <v>100000000</v>
      </c>
      <c r="E287">
        <v>100000000</v>
      </c>
      <c r="F287">
        <v>100000000</v>
      </c>
      <c r="G287">
        <v>100000000</v>
      </c>
      <c r="H287">
        <v>1000</v>
      </c>
      <c r="I287">
        <v>1</v>
      </c>
      <c r="J287">
        <v>1</v>
      </c>
      <c r="K287">
        <f t="shared" si="9"/>
        <v>5.9500000000000002E+51</v>
      </c>
      <c r="L287" t="e">
        <f>MATCH(K287, 보스체력!#REF!, 1)</f>
        <v>#REF!</v>
      </c>
      <c r="AC287">
        <v>286</v>
      </c>
      <c r="AD287">
        <f t="shared" si="10"/>
        <v>58</v>
      </c>
      <c r="AE287" cm="1">
        <f t="array" ref="AE287">INDEX(X:X, AD287+1)*AC287</f>
        <v>1658800</v>
      </c>
    </row>
    <row r="288" spans="1:31">
      <c r="A288">
        <v>287</v>
      </c>
      <c r="B288">
        <v>685000000</v>
      </c>
      <c r="C288">
        <v>100000000</v>
      </c>
      <c r="D288">
        <v>100000000</v>
      </c>
      <c r="E288">
        <v>100000000</v>
      </c>
      <c r="F288">
        <v>100000000</v>
      </c>
      <c r="G288">
        <v>100000000</v>
      </c>
      <c r="H288">
        <v>1000</v>
      </c>
      <c r="I288">
        <v>1</v>
      </c>
      <c r="J288">
        <v>1</v>
      </c>
      <c r="K288">
        <f t="shared" si="9"/>
        <v>6.8500000000000008E+51</v>
      </c>
      <c r="L288" t="e">
        <f>MATCH(K288, 보스체력!#REF!, 1)</f>
        <v>#REF!</v>
      </c>
      <c r="AC288">
        <v>287</v>
      </c>
      <c r="AD288">
        <f t="shared" si="10"/>
        <v>58</v>
      </c>
      <c r="AE288" cm="1">
        <f t="array" ref="AE288">INDEX(X:X, AD288+1)*AC288</f>
        <v>1664600</v>
      </c>
    </row>
    <row r="289" spans="1:31">
      <c r="A289">
        <v>288</v>
      </c>
      <c r="B289">
        <v>775000000</v>
      </c>
      <c r="C289">
        <v>100000000</v>
      </c>
      <c r="D289">
        <v>100000000</v>
      </c>
      <c r="E289">
        <v>100000000</v>
      </c>
      <c r="F289">
        <v>100000000</v>
      </c>
      <c r="G289">
        <v>100000000</v>
      </c>
      <c r="H289">
        <v>1000</v>
      </c>
      <c r="I289">
        <v>1</v>
      </c>
      <c r="J289">
        <v>1</v>
      </c>
      <c r="K289">
        <f t="shared" si="9"/>
        <v>7.7499999999999999E+51</v>
      </c>
      <c r="L289" t="e">
        <f>MATCH(K289, 보스체력!#REF!, 1)</f>
        <v>#REF!</v>
      </c>
      <c r="AC289">
        <v>288</v>
      </c>
      <c r="AD289">
        <f t="shared" si="10"/>
        <v>58</v>
      </c>
      <c r="AE289" cm="1">
        <f t="array" ref="AE289">INDEX(X:X, AD289+1)*AC289</f>
        <v>1670400</v>
      </c>
    </row>
    <row r="290" spans="1:31">
      <c r="A290">
        <v>289</v>
      </c>
      <c r="B290">
        <v>865000000</v>
      </c>
      <c r="C290">
        <v>100000000</v>
      </c>
      <c r="D290">
        <v>100000000</v>
      </c>
      <c r="E290">
        <v>100000000</v>
      </c>
      <c r="F290">
        <v>100000000</v>
      </c>
      <c r="G290">
        <v>100000000</v>
      </c>
      <c r="H290">
        <v>1000</v>
      </c>
      <c r="I290">
        <v>1</v>
      </c>
      <c r="J290">
        <v>1</v>
      </c>
      <c r="K290">
        <f t="shared" si="9"/>
        <v>8.6500000000000005E+51</v>
      </c>
      <c r="L290" t="e">
        <f>MATCH(K290, 보스체력!#REF!, 1)</f>
        <v>#REF!</v>
      </c>
      <c r="AC290">
        <v>289</v>
      </c>
      <c r="AD290">
        <f t="shared" si="10"/>
        <v>58</v>
      </c>
      <c r="AE290" cm="1">
        <f t="array" ref="AE290">INDEX(X:X, AD290+1)*AC290</f>
        <v>1676200</v>
      </c>
    </row>
    <row r="291" spans="1:31">
      <c r="A291">
        <v>290</v>
      </c>
      <c r="B291">
        <v>955000000</v>
      </c>
      <c r="C291">
        <v>100000000</v>
      </c>
      <c r="D291">
        <v>100000000</v>
      </c>
      <c r="E291">
        <v>100000000</v>
      </c>
      <c r="F291">
        <v>100000000</v>
      </c>
      <c r="G291">
        <v>100000000</v>
      </c>
      <c r="H291">
        <v>1000</v>
      </c>
      <c r="I291">
        <v>1</v>
      </c>
      <c r="J291">
        <v>1</v>
      </c>
      <c r="K291">
        <f t="shared" si="9"/>
        <v>9.5499999999999997E+51</v>
      </c>
      <c r="L291" t="e">
        <f>MATCH(K291, 보스체력!#REF!, 1)</f>
        <v>#REF!</v>
      </c>
      <c r="AC291">
        <v>290</v>
      </c>
      <c r="AD291">
        <f t="shared" si="10"/>
        <v>59</v>
      </c>
      <c r="AE291" cm="1">
        <f t="array" ref="AE291">INDEX(X:X, AD291+1)*AC291</f>
        <v>1711000</v>
      </c>
    </row>
    <row r="292" spans="1:31">
      <c r="A292">
        <v>291</v>
      </c>
      <c r="B292">
        <v>145000000</v>
      </c>
      <c r="C292">
        <v>100000000</v>
      </c>
      <c r="D292">
        <v>100000000</v>
      </c>
      <c r="E292">
        <v>100000000</v>
      </c>
      <c r="F292">
        <v>100000000</v>
      </c>
      <c r="G292">
        <v>100000000</v>
      </c>
      <c r="H292">
        <v>10000</v>
      </c>
      <c r="I292">
        <v>1</v>
      </c>
      <c r="J292">
        <v>1</v>
      </c>
      <c r="K292">
        <f t="shared" si="9"/>
        <v>1.4499999999999997E+52</v>
      </c>
      <c r="L292" t="e">
        <f>MATCH(K292, 보스체력!#REF!, 1)</f>
        <v>#REF!</v>
      </c>
      <c r="AC292">
        <v>291</v>
      </c>
      <c r="AD292">
        <f t="shared" si="10"/>
        <v>59</v>
      </c>
      <c r="AE292" cm="1">
        <f t="array" ref="AE292">INDEX(X:X, AD292+1)*AC292</f>
        <v>1716900</v>
      </c>
    </row>
    <row r="293" spans="1:31">
      <c r="A293">
        <v>292</v>
      </c>
      <c r="B293">
        <v>235000000</v>
      </c>
      <c r="C293">
        <v>100000000</v>
      </c>
      <c r="D293">
        <v>100000000</v>
      </c>
      <c r="E293">
        <v>100000000</v>
      </c>
      <c r="F293">
        <v>100000000</v>
      </c>
      <c r="G293">
        <v>100000000</v>
      </c>
      <c r="H293">
        <v>10000</v>
      </c>
      <c r="I293">
        <v>1</v>
      </c>
      <c r="J293">
        <v>1</v>
      </c>
      <c r="K293">
        <f t="shared" si="9"/>
        <v>2.3499999999999997E+52</v>
      </c>
      <c r="L293" t="e">
        <f>MATCH(K293, 보스체력!#REF!, 1)</f>
        <v>#REF!</v>
      </c>
      <c r="AC293">
        <v>292</v>
      </c>
      <c r="AD293">
        <f t="shared" si="10"/>
        <v>59</v>
      </c>
      <c r="AE293" cm="1">
        <f t="array" ref="AE293">INDEX(X:X, AD293+1)*AC293</f>
        <v>1722800</v>
      </c>
    </row>
    <row r="294" spans="1:31">
      <c r="A294">
        <v>293</v>
      </c>
      <c r="B294">
        <v>325000000</v>
      </c>
      <c r="C294">
        <v>100000000</v>
      </c>
      <c r="D294">
        <v>100000000</v>
      </c>
      <c r="E294">
        <v>100000000</v>
      </c>
      <c r="F294">
        <v>100000000</v>
      </c>
      <c r="G294">
        <v>100000000</v>
      </c>
      <c r="H294">
        <v>10000</v>
      </c>
      <c r="I294">
        <v>1</v>
      </c>
      <c r="J294">
        <v>1</v>
      </c>
      <c r="K294">
        <f t="shared" si="9"/>
        <v>3.2499999999999994E+52</v>
      </c>
      <c r="L294" t="e">
        <f>MATCH(K294, 보스체력!#REF!, 1)</f>
        <v>#REF!</v>
      </c>
      <c r="AC294">
        <v>293</v>
      </c>
      <c r="AD294">
        <f t="shared" si="10"/>
        <v>59</v>
      </c>
      <c r="AE294" cm="1">
        <f t="array" ref="AE294">INDEX(X:X, AD294+1)*AC294</f>
        <v>1728700</v>
      </c>
    </row>
    <row r="295" spans="1:31">
      <c r="A295">
        <v>294</v>
      </c>
      <c r="B295">
        <v>415000000</v>
      </c>
      <c r="C295">
        <v>100000000</v>
      </c>
      <c r="D295">
        <v>100000000</v>
      </c>
      <c r="E295">
        <v>100000000</v>
      </c>
      <c r="F295">
        <v>100000000</v>
      </c>
      <c r="G295">
        <v>100000000</v>
      </c>
      <c r="H295">
        <v>10000</v>
      </c>
      <c r="I295">
        <v>1</v>
      </c>
      <c r="J295">
        <v>1</v>
      </c>
      <c r="K295">
        <f t="shared" si="9"/>
        <v>4.1499999999999994E+52</v>
      </c>
      <c r="L295" t="e">
        <f>MATCH(K295, 보스체력!#REF!, 1)</f>
        <v>#REF!</v>
      </c>
      <c r="AC295">
        <v>294</v>
      </c>
      <c r="AD295">
        <f t="shared" si="10"/>
        <v>59</v>
      </c>
      <c r="AE295" cm="1">
        <f t="array" ref="AE295">INDEX(X:X, AD295+1)*AC295</f>
        <v>1734600</v>
      </c>
    </row>
    <row r="296" spans="1:31">
      <c r="A296">
        <v>295</v>
      </c>
      <c r="B296">
        <v>505000000</v>
      </c>
      <c r="C296">
        <v>100000000</v>
      </c>
      <c r="D296">
        <v>100000000</v>
      </c>
      <c r="E296">
        <v>100000000</v>
      </c>
      <c r="F296">
        <v>100000000</v>
      </c>
      <c r="G296">
        <v>100000000</v>
      </c>
      <c r="H296">
        <v>10000</v>
      </c>
      <c r="I296">
        <v>1</v>
      </c>
      <c r="J296">
        <v>1</v>
      </c>
      <c r="K296">
        <f t="shared" si="9"/>
        <v>5.0499999999999994E+52</v>
      </c>
      <c r="L296" t="e">
        <f>MATCH(K296, 보스체력!#REF!, 1)</f>
        <v>#REF!</v>
      </c>
      <c r="AC296">
        <v>295</v>
      </c>
      <c r="AD296">
        <f t="shared" si="10"/>
        <v>60</v>
      </c>
      <c r="AE296" cm="1">
        <f t="array" ref="AE296">INDEX(X:X, AD296+1)*AC296</f>
        <v>1770000</v>
      </c>
    </row>
    <row r="297" spans="1:31">
      <c r="A297">
        <v>296</v>
      </c>
      <c r="B297">
        <v>595000000</v>
      </c>
      <c r="C297">
        <v>100000000</v>
      </c>
      <c r="D297">
        <v>100000000</v>
      </c>
      <c r="E297">
        <v>100000000</v>
      </c>
      <c r="F297">
        <v>100000000</v>
      </c>
      <c r="G297">
        <v>100000000</v>
      </c>
      <c r="H297">
        <v>10000</v>
      </c>
      <c r="I297">
        <v>1</v>
      </c>
      <c r="J297">
        <v>1</v>
      </c>
      <c r="K297">
        <f t="shared" si="9"/>
        <v>5.9499999999999994E+52</v>
      </c>
      <c r="L297" t="e">
        <f>MATCH(K297, 보스체력!#REF!, 1)</f>
        <v>#REF!</v>
      </c>
      <c r="AC297">
        <v>296</v>
      </c>
      <c r="AD297">
        <f t="shared" si="10"/>
        <v>60</v>
      </c>
      <c r="AE297" cm="1">
        <f t="array" ref="AE297">INDEX(X:X, AD297+1)*AC297</f>
        <v>1776000</v>
      </c>
    </row>
    <row r="298" spans="1:31">
      <c r="A298">
        <v>297</v>
      </c>
      <c r="B298">
        <v>685000000</v>
      </c>
      <c r="C298">
        <v>100000000</v>
      </c>
      <c r="D298">
        <v>100000000</v>
      </c>
      <c r="E298">
        <v>100000000</v>
      </c>
      <c r="F298">
        <v>100000000</v>
      </c>
      <c r="G298">
        <v>100000000</v>
      </c>
      <c r="H298">
        <v>10000</v>
      </c>
      <c r="I298">
        <v>1</v>
      </c>
      <c r="J298">
        <v>1</v>
      </c>
      <c r="K298">
        <f t="shared" si="9"/>
        <v>6.8499999999999994E+52</v>
      </c>
      <c r="L298" t="e">
        <f>MATCH(K298, 보스체력!#REF!, 1)</f>
        <v>#REF!</v>
      </c>
      <c r="AC298">
        <v>297</v>
      </c>
      <c r="AD298">
        <f t="shared" si="10"/>
        <v>60</v>
      </c>
      <c r="AE298" cm="1">
        <f t="array" ref="AE298">INDEX(X:X, AD298+1)*AC298</f>
        <v>1782000</v>
      </c>
    </row>
    <row r="299" spans="1:31">
      <c r="A299">
        <v>298</v>
      </c>
      <c r="B299">
        <v>775000000</v>
      </c>
      <c r="C299">
        <v>100000000</v>
      </c>
      <c r="D299">
        <v>100000000</v>
      </c>
      <c r="E299">
        <v>100000000</v>
      </c>
      <c r="F299">
        <v>100000000</v>
      </c>
      <c r="G299">
        <v>100000000</v>
      </c>
      <c r="H299">
        <v>10000</v>
      </c>
      <c r="I299">
        <v>1</v>
      </c>
      <c r="J299">
        <v>1</v>
      </c>
      <c r="K299">
        <f t="shared" si="9"/>
        <v>7.7499999999999994E+52</v>
      </c>
      <c r="L299" t="e">
        <f>MATCH(K299, 보스체력!#REF!, 1)</f>
        <v>#REF!</v>
      </c>
      <c r="AC299">
        <v>298</v>
      </c>
      <c r="AD299">
        <f t="shared" si="10"/>
        <v>60</v>
      </c>
      <c r="AE299" cm="1">
        <f t="array" ref="AE299">INDEX(X:X, AD299+1)*AC299</f>
        <v>1788000</v>
      </c>
    </row>
    <row r="300" spans="1:31">
      <c r="A300">
        <v>299</v>
      </c>
      <c r="B300">
        <v>865000000</v>
      </c>
      <c r="C300">
        <v>100000000</v>
      </c>
      <c r="D300">
        <v>100000000</v>
      </c>
      <c r="E300">
        <v>100000000</v>
      </c>
      <c r="F300">
        <v>100000000</v>
      </c>
      <c r="G300">
        <v>100000000</v>
      </c>
      <c r="H300">
        <v>10000</v>
      </c>
      <c r="I300">
        <v>1</v>
      </c>
      <c r="J300">
        <v>1</v>
      </c>
      <c r="K300">
        <f t="shared" si="9"/>
        <v>8.6499999999999994E+52</v>
      </c>
      <c r="L300" t="e">
        <f>MATCH(K300, 보스체력!#REF!, 1)</f>
        <v>#REF!</v>
      </c>
      <c r="AC300">
        <v>299</v>
      </c>
      <c r="AD300">
        <f t="shared" si="10"/>
        <v>60</v>
      </c>
      <c r="AE300" cm="1">
        <f t="array" ref="AE300">INDEX(X:X, AD300+1)*AC300</f>
        <v>1794000</v>
      </c>
    </row>
    <row r="301" spans="1:31">
      <c r="A301">
        <v>300</v>
      </c>
      <c r="B301">
        <v>955000000</v>
      </c>
      <c r="C301">
        <v>100000000</v>
      </c>
      <c r="D301">
        <v>100000000</v>
      </c>
      <c r="E301">
        <v>100000000</v>
      </c>
      <c r="F301">
        <v>100000000</v>
      </c>
      <c r="G301">
        <v>100000000</v>
      </c>
      <c r="H301">
        <v>10000</v>
      </c>
      <c r="I301">
        <v>1</v>
      </c>
      <c r="J301">
        <v>1</v>
      </c>
      <c r="K301">
        <f t="shared" si="9"/>
        <v>9.5499999999999994E+52</v>
      </c>
      <c r="L301" t="e">
        <f>MATCH(K301, 보스체력!#REF!, 1)</f>
        <v>#REF!</v>
      </c>
      <c r="AC301">
        <v>300</v>
      </c>
      <c r="AD301">
        <f t="shared" si="10"/>
        <v>61</v>
      </c>
      <c r="AE301" cm="1">
        <f t="array" ref="AE301">INDEX(X:X, AD301+1)*AC301</f>
        <v>1830000</v>
      </c>
    </row>
    <row r="302" spans="1:31">
      <c r="A302">
        <v>301</v>
      </c>
      <c r="B302">
        <v>145000000</v>
      </c>
      <c r="C302">
        <v>100000000</v>
      </c>
      <c r="D302">
        <v>100000000</v>
      </c>
      <c r="E302">
        <v>100000000</v>
      </c>
      <c r="F302">
        <v>100000000</v>
      </c>
      <c r="G302">
        <v>100000000</v>
      </c>
      <c r="H302">
        <v>100000</v>
      </c>
      <c r="I302">
        <v>1</v>
      </c>
      <c r="J302">
        <v>1</v>
      </c>
      <c r="K302">
        <f t="shared" si="9"/>
        <v>1.4499999999999999E+53</v>
      </c>
      <c r="L302" t="e">
        <f>MATCH(K302, 보스체력!#REF!, 1)</f>
        <v>#REF!</v>
      </c>
      <c r="AC302">
        <v>301</v>
      </c>
      <c r="AD302">
        <f t="shared" si="10"/>
        <v>61</v>
      </c>
      <c r="AE302" cm="1">
        <f t="array" ref="AE302">INDEX(X:X, AD302+1)*AC302</f>
        <v>1836100</v>
      </c>
    </row>
    <row r="303" spans="1:31">
      <c r="A303">
        <v>302</v>
      </c>
      <c r="B303">
        <v>235000000</v>
      </c>
      <c r="C303">
        <v>100000000</v>
      </c>
      <c r="D303">
        <v>100000000</v>
      </c>
      <c r="E303">
        <v>100000000</v>
      </c>
      <c r="F303">
        <v>100000000</v>
      </c>
      <c r="G303">
        <v>100000000</v>
      </c>
      <c r="H303">
        <v>100000</v>
      </c>
      <c r="I303">
        <v>1</v>
      </c>
      <c r="J303">
        <v>1</v>
      </c>
      <c r="K303">
        <f t="shared" si="9"/>
        <v>2.3499999999999999E+53</v>
      </c>
      <c r="L303" t="e">
        <f>MATCH(K303, 보스체력!#REF!, 1)</f>
        <v>#REF!</v>
      </c>
      <c r="AC303">
        <v>302</v>
      </c>
      <c r="AD303">
        <f t="shared" si="10"/>
        <v>61</v>
      </c>
      <c r="AE303" cm="1">
        <f t="array" ref="AE303">INDEX(X:X, AD303+1)*AC303</f>
        <v>1842200</v>
      </c>
    </row>
    <row r="304" spans="1:31">
      <c r="A304">
        <v>303</v>
      </c>
      <c r="B304">
        <v>325000000</v>
      </c>
      <c r="C304">
        <v>100000000</v>
      </c>
      <c r="D304">
        <v>100000000</v>
      </c>
      <c r="E304">
        <v>100000000</v>
      </c>
      <c r="F304">
        <v>100000000</v>
      </c>
      <c r="G304">
        <v>100000000</v>
      </c>
      <c r="H304">
        <v>100000</v>
      </c>
      <c r="I304">
        <v>1</v>
      </c>
      <c r="J304">
        <v>1</v>
      </c>
      <c r="K304">
        <f t="shared" si="9"/>
        <v>3.2499999999999997E+53</v>
      </c>
      <c r="L304" t="e">
        <f>MATCH(K304, 보스체력!#REF!, 1)</f>
        <v>#REF!</v>
      </c>
      <c r="AC304">
        <v>303</v>
      </c>
      <c r="AD304">
        <f t="shared" si="10"/>
        <v>61</v>
      </c>
      <c r="AE304" cm="1">
        <f t="array" ref="AE304">INDEX(X:X, AD304+1)*AC304</f>
        <v>1848300</v>
      </c>
    </row>
    <row r="305" spans="1:31">
      <c r="A305">
        <v>304</v>
      </c>
      <c r="B305">
        <v>415000000</v>
      </c>
      <c r="C305">
        <v>100000000</v>
      </c>
      <c r="D305">
        <v>100000000</v>
      </c>
      <c r="E305">
        <v>100000000</v>
      </c>
      <c r="F305">
        <v>100000000</v>
      </c>
      <c r="G305">
        <v>100000000</v>
      </c>
      <c r="H305">
        <v>100000</v>
      </c>
      <c r="I305">
        <v>1</v>
      </c>
      <c r="J305">
        <v>1</v>
      </c>
      <c r="K305">
        <f t="shared" si="9"/>
        <v>4.1499999999999999E+53</v>
      </c>
      <c r="L305" t="e">
        <f>MATCH(K305, 보스체력!#REF!, 1)</f>
        <v>#REF!</v>
      </c>
      <c r="AC305">
        <v>304</v>
      </c>
      <c r="AD305">
        <f t="shared" si="10"/>
        <v>61</v>
      </c>
      <c r="AE305" cm="1">
        <f t="array" ref="AE305">INDEX(X:X, AD305+1)*AC305</f>
        <v>1854400</v>
      </c>
    </row>
    <row r="306" spans="1:31">
      <c r="A306">
        <v>305</v>
      </c>
      <c r="B306">
        <v>505000000</v>
      </c>
      <c r="C306">
        <v>100000000</v>
      </c>
      <c r="D306">
        <v>100000000</v>
      </c>
      <c r="E306">
        <v>100000000</v>
      </c>
      <c r="F306">
        <v>100000000</v>
      </c>
      <c r="G306">
        <v>100000000</v>
      </c>
      <c r="H306">
        <v>100000</v>
      </c>
      <c r="I306">
        <v>1</v>
      </c>
      <c r="J306">
        <v>1</v>
      </c>
      <c r="K306">
        <f t="shared" si="9"/>
        <v>5.0499999999999992E+53</v>
      </c>
      <c r="L306" t="e">
        <f>MATCH(K306, 보스체력!#REF!, 1)</f>
        <v>#REF!</v>
      </c>
      <c r="AC306">
        <v>305</v>
      </c>
      <c r="AD306">
        <f t="shared" si="10"/>
        <v>62</v>
      </c>
      <c r="AE306" cm="1">
        <f t="array" ref="AE306">INDEX(X:X, AD306+1)*AC306</f>
        <v>1891000</v>
      </c>
    </row>
    <row r="307" spans="1:31">
      <c r="A307">
        <v>306</v>
      </c>
      <c r="B307">
        <v>595000000</v>
      </c>
      <c r="C307">
        <v>100000000</v>
      </c>
      <c r="D307">
        <v>100000000</v>
      </c>
      <c r="E307">
        <v>100000000</v>
      </c>
      <c r="F307">
        <v>100000000</v>
      </c>
      <c r="G307">
        <v>100000000</v>
      </c>
      <c r="H307">
        <v>100000</v>
      </c>
      <c r="I307">
        <v>1</v>
      </c>
      <c r="J307">
        <v>1</v>
      </c>
      <c r="K307">
        <f t="shared" si="9"/>
        <v>5.9499999999999994E+53</v>
      </c>
      <c r="L307" t="e">
        <f>MATCH(K307, 보스체력!#REF!, 1)</f>
        <v>#REF!</v>
      </c>
      <c r="AC307">
        <v>306</v>
      </c>
      <c r="AD307">
        <f t="shared" si="10"/>
        <v>62</v>
      </c>
      <c r="AE307" cm="1">
        <f t="array" ref="AE307">INDEX(X:X, AD307+1)*AC307</f>
        <v>1897200</v>
      </c>
    </row>
    <row r="308" spans="1:31">
      <c r="A308">
        <v>307</v>
      </c>
      <c r="B308">
        <v>685000000</v>
      </c>
      <c r="C308">
        <v>100000000</v>
      </c>
      <c r="D308">
        <v>100000000</v>
      </c>
      <c r="E308">
        <v>100000000</v>
      </c>
      <c r="F308">
        <v>100000000</v>
      </c>
      <c r="G308">
        <v>100000000</v>
      </c>
      <c r="H308">
        <v>100000</v>
      </c>
      <c r="I308">
        <v>1</v>
      </c>
      <c r="J308">
        <v>1</v>
      </c>
      <c r="K308">
        <f t="shared" si="9"/>
        <v>6.8499999999999996E+53</v>
      </c>
      <c r="L308" t="e">
        <f>MATCH(K308, 보스체력!#REF!, 1)</f>
        <v>#REF!</v>
      </c>
      <c r="AC308">
        <v>307</v>
      </c>
      <c r="AD308">
        <f t="shared" si="10"/>
        <v>62</v>
      </c>
      <c r="AE308" cm="1">
        <f t="array" ref="AE308">INDEX(X:X, AD308+1)*AC308</f>
        <v>1903400</v>
      </c>
    </row>
    <row r="309" spans="1:31">
      <c r="A309">
        <v>308</v>
      </c>
      <c r="B309">
        <v>775000000</v>
      </c>
      <c r="C309">
        <v>100000000</v>
      </c>
      <c r="D309">
        <v>100000000</v>
      </c>
      <c r="E309">
        <v>100000000</v>
      </c>
      <c r="F309">
        <v>100000000</v>
      </c>
      <c r="G309">
        <v>100000000</v>
      </c>
      <c r="H309">
        <v>100000</v>
      </c>
      <c r="I309">
        <v>1</v>
      </c>
      <c r="J309">
        <v>1</v>
      </c>
      <c r="K309">
        <f t="shared" si="9"/>
        <v>7.7499999999999998E+53</v>
      </c>
      <c r="L309" t="e">
        <f>MATCH(K309, 보스체력!#REF!, 1)</f>
        <v>#REF!</v>
      </c>
      <c r="AC309">
        <v>308</v>
      </c>
      <c r="AD309">
        <f t="shared" si="10"/>
        <v>62</v>
      </c>
      <c r="AE309" cm="1">
        <f t="array" ref="AE309">INDEX(X:X, AD309+1)*AC309</f>
        <v>1909600</v>
      </c>
    </row>
    <row r="310" spans="1:31">
      <c r="A310">
        <v>309</v>
      </c>
      <c r="B310">
        <v>865000000</v>
      </c>
      <c r="C310">
        <v>100000000</v>
      </c>
      <c r="D310">
        <v>100000000</v>
      </c>
      <c r="E310">
        <v>100000000</v>
      </c>
      <c r="F310">
        <v>100000000</v>
      </c>
      <c r="G310">
        <v>100000000</v>
      </c>
      <c r="H310">
        <v>100000</v>
      </c>
      <c r="I310">
        <v>1</v>
      </c>
      <c r="J310">
        <v>1</v>
      </c>
      <c r="K310">
        <f t="shared" si="9"/>
        <v>8.6499999999999992E+53</v>
      </c>
      <c r="L310" t="e">
        <f>MATCH(K310, 보스체력!#REF!, 1)</f>
        <v>#REF!</v>
      </c>
      <c r="AC310">
        <v>309</v>
      </c>
      <c r="AD310">
        <f t="shared" si="10"/>
        <v>62</v>
      </c>
      <c r="AE310" cm="1">
        <f t="array" ref="AE310">INDEX(X:X, AD310+1)*AC310</f>
        <v>1915800</v>
      </c>
    </row>
    <row r="311" spans="1:31">
      <c r="A311">
        <v>310</v>
      </c>
      <c r="B311">
        <v>955000000</v>
      </c>
      <c r="C311">
        <v>100000000</v>
      </c>
      <c r="D311">
        <v>100000000</v>
      </c>
      <c r="E311">
        <v>100000000</v>
      </c>
      <c r="F311">
        <v>100000000</v>
      </c>
      <c r="G311">
        <v>100000000</v>
      </c>
      <c r="H311">
        <v>100000</v>
      </c>
      <c r="I311">
        <v>1</v>
      </c>
      <c r="J311">
        <v>1</v>
      </c>
      <c r="K311">
        <f t="shared" si="9"/>
        <v>9.5499999999999986E+53</v>
      </c>
      <c r="L311" t="e">
        <f>MATCH(K311, 보스체력!#REF!, 1)</f>
        <v>#REF!</v>
      </c>
      <c r="AC311">
        <v>310</v>
      </c>
      <c r="AD311">
        <f t="shared" si="10"/>
        <v>63</v>
      </c>
      <c r="AE311" cm="1">
        <f t="array" ref="AE311">INDEX(X:X, AD311+1)*AC311</f>
        <v>1953000</v>
      </c>
    </row>
    <row r="312" spans="1:31">
      <c r="A312">
        <v>311</v>
      </c>
      <c r="B312">
        <v>145000000</v>
      </c>
      <c r="C312">
        <v>100000000</v>
      </c>
      <c r="D312">
        <v>100000000</v>
      </c>
      <c r="E312">
        <v>100000000</v>
      </c>
      <c r="F312">
        <v>100000000</v>
      </c>
      <c r="G312">
        <v>100000000</v>
      </c>
      <c r="H312">
        <v>1000000</v>
      </c>
      <c r="I312">
        <v>1</v>
      </c>
      <c r="J312">
        <v>1</v>
      </c>
      <c r="K312">
        <f t="shared" si="9"/>
        <v>1.4499999999999999E+54</v>
      </c>
      <c r="L312" t="e">
        <f>MATCH(K312, 보스체력!#REF!, 1)</f>
        <v>#REF!</v>
      </c>
      <c r="AC312">
        <v>311</v>
      </c>
      <c r="AD312">
        <f t="shared" si="10"/>
        <v>63</v>
      </c>
      <c r="AE312" cm="1">
        <f t="array" ref="AE312">INDEX(X:X, AD312+1)*AC312</f>
        <v>1959300</v>
      </c>
    </row>
    <row r="313" spans="1:31">
      <c r="A313">
        <v>312</v>
      </c>
      <c r="B313">
        <v>235000000</v>
      </c>
      <c r="C313">
        <v>100000000</v>
      </c>
      <c r="D313">
        <v>100000000</v>
      </c>
      <c r="E313">
        <v>100000000</v>
      </c>
      <c r="F313">
        <v>100000000</v>
      </c>
      <c r="G313">
        <v>100000000</v>
      </c>
      <c r="H313">
        <v>1000000</v>
      </c>
      <c r="I313">
        <v>1</v>
      </c>
      <c r="J313">
        <v>1</v>
      </c>
      <c r="K313">
        <f t="shared" si="9"/>
        <v>2.35E+54</v>
      </c>
      <c r="L313" t="e">
        <f>MATCH(K313, 보스체력!#REF!, 1)</f>
        <v>#REF!</v>
      </c>
      <c r="AC313">
        <v>312</v>
      </c>
      <c r="AD313">
        <f t="shared" si="10"/>
        <v>63</v>
      </c>
      <c r="AE313" cm="1">
        <f t="array" ref="AE313">INDEX(X:X, AD313+1)*AC313</f>
        <v>1965600</v>
      </c>
    </row>
    <row r="314" spans="1:31">
      <c r="A314">
        <v>313</v>
      </c>
      <c r="B314">
        <v>325000000</v>
      </c>
      <c r="C314">
        <v>100000000</v>
      </c>
      <c r="D314">
        <v>100000000</v>
      </c>
      <c r="E314">
        <v>100000000</v>
      </c>
      <c r="F314">
        <v>100000000</v>
      </c>
      <c r="G314">
        <v>100000000</v>
      </c>
      <c r="H314">
        <v>1000000</v>
      </c>
      <c r="I314">
        <v>1</v>
      </c>
      <c r="J314">
        <v>1</v>
      </c>
      <c r="K314">
        <f t="shared" si="9"/>
        <v>3.25E+54</v>
      </c>
      <c r="L314" t="e">
        <f>MATCH(K314, 보스체력!#REF!, 1)</f>
        <v>#REF!</v>
      </c>
      <c r="AC314">
        <v>313</v>
      </c>
      <c r="AD314">
        <f t="shared" si="10"/>
        <v>63</v>
      </c>
      <c r="AE314" cm="1">
        <f t="array" ref="AE314">INDEX(X:X, AD314+1)*AC314</f>
        <v>1971900</v>
      </c>
    </row>
    <row r="315" spans="1:31">
      <c r="A315">
        <v>314</v>
      </c>
      <c r="B315">
        <v>415000000</v>
      </c>
      <c r="C315">
        <v>100000000</v>
      </c>
      <c r="D315">
        <v>100000000</v>
      </c>
      <c r="E315">
        <v>100000000</v>
      </c>
      <c r="F315">
        <v>100000000</v>
      </c>
      <c r="G315">
        <v>100000000</v>
      </c>
      <c r="H315">
        <v>1000000</v>
      </c>
      <c r="I315">
        <v>1</v>
      </c>
      <c r="J315">
        <v>1</v>
      </c>
      <c r="K315">
        <f t="shared" si="9"/>
        <v>4.1499999999999997E+54</v>
      </c>
      <c r="L315" t="e">
        <f>MATCH(K315, 보스체력!#REF!, 1)</f>
        <v>#REF!</v>
      </c>
      <c r="AC315">
        <v>314</v>
      </c>
      <c r="AD315">
        <f t="shared" si="10"/>
        <v>63</v>
      </c>
      <c r="AE315" cm="1">
        <f t="array" ref="AE315">INDEX(X:X, AD315+1)*AC315</f>
        <v>1978200</v>
      </c>
    </row>
    <row r="316" spans="1:31">
      <c r="A316">
        <v>315</v>
      </c>
      <c r="B316">
        <v>505000000</v>
      </c>
      <c r="C316">
        <v>100000000</v>
      </c>
      <c r="D316">
        <v>100000000</v>
      </c>
      <c r="E316">
        <v>100000000</v>
      </c>
      <c r="F316">
        <v>100000000</v>
      </c>
      <c r="G316">
        <v>100000000</v>
      </c>
      <c r="H316">
        <v>1000000</v>
      </c>
      <c r="I316">
        <v>1</v>
      </c>
      <c r="J316">
        <v>1</v>
      </c>
      <c r="K316">
        <f t="shared" si="9"/>
        <v>5.0500000000000001E+54</v>
      </c>
      <c r="L316" t="e">
        <f>MATCH(K316, 보스체력!#REF!, 1)</f>
        <v>#REF!</v>
      </c>
      <c r="AC316">
        <v>315</v>
      </c>
      <c r="AD316">
        <f t="shared" si="10"/>
        <v>64</v>
      </c>
      <c r="AE316" cm="1">
        <f t="array" ref="AE316">INDEX(X:X, AD316+1)*AC316</f>
        <v>2016000</v>
      </c>
    </row>
    <row r="317" spans="1:31">
      <c r="A317">
        <v>316</v>
      </c>
      <c r="B317">
        <v>595000000</v>
      </c>
      <c r="C317">
        <v>100000000</v>
      </c>
      <c r="D317">
        <v>100000000</v>
      </c>
      <c r="E317">
        <v>100000000</v>
      </c>
      <c r="F317">
        <v>100000000</v>
      </c>
      <c r="G317">
        <v>100000000</v>
      </c>
      <c r="H317">
        <v>1000000</v>
      </c>
      <c r="I317">
        <v>1</v>
      </c>
      <c r="J317">
        <v>1</v>
      </c>
      <c r="K317">
        <f t="shared" si="9"/>
        <v>5.9499999999999998E+54</v>
      </c>
      <c r="L317" t="e">
        <f>MATCH(K317, 보스체력!#REF!, 1)</f>
        <v>#REF!</v>
      </c>
      <c r="AC317">
        <v>316</v>
      </c>
      <c r="AD317">
        <f t="shared" si="10"/>
        <v>64</v>
      </c>
      <c r="AE317" cm="1">
        <f t="array" ref="AE317">INDEX(X:X, AD317+1)*AC317</f>
        <v>2022400</v>
      </c>
    </row>
    <row r="318" spans="1:31">
      <c r="A318">
        <v>317</v>
      </c>
      <c r="B318">
        <v>685000000</v>
      </c>
      <c r="C318">
        <v>100000000</v>
      </c>
      <c r="D318">
        <v>100000000</v>
      </c>
      <c r="E318">
        <v>100000000</v>
      </c>
      <c r="F318">
        <v>100000000</v>
      </c>
      <c r="G318">
        <v>100000000</v>
      </c>
      <c r="H318">
        <v>1000000</v>
      </c>
      <c r="I318">
        <v>1</v>
      </c>
      <c r="J318">
        <v>1</v>
      </c>
      <c r="K318">
        <f t="shared" si="9"/>
        <v>6.8499999999999995E+54</v>
      </c>
      <c r="L318" t="e">
        <f>MATCH(K318, 보스체력!#REF!, 1)</f>
        <v>#REF!</v>
      </c>
      <c r="AC318">
        <v>317</v>
      </c>
      <c r="AD318">
        <f t="shared" si="10"/>
        <v>64</v>
      </c>
      <c r="AE318" cm="1">
        <f t="array" ref="AE318">INDEX(X:X, AD318+1)*AC318</f>
        <v>2028800</v>
      </c>
    </row>
    <row r="319" spans="1:31">
      <c r="A319">
        <v>318</v>
      </c>
      <c r="B319">
        <v>775000000</v>
      </c>
      <c r="C319">
        <v>100000000</v>
      </c>
      <c r="D319">
        <v>100000000</v>
      </c>
      <c r="E319">
        <v>100000000</v>
      </c>
      <c r="F319">
        <v>100000000</v>
      </c>
      <c r="G319">
        <v>100000000</v>
      </c>
      <c r="H319">
        <v>1000000</v>
      </c>
      <c r="I319">
        <v>1</v>
      </c>
      <c r="J319">
        <v>1</v>
      </c>
      <c r="K319">
        <f t="shared" si="9"/>
        <v>7.7499999999999998E+54</v>
      </c>
      <c r="L319" t="e">
        <f>MATCH(K319, 보스체력!#REF!, 1)</f>
        <v>#REF!</v>
      </c>
      <c r="AC319">
        <v>318</v>
      </c>
      <c r="AD319">
        <f t="shared" si="10"/>
        <v>64</v>
      </c>
      <c r="AE319" cm="1">
        <f t="array" ref="AE319">INDEX(X:X, AD319+1)*AC319</f>
        <v>2035200</v>
      </c>
    </row>
    <row r="320" spans="1:31">
      <c r="A320">
        <v>319</v>
      </c>
      <c r="B320">
        <v>865000000</v>
      </c>
      <c r="C320">
        <v>100000000</v>
      </c>
      <c r="D320">
        <v>100000000</v>
      </c>
      <c r="E320">
        <v>100000000</v>
      </c>
      <c r="F320">
        <v>100000000</v>
      </c>
      <c r="G320">
        <v>100000000</v>
      </c>
      <c r="H320">
        <v>1000000</v>
      </c>
      <c r="I320">
        <v>1</v>
      </c>
      <c r="J320">
        <v>1</v>
      </c>
      <c r="K320">
        <f t="shared" si="9"/>
        <v>8.6500000000000002E+54</v>
      </c>
      <c r="L320" t="e">
        <f>MATCH(K320, 보스체력!#REF!, 1)</f>
        <v>#REF!</v>
      </c>
      <c r="AC320">
        <v>319</v>
      </c>
      <c r="AD320">
        <f t="shared" si="10"/>
        <v>64</v>
      </c>
      <c r="AE320" cm="1">
        <f t="array" ref="AE320">INDEX(X:X, AD320+1)*AC320</f>
        <v>2041600</v>
      </c>
    </row>
    <row r="321" spans="1:31">
      <c r="A321">
        <v>320</v>
      </c>
      <c r="B321">
        <v>955000000</v>
      </c>
      <c r="C321">
        <v>100000000</v>
      </c>
      <c r="D321">
        <v>100000000</v>
      </c>
      <c r="E321">
        <v>100000000</v>
      </c>
      <c r="F321">
        <v>100000000</v>
      </c>
      <c r="G321">
        <v>100000000</v>
      </c>
      <c r="H321">
        <v>1000000</v>
      </c>
      <c r="I321">
        <v>1</v>
      </c>
      <c r="J321">
        <v>1</v>
      </c>
      <c r="K321">
        <f t="shared" si="9"/>
        <v>9.5500000000000006E+54</v>
      </c>
      <c r="L321" t="e">
        <f>MATCH(K321, 보스체력!#REF!, 1)</f>
        <v>#REF!</v>
      </c>
      <c r="AC321">
        <v>320</v>
      </c>
      <c r="AD321">
        <f t="shared" si="10"/>
        <v>65</v>
      </c>
      <c r="AE321" cm="1">
        <f t="array" ref="AE321">INDEX(X:X, AD321+1)*AC321</f>
        <v>2080000</v>
      </c>
    </row>
    <row r="322" spans="1:31">
      <c r="A322">
        <v>321</v>
      </c>
      <c r="B322">
        <v>145000000</v>
      </c>
      <c r="C322">
        <v>100000000</v>
      </c>
      <c r="D322">
        <v>100000000</v>
      </c>
      <c r="E322">
        <v>100000000</v>
      </c>
      <c r="F322">
        <v>100000000</v>
      </c>
      <c r="G322">
        <v>100000000</v>
      </c>
      <c r="H322">
        <v>10000000</v>
      </c>
      <c r="I322">
        <v>1</v>
      </c>
      <c r="J322">
        <v>1</v>
      </c>
      <c r="K322">
        <f t="shared" si="9"/>
        <v>1.4499999999999997E+55</v>
      </c>
      <c r="L322" t="e">
        <f>MATCH(K322, 보스체력!#REF!, 1)</f>
        <v>#REF!</v>
      </c>
      <c r="AC322">
        <v>321</v>
      </c>
      <c r="AD322">
        <f t="shared" si="10"/>
        <v>65</v>
      </c>
      <c r="AE322" cm="1">
        <f t="array" ref="AE322">INDEX(X:X, AD322+1)*AC322</f>
        <v>2086500</v>
      </c>
    </row>
    <row r="323" spans="1:31">
      <c r="A323">
        <v>322</v>
      </c>
      <c r="B323">
        <v>235000000</v>
      </c>
      <c r="C323">
        <v>100000000</v>
      </c>
      <c r="D323">
        <v>100000000</v>
      </c>
      <c r="E323">
        <v>100000000</v>
      </c>
      <c r="F323">
        <v>100000000</v>
      </c>
      <c r="G323">
        <v>100000000</v>
      </c>
      <c r="H323">
        <v>10000000</v>
      </c>
      <c r="I323">
        <v>1</v>
      </c>
      <c r="J323">
        <v>1</v>
      </c>
      <c r="K323">
        <f t="shared" ref="K323:K376" si="11">J323*I323*H323*G323*F323*E323*D323*C323*B323</f>
        <v>2.3499999999999998E+55</v>
      </c>
      <c r="L323" t="e">
        <f>MATCH(K323, 보스체력!#REF!, 1)</f>
        <v>#REF!</v>
      </c>
      <c r="AC323">
        <v>322</v>
      </c>
      <c r="AD323">
        <f t="shared" ref="AD323:AD386" si="12">INT(AC323/5)+1</f>
        <v>65</v>
      </c>
      <c r="AE323" cm="1">
        <f t="array" ref="AE323">INDEX(X:X, AD323+1)*AC323</f>
        <v>2093000</v>
      </c>
    </row>
    <row r="324" spans="1:31">
      <c r="A324">
        <v>323</v>
      </c>
      <c r="B324">
        <v>325000000</v>
      </c>
      <c r="C324">
        <v>100000000</v>
      </c>
      <c r="D324">
        <v>100000000</v>
      </c>
      <c r="E324">
        <v>100000000</v>
      </c>
      <c r="F324">
        <v>100000000</v>
      </c>
      <c r="G324">
        <v>100000000</v>
      </c>
      <c r="H324">
        <v>10000000</v>
      </c>
      <c r="I324">
        <v>1</v>
      </c>
      <c r="J324">
        <v>1</v>
      </c>
      <c r="K324">
        <f t="shared" si="11"/>
        <v>3.2499999999999996E+55</v>
      </c>
      <c r="L324" t="e">
        <f>MATCH(K324, 보스체력!#REF!, 1)</f>
        <v>#REF!</v>
      </c>
      <c r="AC324">
        <v>323</v>
      </c>
      <c r="AD324">
        <f t="shared" si="12"/>
        <v>65</v>
      </c>
      <c r="AE324" cm="1">
        <f t="array" ref="AE324">INDEX(X:X, AD324+1)*AC324</f>
        <v>2099500</v>
      </c>
    </row>
    <row r="325" spans="1:31">
      <c r="A325">
        <v>324</v>
      </c>
      <c r="B325">
        <v>415000000</v>
      </c>
      <c r="C325">
        <v>100000000</v>
      </c>
      <c r="D325">
        <v>100000000</v>
      </c>
      <c r="E325">
        <v>100000000</v>
      </c>
      <c r="F325">
        <v>100000000</v>
      </c>
      <c r="G325">
        <v>100000000</v>
      </c>
      <c r="H325">
        <v>10000000</v>
      </c>
      <c r="I325">
        <v>1</v>
      </c>
      <c r="J325">
        <v>1</v>
      </c>
      <c r="K325">
        <f t="shared" si="11"/>
        <v>4.1499999999999992E+55</v>
      </c>
      <c r="L325" t="e">
        <f>MATCH(K325, 보스체력!#REF!, 1)</f>
        <v>#REF!</v>
      </c>
      <c r="AC325">
        <v>324</v>
      </c>
      <c r="AD325">
        <f t="shared" si="12"/>
        <v>65</v>
      </c>
      <c r="AE325" cm="1">
        <f t="array" ref="AE325">INDEX(X:X, AD325+1)*AC325</f>
        <v>2106000</v>
      </c>
    </row>
    <row r="326" spans="1:31">
      <c r="A326">
        <v>325</v>
      </c>
      <c r="B326">
        <v>505000000</v>
      </c>
      <c r="C326">
        <v>100000000</v>
      </c>
      <c r="D326">
        <v>100000000</v>
      </c>
      <c r="E326">
        <v>100000000</v>
      </c>
      <c r="F326">
        <v>100000000</v>
      </c>
      <c r="G326">
        <v>100000000</v>
      </c>
      <c r="H326">
        <v>10000000</v>
      </c>
      <c r="I326">
        <v>1</v>
      </c>
      <c r="J326">
        <v>1</v>
      </c>
      <c r="K326">
        <f t="shared" si="11"/>
        <v>5.0499999999999987E+55</v>
      </c>
      <c r="L326" t="e">
        <f>MATCH(K326, 보스체력!#REF!, 1)</f>
        <v>#REF!</v>
      </c>
      <c r="AC326">
        <v>325</v>
      </c>
      <c r="AD326">
        <f t="shared" si="12"/>
        <v>66</v>
      </c>
      <c r="AE326" cm="1">
        <f t="array" ref="AE326">INDEX(X:X, AD326+1)*AC326</f>
        <v>2145000</v>
      </c>
    </row>
    <row r="327" spans="1:31">
      <c r="A327">
        <v>326</v>
      </c>
      <c r="B327">
        <v>595000000</v>
      </c>
      <c r="C327">
        <v>100000000</v>
      </c>
      <c r="D327">
        <v>100000000</v>
      </c>
      <c r="E327">
        <v>100000000</v>
      </c>
      <c r="F327">
        <v>100000000</v>
      </c>
      <c r="G327">
        <v>100000000</v>
      </c>
      <c r="H327">
        <v>10000000</v>
      </c>
      <c r="I327">
        <v>1</v>
      </c>
      <c r="J327">
        <v>1</v>
      </c>
      <c r="K327">
        <f t="shared" si="11"/>
        <v>5.9499999999999988E+55</v>
      </c>
      <c r="L327" t="e">
        <f>MATCH(K327, 보스체력!#REF!, 1)</f>
        <v>#REF!</v>
      </c>
      <c r="AC327">
        <v>326</v>
      </c>
      <c r="AD327">
        <f t="shared" si="12"/>
        <v>66</v>
      </c>
      <c r="AE327" cm="1">
        <f t="array" ref="AE327">INDEX(X:X, AD327+1)*AC327</f>
        <v>2151600</v>
      </c>
    </row>
    <row r="328" spans="1:31">
      <c r="A328">
        <v>327</v>
      </c>
      <c r="B328">
        <v>685000000</v>
      </c>
      <c r="C328">
        <v>100000000</v>
      </c>
      <c r="D328">
        <v>100000000</v>
      </c>
      <c r="E328">
        <v>100000000</v>
      </c>
      <c r="F328">
        <v>100000000</v>
      </c>
      <c r="G328">
        <v>100000000</v>
      </c>
      <c r="H328">
        <v>10000000</v>
      </c>
      <c r="I328">
        <v>1</v>
      </c>
      <c r="J328">
        <v>1</v>
      </c>
      <c r="K328">
        <f t="shared" si="11"/>
        <v>6.8499999999999989E+55</v>
      </c>
      <c r="L328" t="e">
        <f>MATCH(K328, 보스체력!#REF!, 1)</f>
        <v>#REF!</v>
      </c>
      <c r="AC328">
        <v>327</v>
      </c>
      <c r="AD328">
        <f t="shared" si="12"/>
        <v>66</v>
      </c>
      <c r="AE328" cm="1">
        <f t="array" ref="AE328">INDEX(X:X, AD328+1)*AC328</f>
        <v>2158200</v>
      </c>
    </row>
    <row r="329" spans="1:31">
      <c r="A329">
        <v>328</v>
      </c>
      <c r="B329">
        <v>775000000</v>
      </c>
      <c r="C329">
        <v>100000000</v>
      </c>
      <c r="D329">
        <v>100000000</v>
      </c>
      <c r="E329">
        <v>100000000</v>
      </c>
      <c r="F329">
        <v>100000000</v>
      </c>
      <c r="G329">
        <v>100000000</v>
      </c>
      <c r="H329">
        <v>10000000</v>
      </c>
      <c r="I329">
        <v>1</v>
      </c>
      <c r="J329">
        <v>1</v>
      </c>
      <c r="K329">
        <f t="shared" si="11"/>
        <v>7.749999999999999E+55</v>
      </c>
      <c r="L329" t="e">
        <f>MATCH(K329, 보스체력!#REF!, 1)</f>
        <v>#REF!</v>
      </c>
      <c r="AC329">
        <v>328</v>
      </c>
      <c r="AD329">
        <f t="shared" si="12"/>
        <v>66</v>
      </c>
      <c r="AE329" cm="1">
        <f t="array" ref="AE329">INDEX(X:X, AD329+1)*AC329</f>
        <v>2164800</v>
      </c>
    </row>
    <row r="330" spans="1:31">
      <c r="A330">
        <v>329</v>
      </c>
      <c r="B330">
        <v>865000000</v>
      </c>
      <c r="C330">
        <v>100000000</v>
      </c>
      <c r="D330">
        <v>100000000</v>
      </c>
      <c r="E330">
        <v>100000000</v>
      </c>
      <c r="F330">
        <v>100000000</v>
      </c>
      <c r="G330">
        <v>100000000</v>
      </c>
      <c r="H330">
        <v>10000000</v>
      </c>
      <c r="I330">
        <v>1</v>
      </c>
      <c r="J330">
        <v>1</v>
      </c>
      <c r="K330">
        <f t="shared" si="11"/>
        <v>8.6499999999999991E+55</v>
      </c>
      <c r="L330" t="e">
        <f>MATCH(K330, 보스체력!#REF!, 1)</f>
        <v>#REF!</v>
      </c>
      <c r="AC330">
        <v>329</v>
      </c>
      <c r="AD330">
        <f t="shared" si="12"/>
        <v>66</v>
      </c>
      <c r="AE330" cm="1">
        <f t="array" ref="AE330">INDEX(X:X, AD330+1)*AC330</f>
        <v>2171400</v>
      </c>
    </row>
    <row r="331" spans="1:31">
      <c r="A331">
        <v>330</v>
      </c>
      <c r="B331">
        <v>955000000</v>
      </c>
      <c r="C331">
        <v>100000000</v>
      </c>
      <c r="D331">
        <v>100000000</v>
      </c>
      <c r="E331">
        <v>100000000</v>
      </c>
      <c r="F331">
        <v>100000000</v>
      </c>
      <c r="G331">
        <v>100000000</v>
      </c>
      <c r="H331">
        <v>10000000</v>
      </c>
      <c r="I331">
        <v>1</v>
      </c>
      <c r="J331">
        <v>1</v>
      </c>
      <c r="K331">
        <f t="shared" si="11"/>
        <v>9.5499999999999981E+55</v>
      </c>
      <c r="L331" t="e">
        <f>MATCH(K331, 보스체력!#REF!, 1)</f>
        <v>#REF!</v>
      </c>
      <c r="AC331">
        <v>330</v>
      </c>
      <c r="AD331">
        <f t="shared" si="12"/>
        <v>67</v>
      </c>
      <c r="AE331" cm="1">
        <f t="array" ref="AE331">INDEX(X:X, AD331+1)*AC331</f>
        <v>2211000</v>
      </c>
    </row>
    <row r="332" spans="1:31">
      <c r="A332">
        <v>331</v>
      </c>
      <c r="B332">
        <v>145000000</v>
      </c>
      <c r="C332">
        <v>100000000</v>
      </c>
      <c r="D332">
        <v>100000000</v>
      </c>
      <c r="E332">
        <v>100000000</v>
      </c>
      <c r="F332">
        <v>100000000</v>
      </c>
      <c r="G332">
        <v>100000000</v>
      </c>
      <c r="H332">
        <v>100000000</v>
      </c>
      <c r="I332">
        <v>1</v>
      </c>
      <c r="J332">
        <v>1</v>
      </c>
      <c r="K332">
        <f t="shared" si="11"/>
        <v>1.45E+56</v>
      </c>
      <c r="L332" t="e">
        <f>MATCH(K332, 보스체력!#REF!, 1)</f>
        <v>#REF!</v>
      </c>
      <c r="AC332">
        <v>331</v>
      </c>
      <c r="AD332">
        <f t="shared" si="12"/>
        <v>67</v>
      </c>
      <c r="AE332" cm="1">
        <f t="array" ref="AE332">INDEX(X:X, AD332+1)*AC332</f>
        <v>2217700</v>
      </c>
    </row>
    <row r="333" spans="1:31">
      <c r="A333">
        <v>332</v>
      </c>
      <c r="B333">
        <v>235000000</v>
      </c>
      <c r="C333">
        <v>100000000</v>
      </c>
      <c r="D333">
        <v>100000000</v>
      </c>
      <c r="E333">
        <v>100000000</v>
      </c>
      <c r="F333">
        <v>100000000</v>
      </c>
      <c r="G333">
        <v>100000000</v>
      </c>
      <c r="H333">
        <v>100000000</v>
      </c>
      <c r="I333">
        <v>1</v>
      </c>
      <c r="J333">
        <v>1</v>
      </c>
      <c r="K333">
        <f t="shared" si="11"/>
        <v>2.3500000000000001E+56</v>
      </c>
      <c r="L333" t="e">
        <f>MATCH(K333, 보스체력!#REF!, 1)</f>
        <v>#REF!</v>
      </c>
      <c r="AC333">
        <v>332</v>
      </c>
      <c r="AD333">
        <f t="shared" si="12"/>
        <v>67</v>
      </c>
      <c r="AE333" cm="1">
        <f t="array" ref="AE333">INDEX(X:X, AD333+1)*AC333</f>
        <v>2224400</v>
      </c>
    </row>
    <row r="334" spans="1:31">
      <c r="A334">
        <v>333</v>
      </c>
      <c r="B334">
        <v>325000000</v>
      </c>
      <c r="C334">
        <v>100000000</v>
      </c>
      <c r="D334">
        <v>100000000</v>
      </c>
      <c r="E334">
        <v>100000000</v>
      </c>
      <c r="F334">
        <v>100000000</v>
      </c>
      <c r="G334">
        <v>100000000</v>
      </c>
      <c r="H334">
        <v>100000000</v>
      </c>
      <c r="I334">
        <v>1</v>
      </c>
      <c r="J334">
        <v>1</v>
      </c>
      <c r="K334">
        <f t="shared" si="11"/>
        <v>3.25E+56</v>
      </c>
      <c r="L334" t="e">
        <f>MATCH(K334, 보스체력!#REF!, 1)</f>
        <v>#REF!</v>
      </c>
      <c r="AC334">
        <v>333</v>
      </c>
      <c r="AD334">
        <f t="shared" si="12"/>
        <v>67</v>
      </c>
      <c r="AE334" cm="1">
        <f t="array" ref="AE334">INDEX(X:X, AD334+1)*AC334</f>
        <v>2231100</v>
      </c>
    </row>
    <row r="335" spans="1:31">
      <c r="A335">
        <v>334</v>
      </c>
      <c r="B335">
        <v>415000000</v>
      </c>
      <c r="C335">
        <v>100000000</v>
      </c>
      <c r="D335">
        <v>100000000</v>
      </c>
      <c r="E335">
        <v>100000000</v>
      </c>
      <c r="F335">
        <v>100000000</v>
      </c>
      <c r="G335">
        <v>100000000</v>
      </c>
      <c r="H335">
        <v>100000000</v>
      </c>
      <c r="I335">
        <v>1</v>
      </c>
      <c r="J335">
        <v>1</v>
      </c>
      <c r="K335">
        <f t="shared" si="11"/>
        <v>4.1499999999999999E+56</v>
      </c>
      <c r="L335" t="e">
        <f>MATCH(K335, 보스체력!#REF!, 1)</f>
        <v>#REF!</v>
      </c>
      <c r="AC335">
        <v>334</v>
      </c>
      <c r="AD335">
        <f t="shared" si="12"/>
        <v>67</v>
      </c>
      <c r="AE335" cm="1">
        <f t="array" ref="AE335">INDEX(X:X, AD335+1)*AC335</f>
        <v>2237800</v>
      </c>
    </row>
    <row r="336" spans="1:31">
      <c r="A336">
        <v>335</v>
      </c>
      <c r="B336">
        <v>505000000</v>
      </c>
      <c r="C336">
        <v>100000000</v>
      </c>
      <c r="D336">
        <v>100000000</v>
      </c>
      <c r="E336">
        <v>100000000</v>
      </c>
      <c r="F336">
        <v>100000000</v>
      </c>
      <c r="G336">
        <v>100000000</v>
      </c>
      <c r="H336">
        <v>100000000</v>
      </c>
      <c r="I336">
        <v>1</v>
      </c>
      <c r="J336">
        <v>1</v>
      </c>
      <c r="K336">
        <f t="shared" si="11"/>
        <v>5.0499999999999998E+56</v>
      </c>
      <c r="L336" t="e">
        <f>MATCH(K336, 보스체력!#REF!, 1)</f>
        <v>#REF!</v>
      </c>
      <c r="AC336">
        <v>335</v>
      </c>
      <c r="AD336">
        <f t="shared" si="12"/>
        <v>68</v>
      </c>
      <c r="AE336" cm="1">
        <f t="array" ref="AE336">INDEX(X:X, AD336+1)*AC336</f>
        <v>2278000</v>
      </c>
    </row>
    <row r="337" spans="1:31">
      <c r="A337">
        <v>336</v>
      </c>
      <c r="B337">
        <v>595000000</v>
      </c>
      <c r="C337">
        <v>100000000</v>
      </c>
      <c r="D337">
        <v>100000000</v>
      </c>
      <c r="E337">
        <v>100000000</v>
      </c>
      <c r="F337">
        <v>100000000</v>
      </c>
      <c r="G337">
        <v>100000000</v>
      </c>
      <c r="H337">
        <v>100000000</v>
      </c>
      <c r="I337">
        <v>1</v>
      </c>
      <c r="J337">
        <v>1</v>
      </c>
      <c r="K337">
        <f t="shared" si="11"/>
        <v>5.9500000000000006E+56</v>
      </c>
      <c r="L337" t="e">
        <f>MATCH(K337, 보스체력!#REF!, 1)</f>
        <v>#REF!</v>
      </c>
      <c r="AC337">
        <v>336</v>
      </c>
      <c r="AD337">
        <f t="shared" si="12"/>
        <v>68</v>
      </c>
      <c r="AE337" cm="1">
        <f t="array" ref="AE337">INDEX(X:X, AD337+1)*AC337</f>
        <v>2284800</v>
      </c>
    </row>
    <row r="338" spans="1:31">
      <c r="A338">
        <v>337</v>
      </c>
      <c r="B338">
        <v>685000000</v>
      </c>
      <c r="C338">
        <v>100000000</v>
      </c>
      <c r="D338">
        <v>100000000</v>
      </c>
      <c r="E338">
        <v>100000000</v>
      </c>
      <c r="F338">
        <v>100000000</v>
      </c>
      <c r="G338">
        <v>100000000</v>
      </c>
      <c r="H338">
        <v>100000000</v>
      </c>
      <c r="I338">
        <v>1</v>
      </c>
      <c r="J338">
        <v>1</v>
      </c>
      <c r="K338">
        <f t="shared" si="11"/>
        <v>6.8500000000000004E+56</v>
      </c>
      <c r="L338" t="e">
        <f>MATCH(K338, 보스체력!#REF!, 1)</f>
        <v>#REF!</v>
      </c>
      <c r="AC338">
        <v>337</v>
      </c>
      <c r="AD338">
        <f t="shared" si="12"/>
        <v>68</v>
      </c>
      <c r="AE338" cm="1">
        <f t="array" ref="AE338">INDEX(X:X, AD338+1)*AC338</f>
        <v>2291600</v>
      </c>
    </row>
    <row r="339" spans="1:31">
      <c r="A339">
        <v>338</v>
      </c>
      <c r="B339">
        <v>775000000</v>
      </c>
      <c r="C339">
        <v>100000000</v>
      </c>
      <c r="D339">
        <v>100000000</v>
      </c>
      <c r="E339">
        <v>100000000</v>
      </c>
      <c r="F339">
        <v>100000000</v>
      </c>
      <c r="G339">
        <v>100000000</v>
      </c>
      <c r="H339">
        <v>100000000</v>
      </c>
      <c r="I339">
        <v>1</v>
      </c>
      <c r="J339">
        <v>1</v>
      </c>
      <c r="K339">
        <f t="shared" si="11"/>
        <v>7.7500000000000003E+56</v>
      </c>
      <c r="L339" t="e">
        <f>MATCH(K339, 보스체력!#REF!, 1)</f>
        <v>#REF!</v>
      </c>
      <c r="AC339">
        <v>338</v>
      </c>
      <c r="AD339">
        <f t="shared" si="12"/>
        <v>68</v>
      </c>
      <c r="AE339" cm="1">
        <f t="array" ref="AE339">INDEX(X:X, AD339+1)*AC339</f>
        <v>2298400</v>
      </c>
    </row>
    <row r="340" spans="1:31">
      <c r="A340">
        <v>339</v>
      </c>
      <c r="B340">
        <v>865000000</v>
      </c>
      <c r="C340">
        <v>100000000</v>
      </c>
      <c r="D340">
        <v>100000000</v>
      </c>
      <c r="E340">
        <v>100000000</v>
      </c>
      <c r="F340">
        <v>100000000</v>
      </c>
      <c r="G340">
        <v>100000000</v>
      </c>
      <c r="H340">
        <v>100000000</v>
      </c>
      <c r="I340">
        <v>1</v>
      </c>
      <c r="J340">
        <v>1</v>
      </c>
      <c r="K340">
        <f t="shared" si="11"/>
        <v>8.6500000000000002E+56</v>
      </c>
      <c r="L340" t="e">
        <f>MATCH(K340, 보스체력!#REF!, 1)</f>
        <v>#REF!</v>
      </c>
      <c r="AC340">
        <v>339</v>
      </c>
      <c r="AD340">
        <f t="shared" si="12"/>
        <v>68</v>
      </c>
      <c r="AE340" cm="1">
        <f t="array" ref="AE340">INDEX(X:X, AD340+1)*AC340</f>
        <v>2305200</v>
      </c>
    </row>
    <row r="341" spans="1:31">
      <c r="A341">
        <v>340</v>
      </c>
      <c r="B341">
        <v>955000000</v>
      </c>
      <c r="C341">
        <v>100000000</v>
      </c>
      <c r="D341">
        <v>100000000</v>
      </c>
      <c r="E341">
        <v>100000000</v>
      </c>
      <c r="F341">
        <v>100000000</v>
      </c>
      <c r="G341">
        <v>100000000</v>
      </c>
      <c r="H341">
        <v>100000000</v>
      </c>
      <c r="I341">
        <v>1</v>
      </c>
      <c r="J341">
        <v>1</v>
      </c>
      <c r="K341">
        <f t="shared" si="11"/>
        <v>9.550000000000001E+56</v>
      </c>
      <c r="L341" t="e">
        <f>MATCH(K341, 보스체력!#REF!, 1)</f>
        <v>#REF!</v>
      </c>
      <c r="AC341">
        <v>340</v>
      </c>
      <c r="AD341">
        <f t="shared" si="12"/>
        <v>69</v>
      </c>
      <c r="AE341" cm="1">
        <f t="array" ref="AE341">INDEX(X:X, AD341+1)*AC341</f>
        <v>2346000</v>
      </c>
    </row>
    <row r="342" spans="1:31">
      <c r="A342">
        <v>341</v>
      </c>
      <c r="B342">
        <v>145000000</v>
      </c>
      <c r="C342">
        <v>100000000</v>
      </c>
      <c r="D342">
        <v>100000000</v>
      </c>
      <c r="E342">
        <v>100000000</v>
      </c>
      <c r="F342">
        <v>100000000</v>
      </c>
      <c r="G342">
        <v>100000000</v>
      </c>
      <c r="H342">
        <v>100000000</v>
      </c>
      <c r="I342">
        <v>10</v>
      </c>
      <c r="J342">
        <v>1</v>
      </c>
      <c r="K342">
        <f t="shared" si="11"/>
        <v>1.4499999999999999E+57</v>
      </c>
      <c r="L342" t="e">
        <f>MATCH(K342, 보스체력!#REF!, 1)</f>
        <v>#REF!</v>
      </c>
      <c r="AC342">
        <v>341</v>
      </c>
      <c r="AD342">
        <f t="shared" si="12"/>
        <v>69</v>
      </c>
      <c r="AE342" cm="1">
        <f t="array" ref="AE342">INDEX(X:X, AD342+1)*AC342</f>
        <v>2352900</v>
      </c>
    </row>
    <row r="343" spans="1:31">
      <c r="A343">
        <v>342</v>
      </c>
      <c r="B343">
        <v>235000000</v>
      </c>
      <c r="C343">
        <v>100000000</v>
      </c>
      <c r="D343">
        <v>100000000</v>
      </c>
      <c r="E343">
        <v>100000000</v>
      </c>
      <c r="F343">
        <v>100000000</v>
      </c>
      <c r="G343">
        <v>100000000</v>
      </c>
      <c r="H343">
        <v>100000000</v>
      </c>
      <c r="I343">
        <v>10</v>
      </c>
      <c r="J343">
        <v>1</v>
      </c>
      <c r="K343">
        <f t="shared" si="11"/>
        <v>2.3499999999999998E+57</v>
      </c>
      <c r="L343" t="e">
        <f>MATCH(K343, 보스체력!#REF!, 1)</f>
        <v>#REF!</v>
      </c>
      <c r="AC343">
        <v>342</v>
      </c>
      <c r="AD343">
        <f t="shared" si="12"/>
        <v>69</v>
      </c>
      <c r="AE343" cm="1">
        <f t="array" ref="AE343">INDEX(X:X, AD343+1)*AC343</f>
        <v>2359800</v>
      </c>
    </row>
    <row r="344" spans="1:31">
      <c r="A344">
        <v>343</v>
      </c>
      <c r="B344">
        <v>325000000</v>
      </c>
      <c r="C344">
        <v>100000000</v>
      </c>
      <c r="D344">
        <v>100000000</v>
      </c>
      <c r="E344">
        <v>100000000</v>
      </c>
      <c r="F344">
        <v>100000000</v>
      </c>
      <c r="G344">
        <v>100000000</v>
      </c>
      <c r="H344">
        <v>100000000</v>
      </c>
      <c r="I344">
        <v>10</v>
      </c>
      <c r="J344">
        <v>1</v>
      </c>
      <c r="K344">
        <f t="shared" si="11"/>
        <v>3.2499999999999999E+57</v>
      </c>
      <c r="L344" t="e">
        <f>MATCH(K344, 보스체력!#REF!, 1)</f>
        <v>#REF!</v>
      </c>
      <c r="AC344">
        <v>343</v>
      </c>
      <c r="AD344">
        <f t="shared" si="12"/>
        <v>69</v>
      </c>
      <c r="AE344" cm="1">
        <f t="array" ref="AE344">INDEX(X:X, AD344+1)*AC344</f>
        <v>2366700</v>
      </c>
    </row>
    <row r="345" spans="1:31">
      <c r="A345">
        <v>344</v>
      </c>
      <c r="B345">
        <v>415000000</v>
      </c>
      <c r="C345">
        <v>100000000</v>
      </c>
      <c r="D345">
        <v>100000000</v>
      </c>
      <c r="E345">
        <v>100000000</v>
      </c>
      <c r="F345">
        <v>100000000</v>
      </c>
      <c r="G345">
        <v>100000000</v>
      </c>
      <c r="H345">
        <v>100000000</v>
      </c>
      <c r="I345">
        <v>10</v>
      </c>
      <c r="J345">
        <v>1</v>
      </c>
      <c r="K345">
        <f t="shared" si="11"/>
        <v>4.1499999999999996E+57</v>
      </c>
      <c r="L345" t="e">
        <f>MATCH(K345, 보스체력!#REF!, 1)</f>
        <v>#REF!</v>
      </c>
      <c r="AC345">
        <v>344</v>
      </c>
      <c r="AD345">
        <f t="shared" si="12"/>
        <v>69</v>
      </c>
      <c r="AE345" cm="1">
        <f t="array" ref="AE345">INDEX(X:X, AD345+1)*AC345</f>
        <v>2373600</v>
      </c>
    </row>
    <row r="346" spans="1:31">
      <c r="A346">
        <v>345</v>
      </c>
      <c r="B346">
        <v>505000000</v>
      </c>
      <c r="C346">
        <v>100000000</v>
      </c>
      <c r="D346">
        <v>100000000</v>
      </c>
      <c r="E346">
        <v>100000000</v>
      </c>
      <c r="F346">
        <v>100000000</v>
      </c>
      <c r="G346">
        <v>100000000</v>
      </c>
      <c r="H346">
        <v>100000000</v>
      </c>
      <c r="I346">
        <v>10</v>
      </c>
      <c r="J346">
        <v>1</v>
      </c>
      <c r="K346">
        <f t="shared" si="11"/>
        <v>5.05E+57</v>
      </c>
      <c r="L346" t="e">
        <f>MATCH(K346, 보스체력!#REF!, 1)</f>
        <v>#REF!</v>
      </c>
      <c r="AC346">
        <v>345</v>
      </c>
      <c r="AD346">
        <f t="shared" si="12"/>
        <v>70</v>
      </c>
      <c r="AE346" cm="1">
        <f t="array" ref="AE346">INDEX(X:X, AD346+1)*AC346</f>
        <v>2415000</v>
      </c>
    </row>
    <row r="347" spans="1:31">
      <c r="A347">
        <v>346</v>
      </c>
      <c r="B347">
        <v>595000000</v>
      </c>
      <c r="C347">
        <v>100000000</v>
      </c>
      <c r="D347">
        <v>100000000</v>
      </c>
      <c r="E347">
        <v>100000000</v>
      </c>
      <c r="F347">
        <v>100000000</v>
      </c>
      <c r="G347">
        <v>100000000</v>
      </c>
      <c r="H347">
        <v>100000000</v>
      </c>
      <c r="I347">
        <v>10</v>
      </c>
      <c r="J347">
        <v>1</v>
      </c>
      <c r="K347">
        <f t="shared" si="11"/>
        <v>5.9499999999999997E+57</v>
      </c>
      <c r="L347" t="e">
        <f>MATCH(K347, 보스체력!#REF!, 1)</f>
        <v>#REF!</v>
      </c>
      <c r="AC347">
        <v>346</v>
      </c>
      <c r="AD347">
        <f t="shared" si="12"/>
        <v>70</v>
      </c>
      <c r="AE347" cm="1">
        <f t="array" ref="AE347">INDEX(X:X, AD347+1)*AC347</f>
        <v>2422000</v>
      </c>
    </row>
    <row r="348" spans="1:31">
      <c r="A348">
        <v>347</v>
      </c>
      <c r="B348">
        <v>685000000</v>
      </c>
      <c r="C348">
        <v>100000000</v>
      </c>
      <c r="D348">
        <v>100000000</v>
      </c>
      <c r="E348">
        <v>100000000</v>
      </c>
      <c r="F348">
        <v>100000000</v>
      </c>
      <c r="G348">
        <v>100000000</v>
      </c>
      <c r="H348">
        <v>100000000</v>
      </c>
      <c r="I348">
        <v>10</v>
      </c>
      <c r="J348">
        <v>1</v>
      </c>
      <c r="K348">
        <f t="shared" si="11"/>
        <v>6.8499999999999994E+57</v>
      </c>
      <c r="L348" t="e">
        <f>MATCH(K348, 보스체력!#REF!, 1)</f>
        <v>#REF!</v>
      </c>
      <c r="AC348">
        <v>347</v>
      </c>
      <c r="AD348">
        <f t="shared" si="12"/>
        <v>70</v>
      </c>
      <c r="AE348" cm="1">
        <f t="array" ref="AE348">INDEX(X:X, AD348+1)*AC348</f>
        <v>2429000</v>
      </c>
    </row>
    <row r="349" spans="1:31">
      <c r="A349">
        <v>348</v>
      </c>
      <c r="B349">
        <v>775000000</v>
      </c>
      <c r="C349">
        <v>100000000</v>
      </c>
      <c r="D349">
        <v>100000000</v>
      </c>
      <c r="E349">
        <v>100000000</v>
      </c>
      <c r="F349">
        <v>100000000</v>
      </c>
      <c r="G349">
        <v>100000000</v>
      </c>
      <c r="H349">
        <v>100000000</v>
      </c>
      <c r="I349">
        <v>10</v>
      </c>
      <c r="J349">
        <v>1</v>
      </c>
      <c r="K349">
        <f t="shared" si="11"/>
        <v>7.7499999999999998E+57</v>
      </c>
      <c r="L349" t="e">
        <f>MATCH(K349, 보스체력!#REF!, 1)</f>
        <v>#REF!</v>
      </c>
      <c r="AC349">
        <v>348</v>
      </c>
      <c r="AD349">
        <f t="shared" si="12"/>
        <v>70</v>
      </c>
      <c r="AE349" cm="1">
        <f t="array" ref="AE349">INDEX(X:X, AD349+1)*AC349</f>
        <v>2436000</v>
      </c>
    </row>
    <row r="350" spans="1:31">
      <c r="A350">
        <v>349</v>
      </c>
      <c r="B350">
        <v>865000000</v>
      </c>
      <c r="C350">
        <v>100000000</v>
      </c>
      <c r="D350">
        <v>100000000</v>
      </c>
      <c r="E350">
        <v>100000000</v>
      </c>
      <c r="F350">
        <v>100000000</v>
      </c>
      <c r="G350">
        <v>100000000</v>
      </c>
      <c r="H350">
        <v>100000000</v>
      </c>
      <c r="I350">
        <v>10</v>
      </c>
      <c r="J350">
        <v>1</v>
      </c>
      <c r="K350">
        <f t="shared" si="11"/>
        <v>8.6500000000000002E+57</v>
      </c>
      <c r="L350" t="e">
        <f>MATCH(K350, 보스체력!#REF!, 1)</f>
        <v>#REF!</v>
      </c>
      <c r="AC350">
        <v>349</v>
      </c>
      <c r="AD350">
        <f t="shared" si="12"/>
        <v>70</v>
      </c>
      <c r="AE350" cm="1">
        <f t="array" ref="AE350">INDEX(X:X, AD350+1)*AC350</f>
        <v>2443000</v>
      </c>
    </row>
    <row r="351" spans="1:31">
      <c r="A351">
        <v>350</v>
      </c>
      <c r="B351">
        <v>955000000</v>
      </c>
      <c r="C351">
        <v>100000000</v>
      </c>
      <c r="D351">
        <v>100000000</v>
      </c>
      <c r="E351">
        <v>100000000</v>
      </c>
      <c r="F351">
        <v>100000000</v>
      </c>
      <c r="G351">
        <v>100000000</v>
      </c>
      <c r="H351">
        <v>100000000</v>
      </c>
      <c r="I351">
        <v>10</v>
      </c>
      <c r="J351">
        <v>1</v>
      </c>
      <c r="K351">
        <f t="shared" si="11"/>
        <v>9.5499999999999992E+57</v>
      </c>
      <c r="L351" t="e">
        <f>MATCH(K351, 보스체력!#REF!, 1)</f>
        <v>#REF!</v>
      </c>
      <c r="AC351">
        <v>350</v>
      </c>
      <c r="AD351">
        <f t="shared" si="12"/>
        <v>71</v>
      </c>
      <c r="AE351" cm="1">
        <f t="array" ref="AE351">INDEX(X:X, AD351+1)*AC351</f>
        <v>2485000</v>
      </c>
    </row>
    <row r="352" spans="1:31">
      <c r="A352">
        <v>351</v>
      </c>
      <c r="B352">
        <v>145000000</v>
      </c>
      <c r="C352">
        <v>100000000</v>
      </c>
      <c r="D352">
        <v>100000000</v>
      </c>
      <c r="E352">
        <v>100000000</v>
      </c>
      <c r="F352">
        <v>100000000</v>
      </c>
      <c r="G352">
        <v>100000000</v>
      </c>
      <c r="H352">
        <v>100000000</v>
      </c>
      <c r="I352">
        <v>100</v>
      </c>
      <c r="J352">
        <v>1</v>
      </c>
      <c r="K352">
        <f t="shared" si="11"/>
        <v>1.45E+58</v>
      </c>
      <c r="L352" t="e">
        <f>MATCH(K352, 보스체력!#REF!, 1)</f>
        <v>#REF!</v>
      </c>
      <c r="AC352">
        <v>351</v>
      </c>
      <c r="AD352">
        <f t="shared" si="12"/>
        <v>71</v>
      </c>
      <c r="AE352" cm="1">
        <f t="array" ref="AE352">INDEX(X:X, AD352+1)*AC352</f>
        <v>2492100</v>
      </c>
    </row>
    <row r="353" spans="1:31">
      <c r="A353">
        <v>352</v>
      </c>
      <c r="B353">
        <v>235000000</v>
      </c>
      <c r="C353">
        <v>100000000</v>
      </c>
      <c r="D353">
        <v>100000000</v>
      </c>
      <c r="E353">
        <v>100000000</v>
      </c>
      <c r="F353">
        <v>100000000</v>
      </c>
      <c r="G353">
        <v>100000000</v>
      </c>
      <c r="H353">
        <v>100000000</v>
      </c>
      <c r="I353">
        <v>100</v>
      </c>
      <c r="J353">
        <v>1</v>
      </c>
      <c r="K353">
        <f t="shared" si="11"/>
        <v>2.3500000000000001E+58</v>
      </c>
      <c r="L353" t="e">
        <f>MATCH(K353, 보스체력!#REF!, 1)</f>
        <v>#REF!</v>
      </c>
      <c r="AC353">
        <v>352</v>
      </c>
      <c r="AD353">
        <f t="shared" si="12"/>
        <v>71</v>
      </c>
      <c r="AE353" cm="1">
        <f t="array" ref="AE353">INDEX(X:X, AD353+1)*AC353</f>
        <v>2499200</v>
      </c>
    </row>
    <row r="354" spans="1:31">
      <c r="A354">
        <v>353</v>
      </c>
      <c r="B354">
        <v>325000000</v>
      </c>
      <c r="C354">
        <v>100000000</v>
      </c>
      <c r="D354">
        <v>100000000</v>
      </c>
      <c r="E354">
        <v>100000000</v>
      </c>
      <c r="F354">
        <v>100000000</v>
      </c>
      <c r="G354">
        <v>100000000</v>
      </c>
      <c r="H354">
        <v>100000000</v>
      </c>
      <c r="I354">
        <v>100</v>
      </c>
      <c r="J354">
        <v>1</v>
      </c>
      <c r="K354">
        <f t="shared" si="11"/>
        <v>3.25E+58</v>
      </c>
      <c r="L354" t="e">
        <f>MATCH(K354, 보스체력!#REF!, 1)</f>
        <v>#REF!</v>
      </c>
      <c r="AC354">
        <v>353</v>
      </c>
      <c r="AD354">
        <f t="shared" si="12"/>
        <v>71</v>
      </c>
      <c r="AE354" cm="1">
        <f t="array" ref="AE354">INDEX(X:X, AD354+1)*AC354</f>
        <v>2506300</v>
      </c>
    </row>
    <row r="355" spans="1:31">
      <c r="A355">
        <v>354</v>
      </c>
      <c r="B355">
        <v>415000000</v>
      </c>
      <c r="C355">
        <v>100000000</v>
      </c>
      <c r="D355">
        <v>100000000</v>
      </c>
      <c r="E355">
        <v>100000000</v>
      </c>
      <c r="F355">
        <v>100000000</v>
      </c>
      <c r="G355">
        <v>100000000</v>
      </c>
      <c r="H355">
        <v>100000000</v>
      </c>
      <c r="I355">
        <v>100</v>
      </c>
      <c r="J355">
        <v>1</v>
      </c>
      <c r="K355">
        <f t="shared" si="11"/>
        <v>4.1500000000000004E+58</v>
      </c>
      <c r="L355" t="e">
        <f>MATCH(K355, 보스체력!#REF!, 1)</f>
        <v>#REF!</v>
      </c>
      <c r="AC355">
        <v>354</v>
      </c>
      <c r="AD355">
        <f t="shared" si="12"/>
        <v>71</v>
      </c>
      <c r="AE355" cm="1">
        <f t="array" ref="AE355">INDEX(X:X, AD355+1)*AC355</f>
        <v>2513400</v>
      </c>
    </row>
    <row r="356" spans="1:31">
      <c r="A356">
        <v>355</v>
      </c>
      <c r="B356">
        <v>505000000</v>
      </c>
      <c r="C356">
        <v>100000000</v>
      </c>
      <c r="D356">
        <v>100000000</v>
      </c>
      <c r="E356">
        <v>100000000</v>
      </c>
      <c r="F356">
        <v>100000000</v>
      </c>
      <c r="G356">
        <v>100000000</v>
      </c>
      <c r="H356">
        <v>100000000</v>
      </c>
      <c r="I356">
        <v>100</v>
      </c>
      <c r="J356">
        <v>1</v>
      </c>
      <c r="K356">
        <f t="shared" si="11"/>
        <v>5.0500000000000003E+58</v>
      </c>
      <c r="L356" t="e">
        <f>MATCH(K356, 보스체력!#REF!, 1)</f>
        <v>#REF!</v>
      </c>
      <c r="AC356">
        <v>355</v>
      </c>
      <c r="AD356">
        <f t="shared" si="12"/>
        <v>72</v>
      </c>
      <c r="AE356" cm="1">
        <f t="array" ref="AE356">INDEX(X:X, AD356+1)*AC356</f>
        <v>2556000</v>
      </c>
    </row>
    <row r="357" spans="1:31">
      <c r="A357">
        <v>356</v>
      </c>
      <c r="B357">
        <v>595000000</v>
      </c>
      <c r="C357">
        <v>100000000</v>
      </c>
      <c r="D357">
        <v>100000000</v>
      </c>
      <c r="E357">
        <v>100000000</v>
      </c>
      <c r="F357">
        <v>100000000</v>
      </c>
      <c r="G357">
        <v>100000000</v>
      </c>
      <c r="H357">
        <v>100000000</v>
      </c>
      <c r="I357">
        <v>100</v>
      </c>
      <c r="J357">
        <v>1</v>
      </c>
      <c r="K357">
        <f t="shared" si="11"/>
        <v>5.9500000000000007E+58</v>
      </c>
      <c r="L357" t="e">
        <f>MATCH(K357, 보스체력!#REF!, 1)</f>
        <v>#REF!</v>
      </c>
      <c r="AC357">
        <v>356</v>
      </c>
      <c r="AD357">
        <f t="shared" si="12"/>
        <v>72</v>
      </c>
      <c r="AE357" cm="1">
        <f t="array" ref="AE357">INDEX(X:X, AD357+1)*AC357</f>
        <v>2563200</v>
      </c>
    </row>
    <row r="358" spans="1:31">
      <c r="A358">
        <v>357</v>
      </c>
      <c r="B358">
        <v>685000000</v>
      </c>
      <c r="C358">
        <v>100000000</v>
      </c>
      <c r="D358">
        <v>100000000</v>
      </c>
      <c r="E358">
        <v>100000000</v>
      </c>
      <c r="F358">
        <v>100000000</v>
      </c>
      <c r="G358">
        <v>100000000</v>
      </c>
      <c r="H358">
        <v>100000000</v>
      </c>
      <c r="I358">
        <v>100</v>
      </c>
      <c r="J358">
        <v>1</v>
      </c>
      <c r="K358">
        <f t="shared" si="11"/>
        <v>6.8500000000000011E+58</v>
      </c>
      <c r="L358" t="e">
        <f>MATCH(K358, 보스체력!#REF!, 1)</f>
        <v>#REF!</v>
      </c>
      <c r="AC358">
        <v>357</v>
      </c>
      <c r="AD358">
        <f t="shared" si="12"/>
        <v>72</v>
      </c>
      <c r="AE358" cm="1">
        <f t="array" ref="AE358">INDEX(X:X, AD358+1)*AC358</f>
        <v>2570400</v>
      </c>
    </row>
    <row r="359" spans="1:31">
      <c r="A359">
        <v>358</v>
      </c>
      <c r="B359">
        <v>775000000</v>
      </c>
      <c r="C359">
        <v>100000000</v>
      </c>
      <c r="D359">
        <v>100000000</v>
      </c>
      <c r="E359">
        <v>100000000</v>
      </c>
      <c r="F359">
        <v>100000000</v>
      </c>
      <c r="G359">
        <v>100000000</v>
      </c>
      <c r="H359">
        <v>100000000</v>
      </c>
      <c r="I359">
        <v>100</v>
      </c>
      <c r="J359">
        <v>1</v>
      </c>
      <c r="K359">
        <f t="shared" si="11"/>
        <v>7.7500000000000004E+58</v>
      </c>
      <c r="L359" t="e">
        <f>MATCH(K359, 보스체력!#REF!, 1)</f>
        <v>#REF!</v>
      </c>
      <c r="AC359">
        <v>358</v>
      </c>
      <c r="AD359">
        <f t="shared" si="12"/>
        <v>72</v>
      </c>
      <c r="AE359" cm="1">
        <f t="array" ref="AE359">INDEX(X:X, AD359+1)*AC359</f>
        <v>2577600</v>
      </c>
    </row>
    <row r="360" spans="1:31">
      <c r="A360">
        <v>359</v>
      </c>
      <c r="B360">
        <v>865000000</v>
      </c>
      <c r="C360">
        <v>100000000</v>
      </c>
      <c r="D360">
        <v>100000000</v>
      </c>
      <c r="E360">
        <v>100000000</v>
      </c>
      <c r="F360">
        <v>100000000</v>
      </c>
      <c r="G360">
        <v>100000000</v>
      </c>
      <c r="H360">
        <v>100000000</v>
      </c>
      <c r="I360">
        <v>100</v>
      </c>
      <c r="J360">
        <v>1</v>
      </c>
      <c r="K360">
        <f t="shared" si="11"/>
        <v>8.6500000000000008E+58</v>
      </c>
      <c r="L360" t="e">
        <f>MATCH(K360, 보스체력!#REF!, 1)</f>
        <v>#REF!</v>
      </c>
      <c r="AC360">
        <v>359</v>
      </c>
      <c r="AD360">
        <f t="shared" si="12"/>
        <v>72</v>
      </c>
      <c r="AE360" cm="1">
        <f t="array" ref="AE360">INDEX(X:X, AD360+1)*AC360</f>
        <v>2584800</v>
      </c>
    </row>
    <row r="361" spans="1:31">
      <c r="A361">
        <v>360</v>
      </c>
      <c r="B361">
        <v>955000000</v>
      </c>
      <c r="C361">
        <v>100000000</v>
      </c>
      <c r="D361">
        <v>100000000</v>
      </c>
      <c r="E361">
        <v>100000000</v>
      </c>
      <c r="F361">
        <v>100000000</v>
      </c>
      <c r="G361">
        <v>100000000</v>
      </c>
      <c r="H361">
        <v>100000000</v>
      </c>
      <c r="I361">
        <v>100</v>
      </c>
      <c r="J361">
        <v>1</v>
      </c>
      <c r="K361">
        <f t="shared" si="11"/>
        <v>9.5500000000000012E+58</v>
      </c>
      <c r="L361" t="e">
        <f>MATCH(K361, 보스체력!#REF!, 1)</f>
        <v>#REF!</v>
      </c>
      <c r="AC361">
        <v>360</v>
      </c>
      <c r="AD361">
        <f t="shared" si="12"/>
        <v>73</v>
      </c>
      <c r="AE361" cm="1">
        <f t="array" ref="AE361">INDEX(X:X, AD361+1)*AC361</f>
        <v>2628000</v>
      </c>
    </row>
    <row r="362" spans="1:31">
      <c r="A362">
        <v>361</v>
      </c>
      <c r="B362">
        <v>145000000</v>
      </c>
      <c r="C362">
        <v>100000000</v>
      </c>
      <c r="D362">
        <v>100000000</v>
      </c>
      <c r="E362">
        <v>100000000</v>
      </c>
      <c r="F362">
        <v>100000000</v>
      </c>
      <c r="G362">
        <v>100000000</v>
      </c>
      <c r="H362">
        <v>100000000</v>
      </c>
      <c r="I362">
        <v>1000</v>
      </c>
      <c r="J362">
        <v>1</v>
      </c>
      <c r="K362">
        <f t="shared" si="11"/>
        <v>1.45E+59</v>
      </c>
      <c r="L362" t="e">
        <f>MATCH(K362, 보스체력!#REF!, 1)</f>
        <v>#REF!</v>
      </c>
      <c r="AC362">
        <v>361</v>
      </c>
      <c r="AD362">
        <f t="shared" si="12"/>
        <v>73</v>
      </c>
      <c r="AE362" cm="1">
        <f t="array" ref="AE362">INDEX(X:X, AD362+1)*AC362</f>
        <v>2635300</v>
      </c>
    </row>
    <row r="363" spans="1:31">
      <c r="A363">
        <v>362</v>
      </c>
      <c r="B363">
        <v>235000000</v>
      </c>
      <c r="C363">
        <v>100000000</v>
      </c>
      <c r="D363">
        <v>100000000</v>
      </c>
      <c r="E363">
        <v>100000000</v>
      </c>
      <c r="F363">
        <v>100000000</v>
      </c>
      <c r="G363">
        <v>100000000</v>
      </c>
      <c r="H363">
        <v>100000000</v>
      </c>
      <c r="I363">
        <v>1000</v>
      </c>
      <c r="J363">
        <v>1</v>
      </c>
      <c r="K363">
        <f t="shared" si="11"/>
        <v>2.3499999999999999E+59</v>
      </c>
      <c r="L363" t="e">
        <f>MATCH(K363, 보스체력!#REF!, 1)</f>
        <v>#REF!</v>
      </c>
      <c r="AC363">
        <v>362</v>
      </c>
      <c r="AD363">
        <f t="shared" si="12"/>
        <v>73</v>
      </c>
      <c r="AE363" cm="1">
        <f t="array" ref="AE363">INDEX(X:X, AD363+1)*AC363</f>
        <v>2642600</v>
      </c>
    </row>
    <row r="364" spans="1:31">
      <c r="A364">
        <v>363</v>
      </c>
      <c r="B364">
        <v>325000000</v>
      </c>
      <c r="C364">
        <v>100000000</v>
      </c>
      <c r="D364">
        <v>100000000</v>
      </c>
      <c r="E364">
        <v>100000000</v>
      </c>
      <c r="F364">
        <v>100000000</v>
      </c>
      <c r="G364">
        <v>100000000</v>
      </c>
      <c r="H364">
        <v>100000000</v>
      </c>
      <c r="I364">
        <v>1000</v>
      </c>
      <c r="J364">
        <v>1</v>
      </c>
      <c r="K364">
        <f t="shared" si="11"/>
        <v>3.2500000000000001E+59</v>
      </c>
      <c r="L364" t="e">
        <f>MATCH(K364, 보스체력!#REF!, 1)</f>
        <v>#REF!</v>
      </c>
      <c r="AC364">
        <v>363</v>
      </c>
      <c r="AD364">
        <f t="shared" si="12"/>
        <v>73</v>
      </c>
      <c r="AE364" cm="1">
        <f t="array" ref="AE364">INDEX(X:X, AD364+1)*AC364</f>
        <v>2649900</v>
      </c>
    </row>
    <row r="365" spans="1:31">
      <c r="A365">
        <v>364</v>
      </c>
      <c r="B365">
        <v>415000000</v>
      </c>
      <c r="C365">
        <v>100000000</v>
      </c>
      <c r="D365">
        <v>100000000</v>
      </c>
      <c r="E365">
        <v>100000000</v>
      </c>
      <c r="F365">
        <v>100000000</v>
      </c>
      <c r="G365">
        <v>100000000</v>
      </c>
      <c r="H365">
        <v>100000000</v>
      </c>
      <c r="I365">
        <v>1000</v>
      </c>
      <c r="J365">
        <v>1</v>
      </c>
      <c r="K365">
        <f t="shared" si="11"/>
        <v>4.1500000000000003E+59</v>
      </c>
      <c r="L365" t="e">
        <f>MATCH(K365, 보스체력!#REF!, 1)</f>
        <v>#REF!</v>
      </c>
      <c r="AC365">
        <v>364</v>
      </c>
      <c r="AD365">
        <f t="shared" si="12"/>
        <v>73</v>
      </c>
      <c r="AE365" cm="1">
        <f t="array" ref="AE365">INDEX(X:X, AD365+1)*AC365</f>
        <v>2657200</v>
      </c>
    </row>
    <row r="366" spans="1:31">
      <c r="A366">
        <v>365</v>
      </c>
      <c r="B366">
        <v>505000000</v>
      </c>
      <c r="C366">
        <v>100000000</v>
      </c>
      <c r="D366">
        <v>100000000</v>
      </c>
      <c r="E366">
        <v>100000000</v>
      </c>
      <c r="F366">
        <v>100000000</v>
      </c>
      <c r="G366">
        <v>100000000</v>
      </c>
      <c r="H366">
        <v>100000000</v>
      </c>
      <c r="I366">
        <v>1000</v>
      </c>
      <c r="J366">
        <v>1</v>
      </c>
      <c r="K366">
        <f t="shared" si="11"/>
        <v>5.05E+59</v>
      </c>
      <c r="L366" t="e">
        <f>MATCH(K366, 보스체력!#REF!, 1)</f>
        <v>#REF!</v>
      </c>
      <c r="AC366">
        <v>365</v>
      </c>
      <c r="AD366">
        <f t="shared" si="12"/>
        <v>74</v>
      </c>
      <c r="AE366" cm="1">
        <f t="array" ref="AE366">INDEX(X:X, AD366+1)*AC366</f>
        <v>2701000</v>
      </c>
    </row>
    <row r="367" spans="1:31">
      <c r="A367">
        <v>366</v>
      </c>
      <c r="B367">
        <v>595000000</v>
      </c>
      <c r="C367">
        <v>100000000</v>
      </c>
      <c r="D367">
        <v>100000000</v>
      </c>
      <c r="E367">
        <v>100000000</v>
      </c>
      <c r="F367">
        <v>100000000</v>
      </c>
      <c r="G367">
        <v>100000000</v>
      </c>
      <c r="H367">
        <v>100000000</v>
      </c>
      <c r="I367">
        <v>1000</v>
      </c>
      <c r="J367">
        <v>1</v>
      </c>
      <c r="K367">
        <f t="shared" si="11"/>
        <v>5.9499999999999998E+59</v>
      </c>
      <c r="L367" t="e">
        <f>MATCH(K367, 보스체력!#REF!, 1)</f>
        <v>#REF!</v>
      </c>
      <c r="AC367">
        <v>366</v>
      </c>
      <c r="AD367">
        <f t="shared" si="12"/>
        <v>74</v>
      </c>
      <c r="AE367" cm="1">
        <f t="array" ref="AE367">INDEX(X:X, AD367+1)*AC367</f>
        <v>2708400</v>
      </c>
    </row>
    <row r="368" spans="1:31">
      <c r="A368">
        <v>367</v>
      </c>
      <c r="B368">
        <v>685000000</v>
      </c>
      <c r="C368">
        <v>100000000</v>
      </c>
      <c r="D368">
        <v>100000000</v>
      </c>
      <c r="E368">
        <v>100000000</v>
      </c>
      <c r="F368">
        <v>100000000</v>
      </c>
      <c r="G368">
        <v>100000000</v>
      </c>
      <c r="H368">
        <v>100000000</v>
      </c>
      <c r="I368">
        <v>1000</v>
      </c>
      <c r="J368">
        <v>1</v>
      </c>
      <c r="K368">
        <f t="shared" si="11"/>
        <v>6.8499999999999995E+59</v>
      </c>
      <c r="L368" t="e">
        <f>MATCH(K368, 보스체력!#REF!, 1)</f>
        <v>#REF!</v>
      </c>
      <c r="AC368">
        <v>367</v>
      </c>
      <c r="AD368">
        <f t="shared" si="12"/>
        <v>74</v>
      </c>
      <c r="AE368" cm="1">
        <f t="array" ref="AE368">INDEX(X:X, AD368+1)*AC368</f>
        <v>2715800</v>
      </c>
    </row>
    <row r="369" spans="1:31">
      <c r="A369">
        <v>368</v>
      </c>
      <c r="B369">
        <v>775000000</v>
      </c>
      <c r="C369">
        <v>100000000</v>
      </c>
      <c r="D369">
        <v>100000000</v>
      </c>
      <c r="E369">
        <v>100000000</v>
      </c>
      <c r="F369">
        <v>100000000</v>
      </c>
      <c r="G369">
        <v>100000000</v>
      </c>
      <c r="H369">
        <v>100000000</v>
      </c>
      <c r="I369">
        <v>1000</v>
      </c>
      <c r="J369">
        <v>1</v>
      </c>
      <c r="K369">
        <f t="shared" si="11"/>
        <v>7.7500000000000001E+59</v>
      </c>
      <c r="L369" t="e">
        <f>MATCH(K369, 보스체력!#REF!, 1)</f>
        <v>#REF!</v>
      </c>
      <c r="AC369">
        <v>368</v>
      </c>
      <c r="AD369">
        <f t="shared" si="12"/>
        <v>74</v>
      </c>
      <c r="AE369" cm="1">
        <f t="array" ref="AE369">INDEX(X:X, AD369+1)*AC369</f>
        <v>2723200</v>
      </c>
    </row>
    <row r="370" spans="1:31">
      <c r="A370">
        <v>369</v>
      </c>
      <c r="B370">
        <v>865000000</v>
      </c>
      <c r="C370">
        <v>100000000</v>
      </c>
      <c r="D370">
        <v>100000000</v>
      </c>
      <c r="E370">
        <v>100000000</v>
      </c>
      <c r="F370">
        <v>100000000</v>
      </c>
      <c r="G370">
        <v>100000000</v>
      </c>
      <c r="H370">
        <v>100000000</v>
      </c>
      <c r="I370">
        <v>1000</v>
      </c>
      <c r="J370">
        <v>1</v>
      </c>
      <c r="K370">
        <f t="shared" si="11"/>
        <v>8.6499999999999999E+59</v>
      </c>
      <c r="L370" t="e">
        <f>MATCH(K370, 보스체력!#REF!, 1)</f>
        <v>#REF!</v>
      </c>
      <c r="AC370">
        <v>369</v>
      </c>
      <c r="AD370">
        <f t="shared" si="12"/>
        <v>74</v>
      </c>
      <c r="AE370" cm="1">
        <f t="array" ref="AE370">INDEX(X:X, AD370+1)*AC370</f>
        <v>2730600</v>
      </c>
    </row>
    <row r="371" spans="1:31">
      <c r="A371">
        <v>370</v>
      </c>
      <c r="B371">
        <v>955000000</v>
      </c>
      <c r="C371">
        <v>100000000</v>
      </c>
      <c r="D371">
        <v>100000000</v>
      </c>
      <c r="E371">
        <v>100000000</v>
      </c>
      <c r="F371">
        <v>100000000</v>
      </c>
      <c r="G371">
        <v>100000000</v>
      </c>
      <c r="H371">
        <v>100000000</v>
      </c>
      <c r="I371">
        <v>1000</v>
      </c>
      <c r="J371">
        <v>1</v>
      </c>
      <c r="K371">
        <f t="shared" si="11"/>
        <v>9.5499999999999996E+59</v>
      </c>
      <c r="L371" t="e">
        <f>MATCH(K371, 보스체력!#REF!, 1)</f>
        <v>#REF!</v>
      </c>
      <c r="AC371">
        <v>370</v>
      </c>
      <c r="AD371">
        <f t="shared" si="12"/>
        <v>75</v>
      </c>
      <c r="AE371" cm="1">
        <f t="array" ref="AE371">INDEX(X:X, AD371+1)*AC371</f>
        <v>2775000</v>
      </c>
    </row>
    <row r="372" spans="1:31">
      <c r="A372">
        <v>371</v>
      </c>
      <c r="B372">
        <v>145000000</v>
      </c>
      <c r="C372">
        <v>100000000</v>
      </c>
      <c r="D372">
        <v>100000000</v>
      </c>
      <c r="E372">
        <v>100000000</v>
      </c>
      <c r="F372">
        <v>100000000</v>
      </c>
      <c r="G372">
        <v>100000000</v>
      </c>
      <c r="H372">
        <v>100000000</v>
      </c>
      <c r="I372">
        <v>10000</v>
      </c>
      <c r="J372">
        <v>1</v>
      </c>
      <c r="K372">
        <f t="shared" si="11"/>
        <v>1.4499999999999998E+60</v>
      </c>
      <c r="L372" t="e">
        <f>MATCH(K372, 보스체력!#REF!, 1)</f>
        <v>#REF!</v>
      </c>
      <c r="AC372">
        <v>371</v>
      </c>
      <c r="AD372">
        <f t="shared" si="12"/>
        <v>75</v>
      </c>
      <c r="AE372" cm="1">
        <f t="array" ref="AE372">INDEX(X:X, AD372+1)*AC372</f>
        <v>2782500</v>
      </c>
    </row>
    <row r="373" spans="1:31">
      <c r="A373">
        <v>372</v>
      </c>
      <c r="B373">
        <v>235000000</v>
      </c>
      <c r="C373">
        <v>100000000</v>
      </c>
      <c r="D373">
        <v>100000000</v>
      </c>
      <c r="E373">
        <v>100000000</v>
      </c>
      <c r="F373">
        <v>100000000</v>
      </c>
      <c r="G373">
        <v>100000000</v>
      </c>
      <c r="H373">
        <v>100000000</v>
      </c>
      <c r="I373">
        <v>10000</v>
      </c>
      <c r="J373">
        <v>1</v>
      </c>
      <c r="K373">
        <f t="shared" si="11"/>
        <v>2.3499999999999996E+60</v>
      </c>
      <c r="L373" t="e">
        <f>MATCH(K373, 보스체력!#REF!, 1)</f>
        <v>#REF!</v>
      </c>
      <c r="AC373">
        <v>372</v>
      </c>
      <c r="AD373">
        <f t="shared" si="12"/>
        <v>75</v>
      </c>
      <c r="AE373" cm="1">
        <f t="array" ref="AE373">INDEX(X:X, AD373+1)*AC373</f>
        <v>2790000</v>
      </c>
    </row>
    <row r="374" spans="1:31">
      <c r="A374">
        <v>373</v>
      </c>
      <c r="B374">
        <v>325000000</v>
      </c>
      <c r="C374">
        <v>100000000</v>
      </c>
      <c r="D374">
        <v>100000000</v>
      </c>
      <c r="E374">
        <v>100000000</v>
      </c>
      <c r="F374">
        <v>100000000</v>
      </c>
      <c r="G374">
        <v>100000000</v>
      </c>
      <c r="H374">
        <v>100000000</v>
      </c>
      <c r="I374">
        <v>10000</v>
      </c>
      <c r="J374">
        <v>1</v>
      </c>
      <c r="K374">
        <f t="shared" si="11"/>
        <v>3.2499999999999997E+60</v>
      </c>
      <c r="L374" t="e">
        <f>MATCH(K374, 보스체력!#REF!, 1)</f>
        <v>#REF!</v>
      </c>
      <c r="AC374">
        <v>373</v>
      </c>
      <c r="AD374">
        <f t="shared" si="12"/>
        <v>75</v>
      </c>
      <c r="AE374" cm="1">
        <f t="array" ref="AE374">INDEX(X:X, AD374+1)*AC374</f>
        <v>2797500</v>
      </c>
    </row>
    <row r="375" spans="1:31">
      <c r="A375">
        <v>374</v>
      </c>
      <c r="B375">
        <v>415000000</v>
      </c>
      <c r="C375">
        <v>100000000</v>
      </c>
      <c r="D375">
        <v>100000000</v>
      </c>
      <c r="E375">
        <v>100000000</v>
      </c>
      <c r="F375">
        <v>100000000</v>
      </c>
      <c r="G375">
        <v>100000000</v>
      </c>
      <c r="H375">
        <v>100000000</v>
      </c>
      <c r="I375">
        <v>10000</v>
      </c>
      <c r="J375">
        <v>1</v>
      </c>
      <c r="K375">
        <f t="shared" si="11"/>
        <v>4.1499999999999994E+60</v>
      </c>
      <c r="L375" t="e">
        <f>MATCH(K375, 보스체력!#REF!, 1)</f>
        <v>#REF!</v>
      </c>
      <c r="AC375">
        <v>374</v>
      </c>
      <c r="AD375">
        <f t="shared" si="12"/>
        <v>75</v>
      </c>
      <c r="AE375" cm="1">
        <f t="array" ref="AE375">INDEX(X:X, AD375+1)*AC375</f>
        <v>2805000</v>
      </c>
    </row>
    <row r="376" spans="1:31">
      <c r="A376">
        <v>375</v>
      </c>
      <c r="B376">
        <v>505000000</v>
      </c>
      <c r="C376">
        <v>100000000</v>
      </c>
      <c r="D376">
        <v>100000000</v>
      </c>
      <c r="E376">
        <v>100000000</v>
      </c>
      <c r="F376">
        <v>100000000</v>
      </c>
      <c r="G376">
        <v>100000000</v>
      </c>
      <c r="H376">
        <v>100000000</v>
      </c>
      <c r="I376">
        <v>10000</v>
      </c>
      <c r="J376">
        <v>1</v>
      </c>
      <c r="K376">
        <f t="shared" si="11"/>
        <v>5.0499999999999991E+60</v>
      </c>
      <c r="L376" t="e">
        <f>MATCH(K376, 보스체력!#REF!, 1)</f>
        <v>#REF!</v>
      </c>
      <c r="AC376">
        <v>375</v>
      </c>
      <c r="AD376">
        <f t="shared" si="12"/>
        <v>76</v>
      </c>
      <c r="AE376" cm="1">
        <f t="array" ref="AE376">INDEX(X:X, AD376+1)*AC376</f>
        <v>2850000</v>
      </c>
    </row>
    <row r="377" spans="1:31">
      <c r="AC377">
        <v>376</v>
      </c>
      <c r="AD377">
        <f t="shared" si="12"/>
        <v>76</v>
      </c>
      <c r="AE377" cm="1">
        <f t="array" ref="AE377">INDEX(X:X, AD377+1)*AC377</f>
        <v>2857600</v>
      </c>
    </row>
    <row r="378" spans="1:31">
      <c r="AC378">
        <v>377</v>
      </c>
      <c r="AD378">
        <f t="shared" si="12"/>
        <v>76</v>
      </c>
      <c r="AE378" cm="1">
        <f t="array" ref="AE378">INDEX(X:X, AD378+1)*AC378</f>
        <v>2865200</v>
      </c>
    </row>
    <row r="379" spans="1:31">
      <c r="AC379">
        <v>378</v>
      </c>
      <c r="AD379">
        <f t="shared" si="12"/>
        <v>76</v>
      </c>
      <c r="AE379" cm="1">
        <f t="array" ref="AE379">INDEX(X:X, AD379+1)*AC379</f>
        <v>2872800</v>
      </c>
    </row>
    <row r="380" spans="1:31">
      <c r="AC380">
        <v>379</v>
      </c>
      <c r="AD380">
        <f t="shared" si="12"/>
        <v>76</v>
      </c>
      <c r="AE380" cm="1">
        <f t="array" ref="AE380">INDEX(X:X, AD380+1)*AC380</f>
        <v>2880400</v>
      </c>
    </row>
    <row r="381" spans="1:31">
      <c r="AC381">
        <v>380</v>
      </c>
      <c r="AD381">
        <f t="shared" si="12"/>
        <v>77</v>
      </c>
      <c r="AE381" cm="1">
        <f t="array" ref="AE381">INDEX(X:X, AD381+1)*AC381</f>
        <v>2926000</v>
      </c>
    </row>
    <row r="382" spans="1:31">
      <c r="AC382">
        <v>381</v>
      </c>
      <c r="AD382">
        <f t="shared" si="12"/>
        <v>77</v>
      </c>
      <c r="AE382" cm="1">
        <f t="array" ref="AE382">INDEX(X:X, AD382+1)*AC382</f>
        <v>2933700</v>
      </c>
    </row>
    <row r="383" spans="1:31">
      <c r="AC383">
        <v>382</v>
      </c>
      <c r="AD383">
        <f t="shared" si="12"/>
        <v>77</v>
      </c>
      <c r="AE383" cm="1">
        <f t="array" ref="AE383">INDEX(X:X, AD383+1)*AC383</f>
        <v>2941400</v>
      </c>
    </row>
    <row r="384" spans="1:31">
      <c r="AC384">
        <v>383</v>
      </c>
      <c r="AD384">
        <f t="shared" si="12"/>
        <v>77</v>
      </c>
      <c r="AE384" cm="1">
        <f t="array" ref="AE384">INDEX(X:X, AD384+1)*AC384</f>
        <v>2949100</v>
      </c>
    </row>
    <row r="385" spans="29:31">
      <c r="AC385">
        <v>384</v>
      </c>
      <c r="AD385">
        <f t="shared" si="12"/>
        <v>77</v>
      </c>
      <c r="AE385" cm="1">
        <f t="array" ref="AE385">INDEX(X:X, AD385+1)*AC385</f>
        <v>2956800</v>
      </c>
    </row>
    <row r="386" spans="29:31">
      <c r="AC386">
        <v>385</v>
      </c>
      <c r="AD386">
        <f t="shared" si="12"/>
        <v>78</v>
      </c>
      <c r="AE386" cm="1">
        <f t="array" ref="AE386">INDEX(X:X, AD386+1)*AC386</f>
        <v>3003000</v>
      </c>
    </row>
    <row r="387" spans="29:31">
      <c r="AC387">
        <v>386</v>
      </c>
      <c r="AD387">
        <f t="shared" ref="AD387:AD450" si="13">INT(AC387/5)+1</f>
        <v>78</v>
      </c>
      <c r="AE387" cm="1">
        <f t="array" ref="AE387">INDEX(X:X, AD387+1)*AC387</f>
        <v>3010800</v>
      </c>
    </row>
    <row r="388" spans="29:31">
      <c r="AC388">
        <v>387</v>
      </c>
      <c r="AD388">
        <f t="shared" si="13"/>
        <v>78</v>
      </c>
      <c r="AE388" cm="1">
        <f t="array" ref="AE388">INDEX(X:X, AD388+1)*AC388</f>
        <v>3018600</v>
      </c>
    </row>
    <row r="389" spans="29:31">
      <c r="AC389">
        <v>388</v>
      </c>
      <c r="AD389">
        <f t="shared" si="13"/>
        <v>78</v>
      </c>
      <c r="AE389" cm="1">
        <f t="array" ref="AE389">INDEX(X:X, AD389+1)*AC389</f>
        <v>3026400</v>
      </c>
    </row>
    <row r="390" spans="29:31">
      <c r="AC390">
        <v>389</v>
      </c>
      <c r="AD390">
        <f t="shared" si="13"/>
        <v>78</v>
      </c>
      <c r="AE390" cm="1">
        <f t="array" ref="AE390">INDEX(X:X, AD390+1)*AC390</f>
        <v>3034200</v>
      </c>
    </row>
    <row r="391" spans="29:31">
      <c r="AC391">
        <v>390</v>
      </c>
      <c r="AD391">
        <f t="shared" si="13"/>
        <v>79</v>
      </c>
      <c r="AE391" cm="1">
        <f t="array" ref="AE391">INDEX(X:X, AD391+1)*AC391</f>
        <v>3081000</v>
      </c>
    </row>
    <row r="392" spans="29:31">
      <c r="AC392">
        <v>391</v>
      </c>
      <c r="AD392">
        <f t="shared" si="13"/>
        <v>79</v>
      </c>
      <c r="AE392" cm="1">
        <f t="array" ref="AE392">INDEX(X:X, AD392+1)*AC392</f>
        <v>3088900</v>
      </c>
    </row>
    <row r="393" spans="29:31">
      <c r="AC393">
        <v>392</v>
      </c>
      <c r="AD393">
        <f t="shared" si="13"/>
        <v>79</v>
      </c>
      <c r="AE393" cm="1">
        <f t="array" ref="AE393">INDEX(X:X, AD393+1)*AC393</f>
        <v>3096800</v>
      </c>
    </row>
    <row r="394" spans="29:31">
      <c r="AC394">
        <v>393</v>
      </c>
      <c r="AD394">
        <f t="shared" si="13"/>
        <v>79</v>
      </c>
      <c r="AE394" cm="1">
        <f t="array" ref="AE394">INDEX(X:X, AD394+1)*AC394</f>
        <v>3104700</v>
      </c>
    </row>
    <row r="395" spans="29:31">
      <c r="AC395">
        <v>394</v>
      </c>
      <c r="AD395">
        <f t="shared" si="13"/>
        <v>79</v>
      </c>
      <c r="AE395" cm="1">
        <f t="array" ref="AE395">INDEX(X:X, AD395+1)*AC395</f>
        <v>3112600</v>
      </c>
    </row>
    <row r="396" spans="29:31">
      <c r="AC396">
        <v>395</v>
      </c>
      <c r="AD396">
        <f t="shared" si="13"/>
        <v>80</v>
      </c>
      <c r="AE396" cm="1">
        <f t="array" ref="AE396">INDEX(X:X, AD396+1)*AC396</f>
        <v>3160000</v>
      </c>
    </row>
    <row r="397" spans="29:31">
      <c r="AC397">
        <v>396</v>
      </c>
      <c r="AD397">
        <f t="shared" si="13"/>
        <v>80</v>
      </c>
      <c r="AE397" cm="1">
        <f t="array" ref="AE397">INDEX(X:X, AD397+1)*AC397</f>
        <v>3168000</v>
      </c>
    </row>
    <row r="398" spans="29:31">
      <c r="AC398">
        <v>397</v>
      </c>
      <c r="AD398">
        <f t="shared" si="13"/>
        <v>80</v>
      </c>
      <c r="AE398" cm="1">
        <f t="array" ref="AE398">INDEX(X:X, AD398+1)*AC398</f>
        <v>3176000</v>
      </c>
    </row>
    <row r="399" spans="29:31">
      <c r="AC399">
        <v>398</v>
      </c>
      <c r="AD399">
        <f t="shared" si="13"/>
        <v>80</v>
      </c>
      <c r="AE399" cm="1">
        <f t="array" ref="AE399">INDEX(X:X, AD399+1)*AC399</f>
        <v>3184000</v>
      </c>
    </row>
    <row r="400" spans="29:31">
      <c r="AC400">
        <v>399</v>
      </c>
      <c r="AD400">
        <f t="shared" si="13"/>
        <v>80</v>
      </c>
      <c r="AE400" cm="1">
        <f t="array" ref="AE400">INDEX(X:X, AD400+1)*AC400</f>
        <v>3192000</v>
      </c>
    </row>
    <row r="401" spans="29:31">
      <c r="AC401">
        <v>400</v>
      </c>
      <c r="AD401">
        <f t="shared" si="13"/>
        <v>81</v>
      </c>
      <c r="AE401" cm="1">
        <f t="array" ref="AE401">INDEX(X:X, AD401+1)*AC401</f>
        <v>3240000</v>
      </c>
    </row>
    <row r="402" spans="29:31">
      <c r="AC402">
        <v>401</v>
      </c>
      <c r="AD402">
        <f t="shared" si="13"/>
        <v>81</v>
      </c>
      <c r="AE402" cm="1">
        <f t="array" ref="AE402">INDEX(X:X, AD402+1)*AC402</f>
        <v>3248100</v>
      </c>
    </row>
    <row r="403" spans="29:31">
      <c r="AC403">
        <v>402</v>
      </c>
      <c r="AD403">
        <f t="shared" si="13"/>
        <v>81</v>
      </c>
      <c r="AE403" cm="1">
        <f t="array" ref="AE403">INDEX(X:X, AD403+1)*AC403</f>
        <v>3256200</v>
      </c>
    </row>
    <row r="404" spans="29:31">
      <c r="AC404">
        <v>403</v>
      </c>
      <c r="AD404">
        <f t="shared" si="13"/>
        <v>81</v>
      </c>
      <c r="AE404" cm="1">
        <f t="array" ref="AE404">INDEX(X:X, AD404+1)*AC404</f>
        <v>3264300</v>
      </c>
    </row>
    <row r="405" spans="29:31">
      <c r="AC405">
        <v>404</v>
      </c>
      <c r="AD405">
        <f t="shared" si="13"/>
        <v>81</v>
      </c>
      <c r="AE405" cm="1">
        <f t="array" ref="AE405">INDEX(X:X, AD405+1)*AC405</f>
        <v>3272400</v>
      </c>
    </row>
    <row r="406" spans="29:31">
      <c r="AC406">
        <v>405</v>
      </c>
      <c r="AD406">
        <f t="shared" si="13"/>
        <v>82</v>
      </c>
      <c r="AE406" cm="1">
        <f t="array" ref="AE406">INDEX(X:X, AD406+1)*AC406</f>
        <v>3321000</v>
      </c>
    </row>
    <row r="407" spans="29:31">
      <c r="AC407">
        <v>406</v>
      </c>
      <c r="AD407">
        <f t="shared" si="13"/>
        <v>82</v>
      </c>
      <c r="AE407" cm="1">
        <f t="array" ref="AE407">INDEX(X:X, AD407+1)*AC407</f>
        <v>3329200</v>
      </c>
    </row>
    <row r="408" spans="29:31">
      <c r="AC408">
        <v>407</v>
      </c>
      <c r="AD408">
        <f t="shared" si="13"/>
        <v>82</v>
      </c>
      <c r="AE408" cm="1">
        <f t="array" ref="AE408">INDEX(X:X, AD408+1)*AC408</f>
        <v>3337400</v>
      </c>
    </row>
    <row r="409" spans="29:31">
      <c r="AC409">
        <v>408</v>
      </c>
      <c r="AD409">
        <f t="shared" si="13"/>
        <v>82</v>
      </c>
      <c r="AE409" cm="1">
        <f t="array" ref="AE409">INDEX(X:X, AD409+1)*AC409</f>
        <v>3345600</v>
      </c>
    </row>
    <row r="410" spans="29:31">
      <c r="AC410">
        <v>409</v>
      </c>
      <c r="AD410">
        <f t="shared" si="13"/>
        <v>82</v>
      </c>
      <c r="AE410" cm="1">
        <f t="array" ref="AE410">INDEX(X:X, AD410+1)*AC410</f>
        <v>3353800</v>
      </c>
    </row>
    <row r="411" spans="29:31">
      <c r="AC411">
        <v>410</v>
      </c>
      <c r="AD411">
        <f t="shared" si="13"/>
        <v>83</v>
      </c>
      <c r="AE411" cm="1">
        <f t="array" ref="AE411">INDEX(X:X, AD411+1)*AC411</f>
        <v>3403000</v>
      </c>
    </row>
    <row r="412" spans="29:31">
      <c r="AC412">
        <v>411</v>
      </c>
      <c r="AD412">
        <f t="shared" si="13"/>
        <v>83</v>
      </c>
      <c r="AE412" cm="1">
        <f t="array" ref="AE412">INDEX(X:X, AD412+1)*AC412</f>
        <v>3411300</v>
      </c>
    </row>
    <row r="413" spans="29:31">
      <c r="AC413">
        <v>412</v>
      </c>
      <c r="AD413">
        <f t="shared" si="13"/>
        <v>83</v>
      </c>
      <c r="AE413" cm="1">
        <f t="array" ref="AE413">INDEX(X:X, AD413+1)*AC413</f>
        <v>3419600</v>
      </c>
    </row>
    <row r="414" spans="29:31">
      <c r="AC414">
        <v>413</v>
      </c>
      <c r="AD414">
        <f t="shared" si="13"/>
        <v>83</v>
      </c>
      <c r="AE414" cm="1">
        <f t="array" ref="AE414">INDEX(X:X, AD414+1)*AC414</f>
        <v>3427900</v>
      </c>
    </row>
    <row r="415" spans="29:31">
      <c r="AC415">
        <v>414</v>
      </c>
      <c r="AD415">
        <f t="shared" si="13"/>
        <v>83</v>
      </c>
      <c r="AE415" cm="1">
        <f t="array" ref="AE415">INDEX(X:X, AD415+1)*AC415</f>
        <v>3436200</v>
      </c>
    </row>
    <row r="416" spans="29:31">
      <c r="AC416">
        <v>415</v>
      </c>
      <c r="AD416">
        <f t="shared" si="13"/>
        <v>84</v>
      </c>
      <c r="AE416" cm="1">
        <f t="array" ref="AE416">INDEX(X:X, AD416+1)*AC416</f>
        <v>3486000</v>
      </c>
    </row>
    <row r="417" spans="29:31">
      <c r="AC417">
        <v>416</v>
      </c>
      <c r="AD417">
        <f t="shared" si="13"/>
        <v>84</v>
      </c>
      <c r="AE417" cm="1">
        <f t="array" ref="AE417">INDEX(X:X, AD417+1)*AC417</f>
        <v>3494400</v>
      </c>
    </row>
    <row r="418" spans="29:31">
      <c r="AC418">
        <v>417</v>
      </c>
      <c r="AD418">
        <f t="shared" si="13"/>
        <v>84</v>
      </c>
      <c r="AE418" cm="1">
        <f t="array" ref="AE418">INDEX(X:X, AD418+1)*AC418</f>
        <v>3502800</v>
      </c>
    </row>
    <row r="419" spans="29:31">
      <c r="AC419">
        <v>418</v>
      </c>
      <c r="AD419">
        <f t="shared" si="13"/>
        <v>84</v>
      </c>
      <c r="AE419" cm="1">
        <f t="array" ref="AE419">INDEX(X:X, AD419+1)*AC419</f>
        <v>3511200</v>
      </c>
    </row>
    <row r="420" spans="29:31">
      <c r="AC420">
        <v>419</v>
      </c>
      <c r="AD420">
        <f t="shared" si="13"/>
        <v>84</v>
      </c>
      <c r="AE420" cm="1">
        <f t="array" ref="AE420">INDEX(X:X, AD420+1)*AC420</f>
        <v>3519600</v>
      </c>
    </row>
    <row r="421" spans="29:31">
      <c r="AC421">
        <v>420</v>
      </c>
      <c r="AD421">
        <f t="shared" si="13"/>
        <v>85</v>
      </c>
      <c r="AE421" cm="1">
        <f t="array" ref="AE421">INDEX(X:X, AD421+1)*AC421</f>
        <v>3570000</v>
      </c>
    </row>
    <row r="422" spans="29:31">
      <c r="AC422">
        <v>421</v>
      </c>
      <c r="AD422">
        <f t="shared" si="13"/>
        <v>85</v>
      </c>
      <c r="AE422" cm="1">
        <f t="array" ref="AE422">INDEX(X:X, AD422+1)*AC422</f>
        <v>3578500</v>
      </c>
    </row>
    <row r="423" spans="29:31">
      <c r="AC423">
        <v>422</v>
      </c>
      <c r="AD423">
        <f t="shared" si="13"/>
        <v>85</v>
      </c>
      <c r="AE423" cm="1">
        <f t="array" ref="AE423">INDEX(X:X, AD423+1)*AC423</f>
        <v>3587000</v>
      </c>
    </row>
    <row r="424" spans="29:31">
      <c r="AC424">
        <v>423</v>
      </c>
      <c r="AD424">
        <f t="shared" si="13"/>
        <v>85</v>
      </c>
      <c r="AE424" cm="1">
        <f t="array" ref="AE424">INDEX(X:X, AD424+1)*AC424</f>
        <v>3595500</v>
      </c>
    </row>
    <row r="425" spans="29:31">
      <c r="AC425">
        <v>424</v>
      </c>
      <c r="AD425">
        <f t="shared" si="13"/>
        <v>85</v>
      </c>
      <c r="AE425" cm="1">
        <f t="array" ref="AE425">INDEX(X:X, AD425+1)*AC425</f>
        <v>3604000</v>
      </c>
    </row>
    <row r="426" spans="29:31">
      <c r="AC426">
        <v>425</v>
      </c>
      <c r="AD426">
        <f t="shared" si="13"/>
        <v>86</v>
      </c>
      <c r="AE426" cm="1">
        <f t="array" ref="AE426">INDEX(X:X, AD426+1)*AC426</f>
        <v>3655000</v>
      </c>
    </row>
    <row r="427" spans="29:31">
      <c r="AC427">
        <v>426</v>
      </c>
      <c r="AD427">
        <f t="shared" si="13"/>
        <v>86</v>
      </c>
      <c r="AE427" cm="1">
        <f t="array" ref="AE427">INDEX(X:X, AD427+1)*AC427</f>
        <v>3663600</v>
      </c>
    </row>
    <row r="428" spans="29:31">
      <c r="AC428">
        <v>427</v>
      </c>
      <c r="AD428">
        <f t="shared" si="13"/>
        <v>86</v>
      </c>
      <c r="AE428" cm="1">
        <f t="array" ref="AE428">INDEX(X:X, AD428+1)*AC428</f>
        <v>3672200</v>
      </c>
    </row>
    <row r="429" spans="29:31">
      <c r="AC429">
        <v>428</v>
      </c>
      <c r="AD429">
        <f t="shared" si="13"/>
        <v>86</v>
      </c>
      <c r="AE429" cm="1">
        <f t="array" ref="AE429">INDEX(X:X, AD429+1)*AC429</f>
        <v>3680800</v>
      </c>
    </row>
    <row r="430" spans="29:31">
      <c r="AC430">
        <v>429</v>
      </c>
      <c r="AD430">
        <f t="shared" si="13"/>
        <v>86</v>
      </c>
      <c r="AE430" cm="1">
        <f t="array" ref="AE430">INDEX(X:X, AD430+1)*AC430</f>
        <v>3689400</v>
      </c>
    </row>
    <row r="431" spans="29:31">
      <c r="AC431">
        <v>430</v>
      </c>
      <c r="AD431">
        <f t="shared" si="13"/>
        <v>87</v>
      </c>
      <c r="AE431" cm="1">
        <f t="array" ref="AE431">INDEX(X:X, AD431+1)*AC431</f>
        <v>3741000</v>
      </c>
    </row>
    <row r="432" spans="29:31">
      <c r="AC432">
        <v>431</v>
      </c>
      <c r="AD432">
        <f t="shared" si="13"/>
        <v>87</v>
      </c>
      <c r="AE432" cm="1">
        <f t="array" ref="AE432">INDEX(X:X, AD432+1)*AC432</f>
        <v>3749700</v>
      </c>
    </row>
    <row r="433" spans="29:31">
      <c r="AC433">
        <v>432</v>
      </c>
      <c r="AD433">
        <f t="shared" si="13"/>
        <v>87</v>
      </c>
      <c r="AE433" cm="1">
        <f t="array" ref="AE433">INDEX(X:X, AD433+1)*AC433</f>
        <v>3758400</v>
      </c>
    </row>
    <row r="434" spans="29:31">
      <c r="AC434">
        <v>433</v>
      </c>
      <c r="AD434">
        <f t="shared" si="13"/>
        <v>87</v>
      </c>
      <c r="AE434" cm="1">
        <f t="array" ref="AE434">INDEX(X:X, AD434+1)*AC434</f>
        <v>3767100</v>
      </c>
    </row>
    <row r="435" spans="29:31">
      <c r="AC435">
        <v>434</v>
      </c>
      <c r="AD435">
        <f t="shared" si="13"/>
        <v>87</v>
      </c>
      <c r="AE435" cm="1">
        <f t="array" ref="AE435">INDEX(X:X, AD435+1)*AC435</f>
        <v>3775800</v>
      </c>
    </row>
    <row r="436" spans="29:31">
      <c r="AC436">
        <v>435</v>
      </c>
      <c r="AD436">
        <f t="shared" si="13"/>
        <v>88</v>
      </c>
      <c r="AE436" cm="1">
        <f t="array" ref="AE436">INDEX(X:X, AD436+1)*AC436</f>
        <v>3828000</v>
      </c>
    </row>
    <row r="437" spans="29:31">
      <c r="AC437">
        <v>436</v>
      </c>
      <c r="AD437">
        <f t="shared" si="13"/>
        <v>88</v>
      </c>
      <c r="AE437" cm="1">
        <f t="array" ref="AE437">INDEX(X:X, AD437+1)*AC437</f>
        <v>3836800</v>
      </c>
    </row>
    <row r="438" spans="29:31">
      <c r="AC438">
        <v>437</v>
      </c>
      <c r="AD438">
        <f t="shared" si="13"/>
        <v>88</v>
      </c>
      <c r="AE438" cm="1">
        <f t="array" ref="AE438">INDEX(X:X, AD438+1)*AC438</f>
        <v>3845600</v>
      </c>
    </row>
    <row r="439" spans="29:31">
      <c r="AC439">
        <v>438</v>
      </c>
      <c r="AD439">
        <f t="shared" si="13"/>
        <v>88</v>
      </c>
      <c r="AE439" cm="1">
        <f t="array" ref="AE439">INDEX(X:X, AD439+1)*AC439</f>
        <v>3854400</v>
      </c>
    </row>
    <row r="440" spans="29:31">
      <c r="AC440">
        <v>439</v>
      </c>
      <c r="AD440">
        <f t="shared" si="13"/>
        <v>88</v>
      </c>
      <c r="AE440" cm="1">
        <f t="array" ref="AE440">INDEX(X:X, AD440+1)*AC440</f>
        <v>3863200</v>
      </c>
    </row>
    <row r="441" spans="29:31">
      <c r="AC441">
        <v>440</v>
      </c>
      <c r="AD441">
        <f t="shared" si="13"/>
        <v>89</v>
      </c>
      <c r="AE441" cm="1">
        <f t="array" ref="AE441">INDEX(X:X, AD441+1)*AC441</f>
        <v>3916000</v>
      </c>
    </row>
    <row r="442" spans="29:31">
      <c r="AC442">
        <v>441</v>
      </c>
      <c r="AD442">
        <f t="shared" si="13"/>
        <v>89</v>
      </c>
      <c r="AE442" cm="1">
        <f t="array" ref="AE442">INDEX(X:X, AD442+1)*AC442</f>
        <v>3924900</v>
      </c>
    </row>
    <row r="443" spans="29:31">
      <c r="AC443">
        <v>442</v>
      </c>
      <c r="AD443">
        <f t="shared" si="13"/>
        <v>89</v>
      </c>
      <c r="AE443" cm="1">
        <f t="array" ref="AE443">INDEX(X:X, AD443+1)*AC443</f>
        <v>3933800</v>
      </c>
    </row>
    <row r="444" spans="29:31">
      <c r="AC444">
        <v>443</v>
      </c>
      <c r="AD444">
        <f t="shared" si="13"/>
        <v>89</v>
      </c>
      <c r="AE444" cm="1">
        <f t="array" ref="AE444">INDEX(X:X, AD444+1)*AC444</f>
        <v>3942700</v>
      </c>
    </row>
    <row r="445" spans="29:31">
      <c r="AC445">
        <v>444</v>
      </c>
      <c r="AD445">
        <f t="shared" si="13"/>
        <v>89</v>
      </c>
      <c r="AE445" cm="1">
        <f t="array" ref="AE445">INDEX(X:X, AD445+1)*AC445</f>
        <v>3951600</v>
      </c>
    </row>
    <row r="446" spans="29:31">
      <c r="AC446">
        <v>445</v>
      </c>
      <c r="AD446">
        <f t="shared" si="13"/>
        <v>90</v>
      </c>
      <c r="AE446" cm="1">
        <f t="array" ref="AE446">INDEX(X:X, AD446+1)*AC446</f>
        <v>4005000</v>
      </c>
    </row>
    <row r="447" spans="29:31">
      <c r="AC447">
        <v>446</v>
      </c>
      <c r="AD447">
        <f t="shared" si="13"/>
        <v>90</v>
      </c>
      <c r="AE447" cm="1">
        <f t="array" ref="AE447">INDEX(X:X, AD447+1)*AC447</f>
        <v>4014000</v>
      </c>
    </row>
    <row r="448" spans="29:31">
      <c r="AC448">
        <v>447</v>
      </c>
      <c r="AD448">
        <f t="shared" si="13"/>
        <v>90</v>
      </c>
      <c r="AE448" cm="1">
        <f t="array" ref="AE448">INDEX(X:X, AD448+1)*AC448</f>
        <v>4023000</v>
      </c>
    </row>
    <row r="449" spans="29:31">
      <c r="AC449">
        <v>448</v>
      </c>
      <c r="AD449">
        <f t="shared" si="13"/>
        <v>90</v>
      </c>
      <c r="AE449" cm="1">
        <f t="array" ref="AE449">INDEX(X:X, AD449+1)*AC449</f>
        <v>4032000</v>
      </c>
    </row>
    <row r="450" spans="29:31">
      <c r="AC450">
        <v>449</v>
      </c>
      <c r="AD450">
        <f t="shared" si="13"/>
        <v>90</v>
      </c>
      <c r="AE450" cm="1">
        <f t="array" ref="AE450">INDEX(X:X, AD450+1)*AC450</f>
        <v>4041000</v>
      </c>
    </row>
    <row r="451" spans="29:31">
      <c r="AC451">
        <v>450</v>
      </c>
      <c r="AD451">
        <f t="shared" ref="AD451:AD514" si="14">INT(AC451/5)+1</f>
        <v>91</v>
      </c>
      <c r="AE451" cm="1">
        <f t="array" ref="AE451">INDEX(X:X, AD451+1)*AC451</f>
        <v>4095000</v>
      </c>
    </row>
    <row r="452" spans="29:31">
      <c r="AC452">
        <v>451</v>
      </c>
      <c r="AD452">
        <f t="shared" si="14"/>
        <v>91</v>
      </c>
      <c r="AE452" cm="1">
        <f t="array" ref="AE452">INDEX(X:X, AD452+1)*AC452</f>
        <v>4104100</v>
      </c>
    </row>
    <row r="453" spans="29:31">
      <c r="AC453">
        <v>452</v>
      </c>
      <c r="AD453">
        <f t="shared" si="14"/>
        <v>91</v>
      </c>
      <c r="AE453" cm="1">
        <f t="array" ref="AE453">INDEX(X:X, AD453+1)*AC453</f>
        <v>4113200</v>
      </c>
    </row>
    <row r="454" spans="29:31">
      <c r="AC454">
        <v>453</v>
      </c>
      <c r="AD454">
        <f t="shared" si="14"/>
        <v>91</v>
      </c>
      <c r="AE454" cm="1">
        <f t="array" ref="AE454">INDEX(X:X, AD454+1)*AC454</f>
        <v>4122300</v>
      </c>
    </row>
    <row r="455" spans="29:31">
      <c r="AC455">
        <v>454</v>
      </c>
      <c r="AD455">
        <f t="shared" si="14"/>
        <v>91</v>
      </c>
      <c r="AE455" cm="1">
        <f t="array" ref="AE455">INDEX(X:X, AD455+1)*AC455</f>
        <v>4131400</v>
      </c>
    </row>
    <row r="456" spans="29:31">
      <c r="AC456">
        <v>455</v>
      </c>
      <c r="AD456">
        <f t="shared" si="14"/>
        <v>92</v>
      </c>
      <c r="AE456" cm="1">
        <f t="array" ref="AE456">INDEX(X:X, AD456+1)*AC456</f>
        <v>4186000</v>
      </c>
    </row>
    <row r="457" spans="29:31">
      <c r="AC457">
        <v>456</v>
      </c>
      <c r="AD457">
        <f t="shared" si="14"/>
        <v>92</v>
      </c>
      <c r="AE457" cm="1">
        <f t="array" ref="AE457">INDEX(X:X, AD457+1)*AC457</f>
        <v>4195200</v>
      </c>
    </row>
    <row r="458" spans="29:31">
      <c r="AC458">
        <v>457</v>
      </c>
      <c r="AD458">
        <f t="shared" si="14"/>
        <v>92</v>
      </c>
      <c r="AE458" cm="1">
        <f t="array" ref="AE458">INDEX(X:X, AD458+1)*AC458</f>
        <v>4204400</v>
      </c>
    </row>
    <row r="459" spans="29:31">
      <c r="AC459">
        <v>458</v>
      </c>
      <c r="AD459">
        <f t="shared" si="14"/>
        <v>92</v>
      </c>
      <c r="AE459" cm="1">
        <f t="array" ref="AE459">INDEX(X:X, AD459+1)*AC459</f>
        <v>4213600</v>
      </c>
    </row>
    <row r="460" spans="29:31">
      <c r="AC460">
        <v>459</v>
      </c>
      <c r="AD460">
        <f t="shared" si="14"/>
        <v>92</v>
      </c>
      <c r="AE460" cm="1">
        <f t="array" ref="AE460">INDEX(X:X, AD460+1)*AC460</f>
        <v>4222800</v>
      </c>
    </row>
    <row r="461" spans="29:31">
      <c r="AC461">
        <v>460</v>
      </c>
      <c r="AD461">
        <f t="shared" si="14"/>
        <v>93</v>
      </c>
      <c r="AE461" cm="1">
        <f t="array" ref="AE461">INDEX(X:X, AD461+1)*AC461</f>
        <v>4278000</v>
      </c>
    </row>
    <row r="462" spans="29:31">
      <c r="AC462">
        <v>461</v>
      </c>
      <c r="AD462">
        <f t="shared" si="14"/>
        <v>93</v>
      </c>
      <c r="AE462" cm="1">
        <f t="array" ref="AE462">INDEX(X:X, AD462+1)*AC462</f>
        <v>4287300</v>
      </c>
    </row>
    <row r="463" spans="29:31">
      <c r="AC463">
        <v>462</v>
      </c>
      <c r="AD463">
        <f t="shared" si="14"/>
        <v>93</v>
      </c>
      <c r="AE463" cm="1">
        <f t="array" ref="AE463">INDEX(X:X, AD463+1)*AC463</f>
        <v>4296600</v>
      </c>
    </row>
    <row r="464" spans="29:31">
      <c r="AC464">
        <v>463</v>
      </c>
      <c r="AD464">
        <f t="shared" si="14"/>
        <v>93</v>
      </c>
      <c r="AE464" cm="1">
        <f t="array" ref="AE464">INDEX(X:X, AD464+1)*AC464</f>
        <v>4305900</v>
      </c>
    </row>
    <row r="465" spans="29:31">
      <c r="AC465">
        <v>464</v>
      </c>
      <c r="AD465">
        <f t="shared" si="14"/>
        <v>93</v>
      </c>
      <c r="AE465" cm="1">
        <f t="array" ref="AE465">INDEX(X:X, AD465+1)*AC465</f>
        <v>4315200</v>
      </c>
    </row>
    <row r="466" spans="29:31">
      <c r="AC466">
        <v>465</v>
      </c>
      <c r="AD466">
        <f t="shared" si="14"/>
        <v>94</v>
      </c>
      <c r="AE466" cm="1">
        <f t="array" ref="AE466">INDEX(X:X, AD466+1)*AC466</f>
        <v>4371000</v>
      </c>
    </row>
    <row r="467" spans="29:31">
      <c r="AC467">
        <v>466</v>
      </c>
      <c r="AD467">
        <f t="shared" si="14"/>
        <v>94</v>
      </c>
      <c r="AE467" cm="1">
        <f t="array" ref="AE467">INDEX(X:X, AD467+1)*AC467</f>
        <v>4380400</v>
      </c>
    </row>
    <row r="468" spans="29:31">
      <c r="AC468">
        <v>467</v>
      </c>
      <c r="AD468">
        <f t="shared" si="14"/>
        <v>94</v>
      </c>
      <c r="AE468" cm="1">
        <f t="array" ref="AE468">INDEX(X:X, AD468+1)*AC468</f>
        <v>4389800</v>
      </c>
    </row>
    <row r="469" spans="29:31">
      <c r="AC469">
        <v>468</v>
      </c>
      <c r="AD469">
        <f t="shared" si="14"/>
        <v>94</v>
      </c>
      <c r="AE469" cm="1">
        <f t="array" ref="AE469">INDEX(X:X, AD469+1)*AC469</f>
        <v>4399200</v>
      </c>
    </row>
    <row r="470" spans="29:31">
      <c r="AC470">
        <v>469</v>
      </c>
      <c r="AD470">
        <f t="shared" si="14"/>
        <v>94</v>
      </c>
      <c r="AE470" cm="1">
        <f t="array" ref="AE470">INDEX(X:X, AD470+1)*AC470</f>
        <v>4408600</v>
      </c>
    </row>
    <row r="471" spans="29:31">
      <c r="AC471">
        <v>470</v>
      </c>
      <c r="AD471">
        <f t="shared" si="14"/>
        <v>95</v>
      </c>
      <c r="AE471" cm="1">
        <f t="array" ref="AE471">INDEX(X:X, AD471+1)*AC471</f>
        <v>4465000</v>
      </c>
    </row>
    <row r="472" spans="29:31">
      <c r="AC472">
        <v>471</v>
      </c>
      <c r="AD472">
        <f t="shared" si="14"/>
        <v>95</v>
      </c>
      <c r="AE472" cm="1">
        <f t="array" ref="AE472">INDEX(X:X, AD472+1)*AC472</f>
        <v>4474500</v>
      </c>
    </row>
    <row r="473" spans="29:31">
      <c r="AC473">
        <v>472</v>
      </c>
      <c r="AD473">
        <f t="shared" si="14"/>
        <v>95</v>
      </c>
      <c r="AE473" cm="1">
        <f t="array" ref="AE473">INDEX(X:X, AD473+1)*AC473</f>
        <v>4484000</v>
      </c>
    </row>
    <row r="474" spans="29:31">
      <c r="AC474">
        <v>473</v>
      </c>
      <c r="AD474">
        <f t="shared" si="14"/>
        <v>95</v>
      </c>
      <c r="AE474" cm="1">
        <f t="array" ref="AE474">INDEX(X:X, AD474+1)*AC474</f>
        <v>4493500</v>
      </c>
    </row>
    <row r="475" spans="29:31">
      <c r="AC475">
        <v>474</v>
      </c>
      <c r="AD475">
        <f t="shared" si="14"/>
        <v>95</v>
      </c>
      <c r="AE475" cm="1">
        <f t="array" ref="AE475">INDEX(X:X, AD475+1)*AC475</f>
        <v>4503000</v>
      </c>
    </row>
    <row r="476" spans="29:31">
      <c r="AC476">
        <v>475</v>
      </c>
      <c r="AD476">
        <f t="shared" si="14"/>
        <v>96</v>
      </c>
      <c r="AE476" cm="1">
        <f t="array" ref="AE476">INDEX(X:X, AD476+1)*AC476</f>
        <v>4560000</v>
      </c>
    </row>
    <row r="477" spans="29:31">
      <c r="AC477">
        <v>476</v>
      </c>
      <c r="AD477">
        <f t="shared" si="14"/>
        <v>96</v>
      </c>
      <c r="AE477" cm="1">
        <f t="array" ref="AE477">INDEX(X:X, AD477+1)*AC477</f>
        <v>4569600</v>
      </c>
    </row>
    <row r="478" spans="29:31">
      <c r="AC478">
        <v>477</v>
      </c>
      <c r="AD478">
        <f t="shared" si="14"/>
        <v>96</v>
      </c>
      <c r="AE478" cm="1">
        <f t="array" ref="AE478">INDEX(X:X, AD478+1)*AC478</f>
        <v>4579200</v>
      </c>
    </row>
    <row r="479" spans="29:31">
      <c r="AC479">
        <v>478</v>
      </c>
      <c r="AD479">
        <f t="shared" si="14"/>
        <v>96</v>
      </c>
      <c r="AE479" cm="1">
        <f t="array" ref="AE479">INDEX(X:X, AD479+1)*AC479</f>
        <v>4588800</v>
      </c>
    </row>
    <row r="480" spans="29:31">
      <c r="AC480">
        <v>479</v>
      </c>
      <c r="AD480">
        <f t="shared" si="14"/>
        <v>96</v>
      </c>
      <c r="AE480" cm="1">
        <f t="array" ref="AE480">INDEX(X:X, AD480+1)*AC480</f>
        <v>4598400</v>
      </c>
    </row>
    <row r="481" spans="29:31">
      <c r="AC481">
        <v>480</v>
      </c>
      <c r="AD481">
        <f t="shared" si="14"/>
        <v>97</v>
      </c>
      <c r="AE481" cm="1">
        <f t="array" ref="AE481">INDEX(X:X, AD481+1)*AC481</f>
        <v>4656000</v>
      </c>
    </row>
    <row r="482" spans="29:31">
      <c r="AC482">
        <v>481</v>
      </c>
      <c r="AD482">
        <f t="shared" si="14"/>
        <v>97</v>
      </c>
      <c r="AE482" cm="1">
        <f t="array" ref="AE482">INDEX(X:X, AD482+1)*AC482</f>
        <v>4665700</v>
      </c>
    </row>
    <row r="483" spans="29:31">
      <c r="AC483">
        <v>482</v>
      </c>
      <c r="AD483">
        <f t="shared" si="14"/>
        <v>97</v>
      </c>
      <c r="AE483" cm="1">
        <f t="array" ref="AE483">INDEX(X:X, AD483+1)*AC483</f>
        <v>4675400</v>
      </c>
    </row>
    <row r="484" spans="29:31">
      <c r="AC484">
        <v>483</v>
      </c>
      <c r="AD484">
        <f t="shared" si="14"/>
        <v>97</v>
      </c>
      <c r="AE484" cm="1">
        <f t="array" ref="AE484">INDEX(X:X, AD484+1)*AC484</f>
        <v>4685100</v>
      </c>
    </row>
    <row r="485" spans="29:31">
      <c r="AC485">
        <v>484</v>
      </c>
      <c r="AD485">
        <f t="shared" si="14"/>
        <v>97</v>
      </c>
      <c r="AE485" cm="1">
        <f t="array" ref="AE485">INDEX(X:X, AD485+1)*AC485</f>
        <v>4694800</v>
      </c>
    </row>
    <row r="486" spans="29:31">
      <c r="AC486">
        <v>485</v>
      </c>
      <c r="AD486">
        <f t="shared" si="14"/>
        <v>98</v>
      </c>
      <c r="AE486" cm="1">
        <f t="array" ref="AE486">INDEX(X:X, AD486+1)*AC486</f>
        <v>4753000</v>
      </c>
    </row>
    <row r="487" spans="29:31">
      <c r="AC487">
        <v>486</v>
      </c>
      <c r="AD487">
        <f t="shared" si="14"/>
        <v>98</v>
      </c>
      <c r="AE487" cm="1">
        <f t="array" ref="AE487">INDEX(X:X, AD487+1)*AC487</f>
        <v>4762800</v>
      </c>
    </row>
    <row r="488" spans="29:31">
      <c r="AC488">
        <v>487</v>
      </c>
      <c r="AD488">
        <f t="shared" si="14"/>
        <v>98</v>
      </c>
      <c r="AE488" cm="1">
        <f t="array" ref="AE488">INDEX(X:X, AD488+1)*AC488</f>
        <v>4772600</v>
      </c>
    </row>
    <row r="489" spans="29:31">
      <c r="AC489">
        <v>488</v>
      </c>
      <c r="AD489">
        <f t="shared" si="14"/>
        <v>98</v>
      </c>
      <c r="AE489" cm="1">
        <f t="array" ref="AE489">INDEX(X:X, AD489+1)*AC489</f>
        <v>4782400</v>
      </c>
    </row>
    <row r="490" spans="29:31">
      <c r="AC490">
        <v>489</v>
      </c>
      <c r="AD490">
        <f t="shared" si="14"/>
        <v>98</v>
      </c>
      <c r="AE490" cm="1">
        <f t="array" ref="AE490">INDEX(X:X, AD490+1)*AC490</f>
        <v>4792200</v>
      </c>
    </row>
    <row r="491" spans="29:31">
      <c r="AC491">
        <v>490</v>
      </c>
      <c r="AD491">
        <f t="shared" si="14"/>
        <v>99</v>
      </c>
      <c r="AE491" cm="1">
        <f t="array" ref="AE491">INDEX(X:X, AD491+1)*AC491</f>
        <v>4851000</v>
      </c>
    </row>
    <row r="492" spans="29:31">
      <c r="AC492">
        <v>491</v>
      </c>
      <c r="AD492">
        <f t="shared" si="14"/>
        <v>99</v>
      </c>
      <c r="AE492" cm="1">
        <f t="array" ref="AE492">INDEX(X:X, AD492+1)*AC492</f>
        <v>4860900</v>
      </c>
    </row>
    <row r="493" spans="29:31">
      <c r="AC493">
        <v>492</v>
      </c>
      <c r="AD493">
        <f t="shared" si="14"/>
        <v>99</v>
      </c>
      <c r="AE493" cm="1">
        <f t="array" ref="AE493">INDEX(X:X, AD493+1)*AC493</f>
        <v>4870800</v>
      </c>
    </row>
    <row r="494" spans="29:31">
      <c r="AC494">
        <v>493</v>
      </c>
      <c r="AD494">
        <f t="shared" si="14"/>
        <v>99</v>
      </c>
      <c r="AE494" cm="1">
        <f t="array" ref="AE494">INDEX(X:X, AD494+1)*AC494</f>
        <v>4880700</v>
      </c>
    </row>
    <row r="495" spans="29:31">
      <c r="AC495">
        <v>494</v>
      </c>
      <c r="AD495">
        <f t="shared" si="14"/>
        <v>99</v>
      </c>
      <c r="AE495" cm="1">
        <f t="array" ref="AE495">INDEX(X:X, AD495+1)*AC495</f>
        <v>4890600</v>
      </c>
    </row>
    <row r="496" spans="29:31">
      <c r="AC496">
        <v>495</v>
      </c>
      <c r="AD496">
        <f t="shared" si="14"/>
        <v>100</v>
      </c>
      <c r="AE496" cm="1">
        <f t="array" ref="AE496">INDEX(X:X, AD496+1)*AC496</f>
        <v>4950000</v>
      </c>
    </row>
    <row r="497" spans="29:31">
      <c r="AC497">
        <v>496</v>
      </c>
      <c r="AD497">
        <f t="shared" si="14"/>
        <v>100</v>
      </c>
      <c r="AE497" cm="1">
        <f t="array" ref="AE497">INDEX(X:X, AD497+1)*AC497</f>
        <v>4960000</v>
      </c>
    </row>
    <row r="498" spans="29:31">
      <c r="AC498">
        <v>497</v>
      </c>
      <c r="AD498">
        <f t="shared" si="14"/>
        <v>100</v>
      </c>
      <c r="AE498" cm="1">
        <f t="array" ref="AE498">INDEX(X:X, AD498+1)*AC498</f>
        <v>4970000</v>
      </c>
    </row>
    <row r="499" spans="29:31">
      <c r="AC499">
        <v>498</v>
      </c>
      <c r="AD499">
        <f t="shared" si="14"/>
        <v>100</v>
      </c>
      <c r="AE499" cm="1">
        <f t="array" ref="AE499">INDEX(X:X, AD499+1)*AC499</f>
        <v>4980000</v>
      </c>
    </row>
    <row r="500" spans="29:31">
      <c r="AC500">
        <v>499</v>
      </c>
      <c r="AD500">
        <f t="shared" si="14"/>
        <v>100</v>
      </c>
      <c r="AE500" cm="1">
        <f t="array" ref="AE500">INDEX(X:X, AD500+1)*AC500</f>
        <v>4990000</v>
      </c>
    </row>
    <row r="501" spans="29:31">
      <c r="AC501">
        <v>500</v>
      </c>
      <c r="AD501">
        <f t="shared" si="14"/>
        <v>101</v>
      </c>
      <c r="AE501" cm="1">
        <f t="array" ref="AE501">INDEX(X:X, AD501+1)*AC501</f>
        <v>5050000</v>
      </c>
    </row>
    <row r="502" spans="29:31">
      <c r="AC502">
        <v>501</v>
      </c>
      <c r="AD502">
        <f t="shared" si="14"/>
        <v>101</v>
      </c>
      <c r="AE502" cm="1">
        <f t="array" ref="AE502">INDEX(X:X, AD502+1)*AC502</f>
        <v>5060100</v>
      </c>
    </row>
    <row r="503" spans="29:31">
      <c r="AC503">
        <v>502</v>
      </c>
      <c r="AD503">
        <f t="shared" si="14"/>
        <v>101</v>
      </c>
      <c r="AE503" cm="1">
        <f t="array" ref="AE503">INDEX(X:X, AD503+1)*AC503</f>
        <v>5070200</v>
      </c>
    </row>
    <row r="504" spans="29:31">
      <c r="AC504">
        <v>503</v>
      </c>
      <c r="AD504">
        <f t="shared" si="14"/>
        <v>101</v>
      </c>
      <c r="AE504" cm="1">
        <f t="array" ref="AE504">INDEX(X:X, AD504+1)*AC504</f>
        <v>5080300</v>
      </c>
    </row>
    <row r="505" spans="29:31">
      <c r="AC505">
        <v>504</v>
      </c>
      <c r="AD505">
        <f t="shared" si="14"/>
        <v>101</v>
      </c>
      <c r="AE505" cm="1">
        <f t="array" ref="AE505">INDEX(X:X, AD505+1)*AC505</f>
        <v>5090400</v>
      </c>
    </row>
    <row r="506" spans="29:31">
      <c r="AC506">
        <v>505</v>
      </c>
      <c r="AD506">
        <f t="shared" si="14"/>
        <v>102</v>
      </c>
      <c r="AE506" cm="1">
        <f t="array" ref="AE506">INDEX(X:X, AD506+1)*AC506</f>
        <v>5151000</v>
      </c>
    </row>
    <row r="507" spans="29:31">
      <c r="AC507">
        <v>506</v>
      </c>
      <c r="AD507">
        <f t="shared" si="14"/>
        <v>102</v>
      </c>
      <c r="AE507" cm="1">
        <f t="array" ref="AE507">INDEX(X:X, AD507+1)*AC507</f>
        <v>5161200</v>
      </c>
    </row>
    <row r="508" spans="29:31">
      <c r="AC508">
        <v>507</v>
      </c>
      <c r="AD508">
        <f t="shared" si="14"/>
        <v>102</v>
      </c>
      <c r="AE508" cm="1">
        <f t="array" ref="AE508">INDEX(X:X, AD508+1)*AC508</f>
        <v>5171400</v>
      </c>
    </row>
    <row r="509" spans="29:31">
      <c r="AC509">
        <v>508</v>
      </c>
      <c r="AD509">
        <f t="shared" si="14"/>
        <v>102</v>
      </c>
      <c r="AE509" cm="1">
        <f t="array" ref="AE509">INDEX(X:X, AD509+1)*AC509</f>
        <v>5181600</v>
      </c>
    </row>
    <row r="510" spans="29:31">
      <c r="AC510">
        <v>509</v>
      </c>
      <c r="AD510">
        <f t="shared" si="14"/>
        <v>102</v>
      </c>
      <c r="AE510" cm="1">
        <f t="array" ref="AE510">INDEX(X:X, AD510+1)*AC510</f>
        <v>5191800</v>
      </c>
    </row>
    <row r="511" spans="29:31">
      <c r="AC511">
        <v>510</v>
      </c>
      <c r="AD511">
        <f t="shared" si="14"/>
        <v>103</v>
      </c>
      <c r="AE511" cm="1">
        <f t="array" ref="AE511">INDEX(X:X, AD511+1)*AC511</f>
        <v>5253000</v>
      </c>
    </row>
    <row r="512" spans="29:31">
      <c r="AC512">
        <v>511</v>
      </c>
      <c r="AD512">
        <f t="shared" si="14"/>
        <v>103</v>
      </c>
      <c r="AE512" cm="1">
        <f t="array" ref="AE512">INDEX(X:X, AD512+1)*AC512</f>
        <v>5263300</v>
      </c>
    </row>
    <row r="513" spans="29:31">
      <c r="AC513">
        <v>512</v>
      </c>
      <c r="AD513">
        <f t="shared" si="14"/>
        <v>103</v>
      </c>
      <c r="AE513" cm="1">
        <f t="array" ref="AE513">INDEX(X:X, AD513+1)*AC513</f>
        <v>5273600</v>
      </c>
    </row>
    <row r="514" spans="29:31">
      <c r="AC514">
        <v>513</v>
      </c>
      <c r="AD514">
        <f t="shared" si="14"/>
        <v>103</v>
      </c>
      <c r="AE514" cm="1">
        <f t="array" ref="AE514">INDEX(X:X, AD514+1)*AC514</f>
        <v>5283900</v>
      </c>
    </row>
    <row r="515" spans="29:31">
      <c r="AC515">
        <v>514</v>
      </c>
      <c r="AD515">
        <f t="shared" ref="AD515:AD578" si="15">INT(AC515/5)+1</f>
        <v>103</v>
      </c>
      <c r="AE515" cm="1">
        <f t="array" ref="AE515">INDEX(X:X, AD515+1)*AC515</f>
        <v>5294200</v>
      </c>
    </row>
    <row r="516" spans="29:31">
      <c r="AC516">
        <v>515</v>
      </c>
      <c r="AD516">
        <f t="shared" si="15"/>
        <v>104</v>
      </c>
      <c r="AE516" cm="1">
        <f t="array" ref="AE516">INDEX(X:X, AD516+1)*AC516</f>
        <v>5356000</v>
      </c>
    </row>
    <row r="517" spans="29:31">
      <c r="AC517">
        <v>516</v>
      </c>
      <c r="AD517">
        <f t="shared" si="15"/>
        <v>104</v>
      </c>
      <c r="AE517" cm="1">
        <f t="array" ref="AE517">INDEX(X:X, AD517+1)*AC517</f>
        <v>5366400</v>
      </c>
    </row>
    <row r="518" spans="29:31">
      <c r="AC518">
        <v>517</v>
      </c>
      <c r="AD518">
        <f t="shared" si="15"/>
        <v>104</v>
      </c>
      <c r="AE518" cm="1">
        <f t="array" ref="AE518">INDEX(X:X, AD518+1)*AC518</f>
        <v>5376800</v>
      </c>
    </row>
    <row r="519" spans="29:31">
      <c r="AC519">
        <v>518</v>
      </c>
      <c r="AD519">
        <f t="shared" si="15"/>
        <v>104</v>
      </c>
      <c r="AE519" cm="1">
        <f t="array" ref="AE519">INDEX(X:X, AD519+1)*AC519</f>
        <v>5387200</v>
      </c>
    </row>
    <row r="520" spans="29:31">
      <c r="AC520">
        <v>519</v>
      </c>
      <c r="AD520">
        <f t="shared" si="15"/>
        <v>104</v>
      </c>
      <c r="AE520" cm="1">
        <f t="array" ref="AE520">INDEX(X:X, AD520+1)*AC520</f>
        <v>5397600</v>
      </c>
    </row>
    <row r="521" spans="29:31">
      <c r="AC521">
        <v>520</v>
      </c>
      <c r="AD521">
        <f t="shared" si="15"/>
        <v>105</v>
      </c>
      <c r="AE521" cm="1">
        <f t="array" ref="AE521">INDEX(X:X, AD521+1)*AC521</f>
        <v>5460000</v>
      </c>
    </row>
    <row r="522" spans="29:31">
      <c r="AC522">
        <v>521</v>
      </c>
      <c r="AD522">
        <f t="shared" si="15"/>
        <v>105</v>
      </c>
      <c r="AE522" cm="1">
        <f t="array" ref="AE522">INDEX(X:X, AD522+1)*AC522</f>
        <v>5470500</v>
      </c>
    </row>
    <row r="523" spans="29:31">
      <c r="AC523">
        <v>522</v>
      </c>
      <c r="AD523">
        <f t="shared" si="15"/>
        <v>105</v>
      </c>
      <c r="AE523" cm="1">
        <f t="array" ref="AE523">INDEX(X:X, AD523+1)*AC523</f>
        <v>5481000</v>
      </c>
    </row>
    <row r="524" spans="29:31">
      <c r="AC524">
        <v>523</v>
      </c>
      <c r="AD524">
        <f t="shared" si="15"/>
        <v>105</v>
      </c>
      <c r="AE524" cm="1">
        <f t="array" ref="AE524">INDEX(X:X, AD524+1)*AC524</f>
        <v>5491500</v>
      </c>
    </row>
    <row r="525" spans="29:31">
      <c r="AC525">
        <v>524</v>
      </c>
      <c r="AD525">
        <f t="shared" si="15"/>
        <v>105</v>
      </c>
      <c r="AE525" cm="1">
        <f t="array" ref="AE525">INDEX(X:X, AD525+1)*AC525</f>
        <v>5502000</v>
      </c>
    </row>
    <row r="526" spans="29:31">
      <c r="AC526">
        <v>525</v>
      </c>
      <c r="AD526">
        <f t="shared" si="15"/>
        <v>106</v>
      </c>
      <c r="AE526" cm="1">
        <f t="array" ref="AE526">INDEX(X:X, AD526+1)*AC526</f>
        <v>5565000</v>
      </c>
    </row>
    <row r="527" spans="29:31">
      <c r="AC527">
        <v>526</v>
      </c>
      <c r="AD527">
        <f t="shared" si="15"/>
        <v>106</v>
      </c>
      <c r="AE527" cm="1">
        <f t="array" ref="AE527">INDEX(X:X, AD527+1)*AC527</f>
        <v>5575600</v>
      </c>
    </row>
    <row r="528" spans="29:31">
      <c r="AC528">
        <v>527</v>
      </c>
      <c r="AD528">
        <f t="shared" si="15"/>
        <v>106</v>
      </c>
      <c r="AE528" cm="1">
        <f t="array" ref="AE528">INDEX(X:X, AD528+1)*AC528</f>
        <v>5586200</v>
      </c>
    </row>
    <row r="529" spans="29:31">
      <c r="AC529">
        <v>528</v>
      </c>
      <c r="AD529">
        <f t="shared" si="15"/>
        <v>106</v>
      </c>
      <c r="AE529" cm="1">
        <f t="array" ref="AE529">INDEX(X:X, AD529+1)*AC529</f>
        <v>5596800</v>
      </c>
    </row>
    <row r="530" spans="29:31">
      <c r="AC530">
        <v>529</v>
      </c>
      <c r="AD530">
        <f t="shared" si="15"/>
        <v>106</v>
      </c>
      <c r="AE530" cm="1">
        <f t="array" ref="AE530">INDEX(X:X, AD530+1)*AC530</f>
        <v>5607400</v>
      </c>
    </row>
    <row r="531" spans="29:31">
      <c r="AC531">
        <v>530</v>
      </c>
      <c r="AD531">
        <f t="shared" si="15"/>
        <v>107</v>
      </c>
      <c r="AE531" cm="1">
        <f t="array" ref="AE531">INDEX(X:X, AD531+1)*AC531</f>
        <v>5671000</v>
      </c>
    </row>
    <row r="532" spans="29:31">
      <c r="AC532">
        <v>531</v>
      </c>
      <c r="AD532">
        <f t="shared" si="15"/>
        <v>107</v>
      </c>
      <c r="AE532" cm="1">
        <f t="array" ref="AE532">INDEX(X:X, AD532+1)*AC532</f>
        <v>5681700</v>
      </c>
    </row>
    <row r="533" spans="29:31">
      <c r="AC533">
        <v>532</v>
      </c>
      <c r="AD533">
        <f t="shared" si="15"/>
        <v>107</v>
      </c>
      <c r="AE533" cm="1">
        <f t="array" ref="AE533">INDEX(X:X, AD533+1)*AC533</f>
        <v>5692400</v>
      </c>
    </row>
    <row r="534" spans="29:31">
      <c r="AC534">
        <v>533</v>
      </c>
      <c r="AD534">
        <f t="shared" si="15"/>
        <v>107</v>
      </c>
      <c r="AE534" cm="1">
        <f t="array" ref="AE534">INDEX(X:X, AD534+1)*AC534</f>
        <v>5703100</v>
      </c>
    </row>
    <row r="535" spans="29:31">
      <c r="AC535">
        <v>534</v>
      </c>
      <c r="AD535">
        <f t="shared" si="15"/>
        <v>107</v>
      </c>
      <c r="AE535" cm="1">
        <f t="array" ref="AE535">INDEX(X:X, AD535+1)*AC535</f>
        <v>5713800</v>
      </c>
    </row>
    <row r="536" spans="29:31">
      <c r="AC536">
        <v>535</v>
      </c>
      <c r="AD536">
        <f t="shared" si="15"/>
        <v>108</v>
      </c>
      <c r="AE536" cm="1">
        <f t="array" ref="AE536">INDEX(X:X, AD536+1)*AC536</f>
        <v>5778000</v>
      </c>
    </row>
    <row r="537" spans="29:31">
      <c r="AC537">
        <v>536</v>
      </c>
      <c r="AD537">
        <f t="shared" si="15"/>
        <v>108</v>
      </c>
      <c r="AE537" cm="1">
        <f t="array" ref="AE537">INDEX(X:X, AD537+1)*AC537</f>
        <v>5788800</v>
      </c>
    </row>
    <row r="538" spans="29:31">
      <c r="AC538">
        <v>537</v>
      </c>
      <c r="AD538">
        <f t="shared" si="15"/>
        <v>108</v>
      </c>
      <c r="AE538" cm="1">
        <f t="array" ref="AE538">INDEX(X:X, AD538+1)*AC538</f>
        <v>5799600</v>
      </c>
    </row>
    <row r="539" spans="29:31">
      <c r="AC539">
        <v>538</v>
      </c>
      <c r="AD539">
        <f t="shared" si="15"/>
        <v>108</v>
      </c>
      <c r="AE539" cm="1">
        <f t="array" ref="AE539">INDEX(X:X, AD539+1)*AC539</f>
        <v>5810400</v>
      </c>
    </row>
    <row r="540" spans="29:31">
      <c r="AC540">
        <v>539</v>
      </c>
      <c r="AD540">
        <f t="shared" si="15"/>
        <v>108</v>
      </c>
      <c r="AE540" cm="1">
        <f t="array" ref="AE540">INDEX(X:X, AD540+1)*AC540</f>
        <v>5821200</v>
      </c>
    </row>
    <row r="541" spans="29:31">
      <c r="AC541">
        <v>540</v>
      </c>
      <c r="AD541">
        <f t="shared" si="15"/>
        <v>109</v>
      </c>
      <c r="AE541" cm="1">
        <f t="array" ref="AE541">INDEX(X:X, AD541+1)*AC541</f>
        <v>5886000</v>
      </c>
    </row>
    <row r="542" spans="29:31">
      <c r="AC542">
        <v>541</v>
      </c>
      <c r="AD542">
        <f t="shared" si="15"/>
        <v>109</v>
      </c>
      <c r="AE542" cm="1">
        <f t="array" ref="AE542">INDEX(X:X, AD542+1)*AC542</f>
        <v>5896900</v>
      </c>
    </row>
    <row r="543" spans="29:31">
      <c r="AC543">
        <v>542</v>
      </c>
      <c r="AD543">
        <f t="shared" si="15"/>
        <v>109</v>
      </c>
      <c r="AE543" cm="1">
        <f t="array" ref="AE543">INDEX(X:X, AD543+1)*AC543</f>
        <v>5907800</v>
      </c>
    </row>
    <row r="544" spans="29:31">
      <c r="AC544">
        <v>543</v>
      </c>
      <c r="AD544">
        <f t="shared" si="15"/>
        <v>109</v>
      </c>
      <c r="AE544" cm="1">
        <f t="array" ref="AE544">INDEX(X:X, AD544+1)*AC544</f>
        <v>5918700</v>
      </c>
    </row>
    <row r="545" spans="29:31">
      <c r="AC545">
        <v>544</v>
      </c>
      <c r="AD545">
        <f t="shared" si="15"/>
        <v>109</v>
      </c>
      <c r="AE545" cm="1">
        <f t="array" ref="AE545">INDEX(X:X, AD545+1)*AC545</f>
        <v>5929600</v>
      </c>
    </row>
    <row r="546" spans="29:31">
      <c r="AC546">
        <v>545</v>
      </c>
      <c r="AD546">
        <f t="shared" si="15"/>
        <v>110</v>
      </c>
      <c r="AE546" cm="1">
        <f t="array" ref="AE546">INDEX(X:X, AD546+1)*AC546</f>
        <v>5995000</v>
      </c>
    </row>
    <row r="547" spans="29:31">
      <c r="AC547">
        <v>546</v>
      </c>
      <c r="AD547">
        <f t="shared" si="15"/>
        <v>110</v>
      </c>
      <c r="AE547" cm="1">
        <f t="array" ref="AE547">INDEX(X:X, AD547+1)*AC547</f>
        <v>6006000</v>
      </c>
    </row>
    <row r="548" spans="29:31">
      <c r="AC548">
        <v>547</v>
      </c>
      <c r="AD548">
        <f t="shared" si="15"/>
        <v>110</v>
      </c>
      <c r="AE548" cm="1">
        <f t="array" ref="AE548">INDEX(X:X, AD548+1)*AC548</f>
        <v>6017000</v>
      </c>
    </row>
    <row r="549" spans="29:31">
      <c r="AC549">
        <v>548</v>
      </c>
      <c r="AD549">
        <f t="shared" si="15"/>
        <v>110</v>
      </c>
      <c r="AE549" cm="1">
        <f t="array" ref="AE549">INDEX(X:X, AD549+1)*AC549</f>
        <v>6028000</v>
      </c>
    </row>
    <row r="550" spans="29:31">
      <c r="AC550">
        <v>549</v>
      </c>
      <c r="AD550">
        <f t="shared" si="15"/>
        <v>110</v>
      </c>
      <c r="AE550" cm="1">
        <f t="array" ref="AE550">INDEX(X:X, AD550+1)*AC550</f>
        <v>6039000</v>
      </c>
    </row>
    <row r="551" spans="29:31">
      <c r="AC551">
        <v>550</v>
      </c>
      <c r="AD551">
        <f t="shared" si="15"/>
        <v>111</v>
      </c>
      <c r="AE551" cm="1">
        <f t="array" ref="AE551">INDEX(X:X, AD551+1)*AC551</f>
        <v>6105000</v>
      </c>
    </row>
    <row r="552" spans="29:31">
      <c r="AC552">
        <v>551</v>
      </c>
      <c r="AD552">
        <f t="shared" si="15"/>
        <v>111</v>
      </c>
      <c r="AE552" cm="1">
        <f t="array" ref="AE552">INDEX(X:X, AD552+1)*AC552</f>
        <v>6116100</v>
      </c>
    </row>
    <row r="553" spans="29:31">
      <c r="AC553">
        <v>552</v>
      </c>
      <c r="AD553">
        <f t="shared" si="15"/>
        <v>111</v>
      </c>
      <c r="AE553" cm="1">
        <f t="array" ref="AE553">INDEX(X:X, AD553+1)*AC553</f>
        <v>6127200</v>
      </c>
    </row>
    <row r="554" spans="29:31">
      <c r="AC554">
        <v>553</v>
      </c>
      <c r="AD554">
        <f t="shared" si="15"/>
        <v>111</v>
      </c>
      <c r="AE554" cm="1">
        <f t="array" ref="AE554">INDEX(X:X, AD554+1)*AC554</f>
        <v>6138300</v>
      </c>
    </row>
    <row r="555" spans="29:31">
      <c r="AC555">
        <v>554</v>
      </c>
      <c r="AD555">
        <f t="shared" si="15"/>
        <v>111</v>
      </c>
      <c r="AE555" cm="1">
        <f t="array" ref="AE555">INDEX(X:X, AD555+1)*AC555</f>
        <v>6149400</v>
      </c>
    </row>
    <row r="556" spans="29:31">
      <c r="AC556">
        <v>555</v>
      </c>
      <c r="AD556">
        <f t="shared" si="15"/>
        <v>112</v>
      </c>
      <c r="AE556" cm="1">
        <f t="array" ref="AE556">INDEX(X:X, AD556+1)*AC556</f>
        <v>6216000</v>
      </c>
    </row>
    <row r="557" spans="29:31">
      <c r="AC557">
        <v>556</v>
      </c>
      <c r="AD557">
        <f t="shared" si="15"/>
        <v>112</v>
      </c>
      <c r="AE557" cm="1">
        <f t="array" ref="AE557">INDEX(X:X, AD557+1)*AC557</f>
        <v>6227200</v>
      </c>
    </row>
    <row r="558" spans="29:31">
      <c r="AC558">
        <v>557</v>
      </c>
      <c r="AD558">
        <f t="shared" si="15"/>
        <v>112</v>
      </c>
      <c r="AE558" cm="1">
        <f t="array" ref="AE558">INDEX(X:X, AD558+1)*AC558</f>
        <v>6238400</v>
      </c>
    </row>
    <row r="559" spans="29:31">
      <c r="AC559">
        <v>558</v>
      </c>
      <c r="AD559">
        <f t="shared" si="15"/>
        <v>112</v>
      </c>
      <c r="AE559" cm="1">
        <f t="array" ref="AE559">INDEX(X:X, AD559+1)*AC559</f>
        <v>6249600</v>
      </c>
    </row>
    <row r="560" spans="29:31">
      <c r="AC560">
        <v>559</v>
      </c>
      <c r="AD560">
        <f t="shared" si="15"/>
        <v>112</v>
      </c>
      <c r="AE560" cm="1">
        <f t="array" ref="AE560">INDEX(X:X, AD560+1)*AC560</f>
        <v>6260800</v>
      </c>
    </row>
    <row r="561" spans="29:31">
      <c r="AC561">
        <v>560</v>
      </c>
      <c r="AD561">
        <f t="shared" si="15"/>
        <v>113</v>
      </c>
      <c r="AE561" cm="1">
        <f t="array" ref="AE561">INDEX(X:X, AD561+1)*AC561</f>
        <v>6328000</v>
      </c>
    </row>
    <row r="562" spans="29:31">
      <c r="AC562">
        <v>561</v>
      </c>
      <c r="AD562">
        <f t="shared" si="15"/>
        <v>113</v>
      </c>
      <c r="AE562" cm="1">
        <f t="array" ref="AE562">INDEX(X:X, AD562+1)*AC562</f>
        <v>6339300</v>
      </c>
    </row>
    <row r="563" spans="29:31">
      <c r="AC563">
        <v>562</v>
      </c>
      <c r="AD563">
        <f t="shared" si="15"/>
        <v>113</v>
      </c>
      <c r="AE563" cm="1">
        <f t="array" ref="AE563">INDEX(X:X, AD563+1)*AC563</f>
        <v>6350600</v>
      </c>
    </row>
    <row r="564" spans="29:31">
      <c r="AC564">
        <v>563</v>
      </c>
      <c r="AD564">
        <f t="shared" si="15"/>
        <v>113</v>
      </c>
      <c r="AE564" cm="1">
        <f t="array" ref="AE564">INDEX(X:X, AD564+1)*AC564</f>
        <v>6361900</v>
      </c>
    </row>
    <row r="565" spans="29:31">
      <c r="AC565">
        <v>564</v>
      </c>
      <c r="AD565">
        <f t="shared" si="15"/>
        <v>113</v>
      </c>
      <c r="AE565" cm="1">
        <f t="array" ref="AE565">INDEX(X:X, AD565+1)*AC565</f>
        <v>6373200</v>
      </c>
    </row>
    <row r="566" spans="29:31">
      <c r="AC566">
        <v>565</v>
      </c>
      <c r="AD566">
        <f t="shared" si="15"/>
        <v>114</v>
      </c>
      <c r="AE566" cm="1">
        <f t="array" ref="AE566">INDEX(X:X, AD566+1)*AC566</f>
        <v>6441000</v>
      </c>
    </row>
    <row r="567" spans="29:31">
      <c r="AC567">
        <v>566</v>
      </c>
      <c r="AD567">
        <f t="shared" si="15"/>
        <v>114</v>
      </c>
      <c r="AE567" cm="1">
        <f t="array" ref="AE567">INDEX(X:X, AD567+1)*AC567</f>
        <v>6452400</v>
      </c>
    </row>
    <row r="568" spans="29:31">
      <c r="AC568">
        <v>567</v>
      </c>
      <c r="AD568">
        <f t="shared" si="15"/>
        <v>114</v>
      </c>
      <c r="AE568" cm="1">
        <f t="array" ref="AE568">INDEX(X:X, AD568+1)*AC568</f>
        <v>6463800</v>
      </c>
    </row>
    <row r="569" spans="29:31">
      <c r="AC569">
        <v>568</v>
      </c>
      <c r="AD569">
        <f t="shared" si="15"/>
        <v>114</v>
      </c>
      <c r="AE569" cm="1">
        <f t="array" ref="AE569">INDEX(X:X, AD569+1)*AC569</f>
        <v>6475200</v>
      </c>
    </row>
    <row r="570" spans="29:31">
      <c r="AC570">
        <v>569</v>
      </c>
      <c r="AD570">
        <f t="shared" si="15"/>
        <v>114</v>
      </c>
      <c r="AE570" cm="1">
        <f t="array" ref="AE570">INDEX(X:X, AD570+1)*AC570</f>
        <v>6486600</v>
      </c>
    </row>
    <row r="571" spans="29:31">
      <c r="AC571">
        <v>570</v>
      </c>
      <c r="AD571">
        <f t="shared" si="15"/>
        <v>115</v>
      </c>
      <c r="AE571" cm="1">
        <f t="array" ref="AE571">INDEX(X:X, AD571+1)*AC571</f>
        <v>6555000</v>
      </c>
    </row>
    <row r="572" spans="29:31">
      <c r="AC572">
        <v>571</v>
      </c>
      <c r="AD572">
        <f t="shared" si="15"/>
        <v>115</v>
      </c>
      <c r="AE572" cm="1">
        <f t="array" ref="AE572">INDEX(X:X, AD572+1)*AC572</f>
        <v>6566500</v>
      </c>
    </row>
    <row r="573" spans="29:31">
      <c r="AC573">
        <v>572</v>
      </c>
      <c r="AD573">
        <f t="shared" si="15"/>
        <v>115</v>
      </c>
      <c r="AE573" cm="1">
        <f t="array" ref="AE573">INDEX(X:X, AD573+1)*AC573</f>
        <v>6578000</v>
      </c>
    </row>
    <row r="574" spans="29:31">
      <c r="AC574">
        <v>573</v>
      </c>
      <c r="AD574">
        <f t="shared" si="15"/>
        <v>115</v>
      </c>
      <c r="AE574" cm="1">
        <f t="array" ref="AE574">INDEX(X:X, AD574+1)*AC574</f>
        <v>6589500</v>
      </c>
    </row>
    <row r="575" spans="29:31">
      <c r="AC575">
        <v>574</v>
      </c>
      <c r="AD575">
        <f t="shared" si="15"/>
        <v>115</v>
      </c>
      <c r="AE575" cm="1">
        <f t="array" ref="AE575">INDEX(X:X, AD575+1)*AC575</f>
        <v>6601000</v>
      </c>
    </row>
    <row r="576" spans="29:31">
      <c r="AC576">
        <v>575</v>
      </c>
      <c r="AD576">
        <f t="shared" si="15"/>
        <v>116</v>
      </c>
      <c r="AE576" cm="1">
        <f t="array" ref="AE576">INDEX(X:X, AD576+1)*AC576</f>
        <v>6670000</v>
      </c>
    </row>
    <row r="577" spans="29:31">
      <c r="AC577">
        <v>576</v>
      </c>
      <c r="AD577">
        <f t="shared" si="15"/>
        <v>116</v>
      </c>
      <c r="AE577" cm="1">
        <f t="array" ref="AE577">INDEX(X:X, AD577+1)*AC577</f>
        <v>6681600</v>
      </c>
    </row>
    <row r="578" spans="29:31">
      <c r="AC578">
        <v>577</v>
      </c>
      <c r="AD578">
        <f t="shared" si="15"/>
        <v>116</v>
      </c>
      <c r="AE578" cm="1">
        <f t="array" ref="AE578">INDEX(X:X, AD578+1)*AC578</f>
        <v>6693200</v>
      </c>
    </row>
    <row r="579" spans="29:31">
      <c r="AC579">
        <v>578</v>
      </c>
      <c r="AD579">
        <f t="shared" ref="AD579:AD642" si="16">INT(AC579/5)+1</f>
        <v>116</v>
      </c>
      <c r="AE579" cm="1">
        <f t="array" ref="AE579">INDEX(X:X, AD579+1)*AC579</f>
        <v>6704800</v>
      </c>
    </row>
    <row r="580" spans="29:31">
      <c r="AC580">
        <v>579</v>
      </c>
      <c r="AD580">
        <f t="shared" si="16"/>
        <v>116</v>
      </c>
      <c r="AE580" cm="1">
        <f t="array" ref="AE580">INDEX(X:X, AD580+1)*AC580</f>
        <v>6716400</v>
      </c>
    </row>
    <row r="581" spans="29:31">
      <c r="AC581">
        <v>580</v>
      </c>
      <c r="AD581">
        <f t="shared" si="16"/>
        <v>117</v>
      </c>
      <c r="AE581" cm="1">
        <f t="array" ref="AE581">INDEX(X:X, AD581+1)*AC581</f>
        <v>6786000</v>
      </c>
    </row>
    <row r="582" spans="29:31">
      <c r="AC582">
        <v>581</v>
      </c>
      <c r="AD582">
        <f t="shared" si="16"/>
        <v>117</v>
      </c>
      <c r="AE582" cm="1">
        <f t="array" ref="AE582">INDEX(X:X, AD582+1)*AC582</f>
        <v>6797700</v>
      </c>
    </row>
    <row r="583" spans="29:31">
      <c r="AC583">
        <v>582</v>
      </c>
      <c r="AD583">
        <f t="shared" si="16"/>
        <v>117</v>
      </c>
      <c r="AE583" cm="1">
        <f t="array" ref="AE583">INDEX(X:X, AD583+1)*AC583</f>
        <v>6809400</v>
      </c>
    </row>
    <row r="584" spans="29:31">
      <c r="AC584">
        <v>583</v>
      </c>
      <c r="AD584">
        <f t="shared" si="16"/>
        <v>117</v>
      </c>
      <c r="AE584" cm="1">
        <f t="array" ref="AE584">INDEX(X:X, AD584+1)*AC584</f>
        <v>6821100</v>
      </c>
    </row>
    <row r="585" spans="29:31">
      <c r="AC585">
        <v>584</v>
      </c>
      <c r="AD585">
        <f t="shared" si="16"/>
        <v>117</v>
      </c>
      <c r="AE585" cm="1">
        <f t="array" ref="AE585">INDEX(X:X, AD585+1)*AC585</f>
        <v>6832800</v>
      </c>
    </row>
    <row r="586" spans="29:31">
      <c r="AC586">
        <v>585</v>
      </c>
      <c r="AD586">
        <f t="shared" si="16"/>
        <v>118</v>
      </c>
      <c r="AE586" cm="1">
        <f t="array" ref="AE586">INDEX(X:X, AD586+1)*AC586</f>
        <v>6903000</v>
      </c>
    </row>
    <row r="587" spans="29:31">
      <c r="AC587">
        <v>586</v>
      </c>
      <c r="AD587">
        <f t="shared" si="16"/>
        <v>118</v>
      </c>
      <c r="AE587" cm="1">
        <f t="array" ref="AE587">INDEX(X:X, AD587+1)*AC587</f>
        <v>6914800</v>
      </c>
    </row>
    <row r="588" spans="29:31">
      <c r="AC588">
        <v>587</v>
      </c>
      <c r="AD588">
        <f t="shared" si="16"/>
        <v>118</v>
      </c>
      <c r="AE588" cm="1">
        <f t="array" ref="AE588">INDEX(X:X, AD588+1)*AC588</f>
        <v>6926600</v>
      </c>
    </row>
    <row r="589" spans="29:31">
      <c r="AC589">
        <v>588</v>
      </c>
      <c r="AD589">
        <f t="shared" si="16"/>
        <v>118</v>
      </c>
      <c r="AE589" cm="1">
        <f t="array" ref="AE589">INDEX(X:X, AD589+1)*AC589</f>
        <v>6938400</v>
      </c>
    </row>
    <row r="590" spans="29:31">
      <c r="AC590">
        <v>589</v>
      </c>
      <c r="AD590">
        <f t="shared" si="16"/>
        <v>118</v>
      </c>
      <c r="AE590" cm="1">
        <f t="array" ref="AE590">INDEX(X:X, AD590+1)*AC590</f>
        <v>6950200</v>
      </c>
    </row>
    <row r="591" spans="29:31">
      <c r="AC591">
        <v>590</v>
      </c>
      <c r="AD591">
        <f t="shared" si="16"/>
        <v>119</v>
      </c>
      <c r="AE591" cm="1">
        <f t="array" ref="AE591">INDEX(X:X, AD591+1)*AC591</f>
        <v>7021000</v>
      </c>
    </row>
    <row r="592" spans="29:31">
      <c r="AC592">
        <v>591</v>
      </c>
      <c r="AD592">
        <f t="shared" si="16"/>
        <v>119</v>
      </c>
      <c r="AE592" cm="1">
        <f t="array" ref="AE592">INDEX(X:X, AD592+1)*AC592</f>
        <v>7032900</v>
      </c>
    </row>
    <row r="593" spans="29:31">
      <c r="AC593">
        <v>592</v>
      </c>
      <c r="AD593">
        <f t="shared" si="16"/>
        <v>119</v>
      </c>
      <c r="AE593" cm="1">
        <f t="array" ref="AE593">INDEX(X:X, AD593+1)*AC593</f>
        <v>7044800</v>
      </c>
    </row>
    <row r="594" spans="29:31">
      <c r="AC594">
        <v>593</v>
      </c>
      <c r="AD594">
        <f t="shared" si="16"/>
        <v>119</v>
      </c>
      <c r="AE594" cm="1">
        <f t="array" ref="AE594">INDEX(X:X, AD594+1)*AC594</f>
        <v>7056700</v>
      </c>
    </row>
    <row r="595" spans="29:31">
      <c r="AC595">
        <v>594</v>
      </c>
      <c r="AD595">
        <f t="shared" si="16"/>
        <v>119</v>
      </c>
      <c r="AE595" cm="1">
        <f t="array" ref="AE595">INDEX(X:X, AD595+1)*AC595</f>
        <v>7068600</v>
      </c>
    </row>
    <row r="596" spans="29:31">
      <c r="AC596">
        <v>595</v>
      </c>
      <c r="AD596">
        <f t="shared" si="16"/>
        <v>120</v>
      </c>
      <c r="AE596" cm="1">
        <f t="array" ref="AE596">INDEX(X:X, AD596+1)*AC596</f>
        <v>7140000</v>
      </c>
    </row>
    <row r="597" spans="29:31">
      <c r="AC597">
        <v>596</v>
      </c>
      <c r="AD597">
        <f t="shared" si="16"/>
        <v>120</v>
      </c>
      <c r="AE597" cm="1">
        <f t="array" ref="AE597">INDEX(X:X, AD597+1)*AC597</f>
        <v>7152000</v>
      </c>
    </row>
    <row r="598" spans="29:31">
      <c r="AC598">
        <v>597</v>
      </c>
      <c r="AD598">
        <f t="shared" si="16"/>
        <v>120</v>
      </c>
      <c r="AE598" cm="1">
        <f t="array" ref="AE598">INDEX(X:X, AD598+1)*AC598</f>
        <v>7164000</v>
      </c>
    </row>
    <row r="599" spans="29:31">
      <c r="AC599">
        <v>598</v>
      </c>
      <c r="AD599">
        <f t="shared" si="16"/>
        <v>120</v>
      </c>
      <c r="AE599" cm="1">
        <f t="array" ref="AE599">INDEX(X:X, AD599+1)*AC599</f>
        <v>7176000</v>
      </c>
    </row>
    <row r="600" spans="29:31">
      <c r="AC600">
        <v>599</v>
      </c>
      <c r="AD600">
        <f t="shared" si="16"/>
        <v>120</v>
      </c>
      <c r="AE600" cm="1">
        <f t="array" ref="AE600">INDEX(X:X, AD600+1)*AC600</f>
        <v>7188000</v>
      </c>
    </row>
    <row r="601" spans="29:31">
      <c r="AC601">
        <v>600</v>
      </c>
      <c r="AD601">
        <f t="shared" si="16"/>
        <v>121</v>
      </c>
      <c r="AE601" cm="1">
        <f t="array" ref="AE601">INDEX(X:X, AD601+1)*AC601</f>
        <v>7260000</v>
      </c>
    </row>
    <row r="602" spans="29:31">
      <c r="AC602">
        <v>601</v>
      </c>
      <c r="AD602">
        <f t="shared" si="16"/>
        <v>121</v>
      </c>
      <c r="AE602" cm="1">
        <f t="array" ref="AE602">INDEX(X:X, AD602+1)*AC602</f>
        <v>7272100</v>
      </c>
    </row>
    <row r="603" spans="29:31">
      <c r="AC603">
        <v>602</v>
      </c>
      <c r="AD603">
        <f t="shared" si="16"/>
        <v>121</v>
      </c>
      <c r="AE603" cm="1">
        <f t="array" ref="AE603">INDEX(X:X, AD603+1)*AC603</f>
        <v>7284200</v>
      </c>
    </row>
    <row r="604" spans="29:31">
      <c r="AC604">
        <v>603</v>
      </c>
      <c r="AD604">
        <f t="shared" si="16"/>
        <v>121</v>
      </c>
      <c r="AE604" cm="1">
        <f t="array" ref="AE604">INDEX(X:X, AD604+1)*AC604</f>
        <v>7296300</v>
      </c>
    </row>
    <row r="605" spans="29:31">
      <c r="AC605">
        <v>604</v>
      </c>
      <c r="AD605">
        <f t="shared" si="16"/>
        <v>121</v>
      </c>
      <c r="AE605" cm="1">
        <f t="array" ref="AE605">INDEX(X:X, AD605+1)*AC605</f>
        <v>7308400</v>
      </c>
    </row>
    <row r="606" spans="29:31">
      <c r="AC606">
        <v>605</v>
      </c>
      <c r="AD606">
        <f t="shared" si="16"/>
        <v>122</v>
      </c>
      <c r="AE606" cm="1">
        <f t="array" ref="AE606">INDEX(X:X, AD606+1)*AC606</f>
        <v>7381000</v>
      </c>
    </row>
    <row r="607" spans="29:31">
      <c r="AC607">
        <v>606</v>
      </c>
      <c r="AD607">
        <f t="shared" si="16"/>
        <v>122</v>
      </c>
      <c r="AE607" cm="1">
        <f t="array" ref="AE607">INDEX(X:X, AD607+1)*AC607</f>
        <v>7393200</v>
      </c>
    </row>
    <row r="608" spans="29:31">
      <c r="AC608">
        <v>607</v>
      </c>
      <c r="AD608">
        <f t="shared" si="16"/>
        <v>122</v>
      </c>
      <c r="AE608" cm="1">
        <f t="array" ref="AE608">INDEX(X:X, AD608+1)*AC608</f>
        <v>7405400</v>
      </c>
    </row>
    <row r="609" spans="29:31">
      <c r="AC609">
        <v>608</v>
      </c>
      <c r="AD609">
        <f t="shared" si="16"/>
        <v>122</v>
      </c>
      <c r="AE609" cm="1">
        <f t="array" ref="AE609">INDEX(X:X, AD609+1)*AC609</f>
        <v>7417600</v>
      </c>
    </row>
    <row r="610" spans="29:31">
      <c r="AC610">
        <v>609</v>
      </c>
      <c r="AD610">
        <f t="shared" si="16"/>
        <v>122</v>
      </c>
      <c r="AE610" cm="1">
        <f t="array" ref="AE610">INDEX(X:X, AD610+1)*AC610</f>
        <v>7429800</v>
      </c>
    </row>
    <row r="611" spans="29:31">
      <c r="AC611">
        <v>610</v>
      </c>
      <c r="AD611">
        <f t="shared" si="16"/>
        <v>123</v>
      </c>
      <c r="AE611" cm="1">
        <f t="array" ref="AE611">INDEX(X:X, AD611+1)*AC611</f>
        <v>7503000</v>
      </c>
    </row>
    <row r="612" spans="29:31">
      <c r="AC612">
        <v>611</v>
      </c>
      <c r="AD612">
        <f t="shared" si="16"/>
        <v>123</v>
      </c>
      <c r="AE612" cm="1">
        <f t="array" ref="AE612">INDEX(X:X, AD612+1)*AC612</f>
        <v>7515300</v>
      </c>
    </row>
    <row r="613" spans="29:31">
      <c r="AC613">
        <v>612</v>
      </c>
      <c r="AD613">
        <f t="shared" si="16"/>
        <v>123</v>
      </c>
      <c r="AE613" cm="1">
        <f t="array" ref="AE613">INDEX(X:X, AD613+1)*AC613</f>
        <v>7527600</v>
      </c>
    </row>
    <row r="614" spans="29:31">
      <c r="AC614">
        <v>613</v>
      </c>
      <c r="AD614">
        <f t="shared" si="16"/>
        <v>123</v>
      </c>
      <c r="AE614" cm="1">
        <f t="array" ref="AE614">INDEX(X:X, AD614+1)*AC614</f>
        <v>7539900</v>
      </c>
    </row>
    <row r="615" spans="29:31">
      <c r="AC615">
        <v>614</v>
      </c>
      <c r="AD615">
        <f t="shared" si="16"/>
        <v>123</v>
      </c>
      <c r="AE615" cm="1">
        <f t="array" ref="AE615">INDEX(X:X, AD615+1)*AC615</f>
        <v>7552200</v>
      </c>
    </row>
    <row r="616" spans="29:31">
      <c r="AC616">
        <v>615</v>
      </c>
      <c r="AD616">
        <f t="shared" si="16"/>
        <v>124</v>
      </c>
      <c r="AE616" cm="1">
        <f t="array" ref="AE616">INDEX(X:X, AD616+1)*AC616</f>
        <v>7626000</v>
      </c>
    </row>
    <row r="617" spans="29:31">
      <c r="AC617">
        <v>616</v>
      </c>
      <c r="AD617">
        <f t="shared" si="16"/>
        <v>124</v>
      </c>
      <c r="AE617" cm="1">
        <f t="array" ref="AE617">INDEX(X:X, AD617+1)*AC617</f>
        <v>7638400</v>
      </c>
    </row>
    <row r="618" spans="29:31">
      <c r="AC618">
        <v>617</v>
      </c>
      <c r="AD618">
        <f t="shared" si="16"/>
        <v>124</v>
      </c>
      <c r="AE618" cm="1">
        <f t="array" ref="AE618">INDEX(X:X, AD618+1)*AC618</f>
        <v>7650800</v>
      </c>
    </row>
    <row r="619" spans="29:31">
      <c r="AC619">
        <v>618</v>
      </c>
      <c r="AD619">
        <f t="shared" si="16"/>
        <v>124</v>
      </c>
      <c r="AE619" cm="1">
        <f t="array" ref="AE619">INDEX(X:X, AD619+1)*AC619</f>
        <v>7663200</v>
      </c>
    </row>
    <row r="620" spans="29:31">
      <c r="AC620">
        <v>619</v>
      </c>
      <c r="AD620">
        <f t="shared" si="16"/>
        <v>124</v>
      </c>
      <c r="AE620" cm="1">
        <f t="array" ref="AE620">INDEX(X:X, AD620+1)*AC620</f>
        <v>7675600</v>
      </c>
    </row>
    <row r="621" spans="29:31">
      <c r="AC621">
        <v>620</v>
      </c>
      <c r="AD621">
        <f t="shared" si="16"/>
        <v>125</v>
      </c>
      <c r="AE621" cm="1">
        <f t="array" ref="AE621">INDEX(X:X, AD621+1)*AC621</f>
        <v>7750000</v>
      </c>
    </row>
    <row r="622" spans="29:31">
      <c r="AC622">
        <v>621</v>
      </c>
      <c r="AD622">
        <f t="shared" si="16"/>
        <v>125</v>
      </c>
      <c r="AE622" cm="1">
        <f t="array" ref="AE622">INDEX(X:X, AD622+1)*AC622</f>
        <v>7762500</v>
      </c>
    </row>
    <row r="623" spans="29:31">
      <c r="AC623">
        <v>622</v>
      </c>
      <c r="AD623">
        <f t="shared" si="16"/>
        <v>125</v>
      </c>
      <c r="AE623" cm="1">
        <f t="array" ref="AE623">INDEX(X:X, AD623+1)*AC623</f>
        <v>7775000</v>
      </c>
    </row>
    <row r="624" spans="29:31">
      <c r="AC624">
        <v>623</v>
      </c>
      <c r="AD624">
        <f t="shared" si="16"/>
        <v>125</v>
      </c>
      <c r="AE624" cm="1">
        <f t="array" ref="AE624">INDEX(X:X, AD624+1)*AC624</f>
        <v>7787500</v>
      </c>
    </row>
    <row r="625" spans="29:31">
      <c r="AC625">
        <v>624</v>
      </c>
      <c r="AD625">
        <f t="shared" si="16"/>
        <v>125</v>
      </c>
      <c r="AE625" cm="1">
        <f t="array" ref="AE625">INDEX(X:X, AD625+1)*AC625</f>
        <v>7800000</v>
      </c>
    </row>
    <row r="626" spans="29:31">
      <c r="AC626">
        <v>625</v>
      </c>
      <c r="AD626">
        <f t="shared" si="16"/>
        <v>126</v>
      </c>
      <c r="AE626" cm="1">
        <f t="array" ref="AE626">INDEX(X:X, AD626+1)*AC626</f>
        <v>7875000</v>
      </c>
    </row>
    <row r="627" spans="29:31">
      <c r="AC627">
        <v>626</v>
      </c>
      <c r="AD627">
        <f t="shared" si="16"/>
        <v>126</v>
      </c>
      <c r="AE627" cm="1">
        <f t="array" ref="AE627">INDEX(X:X, AD627+1)*AC627</f>
        <v>7887600</v>
      </c>
    </row>
    <row r="628" spans="29:31">
      <c r="AC628">
        <v>627</v>
      </c>
      <c r="AD628">
        <f t="shared" si="16"/>
        <v>126</v>
      </c>
      <c r="AE628" cm="1">
        <f t="array" ref="AE628">INDEX(X:X, AD628+1)*AC628</f>
        <v>7900200</v>
      </c>
    </row>
    <row r="629" spans="29:31">
      <c r="AC629">
        <v>628</v>
      </c>
      <c r="AD629">
        <f t="shared" si="16"/>
        <v>126</v>
      </c>
      <c r="AE629" cm="1">
        <f t="array" ref="AE629">INDEX(X:X, AD629+1)*AC629</f>
        <v>7912800</v>
      </c>
    </row>
    <row r="630" spans="29:31">
      <c r="AC630">
        <v>629</v>
      </c>
      <c r="AD630">
        <f t="shared" si="16"/>
        <v>126</v>
      </c>
      <c r="AE630" cm="1">
        <f t="array" ref="AE630">INDEX(X:X, AD630+1)*AC630</f>
        <v>7925400</v>
      </c>
    </row>
    <row r="631" spans="29:31">
      <c r="AC631">
        <v>630</v>
      </c>
      <c r="AD631">
        <f t="shared" si="16"/>
        <v>127</v>
      </c>
      <c r="AE631" cm="1">
        <f t="array" ref="AE631">INDEX(X:X, AD631+1)*AC631</f>
        <v>8001000</v>
      </c>
    </row>
    <row r="632" spans="29:31">
      <c r="AC632">
        <v>631</v>
      </c>
      <c r="AD632">
        <f t="shared" si="16"/>
        <v>127</v>
      </c>
      <c r="AE632" cm="1">
        <f t="array" ref="AE632">INDEX(X:X, AD632+1)*AC632</f>
        <v>8013700</v>
      </c>
    </row>
    <row r="633" spans="29:31">
      <c r="AC633">
        <v>632</v>
      </c>
      <c r="AD633">
        <f t="shared" si="16"/>
        <v>127</v>
      </c>
      <c r="AE633" cm="1">
        <f t="array" ref="AE633">INDEX(X:X, AD633+1)*AC633</f>
        <v>8026400</v>
      </c>
    </row>
    <row r="634" spans="29:31">
      <c r="AC634">
        <v>633</v>
      </c>
      <c r="AD634">
        <f t="shared" si="16"/>
        <v>127</v>
      </c>
      <c r="AE634" cm="1">
        <f t="array" ref="AE634">INDEX(X:X, AD634+1)*AC634</f>
        <v>8039100</v>
      </c>
    </row>
    <row r="635" spans="29:31">
      <c r="AC635">
        <v>634</v>
      </c>
      <c r="AD635">
        <f t="shared" si="16"/>
        <v>127</v>
      </c>
      <c r="AE635" cm="1">
        <f t="array" ref="AE635">INDEX(X:X, AD635+1)*AC635</f>
        <v>8051800</v>
      </c>
    </row>
    <row r="636" spans="29:31">
      <c r="AC636">
        <v>635</v>
      </c>
      <c r="AD636">
        <f t="shared" si="16"/>
        <v>128</v>
      </c>
      <c r="AE636" cm="1">
        <f t="array" ref="AE636">INDEX(X:X, AD636+1)*AC636</f>
        <v>8128000</v>
      </c>
    </row>
    <row r="637" spans="29:31">
      <c r="AC637">
        <v>636</v>
      </c>
      <c r="AD637">
        <f t="shared" si="16"/>
        <v>128</v>
      </c>
      <c r="AE637" cm="1">
        <f t="array" ref="AE637">INDEX(X:X, AD637+1)*AC637</f>
        <v>8140800</v>
      </c>
    </row>
    <row r="638" spans="29:31">
      <c r="AC638">
        <v>637</v>
      </c>
      <c r="AD638">
        <f t="shared" si="16"/>
        <v>128</v>
      </c>
      <c r="AE638" cm="1">
        <f t="array" ref="AE638">INDEX(X:X, AD638+1)*AC638</f>
        <v>8153600</v>
      </c>
    </row>
    <row r="639" spans="29:31">
      <c r="AC639">
        <v>638</v>
      </c>
      <c r="AD639">
        <f t="shared" si="16"/>
        <v>128</v>
      </c>
      <c r="AE639" cm="1">
        <f t="array" ref="AE639">INDEX(X:X, AD639+1)*AC639</f>
        <v>8166400</v>
      </c>
    </row>
    <row r="640" spans="29:31">
      <c r="AC640">
        <v>639</v>
      </c>
      <c r="AD640">
        <f t="shared" si="16"/>
        <v>128</v>
      </c>
      <c r="AE640" cm="1">
        <f t="array" ref="AE640">INDEX(X:X, AD640+1)*AC640</f>
        <v>8179200</v>
      </c>
    </row>
    <row r="641" spans="29:31">
      <c r="AC641">
        <v>640</v>
      </c>
      <c r="AD641">
        <f t="shared" si="16"/>
        <v>129</v>
      </c>
      <c r="AE641" cm="1">
        <f t="array" ref="AE641">INDEX(X:X, AD641+1)*AC641</f>
        <v>8256000</v>
      </c>
    </row>
    <row r="642" spans="29:31">
      <c r="AC642">
        <v>641</v>
      </c>
      <c r="AD642">
        <f t="shared" si="16"/>
        <v>129</v>
      </c>
      <c r="AE642" cm="1">
        <f t="array" ref="AE642">INDEX(X:X, AD642+1)*AC642</f>
        <v>8268900</v>
      </c>
    </row>
    <row r="643" spans="29:31">
      <c r="AC643">
        <v>642</v>
      </c>
      <c r="AD643">
        <f t="shared" ref="AD643:AD706" si="17">INT(AC643/5)+1</f>
        <v>129</v>
      </c>
      <c r="AE643" cm="1">
        <f t="array" ref="AE643">INDEX(X:X, AD643+1)*AC643</f>
        <v>8281800</v>
      </c>
    </row>
    <row r="644" spans="29:31">
      <c r="AC644">
        <v>643</v>
      </c>
      <c r="AD644">
        <f t="shared" si="17"/>
        <v>129</v>
      </c>
      <c r="AE644" cm="1">
        <f t="array" ref="AE644">INDEX(X:X, AD644+1)*AC644</f>
        <v>8294700</v>
      </c>
    </row>
    <row r="645" spans="29:31">
      <c r="AC645">
        <v>644</v>
      </c>
      <c r="AD645">
        <f t="shared" si="17"/>
        <v>129</v>
      </c>
      <c r="AE645" cm="1">
        <f t="array" ref="AE645">INDEX(X:X, AD645+1)*AC645</f>
        <v>8307600</v>
      </c>
    </row>
    <row r="646" spans="29:31">
      <c r="AC646">
        <v>645</v>
      </c>
      <c r="AD646">
        <f t="shared" si="17"/>
        <v>130</v>
      </c>
      <c r="AE646" cm="1">
        <f t="array" ref="AE646">INDEX(X:X, AD646+1)*AC646</f>
        <v>8385000</v>
      </c>
    </row>
    <row r="647" spans="29:31">
      <c r="AC647">
        <v>646</v>
      </c>
      <c r="AD647">
        <f t="shared" si="17"/>
        <v>130</v>
      </c>
      <c r="AE647" cm="1">
        <f t="array" ref="AE647">INDEX(X:X, AD647+1)*AC647</f>
        <v>8398000</v>
      </c>
    </row>
    <row r="648" spans="29:31">
      <c r="AC648">
        <v>647</v>
      </c>
      <c r="AD648">
        <f t="shared" si="17"/>
        <v>130</v>
      </c>
      <c r="AE648" cm="1">
        <f t="array" ref="AE648">INDEX(X:X, AD648+1)*AC648</f>
        <v>8411000</v>
      </c>
    </row>
    <row r="649" spans="29:31">
      <c r="AC649">
        <v>648</v>
      </c>
      <c r="AD649">
        <f t="shared" si="17"/>
        <v>130</v>
      </c>
      <c r="AE649" cm="1">
        <f t="array" ref="AE649">INDEX(X:X, AD649+1)*AC649</f>
        <v>8424000</v>
      </c>
    </row>
    <row r="650" spans="29:31">
      <c r="AC650">
        <v>649</v>
      </c>
      <c r="AD650">
        <f t="shared" si="17"/>
        <v>130</v>
      </c>
      <c r="AE650" cm="1">
        <f t="array" ref="AE650">INDEX(X:X, AD650+1)*AC650</f>
        <v>8437000</v>
      </c>
    </row>
    <row r="651" spans="29:31">
      <c r="AC651">
        <v>650</v>
      </c>
      <c r="AD651">
        <f t="shared" si="17"/>
        <v>131</v>
      </c>
      <c r="AE651" cm="1">
        <f t="array" ref="AE651">INDEX(X:X, AD651+1)*AC651</f>
        <v>8515000</v>
      </c>
    </row>
    <row r="652" spans="29:31">
      <c r="AC652">
        <v>651</v>
      </c>
      <c r="AD652">
        <f t="shared" si="17"/>
        <v>131</v>
      </c>
      <c r="AE652" cm="1">
        <f t="array" ref="AE652">INDEX(X:X, AD652+1)*AC652</f>
        <v>8528100</v>
      </c>
    </row>
    <row r="653" spans="29:31">
      <c r="AC653">
        <v>652</v>
      </c>
      <c r="AD653">
        <f t="shared" si="17"/>
        <v>131</v>
      </c>
      <c r="AE653" cm="1">
        <f t="array" ref="AE653">INDEX(X:X, AD653+1)*AC653</f>
        <v>8541200</v>
      </c>
    </row>
    <row r="654" spans="29:31">
      <c r="AC654">
        <v>653</v>
      </c>
      <c r="AD654">
        <f t="shared" si="17"/>
        <v>131</v>
      </c>
      <c r="AE654" cm="1">
        <f t="array" ref="AE654">INDEX(X:X, AD654+1)*AC654</f>
        <v>8554300</v>
      </c>
    </row>
    <row r="655" spans="29:31">
      <c r="AC655">
        <v>654</v>
      </c>
      <c r="AD655">
        <f t="shared" si="17"/>
        <v>131</v>
      </c>
      <c r="AE655" cm="1">
        <f t="array" ref="AE655">INDEX(X:X, AD655+1)*AC655</f>
        <v>8567400</v>
      </c>
    </row>
    <row r="656" spans="29:31">
      <c r="AC656">
        <v>655</v>
      </c>
      <c r="AD656">
        <f t="shared" si="17"/>
        <v>132</v>
      </c>
      <c r="AE656" cm="1">
        <f t="array" ref="AE656">INDEX(X:X, AD656+1)*AC656</f>
        <v>8646000</v>
      </c>
    </row>
    <row r="657" spans="29:31">
      <c r="AC657">
        <v>656</v>
      </c>
      <c r="AD657">
        <f t="shared" si="17"/>
        <v>132</v>
      </c>
      <c r="AE657" cm="1">
        <f t="array" ref="AE657">INDEX(X:X, AD657+1)*AC657</f>
        <v>8659200</v>
      </c>
    </row>
    <row r="658" spans="29:31">
      <c r="AC658">
        <v>657</v>
      </c>
      <c r="AD658">
        <f t="shared" si="17"/>
        <v>132</v>
      </c>
      <c r="AE658" cm="1">
        <f t="array" ref="AE658">INDEX(X:X, AD658+1)*AC658</f>
        <v>8672400</v>
      </c>
    </row>
    <row r="659" spans="29:31">
      <c r="AC659">
        <v>658</v>
      </c>
      <c r="AD659">
        <f t="shared" si="17"/>
        <v>132</v>
      </c>
      <c r="AE659" cm="1">
        <f t="array" ref="AE659">INDEX(X:X, AD659+1)*AC659</f>
        <v>8685600</v>
      </c>
    </row>
    <row r="660" spans="29:31">
      <c r="AC660">
        <v>659</v>
      </c>
      <c r="AD660">
        <f t="shared" si="17"/>
        <v>132</v>
      </c>
      <c r="AE660" cm="1">
        <f t="array" ref="AE660">INDEX(X:X, AD660+1)*AC660</f>
        <v>8698800</v>
      </c>
    </row>
    <row r="661" spans="29:31">
      <c r="AC661">
        <v>660</v>
      </c>
      <c r="AD661">
        <f t="shared" si="17"/>
        <v>133</v>
      </c>
      <c r="AE661" cm="1">
        <f t="array" ref="AE661">INDEX(X:X, AD661+1)*AC661</f>
        <v>8778000</v>
      </c>
    </row>
    <row r="662" spans="29:31">
      <c r="AC662">
        <v>661</v>
      </c>
      <c r="AD662">
        <f t="shared" si="17"/>
        <v>133</v>
      </c>
      <c r="AE662" cm="1">
        <f t="array" ref="AE662">INDEX(X:X, AD662+1)*AC662</f>
        <v>8791300</v>
      </c>
    </row>
    <row r="663" spans="29:31">
      <c r="AC663">
        <v>662</v>
      </c>
      <c r="AD663">
        <f t="shared" si="17"/>
        <v>133</v>
      </c>
      <c r="AE663" cm="1">
        <f t="array" ref="AE663">INDEX(X:X, AD663+1)*AC663</f>
        <v>8804600</v>
      </c>
    </row>
    <row r="664" spans="29:31">
      <c r="AC664">
        <v>663</v>
      </c>
      <c r="AD664">
        <f t="shared" si="17"/>
        <v>133</v>
      </c>
      <c r="AE664" cm="1">
        <f t="array" ref="AE664">INDEX(X:X, AD664+1)*AC664</f>
        <v>8817900</v>
      </c>
    </row>
    <row r="665" spans="29:31">
      <c r="AC665">
        <v>664</v>
      </c>
      <c r="AD665">
        <f t="shared" si="17"/>
        <v>133</v>
      </c>
      <c r="AE665" cm="1">
        <f t="array" ref="AE665">INDEX(X:X, AD665+1)*AC665</f>
        <v>8831200</v>
      </c>
    </row>
    <row r="666" spans="29:31">
      <c r="AC666">
        <v>665</v>
      </c>
      <c r="AD666">
        <f t="shared" si="17"/>
        <v>134</v>
      </c>
      <c r="AE666" cm="1">
        <f t="array" ref="AE666">INDEX(X:X, AD666+1)*AC666</f>
        <v>8911000</v>
      </c>
    </row>
    <row r="667" spans="29:31">
      <c r="AC667">
        <v>666</v>
      </c>
      <c r="AD667">
        <f t="shared" si="17"/>
        <v>134</v>
      </c>
      <c r="AE667" cm="1">
        <f t="array" ref="AE667">INDEX(X:X, AD667+1)*AC667</f>
        <v>8924400</v>
      </c>
    </row>
    <row r="668" spans="29:31">
      <c r="AC668">
        <v>667</v>
      </c>
      <c r="AD668">
        <f t="shared" si="17"/>
        <v>134</v>
      </c>
      <c r="AE668" cm="1">
        <f t="array" ref="AE668">INDEX(X:X, AD668+1)*AC668</f>
        <v>8937800</v>
      </c>
    </row>
    <row r="669" spans="29:31">
      <c r="AC669">
        <v>668</v>
      </c>
      <c r="AD669">
        <f t="shared" si="17"/>
        <v>134</v>
      </c>
      <c r="AE669" cm="1">
        <f t="array" ref="AE669">INDEX(X:X, AD669+1)*AC669</f>
        <v>8951200</v>
      </c>
    </row>
    <row r="670" spans="29:31">
      <c r="AC670">
        <v>669</v>
      </c>
      <c r="AD670">
        <f t="shared" si="17"/>
        <v>134</v>
      </c>
      <c r="AE670" cm="1">
        <f t="array" ref="AE670">INDEX(X:X, AD670+1)*AC670</f>
        <v>8964600</v>
      </c>
    </row>
    <row r="671" spans="29:31">
      <c r="AC671">
        <v>670</v>
      </c>
      <c r="AD671">
        <f t="shared" si="17"/>
        <v>135</v>
      </c>
      <c r="AE671" cm="1">
        <f t="array" ref="AE671">INDEX(X:X, AD671+1)*AC671</f>
        <v>9045000</v>
      </c>
    </row>
    <row r="672" spans="29:31">
      <c r="AC672">
        <v>671</v>
      </c>
      <c r="AD672">
        <f t="shared" si="17"/>
        <v>135</v>
      </c>
      <c r="AE672" cm="1">
        <f t="array" ref="AE672">INDEX(X:X, AD672+1)*AC672</f>
        <v>9058500</v>
      </c>
    </row>
    <row r="673" spans="29:31">
      <c r="AC673">
        <v>672</v>
      </c>
      <c r="AD673">
        <f t="shared" si="17"/>
        <v>135</v>
      </c>
      <c r="AE673" cm="1">
        <f t="array" ref="AE673">INDEX(X:X, AD673+1)*AC673</f>
        <v>9072000</v>
      </c>
    </row>
    <row r="674" spans="29:31">
      <c r="AC674">
        <v>673</v>
      </c>
      <c r="AD674">
        <f t="shared" si="17"/>
        <v>135</v>
      </c>
      <c r="AE674" cm="1">
        <f t="array" ref="AE674">INDEX(X:X, AD674+1)*AC674</f>
        <v>9085500</v>
      </c>
    </row>
    <row r="675" spans="29:31">
      <c r="AC675">
        <v>674</v>
      </c>
      <c r="AD675">
        <f t="shared" si="17"/>
        <v>135</v>
      </c>
      <c r="AE675" cm="1">
        <f t="array" ref="AE675">INDEX(X:X, AD675+1)*AC675</f>
        <v>9099000</v>
      </c>
    </row>
    <row r="676" spans="29:31">
      <c r="AC676">
        <v>675</v>
      </c>
      <c r="AD676">
        <f t="shared" si="17"/>
        <v>136</v>
      </c>
      <c r="AE676" cm="1">
        <f t="array" ref="AE676">INDEX(X:X, AD676+1)*AC676</f>
        <v>9180000</v>
      </c>
    </row>
    <row r="677" spans="29:31">
      <c r="AC677">
        <v>676</v>
      </c>
      <c r="AD677">
        <f t="shared" si="17"/>
        <v>136</v>
      </c>
      <c r="AE677" cm="1">
        <f t="array" ref="AE677">INDEX(X:X, AD677+1)*AC677</f>
        <v>9193600</v>
      </c>
    </row>
    <row r="678" spans="29:31">
      <c r="AC678">
        <v>677</v>
      </c>
      <c r="AD678">
        <f t="shared" si="17"/>
        <v>136</v>
      </c>
      <c r="AE678" cm="1">
        <f t="array" ref="AE678">INDEX(X:X, AD678+1)*AC678</f>
        <v>9207200</v>
      </c>
    </row>
    <row r="679" spans="29:31">
      <c r="AC679">
        <v>678</v>
      </c>
      <c r="AD679">
        <f t="shared" si="17"/>
        <v>136</v>
      </c>
      <c r="AE679" cm="1">
        <f t="array" ref="AE679">INDEX(X:X, AD679+1)*AC679</f>
        <v>9220800</v>
      </c>
    </row>
    <row r="680" spans="29:31">
      <c r="AC680">
        <v>679</v>
      </c>
      <c r="AD680">
        <f t="shared" si="17"/>
        <v>136</v>
      </c>
      <c r="AE680" cm="1">
        <f t="array" ref="AE680">INDEX(X:X, AD680+1)*AC680</f>
        <v>9234400</v>
      </c>
    </row>
    <row r="681" spans="29:31">
      <c r="AC681">
        <v>680</v>
      </c>
      <c r="AD681">
        <f t="shared" si="17"/>
        <v>137</v>
      </c>
      <c r="AE681" cm="1">
        <f t="array" ref="AE681">INDEX(X:X, AD681+1)*AC681</f>
        <v>9316000</v>
      </c>
    </row>
    <row r="682" spans="29:31">
      <c r="AC682">
        <v>681</v>
      </c>
      <c r="AD682">
        <f t="shared" si="17"/>
        <v>137</v>
      </c>
      <c r="AE682" cm="1">
        <f t="array" ref="AE682">INDEX(X:X, AD682+1)*AC682</f>
        <v>9329700</v>
      </c>
    </row>
    <row r="683" spans="29:31">
      <c r="AC683">
        <v>682</v>
      </c>
      <c r="AD683">
        <f t="shared" si="17"/>
        <v>137</v>
      </c>
      <c r="AE683" cm="1">
        <f t="array" ref="AE683">INDEX(X:X, AD683+1)*AC683</f>
        <v>9343400</v>
      </c>
    </row>
    <row r="684" spans="29:31">
      <c r="AC684">
        <v>683</v>
      </c>
      <c r="AD684">
        <f t="shared" si="17"/>
        <v>137</v>
      </c>
      <c r="AE684" cm="1">
        <f t="array" ref="AE684">INDEX(X:X, AD684+1)*AC684</f>
        <v>9357100</v>
      </c>
    </row>
    <row r="685" spans="29:31">
      <c r="AC685">
        <v>684</v>
      </c>
      <c r="AD685">
        <f t="shared" si="17"/>
        <v>137</v>
      </c>
      <c r="AE685" cm="1">
        <f t="array" ref="AE685">INDEX(X:X, AD685+1)*AC685</f>
        <v>9370800</v>
      </c>
    </row>
    <row r="686" spans="29:31">
      <c r="AC686">
        <v>685</v>
      </c>
      <c r="AD686">
        <f t="shared" si="17"/>
        <v>138</v>
      </c>
      <c r="AE686" cm="1">
        <f t="array" ref="AE686">INDEX(X:X, AD686+1)*AC686</f>
        <v>9453000</v>
      </c>
    </row>
    <row r="687" spans="29:31">
      <c r="AC687">
        <v>686</v>
      </c>
      <c r="AD687">
        <f t="shared" si="17"/>
        <v>138</v>
      </c>
      <c r="AE687" cm="1">
        <f t="array" ref="AE687">INDEX(X:X, AD687+1)*AC687</f>
        <v>9466800</v>
      </c>
    </row>
    <row r="688" spans="29:31">
      <c r="AC688">
        <v>687</v>
      </c>
      <c r="AD688">
        <f t="shared" si="17"/>
        <v>138</v>
      </c>
      <c r="AE688" cm="1">
        <f t="array" ref="AE688">INDEX(X:X, AD688+1)*AC688</f>
        <v>9480600</v>
      </c>
    </row>
    <row r="689" spans="29:31">
      <c r="AC689">
        <v>688</v>
      </c>
      <c r="AD689">
        <f t="shared" si="17"/>
        <v>138</v>
      </c>
      <c r="AE689" cm="1">
        <f t="array" ref="AE689">INDEX(X:X, AD689+1)*AC689</f>
        <v>9494400</v>
      </c>
    </row>
    <row r="690" spans="29:31">
      <c r="AC690">
        <v>689</v>
      </c>
      <c r="AD690">
        <f t="shared" si="17"/>
        <v>138</v>
      </c>
      <c r="AE690" cm="1">
        <f t="array" ref="AE690">INDEX(X:X, AD690+1)*AC690</f>
        <v>9508200</v>
      </c>
    </row>
    <row r="691" spans="29:31">
      <c r="AC691">
        <v>690</v>
      </c>
      <c r="AD691">
        <f t="shared" si="17"/>
        <v>139</v>
      </c>
      <c r="AE691" cm="1">
        <f t="array" ref="AE691">INDEX(X:X, AD691+1)*AC691</f>
        <v>9591000</v>
      </c>
    </row>
    <row r="692" spans="29:31">
      <c r="AC692">
        <v>691</v>
      </c>
      <c r="AD692">
        <f t="shared" si="17"/>
        <v>139</v>
      </c>
      <c r="AE692" cm="1">
        <f t="array" ref="AE692">INDEX(X:X, AD692+1)*AC692</f>
        <v>9604900</v>
      </c>
    </row>
    <row r="693" spans="29:31">
      <c r="AC693">
        <v>692</v>
      </c>
      <c r="AD693">
        <f t="shared" si="17"/>
        <v>139</v>
      </c>
      <c r="AE693" cm="1">
        <f t="array" ref="AE693">INDEX(X:X, AD693+1)*AC693</f>
        <v>9618800</v>
      </c>
    </row>
    <row r="694" spans="29:31">
      <c r="AC694">
        <v>693</v>
      </c>
      <c r="AD694">
        <f t="shared" si="17"/>
        <v>139</v>
      </c>
      <c r="AE694" cm="1">
        <f t="array" ref="AE694">INDEX(X:X, AD694+1)*AC694</f>
        <v>9632700</v>
      </c>
    </row>
    <row r="695" spans="29:31">
      <c r="AC695">
        <v>694</v>
      </c>
      <c r="AD695">
        <f t="shared" si="17"/>
        <v>139</v>
      </c>
      <c r="AE695" cm="1">
        <f t="array" ref="AE695">INDEX(X:X, AD695+1)*AC695</f>
        <v>9646600</v>
      </c>
    </row>
    <row r="696" spans="29:31">
      <c r="AC696">
        <v>695</v>
      </c>
      <c r="AD696">
        <f t="shared" si="17"/>
        <v>140</v>
      </c>
      <c r="AE696" cm="1">
        <f t="array" ref="AE696">INDEX(X:X, AD696+1)*AC696</f>
        <v>9730000</v>
      </c>
    </row>
    <row r="697" spans="29:31">
      <c r="AC697">
        <v>696</v>
      </c>
      <c r="AD697">
        <f t="shared" si="17"/>
        <v>140</v>
      </c>
      <c r="AE697" cm="1">
        <f t="array" ref="AE697">INDEX(X:X, AD697+1)*AC697</f>
        <v>9744000</v>
      </c>
    </row>
    <row r="698" spans="29:31">
      <c r="AC698">
        <v>697</v>
      </c>
      <c r="AD698">
        <f t="shared" si="17"/>
        <v>140</v>
      </c>
      <c r="AE698" cm="1">
        <f t="array" ref="AE698">INDEX(X:X, AD698+1)*AC698</f>
        <v>9758000</v>
      </c>
    </row>
    <row r="699" spans="29:31">
      <c r="AC699">
        <v>698</v>
      </c>
      <c r="AD699">
        <f t="shared" si="17"/>
        <v>140</v>
      </c>
      <c r="AE699" cm="1">
        <f t="array" ref="AE699">INDEX(X:X, AD699+1)*AC699</f>
        <v>9772000</v>
      </c>
    </row>
    <row r="700" spans="29:31">
      <c r="AC700">
        <v>699</v>
      </c>
      <c r="AD700">
        <f t="shared" si="17"/>
        <v>140</v>
      </c>
      <c r="AE700" cm="1">
        <f t="array" ref="AE700">INDEX(X:X, AD700+1)*AC700</f>
        <v>9786000</v>
      </c>
    </row>
    <row r="701" spans="29:31">
      <c r="AC701">
        <v>700</v>
      </c>
      <c r="AD701">
        <f t="shared" si="17"/>
        <v>141</v>
      </c>
      <c r="AE701" cm="1">
        <f t="array" ref="AE701">INDEX(X:X, AD701+1)*AC701</f>
        <v>9870000</v>
      </c>
    </row>
    <row r="702" spans="29:31">
      <c r="AC702">
        <v>701</v>
      </c>
      <c r="AD702">
        <f t="shared" si="17"/>
        <v>141</v>
      </c>
      <c r="AE702" cm="1">
        <f t="array" ref="AE702">INDEX(X:X, AD702+1)*AC702</f>
        <v>9884100</v>
      </c>
    </row>
    <row r="703" spans="29:31">
      <c r="AC703">
        <v>702</v>
      </c>
      <c r="AD703">
        <f t="shared" si="17"/>
        <v>141</v>
      </c>
      <c r="AE703" cm="1">
        <f t="array" ref="AE703">INDEX(X:X, AD703+1)*AC703</f>
        <v>9898200</v>
      </c>
    </row>
    <row r="704" spans="29:31">
      <c r="AC704">
        <v>703</v>
      </c>
      <c r="AD704">
        <f t="shared" si="17"/>
        <v>141</v>
      </c>
      <c r="AE704" cm="1">
        <f t="array" ref="AE704">INDEX(X:X, AD704+1)*AC704</f>
        <v>9912300</v>
      </c>
    </row>
    <row r="705" spans="29:31">
      <c r="AC705">
        <v>704</v>
      </c>
      <c r="AD705">
        <f t="shared" si="17"/>
        <v>141</v>
      </c>
      <c r="AE705" cm="1">
        <f t="array" ref="AE705">INDEX(X:X, AD705+1)*AC705</f>
        <v>9926400</v>
      </c>
    </row>
    <row r="706" spans="29:31">
      <c r="AC706">
        <v>705</v>
      </c>
      <c r="AD706">
        <f t="shared" si="17"/>
        <v>142</v>
      </c>
      <c r="AE706" cm="1">
        <f t="array" ref="AE706">INDEX(X:X, AD706+1)*AC706</f>
        <v>10011000</v>
      </c>
    </row>
    <row r="707" spans="29:31">
      <c r="AC707">
        <v>706</v>
      </c>
      <c r="AD707">
        <f t="shared" ref="AD707:AD770" si="18">INT(AC707/5)+1</f>
        <v>142</v>
      </c>
      <c r="AE707" cm="1">
        <f t="array" ref="AE707">INDEX(X:X, AD707+1)*AC707</f>
        <v>10025200</v>
      </c>
    </row>
    <row r="708" spans="29:31">
      <c r="AC708">
        <v>707</v>
      </c>
      <c r="AD708">
        <f t="shared" si="18"/>
        <v>142</v>
      </c>
      <c r="AE708" cm="1">
        <f t="array" ref="AE708">INDEX(X:X, AD708+1)*AC708</f>
        <v>10039400</v>
      </c>
    </row>
    <row r="709" spans="29:31">
      <c r="AC709">
        <v>708</v>
      </c>
      <c r="AD709">
        <f t="shared" si="18"/>
        <v>142</v>
      </c>
      <c r="AE709" cm="1">
        <f t="array" ref="AE709">INDEX(X:X, AD709+1)*AC709</f>
        <v>10053600</v>
      </c>
    </row>
    <row r="710" spans="29:31">
      <c r="AC710">
        <v>709</v>
      </c>
      <c r="AD710">
        <f t="shared" si="18"/>
        <v>142</v>
      </c>
      <c r="AE710" cm="1">
        <f t="array" ref="AE710">INDEX(X:X, AD710+1)*AC710</f>
        <v>10067800</v>
      </c>
    </row>
    <row r="711" spans="29:31">
      <c r="AC711">
        <v>710</v>
      </c>
      <c r="AD711">
        <f t="shared" si="18"/>
        <v>143</v>
      </c>
      <c r="AE711" cm="1">
        <f t="array" ref="AE711">INDEX(X:X, AD711+1)*AC711</f>
        <v>10153000</v>
      </c>
    </row>
    <row r="712" spans="29:31">
      <c r="AC712">
        <v>711</v>
      </c>
      <c r="AD712">
        <f t="shared" si="18"/>
        <v>143</v>
      </c>
      <c r="AE712" cm="1">
        <f t="array" ref="AE712">INDEX(X:X, AD712+1)*AC712</f>
        <v>10167300</v>
      </c>
    </row>
    <row r="713" spans="29:31">
      <c r="AC713">
        <v>712</v>
      </c>
      <c r="AD713">
        <f t="shared" si="18"/>
        <v>143</v>
      </c>
      <c r="AE713" cm="1">
        <f t="array" ref="AE713">INDEX(X:X, AD713+1)*AC713</f>
        <v>10181600</v>
      </c>
    </row>
    <row r="714" spans="29:31">
      <c r="AC714">
        <v>713</v>
      </c>
      <c r="AD714">
        <f t="shared" si="18"/>
        <v>143</v>
      </c>
      <c r="AE714" cm="1">
        <f t="array" ref="AE714">INDEX(X:X, AD714+1)*AC714</f>
        <v>10195900</v>
      </c>
    </row>
    <row r="715" spans="29:31">
      <c r="AC715">
        <v>714</v>
      </c>
      <c r="AD715">
        <f t="shared" si="18"/>
        <v>143</v>
      </c>
      <c r="AE715" cm="1">
        <f t="array" ref="AE715">INDEX(X:X, AD715+1)*AC715</f>
        <v>10210200</v>
      </c>
    </row>
    <row r="716" spans="29:31">
      <c r="AC716">
        <v>715</v>
      </c>
      <c r="AD716">
        <f t="shared" si="18"/>
        <v>144</v>
      </c>
      <c r="AE716" cm="1">
        <f t="array" ref="AE716">INDEX(X:X, AD716+1)*AC716</f>
        <v>10296000</v>
      </c>
    </row>
    <row r="717" spans="29:31">
      <c r="AC717">
        <v>716</v>
      </c>
      <c r="AD717">
        <f t="shared" si="18"/>
        <v>144</v>
      </c>
      <c r="AE717" cm="1">
        <f t="array" ref="AE717">INDEX(X:X, AD717+1)*AC717</f>
        <v>10310400</v>
      </c>
    </row>
    <row r="718" spans="29:31">
      <c r="AC718">
        <v>717</v>
      </c>
      <c r="AD718">
        <f t="shared" si="18"/>
        <v>144</v>
      </c>
      <c r="AE718" cm="1">
        <f t="array" ref="AE718">INDEX(X:X, AD718+1)*AC718</f>
        <v>10324800</v>
      </c>
    </row>
    <row r="719" spans="29:31">
      <c r="AC719">
        <v>718</v>
      </c>
      <c r="AD719">
        <f t="shared" si="18"/>
        <v>144</v>
      </c>
      <c r="AE719" cm="1">
        <f t="array" ref="AE719">INDEX(X:X, AD719+1)*AC719</f>
        <v>10339200</v>
      </c>
    </row>
    <row r="720" spans="29:31">
      <c r="AC720">
        <v>719</v>
      </c>
      <c r="AD720">
        <f t="shared" si="18"/>
        <v>144</v>
      </c>
      <c r="AE720" cm="1">
        <f t="array" ref="AE720">INDEX(X:X, AD720+1)*AC720</f>
        <v>10353600</v>
      </c>
    </row>
    <row r="721" spans="29:31">
      <c r="AC721">
        <v>720</v>
      </c>
      <c r="AD721">
        <f t="shared" si="18"/>
        <v>145</v>
      </c>
      <c r="AE721" cm="1">
        <f t="array" ref="AE721">INDEX(X:X, AD721+1)*AC721</f>
        <v>10440000</v>
      </c>
    </row>
    <row r="722" spans="29:31">
      <c r="AC722">
        <v>721</v>
      </c>
      <c r="AD722">
        <f t="shared" si="18"/>
        <v>145</v>
      </c>
      <c r="AE722" cm="1">
        <f t="array" ref="AE722">INDEX(X:X, AD722+1)*AC722</f>
        <v>10454500</v>
      </c>
    </row>
    <row r="723" spans="29:31">
      <c r="AC723">
        <v>722</v>
      </c>
      <c r="AD723">
        <f t="shared" si="18"/>
        <v>145</v>
      </c>
      <c r="AE723" cm="1">
        <f t="array" ref="AE723">INDEX(X:X, AD723+1)*AC723</f>
        <v>10469000</v>
      </c>
    </row>
    <row r="724" spans="29:31">
      <c r="AC724">
        <v>723</v>
      </c>
      <c r="AD724">
        <f t="shared" si="18"/>
        <v>145</v>
      </c>
      <c r="AE724" cm="1">
        <f t="array" ref="AE724">INDEX(X:X, AD724+1)*AC724</f>
        <v>10483500</v>
      </c>
    </row>
    <row r="725" spans="29:31">
      <c r="AC725">
        <v>724</v>
      </c>
      <c r="AD725">
        <f t="shared" si="18"/>
        <v>145</v>
      </c>
      <c r="AE725" cm="1">
        <f t="array" ref="AE725">INDEX(X:X, AD725+1)*AC725</f>
        <v>10498000</v>
      </c>
    </row>
    <row r="726" spans="29:31">
      <c r="AC726">
        <v>725</v>
      </c>
      <c r="AD726">
        <f t="shared" si="18"/>
        <v>146</v>
      </c>
      <c r="AE726" cm="1">
        <f t="array" ref="AE726">INDEX(X:X, AD726+1)*AC726</f>
        <v>10585000</v>
      </c>
    </row>
    <row r="727" spans="29:31">
      <c r="AC727">
        <v>726</v>
      </c>
      <c r="AD727">
        <f t="shared" si="18"/>
        <v>146</v>
      </c>
      <c r="AE727" cm="1">
        <f t="array" ref="AE727">INDEX(X:X, AD727+1)*AC727</f>
        <v>10599600</v>
      </c>
    </row>
    <row r="728" spans="29:31">
      <c r="AC728">
        <v>727</v>
      </c>
      <c r="AD728">
        <f t="shared" si="18"/>
        <v>146</v>
      </c>
      <c r="AE728" cm="1">
        <f t="array" ref="AE728">INDEX(X:X, AD728+1)*AC728</f>
        <v>10614200</v>
      </c>
    </row>
    <row r="729" spans="29:31">
      <c r="AC729">
        <v>728</v>
      </c>
      <c r="AD729">
        <f t="shared" si="18"/>
        <v>146</v>
      </c>
      <c r="AE729" cm="1">
        <f t="array" ref="AE729">INDEX(X:X, AD729+1)*AC729</f>
        <v>10628800</v>
      </c>
    </row>
    <row r="730" spans="29:31">
      <c r="AC730">
        <v>729</v>
      </c>
      <c r="AD730">
        <f t="shared" si="18"/>
        <v>146</v>
      </c>
      <c r="AE730" cm="1">
        <f t="array" ref="AE730">INDEX(X:X, AD730+1)*AC730</f>
        <v>10643400</v>
      </c>
    </row>
    <row r="731" spans="29:31">
      <c r="AC731">
        <v>730</v>
      </c>
      <c r="AD731">
        <f t="shared" si="18"/>
        <v>147</v>
      </c>
      <c r="AE731" cm="1">
        <f t="array" ref="AE731">INDEX(X:X, AD731+1)*AC731</f>
        <v>10731000</v>
      </c>
    </row>
    <row r="732" spans="29:31">
      <c r="AC732">
        <v>731</v>
      </c>
      <c r="AD732">
        <f t="shared" si="18"/>
        <v>147</v>
      </c>
      <c r="AE732" cm="1">
        <f t="array" ref="AE732">INDEX(X:X, AD732+1)*AC732</f>
        <v>10745700</v>
      </c>
    </row>
    <row r="733" spans="29:31">
      <c r="AC733">
        <v>732</v>
      </c>
      <c r="AD733">
        <f t="shared" si="18"/>
        <v>147</v>
      </c>
      <c r="AE733" cm="1">
        <f t="array" ref="AE733">INDEX(X:X, AD733+1)*AC733</f>
        <v>10760400</v>
      </c>
    </row>
    <row r="734" spans="29:31">
      <c r="AC734">
        <v>733</v>
      </c>
      <c r="AD734">
        <f t="shared" si="18"/>
        <v>147</v>
      </c>
      <c r="AE734" cm="1">
        <f t="array" ref="AE734">INDEX(X:X, AD734+1)*AC734</f>
        <v>10775100</v>
      </c>
    </row>
    <row r="735" spans="29:31">
      <c r="AC735">
        <v>734</v>
      </c>
      <c r="AD735">
        <f t="shared" si="18"/>
        <v>147</v>
      </c>
      <c r="AE735" cm="1">
        <f t="array" ref="AE735">INDEX(X:X, AD735+1)*AC735</f>
        <v>10789800</v>
      </c>
    </row>
    <row r="736" spans="29:31">
      <c r="AC736">
        <v>735</v>
      </c>
      <c r="AD736">
        <f t="shared" si="18"/>
        <v>148</v>
      </c>
      <c r="AE736" cm="1">
        <f t="array" ref="AE736">INDEX(X:X, AD736+1)*AC736</f>
        <v>10878000</v>
      </c>
    </row>
    <row r="737" spans="29:31">
      <c r="AC737">
        <v>736</v>
      </c>
      <c r="AD737">
        <f t="shared" si="18"/>
        <v>148</v>
      </c>
      <c r="AE737" cm="1">
        <f t="array" ref="AE737">INDEX(X:X, AD737+1)*AC737</f>
        <v>10892800</v>
      </c>
    </row>
    <row r="738" spans="29:31">
      <c r="AC738">
        <v>737</v>
      </c>
      <c r="AD738">
        <f t="shared" si="18"/>
        <v>148</v>
      </c>
      <c r="AE738" cm="1">
        <f t="array" ref="AE738">INDEX(X:X, AD738+1)*AC738</f>
        <v>10907600</v>
      </c>
    </row>
    <row r="739" spans="29:31">
      <c r="AC739">
        <v>738</v>
      </c>
      <c r="AD739">
        <f t="shared" si="18"/>
        <v>148</v>
      </c>
      <c r="AE739" cm="1">
        <f t="array" ref="AE739">INDEX(X:X, AD739+1)*AC739</f>
        <v>10922400</v>
      </c>
    </row>
    <row r="740" spans="29:31">
      <c r="AC740">
        <v>739</v>
      </c>
      <c r="AD740">
        <f t="shared" si="18"/>
        <v>148</v>
      </c>
      <c r="AE740" cm="1">
        <f t="array" ref="AE740">INDEX(X:X, AD740+1)*AC740</f>
        <v>10937200</v>
      </c>
    </row>
    <row r="741" spans="29:31">
      <c r="AC741">
        <v>740</v>
      </c>
      <c r="AD741">
        <f t="shared" si="18"/>
        <v>149</v>
      </c>
      <c r="AE741" cm="1">
        <f t="array" ref="AE741">INDEX(X:X, AD741+1)*AC741</f>
        <v>11026000</v>
      </c>
    </row>
    <row r="742" spans="29:31">
      <c r="AC742">
        <v>741</v>
      </c>
      <c r="AD742">
        <f t="shared" si="18"/>
        <v>149</v>
      </c>
      <c r="AE742" cm="1">
        <f t="array" ref="AE742">INDEX(X:X, AD742+1)*AC742</f>
        <v>11040900</v>
      </c>
    </row>
    <row r="743" spans="29:31">
      <c r="AC743">
        <v>742</v>
      </c>
      <c r="AD743">
        <f t="shared" si="18"/>
        <v>149</v>
      </c>
      <c r="AE743" cm="1">
        <f t="array" ref="AE743">INDEX(X:X, AD743+1)*AC743</f>
        <v>11055800</v>
      </c>
    </row>
    <row r="744" spans="29:31">
      <c r="AC744">
        <v>743</v>
      </c>
      <c r="AD744">
        <f t="shared" si="18"/>
        <v>149</v>
      </c>
      <c r="AE744" cm="1">
        <f t="array" ref="AE744">INDEX(X:X, AD744+1)*AC744</f>
        <v>11070700</v>
      </c>
    </row>
    <row r="745" spans="29:31">
      <c r="AC745">
        <v>744</v>
      </c>
      <c r="AD745">
        <f t="shared" si="18"/>
        <v>149</v>
      </c>
      <c r="AE745" cm="1">
        <f t="array" ref="AE745">INDEX(X:X, AD745+1)*AC745</f>
        <v>11085600</v>
      </c>
    </row>
    <row r="746" spans="29:31">
      <c r="AC746">
        <v>745</v>
      </c>
      <c r="AD746">
        <f t="shared" si="18"/>
        <v>150</v>
      </c>
      <c r="AE746" cm="1">
        <f t="array" ref="AE746">INDEX(X:X, AD746+1)*AC746</f>
        <v>11175000</v>
      </c>
    </row>
    <row r="747" spans="29:31">
      <c r="AC747">
        <v>746</v>
      </c>
      <c r="AD747">
        <f t="shared" si="18"/>
        <v>150</v>
      </c>
      <c r="AE747" cm="1">
        <f t="array" ref="AE747">INDEX(X:X, AD747+1)*AC747</f>
        <v>11190000</v>
      </c>
    </row>
    <row r="748" spans="29:31">
      <c r="AC748">
        <v>747</v>
      </c>
      <c r="AD748">
        <f t="shared" si="18"/>
        <v>150</v>
      </c>
      <c r="AE748" cm="1">
        <f t="array" ref="AE748">INDEX(X:X, AD748+1)*AC748</f>
        <v>11205000</v>
      </c>
    </row>
    <row r="749" spans="29:31">
      <c r="AC749">
        <v>748</v>
      </c>
      <c r="AD749">
        <f t="shared" si="18"/>
        <v>150</v>
      </c>
      <c r="AE749" cm="1">
        <f t="array" ref="AE749">INDEX(X:X, AD749+1)*AC749</f>
        <v>11220000</v>
      </c>
    </row>
    <row r="750" spans="29:31">
      <c r="AC750">
        <v>749</v>
      </c>
      <c r="AD750">
        <f t="shared" si="18"/>
        <v>150</v>
      </c>
      <c r="AE750" cm="1">
        <f t="array" ref="AE750">INDEX(X:X, AD750+1)*AC750</f>
        <v>11235000</v>
      </c>
    </row>
    <row r="751" spans="29:31">
      <c r="AC751">
        <v>750</v>
      </c>
      <c r="AD751">
        <f t="shared" si="18"/>
        <v>151</v>
      </c>
      <c r="AE751" cm="1">
        <f t="array" ref="AE751">INDEX(X:X, AD751+1)*AC751</f>
        <v>11325000</v>
      </c>
    </row>
    <row r="752" spans="29:31">
      <c r="AC752">
        <v>751</v>
      </c>
      <c r="AD752">
        <f t="shared" si="18"/>
        <v>151</v>
      </c>
      <c r="AE752" cm="1">
        <f t="array" ref="AE752">INDEX(X:X, AD752+1)*AC752</f>
        <v>11340100</v>
      </c>
    </row>
    <row r="753" spans="29:31">
      <c r="AC753">
        <v>752</v>
      </c>
      <c r="AD753">
        <f t="shared" si="18"/>
        <v>151</v>
      </c>
      <c r="AE753" cm="1">
        <f t="array" ref="AE753">INDEX(X:X, AD753+1)*AC753</f>
        <v>11355200</v>
      </c>
    </row>
    <row r="754" spans="29:31">
      <c r="AC754">
        <v>753</v>
      </c>
      <c r="AD754">
        <f t="shared" si="18"/>
        <v>151</v>
      </c>
      <c r="AE754" cm="1">
        <f t="array" ref="AE754">INDEX(X:X, AD754+1)*AC754</f>
        <v>11370300</v>
      </c>
    </row>
    <row r="755" spans="29:31">
      <c r="AC755">
        <v>754</v>
      </c>
      <c r="AD755">
        <f t="shared" si="18"/>
        <v>151</v>
      </c>
      <c r="AE755" cm="1">
        <f t="array" ref="AE755">INDEX(X:X, AD755+1)*AC755</f>
        <v>11385400</v>
      </c>
    </row>
    <row r="756" spans="29:31">
      <c r="AC756">
        <v>755</v>
      </c>
      <c r="AD756">
        <f t="shared" si="18"/>
        <v>152</v>
      </c>
      <c r="AE756" cm="1">
        <f t="array" ref="AE756">INDEX(X:X, AD756+1)*AC756</f>
        <v>11476000</v>
      </c>
    </row>
    <row r="757" spans="29:31">
      <c r="AC757">
        <v>756</v>
      </c>
      <c r="AD757">
        <f t="shared" si="18"/>
        <v>152</v>
      </c>
      <c r="AE757" cm="1">
        <f t="array" ref="AE757">INDEX(X:X, AD757+1)*AC757</f>
        <v>11491200</v>
      </c>
    </row>
    <row r="758" spans="29:31">
      <c r="AC758">
        <v>757</v>
      </c>
      <c r="AD758">
        <f t="shared" si="18"/>
        <v>152</v>
      </c>
      <c r="AE758" cm="1">
        <f t="array" ref="AE758">INDEX(X:X, AD758+1)*AC758</f>
        <v>11506400</v>
      </c>
    </row>
    <row r="759" spans="29:31">
      <c r="AC759">
        <v>758</v>
      </c>
      <c r="AD759">
        <f t="shared" si="18"/>
        <v>152</v>
      </c>
      <c r="AE759" cm="1">
        <f t="array" ref="AE759">INDEX(X:X, AD759+1)*AC759</f>
        <v>11521600</v>
      </c>
    </row>
    <row r="760" spans="29:31">
      <c r="AC760">
        <v>759</v>
      </c>
      <c r="AD760">
        <f t="shared" si="18"/>
        <v>152</v>
      </c>
      <c r="AE760" cm="1">
        <f t="array" ref="AE760">INDEX(X:X, AD760+1)*AC760</f>
        <v>11536800</v>
      </c>
    </row>
    <row r="761" spans="29:31">
      <c r="AC761">
        <v>760</v>
      </c>
      <c r="AD761">
        <f t="shared" si="18"/>
        <v>153</v>
      </c>
      <c r="AE761" cm="1">
        <f t="array" ref="AE761">INDEX(X:X, AD761+1)*AC761</f>
        <v>11628000</v>
      </c>
    </row>
    <row r="762" spans="29:31">
      <c r="AC762">
        <v>761</v>
      </c>
      <c r="AD762">
        <f t="shared" si="18"/>
        <v>153</v>
      </c>
      <c r="AE762" cm="1">
        <f t="array" ref="AE762">INDEX(X:X, AD762+1)*AC762</f>
        <v>11643300</v>
      </c>
    </row>
    <row r="763" spans="29:31">
      <c r="AC763">
        <v>762</v>
      </c>
      <c r="AD763">
        <f t="shared" si="18"/>
        <v>153</v>
      </c>
      <c r="AE763" cm="1">
        <f t="array" ref="AE763">INDEX(X:X, AD763+1)*AC763</f>
        <v>11658600</v>
      </c>
    </row>
    <row r="764" spans="29:31">
      <c r="AC764">
        <v>763</v>
      </c>
      <c r="AD764">
        <f t="shared" si="18"/>
        <v>153</v>
      </c>
      <c r="AE764" cm="1">
        <f t="array" ref="AE764">INDEX(X:X, AD764+1)*AC764</f>
        <v>11673900</v>
      </c>
    </row>
    <row r="765" spans="29:31">
      <c r="AC765">
        <v>764</v>
      </c>
      <c r="AD765">
        <f t="shared" si="18"/>
        <v>153</v>
      </c>
      <c r="AE765" cm="1">
        <f t="array" ref="AE765">INDEX(X:X, AD765+1)*AC765</f>
        <v>11689200</v>
      </c>
    </row>
    <row r="766" spans="29:31">
      <c r="AC766">
        <v>765</v>
      </c>
      <c r="AD766">
        <f t="shared" si="18"/>
        <v>154</v>
      </c>
      <c r="AE766" cm="1">
        <f t="array" ref="AE766">INDEX(X:X, AD766+1)*AC766</f>
        <v>11781000</v>
      </c>
    </row>
    <row r="767" spans="29:31">
      <c r="AC767">
        <v>766</v>
      </c>
      <c r="AD767">
        <f t="shared" si="18"/>
        <v>154</v>
      </c>
      <c r="AE767" cm="1">
        <f t="array" ref="AE767">INDEX(X:X, AD767+1)*AC767</f>
        <v>11796400</v>
      </c>
    </row>
    <row r="768" spans="29:31">
      <c r="AC768">
        <v>767</v>
      </c>
      <c r="AD768">
        <f t="shared" si="18"/>
        <v>154</v>
      </c>
      <c r="AE768" cm="1">
        <f t="array" ref="AE768">INDEX(X:X, AD768+1)*AC768</f>
        <v>11811800</v>
      </c>
    </row>
    <row r="769" spans="29:31">
      <c r="AC769">
        <v>768</v>
      </c>
      <c r="AD769">
        <f t="shared" si="18"/>
        <v>154</v>
      </c>
      <c r="AE769" cm="1">
        <f t="array" ref="AE769">INDEX(X:X, AD769+1)*AC769</f>
        <v>11827200</v>
      </c>
    </row>
    <row r="770" spans="29:31">
      <c r="AC770">
        <v>769</v>
      </c>
      <c r="AD770">
        <f t="shared" si="18"/>
        <v>154</v>
      </c>
      <c r="AE770" cm="1">
        <f t="array" ref="AE770">INDEX(X:X, AD770+1)*AC770</f>
        <v>11842600</v>
      </c>
    </row>
    <row r="771" spans="29:31">
      <c r="AC771">
        <v>770</v>
      </c>
      <c r="AD771">
        <f t="shared" ref="AD771:AD834" si="19">INT(AC771/5)+1</f>
        <v>155</v>
      </c>
      <c r="AE771" cm="1">
        <f t="array" ref="AE771">INDEX(X:X, AD771+1)*AC771</f>
        <v>11935000</v>
      </c>
    </row>
    <row r="772" spans="29:31">
      <c r="AC772">
        <v>771</v>
      </c>
      <c r="AD772">
        <f t="shared" si="19"/>
        <v>155</v>
      </c>
      <c r="AE772" cm="1">
        <f t="array" ref="AE772">INDEX(X:X, AD772+1)*AC772</f>
        <v>11950500</v>
      </c>
    </row>
    <row r="773" spans="29:31">
      <c r="AC773">
        <v>772</v>
      </c>
      <c r="AD773">
        <f t="shared" si="19"/>
        <v>155</v>
      </c>
      <c r="AE773" cm="1">
        <f t="array" ref="AE773">INDEX(X:X, AD773+1)*AC773</f>
        <v>11966000</v>
      </c>
    </row>
    <row r="774" spans="29:31">
      <c r="AC774">
        <v>773</v>
      </c>
      <c r="AD774">
        <f t="shared" si="19"/>
        <v>155</v>
      </c>
      <c r="AE774" cm="1">
        <f t="array" ref="AE774">INDEX(X:X, AD774+1)*AC774</f>
        <v>11981500</v>
      </c>
    </row>
    <row r="775" spans="29:31">
      <c r="AC775">
        <v>774</v>
      </c>
      <c r="AD775">
        <f t="shared" si="19"/>
        <v>155</v>
      </c>
      <c r="AE775" cm="1">
        <f t="array" ref="AE775">INDEX(X:X, AD775+1)*AC775</f>
        <v>11997000</v>
      </c>
    </row>
    <row r="776" spans="29:31">
      <c r="AC776">
        <v>775</v>
      </c>
      <c r="AD776">
        <f t="shared" si="19"/>
        <v>156</v>
      </c>
      <c r="AE776" cm="1">
        <f t="array" ref="AE776">INDEX(X:X, AD776+1)*AC776</f>
        <v>12090000</v>
      </c>
    </row>
    <row r="777" spans="29:31">
      <c r="AC777">
        <v>776</v>
      </c>
      <c r="AD777">
        <f t="shared" si="19"/>
        <v>156</v>
      </c>
      <c r="AE777" cm="1">
        <f t="array" ref="AE777">INDEX(X:X, AD777+1)*AC777</f>
        <v>12105600</v>
      </c>
    </row>
    <row r="778" spans="29:31">
      <c r="AC778">
        <v>777</v>
      </c>
      <c r="AD778">
        <f t="shared" si="19"/>
        <v>156</v>
      </c>
      <c r="AE778" cm="1">
        <f t="array" ref="AE778">INDEX(X:X, AD778+1)*AC778</f>
        <v>12121200</v>
      </c>
    </row>
    <row r="779" spans="29:31">
      <c r="AC779">
        <v>778</v>
      </c>
      <c r="AD779">
        <f t="shared" si="19"/>
        <v>156</v>
      </c>
      <c r="AE779" cm="1">
        <f t="array" ref="AE779">INDEX(X:X, AD779+1)*AC779</f>
        <v>12136800</v>
      </c>
    </row>
    <row r="780" spans="29:31">
      <c r="AC780">
        <v>779</v>
      </c>
      <c r="AD780">
        <f t="shared" si="19"/>
        <v>156</v>
      </c>
      <c r="AE780" cm="1">
        <f t="array" ref="AE780">INDEX(X:X, AD780+1)*AC780</f>
        <v>12152400</v>
      </c>
    </row>
    <row r="781" spans="29:31">
      <c r="AC781">
        <v>780</v>
      </c>
      <c r="AD781">
        <f t="shared" si="19"/>
        <v>157</v>
      </c>
      <c r="AE781" cm="1">
        <f t="array" ref="AE781">INDEX(X:X, AD781+1)*AC781</f>
        <v>12246000</v>
      </c>
    </row>
    <row r="782" spans="29:31">
      <c r="AC782">
        <v>781</v>
      </c>
      <c r="AD782">
        <f t="shared" si="19"/>
        <v>157</v>
      </c>
      <c r="AE782" cm="1">
        <f t="array" ref="AE782">INDEX(X:X, AD782+1)*AC782</f>
        <v>12261700</v>
      </c>
    </row>
    <row r="783" spans="29:31">
      <c r="AC783">
        <v>782</v>
      </c>
      <c r="AD783">
        <f t="shared" si="19"/>
        <v>157</v>
      </c>
      <c r="AE783" cm="1">
        <f t="array" ref="AE783">INDEX(X:X, AD783+1)*AC783</f>
        <v>12277400</v>
      </c>
    </row>
    <row r="784" spans="29:31">
      <c r="AC784">
        <v>783</v>
      </c>
      <c r="AD784">
        <f t="shared" si="19"/>
        <v>157</v>
      </c>
      <c r="AE784" cm="1">
        <f t="array" ref="AE784">INDEX(X:X, AD784+1)*AC784</f>
        <v>12293100</v>
      </c>
    </row>
    <row r="785" spans="29:31">
      <c r="AC785">
        <v>784</v>
      </c>
      <c r="AD785">
        <f t="shared" si="19"/>
        <v>157</v>
      </c>
      <c r="AE785" cm="1">
        <f t="array" ref="AE785">INDEX(X:X, AD785+1)*AC785</f>
        <v>12308800</v>
      </c>
    </row>
    <row r="786" spans="29:31">
      <c r="AC786">
        <v>785</v>
      </c>
      <c r="AD786">
        <f t="shared" si="19"/>
        <v>158</v>
      </c>
      <c r="AE786" cm="1">
        <f t="array" ref="AE786">INDEX(X:X, AD786+1)*AC786</f>
        <v>12403000</v>
      </c>
    </row>
    <row r="787" spans="29:31">
      <c r="AC787">
        <v>786</v>
      </c>
      <c r="AD787">
        <f t="shared" si="19"/>
        <v>158</v>
      </c>
      <c r="AE787" cm="1">
        <f t="array" ref="AE787">INDEX(X:X, AD787+1)*AC787</f>
        <v>12418800</v>
      </c>
    </row>
    <row r="788" spans="29:31">
      <c r="AC788">
        <v>787</v>
      </c>
      <c r="AD788">
        <f t="shared" si="19"/>
        <v>158</v>
      </c>
      <c r="AE788" cm="1">
        <f t="array" ref="AE788">INDEX(X:X, AD788+1)*AC788</f>
        <v>12434600</v>
      </c>
    </row>
    <row r="789" spans="29:31">
      <c r="AC789">
        <v>788</v>
      </c>
      <c r="AD789">
        <f t="shared" si="19"/>
        <v>158</v>
      </c>
      <c r="AE789" cm="1">
        <f t="array" ref="AE789">INDEX(X:X, AD789+1)*AC789</f>
        <v>12450400</v>
      </c>
    </row>
    <row r="790" spans="29:31">
      <c r="AC790">
        <v>789</v>
      </c>
      <c r="AD790">
        <f t="shared" si="19"/>
        <v>158</v>
      </c>
      <c r="AE790" cm="1">
        <f t="array" ref="AE790">INDEX(X:X, AD790+1)*AC790</f>
        <v>12466200</v>
      </c>
    </row>
    <row r="791" spans="29:31">
      <c r="AC791">
        <v>790</v>
      </c>
      <c r="AD791">
        <f t="shared" si="19"/>
        <v>159</v>
      </c>
      <c r="AE791" cm="1">
        <f t="array" ref="AE791">INDEX(X:X, AD791+1)*AC791</f>
        <v>12561000</v>
      </c>
    </row>
    <row r="792" spans="29:31">
      <c r="AC792">
        <v>791</v>
      </c>
      <c r="AD792">
        <f t="shared" si="19"/>
        <v>159</v>
      </c>
      <c r="AE792" cm="1">
        <f t="array" ref="AE792">INDEX(X:X, AD792+1)*AC792</f>
        <v>12576900</v>
      </c>
    </row>
    <row r="793" spans="29:31">
      <c r="AC793">
        <v>792</v>
      </c>
      <c r="AD793">
        <f t="shared" si="19"/>
        <v>159</v>
      </c>
      <c r="AE793" cm="1">
        <f t="array" ref="AE793">INDEX(X:X, AD793+1)*AC793</f>
        <v>12592800</v>
      </c>
    </row>
    <row r="794" spans="29:31">
      <c r="AC794">
        <v>793</v>
      </c>
      <c r="AD794">
        <f t="shared" si="19"/>
        <v>159</v>
      </c>
      <c r="AE794" cm="1">
        <f t="array" ref="AE794">INDEX(X:X, AD794+1)*AC794</f>
        <v>12608700</v>
      </c>
    </row>
    <row r="795" spans="29:31">
      <c r="AC795">
        <v>794</v>
      </c>
      <c r="AD795">
        <f t="shared" si="19"/>
        <v>159</v>
      </c>
      <c r="AE795" cm="1">
        <f t="array" ref="AE795">INDEX(X:X, AD795+1)*AC795</f>
        <v>12624600</v>
      </c>
    </row>
    <row r="796" spans="29:31">
      <c r="AC796">
        <v>795</v>
      </c>
      <c r="AD796">
        <f t="shared" si="19"/>
        <v>160</v>
      </c>
      <c r="AE796" cm="1">
        <f t="array" ref="AE796">INDEX(X:X, AD796+1)*AC796</f>
        <v>12720000</v>
      </c>
    </row>
    <row r="797" spans="29:31">
      <c r="AC797">
        <v>796</v>
      </c>
      <c r="AD797">
        <f t="shared" si="19"/>
        <v>160</v>
      </c>
      <c r="AE797" cm="1">
        <f t="array" ref="AE797">INDEX(X:X, AD797+1)*AC797</f>
        <v>12736000</v>
      </c>
    </row>
    <row r="798" spans="29:31">
      <c r="AC798">
        <v>797</v>
      </c>
      <c r="AD798">
        <f t="shared" si="19"/>
        <v>160</v>
      </c>
      <c r="AE798" cm="1">
        <f t="array" ref="AE798">INDEX(X:X, AD798+1)*AC798</f>
        <v>12752000</v>
      </c>
    </row>
    <row r="799" spans="29:31">
      <c r="AC799">
        <v>798</v>
      </c>
      <c r="AD799">
        <f t="shared" si="19"/>
        <v>160</v>
      </c>
      <c r="AE799" cm="1">
        <f t="array" ref="AE799">INDEX(X:X, AD799+1)*AC799</f>
        <v>12768000</v>
      </c>
    </row>
    <row r="800" spans="29:31">
      <c r="AC800">
        <v>799</v>
      </c>
      <c r="AD800">
        <f t="shared" si="19"/>
        <v>160</v>
      </c>
      <c r="AE800" cm="1">
        <f t="array" ref="AE800">INDEX(X:X, AD800+1)*AC800</f>
        <v>12784000</v>
      </c>
    </row>
    <row r="801" spans="29:31">
      <c r="AC801">
        <v>800</v>
      </c>
      <c r="AD801">
        <f t="shared" si="19"/>
        <v>161</v>
      </c>
      <c r="AE801" cm="1">
        <f t="array" ref="AE801">INDEX(X:X, AD801+1)*AC801</f>
        <v>12880000</v>
      </c>
    </row>
    <row r="802" spans="29:31">
      <c r="AC802">
        <v>801</v>
      </c>
      <c r="AD802">
        <f t="shared" si="19"/>
        <v>161</v>
      </c>
      <c r="AE802" cm="1">
        <f t="array" ref="AE802">INDEX(X:X, AD802+1)*AC802</f>
        <v>12896100</v>
      </c>
    </row>
    <row r="803" spans="29:31">
      <c r="AC803">
        <v>802</v>
      </c>
      <c r="AD803">
        <f t="shared" si="19"/>
        <v>161</v>
      </c>
      <c r="AE803" cm="1">
        <f t="array" ref="AE803">INDEX(X:X, AD803+1)*AC803</f>
        <v>12912200</v>
      </c>
    </row>
    <row r="804" spans="29:31">
      <c r="AC804">
        <v>803</v>
      </c>
      <c r="AD804">
        <f t="shared" si="19"/>
        <v>161</v>
      </c>
      <c r="AE804" cm="1">
        <f t="array" ref="AE804">INDEX(X:X, AD804+1)*AC804</f>
        <v>12928300</v>
      </c>
    </row>
    <row r="805" spans="29:31">
      <c r="AC805">
        <v>804</v>
      </c>
      <c r="AD805">
        <f t="shared" si="19"/>
        <v>161</v>
      </c>
      <c r="AE805" cm="1">
        <f t="array" ref="AE805">INDEX(X:X, AD805+1)*AC805</f>
        <v>12944400</v>
      </c>
    </row>
    <row r="806" spans="29:31">
      <c r="AC806">
        <v>805</v>
      </c>
      <c r="AD806">
        <f t="shared" si="19"/>
        <v>162</v>
      </c>
      <c r="AE806" cm="1">
        <f t="array" ref="AE806">INDEX(X:X, AD806+1)*AC806</f>
        <v>13041000</v>
      </c>
    </row>
    <row r="807" spans="29:31">
      <c r="AC807">
        <v>806</v>
      </c>
      <c r="AD807">
        <f t="shared" si="19"/>
        <v>162</v>
      </c>
      <c r="AE807" cm="1">
        <f t="array" ref="AE807">INDEX(X:X, AD807+1)*AC807</f>
        <v>13057200</v>
      </c>
    </row>
    <row r="808" spans="29:31">
      <c r="AC808">
        <v>807</v>
      </c>
      <c r="AD808">
        <f t="shared" si="19"/>
        <v>162</v>
      </c>
      <c r="AE808" cm="1">
        <f t="array" ref="AE808">INDEX(X:X, AD808+1)*AC808</f>
        <v>13073400</v>
      </c>
    </row>
    <row r="809" spans="29:31">
      <c r="AC809">
        <v>808</v>
      </c>
      <c r="AD809">
        <f t="shared" si="19"/>
        <v>162</v>
      </c>
      <c r="AE809" cm="1">
        <f t="array" ref="AE809">INDEX(X:X, AD809+1)*AC809</f>
        <v>13089600</v>
      </c>
    </row>
    <row r="810" spans="29:31">
      <c r="AC810">
        <v>809</v>
      </c>
      <c r="AD810">
        <f t="shared" si="19"/>
        <v>162</v>
      </c>
      <c r="AE810" cm="1">
        <f t="array" ref="AE810">INDEX(X:X, AD810+1)*AC810</f>
        <v>13105800</v>
      </c>
    </row>
    <row r="811" spans="29:31">
      <c r="AC811">
        <v>810</v>
      </c>
      <c r="AD811">
        <f t="shared" si="19"/>
        <v>163</v>
      </c>
      <c r="AE811" cm="1">
        <f t="array" ref="AE811">INDEX(X:X, AD811+1)*AC811</f>
        <v>13203000</v>
      </c>
    </row>
    <row r="812" spans="29:31">
      <c r="AC812">
        <v>811</v>
      </c>
      <c r="AD812">
        <f t="shared" si="19"/>
        <v>163</v>
      </c>
      <c r="AE812" cm="1">
        <f t="array" ref="AE812">INDEX(X:X, AD812+1)*AC812</f>
        <v>13219300</v>
      </c>
    </row>
    <row r="813" spans="29:31">
      <c r="AC813">
        <v>812</v>
      </c>
      <c r="AD813">
        <f t="shared" si="19"/>
        <v>163</v>
      </c>
      <c r="AE813" cm="1">
        <f t="array" ref="AE813">INDEX(X:X, AD813+1)*AC813</f>
        <v>13235600</v>
      </c>
    </row>
    <row r="814" spans="29:31">
      <c r="AC814">
        <v>813</v>
      </c>
      <c r="AD814">
        <f t="shared" si="19"/>
        <v>163</v>
      </c>
      <c r="AE814" cm="1">
        <f t="array" ref="AE814">INDEX(X:X, AD814+1)*AC814</f>
        <v>13251900</v>
      </c>
    </row>
    <row r="815" spans="29:31">
      <c r="AC815">
        <v>814</v>
      </c>
      <c r="AD815">
        <f t="shared" si="19"/>
        <v>163</v>
      </c>
      <c r="AE815" cm="1">
        <f t="array" ref="AE815">INDEX(X:X, AD815+1)*AC815</f>
        <v>13268200</v>
      </c>
    </row>
    <row r="816" spans="29:31">
      <c r="AC816">
        <v>815</v>
      </c>
      <c r="AD816">
        <f t="shared" si="19"/>
        <v>164</v>
      </c>
      <c r="AE816" cm="1">
        <f t="array" ref="AE816">INDEX(X:X, AD816+1)*AC816</f>
        <v>13366000</v>
      </c>
    </row>
    <row r="817" spans="29:31">
      <c r="AC817">
        <v>816</v>
      </c>
      <c r="AD817">
        <f t="shared" si="19"/>
        <v>164</v>
      </c>
      <c r="AE817" cm="1">
        <f t="array" ref="AE817">INDEX(X:X, AD817+1)*AC817</f>
        <v>13382400</v>
      </c>
    </row>
    <row r="818" spans="29:31">
      <c r="AC818">
        <v>817</v>
      </c>
      <c r="AD818">
        <f t="shared" si="19"/>
        <v>164</v>
      </c>
      <c r="AE818" cm="1">
        <f t="array" ref="AE818">INDEX(X:X, AD818+1)*AC818</f>
        <v>13398800</v>
      </c>
    </row>
    <row r="819" spans="29:31">
      <c r="AC819">
        <v>818</v>
      </c>
      <c r="AD819">
        <f t="shared" si="19"/>
        <v>164</v>
      </c>
      <c r="AE819" cm="1">
        <f t="array" ref="AE819">INDEX(X:X, AD819+1)*AC819</f>
        <v>13415200</v>
      </c>
    </row>
    <row r="820" spans="29:31">
      <c r="AC820">
        <v>819</v>
      </c>
      <c r="AD820">
        <f t="shared" si="19"/>
        <v>164</v>
      </c>
      <c r="AE820" cm="1">
        <f t="array" ref="AE820">INDEX(X:X, AD820+1)*AC820</f>
        <v>13431600</v>
      </c>
    </row>
    <row r="821" spans="29:31">
      <c r="AC821">
        <v>820</v>
      </c>
      <c r="AD821">
        <f t="shared" si="19"/>
        <v>165</v>
      </c>
      <c r="AE821" cm="1">
        <f t="array" ref="AE821">INDEX(X:X, AD821+1)*AC821</f>
        <v>13530000</v>
      </c>
    </row>
    <row r="822" spans="29:31">
      <c r="AC822">
        <v>821</v>
      </c>
      <c r="AD822">
        <f t="shared" si="19"/>
        <v>165</v>
      </c>
      <c r="AE822" cm="1">
        <f t="array" ref="AE822">INDEX(X:X, AD822+1)*AC822</f>
        <v>13546500</v>
      </c>
    </row>
    <row r="823" spans="29:31">
      <c r="AC823">
        <v>822</v>
      </c>
      <c r="AD823">
        <f t="shared" si="19"/>
        <v>165</v>
      </c>
      <c r="AE823" cm="1">
        <f t="array" ref="AE823">INDEX(X:X, AD823+1)*AC823</f>
        <v>13563000</v>
      </c>
    </row>
    <row r="824" spans="29:31">
      <c r="AC824">
        <v>823</v>
      </c>
      <c r="AD824">
        <f t="shared" si="19"/>
        <v>165</v>
      </c>
      <c r="AE824" cm="1">
        <f t="array" ref="AE824">INDEX(X:X, AD824+1)*AC824</f>
        <v>13579500</v>
      </c>
    </row>
    <row r="825" spans="29:31">
      <c r="AC825">
        <v>824</v>
      </c>
      <c r="AD825">
        <f t="shared" si="19"/>
        <v>165</v>
      </c>
      <c r="AE825" cm="1">
        <f t="array" ref="AE825">INDEX(X:X, AD825+1)*AC825</f>
        <v>13596000</v>
      </c>
    </row>
    <row r="826" spans="29:31">
      <c r="AC826">
        <v>825</v>
      </c>
      <c r="AD826">
        <f t="shared" si="19"/>
        <v>166</v>
      </c>
      <c r="AE826" cm="1">
        <f t="array" ref="AE826">INDEX(X:X, AD826+1)*AC826</f>
        <v>13695000</v>
      </c>
    </row>
    <row r="827" spans="29:31">
      <c r="AC827">
        <v>826</v>
      </c>
      <c r="AD827">
        <f t="shared" si="19"/>
        <v>166</v>
      </c>
      <c r="AE827" cm="1">
        <f t="array" ref="AE827">INDEX(X:X, AD827+1)*AC827</f>
        <v>13711600</v>
      </c>
    </row>
    <row r="828" spans="29:31">
      <c r="AC828">
        <v>827</v>
      </c>
      <c r="AD828">
        <f t="shared" si="19"/>
        <v>166</v>
      </c>
      <c r="AE828" cm="1">
        <f t="array" ref="AE828">INDEX(X:X, AD828+1)*AC828</f>
        <v>13728200</v>
      </c>
    </row>
    <row r="829" spans="29:31">
      <c r="AC829">
        <v>828</v>
      </c>
      <c r="AD829">
        <f t="shared" si="19"/>
        <v>166</v>
      </c>
      <c r="AE829" cm="1">
        <f t="array" ref="AE829">INDEX(X:X, AD829+1)*AC829</f>
        <v>13744800</v>
      </c>
    </row>
    <row r="830" spans="29:31">
      <c r="AC830">
        <v>829</v>
      </c>
      <c r="AD830">
        <f t="shared" si="19"/>
        <v>166</v>
      </c>
      <c r="AE830" cm="1">
        <f t="array" ref="AE830">INDEX(X:X, AD830+1)*AC830</f>
        <v>13761400</v>
      </c>
    </row>
    <row r="831" spans="29:31">
      <c r="AC831">
        <v>830</v>
      </c>
      <c r="AD831">
        <f t="shared" si="19"/>
        <v>167</v>
      </c>
      <c r="AE831" cm="1">
        <f t="array" ref="AE831">INDEX(X:X, AD831+1)*AC831</f>
        <v>13861000</v>
      </c>
    </row>
    <row r="832" spans="29:31">
      <c r="AC832">
        <v>831</v>
      </c>
      <c r="AD832">
        <f t="shared" si="19"/>
        <v>167</v>
      </c>
      <c r="AE832" cm="1">
        <f t="array" ref="AE832">INDEX(X:X, AD832+1)*AC832</f>
        <v>13877700</v>
      </c>
    </row>
    <row r="833" spans="29:31">
      <c r="AC833">
        <v>832</v>
      </c>
      <c r="AD833">
        <f t="shared" si="19"/>
        <v>167</v>
      </c>
      <c r="AE833" cm="1">
        <f t="array" ref="AE833">INDEX(X:X, AD833+1)*AC833</f>
        <v>13894400</v>
      </c>
    </row>
    <row r="834" spans="29:31">
      <c r="AC834">
        <v>833</v>
      </c>
      <c r="AD834">
        <f t="shared" si="19"/>
        <v>167</v>
      </c>
      <c r="AE834" cm="1">
        <f t="array" ref="AE834">INDEX(X:X, AD834+1)*AC834</f>
        <v>13911100</v>
      </c>
    </row>
    <row r="835" spans="29:31">
      <c r="AC835">
        <v>834</v>
      </c>
      <c r="AD835">
        <f t="shared" ref="AD835:AD898" si="20">INT(AC835/5)+1</f>
        <v>167</v>
      </c>
      <c r="AE835" cm="1">
        <f t="array" ref="AE835">INDEX(X:X, AD835+1)*AC835</f>
        <v>13927800</v>
      </c>
    </row>
    <row r="836" spans="29:31">
      <c r="AC836">
        <v>835</v>
      </c>
      <c r="AD836">
        <f t="shared" si="20"/>
        <v>168</v>
      </c>
      <c r="AE836" cm="1">
        <f t="array" ref="AE836">INDEX(X:X, AD836+1)*AC836</f>
        <v>14028000</v>
      </c>
    </row>
    <row r="837" spans="29:31">
      <c r="AC837">
        <v>836</v>
      </c>
      <c r="AD837">
        <f t="shared" si="20"/>
        <v>168</v>
      </c>
      <c r="AE837" cm="1">
        <f t="array" ref="AE837">INDEX(X:X, AD837+1)*AC837</f>
        <v>14044800</v>
      </c>
    </row>
    <row r="838" spans="29:31">
      <c r="AC838">
        <v>837</v>
      </c>
      <c r="AD838">
        <f t="shared" si="20"/>
        <v>168</v>
      </c>
      <c r="AE838" cm="1">
        <f t="array" ref="AE838">INDEX(X:X, AD838+1)*AC838</f>
        <v>14061600</v>
      </c>
    </row>
    <row r="839" spans="29:31">
      <c r="AC839">
        <v>838</v>
      </c>
      <c r="AD839">
        <f t="shared" si="20"/>
        <v>168</v>
      </c>
      <c r="AE839" cm="1">
        <f t="array" ref="AE839">INDEX(X:X, AD839+1)*AC839</f>
        <v>14078400</v>
      </c>
    </row>
    <row r="840" spans="29:31">
      <c r="AC840">
        <v>839</v>
      </c>
      <c r="AD840">
        <f t="shared" si="20"/>
        <v>168</v>
      </c>
      <c r="AE840" cm="1">
        <f t="array" ref="AE840">INDEX(X:X, AD840+1)*AC840</f>
        <v>14095200</v>
      </c>
    </row>
    <row r="841" spans="29:31">
      <c r="AC841">
        <v>840</v>
      </c>
      <c r="AD841">
        <f t="shared" si="20"/>
        <v>169</v>
      </c>
      <c r="AE841" cm="1">
        <f t="array" ref="AE841">INDEX(X:X, AD841+1)*AC841</f>
        <v>14196000</v>
      </c>
    </row>
    <row r="842" spans="29:31">
      <c r="AC842">
        <v>841</v>
      </c>
      <c r="AD842">
        <f t="shared" si="20"/>
        <v>169</v>
      </c>
      <c r="AE842" cm="1">
        <f t="array" ref="AE842">INDEX(X:X, AD842+1)*AC842</f>
        <v>14212900</v>
      </c>
    </row>
    <row r="843" spans="29:31">
      <c r="AC843">
        <v>842</v>
      </c>
      <c r="AD843">
        <f t="shared" si="20"/>
        <v>169</v>
      </c>
      <c r="AE843" cm="1">
        <f t="array" ref="AE843">INDEX(X:X, AD843+1)*AC843</f>
        <v>14229800</v>
      </c>
    </row>
    <row r="844" spans="29:31">
      <c r="AC844">
        <v>843</v>
      </c>
      <c r="AD844">
        <f t="shared" si="20"/>
        <v>169</v>
      </c>
      <c r="AE844" cm="1">
        <f t="array" ref="AE844">INDEX(X:X, AD844+1)*AC844</f>
        <v>14246700</v>
      </c>
    </row>
    <row r="845" spans="29:31">
      <c r="AC845">
        <v>844</v>
      </c>
      <c r="AD845">
        <f t="shared" si="20"/>
        <v>169</v>
      </c>
      <c r="AE845" cm="1">
        <f t="array" ref="AE845">INDEX(X:X, AD845+1)*AC845</f>
        <v>14263600</v>
      </c>
    </row>
    <row r="846" spans="29:31">
      <c r="AC846">
        <v>845</v>
      </c>
      <c r="AD846">
        <f t="shared" si="20"/>
        <v>170</v>
      </c>
      <c r="AE846" cm="1">
        <f t="array" ref="AE846">INDEX(X:X, AD846+1)*AC846</f>
        <v>14365000</v>
      </c>
    </row>
    <row r="847" spans="29:31">
      <c r="AC847">
        <v>846</v>
      </c>
      <c r="AD847">
        <f t="shared" si="20"/>
        <v>170</v>
      </c>
      <c r="AE847" cm="1">
        <f t="array" ref="AE847">INDEX(X:X, AD847+1)*AC847</f>
        <v>14382000</v>
      </c>
    </row>
    <row r="848" spans="29:31">
      <c r="AC848">
        <v>847</v>
      </c>
      <c r="AD848">
        <f t="shared" si="20"/>
        <v>170</v>
      </c>
      <c r="AE848" cm="1">
        <f t="array" ref="AE848">INDEX(X:X, AD848+1)*AC848</f>
        <v>14399000</v>
      </c>
    </row>
    <row r="849" spans="29:31">
      <c r="AC849">
        <v>848</v>
      </c>
      <c r="AD849">
        <f t="shared" si="20"/>
        <v>170</v>
      </c>
      <c r="AE849" cm="1">
        <f t="array" ref="AE849">INDEX(X:X, AD849+1)*AC849</f>
        <v>14416000</v>
      </c>
    </row>
    <row r="850" spans="29:31">
      <c r="AC850">
        <v>849</v>
      </c>
      <c r="AD850">
        <f t="shared" si="20"/>
        <v>170</v>
      </c>
      <c r="AE850" cm="1">
        <f t="array" ref="AE850">INDEX(X:X, AD850+1)*AC850</f>
        <v>14433000</v>
      </c>
    </row>
    <row r="851" spans="29:31">
      <c r="AC851">
        <v>850</v>
      </c>
      <c r="AD851">
        <f t="shared" si="20"/>
        <v>171</v>
      </c>
      <c r="AE851" cm="1">
        <f t="array" ref="AE851">INDEX(X:X, AD851+1)*AC851</f>
        <v>14535000</v>
      </c>
    </row>
    <row r="852" spans="29:31">
      <c r="AC852">
        <v>851</v>
      </c>
      <c r="AD852">
        <f t="shared" si="20"/>
        <v>171</v>
      </c>
      <c r="AE852" cm="1">
        <f t="array" ref="AE852">INDEX(X:X, AD852+1)*AC852</f>
        <v>14552100</v>
      </c>
    </row>
    <row r="853" spans="29:31">
      <c r="AC853">
        <v>852</v>
      </c>
      <c r="AD853">
        <f t="shared" si="20"/>
        <v>171</v>
      </c>
      <c r="AE853" cm="1">
        <f t="array" ref="AE853">INDEX(X:X, AD853+1)*AC853</f>
        <v>14569200</v>
      </c>
    </row>
    <row r="854" spans="29:31">
      <c r="AC854">
        <v>853</v>
      </c>
      <c r="AD854">
        <f t="shared" si="20"/>
        <v>171</v>
      </c>
      <c r="AE854" cm="1">
        <f t="array" ref="AE854">INDEX(X:X, AD854+1)*AC854</f>
        <v>14586300</v>
      </c>
    </row>
    <row r="855" spans="29:31">
      <c r="AC855">
        <v>854</v>
      </c>
      <c r="AD855">
        <f t="shared" si="20"/>
        <v>171</v>
      </c>
      <c r="AE855" cm="1">
        <f t="array" ref="AE855">INDEX(X:X, AD855+1)*AC855</f>
        <v>14603400</v>
      </c>
    </row>
    <row r="856" spans="29:31">
      <c r="AC856">
        <v>855</v>
      </c>
      <c r="AD856">
        <f t="shared" si="20"/>
        <v>172</v>
      </c>
      <c r="AE856" cm="1">
        <f t="array" ref="AE856">INDEX(X:X, AD856+1)*AC856</f>
        <v>14706000</v>
      </c>
    </row>
    <row r="857" spans="29:31">
      <c r="AC857">
        <v>856</v>
      </c>
      <c r="AD857">
        <f t="shared" si="20"/>
        <v>172</v>
      </c>
      <c r="AE857" cm="1">
        <f t="array" ref="AE857">INDEX(X:X, AD857+1)*AC857</f>
        <v>14723200</v>
      </c>
    </row>
    <row r="858" spans="29:31">
      <c r="AC858">
        <v>857</v>
      </c>
      <c r="AD858">
        <f t="shared" si="20"/>
        <v>172</v>
      </c>
      <c r="AE858" cm="1">
        <f t="array" ref="AE858">INDEX(X:X, AD858+1)*AC858</f>
        <v>14740400</v>
      </c>
    </row>
    <row r="859" spans="29:31">
      <c r="AC859">
        <v>858</v>
      </c>
      <c r="AD859">
        <f t="shared" si="20"/>
        <v>172</v>
      </c>
      <c r="AE859" cm="1">
        <f t="array" ref="AE859">INDEX(X:X, AD859+1)*AC859</f>
        <v>14757600</v>
      </c>
    </row>
    <row r="860" spans="29:31">
      <c r="AC860">
        <v>859</v>
      </c>
      <c r="AD860">
        <f t="shared" si="20"/>
        <v>172</v>
      </c>
      <c r="AE860" cm="1">
        <f t="array" ref="AE860">INDEX(X:X, AD860+1)*AC860</f>
        <v>14774800</v>
      </c>
    </row>
    <row r="861" spans="29:31">
      <c r="AC861">
        <v>860</v>
      </c>
      <c r="AD861">
        <f t="shared" si="20"/>
        <v>173</v>
      </c>
      <c r="AE861" cm="1">
        <f t="array" ref="AE861">INDEX(X:X, AD861+1)*AC861</f>
        <v>14878000</v>
      </c>
    </row>
    <row r="862" spans="29:31">
      <c r="AC862">
        <v>861</v>
      </c>
      <c r="AD862">
        <f t="shared" si="20"/>
        <v>173</v>
      </c>
      <c r="AE862" cm="1">
        <f t="array" ref="AE862">INDEX(X:X, AD862+1)*AC862</f>
        <v>14895300</v>
      </c>
    </row>
    <row r="863" spans="29:31">
      <c r="AC863">
        <v>862</v>
      </c>
      <c r="AD863">
        <f t="shared" si="20"/>
        <v>173</v>
      </c>
      <c r="AE863" cm="1">
        <f t="array" ref="AE863">INDEX(X:X, AD863+1)*AC863</f>
        <v>14912600</v>
      </c>
    </row>
    <row r="864" spans="29:31">
      <c r="AC864">
        <v>863</v>
      </c>
      <c r="AD864">
        <f t="shared" si="20"/>
        <v>173</v>
      </c>
      <c r="AE864" cm="1">
        <f t="array" ref="AE864">INDEX(X:X, AD864+1)*AC864</f>
        <v>14929900</v>
      </c>
    </row>
    <row r="865" spans="29:31">
      <c r="AC865">
        <v>864</v>
      </c>
      <c r="AD865">
        <f t="shared" si="20"/>
        <v>173</v>
      </c>
      <c r="AE865" cm="1">
        <f t="array" ref="AE865">INDEX(X:X, AD865+1)*AC865</f>
        <v>14947200</v>
      </c>
    </row>
    <row r="866" spans="29:31">
      <c r="AC866">
        <v>865</v>
      </c>
      <c r="AD866">
        <f t="shared" si="20"/>
        <v>174</v>
      </c>
      <c r="AE866" cm="1">
        <f t="array" ref="AE866">INDEX(X:X, AD866+1)*AC866</f>
        <v>15051000</v>
      </c>
    </row>
    <row r="867" spans="29:31">
      <c r="AC867">
        <v>866</v>
      </c>
      <c r="AD867">
        <f t="shared" si="20"/>
        <v>174</v>
      </c>
      <c r="AE867" cm="1">
        <f t="array" ref="AE867">INDEX(X:X, AD867+1)*AC867</f>
        <v>15068400</v>
      </c>
    </row>
    <row r="868" spans="29:31">
      <c r="AC868">
        <v>867</v>
      </c>
      <c r="AD868">
        <f t="shared" si="20"/>
        <v>174</v>
      </c>
      <c r="AE868" cm="1">
        <f t="array" ref="AE868">INDEX(X:X, AD868+1)*AC868</f>
        <v>15085800</v>
      </c>
    </row>
    <row r="869" spans="29:31">
      <c r="AC869">
        <v>868</v>
      </c>
      <c r="AD869">
        <f t="shared" si="20"/>
        <v>174</v>
      </c>
      <c r="AE869" cm="1">
        <f t="array" ref="AE869">INDEX(X:X, AD869+1)*AC869</f>
        <v>15103200</v>
      </c>
    </row>
    <row r="870" spans="29:31">
      <c r="AC870">
        <v>869</v>
      </c>
      <c r="AD870">
        <f t="shared" si="20"/>
        <v>174</v>
      </c>
      <c r="AE870" cm="1">
        <f t="array" ref="AE870">INDEX(X:X, AD870+1)*AC870</f>
        <v>15120600</v>
      </c>
    </row>
    <row r="871" spans="29:31">
      <c r="AC871">
        <v>870</v>
      </c>
      <c r="AD871">
        <f t="shared" si="20"/>
        <v>175</v>
      </c>
      <c r="AE871" cm="1">
        <f t="array" ref="AE871">INDEX(X:X, AD871+1)*AC871</f>
        <v>15225000</v>
      </c>
    </row>
    <row r="872" spans="29:31">
      <c r="AC872">
        <v>871</v>
      </c>
      <c r="AD872">
        <f t="shared" si="20"/>
        <v>175</v>
      </c>
      <c r="AE872" cm="1">
        <f t="array" ref="AE872">INDEX(X:X, AD872+1)*AC872</f>
        <v>15242500</v>
      </c>
    </row>
    <row r="873" spans="29:31">
      <c r="AC873">
        <v>872</v>
      </c>
      <c r="AD873">
        <f t="shared" si="20"/>
        <v>175</v>
      </c>
      <c r="AE873" cm="1">
        <f t="array" ref="AE873">INDEX(X:X, AD873+1)*AC873</f>
        <v>15260000</v>
      </c>
    </row>
    <row r="874" spans="29:31">
      <c r="AC874">
        <v>873</v>
      </c>
      <c r="AD874">
        <f t="shared" si="20"/>
        <v>175</v>
      </c>
      <c r="AE874" cm="1">
        <f t="array" ref="AE874">INDEX(X:X, AD874+1)*AC874</f>
        <v>15277500</v>
      </c>
    </row>
    <row r="875" spans="29:31">
      <c r="AC875">
        <v>874</v>
      </c>
      <c r="AD875">
        <f t="shared" si="20"/>
        <v>175</v>
      </c>
      <c r="AE875" cm="1">
        <f t="array" ref="AE875">INDEX(X:X, AD875+1)*AC875</f>
        <v>15295000</v>
      </c>
    </row>
    <row r="876" spans="29:31">
      <c r="AC876">
        <v>875</v>
      </c>
      <c r="AD876">
        <f t="shared" si="20"/>
        <v>176</v>
      </c>
      <c r="AE876" cm="1">
        <f t="array" ref="AE876">INDEX(X:X, AD876+1)*AC876</f>
        <v>15400000</v>
      </c>
    </row>
    <row r="877" spans="29:31">
      <c r="AC877">
        <v>876</v>
      </c>
      <c r="AD877">
        <f t="shared" si="20"/>
        <v>176</v>
      </c>
      <c r="AE877" cm="1">
        <f t="array" ref="AE877">INDEX(X:X, AD877+1)*AC877</f>
        <v>15417600</v>
      </c>
    </row>
    <row r="878" spans="29:31">
      <c r="AC878">
        <v>877</v>
      </c>
      <c r="AD878">
        <f t="shared" si="20"/>
        <v>176</v>
      </c>
      <c r="AE878" cm="1">
        <f t="array" ref="AE878">INDEX(X:X, AD878+1)*AC878</f>
        <v>15435200</v>
      </c>
    </row>
    <row r="879" spans="29:31">
      <c r="AC879">
        <v>878</v>
      </c>
      <c r="AD879">
        <f t="shared" si="20"/>
        <v>176</v>
      </c>
      <c r="AE879" cm="1">
        <f t="array" ref="AE879">INDEX(X:X, AD879+1)*AC879</f>
        <v>15452800</v>
      </c>
    </row>
    <row r="880" spans="29:31">
      <c r="AC880">
        <v>879</v>
      </c>
      <c r="AD880">
        <f t="shared" si="20"/>
        <v>176</v>
      </c>
      <c r="AE880" cm="1">
        <f t="array" ref="AE880">INDEX(X:X, AD880+1)*AC880</f>
        <v>15470400</v>
      </c>
    </row>
    <row r="881" spans="29:31">
      <c r="AC881">
        <v>880</v>
      </c>
      <c r="AD881">
        <f t="shared" si="20"/>
        <v>177</v>
      </c>
      <c r="AE881" cm="1">
        <f t="array" ref="AE881">INDEX(X:X, AD881+1)*AC881</f>
        <v>15576000</v>
      </c>
    </row>
    <row r="882" spans="29:31">
      <c r="AC882">
        <v>881</v>
      </c>
      <c r="AD882">
        <f t="shared" si="20"/>
        <v>177</v>
      </c>
      <c r="AE882" cm="1">
        <f t="array" ref="AE882">INDEX(X:X, AD882+1)*AC882</f>
        <v>15593700</v>
      </c>
    </row>
    <row r="883" spans="29:31">
      <c r="AC883">
        <v>882</v>
      </c>
      <c r="AD883">
        <f t="shared" si="20"/>
        <v>177</v>
      </c>
      <c r="AE883" cm="1">
        <f t="array" ref="AE883">INDEX(X:X, AD883+1)*AC883</f>
        <v>15611400</v>
      </c>
    </row>
    <row r="884" spans="29:31">
      <c r="AC884">
        <v>883</v>
      </c>
      <c r="AD884">
        <f t="shared" si="20"/>
        <v>177</v>
      </c>
      <c r="AE884" cm="1">
        <f t="array" ref="AE884">INDEX(X:X, AD884+1)*AC884</f>
        <v>15629100</v>
      </c>
    </row>
    <row r="885" spans="29:31">
      <c r="AC885">
        <v>884</v>
      </c>
      <c r="AD885">
        <f t="shared" si="20"/>
        <v>177</v>
      </c>
      <c r="AE885" cm="1">
        <f t="array" ref="AE885">INDEX(X:X, AD885+1)*AC885</f>
        <v>15646800</v>
      </c>
    </row>
    <row r="886" spans="29:31">
      <c r="AC886">
        <v>885</v>
      </c>
      <c r="AD886">
        <f t="shared" si="20"/>
        <v>178</v>
      </c>
      <c r="AE886" cm="1">
        <f t="array" ref="AE886">INDEX(X:X, AD886+1)*AC886</f>
        <v>15753000</v>
      </c>
    </row>
    <row r="887" spans="29:31">
      <c r="AC887">
        <v>886</v>
      </c>
      <c r="AD887">
        <f t="shared" si="20"/>
        <v>178</v>
      </c>
      <c r="AE887" cm="1">
        <f t="array" ref="AE887">INDEX(X:X, AD887+1)*AC887</f>
        <v>15770800</v>
      </c>
    </row>
    <row r="888" spans="29:31">
      <c r="AC888">
        <v>887</v>
      </c>
      <c r="AD888">
        <f t="shared" si="20"/>
        <v>178</v>
      </c>
      <c r="AE888" cm="1">
        <f t="array" ref="AE888">INDEX(X:X, AD888+1)*AC888</f>
        <v>15788600</v>
      </c>
    </row>
    <row r="889" spans="29:31">
      <c r="AC889">
        <v>888</v>
      </c>
      <c r="AD889">
        <f t="shared" si="20"/>
        <v>178</v>
      </c>
      <c r="AE889" cm="1">
        <f t="array" ref="AE889">INDEX(X:X, AD889+1)*AC889</f>
        <v>15806400</v>
      </c>
    </row>
    <row r="890" spans="29:31">
      <c r="AC890">
        <v>889</v>
      </c>
      <c r="AD890">
        <f t="shared" si="20"/>
        <v>178</v>
      </c>
      <c r="AE890" cm="1">
        <f t="array" ref="AE890">INDEX(X:X, AD890+1)*AC890</f>
        <v>15824200</v>
      </c>
    </row>
    <row r="891" spans="29:31">
      <c r="AC891">
        <v>890</v>
      </c>
      <c r="AD891">
        <f t="shared" si="20"/>
        <v>179</v>
      </c>
      <c r="AE891" cm="1">
        <f t="array" ref="AE891">INDEX(X:X, AD891+1)*AC891</f>
        <v>15931000</v>
      </c>
    </row>
    <row r="892" spans="29:31">
      <c r="AC892">
        <v>891</v>
      </c>
      <c r="AD892">
        <f t="shared" si="20"/>
        <v>179</v>
      </c>
      <c r="AE892" cm="1">
        <f t="array" ref="AE892">INDEX(X:X, AD892+1)*AC892</f>
        <v>15948900</v>
      </c>
    </row>
    <row r="893" spans="29:31">
      <c r="AC893">
        <v>892</v>
      </c>
      <c r="AD893">
        <f t="shared" si="20"/>
        <v>179</v>
      </c>
      <c r="AE893" cm="1">
        <f t="array" ref="AE893">INDEX(X:X, AD893+1)*AC893</f>
        <v>15966800</v>
      </c>
    </row>
    <row r="894" spans="29:31">
      <c r="AC894">
        <v>893</v>
      </c>
      <c r="AD894">
        <f t="shared" si="20"/>
        <v>179</v>
      </c>
      <c r="AE894" cm="1">
        <f t="array" ref="AE894">INDEX(X:X, AD894+1)*AC894</f>
        <v>15984700</v>
      </c>
    </row>
    <row r="895" spans="29:31">
      <c r="AC895">
        <v>894</v>
      </c>
      <c r="AD895">
        <f t="shared" si="20"/>
        <v>179</v>
      </c>
      <c r="AE895" cm="1">
        <f t="array" ref="AE895">INDEX(X:X, AD895+1)*AC895</f>
        <v>16002600</v>
      </c>
    </row>
    <row r="896" spans="29:31">
      <c r="AC896">
        <v>895</v>
      </c>
      <c r="AD896">
        <f t="shared" si="20"/>
        <v>180</v>
      </c>
      <c r="AE896" cm="1">
        <f t="array" ref="AE896">INDEX(X:X, AD896+1)*AC896</f>
        <v>16110000</v>
      </c>
    </row>
    <row r="897" spans="29:31">
      <c r="AC897">
        <v>896</v>
      </c>
      <c r="AD897">
        <f t="shared" si="20"/>
        <v>180</v>
      </c>
      <c r="AE897" cm="1">
        <f t="array" ref="AE897">INDEX(X:X, AD897+1)*AC897</f>
        <v>16128000</v>
      </c>
    </row>
    <row r="898" spans="29:31">
      <c r="AC898">
        <v>897</v>
      </c>
      <c r="AD898">
        <f t="shared" si="20"/>
        <v>180</v>
      </c>
      <c r="AE898" cm="1">
        <f t="array" ref="AE898">INDEX(X:X, AD898+1)*AC898</f>
        <v>16146000</v>
      </c>
    </row>
    <row r="899" spans="29:31">
      <c r="AC899">
        <v>898</v>
      </c>
      <c r="AD899">
        <f t="shared" ref="AD899:AD962" si="21">INT(AC899/5)+1</f>
        <v>180</v>
      </c>
      <c r="AE899" cm="1">
        <f t="array" ref="AE899">INDEX(X:X, AD899+1)*AC899</f>
        <v>16164000</v>
      </c>
    </row>
    <row r="900" spans="29:31">
      <c r="AC900">
        <v>899</v>
      </c>
      <c r="AD900">
        <f t="shared" si="21"/>
        <v>180</v>
      </c>
      <c r="AE900" cm="1">
        <f t="array" ref="AE900">INDEX(X:X, AD900+1)*AC900</f>
        <v>16182000</v>
      </c>
    </row>
    <row r="901" spans="29:31">
      <c r="AC901">
        <v>900</v>
      </c>
      <c r="AD901">
        <f t="shared" si="21"/>
        <v>181</v>
      </c>
      <c r="AE901" cm="1">
        <f t="array" ref="AE901">INDEX(X:X, AD901+1)*AC901</f>
        <v>16290000</v>
      </c>
    </row>
    <row r="902" spans="29:31">
      <c r="AC902">
        <v>901</v>
      </c>
      <c r="AD902">
        <f t="shared" si="21"/>
        <v>181</v>
      </c>
      <c r="AE902" cm="1">
        <f t="array" ref="AE902">INDEX(X:X, AD902+1)*AC902</f>
        <v>16308100</v>
      </c>
    </row>
    <row r="903" spans="29:31">
      <c r="AC903">
        <v>902</v>
      </c>
      <c r="AD903">
        <f t="shared" si="21"/>
        <v>181</v>
      </c>
      <c r="AE903" cm="1">
        <f t="array" ref="AE903">INDEX(X:X, AD903+1)*AC903</f>
        <v>16326200</v>
      </c>
    </row>
    <row r="904" spans="29:31">
      <c r="AC904">
        <v>903</v>
      </c>
      <c r="AD904">
        <f t="shared" si="21"/>
        <v>181</v>
      </c>
      <c r="AE904" cm="1">
        <f t="array" ref="AE904">INDEX(X:X, AD904+1)*AC904</f>
        <v>16344300</v>
      </c>
    </row>
    <row r="905" spans="29:31">
      <c r="AC905">
        <v>904</v>
      </c>
      <c r="AD905">
        <f t="shared" si="21"/>
        <v>181</v>
      </c>
      <c r="AE905" cm="1">
        <f t="array" ref="AE905">INDEX(X:X, AD905+1)*AC905</f>
        <v>16362400</v>
      </c>
    </row>
    <row r="906" spans="29:31">
      <c r="AC906">
        <v>905</v>
      </c>
      <c r="AD906">
        <f t="shared" si="21"/>
        <v>182</v>
      </c>
      <c r="AE906" cm="1">
        <f t="array" ref="AE906">INDEX(X:X, AD906+1)*AC906</f>
        <v>16471000</v>
      </c>
    </row>
    <row r="907" spans="29:31">
      <c r="AC907">
        <v>906</v>
      </c>
      <c r="AD907">
        <f t="shared" si="21"/>
        <v>182</v>
      </c>
      <c r="AE907" cm="1">
        <f t="array" ref="AE907">INDEX(X:X, AD907+1)*AC907</f>
        <v>16489200</v>
      </c>
    </row>
    <row r="908" spans="29:31">
      <c r="AC908">
        <v>907</v>
      </c>
      <c r="AD908">
        <f t="shared" si="21"/>
        <v>182</v>
      </c>
      <c r="AE908" cm="1">
        <f t="array" ref="AE908">INDEX(X:X, AD908+1)*AC908</f>
        <v>16507400</v>
      </c>
    </row>
    <row r="909" spans="29:31">
      <c r="AC909">
        <v>908</v>
      </c>
      <c r="AD909">
        <f t="shared" si="21"/>
        <v>182</v>
      </c>
      <c r="AE909" cm="1">
        <f t="array" ref="AE909">INDEX(X:X, AD909+1)*AC909</f>
        <v>16525600</v>
      </c>
    </row>
    <row r="910" spans="29:31">
      <c r="AC910">
        <v>909</v>
      </c>
      <c r="AD910">
        <f t="shared" si="21"/>
        <v>182</v>
      </c>
      <c r="AE910" cm="1">
        <f t="array" ref="AE910">INDEX(X:X, AD910+1)*AC910</f>
        <v>16543800</v>
      </c>
    </row>
    <row r="911" spans="29:31">
      <c r="AC911">
        <v>910</v>
      </c>
      <c r="AD911">
        <f t="shared" si="21"/>
        <v>183</v>
      </c>
      <c r="AE911" cm="1">
        <f t="array" ref="AE911">INDEX(X:X, AD911+1)*AC911</f>
        <v>16653000</v>
      </c>
    </row>
    <row r="912" spans="29:31">
      <c r="AC912">
        <v>911</v>
      </c>
      <c r="AD912">
        <f t="shared" si="21"/>
        <v>183</v>
      </c>
      <c r="AE912" cm="1">
        <f t="array" ref="AE912">INDEX(X:X, AD912+1)*AC912</f>
        <v>16671300</v>
      </c>
    </row>
    <row r="913" spans="29:31">
      <c r="AC913">
        <v>912</v>
      </c>
      <c r="AD913">
        <f t="shared" si="21"/>
        <v>183</v>
      </c>
      <c r="AE913" cm="1">
        <f t="array" ref="AE913">INDEX(X:X, AD913+1)*AC913</f>
        <v>16689600</v>
      </c>
    </row>
    <row r="914" spans="29:31">
      <c r="AC914">
        <v>913</v>
      </c>
      <c r="AD914">
        <f t="shared" si="21"/>
        <v>183</v>
      </c>
      <c r="AE914" cm="1">
        <f t="array" ref="AE914">INDEX(X:X, AD914+1)*AC914</f>
        <v>16707900</v>
      </c>
    </row>
    <row r="915" spans="29:31">
      <c r="AC915">
        <v>914</v>
      </c>
      <c r="AD915">
        <f t="shared" si="21"/>
        <v>183</v>
      </c>
      <c r="AE915" cm="1">
        <f t="array" ref="AE915">INDEX(X:X, AD915+1)*AC915</f>
        <v>16726200</v>
      </c>
    </row>
    <row r="916" spans="29:31">
      <c r="AC916">
        <v>915</v>
      </c>
      <c r="AD916">
        <f t="shared" si="21"/>
        <v>184</v>
      </c>
      <c r="AE916" cm="1">
        <f t="array" ref="AE916">INDEX(X:X, AD916+1)*AC916</f>
        <v>16836000</v>
      </c>
    </row>
    <row r="917" spans="29:31">
      <c r="AC917">
        <v>916</v>
      </c>
      <c r="AD917">
        <f t="shared" si="21"/>
        <v>184</v>
      </c>
      <c r="AE917" cm="1">
        <f t="array" ref="AE917">INDEX(X:X, AD917+1)*AC917</f>
        <v>16854400</v>
      </c>
    </row>
    <row r="918" spans="29:31">
      <c r="AC918">
        <v>917</v>
      </c>
      <c r="AD918">
        <f t="shared" si="21"/>
        <v>184</v>
      </c>
      <c r="AE918" cm="1">
        <f t="array" ref="AE918">INDEX(X:X, AD918+1)*AC918</f>
        <v>16872800</v>
      </c>
    </row>
    <row r="919" spans="29:31">
      <c r="AC919">
        <v>918</v>
      </c>
      <c r="AD919">
        <f t="shared" si="21"/>
        <v>184</v>
      </c>
      <c r="AE919" cm="1">
        <f t="array" ref="AE919">INDEX(X:X, AD919+1)*AC919</f>
        <v>16891200</v>
      </c>
    </row>
    <row r="920" spans="29:31">
      <c r="AC920">
        <v>919</v>
      </c>
      <c r="AD920">
        <f t="shared" si="21"/>
        <v>184</v>
      </c>
      <c r="AE920" cm="1">
        <f t="array" ref="AE920">INDEX(X:X, AD920+1)*AC920</f>
        <v>16909600</v>
      </c>
    </row>
    <row r="921" spans="29:31">
      <c r="AC921">
        <v>920</v>
      </c>
      <c r="AD921">
        <f t="shared" si="21"/>
        <v>185</v>
      </c>
      <c r="AE921" cm="1">
        <f t="array" ref="AE921">INDEX(X:X, AD921+1)*AC921</f>
        <v>17020000</v>
      </c>
    </row>
    <row r="922" spans="29:31">
      <c r="AC922">
        <v>921</v>
      </c>
      <c r="AD922">
        <f t="shared" si="21"/>
        <v>185</v>
      </c>
      <c r="AE922" cm="1">
        <f t="array" ref="AE922">INDEX(X:X, AD922+1)*AC922</f>
        <v>17038500</v>
      </c>
    </row>
    <row r="923" spans="29:31">
      <c r="AC923">
        <v>922</v>
      </c>
      <c r="AD923">
        <f t="shared" si="21"/>
        <v>185</v>
      </c>
      <c r="AE923" cm="1">
        <f t="array" ref="AE923">INDEX(X:X, AD923+1)*AC923</f>
        <v>17057000</v>
      </c>
    </row>
    <row r="924" spans="29:31">
      <c r="AC924">
        <v>923</v>
      </c>
      <c r="AD924">
        <f t="shared" si="21"/>
        <v>185</v>
      </c>
      <c r="AE924" cm="1">
        <f t="array" ref="AE924">INDEX(X:X, AD924+1)*AC924</f>
        <v>17075500</v>
      </c>
    </row>
    <row r="925" spans="29:31">
      <c r="AC925">
        <v>924</v>
      </c>
      <c r="AD925">
        <f t="shared" si="21"/>
        <v>185</v>
      </c>
      <c r="AE925" cm="1">
        <f t="array" ref="AE925">INDEX(X:X, AD925+1)*AC925</f>
        <v>17094000</v>
      </c>
    </row>
    <row r="926" spans="29:31">
      <c r="AC926">
        <v>925</v>
      </c>
      <c r="AD926">
        <f t="shared" si="21"/>
        <v>186</v>
      </c>
      <c r="AE926" cm="1">
        <f t="array" ref="AE926">INDEX(X:X, AD926+1)*AC926</f>
        <v>17205000</v>
      </c>
    </row>
    <row r="927" spans="29:31">
      <c r="AC927">
        <v>926</v>
      </c>
      <c r="AD927">
        <f t="shared" si="21"/>
        <v>186</v>
      </c>
      <c r="AE927" cm="1">
        <f t="array" ref="AE927">INDEX(X:X, AD927+1)*AC927</f>
        <v>17223600</v>
      </c>
    </row>
    <row r="928" spans="29:31">
      <c r="AC928">
        <v>927</v>
      </c>
      <c r="AD928">
        <f t="shared" si="21"/>
        <v>186</v>
      </c>
      <c r="AE928" cm="1">
        <f t="array" ref="AE928">INDEX(X:X, AD928+1)*AC928</f>
        <v>17242200</v>
      </c>
    </row>
    <row r="929" spans="29:31">
      <c r="AC929">
        <v>928</v>
      </c>
      <c r="AD929">
        <f t="shared" si="21"/>
        <v>186</v>
      </c>
      <c r="AE929" cm="1">
        <f t="array" ref="AE929">INDEX(X:X, AD929+1)*AC929</f>
        <v>17260800</v>
      </c>
    </row>
    <row r="930" spans="29:31">
      <c r="AC930">
        <v>929</v>
      </c>
      <c r="AD930">
        <f t="shared" si="21"/>
        <v>186</v>
      </c>
      <c r="AE930" cm="1">
        <f t="array" ref="AE930">INDEX(X:X, AD930+1)*AC930</f>
        <v>17279400</v>
      </c>
    </row>
    <row r="931" spans="29:31">
      <c r="AC931">
        <v>930</v>
      </c>
      <c r="AD931">
        <f t="shared" si="21"/>
        <v>187</v>
      </c>
      <c r="AE931" cm="1">
        <f t="array" ref="AE931">INDEX(X:X, AD931+1)*AC931</f>
        <v>17391000</v>
      </c>
    </row>
    <row r="932" spans="29:31">
      <c r="AC932">
        <v>931</v>
      </c>
      <c r="AD932">
        <f t="shared" si="21"/>
        <v>187</v>
      </c>
      <c r="AE932" cm="1">
        <f t="array" ref="AE932">INDEX(X:X, AD932+1)*AC932</f>
        <v>17409700</v>
      </c>
    </row>
    <row r="933" spans="29:31">
      <c r="AC933">
        <v>932</v>
      </c>
      <c r="AD933">
        <f t="shared" si="21"/>
        <v>187</v>
      </c>
      <c r="AE933" cm="1">
        <f t="array" ref="AE933">INDEX(X:X, AD933+1)*AC933</f>
        <v>17428400</v>
      </c>
    </row>
    <row r="934" spans="29:31">
      <c r="AC934">
        <v>933</v>
      </c>
      <c r="AD934">
        <f t="shared" si="21"/>
        <v>187</v>
      </c>
      <c r="AE934" cm="1">
        <f t="array" ref="AE934">INDEX(X:X, AD934+1)*AC934</f>
        <v>17447100</v>
      </c>
    </row>
    <row r="935" spans="29:31">
      <c r="AC935">
        <v>934</v>
      </c>
      <c r="AD935">
        <f t="shared" si="21"/>
        <v>187</v>
      </c>
      <c r="AE935" cm="1">
        <f t="array" ref="AE935">INDEX(X:X, AD935+1)*AC935</f>
        <v>17465800</v>
      </c>
    </row>
    <row r="936" spans="29:31">
      <c r="AC936">
        <v>935</v>
      </c>
      <c r="AD936">
        <f t="shared" si="21"/>
        <v>188</v>
      </c>
      <c r="AE936" cm="1">
        <f t="array" ref="AE936">INDEX(X:X, AD936+1)*AC936</f>
        <v>17578000</v>
      </c>
    </row>
    <row r="937" spans="29:31">
      <c r="AC937">
        <v>936</v>
      </c>
      <c r="AD937">
        <f t="shared" si="21"/>
        <v>188</v>
      </c>
      <c r="AE937" cm="1">
        <f t="array" ref="AE937">INDEX(X:X, AD937+1)*AC937</f>
        <v>17596800</v>
      </c>
    </row>
    <row r="938" spans="29:31">
      <c r="AC938">
        <v>937</v>
      </c>
      <c r="AD938">
        <f t="shared" si="21"/>
        <v>188</v>
      </c>
      <c r="AE938" cm="1">
        <f t="array" ref="AE938">INDEX(X:X, AD938+1)*AC938</f>
        <v>17615600</v>
      </c>
    </row>
    <row r="939" spans="29:31">
      <c r="AC939">
        <v>938</v>
      </c>
      <c r="AD939">
        <f t="shared" si="21"/>
        <v>188</v>
      </c>
      <c r="AE939" cm="1">
        <f t="array" ref="AE939">INDEX(X:X, AD939+1)*AC939</f>
        <v>17634400</v>
      </c>
    </row>
    <row r="940" spans="29:31">
      <c r="AC940">
        <v>939</v>
      </c>
      <c r="AD940">
        <f t="shared" si="21"/>
        <v>188</v>
      </c>
      <c r="AE940" cm="1">
        <f t="array" ref="AE940">INDEX(X:X, AD940+1)*AC940</f>
        <v>17653200</v>
      </c>
    </row>
    <row r="941" spans="29:31">
      <c r="AC941">
        <v>940</v>
      </c>
      <c r="AD941">
        <f t="shared" si="21"/>
        <v>189</v>
      </c>
      <c r="AE941" cm="1">
        <f t="array" ref="AE941">INDEX(X:X, AD941+1)*AC941</f>
        <v>17766000</v>
      </c>
    </row>
    <row r="942" spans="29:31">
      <c r="AC942">
        <v>941</v>
      </c>
      <c r="AD942">
        <f t="shared" si="21"/>
        <v>189</v>
      </c>
      <c r="AE942" cm="1">
        <f t="array" ref="AE942">INDEX(X:X, AD942+1)*AC942</f>
        <v>17784900</v>
      </c>
    </row>
    <row r="943" spans="29:31">
      <c r="AC943">
        <v>942</v>
      </c>
      <c r="AD943">
        <f t="shared" si="21"/>
        <v>189</v>
      </c>
      <c r="AE943" cm="1">
        <f t="array" ref="AE943">INDEX(X:X, AD943+1)*AC943</f>
        <v>17803800</v>
      </c>
    </row>
    <row r="944" spans="29:31">
      <c r="AC944">
        <v>943</v>
      </c>
      <c r="AD944">
        <f t="shared" si="21"/>
        <v>189</v>
      </c>
      <c r="AE944" cm="1">
        <f t="array" ref="AE944">INDEX(X:X, AD944+1)*AC944</f>
        <v>17822700</v>
      </c>
    </row>
    <row r="945" spans="29:31">
      <c r="AC945">
        <v>944</v>
      </c>
      <c r="AD945">
        <f t="shared" si="21"/>
        <v>189</v>
      </c>
      <c r="AE945" cm="1">
        <f t="array" ref="AE945">INDEX(X:X, AD945+1)*AC945</f>
        <v>17841600</v>
      </c>
    </row>
    <row r="946" spans="29:31">
      <c r="AC946">
        <v>945</v>
      </c>
      <c r="AD946">
        <f t="shared" si="21"/>
        <v>190</v>
      </c>
      <c r="AE946" cm="1">
        <f t="array" ref="AE946">INDEX(X:X, AD946+1)*AC946</f>
        <v>17955000</v>
      </c>
    </row>
    <row r="947" spans="29:31">
      <c r="AC947">
        <v>946</v>
      </c>
      <c r="AD947">
        <f t="shared" si="21"/>
        <v>190</v>
      </c>
      <c r="AE947" cm="1">
        <f t="array" ref="AE947">INDEX(X:X, AD947+1)*AC947</f>
        <v>17974000</v>
      </c>
    </row>
    <row r="948" spans="29:31">
      <c r="AC948">
        <v>947</v>
      </c>
      <c r="AD948">
        <f t="shared" si="21"/>
        <v>190</v>
      </c>
      <c r="AE948" cm="1">
        <f t="array" ref="AE948">INDEX(X:X, AD948+1)*AC948</f>
        <v>17993000</v>
      </c>
    </row>
    <row r="949" spans="29:31">
      <c r="AC949">
        <v>948</v>
      </c>
      <c r="AD949">
        <f t="shared" si="21"/>
        <v>190</v>
      </c>
      <c r="AE949" cm="1">
        <f t="array" ref="AE949">INDEX(X:X, AD949+1)*AC949</f>
        <v>18012000</v>
      </c>
    </row>
    <row r="950" spans="29:31">
      <c r="AC950">
        <v>949</v>
      </c>
      <c r="AD950">
        <f t="shared" si="21"/>
        <v>190</v>
      </c>
      <c r="AE950" cm="1">
        <f t="array" ref="AE950">INDEX(X:X, AD950+1)*AC950</f>
        <v>18031000</v>
      </c>
    </row>
    <row r="951" spans="29:31">
      <c r="AC951">
        <v>950</v>
      </c>
      <c r="AD951">
        <f t="shared" si="21"/>
        <v>191</v>
      </c>
      <c r="AE951" cm="1">
        <f t="array" ref="AE951">INDEX(X:X, AD951+1)*AC951</f>
        <v>18145000</v>
      </c>
    </row>
    <row r="952" spans="29:31">
      <c r="AC952">
        <v>951</v>
      </c>
      <c r="AD952">
        <f t="shared" si="21"/>
        <v>191</v>
      </c>
      <c r="AE952" cm="1">
        <f t="array" ref="AE952">INDEX(X:X, AD952+1)*AC952</f>
        <v>18164100</v>
      </c>
    </row>
    <row r="953" spans="29:31">
      <c r="AC953">
        <v>952</v>
      </c>
      <c r="AD953">
        <f t="shared" si="21"/>
        <v>191</v>
      </c>
      <c r="AE953" cm="1">
        <f t="array" ref="AE953">INDEX(X:X, AD953+1)*AC953</f>
        <v>18183200</v>
      </c>
    </row>
    <row r="954" spans="29:31">
      <c r="AC954">
        <v>953</v>
      </c>
      <c r="AD954">
        <f t="shared" si="21"/>
        <v>191</v>
      </c>
      <c r="AE954" cm="1">
        <f t="array" ref="AE954">INDEX(X:X, AD954+1)*AC954</f>
        <v>18202300</v>
      </c>
    </row>
    <row r="955" spans="29:31">
      <c r="AC955">
        <v>954</v>
      </c>
      <c r="AD955">
        <f t="shared" si="21"/>
        <v>191</v>
      </c>
      <c r="AE955" cm="1">
        <f t="array" ref="AE955">INDEX(X:X, AD955+1)*AC955</f>
        <v>18221400</v>
      </c>
    </row>
    <row r="956" spans="29:31">
      <c r="AC956">
        <v>955</v>
      </c>
      <c r="AD956">
        <f t="shared" si="21"/>
        <v>192</v>
      </c>
      <c r="AE956" cm="1">
        <f t="array" ref="AE956">INDEX(X:X, AD956+1)*AC956</f>
        <v>18336000</v>
      </c>
    </row>
    <row r="957" spans="29:31">
      <c r="AC957">
        <v>956</v>
      </c>
      <c r="AD957">
        <f t="shared" si="21"/>
        <v>192</v>
      </c>
      <c r="AE957" cm="1">
        <f t="array" ref="AE957">INDEX(X:X, AD957+1)*AC957</f>
        <v>18355200</v>
      </c>
    </row>
    <row r="958" spans="29:31">
      <c r="AC958">
        <v>957</v>
      </c>
      <c r="AD958">
        <f t="shared" si="21"/>
        <v>192</v>
      </c>
      <c r="AE958" cm="1">
        <f t="array" ref="AE958">INDEX(X:X, AD958+1)*AC958</f>
        <v>18374400</v>
      </c>
    </row>
    <row r="959" spans="29:31">
      <c r="AC959">
        <v>958</v>
      </c>
      <c r="AD959">
        <f t="shared" si="21"/>
        <v>192</v>
      </c>
      <c r="AE959" cm="1">
        <f t="array" ref="AE959">INDEX(X:X, AD959+1)*AC959</f>
        <v>18393600</v>
      </c>
    </row>
    <row r="960" spans="29:31">
      <c r="AC960">
        <v>959</v>
      </c>
      <c r="AD960">
        <f t="shared" si="21"/>
        <v>192</v>
      </c>
      <c r="AE960" cm="1">
        <f t="array" ref="AE960">INDEX(X:X, AD960+1)*AC960</f>
        <v>18412800</v>
      </c>
    </row>
    <row r="961" spans="29:31">
      <c r="AC961">
        <v>960</v>
      </c>
      <c r="AD961">
        <f t="shared" si="21"/>
        <v>193</v>
      </c>
      <c r="AE961" cm="1">
        <f t="array" ref="AE961">INDEX(X:X, AD961+1)*AC961</f>
        <v>18528000</v>
      </c>
    </row>
    <row r="962" spans="29:31">
      <c r="AC962">
        <v>961</v>
      </c>
      <c r="AD962">
        <f t="shared" si="21"/>
        <v>193</v>
      </c>
      <c r="AE962" cm="1">
        <f t="array" ref="AE962">INDEX(X:X, AD962+1)*AC962</f>
        <v>18547300</v>
      </c>
    </row>
    <row r="963" spans="29:31">
      <c r="AC963">
        <v>962</v>
      </c>
      <c r="AD963">
        <f t="shared" ref="AD963:AD1026" si="22">INT(AC963/5)+1</f>
        <v>193</v>
      </c>
      <c r="AE963" cm="1">
        <f t="array" ref="AE963">INDEX(X:X, AD963+1)*AC963</f>
        <v>18566600</v>
      </c>
    </row>
    <row r="964" spans="29:31">
      <c r="AC964">
        <v>963</v>
      </c>
      <c r="AD964">
        <f t="shared" si="22"/>
        <v>193</v>
      </c>
      <c r="AE964" cm="1">
        <f t="array" ref="AE964">INDEX(X:X, AD964+1)*AC964</f>
        <v>18585900</v>
      </c>
    </row>
    <row r="965" spans="29:31">
      <c r="AC965">
        <v>964</v>
      </c>
      <c r="AD965">
        <f t="shared" si="22"/>
        <v>193</v>
      </c>
      <c r="AE965" cm="1">
        <f t="array" ref="AE965">INDEX(X:X, AD965+1)*AC965</f>
        <v>18605200</v>
      </c>
    </row>
    <row r="966" spans="29:31">
      <c r="AC966">
        <v>965</v>
      </c>
      <c r="AD966">
        <f t="shared" si="22"/>
        <v>194</v>
      </c>
      <c r="AE966" cm="1">
        <f t="array" ref="AE966">INDEX(X:X, AD966+1)*AC966</f>
        <v>18721000</v>
      </c>
    </row>
    <row r="967" spans="29:31">
      <c r="AC967">
        <v>966</v>
      </c>
      <c r="AD967">
        <f t="shared" si="22"/>
        <v>194</v>
      </c>
      <c r="AE967" cm="1">
        <f t="array" ref="AE967">INDEX(X:X, AD967+1)*AC967</f>
        <v>18740400</v>
      </c>
    </row>
    <row r="968" spans="29:31">
      <c r="AC968">
        <v>967</v>
      </c>
      <c r="AD968">
        <f t="shared" si="22"/>
        <v>194</v>
      </c>
      <c r="AE968" cm="1">
        <f t="array" ref="AE968">INDEX(X:X, AD968+1)*AC968</f>
        <v>18759800</v>
      </c>
    </row>
    <row r="969" spans="29:31">
      <c r="AC969">
        <v>968</v>
      </c>
      <c r="AD969">
        <f t="shared" si="22"/>
        <v>194</v>
      </c>
      <c r="AE969" cm="1">
        <f t="array" ref="AE969">INDEX(X:X, AD969+1)*AC969</f>
        <v>18779200</v>
      </c>
    </row>
    <row r="970" spans="29:31">
      <c r="AC970">
        <v>969</v>
      </c>
      <c r="AD970">
        <f t="shared" si="22"/>
        <v>194</v>
      </c>
      <c r="AE970" cm="1">
        <f t="array" ref="AE970">INDEX(X:X, AD970+1)*AC970</f>
        <v>18798600</v>
      </c>
    </row>
    <row r="971" spans="29:31">
      <c r="AC971">
        <v>970</v>
      </c>
      <c r="AD971">
        <f t="shared" si="22"/>
        <v>195</v>
      </c>
      <c r="AE971" cm="1">
        <f t="array" ref="AE971">INDEX(X:X, AD971+1)*AC971</f>
        <v>18915000</v>
      </c>
    </row>
    <row r="972" spans="29:31">
      <c r="AC972">
        <v>971</v>
      </c>
      <c r="AD972">
        <f t="shared" si="22"/>
        <v>195</v>
      </c>
      <c r="AE972" cm="1">
        <f t="array" ref="AE972">INDEX(X:X, AD972+1)*AC972</f>
        <v>18934500</v>
      </c>
    </row>
    <row r="973" spans="29:31">
      <c r="AC973">
        <v>972</v>
      </c>
      <c r="AD973">
        <f t="shared" si="22"/>
        <v>195</v>
      </c>
      <c r="AE973" cm="1">
        <f t="array" ref="AE973">INDEX(X:X, AD973+1)*AC973</f>
        <v>18954000</v>
      </c>
    </row>
    <row r="974" spans="29:31">
      <c r="AC974">
        <v>973</v>
      </c>
      <c r="AD974">
        <f t="shared" si="22"/>
        <v>195</v>
      </c>
      <c r="AE974" cm="1">
        <f t="array" ref="AE974">INDEX(X:X, AD974+1)*AC974</f>
        <v>18973500</v>
      </c>
    </row>
    <row r="975" spans="29:31">
      <c r="AC975">
        <v>974</v>
      </c>
      <c r="AD975">
        <f t="shared" si="22"/>
        <v>195</v>
      </c>
      <c r="AE975" cm="1">
        <f t="array" ref="AE975">INDEX(X:X, AD975+1)*AC975</f>
        <v>18993000</v>
      </c>
    </row>
    <row r="976" spans="29:31">
      <c r="AC976">
        <v>975</v>
      </c>
      <c r="AD976">
        <f t="shared" si="22"/>
        <v>196</v>
      </c>
      <c r="AE976" cm="1">
        <f t="array" ref="AE976">INDEX(X:X, AD976+1)*AC976</f>
        <v>19110000</v>
      </c>
    </row>
    <row r="977" spans="29:31">
      <c r="AC977">
        <v>976</v>
      </c>
      <c r="AD977">
        <f t="shared" si="22"/>
        <v>196</v>
      </c>
      <c r="AE977" cm="1">
        <f t="array" ref="AE977">INDEX(X:X, AD977+1)*AC977</f>
        <v>19129600</v>
      </c>
    </row>
    <row r="978" spans="29:31">
      <c r="AC978">
        <v>977</v>
      </c>
      <c r="AD978">
        <f t="shared" si="22"/>
        <v>196</v>
      </c>
      <c r="AE978" cm="1">
        <f t="array" ref="AE978">INDEX(X:X, AD978+1)*AC978</f>
        <v>19149200</v>
      </c>
    </row>
    <row r="979" spans="29:31">
      <c r="AC979">
        <v>978</v>
      </c>
      <c r="AD979">
        <f t="shared" si="22"/>
        <v>196</v>
      </c>
      <c r="AE979" cm="1">
        <f t="array" ref="AE979">INDEX(X:X, AD979+1)*AC979</f>
        <v>19168800</v>
      </c>
    </row>
    <row r="980" spans="29:31">
      <c r="AC980">
        <v>979</v>
      </c>
      <c r="AD980">
        <f t="shared" si="22"/>
        <v>196</v>
      </c>
      <c r="AE980" cm="1">
        <f t="array" ref="AE980">INDEX(X:X, AD980+1)*AC980</f>
        <v>19188400</v>
      </c>
    </row>
    <row r="981" spans="29:31">
      <c r="AC981">
        <v>980</v>
      </c>
      <c r="AD981">
        <f t="shared" si="22"/>
        <v>197</v>
      </c>
      <c r="AE981" cm="1">
        <f t="array" ref="AE981">INDEX(X:X, AD981+1)*AC981</f>
        <v>19306000</v>
      </c>
    </row>
    <row r="982" spans="29:31">
      <c r="AC982">
        <v>981</v>
      </c>
      <c r="AD982">
        <f t="shared" si="22"/>
        <v>197</v>
      </c>
      <c r="AE982" cm="1">
        <f t="array" ref="AE982">INDEX(X:X, AD982+1)*AC982</f>
        <v>19325700</v>
      </c>
    </row>
    <row r="983" spans="29:31">
      <c r="AC983">
        <v>982</v>
      </c>
      <c r="AD983">
        <f t="shared" si="22"/>
        <v>197</v>
      </c>
      <c r="AE983" cm="1">
        <f t="array" ref="AE983">INDEX(X:X, AD983+1)*AC983</f>
        <v>19345400</v>
      </c>
    </row>
    <row r="984" spans="29:31">
      <c r="AC984">
        <v>983</v>
      </c>
      <c r="AD984">
        <f t="shared" si="22"/>
        <v>197</v>
      </c>
      <c r="AE984" cm="1">
        <f t="array" ref="AE984">INDEX(X:X, AD984+1)*AC984</f>
        <v>19365100</v>
      </c>
    </row>
    <row r="985" spans="29:31">
      <c r="AC985">
        <v>984</v>
      </c>
      <c r="AD985">
        <f t="shared" si="22"/>
        <v>197</v>
      </c>
      <c r="AE985" cm="1">
        <f t="array" ref="AE985">INDEX(X:X, AD985+1)*AC985</f>
        <v>19384800</v>
      </c>
    </row>
    <row r="986" spans="29:31">
      <c r="AC986">
        <v>985</v>
      </c>
      <c r="AD986">
        <f t="shared" si="22"/>
        <v>198</v>
      </c>
      <c r="AE986" cm="1">
        <f t="array" ref="AE986">INDEX(X:X, AD986+1)*AC986</f>
        <v>19503000</v>
      </c>
    </row>
    <row r="987" spans="29:31">
      <c r="AC987">
        <v>986</v>
      </c>
      <c r="AD987">
        <f t="shared" si="22"/>
        <v>198</v>
      </c>
      <c r="AE987" cm="1">
        <f t="array" ref="AE987">INDEX(X:X, AD987+1)*AC987</f>
        <v>19522800</v>
      </c>
    </row>
    <row r="988" spans="29:31">
      <c r="AC988">
        <v>987</v>
      </c>
      <c r="AD988">
        <f t="shared" si="22"/>
        <v>198</v>
      </c>
      <c r="AE988" cm="1">
        <f t="array" ref="AE988">INDEX(X:X, AD988+1)*AC988</f>
        <v>19542600</v>
      </c>
    </row>
    <row r="989" spans="29:31">
      <c r="AC989">
        <v>988</v>
      </c>
      <c r="AD989">
        <f t="shared" si="22"/>
        <v>198</v>
      </c>
      <c r="AE989" cm="1">
        <f t="array" ref="AE989">INDEX(X:X, AD989+1)*AC989</f>
        <v>19562400</v>
      </c>
    </row>
    <row r="990" spans="29:31">
      <c r="AC990">
        <v>989</v>
      </c>
      <c r="AD990">
        <f t="shared" si="22"/>
        <v>198</v>
      </c>
      <c r="AE990" cm="1">
        <f t="array" ref="AE990">INDEX(X:X, AD990+1)*AC990</f>
        <v>19582200</v>
      </c>
    </row>
    <row r="991" spans="29:31">
      <c r="AC991">
        <v>990</v>
      </c>
      <c r="AD991">
        <f t="shared" si="22"/>
        <v>199</v>
      </c>
      <c r="AE991" cm="1">
        <f t="array" ref="AE991">INDEX(X:X, AD991+1)*AC991</f>
        <v>19701000</v>
      </c>
    </row>
    <row r="992" spans="29:31">
      <c r="AC992">
        <v>991</v>
      </c>
      <c r="AD992">
        <f t="shared" si="22"/>
        <v>199</v>
      </c>
      <c r="AE992" cm="1">
        <f t="array" ref="AE992">INDEX(X:X, AD992+1)*AC992</f>
        <v>19720900</v>
      </c>
    </row>
    <row r="993" spans="29:31">
      <c r="AC993">
        <v>992</v>
      </c>
      <c r="AD993">
        <f t="shared" si="22"/>
        <v>199</v>
      </c>
      <c r="AE993" cm="1">
        <f t="array" ref="AE993">INDEX(X:X, AD993+1)*AC993</f>
        <v>19740800</v>
      </c>
    </row>
    <row r="994" spans="29:31">
      <c r="AC994">
        <v>993</v>
      </c>
      <c r="AD994">
        <f t="shared" si="22"/>
        <v>199</v>
      </c>
      <c r="AE994" cm="1">
        <f t="array" ref="AE994">INDEX(X:X, AD994+1)*AC994</f>
        <v>19760700</v>
      </c>
    </row>
    <row r="995" spans="29:31">
      <c r="AC995">
        <v>994</v>
      </c>
      <c r="AD995">
        <f t="shared" si="22"/>
        <v>199</v>
      </c>
      <c r="AE995" cm="1">
        <f t="array" ref="AE995">INDEX(X:X, AD995+1)*AC995</f>
        <v>19780600</v>
      </c>
    </row>
    <row r="996" spans="29:31">
      <c r="AC996">
        <v>995</v>
      </c>
      <c r="AD996">
        <f t="shared" si="22"/>
        <v>200</v>
      </c>
      <c r="AE996" cm="1">
        <f t="array" ref="AE996">INDEX(X:X, AD996+1)*AC996</f>
        <v>19900000</v>
      </c>
    </row>
    <row r="997" spans="29:31">
      <c r="AC997">
        <v>996</v>
      </c>
      <c r="AD997">
        <f t="shared" si="22"/>
        <v>200</v>
      </c>
      <c r="AE997" cm="1">
        <f t="array" ref="AE997">INDEX(X:X, AD997+1)*AC997</f>
        <v>19920000</v>
      </c>
    </row>
    <row r="998" spans="29:31">
      <c r="AC998">
        <v>997</v>
      </c>
      <c r="AD998">
        <f t="shared" si="22"/>
        <v>200</v>
      </c>
      <c r="AE998" cm="1">
        <f t="array" ref="AE998">INDEX(X:X, AD998+1)*AC998</f>
        <v>19940000</v>
      </c>
    </row>
    <row r="999" spans="29:31">
      <c r="AC999">
        <v>998</v>
      </c>
      <c r="AD999">
        <f t="shared" si="22"/>
        <v>200</v>
      </c>
      <c r="AE999" cm="1">
        <f t="array" ref="AE999">INDEX(X:X, AD999+1)*AC999</f>
        <v>19960000</v>
      </c>
    </row>
    <row r="1000" spans="29:31">
      <c r="AC1000">
        <v>999</v>
      </c>
      <c r="AD1000">
        <f t="shared" si="22"/>
        <v>200</v>
      </c>
      <c r="AE1000" cm="1">
        <f t="array" ref="AE1000">INDEX(X:X, AD1000+1)*AC1000</f>
        <v>19980000</v>
      </c>
    </row>
    <row r="1001" spans="29:31">
      <c r="AC1001">
        <v>1000</v>
      </c>
      <c r="AD1001">
        <f t="shared" si="22"/>
        <v>201</v>
      </c>
      <c r="AE1001" cm="1">
        <f t="array" ref="AE1001">INDEX(X:X, AD1001+1)*AC1001</f>
        <v>0</v>
      </c>
    </row>
    <row r="1002" spans="29:31">
      <c r="AC1002">
        <v>1001</v>
      </c>
      <c r="AD1002">
        <f t="shared" si="22"/>
        <v>201</v>
      </c>
      <c r="AE1002" cm="1">
        <f t="array" ref="AE1002">INDEX(X:X, AD1002+1)*AC1002</f>
        <v>0</v>
      </c>
    </row>
    <row r="1003" spans="29:31">
      <c r="AC1003">
        <v>1002</v>
      </c>
      <c r="AD1003">
        <f t="shared" si="22"/>
        <v>201</v>
      </c>
      <c r="AE1003" cm="1">
        <f t="array" ref="AE1003">INDEX(X:X, AD1003+1)*AC1003</f>
        <v>0</v>
      </c>
    </row>
    <row r="1004" spans="29:31">
      <c r="AC1004">
        <v>1003</v>
      </c>
      <c r="AD1004">
        <f t="shared" si="22"/>
        <v>201</v>
      </c>
      <c r="AE1004" cm="1">
        <f t="array" ref="AE1004">INDEX(X:X, AD1004+1)*AC1004</f>
        <v>0</v>
      </c>
    </row>
    <row r="1005" spans="29:31">
      <c r="AC1005">
        <v>1004</v>
      </c>
      <c r="AD1005">
        <f t="shared" si="22"/>
        <v>201</v>
      </c>
      <c r="AE1005" cm="1">
        <f t="array" ref="AE1005">INDEX(X:X, AD1005+1)*AC1005</f>
        <v>0</v>
      </c>
    </row>
    <row r="1006" spans="29:31">
      <c r="AC1006">
        <v>1005</v>
      </c>
      <c r="AD1006">
        <f t="shared" si="22"/>
        <v>202</v>
      </c>
      <c r="AE1006" cm="1">
        <f t="array" ref="AE1006">INDEX(X:X, AD1006+1)*AC1006</f>
        <v>0</v>
      </c>
    </row>
    <row r="1007" spans="29:31">
      <c r="AC1007">
        <v>1006</v>
      </c>
      <c r="AD1007">
        <f t="shared" si="22"/>
        <v>202</v>
      </c>
      <c r="AE1007" cm="1">
        <f t="array" ref="AE1007">INDEX(X:X, AD1007+1)*AC1007</f>
        <v>0</v>
      </c>
    </row>
    <row r="1008" spans="29:31">
      <c r="AC1008">
        <v>1007</v>
      </c>
      <c r="AD1008">
        <f t="shared" si="22"/>
        <v>202</v>
      </c>
      <c r="AE1008" cm="1">
        <f t="array" ref="AE1008">INDEX(X:X, AD1008+1)*AC1008</f>
        <v>0</v>
      </c>
    </row>
    <row r="1009" spans="29:31">
      <c r="AC1009">
        <v>1008</v>
      </c>
      <c r="AD1009">
        <f t="shared" si="22"/>
        <v>202</v>
      </c>
      <c r="AE1009" cm="1">
        <f t="array" ref="AE1009">INDEX(X:X, AD1009+1)*AC1009</f>
        <v>0</v>
      </c>
    </row>
    <row r="1010" spans="29:31">
      <c r="AC1010">
        <v>1009</v>
      </c>
      <c r="AD1010">
        <f t="shared" si="22"/>
        <v>202</v>
      </c>
      <c r="AE1010" cm="1">
        <f t="array" ref="AE1010">INDEX(X:X, AD1010+1)*AC1010</f>
        <v>0</v>
      </c>
    </row>
    <row r="1011" spans="29:31">
      <c r="AC1011">
        <v>1010</v>
      </c>
      <c r="AD1011">
        <f t="shared" si="22"/>
        <v>203</v>
      </c>
      <c r="AE1011" cm="1">
        <f t="array" ref="AE1011">INDEX(X:X, AD1011+1)*AC1011</f>
        <v>0</v>
      </c>
    </row>
    <row r="1012" spans="29:31">
      <c r="AC1012">
        <v>1011</v>
      </c>
      <c r="AD1012">
        <f t="shared" si="22"/>
        <v>203</v>
      </c>
      <c r="AE1012" cm="1">
        <f t="array" ref="AE1012">INDEX(X:X, AD1012+1)*AC1012</f>
        <v>0</v>
      </c>
    </row>
    <row r="1013" spans="29:31">
      <c r="AC1013">
        <v>1012</v>
      </c>
      <c r="AD1013">
        <f t="shared" si="22"/>
        <v>203</v>
      </c>
      <c r="AE1013" cm="1">
        <f t="array" ref="AE1013">INDEX(X:X, AD1013+1)*AC1013</f>
        <v>0</v>
      </c>
    </row>
    <row r="1014" spans="29:31">
      <c r="AC1014">
        <v>1013</v>
      </c>
      <c r="AD1014">
        <f t="shared" si="22"/>
        <v>203</v>
      </c>
      <c r="AE1014" cm="1">
        <f t="array" ref="AE1014">INDEX(X:X, AD1014+1)*AC1014</f>
        <v>0</v>
      </c>
    </row>
    <row r="1015" spans="29:31">
      <c r="AC1015">
        <v>1014</v>
      </c>
      <c r="AD1015">
        <f t="shared" si="22"/>
        <v>203</v>
      </c>
      <c r="AE1015" cm="1">
        <f t="array" ref="AE1015">INDEX(X:X, AD1015+1)*AC1015</f>
        <v>0</v>
      </c>
    </row>
    <row r="1016" spans="29:31">
      <c r="AC1016">
        <v>1015</v>
      </c>
      <c r="AD1016">
        <f t="shared" si="22"/>
        <v>204</v>
      </c>
      <c r="AE1016" cm="1">
        <f t="array" ref="AE1016">INDEX(X:X, AD1016+1)*AC1016</f>
        <v>0</v>
      </c>
    </row>
    <row r="1017" spans="29:31">
      <c r="AC1017">
        <v>1016</v>
      </c>
      <c r="AD1017">
        <f t="shared" si="22"/>
        <v>204</v>
      </c>
      <c r="AE1017" cm="1">
        <f t="array" ref="AE1017">INDEX(X:X, AD1017+1)*AC1017</f>
        <v>0</v>
      </c>
    </row>
    <row r="1018" spans="29:31">
      <c r="AC1018">
        <v>1017</v>
      </c>
      <c r="AD1018">
        <f t="shared" si="22"/>
        <v>204</v>
      </c>
      <c r="AE1018" cm="1">
        <f t="array" ref="AE1018">INDEX(X:X, AD1018+1)*AC1018</f>
        <v>0</v>
      </c>
    </row>
    <row r="1019" spans="29:31">
      <c r="AC1019">
        <v>1018</v>
      </c>
      <c r="AD1019">
        <f t="shared" si="22"/>
        <v>204</v>
      </c>
      <c r="AE1019" cm="1">
        <f t="array" ref="AE1019">INDEX(X:X, AD1019+1)*AC1019</f>
        <v>0</v>
      </c>
    </row>
    <row r="1020" spans="29:31">
      <c r="AC1020">
        <v>1019</v>
      </c>
      <c r="AD1020">
        <f t="shared" si="22"/>
        <v>204</v>
      </c>
      <c r="AE1020" cm="1">
        <f t="array" ref="AE1020">INDEX(X:X, AD1020+1)*AC1020</f>
        <v>0</v>
      </c>
    </row>
    <row r="1021" spans="29:31">
      <c r="AC1021">
        <v>1020</v>
      </c>
      <c r="AD1021">
        <f t="shared" si="22"/>
        <v>205</v>
      </c>
      <c r="AE1021" cm="1">
        <f t="array" ref="AE1021">INDEX(X:X, AD1021+1)*AC1021</f>
        <v>0</v>
      </c>
    </row>
    <row r="1022" spans="29:31">
      <c r="AC1022">
        <v>1021</v>
      </c>
      <c r="AD1022">
        <f t="shared" si="22"/>
        <v>205</v>
      </c>
      <c r="AE1022" cm="1">
        <f t="array" ref="AE1022">INDEX(X:X, AD1022+1)*AC1022</f>
        <v>0</v>
      </c>
    </row>
    <row r="1023" spans="29:31">
      <c r="AC1023">
        <v>1022</v>
      </c>
      <c r="AD1023">
        <f t="shared" si="22"/>
        <v>205</v>
      </c>
      <c r="AE1023" cm="1">
        <f t="array" ref="AE1023">INDEX(X:X, AD1023+1)*AC1023</f>
        <v>0</v>
      </c>
    </row>
    <row r="1024" spans="29:31">
      <c r="AC1024">
        <v>1023</v>
      </c>
      <c r="AD1024">
        <f t="shared" si="22"/>
        <v>205</v>
      </c>
      <c r="AE1024" cm="1">
        <f t="array" ref="AE1024">INDEX(X:X, AD1024+1)*AC1024</f>
        <v>0</v>
      </c>
    </row>
    <row r="1025" spans="29:31">
      <c r="AC1025">
        <v>1024</v>
      </c>
      <c r="AD1025">
        <f t="shared" si="22"/>
        <v>205</v>
      </c>
      <c r="AE1025" cm="1">
        <f t="array" ref="AE1025">INDEX(X:X, AD1025+1)*AC1025</f>
        <v>0</v>
      </c>
    </row>
    <row r="1026" spans="29:31">
      <c r="AC1026">
        <v>1025</v>
      </c>
      <c r="AD1026">
        <f t="shared" si="22"/>
        <v>206</v>
      </c>
      <c r="AE1026" cm="1">
        <f t="array" ref="AE1026">INDEX(X:X, AD1026+1)*AC1026</f>
        <v>0</v>
      </c>
    </row>
    <row r="1027" spans="29:31">
      <c r="AC1027">
        <v>1026</v>
      </c>
      <c r="AD1027">
        <f t="shared" ref="AD1027:AD1090" si="23">INT(AC1027/5)+1</f>
        <v>206</v>
      </c>
      <c r="AE1027" cm="1">
        <f t="array" ref="AE1027">INDEX(X:X, AD1027+1)*AC1027</f>
        <v>0</v>
      </c>
    </row>
    <row r="1028" spans="29:31">
      <c r="AC1028">
        <v>1027</v>
      </c>
      <c r="AD1028">
        <f t="shared" si="23"/>
        <v>206</v>
      </c>
      <c r="AE1028" cm="1">
        <f t="array" ref="AE1028">INDEX(X:X, AD1028+1)*AC1028</f>
        <v>0</v>
      </c>
    </row>
    <row r="1029" spans="29:31">
      <c r="AC1029">
        <v>1028</v>
      </c>
      <c r="AD1029">
        <f t="shared" si="23"/>
        <v>206</v>
      </c>
      <c r="AE1029" cm="1">
        <f t="array" ref="AE1029">INDEX(X:X, AD1029+1)*AC1029</f>
        <v>0</v>
      </c>
    </row>
    <row r="1030" spans="29:31">
      <c r="AC1030">
        <v>1029</v>
      </c>
      <c r="AD1030">
        <f t="shared" si="23"/>
        <v>206</v>
      </c>
      <c r="AE1030" cm="1">
        <f t="array" ref="AE1030">INDEX(X:X, AD1030+1)*AC1030</f>
        <v>0</v>
      </c>
    </row>
    <row r="1031" spans="29:31">
      <c r="AC1031">
        <v>1030</v>
      </c>
      <c r="AD1031">
        <f t="shared" si="23"/>
        <v>207</v>
      </c>
      <c r="AE1031" cm="1">
        <f t="array" ref="AE1031">INDEX(X:X, AD1031+1)*AC1031</f>
        <v>0</v>
      </c>
    </row>
    <row r="1032" spans="29:31">
      <c r="AC1032">
        <v>1031</v>
      </c>
      <c r="AD1032">
        <f t="shared" si="23"/>
        <v>207</v>
      </c>
      <c r="AE1032" cm="1">
        <f t="array" ref="AE1032">INDEX(X:X, AD1032+1)*AC1032</f>
        <v>0</v>
      </c>
    </row>
    <row r="1033" spans="29:31">
      <c r="AC1033">
        <v>1032</v>
      </c>
      <c r="AD1033">
        <f t="shared" si="23"/>
        <v>207</v>
      </c>
      <c r="AE1033" cm="1">
        <f t="array" ref="AE1033">INDEX(X:X, AD1033+1)*AC1033</f>
        <v>0</v>
      </c>
    </row>
    <row r="1034" spans="29:31">
      <c r="AC1034">
        <v>1033</v>
      </c>
      <c r="AD1034">
        <f t="shared" si="23"/>
        <v>207</v>
      </c>
      <c r="AE1034" cm="1">
        <f t="array" ref="AE1034">INDEX(X:X, AD1034+1)*AC1034</f>
        <v>0</v>
      </c>
    </row>
    <row r="1035" spans="29:31">
      <c r="AC1035">
        <v>1034</v>
      </c>
      <c r="AD1035">
        <f t="shared" si="23"/>
        <v>207</v>
      </c>
      <c r="AE1035" cm="1">
        <f t="array" ref="AE1035">INDEX(X:X, AD1035+1)*AC1035</f>
        <v>0</v>
      </c>
    </row>
    <row r="1036" spans="29:31">
      <c r="AC1036">
        <v>1035</v>
      </c>
      <c r="AD1036">
        <f t="shared" si="23"/>
        <v>208</v>
      </c>
      <c r="AE1036" cm="1">
        <f t="array" ref="AE1036">INDEX(X:X, AD1036+1)*AC1036</f>
        <v>0</v>
      </c>
    </row>
    <row r="1037" spans="29:31">
      <c r="AC1037">
        <v>1036</v>
      </c>
      <c r="AD1037">
        <f t="shared" si="23"/>
        <v>208</v>
      </c>
      <c r="AE1037" cm="1">
        <f t="array" ref="AE1037">INDEX(X:X, AD1037+1)*AC1037</f>
        <v>0</v>
      </c>
    </row>
    <row r="1038" spans="29:31">
      <c r="AC1038">
        <v>1037</v>
      </c>
      <c r="AD1038">
        <f t="shared" si="23"/>
        <v>208</v>
      </c>
      <c r="AE1038" cm="1">
        <f t="array" ref="AE1038">INDEX(X:X, AD1038+1)*AC1038</f>
        <v>0</v>
      </c>
    </row>
    <row r="1039" spans="29:31">
      <c r="AC1039">
        <v>1038</v>
      </c>
      <c r="AD1039">
        <f t="shared" si="23"/>
        <v>208</v>
      </c>
      <c r="AE1039" cm="1">
        <f t="array" ref="AE1039">INDEX(X:X, AD1039+1)*AC1039</f>
        <v>0</v>
      </c>
    </row>
    <row r="1040" spans="29:31">
      <c r="AC1040">
        <v>1039</v>
      </c>
      <c r="AD1040">
        <f t="shared" si="23"/>
        <v>208</v>
      </c>
      <c r="AE1040" cm="1">
        <f t="array" ref="AE1040">INDEX(X:X, AD1040+1)*AC1040</f>
        <v>0</v>
      </c>
    </row>
    <row r="1041" spans="29:31">
      <c r="AC1041">
        <v>1040</v>
      </c>
      <c r="AD1041">
        <f t="shared" si="23"/>
        <v>209</v>
      </c>
      <c r="AE1041" cm="1">
        <f t="array" ref="AE1041">INDEX(X:X, AD1041+1)*AC1041</f>
        <v>0</v>
      </c>
    </row>
    <row r="1042" spans="29:31">
      <c r="AC1042">
        <v>1041</v>
      </c>
      <c r="AD1042">
        <f t="shared" si="23"/>
        <v>209</v>
      </c>
      <c r="AE1042" cm="1">
        <f t="array" ref="AE1042">INDEX(X:X, AD1042+1)*AC1042</f>
        <v>0</v>
      </c>
    </row>
    <row r="1043" spans="29:31">
      <c r="AC1043">
        <v>1042</v>
      </c>
      <c r="AD1043">
        <f t="shared" si="23"/>
        <v>209</v>
      </c>
      <c r="AE1043" cm="1">
        <f t="array" ref="AE1043">INDEX(X:X, AD1043+1)*AC1043</f>
        <v>0</v>
      </c>
    </row>
    <row r="1044" spans="29:31">
      <c r="AC1044">
        <v>1043</v>
      </c>
      <c r="AD1044">
        <f t="shared" si="23"/>
        <v>209</v>
      </c>
      <c r="AE1044" cm="1">
        <f t="array" ref="AE1044">INDEX(X:X, AD1044+1)*AC1044</f>
        <v>0</v>
      </c>
    </row>
    <row r="1045" spans="29:31">
      <c r="AC1045">
        <v>1044</v>
      </c>
      <c r="AD1045">
        <f t="shared" si="23"/>
        <v>209</v>
      </c>
      <c r="AE1045" cm="1">
        <f t="array" ref="AE1045">INDEX(X:X, AD1045+1)*AC1045</f>
        <v>0</v>
      </c>
    </row>
    <row r="1046" spans="29:31">
      <c r="AC1046">
        <v>1045</v>
      </c>
      <c r="AD1046">
        <f t="shared" si="23"/>
        <v>210</v>
      </c>
      <c r="AE1046" cm="1">
        <f t="array" ref="AE1046">INDEX(X:X, AD1046+1)*AC1046</f>
        <v>0</v>
      </c>
    </row>
    <row r="1047" spans="29:31">
      <c r="AC1047">
        <v>1046</v>
      </c>
      <c r="AD1047">
        <f t="shared" si="23"/>
        <v>210</v>
      </c>
      <c r="AE1047" cm="1">
        <f t="array" ref="AE1047">INDEX(X:X, AD1047+1)*AC1047</f>
        <v>0</v>
      </c>
    </row>
    <row r="1048" spans="29:31">
      <c r="AC1048">
        <v>1047</v>
      </c>
      <c r="AD1048">
        <f t="shared" si="23"/>
        <v>210</v>
      </c>
      <c r="AE1048" cm="1">
        <f t="array" ref="AE1048">INDEX(X:X, AD1048+1)*AC1048</f>
        <v>0</v>
      </c>
    </row>
    <row r="1049" spans="29:31">
      <c r="AC1049">
        <v>1048</v>
      </c>
      <c r="AD1049">
        <f t="shared" si="23"/>
        <v>210</v>
      </c>
      <c r="AE1049" cm="1">
        <f t="array" ref="AE1049">INDEX(X:X, AD1049+1)*AC1049</f>
        <v>0</v>
      </c>
    </row>
    <row r="1050" spans="29:31">
      <c r="AC1050">
        <v>1049</v>
      </c>
      <c r="AD1050">
        <f t="shared" si="23"/>
        <v>210</v>
      </c>
      <c r="AE1050" cm="1">
        <f t="array" ref="AE1050">INDEX(X:X, AD1050+1)*AC1050</f>
        <v>0</v>
      </c>
    </row>
    <row r="1051" spans="29:31">
      <c r="AC1051">
        <v>1050</v>
      </c>
      <c r="AD1051">
        <f t="shared" si="23"/>
        <v>211</v>
      </c>
      <c r="AE1051" cm="1">
        <f t="array" ref="AE1051">INDEX(X:X, AD1051+1)*AC1051</f>
        <v>0</v>
      </c>
    </row>
    <row r="1052" spans="29:31">
      <c r="AC1052">
        <v>1051</v>
      </c>
      <c r="AD1052">
        <f t="shared" si="23"/>
        <v>211</v>
      </c>
      <c r="AE1052" cm="1">
        <f t="array" ref="AE1052">INDEX(X:X, AD1052+1)*AC1052</f>
        <v>0</v>
      </c>
    </row>
    <row r="1053" spans="29:31">
      <c r="AC1053">
        <v>1052</v>
      </c>
      <c r="AD1053">
        <f t="shared" si="23"/>
        <v>211</v>
      </c>
      <c r="AE1053" cm="1">
        <f t="array" ref="AE1053">INDEX(X:X, AD1053+1)*AC1053</f>
        <v>0</v>
      </c>
    </row>
    <row r="1054" spans="29:31">
      <c r="AC1054">
        <v>1053</v>
      </c>
      <c r="AD1054">
        <f t="shared" si="23"/>
        <v>211</v>
      </c>
      <c r="AE1054" cm="1">
        <f t="array" ref="AE1054">INDEX(X:X, AD1054+1)*AC1054</f>
        <v>0</v>
      </c>
    </row>
    <row r="1055" spans="29:31">
      <c r="AC1055">
        <v>1054</v>
      </c>
      <c r="AD1055">
        <f t="shared" si="23"/>
        <v>211</v>
      </c>
      <c r="AE1055" cm="1">
        <f t="array" ref="AE1055">INDEX(X:X, AD1055+1)*AC1055</f>
        <v>0</v>
      </c>
    </row>
    <row r="1056" spans="29:31">
      <c r="AC1056">
        <v>1055</v>
      </c>
      <c r="AD1056">
        <f t="shared" si="23"/>
        <v>212</v>
      </c>
      <c r="AE1056" cm="1">
        <f t="array" ref="AE1056">INDEX(X:X, AD1056+1)*AC1056</f>
        <v>0</v>
      </c>
    </row>
    <row r="1057" spans="29:31">
      <c r="AC1057">
        <v>1056</v>
      </c>
      <c r="AD1057">
        <f t="shared" si="23"/>
        <v>212</v>
      </c>
      <c r="AE1057" cm="1">
        <f t="array" ref="AE1057">INDEX(X:X, AD1057+1)*AC1057</f>
        <v>0</v>
      </c>
    </row>
    <row r="1058" spans="29:31">
      <c r="AC1058">
        <v>1057</v>
      </c>
      <c r="AD1058">
        <f t="shared" si="23"/>
        <v>212</v>
      </c>
      <c r="AE1058" cm="1">
        <f t="array" ref="AE1058">INDEX(X:X, AD1058+1)*AC1058</f>
        <v>0</v>
      </c>
    </row>
    <row r="1059" spans="29:31">
      <c r="AC1059">
        <v>1058</v>
      </c>
      <c r="AD1059">
        <f t="shared" si="23"/>
        <v>212</v>
      </c>
      <c r="AE1059" cm="1">
        <f t="array" ref="AE1059">INDEX(X:X, AD1059+1)*AC1059</f>
        <v>0</v>
      </c>
    </row>
    <row r="1060" spans="29:31">
      <c r="AC1060">
        <v>1059</v>
      </c>
      <c r="AD1060">
        <f t="shared" si="23"/>
        <v>212</v>
      </c>
      <c r="AE1060" cm="1">
        <f t="array" ref="AE1060">INDEX(X:X, AD1060+1)*AC1060</f>
        <v>0</v>
      </c>
    </row>
    <row r="1061" spans="29:31">
      <c r="AC1061">
        <v>1060</v>
      </c>
      <c r="AD1061">
        <f t="shared" si="23"/>
        <v>213</v>
      </c>
      <c r="AE1061" cm="1">
        <f t="array" ref="AE1061">INDEX(X:X, AD1061+1)*AC1061</f>
        <v>0</v>
      </c>
    </row>
    <row r="1062" spans="29:31">
      <c r="AC1062">
        <v>1061</v>
      </c>
      <c r="AD1062">
        <f t="shared" si="23"/>
        <v>213</v>
      </c>
      <c r="AE1062" cm="1">
        <f t="array" ref="AE1062">INDEX(X:X, AD1062+1)*AC1062</f>
        <v>0</v>
      </c>
    </row>
    <row r="1063" spans="29:31">
      <c r="AC1063">
        <v>1062</v>
      </c>
      <c r="AD1063">
        <f t="shared" si="23"/>
        <v>213</v>
      </c>
      <c r="AE1063" cm="1">
        <f t="array" ref="AE1063">INDEX(X:X, AD1063+1)*AC1063</f>
        <v>0</v>
      </c>
    </row>
    <row r="1064" spans="29:31">
      <c r="AC1064">
        <v>1063</v>
      </c>
      <c r="AD1064">
        <f t="shared" si="23"/>
        <v>213</v>
      </c>
      <c r="AE1064" cm="1">
        <f t="array" ref="AE1064">INDEX(X:X, AD1064+1)*AC1064</f>
        <v>0</v>
      </c>
    </row>
    <row r="1065" spans="29:31">
      <c r="AC1065">
        <v>1064</v>
      </c>
      <c r="AD1065">
        <f t="shared" si="23"/>
        <v>213</v>
      </c>
      <c r="AE1065" cm="1">
        <f t="array" ref="AE1065">INDEX(X:X, AD1065+1)*AC1065</f>
        <v>0</v>
      </c>
    </row>
    <row r="1066" spans="29:31">
      <c r="AC1066">
        <v>1065</v>
      </c>
      <c r="AD1066">
        <f t="shared" si="23"/>
        <v>214</v>
      </c>
      <c r="AE1066" cm="1">
        <f t="array" ref="AE1066">INDEX(X:X, AD1066+1)*AC1066</f>
        <v>0</v>
      </c>
    </row>
    <row r="1067" spans="29:31">
      <c r="AC1067">
        <v>1066</v>
      </c>
      <c r="AD1067">
        <f t="shared" si="23"/>
        <v>214</v>
      </c>
      <c r="AE1067" cm="1">
        <f t="array" ref="AE1067">INDEX(X:X, AD1067+1)*AC1067</f>
        <v>0</v>
      </c>
    </row>
    <row r="1068" spans="29:31">
      <c r="AC1068">
        <v>1067</v>
      </c>
      <c r="AD1068">
        <f t="shared" si="23"/>
        <v>214</v>
      </c>
      <c r="AE1068" cm="1">
        <f t="array" ref="AE1068">INDEX(X:X, AD1068+1)*AC1068</f>
        <v>0</v>
      </c>
    </row>
    <row r="1069" spans="29:31">
      <c r="AC1069">
        <v>1068</v>
      </c>
      <c r="AD1069">
        <f t="shared" si="23"/>
        <v>214</v>
      </c>
      <c r="AE1069" cm="1">
        <f t="array" ref="AE1069">INDEX(X:X, AD1069+1)*AC1069</f>
        <v>0</v>
      </c>
    </row>
    <row r="1070" spans="29:31">
      <c r="AC1070">
        <v>1069</v>
      </c>
      <c r="AD1070">
        <f t="shared" si="23"/>
        <v>214</v>
      </c>
      <c r="AE1070" cm="1">
        <f t="array" ref="AE1070">INDEX(X:X, AD1070+1)*AC1070</f>
        <v>0</v>
      </c>
    </row>
    <row r="1071" spans="29:31">
      <c r="AC1071">
        <v>1070</v>
      </c>
      <c r="AD1071">
        <f t="shared" si="23"/>
        <v>215</v>
      </c>
      <c r="AE1071" cm="1">
        <f t="array" ref="AE1071">INDEX(X:X, AD1071+1)*AC1071</f>
        <v>0</v>
      </c>
    </row>
    <row r="1072" spans="29:31">
      <c r="AC1072">
        <v>1071</v>
      </c>
      <c r="AD1072">
        <f t="shared" si="23"/>
        <v>215</v>
      </c>
      <c r="AE1072" cm="1">
        <f t="array" ref="AE1072">INDEX(X:X, AD1072+1)*AC1072</f>
        <v>0</v>
      </c>
    </row>
    <row r="1073" spans="29:31">
      <c r="AC1073">
        <v>1072</v>
      </c>
      <c r="AD1073">
        <f t="shared" si="23"/>
        <v>215</v>
      </c>
      <c r="AE1073" cm="1">
        <f t="array" ref="AE1073">INDEX(X:X, AD1073+1)*AC1073</f>
        <v>0</v>
      </c>
    </row>
    <row r="1074" spans="29:31">
      <c r="AC1074">
        <v>1073</v>
      </c>
      <c r="AD1074">
        <f t="shared" si="23"/>
        <v>215</v>
      </c>
      <c r="AE1074" cm="1">
        <f t="array" ref="AE1074">INDEX(X:X, AD1074+1)*AC1074</f>
        <v>0</v>
      </c>
    </row>
    <row r="1075" spans="29:31">
      <c r="AC1075">
        <v>1074</v>
      </c>
      <c r="AD1075">
        <f t="shared" si="23"/>
        <v>215</v>
      </c>
      <c r="AE1075" cm="1">
        <f t="array" ref="AE1075">INDEX(X:X, AD1075+1)*AC1075</f>
        <v>0</v>
      </c>
    </row>
    <row r="1076" spans="29:31">
      <c r="AC1076">
        <v>1075</v>
      </c>
      <c r="AD1076">
        <f t="shared" si="23"/>
        <v>216</v>
      </c>
      <c r="AE1076" cm="1">
        <f t="array" ref="AE1076">INDEX(X:X, AD1076+1)*AC1076</f>
        <v>0</v>
      </c>
    </row>
    <row r="1077" spans="29:31">
      <c r="AC1077">
        <v>1076</v>
      </c>
      <c r="AD1077">
        <f t="shared" si="23"/>
        <v>216</v>
      </c>
      <c r="AE1077" cm="1">
        <f t="array" ref="AE1077">INDEX(X:X, AD1077+1)*AC1077</f>
        <v>0</v>
      </c>
    </row>
    <row r="1078" spans="29:31">
      <c r="AC1078">
        <v>1077</v>
      </c>
      <c r="AD1078">
        <f t="shared" si="23"/>
        <v>216</v>
      </c>
      <c r="AE1078" cm="1">
        <f t="array" ref="AE1078">INDEX(X:X, AD1078+1)*AC1078</f>
        <v>0</v>
      </c>
    </row>
    <row r="1079" spans="29:31">
      <c r="AC1079">
        <v>1078</v>
      </c>
      <c r="AD1079">
        <f t="shared" si="23"/>
        <v>216</v>
      </c>
      <c r="AE1079" cm="1">
        <f t="array" ref="AE1079">INDEX(X:X, AD1079+1)*AC1079</f>
        <v>0</v>
      </c>
    </row>
    <row r="1080" spans="29:31">
      <c r="AC1080">
        <v>1079</v>
      </c>
      <c r="AD1080">
        <f t="shared" si="23"/>
        <v>216</v>
      </c>
      <c r="AE1080" cm="1">
        <f t="array" ref="AE1080">INDEX(X:X, AD1080+1)*AC1080</f>
        <v>0</v>
      </c>
    </row>
    <row r="1081" spans="29:31">
      <c r="AC1081">
        <v>1080</v>
      </c>
      <c r="AD1081">
        <f t="shared" si="23"/>
        <v>217</v>
      </c>
      <c r="AE1081" cm="1">
        <f t="array" ref="AE1081">INDEX(X:X, AD1081+1)*AC1081</f>
        <v>0</v>
      </c>
    </row>
    <row r="1082" spans="29:31">
      <c r="AC1082">
        <v>1081</v>
      </c>
      <c r="AD1082">
        <f t="shared" si="23"/>
        <v>217</v>
      </c>
      <c r="AE1082" cm="1">
        <f t="array" ref="AE1082">INDEX(X:X, AD1082+1)*AC1082</f>
        <v>0</v>
      </c>
    </row>
    <row r="1083" spans="29:31">
      <c r="AC1083">
        <v>1082</v>
      </c>
      <c r="AD1083">
        <f t="shared" si="23"/>
        <v>217</v>
      </c>
      <c r="AE1083" cm="1">
        <f t="array" ref="AE1083">INDEX(X:X, AD1083+1)*AC1083</f>
        <v>0</v>
      </c>
    </row>
    <row r="1084" spans="29:31">
      <c r="AC1084">
        <v>1083</v>
      </c>
      <c r="AD1084">
        <f t="shared" si="23"/>
        <v>217</v>
      </c>
      <c r="AE1084" cm="1">
        <f t="array" ref="AE1084">INDEX(X:X, AD1084+1)*AC1084</f>
        <v>0</v>
      </c>
    </row>
    <row r="1085" spans="29:31">
      <c r="AC1085">
        <v>1084</v>
      </c>
      <c r="AD1085">
        <f t="shared" si="23"/>
        <v>217</v>
      </c>
      <c r="AE1085" cm="1">
        <f t="array" ref="AE1085">INDEX(X:X, AD1085+1)*AC1085</f>
        <v>0</v>
      </c>
    </row>
    <row r="1086" spans="29:31">
      <c r="AC1086">
        <v>1085</v>
      </c>
      <c r="AD1086">
        <f t="shared" si="23"/>
        <v>218</v>
      </c>
      <c r="AE1086" cm="1">
        <f t="array" ref="AE1086">INDEX(X:X, AD1086+1)*AC1086</f>
        <v>0</v>
      </c>
    </row>
    <row r="1087" spans="29:31">
      <c r="AC1087">
        <v>1086</v>
      </c>
      <c r="AD1087">
        <f t="shared" si="23"/>
        <v>218</v>
      </c>
      <c r="AE1087" cm="1">
        <f t="array" ref="AE1087">INDEX(X:X, AD1087+1)*AC1087</f>
        <v>0</v>
      </c>
    </row>
    <row r="1088" spans="29:31">
      <c r="AC1088">
        <v>1087</v>
      </c>
      <c r="AD1088">
        <f t="shared" si="23"/>
        <v>218</v>
      </c>
      <c r="AE1088" cm="1">
        <f t="array" ref="AE1088">INDEX(X:X, AD1088+1)*AC1088</f>
        <v>0</v>
      </c>
    </row>
    <row r="1089" spans="29:31">
      <c r="AC1089">
        <v>1088</v>
      </c>
      <c r="AD1089">
        <f t="shared" si="23"/>
        <v>218</v>
      </c>
      <c r="AE1089" cm="1">
        <f t="array" ref="AE1089">INDEX(X:X, AD1089+1)*AC1089</f>
        <v>0</v>
      </c>
    </row>
    <row r="1090" spans="29:31">
      <c r="AC1090">
        <v>1089</v>
      </c>
      <c r="AD1090">
        <f t="shared" si="23"/>
        <v>218</v>
      </c>
      <c r="AE1090" cm="1">
        <f t="array" ref="AE1090">INDEX(X:X, AD1090+1)*AC1090</f>
        <v>0</v>
      </c>
    </row>
    <row r="1091" spans="29:31">
      <c r="AC1091">
        <v>1090</v>
      </c>
      <c r="AD1091">
        <f t="shared" ref="AD1091:AD1154" si="24">INT(AC1091/5)+1</f>
        <v>219</v>
      </c>
      <c r="AE1091" cm="1">
        <f t="array" ref="AE1091">INDEX(X:X, AD1091+1)*AC1091</f>
        <v>0</v>
      </c>
    </row>
    <row r="1092" spans="29:31">
      <c r="AC1092">
        <v>1091</v>
      </c>
      <c r="AD1092">
        <f t="shared" si="24"/>
        <v>219</v>
      </c>
      <c r="AE1092" cm="1">
        <f t="array" ref="AE1092">INDEX(X:X, AD1092+1)*AC1092</f>
        <v>0</v>
      </c>
    </row>
    <row r="1093" spans="29:31">
      <c r="AC1093">
        <v>1092</v>
      </c>
      <c r="AD1093">
        <f t="shared" si="24"/>
        <v>219</v>
      </c>
      <c r="AE1093" cm="1">
        <f t="array" ref="AE1093">INDEX(X:X, AD1093+1)*AC1093</f>
        <v>0</v>
      </c>
    </row>
    <row r="1094" spans="29:31">
      <c r="AC1094">
        <v>1093</v>
      </c>
      <c r="AD1094">
        <f t="shared" si="24"/>
        <v>219</v>
      </c>
      <c r="AE1094" cm="1">
        <f t="array" ref="AE1094">INDEX(X:X, AD1094+1)*AC1094</f>
        <v>0</v>
      </c>
    </row>
    <row r="1095" spans="29:31">
      <c r="AC1095">
        <v>1094</v>
      </c>
      <c r="AD1095">
        <f t="shared" si="24"/>
        <v>219</v>
      </c>
      <c r="AE1095" cm="1">
        <f t="array" ref="AE1095">INDEX(X:X, AD1095+1)*AC1095</f>
        <v>0</v>
      </c>
    </row>
    <row r="1096" spans="29:31">
      <c r="AC1096">
        <v>1095</v>
      </c>
      <c r="AD1096">
        <f t="shared" si="24"/>
        <v>220</v>
      </c>
      <c r="AE1096" cm="1">
        <f t="array" ref="AE1096">INDEX(X:X, AD1096+1)*AC1096</f>
        <v>0</v>
      </c>
    </row>
    <row r="1097" spans="29:31">
      <c r="AC1097">
        <v>1096</v>
      </c>
      <c r="AD1097">
        <f t="shared" si="24"/>
        <v>220</v>
      </c>
      <c r="AE1097" cm="1">
        <f t="array" ref="AE1097">INDEX(X:X, AD1097+1)*AC1097</f>
        <v>0</v>
      </c>
    </row>
    <row r="1098" spans="29:31">
      <c r="AC1098">
        <v>1097</v>
      </c>
      <c r="AD1098">
        <f t="shared" si="24"/>
        <v>220</v>
      </c>
      <c r="AE1098" cm="1">
        <f t="array" ref="AE1098">INDEX(X:X, AD1098+1)*AC1098</f>
        <v>0</v>
      </c>
    </row>
    <row r="1099" spans="29:31">
      <c r="AC1099">
        <v>1098</v>
      </c>
      <c r="AD1099">
        <f t="shared" si="24"/>
        <v>220</v>
      </c>
      <c r="AE1099" cm="1">
        <f t="array" ref="AE1099">INDEX(X:X, AD1099+1)*AC1099</f>
        <v>0</v>
      </c>
    </row>
    <row r="1100" spans="29:31">
      <c r="AC1100">
        <v>1099</v>
      </c>
      <c r="AD1100">
        <f t="shared" si="24"/>
        <v>220</v>
      </c>
      <c r="AE1100" cm="1">
        <f t="array" ref="AE1100">INDEX(X:X, AD1100+1)*AC1100</f>
        <v>0</v>
      </c>
    </row>
    <row r="1101" spans="29:31">
      <c r="AC1101">
        <v>1100</v>
      </c>
      <c r="AD1101">
        <f t="shared" si="24"/>
        <v>221</v>
      </c>
      <c r="AE1101" cm="1">
        <f t="array" ref="AE1101">INDEX(X:X, AD1101+1)*AC1101</f>
        <v>0</v>
      </c>
    </row>
    <row r="1102" spans="29:31">
      <c r="AC1102">
        <v>1101</v>
      </c>
      <c r="AD1102">
        <f t="shared" si="24"/>
        <v>221</v>
      </c>
      <c r="AE1102" cm="1">
        <f t="array" ref="AE1102">INDEX(X:X, AD1102+1)*AC1102</f>
        <v>0</v>
      </c>
    </row>
    <row r="1103" spans="29:31">
      <c r="AC1103">
        <v>1102</v>
      </c>
      <c r="AD1103">
        <f t="shared" si="24"/>
        <v>221</v>
      </c>
      <c r="AE1103" cm="1">
        <f t="array" ref="AE1103">INDEX(X:X, AD1103+1)*AC1103</f>
        <v>0</v>
      </c>
    </row>
    <row r="1104" spans="29:31">
      <c r="AC1104">
        <v>1103</v>
      </c>
      <c r="AD1104">
        <f t="shared" si="24"/>
        <v>221</v>
      </c>
      <c r="AE1104" cm="1">
        <f t="array" ref="AE1104">INDEX(X:X, AD1104+1)*AC1104</f>
        <v>0</v>
      </c>
    </row>
    <row r="1105" spans="29:31">
      <c r="AC1105">
        <v>1104</v>
      </c>
      <c r="AD1105">
        <f t="shared" si="24"/>
        <v>221</v>
      </c>
      <c r="AE1105" cm="1">
        <f t="array" ref="AE1105">INDEX(X:X, AD1105+1)*AC1105</f>
        <v>0</v>
      </c>
    </row>
    <row r="1106" spans="29:31">
      <c r="AC1106">
        <v>1105</v>
      </c>
      <c r="AD1106">
        <f t="shared" si="24"/>
        <v>222</v>
      </c>
      <c r="AE1106" cm="1">
        <f t="array" ref="AE1106">INDEX(X:X, AD1106+1)*AC1106</f>
        <v>0</v>
      </c>
    </row>
    <row r="1107" spans="29:31">
      <c r="AC1107">
        <v>1106</v>
      </c>
      <c r="AD1107">
        <f t="shared" si="24"/>
        <v>222</v>
      </c>
      <c r="AE1107" cm="1">
        <f t="array" ref="AE1107">INDEX(X:X, AD1107+1)*AC1107</f>
        <v>0</v>
      </c>
    </row>
    <row r="1108" spans="29:31">
      <c r="AC1108">
        <v>1107</v>
      </c>
      <c r="AD1108">
        <f t="shared" si="24"/>
        <v>222</v>
      </c>
      <c r="AE1108" cm="1">
        <f t="array" ref="AE1108">INDEX(X:X, AD1108+1)*AC1108</f>
        <v>0</v>
      </c>
    </row>
    <row r="1109" spans="29:31">
      <c r="AC1109">
        <v>1108</v>
      </c>
      <c r="AD1109">
        <f t="shared" si="24"/>
        <v>222</v>
      </c>
      <c r="AE1109" cm="1">
        <f t="array" ref="AE1109">INDEX(X:X, AD1109+1)*AC1109</f>
        <v>0</v>
      </c>
    </row>
    <row r="1110" spans="29:31">
      <c r="AC1110">
        <v>1109</v>
      </c>
      <c r="AD1110">
        <f t="shared" si="24"/>
        <v>222</v>
      </c>
      <c r="AE1110" cm="1">
        <f t="array" ref="AE1110">INDEX(X:X, AD1110+1)*AC1110</f>
        <v>0</v>
      </c>
    </row>
    <row r="1111" spans="29:31">
      <c r="AC1111">
        <v>1110</v>
      </c>
      <c r="AD1111">
        <f t="shared" si="24"/>
        <v>223</v>
      </c>
      <c r="AE1111" cm="1">
        <f t="array" ref="AE1111">INDEX(X:X, AD1111+1)*AC1111</f>
        <v>0</v>
      </c>
    </row>
    <row r="1112" spans="29:31">
      <c r="AC1112">
        <v>1111</v>
      </c>
      <c r="AD1112">
        <f t="shared" si="24"/>
        <v>223</v>
      </c>
      <c r="AE1112" cm="1">
        <f t="array" ref="AE1112">INDEX(X:X, AD1112+1)*AC1112</f>
        <v>0</v>
      </c>
    </row>
    <row r="1113" spans="29:31">
      <c r="AC1113">
        <v>1112</v>
      </c>
      <c r="AD1113">
        <f t="shared" si="24"/>
        <v>223</v>
      </c>
      <c r="AE1113" cm="1">
        <f t="array" ref="AE1113">INDEX(X:X, AD1113+1)*AC1113</f>
        <v>0</v>
      </c>
    </row>
    <row r="1114" spans="29:31">
      <c r="AC1114">
        <v>1113</v>
      </c>
      <c r="AD1114">
        <f t="shared" si="24"/>
        <v>223</v>
      </c>
      <c r="AE1114" cm="1">
        <f t="array" ref="AE1114">INDEX(X:X, AD1114+1)*AC1114</f>
        <v>0</v>
      </c>
    </row>
    <row r="1115" spans="29:31">
      <c r="AC1115">
        <v>1114</v>
      </c>
      <c r="AD1115">
        <f t="shared" si="24"/>
        <v>223</v>
      </c>
      <c r="AE1115" cm="1">
        <f t="array" ref="AE1115">INDEX(X:X, AD1115+1)*AC1115</f>
        <v>0</v>
      </c>
    </row>
    <row r="1116" spans="29:31">
      <c r="AC1116">
        <v>1115</v>
      </c>
      <c r="AD1116">
        <f t="shared" si="24"/>
        <v>224</v>
      </c>
      <c r="AE1116" cm="1">
        <f t="array" ref="AE1116">INDEX(X:X, AD1116+1)*AC1116</f>
        <v>0</v>
      </c>
    </row>
    <row r="1117" spans="29:31">
      <c r="AC1117">
        <v>1116</v>
      </c>
      <c r="AD1117">
        <f t="shared" si="24"/>
        <v>224</v>
      </c>
      <c r="AE1117" cm="1">
        <f t="array" ref="AE1117">INDEX(X:X, AD1117+1)*AC1117</f>
        <v>0</v>
      </c>
    </row>
    <row r="1118" spans="29:31">
      <c r="AC1118">
        <v>1117</v>
      </c>
      <c r="AD1118">
        <f t="shared" si="24"/>
        <v>224</v>
      </c>
      <c r="AE1118" cm="1">
        <f t="array" ref="AE1118">INDEX(X:X, AD1118+1)*AC1118</f>
        <v>0</v>
      </c>
    </row>
    <row r="1119" spans="29:31">
      <c r="AC1119">
        <v>1118</v>
      </c>
      <c r="AD1119">
        <f t="shared" si="24"/>
        <v>224</v>
      </c>
      <c r="AE1119" cm="1">
        <f t="array" ref="AE1119">INDEX(X:X, AD1119+1)*AC1119</f>
        <v>0</v>
      </c>
    </row>
    <row r="1120" spans="29:31">
      <c r="AC1120">
        <v>1119</v>
      </c>
      <c r="AD1120">
        <f t="shared" si="24"/>
        <v>224</v>
      </c>
      <c r="AE1120" cm="1">
        <f t="array" ref="AE1120">INDEX(X:X, AD1120+1)*AC1120</f>
        <v>0</v>
      </c>
    </row>
    <row r="1121" spans="29:31">
      <c r="AC1121">
        <v>1120</v>
      </c>
      <c r="AD1121">
        <f t="shared" si="24"/>
        <v>225</v>
      </c>
      <c r="AE1121" cm="1">
        <f t="array" ref="AE1121">INDEX(X:X, AD1121+1)*AC1121</f>
        <v>0</v>
      </c>
    </row>
    <row r="1122" spans="29:31">
      <c r="AC1122">
        <v>1121</v>
      </c>
      <c r="AD1122">
        <f t="shared" si="24"/>
        <v>225</v>
      </c>
      <c r="AE1122" cm="1">
        <f t="array" ref="AE1122">INDEX(X:X, AD1122+1)*AC1122</f>
        <v>0</v>
      </c>
    </row>
    <row r="1123" spans="29:31">
      <c r="AC1123">
        <v>1122</v>
      </c>
      <c r="AD1123">
        <f t="shared" si="24"/>
        <v>225</v>
      </c>
      <c r="AE1123" cm="1">
        <f t="array" ref="AE1123">INDEX(X:X, AD1123+1)*AC1123</f>
        <v>0</v>
      </c>
    </row>
    <row r="1124" spans="29:31">
      <c r="AC1124">
        <v>1123</v>
      </c>
      <c r="AD1124">
        <f t="shared" si="24"/>
        <v>225</v>
      </c>
      <c r="AE1124" cm="1">
        <f t="array" ref="AE1124">INDEX(X:X, AD1124+1)*AC1124</f>
        <v>0</v>
      </c>
    </row>
    <row r="1125" spans="29:31">
      <c r="AC1125">
        <v>1124</v>
      </c>
      <c r="AD1125">
        <f t="shared" si="24"/>
        <v>225</v>
      </c>
      <c r="AE1125" cm="1">
        <f t="array" ref="AE1125">INDEX(X:X, AD1125+1)*AC1125</f>
        <v>0</v>
      </c>
    </row>
    <row r="1126" spans="29:31">
      <c r="AC1126">
        <v>1125</v>
      </c>
      <c r="AD1126">
        <f t="shared" si="24"/>
        <v>226</v>
      </c>
      <c r="AE1126" cm="1">
        <f t="array" ref="AE1126">INDEX(X:X, AD1126+1)*AC1126</f>
        <v>0</v>
      </c>
    </row>
    <row r="1127" spans="29:31">
      <c r="AC1127">
        <v>1126</v>
      </c>
      <c r="AD1127">
        <f t="shared" si="24"/>
        <v>226</v>
      </c>
      <c r="AE1127" cm="1">
        <f t="array" ref="AE1127">INDEX(X:X, AD1127+1)*AC1127</f>
        <v>0</v>
      </c>
    </row>
    <row r="1128" spans="29:31">
      <c r="AC1128">
        <v>1127</v>
      </c>
      <c r="AD1128">
        <f t="shared" si="24"/>
        <v>226</v>
      </c>
      <c r="AE1128" cm="1">
        <f t="array" ref="AE1128">INDEX(X:X, AD1128+1)*AC1128</f>
        <v>0</v>
      </c>
    </row>
    <row r="1129" spans="29:31">
      <c r="AC1129">
        <v>1128</v>
      </c>
      <c r="AD1129">
        <f t="shared" si="24"/>
        <v>226</v>
      </c>
      <c r="AE1129" cm="1">
        <f t="array" ref="AE1129">INDEX(X:X, AD1129+1)*AC1129</f>
        <v>0</v>
      </c>
    </row>
    <row r="1130" spans="29:31">
      <c r="AC1130">
        <v>1129</v>
      </c>
      <c r="AD1130">
        <f t="shared" si="24"/>
        <v>226</v>
      </c>
      <c r="AE1130" cm="1">
        <f t="array" ref="AE1130">INDEX(X:X, AD1130+1)*AC1130</f>
        <v>0</v>
      </c>
    </row>
    <row r="1131" spans="29:31">
      <c r="AC1131">
        <v>1130</v>
      </c>
      <c r="AD1131">
        <f t="shared" si="24"/>
        <v>227</v>
      </c>
      <c r="AE1131" cm="1">
        <f t="array" ref="AE1131">INDEX(X:X, AD1131+1)*AC1131</f>
        <v>0</v>
      </c>
    </row>
    <row r="1132" spans="29:31">
      <c r="AC1132">
        <v>1131</v>
      </c>
      <c r="AD1132">
        <f t="shared" si="24"/>
        <v>227</v>
      </c>
      <c r="AE1132" cm="1">
        <f t="array" ref="AE1132">INDEX(X:X, AD1132+1)*AC1132</f>
        <v>0</v>
      </c>
    </row>
    <row r="1133" spans="29:31">
      <c r="AC1133">
        <v>1132</v>
      </c>
      <c r="AD1133">
        <f t="shared" si="24"/>
        <v>227</v>
      </c>
      <c r="AE1133" cm="1">
        <f t="array" ref="AE1133">INDEX(X:X, AD1133+1)*AC1133</f>
        <v>0</v>
      </c>
    </row>
    <row r="1134" spans="29:31">
      <c r="AC1134">
        <v>1133</v>
      </c>
      <c r="AD1134">
        <f t="shared" si="24"/>
        <v>227</v>
      </c>
      <c r="AE1134" cm="1">
        <f t="array" ref="AE1134">INDEX(X:X, AD1134+1)*AC1134</f>
        <v>0</v>
      </c>
    </row>
    <row r="1135" spans="29:31">
      <c r="AC1135">
        <v>1134</v>
      </c>
      <c r="AD1135">
        <f t="shared" si="24"/>
        <v>227</v>
      </c>
      <c r="AE1135" cm="1">
        <f t="array" ref="AE1135">INDEX(X:X, AD1135+1)*AC1135</f>
        <v>0</v>
      </c>
    </row>
    <row r="1136" spans="29:31">
      <c r="AC1136">
        <v>1135</v>
      </c>
      <c r="AD1136">
        <f t="shared" si="24"/>
        <v>228</v>
      </c>
      <c r="AE1136" cm="1">
        <f t="array" ref="AE1136">INDEX(X:X, AD1136+1)*AC1136</f>
        <v>0</v>
      </c>
    </row>
    <row r="1137" spans="29:31">
      <c r="AC1137">
        <v>1136</v>
      </c>
      <c r="AD1137">
        <f t="shared" si="24"/>
        <v>228</v>
      </c>
      <c r="AE1137" cm="1">
        <f t="array" ref="AE1137">INDEX(X:X, AD1137+1)*AC1137</f>
        <v>0</v>
      </c>
    </row>
    <row r="1138" spans="29:31">
      <c r="AC1138">
        <v>1137</v>
      </c>
      <c r="AD1138">
        <f t="shared" si="24"/>
        <v>228</v>
      </c>
      <c r="AE1138" cm="1">
        <f t="array" ref="AE1138">INDEX(X:X, AD1138+1)*AC1138</f>
        <v>0</v>
      </c>
    </row>
    <row r="1139" spans="29:31">
      <c r="AC1139">
        <v>1138</v>
      </c>
      <c r="AD1139">
        <f t="shared" si="24"/>
        <v>228</v>
      </c>
      <c r="AE1139" cm="1">
        <f t="array" ref="AE1139">INDEX(X:X, AD1139+1)*AC1139</f>
        <v>0</v>
      </c>
    </row>
    <row r="1140" spans="29:31">
      <c r="AC1140">
        <v>1139</v>
      </c>
      <c r="AD1140">
        <f t="shared" si="24"/>
        <v>228</v>
      </c>
      <c r="AE1140" cm="1">
        <f t="array" ref="AE1140">INDEX(X:X, AD1140+1)*AC1140</f>
        <v>0</v>
      </c>
    </row>
    <row r="1141" spans="29:31">
      <c r="AC1141">
        <v>1140</v>
      </c>
      <c r="AD1141">
        <f t="shared" si="24"/>
        <v>229</v>
      </c>
      <c r="AE1141" cm="1">
        <f t="array" ref="AE1141">INDEX(X:X, AD1141+1)*AC1141</f>
        <v>0</v>
      </c>
    </row>
    <row r="1142" spans="29:31">
      <c r="AC1142">
        <v>1141</v>
      </c>
      <c r="AD1142">
        <f t="shared" si="24"/>
        <v>229</v>
      </c>
      <c r="AE1142" cm="1">
        <f t="array" ref="AE1142">INDEX(X:X, AD1142+1)*AC1142</f>
        <v>0</v>
      </c>
    </row>
    <row r="1143" spans="29:31">
      <c r="AC1143">
        <v>1142</v>
      </c>
      <c r="AD1143">
        <f t="shared" si="24"/>
        <v>229</v>
      </c>
      <c r="AE1143" cm="1">
        <f t="array" ref="AE1143">INDEX(X:X, AD1143+1)*AC1143</f>
        <v>0</v>
      </c>
    </row>
    <row r="1144" spans="29:31">
      <c r="AC1144">
        <v>1143</v>
      </c>
      <c r="AD1144">
        <f t="shared" si="24"/>
        <v>229</v>
      </c>
      <c r="AE1144" cm="1">
        <f t="array" ref="AE1144">INDEX(X:X, AD1144+1)*AC1144</f>
        <v>0</v>
      </c>
    </row>
    <row r="1145" spans="29:31">
      <c r="AC1145">
        <v>1144</v>
      </c>
      <c r="AD1145">
        <f t="shared" si="24"/>
        <v>229</v>
      </c>
      <c r="AE1145" cm="1">
        <f t="array" ref="AE1145">INDEX(X:X, AD1145+1)*AC1145</f>
        <v>0</v>
      </c>
    </row>
    <row r="1146" spans="29:31">
      <c r="AC1146">
        <v>1145</v>
      </c>
      <c r="AD1146">
        <f t="shared" si="24"/>
        <v>230</v>
      </c>
      <c r="AE1146" cm="1">
        <f t="array" ref="AE1146">INDEX(X:X, AD1146+1)*AC1146</f>
        <v>0</v>
      </c>
    </row>
    <row r="1147" spans="29:31">
      <c r="AC1147">
        <v>1146</v>
      </c>
      <c r="AD1147">
        <f t="shared" si="24"/>
        <v>230</v>
      </c>
      <c r="AE1147" cm="1">
        <f t="array" ref="AE1147">INDEX(X:X, AD1147+1)*AC1147</f>
        <v>0</v>
      </c>
    </row>
    <row r="1148" spans="29:31">
      <c r="AC1148">
        <v>1147</v>
      </c>
      <c r="AD1148">
        <f t="shared" si="24"/>
        <v>230</v>
      </c>
      <c r="AE1148" cm="1">
        <f t="array" ref="AE1148">INDEX(X:X, AD1148+1)*AC1148</f>
        <v>0</v>
      </c>
    </row>
    <row r="1149" spans="29:31">
      <c r="AC1149">
        <v>1148</v>
      </c>
      <c r="AD1149">
        <f t="shared" si="24"/>
        <v>230</v>
      </c>
      <c r="AE1149" cm="1">
        <f t="array" ref="AE1149">INDEX(X:X, AD1149+1)*AC1149</f>
        <v>0</v>
      </c>
    </row>
    <row r="1150" spans="29:31">
      <c r="AC1150">
        <v>1149</v>
      </c>
      <c r="AD1150">
        <f t="shared" si="24"/>
        <v>230</v>
      </c>
      <c r="AE1150" cm="1">
        <f t="array" ref="AE1150">INDEX(X:X, AD1150+1)*AC1150</f>
        <v>0</v>
      </c>
    </row>
    <row r="1151" spans="29:31">
      <c r="AC1151">
        <v>1150</v>
      </c>
      <c r="AD1151">
        <f t="shared" si="24"/>
        <v>231</v>
      </c>
      <c r="AE1151" cm="1">
        <f t="array" ref="AE1151">INDEX(X:X, AD1151+1)*AC1151</f>
        <v>0</v>
      </c>
    </row>
    <row r="1152" spans="29:31">
      <c r="AC1152">
        <v>1151</v>
      </c>
      <c r="AD1152">
        <f t="shared" si="24"/>
        <v>231</v>
      </c>
      <c r="AE1152" cm="1">
        <f t="array" ref="AE1152">INDEX(X:X, AD1152+1)*AC1152</f>
        <v>0</v>
      </c>
    </row>
    <row r="1153" spans="29:31">
      <c r="AC1153">
        <v>1152</v>
      </c>
      <c r="AD1153">
        <f t="shared" si="24"/>
        <v>231</v>
      </c>
      <c r="AE1153" cm="1">
        <f t="array" ref="AE1153">INDEX(X:X, AD1153+1)*AC1153</f>
        <v>0</v>
      </c>
    </row>
    <row r="1154" spans="29:31">
      <c r="AC1154">
        <v>1153</v>
      </c>
      <c r="AD1154">
        <f t="shared" si="24"/>
        <v>231</v>
      </c>
      <c r="AE1154" cm="1">
        <f t="array" ref="AE1154">INDEX(X:X, AD1154+1)*AC1154</f>
        <v>0</v>
      </c>
    </row>
    <row r="1155" spans="29:31">
      <c r="AC1155">
        <v>1154</v>
      </c>
      <c r="AD1155">
        <f t="shared" ref="AD1155:AD1218" si="25">INT(AC1155/5)+1</f>
        <v>231</v>
      </c>
      <c r="AE1155" cm="1">
        <f t="array" ref="AE1155">INDEX(X:X, AD1155+1)*AC1155</f>
        <v>0</v>
      </c>
    </row>
    <row r="1156" spans="29:31">
      <c r="AC1156">
        <v>1155</v>
      </c>
      <c r="AD1156">
        <f t="shared" si="25"/>
        <v>232</v>
      </c>
      <c r="AE1156" cm="1">
        <f t="array" ref="AE1156">INDEX(X:X, AD1156+1)*AC1156</f>
        <v>0</v>
      </c>
    </row>
    <row r="1157" spans="29:31">
      <c r="AC1157">
        <v>1156</v>
      </c>
      <c r="AD1157">
        <f t="shared" si="25"/>
        <v>232</v>
      </c>
      <c r="AE1157" cm="1">
        <f t="array" ref="AE1157">INDEX(X:X, AD1157+1)*AC1157</f>
        <v>0</v>
      </c>
    </row>
    <row r="1158" spans="29:31">
      <c r="AC1158">
        <v>1157</v>
      </c>
      <c r="AD1158">
        <f t="shared" si="25"/>
        <v>232</v>
      </c>
      <c r="AE1158" cm="1">
        <f t="array" ref="AE1158">INDEX(X:X, AD1158+1)*AC1158</f>
        <v>0</v>
      </c>
    </row>
    <row r="1159" spans="29:31">
      <c r="AC1159">
        <v>1158</v>
      </c>
      <c r="AD1159">
        <f t="shared" si="25"/>
        <v>232</v>
      </c>
      <c r="AE1159" cm="1">
        <f t="array" ref="AE1159">INDEX(X:X, AD1159+1)*AC1159</f>
        <v>0</v>
      </c>
    </row>
    <row r="1160" spans="29:31">
      <c r="AC1160">
        <v>1159</v>
      </c>
      <c r="AD1160">
        <f t="shared" si="25"/>
        <v>232</v>
      </c>
      <c r="AE1160" cm="1">
        <f t="array" ref="AE1160">INDEX(X:X, AD1160+1)*AC1160</f>
        <v>0</v>
      </c>
    </row>
    <row r="1161" spans="29:31">
      <c r="AC1161">
        <v>1160</v>
      </c>
      <c r="AD1161">
        <f t="shared" si="25"/>
        <v>233</v>
      </c>
      <c r="AE1161" cm="1">
        <f t="array" ref="AE1161">INDEX(X:X, AD1161+1)*AC1161</f>
        <v>0</v>
      </c>
    </row>
    <row r="1162" spans="29:31">
      <c r="AC1162">
        <v>1161</v>
      </c>
      <c r="AD1162">
        <f t="shared" si="25"/>
        <v>233</v>
      </c>
      <c r="AE1162" cm="1">
        <f t="array" ref="AE1162">INDEX(X:X, AD1162+1)*AC1162</f>
        <v>0</v>
      </c>
    </row>
    <row r="1163" spans="29:31">
      <c r="AC1163">
        <v>1162</v>
      </c>
      <c r="AD1163">
        <f t="shared" si="25"/>
        <v>233</v>
      </c>
      <c r="AE1163" cm="1">
        <f t="array" ref="AE1163">INDEX(X:X, AD1163+1)*AC1163</f>
        <v>0</v>
      </c>
    </row>
    <row r="1164" spans="29:31">
      <c r="AC1164">
        <v>1163</v>
      </c>
      <c r="AD1164">
        <f t="shared" si="25"/>
        <v>233</v>
      </c>
      <c r="AE1164" cm="1">
        <f t="array" ref="AE1164">INDEX(X:X, AD1164+1)*AC1164</f>
        <v>0</v>
      </c>
    </row>
    <row r="1165" spans="29:31">
      <c r="AC1165">
        <v>1164</v>
      </c>
      <c r="AD1165">
        <f t="shared" si="25"/>
        <v>233</v>
      </c>
      <c r="AE1165" cm="1">
        <f t="array" ref="AE1165">INDEX(X:X, AD1165+1)*AC1165</f>
        <v>0</v>
      </c>
    </row>
    <row r="1166" spans="29:31">
      <c r="AC1166">
        <v>1165</v>
      </c>
      <c r="AD1166">
        <f t="shared" si="25"/>
        <v>234</v>
      </c>
      <c r="AE1166" cm="1">
        <f t="array" ref="AE1166">INDEX(X:X, AD1166+1)*AC1166</f>
        <v>0</v>
      </c>
    </row>
    <row r="1167" spans="29:31">
      <c r="AC1167">
        <v>1166</v>
      </c>
      <c r="AD1167">
        <f t="shared" si="25"/>
        <v>234</v>
      </c>
      <c r="AE1167" cm="1">
        <f t="array" ref="AE1167">INDEX(X:X, AD1167+1)*AC1167</f>
        <v>0</v>
      </c>
    </row>
    <row r="1168" spans="29:31">
      <c r="AC1168">
        <v>1167</v>
      </c>
      <c r="AD1168">
        <f t="shared" si="25"/>
        <v>234</v>
      </c>
      <c r="AE1168" cm="1">
        <f t="array" ref="AE1168">INDEX(X:X, AD1168+1)*AC1168</f>
        <v>0</v>
      </c>
    </row>
    <row r="1169" spans="29:31">
      <c r="AC1169">
        <v>1168</v>
      </c>
      <c r="AD1169">
        <f t="shared" si="25"/>
        <v>234</v>
      </c>
      <c r="AE1169" cm="1">
        <f t="array" ref="AE1169">INDEX(X:X, AD1169+1)*AC1169</f>
        <v>0</v>
      </c>
    </row>
    <row r="1170" spans="29:31">
      <c r="AC1170">
        <v>1169</v>
      </c>
      <c r="AD1170">
        <f t="shared" si="25"/>
        <v>234</v>
      </c>
      <c r="AE1170" cm="1">
        <f t="array" ref="AE1170">INDEX(X:X, AD1170+1)*AC1170</f>
        <v>0</v>
      </c>
    </row>
    <row r="1171" spans="29:31">
      <c r="AC1171">
        <v>1170</v>
      </c>
      <c r="AD1171">
        <f t="shared" si="25"/>
        <v>235</v>
      </c>
      <c r="AE1171" cm="1">
        <f t="array" ref="AE1171">INDEX(X:X, AD1171+1)*AC1171</f>
        <v>0</v>
      </c>
    </row>
    <row r="1172" spans="29:31">
      <c r="AC1172">
        <v>1171</v>
      </c>
      <c r="AD1172">
        <f t="shared" si="25"/>
        <v>235</v>
      </c>
      <c r="AE1172" cm="1">
        <f t="array" ref="AE1172">INDEX(X:X, AD1172+1)*AC1172</f>
        <v>0</v>
      </c>
    </row>
    <row r="1173" spans="29:31">
      <c r="AC1173">
        <v>1172</v>
      </c>
      <c r="AD1173">
        <f t="shared" si="25"/>
        <v>235</v>
      </c>
      <c r="AE1173" cm="1">
        <f t="array" ref="AE1173">INDEX(X:X, AD1173+1)*AC1173</f>
        <v>0</v>
      </c>
    </row>
    <row r="1174" spans="29:31">
      <c r="AC1174">
        <v>1173</v>
      </c>
      <c r="AD1174">
        <f t="shared" si="25"/>
        <v>235</v>
      </c>
      <c r="AE1174" cm="1">
        <f t="array" ref="AE1174">INDEX(X:X, AD1174+1)*AC1174</f>
        <v>0</v>
      </c>
    </row>
    <row r="1175" spans="29:31">
      <c r="AC1175">
        <v>1174</v>
      </c>
      <c r="AD1175">
        <f t="shared" si="25"/>
        <v>235</v>
      </c>
      <c r="AE1175" cm="1">
        <f t="array" ref="AE1175">INDEX(X:X, AD1175+1)*AC1175</f>
        <v>0</v>
      </c>
    </row>
    <row r="1176" spans="29:31">
      <c r="AC1176">
        <v>1175</v>
      </c>
      <c r="AD1176">
        <f t="shared" si="25"/>
        <v>236</v>
      </c>
      <c r="AE1176" cm="1">
        <f t="array" ref="AE1176">INDEX(X:X, AD1176+1)*AC1176</f>
        <v>0</v>
      </c>
    </row>
    <row r="1177" spans="29:31">
      <c r="AC1177">
        <v>1176</v>
      </c>
      <c r="AD1177">
        <f t="shared" si="25"/>
        <v>236</v>
      </c>
      <c r="AE1177" cm="1">
        <f t="array" ref="AE1177">INDEX(X:X, AD1177+1)*AC1177</f>
        <v>0</v>
      </c>
    </row>
    <row r="1178" spans="29:31">
      <c r="AC1178">
        <v>1177</v>
      </c>
      <c r="AD1178">
        <f t="shared" si="25"/>
        <v>236</v>
      </c>
      <c r="AE1178" cm="1">
        <f t="array" ref="AE1178">INDEX(X:X, AD1178+1)*AC1178</f>
        <v>0</v>
      </c>
    </row>
    <row r="1179" spans="29:31">
      <c r="AC1179">
        <v>1178</v>
      </c>
      <c r="AD1179">
        <f t="shared" si="25"/>
        <v>236</v>
      </c>
      <c r="AE1179" cm="1">
        <f t="array" ref="AE1179">INDEX(X:X, AD1179+1)*AC1179</f>
        <v>0</v>
      </c>
    </row>
    <row r="1180" spans="29:31">
      <c r="AC1180">
        <v>1179</v>
      </c>
      <c r="AD1180">
        <f t="shared" si="25"/>
        <v>236</v>
      </c>
      <c r="AE1180" cm="1">
        <f t="array" ref="AE1180">INDEX(X:X, AD1180+1)*AC1180</f>
        <v>0</v>
      </c>
    </row>
    <row r="1181" spans="29:31">
      <c r="AC1181">
        <v>1180</v>
      </c>
      <c r="AD1181">
        <f t="shared" si="25"/>
        <v>237</v>
      </c>
      <c r="AE1181" cm="1">
        <f t="array" ref="AE1181">INDEX(X:X, AD1181+1)*AC1181</f>
        <v>0</v>
      </c>
    </row>
    <row r="1182" spans="29:31">
      <c r="AC1182">
        <v>1181</v>
      </c>
      <c r="AD1182">
        <f t="shared" si="25"/>
        <v>237</v>
      </c>
      <c r="AE1182" cm="1">
        <f t="array" ref="AE1182">INDEX(X:X, AD1182+1)*AC1182</f>
        <v>0</v>
      </c>
    </row>
    <row r="1183" spans="29:31">
      <c r="AC1183">
        <v>1182</v>
      </c>
      <c r="AD1183">
        <f t="shared" si="25"/>
        <v>237</v>
      </c>
      <c r="AE1183" cm="1">
        <f t="array" ref="AE1183">INDEX(X:X, AD1183+1)*AC1183</f>
        <v>0</v>
      </c>
    </row>
    <row r="1184" spans="29:31">
      <c r="AC1184">
        <v>1183</v>
      </c>
      <c r="AD1184">
        <f t="shared" si="25"/>
        <v>237</v>
      </c>
      <c r="AE1184" cm="1">
        <f t="array" ref="AE1184">INDEX(X:X, AD1184+1)*AC1184</f>
        <v>0</v>
      </c>
    </row>
    <row r="1185" spans="29:31">
      <c r="AC1185">
        <v>1184</v>
      </c>
      <c r="AD1185">
        <f t="shared" si="25"/>
        <v>237</v>
      </c>
      <c r="AE1185" cm="1">
        <f t="array" ref="AE1185">INDEX(X:X, AD1185+1)*AC1185</f>
        <v>0</v>
      </c>
    </row>
    <row r="1186" spans="29:31">
      <c r="AC1186">
        <v>1185</v>
      </c>
      <c r="AD1186">
        <f t="shared" si="25"/>
        <v>238</v>
      </c>
      <c r="AE1186" cm="1">
        <f t="array" ref="AE1186">INDEX(X:X, AD1186+1)*AC1186</f>
        <v>0</v>
      </c>
    </row>
    <row r="1187" spans="29:31">
      <c r="AC1187">
        <v>1186</v>
      </c>
      <c r="AD1187">
        <f t="shared" si="25"/>
        <v>238</v>
      </c>
      <c r="AE1187" cm="1">
        <f t="array" ref="AE1187">INDEX(X:X, AD1187+1)*AC1187</f>
        <v>0</v>
      </c>
    </row>
    <row r="1188" spans="29:31">
      <c r="AC1188">
        <v>1187</v>
      </c>
      <c r="AD1188">
        <f t="shared" si="25"/>
        <v>238</v>
      </c>
      <c r="AE1188" cm="1">
        <f t="array" ref="AE1188">INDEX(X:X, AD1188+1)*AC1188</f>
        <v>0</v>
      </c>
    </row>
    <row r="1189" spans="29:31">
      <c r="AC1189">
        <v>1188</v>
      </c>
      <c r="AD1189">
        <f t="shared" si="25"/>
        <v>238</v>
      </c>
      <c r="AE1189" cm="1">
        <f t="array" ref="AE1189">INDEX(X:X, AD1189+1)*AC1189</f>
        <v>0</v>
      </c>
    </row>
    <row r="1190" spans="29:31">
      <c r="AC1190">
        <v>1189</v>
      </c>
      <c r="AD1190">
        <f t="shared" si="25"/>
        <v>238</v>
      </c>
      <c r="AE1190" cm="1">
        <f t="array" ref="AE1190">INDEX(X:X, AD1190+1)*AC1190</f>
        <v>0</v>
      </c>
    </row>
    <row r="1191" spans="29:31">
      <c r="AC1191">
        <v>1190</v>
      </c>
      <c r="AD1191">
        <f t="shared" si="25"/>
        <v>239</v>
      </c>
      <c r="AE1191" cm="1">
        <f t="array" ref="AE1191">INDEX(X:X, AD1191+1)*AC1191</f>
        <v>0</v>
      </c>
    </row>
    <row r="1192" spans="29:31">
      <c r="AC1192">
        <v>1191</v>
      </c>
      <c r="AD1192">
        <f t="shared" si="25"/>
        <v>239</v>
      </c>
      <c r="AE1192" cm="1">
        <f t="array" ref="AE1192">INDEX(X:X, AD1192+1)*AC1192</f>
        <v>0</v>
      </c>
    </row>
    <row r="1193" spans="29:31">
      <c r="AC1193">
        <v>1192</v>
      </c>
      <c r="AD1193">
        <f t="shared" si="25"/>
        <v>239</v>
      </c>
      <c r="AE1193" cm="1">
        <f t="array" ref="AE1193">INDEX(X:X, AD1193+1)*AC1193</f>
        <v>0</v>
      </c>
    </row>
    <row r="1194" spans="29:31">
      <c r="AC1194">
        <v>1193</v>
      </c>
      <c r="AD1194">
        <f t="shared" si="25"/>
        <v>239</v>
      </c>
      <c r="AE1194" cm="1">
        <f t="array" ref="AE1194">INDEX(X:X, AD1194+1)*AC1194</f>
        <v>0</v>
      </c>
    </row>
    <row r="1195" spans="29:31">
      <c r="AC1195">
        <v>1194</v>
      </c>
      <c r="AD1195">
        <f t="shared" si="25"/>
        <v>239</v>
      </c>
      <c r="AE1195" cm="1">
        <f t="array" ref="AE1195">INDEX(X:X, AD1195+1)*AC1195</f>
        <v>0</v>
      </c>
    </row>
    <row r="1196" spans="29:31">
      <c r="AC1196">
        <v>1195</v>
      </c>
      <c r="AD1196">
        <f t="shared" si="25"/>
        <v>240</v>
      </c>
      <c r="AE1196" cm="1">
        <f t="array" ref="AE1196">INDEX(X:X, AD1196+1)*AC1196</f>
        <v>0</v>
      </c>
    </row>
    <row r="1197" spans="29:31">
      <c r="AC1197">
        <v>1196</v>
      </c>
      <c r="AD1197">
        <f t="shared" si="25"/>
        <v>240</v>
      </c>
      <c r="AE1197" cm="1">
        <f t="array" ref="AE1197">INDEX(X:X, AD1197+1)*AC1197</f>
        <v>0</v>
      </c>
    </row>
    <row r="1198" spans="29:31">
      <c r="AC1198">
        <v>1197</v>
      </c>
      <c r="AD1198">
        <f t="shared" si="25"/>
        <v>240</v>
      </c>
      <c r="AE1198" cm="1">
        <f t="array" ref="AE1198">INDEX(X:X, AD1198+1)*AC1198</f>
        <v>0</v>
      </c>
    </row>
    <row r="1199" spans="29:31">
      <c r="AC1199">
        <v>1198</v>
      </c>
      <c r="AD1199">
        <f t="shared" si="25"/>
        <v>240</v>
      </c>
      <c r="AE1199" cm="1">
        <f t="array" ref="AE1199">INDEX(X:X, AD1199+1)*AC1199</f>
        <v>0</v>
      </c>
    </row>
    <row r="1200" spans="29:31">
      <c r="AC1200">
        <v>1199</v>
      </c>
      <c r="AD1200">
        <f t="shared" si="25"/>
        <v>240</v>
      </c>
      <c r="AE1200" cm="1">
        <f t="array" ref="AE1200">INDEX(X:X, AD1200+1)*AC1200</f>
        <v>0</v>
      </c>
    </row>
    <row r="1201" spans="29:31">
      <c r="AC1201">
        <v>1200</v>
      </c>
      <c r="AD1201">
        <f t="shared" si="25"/>
        <v>241</v>
      </c>
      <c r="AE1201" cm="1">
        <f t="array" ref="AE1201">INDEX(X:X, AD1201+1)*AC1201</f>
        <v>0</v>
      </c>
    </row>
    <row r="1202" spans="29:31">
      <c r="AC1202">
        <v>1201</v>
      </c>
      <c r="AD1202">
        <f t="shared" si="25"/>
        <v>241</v>
      </c>
      <c r="AE1202" cm="1">
        <f t="array" ref="AE1202">INDEX(X:X, AD1202+1)*AC1202</f>
        <v>0</v>
      </c>
    </row>
    <row r="1203" spans="29:31">
      <c r="AC1203">
        <v>1202</v>
      </c>
      <c r="AD1203">
        <f t="shared" si="25"/>
        <v>241</v>
      </c>
      <c r="AE1203" cm="1">
        <f t="array" ref="AE1203">INDEX(X:X, AD1203+1)*AC1203</f>
        <v>0</v>
      </c>
    </row>
    <row r="1204" spans="29:31">
      <c r="AC1204">
        <v>1203</v>
      </c>
      <c r="AD1204">
        <f t="shared" si="25"/>
        <v>241</v>
      </c>
      <c r="AE1204" cm="1">
        <f t="array" ref="AE1204">INDEX(X:X, AD1204+1)*AC1204</f>
        <v>0</v>
      </c>
    </row>
    <row r="1205" spans="29:31">
      <c r="AC1205">
        <v>1204</v>
      </c>
      <c r="AD1205">
        <f t="shared" si="25"/>
        <v>241</v>
      </c>
      <c r="AE1205" cm="1">
        <f t="array" ref="AE1205">INDEX(X:X, AD1205+1)*AC1205</f>
        <v>0</v>
      </c>
    </row>
    <row r="1206" spans="29:31">
      <c r="AC1206">
        <v>1205</v>
      </c>
      <c r="AD1206">
        <f t="shared" si="25"/>
        <v>242</v>
      </c>
      <c r="AE1206" cm="1">
        <f t="array" ref="AE1206">INDEX(X:X, AD1206+1)*AC1206</f>
        <v>0</v>
      </c>
    </row>
    <row r="1207" spans="29:31">
      <c r="AC1207">
        <v>1206</v>
      </c>
      <c r="AD1207">
        <f t="shared" si="25"/>
        <v>242</v>
      </c>
      <c r="AE1207" cm="1">
        <f t="array" ref="AE1207">INDEX(X:X, AD1207+1)*AC1207</f>
        <v>0</v>
      </c>
    </row>
    <row r="1208" spans="29:31">
      <c r="AC1208">
        <v>1207</v>
      </c>
      <c r="AD1208">
        <f t="shared" si="25"/>
        <v>242</v>
      </c>
      <c r="AE1208" cm="1">
        <f t="array" ref="AE1208">INDEX(X:X, AD1208+1)*AC1208</f>
        <v>0</v>
      </c>
    </row>
    <row r="1209" spans="29:31">
      <c r="AC1209">
        <v>1208</v>
      </c>
      <c r="AD1209">
        <f t="shared" si="25"/>
        <v>242</v>
      </c>
      <c r="AE1209" cm="1">
        <f t="array" ref="AE1209">INDEX(X:X, AD1209+1)*AC1209</f>
        <v>0</v>
      </c>
    </row>
    <row r="1210" spans="29:31">
      <c r="AC1210">
        <v>1209</v>
      </c>
      <c r="AD1210">
        <f t="shared" si="25"/>
        <v>242</v>
      </c>
      <c r="AE1210" cm="1">
        <f t="array" ref="AE1210">INDEX(X:X, AD1210+1)*AC1210</f>
        <v>0</v>
      </c>
    </row>
    <row r="1211" spans="29:31">
      <c r="AC1211">
        <v>1210</v>
      </c>
      <c r="AD1211">
        <f t="shared" si="25"/>
        <v>243</v>
      </c>
      <c r="AE1211" cm="1">
        <f t="array" ref="AE1211">INDEX(X:X, AD1211+1)*AC1211</f>
        <v>0</v>
      </c>
    </row>
    <row r="1212" spans="29:31">
      <c r="AC1212">
        <v>1211</v>
      </c>
      <c r="AD1212">
        <f t="shared" si="25"/>
        <v>243</v>
      </c>
      <c r="AE1212" cm="1">
        <f t="array" ref="AE1212">INDEX(X:X, AD1212+1)*AC1212</f>
        <v>0</v>
      </c>
    </row>
    <row r="1213" spans="29:31">
      <c r="AC1213">
        <v>1212</v>
      </c>
      <c r="AD1213">
        <f t="shared" si="25"/>
        <v>243</v>
      </c>
      <c r="AE1213" cm="1">
        <f t="array" ref="AE1213">INDEX(X:X, AD1213+1)*AC1213</f>
        <v>0</v>
      </c>
    </row>
    <row r="1214" spans="29:31">
      <c r="AC1214">
        <v>1213</v>
      </c>
      <c r="AD1214">
        <f t="shared" si="25"/>
        <v>243</v>
      </c>
      <c r="AE1214" cm="1">
        <f t="array" ref="AE1214">INDEX(X:X, AD1214+1)*AC1214</f>
        <v>0</v>
      </c>
    </row>
    <row r="1215" spans="29:31">
      <c r="AC1215">
        <v>1214</v>
      </c>
      <c r="AD1215">
        <f t="shared" si="25"/>
        <v>243</v>
      </c>
      <c r="AE1215" cm="1">
        <f t="array" ref="AE1215">INDEX(X:X, AD1215+1)*AC1215</f>
        <v>0</v>
      </c>
    </row>
    <row r="1216" spans="29:31">
      <c r="AC1216">
        <v>1215</v>
      </c>
      <c r="AD1216">
        <f t="shared" si="25"/>
        <v>244</v>
      </c>
      <c r="AE1216" cm="1">
        <f t="array" ref="AE1216">INDEX(X:X, AD1216+1)*AC1216</f>
        <v>0</v>
      </c>
    </row>
    <row r="1217" spans="29:31">
      <c r="AC1217">
        <v>1216</v>
      </c>
      <c r="AD1217">
        <f t="shared" si="25"/>
        <v>244</v>
      </c>
      <c r="AE1217" cm="1">
        <f t="array" ref="AE1217">INDEX(X:X, AD1217+1)*AC1217</f>
        <v>0</v>
      </c>
    </row>
    <row r="1218" spans="29:31">
      <c r="AC1218">
        <v>1217</v>
      </c>
      <c r="AD1218">
        <f t="shared" si="25"/>
        <v>244</v>
      </c>
      <c r="AE1218" cm="1">
        <f t="array" ref="AE1218">INDEX(X:X, AD1218+1)*AC1218</f>
        <v>0</v>
      </c>
    </row>
    <row r="1219" spans="29:31">
      <c r="AC1219">
        <v>1218</v>
      </c>
      <c r="AD1219">
        <f t="shared" ref="AD1219:AD1282" si="26">INT(AC1219/5)+1</f>
        <v>244</v>
      </c>
      <c r="AE1219" cm="1">
        <f t="array" ref="AE1219">INDEX(X:X, AD1219+1)*AC1219</f>
        <v>0</v>
      </c>
    </row>
    <row r="1220" spans="29:31">
      <c r="AC1220">
        <v>1219</v>
      </c>
      <c r="AD1220">
        <f t="shared" si="26"/>
        <v>244</v>
      </c>
      <c r="AE1220" cm="1">
        <f t="array" ref="AE1220">INDEX(X:X, AD1220+1)*AC1220</f>
        <v>0</v>
      </c>
    </row>
    <row r="1221" spans="29:31">
      <c r="AC1221">
        <v>1220</v>
      </c>
      <c r="AD1221">
        <f t="shared" si="26"/>
        <v>245</v>
      </c>
      <c r="AE1221" cm="1">
        <f t="array" ref="AE1221">INDEX(X:X, AD1221+1)*AC1221</f>
        <v>0</v>
      </c>
    </row>
    <row r="1222" spans="29:31">
      <c r="AC1222">
        <v>1221</v>
      </c>
      <c r="AD1222">
        <f t="shared" si="26"/>
        <v>245</v>
      </c>
      <c r="AE1222" cm="1">
        <f t="array" ref="AE1222">INDEX(X:X, AD1222+1)*AC1222</f>
        <v>0</v>
      </c>
    </row>
    <row r="1223" spans="29:31">
      <c r="AC1223">
        <v>1222</v>
      </c>
      <c r="AD1223">
        <f t="shared" si="26"/>
        <v>245</v>
      </c>
      <c r="AE1223" cm="1">
        <f t="array" ref="AE1223">INDEX(X:X, AD1223+1)*AC1223</f>
        <v>0</v>
      </c>
    </row>
    <row r="1224" spans="29:31">
      <c r="AC1224">
        <v>1223</v>
      </c>
      <c r="AD1224">
        <f t="shared" si="26"/>
        <v>245</v>
      </c>
      <c r="AE1224" cm="1">
        <f t="array" ref="AE1224">INDEX(X:X, AD1224+1)*AC1224</f>
        <v>0</v>
      </c>
    </row>
    <row r="1225" spans="29:31">
      <c r="AC1225">
        <v>1224</v>
      </c>
      <c r="AD1225">
        <f t="shared" si="26"/>
        <v>245</v>
      </c>
      <c r="AE1225" cm="1">
        <f t="array" ref="AE1225">INDEX(X:X, AD1225+1)*AC1225</f>
        <v>0</v>
      </c>
    </row>
    <row r="1226" spans="29:31">
      <c r="AC1226">
        <v>1225</v>
      </c>
      <c r="AD1226">
        <f t="shared" si="26"/>
        <v>246</v>
      </c>
      <c r="AE1226" cm="1">
        <f t="array" ref="AE1226">INDEX(X:X, AD1226+1)*AC1226</f>
        <v>0</v>
      </c>
    </row>
    <row r="1227" spans="29:31">
      <c r="AC1227">
        <v>1226</v>
      </c>
      <c r="AD1227">
        <f t="shared" si="26"/>
        <v>246</v>
      </c>
      <c r="AE1227" cm="1">
        <f t="array" ref="AE1227">INDEX(X:X, AD1227+1)*AC1227</f>
        <v>0</v>
      </c>
    </row>
    <row r="1228" spans="29:31">
      <c r="AC1228">
        <v>1227</v>
      </c>
      <c r="AD1228">
        <f t="shared" si="26"/>
        <v>246</v>
      </c>
      <c r="AE1228" cm="1">
        <f t="array" ref="AE1228">INDEX(X:X, AD1228+1)*AC1228</f>
        <v>0</v>
      </c>
    </row>
    <row r="1229" spans="29:31">
      <c r="AC1229">
        <v>1228</v>
      </c>
      <c r="AD1229">
        <f t="shared" si="26"/>
        <v>246</v>
      </c>
      <c r="AE1229" cm="1">
        <f t="array" ref="AE1229">INDEX(X:X, AD1229+1)*AC1229</f>
        <v>0</v>
      </c>
    </row>
    <row r="1230" spans="29:31">
      <c r="AC1230">
        <v>1229</v>
      </c>
      <c r="AD1230">
        <f t="shared" si="26"/>
        <v>246</v>
      </c>
      <c r="AE1230" cm="1">
        <f t="array" ref="AE1230">INDEX(X:X, AD1230+1)*AC1230</f>
        <v>0</v>
      </c>
    </row>
    <row r="1231" spans="29:31">
      <c r="AC1231">
        <v>1230</v>
      </c>
      <c r="AD1231">
        <f t="shared" si="26"/>
        <v>247</v>
      </c>
      <c r="AE1231" cm="1">
        <f t="array" ref="AE1231">INDEX(X:X, AD1231+1)*AC1231</f>
        <v>0</v>
      </c>
    </row>
    <row r="1232" spans="29:31">
      <c r="AC1232">
        <v>1231</v>
      </c>
      <c r="AD1232">
        <f t="shared" si="26"/>
        <v>247</v>
      </c>
      <c r="AE1232" cm="1">
        <f t="array" ref="AE1232">INDEX(X:X, AD1232+1)*AC1232</f>
        <v>0</v>
      </c>
    </row>
    <row r="1233" spans="29:31">
      <c r="AC1233">
        <v>1232</v>
      </c>
      <c r="AD1233">
        <f t="shared" si="26"/>
        <v>247</v>
      </c>
      <c r="AE1233" cm="1">
        <f t="array" ref="AE1233">INDEX(X:X, AD1233+1)*AC1233</f>
        <v>0</v>
      </c>
    </row>
    <row r="1234" spans="29:31">
      <c r="AC1234">
        <v>1233</v>
      </c>
      <c r="AD1234">
        <f t="shared" si="26"/>
        <v>247</v>
      </c>
      <c r="AE1234" cm="1">
        <f t="array" ref="AE1234">INDEX(X:X, AD1234+1)*AC1234</f>
        <v>0</v>
      </c>
    </row>
    <row r="1235" spans="29:31">
      <c r="AC1235">
        <v>1234</v>
      </c>
      <c r="AD1235">
        <f t="shared" si="26"/>
        <v>247</v>
      </c>
      <c r="AE1235" cm="1">
        <f t="array" ref="AE1235">INDEX(X:X, AD1235+1)*AC1235</f>
        <v>0</v>
      </c>
    </row>
    <row r="1236" spans="29:31">
      <c r="AC1236">
        <v>1235</v>
      </c>
      <c r="AD1236">
        <f t="shared" si="26"/>
        <v>248</v>
      </c>
      <c r="AE1236" cm="1">
        <f t="array" ref="AE1236">INDEX(X:X, AD1236+1)*AC1236</f>
        <v>0</v>
      </c>
    </row>
    <row r="1237" spans="29:31">
      <c r="AC1237">
        <v>1236</v>
      </c>
      <c r="AD1237">
        <f t="shared" si="26"/>
        <v>248</v>
      </c>
      <c r="AE1237" cm="1">
        <f t="array" ref="AE1237">INDEX(X:X, AD1237+1)*AC1237</f>
        <v>0</v>
      </c>
    </row>
    <row r="1238" spans="29:31">
      <c r="AC1238">
        <v>1237</v>
      </c>
      <c r="AD1238">
        <f t="shared" si="26"/>
        <v>248</v>
      </c>
      <c r="AE1238" cm="1">
        <f t="array" ref="AE1238">INDEX(X:X, AD1238+1)*AC1238</f>
        <v>0</v>
      </c>
    </row>
    <row r="1239" spans="29:31">
      <c r="AC1239">
        <v>1238</v>
      </c>
      <c r="AD1239">
        <f t="shared" si="26"/>
        <v>248</v>
      </c>
      <c r="AE1239" cm="1">
        <f t="array" ref="AE1239">INDEX(X:X, AD1239+1)*AC1239</f>
        <v>0</v>
      </c>
    </row>
    <row r="1240" spans="29:31">
      <c r="AC1240">
        <v>1239</v>
      </c>
      <c r="AD1240">
        <f t="shared" si="26"/>
        <v>248</v>
      </c>
      <c r="AE1240" cm="1">
        <f t="array" ref="AE1240">INDEX(X:X, AD1240+1)*AC1240</f>
        <v>0</v>
      </c>
    </row>
    <row r="1241" spans="29:31">
      <c r="AC1241">
        <v>1240</v>
      </c>
      <c r="AD1241">
        <f t="shared" si="26"/>
        <v>249</v>
      </c>
      <c r="AE1241" cm="1">
        <f t="array" ref="AE1241">INDEX(X:X, AD1241+1)*AC1241</f>
        <v>0</v>
      </c>
    </row>
    <row r="1242" spans="29:31">
      <c r="AC1242">
        <v>1241</v>
      </c>
      <c r="AD1242">
        <f t="shared" si="26"/>
        <v>249</v>
      </c>
      <c r="AE1242" cm="1">
        <f t="array" ref="AE1242">INDEX(X:X, AD1242+1)*AC1242</f>
        <v>0</v>
      </c>
    </row>
    <row r="1243" spans="29:31">
      <c r="AC1243">
        <v>1242</v>
      </c>
      <c r="AD1243">
        <f t="shared" si="26"/>
        <v>249</v>
      </c>
      <c r="AE1243" cm="1">
        <f t="array" ref="AE1243">INDEX(X:X, AD1243+1)*AC1243</f>
        <v>0</v>
      </c>
    </row>
    <row r="1244" spans="29:31">
      <c r="AC1244">
        <v>1243</v>
      </c>
      <c r="AD1244">
        <f t="shared" si="26"/>
        <v>249</v>
      </c>
      <c r="AE1244" cm="1">
        <f t="array" ref="AE1244">INDEX(X:X, AD1244+1)*AC1244</f>
        <v>0</v>
      </c>
    </row>
    <row r="1245" spans="29:31">
      <c r="AC1245">
        <v>1244</v>
      </c>
      <c r="AD1245">
        <f t="shared" si="26"/>
        <v>249</v>
      </c>
      <c r="AE1245" cm="1">
        <f t="array" ref="AE1245">INDEX(X:X, AD1245+1)*AC1245</f>
        <v>0</v>
      </c>
    </row>
    <row r="1246" spans="29:31">
      <c r="AC1246">
        <v>1245</v>
      </c>
      <c r="AD1246">
        <f t="shared" si="26"/>
        <v>250</v>
      </c>
      <c r="AE1246" cm="1">
        <f t="array" ref="AE1246">INDEX(X:X, AD1246+1)*AC1246</f>
        <v>0</v>
      </c>
    </row>
    <row r="1247" spans="29:31">
      <c r="AC1247">
        <v>1246</v>
      </c>
      <c r="AD1247">
        <f t="shared" si="26"/>
        <v>250</v>
      </c>
      <c r="AE1247" cm="1">
        <f t="array" ref="AE1247">INDEX(X:X, AD1247+1)*AC1247</f>
        <v>0</v>
      </c>
    </row>
    <row r="1248" spans="29:31">
      <c r="AC1248">
        <v>1247</v>
      </c>
      <c r="AD1248">
        <f t="shared" si="26"/>
        <v>250</v>
      </c>
      <c r="AE1248" cm="1">
        <f t="array" ref="AE1248">INDEX(X:X, AD1248+1)*AC1248</f>
        <v>0</v>
      </c>
    </row>
    <row r="1249" spans="29:31">
      <c r="AC1249">
        <v>1248</v>
      </c>
      <c r="AD1249">
        <f t="shared" si="26"/>
        <v>250</v>
      </c>
      <c r="AE1249" cm="1">
        <f t="array" ref="AE1249">INDEX(X:X, AD1249+1)*AC1249</f>
        <v>0</v>
      </c>
    </row>
    <row r="1250" spans="29:31">
      <c r="AC1250">
        <v>1249</v>
      </c>
      <c r="AD1250">
        <f t="shared" si="26"/>
        <v>250</v>
      </c>
      <c r="AE1250" cm="1">
        <f t="array" ref="AE1250">INDEX(X:X, AD1250+1)*AC1250</f>
        <v>0</v>
      </c>
    </row>
    <row r="1251" spans="29:31">
      <c r="AC1251">
        <v>1250</v>
      </c>
      <c r="AD1251">
        <f t="shared" si="26"/>
        <v>251</v>
      </c>
      <c r="AE1251" cm="1">
        <f t="array" ref="AE1251">INDEX(X:X, AD1251+1)*AC1251</f>
        <v>0</v>
      </c>
    </row>
    <row r="1252" spans="29:31">
      <c r="AC1252">
        <v>1251</v>
      </c>
      <c r="AD1252">
        <f t="shared" si="26"/>
        <v>251</v>
      </c>
      <c r="AE1252" cm="1">
        <f t="array" ref="AE1252">INDEX(X:X, AD1252+1)*AC1252</f>
        <v>0</v>
      </c>
    </row>
    <row r="1253" spans="29:31">
      <c r="AC1253">
        <v>1252</v>
      </c>
      <c r="AD1253">
        <f t="shared" si="26"/>
        <v>251</v>
      </c>
      <c r="AE1253" cm="1">
        <f t="array" ref="AE1253">INDEX(X:X, AD1253+1)*AC1253</f>
        <v>0</v>
      </c>
    </row>
    <row r="1254" spans="29:31">
      <c r="AC1254">
        <v>1253</v>
      </c>
      <c r="AD1254">
        <f t="shared" si="26"/>
        <v>251</v>
      </c>
      <c r="AE1254" cm="1">
        <f t="array" ref="AE1254">INDEX(X:X, AD1254+1)*AC1254</f>
        <v>0</v>
      </c>
    </row>
    <row r="1255" spans="29:31">
      <c r="AC1255">
        <v>1254</v>
      </c>
      <c r="AD1255">
        <f t="shared" si="26"/>
        <v>251</v>
      </c>
      <c r="AE1255" cm="1">
        <f t="array" ref="AE1255">INDEX(X:X, AD1255+1)*AC1255</f>
        <v>0</v>
      </c>
    </row>
    <row r="1256" spans="29:31">
      <c r="AC1256">
        <v>1255</v>
      </c>
      <c r="AD1256">
        <f t="shared" si="26"/>
        <v>252</v>
      </c>
      <c r="AE1256" cm="1">
        <f t="array" ref="AE1256">INDEX(X:X, AD1256+1)*AC1256</f>
        <v>0</v>
      </c>
    </row>
    <row r="1257" spans="29:31">
      <c r="AC1257">
        <v>1256</v>
      </c>
      <c r="AD1257">
        <f t="shared" si="26"/>
        <v>252</v>
      </c>
      <c r="AE1257" cm="1">
        <f t="array" ref="AE1257">INDEX(X:X, AD1257+1)*AC1257</f>
        <v>0</v>
      </c>
    </row>
    <row r="1258" spans="29:31">
      <c r="AC1258">
        <v>1257</v>
      </c>
      <c r="AD1258">
        <f t="shared" si="26"/>
        <v>252</v>
      </c>
      <c r="AE1258" cm="1">
        <f t="array" ref="AE1258">INDEX(X:X, AD1258+1)*AC1258</f>
        <v>0</v>
      </c>
    </row>
    <row r="1259" spans="29:31">
      <c r="AC1259">
        <v>1258</v>
      </c>
      <c r="AD1259">
        <f t="shared" si="26"/>
        <v>252</v>
      </c>
      <c r="AE1259" cm="1">
        <f t="array" ref="AE1259">INDEX(X:X, AD1259+1)*AC1259</f>
        <v>0</v>
      </c>
    </row>
    <row r="1260" spans="29:31">
      <c r="AC1260">
        <v>1259</v>
      </c>
      <c r="AD1260">
        <f t="shared" si="26"/>
        <v>252</v>
      </c>
      <c r="AE1260" cm="1">
        <f t="array" ref="AE1260">INDEX(X:X, AD1260+1)*AC1260</f>
        <v>0</v>
      </c>
    </row>
    <row r="1261" spans="29:31">
      <c r="AC1261">
        <v>1260</v>
      </c>
      <c r="AD1261">
        <f t="shared" si="26"/>
        <v>253</v>
      </c>
      <c r="AE1261" cm="1">
        <f t="array" ref="AE1261">INDEX(X:X, AD1261+1)*AC1261</f>
        <v>0</v>
      </c>
    </row>
    <row r="1262" spans="29:31">
      <c r="AC1262">
        <v>1261</v>
      </c>
      <c r="AD1262">
        <f t="shared" si="26"/>
        <v>253</v>
      </c>
      <c r="AE1262" cm="1">
        <f t="array" ref="AE1262">INDEX(X:X, AD1262+1)*AC1262</f>
        <v>0</v>
      </c>
    </row>
    <row r="1263" spans="29:31">
      <c r="AC1263">
        <v>1262</v>
      </c>
      <c r="AD1263">
        <f t="shared" si="26"/>
        <v>253</v>
      </c>
      <c r="AE1263" cm="1">
        <f t="array" ref="AE1263">INDEX(X:X, AD1263+1)*AC1263</f>
        <v>0</v>
      </c>
    </row>
    <row r="1264" spans="29:31">
      <c r="AC1264">
        <v>1263</v>
      </c>
      <c r="AD1264">
        <f t="shared" si="26"/>
        <v>253</v>
      </c>
      <c r="AE1264" cm="1">
        <f t="array" ref="AE1264">INDEX(X:X, AD1264+1)*AC1264</f>
        <v>0</v>
      </c>
    </row>
    <row r="1265" spans="29:31">
      <c r="AC1265">
        <v>1264</v>
      </c>
      <c r="AD1265">
        <f t="shared" si="26"/>
        <v>253</v>
      </c>
      <c r="AE1265" cm="1">
        <f t="array" ref="AE1265">INDEX(X:X, AD1265+1)*AC1265</f>
        <v>0</v>
      </c>
    </row>
    <row r="1266" spans="29:31">
      <c r="AC1266">
        <v>1265</v>
      </c>
      <c r="AD1266">
        <f t="shared" si="26"/>
        <v>254</v>
      </c>
      <c r="AE1266" cm="1">
        <f t="array" ref="AE1266">INDEX(X:X, AD1266+1)*AC1266</f>
        <v>0</v>
      </c>
    </row>
    <row r="1267" spans="29:31">
      <c r="AC1267">
        <v>1266</v>
      </c>
      <c r="AD1267">
        <f t="shared" si="26"/>
        <v>254</v>
      </c>
      <c r="AE1267" cm="1">
        <f t="array" ref="AE1267">INDEX(X:X, AD1267+1)*AC1267</f>
        <v>0</v>
      </c>
    </row>
    <row r="1268" spans="29:31">
      <c r="AC1268">
        <v>1267</v>
      </c>
      <c r="AD1268">
        <f t="shared" si="26"/>
        <v>254</v>
      </c>
      <c r="AE1268" cm="1">
        <f t="array" ref="AE1268">INDEX(X:X, AD1268+1)*AC1268</f>
        <v>0</v>
      </c>
    </row>
    <row r="1269" spans="29:31">
      <c r="AC1269">
        <v>1268</v>
      </c>
      <c r="AD1269">
        <f t="shared" si="26"/>
        <v>254</v>
      </c>
      <c r="AE1269" cm="1">
        <f t="array" ref="AE1269">INDEX(X:X, AD1269+1)*AC1269</f>
        <v>0</v>
      </c>
    </row>
    <row r="1270" spans="29:31">
      <c r="AC1270">
        <v>1269</v>
      </c>
      <c r="AD1270">
        <f t="shared" si="26"/>
        <v>254</v>
      </c>
      <c r="AE1270" cm="1">
        <f t="array" ref="AE1270">INDEX(X:X, AD1270+1)*AC1270</f>
        <v>0</v>
      </c>
    </row>
    <row r="1271" spans="29:31">
      <c r="AC1271">
        <v>1270</v>
      </c>
      <c r="AD1271">
        <f t="shared" si="26"/>
        <v>255</v>
      </c>
      <c r="AE1271" cm="1">
        <f t="array" ref="AE1271">INDEX(X:X, AD1271+1)*AC1271</f>
        <v>0</v>
      </c>
    </row>
    <row r="1272" spans="29:31">
      <c r="AC1272">
        <v>1271</v>
      </c>
      <c r="AD1272">
        <f t="shared" si="26"/>
        <v>255</v>
      </c>
      <c r="AE1272" cm="1">
        <f t="array" ref="AE1272">INDEX(X:X, AD1272+1)*AC1272</f>
        <v>0</v>
      </c>
    </row>
    <row r="1273" spans="29:31">
      <c r="AC1273">
        <v>1272</v>
      </c>
      <c r="AD1273">
        <f t="shared" si="26"/>
        <v>255</v>
      </c>
      <c r="AE1273" cm="1">
        <f t="array" ref="AE1273">INDEX(X:X, AD1273+1)*AC1273</f>
        <v>0</v>
      </c>
    </row>
    <row r="1274" spans="29:31">
      <c r="AC1274">
        <v>1273</v>
      </c>
      <c r="AD1274">
        <f t="shared" si="26"/>
        <v>255</v>
      </c>
      <c r="AE1274" cm="1">
        <f t="array" ref="AE1274">INDEX(X:X, AD1274+1)*AC1274</f>
        <v>0</v>
      </c>
    </row>
    <row r="1275" spans="29:31">
      <c r="AC1275">
        <v>1274</v>
      </c>
      <c r="AD1275">
        <f t="shared" si="26"/>
        <v>255</v>
      </c>
      <c r="AE1275" cm="1">
        <f t="array" ref="AE1275">INDEX(X:X, AD1275+1)*AC1275</f>
        <v>0</v>
      </c>
    </row>
    <row r="1276" spans="29:31">
      <c r="AC1276">
        <v>1275</v>
      </c>
      <c r="AD1276">
        <f t="shared" si="26"/>
        <v>256</v>
      </c>
      <c r="AE1276" cm="1">
        <f t="array" ref="AE1276">INDEX(X:X, AD1276+1)*AC1276</f>
        <v>0</v>
      </c>
    </row>
    <row r="1277" spans="29:31">
      <c r="AC1277">
        <v>1276</v>
      </c>
      <c r="AD1277">
        <f t="shared" si="26"/>
        <v>256</v>
      </c>
      <c r="AE1277" cm="1">
        <f t="array" ref="AE1277">INDEX(X:X, AD1277+1)*AC1277</f>
        <v>0</v>
      </c>
    </row>
    <row r="1278" spans="29:31">
      <c r="AC1278">
        <v>1277</v>
      </c>
      <c r="AD1278">
        <f t="shared" si="26"/>
        <v>256</v>
      </c>
      <c r="AE1278" cm="1">
        <f t="array" ref="AE1278">INDEX(X:X, AD1278+1)*AC1278</f>
        <v>0</v>
      </c>
    </row>
    <row r="1279" spans="29:31">
      <c r="AC1279">
        <v>1278</v>
      </c>
      <c r="AD1279">
        <f t="shared" si="26"/>
        <v>256</v>
      </c>
      <c r="AE1279" cm="1">
        <f t="array" ref="AE1279">INDEX(X:X, AD1279+1)*AC1279</f>
        <v>0</v>
      </c>
    </row>
    <row r="1280" spans="29:31">
      <c r="AC1280">
        <v>1279</v>
      </c>
      <c r="AD1280">
        <f t="shared" si="26"/>
        <v>256</v>
      </c>
      <c r="AE1280" cm="1">
        <f t="array" ref="AE1280">INDEX(X:X, AD1280+1)*AC1280</f>
        <v>0</v>
      </c>
    </row>
    <row r="1281" spans="29:31">
      <c r="AC1281">
        <v>1280</v>
      </c>
      <c r="AD1281">
        <f t="shared" si="26"/>
        <v>257</v>
      </c>
      <c r="AE1281" cm="1">
        <f t="array" ref="AE1281">INDEX(X:X, AD1281+1)*AC1281</f>
        <v>0</v>
      </c>
    </row>
    <row r="1282" spans="29:31">
      <c r="AC1282">
        <v>1281</v>
      </c>
      <c r="AD1282">
        <f t="shared" si="26"/>
        <v>257</v>
      </c>
      <c r="AE1282" cm="1">
        <f t="array" ref="AE1282">INDEX(X:X, AD1282+1)*AC1282</f>
        <v>0</v>
      </c>
    </row>
    <row r="1283" spans="29:31">
      <c r="AC1283">
        <v>1282</v>
      </c>
      <c r="AD1283">
        <f t="shared" ref="AD1283:AD1346" si="27">INT(AC1283/5)+1</f>
        <v>257</v>
      </c>
      <c r="AE1283" cm="1">
        <f t="array" ref="AE1283">INDEX(X:X, AD1283+1)*AC1283</f>
        <v>0</v>
      </c>
    </row>
    <row r="1284" spans="29:31">
      <c r="AC1284">
        <v>1283</v>
      </c>
      <c r="AD1284">
        <f t="shared" si="27"/>
        <v>257</v>
      </c>
      <c r="AE1284" cm="1">
        <f t="array" ref="AE1284">INDEX(X:X, AD1284+1)*AC1284</f>
        <v>0</v>
      </c>
    </row>
    <row r="1285" spans="29:31">
      <c r="AC1285">
        <v>1284</v>
      </c>
      <c r="AD1285">
        <f t="shared" si="27"/>
        <v>257</v>
      </c>
      <c r="AE1285" cm="1">
        <f t="array" ref="AE1285">INDEX(X:X, AD1285+1)*AC1285</f>
        <v>0</v>
      </c>
    </row>
    <row r="1286" spans="29:31">
      <c r="AC1286">
        <v>1285</v>
      </c>
      <c r="AD1286">
        <f t="shared" si="27"/>
        <v>258</v>
      </c>
      <c r="AE1286" cm="1">
        <f t="array" ref="AE1286">INDEX(X:X, AD1286+1)*AC1286</f>
        <v>0</v>
      </c>
    </row>
    <row r="1287" spans="29:31">
      <c r="AC1287">
        <v>1286</v>
      </c>
      <c r="AD1287">
        <f t="shared" si="27"/>
        <v>258</v>
      </c>
      <c r="AE1287" cm="1">
        <f t="array" ref="AE1287">INDEX(X:X, AD1287+1)*AC1287</f>
        <v>0</v>
      </c>
    </row>
    <row r="1288" spans="29:31">
      <c r="AC1288">
        <v>1287</v>
      </c>
      <c r="AD1288">
        <f t="shared" si="27"/>
        <v>258</v>
      </c>
      <c r="AE1288" cm="1">
        <f t="array" ref="AE1288">INDEX(X:X, AD1288+1)*AC1288</f>
        <v>0</v>
      </c>
    </row>
    <row r="1289" spans="29:31">
      <c r="AC1289">
        <v>1288</v>
      </c>
      <c r="AD1289">
        <f t="shared" si="27"/>
        <v>258</v>
      </c>
      <c r="AE1289" cm="1">
        <f t="array" ref="AE1289">INDEX(X:X, AD1289+1)*AC1289</f>
        <v>0</v>
      </c>
    </row>
    <row r="1290" spans="29:31">
      <c r="AC1290">
        <v>1289</v>
      </c>
      <c r="AD1290">
        <f t="shared" si="27"/>
        <v>258</v>
      </c>
      <c r="AE1290" cm="1">
        <f t="array" ref="AE1290">INDEX(X:X, AD1290+1)*AC1290</f>
        <v>0</v>
      </c>
    </row>
    <row r="1291" spans="29:31">
      <c r="AC1291">
        <v>1290</v>
      </c>
      <c r="AD1291">
        <f t="shared" si="27"/>
        <v>259</v>
      </c>
      <c r="AE1291" cm="1">
        <f t="array" ref="AE1291">INDEX(X:X, AD1291+1)*AC1291</f>
        <v>0</v>
      </c>
    </row>
    <row r="1292" spans="29:31">
      <c r="AC1292">
        <v>1291</v>
      </c>
      <c r="AD1292">
        <f t="shared" si="27"/>
        <v>259</v>
      </c>
      <c r="AE1292" cm="1">
        <f t="array" ref="AE1292">INDEX(X:X, AD1292+1)*AC1292</f>
        <v>0</v>
      </c>
    </row>
    <row r="1293" spans="29:31">
      <c r="AC1293">
        <v>1292</v>
      </c>
      <c r="AD1293">
        <f t="shared" si="27"/>
        <v>259</v>
      </c>
      <c r="AE1293" cm="1">
        <f t="array" ref="AE1293">INDEX(X:X, AD1293+1)*AC1293</f>
        <v>0</v>
      </c>
    </row>
    <row r="1294" spans="29:31">
      <c r="AC1294">
        <v>1293</v>
      </c>
      <c r="AD1294">
        <f t="shared" si="27"/>
        <v>259</v>
      </c>
      <c r="AE1294" cm="1">
        <f t="array" ref="AE1294">INDEX(X:X, AD1294+1)*AC1294</f>
        <v>0</v>
      </c>
    </row>
    <row r="1295" spans="29:31">
      <c r="AC1295">
        <v>1294</v>
      </c>
      <c r="AD1295">
        <f t="shared" si="27"/>
        <v>259</v>
      </c>
      <c r="AE1295" cm="1">
        <f t="array" ref="AE1295">INDEX(X:X, AD1295+1)*AC1295</f>
        <v>0</v>
      </c>
    </row>
    <row r="1296" spans="29:31">
      <c r="AC1296">
        <v>1295</v>
      </c>
      <c r="AD1296">
        <f t="shared" si="27"/>
        <v>260</v>
      </c>
      <c r="AE1296" cm="1">
        <f t="array" ref="AE1296">INDEX(X:X, AD1296+1)*AC1296</f>
        <v>0</v>
      </c>
    </row>
    <row r="1297" spans="29:31">
      <c r="AC1297">
        <v>1296</v>
      </c>
      <c r="AD1297">
        <f t="shared" si="27"/>
        <v>260</v>
      </c>
      <c r="AE1297" cm="1">
        <f t="array" ref="AE1297">INDEX(X:X, AD1297+1)*AC1297</f>
        <v>0</v>
      </c>
    </row>
    <row r="1298" spans="29:31">
      <c r="AC1298">
        <v>1297</v>
      </c>
      <c r="AD1298">
        <f t="shared" si="27"/>
        <v>260</v>
      </c>
      <c r="AE1298" cm="1">
        <f t="array" ref="AE1298">INDEX(X:X, AD1298+1)*AC1298</f>
        <v>0</v>
      </c>
    </row>
    <row r="1299" spans="29:31">
      <c r="AC1299">
        <v>1298</v>
      </c>
      <c r="AD1299">
        <f t="shared" si="27"/>
        <v>260</v>
      </c>
      <c r="AE1299" cm="1">
        <f t="array" ref="AE1299">INDEX(X:X, AD1299+1)*AC1299</f>
        <v>0</v>
      </c>
    </row>
    <row r="1300" spans="29:31">
      <c r="AC1300">
        <v>1299</v>
      </c>
      <c r="AD1300">
        <f t="shared" si="27"/>
        <v>260</v>
      </c>
      <c r="AE1300" cm="1">
        <f t="array" ref="AE1300">INDEX(X:X, AD1300+1)*AC1300</f>
        <v>0</v>
      </c>
    </row>
    <row r="1301" spans="29:31">
      <c r="AC1301">
        <v>1300</v>
      </c>
      <c r="AD1301">
        <f t="shared" si="27"/>
        <v>261</v>
      </c>
      <c r="AE1301" cm="1">
        <f t="array" ref="AE1301">INDEX(X:X, AD1301+1)*AC1301</f>
        <v>0</v>
      </c>
    </row>
    <row r="1302" spans="29:31">
      <c r="AC1302">
        <v>1301</v>
      </c>
      <c r="AD1302">
        <f t="shared" si="27"/>
        <v>261</v>
      </c>
      <c r="AE1302" cm="1">
        <f t="array" ref="AE1302">INDEX(X:X, AD1302+1)*AC1302</f>
        <v>0</v>
      </c>
    </row>
    <row r="1303" spans="29:31">
      <c r="AC1303">
        <v>1302</v>
      </c>
      <c r="AD1303">
        <f t="shared" si="27"/>
        <v>261</v>
      </c>
      <c r="AE1303" cm="1">
        <f t="array" ref="AE1303">INDEX(X:X, AD1303+1)*AC1303</f>
        <v>0</v>
      </c>
    </row>
    <row r="1304" spans="29:31">
      <c r="AC1304">
        <v>1303</v>
      </c>
      <c r="AD1304">
        <f t="shared" si="27"/>
        <v>261</v>
      </c>
      <c r="AE1304" cm="1">
        <f t="array" ref="AE1304">INDEX(X:X, AD1304+1)*AC1304</f>
        <v>0</v>
      </c>
    </row>
    <row r="1305" spans="29:31">
      <c r="AC1305">
        <v>1304</v>
      </c>
      <c r="AD1305">
        <f t="shared" si="27"/>
        <v>261</v>
      </c>
      <c r="AE1305" cm="1">
        <f t="array" ref="AE1305">INDEX(X:X, AD1305+1)*AC1305</f>
        <v>0</v>
      </c>
    </row>
    <row r="1306" spans="29:31">
      <c r="AC1306">
        <v>1305</v>
      </c>
      <c r="AD1306">
        <f t="shared" si="27"/>
        <v>262</v>
      </c>
      <c r="AE1306" cm="1">
        <f t="array" ref="AE1306">INDEX(X:X, AD1306+1)*AC1306</f>
        <v>0</v>
      </c>
    </row>
    <row r="1307" spans="29:31">
      <c r="AC1307">
        <v>1306</v>
      </c>
      <c r="AD1307">
        <f t="shared" si="27"/>
        <v>262</v>
      </c>
      <c r="AE1307" cm="1">
        <f t="array" ref="AE1307">INDEX(X:X, AD1307+1)*AC1307</f>
        <v>0</v>
      </c>
    </row>
    <row r="1308" spans="29:31">
      <c r="AC1308">
        <v>1307</v>
      </c>
      <c r="AD1308">
        <f t="shared" si="27"/>
        <v>262</v>
      </c>
      <c r="AE1308" cm="1">
        <f t="array" ref="AE1308">INDEX(X:X, AD1308+1)*AC1308</f>
        <v>0</v>
      </c>
    </row>
    <row r="1309" spans="29:31">
      <c r="AC1309">
        <v>1308</v>
      </c>
      <c r="AD1309">
        <f t="shared" si="27"/>
        <v>262</v>
      </c>
      <c r="AE1309" cm="1">
        <f t="array" ref="AE1309">INDEX(X:X, AD1309+1)*AC1309</f>
        <v>0</v>
      </c>
    </row>
    <row r="1310" spans="29:31">
      <c r="AC1310">
        <v>1309</v>
      </c>
      <c r="AD1310">
        <f t="shared" si="27"/>
        <v>262</v>
      </c>
      <c r="AE1310" cm="1">
        <f t="array" ref="AE1310">INDEX(X:X, AD1310+1)*AC1310</f>
        <v>0</v>
      </c>
    </row>
    <row r="1311" spans="29:31">
      <c r="AC1311">
        <v>1310</v>
      </c>
      <c r="AD1311">
        <f t="shared" si="27"/>
        <v>263</v>
      </c>
      <c r="AE1311" cm="1">
        <f t="array" ref="AE1311">INDEX(X:X, AD1311+1)*AC1311</f>
        <v>0</v>
      </c>
    </row>
    <row r="1312" spans="29:31">
      <c r="AC1312">
        <v>1311</v>
      </c>
      <c r="AD1312">
        <f t="shared" si="27"/>
        <v>263</v>
      </c>
      <c r="AE1312" cm="1">
        <f t="array" ref="AE1312">INDEX(X:X, AD1312+1)*AC1312</f>
        <v>0</v>
      </c>
    </row>
    <row r="1313" spans="29:31">
      <c r="AC1313">
        <v>1312</v>
      </c>
      <c r="AD1313">
        <f t="shared" si="27"/>
        <v>263</v>
      </c>
      <c r="AE1313" cm="1">
        <f t="array" ref="AE1313">INDEX(X:X, AD1313+1)*AC1313</f>
        <v>0</v>
      </c>
    </row>
    <row r="1314" spans="29:31">
      <c r="AC1314">
        <v>1313</v>
      </c>
      <c r="AD1314">
        <f t="shared" si="27"/>
        <v>263</v>
      </c>
      <c r="AE1314" cm="1">
        <f t="array" ref="AE1314">INDEX(X:X, AD1314+1)*AC1314</f>
        <v>0</v>
      </c>
    </row>
    <row r="1315" spans="29:31">
      <c r="AC1315">
        <v>1314</v>
      </c>
      <c r="AD1315">
        <f t="shared" si="27"/>
        <v>263</v>
      </c>
      <c r="AE1315" cm="1">
        <f t="array" ref="AE1315">INDEX(X:X, AD1315+1)*AC1315</f>
        <v>0</v>
      </c>
    </row>
    <row r="1316" spans="29:31">
      <c r="AC1316">
        <v>1315</v>
      </c>
      <c r="AD1316">
        <f t="shared" si="27"/>
        <v>264</v>
      </c>
      <c r="AE1316" cm="1">
        <f t="array" ref="AE1316">INDEX(X:X, AD1316+1)*AC1316</f>
        <v>0</v>
      </c>
    </row>
    <row r="1317" spans="29:31">
      <c r="AC1317">
        <v>1316</v>
      </c>
      <c r="AD1317">
        <f t="shared" si="27"/>
        <v>264</v>
      </c>
      <c r="AE1317" cm="1">
        <f t="array" ref="AE1317">INDEX(X:X, AD1317+1)*AC1317</f>
        <v>0</v>
      </c>
    </row>
    <row r="1318" spans="29:31">
      <c r="AC1318">
        <v>1317</v>
      </c>
      <c r="AD1318">
        <f t="shared" si="27"/>
        <v>264</v>
      </c>
      <c r="AE1318" cm="1">
        <f t="array" ref="AE1318">INDEX(X:X, AD1318+1)*AC1318</f>
        <v>0</v>
      </c>
    </row>
    <row r="1319" spans="29:31">
      <c r="AC1319">
        <v>1318</v>
      </c>
      <c r="AD1319">
        <f t="shared" si="27"/>
        <v>264</v>
      </c>
      <c r="AE1319" cm="1">
        <f t="array" ref="AE1319">INDEX(X:X, AD1319+1)*AC1319</f>
        <v>0</v>
      </c>
    </row>
    <row r="1320" spans="29:31">
      <c r="AC1320">
        <v>1319</v>
      </c>
      <c r="AD1320">
        <f t="shared" si="27"/>
        <v>264</v>
      </c>
      <c r="AE1320" cm="1">
        <f t="array" ref="AE1320">INDEX(X:X, AD1320+1)*AC1320</f>
        <v>0</v>
      </c>
    </row>
    <row r="1321" spans="29:31">
      <c r="AC1321">
        <v>1320</v>
      </c>
      <c r="AD1321">
        <f t="shared" si="27"/>
        <v>265</v>
      </c>
      <c r="AE1321" cm="1">
        <f t="array" ref="AE1321">INDEX(X:X, AD1321+1)*AC1321</f>
        <v>0</v>
      </c>
    </row>
    <row r="1322" spans="29:31">
      <c r="AC1322">
        <v>1321</v>
      </c>
      <c r="AD1322">
        <f t="shared" si="27"/>
        <v>265</v>
      </c>
      <c r="AE1322" cm="1">
        <f t="array" ref="AE1322">INDEX(X:X, AD1322+1)*AC1322</f>
        <v>0</v>
      </c>
    </row>
    <row r="1323" spans="29:31">
      <c r="AC1323">
        <v>1322</v>
      </c>
      <c r="AD1323">
        <f t="shared" si="27"/>
        <v>265</v>
      </c>
      <c r="AE1323" cm="1">
        <f t="array" ref="AE1323">INDEX(X:X, AD1323+1)*AC1323</f>
        <v>0</v>
      </c>
    </row>
    <row r="1324" spans="29:31">
      <c r="AC1324">
        <v>1323</v>
      </c>
      <c r="AD1324">
        <f t="shared" si="27"/>
        <v>265</v>
      </c>
      <c r="AE1324" cm="1">
        <f t="array" ref="AE1324">INDEX(X:X, AD1324+1)*AC1324</f>
        <v>0</v>
      </c>
    </row>
    <row r="1325" spans="29:31">
      <c r="AC1325">
        <v>1324</v>
      </c>
      <c r="AD1325">
        <f t="shared" si="27"/>
        <v>265</v>
      </c>
      <c r="AE1325" cm="1">
        <f t="array" ref="AE1325">INDEX(X:X, AD1325+1)*AC1325</f>
        <v>0</v>
      </c>
    </row>
    <row r="1326" spans="29:31">
      <c r="AC1326">
        <v>1325</v>
      </c>
      <c r="AD1326">
        <f t="shared" si="27"/>
        <v>266</v>
      </c>
      <c r="AE1326" cm="1">
        <f t="array" ref="AE1326">INDEX(X:X, AD1326+1)*AC1326</f>
        <v>0</v>
      </c>
    </row>
    <row r="1327" spans="29:31">
      <c r="AC1327">
        <v>1326</v>
      </c>
      <c r="AD1327">
        <f t="shared" si="27"/>
        <v>266</v>
      </c>
      <c r="AE1327" cm="1">
        <f t="array" ref="AE1327">INDEX(X:X, AD1327+1)*AC1327</f>
        <v>0</v>
      </c>
    </row>
    <row r="1328" spans="29:31">
      <c r="AC1328">
        <v>1327</v>
      </c>
      <c r="AD1328">
        <f t="shared" si="27"/>
        <v>266</v>
      </c>
      <c r="AE1328" cm="1">
        <f t="array" ref="AE1328">INDEX(X:X, AD1328+1)*AC1328</f>
        <v>0</v>
      </c>
    </row>
    <row r="1329" spans="29:31">
      <c r="AC1329">
        <v>1328</v>
      </c>
      <c r="AD1329">
        <f t="shared" si="27"/>
        <v>266</v>
      </c>
      <c r="AE1329" cm="1">
        <f t="array" ref="AE1329">INDEX(X:X, AD1329+1)*AC1329</f>
        <v>0</v>
      </c>
    </row>
    <row r="1330" spans="29:31">
      <c r="AC1330">
        <v>1329</v>
      </c>
      <c r="AD1330">
        <f t="shared" si="27"/>
        <v>266</v>
      </c>
      <c r="AE1330" cm="1">
        <f t="array" ref="AE1330">INDEX(X:X, AD1330+1)*AC1330</f>
        <v>0</v>
      </c>
    </row>
    <row r="1331" spans="29:31">
      <c r="AC1331">
        <v>1330</v>
      </c>
      <c r="AD1331">
        <f t="shared" si="27"/>
        <v>267</v>
      </c>
      <c r="AE1331" cm="1">
        <f t="array" ref="AE1331">INDEX(X:X, AD1331+1)*AC1331</f>
        <v>0</v>
      </c>
    </row>
    <row r="1332" spans="29:31">
      <c r="AC1332">
        <v>1331</v>
      </c>
      <c r="AD1332">
        <f t="shared" si="27"/>
        <v>267</v>
      </c>
      <c r="AE1332" cm="1">
        <f t="array" ref="AE1332">INDEX(X:X, AD1332+1)*AC1332</f>
        <v>0</v>
      </c>
    </row>
    <row r="1333" spans="29:31">
      <c r="AC1333">
        <v>1332</v>
      </c>
      <c r="AD1333">
        <f t="shared" si="27"/>
        <v>267</v>
      </c>
      <c r="AE1333" cm="1">
        <f t="array" ref="AE1333">INDEX(X:X, AD1333+1)*AC1333</f>
        <v>0</v>
      </c>
    </row>
    <row r="1334" spans="29:31">
      <c r="AC1334">
        <v>1333</v>
      </c>
      <c r="AD1334">
        <f t="shared" si="27"/>
        <v>267</v>
      </c>
      <c r="AE1334" cm="1">
        <f t="array" ref="AE1334">INDEX(X:X, AD1334+1)*AC1334</f>
        <v>0</v>
      </c>
    </row>
    <row r="1335" spans="29:31">
      <c r="AC1335">
        <v>1334</v>
      </c>
      <c r="AD1335">
        <f t="shared" si="27"/>
        <v>267</v>
      </c>
      <c r="AE1335" cm="1">
        <f t="array" ref="AE1335">INDEX(X:X, AD1335+1)*AC1335</f>
        <v>0</v>
      </c>
    </row>
    <row r="1336" spans="29:31">
      <c r="AC1336">
        <v>1335</v>
      </c>
      <c r="AD1336">
        <f t="shared" si="27"/>
        <v>268</v>
      </c>
      <c r="AE1336" cm="1">
        <f t="array" ref="AE1336">INDEX(X:X, AD1336+1)*AC1336</f>
        <v>0</v>
      </c>
    </row>
    <row r="1337" spans="29:31">
      <c r="AC1337">
        <v>1336</v>
      </c>
      <c r="AD1337">
        <f t="shared" si="27"/>
        <v>268</v>
      </c>
      <c r="AE1337" cm="1">
        <f t="array" ref="AE1337">INDEX(X:X, AD1337+1)*AC1337</f>
        <v>0</v>
      </c>
    </row>
    <row r="1338" spans="29:31">
      <c r="AC1338">
        <v>1337</v>
      </c>
      <c r="AD1338">
        <f t="shared" si="27"/>
        <v>268</v>
      </c>
      <c r="AE1338" cm="1">
        <f t="array" ref="AE1338">INDEX(X:X, AD1338+1)*AC1338</f>
        <v>0</v>
      </c>
    </row>
    <row r="1339" spans="29:31">
      <c r="AC1339">
        <v>1338</v>
      </c>
      <c r="AD1339">
        <f t="shared" si="27"/>
        <v>268</v>
      </c>
      <c r="AE1339" cm="1">
        <f t="array" ref="AE1339">INDEX(X:X, AD1339+1)*AC1339</f>
        <v>0</v>
      </c>
    </row>
    <row r="1340" spans="29:31">
      <c r="AC1340">
        <v>1339</v>
      </c>
      <c r="AD1340">
        <f t="shared" si="27"/>
        <v>268</v>
      </c>
      <c r="AE1340" cm="1">
        <f t="array" ref="AE1340">INDEX(X:X, AD1340+1)*AC1340</f>
        <v>0</v>
      </c>
    </row>
    <row r="1341" spans="29:31">
      <c r="AC1341">
        <v>1340</v>
      </c>
      <c r="AD1341">
        <f t="shared" si="27"/>
        <v>269</v>
      </c>
      <c r="AE1341" cm="1">
        <f t="array" ref="AE1341">INDEX(X:X, AD1341+1)*AC1341</f>
        <v>0</v>
      </c>
    </row>
    <row r="1342" spans="29:31">
      <c r="AC1342">
        <v>1341</v>
      </c>
      <c r="AD1342">
        <f t="shared" si="27"/>
        <v>269</v>
      </c>
      <c r="AE1342" cm="1">
        <f t="array" ref="AE1342">INDEX(X:X, AD1342+1)*AC1342</f>
        <v>0</v>
      </c>
    </row>
    <row r="1343" spans="29:31">
      <c r="AC1343">
        <v>1342</v>
      </c>
      <c r="AD1343">
        <f t="shared" si="27"/>
        <v>269</v>
      </c>
      <c r="AE1343" cm="1">
        <f t="array" ref="AE1343">INDEX(X:X, AD1343+1)*AC1343</f>
        <v>0</v>
      </c>
    </row>
    <row r="1344" spans="29:31">
      <c r="AC1344">
        <v>1343</v>
      </c>
      <c r="AD1344">
        <f t="shared" si="27"/>
        <v>269</v>
      </c>
      <c r="AE1344" cm="1">
        <f t="array" ref="AE1344">INDEX(X:X, AD1344+1)*AC1344</f>
        <v>0</v>
      </c>
    </row>
    <row r="1345" spans="29:31">
      <c r="AC1345">
        <v>1344</v>
      </c>
      <c r="AD1345">
        <f t="shared" si="27"/>
        <v>269</v>
      </c>
      <c r="AE1345" cm="1">
        <f t="array" ref="AE1345">INDEX(X:X, AD1345+1)*AC1345</f>
        <v>0</v>
      </c>
    </row>
    <row r="1346" spans="29:31">
      <c r="AC1346">
        <v>1345</v>
      </c>
      <c r="AD1346">
        <f t="shared" si="27"/>
        <v>270</v>
      </c>
      <c r="AE1346" cm="1">
        <f t="array" ref="AE1346">INDEX(X:X, AD1346+1)*AC1346</f>
        <v>0</v>
      </c>
    </row>
    <row r="1347" spans="29:31">
      <c r="AC1347">
        <v>1346</v>
      </c>
      <c r="AD1347">
        <f t="shared" ref="AD1347:AD1410" si="28">INT(AC1347/5)+1</f>
        <v>270</v>
      </c>
      <c r="AE1347" cm="1">
        <f t="array" ref="AE1347">INDEX(X:X, AD1347+1)*AC1347</f>
        <v>0</v>
      </c>
    </row>
    <row r="1348" spans="29:31">
      <c r="AC1348">
        <v>1347</v>
      </c>
      <c r="AD1348">
        <f t="shared" si="28"/>
        <v>270</v>
      </c>
      <c r="AE1348" cm="1">
        <f t="array" ref="AE1348">INDEX(X:X, AD1348+1)*AC1348</f>
        <v>0</v>
      </c>
    </row>
    <row r="1349" spans="29:31">
      <c r="AC1349">
        <v>1348</v>
      </c>
      <c r="AD1349">
        <f t="shared" si="28"/>
        <v>270</v>
      </c>
      <c r="AE1349" cm="1">
        <f t="array" ref="AE1349">INDEX(X:X, AD1349+1)*AC1349</f>
        <v>0</v>
      </c>
    </row>
    <row r="1350" spans="29:31">
      <c r="AC1350">
        <v>1349</v>
      </c>
      <c r="AD1350">
        <f t="shared" si="28"/>
        <v>270</v>
      </c>
      <c r="AE1350" cm="1">
        <f t="array" ref="AE1350">INDEX(X:X, AD1350+1)*AC1350</f>
        <v>0</v>
      </c>
    </row>
    <row r="1351" spans="29:31">
      <c r="AC1351">
        <v>1350</v>
      </c>
      <c r="AD1351">
        <f t="shared" si="28"/>
        <v>271</v>
      </c>
      <c r="AE1351" cm="1">
        <f t="array" ref="AE1351">INDEX(X:X, AD1351+1)*AC1351</f>
        <v>0</v>
      </c>
    </row>
    <row r="1352" spans="29:31">
      <c r="AC1352">
        <v>1351</v>
      </c>
      <c r="AD1352">
        <f t="shared" si="28"/>
        <v>271</v>
      </c>
      <c r="AE1352" cm="1">
        <f t="array" ref="AE1352">INDEX(X:X, AD1352+1)*AC1352</f>
        <v>0</v>
      </c>
    </row>
    <row r="1353" spans="29:31">
      <c r="AC1353">
        <v>1352</v>
      </c>
      <c r="AD1353">
        <f t="shared" si="28"/>
        <v>271</v>
      </c>
      <c r="AE1353" cm="1">
        <f t="array" ref="AE1353">INDEX(X:X, AD1353+1)*AC1353</f>
        <v>0</v>
      </c>
    </row>
    <row r="1354" spans="29:31">
      <c r="AC1354">
        <v>1353</v>
      </c>
      <c r="AD1354">
        <f t="shared" si="28"/>
        <v>271</v>
      </c>
      <c r="AE1354" cm="1">
        <f t="array" ref="AE1354">INDEX(X:X, AD1354+1)*AC1354</f>
        <v>0</v>
      </c>
    </row>
    <row r="1355" spans="29:31">
      <c r="AC1355">
        <v>1354</v>
      </c>
      <c r="AD1355">
        <f t="shared" si="28"/>
        <v>271</v>
      </c>
      <c r="AE1355" cm="1">
        <f t="array" ref="AE1355">INDEX(X:X, AD1355+1)*AC1355</f>
        <v>0</v>
      </c>
    </row>
    <row r="1356" spans="29:31">
      <c r="AC1356">
        <v>1355</v>
      </c>
      <c r="AD1356">
        <f t="shared" si="28"/>
        <v>272</v>
      </c>
      <c r="AE1356" cm="1">
        <f t="array" ref="AE1356">INDEX(X:X, AD1356+1)*AC1356</f>
        <v>0</v>
      </c>
    </row>
    <row r="1357" spans="29:31">
      <c r="AC1357">
        <v>1356</v>
      </c>
      <c r="AD1357">
        <f t="shared" si="28"/>
        <v>272</v>
      </c>
      <c r="AE1357" cm="1">
        <f t="array" ref="AE1357">INDEX(X:X, AD1357+1)*AC1357</f>
        <v>0</v>
      </c>
    </row>
    <row r="1358" spans="29:31">
      <c r="AC1358">
        <v>1357</v>
      </c>
      <c r="AD1358">
        <f t="shared" si="28"/>
        <v>272</v>
      </c>
      <c r="AE1358" cm="1">
        <f t="array" ref="AE1358">INDEX(X:X, AD1358+1)*AC1358</f>
        <v>0</v>
      </c>
    </row>
    <row r="1359" spans="29:31">
      <c r="AC1359">
        <v>1358</v>
      </c>
      <c r="AD1359">
        <f t="shared" si="28"/>
        <v>272</v>
      </c>
      <c r="AE1359" cm="1">
        <f t="array" ref="AE1359">INDEX(X:X, AD1359+1)*AC1359</f>
        <v>0</v>
      </c>
    </row>
    <row r="1360" spans="29:31">
      <c r="AC1360">
        <v>1359</v>
      </c>
      <c r="AD1360">
        <f t="shared" si="28"/>
        <v>272</v>
      </c>
      <c r="AE1360" cm="1">
        <f t="array" ref="AE1360">INDEX(X:X, AD1360+1)*AC1360</f>
        <v>0</v>
      </c>
    </row>
    <row r="1361" spans="29:31">
      <c r="AC1361">
        <v>1360</v>
      </c>
      <c r="AD1361">
        <f t="shared" si="28"/>
        <v>273</v>
      </c>
      <c r="AE1361" cm="1">
        <f t="array" ref="AE1361">INDEX(X:X, AD1361+1)*AC1361</f>
        <v>0</v>
      </c>
    </row>
    <row r="1362" spans="29:31">
      <c r="AC1362">
        <v>1361</v>
      </c>
      <c r="AD1362">
        <f t="shared" si="28"/>
        <v>273</v>
      </c>
      <c r="AE1362" cm="1">
        <f t="array" ref="AE1362">INDEX(X:X, AD1362+1)*AC1362</f>
        <v>0</v>
      </c>
    </row>
    <row r="1363" spans="29:31">
      <c r="AC1363">
        <v>1362</v>
      </c>
      <c r="AD1363">
        <f t="shared" si="28"/>
        <v>273</v>
      </c>
      <c r="AE1363" cm="1">
        <f t="array" ref="AE1363">INDEX(X:X, AD1363+1)*AC1363</f>
        <v>0</v>
      </c>
    </row>
    <row r="1364" spans="29:31">
      <c r="AC1364">
        <v>1363</v>
      </c>
      <c r="AD1364">
        <f t="shared" si="28"/>
        <v>273</v>
      </c>
      <c r="AE1364" cm="1">
        <f t="array" ref="AE1364">INDEX(X:X, AD1364+1)*AC1364</f>
        <v>0</v>
      </c>
    </row>
    <row r="1365" spans="29:31">
      <c r="AC1365">
        <v>1364</v>
      </c>
      <c r="AD1365">
        <f t="shared" si="28"/>
        <v>273</v>
      </c>
      <c r="AE1365" cm="1">
        <f t="array" ref="AE1365">INDEX(X:X, AD1365+1)*AC1365</f>
        <v>0</v>
      </c>
    </row>
    <row r="1366" spans="29:31">
      <c r="AC1366">
        <v>1365</v>
      </c>
      <c r="AD1366">
        <f t="shared" si="28"/>
        <v>274</v>
      </c>
      <c r="AE1366" cm="1">
        <f t="array" ref="AE1366">INDEX(X:X, AD1366+1)*AC1366</f>
        <v>0</v>
      </c>
    </row>
    <row r="1367" spans="29:31">
      <c r="AC1367">
        <v>1366</v>
      </c>
      <c r="AD1367">
        <f t="shared" si="28"/>
        <v>274</v>
      </c>
      <c r="AE1367" cm="1">
        <f t="array" ref="AE1367">INDEX(X:X, AD1367+1)*AC1367</f>
        <v>0</v>
      </c>
    </row>
    <row r="1368" spans="29:31">
      <c r="AC1368">
        <v>1367</v>
      </c>
      <c r="AD1368">
        <f t="shared" si="28"/>
        <v>274</v>
      </c>
      <c r="AE1368" cm="1">
        <f t="array" ref="AE1368">INDEX(X:X, AD1368+1)*AC1368</f>
        <v>0</v>
      </c>
    </row>
    <row r="1369" spans="29:31">
      <c r="AC1369">
        <v>1368</v>
      </c>
      <c r="AD1369">
        <f t="shared" si="28"/>
        <v>274</v>
      </c>
      <c r="AE1369" cm="1">
        <f t="array" ref="AE1369">INDEX(X:X, AD1369+1)*AC1369</f>
        <v>0</v>
      </c>
    </row>
    <row r="1370" spans="29:31">
      <c r="AC1370">
        <v>1369</v>
      </c>
      <c r="AD1370">
        <f t="shared" si="28"/>
        <v>274</v>
      </c>
      <c r="AE1370" cm="1">
        <f t="array" ref="AE1370">INDEX(X:X, AD1370+1)*AC1370</f>
        <v>0</v>
      </c>
    </row>
    <row r="1371" spans="29:31">
      <c r="AC1371">
        <v>1370</v>
      </c>
      <c r="AD1371">
        <f t="shared" si="28"/>
        <v>275</v>
      </c>
      <c r="AE1371" cm="1">
        <f t="array" ref="AE1371">INDEX(X:X, AD1371+1)*AC1371</f>
        <v>0</v>
      </c>
    </row>
    <row r="1372" spans="29:31">
      <c r="AC1372">
        <v>1371</v>
      </c>
      <c r="AD1372">
        <f t="shared" si="28"/>
        <v>275</v>
      </c>
      <c r="AE1372" cm="1">
        <f t="array" ref="AE1372">INDEX(X:X, AD1372+1)*AC1372</f>
        <v>0</v>
      </c>
    </row>
    <row r="1373" spans="29:31">
      <c r="AC1373">
        <v>1372</v>
      </c>
      <c r="AD1373">
        <f t="shared" si="28"/>
        <v>275</v>
      </c>
      <c r="AE1373" cm="1">
        <f t="array" ref="AE1373">INDEX(X:X, AD1373+1)*AC1373</f>
        <v>0</v>
      </c>
    </row>
    <row r="1374" spans="29:31">
      <c r="AC1374">
        <v>1373</v>
      </c>
      <c r="AD1374">
        <f t="shared" si="28"/>
        <v>275</v>
      </c>
      <c r="AE1374" cm="1">
        <f t="array" ref="AE1374">INDEX(X:X, AD1374+1)*AC1374</f>
        <v>0</v>
      </c>
    </row>
    <row r="1375" spans="29:31">
      <c r="AC1375">
        <v>1374</v>
      </c>
      <c r="AD1375">
        <f t="shared" si="28"/>
        <v>275</v>
      </c>
      <c r="AE1375" cm="1">
        <f t="array" ref="AE1375">INDEX(X:X, AD1375+1)*AC1375</f>
        <v>0</v>
      </c>
    </row>
    <row r="1376" spans="29:31">
      <c r="AC1376">
        <v>1375</v>
      </c>
      <c r="AD1376">
        <f t="shared" si="28"/>
        <v>276</v>
      </c>
      <c r="AE1376" cm="1">
        <f t="array" ref="AE1376">INDEX(X:X, AD1376+1)*AC1376</f>
        <v>0</v>
      </c>
    </row>
    <row r="1377" spans="29:31">
      <c r="AC1377">
        <v>1376</v>
      </c>
      <c r="AD1377">
        <f t="shared" si="28"/>
        <v>276</v>
      </c>
      <c r="AE1377" cm="1">
        <f t="array" ref="AE1377">INDEX(X:X, AD1377+1)*AC1377</f>
        <v>0</v>
      </c>
    </row>
    <row r="1378" spans="29:31">
      <c r="AC1378">
        <v>1377</v>
      </c>
      <c r="AD1378">
        <f t="shared" si="28"/>
        <v>276</v>
      </c>
      <c r="AE1378" cm="1">
        <f t="array" ref="AE1378">INDEX(X:X, AD1378+1)*AC1378</f>
        <v>0</v>
      </c>
    </row>
    <row r="1379" spans="29:31">
      <c r="AC1379">
        <v>1378</v>
      </c>
      <c r="AD1379">
        <f t="shared" si="28"/>
        <v>276</v>
      </c>
      <c r="AE1379" cm="1">
        <f t="array" ref="AE1379">INDEX(X:X, AD1379+1)*AC1379</f>
        <v>0</v>
      </c>
    </row>
    <row r="1380" spans="29:31">
      <c r="AC1380">
        <v>1379</v>
      </c>
      <c r="AD1380">
        <f t="shared" si="28"/>
        <v>276</v>
      </c>
      <c r="AE1380" cm="1">
        <f t="array" ref="AE1380">INDEX(X:X, AD1380+1)*AC1380</f>
        <v>0</v>
      </c>
    </row>
    <row r="1381" spans="29:31">
      <c r="AC1381">
        <v>1380</v>
      </c>
      <c r="AD1381">
        <f t="shared" si="28"/>
        <v>277</v>
      </c>
      <c r="AE1381" cm="1">
        <f t="array" ref="AE1381">INDEX(X:X, AD1381+1)*AC1381</f>
        <v>0</v>
      </c>
    </row>
    <row r="1382" spans="29:31">
      <c r="AC1382">
        <v>1381</v>
      </c>
      <c r="AD1382">
        <f t="shared" si="28"/>
        <v>277</v>
      </c>
      <c r="AE1382" cm="1">
        <f t="array" ref="AE1382">INDEX(X:X, AD1382+1)*AC1382</f>
        <v>0</v>
      </c>
    </row>
    <row r="1383" spans="29:31">
      <c r="AC1383">
        <v>1382</v>
      </c>
      <c r="AD1383">
        <f t="shared" si="28"/>
        <v>277</v>
      </c>
      <c r="AE1383" cm="1">
        <f t="array" ref="AE1383">INDEX(X:X, AD1383+1)*AC1383</f>
        <v>0</v>
      </c>
    </row>
    <row r="1384" spans="29:31">
      <c r="AC1384">
        <v>1383</v>
      </c>
      <c r="AD1384">
        <f t="shared" si="28"/>
        <v>277</v>
      </c>
      <c r="AE1384" cm="1">
        <f t="array" ref="AE1384">INDEX(X:X, AD1384+1)*AC1384</f>
        <v>0</v>
      </c>
    </row>
    <row r="1385" spans="29:31">
      <c r="AC1385">
        <v>1384</v>
      </c>
      <c r="AD1385">
        <f t="shared" si="28"/>
        <v>277</v>
      </c>
      <c r="AE1385" cm="1">
        <f t="array" ref="AE1385">INDEX(X:X, AD1385+1)*AC1385</f>
        <v>0</v>
      </c>
    </row>
    <row r="1386" spans="29:31">
      <c r="AC1386">
        <v>1385</v>
      </c>
      <c r="AD1386">
        <f t="shared" si="28"/>
        <v>278</v>
      </c>
      <c r="AE1386" cm="1">
        <f t="array" ref="AE1386">INDEX(X:X, AD1386+1)*AC1386</f>
        <v>0</v>
      </c>
    </row>
    <row r="1387" spans="29:31">
      <c r="AC1387">
        <v>1386</v>
      </c>
      <c r="AD1387">
        <f t="shared" si="28"/>
        <v>278</v>
      </c>
      <c r="AE1387" cm="1">
        <f t="array" ref="AE1387">INDEX(X:X, AD1387+1)*AC1387</f>
        <v>0</v>
      </c>
    </row>
    <row r="1388" spans="29:31">
      <c r="AC1388">
        <v>1387</v>
      </c>
      <c r="AD1388">
        <f t="shared" si="28"/>
        <v>278</v>
      </c>
      <c r="AE1388" cm="1">
        <f t="array" ref="AE1388">INDEX(X:X, AD1388+1)*AC1388</f>
        <v>0</v>
      </c>
    </row>
    <row r="1389" spans="29:31">
      <c r="AC1389">
        <v>1388</v>
      </c>
      <c r="AD1389">
        <f t="shared" si="28"/>
        <v>278</v>
      </c>
      <c r="AE1389" cm="1">
        <f t="array" ref="AE1389">INDEX(X:X, AD1389+1)*AC1389</f>
        <v>0</v>
      </c>
    </row>
    <row r="1390" spans="29:31">
      <c r="AC1390">
        <v>1389</v>
      </c>
      <c r="AD1390">
        <f t="shared" si="28"/>
        <v>278</v>
      </c>
      <c r="AE1390" cm="1">
        <f t="array" ref="AE1390">INDEX(X:X, AD1390+1)*AC1390</f>
        <v>0</v>
      </c>
    </row>
    <row r="1391" spans="29:31">
      <c r="AC1391">
        <v>1390</v>
      </c>
      <c r="AD1391">
        <f t="shared" si="28"/>
        <v>279</v>
      </c>
      <c r="AE1391" cm="1">
        <f t="array" ref="AE1391">INDEX(X:X, AD1391+1)*AC1391</f>
        <v>0</v>
      </c>
    </row>
    <row r="1392" spans="29:31">
      <c r="AC1392">
        <v>1391</v>
      </c>
      <c r="AD1392">
        <f t="shared" si="28"/>
        <v>279</v>
      </c>
      <c r="AE1392" cm="1">
        <f t="array" ref="AE1392">INDEX(X:X, AD1392+1)*AC1392</f>
        <v>0</v>
      </c>
    </row>
    <row r="1393" spans="29:31">
      <c r="AC1393">
        <v>1392</v>
      </c>
      <c r="AD1393">
        <f t="shared" si="28"/>
        <v>279</v>
      </c>
      <c r="AE1393" cm="1">
        <f t="array" ref="AE1393">INDEX(X:X, AD1393+1)*AC1393</f>
        <v>0</v>
      </c>
    </row>
    <row r="1394" spans="29:31">
      <c r="AC1394">
        <v>1393</v>
      </c>
      <c r="AD1394">
        <f t="shared" si="28"/>
        <v>279</v>
      </c>
      <c r="AE1394" cm="1">
        <f t="array" ref="AE1394">INDEX(X:X, AD1394+1)*AC1394</f>
        <v>0</v>
      </c>
    </row>
    <row r="1395" spans="29:31">
      <c r="AC1395">
        <v>1394</v>
      </c>
      <c r="AD1395">
        <f t="shared" si="28"/>
        <v>279</v>
      </c>
      <c r="AE1395" cm="1">
        <f t="array" ref="AE1395">INDEX(X:X, AD1395+1)*AC1395</f>
        <v>0</v>
      </c>
    </row>
    <row r="1396" spans="29:31">
      <c r="AC1396">
        <v>1395</v>
      </c>
      <c r="AD1396">
        <f t="shared" si="28"/>
        <v>280</v>
      </c>
      <c r="AE1396" cm="1">
        <f t="array" ref="AE1396">INDEX(X:X, AD1396+1)*AC1396</f>
        <v>0</v>
      </c>
    </row>
    <row r="1397" spans="29:31">
      <c r="AC1397">
        <v>1396</v>
      </c>
      <c r="AD1397">
        <f t="shared" si="28"/>
        <v>280</v>
      </c>
      <c r="AE1397" cm="1">
        <f t="array" ref="AE1397">INDEX(X:X, AD1397+1)*AC1397</f>
        <v>0</v>
      </c>
    </row>
    <row r="1398" spans="29:31">
      <c r="AC1398">
        <v>1397</v>
      </c>
      <c r="AD1398">
        <f t="shared" si="28"/>
        <v>280</v>
      </c>
      <c r="AE1398" cm="1">
        <f t="array" ref="AE1398">INDEX(X:X, AD1398+1)*AC1398</f>
        <v>0</v>
      </c>
    </row>
    <row r="1399" spans="29:31">
      <c r="AC1399">
        <v>1398</v>
      </c>
      <c r="AD1399">
        <f t="shared" si="28"/>
        <v>280</v>
      </c>
      <c r="AE1399" cm="1">
        <f t="array" ref="AE1399">INDEX(X:X, AD1399+1)*AC1399</f>
        <v>0</v>
      </c>
    </row>
    <row r="1400" spans="29:31">
      <c r="AC1400">
        <v>1399</v>
      </c>
      <c r="AD1400">
        <f t="shared" si="28"/>
        <v>280</v>
      </c>
      <c r="AE1400" cm="1">
        <f t="array" ref="AE1400">INDEX(X:X, AD1400+1)*AC1400</f>
        <v>0</v>
      </c>
    </row>
    <row r="1401" spans="29:31">
      <c r="AC1401">
        <v>1400</v>
      </c>
      <c r="AD1401">
        <f t="shared" si="28"/>
        <v>281</v>
      </c>
      <c r="AE1401" cm="1">
        <f t="array" ref="AE1401">INDEX(X:X, AD1401+1)*AC1401</f>
        <v>0</v>
      </c>
    </row>
    <row r="1402" spans="29:31">
      <c r="AC1402">
        <v>1401</v>
      </c>
      <c r="AD1402">
        <f t="shared" si="28"/>
        <v>281</v>
      </c>
      <c r="AE1402" cm="1">
        <f t="array" ref="AE1402">INDEX(X:X, AD1402+1)*AC1402</f>
        <v>0</v>
      </c>
    </row>
    <row r="1403" spans="29:31">
      <c r="AC1403">
        <v>1402</v>
      </c>
      <c r="AD1403">
        <f t="shared" si="28"/>
        <v>281</v>
      </c>
      <c r="AE1403" cm="1">
        <f t="array" ref="AE1403">INDEX(X:X, AD1403+1)*AC1403</f>
        <v>0</v>
      </c>
    </row>
    <row r="1404" spans="29:31">
      <c r="AC1404">
        <v>1403</v>
      </c>
      <c r="AD1404">
        <f t="shared" si="28"/>
        <v>281</v>
      </c>
      <c r="AE1404" cm="1">
        <f t="array" ref="AE1404">INDEX(X:X, AD1404+1)*AC1404</f>
        <v>0</v>
      </c>
    </row>
    <row r="1405" spans="29:31">
      <c r="AC1405">
        <v>1404</v>
      </c>
      <c r="AD1405">
        <f t="shared" si="28"/>
        <v>281</v>
      </c>
      <c r="AE1405" cm="1">
        <f t="array" ref="AE1405">INDEX(X:X, AD1405+1)*AC1405</f>
        <v>0</v>
      </c>
    </row>
    <row r="1406" spans="29:31">
      <c r="AC1406">
        <v>1405</v>
      </c>
      <c r="AD1406">
        <f t="shared" si="28"/>
        <v>282</v>
      </c>
      <c r="AE1406" cm="1">
        <f t="array" ref="AE1406">INDEX(X:X, AD1406+1)*AC1406</f>
        <v>0</v>
      </c>
    </row>
    <row r="1407" spans="29:31">
      <c r="AC1407">
        <v>1406</v>
      </c>
      <c r="AD1407">
        <f t="shared" si="28"/>
        <v>282</v>
      </c>
      <c r="AE1407" cm="1">
        <f t="array" ref="AE1407">INDEX(X:X, AD1407+1)*AC1407</f>
        <v>0</v>
      </c>
    </row>
    <row r="1408" spans="29:31">
      <c r="AC1408">
        <v>1407</v>
      </c>
      <c r="AD1408">
        <f t="shared" si="28"/>
        <v>282</v>
      </c>
      <c r="AE1408" cm="1">
        <f t="array" ref="AE1408">INDEX(X:X, AD1408+1)*AC1408</f>
        <v>0</v>
      </c>
    </row>
    <row r="1409" spans="29:31">
      <c r="AC1409">
        <v>1408</v>
      </c>
      <c r="AD1409">
        <f t="shared" si="28"/>
        <v>282</v>
      </c>
      <c r="AE1409" cm="1">
        <f t="array" ref="AE1409">INDEX(X:X, AD1409+1)*AC1409</f>
        <v>0</v>
      </c>
    </row>
    <row r="1410" spans="29:31">
      <c r="AC1410">
        <v>1409</v>
      </c>
      <c r="AD1410">
        <f t="shared" si="28"/>
        <v>282</v>
      </c>
      <c r="AE1410" cm="1">
        <f t="array" ref="AE1410">INDEX(X:X, AD1410+1)*AC1410</f>
        <v>0</v>
      </c>
    </row>
    <row r="1411" spans="29:31">
      <c r="AC1411">
        <v>1410</v>
      </c>
      <c r="AD1411">
        <f t="shared" ref="AD1411:AD1474" si="29">INT(AC1411/5)+1</f>
        <v>283</v>
      </c>
      <c r="AE1411" cm="1">
        <f t="array" ref="AE1411">INDEX(X:X, AD1411+1)*AC1411</f>
        <v>0</v>
      </c>
    </row>
    <row r="1412" spans="29:31">
      <c r="AC1412">
        <v>1411</v>
      </c>
      <c r="AD1412">
        <f t="shared" si="29"/>
        <v>283</v>
      </c>
      <c r="AE1412" cm="1">
        <f t="array" ref="AE1412">INDEX(X:X, AD1412+1)*AC1412</f>
        <v>0</v>
      </c>
    </row>
    <row r="1413" spans="29:31">
      <c r="AC1413">
        <v>1412</v>
      </c>
      <c r="AD1413">
        <f t="shared" si="29"/>
        <v>283</v>
      </c>
      <c r="AE1413" cm="1">
        <f t="array" ref="AE1413">INDEX(X:X, AD1413+1)*AC1413</f>
        <v>0</v>
      </c>
    </row>
    <row r="1414" spans="29:31">
      <c r="AC1414">
        <v>1413</v>
      </c>
      <c r="AD1414">
        <f t="shared" si="29"/>
        <v>283</v>
      </c>
      <c r="AE1414" cm="1">
        <f t="array" ref="AE1414">INDEX(X:X, AD1414+1)*AC1414</f>
        <v>0</v>
      </c>
    </row>
    <row r="1415" spans="29:31">
      <c r="AC1415">
        <v>1414</v>
      </c>
      <c r="AD1415">
        <f t="shared" si="29"/>
        <v>283</v>
      </c>
      <c r="AE1415" cm="1">
        <f t="array" ref="AE1415">INDEX(X:X, AD1415+1)*AC1415</f>
        <v>0</v>
      </c>
    </row>
    <row r="1416" spans="29:31">
      <c r="AC1416">
        <v>1415</v>
      </c>
      <c r="AD1416">
        <f t="shared" si="29"/>
        <v>284</v>
      </c>
      <c r="AE1416" cm="1">
        <f t="array" ref="AE1416">INDEX(X:X, AD1416+1)*AC1416</f>
        <v>0</v>
      </c>
    </row>
    <row r="1417" spans="29:31">
      <c r="AC1417">
        <v>1416</v>
      </c>
      <c r="AD1417">
        <f t="shared" si="29"/>
        <v>284</v>
      </c>
      <c r="AE1417" cm="1">
        <f t="array" ref="AE1417">INDEX(X:X, AD1417+1)*AC1417</f>
        <v>0</v>
      </c>
    </row>
    <row r="1418" spans="29:31">
      <c r="AC1418">
        <v>1417</v>
      </c>
      <c r="AD1418">
        <f t="shared" si="29"/>
        <v>284</v>
      </c>
      <c r="AE1418" cm="1">
        <f t="array" ref="AE1418">INDEX(X:X, AD1418+1)*AC1418</f>
        <v>0</v>
      </c>
    </row>
    <row r="1419" spans="29:31">
      <c r="AC1419">
        <v>1418</v>
      </c>
      <c r="AD1419">
        <f t="shared" si="29"/>
        <v>284</v>
      </c>
      <c r="AE1419" cm="1">
        <f t="array" ref="AE1419">INDEX(X:X, AD1419+1)*AC1419</f>
        <v>0</v>
      </c>
    </row>
    <row r="1420" spans="29:31">
      <c r="AC1420">
        <v>1419</v>
      </c>
      <c r="AD1420">
        <f t="shared" si="29"/>
        <v>284</v>
      </c>
      <c r="AE1420" cm="1">
        <f t="array" ref="AE1420">INDEX(X:X, AD1420+1)*AC1420</f>
        <v>0</v>
      </c>
    </row>
    <row r="1421" spans="29:31">
      <c r="AC1421">
        <v>1420</v>
      </c>
      <c r="AD1421">
        <f t="shared" si="29"/>
        <v>285</v>
      </c>
      <c r="AE1421" cm="1">
        <f t="array" ref="AE1421">INDEX(X:X, AD1421+1)*AC1421</f>
        <v>0</v>
      </c>
    </row>
    <row r="1422" spans="29:31">
      <c r="AC1422">
        <v>1421</v>
      </c>
      <c r="AD1422">
        <f t="shared" si="29"/>
        <v>285</v>
      </c>
      <c r="AE1422" cm="1">
        <f t="array" ref="AE1422">INDEX(X:X, AD1422+1)*AC1422</f>
        <v>0</v>
      </c>
    </row>
    <row r="1423" spans="29:31">
      <c r="AC1423">
        <v>1422</v>
      </c>
      <c r="AD1423">
        <f t="shared" si="29"/>
        <v>285</v>
      </c>
      <c r="AE1423" cm="1">
        <f t="array" ref="AE1423">INDEX(X:X, AD1423+1)*AC1423</f>
        <v>0</v>
      </c>
    </row>
    <row r="1424" spans="29:31">
      <c r="AC1424">
        <v>1423</v>
      </c>
      <c r="AD1424">
        <f t="shared" si="29"/>
        <v>285</v>
      </c>
      <c r="AE1424" cm="1">
        <f t="array" ref="AE1424">INDEX(X:X, AD1424+1)*AC1424</f>
        <v>0</v>
      </c>
    </row>
    <row r="1425" spans="29:31">
      <c r="AC1425">
        <v>1424</v>
      </c>
      <c r="AD1425">
        <f t="shared" si="29"/>
        <v>285</v>
      </c>
      <c r="AE1425" cm="1">
        <f t="array" ref="AE1425">INDEX(X:X, AD1425+1)*AC1425</f>
        <v>0</v>
      </c>
    </row>
    <row r="1426" spans="29:31">
      <c r="AC1426">
        <v>1425</v>
      </c>
      <c r="AD1426">
        <f t="shared" si="29"/>
        <v>286</v>
      </c>
      <c r="AE1426" cm="1">
        <f t="array" ref="AE1426">INDEX(X:X, AD1426+1)*AC1426</f>
        <v>0</v>
      </c>
    </row>
    <row r="1427" spans="29:31">
      <c r="AC1427">
        <v>1426</v>
      </c>
      <c r="AD1427">
        <f t="shared" si="29"/>
        <v>286</v>
      </c>
      <c r="AE1427" cm="1">
        <f t="array" ref="AE1427">INDEX(X:X, AD1427+1)*AC1427</f>
        <v>0</v>
      </c>
    </row>
    <row r="1428" spans="29:31">
      <c r="AC1428">
        <v>1427</v>
      </c>
      <c r="AD1428">
        <f t="shared" si="29"/>
        <v>286</v>
      </c>
      <c r="AE1428" cm="1">
        <f t="array" ref="AE1428">INDEX(X:X, AD1428+1)*AC1428</f>
        <v>0</v>
      </c>
    </row>
    <row r="1429" spans="29:31">
      <c r="AC1429">
        <v>1428</v>
      </c>
      <c r="AD1429">
        <f t="shared" si="29"/>
        <v>286</v>
      </c>
      <c r="AE1429" cm="1">
        <f t="array" ref="AE1429">INDEX(X:X, AD1429+1)*AC1429</f>
        <v>0</v>
      </c>
    </row>
    <row r="1430" spans="29:31">
      <c r="AC1430">
        <v>1429</v>
      </c>
      <c r="AD1430">
        <f t="shared" si="29"/>
        <v>286</v>
      </c>
      <c r="AE1430" cm="1">
        <f t="array" ref="AE1430">INDEX(X:X, AD1430+1)*AC1430</f>
        <v>0</v>
      </c>
    </row>
    <row r="1431" spans="29:31">
      <c r="AC1431">
        <v>1430</v>
      </c>
      <c r="AD1431">
        <f t="shared" si="29"/>
        <v>287</v>
      </c>
      <c r="AE1431" cm="1">
        <f t="array" ref="AE1431">INDEX(X:X, AD1431+1)*AC1431</f>
        <v>0</v>
      </c>
    </row>
    <row r="1432" spans="29:31">
      <c r="AC1432">
        <v>1431</v>
      </c>
      <c r="AD1432">
        <f t="shared" si="29"/>
        <v>287</v>
      </c>
      <c r="AE1432" cm="1">
        <f t="array" ref="AE1432">INDEX(X:X, AD1432+1)*AC1432</f>
        <v>0</v>
      </c>
    </row>
    <row r="1433" spans="29:31">
      <c r="AC1433">
        <v>1432</v>
      </c>
      <c r="AD1433">
        <f t="shared" si="29"/>
        <v>287</v>
      </c>
      <c r="AE1433" cm="1">
        <f t="array" ref="AE1433">INDEX(X:X, AD1433+1)*AC1433</f>
        <v>0</v>
      </c>
    </row>
    <row r="1434" spans="29:31">
      <c r="AC1434">
        <v>1433</v>
      </c>
      <c r="AD1434">
        <f t="shared" si="29"/>
        <v>287</v>
      </c>
      <c r="AE1434" cm="1">
        <f t="array" ref="AE1434">INDEX(X:X, AD1434+1)*AC1434</f>
        <v>0</v>
      </c>
    </row>
    <row r="1435" spans="29:31">
      <c r="AC1435">
        <v>1434</v>
      </c>
      <c r="AD1435">
        <f t="shared" si="29"/>
        <v>287</v>
      </c>
      <c r="AE1435" cm="1">
        <f t="array" ref="AE1435">INDEX(X:X, AD1435+1)*AC1435</f>
        <v>0</v>
      </c>
    </row>
    <row r="1436" spans="29:31">
      <c r="AC1436">
        <v>1435</v>
      </c>
      <c r="AD1436">
        <f t="shared" si="29"/>
        <v>288</v>
      </c>
      <c r="AE1436" cm="1">
        <f t="array" ref="AE1436">INDEX(X:X, AD1436+1)*AC1436</f>
        <v>0</v>
      </c>
    </row>
    <row r="1437" spans="29:31">
      <c r="AC1437">
        <v>1436</v>
      </c>
      <c r="AD1437">
        <f t="shared" si="29"/>
        <v>288</v>
      </c>
      <c r="AE1437" cm="1">
        <f t="array" ref="AE1437">INDEX(X:X, AD1437+1)*AC1437</f>
        <v>0</v>
      </c>
    </row>
    <row r="1438" spans="29:31">
      <c r="AC1438">
        <v>1437</v>
      </c>
      <c r="AD1438">
        <f t="shared" si="29"/>
        <v>288</v>
      </c>
      <c r="AE1438" cm="1">
        <f t="array" ref="AE1438">INDEX(X:X, AD1438+1)*AC1438</f>
        <v>0</v>
      </c>
    </row>
    <row r="1439" spans="29:31">
      <c r="AC1439">
        <v>1438</v>
      </c>
      <c r="AD1439">
        <f t="shared" si="29"/>
        <v>288</v>
      </c>
      <c r="AE1439" cm="1">
        <f t="array" ref="AE1439">INDEX(X:X, AD1439+1)*AC1439</f>
        <v>0</v>
      </c>
    </row>
    <row r="1440" spans="29:31">
      <c r="AC1440">
        <v>1439</v>
      </c>
      <c r="AD1440">
        <f t="shared" si="29"/>
        <v>288</v>
      </c>
      <c r="AE1440" cm="1">
        <f t="array" ref="AE1440">INDEX(X:X, AD1440+1)*AC1440</f>
        <v>0</v>
      </c>
    </row>
    <row r="1441" spans="29:31">
      <c r="AC1441">
        <v>1440</v>
      </c>
      <c r="AD1441">
        <f t="shared" si="29"/>
        <v>289</v>
      </c>
      <c r="AE1441" cm="1">
        <f t="array" ref="AE1441">INDEX(X:X, AD1441+1)*AC1441</f>
        <v>0</v>
      </c>
    </row>
    <row r="1442" spans="29:31">
      <c r="AC1442">
        <v>1441</v>
      </c>
      <c r="AD1442">
        <f t="shared" si="29"/>
        <v>289</v>
      </c>
      <c r="AE1442" cm="1">
        <f t="array" ref="AE1442">INDEX(X:X, AD1442+1)*AC1442</f>
        <v>0</v>
      </c>
    </row>
    <row r="1443" spans="29:31">
      <c r="AC1443">
        <v>1442</v>
      </c>
      <c r="AD1443">
        <f t="shared" si="29"/>
        <v>289</v>
      </c>
      <c r="AE1443" cm="1">
        <f t="array" ref="AE1443">INDEX(X:X, AD1443+1)*AC1443</f>
        <v>0</v>
      </c>
    </row>
    <row r="1444" spans="29:31">
      <c r="AC1444">
        <v>1443</v>
      </c>
      <c r="AD1444">
        <f t="shared" si="29"/>
        <v>289</v>
      </c>
      <c r="AE1444" cm="1">
        <f t="array" ref="AE1444">INDEX(X:X, AD1444+1)*AC1444</f>
        <v>0</v>
      </c>
    </row>
    <row r="1445" spans="29:31">
      <c r="AC1445">
        <v>1444</v>
      </c>
      <c r="AD1445">
        <f t="shared" si="29"/>
        <v>289</v>
      </c>
      <c r="AE1445" cm="1">
        <f t="array" ref="AE1445">INDEX(X:X, AD1445+1)*AC1445</f>
        <v>0</v>
      </c>
    </row>
    <row r="1446" spans="29:31">
      <c r="AC1446">
        <v>1445</v>
      </c>
      <c r="AD1446">
        <f t="shared" si="29"/>
        <v>290</v>
      </c>
      <c r="AE1446" cm="1">
        <f t="array" ref="AE1446">INDEX(X:X, AD1446+1)*AC1446</f>
        <v>0</v>
      </c>
    </row>
    <row r="1447" spans="29:31">
      <c r="AC1447">
        <v>1446</v>
      </c>
      <c r="AD1447">
        <f t="shared" si="29"/>
        <v>290</v>
      </c>
      <c r="AE1447" cm="1">
        <f t="array" ref="AE1447">INDEX(X:X, AD1447+1)*AC1447</f>
        <v>0</v>
      </c>
    </row>
    <row r="1448" spans="29:31">
      <c r="AC1448">
        <v>1447</v>
      </c>
      <c r="AD1448">
        <f t="shared" si="29"/>
        <v>290</v>
      </c>
      <c r="AE1448" cm="1">
        <f t="array" ref="AE1448">INDEX(X:X, AD1448+1)*AC1448</f>
        <v>0</v>
      </c>
    </row>
    <row r="1449" spans="29:31">
      <c r="AC1449">
        <v>1448</v>
      </c>
      <c r="AD1449">
        <f t="shared" si="29"/>
        <v>290</v>
      </c>
      <c r="AE1449" cm="1">
        <f t="array" ref="AE1449">INDEX(X:X, AD1449+1)*AC1449</f>
        <v>0</v>
      </c>
    </row>
    <row r="1450" spans="29:31">
      <c r="AC1450">
        <v>1449</v>
      </c>
      <c r="AD1450">
        <f t="shared" si="29"/>
        <v>290</v>
      </c>
      <c r="AE1450" cm="1">
        <f t="array" ref="AE1450">INDEX(X:X, AD1450+1)*AC1450</f>
        <v>0</v>
      </c>
    </row>
    <row r="1451" spans="29:31">
      <c r="AC1451">
        <v>1450</v>
      </c>
      <c r="AD1451">
        <f t="shared" si="29"/>
        <v>291</v>
      </c>
      <c r="AE1451" cm="1">
        <f t="array" ref="AE1451">INDEX(X:X, AD1451+1)*AC1451</f>
        <v>0</v>
      </c>
    </row>
    <row r="1452" spans="29:31">
      <c r="AC1452">
        <v>1451</v>
      </c>
      <c r="AD1452">
        <f t="shared" si="29"/>
        <v>291</v>
      </c>
      <c r="AE1452" cm="1">
        <f t="array" ref="AE1452">INDEX(X:X, AD1452+1)*AC1452</f>
        <v>0</v>
      </c>
    </row>
    <row r="1453" spans="29:31">
      <c r="AC1453">
        <v>1452</v>
      </c>
      <c r="AD1453">
        <f t="shared" si="29"/>
        <v>291</v>
      </c>
      <c r="AE1453" cm="1">
        <f t="array" ref="AE1453">INDEX(X:X, AD1453+1)*AC1453</f>
        <v>0</v>
      </c>
    </row>
    <row r="1454" spans="29:31">
      <c r="AC1454">
        <v>1453</v>
      </c>
      <c r="AD1454">
        <f t="shared" si="29"/>
        <v>291</v>
      </c>
      <c r="AE1454" cm="1">
        <f t="array" ref="AE1454">INDEX(X:X, AD1454+1)*AC1454</f>
        <v>0</v>
      </c>
    </row>
    <row r="1455" spans="29:31">
      <c r="AC1455">
        <v>1454</v>
      </c>
      <c r="AD1455">
        <f t="shared" si="29"/>
        <v>291</v>
      </c>
      <c r="AE1455" cm="1">
        <f t="array" ref="AE1455">INDEX(X:X, AD1455+1)*AC1455</f>
        <v>0</v>
      </c>
    </row>
    <row r="1456" spans="29:31">
      <c r="AC1456">
        <v>1455</v>
      </c>
      <c r="AD1456">
        <f t="shared" si="29"/>
        <v>292</v>
      </c>
      <c r="AE1456" cm="1">
        <f t="array" ref="AE1456">INDEX(X:X, AD1456+1)*AC1456</f>
        <v>0</v>
      </c>
    </row>
    <row r="1457" spans="29:31">
      <c r="AC1457">
        <v>1456</v>
      </c>
      <c r="AD1457">
        <f t="shared" si="29"/>
        <v>292</v>
      </c>
      <c r="AE1457" cm="1">
        <f t="array" ref="AE1457">INDEX(X:X, AD1457+1)*AC1457</f>
        <v>0</v>
      </c>
    </row>
    <row r="1458" spans="29:31">
      <c r="AC1458">
        <v>1457</v>
      </c>
      <c r="AD1458">
        <f t="shared" si="29"/>
        <v>292</v>
      </c>
      <c r="AE1458" cm="1">
        <f t="array" ref="AE1458">INDEX(X:X, AD1458+1)*AC1458</f>
        <v>0</v>
      </c>
    </row>
    <row r="1459" spans="29:31">
      <c r="AC1459">
        <v>1458</v>
      </c>
      <c r="AD1459">
        <f t="shared" si="29"/>
        <v>292</v>
      </c>
      <c r="AE1459" cm="1">
        <f t="array" ref="AE1459">INDEX(X:X, AD1459+1)*AC1459</f>
        <v>0</v>
      </c>
    </row>
    <row r="1460" spans="29:31">
      <c r="AC1460">
        <v>1459</v>
      </c>
      <c r="AD1460">
        <f t="shared" si="29"/>
        <v>292</v>
      </c>
      <c r="AE1460" cm="1">
        <f t="array" ref="AE1460">INDEX(X:X, AD1460+1)*AC1460</f>
        <v>0</v>
      </c>
    </row>
    <row r="1461" spans="29:31">
      <c r="AC1461">
        <v>1460</v>
      </c>
      <c r="AD1461">
        <f t="shared" si="29"/>
        <v>293</v>
      </c>
      <c r="AE1461" cm="1">
        <f t="array" ref="AE1461">INDEX(X:X, AD1461+1)*AC1461</f>
        <v>0</v>
      </c>
    </row>
    <row r="1462" spans="29:31">
      <c r="AC1462">
        <v>1461</v>
      </c>
      <c r="AD1462">
        <f t="shared" si="29"/>
        <v>293</v>
      </c>
      <c r="AE1462" cm="1">
        <f t="array" ref="AE1462">INDEX(X:X, AD1462+1)*AC1462</f>
        <v>0</v>
      </c>
    </row>
    <row r="1463" spans="29:31">
      <c r="AC1463">
        <v>1462</v>
      </c>
      <c r="AD1463">
        <f t="shared" si="29"/>
        <v>293</v>
      </c>
      <c r="AE1463" cm="1">
        <f t="array" ref="AE1463">INDEX(X:X, AD1463+1)*AC1463</f>
        <v>0</v>
      </c>
    </row>
    <row r="1464" spans="29:31">
      <c r="AC1464">
        <v>1463</v>
      </c>
      <c r="AD1464">
        <f t="shared" si="29"/>
        <v>293</v>
      </c>
      <c r="AE1464" cm="1">
        <f t="array" ref="AE1464">INDEX(X:X, AD1464+1)*AC1464</f>
        <v>0</v>
      </c>
    </row>
    <row r="1465" spans="29:31">
      <c r="AC1465">
        <v>1464</v>
      </c>
      <c r="AD1465">
        <f t="shared" si="29"/>
        <v>293</v>
      </c>
      <c r="AE1465" cm="1">
        <f t="array" ref="AE1465">INDEX(X:X, AD1465+1)*AC1465</f>
        <v>0</v>
      </c>
    </row>
    <row r="1466" spans="29:31">
      <c r="AC1466">
        <v>1465</v>
      </c>
      <c r="AD1466">
        <f t="shared" si="29"/>
        <v>294</v>
      </c>
      <c r="AE1466" cm="1">
        <f t="array" ref="AE1466">INDEX(X:X, AD1466+1)*AC1466</f>
        <v>0</v>
      </c>
    </row>
    <row r="1467" spans="29:31">
      <c r="AC1467">
        <v>1466</v>
      </c>
      <c r="AD1467">
        <f t="shared" si="29"/>
        <v>294</v>
      </c>
      <c r="AE1467" cm="1">
        <f t="array" ref="AE1467">INDEX(X:X, AD1467+1)*AC1467</f>
        <v>0</v>
      </c>
    </row>
    <row r="1468" spans="29:31">
      <c r="AC1468">
        <v>1467</v>
      </c>
      <c r="AD1468">
        <f t="shared" si="29"/>
        <v>294</v>
      </c>
      <c r="AE1468" cm="1">
        <f t="array" ref="AE1468">INDEX(X:X, AD1468+1)*AC1468</f>
        <v>0</v>
      </c>
    </row>
    <row r="1469" spans="29:31">
      <c r="AC1469">
        <v>1468</v>
      </c>
      <c r="AD1469">
        <f t="shared" si="29"/>
        <v>294</v>
      </c>
      <c r="AE1469" cm="1">
        <f t="array" ref="AE1469">INDEX(X:X, AD1469+1)*AC1469</f>
        <v>0</v>
      </c>
    </row>
    <row r="1470" spans="29:31">
      <c r="AC1470">
        <v>1469</v>
      </c>
      <c r="AD1470">
        <f t="shared" si="29"/>
        <v>294</v>
      </c>
      <c r="AE1470" cm="1">
        <f t="array" ref="AE1470">INDEX(X:X, AD1470+1)*AC1470</f>
        <v>0</v>
      </c>
    </row>
    <row r="1471" spans="29:31">
      <c r="AC1471">
        <v>1470</v>
      </c>
      <c r="AD1471">
        <f t="shared" si="29"/>
        <v>295</v>
      </c>
      <c r="AE1471" cm="1">
        <f t="array" ref="AE1471">INDEX(X:X, AD1471+1)*AC1471</f>
        <v>0</v>
      </c>
    </row>
    <row r="1472" spans="29:31">
      <c r="AC1472">
        <v>1471</v>
      </c>
      <c r="AD1472">
        <f t="shared" si="29"/>
        <v>295</v>
      </c>
      <c r="AE1472" cm="1">
        <f t="array" ref="AE1472">INDEX(X:X, AD1472+1)*AC1472</f>
        <v>0</v>
      </c>
    </row>
    <row r="1473" spans="29:31">
      <c r="AC1473">
        <v>1472</v>
      </c>
      <c r="AD1473">
        <f t="shared" si="29"/>
        <v>295</v>
      </c>
      <c r="AE1473" cm="1">
        <f t="array" ref="AE1473">INDEX(X:X, AD1473+1)*AC1473</f>
        <v>0</v>
      </c>
    </row>
    <row r="1474" spans="29:31">
      <c r="AC1474">
        <v>1473</v>
      </c>
      <c r="AD1474">
        <f t="shared" si="29"/>
        <v>295</v>
      </c>
      <c r="AE1474" cm="1">
        <f t="array" ref="AE1474">INDEX(X:X, AD1474+1)*AC1474</f>
        <v>0</v>
      </c>
    </row>
    <row r="1475" spans="29:31">
      <c r="AC1475">
        <v>1474</v>
      </c>
      <c r="AD1475">
        <f t="shared" ref="AD1475:AD1538" si="30">INT(AC1475/5)+1</f>
        <v>295</v>
      </c>
      <c r="AE1475" cm="1">
        <f t="array" ref="AE1475">INDEX(X:X, AD1475+1)*AC1475</f>
        <v>0</v>
      </c>
    </row>
    <row r="1476" spans="29:31">
      <c r="AC1476">
        <v>1475</v>
      </c>
      <c r="AD1476">
        <f t="shared" si="30"/>
        <v>296</v>
      </c>
      <c r="AE1476" cm="1">
        <f t="array" ref="AE1476">INDEX(X:X, AD1476+1)*AC1476</f>
        <v>0</v>
      </c>
    </row>
    <row r="1477" spans="29:31">
      <c r="AC1477">
        <v>1476</v>
      </c>
      <c r="AD1477">
        <f t="shared" si="30"/>
        <v>296</v>
      </c>
      <c r="AE1477" cm="1">
        <f t="array" ref="AE1477">INDEX(X:X, AD1477+1)*AC1477</f>
        <v>0</v>
      </c>
    </row>
    <row r="1478" spans="29:31">
      <c r="AC1478">
        <v>1477</v>
      </c>
      <c r="AD1478">
        <f t="shared" si="30"/>
        <v>296</v>
      </c>
      <c r="AE1478" cm="1">
        <f t="array" ref="AE1478">INDEX(X:X, AD1478+1)*AC1478</f>
        <v>0</v>
      </c>
    </row>
    <row r="1479" spans="29:31">
      <c r="AC1479">
        <v>1478</v>
      </c>
      <c r="AD1479">
        <f t="shared" si="30"/>
        <v>296</v>
      </c>
      <c r="AE1479" cm="1">
        <f t="array" ref="AE1479">INDEX(X:X, AD1479+1)*AC1479</f>
        <v>0</v>
      </c>
    </row>
    <row r="1480" spans="29:31">
      <c r="AC1480">
        <v>1479</v>
      </c>
      <c r="AD1480">
        <f t="shared" si="30"/>
        <v>296</v>
      </c>
      <c r="AE1480" cm="1">
        <f t="array" ref="AE1480">INDEX(X:X, AD1480+1)*AC1480</f>
        <v>0</v>
      </c>
    </row>
    <row r="1481" spans="29:31">
      <c r="AC1481">
        <v>1480</v>
      </c>
      <c r="AD1481">
        <f t="shared" si="30"/>
        <v>297</v>
      </c>
      <c r="AE1481" cm="1">
        <f t="array" ref="AE1481">INDEX(X:X, AD1481+1)*AC1481</f>
        <v>0</v>
      </c>
    </row>
    <row r="1482" spans="29:31">
      <c r="AC1482">
        <v>1481</v>
      </c>
      <c r="AD1482">
        <f t="shared" si="30"/>
        <v>297</v>
      </c>
      <c r="AE1482" cm="1">
        <f t="array" ref="AE1482">INDEX(X:X, AD1482+1)*AC1482</f>
        <v>0</v>
      </c>
    </row>
    <row r="1483" spans="29:31">
      <c r="AC1483">
        <v>1482</v>
      </c>
      <c r="AD1483">
        <f t="shared" si="30"/>
        <v>297</v>
      </c>
      <c r="AE1483" cm="1">
        <f t="array" ref="AE1483">INDEX(X:X, AD1483+1)*AC1483</f>
        <v>0</v>
      </c>
    </row>
    <row r="1484" spans="29:31">
      <c r="AC1484">
        <v>1483</v>
      </c>
      <c r="AD1484">
        <f t="shared" si="30"/>
        <v>297</v>
      </c>
      <c r="AE1484" cm="1">
        <f t="array" ref="AE1484">INDEX(X:X, AD1484+1)*AC1484</f>
        <v>0</v>
      </c>
    </row>
    <row r="1485" spans="29:31">
      <c r="AC1485">
        <v>1484</v>
      </c>
      <c r="AD1485">
        <f t="shared" si="30"/>
        <v>297</v>
      </c>
      <c r="AE1485" cm="1">
        <f t="array" ref="AE1485">INDEX(X:X, AD1485+1)*AC1485</f>
        <v>0</v>
      </c>
    </row>
    <row r="1486" spans="29:31">
      <c r="AC1486">
        <v>1485</v>
      </c>
      <c r="AD1486">
        <f t="shared" si="30"/>
        <v>298</v>
      </c>
      <c r="AE1486" cm="1">
        <f t="array" ref="AE1486">INDEX(X:X, AD1486+1)*AC1486</f>
        <v>0</v>
      </c>
    </row>
    <row r="1487" spans="29:31">
      <c r="AC1487">
        <v>1486</v>
      </c>
      <c r="AD1487">
        <f t="shared" si="30"/>
        <v>298</v>
      </c>
      <c r="AE1487" cm="1">
        <f t="array" ref="AE1487">INDEX(X:X, AD1487+1)*AC1487</f>
        <v>0</v>
      </c>
    </row>
    <row r="1488" spans="29:31">
      <c r="AC1488">
        <v>1487</v>
      </c>
      <c r="AD1488">
        <f t="shared" si="30"/>
        <v>298</v>
      </c>
      <c r="AE1488" cm="1">
        <f t="array" ref="AE1488">INDEX(X:X, AD1488+1)*AC1488</f>
        <v>0</v>
      </c>
    </row>
    <row r="1489" spans="29:31">
      <c r="AC1489">
        <v>1488</v>
      </c>
      <c r="AD1489">
        <f t="shared" si="30"/>
        <v>298</v>
      </c>
      <c r="AE1489" cm="1">
        <f t="array" ref="AE1489">INDEX(X:X, AD1489+1)*AC1489</f>
        <v>0</v>
      </c>
    </row>
    <row r="1490" spans="29:31">
      <c r="AC1490">
        <v>1489</v>
      </c>
      <c r="AD1490">
        <f t="shared" si="30"/>
        <v>298</v>
      </c>
      <c r="AE1490" cm="1">
        <f t="array" ref="AE1490">INDEX(X:X, AD1490+1)*AC1490</f>
        <v>0</v>
      </c>
    </row>
    <row r="1491" spans="29:31">
      <c r="AC1491">
        <v>1490</v>
      </c>
      <c r="AD1491">
        <f t="shared" si="30"/>
        <v>299</v>
      </c>
      <c r="AE1491" cm="1">
        <f t="array" ref="AE1491">INDEX(X:X, AD1491+1)*AC1491</f>
        <v>0</v>
      </c>
    </row>
    <row r="1492" spans="29:31">
      <c r="AC1492">
        <v>1491</v>
      </c>
      <c r="AD1492">
        <f t="shared" si="30"/>
        <v>299</v>
      </c>
      <c r="AE1492" cm="1">
        <f t="array" ref="AE1492">INDEX(X:X, AD1492+1)*AC1492</f>
        <v>0</v>
      </c>
    </row>
    <row r="1493" spans="29:31">
      <c r="AC1493">
        <v>1492</v>
      </c>
      <c r="AD1493">
        <f t="shared" si="30"/>
        <v>299</v>
      </c>
      <c r="AE1493" cm="1">
        <f t="array" ref="AE1493">INDEX(X:X, AD1493+1)*AC1493</f>
        <v>0</v>
      </c>
    </row>
    <row r="1494" spans="29:31">
      <c r="AC1494">
        <v>1493</v>
      </c>
      <c r="AD1494">
        <f t="shared" si="30"/>
        <v>299</v>
      </c>
      <c r="AE1494" cm="1">
        <f t="array" ref="AE1494">INDEX(X:X, AD1494+1)*AC1494</f>
        <v>0</v>
      </c>
    </row>
    <row r="1495" spans="29:31">
      <c r="AC1495">
        <v>1494</v>
      </c>
      <c r="AD1495">
        <f t="shared" si="30"/>
        <v>299</v>
      </c>
      <c r="AE1495" cm="1">
        <f t="array" ref="AE1495">INDEX(X:X, AD1495+1)*AC1495</f>
        <v>0</v>
      </c>
    </row>
    <row r="1496" spans="29:31">
      <c r="AC1496">
        <v>1495</v>
      </c>
      <c r="AD1496">
        <f t="shared" si="30"/>
        <v>300</v>
      </c>
      <c r="AE1496" cm="1">
        <f t="array" ref="AE1496">INDEX(X:X, AD1496+1)*AC1496</f>
        <v>0</v>
      </c>
    </row>
    <row r="1497" spans="29:31">
      <c r="AC1497">
        <v>1496</v>
      </c>
      <c r="AD1497">
        <f t="shared" si="30"/>
        <v>300</v>
      </c>
      <c r="AE1497" cm="1">
        <f t="array" ref="AE1497">INDEX(X:X, AD1497+1)*AC1497</f>
        <v>0</v>
      </c>
    </row>
    <row r="1498" spans="29:31">
      <c r="AC1498">
        <v>1497</v>
      </c>
      <c r="AD1498">
        <f t="shared" si="30"/>
        <v>300</v>
      </c>
      <c r="AE1498" cm="1">
        <f t="array" ref="AE1498">INDEX(X:X, AD1498+1)*AC1498</f>
        <v>0</v>
      </c>
    </row>
    <row r="1499" spans="29:31">
      <c r="AC1499">
        <v>1498</v>
      </c>
      <c r="AD1499">
        <f t="shared" si="30"/>
        <v>300</v>
      </c>
      <c r="AE1499" cm="1">
        <f t="array" ref="AE1499">INDEX(X:X, AD1499+1)*AC1499</f>
        <v>0</v>
      </c>
    </row>
    <row r="1500" spans="29:31">
      <c r="AC1500">
        <v>1499</v>
      </c>
      <c r="AD1500">
        <f t="shared" si="30"/>
        <v>300</v>
      </c>
      <c r="AE1500" cm="1">
        <f t="array" ref="AE1500">INDEX(X:X, AD1500+1)*AC1500</f>
        <v>0</v>
      </c>
    </row>
    <row r="1501" spans="29:31">
      <c r="AC1501">
        <v>1500</v>
      </c>
      <c r="AD1501">
        <f t="shared" si="30"/>
        <v>301</v>
      </c>
      <c r="AE1501" cm="1">
        <f t="array" ref="AE1501">INDEX(X:X, AD1501+1)*AC1501</f>
        <v>0</v>
      </c>
    </row>
    <row r="1502" spans="29:31">
      <c r="AC1502">
        <v>1501</v>
      </c>
      <c r="AD1502">
        <f t="shared" si="30"/>
        <v>301</v>
      </c>
      <c r="AE1502" cm="1">
        <f t="array" ref="AE1502">INDEX(X:X, AD1502+1)*AC1502</f>
        <v>0</v>
      </c>
    </row>
    <row r="1503" spans="29:31">
      <c r="AC1503">
        <v>1502</v>
      </c>
      <c r="AD1503">
        <f t="shared" si="30"/>
        <v>301</v>
      </c>
      <c r="AE1503" cm="1">
        <f t="array" ref="AE1503">INDEX(X:X, AD1503+1)*AC1503</f>
        <v>0</v>
      </c>
    </row>
    <row r="1504" spans="29:31">
      <c r="AC1504">
        <v>1503</v>
      </c>
      <c r="AD1504">
        <f t="shared" si="30"/>
        <v>301</v>
      </c>
      <c r="AE1504" cm="1">
        <f t="array" ref="AE1504">INDEX(X:X, AD1504+1)*AC1504</f>
        <v>0</v>
      </c>
    </row>
    <row r="1505" spans="29:31">
      <c r="AC1505">
        <v>1504</v>
      </c>
      <c r="AD1505">
        <f t="shared" si="30"/>
        <v>301</v>
      </c>
      <c r="AE1505" cm="1">
        <f t="array" ref="AE1505">INDEX(X:X, AD1505+1)*AC1505</f>
        <v>0</v>
      </c>
    </row>
    <row r="1506" spans="29:31">
      <c r="AC1506">
        <v>1505</v>
      </c>
      <c r="AD1506">
        <f t="shared" si="30"/>
        <v>302</v>
      </c>
      <c r="AE1506" cm="1">
        <f t="array" ref="AE1506">INDEX(X:X, AD1506+1)*AC1506</f>
        <v>0</v>
      </c>
    </row>
    <row r="1507" spans="29:31">
      <c r="AC1507">
        <v>1506</v>
      </c>
      <c r="AD1507">
        <f t="shared" si="30"/>
        <v>302</v>
      </c>
      <c r="AE1507" cm="1">
        <f t="array" ref="AE1507">INDEX(X:X, AD1507+1)*AC1507</f>
        <v>0</v>
      </c>
    </row>
    <row r="1508" spans="29:31">
      <c r="AC1508">
        <v>1507</v>
      </c>
      <c r="AD1508">
        <f t="shared" si="30"/>
        <v>302</v>
      </c>
      <c r="AE1508" cm="1">
        <f t="array" ref="AE1508">INDEX(X:X, AD1508+1)*AC1508</f>
        <v>0</v>
      </c>
    </row>
    <row r="1509" spans="29:31">
      <c r="AC1509">
        <v>1508</v>
      </c>
      <c r="AD1509">
        <f t="shared" si="30"/>
        <v>302</v>
      </c>
      <c r="AE1509" cm="1">
        <f t="array" ref="AE1509">INDEX(X:X, AD1509+1)*AC1509</f>
        <v>0</v>
      </c>
    </row>
    <row r="1510" spans="29:31">
      <c r="AC1510">
        <v>1509</v>
      </c>
      <c r="AD1510">
        <f t="shared" si="30"/>
        <v>302</v>
      </c>
      <c r="AE1510" cm="1">
        <f t="array" ref="AE1510">INDEX(X:X, AD1510+1)*AC1510</f>
        <v>0</v>
      </c>
    </row>
    <row r="1511" spans="29:31">
      <c r="AC1511">
        <v>1510</v>
      </c>
      <c r="AD1511">
        <f t="shared" si="30"/>
        <v>303</v>
      </c>
      <c r="AE1511" cm="1">
        <f t="array" ref="AE1511">INDEX(X:X, AD1511+1)*AC1511</f>
        <v>0</v>
      </c>
    </row>
    <row r="1512" spans="29:31">
      <c r="AC1512">
        <v>1511</v>
      </c>
      <c r="AD1512">
        <f t="shared" si="30"/>
        <v>303</v>
      </c>
      <c r="AE1512" cm="1">
        <f t="array" ref="AE1512">INDEX(X:X, AD1512+1)*AC1512</f>
        <v>0</v>
      </c>
    </row>
    <row r="1513" spans="29:31">
      <c r="AC1513">
        <v>1512</v>
      </c>
      <c r="AD1513">
        <f t="shared" si="30"/>
        <v>303</v>
      </c>
      <c r="AE1513" cm="1">
        <f t="array" ref="AE1513">INDEX(X:X, AD1513+1)*AC1513</f>
        <v>0</v>
      </c>
    </row>
    <row r="1514" spans="29:31">
      <c r="AC1514">
        <v>1513</v>
      </c>
      <c r="AD1514">
        <f t="shared" si="30"/>
        <v>303</v>
      </c>
      <c r="AE1514" cm="1">
        <f t="array" ref="AE1514">INDEX(X:X, AD1514+1)*AC1514</f>
        <v>0</v>
      </c>
    </row>
    <row r="1515" spans="29:31">
      <c r="AC1515">
        <v>1514</v>
      </c>
      <c r="AD1515">
        <f t="shared" si="30"/>
        <v>303</v>
      </c>
      <c r="AE1515" cm="1">
        <f t="array" ref="AE1515">INDEX(X:X, AD1515+1)*AC1515</f>
        <v>0</v>
      </c>
    </row>
    <row r="1516" spans="29:31">
      <c r="AC1516">
        <v>1515</v>
      </c>
      <c r="AD1516">
        <f t="shared" si="30"/>
        <v>304</v>
      </c>
      <c r="AE1516" cm="1">
        <f t="array" ref="AE1516">INDEX(X:X, AD1516+1)*AC1516</f>
        <v>0</v>
      </c>
    </row>
    <row r="1517" spans="29:31">
      <c r="AC1517">
        <v>1516</v>
      </c>
      <c r="AD1517">
        <f t="shared" si="30"/>
        <v>304</v>
      </c>
      <c r="AE1517" cm="1">
        <f t="array" ref="AE1517">INDEX(X:X, AD1517+1)*AC1517</f>
        <v>0</v>
      </c>
    </row>
    <row r="1518" spans="29:31">
      <c r="AC1518">
        <v>1517</v>
      </c>
      <c r="AD1518">
        <f t="shared" si="30"/>
        <v>304</v>
      </c>
      <c r="AE1518" cm="1">
        <f t="array" ref="AE1518">INDEX(X:X, AD1518+1)*AC1518</f>
        <v>0</v>
      </c>
    </row>
    <row r="1519" spans="29:31">
      <c r="AC1519">
        <v>1518</v>
      </c>
      <c r="AD1519">
        <f t="shared" si="30"/>
        <v>304</v>
      </c>
      <c r="AE1519" cm="1">
        <f t="array" ref="AE1519">INDEX(X:X, AD1519+1)*AC1519</f>
        <v>0</v>
      </c>
    </row>
    <row r="1520" spans="29:31">
      <c r="AC1520">
        <v>1519</v>
      </c>
      <c r="AD1520">
        <f t="shared" si="30"/>
        <v>304</v>
      </c>
      <c r="AE1520" cm="1">
        <f t="array" ref="AE1520">INDEX(X:X, AD1520+1)*AC1520</f>
        <v>0</v>
      </c>
    </row>
    <row r="1521" spans="29:31">
      <c r="AC1521">
        <v>1520</v>
      </c>
      <c r="AD1521">
        <f t="shared" si="30"/>
        <v>305</v>
      </c>
      <c r="AE1521" cm="1">
        <f t="array" ref="AE1521">INDEX(X:X, AD1521+1)*AC1521</f>
        <v>0</v>
      </c>
    </row>
    <row r="1522" spans="29:31">
      <c r="AC1522">
        <v>1521</v>
      </c>
      <c r="AD1522">
        <f t="shared" si="30"/>
        <v>305</v>
      </c>
      <c r="AE1522" cm="1">
        <f t="array" ref="AE1522">INDEX(X:X, AD1522+1)*AC1522</f>
        <v>0</v>
      </c>
    </row>
    <row r="1523" spans="29:31">
      <c r="AC1523">
        <v>1522</v>
      </c>
      <c r="AD1523">
        <f t="shared" si="30"/>
        <v>305</v>
      </c>
      <c r="AE1523" cm="1">
        <f t="array" ref="AE1523">INDEX(X:X, AD1523+1)*AC1523</f>
        <v>0</v>
      </c>
    </row>
    <row r="1524" spans="29:31">
      <c r="AC1524">
        <v>1523</v>
      </c>
      <c r="AD1524">
        <f t="shared" si="30"/>
        <v>305</v>
      </c>
      <c r="AE1524" cm="1">
        <f t="array" ref="AE1524">INDEX(X:X, AD1524+1)*AC1524</f>
        <v>0</v>
      </c>
    </row>
    <row r="1525" spans="29:31">
      <c r="AC1525">
        <v>1524</v>
      </c>
      <c r="AD1525">
        <f t="shared" si="30"/>
        <v>305</v>
      </c>
      <c r="AE1525" cm="1">
        <f t="array" ref="AE1525">INDEX(X:X, AD1525+1)*AC1525</f>
        <v>0</v>
      </c>
    </row>
    <row r="1526" spans="29:31">
      <c r="AC1526">
        <v>1525</v>
      </c>
      <c r="AD1526">
        <f t="shared" si="30"/>
        <v>306</v>
      </c>
      <c r="AE1526" cm="1">
        <f t="array" ref="AE1526">INDEX(X:X, AD1526+1)*AC1526</f>
        <v>0</v>
      </c>
    </row>
    <row r="1527" spans="29:31">
      <c r="AC1527">
        <v>1526</v>
      </c>
      <c r="AD1527">
        <f t="shared" si="30"/>
        <v>306</v>
      </c>
      <c r="AE1527" cm="1">
        <f t="array" ref="AE1527">INDEX(X:X, AD1527+1)*AC1527</f>
        <v>0</v>
      </c>
    </row>
    <row r="1528" spans="29:31">
      <c r="AC1528">
        <v>1527</v>
      </c>
      <c r="AD1528">
        <f t="shared" si="30"/>
        <v>306</v>
      </c>
      <c r="AE1528" cm="1">
        <f t="array" ref="AE1528">INDEX(X:X, AD1528+1)*AC1528</f>
        <v>0</v>
      </c>
    </row>
    <row r="1529" spans="29:31">
      <c r="AC1529">
        <v>1528</v>
      </c>
      <c r="AD1529">
        <f t="shared" si="30"/>
        <v>306</v>
      </c>
      <c r="AE1529" cm="1">
        <f t="array" ref="AE1529">INDEX(X:X, AD1529+1)*AC1529</f>
        <v>0</v>
      </c>
    </row>
    <row r="1530" spans="29:31">
      <c r="AC1530">
        <v>1529</v>
      </c>
      <c r="AD1530">
        <f t="shared" si="30"/>
        <v>306</v>
      </c>
      <c r="AE1530" cm="1">
        <f t="array" ref="AE1530">INDEX(X:X, AD1530+1)*AC1530</f>
        <v>0</v>
      </c>
    </row>
    <row r="1531" spans="29:31">
      <c r="AC1531">
        <v>1530</v>
      </c>
      <c r="AD1531">
        <f t="shared" si="30"/>
        <v>307</v>
      </c>
      <c r="AE1531" cm="1">
        <f t="array" ref="AE1531">INDEX(X:X, AD1531+1)*AC1531</f>
        <v>0</v>
      </c>
    </row>
    <row r="1532" spans="29:31">
      <c r="AC1532">
        <v>1531</v>
      </c>
      <c r="AD1532">
        <f t="shared" si="30"/>
        <v>307</v>
      </c>
      <c r="AE1532" cm="1">
        <f t="array" ref="AE1532">INDEX(X:X, AD1532+1)*AC1532</f>
        <v>0</v>
      </c>
    </row>
    <row r="1533" spans="29:31">
      <c r="AC1533">
        <v>1532</v>
      </c>
      <c r="AD1533">
        <f t="shared" si="30"/>
        <v>307</v>
      </c>
      <c r="AE1533" cm="1">
        <f t="array" ref="AE1533">INDEX(X:X, AD1533+1)*AC1533</f>
        <v>0</v>
      </c>
    </row>
    <row r="1534" spans="29:31">
      <c r="AC1534">
        <v>1533</v>
      </c>
      <c r="AD1534">
        <f t="shared" si="30"/>
        <v>307</v>
      </c>
      <c r="AE1534" cm="1">
        <f t="array" ref="AE1534">INDEX(X:X, AD1534+1)*AC1534</f>
        <v>0</v>
      </c>
    </row>
    <row r="1535" spans="29:31">
      <c r="AC1535">
        <v>1534</v>
      </c>
      <c r="AD1535">
        <f t="shared" si="30"/>
        <v>307</v>
      </c>
      <c r="AE1535" cm="1">
        <f t="array" ref="AE1535">INDEX(X:X, AD1535+1)*AC1535</f>
        <v>0</v>
      </c>
    </row>
    <row r="1536" spans="29:31">
      <c r="AC1536">
        <v>1535</v>
      </c>
      <c r="AD1536">
        <f t="shared" si="30"/>
        <v>308</v>
      </c>
      <c r="AE1536" cm="1">
        <f t="array" ref="AE1536">INDEX(X:X, AD1536+1)*AC1536</f>
        <v>0</v>
      </c>
    </row>
    <row r="1537" spans="29:31">
      <c r="AC1537">
        <v>1536</v>
      </c>
      <c r="AD1537">
        <f t="shared" si="30"/>
        <v>308</v>
      </c>
      <c r="AE1537" cm="1">
        <f t="array" ref="AE1537">INDEX(X:X, AD1537+1)*AC1537</f>
        <v>0</v>
      </c>
    </row>
    <row r="1538" spans="29:31">
      <c r="AC1538">
        <v>1537</v>
      </c>
      <c r="AD1538">
        <f t="shared" si="30"/>
        <v>308</v>
      </c>
      <c r="AE1538" cm="1">
        <f t="array" ref="AE1538">INDEX(X:X, AD1538+1)*AC1538</f>
        <v>0</v>
      </c>
    </row>
    <row r="1539" spans="29:31">
      <c r="AC1539">
        <v>1538</v>
      </c>
      <c r="AD1539">
        <f t="shared" ref="AD1539:AD1602" si="31">INT(AC1539/5)+1</f>
        <v>308</v>
      </c>
      <c r="AE1539" cm="1">
        <f t="array" ref="AE1539">INDEX(X:X, AD1539+1)*AC1539</f>
        <v>0</v>
      </c>
    </row>
    <row r="1540" spans="29:31">
      <c r="AC1540">
        <v>1539</v>
      </c>
      <c r="AD1540">
        <f t="shared" si="31"/>
        <v>308</v>
      </c>
      <c r="AE1540" cm="1">
        <f t="array" ref="AE1540">INDEX(X:X, AD1540+1)*AC1540</f>
        <v>0</v>
      </c>
    </row>
    <row r="1541" spans="29:31">
      <c r="AC1541">
        <v>1540</v>
      </c>
      <c r="AD1541">
        <f t="shared" si="31"/>
        <v>309</v>
      </c>
      <c r="AE1541" cm="1">
        <f t="array" ref="AE1541">INDEX(X:X, AD1541+1)*AC1541</f>
        <v>0</v>
      </c>
    </row>
    <row r="1542" spans="29:31">
      <c r="AC1542">
        <v>1541</v>
      </c>
      <c r="AD1542">
        <f t="shared" si="31"/>
        <v>309</v>
      </c>
      <c r="AE1542" cm="1">
        <f t="array" ref="AE1542">INDEX(X:X, AD1542+1)*AC1542</f>
        <v>0</v>
      </c>
    </row>
    <row r="1543" spans="29:31">
      <c r="AC1543">
        <v>1542</v>
      </c>
      <c r="AD1543">
        <f t="shared" si="31"/>
        <v>309</v>
      </c>
      <c r="AE1543" cm="1">
        <f t="array" ref="AE1543">INDEX(X:X, AD1543+1)*AC1543</f>
        <v>0</v>
      </c>
    </row>
    <row r="1544" spans="29:31">
      <c r="AC1544">
        <v>1543</v>
      </c>
      <c r="AD1544">
        <f t="shared" si="31"/>
        <v>309</v>
      </c>
      <c r="AE1544" cm="1">
        <f t="array" ref="AE1544">INDEX(X:X, AD1544+1)*AC1544</f>
        <v>0</v>
      </c>
    </row>
    <row r="1545" spans="29:31">
      <c r="AC1545">
        <v>1544</v>
      </c>
      <c r="AD1545">
        <f t="shared" si="31"/>
        <v>309</v>
      </c>
      <c r="AE1545" cm="1">
        <f t="array" ref="AE1545">INDEX(X:X, AD1545+1)*AC1545</f>
        <v>0</v>
      </c>
    </row>
    <row r="1546" spans="29:31">
      <c r="AC1546">
        <v>1545</v>
      </c>
      <c r="AD1546">
        <f t="shared" si="31"/>
        <v>310</v>
      </c>
      <c r="AE1546" cm="1">
        <f t="array" ref="AE1546">INDEX(X:X, AD1546+1)*AC1546</f>
        <v>0</v>
      </c>
    </row>
    <row r="1547" spans="29:31">
      <c r="AC1547">
        <v>1546</v>
      </c>
      <c r="AD1547">
        <f t="shared" si="31"/>
        <v>310</v>
      </c>
      <c r="AE1547" cm="1">
        <f t="array" ref="AE1547">INDEX(X:X, AD1547+1)*AC1547</f>
        <v>0</v>
      </c>
    </row>
    <row r="1548" spans="29:31">
      <c r="AC1548">
        <v>1547</v>
      </c>
      <c r="AD1548">
        <f t="shared" si="31"/>
        <v>310</v>
      </c>
      <c r="AE1548" cm="1">
        <f t="array" ref="AE1548">INDEX(X:X, AD1548+1)*AC1548</f>
        <v>0</v>
      </c>
    </row>
    <row r="1549" spans="29:31">
      <c r="AC1549">
        <v>1548</v>
      </c>
      <c r="AD1549">
        <f t="shared" si="31"/>
        <v>310</v>
      </c>
      <c r="AE1549" cm="1">
        <f t="array" ref="AE1549">INDEX(X:X, AD1549+1)*AC1549</f>
        <v>0</v>
      </c>
    </row>
    <row r="1550" spans="29:31">
      <c r="AC1550">
        <v>1549</v>
      </c>
      <c r="AD1550">
        <f t="shared" si="31"/>
        <v>310</v>
      </c>
      <c r="AE1550" cm="1">
        <f t="array" ref="AE1550">INDEX(X:X, AD1550+1)*AC1550</f>
        <v>0</v>
      </c>
    </row>
    <row r="1551" spans="29:31">
      <c r="AC1551">
        <v>1550</v>
      </c>
      <c r="AD1551">
        <f t="shared" si="31"/>
        <v>311</v>
      </c>
      <c r="AE1551" cm="1">
        <f t="array" ref="AE1551">INDEX(X:X, AD1551+1)*AC1551</f>
        <v>0</v>
      </c>
    </row>
    <row r="1552" spans="29:31">
      <c r="AC1552">
        <v>1551</v>
      </c>
      <c r="AD1552">
        <f t="shared" si="31"/>
        <v>311</v>
      </c>
      <c r="AE1552" cm="1">
        <f t="array" ref="AE1552">INDEX(X:X, AD1552+1)*AC1552</f>
        <v>0</v>
      </c>
    </row>
    <row r="1553" spans="29:31">
      <c r="AC1553">
        <v>1552</v>
      </c>
      <c r="AD1553">
        <f t="shared" si="31"/>
        <v>311</v>
      </c>
      <c r="AE1553" cm="1">
        <f t="array" ref="AE1553">INDEX(X:X, AD1553+1)*AC1553</f>
        <v>0</v>
      </c>
    </row>
    <row r="1554" spans="29:31">
      <c r="AC1554">
        <v>1553</v>
      </c>
      <c r="AD1554">
        <f t="shared" si="31"/>
        <v>311</v>
      </c>
      <c r="AE1554" cm="1">
        <f t="array" ref="AE1554">INDEX(X:X, AD1554+1)*AC1554</f>
        <v>0</v>
      </c>
    </row>
    <row r="1555" spans="29:31">
      <c r="AC1555">
        <v>1554</v>
      </c>
      <c r="AD1555">
        <f t="shared" si="31"/>
        <v>311</v>
      </c>
      <c r="AE1555" cm="1">
        <f t="array" ref="AE1555">INDEX(X:X, AD1555+1)*AC1555</f>
        <v>0</v>
      </c>
    </row>
    <row r="1556" spans="29:31">
      <c r="AC1556">
        <v>1555</v>
      </c>
      <c r="AD1556">
        <f t="shared" si="31"/>
        <v>312</v>
      </c>
      <c r="AE1556" cm="1">
        <f t="array" ref="AE1556">INDEX(X:X, AD1556+1)*AC1556</f>
        <v>0</v>
      </c>
    </row>
    <row r="1557" spans="29:31">
      <c r="AC1557">
        <v>1556</v>
      </c>
      <c r="AD1557">
        <f t="shared" si="31"/>
        <v>312</v>
      </c>
      <c r="AE1557" cm="1">
        <f t="array" ref="AE1557">INDEX(X:X, AD1557+1)*AC1557</f>
        <v>0</v>
      </c>
    </row>
    <row r="1558" spans="29:31">
      <c r="AC1558">
        <v>1557</v>
      </c>
      <c r="AD1558">
        <f t="shared" si="31"/>
        <v>312</v>
      </c>
      <c r="AE1558" cm="1">
        <f t="array" ref="AE1558">INDEX(X:X, AD1558+1)*AC1558</f>
        <v>0</v>
      </c>
    </row>
    <row r="1559" spans="29:31">
      <c r="AC1559">
        <v>1558</v>
      </c>
      <c r="AD1559">
        <f t="shared" si="31"/>
        <v>312</v>
      </c>
      <c r="AE1559" cm="1">
        <f t="array" ref="AE1559">INDEX(X:X, AD1559+1)*AC1559</f>
        <v>0</v>
      </c>
    </row>
    <row r="1560" spans="29:31">
      <c r="AC1560">
        <v>1559</v>
      </c>
      <c r="AD1560">
        <f t="shared" si="31"/>
        <v>312</v>
      </c>
      <c r="AE1560" cm="1">
        <f t="array" ref="AE1560">INDEX(X:X, AD1560+1)*AC1560</f>
        <v>0</v>
      </c>
    </row>
    <row r="1561" spans="29:31">
      <c r="AC1561">
        <v>1560</v>
      </c>
      <c r="AD1561">
        <f t="shared" si="31"/>
        <v>313</v>
      </c>
      <c r="AE1561" cm="1">
        <f t="array" ref="AE1561">INDEX(X:X, AD1561+1)*AC1561</f>
        <v>0</v>
      </c>
    </row>
    <row r="1562" spans="29:31">
      <c r="AC1562">
        <v>1561</v>
      </c>
      <c r="AD1562">
        <f t="shared" si="31"/>
        <v>313</v>
      </c>
      <c r="AE1562" cm="1">
        <f t="array" ref="AE1562">INDEX(X:X, AD1562+1)*AC1562</f>
        <v>0</v>
      </c>
    </row>
    <row r="1563" spans="29:31">
      <c r="AC1563">
        <v>1562</v>
      </c>
      <c r="AD1563">
        <f t="shared" si="31"/>
        <v>313</v>
      </c>
      <c r="AE1563" cm="1">
        <f t="array" ref="AE1563">INDEX(X:X, AD1563+1)*AC1563</f>
        <v>0</v>
      </c>
    </row>
    <row r="1564" spans="29:31">
      <c r="AC1564">
        <v>1563</v>
      </c>
      <c r="AD1564">
        <f t="shared" si="31"/>
        <v>313</v>
      </c>
      <c r="AE1564" cm="1">
        <f t="array" ref="AE1564">INDEX(X:X, AD1564+1)*AC1564</f>
        <v>0</v>
      </c>
    </row>
    <row r="1565" spans="29:31">
      <c r="AC1565">
        <v>1564</v>
      </c>
      <c r="AD1565">
        <f t="shared" si="31"/>
        <v>313</v>
      </c>
      <c r="AE1565" cm="1">
        <f t="array" ref="AE1565">INDEX(X:X, AD1565+1)*AC1565</f>
        <v>0</v>
      </c>
    </row>
    <row r="1566" spans="29:31">
      <c r="AC1566">
        <v>1565</v>
      </c>
      <c r="AD1566">
        <f t="shared" si="31"/>
        <v>314</v>
      </c>
      <c r="AE1566" cm="1">
        <f t="array" ref="AE1566">INDEX(X:X, AD1566+1)*AC1566</f>
        <v>0</v>
      </c>
    </row>
    <row r="1567" spans="29:31">
      <c r="AC1567">
        <v>1566</v>
      </c>
      <c r="AD1567">
        <f t="shared" si="31"/>
        <v>314</v>
      </c>
      <c r="AE1567" cm="1">
        <f t="array" ref="AE1567">INDEX(X:X, AD1567+1)*AC1567</f>
        <v>0</v>
      </c>
    </row>
    <row r="1568" spans="29:31">
      <c r="AC1568">
        <v>1567</v>
      </c>
      <c r="AD1568">
        <f t="shared" si="31"/>
        <v>314</v>
      </c>
      <c r="AE1568" cm="1">
        <f t="array" ref="AE1568">INDEX(X:X, AD1568+1)*AC1568</f>
        <v>0</v>
      </c>
    </row>
    <row r="1569" spans="29:31">
      <c r="AC1569">
        <v>1568</v>
      </c>
      <c r="AD1569">
        <f t="shared" si="31"/>
        <v>314</v>
      </c>
      <c r="AE1569" cm="1">
        <f t="array" ref="AE1569">INDEX(X:X, AD1569+1)*AC1569</f>
        <v>0</v>
      </c>
    </row>
    <row r="1570" spans="29:31">
      <c r="AC1570">
        <v>1569</v>
      </c>
      <c r="AD1570">
        <f t="shared" si="31"/>
        <v>314</v>
      </c>
      <c r="AE1570" cm="1">
        <f t="array" ref="AE1570">INDEX(X:X, AD1570+1)*AC1570</f>
        <v>0</v>
      </c>
    </row>
    <row r="1571" spans="29:31">
      <c r="AC1571">
        <v>1570</v>
      </c>
      <c r="AD1571">
        <f t="shared" si="31"/>
        <v>315</v>
      </c>
      <c r="AE1571" cm="1">
        <f t="array" ref="AE1571">INDEX(X:X, AD1571+1)*AC1571</f>
        <v>0</v>
      </c>
    </row>
    <row r="1572" spans="29:31">
      <c r="AC1572">
        <v>1571</v>
      </c>
      <c r="AD1572">
        <f t="shared" si="31"/>
        <v>315</v>
      </c>
      <c r="AE1572" cm="1">
        <f t="array" ref="AE1572">INDEX(X:X, AD1572+1)*AC1572</f>
        <v>0</v>
      </c>
    </row>
    <row r="1573" spans="29:31">
      <c r="AC1573">
        <v>1572</v>
      </c>
      <c r="AD1573">
        <f t="shared" si="31"/>
        <v>315</v>
      </c>
      <c r="AE1573" cm="1">
        <f t="array" ref="AE1573">INDEX(X:X, AD1573+1)*AC1573</f>
        <v>0</v>
      </c>
    </row>
    <row r="1574" spans="29:31">
      <c r="AC1574">
        <v>1573</v>
      </c>
      <c r="AD1574">
        <f t="shared" si="31"/>
        <v>315</v>
      </c>
      <c r="AE1574" cm="1">
        <f t="array" ref="AE1574">INDEX(X:X, AD1574+1)*AC1574</f>
        <v>0</v>
      </c>
    </row>
    <row r="1575" spans="29:31">
      <c r="AC1575">
        <v>1574</v>
      </c>
      <c r="AD1575">
        <f t="shared" si="31"/>
        <v>315</v>
      </c>
      <c r="AE1575" cm="1">
        <f t="array" ref="AE1575">INDEX(X:X, AD1575+1)*AC1575</f>
        <v>0</v>
      </c>
    </row>
    <row r="1576" spans="29:31">
      <c r="AC1576">
        <v>1575</v>
      </c>
      <c r="AD1576">
        <f t="shared" si="31"/>
        <v>316</v>
      </c>
      <c r="AE1576" cm="1">
        <f t="array" ref="AE1576">INDEX(X:X, AD1576+1)*AC1576</f>
        <v>0</v>
      </c>
    </row>
    <row r="1577" spans="29:31">
      <c r="AC1577">
        <v>1576</v>
      </c>
      <c r="AD1577">
        <f t="shared" si="31"/>
        <v>316</v>
      </c>
      <c r="AE1577" cm="1">
        <f t="array" ref="AE1577">INDEX(X:X, AD1577+1)*AC1577</f>
        <v>0</v>
      </c>
    </row>
    <row r="1578" spans="29:31">
      <c r="AC1578">
        <v>1577</v>
      </c>
      <c r="AD1578">
        <f t="shared" si="31"/>
        <v>316</v>
      </c>
      <c r="AE1578" cm="1">
        <f t="array" ref="AE1578">INDEX(X:X, AD1578+1)*AC1578</f>
        <v>0</v>
      </c>
    </row>
    <row r="1579" spans="29:31">
      <c r="AC1579">
        <v>1578</v>
      </c>
      <c r="AD1579">
        <f t="shared" si="31"/>
        <v>316</v>
      </c>
      <c r="AE1579" cm="1">
        <f t="array" ref="AE1579">INDEX(X:X, AD1579+1)*AC1579</f>
        <v>0</v>
      </c>
    </row>
    <row r="1580" spans="29:31">
      <c r="AC1580">
        <v>1579</v>
      </c>
      <c r="AD1580">
        <f t="shared" si="31"/>
        <v>316</v>
      </c>
      <c r="AE1580" cm="1">
        <f t="array" ref="AE1580">INDEX(X:X, AD1580+1)*AC1580</f>
        <v>0</v>
      </c>
    </row>
    <row r="1581" spans="29:31">
      <c r="AC1581">
        <v>1580</v>
      </c>
      <c r="AD1581">
        <f t="shared" si="31"/>
        <v>317</v>
      </c>
      <c r="AE1581" cm="1">
        <f t="array" ref="AE1581">INDEX(X:X, AD1581+1)*AC1581</f>
        <v>0</v>
      </c>
    </row>
    <row r="1582" spans="29:31">
      <c r="AC1582">
        <v>1581</v>
      </c>
      <c r="AD1582">
        <f t="shared" si="31"/>
        <v>317</v>
      </c>
      <c r="AE1582" cm="1">
        <f t="array" ref="AE1582">INDEX(X:X, AD1582+1)*AC1582</f>
        <v>0</v>
      </c>
    </row>
    <row r="1583" spans="29:31">
      <c r="AC1583">
        <v>1582</v>
      </c>
      <c r="AD1583">
        <f t="shared" si="31"/>
        <v>317</v>
      </c>
      <c r="AE1583" cm="1">
        <f t="array" ref="AE1583">INDEX(X:X, AD1583+1)*AC1583</f>
        <v>0</v>
      </c>
    </row>
    <row r="1584" spans="29:31">
      <c r="AC1584">
        <v>1583</v>
      </c>
      <c r="AD1584">
        <f t="shared" si="31"/>
        <v>317</v>
      </c>
      <c r="AE1584" cm="1">
        <f t="array" ref="AE1584">INDEX(X:X, AD1584+1)*AC1584</f>
        <v>0</v>
      </c>
    </row>
    <row r="1585" spans="29:31">
      <c r="AC1585">
        <v>1584</v>
      </c>
      <c r="AD1585">
        <f t="shared" si="31"/>
        <v>317</v>
      </c>
      <c r="AE1585" cm="1">
        <f t="array" ref="AE1585">INDEX(X:X, AD1585+1)*AC1585</f>
        <v>0</v>
      </c>
    </row>
    <row r="1586" spans="29:31">
      <c r="AC1586">
        <v>1585</v>
      </c>
      <c r="AD1586">
        <f t="shared" si="31"/>
        <v>318</v>
      </c>
      <c r="AE1586" cm="1">
        <f t="array" ref="AE1586">INDEX(X:X, AD1586+1)*AC1586</f>
        <v>0</v>
      </c>
    </row>
    <row r="1587" spans="29:31">
      <c r="AC1587">
        <v>1586</v>
      </c>
      <c r="AD1587">
        <f t="shared" si="31"/>
        <v>318</v>
      </c>
      <c r="AE1587" cm="1">
        <f t="array" ref="AE1587">INDEX(X:X, AD1587+1)*AC1587</f>
        <v>0</v>
      </c>
    </row>
    <row r="1588" spans="29:31">
      <c r="AC1588">
        <v>1587</v>
      </c>
      <c r="AD1588">
        <f t="shared" si="31"/>
        <v>318</v>
      </c>
      <c r="AE1588" cm="1">
        <f t="array" ref="AE1588">INDEX(X:X, AD1588+1)*AC1588</f>
        <v>0</v>
      </c>
    </row>
    <row r="1589" spans="29:31">
      <c r="AC1589">
        <v>1588</v>
      </c>
      <c r="AD1589">
        <f t="shared" si="31"/>
        <v>318</v>
      </c>
      <c r="AE1589" cm="1">
        <f t="array" ref="AE1589">INDEX(X:X, AD1589+1)*AC1589</f>
        <v>0</v>
      </c>
    </row>
    <row r="1590" spans="29:31">
      <c r="AC1590">
        <v>1589</v>
      </c>
      <c r="AD1590">
        <f t="shared" si="31"/>
        <v>318</v>
      </c>
      <c r="AE1590" cm="1">
        <f t="array" ref="AE1590">INDEX(X:X, AD1590+1)*AC1590</f>
        <v>0</v>
      </c>
    </row>
    <row r="1591" spans="29:31">
      <c r="AC1591">
        <v>1590</v>
      </c>
      <c r="AD1591">
        <f t="shared" si="31"/>
        <v>319</v>
      </c>
      <c r="AE1591" cm="1">
        <f t="array" ref="AE1591">INDEX(X:X, AD1591+1)*AC1591</f>
        <v>0</v>
      </c>
    </row>
    <row r="1592" spans="29:31">
      <c r="AC1592">
        <v>1591</v>
      </c>
      <c r="AD1592">
        <f t="shared" si="31"/>
        <v>319</v>
      </c>
      <c r="AE1592" cm="1">
        <f t="array" ref="AE1592">INDEX(X:X, AD1592+1)*AC1592</f>
        <v>0</v>
      </c>
    </row>
    <row r="1593" spans="29:31">
      <c r="AC1593">
        <v>1592</v>
      </c>
      <c r="AD1593">
        <f t="shared" si="31"/>
        <v>319</v>
      </c>
      <c r="AE1593" cm="1">
        <f t="array" ref="AE1593">INDEX(X:X, AD1593+1)*AC1593</f>
        <v>0</v>
      </c>
    </row>
    <row r="1594" spans="29:31">
      <c r="AC1594">
        <v>1593</v>
      </c>
      <c r="AD1594">
        <f t="shared" si="31"/>
        <v>319</v>
      </c>
      <c r="AE1594" cm="1">
        <f t="array" ref="AE1594">INDEX(X:X, AD1594+1)*AC1594</f>
        <v>0</v>
      </c>
    </row>
    <row r="1595" spans="29:31">
      <c r="AC1595">
        <v>1594</v>
      </c>
      <c r="AD1595">
        <f t="shared" si="31"/>
        <v>319</v>
      </c>
      <c r="AE1595" cm="1">
        <f t="array" ref="AE1595">INDEX(X:X, AD1595+1)*AC1595</f>
        <v>0</v>
      </c>
    </row>
    <row r="1596" spans="29:31">
      <c r="AC1596">
        <v>1595</v>
      </c>
      <c r="AD1596">
        <f t="shared" si="31"/>
        <v>320</v>
      </c>
      <c r="AE1596" cm="1">
        <f t="array" ref="AE1596">INDEX(X:X, AD1596+1)*AC1596</f>
        <v>0</v>
      </c>
    </row>
    <row r="1597" spans="29:31">
      <c r="AC1597">
        <v>1596</v>
      </c>
      <c r="AD1597">
        <f t="shared" si="31"/>
        <v>320</v>
      </c>
      <c r="AE1597" cm="1">
        <f t="array" ref="AE1597">INDEX(X:X, AD1597+1)*AC1597</f>
        <v>0</v>
      </c>
    </row>
    <row r="1598" spans="29:31">
      <c r="AC1598">
        <v>1597</v>
      </c>
      <c r="AD1598">
        <f t="shared" si="31"/>
        <v>320</v>
      </c>
      <c r="AE1598" cm="1">
        <f t="array" ref="AE1598">INDEX(X:X, AD1598+1)*AC1598</f>
        <v>0</v>
      </c>
    </row>
    <row r="1599" spans="29:31">
      <c r="AC1599">
        <v>1598</v>
      </c>
      <c r="AD1599">
        <f t="shared" si="31"/>
        <v>320</v>
      </c>
      <c r="AE1599" cm="1">
        <f t="array" ref="AE1599">INDEX(X:X, AD1599+1)*AC1599</f>
        <v>0</v>
      </c>
    </row>
    <row r="1600" spans="29:31">
      <c r="AC1600">
        <v>1599</v>
      </c>
      <c r="AD1600">
        <f t="shared" si="31"/>
        <v>320</v>
      </c>
      <c r="AE1600" cm="1">
        <f t="array" ref="AE1600">INDEX(X:X, AD1600+1)*AC1600</f>
        <v>0</v>
      </c>
    </row>
    <row r="1601" spans="29:31">
      <c r="AC1601">
        <v>1600</v>
      </c>
      <c r="AD1601">
        <f t="shared" si="31"/>
        <v>321</v>
      </c>
      <c r="AE1601" cm="1">
        <f t="array" ref="AE1601">INDEX(X:X, AD1601+1)*AC1601</f>
        <v>0</v>
      </c>
    </row>
    <row r="1602" spans="29:31">
      <c r="AC1602">
        <v>1601</v>
      </c>
      <c r="AD1602">
        <f t="shared" si="31"/>
        <v>321</v>
      </c>
      <c r="AE1602" cm="1">
        <f t="array" ref="AE1602">INDEX(X:X, AD1602+1)*AC1602</f>
        <v>0</v>
      </c>
    </row>
    <row r="1603" spans="29:31">
      <c r="AC1603">
        <v>1602</v>
      </c>
      <c r="AD1603">
        <f t="shared" ref="AD1603:AD1664" si="32">INT(AC1603/5)+1</f>
        <v>321</v>
      </c>
      <c r="AE1603" cm="1">
        <f t="array" ref="AE1603">INDEX(X:X, AD1603+1)*AC1603</f>
        <v>0</v>
      </c>
    </row>
    <row r="1604" spans="29:31">
      <c r="AC1604">
        <v>1603</v>
      </c>
      <c r="AD1604">
        <f t="shared" si="32"/>
        <v>321</v>
      </c>
      <c r="AE1604" cm="1">
        <f t="array" ref="AE1604">INDEX(X:X, AD1604+1)*AC1604</f>
        <v>0</v>
      </c>
    </row>
    <row r="1605" spans="29:31">
      <c r="AC1605">
        <v>1604</v>
      </c>
      <c r="AD1605">
        <f t="shared" si="32"/>
        <v>321</v>
      </c>
      <c r="AE1605" cm="1">
        <f t="array" ref="AE1605">INDEX(X:X, AD1605+1)*AC1605</f>
        <v>0</v>
      </c>
    </row>
    <row r="1606" spans="29:31">
      <c r="AC1606">
        <v>1605</v>
      </c>
      <c r="AD1606">
        <f t="shared" si="32"/>
        <v>322</v>
      </c>
      <c r="AE1606" cm="1">
        <f t="array" ref="AE1606">INDEX(X:X, AD1606+1)*AC1606</f>
        <v>0</v>
      </c>
    </row>
    <row r="1607" spans="29:31">
      <c r="AC1607">
        <v>1606</v>
      </c>
      <c r="AD1607">
        <f t="shared" si="32"/>
        <v>322</v>
      </c>
      <c r="AE1607" cm="1">
        <f t="array" ref="AE1607">INDEX(X:X, AD1607+1)*AC1607</f>
        <v>0</v>
      </c>
    </row>
    <row r="1608" spans="29:31">
      <c r="AC1608">
        <v>1607</v>
      </c>
      <c r="AD1608">
        <f t="shared" si="32"/>
        <v>322</v>
      </c>
      <c r="AE1608" cm="1">
        <f t="array" ref="AE1608">INDEX(X:X, AD1608+1)*AC1608</f>
        <v>0</v>
      </c>
    </row>
    <row r="1609" spans="29:31">
      <c r="AC1609">
        <v>1608</v>
      </c>
      <c r="AD1609">
        <f t="shared" si="32"/>
        <v>322</v>
      </c>
      <c r="AE1609" cm="1">
        <f t="array" ref="AE1609">INDEX(X:X, AD1609+1)*AC1609</f>
        <v>0</v>
      </c>
    </row>
    <row r="1610" spans="29:31">
      <c r="AC1610">
        <v>1609</v>
      </c>
      <c r="AD1610">
        <f t="shared" si="32"/>
        <v>322</v>
      </c>
      <c r="AE1610" cm="1">
        <f t="array" ref="AE1610">INDEX(X:X, AD1610+1)*AC1610</f>
        <v>0</v>
      </c>
    </row>
    <row r="1611" spans="29:31">
      <c r="AC1611">
        <v>1610</v>
      </c>
      <c r="AD1611">
        <f t="shared" si="32"/>
        <v>323</v>
      </c>
      <c r="AE1611" cm="1">
        <f t="array" ref="AE1611">INDEX(X:X, AD1611+1)*AC1611</f>
        <v>0</v>
      </c>
    </row>
    <row r="1612" spans="29:31">
      <c r="AC1612">
        <v>1611</v>
      </c>
      <c r="AD1612">
        <f t="shared" si="32"/>
        <v>323</v>
      </c>
      <c r="AE1612" cm="1">
        <f t="array" ref="AE1612">INDEX(X:X, AD1612+1)*AC1612</f>
        <v>0</v>
      </c>
    </row>
    <row r="1613" spans="29:31">
      <c r="AC1613">
        <v>1612</v>
      </c>
      <c r="AD1613">
        <f t="shared" si="32"/>
        <v>323</v>
      </c>
      <c r="AE1613" cm="1">
        <f t="array" ref="AE1613">INDEX(X:X, AD1613+1)*AC1613</f>
        <v>0</v>
      </c>
    </row>
    <row r="1614" spans="29:31">
      <c r="AC1614">
        <v>1613</v>
      </c>
      <c r="AD1614">
        <f t="shared" si="32"/>
        <v>323</v>
      </c>
      <c r="AE1614" cm="1">
        <f t="array" ref="AE1614">INDEX(X:X, AD1614+1)*AC1614</f>
        <v>0</v>
      </c>
    </row>
    <row r="1615" spans="29:31">
      <c r="AC1615">
        <v>1614</v>
      </c>
      <c r="AD1615">
        <f t="shared" si="32"/>
        <v>323</v>
      </c>
      <c r="AE1615" cm="1">
        <f t="array" ref="AE1615">INDEX(X:X, AD1615+1)*AC1615</f>
        <v>0</v>
      </c>
    </row>
    <row r="1616" spans="29:31">
      <c r="AC1616">
        <v>1615</v>
      </c>
      <c r="AD1616">
        <f t="shared" si="32"/>
        <v>324</v>
      </c>
      <c r="AE1616" cm="1">
        <f t="array" ref="AE1616">INDEX(X:X, AD1616+1)*AC1616</f>
        <v>0</v>
      </c>
    </row>
    <row r="1617" spans="29:31">
      <c r="AC1617">
        <v>1616</v>
      </c>
      <c r="AD1617">
        <f t="shared" si="32"/>
        <v>324</v>
      </c>
      <c r="AE1617" cm="1">
        <f t="array" ref="AE1617">INDEX(X:X, AD1617+1)*AC1617</f>
        <v>0</v>
      </c>
    </row>
    <row r="1618" spans="29:31">
      <c r="AC1618">
        <v>1617</v>
      </c>
      <c r="AD1618">
        <f t="shared" si="32"/>
        <v>324</v>
      </c>
      <c r="AE1618" cm="1">
        <f t="array" ref="AE1618">INDEX(X:X, AD1618+1)*AC1618</f>
        <v>0</v>
      </c>
    </row>
    <row r="1619" spans="29:31">
      <c r="AC1619">
        <v>1618</v>
      </c>
      <c r="AD1619">
        <f t="shared" si="32"/>
        <v>324</v>
      </c>
      <c r="AE1619" cm="1">
        <f t="array" ref="AE1619">INDEX(X:X, AD1619+1)*AC1619</f>
        <v>0</v>
      </c>
    </row>
    <row r="1620" spans="29:31">
      <c r="AC1620">
        <v>1619</v>
      </c>
      <c r="AD1620">
        <f t="shared" si="32"/>
        <v>324</v>
      </c>
      <c r="AE1620" cm="1">
        <f t="array" ref="AE1620">INDEX(X:X, AD1620+1)*AC1620</f>
        <v>0</v>
      </c>
    </row>
    <row r="1621" spans="29:31">
      <c r="AC1621">
        <v>1620</v>
      </c>
      <c r="AD1621">
        <f t="shared" si="32"/>
        <v>325</v>
      </c>
      <c r="AE1621" cm="1">
        <f t="array" ref="AE1621">INDEX(X:X, AD1621+1)*AC1621</f>
        <v>0</v>
      </c>
    </row>
    <row r="1622" spans="29:31">
      <c r="AC1622">
        <v>1621</v>
      </c>
      <c r="AD1622">
        <f t="shared" si="32"/>
        <v>325</v>
      </c>
      <c r="AE1622" cm="1">
        <f t="array" ref="AE1622">INDEX(X:X, AD1622+1)*AC1622</f>
        <v>0</v>
      </c>
    </row>
    <row r="1623" spans="29:31">
      <c r="AC1623">
        <v>1622</v>
      </c>
      <c r="AD1623">
        <f t="shared" si="32"/>
        <v>325</v>
      </c>
      <c r="AE1623" cm="1">
        <f t="array" ref="AE1623">INDEX(X:X, AD1623+1)*AC1623</f>
        <v>0</v>
      </c>
    </row>
    <row r="1624" spans="29:31">
      <c r="AC1624">
        <v>1623</v>
      </c>
      <c r="AD1624">
        <f t="shared" si="32"/>
        <v>325</v>
      </c>
      <c r="AE1624" cm="1">
        <f t="array" ref="AE1624">INDEX(X:X, AD1624+1)*AC1624</f>
        <v>0</v>
      </c>
    </row>
    <row r="1625" spans="29:31">
      <c r="AC1625">
        <v>1624</v>
      </c>
      <c r="AD1625">
        <f t="shared" si="32"/>
        <v>325</v>
      </c>
      <c r="AE1625" cm="1">
        <f t="array" ref="AE1625">INDEX(X:X, AD1625+1)*AC1625</f>
        <v>0</v>
      </c>
    </row>
    <row r="1626" spans="29:31">
      <c r="AC1626">
        <v>1625</v>
      </c>
      <c r="AD1626">
        <f t="shared" si="32"/>
        <v>326</v>
      </c>
      <c r="AE1626" cm="1">
        <f t="array" ref="AE1626">INDEX(X:X, AD1626+1)*AC1626</f>
        <v>0</v>
      </c>
    </row>
    <row r="1627" spans="29:31">
      <c r="AC1627">
        <v>1626</v>
      </c>
      <c r="AD1627">
        <f t="shared" si="32"/>
        <v>326</v>
      </c>
      <c r="AE1627" cm="1">
        <f t="array" ref="AE1627">INDEX(X:X, AD1627+1)*AC1627</f>
        <v>0</v>
      </c>
    </row>
    <row r="1628" spans="29:31">
      <c r="AC1628">
        <v>1627</v>
      </c>
      <c r="AD1628">
        <f t="shared" si="32"/>
        <v>326</v>
      </c>
      <c r="AE1628" cm="1">
        <f t="array" ref="AE1628">INDEX(X:X, AD1628+1)*AC1628</f>
        <v>0</v>
      </c>
    </row>
    <row r="1629" spans="29:31">
      <c r="AC1629">
        <v>1628</v>
      </c>
      <c r="AD1629">
        <f t="shared" si="32"/>
        <v>326</v>
      </c>
      <c r="AE1629" cm="1">
        <f t="array" ref="AE1629">INDEX(X:X, AD1629+1)*AC1629</f>
        <v>0</v>
      </c>
    </row>
    <row r="1630" spans="29:31">
      <c r="AC1630">
        <v>1629</v>
      </c>
      <c r="AD1630">
        <f t="shared" si="32"/>
        <v>326</v>
      </c>
      <c r="AE1630" cm="1">
        <f t="array" ref="AE1630">INDEX(X:X, AD1630+1)*AC1630</f>
        <v>0</v>
      </c>
    </row>
    <row r="1631" spans="29:31">
      <c r="AC1631">
        <v>1630</v>
      </c>
      <c r="AD1631">
        <f t="shared" si="32"/>
        <v>327</v>
      </c>
      <c r="AE1631" cm="1">
        <f t="array" ref="AE1631">INDEX(X:X, AD1631+1)*AC1631</f>
        <v>0</v>
      </c>
    </row>
    <row r="1632" spans="29:31">
      <c r="AC1632">
        <v>1631</v>
      </c>
      <c r="AD1632">
        <f t="shared" si="32"/>
        <v>327</v>
      </c>
      <c r="AE1632" cm="1">
        <f t="array" ref="AE1632">INDEX(X:X, AD1632+1)*AC1632</f>
        <v>0</v>
      </c>
    </row>
    <row r="1633" spans="29:31">
      <c r="AC1633">
        <v>1632</v>
      </c>
      <c r="AD1633">
        <f t="shared" si="32"/>
        <v>327</v>
      </c>
      <c r="AE1633" cm="1">
        <f t="array" ref="AE1633">INDEX(X:X, AD1633+1)*AC1633</f>
        <v>0</v>
      </c>
    </row>
    <row r="1634" spans="29:31">
      <c r="AC1634">
        <v>1633</v>
      </c>
      <c r="AD1634">
        <f t="shared" si="32"/>
        <v>327</v>
      </c>
      <c r="AE1634" cm="1">
        <f t="array" ref="AE1634">INDEX(X:X, AD1634+1)*AC1634</f>
        <v>0</v>
      </c>
    </row>
    <row r="1635" spans="29:31">
      <c r="AC1635">
        <v>1634</v>
      </c>
      <c r="AD1635">
        <f t="shared" si="32"/>
        <v>327</v>
      </c>
      <c r="AE1635" cm="1">
        <f t="array" ref="AE1635">INDEX(X:X, AD1635+1)*AC1635</f>
        <v>0</v>
      </c>
    </row>
    <row r="1636" spans="29:31">
      <c r="AC1636">
        <v>1635</v>
      </c>
      <c r="AD1636">
        <f t="shared" si="32"/>
        <v>328</v>
      </c>
      <c r="AE1636" cm="1">
        <f t="array" ref="AE1636">INDEX(X:X, AD1636+1)*AC1636</f>
        <v>0</v>
      </c>
    </row>
    <row r="1637" spans="29:31">
      <c r="AC1637">
        <v>1636</v>
      </c>
      <c r="AD1637">
        <f t="shared" si="32"/>
        <v>328</v>
      </c>
      <c r="AE1637" cm="1">
        <f t="array" ref="AE1637">INDEX(X:X, AD1637+1)*AC1637</f>
        <v>0</v>
      </c>
    </row>
    <row r="1638" spans="29:31">
      <c r="AC1638">
        <v>1637</v>
      </c>
      <c r="AD1638">
        <f t="shared" si="32"/>
        <v>328</v>
      </c>
      <c r="AE1638" cm="1">
        <f t="array" ref="AE1638">INDEX(X:X, AD1638+1)*AC1638</f>
        <v>0</v>
      </c>
    </row>
    <row r="1639" spans="29:31">
      <c r="AC1639">
        <v>1638</v>
      </c>
      <c r="AD1639">
        <f t="shared" si="32"/>
        <v>328</v>
      </c>
      <c r="AE1639" cm="1">
        <f t="array" ref="AE1639">INDEX(X:X, AD1639+1)*AC1639</f>
        <v>0</v>
      </c>
    </row>
    <row r="1640" spans="29:31">
      <c r="AC1640">
        <v>1639</v>
      </c>
      <c r="AD1640">
        <f t="shared" si="32"/>
        <v>328</v>
      </c>
      <c r="AE1640" cm="1">
        <f t="array" ref="AE1640">INDEX(X:X, AD1640+1)*AC1640</f>
        <v>0</v>
      </c>
    </row>
    <row r="1641" spans="29:31">
      <c r="AC1641">
        <v>1640</v>
      </c>
      <c r="AD1641">
        <f t="shared" si="32"/>
        <v>329</v>
      </c>
      <c r="AE1641" cm="1">
        <f t="array" ref="AE1641">INDEX(X:X, AD1641+1)*AC1641</f>
        <v>0</v>
      </c>
    </row>
    <row r="1642" spans="29:31">
      <c r="AC1642">
        <v>1641</v>
      </c>
      <c r="AD1642">
        <f t="shared" si="32"/>
        <v>329</v>
      </c>
      <c r="AE1642" cm="1">
        <f t="array" ref="AE1642">INDEX(X:X, AD1642+1)*AC1642</f>
        <v>0</v>
      </c>
    </row>
    <row r="1643" spans="29:31">
      <c r="AC1643">
        <v>1642</v>
      </c>
      <c r="AD1643">
        <f t="shared" si="32"/>
        <v>329</v>
      </c>
      <c r="AE1643" cm="1">
        <f t="array" ref="AE1643">INDEX(X:X, AD1643+1)*AC1643</f>
        <v>0</v>
      </c>
    </row>
    <row r="1644" spans="29:31">
      <c r="AC1644">
        <v>1643</v>
      </c>
      <c r="AD1644">
        <f t="shared" si="32"/>
        <v>329</v>
      </c>
      <c r="AE1644" cm="1">
        <f t="array" ref="AE1644">INDEX(X:X, AD1644+1)*AC1644</f>
        <v>0</v>
      </c>
    </row>
    <row r="1645" spans="29:31">
      <c r="AC1645">
        <v>1644</v>
      </c>
      <c r="AD1645">
        <f t="shared" si="32"/>
        <v>329</v>
      </c>
      <c r="AE1645" cm="1">
        <f t="array" ref="AE1645">INDEX(X:X, AD1645+1)*AC1645</f>
        <v>0</v>
      </c>
    </row>
    <row r="1646" spans="29:31">
      <c r="AC1646">
        <v>1645</v>
      </c>
      <c r="AD1646">
        <f t="shared" si="32"/>
        <v>330</v>
      </c>
      <c r="AE1646" cm="1">
        <f t="array" ref="AE1646">INDEX(X:X, AD1646+1)*AC1646</f>
        <v>0</v>
      </c>
    </row>
    <row r="1647" spans="29:31">
      <c r="AC1647">
        <v>1646</v>
      </c>
      <c r="AD1647">
        <f t="shared" si="32"/>
        <v>330</v>
      </c>
      <c r="AE1647" cm="1">
        <f t="array" ref="AE1647">INDEX(X:X, AD1647+1)*AC1647</f>
        <v>0</v>
      </c>
    </row>
    <row r="1648" spans="29:31">
      <c r="AC1648">
        <v>1647</v>
      </c>
      <c r="AD1648">
        <f t="shared" si="32"/>
        <v>330</v>
      </c>
      <c r="AE1648" cm="1">
        <f t="array" ref="AE1648">INDEX(X:X, AD1648+1)*AC1648</f>
        <v>0</v>
      </c>
    </row>
    <row r="1649" spans="29:31">
      <c r="AC1649">
        <v>1648</v>
      </c>
      <c r="AD1649">
        <f t="shared" si="32"/>
        <v>330</v>
      </c>
      <c r="AE1649" cm="1">
        <f t="array" ref="AE1649">INDEX(X:X, AD1649+1)*AC1649</f>
        <v>0</v>
      </c>
    </row>
    <row r="1650" spans="29:31">
      <c r="AC1650">
        <v>1649</v>
      </c>
      <c r="AD1650">
        <f t="shared" si="32"/>
        <v>330</v>
      </c>
      <c r="AE1650" cm="1">
        <f t="array" ref="AE1650">INDEX(X:X, AD1650+1)*AC1650</f>
        <v>0</v>
      </c>
    </row>
    <row r="1651" spans="29:31">
      <c r="AC1651">
        <v>1650</v>
      </c>
      <c r="AD1651">
        <f t="shared" si="32"/>
        <v>331</v>
      </c>
      <c r="AE1651" cm="1">
        <f t="array" ref="AE1651">INDEX(X:X, AD1651+1)*AC1651</f>
        <v>0</v>
      </c>
    </row>
    <row r="1652" spans="29:31">
      <c r="AC1652">
        <v>1651</v>
      </c>
      <c r="AD1652">
        <f t="shared" si="32"/>
        <v>331</v>
      </c>
      <c r="AE1652" cm="1">
        <f t="array" ref="AE1652">INDEX(X:X, AD1652+1)*AC1652</f>
        <v>0</v>
      </c>
    </row>
    <row r="1653" spans="29:31">
      <c r="AC1653">
        <v>1652</v>
      </c>
      <c r="AD1653">
        <f t="shared" si="32"/>
        <v>331</v>
      </c>
      <c r="AE1653" cm="1">
        <f t="array" ref="AE1653">INDEX(X:X, AD1653+1)*AC1653</f>
        <v>0</v>
      </c>
    </row>
    <row r="1654" spans="29:31">
      <c r="AC1654">
        <v>1653</v>
      </c>
      <c r="AD1654">
        <f t="shared" si="32"/>
        <v>331</v>
      </c>
      <c r="AE1654" cm="1">
        <f t="array" ref="AE1654">INDEX(X:X, AD1654+1)*AC1654</f>
        <v>0</v>
      </c>
    </row>
    <row r="1655" spans="29:31">
      <c r="AC1655">
        <v>1654</v>
      </c>
      <c r="AD1655">
        <f t="shared" si="32"/>
        <v>331</v>
      </c>
      <c r="AE1655" cm="1">
        <f t="array" ref="AE1655">INDEX(X:X, AD1655+1)*AC1655</f>
        <v>0</v>
      </c>
    </row>
    <row r="1656" spans="29:31">
      <c r="AC1656">
        <v>1655</v>
      </c>
      <c r="AD1656">
        <f t="shared" si="32"/>
        <v>332</v>
      </c>
      <c r="AE1656" cm="1">
        <f t="array" ref="AE1656">INDEX(X:X, AD1656+1)*AC1656</f>
        <v>0</v>
      </c>
    </row>
    <row r="1657" spans="29:31">
      <c r="AC1657">
        <v>1656</v>
      </c>
      <c r="AD1657">
        <f t="shared" si="32"/>
        <v>332</v>
      </c>
      <c r="AE1657" cm="1">
        <f t="array" ref="AE1657">INDEX(X:X, AD1657+1)*AC1657</f>
        <v>0</v>
      </c>
    </row>
    <row r="1658" spans="29:31">
      <c r="AC1658">
        <v>1657</v>
      </c>
      <c r="AD1658">
        <f t="shared" si="32"/>
        <v>332</v>
      </c>
      <c r="AE1658" cm="1">
        <f t="array" ref="AE1658">INDEX(X:X, AD1658+1)*AC1658</f>
        <v>0</v>
      </c>
    </row>
    <row r="1659" spans="29:31">
      <c r="AC1659">
        <v>1658</v>
      </c>
      <c r="AD1659">
        <f t="shared" si="32"/>
        <v>332</v>
      </c>
      <c r="AE1659" cm="1">
        <f t="array" ref="AE1659">INDEX(X:X, AD1659+1)*AC1659</f>
        <v>0</v>
      </c>
    </row>
    <row r="1660" spans="29:31">
      <c r="AC1660">
        <v>1659</v>
      </c>
      <c r="AD1660">
        <f t="shared" si="32"/>
        <v>332</v>
      </c>
      <c r="AE1660" cm="1">
        <f t="array" ref="AE1660">INDEX(X:X, AD1660+1)*AC1660</f>
        <v>0</v>
      </c>
    </row>
    <row r="1661" spans="29:31">
      <c r="AC1661">
        <v>1660</v>
      </c>
      <c r="AD1661">
        <f t="shared" si="32"/>
        <v>333</v>
      </c>
      <c r="AE1661" cm="1">
        <f t="array" ref="AE1661">INDEX(X:X, AD1661+1)*AC1661</f>
        <v>0</v>
      </c>
    </row>
    <row r="1662" spans="29:31">
      <c r="AC1662">
        <v>1661</v>
      </c>
      <c r="AD1662">
        <f t="shared" si="32"/>
        <v>333</v>
      </c>
      <c r="AE1662" cm="1">
        <f t="array" ref="AE1662">INDEX(X:X, AD1662+1)*AC1662</f>
        <v>0</v>
      </c>
    </row>
    <row r="1663" spans="29:31">
      <c r="AC1663">
        <v>1662</v>
      </c>
      <c r="AD1663">
        <f t="shared" si="32"/>
        <v>333</v>
      </c>
      <c r="AE1663" cm="1">
        <f t="array" ref="AE1663">INDEX(X:X, AD1663+1)*AC1663</f>
        <v>0</v>
      </c>
    </row>
    <row r="1664" spans="29:31">
      <c r="AC1664">
        <v>1663</v>
      </c>
      <c r="AD1664">
        <f t="shared" si="32"/>
        <v>333</v>
      </c>
      <c r="AE1664" cm="1">
        <f t="array" ref="AE1664">INDEX(X:X, AD1664+1)*AC1664</f>
        <v>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D10A-6615-4933-A779-93F533FB3C46}">
  <sheetPr codeName="Sheet3"/>
  <dimension ref="A1:J1501"/>
  <sheetViews>
    <sheetView workbookViewId="0"/>
  </sheetViews>
  <sheetFormatPr defaultRowHeight="16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>
        <v>2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>
        <v>3</v>
      </c>
      <c r="B4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>
        <v>4</v>
      </c>
      <c r="B5">
        <v>4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>
        <v>5</v>
      </c>
      <c r="B6">
        <v>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>
        <v>6</v>
      </c>
      <c r="B7">
        <v>11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>
        <v>7</v>
      </c>
      <c r="B8">
        <v>13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>
        <v>8</v>
      </c>
      <c r="B9">
        <v>15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>
        <v>9</v>
      </c>
      <c r="B10">
        <v>17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>
        <v>10</v>
      </c>
      <c r="B11">
        <v>19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>
        <v>11</v>
      </c>
      <c r="B12">
        <v>21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>
        <v>12</v>
      </c>
      <c r="B13">
        <v>23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>
        <v>13</v>
      </c>
      <c r="B14">
        <v>25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>
        <v>14</v>
      </c>
      <c r="B15">
        <v>27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>
        <v>15</v>
      </c>
      <c r="B16">
        <v>102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>
        <v>16</v>
      </c>
      <c r="B17">
        <v>123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>
        <v>17</v>
      </c>
      <c r="B18">
        <v>156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>
        <v>18</v>
      </c>
      <c r="B19">
        <v>189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>
        <v>19</v>
      </c>
      <c r="B20">
        <v>222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>
        <v>20</v>
      </c>
      <c r="B21">
        <v>298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>
        <v>21</v>
      </c>
      <c r="B22">
        <v>374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>
        <v>22</v>
      </c>
      <c r="B23">
        <v>450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>
        <v>23</v>
      </c>
      <c r="B24">
        <v>526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>
        <v>24</v>
      </c>
      <c r="B25">
        <v>602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>
        <v>25</v>
      </c>
      <c r="B26">
        <v>678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>
        <v>26</v>
      </c>
      <c r="B27">
        <v>754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>
        <v>27</v>
      </c>
      <c r="B28">
        <v>830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>
      <c r="A29">
        <v>28</v>
      </c>
      <c r="B29">
        <v>906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>
      <c r="A30">
        <v>29</v>
      </c>
      <c r="B30">
        <v>982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>
        <v>30</v>
      </c>
      <c r="B31">
        <v>1058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>
        <v>31</v>
      </c>
      <c r="B32">
        <v>2013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A33">
        <v>32</v>
      </c>
      <c r="B33">
        <v>2968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>
      <c r="A34">
        <v>33</v>
      </c>
      <c r="B34">
        <v>3923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>
      <c r="A35">
        <v>34</v>
      </c>
      <c r="B35">
        <v>4878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>
      <c r="A36">
        <v>35</v>
      </c>
      <c r="B36">
        <v>5833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>
      <c r="A37">
        <v>36</v>
      </c>
      <c r="B37">
        <v>6788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>
        <v>37</v>
      </c>
      <c r="B38">
        <v>7743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>
      <c r="A39">
        <v>38</v>
      </c>
      <c r="B39">
        <v>8698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>
      <c r="A40">
        <v>39</v>
      </c>
      <c r="B40">
        <v>9653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>
      <c r="A41">
        <v>40</v>
      </c>
      <c r="B41">
        <v>13716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A42">
        <v>41</v>
      </c>
      <c r="B42">
        <v>14184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>
      <c r="A43">
        <v>42</v>
      </c>
      <c r="B43">
        <v>14652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>
      <c r="A44">
        <v>43</v>
      </c>
      <c r="B44">
        <v>20164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>
      <c r="A45">
        <v>44</v>
      </c>
      <c r="B45">
        <v>25676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>
      <c r="A46">
        <v>45</v>
      </c>
      <c r="B46">
        <v>31188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>
      <c r="A47">
        <v>46</v>
      </c>
      <c r="B47">
        <v>36700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>
      <c r="A48">
        <v>47</v>
      </c>
      <c r="B48">
        <v>42212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>
      <c r="A49">
        <v>48</v>
      </c>
      <c r="B49">
        <v>47724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>
      <c r="A50">
        <v>49</v>
      </c>
      <c r="B50">
        <v>53236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>
      <c r="A51">
        <v>50</v>
      </c>
      <c r="B51">
        <v>58748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>
      <c r="A52">
        <v>51</v>
      </c>
      <c r="B52">
        <v>64260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>
      <c r="A53">
        <v>52</v>
      </c>
      <c r="B53">
        <v>69772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>
      <c r="A54">
        <v>53</v>
      </c>
      <c r="B54">
        <v>75284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>
      <c r="A55">
        <v>54</v>
      </c>
      <c r="B55">
        <v>80796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>
      <c r="A56">
        <v>55</v>
      </c>
      <c r="B56">
        <v>86308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>
      <c r="A57">
        <v>56</v>
      </c>
      <c r="B57">
        <v>91820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>
      <c r="A58">
        <v>57</v>
      </c>
      <c r="B58">
        <v>97332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A59">
        <v>58</v>
      </c>
      <c r="B59">
        <v>100766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>
      <c r="A60">
        <v>59</v>
      </c>
      <c r="B60">
        <v>104200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>
      <c r="A61">
        <v>60</v>
      </c>
      <c r="B61">
        <v>107634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>
      <c r="A62">
        <v>61</v>
      </c>
      <c r="B62">
        <v>111068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>
      <c r="A63">
        <v>62</v>
      </c>
      <c r="B63">
        <v>114502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>
      <c r="A64">
        <v>63</v>
      </c>
      <c r="B64">
        <v>117936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>
      <c r="A65">
        <v>64</v>
      </c>
      <c r="B65">
        <v>121370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>
      <c r="A66">
        <v>65</v>
      </c>
      <c r="B66">
        <v>124804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>
      <c r="A67">
        <v>66</v>
      </c>
      <c r="B67">
        <v>128238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>
      <c r="A68">
        <v>67</v>
      </c>
      <c r="B68">
        <v>131672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>
      <c r="A69">
        <v>68</v>
      </c>
      <c r="B69">
        <v>135106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>
      <c r="A70">
        <v>69</v>
      </c>
      <c r="B70">
        <v>138540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>
      <c r="A71">
        <v>70</v>
      </c>
      <c r="B71">
        <v>141974</v>
      </c>
      <c r="C71">
        <v>2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>
        <v>71</v>
      </c>
      <c r="B72">
        <v>145408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>
      <c r="A73">
        <v>72</v>
      </c>
      <c r="B73">
        <v>148842</v>
      </c>
      <c r="C73">
        <v>2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>
      <c r="A74">
        <v>73</v>
      </c>
      <c r="B74">
        <v>152276</v>
      </c>
      <c r="C74">
        <v>2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>
      <c r="A75">
        <v>74</v>
      </c>
      <c r="B75">
        <v>155710</v>
      </c>
      <c r="C75">
        <v>2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>
      <c r="A76">
        <v>75</v>
      </c>
      <c r="B76">
        <v>159144</v>
      </c>
      <c r="C76">
        <v>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>
      <c r="A77">
        <v>76</v>
      </c>
      <c r="B77">
        <v>162578</v>
      </c>
      <c r="C77">
        <v>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>
        <v>77</v>
      </c>
      <c r="B78">
        <v>166012</v>
      </c>
      <c r="C78">
        <v>3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>
        <v>78</v>
      </c>
      <c r="B79">
        <v>169446</v>
      </c>
      <c r="C79">
        <v>3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>
      <c r="A80">
        <v>79</v>
      </c>
      <c r="B80">
        <v>172880</v>
      </c>
      <c r="C80">
        <v>3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>
      <c r="A81">
        <v>80</v>
      </c>
      <c r="B81">
        <v>176314</v>
      </c>
      <c r="C81">
        <v>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>
      <c r="A82">
        <v>81</v>
      </c>
      <c r="B82">
        <v>528166</v>
      </c>
      <c r="C82">
        <v>3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>
      <c r="A83">
        <v>82</v>
      </c>
      <c r="B83">
        <v>548072</v>
      </c>
      <c r="C83">
        <v>3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>
        <v>83</v>
      </c>
      <c r="B84">
        <v>567978</v>
      </c>
      <c r="C84">
        <v>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>
      <c r="A85">
        <v>84</v>
      </c>
      <c r="B85">
        <v>587884</v>
      </c>
      <c r="C85">
        <v>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>
      <c r="A86">
        <v>85</v>
      </c>
      <c r="B86">
        <v>607790</v>
      </c>
      <c r="C86">
        <v>3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>
      <c r="A87">
        <v>86</v>
      </c>
      <c r="B87">
        <v>627696</v>
      </c>
      <c r="C87">
        <v>4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>
      <c r="A88">
        <v>87</v>
      </c>
      <c r="B88">
        <v>647602</v>
      </c>
      <c r="C88">
        <v>4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>
      <c r="A89">
        <v>88</v>
      </c>
      <c r="B89">
        <v>667508</v>
      </c>
      <c r="C89">
        <v>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>
      <c r="A90">
        <v>89</v>
      </c>
      <c r="B90">
        <v>687414</v>
      </c>
      <c r="C90">
        <v>4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>
      <c r="A91">
        <v>90</v>
      </c>
      <c r="B91">
        <v>707320</v>
      </c>
      <c r="C91">
        <v>4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>
      <c r="A92">
        <v>91</v>
      </c>
      <c r="B92">
        <v>727226</v>
      </c>
      <c r="C92">
        <v>5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>
      <c r="A93">
        <v>92</v>
      </c>
      <c r="B93">
        <v>747132</v>
      </c>
      <c r="C93">
        <v>5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>
      <c r="A94">
        <v>93</v>
      </c>
      <c r="B94">
        <v>767038</v>
      </c>
      <c r="C94">
        <v>5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>
      <c r="A95">
        <v>94</v>
      </c>
      <c r="B95">
        <v>786944</v>
      </c>
      <c r="C95">
        <v>5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>
        <v>95</v>
      </c>
      <c r="B96">
        <v>806850</v>
      </c>
      <c r="C96">
        <v>5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>
      <c r="A97">
        <v>96</v>
      </c>
      <c r="B97">
        <v>826756</v>
      </c>
      <c r="C97">
        <v>10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>
      <c r="A98">
        <v>97</v>
      </c>
      <c r="B98">
        <v>846662</v>
      </c>
      <c r="C98">
        <v>10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>
      <c r="A99">
        <v>98</v>
      </c>
      <c r="B99">
        <v>866568</v>
      </c>
      <c r="C99">
        <v>10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>
      <c r="A100">
        <v>99</v>
      </c>
      <c r="B100">
        <v>886474</v>
      </c>
      <c r="C100">
        <v>10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>
      <c r="A101">
        <v>100</v>
      </c>
      <c r="B101">
        <v>906380</v>
      </c>
      <c r="C101">
        <v>10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>
      <c r="A102">
        <v>101</v>
      </c>
      <c r="B102">
        <v>1034684</v>
      </c>
      <c r="C102">
        <v>10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>
      <c r="A103">
        <v>102</v>
      </c>
      <c r="B103">
        <v>1162988</v>
      </c>
      <c r="C103">
        <v>10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>
      <c r="A104">
        <v>103</v>
      </c>
      <c r="B104">
        <v>1291292</v>
      </c>
      <c r="C104">
        <v>10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>
      <c r="A105">
        <v>104</v>
      </c>
      <c r="B105">
        <v>1419596</v>
      </c>
      <c r="C105">
        <v>10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>
      <c r="A106">
        <v>105</v>
      </c>
      <c r="B106">
        <v>1547900</v>
      </c>
      <c r="C106">
        <v>10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>
      <c r="A107">
        <v>106</v>
      </c>
      <c r="B107">
        <v>1676204</v>
      </c>
      <c r="C107">
        <v>15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>
      <c r="A108">
        <v>107</v>
      </c>
      <c r="B108">
        <v>1804508</v>
      </c>
      <c r="C108">
        <v>15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>
      <c r="A109">
        <v>108</v>
      </c>
      <c r="B109">
        <v>1932812</v>
      </c>
      <c r="C109">
        <v>15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>
      <c r="A110">
        <v>109</v>
      </c>
      <c r="B110">
        <v>2061116</v>
      </c>
      <c r="C110">
        <v>15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>
      <c r="A111">
        <v>110</v>
      </c>
      <c r="B111">
        <v>2189420</v>
      </c>
      <c r="C111">
        <v>15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>
      <c r="A112">
        <v>111</v>
      </c>
      <c r="B112">
        <v>3016484</v>
      </c>
      <c r="C112">
        <v>15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>
      <c r="A113">
        <v>112</v>
      </c>
      <c r="B113">
        <v>3843548</v>
      </c>
      <c r="C113">
        <v>15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>
      <c r="A114">
        <v>113</v>
      </c>
      <c r="B114">
        <v>4670612</v>
      </c>
      <c r="C114">
        <v>15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>
      <c r="A115">
        <v>114</v>
      </c>
      <c r="B115">
        <v>5497676</v>
      </c>
      <c r="C115">
        <v>15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>
      <c r="A116">
        <v>115</v>
      </c>
      <c r="B116">
        <v>6324740</v>
      </c>
      <c r="C116">
        <v>15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>
      <c r="A117">
        <v>116</v>
      </c>
      <c r="B117">
        <v>7151804</v>
      </c>
      <c r="C117">
        <v>20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>
      <c r="A118">
        <v>117</v>
      </c>
      <c r="B118">
        <v>7978868</v>
      </c>
      <c r="C118">
        <v>20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>
      <c r="A119">
        <v>118</v>
      </c>
      <c r="B119">
        <v>8805932</v>
      </c>
      <c r="C119">
        <v>20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>
      <c r="A120">
        <v>119</v>
      </c>
      <c r="B120">
        <v>9632996</v>
      </c>
      <c r="C120">
        <v>20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>
      <c r="A121">
        <v>120</v>
      </c>
      <c r="B121">
        <v>10460060</v>
      </c>
      <c r="C121">
        <v>20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>
      <c r="A122">
        <v>121</v>
      </c>
      <c r="B122">
        <v>11287124</v>
      </c>
      <c r="C122">
        <v>30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>
      <c r="A123">
        <v>122</v>
      </c>
      <c r="B123">
        <v>12114188</v>
      </c>
      <c r="C123">
        <v>30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>
      <c r="A124">
        <v>123</v>
      </c>
      <c r="B124">
        <v>12941252</v>
      </c>
      <c r="C124">
        <v>30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>
      <c r="A125">
        <v>124</v>
      </c>
      <c r="B125">
        <v>13768316</v>
      </c>
      <c r="C125">
        <v>30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>
      <c r="A126">
        <v>125</v>
      </c>
      <c r="B126">
        <v>14595380</v>
      </c>
      <c r="C126">
        <v>30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>
      <c r="A127">
        <v>126</v>
      </c>
      <c r="B127">
        <v>15422444</v>
      </c>
      <c r="C127">
        <v>50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>
      <c r="A128">
        <v>127</v>
      </c>
      <c r="B128">
        <v>16249508</v>
      </c>
      <c r="C128">
        <v>50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>
      <c r="A129">
        <v>128</v>
      </c>
      <c r="B129">
        <v>17076572</v>
      </c>
      <c r="C129">
        <v>50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>
      <c r="A130">
        <v>129</v>
      </c>
      <c r="B130">
        <v>17903636</v>
      </c>
      <c r="C130">
        <v>50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>
      <c r="A131">
        <v>130</v>
      </c>
      <c r="B131">
        <v>30134684</v>
      </c>
      <c r="C131">
        <v>50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>
      <c r="A132">
        <v>131</v>
      </c>
      <c r="B132">
        <v>42365732</v>
      </c>
      <c r="C132">
        <v>60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>
      <c r="A133">
        <v>132</v>
      </c>
      <c r="B133">
        <v>54596780</v>
      </c>
      <c r="C133">
        <v>60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>
      <c r="A134">
        <v>133</v>
      </c>
      <c r="B134">
        <v>66827828</v>
      </c>
      <c r="C134">
        <v>60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>
      <c r="A135">
        <v>134</v>
      </c>
      <c r="B135">
        <v>79058876</v>
      </c>
      <c r="C135">
        <v>60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>
      <c r="A136">
        <v>135</v>
      </c>
      <c r="B136">
        <v>91289924</v>
      </c>
      <c r="C136">
        <v>60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>
      <c r="A137">
        <v>136</v>
      </c>
      <c r="B137">
        <v>103520972</v>
      </c>
      <c r="C137">
        <v>70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>
      <c r="A138">
        <v>137</v>
      </c>
      <c r="B138">
        <v>129784151</v>
      </c>
      <c r="C138">
        <v>70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>
      <c r="A139">
        <v>138</v>
      </c>
      <c r="B139">
        <v>156047330</v>
      </c>
      <c r="C139">
        <v>70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>
      <c r="A140">
        <v>139</v>
      </c>
      <c r="B140">
        <v>182310509</v>
      </c>
      <c r="C140">
        <v>70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>
      <c r="A141">
        <v>140</v>
      </c>
      <c r="B141">
        <v>208573688</v>
      </c>
      <c r="C141">
        <v>70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>
      <c r="A142">
        <v>141</v>
      </c>
      <c r="B142">
        <v>234836867</v>
      </c>
      <c r="C142">
        <v>80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>
      <c r="A143">
        <v>142</v>
      </c>
      <c r="B143">
        <v>261100046</v>
      </c>
      <c r="C143">
        <v>80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>
      <c r="A144">
        <v>143</v>
      </c>
      <c r="B144">
        <v>287363225</v>
      </c>
      <c r="C144">
        <v>80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>
      <c r="A145">
        <v>144</v>
      </c>
      <c r="B145">
        <v>313626404</v>
      </c>
      <c r="C145">
        <v>80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>
      <c r="A146">
        <v>145</v>
      </c>
      <c r="B146">
        <v>339889583</v>
      </c>
      <c r="C146">
        <v>80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>
      <c r="A147">
        <v>146</v>
      </c>
      <c r="B147">
        <v>366152762</v>
      </c>
      <c r="C147">
        <v>90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>
      <c r="A148">
        <v>147</v>
      </c>
      <c r="B148">
        <v>392415941</v>
      </c>
      <c r="C148">
        <v>90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>
      <c r="A149">
        <v>148</v>
      </c>
      <c r="B149">
        <v>418679120</v>
      </c>
      <c r="C149">
        <v>90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>
      <c r="A150">
        <v>149</v>
      </c>
      <c r="B150">
        <v>444942299</v>
      </c>
      <c r="C150">
        <v>90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>
      <c r="A151">
        <v>150</v>
      </c>
      <c r="B151">
        <v>471205478</v>
      </c>
      <c r="C151">
        <v>90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>
      <c r="A152">
        <v>151</v>
      </c>
      <c r="B152">
        <v>497468657</v>
      </c>
      <c r="C152">
        <v>100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>
      <c r="A153">
        <v>152</v>
      </c>
      <c r="B153">
        <v>523731836</v>
      </c>
      <c r="C153">
        <v>100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>
      <c r="A154">
        <v>153</v>
      </c>
      <c r="B154">
        <v>549995015</v>
      </c>
      <c r="C154">
        <v>100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>
      <c r="A155">
        <v>154</v>
      </c>
      <c r="B155">
        <v>576258194</v>
      </c>
      <c r="C155">
        <v>100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>
      <c r="A156">
        <v>155</v>
      </c>
      <c r="B156">
        <v>602521373</v>
      </c>
      <c r="C156">
        <v>100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>
      <c r="A157">
        <v>156</v>
      </c>
      <c r="B157">
        <v>628784552</v>
      </c>
      <c r="C157">
        <v>100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>
        <v>157</v>
      </c>
      <c r="B158">
        <v>655047731</v>
      </c>
      <c r="C158">
        <v>100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>
      <c r="A159">
        <v>158</v>
      </c>
      <c r="B159">
        <v>681310910</v>
      </c>
      <c r="C159">
        <v>100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>
      <c r="A160">
        <v>159</v>
      </c>
      <c r="B160">
        <v>707574089</v>
      </c>
      <c r="C160">
        <v>100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>
      <c r="A161">
        <v>160</v>
      </c>
      <c r="B161">
        <v>733837268</v>
      </c>
      <c r="C161">
        <v>100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>
        <v>161</v>
      </c>
      <c r="B162">
        <v>760100447</v>
      </c>
      <c r="C162">
        <v>100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>
      <c r="A163">
        <v>162</v>
      </c>
      <c r="B163">
        <v>786363626</v>
      </c>
      <c r="C163">
        <v>100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>
        <v>163</v>
      </c>
      <c r="B164">
        <v>812626805</v>
      </c>
      <c r="C164">
        <v>100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>
        <v>164</v>
      </c>
      <c r="B165">
        <v>838889984</v>
      </c>
      <c r="C165">
        <v>100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>
      <c r="A166">
        <v>165</v>
      </c>
      <c r="B166">
        <v>865153163</v>
      </c>
      <c r="C166">
        <v>100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>
      <c r="A167">
        <v>166</v>
      </c>
      <c r="B167">
        <v>891416342</v>
      </c>
      <c r="C167">
        <v>100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>
      <c r="A168">
        <v>167</v>
      </c>
      <c r="B168">
        <v>917679521</v>
      </c>
      <c r="C168">
        <v>100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>
      <c r="A169">
        <v>168</v>
      </c>
      <c r="B169">
        <v>943942700</v>
      </c>
      <c r="C169">
        <v>100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>
      <c r="A170">
        <v>169</v>
      </c>
      <c r="B170">
        <v>970205879</v>
      </c>
      <c r="C170">
        <v>100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>
      <c r="A171">
        <v>170</v>
      </c>
      <c r="B171">
        <v>996469058</v>
      </c>
      <c r="C171">
        <v>100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>
      <c r="A172">
        <v>171</v>
      </c>
      <c r="B172">
        <v>103449844</v>
      </c>
      <c r="C172">
        <v>1000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>
      <c r="A173">
        <v>172</v>
      </c>
      <c r="B173">
        <v>130181948</v>
      </c>
      <c r="C173">
        <v>1000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>
      <c r="A174">
        <v>173</v>
      </c>
      <c r="B174">
        <v>156914052</v>
      </c>
      <c r="C174">
        <v>1000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>
      <c r="A175">
        <v>174</v>
      </c>
      <c r="B175">
        <v>183646156</v>
      </c>
      <c r="C175">
        <v>1000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>
        <v>175</v>
      </c>
      <c r="B176">
        <v>210378260</v>
      </c>
      <c r="C176">
        <v>1000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>
      <c r="A177">
        <v>176</v>
      </c>
      <c r="B177">
        <v>237110364</v>
      </c>
      <c r="C177">
        <v>1000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>
      <c r="A178">
        <v>177</v>
      </c>
      <c r="B178">
        <v>263842468</v>
      </c>
      <c r="C178">
        <v>1000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>
      <c r="A179">
        <v>178</v>
      </c>
      <c r="B179">
        <v>290574572</v>
      </c>
      <c r="C179">
        <v>1000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>
        <v>179</v>
      </c>
      <c r="B180">
        <v>317306676</v>
      </c>
      <c r="C180">
        <v>1000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>
      <c r="A181">
        <v>180</v>
      </c>
      <c r="B181">
        <v>344038780</v>
      </c>
      <c r="C181">
        <v>1000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>
        <v>181</v>
      </c>
      <c r="B182">
        <v>370770884</v>
      </c>
      <c r="C182">
        <v>1000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>
      <c r="A183">
        <v>182</v>
      </c>
      <c r="B183">
        <v>397502988</v>
      </c>
      <c r="C183">
        <v>1000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>
      <c r="A184">
        <v>183</v>
      </c>
      <c r="B184">
        <v>424235092</v>
      </c>
      <c r="C184">
        <v>1000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>
      <c r="A185">
        <v>184</v>
      </c>
      <c r="B185">
        <v>450967196</v>
      </c>
      <c r="C185">
        <v>1000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>
      <c r="A186">
        <v>185</v>
      </c>
      <c r="B186">
        <v>477699300</v>
      </c>
      <c r="C186">
        <v>1000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>
      <c r="A187">
        <v>186</v>
      </c>
      <c r="B187">
        <v>504431404</v>
      </c>
      <c r="C187">
        <v>1000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>
      <c r="A188">
        <v>187</v>
      </c>
      <c r="B188">
        <v>531163508</v>
      </c>
      <c r="C188">
        <v>1000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>
      <c r="A189">
        <v>188</v>
      </c>
      <c r="B189">
        <v>557895612</v>
      </c>
      <c r="C189">
        <v>1000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>
      <c r="A190">
        <v>189</v>
      </c>
      <c r="B190">
        <v>584627716</v>
      </c>
      <c r="C190">
        <v>1000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>
      <c r="A191">
        <v>190</v>
      </c>
      <c r="B191">
        <v>611359820</v>
      </c>
      <c r="C191">
        <v>1000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>
      <c r="A192">
        <v>191</v>
      </c>
      <c r="B192">
        <v>638091924</v>
      </c>
      <c r="C192">
        <v>1000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>
      <c r="A193">
        <v>192</v>
      </c>
      <c r="B193">
        <v>664824028</v>
      </c>
      <c r="C193">
        <v>1000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>
      <c r="A194">
        <v>193</v>
      </c>
      <c r="B194">
        <v>691556132</v>
      </c>
      <c r="C194">
        <v>1000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>
      <c r="A195">
        <v>194</v>
      </c>
      <c r="B195">
        <v>718288236</v>
      </c>
      <c r="C195">
        <v>1000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>
      <c r="A196">
        <v>195</v>
      </c>
      <c r="B196">
        <v>745020340</v>
      </c>
      <c r="C196">
        <v>1000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>
      <c r="A197">
        <v>196</v>
      </c>
      <c r="B197">
        <v>771752444</v>
      </c>
      <c r="C197">
        <v>1000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>
      <c r="A198">
        <v>197</v>
      </c>
      <c r="B198">
        <v>798484548</v>
      </c>
      <c r="C198">
        <v>1000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>
      <c r="A199">
        <v>198</v>
      </c>
      <c r="B199">
        <v>825216652</v>
      </c>
      <c r="C199">
        <v>1000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>
      <c r="A200">
        <v>199</v>
      </c>
      <c r="B200">
        <v>851948756</v>
      </c>
      <c r="C200">
        <v>1000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>
      <c r="A201">
        <v>200</v>
      </c>
      <c r="B201">
        <v>878680860</v>
      </c>
      <c r="C201">
        <v>1000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>
      <c r="A202">
        <v>201</v>
      </c>
      <c r="B202">
        <v>106489411</v>
      </c>
      <c r="C202">
        <v>10000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>
      <c r="A203">
        <v>202</v>
      </c>
      <c r="B203">
        <v>134981818</v>
      </c>
      <c r="C203">
        <v>10000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>
      <c r="A204">
        <v>203</v>
      </c>
      <c r="B204">
        <v>163474225</v>
      </c>
      <c r="C204">
        <v>10000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</row>
    <row r="205" spans="1:10">
      <c r="A205">
        <v>204</v>
      </c>
      <c r="B205">
        <v>191966632</v>
      </c>
      <c r="C205">
        <v>10000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</row>
    <row r="206" spans="1:10">
      <c r="A206">
        <v>205</v>
      </c>
      <c r="B206">
        <v>220459039</v>
      </c>
      <c r="C206">
        <v>10000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>
      <c r="A207">
        <v>206</v>
      </c>
      <c r="B207">
        <v>248951446</v>
      </c>
      <c r="C207">
        <v>10000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>
      <c r="A208">
        <v>207</v>
      </c>
      <c r="B208">
        <v>277443853</v>
      </c>
      <c r="C208">
        <v>10000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>
      <c r="A209">
        <v>208</v>
      </c>
      <c r="B209">
        <v>305936260</v>
      </c>
      <c r="C209">
        <v>10000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>
      <c r="A210">
        <v>209</v>
      </c>
      <c r="B210">
        <v>334428667</v>
      </c>
      <c r="C210">
        <v>10000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>
      <c r="A211">
        <v>210</v>
      </c>
      <c r="B211">
        <v>362921074</v>
      </c>
      <c r="C211">
        <v>10000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>
      <c r="A212">
        <v>211</v>
      </c>
      <c r="B212">
        <v>391413481</v>
      </c>
      <c r="C212">
        <v>10000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>
      <c r="A213">
        <v>212</v>
      </c>
      <c r="B213">
        <v>419905888</v>
      </c>
      <c r="C213">
        <v>10000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>
      <c r="A214">
        <v>213</v>
      </c>
      <c r="B214">
        <v>448398295</v>
      </c>
      <c r="C214">
        <v>10000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>
      <c r="A215">
        <v>214</v>
      </c>
      <c r="B215">
        <v>476890702</v>
      </c>
      <c r="C215">
        <v>10000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>
      <c r="A216">
        <v>215</v>
      </c>
      <c r="B216">
        <v>505383109</v>
      </c>
      <c r="C216">
        <v>10000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</row>
    <row r="217" spans="1:10">
      <c r="A217">
        <v>216</v>
      </c>
      <c r="B217">
        <v>533875516</v>
      </c>
      <c r="C217">
        <v>10000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>
      <c r="A218">
        <v>217</v>
      </c>
      <c r="B218">
        <v>562367923</v>
      </c>
      <c r="C218">
        <v>10000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>
      <c r="A219">
        <v>218</v>
      </c>
      <c r="B219">
        <v>590860330</v>
      </c>
      <c r="C219">
        <v>10000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>
      <c r="A220">
        <v>219</v>
      </c>
      <c r="B220">
        <v>619352737</v>
      </c>
      <c r="C220">
        <v>10000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>
      <c r="A221">
        <v>220</v>
      </c>
      <c r="B221">
        <v>647845144</v>
      </c>
      <c r="C221">
        <v>10000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>
      <c r="A222">
        <v>221</v>
      </c>
      <c r="B222">
        <v>676337551</v>
      </c>
      <c r="C222">
        <v>10000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>
        <v>222</v>
      </c>
      <c r="B223">
        <v>704829958</v>
      </c>
      <c r="C223">
        <v>10000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>
      <c r="A224">
        <v>223</v>
      </c>
      <c r="B224">
        <v>733322365</v>
      </c>
      <c r="C224">
        <v>10000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>
      <c r="A225">
        <v>224</v>
      </c>
      <c r="B225">
        <v>761814772</v>
      </c>
      <c r="C225">
        <v>10000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>
      <c r="A226">
        <v>225</v>
      </c>
      <c r="B226">
        <v>790307179</v>
      </c>
      <c r="C226">
        <v>10000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>
      <c r="A227">
        <v>226</v>
      </c>
      <c r="B227">
        <v>818799586</v>
      </c>
      <c r="C227">
        <v>100000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>
      <c r="A228">
        <v>227</v>
      </c>
      <c r="B228">
        <v>847291993</v>
      </c>
      <c r="C228">
        <v>100000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>
        <v>228</v>
      </c>
      <c r="B229">
        <v>875784400</v>
      </c>
      <c r="C229">
        <v>100000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>
      <c r="A230">
        <v>229</v>
      </c>
      <c r="B230">
        <v>904276807</v>
      </c>
      <c r="C230">
        <v>100000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>
      <c r="A231">
        <v>230</v>
      </c>
      <c r="B231">
        <v>932769214</v>
      </c>
      <c r="C231">
        <v>100000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>
      <c r="A232">
        <v>231</v>
      </c>
      <c r="B232">
        <v>961261621</v>
      </c>
      <c r="C232">
        <v>100000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>
      <c r="A233">
        <v>232</v>
      </c>
      <c r="B233">
        <v>989754028</v>
      </c>
      <c r="C233">
        <v>100000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>
      <c r="A234">
        <v>233</v>
      </c>
      <c r="B234">
        <v>105491818</v>
      </c>
      <c r="C234">
        <v>1000000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>
        <v>234</v>
      </c>
      <c r="B235">
        <v>120468118</v>
      </c>
      <c r="C235">
        <v>1000000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>
      <c r="A236">
        <v>235</v>
      </c>
      <c r="B236">
        <v>135444418</v>
      </c>
      <c r="C236">
        <v>1000000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>
      <c r="A237">
        <v>236</v>
      </c>
      <c r="B237">
        <v>150420718</v>
      </c>
      <c r="C237">
        <v>1000000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>
      <c r="A238">
        <v>237</v>
      </c>
      <c r="B238">
        <v>165397018</v>
      </c>
      <c r="C238">
        <v>1000000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>
      <c r="A239">
        <v>238</v>
      </c>
      <c r="B239">
        <v>180373318</v>
      </c>
      <c r="C239">
        <v>1000000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>
      <c r="A240">
        <v>239</v>
      </c>
      <c r="B240">
        <v>195349618</v>
      </c>
      <c r="C240">
        <v>1000000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>
      <c r="A241">
        <v>240</v>
      </c>
      <c r="B241">
        <v>210325918</v>
      </c>
      <c r="C241">
        <v>1000000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>
      <c r="A242">
        <v>241</v>
      </c>
      <c r="B242">
        <v>225302218</v>
      </c>
      <c r="C242">
        <v>1000000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>
      <c r="A243">
        <v>242</v>
      </c>
      <c r="B243">
        <v>240278518</v>
      </c>
      <c r="C243">
        <v>1000000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>
      <c r="A244">
        <v>243</v>
      </c>
      <c r="B244">
        <v>255254818</v>
      </c>
      <c r="C244">
        <v>1000000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>
      <c r="A245">
        <v>244</v>
      </c>
      <c r="B245">
        <v>270231118</v>
      </c>
      <c r="C245">
        <v>1000000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>
      <c r="A246">
        <v>245</v>
      </c>
      <c r="B246">
        <v>285207418</v>
      </c>
      <c r="C246">
        <v>1000000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>
        <v>246</v>
      </c>
      <c r="B247">
        <v>300183718</v>
      </c>
      <c r="C247">
        <v>1000000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>
      <c r="A248">
        <v>247</v>
      </c>
      <c r="B248">
        <v>315160018</v>
      </c>
      <c r="C248">
        <v>1000000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>
      <c r="A249">
        <v>248</v>
      </c>
      <c r="B249">
        <v>330136318</v>
      </c>
      <c r="C249">
        <v>1000000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>
      <c r="A250">
        <v>249</v>
      </c>
      <c r="B250">
        <v>345112618</v>
      </c>
      <c r="C250">
        <v>1000000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>
      <c r="A251">
        <v>250</v>
      </c>
      <c r="B251">
        <v>360088918</v>
      </c>
      <c r="C251">
        <v>1000000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>
      <c r="A252">
        <v>251</v>
      </c>
      <c r="B252">
        <v>375065218</v>
      </c>
      <c r="C252">
        <v>1000000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>
      <c r="A253">
        <v>252</v>
      </c>
      <c r="B253">
        <v>390041518</v>
      </c>
      <c r="C253">
        <v>1000000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>
      <c r="A254">
        <v>253</v>
      </c>
      <c r="B254">
        <v>405017818</v>
      </c>
      <c r="C254">
        <v>1000000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>
      <c r="A255">
        <v>254</v>
      </c>
      <c r="B255">
        <v>419994118</v>
      </c>
      <c r="C255">
        <v>1000000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>
      <c r="A256">
        <v>255</v>
      </c>
      <c r="B256">
        <v>434970418</v>
      </c>
      <c r="C256">
        <v>1000000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>
      <c r="A257">
        <v>256</v>
      </c>
      <c r="B257">
        <v>449946718</v>
      </c>
      <c r="C257">
        <v>1000000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>
      <c r="A258">
        <v>257</v>
      </c>
      <c r="B258">
        <v>464923018</v>
      </c>
      <c r="C258">
        <v>1000000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>
      <c r="A259">
        <v>258</v>
      </c>
      <c r="B259">
        <v>479899318</v>
      </c>
      <c r="C259">
        <v>1000000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>
      <c r="A260">
        <v>259</v>
      </c>
      <c r="B260">
        <v>494875618</v>
      </c>
      <c r="C260">
        <v>1000000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>
      <c r="A261">
        <v>260</v>
      </c>
      <c r="B261">
        <v>509851918</v>
      </c>
      <c r="C261">
        <v>1000000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>
      <c r="A262">
        <v>261</v>
      </c>
      <c r="B262">
        <v>524828218</v>
      </c>
      <c r="C262">
        <v>1000000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>
      <c r="A263">
        <v>262</v>
      </c>
      <c r="B263">
        <v>539804518</v>
      </c>
      <c r="C263">
        <v>1000000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>
      <c r="A264">
        <v>263</v>
      </c>
      <c r="B264">
        <v>554780818</v>
      </c>
      <c r="C264">
        <v>1000000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>
      <c r="A265">
        <v>264</v>
      </c>
      <c r="B265">
        <v>569757118</v>
      </c>
      <c r="C265">
        <v>1000000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>
      <c r="A266">
        <v>265</v>
      </c>
      <c r="B266">
        <v>584733418</v>
      </c>
      <c r="C266">
        <v>1000000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>
      <c r="A267">
        <v>266</v>
      </c>
      <c r="B267">
        <v>599709718</v>
      </c>
      <c r="C267">
        <v>1000000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>
      <c r="A268">
        <v>267</v>
      </c>
      <c r="B268">
        <v>614686018</v>
      </c>
      <c r="C268">
        <v>1000000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</row>
    <row r="269" spans="1:10">
      <c r="A269">
        <v>268</v>
      </c>
      <c r="B269">
        <v>629662318</v>
      </c>
      <c r="C269">
        <v>1000000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>
      <c r="A270">
        <v>269</v>
      </c>
      <c r="B270">
        <v>644638618</v>
      </c>
      <c r="C270">
        <v>1000000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>
      <c r="A271">
        <v>270</v>
      </c>
      <c r="B271">
        <v>659614918</v>
      </c>
      <c r="C271">
        <v>1000000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>
      <c r="A272">
        <v>271</v>
      </c>
      <c r="B272">
        <v>674591218</v>
      </c>
      <c r="C272">
        <v>1000000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>
      <c r="A273">
        <v>272</v>
      </c>
      <c r="B273">
        <v>689567518</v>
      </c>
      <c r="C273">
        <v>1000000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</row>
    <row r="274" spans="1:10">
      <c r="A274">
        <v>273</v>
      </c>
      <c r="B274">
        <v>704543818</v>
      </c>
      <c r="C274">
        <v>1000000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</row>
    <row r="275" spans="1:10">
      <c r="A275">
        <v>274</v>
      </c>
      <c r="B275">
        <v>719520118</v>
      </c>
      <c r="C275">
        <v>1000000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>
      <c r="A276">
        <v>275</v>
      </c>
      <c r="B276">
        <v>734496418</v>
      </c>
      <c r="C276">
        <v>1000000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</row>
    <row r="277" spans="1:10">
      <c r="A277">
        <v>276</v>
      </c>
      <c r="B277">
        <v>749472718</v>
      </c>
      <c r="C277">
        <v>1000000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</row>
    <row r="278" spans="1:10">
      <c r="A278">
        <v>277</v>
      </c>
      <c r="B278">
        <v>764449018</v>
      </c>
      <c r="C278">
        <v>1000000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</row>
    <row r="279" spans="1:10">
      <c r="A279">
        <v>278</v>
      </c>
      <c r="B279">
        <v>779425318</v>
      </c>
      <c r="C279">
        <v>1000000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>
      <c r="A280">
        <v>279</v>
      </c>
      <c r="B280">
        <v>794401618</v>
      </c>
      <c r="C280">
        <v>1000000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>
        <v>280</v>
      </c>
      <c r="B281">
        <v>809377918</v>
      </c>
      <c r="C281">
        <v>1000000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>
      <c r="A282">
        <v>281</v>
      </c>
      <c r="B282">
        <v>824354218</v>
      </c>
      <c r="C282">
        <v>1000000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>
      <c r="A283">
        <v>282</v>
      </c>
      <c r="B283">
        <v>839330518</v>
      </c>
      <c r="C283">
        <v>1000000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>
      <c r="A284">
        <v>283</v>
      </c>
      <c r="B284">
        <v>854306818</v>
      </c>
      <c r="C284">
        <v>1000000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>
      <c r="A285">
        <v>284</v>
      </c>
      <c r="B285">
        <v>869283118</v>
      </c>
      <c r="C285">
        <v>1000000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>
      <c r="A286">
        <v>285</v>
      </c>
      <c r="B286">
        <v>884259418</v>
      </c>
      <c r="C286">
        <v>1000000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>
      <c r="A287">
        <v>286</v>
      </c>
      <c r="B287">
        <v>899235718</v>
      </c>
      <c r="C287">
        <v>1000000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>
      <c r="A288">
        <v>287</v>
      </c>
      <c r="B288">
        <v>914212018</v>
      </c>
      <c r="C288">
        <v>1000000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>
      <c r="A289">
        <v>288</v>
      </c>
      <c r="B289">
        <v>929188318</v>
      </c>
      <c r="C289">
        <v>1000000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>
      <c r="A290">
        <v>289</v>
      </c>
      <c r="B290">
        <v>944164618</v>
      </c>
      <c r="C290">
        <v>1000000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>
        <v>290</v>
      </c>
      <c r="B291">
        <v>959140918</v>
      </c>
      <c r="C291">
        <v>1000000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>
      <c r="A292">
        <v>291</v>
      </c>
      <c r="B292">
        <v>974117218</v>
      </c>
      <c r="C292">
        <v>1000000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>
      <c r="A293">
        <v>292</v>
      </c>
      <c r="B293">
        <v>989093518</v>
      </c>
      <c r="C293">
        <v>1000000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>
      <c r="A294">
        <v>293</v>
      </c>
      <c r="B294">
        <v>100406981</v>
      </c>
      <c r="C294">
        <v>10000000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>
      <c r="A295">
        <v>294</v>
      </c>
      <c r="B295">
        <v>123489548</v>
      </c>
      <c r="C295">
        <v>10000000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>
      <c r="A296">
        <v>295</v>
      </c>
      <c r="B296">
        <v>146572115</v>
      </c>
      <c r="C296">
        <v>10000000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>
      <c r="A297">
        <v>296</v>
      </c>
      <c r="B297">
        <v>169654682</v>
      </c>
      <c r="C297">
        <v>10000000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>
      <c r="A298">
        <v>297</v>
      </c>
      <c r="B298">
        <v>192737249</v>
      </c>
      <c r="C298">
        <v>10000000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>
      <c r="A299">
        <v>298</v>
      </c>
      <c r="B299">
        <v>215819816</v>
      </c>
      <c r="C299">
        <v>10000000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>
      <c r="A300">
        <v>299</v>
      </c>
      <c r="B300">
        <v>238902383</v>
      </c>
      <c r="C300">
        <v>10000000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>
      <c r="A301">
        <v>300</v>
      </c>
      <c r="B301">
        <v>261984950</v>
      </c>
      <c r="C301">
        <v>10000000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>
      <c r="A302">
        <v>301</v>
      </c>
      <c r="B302">
        <v>285067517</v>
      </c>
      <c r="C302">
        <v>10000000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>
      <c r="A303">
        <v>302</v>
      </c>
      <c r="B303">
        <v>308150084</v>
      </c>
      <c r="C303">
        <v>10000000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>
      <c r="A304">
        <v>303</v>
      </c>
      <c r="B304">
        <v>331232651</v>
      </c>
      <c r="C304">
        <v>10000000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>
      <c r="A305">
        <v>304</v>
      </c>
      <c r="B305">
        <v>354315218</v>
      </c>
      <c r="C305">
        <v>10000000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>
      <c r="A306">
        <v>305</v>
      </c>
      <c r="B306">
        <v>377397785</v>
      </c>
      <c r="C306">
        <v>10000000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>
      <c r="A307">
        <v>306</v>
      </c>
      <c r="B307">
        <v>400480352</v>
      </c>
      <c r="C307">
        <v>10000000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>
      <c r="A308">
        <v>307</v>
      </c>
      <c r="B308">
        <v>423562919</v>
      </c>
      <c r="C308">
        <v>10000000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>
      <c r="A309">
        <v>308</v>
      </c>
      <c r="B309">
        <v>446645486</v>
      </c>
      <c r="C309">
        <v>10000000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>
      <c r="A310">
        <v>309</v>
      </c>
      <c r="B310">
        <v>469728053</v>
      </c>
      <c r="C310">
        <v>10000000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>
      <c r="A311">
        <v>310</v>
      </c>
      <c r="B311">
        <v>492810620</v>
      </c>
      <c r="C311">
        <v>10000000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>
      <c r="A312">
        <v>311</v>
      </c>
      <c r="B312">
        <v>515893187</v>
      </c>
      <c r="C312">
        <v>10000000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>
      <c r="A313">
        <v>312</v>
      </c>
      <c r="B313">
        <v>538975754</v>
      </c>
      <c r="C313">
        <v>10000000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>
      <c r="A314">
        <v>313</v>
      </c>
      <c r="B314">
        <v>562058321</v>
      </c>
      <c r="C314">
        <v>10000000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>
      <c r="A315">
        <v>314</v>
      </c>
      <c r="B315">
        <v>585140888</v>
      </c>
      <c r="C315">
        <v>10000000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>
      <c r="A316">
        <v>315</v>
      </c>
      <c r="B316">
        <v>608223455</v>
      </c>
      <c r="C316">
        <v>10000000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>
      <c r="A317">
        <v>316</v>
      </c>
      <c r="B317">
        <v>631306022</v>
      </c>
      <c r="C317">
        <v>10000000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>
      <c r="A318">
        <v>317</v>
      </c>
      <c r="B318">
        <v>654388589</v>
      </c>
      <c r="C318">
        <v>10000000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>
      <c r="A319">
        <v>318</v>
      </c>
      <c r="B319">
        <v>677471156</v>
      </c>
      <c r="C319">
        <v>10000000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>
      <c r="A320">
        <v>319</v>
      </c>
      <c r="B320">
        <v>700553723</v>
      </c>
      <c r="C320">
        <v>10000000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>
        <v>320</v>
      </c>
      <c r="B321">
        <v>723636290</v>
      </c>
      <c r="C321">
        <v>10000000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>
      <c r="A322">
        <v>321</v>
      </c>
      <c r="B322">
        <v>746718857</v>
      </c>
      <c r="C322">
        <v>10000000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>
      <c r="A323">
        <v>322</v>
      </c>
      <c r="B323">
        <v>769801424</v>
      </c>
      <c r="C323">
        <v>10000000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>
      <c r="A324">
        <v>323</v>
      </c>
      <c r="B324">
        <v>792883991</v>
      </c>
      <c r="C324">
        <v>10000000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</row>
    <row r="325" spans="1:10">
      <c r="A325">
        <v>324</v>
      </c>
      <c r="B325">
        <v>815966558</v>
      </c>
      <c r="C325">
        <v>10000000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</row>
    <row r="326" spans="1:10">
      <c r="A326">
        <v>325</v>
      </c>
      <c r="B326">
        <v>839049125</v>
      </c>
      <c r="C326">
        <v>10000000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</row>
    <row r="327" spans="1:10">
      <c r="A327">
        <v>326</v>
      </c>
      <c r="B327">
        <v>862131692</v>
      </c>
      <c r="C327">
        <v>10000000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>
      <c r="A328">
        <v>327</v>
      </c>
      <c r="B328">
        <v>885214259</v>
      </c>
      <c r="C328">
        <v>10000000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>
      <c r="A329">
        <v>328</v>
      </c>
      <c r="B329">
        <v>908296826</v>
      </c>
      <c r="C329">
        <v>10000000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>
      <c r="A330">
        <v>329</v>
      </c>
      <c r="B330">
        <v>931379393</v>
      </c>
      <c r="C330">
        <v>10000000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</row>
    <row r="331" spans="1:10">
      <c r="A331">
        <v>330</v>
      </c>
      <c r="B331">
        <v>954461960</v>
      </c>
      <c r="C331">
        <v>10000000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</row>
    <row r="332" spans="1:10">
      <c r="A332">
        <v>331</v>
      </c>
      <c r="B332">
        <v>977544527</v>
      </c>
      <c r="C332">
        <v>10000000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>
      <c r="A333">
        <v>332</v>
      </c>
      <c r="B333">
        <v>100062709</v>
      </c>
      <c r="C333">
        <v>100000000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>
      <c r="A334">
        <v>333</v>
      </c>
      <c r="B334">
        <v>124576453</v>
      </c>
      <c r="C334">
        <v>100000000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</row>
    <row r="335" spans="1:10">
      <c r="A335">
        <v>334</v>
      </c>
      <c r="B335">
        <v>149090197</v>
      </c>
      <c r="C335">
        <v>100000000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>
      <c r="A336">
        <v>335</v>
      </c>
      <c r="B336">
        <v>173603941</v>
      </c>
      <c r="C336">
        <v>100000000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</row>
    <row r="337" spans="1:10">
      <c r="A337">
        <v>336</v>
      </c>
      <c r="B337">
        <v>198117685</v>
      </c>
      <c r="C337">
        <v>100000000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</row>
    <row r="338" spans="1:10">
      <c r="A338">
        <v>337</v>
      </c>
      <c r="B338">
        <v>222631429</v>
      </c>
      <c r="C338">
        <v>100000000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>
      <c r="A339">
        <v>338</v>
      </c>
      <c r="B339">
        <v>247145173</v>
      </c>
      <c r="C339">
        <v>100000000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>
      <c r="A340">
        <v>339</v>
      </c>
      <c r="B340">
        <v>271658917</v>
      </c>
      <c r="C340">
        <v>100000000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>
      <c r="A341">
        <v>340</v>
      </c>
      <c r="B341">
        <v>296172661</v>
      </c>
      <c r="C341">
        <v>100000000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>
      <c r="A342">
        <v>341</v>
      </c>
      <c r="B342">
        <v>320686405</v>
      </c>
      <c r="C342">
        <v>100000000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>
      <c r="A343">
        <v>342</v>
      </c>
      <c r="B343">
        <v>345200149</v>
      </c>
      <c r="C343">
        <v>100000000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>
      <c r="A344">
        <v>343</v>
      </c>
      <c r="B344">
        <v>369713893</v>
      </c>
      <c r="C344">
        <v>100000000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>
      <c r="A345">
        <v>344</v>
      </c>
      <c r="B345">
        <v>394227637</v>
      </c>
      <c r="C345">
        <v>100000000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>
      <c r="A346">
        <v>345</v>
      </c>
      <c r="B346">
        <v>418741381</v>
      </c>
      <c r="C346">
        <v>100000000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>
      <c r="A347">
        <v>346</v>
      </c>
      <c r="B347">
        <v>443255125</v>
      </c>
      <c r="C347">
        <v>100000000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>
      <c r="A348">
        <v>347</v>
      </c>
      <c r="B348">
        <v>467768869</v>
      </c>
      <c r="C348">
        <v>100000000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>
      <c r="A349">
        <v>348</v>
      </c>
      <c r="B349">
        <v>492282613</v>
      </c>
      <c r="C349">
        <v>100000000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>
      <c r="A350">
        <v>349</v>
      </c>
      <c r="B350">
        <v>516796357</v>
      </c>
      <c r="C350">
        <v>100000000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>
      <c r="A351">
        <v>350</v>
      </c>
      <c r="B351">
        <v>541310101</v>
      </c>
      <c r="C351">
        <v>100000000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>
      <c r="A352">
        <v>351</v>
      </c>
      <c r="B352">
        <v>565823845</v>
      </c>
      <c r="C352">
        <v>100000000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>
      <c r="A353">
        <v>352</v>
      </c>
      <c r="B353">
        <v>590337589</v>
      </c>
      <c r="C353">
        <v>100000000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>
      <c r="A354">
        <v>353</v>
      </c>
      <c r="B354">
        <v>614851333</v>
      </c>
      <c r="C354">
        <v>100000000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>
      <c r="A355">
        <v>354</v>
      </c>
      <c r="B355">
        <v>639365077</v>
      </c>
      <c r="C355">
        <v>100000000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>
      <c r="A356">
        <v>355</v>
      </c>
      <c r="B356">
        <v>663878821</v>
      </c>
      <c r="C356">
        <v>100000000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>
      <c r="A357">
        <v>356</v>
      </c>
      <c r="B357">
        <v>688392565</v>
      </c>
      <c r="C357">
        <v>100000000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>
      <c r="A358">
        <v>357</v>
      </c>
      <c r="B358">
        <v>712906309</v>
      </c>
      <c r="C358">
        <v>100000000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>
      <c r="A359">
        <v>358</v>
      </c>
      <c r="B359">
        <v>737420053</v>
      </c>
      <c r="C359">
        <v>100000000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>
      <c r="A360">
        <v>359</v>
      </c>
      <c r="B360">
        <v>761933797</v>
      </c>
      <c r="C360">
        <v>100000000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>
      <c r="A361">
        <v>360</v>
      </c>
      <c r="B361">
        <v>786447541</v>
      </c>
      <c r="C361">
        <v>100000000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>
      <c r="A362">
        <v>361</v>
      </c>
      <c r="B362">
        <v>810961285</v>
      </c>
      <c r="C362">
        <v>100000000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>
      <c r="A363">
        <v>362</v>
      </c>
      <c r="B363">
        <v>835475029</v>
      </c>
      <c r="C363">
        <v>100000000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>
      <c r="A364">
        <v>363</v>
      </c>
      <c r="B364">
        <v>859988773</v>
      </c>
      <c r="C364">
        <v>100000000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>
      <c r="A365">
        <v>364</v>
      </c>
      <c r="B365">
        <v>884502517</v>
      </c>
      <c r="C365">
        <v>100000000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>
      <c r="A366">
        <v>365</v>
      </c>
      <c r="B366">
        <v>909016261</v>
      </c>
      <c r="C366">
        <v>100000000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</row>
    <row r="367" spans="1:10">
      <c r="A367">
        <v>366</v>
      </c>
      <c r="B367">
        <v>933530005</v>
      </c>
      <c r="C367">
        <v>100000000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>
      <c r="A368">
        <v>367</v>
      </c>
      <c r="B368">
        <v>958043749</v>
      </c>
      <c r="C368">
        <v>100000000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>
      <c r="A369">
        <v>368</v>
      </c>
      <c r="B369">
        <v>982557493</v>
      </c>
      <c r="C369">
        <v>100000000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</row>
    <row r="370" spans="1:10">
      <c r="A370">
        <v>369</v>
      </c>
      <c r="B370">
        <v>100707137</v>
      </c>
      <c r="C370">
        <v>100000000</v>
      </c>
      <c r="D370">
        <v>10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>
      <c r="A371">
        <v>370</v>
      </c>
      <c r="B371">
        <v>125497898</v>
      </c>
      <c r="C371">
        <v>100000000</v>
      </c>
      <c r="D371">
        <v>10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>
      <c r="A372">
        <v>371</v>
      </c>
      <c r="B372">
        <v>150288659</v>
      </c>
      <c r="C372">
        <v>100000000</v>
      </c>
      <c r="D372">
        <v>10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</row>
    <row r="373" spans="1:10">
      <c r="A373">
        <v>372</v>
      </c>
      <c r="B373">
        <v>175079420</v>
      </c>
      <c r="C373">
        <v>100000000</v>
      </c>
      <c r="D373">
        <v>10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>
      <c r="A374">
        <v>373</v>
      </c>
      <c r="B374">
        <v>199870181</v>
      </c>
      <c r="C374">
        <v>100000000</v>
      </c>
      <c r="D374">
        <v>10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>
      <c r="A375">
        <v>374</v>
      </c>
      <c r="B375">
        <v>224660942</v>
      </c>
      <c r="C375">
        <v>100000000</v>
      </c>
      <c r="D375">
        <v>10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>
      <c r="A376">
        <v>375</v>
      </c>
      <c r="B376">
        <v>249451703</v>
      </c>
      <c r="C376">
        <v>100000000</v>
      </c>
      <c r="D376">
        <v>10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>
      <c r="A377">
        <v>376</v>
      </c>
      <c r="B377">
        <v>274242464</v>
      </c>
      <c r="C377">
        <v>100000000</v>
      </c>
      <c r="D377">
        <v>10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>
      <c r="A378">
        <v>377</v>
      </c>
      <c r="B378">
        <v>299033225</v>
      </c>
      <c r="C378">
        <v>100000000</v>
      </c>
      <c r="D378">
        <v>10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</row>
    <row r="379" spans="1:10">
      <c r="A379">
        <v>378</v>
      </c>
      <c r="B379">
        <v>323823986</v>
      </c>
      <c r="C379">
        <v>100000000</v>
      </c>
      <c r="D379">
        <v>10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</row>
    <row r="380" spans="1:10">
      <c r="A380">
        <v>379</v>
      </c>
      <c r="B380">
        <v>348614747</v>
      </c>
      <c r="C380">
        <v>100000000</v>
      </c>
      <c r="D380">
        <v>10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>
      <c r="A381">
        <v>380</v>
      </c>
      <c r="B381">
        <v>373405508</v>
      </c>
      <c r="C381">
        <v>100000000</v>
      </c>
      <c r="D381">
        <v>10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>
      <c r="A382">
        <v>381</v>
      </c>
      <c r="B382">
        <v>398196269</v>
      </c>
      <c r="C382">
        <v>100000000</v>
      </c>
      <c r="D382">
        <v>10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>
      <c r="A383">
        <v>382</v>
      </c>
      <c r="B383">
        <v>422987030</v>
      </c>
      <c r="C383">
        <v>100000000</v>
      </c>
      <c r="D383">
        <v>10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>
      <c r="A384">
        <v>383</v>
      </c>
      <c r="B384">
        <v>447777791</v>
      </c>
      <c r="C384">
        <v>100000000</v>
      </c>
      <c r="D384">
        <v>10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</row>
    <row r="385" spans="1:10">
      <c r="A385">
        <v>384</v>
      </c>
      <c r="B385">
        <v>472568552</v>
      </c>
      <c r="C385">
        <v>100000000</v>
      </c>
      <c r="D385">
        <v>10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>
      <c r="A386">
        <v>385</v>
      </c>
      <c r="B386">
        <v>497359313</v>
      </c>
      <c r="C386">
        <v>100000000</v>
      </c>
      <c r="D386">
        <v>10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>
      <c r="A387">
        <v>386</v>
      </c>
      <c r="B387">
        <v>522150074</v>
      </c>
      <c r="C387">
        <v>100000000</v>
      </c>
      <c r="D387">
        <v>10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</row>
    <row r="388" spans="1:10">
      <c r="A388">
        <v>387</v>
      </c>
      <c r="B388">
        <v>546940835</v>
      </c>
      <c r="C388">
        <v>100000000</v>
      </c>
      <c r="D388">
        <v>10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>
      <c r="A389">
        <v>388</v>
      </c>
      <c r="B389">
        <v>571731596</v>
      </c>
      <c r="C389">
        <v>100000000</v>
      </c>
      <c r="D389">
        <v>10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</row>
    <row r="390" spans="1:10">
      <c r="A390">
        <v>389</v>
      </c>
      <c r="B390">
        <v>596522357</v>
      </c>
      <c r="C390">
        <v>100000000</v>
      </c>
      <c r="D390">
        <v>10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</row>
    <row r="391" spans="1:10">
      <c r="A391">
        <v>390</v>
      </c>
      <c r="B391">
        <v>621313118</v>
      </c>
      <c r="C391">
        <v>100000000</v>
      </c>
      <c r="D391">
        <v>10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>
      <c r="A392">
        <v>391</v>
      </c>
      <c r="B392">
        <v>646103879</v>
      </c>
      <c r="C392">
        <v>100000000</v>
      </c>
      <c r="D392">
        <v>10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>
      <c r="A393">
        <v>392</v>
      </c>
      <c r="B393">
        <v>670894640</v>
      </c>
      <c r="C393">
        <v>100000000</v>
      </c>
      <c r="D393">
        <v>10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</row>
    <row r="394" spans="1:10">
      <c r="A394">
        <v>393</v>
      </c>
      <c r="B394">
        <v>695685401</v>
      </c>
      <c r="C394">
        <v>100000000</v>
      </c>
      <c r="D394">
        <v>10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>
      <c r="A395">
        <v>394</v>
      </c>
      <c r="B395">
        <v>720476162</v>
      </c>
      <c r="C395">
        <v>100000000</v>
      </c>
      <c r="D395">
        <v>10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>
      <c r="A396">
        <v>395</v>
      </c>
      <c r="B396">
        <v>745266923</v>
      </c>
      <c r="C396">
        <v>100000000</v>
      </c>
      <c r="D396">
        <v>10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>
      <c r="A397">
        <v>396</v>
      </c>
      <c r="B397">
        <v>770057684</v>
      </c>
      <c r="C397">
        <v>100000000</v>
      </c>
      <c r="D397">
        <v>10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>
      <c r="A398">
        <v>397</v>
      </c>
      <c r="B398">
        <v>794848445</v>
      </c>
      <c r="C398">
        <v>100000000</v>
      </c>
      <c r="D398">
        <v>10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>
      <c r="A399">
        <v>398</v>
      </c>
      <c r="B399">
        <v>819639206</v>
      </c>
      <c r="C399">
        <v>100000000</v>
      </c>
      <c r="D399">
        <v>10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>
      <c r="A400">
        <v>399</v>
      </c>
      <c r="B400">
        <v>844429967</v>
      </c>
      <c r="C400">
        <v>100000000</v>
      </c>
      <c r="D400">
        <v>10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>
      <c r="A401">
        <v>400</v>
      </c>
      <c r="B401">
        <v>869220728</v>
      </c>
      <c r="C401">
        <v>100000000</v>
      </c>
      <c r="D401">
        <v>10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>
      <c r="A402">
        <v>401</v>
      </c>
      <c r="B402">
        <v>894011489</v>
      </c>
      <c r="C402">
        <v>100000000</v>
      </c>
      <c r="D402">
        <v>10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>
      <c r="A403">
        <v>402</v>
      </c>
      <c r="B403">
        <v>918802250</v>
      </c>
      <c r="C403">
        <v>100000000</v>
      </c>
      <c r="D403">
        <v>10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>
      <c r="A404">
        <v>403</v>
      </c>
      <c r="B404">
        <v>943593011</v>
      </c>
      <c r="C404">
        <v>100000000</v>
      </c>
      <c r="D404">
        <v>10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>
      <c r="A405">
        <v>404</v>
      </c>
      <c r="B405">
        <v>968383772</v>
      </c>
      <c r="C405">
        <v>100000000</v>
      </c>
      <c r="D405">
        <v>10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</row>
    <row r="406" spans="1:10">
      <c r="A406">
        <v>405</v>
      </c>
      <c r="B406">
        <v>993174533</v>
      </c>
      <c r="C406">
        <v>100000000</v>
      </c>
      <c r="D406">
        <v>10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>
      <c r="A407">
        <v>406</v>
      </c>
      <c r="B407">
        <v>101796594</v>
      </c>
      <c r="C407">
        <v>100000000</v>
      </c>
      <c r="D407">
        <v>100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>
      <c r="A408">
        <v>407</v>
      </c>
      <c r="B408">
        <v>129846158</v>
      </c>
      <c r="C408">
        <v>100000000</v>
      </c>
      <c r="D408">
        <v>100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>
      <c r="A409">
        <v>408</v>
      </c>
      <c r="B409">
        <v>157895722</v>
      </c>
      <c r="C409">
        <v>100000000</v>
      </c>
      <c r="D409">
        <v>100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>
      <c r="A410">
        <v>409</v>
      </c>
      <c r="B410">
        <v>185945286</v>
      </c>
      <c r="C410">
        <v>100000000</v>
      </c>
      <c r="D410">
        <v>100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>
      <c r="A411">
        <v>410</v>
      </c>
      <c r="B411">
        <v>213994850</v>
      </c>
      <c r="C411">
        <v>100000000</v>
      </c>
      <c r="D411">
        <v>100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>
        <v>411</v>
      </c>
      <c r="B412">
        <v>242044414</v>
      </c>
      <c r="C412">
        <v>100000000</v>
      </c>
      <c r="D412">
        <v>100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>
      <c r="A413">
        <v>412</v>
      </c>
      <c r="B413">
        <v>270093978</v>
      </c>
      <c r="C413">
        <v>100000000</v>
      </c>
      <c r="D413">
        <v>100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>
      <c r="A414">
        <v>413</v>
      </c>
      <c r="B414">
        <v>298143542</v>
      </c>
      <c r="C414">
        <v>100000000</v>
      </c>
      <c r="D414">
        <v>100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>
      <c r="A415">
        <v>414</v>
      </c>
      <c r="B415">
        <v>326193106</v>
      </c>
      <c r="C415">
        <v>100000000</v>
      </c>
      <c r="D415">
        <v>100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>
      <c r="A416">
        <v>415</v>
      </c>
      <c r="B416">
        <v>354242670</v>
      </c>
      <c r="C416">
        <v>100000000</v>
      </c>
      <c r="D416">
        <v>100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>
      <c r="A417">
        <v>416</v>
      </c>
      <c r="B417">
        <v>382292234</v>
      </c>
      <c r="C417">
        <v>100000000</v>
      </c>
      <c r="D417">
        <v>100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>
      <c r="A418">
        <v>417</v>
      </c>
      <c r="B418">
        <v>410341798</v>
      </c>
      <c r="C418">
        <v>100000000</v>
      </c>
      <c r="D418">
        <v>100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>
      <c r="A419">
        <v>418</v>
      </c>
      <c r="B419">
        <v>438391362</v>
      </c>
      <c r="C419">
        <v>100000000</v>
      </c>
      <c r="D419">
        <v>100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>
      <c r="A420">
        <v>419</v>
      </c>
      <c r="B420">
        <v>466440926</v>
      </c>
      <c r="C420">
        <v>100000000</v>
      </c>
      <c r="D420">
        <v>100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>
      <c r="A421">
        <v>420</v>
      </c>
      <c r="B421">
        <v>494490490</v>
      </c>
      <c r="C421">
        <v>100000000</v>
      </c>
      <c r="D421">
        <v>100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>
      <c r="A422">
        <v>421</v>
      </c>
      <c r="B422">
        <v>522540054</v>
      </c>
      <c r="C422">
        <v>100000000</v>
      </c>
      <c r="D422">
        <v>100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>
      <c r="A423">
        <v>422</v>
      </c>
      <c r="B423">
        <v>550589618</v>
      </c>
      <c r="C423">
        <v>100000000</v>
      </c>
      <c r="D423">
        <v>100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>
        <v>423</v>
      </c>
      <c r="B424">
        <v>578639182</v>
      </c>
      <c r="C424">
        <v>100000000</v>
      </c>
      <c r="D424">
        <v>100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</row>
    <row r="425" spans="1:10">
      <c r="A425">
        <v>424</v>
      </c>
      <c r="B425">
        <v>606688746</v>
      </c>
      <c r="C425">
        <v>100000000</v>
      </c>
      <c r="D425">
        <v>100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>
      <c r="A426">
        <v>425</v>
      </c>
      <c r="B426">
        <v>634738310</v>
      </c>
      <c r="C426">
        <v>100000000</v>
      </c>
      <c r="D426">
        <v>100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>
      <c r="A427">
        <v>426</v>
      </c>
      <c r="B427">
        <v>662787874</v>
      </c>
      <c r="C427">
        <v>100000000</v>
      </c>
      <c r="D427">
        <v>100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>
      <c r="A428">
        <v>427</v>
      </c>
      <c r="B428">
        <v>690837438</v>
      </c>
      <c r="C428">
        <v>100000000</v>
      </c>
      <c r="D428">
        <v>100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>
      <c r="A429">
        <v>428</v>
      </c>
      <c r="B429">
        <v>718887002</v>
      </c>
      <c r="C429">
        <v>100000000</v>
      </c>
      <c r="D429">
        <v>100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>
        <v>429</v>
      </c>
      <c r="B430">
        <v>746936566</v>
      </c>
      <c r="C430">
        <v>100000000</v>
      </c>
      <c r="D430">
        <v>100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>
      <c r="A431">
        <v>430</v>
      </c>
      <c r="B431">
        <v>774986130</v>
      </c>
      <c r="C431">
        <v>100000000</v>
      </c>
      <c r="D431">
        <v>100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>
      <c r="A432">
        <v>431</v>
      </c>
      <c r="B432">
        <v>803035694</v>
      </c>
      <c r="C432">
        <v>100000000</v>
      </c>
      <c r="D432">
        <v>100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>
      <c r="A433">
        <v>432</v>
      </c>
      <c r="B433">
        <v>831085258</v>
      </c>
      <c r="C433">
        <v>100000000</v>
      </c>
      <c r="D433">
        <v>100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>
      <c r="A434">
        <v>433</v>
      </c>
      <c r="B434">
        <v>859134822</v>
      </c>
      <c r="C434">
        <v>100000000</v>
      </c>
      <c r="D434">
        <v>100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>
      <c r="A435">
        <v>434</v>
      </c>
      <c r="B435">
        <v>887184386</v>
      </c>
      <c r="C435">
        <v>100000000</v>
      </c>
      <c r="D435">
        <v>100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>
      <c r="A436">
        <v>435</v>
      </c>
      <c r="B436">
        <v>915233950</v>
      </c>
      <c r="C436">
        <v>100000000</v>
      </c>
      <c r="D436">
        <v>100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</row>
    <row r="437" spans="1:10">
      <c r="A437">
        <v>436</v>
      </c>
      <c r="B437">
        <v>943283514</v>
      </c>
      <c r="C437">
        <v>100000000</v>
      </c>
      <c r="D437">
        <v>100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>
      <c r="A438">
        <v>437</v>
      </c>
      <c r="B438">
        <v>971333078</v>
      </c>
      <c r="C438">
        <v>100000000</v>
      </c>
      <c r="D438">
        <v>100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</row>
    <row r="439" spans="1:10">
      <c r="A439">
        <v>438</v>
      </c>
      <c r="B439">
        <v>999382642</v>
      </c>
      <c r="C439">
        <v>100000000</v>
      </c>
      <c r="D439">
        <v>100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</row>
    <row r="440" spans="1:10">
      <c r="A440">
        <v>439</v>
      </c>
      <c r="B440">
        <v>102743226</v>
      </c>
      <c r="C440">
        <v>100000000</v>
      </c>
      <c r="D440">
        <v>1000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>
      <c r="A441">
        <v>440</v>
      </c>
      <c r="B441">
        <v>126498791</v>
      </c>
      <c r="C441">
        <v>100000000</v>
      </c>
      <c r="D441">
        <v>1000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</row>
    <row r="442" spans="1:10">
      <c r="A442">
        <v>441</v>
      </c>
      <c r="B442">
        <v>150254356</v>
      </c>
      <c r="C442">
        <v>100000000</v>
      </c>
      <c r="D442">
        <v>1000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>
      <c r="A443">
        <v>442</v>
      </c>
      <c r="B443">
        <v>174009921</v>
      </c>
      <c r="C443">
        <v>100000000</v>
      </c>
      <c r="D443">
        <v>1000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>
      <c r="A444">
        <v>443</v>
      </c>
      <c r="B444">
        <v>197765486</v>
      </c>
      <c r="C444">
        <v>100000000</v>
      </c>
      <c r="D444">
        <v>1000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>
      <c r="A445">
        <v>444</v>
      </c>
      <c r="B445">
        <v>221521051</v>
      </c>
      <c r="C445">
        <v>100000000</v>
      </c>
      <c r="D445">
        <v>1000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>
      <c r="A446">
        <v>445</v>
      </c>
      <c r="B446">
        <v>245276616</v>
      </c>
      <c r="C446">
        <v>100000000</v>
      </c>
      <c r="D446">
        <v>1000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>
      <c r="A447">
        <v>446</v>
      </c>
      <c r="B447">
        <v>269032181</v>
      </c>
      <c r="C447">
        <v>100000000</v>
      </c>
      <c r="D447">
        <v>1000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>
      <c r="A448">
        <v>447</v>
      </c>
      <c r="B448">
        <v>292787746</v>
      </c>
      <c r="C448">
        <v>100000000</v>
      </c>
      <c r="D448">
        <v>1000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>
      <c r="A449">
        <v>448</v>
      </c>
      <c r="B449">
        <v>316543311</v>
      </c>
      <c r="C449">
        <v>100000000</v>
      </c>
      <c r="D449">
        <v>1000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>
      <c r="A450">
        <v>449</v>
      </c>
      <c r="B450">
        <v>340298876</v>
      </c>
      <c r="C450">
        <v>100000000</v>
      </c>
      <c r="D450">
        <v>1000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>
      <c r="A451">
        <v>450</v>
      </c>
      <c r="B451">
        <v>364054441</v>
      </c>
      <c r="C451">
        <v>100000000</v>
      </c>
      <c r="D451">
        <v>1000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>
      <c r="A452">
        <v>451</v>
      </c>
      <c r="B452">
        <v>387810006</v>
      </c>
      <c r="C452">
        <v>100000000</v>
      </c>
      <c r="D452">
        <v>1000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>
      <c r="A453">
        <v>452</v>
      </c>
      <c r="B453">
        <v>411565571</v>
      </c>
      <c r="C453">
        <v>100000000</v>
      </c>
      <c r="D453">
        <v>1000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>
      <c r="A454">
        <v>453</v>
      </c>
      <c r="B454">
        <v>435321136</v>
      </c>
      <c r="C454">
        <v>100000000</v>
      </c>
      <c r="D454">
        <v>1000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>
      <c r="A455">
        <v>454</v>
      </c>
      <c r="B455">
        <v>459076701</v>
      </c>
      <c r="C455">
        <v>100000000</v>
      </c>
      <c r="D455">
        <v>1000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>
      <c r="A456">
        <v>455</v>
      </c>
      <c r="B456">
        <v>482832266</v>
      </c>
      <c r="C456">
        <v>100000000</v>
      </c>
      <c r="D456">
        <v>1000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>
      <c r="A457">
        <v>456</v>
      </c>
      <c r="B457">
        <v>506587831</v>
      </c>
      <c r="C457">
        <v>100000000</v>
      </c>
      <c r="D457">
        <v>1000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>
      <c r="A458">
        <v>457</v>
      </c>
      <c r="B458">
        <v>530343396</v>
      </c>
      <c r="C458">
        <v>100000000</v>
      </c>
      <c r="D458">
        <v>1000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>
      <c r="A459">
        <v>458</v>
      </c>
      <c r="B459">
        <v>554098961</v>
      </c>
      <c r="C459">
        <v>100000000</v>
      </c>
      <c r="D459">
        <v>1000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>
      <c r="A460">
        <v>459</v>
      </c>
      <c r="B460">
        <v>577854526</v>
      </c>
      <c r="C460">
        <v>100000000</v>
      </c>
      <c r="D460">
        <v>1000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</row>
    <row r="461" spans="1:10">
      <c r="A461">
        <v>460</v>
      </c>
      <c r="B461">
        <v>601610091</v>
      </c>
      <c r="C461">
        <v>100000000</v>
      </c>
      <c r="D461">
        <v>1000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>
      <c r="A462">
        <v>461</v>
      </c>
      <c r="B462">
        <v>625365656</v>
      </c>
      <c r="C462">
        <v>100000000</v>
      </c>
      <c r="D462">
        <v>1000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>
      <c r="A463">
        <v>462</v>
      </c>
      <c r="B463">
        <v>649121221</v>
      </c>
      <c r="C463">
        <v>100000000</v>
      </c>
      <c r="D463">
        <v>1000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>
      <c r="A464">
        <v>463</v>
      </c>
      <c r="B464">
        <v>672876786</v>
      </c>
      <c r="C464">
        <v>100000000</v>
      </c>
      <c r="D464">
        <v>1000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>
      <c r="A465">
        <v>464</v>
      </c>
      <c r="B465">
        <v>696632351</v>
      </c>
      <c r="C465">
        <v>100000000</v>
      </c>
      <c r="D465">
        <v>1000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>
      <c r="A466">
        <v>465</v>
      </c>
      <c r="B466">
        <v>720387916</v>
      </c>
      <c r="C466">
        <v>100000000</v>
      </c>
      <c r="D466">
        <v>1000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>
      <c r="A467">
        <v>466</v>
      </c>
      <c r="B467">
        <v>744143481</v>
      </c>
      <c r="C467">
        <v>100000000</v>
      </c>
      <c r="D467">
        <v>1000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>
      <c r="A468">
        <v>467</v>
      </c>
      <c r="B468">
        <v>767899046</v>
      </c>
      <c r="C468">
        <v>100000000</v>
      </c>
      <c r="D468">
        <v>1000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>
      <c r="A469">
        <v>468</v>
      </c>
      <c r="B469">
        <v>791654611</v>
      </c>
      <c r="C469">
        <v>100000000</v>
      </c>
      <c r="D469">
        <v>1000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>
      <c r="A470">
        <v>469</v>
      </c>
      <c r="B470">
        <v>815410176</v>
      </c>
      <c r="C470">
        <v>100000000</v>
      </c>
      <c r="D470">
        <v>1000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>
      <c r="A471">
        <v>470</v>
      </c>
      <c r="B471">
        <v>839165741</v>
      </c>
      <c r="C471">
        <v>100000000</v>
      </c>
      <c r="D471">
        <v>1000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>
      <c r="A472">
        <v>471</v>
      </c>
      <c r="B472">
        <v>862921306</v>
      </c>
      <c r="C472">
        <v>100000000</v>
      </c>
      <c r="D472">
        <v>1000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>
      <c r="A473">
        <v>472</v>
      </c>
      <c r="B473">
        <v>886676871</v>
      </c>
      <c r="C473">
        <v>100000000</v>
      </c>
      <c r="D473">
        <v>1000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>
      <c r="A474">
        <v>473</v>
      </c>
      <c r="B474">
        <v>910432436</v>
      </c>
      <c r="C474">
        <v>100000000</v>
      </c>
      <c r="D474">
        <v>1000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</row>
    <row r="475" spans="1:10">
      <c r="A475">
        <v>474</v>
      </c>
      <c r="B475">
        <v>934188001</v>
      </c>
      <c r="C475">
        <v>100000000</v>
      </c>
      <c r="D475">
        <v>1000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>
      <c r="A476">
        <v>475</v>
      </c>
      <c r="B476">
        <v>957943566</v>
      </c>
      <c r="C476">
        <v>100000000</v>
      </c>
      <c r="D476">
        <v>1000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>
      <c r="A477">
        <v>476</v>
      </c>
      <c r="B477">
        <v>981699131</v>
      </c>
      <c r="C477">
        <v>100000000</v>
      </c>
      <c r="D477">
        <v>1000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>
      <c r="A478">
        <v>477</v>
      </c>
      <c r="B478">
        <v>100545696</v>
      </c>
      <c r="C478">
        <v>100000000</v>
      </c>
      <c r="D478">
        <v>10000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>
      <c r="A479">
        <v>478</v>
      </c>
      <c r="B479">
        <v>129438152</v>
      </c>
      <c r="C479">
        <v>100000000</v>
      </c>
      <c r="D479">
        <v>10000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>
      <c r="A480">
        <v>479</v>
      </c>
      <c r="B480">
        <v>158330608</v>
      </c>
      <c r="C480">
        <v>100000000</v>
      </c>
      <c r="D480">
        <v>10000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>
      <c r="A481">
        <v>480</v>
      </c>
      <c r="B481">
        <v>187223064</v>
      </c>
      <c r="C481">
        <v>100000000</v>
      </c>
      <c r="D481">
        <v>10000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>
      <c r="A482">
        <v>481</v>
      </c>
      <c r="B482">
        <v>216115520</v>
      </c>
      <c r="C482">
        <v>100000000</v>
      </c>
      <c r="D482">
        <v>10000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>
      <c r="A483">
        <v>482</v>
      </c>
      <c r="B483">
        <v>245007976</v>
      </c>
      <c r="C483">
        <v>100000000</v>
      </c>
      <c r="D483">
        <v>10000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>
      <c r="A484">
        <v>483</v>
      </c>
      <c r="B484">
        <v>273900432</v>
      </c>
      <c r="C484">
        <v>100000000</v>
      </c>
      <c r="D484">
        <v>10000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>
      <c r="A485">
        <v>484</v>
      </c>
      <c r="B485">
        <v>302792888</v>
      </c>
      <c r="C485">
        <v>100000000</v>
      </c>
      <c r="D485">
        <v>10000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>
      <c r="A486">
        <v>485</v>
      </c>
      <c r="B486">
        <v>331685344</v>
      </c>
      <c r="C486">
        <v>100000000</v>
      </c>
      <c r="D486">
        <v>10000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</row>
    <row r="487" spans="1:10">
      <c r="A487">
        <v>486</v>
      </c>
      <c r="B487">
        <v>360577800</v>
      </c>
      <c r="C487">
        <v>100000000</v>
      </c>
      <c r="D487">
        <v>10000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</row>
    <row r="488" spans="1:10">
      <c r="A488">
        <v>487</v>
      </c>
      <c r="B488">
        <v>389470256</v>
      </c>
      <c r="C488">
        <v>100000000</v>
      </c>
      <c r="D488">
        <v>10000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>
      <c r="A489">
        <v>488</v>
      </c>
      <c r="B489">
        <v>418362712</v>
      </c>
      <c r="C489">
        <v>100000000</v>
      </c>
      <c r="D489">
        <v>10000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</row>
    <row r="490" spans="1:10">
      <c r="A490">
        <v>489</v>
      </c>
      <c r="B490">
        <v>447255168</v>
      </c>
      <c r="C490">
        <v>100000000</v>
      </c>
      <c r="D490">
        <v>10000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</row>
    <row r="491" spans="1:10">
      <c r="A491">
        <v>490</v>
      </c>
      <c r="B491">
        <v>476147624</v>
      </c>
      <c r="C491">
        <v>100000000</v>
      </c>
      <c r="D491">
        <v>10000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</row>
    <row r="492" spans="1:10">
      <c r="A492">
        <v>491</v>
      </c>
      <c r="B492">
        <v>505040080</v>
      </c>
      <c r="C492">
        <v>100000000</v>
      </c>
      <c r="D492">
        <v>10000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>
      <c r="A493">
        <v>492</v>
      </c>
      <c r="B493">
        <v>533932536</v>
      </c>
      <c r="C493">
        <v>100000000</v>
      </c>
      <c r="D493">
        <v>10000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>
      <c r="A494">
        <v>493</v>
      </c>
      <c r="B494">
        <v>562824992</v>
      </c>
      <c r="C494">
        <v>100000000</v>
      </c>
      <c r="D494">
        <v>10000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>
      <c r="A495">
        <v>494</v>
      </c>
      <c r="B495">
        <v>591717448</v>
      </c>
      <c r="C495">
        <v>100000000</v>
      </c>
      <c r="D495">
        <v>10000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>
      <c r="A496">
        <v>495</v>
      </c>
      <c r="B496">
        <v>620609904</v>
      </c>
      <c r="C496">
        <v>100000000</v>
      </c>
      <c r="D496">
        <v>10000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>
      <c r="A497">
        <v>496</v>
      </c>
      <c r="B497">
        <v>649502360</v>
      </c>
      <c r="C497">
        <v>100000000</v>
      </c>
      <c r="D497">
        <v>10000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>
      <c r="A498">
        <v>497</v>
      </c>
      <c r="B498">
        <v>678394816</v>
      </c>
      <c r="C498">
        <v>100000000</v>
      </c>
      <c r="D498">
        <v>10000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>
      <c r="A499">
        <v>498</v>
      </c>
      <c r="B499">
        <v>707287272</v>
      </c>
      <c r="C499">
        <v>100000000</v>
      </c>
      <c r="D499">
        <v>10000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>
      <c r="A500">
        <v>499</v>
      </c>
      <c r="B500">
        <v>736179728</v>
      </c>
      <c r="C500">
        <v>100000000</v>
      </c>
      <c r="D500">
        <v>10000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>
      <c r="A501">
        <v>500</v>
      </c>
      <c r="B501">
        <v>765072184</v>
      </c>
      <c r="C501">
        <v>100000000</v>
      </c>
      <c r="D501">
        <v>10000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>
      <c r="A502">
        <v>501</v>
      </c>
      <c r="B502">
        <v>793964640</v>
      </c>
      <c r="C502">
        <v>100000000</v>
      </c>
      <c r="D502">
        <v>10000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>
      <c r="A503">
        <v>502</v>
      </c>
      <c r="B503">
        <v>822857096</v>
      </c>
      <c r="C503">
        <v>100000000</v>
      </c>
      <c r="D503">
        <v>10000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>
      <c r="A504">
        <v>503</v>
      </c>
      <c r="B504">
        <v>851749552</v>
      </c>
      <c r="C504">
        <v>100000000</v>
      </c>
      <c r="D504">
        <v>10000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>
      <c r="A505">
        <v>504</v>
      </c>
      <c r="B505">
        <v>880642008</v>
      </c>
      <c r="C505">
        <v>100000000</v>
      </c>
      <c r="D505">
        <v>10000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>
      <c r="A506">
        <v>505</v>
      </c>
      <c r="B506">
        <v>909534464</v>
      </c>
      <c r="C506">
        <v>100000000</v>
      </c>
      <c r="D506">
        <v>10000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>
      <c r="A507">
        <v>506</v>
      </c>
      <c r="B507">
        <v>938426920</v>
      </c>
      <c r="C507">
        <v>100000000</v>
      </c>
      <c r="D507">
        <v>10000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>
      <c r="A508">
        <v>507</v>
      </c>
      <c r="B508">
        <v>967319376</v>
      </c>
      <c r="C508">
        <v>100000000</v>
      </c>
      <c r="D508">
        <v>10000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>
      <c r="A509">
        <v>508</v>
      </c>
      <c r="B509">
        <v>996211832</v>
      </c>
      <c r="C509">
        <v>100000000</v>
      </c>
      <c r="D509">
        <v>10000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>
      <c r="A510">
        <v>509</v>
      </c>
      <c r="B510">
        <v>102104288</v>
      </c>
      <c r="C510">
        <v>100000000</v>
      </c>
      <c r="D510">
        <v>100000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</row>
    <row r="511" spans="1:10">
      <c r="A511">
        <v>510</v>
      </c>
      <c r="B511">
        <v>126487984</v>
      </c>
      <c r="C511">
        <v>100000000</v>
      </c>
      <c r="D511">
        <v>100000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>
      <c r="A512">
        <v>511</v>
      </c>
      <c r="B512">
        <v>150871680</v>
      </c>
      <c r="C512">
        <v>100000000</v>
      </c>
      <c r="D512">
        <v>100000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>
      <c r="A513">
        <v>512</v>
      </c>
      <c r="B513">
        <v>175255376</v>
      </c>
      <c r="C513">
        <v>100000000</v>
      </c>
      <c r="D513">
        <v>100000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>
      <c r="A514">
        <v>513</v>
      </c>
      <c r="B514">
        <v>199639072</v>
      </c>
      <c r="C514">
        <v>100000000</v>
      </c>
      <c r="D514">
        <v>100000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>
      <c r="A515">
        <v>514</v>
      </c>
      <c r="B515">
        <v>224022768</v>
      </c>
      <c r="C515">
        <v>100000000</v>
      </c>
      <c r="D515">
        <v>100000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>
      <c r="A516">
        <v>515</v>
      </c>
      <c r="B516">
        <v>248406464</v>
      </c>
      <c r="C516">
        <v>100000000</v>
      </c>
      <c r="D516">
        <v>100000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>
      <c r="A517">
        <v>516</v>
      </c>
      <c r="B517">
        <v>272790160</v>
      </c>
      <c r="C517">
        <v>100000000</v>
      </c>
      <c r="D517">
        <v>100000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>
      <c r="A518">
        <v>517</v>
      </c>
      <c r="B518">
        <v>297173856</v>
      </c>
      <c r="C518">
        <v>100000000</v>
      </c>
      <c r="D518">
        <v>100000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>
      <c r="A519">
        <v>518</v>
      </c>
      <c r="B519">
        <v>321557552</v>
      </c>
      <c r="C519">
        <v>100000000</v>
      </c>
      <c r="D519">
        <v>100000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>
      <c r="A520">
        <v>519</v>
      </c>
      <c r="B520">
        <v>345941248</v>
      </c>
      <c r="C520">
        <v>100000000</v>
      </c>
      <c r="D520">
        <v>100000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>
      <c r="A521">
        <v>520</v>
      </c>
      <c r="B521">
        <v>370324944</v>
      </c>
      <c r="C521">
        <v>100000000</v>
      </c>
      <c r="D521">
        <v>100000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>
      <c r="A522">
        <v>521</v>
      </c>
      <c r="B522">
        <v>394708640</v>
      </c>
      <c r="C522">
        <v>100000000</v>
      </c>
      <c r="D522">
        <v>100000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>
      <c r="A523">
        <v>522</v>
      </c>
      <c r="B523">
        <v>419092336</v>
      </c>
      <c r="C523">
        <v>100000000</v>
      </c>
      <c r="D523">
        <v>100000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>
      <c r="A524">
        <v>523</v>
      </c>
      <c r="B524">
        <v>443476032</v>
      </c>
      <c r="C524">
        <v>100000000</v>
      </c>
      <c r="D524">
        <v>100000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</row>
    <row r="525" spans="1:10">
      <c r="A525">
        <v>524</v>
      </c>
      <c r="B525">
        <v>467859728</v>
      </c>
      <c r="C525">
        <v>100000000</v>
      </c>
      <c r="D525">
        <v>100000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>
      <c r="A526">
        <v>525</v>
      </c>
      <c r="B526">
        <v>492243424</v>
      </c>
      <c r="C526">
        <v>100000000</v>
      </c>
      <c r="D526">
        <v>100000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</row>
    <row r="527" spans="1:10">
      <c r="A527">
        <v>526</v>
      </c>
      <c r="B527">
        <v>516627120</v>
      </c>
      <c r="C527">
        <v>100000000</v>
      </c>
      <c r="D527">
        <v>100000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>
      <c r="A528">
        <v>527</v>
      </c>
      <c r="B528">
        <v>541010816</v>
      </c>
      <c r="C528">
        <v>100000000</v>
      </c>
      <c r="D528">
        <v>100000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>
      <c r="A529">
        <v>528</v>
      </c>
      <c r="B529">
        <v>565394512</v>
      </c>
      <c r="C529">
        <v>100000000</v>
      </c>
      <c r="D529">
        <v>100000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</row>
    <row r="530" spans="1:10">
      <c r="A530">
        <v>529</v>
      </c>
      <c r="B530">
        <v>589778208</v>
      </c>
      <c r="C530">
        <v>100000000</v>
      </c>
      <c r="D530">
        <v>100000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</row>
    <row r="531" spans="1:10">
      <c r="A531">
        <v>530</v>
      </c>
      <c r="B531">
        <v>614161904</v>
      </c>
      <c r="C531">
        <v>100000000</v>
      </c>
      <c r="D531">
        <v>100000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</row>
    <row r="532" spans="1:10">
      <c r="A532">
        <v>531</v>
      </c>
      <c r="B532">
        <v>638545600</v>
      </c>
      <c r="C532">
        <v>100000000</v>
      </c>
      <c r="D532">
        <v>100000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>
      <c r="A533">
        <v>532</v>
      </c>
      <c r="B533">
        <v>662929296</v>
      </c>
      <c r="C533">
        <v>100000000</v>
      </c>
      <c r="D533">
        <v>100000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</row>
    <row r="534" spans="1:10">
      <c r="A534">
        <v>533</v>
      </c>
      <c r="B534">
        <v>687312992</v>
      </c>
      <c r="C534">
        <v>100000000</v>
      </c>
      <c r="D534">
        <v>100000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>
      <c r="A535">
        <v>534</v>
      </c>
      <c r="B535">
        <v>711696688</v>
      </c>
      <c r="C535">
        <v>100000000</v>
      </c>
      <c r="D535">
        <v>100000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>
      <c r="A536">
        <v>535</v>
      </c>
      <c r="B536">
        <v>736080384</v>
      </c>
      <c r="C536">
        <v>100000000</v>
      </c>
      <c r="D536">
        <v>100000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</row>
    <row r="537" spans="1:10">
      <c r="A537">
        <v>536</v>
      </c>
      <c r="B537">
        <v>760464080</v>
      </c>
      <c r="C537">
        <v>100000000</v>
      </c>
      <c r="D537">
        <v>100000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</row>
    <row r="538" spans="1:10">
      <c r="A538">
        <v>537</v>
      </c>
      <c r="B538">
        <v>784847776</v>
      </c>
      <c r="C538">
        <v>100000000</v>
      </c>
      <c r="D538">
        <v>100000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</row>
    <row r="539" spans="1:10">
      <c r="A539">
        <v>538</v>
      </c>
      <c r="B539">
        <v>809231472</v>
      </c>
      <c r="C539">
        <v>100000000</v>
      </c>
      <c r="D539">
        <v>100000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</row>
    <row r="540" spans="1:10">
      <c r="A540">
        <v>539</v>
      </c>
      <c r="B540">
        <v>833615168</v>
      </c>
      <c r="C540">
        <v>100000000</v>
      </c>
      <c r="D540">
        <v>100000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>
      <c r="A541">
        <v>540</v>
      </c>
      <c r="B541">
        <v>857998864</v>
      </c>
      <c r="C541">
        <v>100000000</v>
      </c>
      <c r="D541">
        <v>100000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</row>
    <row r="542" spans="1:10">
      <c r="A542">
        <v>541</v>
      </c>
      <c r="B542">
        <v>882382560</v>
      </c>
      <c r="C542">
        <v>100000000</v>
      </c>
      <c r="D542">
        <v>100000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>
      <c r="A543">
        <v>542</v>
      </c>
      <c r="B543">
        <v>906766256</v>
      </c>
      <c r="C543">
        <v>100000000</v>
      </c>
      <c r="D543">
        <v>100000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</row>
    <row r="544" spans="1:10">
      <c r="A544">
        <v>543</v>
      </c>
      <c r="B544">
        <v>931149952</v>
      </c>
      <c r="C544">
        <v>100000000</v>
      </c>
      <c r="D544">
        <v>100000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</row>
    <row r="545" spans="1:10">
      <c r="A545">
        <v>544</v>
      </c>
      <c r="B545">
        <v>955533648</v>
      </c>
      <c r="C545">
        <v>100000000</v>
      </c>
      <c r="D545">
        <v>100000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>
      <c r="A546">
        <v>545</v>
      </c>
      <c r="B546">
        <v>979917344</v>
      </c>
      <c r="C546">
        <v>100000000</v>
      </c>
      <c r="D546">
        <v>100000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</row>
    <row r="547" spans="1:10">
      <c r="A547">
        <v>546</v>
      </c>
      <c r="B547">
        <v>100430140</v>
      </c>
      <c r="C547">
        <v>100000000</v>
      </c>
      <c r="D547">
        <v>1000000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</row>
    <row r="548" spans="1:10">
      <c r="A548">
        <v>547</v>
      </c>
      <c r="B548">
        <v>129468264</v>
      </c>
      <c r="C548">
        <v>100000000</v>
      </c>
      <c r="D548">
        <v>1000000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>
      <c r="A549">
        <v>548</v>
      </c>
      <c r="B549">
        <v>158506388</v>
      </c>
      <c r="C549">
        <v>100000000</v>
      </c>
      <c r="D549">
        <v>1000000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</row>
    <row r="550" spans="1:10">
      <c r="A550">
        <v>549</v>
      </c>
      <c r="B550">
        <v>187544512</v>
      </c>
      <c r="C550">
        <v>100000000</v>
      </c>
      <c r="D550">
        <v>1000000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>
      <c r="A551">
        <v>550</v>
      </c>
      <c r="B551">
        <v>216582636</v>
      </c>
      <c r="C551">
        <v>100000000</v>
      </c>
      <c r="D551">
        <v>1000000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>
      <c r="A552">
        <v>551</v>
      </c>
      <c r="B552">
        <v>245620760</v>
      </c>
      <c r="C552">
        <v>100000000</v>
      </c>
      <c r="D552">
        <v>1000000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</row>
    <row r="553" spans="1:10">
      <c r="A553">
        <v>552</v>
      </c>
      <c r="B553">
        <v>274658884</v>
      </c>
      <c r="C553">
        <v>100000000</v>
      </c>
      <c r="D553">
        <v>1000000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</row>
    <row r="554" spans="1:10">
      <c r="A554">
        <v>553</v>
      </c>
      <c r="B554">
        <v>303697008</v>
      </c>
      <c r="C554">
        <v>100000000</v>
      </c>
      <c r="D554">
        <v>1000000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>
      <c r="A555">
        <v>554</v>
      </c>
      <c r="B555">
        <v>332735132</v>
      </c>
      <c r="C555">
        <v>100000000</v>
      </c>
      <c r="D555">
        <v>1000000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</row>
    <row r="556" spans="1:10">
      <c r="A556">
        <v>555</v>
      </c>
      <c r="B556">
        <v>361773256</v>
      </c>
      <c r="C556">
        <v>100000000</v>
      </c>
      <c r="D556">
        <v>1000000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>
      <c r="A557">
        <v>556</v>
      </c>
      <c r="B557">
        <v>390811380</v>
      </c>
      <c r="C557">
        <v>100000000</v>
      </c>
      <c r="D557">
        <v>1000000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>
      <c r="A558">
        <v>557</v>
      </c>
      <c r="B558">
        <v>419849504</v>
      </c>
      <c r="C558">
        <v>100000000</v>
      </c>
      <c r="D558">
        <v>1000000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</row>
    <row r="559" spans="1:10">
      <c r="A559">
        <v>558</v>
      </c>
      <c r="B559">
        <v>448887628</v>
      </c>
      <c r="C559">
        <v>100000000</v>
      </c>
      <c r="D559">
        <v>1000000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</row>
    <row r="560" spans="1:10">
      <c r="A560">
        <v>559</v>
      </c>
      <c r="B560">
        <v>477925752</v>
      </c>
      <c r="C560">
        <v>100000000</v>
      </c>
      <c r="D560">
        <v>1000000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>
      <c r="A561">
        <v>560</v>
      </c>
      <c r="B561">
        <v>506963876</v>
      </c>
      <c r="C561">
        <v>100000000</v>
      </c>
      <c r="D561">
        <v>1000000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</row>
    <row r="562" spans="1:10">
      <c r="A562">
        <v>561</v>
      </c>
      <c r="B562">
        <v>536002000</v>
      </c>
      <c r="C562">
        <v>100000000</v>
      </c>
      <c r="D562">
        <v>1000000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</row>
    <row r="563" spans="1:10">
      <c r="A563">
        <v>562</v>
      </c>
      <c r="B563">
        <v>565040124</v>
      </c>
      <c r="C563">
        <v>100000000</v>
      </c>
      <c r="D563">
        <v>1000000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>
      <c r="A564">
        <v>563</v>
      </c>
      <c r="B564">
        <v>594078248</v>
      </c>
      <c r="C564">
        <v>100000000</v>
      </c>
      <c r="D564">
        <v>1000000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>
      <c r="A565">
        <v>564</v>
      </c>
      <c r="B565">
        <v>623116372</v>
      </c>
      <c r="C565">
        <v>100000000</v>
      </c>
      <c r="D565">
        <v>1000000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>
      <c r="A566">
        <v>565</v>
      </c>
      <c r="B566">
        <v>652154496</v>
      </c>
      <c r="C566">
        <v>100000000</v>
      </c>
      <c r="D566">
        <v>1000000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>
      <c r="A567">
        <v>566</v>
      </c>
      <c r="B567">
        <v>681192620</v>
      </c>
      <c r="C567">
        <v>100000000</v>
      </c>
      <c r="D567">
        <v>1000000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>
      <c r="A568">
        <v>567</v>
      </c>
      <c r="B568">
        <v>710230744</v>
      </c>
      <c r="C568">
        <v>100000000</v>
      </c>
      <c r="D568">
        <v>1000000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</row>
    <row r="569" spans="1:10">
      <c r="A569">
        <v>568</v>
      </c>
      <c r="B569">
        <v>739268868</v>
      </c>
      <c r="C569">
        <v>100000000</v>
      </c>
      <c r="D569">
        <v>1000000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>
      <c r="A570">
        <v>569</v>
      </c>
      <c r="B570">
        <v>768306992</v>
      </c>
      <c r="C570">
        <v>100000000</v>
      </c>
      <c r="D570">
        <v>1000000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</row>
    <row r="571" spans="1:10">
      <c r="A571">
        <v>570</v>
      </c>
      <c r="B571">
        <v>797345116</v>
      </c>
      <c r="C571">
        <v>100000000</v>
      </c>
      <c r="D571">
        <v>1000000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</row>
    <row r="572" spans="1:10">
      <c r="A572">
        <v>571</v>
      </c>
      <c r="B572">
        <v>826383240</v>
      </c>
      <c r="C572">
        <v>100000000</v>
      </c>
      <c r="D572">
        <v>1000000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>
      <c r="A573">
        <v>572</v>
      </c>
      <c r="B573">
        <v>855421364</v>
      </c>
      <c r="C573">
        <v>100000000</v>
      </c>
      <c r="D573">
        <v>1000000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</row>
    <row r="574" spans="1:10">
      <c r="A574">
        <v>573</v>
      </c>
      <c r="B574">
        <v>884459488</v>
      </c>
      <c r="C574">
        <v>100000000</v>
      </c>
      <c r="D574">
        <v>1000000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>
      <c r="A575">
        <v>574</v>
      </c>
      <c r="B575">
        <v>913497612</v>
      </c>
      <c r="C575">
        <v>100000000</v>
      </c>
      <c r="D575">
        <v>1000000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>
      <c r="A576">
        <v>575</v>
      </c>
      <c r="B576">
        <v>942535736</v>
      </c>
      <c r="C576">
        <v>100000000</v>
      </c>
      <c r="D576">
        <v>1000000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</row>
    <row r="577" spans="1:10">
      <c r="A577">
        <v>576</v>
      </c>
      <c r="B577">
        <v>971573860</v>
      </c>
      <c r="C577">
        <v>100000000</v>
      </c>
      <c r="D577">
        <v>1000000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>
      <c r="A578">
        <v>577</v>
      </c>
      <c r="B578">
        <v>100061984</v>
      </c>
      <c r="C578">
        <v>100000000</v>
      </c>
      <c r="D578">
        <v>10000000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>
      <c r="A579">
        <v>578</v>
      </c>
      <c r="B579">
        <v>127512467</v>
      </c>
      <c r="C579">
        <v>100000000</v>
      </c>
      <c r="D579">
        <v>10000000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</row>
    <row r="580" spans="1:10">
      <c r="A580">
        <v>579</v>
      </c>
      <c r="B580">
        <v>154962950</v>
      </c>
      <c r="C580">
        <v>100000000</v>
      </c>
      <c r="D580">
        <v>10000000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</row>
    <row r="581" spans="1:10">
      <c r="A581">
        <v>580</v>
      </c>
      <c r="B581">
        <v>182413433</v>
      </c>
      <c r="C581">
        <v>100000000</v>
      </c>
      <c r="D581">
        <v>10000000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</row>
    <row r="582" spans="1:10">
      <c r="A582">
        <v>581</v>
      </c>
      <c r="B582">
        <v>209863916</v>
      </c>
      <c r="C582">
        <v>100000000</v>
      </c>
      <c r="D582">
        <v>10000000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</row>
    <row r="583" spans="1:10">
      <c r="A583">
        <v>582</v>
      </c>
      <c r="B583">
        <v>237314399</v>
      </c>
      <c r="C583">
        <v>100000000</v>
      </c>
      <c r="D583">
        <v>10000000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>
      <c r="A584">
        <v>583</v>
      </c>
      <c r="B584">
        <v>264764882</v>
      </c>
      <c r="C584">
        <v>100000000</v>
      </c>
      <c r="D584">
        <v>10000000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>
      <c r="A585">
        <v>584</v>
      </c>
      <c r="B585">
        <v>292215365</v>
      </c>
      <c r="C585">
        <v>100000000</v>
      </c>
      <c r="D585">
        <v>10000000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>
      <c r="A586">
        <v>585</v>
      </c>
      <c r="B586">
        <v>319665848</v>
      </c>
      <c r="C586">
        <v>100000000</v>
      </c>
      <c r="D586">
        <v>10000000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>
      <c r="A587">
        <v>586</v>
      </c>
      <c r="B587">
        <v>347116331</v>
      </c>
      <c r="C587">
        <v>100000000</v>
      </c>
      <c r="D587">
        <v>10000000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</row>
    <row r="588" spans="1:10">
      <c r="A588">
        <v>587</v>
      </c>
      <c r="B588">
        <v>374566814</v>
      </c>
      <c r="C588">
        <v>100000000</v>
      </c>
      <c r="D588">
        <v>10000000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</row>
    <row r="589" spans="1:10">
      <c r="A589">
        <v>588</v>
      </c>
      <c r="B589">
        <v>402017297</v>
      </c>
      <c r="C589">
        <v>100000000</v>
      </c>
      <c r="D589">
        <v>10000000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</row>
    <row r="590" spans="1:10">
      <c r="A590">
        <v>589</v>
      </c>
      <c r="B590">
        <v>429467780</v>
      </c>
      <c r="C590">
        <v>100000000</v>
      </c>
      <c r="D590">
        <v>10000000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</row>
    <row r="591" spans="1:10">
      <c r="A591">
        <v>590</v>
      </c>
      <c r="B591">
        <v>456918263</v>
      </c>
      <c r="C591">
        <v>100000000</v>
      </c>
      <c r="D591">
        <v>10000000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</row>
    <row r="592" spans="1:10">
      <c r="A592">
        <v>591</v>
      </c>
      <c r="B592">
        <v>484368746</v>
      </c>
      <c r="C592">
        <v>100000000</v>
      </c>
      <c r="D592">
        <v>10000000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</row>
    <row r="593" spans="1:10">
      <c r="A593">
        <v>592</v>
      </c>
      <c r="B593">
        <v>511819229</v>
      </c>
      <c r="C593">
        <v>100000000</v>
      </c>
      <c r="D593">
        <v>10000000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>
      <c r="A594">
        <v>593</v>
      </c>
      <c r="B594">
        <v>539269712</v>
      </c>
      <c r="C594">
        <v>100000000</v>
      </c>
      <c r="D594">
        <v>10000000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>
      <c r="A595">
        <v>594</v>
      </c>
      <c r="B595">
        <v>566720195</v>
      </c>
      <c r="C595">
        <v>100000000</v>
      </c>
      <c r="D595">
        <v>10000000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</row>
    <row r="596" spans="1:10">
      <c r="A596">
        <v>595</v>
      </c>
      <c r="B596">
        <v>594170678</v>
      </c>
      <c r="C596">
        <v>100000000</v>
      </c>
      <c r="D596">
        <v>10000000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>
      <c r="A597">
        <v>596</v>
      </c>
      <c r="B597">
        <v>621621161</v>
      </c>
      <c r="C597">
        <v>100000000</v>
      </c>
      <c r="D597">
        <v>10000000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>
      <c r="A598">
        <v>597</v>
      </c>
      <c r="B598">
        <v>649071644</v>
      </c>
      <c r="C598">
        <v>100000000</v>
      </c>
      <c r="D598">
        <v>10000000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</row>
    <row r="599" spans="1:10">
      <c r="A599">
        <v>598</v>
      </c>
      <c r="B599">
        <v>676522127</v>
      </c>
      <c r="C599">
        <v>100000000</v>
      </c>
      <c r="D599">
        <v>10000000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>
      <c r="A600">
        <v>599</v>
      </c>
      <c r="B600">
        <v>703972610</v>
      </c>
      <c r="C600">
        <v>100000000</v>
      </c>
      <c r="D600">
        <v>10000000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>
      <c r="A601">
        <v>600</v>
      </c>
      <c r="B601">
        <v>731423093</v>
      </c>
      <c r="C601">
        <v>100000000</v>
      </c>
      <c r="D601">
        <v>10000000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</row>
    <row r="602" spans="1:10">
      <c r="A602">
        <v>601</v>
      </c>
      <c r="B602">
        <v>758873576</v>
      </c>
      <c r="C602">
        <v>100000000</v>
      </c>
      <c r="D602">
        <v>10000000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</row>
    <row r="603" spans="1:10">
      <c r="A603">
        <v>602</v>
      </c>
      <c r="B603">
        <v>786324059</v>
      </c>
      <c r="C603">
        <v>100000000</v>
      </c>
      <c r="D603">
        <v>10000000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</row>
    <row r="604" spans="1:10">
      <c r="A604">
        <v>603</v>
      </c>
      <c r="B604">
        <v>813774542</v>
      </c>
      <c r="C604">
        <v>100000000</v>
      </c>
      <c r="D604">
        <v>10000000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</row>
    <row r="605" spans="1:10">
      <c r="A605">
        <v>604</v>
      </c>
      <c r="B605">
        <v>841225025</v>
      </c>
      <c r="C605">
        <v>100000000</v>
      </c>
      <c r="D605">
        <v>10000000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</row>
    <row r="606" spans="1:10">
      <c r="A606">
        <v>605</v>
      </c>
      <c r="B606">
        <v>868675508</v>
      </c>
      <c r="C606">
        <v>100000000</v>
      </c>
      <c r="D606">
        <v>10000000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>
      <c r="A607">
        <v>606</v>
      </c>
      <c r="B607">
        <v>896125991</v>
      </c>
      <c r="C607">
        <v>100000000</v>
      </c>
      <c r="D607">
        <v>10000000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</row>
    <row r="608" spans="1:10">
      <c r="A608">
        <v>607</v>
      </c>
      <c r="B608">
        <v>923576474</v>
      </c>
      <c r="C608">
        <v>100000000</v>
      </c>
      <c r="D608">
        <v>10000000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>
      <c r="A609">
        <v>608</v>
      </c>
      <c r="B609">
        <v>951026957</v>
      </c>
      <c r="C609">
        <v>100000000</v>
      </c>
      <c r="D609">
        <v>10000000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</row>
    <row r="610" spans="1:10">
      <c r="A610">
        <v>609</v>
      </c>
      <c r="B610">
        <v>978477440</v>
      </c>
      <c r="C610">
        <v>100000000</v>
      </c>
      <c r="D610">
        <v>10000000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>
      <c r="A611">
        <v>610</v>
      </c>
      <c r="B611">
        <v>105927923</v>
      </c>
      <c r="C611">
        <v>100000000</v>
      </c>
      <c r="D611">
        <v>100000000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>
      <c r="A612">
        <v>611</v>
      </c>
      <c r="B612">
        <v>126791929</v>
      </c>
      <c r="C612">
        <v>100000000</v>
      </c>
      <c r="D612">
        <v>100000000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</row>
    <row r="613" spans="1:10">
      <c r="A613">
        <v>612</v>
      </c>
      <c r="B613">
        <v>147655935</v>
      </c>
      <c r="C613">
        <v>100000000</v>
      </c>
      <c r="D613">
        <v>100000000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</row>
    <row r="614" spans="1:10">
      <c r="A614">
        <v>613</v>
      </c>
      <c r="B614">
        <v>168519941</v>
      </c>
      <c r="C614">
        <v>100000000</v>
      </c>
      <c r="D614">
        <v>100000000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>
      <c r="A615">
        <v>614</v>
      </c>
      <c r="B615">
        <v>189383947</v>
      </c>
      <c r="C615">
        <v>100000000</v>
      </c>
      <c r="D615">
        <v>100000000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</row>
    <row r="616" spans="1:10">
      <c r="A616">
        <v>615</v>
      </c>
      <c r="B616">
        <v>210247953</v>
      </c>
      <c r="C616">
        <v>100000000</v>
      </c>
      <c r="D616">
        <v>100000000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>
      <c r="A617">
        <v>616</v>
      </c>
      <c r="B617">
        <v>231111959</v>
      </c>
      <c r="C617">
        <v>100000000</v>
      </c>
      <c r="D617">
        <v>100000000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>
      <c r="A618">
        <v>617</v>
      </c>
      <c r="B618">
        <v>251975965</v>
      </c>
      <c r="C618">
        <v>100000000</v>
      </c>
      <c r="D618">
        <v>100000000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>
      <c r="A619">
        <v>618</v>
      </c>
      <c r="B619">
        <v>272839971</v>
      </c>
      <c r="C619">
        <v>100000000</v>
      </c>
      <c r="D619">
        <v>100000000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>
      <c r="A620">
        <v>619</v>
      </c>
      <c r="B620">
        <v>293703977</v>
      </c>
      <c r="C620">
        <v>100000000</v>
      </c>
      <c r="D620">
        <v>100000000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>
      <c r="A621">
        <v>620</v>
      </c>
      <c r="B621">
        <v>314567983</v>
      </c>
      <c r="C621">
        <v>100000000</v>
      </c>
      <c r="D621">
        <v>100000000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>
      <c r="A622">
        <v>621</v>
      </c>
      <c r="B622">
        <v>335431989</v>
      </c>
      <c r="C622">
        <v>100000000</v>
      </c>
      <c r="D622">
        <v>100000000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</row>
    <row r="623" spans="1:10">
      <c r="A623">
        <v>622</v>
      </c>
      <c r="B623">
        <v>356295995</v>
      </c>
      <c r="C623">
        <v>100000000</v>
      </c>
      <c r="D623">
        <v>100000000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</row>
    <row r="624" spans="1:10">
      <c r="A624">
        <v>623</v>
      </c>
      <c r="B624">
        <v>377160001</v>
      </c>
      <c r="C624">
        <v>100000000</v>
      </c>
      <c r="D624">
        <v>100000000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</row>
    <row r="625" spans="1:10">
      <c r="A625">
        <v>624</v>
      </c>
      <c r="B625">
        <v>398024007</v>
      </c>
      <c r="C625">
        <v>100000000</v>
      </c>
      <c r="D625">
        <v>100000000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>
      <c r="A626">
        <v>625</v>
      </c>
      <c r="B626">
        <v>418888013</v>
      </c>
      <c r="C626">
        <v>100000000</v>
      </c>
      <c r="D626">
        <v>100000000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>
      <c r="A627">
        <v>626</v>
      </c>
      <c r="B627">
        <v>439752019</v>
      </c>
      <c r="C627">
        <v>100000000</v>
      </c>
      <c r="D627">
        <v>100000000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</row>
    <row r="628" spans="1:10">
      <c r="A628">
        <v>627</v>
      </c>
      <c r="B628">
        <v>460616025</v>
      </c>
      <c r="C628">
        <v>100000000</v>
      </c>
      <c r="D628">
        <v>100000000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</row>
    <row r="629" spans="1:10">
      <c r="A629">
        <v>628</v>
      </c>
      <c r="B629">
        <v>481480031</v>
      </c>
      <c r="C629">
        <v>100000000</v>
      </c>
      <c r="D629">
        <v>100000000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>
      <c r="A630">
        <v>629</v>
      </c>
      <c r="B630">
        <v>502344037</v>
      </c>
      <c r="C630">
        <v>100000000</v>
      </c>
      <c r="D630">
        <v>100000000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</row>
    <row r="631" spans="1:10">
      <c r="A631">
        <v>630</v>
      </c>
      <c r="B631">
        <v>523208043</v>
      </c>
      <c r="C631">
        <v>100000000</v>
      </c>
      <c r="D631">
        <v>100000000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</row>
    <row r="632" spans="1:10">
      <c r="A632">
        <v>631</v>
      </c>
      <c r="B632">
        <v>544072049</v>
      </c>
      <c r="C632">
        <v>100000000</v>
      </c>
      <c r="D632">
        <v>100000000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>
      <c r="A633">
        <v>632</v>
      </c>
      <c r="B633">
        <v>564936055</v>
      </c>
      <c r="C633">
        <v>100000000</v>
      </c>
      <c r="D633">
        <v>100000000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</row>
    <row r="634" spans="1:10">
      <c r="A634">
        <v>633</v>
      </c>
      <c r="B634">
        <v>585800061</v>
      </c>
      <c r="C634">
        <v>100000000</v>
      </c>
      <c r="D634">
        <v>100000000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>
      <c r="A635">
        <v>634</v>
      </c>
      <c r="B635">
        <v>606664067</v>
      </c>
      <c r="C635">
        <v>100000000</v>
      </c>
      <c r="D635">
        <v>100000000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</row>
    <row r="636" spans="1:10">
      <c r="A636">
        <v>635</v>
      </c>
      <c r="B636">
        <v>627528073</v>
      </c>
      <c r="C636">
        <v>100000000</v>
      </c>
      <c r="D636">
        <v>100000000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</row>
    <row r="637" spans="1:10">
      <c r="A637">
        <v>636</v>
      </c>
      <c r="B637">
        <v>648392079</v>
      </c>
      <c r="C637">
        <v>100000000</v>
      </c>
      <c r="D637">
        <v>100000000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</row>
    <row r="638" spans="1:10">
      <c r="A638">
        <v>637</v>
      </c>
      <c r="B638">
        <v>669256085</v>
      </c>
      <c r="C638">
        <v>100000000</v>
      </c>
      <c r="D638">
        <v>100000000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>
      <c r="A639">
        <v>638</v>
      </c>
      <c r="B639">
        <v>690120091</v>
      </c>
      <c r="C639">
        <v>100000000</v>
      </c>
      <c r="D639">
        <v>100000000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>
      <c r="A640">
        <v>639</v>
      </c>
      <c r="B640">
        <v>710984097</v>
      </c>
      <c r="C640">
        <v>100000000</v>
      </c>
      <c r="D640">
        <v>100000000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>
      <c r="A641">
        <v>640</v>
      </c>
      <c r="B641">
        <v>731848103</v>
      </c>
      <c r="C641">
        <v>100000000</v>
      </c>
      <c r="D641">
        <v>100000000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</row>
    <row r="642" spans="1:10">
      <c r="A642">
        <v>641</v>
      </c>
      <c r="B642">
        <v>752712109</v>
      </c>
      <c r="C642">
        <v>100000000</v>
      </c>
      <c r="D642">
        <v>100000000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>
      <c r="A643">
        <v>642</v>
      </c>
      <c r="B643">
        <v>773576115</v>
      </c>
      <c r="C643">
        <v>100000000</v>
      </c>
      <c r="D643">
        <v>100000000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</row>
    <row r="644" spans="1:10">
      <c r="A644">
        <v>643</v>
      </c>
      <c r="B644">
        <v>794440121</v>
      </c>
      <c r="C644">
        <v>100000000</v>
      </c>
      <c r="D644">
        <v>100000000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>
      <c r="A645">
        <v>644</v>
      </c>
      <c r="B645">
        <v>815304127</v>
      </c>
      <c r="C645">
        <v>100000000</v>
      </c>
      <c r="D645">
        <v>100000000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</row>
    <row r="646" spans="1:10">
      <c r="A646">
        <v>645</v>
      </c>
      <c r="B646">
        <v>836168133</v>
      </c>
      <c r="C646">
        <v>100000000</v>
      </c>
      <c r="D646">
        <v>100000000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</row>
    <row r="647" spans="1:10">
      <c r="A647">
        <v>646</v>
      </c>
      <c r="B647">
        <v>857032139</v>
      </c>
      <c r="C647">
        <v>100000000</v>
      </c>
      <c r="D647">
        <v>100000000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>
      <c r="A648">
        <v>647</v>
      </c>
      <c r="B648">
        <v>877896145</v>
      </c>
      <c r="C648">
        <v>100000000</v>
      </c>
      <c r="D648">
        <v>100000000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</row>
    <row r="649" spans="1:10">
      <c r="A649">
        <v>648</v>
      </c>
      <c r="B649">
        <v>898760151</v>
      </c>
      <c r="C649">
        <v>100000000</v>
      </c>
      <c r="D649">
        <v>100000000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>
      <c r="A650">
        <v>649</v>
      </c>
      <c r="B650">
        <v>919624157</v>
      </c>
      <c r="C650">
        <v>100000000</v>
      </c>
      <c r="D650">
        <v>100000000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>
      <c r="A651">
        <v>650</v>
      </c>
      <c r="B651">
        <v>940488163</v>
      </c>
      <c r="C651">
        <v>100000000</v>
      </c>
      <c r="D651">
        <v>100000000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</row>
    <row r="652" spans="1:10">
      <c r="A652">
        <v>651</v>
      </c>
      <c r="B652">
        <v>961352169</v>
      </c>
      <c r="C652">
        <v>100000000</v>
      </c>
      <c r="D652">
        <v>100000000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>
      <c r="A653">
        <v>652</v>
      </c>
      <c r="B653">
        <v>982216175</v>
      </c>
      <c r="C653">
        <v>100000000</v>
      </c>
      <c r="D653">
        <v>100000000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</row>
    <row r="654" spans="1:10">
      <c r="A654">
        <v>653</v>
      </c>
      <c r="B654">
        <v>100080181</v>
      </c>
      <c r="C654">
        <v>100000000</v>
      </c>
      <c r="D654">
        <v>100000000</v>
      </c>
      <c r="E654">
        <v>10</v>
      </c>
      <c r="F654">
        <v>1</v>
      </c>
      <c r="G654">
        <v>1</v>
      </c>
      <c r="H654">
        <v>1</v>
      </c>
      <c r="I654">
        <v>1</v>
      </c>
      <c r="J654">
        <v>1</v>
      </c>
    </row>
    <row r="655" spans="1:10">
      <c r="A655">
        <v>654</v>
      </c>
      <c r="B655">
        <v>124678913</v>
      </c>
      <c r="C655">
        <v>100000000</v>
      </c>
      <c r="D655">
        <v>100000000</v>
      </c>
      <c r="E655">
        <v>10</v>
      </c>
      <c r="F655">
        <v>1</v>
      </c>
      <c r="G655">
        <v>1</v>
      </c>
      <c r="H655">
        <v>1</v>
      </c>
      <c r="I655">
        <v>1</v>
      </c>
      <c r="J655">
        <v>1</v>
      </c>
    </row>
    <row r="656" spans="1:10">
      <c r="A656">
        <v>655</v>
      </c>
      <c r="B656">
        <v>149277645</v>
      </c>
      <c r="C656">
        <v>100000000</v>
      </c>
      <c r="D656">
        <v>100000000</v>
      </c>
      <c r="E656">
        <v>10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>
      <c r="A657">
        <v>656</v>
      </c>
      <c r="B657">
        <v>173876377</v>
      </c>
      <c r="C657">
        <v>100000000</v>
      </c>
      <c r="D657">
        <v>100000000</v>
      </c>
      <c r="E657">
        <v>10</v>
      </c>
      <c r="F657">
        <v>1</v>
      </c>
      <c r="G657">
        <v>1</v>
      </c>
      <c r="H657">
        <v>1</v>
      </c>
      <c r="I657">
        <v>1</v>
      </c>
      <c r="J657">
        <v>1</v>
      </c>
    </row>
    <row r="658" spans="1:10">
      <c r="A658">
        <v>657</v>
      </c>
      <c r="B658">
        <v>198475109</v>
      </c>
      <c r="C658">
        <v>100000000</v>
      </c>
      <c r="D658">
        <v>100000000</v>
      </c>
      <c r="E658">
        <v>10</v>
      </c>
      <c r="F658">
        <v>1</v>
      </c>
      <c r="G658">
        <v>1</v>
      </c>
      <c r="H658">
        <v>1</v>
      </c>
      <c r="I658">
        <v>1</v>
      </c>
      <c r="J658">
        <v>1</v>
      </c>
    </row>
    <row r="659" spans="1:10">
      <c r="A659">
        <v>658</v>
      </c>
      <c r="B659">
        <v>223073841</v>
      </c>
      <c r="C659">
        <v>100000000</v>
      </c>
      <c r="D659">
        <v>100000000</v>
      </c>
      <c r="E659">
        <v>10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>
      <c r="A660">
        <v>659</v>
      </c>
      <c r="B660">
        <v>247672573</v>
      </c>
      <c r="C660">
        <v>100000000</v>
      </c>
      <c r="D660">
        <v>100000000</v>
      </c>
      <c r="E660">
        <v>10</v>
      </c>
      <c r="F660">
        <v>1</v>
      </c>
      <c r="G660">
        <v>1</v>
      </c>
      <c r="H660">
        <v>1</v>
      </c>
      <c r="I660">
        <v>1</v>
      </c>
      <c r="J660">
        <v>1</v>
      </c>
    </row>
    <row r="661" spans="1:10">
      <c r="A661">
        <v>660</v>
      </c>
      <c r="B661">
        <v>272271305</v>
      </c>
      <c r="C661">
        <v>100000000</v>
      </c>
      <c r="D661">
        <v>100000000</v>
      </c>
      <c r="E661">
        <v>10</v>
      </c>
      <c r="F661">
        <v>1</v>
      </c>
      <c r="G661">
        <v>1</v>
      </c>
      <c r="H661">
        <v>1</v>
      </c>
      <c r="I661">
        <v>1</v>
      </c>
      <c r="J661">
        <v>1</v>
      </c>
    </row>
    <row r="662" spans="1:10">
      <c r="A662">
        <v>661</v>
      </c>
      <c r="B662">
        <v>296870037</v>
      </c>
      <c r="C662">
        <v>100000000</v>
      </c>
      <c r="D662">
        <v>100000000</v>
      </c>
      <c r="E662">
        <v>10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>
      <c r="A663">
        <v>662</v>
      </c>
      <c r="B663">
        <v>321468769</v>
      </c>
      <c r="C663">
        <v>100000000</v>
      </c>
      <c r="D663">
        <v>100000000</v>
      </c>
      <c r="E663">
        <v>10</v>
      </c>
      <c r="F663">
        <v>1</v>
      </c>
      <c r="G663">
        <v>1</v>
      </c>
      <c r="H663">
        <v>1</v>
      </c>
      <c r="I663">
        <v>1</v>
      </c>
      <c r="J663">
        <v>1</v>
      </c>
    </row>
    <row r="664" spans="1:10">
      <c r="A664">
        <v>663</v>
      </c>
      <c r="B664">
        <v>346067501</v>
      </c>
      <c r="C664">
        <v>100000000</v>
      </c>
      <c r="D664">
        <v>100000000</v>
      </c>
      <c r="E664">
        <v>10</v>
      </c>
      <c r="F664">
        <v>1</v>
      </c>
      <c r="G664">
        <v>1</v>
      </c>
      <c r="H664">
        <v>1</v>
      </c>
      <c r="I664">
        <v>1</v>
      </c>
      <c r="J664">
        <v>1</v>
      </c>
    </row>
    <row r="665" spans="1:10">
      <c r="A665">
        <v>664</v>
      </c>
      <c r="B665">
        <v>370666233</v>
      </c>
      <c r="C665">
        <v>100000000</v>
      </c>
      <c r="D665">
        <v>100000000</v>
      </c>
      <c r="E665">
        <v>10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>
      <c r="A666">
        <v>665</v>
      </c>
      <c r="B666">
        <v>395264965</v>
      </c>
      <c r="C666">
        <v>100000000</v>
      </c>
      <c r="D666">
        <v>100000000</v>
      </c>
      <c r="E666">
        <v>10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>
      <c r="A667">
        <v>666</v>
      </c>
      <c r="B667">
        <v>419863697</v>
      </c>
      <c r="C667">
        <v>100000000</v>
      </c>
      <c r="D667">
        <v>100000000</v>
      </c>
      <c r="E667">
        <v>10</v>
      </c>
      <c r="F667">
        <v>1</v>
      </c>
      <c r="G667">
        <v>1</v>
      </c>
      <c r="H667">
        <v>1</v>
      </c>
      <c r="I667">
        <v>1</v>
      </c>
      <c r="J667">
        <v>1</v>
      </c>
    </row>
    <row r="668" spans="1:10">
      <c r="A668">
        <v>667</v>
      </c>
      <c r="B668">
        <v>444462429</v>
      </c>
      <c r="C668">
        <v>100000000</v>
      </c>
      <c r="D668">
        <v>100000000</v>
      </c>
      <c r="E668">
        <v>10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>
      <c r="A669">
        <v>668</v>
      </c>
      <c r="B669">
        <v>469061161</v>
      </c>
      <c r="C669">
        <v>100000000</v>
      </c>
      <c r="D669">
        <v>100000000</v>
      </c>
      <c r="E669">
        <v>10</v>
      </c>
      <c r="F669">
        <v>1</v>
      </c>
      <c r="G669">
        <v>1</v>
      </c>
      <c r="H669">
        <v>1</v>
      </c>
      <c r="I669">
        <v>1</v>
      </c>
      <c r="J669">
        <v>1</v>
      </c>
    </row>
    <row r="670" spans="1:10">
      <c r="A670">
        <v>669</v>
      </c>
      <c r="B670">
        <v>493659893</v>
      </c>
      <c r="C670">
        <v>100000000</v>
      </c>
      <c r="D670">
        <v>100000000</v>
      </c>
      <c r="E670">
        <v>10</v>
      </c>
      <c r="F670">
        <v>1</v>
      </c>
      <c r="G670">
        <v>1</v>
      </c>
      <c r="H670">
        <v>1</v>
      </c>
      <c r="I670">
        <v>1</v>
      </c>
      <c r="J670">
        <v>1</v>
      </c>
    </row>
    <row r="671" spans="1:10">
      <c r="A671">
        <v>670</v>
      </c>
      <c r="B671">
        <v>518258625</v>
      </c>
      <c r="C671">
        <v>100000000</v>
      </c>
      <c r="D671">
        <v>100000000</v>
      </c>
      <c r="E671">
        <v>10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>
      <c r="A672">
        <v>671</v>
      </c>
      <c r="B672">
        <v>542857357</v>
      </c>
      <c r="C672">
        <v>100000000</v>
      </c>
      <c r="D672">
        <v>100000000</v>
      </c>
      <c r="E672">
        <v>10</v>
      </c>
      <c r="F672">
        <v>1</v>
      </c>
      <c r="G672">
        <v>1</v>
      </c>
      <c r="H672">
        <v>1</v>
      </c>
      <c r="I672">
        <v>1</v>
      </c>
      <c r="J672">
        <v>1</v>
      </c>
    </row>
    <row r="673" spans="1:10">
      <c r="A673">
        <v>672</v>
      </c>
      <c r="B673">
        <v>567456089</v>
      </c>
      <c r="C673">
        <v>100000000</v>
      </c>
      <c r="D673">
        <v>100000000</v>
      </c>
      <c r="E673">
        <v>10</v>
      </c>
      <c r="F673">
        <v>1</v>
      </c>
      <c r="G673">
        <v>1</v>
      </c>
      <c r="H673">
        <v>1</v>
      </c>
      <c r="I673">
        <v>1</v>
      </c>
      <c r="J673">
        <v>1</v>
      </c>
    </row>
    <row r="674" spans="1:10">
      <c r="A674">
        <v>673</v>
      </c>
      <c r="B674">
        <v>592054821</v>
      </c>
      <c r="C674">
        <v>100000000</v>
      </c>
      <c r="D674">
        <v>100000000</v>
      </c>
      <c r="E674">
        <v>10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>
      <c r="A675">
        <v>674</v>
      </c>
      <c r="B675">
        <v>616653553</v>
      </c>
      <c r="C675">
        <v>100000000</v>
      </c>
      <c r="D675">
        <v>100000000</v>
      </c>
      <c r="E675">
        <v>10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>
      <c r="A676">
        <v>675</v>
      </c>
      <c r="B676">
        <v>641252285</v>
      </c>
      <c r="C676">
        <v>100000000</v>
      </c>
      <c r="D676">
        <v>100000000</v>
      </c>
      <c r="E676">
        <v>10</v>
      </c>
      <c r="F676">
        <v>1</v>
      </c>
      <c r="G676">
        <v>1</v>
      </c>
      <c r="H676">
        <v>1</v>
      </c>
      <c r="I676">
        <v>1</v>
      </c>
      <c r="J676">
        <v>1</v>
      </c>
    </row>
    <row r="677" spans="1:10">
      <c r="A677">
        <v>676</v>
      </c>
      <c r="B677">
        <v>665851017</v>
      </c>
      <c r="C677">
        <v>100000000</v>
      </c>
      <c r="D677">
        <v>100000000</v>
      </c>
      <c r="E677">
        <v>10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>
      <c r="A678">
        <v>677</v>
      </c>
      <c r="B678">
        <v>690449749</v>
      </c>
      <c r="C678">
        <v>100000000</v>
      </c>
      <c r="D678">
        <v>100000000</v>
      </c>
      <c r="E678">
        <v>10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>
      <c r="A679">
        <v>678</v>
      </c>
      <c r="B679">
        <v>715048481</v>
      </c>
      <c r="C679">
        <v>100000000</v>
      </c>
      <c r="D679">
        <v>100000000</v>
      </c>
      <c r="E679">
        <v>10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>
      <c r="A680">
        <v>679</v>
      </c>
      <c r="B680">
        <v>739647213</v>
      </c>
      <c r="C680">
        <v>100000000</v>
      </c>
      <c r="D680">
        <v>100000000</v>
      </c>
      <c r="E680">
        <v>10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>
      <c r="A681">
        <v>680</v>
      </c>
      <c r="B681">
        <v>764245945</v>
      </c>
      <c r="C681">
        <v>100000000</v>
      </c>
      <c r="D681">
        <v>100000000</v>
      </c>
      <c r="E681">
        <v>10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>
      <c r="A682">
        <v>681</v>
      </c>
      <c r="B682">
        <v>788844677</v>
      </c>
      <c r="C682">
        <v>100000000</v>
      </c>
      <c r="D682">
        <v>100000000</v>
      </c>
      <c r="E682">
        <v>10</v>
      </c>
      <c r="F682">
        <v>1</v>
      </c>
      <c r="G682">
        <v>1</v>
      </c>
      <c r="H682">
        <v>1</v>
      </c>
      <c r="I682">
        <v>1</v>
      </c>
      <c r="J682">
        <v>1</v>
      </c>
    </row>
    <row r="683" spans="1:10">
      <c r="A683">
        <v>682</v>
      </c>
      <c r="B683">
        <v>813443409</v>
      </c>
      <c r="C683">
        <v>100000000</v>
      </c>
      <c r="D683">
        <v>100000000</v>
      </c>
      <c r="E683">
        <v>10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>
      <c r="A684">
        <v>683</v>
      </c>
      <c r="B684">
        <v>838042141</v>
      </c>
      <c r="C684">
        <v>100000000</v>
      </c>
      <c r="D684">
        <v>100000000</v>
      </c>
      <c r="E684">
        <v>10</v>
      </c>
      <c r="F684">
        <v>1</v>
      </c>
      <c r="G684">
        <v>1</v>
      </c>
      <c r="H684">
        <v>1</v>
      </c>
      <c r="I684">
        <v>1</v>
      </c>
      <c r="J684">
        <v>1</v>
      </c>
    </row>
    <row r="685" spans="1:10">
      <c r="A685">
        <v>684</v>
      </c>
      <c r="B685">
        <v>862640873</v>
      </c>
      <c r="C685">
        <v>100000000</v>
      </c>
      <c r="D685">
        <v>100000000</v>
      </c>
      <c r="E685">
        <v>10</v>
      </c>
      <c r="F685">
        <v>1</v>
      </c>
      <c r="G685">
        <v>1</v>
      </c>
      <c r="H685">
        <v>1</v>
      </c>
      <c r="I685">
        <v>1</v>
      </c>
      <c r="J685">
        <v>1</v>
      </c>
    </row>
    <row r="686" spans="1:10">
      <c r="A686">
        <v>685</v>
      </c>
      <c r="B686">
        <v>887239605</v>
      </c>
      <c r="C686">
        <v>100000000</v>
      </c>
      <c r="D686">
        <v>100000000</v>
      </c>
      <c r="E686">
        <v>10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>
      <c r="A687">
        <v>686</v>
      </c>
      <c r="B687">
        <v>911838337</v>
      </c>
      <c r="C687">
        <v>100000000</v>
      </c>
      <c r="D687">
        <v>100000000</v>
      </c>
      <c r="E687">
        <v>10</v>
      </c>
      <c r="F687">
        <v>1</v>
      </c>
      <c r="G687">
        <v>1</v>
      </c>
      <c r="H687">
        <v>1</v>
      </c>
      <c r="I687">
        <v>1</v>
      </c>
      <c r="J687">
        <v>1</v>
      </c>
    </row>
    <row r="688" spans="1:10">
      <c r="A688">
        <v>687</v>
      </c>
      <c r="B688">
        <v>936437069</v>
      </c>
      <c r="C688">
        <v>100000000</v>
      </c>
      <c r="D688">
        <v>100000000</v>
      </c>
      <c r="E688">
        <v>10</v>
      </c>
      <c r="F688">
        <v>1</v>
      </c>
      <c r="G688">
        <v>1</v>
      </c>
      <c r="H688">
        <v>1</v>
      </c>
      <c r="I688">
        <v>1</v>
      </c>
      <c r="J688">
        <v>1</v>
      </c>
    </row>
    <row r="689" spans="1:10">
      <c r="A689">
        <v>688</v>
      </c>
      <c r="B689">
        <v>961035801</v>
      </c>
      <c r="C689">
        <v>100000000</v>
      </c>
      <c r="D689">
        <v>100000000</v>
      </c>
      <c r="E689">
        <v>10</v>
      </c>
      <c r="F689">
        <v>1</v>
      </c>
      <c r="G689">
        <v>1</v>
      </c>
      <c r="H689">
        <v>1</v>
      </c>
      <c r="I689">
        <v>1</v>
      </c>
      <c r="J689">
        <v>1</v>
      </c>
    </row>
    <row r="690" spans="1:10">
      <c r="A690">
        <v>689</v>
      </c>
      <c r="B690">
        <v>985634533</v>
      </c>
      <c r="C690">
        <v>100000000</v>
      </c>
      <c r="D690">
        <v>100000000</v>
      </c>
      <c r="E690">
        <v>10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>
      <c r="A691">
        <v>690</v>
      </c>
      <c r="B691">
        <v>101023265</v>
      </c>
      <c r="C691">
        <v>100000000</v>
      </c>
      <c r="D691">
        <v>100000000</v>
      </c>
      <c r="E691">
        <v>100</v>
      </c>
      <c r="F691">
        <v>1</v>
      </c>
      <c r="G691">
        <v>1</v>
      </c>
      <c r="H691">
        <v>1</v>
      </c>
      <c r="I691">
        <v>1</v>
      </c>
      <c r="J691">
        <v>1</v>
      </c>
    </row>
    <row r="692" spans="1:10">
      <c r="A692">
        <v>691</v>
      </c>
      <c r="B692">
        <v>125647918</v>
      </c>
      <c r="C692">
        <v>100000000</v>
      </c>
      <c r="D692">
        <v>100000000</v>
      </c>
      <c r="E692">
        <v>100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>
      <c r="A693">
        <v>692</v>
      </c>
      <c r="B693">
        <v>150272571</v>
      </c>
      <c r="C693">
        <v>100000000</v>
      </c>
      <c r="D693">
        <v>100000000</v>
      </c>
      <c r="E693">
        <v>100</v>
      </c>
      <c r="F693">
        <v>1</v>
      </c>
      <c r="G693">
        <v>1</v>
      </c>
      <c r="H693">
        <v>1</v>
      </c>
      <c r="I693">
        <v>1</v>
      </c>
      <c r="J693">
        <v>1</v>
      </c>
    </row>
    <row r="694" spans="1:10">
      <c r="A694">
        <v>693</v>
      </c>
      <c r="B694">
        <v>174897224</v>
      </c>
      <c r="C694">
        <v>100000000</v>
      </c>
      <c r="D694">
        <v>100000000</v>
      </c>
      <c r="E694">
        <v>100</v>
      </c>
      <c r="F694">
        <v>1</v>
      </c>
      <c r="G694">
        <v>1</v>
      </c>
      <c r="H694">
        <v>1</v>
      </c>
      <c r="I694">
        <v>1</v>
      </c>
      <c r="J694">
        <v>1</v>
      </c>
    </row>
    <row r="695" spans="1:10">
      <c r="A695">
        <v>694</v>
      </c>
      <c r="B695">
        <v>199521877</v>
      </c>
      <c r="C695">
        <v>100000000</v>
      </c>
      <c r="D695">
        <v>100000000</v>
      </c>
      <c r="E695">
        <v>100</v>
      </c>
      <c r="F695">
        <v>1</v>
      </c>
      <c r="G695">
        <v>1</v>
      </c>
      <c r="H695">
        <v>1</v>
      </c>
      <c r="I695">
        <v>1</v>
      </c>
      <c r="J695">
        <v>1</v>
      </c>
    </row>
    <row r="696" spans="1:10">
      <c r="A696">
        <v>695</v>
      </c>
      <c r="B696">
        <v>224146530</v>
      </c>
      <c r="C696">
        <v>100000000</v>
      </c>
      <c r="D696">
        <v>100000000</v>
      </c>
      <c r="E696">
        <v>100</v>
      </c>
      <c r="F696">
        <v>1</v>
      </c>
      <c r="G696">
        <v>1</v>
      </c>
      <c r="H696">
        <v>1</v>
      </c>
      <c r="I696">
        <v>1</v>
      </c>
      <c r="J696">
        <v>1</v>
      </c>
    </row>
    <row r="697" spans="1:10">
      <c r="A697">
        <v>696</v>
      </c>
      <c r="B697">
        <v>248771183</v>
      </c>
      <c r="C697">
        <v>100000000</v>
      </c>
      <c r="D697">
        <v>100000000</v>
      </c>
      <c r="E697">
        <v>100</v>
      </c>
      <c r="F697">
        <v>1</v>
      </c>
      <c r="G697">
        <v>1</v>
      </c>
      <c r="H697">
        <v>1</v>
      </c>
      <c r="I697">
        <v>1</v>
      </c>
      <c r="J697">
        <v>1</v>
      </c>
    </row>
    <row r="698" spans="1:10">
      <c r="A698">
        <v>697</v>
      </c>
      <c r="B698">
        <v>273395836</v>
      </c>
      <c r="C698">
        <v>100000000</v>
      </c>
      <c r="D698">
        <v>100000000</v>
      </c>
      <c r="E698">
        <v>100</v>
      </c>
      <c r="F698">
        <v>1</v>
      </c>
      <c r="G698">
        <v>1</v>
      </c>
      <c r="H698">
        <v>1</v>
      </c>
      <c r="I698">
        <v>1</v>
      </c>
      <c r="J698">
        <v>1</v>
      </c>
    </row>
    <row r="699" spans="1:10">
      <c r="A699">
        <v>698</v>
      </c>
      <c r="B699">
        <v>298020489</v>
      </c>
      <c r="C699">
        <v>100000000</v>
      </c>
      <c r="D699">
        <v>100000000</v>
      </c>
      <c r="E699">
        <v>100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>
      <c r="A700">
        <v>699</v>
      </c>
      <c r="B700">
        <v>322645142</v>
      </c>
      <c r="C700">
        <v>100000000</v>
      </c>
      <c r="D700">
        <v>100000000</v>
      </c>
      <c r="E700">
        <v>100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>
      <c r="A701">
        <v>700</v>
      </c>
      <c r="B701">
        <v>332269795</v>
      </c>
      <c r="C701">
        <v>100000000</v>
      </c>
      <c r="D701">
        <v>100000000</v>
      </c>
      <c r="E701">
        <v>100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>
      <c r="A702">
        <v>701</v>
      </c>
      <c r="B702">
        <v>341894448</v>
      </c>
      <c r="C702">
        <v>100000000</v>
      </c>
      <c r="D702">
        <v>100000000</v>
      </c>
      <c r="E702">
        <v>100</v>
      </c>
      <c r="F702">
        <v>1</v>
      </c>
      <c r="G702">
        <v>1</v>
      </c>
      <c r="H702">
        <v>1</v>
      </c>
      <c r="I702">
        <v>1</v>
      </c>
      <c r="J702">
        <v>1</v>
      </c>
    </row>
    <row r="703" spans="1:10">
      <c r="A703">
        <v>702</v>
      </c>
      <c r="B703">
        <v>351519101</v>
      </c>
      <c r="C703">
        <v>100000000</v>
      </c>
      <c r="D703">
        <v>100000000</v>
      </c>
      <c r="E703">
        <v>100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>
      <c r="A704">
        <v>703</v>
      </c>
      <c r="B704">
        <v>361143754</v>
      </c>
      <c r="C704">
        <v>100000000</v>
      </c>
      <c r="D704">
        <v>100000000</v>
      </c>
      <c r="E704">
        <v>100</v>
      </c>
      <c r="F704">
        <v>1</v>
      </c>
      <c r="G704">
        <v>1</v>
      </c>
      <c r="H704">
        <v>1</v>
      </c>
      <c r="I704">
        <v>1</v>
      </c>
      <c r="J704">
        <v>1</v>
      </c>
    </row>
    <row r="705" spans="1:10">
      <c r="A705">
        <v>704</v>
      </c>
      <c r="B705">
        <v>370768407</v>
      </c>
      <c r="C705">
        <v>100000000</v>
      </c>
      <c r="D705">
        <v>100000000</v>
      </c>
      <c r="E705">
        <v>100</v>
      </c>
      <c r="F705">
        <v>1</v>
      </c>
      <c r="G705">
        <v>1</v>
      </c>
      <c r="H705">
        <v>1</v>
      </c>
      <c r="I705">
        <v>1</v>
      </c>
      <c r="J705">
        <v>1</v>
      </c>
    </row>
    <row r="706" spans="1:10">
      <c r="A706">
        <v>705</v>
      </c>
      <c r="B706">
        <v>380393060</v>
      </c>
      <c r="C706">
        <v>100000000</v>
      </c>
      <c r="D706">
        <v>100000000</v>
      </c>
      <c r="E706">
        <v>100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>
      <c r="A707">
        <v>706</v>
      </c>
      <c r="B707">
        <v>390017713</v>
      </c>
      <c r="C707">
        <v>100000000</v>
      </c>
      <c r="D707">
        <v>100000000</v>
      </c>
      <c r="E707">
        <v>100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>
      <c r="A708">
        <v>707</v>
      </c>
      <c r="B708">
        <v>399642366</v>
      </c>
      <c r="C708">
        <v>100000000</v>
      </c>
      <c r="D708">
        <v>100000000</v>
      </c>
      <c r="E708">
        <v>100</v>
      </c>
      <c r="F708">
        <v>1</v>
      </c>
      <c r="G708">
        <v>1</v>
      </c>
      <c r="H708">
        <v>1</v>
      </c>
      <c r="I708">
        <v>1</v>
      </c>
      <c r="J708">
        <v>1</v>
      </c>
    </row>
    <row r="709" spans="1:10">
      <c r="A709">
        <v>708</v>
      </c>
      <c r="B709">
        <v>409267019</v>
      </c>
      <c r="C709">
        <v>100000000</v>
      </c>
      <c r="D709">
        <v>100000000</v>
      </c>
      <c r="E709">
        <v>100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>
      <c r="A710">
        <v>709</v>
      </c>
      <c r="B710">
        <v>418891672</v>
      </c>
      <c r="C710">
        <v>100000000</v>
      </c>
      <c r="D710">
        <v>100000000</v>
      </c>
      <c r="E710">
        <v>100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>
      <c r="A711">
        <v>710</v>
      </c>
      <c r="B711">
        <v>428516325</v>
      </c>
      <c r="C711">
        <v>100000000</v>
      </c>
      <c r="D711">
        <v>100000000</v>
      </c>
      <c r="E711">
        <v>100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>
      <c r="A712">
        <v>711</v>
      </c>
      <c r="B712">
        <v>438140978</v>
      </c>
      <c r="C712">
        <v>100000000</v>
      </c>
      <c r="D712">
        <v>100000000</v>
      </c>
      <c r="E712">
        <v>100</v>
      </c>
      <c r="F712">
        <v>1</v>
      </c>
      <c r="G712">
        <v>1</v>
      </c>
      <c r="H712">
        <v>1</v>
      </c>
      <c r="I712">
        <v>1</v>
      </c>
      <c r="J712">
        <v>1</v>
      </c>
    </row>
    <row r="713" spans="1:10">
      <c r="A713">
        <v>712</v>
      </c>
      <c r="B713">
        <v>447765631</v>
      </c>
      <c r="C713">
        <v>100000000</v>
      </c>
      <c r="D713">
        <v>100000000</v>
      </c>
      <c r="E713">
        <v>100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>
      <c r="A714">
        <v>713</v>
      </c>
      <c r="B714">
        <v>457390284</v>
      </c>
      <c r="C714">
        <v>100000000</v>
      </c>
      <c r="D714">
        <v>100000000</v>
      </c>
      <c r="E714">
        <v>100</v>
      </c>
      <c r="F714">
        <v>1</v>
      </c>
      <c r="G714">
        <v>1</v>
      </c>
      <c r="H714">
        <v>1</v>
      </c>
      <c r="I714">
        <v>1</v>
      </c>
      <c r="J714">
        <v>1</v>
      </c>
    </row>
    <row r="715" spans="1:10">
      <c r="A715">
        <v>714</v>
      </c>
      <c r="B715">
        <v>467014937</v>
      </c>
      <c r="C715">
        <v>100000000</v>
      </c>
      <c r="D715">
        <v>100000000</v>
      </c>
      <c r="E715">
        <v>100</v>
      </c>
      <c r="F715">
        <v>1</v>
      </c>
      <c r="G715">
        <v>1</v>
      </c>
      <c r="H715">
        <v>1</v>
      </c>
      <c r="I715">
        <v>1</v>
      </c>
      <c r="J715">
        <v>1</v>
      </c>
    </row>
    <row r="716" spans="1:10">
      <c r="A716">
        <v>715</v>
      </c>
      <c r="B716">
        <v>476639590</v>
      </c>
      <c r="C716">
        <v>100000000</v>
      </c>
      <c r="D716">
        <v>100000000</v>
      </c>
      <c r="E716">
        <v>100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>
      <c r="A717">
        <v>716</v>
      </c>
      <c r="B717">
        <v>486264243</v>
      </c>
      <c r="C717">
        <v>100000000</v>
      </c>
      <c r="D717">
        <v>100000000</v>
      </c>
      <c r="E717">
        <v>100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>
      <c r="A718">
        <v>717</v>
      </c>
      <c r="B718">
        <v>495888896</v>
      </c>
      <c r="C718">
        <v>100000000</v>
      </c>
      <c r="D718">
        <v>100000000</v>
      </c>
      <c r="E718">
        <v>100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>
      <c r="A719">
        <v>718</v>
      </c>
      <c r="B719">
        <v>505513549</v>
      </c>
      <c r="C719">
        <v>100000000</v>
      </c>
      <c r="D719">
        <v>100000000</v>
      </c>
      <c r="E719">
        <v>100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>
      <c r="A720">
        <v>719</v>
      </c>
      <c r="B720">
        <v>515138202</v>
      </c>
      <c r="C720">
        <v>100000000</v>
      </c>
      <c r="D720">
        <v>100000000</v>
      </c>
      <c r="E720">
        <v>100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>
      <c r="A721">
        <v>720</v>
      </c>
      <c r="B721">
        <v>524762855</v>
      </c>
      <c r="C721">
        <v>100000000</v>
      </c>
      <c r="D721">
        <v>100000000</v>
      </c>
      <c r="E721">
        <v>100</v>
      </c>
      <c r="F721">
        <v>1</v>
      </c>
      <c r="G721">
        <v>1</v>
      </c>
      <c r="H721">
        <v>1</v>
      </c>
      <c r="I721">
        <v>1</v>
      </c>
      <c r="J721">
        <v>1</v>
      </c>
    </row>
    <row r="722" spans="1:10">
      <c r="A722">
        <v>721</v>
      </c>
      <c r="B722">
        <v>534387508</v>
      </c>
      <c r="C722">
        <v>100000000</v>
      </c>
      <c r="D722">
        <v>100000000</v>
      </c>
      <c r="E722">
        <v>100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>
      <c r="A723">
        <v>722</v>
      </c>
      <c r="B723">
        <v>544012161</v>
      </c>
      <c r="C723">
        <v>100000000</v>
      </c>
      <c r="D723">
        <v>100000000</v>
      </c>
      <c r="E723">
        <v>100</v>
      </c>
      <c r="F723">
        <v>1</v>
      </c>
      <c r="G723">
        <v>1</v>
      </c>
      <c r="H723">
        <v>1</v>
      </c>
      <c r="I723">
        <v>1</v>
      </c>
      <c r="J723">
        <v>1</v>
      </c>
    </row>
    <row r="724" spans="1:10">
      <c r="A724">
        <v>723</v>
      </c>
      <c r="B724">
        <v>553636814</v>
      </c>
      <c r="C724">
        <v>100000000</v>
      </c>
      <c r="D724">
        <v>100000000</v>
      </c>
      <c r="E724">
        <v>100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>
      <c r="A725">
        <v>724</v>
      </c>
      <c r="B725">
        <v>563261467</v>
      </c>
      <c r="C725">
        <v>100000000</v>
      </c>
      <c r="D725">
        <v>100000000</v>
      </c>
      <c r="E725">
        <v>100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>
      <c r="A726">
        <v>725</v>
      </c>
      <c r="B726">
        <v>572886120</v>
      </c>
      <c r="C726">
        <v>100000000</v>
      </c>
      <c r="D726">
        <v>100000000</v>
      </c>
      <c r="E726">
        <v>100</v>
      </c>
      <c r="F726">
        <v>1</v>
      </c>
      <c r="G726">
        <v>1</v>
      </c>
      <c r="H726">
        <v>1</v>
      </c>
      <c r="I726">
        <v>1</v>
      </c>
      <c r="J726">
        <v>1</v>
      </c>
    </row>
    <row r="727" spans="1:10">
      <c r="A727">
        <v>726</v>
      </c>
      <c r="B727">
        <v>582510773</v>
      </c>
      <c r="C727">
        <v>100000000</v>
      </c>
      <c r="D727">
        <v>100000000</v>
      </c>
      <c r="E727">
        <v>100</v>
      </c>
      <c r="F727">
        <v>1</v>
      </c>
      <c r="G727">
        <v>1</v>
      </c>
      <c r="H727">
        <v>1</v>
      </c>
      <c r="I727">
        <v>1</v>
      </c>
      <c r="J727">
        <v>1</v>
      </c>
    </row>
    <row r="728" spans="1:10">
      <c r="A728">
        <v>727</v>
      </c>
      <c r="B728">
        <v>592135426</v>
      </c>
      <c r="C728">
        <v>100000000</v>
      </c>
      <c r="D728">
        <v>100000000</v>
      </c>
      <c r="E728">
        <v>100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>
      <c r="A729">
        <v>728</v>
      </c>
      <c r="B729">
        <v>601760079</v>
      </c>
      <c r="C729">
        <v>100000000</v>
      </c>
      <c r="D729">
        <v>100000000</v>
      </c>
      <c r="E729">
        <v>100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>
      <c r="A730">
        <v>729</v>
      </c>
      <c r="B730">
        <v>611384732</v>
      </c>
      <c r="C730">
        <v>100000000</v>
      </c>
      <c r="D730">
        <v>100000000</v>
      </c>
      <c r="E730">
        <v>100</v>
      </c>
      <c r="F730">
        <v>1</v>
      </c>
      <c r="G730">
        <v>1</v>
      </c>
      <c r="H730">
        <v>1</v>
      </c>
      <c r="I730">
        <v>1</v>
      </c>
      <c r="J730">
        <v>1</v>
      </c>
    </row>
    <row r="731" spans="1:10">
      <c r="A731">
        <v>730</v>
      </c>
      <c r="B731">
        <v>621009385</v>
      </c>
      <c r="C731">
        <v>100000000</v>
      </c>
      <c r="D731">
        <v>100000000</v>
      </c>
      <c r="E731">
        <v>100</v>
      </c>
      <c r="F731">
        <v>1</v>
      </c>
      <c r="G731">
        <v>1</v>
      </c>
      <c r="H731">
        <v>1</v>
      </c>
      <c r="I731">
        <v>1</v>
      </c>
      <c r="J731">
        <v>1</v>
      </c>
    </row>
    <row r="732" spans="1:10">
      <c r="A732">
        <v>731</v>
      </c>
      <c r="B732">
        <v>630634038</v>
      </c>
      <c r="C732">
        <v>100000000</v>
      </c>
      <c r="D732">
        <v>100000000</v>
      </c>
      <c r="E732">
        <v>100</v>
      </c>
      <c r="F732">
        <v>1</v>
      </c>
      <c r="G732">
        <v>1</v>
      </c>
      <c r="H732">
        <v>1</v>
      </c>
      <c r="I732">
        <v>1</v>
      </c>
      <c r="J732">
        <v>1</v>
      </c>
    </row>
    <row r="733" spans="1:10">
      <c r="A733">
        <v>732</v>
      </c>
      <c r="B733">
        <v>640258691</v>
      </c>
      <c r="C733">
        <v>100000000</v>
      </c>
      <c r="D733">
        <v>100000000</v>
      </c>
      <c r="E733">
        <v>100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>
      <c r="A734">
        <v>733</v>
      </c>
      <c r="B734">
        <v>649883344</v>
      </c>
      <c r="C734">
        <v>100000000</v>
      </c>
      <c r="D734">
        <v>100000000</v>
      </c>
      <c r="E734">
        <v>100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>
      <c r="A735">
        <v>734</v>
      </c>
      <c r="B735">
        <v>659507997</v>
      </c>
      <c r="C735">
        <v>100000000</v>
      </c>
      <c r="D735">
        <v>100000000</v>
      </c>
      <c r="E735">
        <v>100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>
      <c r="A736">
        <v>735</v>
      </c>
      <c r="B736">
        <v>669132650</v>
      </c>
      <c r="C736">
        <v>100000000</v>
      </c>
      <c r="D736">
        <v>100000000</v>
      </c>
      <c r="E736">
        <v>100</v>
      </c>
      <c r="F736">
        <v>1</v>
      </c>
      <c r="G736">
        <v>1</v>
      </c>
      <c r="H736">
        <v>1</v>
      </c>
      <c r="I736">
        <v>1</v>
      </c>
      <c r="J736">
        <v>1</v>
      </c>
    </row>
    <row r="737" spans="1:10">
      <c r="A737">
        <v>736</v>
      </c>
      <c r="B737">
        <v>678757303</v>
      </c>
      <c r="C737">
        <v>100000000</v>
      </c>
      <c r="D737">
        <v>100000000</v>
      </c>
      <c r="E737">
        <v>100</v>
      </c>
      <c r="F737">
        <v>1</v>
      </c>
      <c r="G737">
        <v>1</v>
      </c>
      <c r="H737">
        <v>1</v>
      </c>
      <c r="I737">
        <v>1</v>
      </c>
      <c r="J737">
        <v>1</v>
      </c>
    </row>
    <row r="738" spans="1:10">
      <c r="A738">
        <v>737</v>
      </c>
      <c r="B738">
        <v>688381956</v>
      </c>
      <c r="C738">
        <v>100000000</v>
      </c>
      <c r="D738">
        <v>100000000</v>
      </c>
      <c r="E738">
        <v>100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>
      <c r="A739">
        <v>738</v>
      </c>
      <c r="B739">
        <v>698006609</v>
      </c>
      <c r="C739">
        <v>100000000</v>
      </c>
      <c r="D739">
        <v>100000000</v>
      </c>
      <c r="E739">
        <v>100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>
      <c r="A740">
        <v>739</v>
      </c>
      <c r="B740">
        <v>707631262</v>
      </c>
      <c r="C740">
        <v>100000000</v>
      </c>
      <c r="D740">
        <v>100000000</v>
      </c>
      <c r="E740">
        <v>100</v>
      </c>
      <c r="F740">
        <v>1</v>
      </c>
      <c r="G740">
        <v>1</v>
      </c>
      <c r="H740">
        <v>1</v>
      </c>
      <c r="I740">
        <v>1</v>
      </c>
      <c r="J740">
        <v>1</v>
      </c>
    </row>
    <row r="741" spans="1:10">
      <c r="A741">
        <v>740</v>
      </c>
      <c r="B741">
        <v>717255915</v>
      </c>
      <c r="C741">
        <v>100000000</v>
      </c>
      <c r="D741">
        <v>100000000</v>
      </c>
      <c r="E741">
        <v>100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>
      <c r="A742">
        <v>741</v>
      </c>
      <c r="B742">
        <v>726880568</v>
      </c>
      <c r="C742">
        <v>100000000</v>
      </c>
      <c r="D742">
        <v>100000000</v>
      </c>
      <c r="E742">
        <v>100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>
      <c r="A743">
        <v>742</v>
      </c>
      <c r="B743">
        <v>736505221</v>
      </c>
      <c r="C743">
        <v>100000000</v>
      </c>
      <c r="D743">
        <v>100000000</v>
      </c>
      <c r="E743">
        <v>100</v>
      </c>
      <c r="F743">
        <v>1</v>
      </c>
      <c r="G743">
        <v>1</v>
      </c>
      <c r="H743">
        <v>1</v>
      </c>
      <c r="I743">
        <v>1</v>
      </c>
      <c r="J743">
        <v>1</v>
      </c>
    </row>
    <row r="744" spans="1:10">
      <c r="A744">
        <v>743</v>
      </c>
      <c r="B744">
        <v>746129874</v>
      </c>
      <c r="C744">
        <v>100000000</v>
      </c>
      <c r="D744">
        <v>100000000</v>
      </c>
      <c r="E744">
        <v>100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>
      <c r="A745">
        <v>744</v>
      </c>
      <c r="B745">
        <v>755754527</v>
      </c>
      <c r="C745">
        <v>100000000</v>
      </c>
      <c r="D745">
        <v>100000000</v>
      </c>
      <c r="E745">
        <v>100</v>
      </c>
      <c r="F745">
        <v>1</v>
      </c>
      <c r="G745">
        <v>1</v>
      </c>
      <c r="H745">
        <v>1</v>
      </c>
      <c r="I745">
        <v>1</v>
      </c>
      <c r="J745">
        <v>1</v>
      </c>
    </row>
    <row r="746" spans="1:10">
      <c r="A746">
        <v>745</v>
      </c>
      <c r="B746">
        <v>765379180</v>
      </c>
      <c r="C746">
        <v>100000000</v>
      </c>
      <c r="D746">
        <v>100000000</v>
      </c>
      <c r="E746">
        <v>100</v>
      </c>
      <c r="F746">
        <v>1</v>
      </c>
      <c r="G746">
        <v>1</v>
      </c>
      <c r="H746">
        <v>1</v>
      </c>
      <c r="I746">
        <v>1</v>
      </c>
      <c r="J746">
        <v>1</v>
      </c>
    </row>
    <row r="747" spans="1:10">
      <c r="A747">
        <v>746</v>
      </c>
      <c r="B747">
        <v>775003833</v>
      </c>
      <c r="C747">
        <v>100000000</v>
      </c>
      <c r="D747">
        <v>100000000</v>
      </c>
      <c r="E747">
        <v>100</v>
      </c>
      <c r="F747">
        <v>1</v>
      </c>
      <c r="G747">
        <v>1</v>
      </c>
      <c r="H747">
        <v>1</v>
      </c>
      <c r="I747">
        <v>1</v>
      </c>
      <c r="J747">
        <v>1</v>
      </c>
    </row>
    <row r="748" spans="1:10">
      <c r="A748">
        <v>747</v>
      </c>
      <c r="B748">
        <v>784628486</v>
      </c>
      <c r="C748">
        <v>100000000</v>
      </c>
      <c r="D748">
        <v>100000000</v>
      </c>
      <c r="E748">
        <v>100</v>
      </c>
      <c r="F748">
        <v>1</v>
      </c>
      <c r="G748">
        <v>1</v>
      </c>
      <c r="H748">
        <v>1</v>
      </c>
      <c r="I748">
        <v>1</v>
      </c>
      <c r="J748">
        <v>1</v>
      </c>
    </row>
    <row r="749" spans="1:10">
      <c r="A749">
        <v>748</v>
      </c>
      <c r="B749">
        <v>794253139</v>
      </c>
      <c r="C749">
        <v>100000000</v>
      </c>
      <c r="D749">
        <v>100000000</v>
      </c>
      <c r="E749">
        <v>100</v>
      </c>
      <c r="F749">
        <v>1</v>
      </c>
      <c r="G749">
        <v>1</v>
      </c>
      <c r="H749">
        <v>1</v>
      </c>
      <c r="I749">
        <v>1</v>
      </c>
      <c r="J749">
        <v>1</v>
      </c>
    </row>
    <row r="750" spans="1:10">
      <c r="A750">
        <v>749</v>
      </c>
      <c r="B750">
        <v>803877792</v>
      </c>
      <c r="C750">
        <v>100000000</v>
      </c>
      <c r="D750">
        <v>100000000</v>
      </c>
      <c r="E750">
        <v>100</v>
      </c>
      <c r="F750">
        <v>1</v>
      </c>
      <c r="G750">
        <v>1</v>
      </c>
      <c r="H750">
        <v>1</v>
      </c>
      <c r="I750">
        <v>1</v>
      </c>
      <c r="J750">
        <v>1</v>
      </c>
    </row>
    <row r="751" spans="1:10">
      <c r="A751">
        <v>750</v>
      </c>
      <c r="B751">
        <v>813502445</v>
      </c>
      <c r="C751">
        <v>100000000</v>
      </c>
      <c r="D751">
        <v>100000000</v>
      </c>
      <c r="E751">
        <v>100</v>
      </c>
      <c r="F751">
        <v>1</v>
      </c>
      <c r="G751">
        <v>1</v>
      </c>
      <c r="H751">
        <v>1</v>
      </c>
      <c r="I751">
        <v>1</v>
      </c>
      <c r="J751">
        <v>1</v>
      </c>
    </row>
    <row r="752" spans="1:10">
      <c r="A752">
        <v>751</v>
      </c>
      <c r="B752">
        <v>823127098</v>
      </c>
      <c r="C752">
        <v>100000000</v>
      </c>
      <c r="D752">
        <v>100000000</v>
      </c>
      <c r="E752">
        <v>100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>
      <c r="A753">
        <v>752</v>
      </c>
      <c r="B753">
        <v>832751751</v>
      </c>
      <c r="C753">
        <v>100000000</v>
      </c>
      <c r="D753">
        <v>100000000</v>
      </c>
      <c r="E753">
        <v>100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>
      <c r="A754">
        <v>753</v>
      </c>
      <c r="B754">
        <v>842376404</v>
      </c>
      <c r="C754">
        <v>100000000</v>
      </c>
      <c r="D754">
        <v>100000000</v>
      </c>
      <c r="E754">
        <v>100</v>
      </c>
      <c r="F754">
        <v>1</v>
      </c>
      <c r="G754">
        <v>1</v>
      </c>
      <c r="H754">
        <v>1</v>
      </c>
      <c r="I754">
        <v>1</v>
      </c>
      <c r="J754">
        <v>1</v>
      </c>
    </row>
    <row r="755" spans="1:10">
      <c r="A755">
        <v>754</v>
      </c>
      <c r="B755">
        <v>852001057</v>
      </c>
      <c r="C755">
        <v>100000000</v>
      </c>
      <c r="D755">
        <v>100000000</v>
      </c>
      <c r="E755">
        <v>100</v>
      </c>
      <c r="F755">
        <v>1</v>
      </c>
      <c r="G755">
        <v>1</v>
      </c>
      <c r="H755">
        <v>1</v>
      </c>
      <c r="I755">
        <v>1</v>
      </c>
      <c r="J755">
        <v>1</v>
      </c>
    </row>
    <row r="756" spans="1:10">
      <c r="A756">
        <v>755</v>
      </c>
      <c r="B756">
        <v>861625710</v>
      </c>
      <c r="C756">
        <v>100000000</v>
      </c>
      <c r="D756">
        <v>100000000</v>
      </c>
      <c r="E756">
        <v>100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>
      <c r="A757">
        <v>756</v>
      </c>
      <c r="B757">
        <v>871250363</v>
      </c>
      <c r="C757">
        <v>100000000</v>
      </c>
      <c r="D757">
        <v>100000000</v>
      </c>
      <c r="E757">
        <v>100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>
      <c r="A758">
        <v>757</v>
      </c>
      <c r="B758">
        <v>880875016</v>
      </c>
      <c r="C758">
        <v>100000000</v>
      </c>
      <c r="D758">
        <v>100000000</v>
      </c>
      <c r="E758">
        <v>100</v>
      </c>
      <c r="F758">
        <v>1</v>
      </c>
      <c r="G758">
        <v>1</v>
      </c>
      <c r="H758">
        <v>1</v>
      </c>
      <c r="I758">
        <v>1</v>
      </c>
      <c r="J758">
        <v>1</v>
      </c>
    </row>
    <row r="759" spans="1:10">
      <c r="A759">
        <v>758</v>
      </c>
      <c r="B759">
        <v>890499669</v>
      </c>
      <c r="C759">
        <v>100000000</v>
      </c>
      <c r="D759">
        <v>100000000</v>
      </c>
      <c r="E759">
        <v>100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>
      <c r="A760">
        <v>759</v>
      </c>
      <c r="B760">
        <v>900124322</v>
      </c>
      <c r="C760">
        <v>100000000</v>
      </c>
      <c r="D760">
        <v>100000000</v>
      </c>
      <c r="E760">
        <v>100</v>
      </c>
      <c r="F760">
        <v>1</v>
      </c>
      <c r="G760">
        <v>1</v>
      </c>
      <c r="H760">
        <v>1</v>
      </c>
      <c r="I760">
        <v>1</v>
      </c>
      <c r="J760">
        <v>1</v>
      </c>
    </row>
    <row r="761" spans="1:10">
      <c r="A761">
        <v>760</v>
      </c>
      <c r="B761">
        <v>909748975</v>
      </c>
      <c r="C761">
        <v>100000000</v>
      </c>
      <c r="D761">
        <v>100000000</v>
      </c>
      <c r="E761">
        <v>100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>
      <c r="A762">
        <v>761</v>
      </c>
      <c r="B762">
        <v>919373628</v>
      </c>
      <c r="C762">
        <v>100000000</v>
      </c>
      <c r="D762">
        <v>100000000</v>
      </c>
      <c r="E762">
        <v>100</v>
      </c>
      <c r="F762">
        <v>1</v>
      </c>
      <c r="G762">
        <v>1</v>
      </c>
      <c r="H762">
        <v>1</v>
      </c>
      <c r="I762">
        <v>1</v>
      </c>
      <c r="J762">
        <v>1</v>
      </c>
    </row>
    <row r="763" spans="1:10">
      <c r="A763">
        <v>762</v>
      </c>
      <c r="B763">
        <v>928998281</v>
      </c>
      <c r="C763">
        <v>100000000</v>
      </c>
      <c r="D763">
        <v>100000000</v>
      </c>
      <c r="E763">
        <v>100</v>
      </c>
      <c r="F763">
        <v>1</v>
      </c>
      <c r="G763">
        <v>1</v>
      </c>
      <c r="H763">
        <v>1</v>
      </c>
      <c r="I763">
        <v>1</v>
      </c>
      <c r="J763">
        <v>1</v>
      </c>
    </row>
    <row r="764" spans="1:10">
      <c r="A764">
        <v>763</v>
      </c>
      <c r="B764">
        <v>938622934</v>
      </c>
      <c r="C764">
        <v>100000000</v>
      </c>
      <c r="D764">
        <v>100000000</v>
      </c>
      <c r="E764">
        <v>100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>
      <c r="A765">
        <v>764</v>
      </c>
      <c r="B765">
        <v>948247587</v>
      </c>
      <c r="C765">
        <v>100000000</v>
      </c>
      <c r="D765">
        <v>100000000</v>
      </c>
      <c r="E765">
        <v>100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>
      <c r="A766">
        <v>765</v>
      </c>
      <c r="B766">
        <v>957872240</v>
      </c>
      <c r="C766">
        <v>100000000</v>
      </c>
      <c r="D766">
        <v>100000000</v>
      </c>
      <c r="E766">
        <v>100</v>
      </c>
      <c r="F766">
        <v>1</v>
      </c>
      <c r="G766">
        <v>1</v>
      </c>
      <c r="H766">
        <v>1</v>
      </c>
      <c r="I766">
        <v>1</v>
      </c>
      <c r="J766">
        <v>1</v>
      </c>
    </row>
    <row r="767" spans="1:10">
      <c r="A767">
        <v>766</v>
      </c>
      <c r="B767">
        <v>967496893</v>
      </c>
      <c r="C767">
        <v>100000000</v>
      </c>
      <c r="D767">
        <v>100000000</v>
      </c>
      <c r="E767">
        <v>100</v>
      </c>
      <c r="F767">
        <v>1</v>
      </c>
      <c r="G767">
        <v>1</v>
      </c>
      <c r="H767">
        <v>1</v>
      </c>
      <c r="I767">
        <v>1</v>
      </c>
      <c r="J767">
        <v>1</v>
      </c>
    </row>
    <row r="768" spans="1:10">
      <c r="A768">
        <v>767</v>
      </c>
      <c r="B768">
        <v>977121546</v>
      </c>
      <c r="C768">
        <v>100000000</v>
      </c>
      <c r="D768">
        <v>100000000</v>
      </c>
      <c r="E768">
        <v>100</v>
      </c>
      <c r="F768">
        <v>1</v>
      </c>
      <c r="G768">
        <v>1</v>
      </c>
      <c r="H768">
        <v>1</v>
      </c>
      <c r="I768">
        <v>1</v>
      </c>
      <c r="J768">
        <v>1</v>
      </c>
    </row>
    <row r="769" spans="1:10">
      <c r="A769">
        <v>768</v>
      </c>
      <c r="B769">
        <v>986746199</v>
      </c>
      <c r="C769">
        <v>100000000</v>
      </c>
      <c r="D769">
        <v>100000000</v>
      </c>
      <c r="E769">
        <v>100</v>
      </c>
      <c r="F769">
        <v>1</v>
      </c>
      <c r="G769">
        <v>1</v>
      </c>
      <c r="H769">
        <v>1</v>
      </c>
      <c r="I769">
        <v>1</v>
      </c>
      <c r="J769">
        <v>1</v>
      </c>
    </row>
    <row r="770" spans="1:10">
      <c r="A770">
        <v>769</v>
      </c>
      <c r="B770">
        <v>996370852</v>
      </c>
      <c r="C770">
        <v>100000000</v>
      </c>
      <c r="D770">
        <v>100000000</v>
      </c>
      <c r="E770">
        <v>100</v>
      </c>
      <c r="F770">
        <v>1</v>
      </c>
      <c r="G770">
        <v>1</v>
      </c>
      <c r="H770">
        <v>1</v>
      </c>
      <c r="I770">
        <v>1</v>
      </c>
      <c r="J770">
        <v>1</v>
      </c>
    </row>
    <row r="771" spans="1:10">
      <c r="A771">
        <v>770</v>
      </c>
      <c r="B771">
        <v>100599505</v>
      </c>
      <c r="C771">
        <v>100000000</v>
      </c>
      <c r="D771">
        <v>100000000</v>
      </c>
      <c r="E771">
        <v>1000</v>
      </c>
      <c r="F771">
        <v>1</v>
      </c>
      <c r="G771">
        <v>1</v>
      </c>
      <c r="H771">
        <v>1</v>
      </c>
      <c r="I771">
        <v>1</v>
      </c>
      <c r="J771">
        <v>1</v>
      </c>
    </row>
    <row r="772" spans="1:10">
      <c r="A772">
        <v>771</v>
      </c>
      <c r="B772">
        <v>110546487</v>
      </c>
      <c r="C772">
        <v>100000000</v>
      </c>
      <c r="D772">
        <v>100000000</v>
      </c>
      <c r="E772">
        <v>1000</v>
      </c>
      <c r="F772">
        <v>1</v>
      </c>
      <c r="G772">
        <v>1</v>
      </c>
      <c r="H772">
        <v>1</v>
      </c>
      <c r="I772">
        <v>1</v>
      </c>
      <c r="J772">
        <v>1</v>
      </c>
    </row>
    <row r="773" spans="1:10">
      <c r="A773">
        <v>772</v>
      </c>
      <c r="B773">
        <v>120493469</v>
      </c>
      <c r="C773">
        <v>100000000</v>
      </c>
      <c r="D773">
        <v>100000000</v>
      </c>
      <c r="E773">
        <v>1000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>
      <c r="A774">
        <v>773</v>
      </c>
      <c r="B774">
        <v>130440451</v>
      </c>
      <c r="C774">
        <v>100000000</v>
      </c>
      <c r="D774">
        <v>100000000</v>
      </c>
      <c r="E774">
        <v>1000</v>
      </c>
      <c r="F774">
        <v>1</v>
      </c>
      <c r="G774">
        <v>1</v>
      </c>
      <c r="H774">
        <v>1</v>
      </c>
      <c r="I774">
        <v>1</v>
      </c>
      <c r="J774">
        <v>1</v>
      </c>
    </row>
    <row r="775" spans="1:10">
      <c r="A775">
        <v>774</v>
      </c>
      <c r="B775">
        <v>140387433</v>
      </c>
      <c r="C775">
        <v>100000000</v>
      </c>
      <c r="D775">
        <v>100000000</v>
      </c>
      <c r="E775">
        <v>1000</v>
      </c>
      <c r="F775">
        <v>1</v>
      </c>
      <c r="G775">
        <v>1</v>
      </c>
      <c r="H775">
        <v>1</v>
      </c>
      <c r="I775">
        <v>1</v>
      </c>
      <c r="J775">
        <v>1</v>
      </c>
    </row>
    <row r="776" spans="1:10">
      <c r="A776">
        <v>775</v>
      </c>
      <c r="B776">
        <v>150334415</v>
      </c>
      <c r="C776">
        <v>100000000</v>
      </c>
      <c r="D776">
        <v>100000000</v>
      </c>
      <c r="E776">
        <v>1000</v>
      </c>
      <c r="F776">
        <v>1</v>
      </c>
      <c r="G776">
        <v>1</v>
      </c>
      <c r="H776">
        <v>1</v>
      </c>
      <c r="I776">
        <v>1</v>
      </c>
      <c r="J776">
        <v>1</v>
      </c>
    </row>
    <row r="777" spans="1:10">
      <c r="A777">
        <v>776</v>
      </c>
      <c r="B777">
        <v>160281397</v>
      </c>
      <c r="C777">
        <v>100000000</v>
      </c>
      <c r="D777">
        <v>100000000</v>
      </c>
      <c r="E777">
        <v>1000</v>
      </c>
      <c r="F777">
        <v>1</v>
      </c>
      <c r="G777">
        <v>1</v>
      </c>
      <c r="H777">
        <v>1</v>
      </c>
      <c r="I777">
        <v>1</v>
      </c>
      <c r="J777">
        <v>1</v>
      </c>
    </row>
    <row r="778" spans="1:10">
      <c r="A778">
        <v>777</v>
      </c>
      <c r="B778">
        <v>170228379</v>
      </c>
      <c r="C778">
        <v>100000000</v>
      </c>
      <c r="D778">
        <v>100000000</v>
      </c>
      <c r="E778">
        <v>1000</v>
      </c>
      <c r="F778">
        <v>1</v>
      </c>
      <c r="G778">
        <v>1</v>
      </c>
      <c r="H778">
        <v>1</v>
      </c>
      <c r="I778">
        <v>1</v>
      </c>
      <c r="J778">
        <v>1</v>
      </c>
    </row>
    <row r="779" spans="1:10">
      <c r="A779">
        <v>778</v>
      </c>
      <c r="B779">
        <v>180175361</v>
      </c>
      <c r="C779">
        <v>100000000</v>
      </c>
      <c r="D779">
        <v>100000000</v>
      </c>
      <c r="E779">
        <v>1000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>
      <c r="A780">
        <v>779</v>
      </c>
      <c r="B780">
        <v>190122343</v>
      </c>
      <c r="C780">
        <v>100000000</v>
      </c>
      <c r="D780">
        <v>100000000</v>
      </c>
      <c r="E780">
        <v>1000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>
      <c r="A781">
        <v>780</v>
      </c>
      <c r="B781">
        <v>200069325</v>
      </c>
      <c r="C781">
        <v>100000000</v>
      </c>
      <c r="D781">
        <v>100000000</v>
      </c>
      <c r="E781">
        <v>1000</v>
      </c>
      <c r="F781">
        <v>1</v>
      </c>
      <c r="G781">
        <v>1</v>
      </c>
      <c r="H781">
        <v>1</v>
      </c>
      <c r="I781">
        <v>1</v>
      </c>
      <c r="J781">
        <v>1</v>
      </c>
    </row>
    <row r="782" spans="1:10">
      <c r="A782">
        <v>781</v>
      </c>
      <c r="B782">
        <v>210016307</v>
      </c>
      <c r="C782">
        <v>100000000</v>
      </c>
      <c r="D782">
        <v>100000000</v>
      </c>
      <c r="E782">
        <v>1000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>
      <c r="A783">
        <v>782</v>
      </c>
      <c r="B783">
        <v>219963289</v>
      </c>
      <c r="C783">
        <v>100000000</v>
      </c>
      <c r="D783">
        <v>100000000</v>
      </c>
      <c r="E783">
        <v>1000</v>
      </c>
      <c r="F783">
        <v>1</v>
      </c>
      <c r="G783">
        <v>1</v>
      </c>
      <c r="H783">
        <v>1</v>
      </c>
      <c r="I783">
        <v>1</v>
      </c>
      <c r="J783">
        <v>1</v>
      </c>
    </row>
    <row r="784" spans="1:10">
      <c r="A784">
        <v>783</v>
      </c>
      <c r="B784">
        <v>229910271</v>
      </c>
      <c r="C784">
        <v>100000000</v>
      </c>
      <c r="D784">
        <v>100000000</v>
      </c>
      <c r="E784">
        <v>1000</v>
      </c>
      <c r="F784">
        <v>1</v>
      </c>
      <c r="G784">
        <v>1</v>
      </c>
      <c r="H784">
        <v>1</v>
      </c>
      <c r="I784">
        <v>1</v>
      </c>
      <c r="J784">
        <v>1</v>
      </c>
    </row>
    <row r="785" spans="1:10">
      <c r="A785">
        <v>784</v>
      </c>
      <c r="B785">
        <v>239857253</v>
      </c>
      <c r="C785">
        <v>100000000</v>
      </c>
      <c r="D785">
        <v>100000000</v>
      </c>
      <c r="E785">
        <v>1000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>
      <c r="A786">
        <v>785</v>
      </c>
      <c r="B786">
        <v>249804235</v>
      </c>
      <c r="C786">
        <v>100000000</v>
      </c>
      <c r="D786">
        <v>100000000</v>
      </c>
      <c r="E786">
        <v>1000</v>
      </c>
      <c r="F786">
        <v>1</v>
      </c>
      <c r="G786">
        <v>1</v>
      </c>
      <c r="H786">
        <v>1</v>
      </c>
      <c r="I786">
        <v>1</v>
      </c>
      <c r="J786">
        <v>1</v>
      </c>
    </row>
    <row r="787" spans="1:10">
      <c r="A787">
        <v>786</v>
      </c>
      <c r="B787">
        <v>259751217</v>
      </c>
      <c r="C787">
        <v>100000000</v>
      </c>
      <c r="D787">
        <v>100000000</v>
      </c>
      <c r="E787">
        <v>1000</v>
      </c>
      <c r="F787">
        <v>1</v>
      </c>
      <c r="G787">
        <v>1</v>
      </c>
      <c r="H787">
        <v>1</v>
      </c>
      <c r="I787">
        <v>1</v>
      </c>
      <c r="J787">
        <v>1</v>
      </c>
    </row>
    <row r="788" spans="1:10">
      <c r="A788">
        <v>787</v>
      </c>
      <c r="B788">
        <v>269698199</v>
      </c>
      <c r="C788">
        <v>100000000</v>
      </c>
      <c r="D788">
        <v>100000000</v>
      </c>
      <c r="E788">
        <v>1000</v>
      </c>
      <c r="F788">
        <v>1</v>
      </c>
      <c r="G788">
        <v>1</v>
      </c>
      <c r="H788">
        <v>1</v>
      </c>
      <c r="I788">
        <v>1</v>
      </c>
      <c r="J788">
        <v>1</v>
      </c>
    </row>
    <row r="789" spans="1:10">
      <c r="A789">
        <v>788</v>
      </c>
      <c r="B789">
        <v>279645181</v>
      </c>
      <c r="C789">
        <v>100000000</v>
      </c>
      <c r="D789">
        <v>100000000</v>
      </c>
      <c r="E789">
        <v>1000</v>
      </c>
      <c r="F789">
        <v>1</v>
      </c>
      <c r="G789">
        <v>1</v>
      </c>
      <c r="H789">
        <v>1</v>
      </c>
      <c r="I789">
        <v>1</v>
      </c>
      <c r="J789">
        <v>1</v>
      </c>
    </row>
    <row r="790" spans="1:10">
      <c r="A790">
        <v>789</v>
      </c>
      <c r="B790">
        <v>289592163</v>
      </c>
      <c r="C790">
        <v>100000000</v>
      </c>
      <c r="D790">
        <v>100000000</v>
      </c>
      <c r="E790">
        <v>1000</v>
      </c>
      <c r="F790">
        <v>1</v>
      </c>
      <c r="G790">
        <v>1</v>
      </c>
      <c r="H790">
        <v>1</v>
      </c>
      <c r="I790">
        <v>1</v>
      </c>
      <c r="J790">
        <v>1</v>
      </c>
    </row>
    <row r="791" spans="1:10">
      <c r="A791">
        <v>790</v>
      </c>
      <c r="B791">
        <v>299539145</v>
      </c>
      <c r="C791">
        <v>100000000</v>
      </c>
      <c r="D791">
        <v>100000000</v>
      </c>
      <c r="E791">
        <v>1000</v>
      </c>
      <c r="F791">
        <v>1</v>
      </c>
      <c r="G791">
        <v>1</v>
      </c>
      <c r="H791">
        <v>1</v>
      </c>
      <c r="I791">
        <v>1</v>
      </c>
      <c r="J791">
        <v>1</v>
      </c>
    </row>
    <row r="792" spans="1:10">
      <c r="A792">
        <v>791</v>
      </c>
      <c r="B792">
        <v>309486127</v>
      </c>
      <c r="C792">
        <v>100000000</v>
      </c>
      <c r="D792">
        <v>100000000</v>
      </c>
      <c r="E792">
        <v>1000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>
      <c r="A793">
        <v>792</v>
      </c>
      <c r="B793">
        <v>319433109</v>
      </c>
      <c r="C793">
        <v>100000000</v>
      </c>
      <c r="D793">
        <v>100000000</v>
      </c>
      <c r="E793">
        <v>1000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>
      <c r="A794">
        <v>793</v>
      </c>
      <c r="B794">
        <v>329380091</v>
      </c>
      <c r="C794">
        <v>100000000</v>
      </c>
      <c r="D794">
        <v>100000000</v>
      </c>
      <c r="E794">
        <v>1000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>
      <c r="A795">
        <v>794</v>
      </c>
      <c r="B795">
        <v>339327073</v>
      </c>
      <c r="C795">
        <v>100000000</v>
      </c>
      <c r="D795">
        <v>100000000</v>
      </c>
      <c r="E795">
        <v>1000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>
      <c r="A796">
        <v>795</v>
      </c>
      <c r="B796">
        <v>349274055</v>
      </c>
      <c r="C796">
        <v>100000000</v>
      </c>
      <c r="D796">
        <v>100000000</v>
      </c>
      <c r="E796">
        <v>1000</v>
      </c>
      <c r="F796">
        <v>1</v>
      </c>
      <c r="G796">
        <v>1</v>
      </c>
      <c r="H796">
        <v>1</v>
      </c>
      <c r="I796">
        <v>1</v>
      </c>
      <c r="J796">
        <v>1</v>
      </c>
    </row>
    <row r="797" spans="1:10">
      <c r="A797">
        <v>796</v>
      </c>
      <c r="B797">
        <v>359221037</v>
      </c>
      <c r="C797">
        <v>100000000</v>
      </c>
      <c r="D797">
        <v>100000000</v>
      </c>
      <c r="E797">
        <v>1000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>
      <c r="A798">
        <v>797</v>
      </c>
      <c r="B798">
        <v>369168019</v>
      </c>
      <c r="C798">
        <v>100000000</v>
      </c>
      <c r="D798">
        <v>100000000</v>
      </c>
      <c r="E798">
        <v>1000</v>
      </c>
      <c r="F798">
        <v>1</v>
      </c>
      <c r="G798">
        <v>1</v>
      </c>
      <c r="H798">
        <v>1</v>
      </c>
      <c r="I798">
        <v>1</v>
      </c>
      <c r="J798">
        <v>1</v>
      </c>
    </row>
    <row r="799" spans="1:10">
      <c r="A799">
        <v>798</v>
      </c>
      <c r="B799">
        <v>379115001</v>
      </c>
      <c r="C799">
        <v>100000000</v>
      </c>
      <c r="D799">
        <v>100000000</v>
      </c>
      <c r="E799">
        <v>1000</v>
      </c>
      <c r="F799">
        <v>1</v>
      </c>
      <c r="G799">
        <v>1</v>
      </c>
      <c r="H799">
        <v>1</v>
      </c>
      <c r="I799">
        <v>1</v>
      </c>
      <c r="J799">
        <v>1</v>
      </c>
    </row>
    <row r="800" spans="1:10">
      <c r="A800">
        <v>799</v>
      </c>
      <c r="B800">
        <v>389061983</v>
      </c>
      <c r="C800">
        <v>100000000</v>
      </c>
      <c r="D800">
        <v>100000000</v>
      </c>
      <c r="E800">
        <v>1000</v>
      </c>
      <c r="F800">
        <v>1</v>
      </c>
      <c r="G800">
        <v>1</v>
      </c>
      <c r="H800">
        <v>1</v>
      </c>
      <c r="I800">
        <v>1</v>
      </c>
      <c r="J800">
        <v>1</v>
      </c>
    </row>
    <row r="801" spans="1:10">
      <c r="A801">
        <v>800</v>
      </c>
      <c r="B801">
        <v>399008965</v>
      </c>
      <c r="C801">
        <v>100000000</v>
      </c>
      <c r="D801">
        <v>100000000</v>
      </c>
      <c r="E801">
        <v>1000</v>
      </c>
      <c r="F801">
        <v>1</v>
      </c>
      <c r="G801">
        <v>1</v>
      </c>
      <c r="H801">
        <v>1</v>
      </c>
      <c r="I801">
        <v>1</v>
      </c>
      <c r="J801">
        <v>1</v>
      </c>
    </row>
    <row r="802" spans="1:10">
      <c r="A802">
        <v>801</v>
      </c>
      <c r="B802">
        <v>408955947</v>
      </c>
      <c r="C802">
        <v>100000000</v>
      </c>
      <c r="D802">
        <v>100000000</v>
      </c>
      <c r="E802">
        <v>1000</v>
      </c>
      <c r="F802">
        <v>1</v>
      </c>
      <c r="G802">
        <v>1</v>
      </c>
      <c r="H802">
        <v>1</v>
      </c>
      <c r="I802">
        <v>1</v>
      </c>
      <c r="J802">
        <v>1</v>
      </c>
    </row>
    <row r="803" spans="1:10">
      <c r="A803">
        <v>802</v>
      </c>
      <c r="B803">
        <v>418902929</v>
      </c>
      <c r="C803">
        <v>100000000</v>
      </c>
      <c r="D803">
        <v>100000000</v>
      </c>
      <c r="E803">
        <v>1000</v>
      </c>
      <c r="F803">
        <v>1</v>
      </c>
      <c r="G803">
        <v>1</v>
      </c>
      <c r="H803">
        <v>1</v>
      </c>
      <c r="I803">
        <v>1</v>
      </c>
      <c r="J803">
        <v>1</v>
      </c>
    </row>
    <row r="804" spans="1:10">
      <c r="A804">
        <v>803</v>
      </c>
      <c r="B804">
        <v>428849911</v>
      </c>
      <c r="C804">
        <v>100000000</v>
      </c>
      <c r="D804">
        <v>100000000</v>
      </c>
      <c r="E804">
        <v>1000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>
      <c r="A805">
        <v>804</v>
      </c>
      <c r="B805">
        <v>438796893</v>
      </c>
      <c r="C805">
        <v>100000000</v>
      </c>
      <c r="D805">
        <v>100000000</v>
      </c>
      <c r="E805">
        <v>1000</v>
      </c>
      <c r="F805">
        <v>1</v>
      </c>
      <c r="G805">
        <v>1</v>
      </c>
      <c r="H805">
        <v>1</v>
      </c>
      <c r="I805">
        <v>1</v>
      </c>
      <c r="J805">
        <v>1</v>
      </c>
    </row>
    <row r="806" spans="1:10">
      <c r="A806">
        <v>805</v>
      </c>
      <c r="B806">
        <v>448743875</v>
      </c>
      <c r="C806">
        <v>100000000</v>
      </c>
      <c r="D806">
        <v>100000000</v>
      </c>
      <c r="E806">
        <v>1000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>
      <c r="A807">
        <v>806</v>
      </c>
      <c r="B807">
        <v>458690857</v>
      </c>
      <c r="C807">
        <v>100000000</v>
      </c>
      <c r="D807">
        <v>100000000</v>
      </c>
      <c r="E807">
        <v>1000</v>
      </c>
      <c r="F807">
        <v>1</v>
      </c>
      <c r="G807">
        <v>1</v>
      </c>
      <c r="H807">
        <v>1</v>
      </c>
      <c r="I807">
        <v>1</v>
      </c>
      <c r="J807">
        <v>1</v>
      </c>
    </row>
    <row r="808" spans="1:10">
      <c r="A808">
        <v>807</v>
      </c>
      <c r="B808">
        <v>468637839</v>
      </c>
      <c r="C808">
        <v>100000000</v>
      </c>
      <c r="D808">
        <v>100000000</v>
      </c>
      <c r="E808">
        <v>1000</v>
      </c>
      <c r="F808">
        <v>1</v>
      </c>
      <c r="G808">
        <v>1</v>
      </c>
      <c r="H808">
        <v>1</v>
      </c>
      <c r="I808">
        <v>1</v>
      </c>
      <c r="J808">
        <v>1</v>
      </c>
    </row>
    <row r="809" spans="1:10">
      <c r="A809">
        <v>808</v>
      </c>
      <c r="B809">
        <v>478584821</v>
      </c>
      <c r="C809">
        <v>100000000</v>
      </c>
      <c r="D809">
        <v>100000000</v>
      </c>
      <c r="E809">
        <v>1000</v>
      </c>
      <c r="F809">
        <v>1</v>
      </c>
      <c r="G809">
        <v>1</v>
      </c>
      <c r="H809">
        <v>1</v>
      </c>
      <c r="I809">
        <v>1</v>
      </c>
      <c r="J809">
        <v>1</v>
      </c>
    </row>
    <row r="810" spans="1:10">
      <c r="A810">
        <v>809</v>
      </c>
      <c r="B810">
        <v>488531803</v>
      </c>
      <c r="C810">
        <v>100000000</v>
      </c>
      <c r="D810">
        <v>100000000</v>
      </c>
      <c r="E810">
        <v>1000</v>
      </c>
      <c r="F810">
        <v>1</v>
      </c>
      <c r="G810">
        <v>1</v>
      </c>
      <c r="H810">
        <v>1</v>
      </c>
      <c r="I810">
        <v>1</v>
      </c>
      <c r="J810">
        <v>1</v>
      </c>
    </row>
    <row r="811" spans="1:10">
      <c r="A811">
        <v>810</v>
      </c>
      <c r="B811">
        <v>498478785</v>
      </c>
      <c r="C811">
        <v>100000000</v>
      </c>
      <c r="D811">
        <v>100000000</v>
      </c>
      <c r="E811">
        <v>1000</v>
      </c>
      <c r="F811">
        <v>1</v>
      </c>
      <c r="G811">
        <v>1</v>
      </c>
      <c r="H811">
        <v>1</v>
      </c>
      <c r="I811">
        <v>1</v>
      </c>
      <c r="J811">
        <v>1</v>
      </c>
    </row>
    <row r="812" spans="1:10">
      <c r="A812">
        <v>811</v>
      </c>
      <c r="B812">
        <v>508425767</v>
      </c>
      <c r="C812">
        <v>100000000</v>
      </c>
      <c r="D812">
        <v>100000000</v>
      </c>
      <c r="E812">
        <v>1000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>
      <c r="A813">
        <v>812</v>
      </c>
      <c r="B813">
        <v>518372749</v>
      </c>
      <c r="C813">
        <v>100000000</v>
      </c>
      <c r="D813">
        <v>100000000</v>
      </c>
      <c r="E813">
        <v>1000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>
      <c r="A814">
        <v>813</v>
      </c>
      <c r="B814">
        <v>528319731</v>
      </c>
      <c r="C814">
        <v>100000000</v>
      </c>
      <c r="D814">
        <v>100000000</v>
      </c>
      <c r="E814">
        <v>1000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>
      <c r="A815">
        <v>814</v>
      </c>
      <c r="B815">
        <v>538266713</v>
      </c>
      <c r="C815">
        <v>100000000</v>
      </c>
      <c r="D815">
        <v>100000000</v>
      </c>
      <c r="E815">
        <v>1000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>
      <c r="A816">
        <v>815</v>
      </c>
      <c r="B816">
        <v>548213695</v>
      </c>
      <c r="C816">
        <v>100000000</v>
      </c>
      <c r="D816">
        <v>100000000</v>
      </c>
      <c r="E816">
        <v>1000</v>
      </c>
      <c r="F816">
        <v>1</v>
      </c>
      <c r="G816">
        <v>1</v>
      </c>
      <c r="H816">
        <v>1</v>
      </c>
      <c r="I816">
        <v>1</v>
      </c>
      <c r="J816">
        <v>1</v>
      </c>
    </row>
    <row r="817" spans="1:10">
      <c r="A817">
        <v>816</v>
      </c>
      <c r="B817">
        <v>558160677</v>
      </c>
      <c r="C817">
        <v>100000000</v>
      </c>
      <c r="D817">
        <v>100000000</v>
      </c>
      <c r="E817">
        <v>1000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>
      <c r="A818">
        <v>817</v>
      </c>
      <c r="B818">
        <v>568107659</v>
      </c>
      <c r="C818">
        <v>100000000</v>
      </c>
      <c r="D818">
        <v>100000000</v>
      </c>
      <c r="E818">
        <v>1000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>
      <c r="A819">
        <v>818</v>
      </c>
      <c r="B819">
        <v>578054641</v>
      </c>
      <c r="C819">
        <v>100000000</v>
      </c>
      <c r="D819">
        <v>100000000</v>
      </c>
      <c r="E819">
        <v>1000</v>
      </c>
      <c r="F819">
        <v>1</v>
      </c>
      <c r="G819">
        <v>1</v>
      </c>
      <c r="H819">
        <v>1</v>
      </c>
      <c r="I819">
        <v>1</v>
      </c>
      <c r="J819">
        <v>1</v>
      </c>
    </row>
    <row r="820" spans="1:10">
      <c r="A820">
        <v>819</v>
      </c>
      <c r="B820">
        <v>588001623</v>
      </c>
      <c r="C820">
        <v>100000000</v>
      </c>
      <c r="D820">
        <v>100000000</v>
      </c>
      <c r="E820">
        <v>1000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>
      <c r="A821">
        <v>820</v>
      </c>
      <c r="B821">
        <v>597948605</v>
      </c>
      <c r="C821">
        <v>100000000</v>
      </c>
      <c r="D821">
        <v>100000000</v>
      </c>
      <c r="E821">
        <v>1000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>
      <c r="A822">
        <v>821</v>
      </c>
      <c r="B822">
        <v>607895587</v>
      </c>
      <c r="C822">
        <v>100000000</v>
      </c>
      <c r="D822">
        <v>100000000</v>
      </c>
      <c r="E822">
        <v>1000</v>
      </c>
      <c r="F822">
        <v>1</v>
      </c>
      <c r="G822">
        <v>1</v>
      </c>
      <c r="H822">
        <v>1</v>
      </c>
      <c r="I822">
        <v>1</v>
      </c>
      <c r="J822">
        <v>1</v>
      </c>
    </row>
    <row r="823" spans="1:10">
      <c r="A823">
        <v>822</v>
      </c>
      <c r="B823">
        <v>617842569</v>
      </c>
      <c r="C823">
        <v>100000000</v>
      </c>
      <c r="D823">
        <v>100000000</v>
      </c>
      <c r="E823">
        <v>1000</v>
      </c>
      <c r="F823">
        <v>1</v>
      </c>
      <c r="G823">
        <v>1</v>
      </c>
      <c r="H823">
        <v>1</v>
      </c>
      <c r="I823">
        <v>1</v>
      </c>
      <c r="J823">
        <v>1</v>
      </c>
    </row>
    <row r="824" spans="1:10">
      <c r="A824">
        <v>823</v>
      </c>
      <c r="B824">
        <v>627789551</v>
      </c>
      <c r="C824">
        <v>100000000</v>
      </c>
      <c r="D824">
        <v>100000000</v>
      </c>
      <c r="E824">
        <v>1000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>
      <c r="A825">
        <v>824</v>
      </c>
      <c r="B825">
        <v>637736533</v>
      </c>
      <c r="C825">
        <v>100000000</v>
      </c>
      <c r="D825">
        <v>100000000</v>
      </c>
      <c r="E825">
        <v>1000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>
      <c r="A826">
        <v>825</v>
      </c>
      <c r="B826">
        <v>647683515</v>
      </c>
      <c r="C826">
        <v>100000000</v>
      </c>
      <c r="D826">
        <v>100000000</v>
      </c>
      <c r="E826">
        <v>1000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>
      <c r="A827">
        <v>826</v>
      </c>
      <c r="B827">
        <v>657630497</v>
      </c>
      <c r="C827">
        <v>100000000</v>
      </c>
      <c r="D827">
        <v>100000000</v>
      </c>
      <c r="E827">
        <v>1000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>
      <c r="A828">
        <v>827</v>
      </c>
      <c r="B828">
        <v>667577479</v>
      </c>
      <c r="C828">
        <v>100000000</v>
      </c>
      <c r="D828">
        <v>100000000</v>
      </c>
      <c r="E828">
        <v>1000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>
      <c r="A829">
        <v>828</v>
      </c>
      <c r="B829">
        <v>677524461</v>
      </c>
      <c r="C829">
        <v>100000000</v>
      </c>
      <c r="D829">
        <v>100000000</v>
      </c>
      <c r="E829">
        <v>1000</v>
      </c>
      <c r="F829">
        <v>1</v>
      </c>
      <c r="G829">
        <v>1</v>
      </c>
      <c r="H829">
        <v>1</v>
      </c>
      <c r="I829">
        <v>1</v>
      </c>
      <c r="J829">
        <v>1</v>
      </c>
    </row>
    <row r="830" spans="1:10">
      <c r="A830">
        <v>829</v>
      </c>
      <c r="B830">
        <v>687471443</v>
      </c>
      <c r="C830">
        <v>100000000</v>
      </c>
      <c r="D830">
        <v>100000000</v>
      </c>
      <c r="E830">
        <v>1000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>
      <c r="A831">
        <v>830</v>
      </c>
      <c r="B831">
        <v>697418425</v>
      </c>
      <c r="C831">
        <v>100000000</v>
      </c>
      <c r="D831">
        <v>100000000</v>
      </c>
      <c r="E831">
        <v>1000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>
      <c r="A832">
        <v>831</v>
      </c>
      <c r="B832">
        <v>707365407</v>
      </c>
      <c r="C832">
        <v>100000000</v>
      </c>
      <c r="D832">
        <v>100000000</v>
      </c>
      <c r="E832">
        <v>1000</v>
      </c>
      <c r="F832">
        <v>1</v>
      </c>
      <c r="G832">
        <v>1</v>
      </c>
      <c r="H832">
        <v>1</v>
      </c>
      <c r="I832">
        <v>1</v>
      </c>
      <c r="J832">
        <v>1</v>
      </c>
    </row>
    <row r="833" spans="1:10">
      <c r="A833">
        <v>832</v>
      </c>
      <c r="B833">
        <v>717312389</v>
      </c>
      <c r="C833">
        <v>100000000</v>
      </c>
      <c r="D833">
        <v>100000000</v>
      </c>
      <c r="E833">
        <v>1000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>
      <c r="A834">
        <v>833</v>
      </c>
      <c r="B834">
        <v>727259371</v>
      </c>
      <c r="C834">
        <v>100000000</v>
      </c>
      <c r="D834">
        <v>100000000</v>
      </c>
      <c r="E834">
        <v>1000</v>
      </c>
      <c r="F834">
        <v>1</v>
      </c>
      <c r="G834">
        <v>1</v>
      </c>
      <c r="H834">
        <v>1</v>
      </c>
      <c r="I834">
        <v>1</v>
      </c>
      <c r="J834">
        <v>1</v>
      </c>
    </row>
    <row r="835" spans="1:10">
      <c r="A835">
        <v>834</v>
      </c>
      <c r="B835">
        <v>737206353</v>
      </c>
      <c r="C835">
        <v>100000000</v>
      </c>
      <c r="D835">
        <v>100000000</v>
      </c>
      <c r="E835">
        <v>1000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>
      <c r="A836">
        <v>835</v>
      </c>
      <c r="B836">
        <v>747153335</v>
      </c>
      <c r="C836">
        <v>100000000</v>
      </c>
      <c r="D836">
        <v>100000000</v>
      </c>
      <c r="E836">
        <v>1000</v>
      </c>
      <c r="F836">
        <v>1</v>
      </c>
      <c r="G836">
        <v>1</v>
      </c>
      <c r="H836">
        <v>1</v>
      </c>
      <c r="I836">
        <v>1</v>
      </c>
      <c r="J836">
        <v>1</v>
      </c>
    </row>
    <row r="837" spans="1:10">
      <c r="A837">
        <v>836</v>
      </c>
      <c r="B837">
        <v>757100317</v>
      </c>
      <c r="C837">
        <v>100000000</v>
      </c>
      <c r="D837">
        <v>100000000</v>
      </c>
      <c r="E837">
        <v>1000</v>
      </c>
      <c r="F837">
        <v>1</v>
      </c>
      <c r="G837">
        <v>1</v>
      </c>
      <c r="H837">
        <v>1</v>
      </c>
      <c r="I837">
        <v>1</v>
      </c>
      <c r="J837">
        <v>1</v>
      </c>
    </row>
    <row r="838" spans="1:10">
      <c r="A838">
        <v>837</v>
      </c>
      <c r="B838">
        <v>767047299</v>
      </c>
      <c r="C838">
        <v>100000000</v>
      </c>
      <c r="D838">
        <v>100000000</v>
      </c>
      <c r="E838">
        <v>1000</v>
      </c>
      <c r="F838">
        <v>1</v>
      </c>
      <c r="G838">
        <v>1</v>
      </c>
      <c r="H838">
        <v>1</v>
      </c>
      <c r="I838">
        <v>1</v>
      </c>
      <c r="J838">
        <v>1</v>
      </c>
    </row>
    <row r="839" spans="1:10">
      <c r="A839">
        <v>838</v>
      </c>
      <c r="B839">
        <v>776994281</v>
      </c>
      <c r="C839">
        <v>100000000</v>
      </c>
      <c r="D839">
        <v>100000000</v>
      </c>
      <c r="E839">
        <v>1000</v>
      </c>
      <c r="F839">
        <v>1</v>
      </c>
      <c r="G839">
        <v>1</v>
      </c>
      <c r="H839">
        <v>1</v>
      </c>
      <c r="I839">
        <v>1</v>
      </c>
      <c r="J839">
        <v>1</v>
      </c>
    </row>
    <row r="840" spans="1:10">
      <c r="A840">
        <v>839</v>
      </c>
      <c r="B840">
        <v>786941263</v>
      </c>
      <c r="C840">
        <v>100000000</v>
      </c>
      <c r="D840">
        <v>100000000</v>
      </c>
      <c r="E840">
        <v>1000</v>
      </c>
      <c r="F840">
        <v>1</v>
      </c>
      <c r="G840">
        <v>1</v>
      </c>
      <c r="H840">
        <v>1</v>
      </c>
      <c r="I840">
        <v>1</v>
      </c>
      <c r="J840">
        <v>1</v>
      </c>
    </row>
    <row r="841" spans="1:10">
      <c r="A841">
        <v>840</v>
      </c>
      <c r="B841">
        <v>796888245</v>
      </c>
      <c r="C841">
        <v>100000000</v>
      </c>
      <c r="D841">
        <v>100000000</v>
      </c>
      <c r="E841">
        <v>1000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>
      <c r="A842">
        <v>841</v>
      </c>
      <c r="B842">
        <v>806835227</v>
      </c>
      <c r="C842">
        <v>100000000</v>
      </c>
      <c r="D842">
        <v>100000000</v>
      </c>
      <c r="E842">
        <v>1000</v>
      </c>
      <c r="F842">
        <v>1</v>
      </c>
      <c r="G842">
        <v>1</v>
      </c>
      <c r="H842">
        <v>1</v>
      </c>
      <c r="I842">
        <v>1</v>
      </c>
      <c r="J842">
        <v>1</v>
      </c>
    </row>
    <row r="843" spans="1:10">
      <c r="A843">
        <v>842</v>
      </c>
      <c r="B843">
        <v>816782209</v>
      </c>
      <c r="C843">
        <v>100000000</v>
      </c>
      <c r="D843">
        <v>100000000</v>
      </c>
      <c r="E843">
        <v>1000</v>
      </c>
      <c r="F843">
        <v>1</v>
      </c>
      <c r="G843">
        <v>1</v>
      </c>
      <c r="H843">
        <v>1</v>
      </c>
      <c r="I843">
        <v>1</v>
      </c>
      <c r="J843">
        <v>1</v>
      </c>
    </row>
    <row r="844" spans="1:10">
      <c r="A844">
        <v>843</v>
      </c>
      <c r="B844">
        <v>826729191</v>
      </c>
      <c r="C844">
        <v>100000000</v>
      </c>
      <c r="D844">
        <v>100000000</v>
      </c>
      <c r="E844">
        <v>1000</v>
      </c>
      <c r="F844">
        <v>1</v>
      </c>
      <c r="G844">
        <v>1</v>
      </c>
      <c r="H844">
        <v>1</v>
      </c>
      <c r="I844">
        <v>1</v>
      </c>
      <c r="J844">
        <v>1</v>
      </c>
    </row>
    <row r="845" spans="1:10">
      <c r="A845">
        <v>844</v>
      </c>
      <c r="B845">
        <v>836676173</v>
      </c>
      <c r="C845">
        <v>100000000</v>
      </c>
      <c r="D845">
        <v>100000000</v>
      </c>
      <c r="E845">
        <v>1000</v>
      </c>
      <c r="F845">
        <v>1</v>
      </c>
      <c r="G845">
        <v>1</v>
      </c>
      <c r="H845">
        <v>1</v>
      </c>
      <c r="I845">
        <v>1</v>
      </c>
      <c r="J845">
        <v>1</v>
      </c>
    </row>
    <row r="846" spans="1:10">
      <c r="A846">
        <v>845</v>
      </c>
      <c r="B846">
        <v>846623155</v>
      </c>
      <c r="C846">
        <v>100000000</v>
      </c>
      <c r="D846">
        <v>100000000</v>
      </c>
      <c r="E846">
        <v>1000</v>
      </c>
      <c r="F846">
        <v>1</v>
      </c>
      <c r="G846">
        <v>1</v>
      </c>
      <c r="H846">
        <v>1</v>
      </c>
      <c r="I846">
        <v>1</v>
      </c>
      <c r="J846">
        <v>1</v>
      </c>
    </row>
    <row r="847" spans="1:10">
      <c r="A847">
        <v>846</v>
      </c>
      <c r="B847">
        <v>856570137</v>
      </c>
      <c r="C847">
        <v>100000000</v>
      </c>
      <c r="D847">
        <v>100000000</v>
      </c>
      <c r="E847">
        <v>1000</v>
      </c>
      <c r="F847">
        <v>1</v>
      </c>
      <c r="G847">
        <v>1</v>
      </c>
      <c r="H847">
        <v>1</v>
      </c>
      <c r="I847">
        <v>1</v>
      </c>
      <c r="J847">
        <v>1</v>
      </c>
    </row>
    <row r="848" spans="1:10">
      <c r="A848">
        <v>847</v>
      </c>
      <c r="B848">
        <v>866517119</v>
      </c>
      <c r="C848">
        <v>100000000</v>
      </c>
      <c r="D848">
        <v>100000000</v>
      </c>
      <c r="E848">
        <v>1000</v>
      </c>
      <c r="F848">
        <v>1</v>
      </c>
      <c r="G848">
        <v>1</v>
      </c>
      <c r="H848">
        <v>1</v>
      </c>
      <c r="I848">
        <v>1</v>
      </c>
      <c r="J848">
        <v>1</v>
      </c>
    </row>
    <row r="849" spans="1:10">
      <c r="A849">
        <v>848</v>
      </c>
      <c r="B849">
        <v>876464101</v>
      </c>
      <c r="C849">
        <v>100000000</v>
      </c>
      <c r="D849">
        <v>100000000</v>
      </c>
      <c r="E849">
        <v>1000</v>
      </c>
      <c r="F849">
        <v>1</v>
      </c>
      <c r="G849">
        <v>1</v>
      </c>
      <c r="H849">
        <v>1</v>
      </c>
      <c r="I849">
        <v>1</v>
      </c>
      <c r="J849">
        <v>1</v>
      </c>
    </row>
    <row r="850" spans="1:10">
      <c r="A850">
        <v>849</v>
      </c>
      <c r="B850">
        <v>886411083</v>
      </c>
      <c r="C850">
        <v>100000000</v>
      </c>
      <c r="D850">
        <v>100000000</v>
      </c>
      <c r="E850">
        <v>1000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>
      <c r="A851">
        <v>850</v>
      </c>
      <c r="B851">
        <v>896358065</v>
      </c>
      <c r="C851">
        <v>100000000</v>
      </c>
      <c r="D851">
        <v>100000000</v>
      </c>
      <c r="E851">
        <v>1000</v>
      </c>
      <c r="F851">
        <v>1</v>
      </c>
      <c r="G851">
        <v>1</v>
      </c>
      <c r="H851">
        <v>1</v>
      </c>
      <c r="I851">
        <v>1</v>
      </c>
      <c r="J851">
        <v>1</v>
      </c>
    </row>
    <row r="852" spans="1:10">
      <c r="A852">
        <v>851</v>
      </c>
      <c r="B852">
        <v>906305047</v>
      </c>
      <c r="C852">
        <v>100000000</v>
      </c>
      <c r="D852">
        <v>100000000</v>
      </c>
      <c r="E852">
        <v>1000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>
      <c r="A853">
        <v>852</v>
      </c>
      <c r="B853">
        <v>916252029</v>
      </c>
      <c r="C853">
        <v>100000000</v>
      </c>
      <c r="D853">
        <v>100000000</v>
      </c>
      <c r="E853">
        <v>1000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>
      <c r="A854">
        <v>853</v>
      </c>
      <c r="B854">
        <v>926199011</v>
      </c>
      <c r="C854">
        <v>100000000</v>
      </c>
      <c r="D854">
        <v>100000000</v>
      </c>
      <c r="E854">
        <v>1000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>
      <c r="A855">
        <v>854</v>
      </c>
      <c r="B855">
        <v>936145993</v>
      </c>
      <c r="C855">
        <v>100000000</v>
      </c>
      <c r="D855">
        <v>100000000</v>
      </c>
      <c r="E855">
        <v>1000</v>
      </c>
      <c r="F855">
        <v>1</v>
      </c>
      <c r="G855">
        <v>1</v>
      </c>
      <c r="H855">
        <v>1</v>
      </c>
      <c r="I855">
        <v>1</v>
      </c>
      <c r="J855">
        <v>1</v>
      </c>
    </row>
    <row r="856" spans="1:10">
      <c r="A856">
        <v>855</v>
      </c>
      <c r="B856">
        <v>946092975</v>
      </c>
      <c r="C856">
        <v>100000000</v>
      </c>
      <c r="D856">
        <v>100000000</v>
      </c>
      <c r="E856">
        <v>1000</v>
      </c>
      <c r="F856">
        <v>1</v>
      </c>
      <c r="G856">
        <v>1</v>
      </c>
      <c r="H856">
        <v>1</v>
      </c>
      <c r="I856">
        <v>1</v>
      </c>
      <c r="J856">
        <v>1</v>
      </c>
    </row>
    <row r="857" spans="1:10">
      <c r="A857">
        <v>856</v>
      </c>
      <c r="B857">
        <v>956039957</v>
      </c>
      <c r="C857">
        <v>100000000</v>
      </c>
      <c r="D857">
        <v>100000000</v>
      </c>
      <c r="E857">
        <v>1000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>
      <c r="A858">
        <v>857</v>
      </c>
      <c r="B858">
        <v>965986939</v>
      </c>
      <c r="C858">
        <v>100000000</v>
      </c>
      <c r="D858">
        <v>100000000</v>
      </c>
      <c r="E858">
        <v>1000</v>
      </c>
      <c r="F858">
        <v>1</v>
      </c>
      <c r="G858">
        <v>1</v>
      </c>
      <c r="H858">
        <v>1</v>
      </c>
      <c r="I858">
        <v>1</v>
      </c>
      <c r="J858">
        <v>1</v>
      </c>
    </row>
    <row r="859" spans="1:10">
      <c r="A859">
        <v>858</v>
      </c>
      <c r="B859">
        <v>975933921</v>
      </c>
      <c r="C859">
        <v>100000000</v>
      </c>
      <c r="D859">
        <v>100000000</v>
      </c>
      <c r="E859">
        <v>1000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>
      <c r="A860">
        <v>859</v>
      </c>
      <c r="B860">
        <v>985880903</v>
      </c>
      <c r="C860">
        <v>100000000</v>
      </c>
      <c r="D860">
        <v>100000000</v>
      </c>
      <c r="E860">
        <v>1000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>
      <c r="A861">
        <v>860</v>
      </c>
      <c r="B861">
        <v>995827885</v>
      </c>
      <c r="C861">
        <v>100000000</v>
      </c>
      <c r="D861">
        <v>100000000</v>
      </c>
      <c r="E861">
        <v>1000</v>
      </c>
      <c r="F861">
        <v>1</v>
      </c>
      <c r="G861">
        <v>1</v>
      </c>
      <c r="H861">
        <v>1</v>
      </c>
      <c r="I861">
        <v>1</v>
      </c>
      <c r="J861">
        <v>1</v>
      </c>
    </row>
    <row r="862" spans="1:10">
      <c r="A862">
        <v>861</v>
      </c>
      <c r="B862">
        <v>100577867</v>
      </c>
      <c r="C862">
        <v>100000000</v>
      </c>
      <c r="D862">
        <v>100000000</v>
      </c>
      <c r="E862">
        <v>10000</v>
      </c>
      <c r="F862">
        <v>1</v>
      </c>
      <c r="G862">
        <v>1</v>
      </c>
      <c r="H862">
        <v>1</v>
      </c>
      <c r="I862">
        <v>1</v>
      </c>
      <c r="J862">
        <v>1</v>
      </c>
    </row>
    <row r="863" spans="1:10">
      <c r="A863">
        <v>862</v>
      </c>
      <c r="B863">
        <v>111234698</v>
      </c>
      <c r="C863">
        <v>100000000</v>
      </c>
      <c r="D863">
        <v>100000000</v>
      </c>
      <c r="E863">
        <v>10000</v>
      </c>
      <c r="F863">
        <v>1</v>
      </c>
      <c r="G863">
        <v>1</v>
      </c>
      <c r="H863">
        <v>1</v>
      </c>
      <c r="I863">
        <v>1</v>
      </c>
      <c r="J863">
        <v>1</v>
      </c>
    </row>
    <row r="864" spans="1:10">
      <c r="A864">
        <v>863</v>
      </c>
      <c r="B864">
        <v>121891529</v>
      </c>
      <c r="C864">
        <v>100000000</v>
      </c>
      <c r="D864">
        <v>100000000</v>
      </c>
      <c r="E864">
        <v>10000</v>
      </c>
      <c r="F864">
        <v>1</v>
      </c>
      <c r="G864">
        <v>1</v>
      </c>
      <c r="H864">
        <v>1</v>
      </c>
      <c r="I864">
        <v>1</v>
      </c>
      <c r="J864">
        <v>1</v>
      </c>
    </row>
    <row r="865" spans="1:10">
      <c r="A865">
        <v>864</v>
      </c>
      <c r="B865">
        <v>132548360</v>
      </c>
      <c r="C865">
        <v>100000000</v>
      </c>
      <c r="D865">
        <v>100000000</v>
      </c>
      <c r="E865">
        <v>10000</v>
      </c>
      <c r="F865">
        <v>1</v>
      </c>
      <c r="G865">
        <v>1</v>
      </c>
      <c r="H865">
        <v>1</v>
      </c>
      <c r="I865">
        <v>1</v>
      </c>
      <c r="J865">
        <v>1</v>
      </c>
    </row>
    <row r="866" spans="1:10">
      <c r="A866">
        <v>865</v>
      </c>
      <c r="B866">
        <v>143205191</v>
      </c>
      <c r="C866">
        <v>100000000</v>
      </c>
      <c r="D866">
        <v>100000000</v>
      </c>
      <c r="E866">
        <v>10000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>
      <c r="A867">
        <v>866</v>
      </c>
      <c r="B867">
        <v>153862022</v>
      </c>
      <c r="C867">
        <v>100000000</v>
      </c>
      <c r="D867">
        <v>100000000</v>
      </c>
      <c r="E867">
        <v>10000</v>
      </c>
      <c r="F867">
        <v>1</v>
      </c>
      <c r="G867">
        <v>1</v>
      </c>
      <c r="H867">
        <v>1</v>
      </c>
      <c r="I867">
        <v>1</v>
      </c>
      <c r="J867">
        <v>1</v>
      </c>
    </row>
    <row r="868" spans="1:10">
      <c r="A868">
        <v>867</v>
      </c>
      <c r="B868">
        <v>164518853</v>
      </c>
      <c r="C868">
        <v>100000000</v>
      </c>
      <c r="D868">
        <v>100000000</v>
      </c>
      <c r="E868">
        <v>10000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>
      <c r="A869">
        <v>868</v>
      </c>
      <c r="B869">
        <v>175175684</v>
      </c>
      <c r="C869">
        <v>100000000</v>
      </c>
      <c r="D869">
        <v>100000000</v>
      </c>
      <c r="E869">
        <v>10000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>
      <c r="A870">
        <v>869</v>
      </c>
      <c r="B870">
        <v>185832515</v>
      </c>
      <c r="C870">
        <v>100000000</v>
      </c>
      <c r="D870">
        <v>100000000</v>
      </c>
      <c r="E870">
        <v>10000</v>
      </c>
      <c r="F870">
        <v>1</v>
      </c>
      <c r="G870">
        <v>1</v>
      </c>
      <c r="H870">
        <v>1</v>
      </c>
      <c r="I870">
        <v>1</v>
      </c>
      <c r="J870">
        <v>1</v>
      </c>
    </row>
    <row r="871" spans="1:10">
      <c r="A871">
        <v>870</v>
      </c>
      <c r="B871">
        <v>196489346</v>
      </c>
      <c r="C871">
        <v>100000000</v>
      </c>
      <c r="D871">
        <v>100000000</v>
      </c>
      <c r="E871">
        <v>10000</v>
      </c>
      <c r="F871">
        <v>1</v>
      </c>
      <c r="G871">
        <v>1</v>
      </c>
      <c r="H871">
        <v>1</v>
      </c>
      <c r="I871">
        <v>1</v>
      </c>
      <c r="J871">
        <v>1</v>
      </c>
    </row>
    <row r="872" spans="1:10">
      <c r="A872">
        <v>871</v>
      </c>
      <c r="B872">
        <v>207146177</v>
      </c>
      <c r="C872">
        <v>100000000</v>
      </c>
      <c r="D872">
        <v>100000000</v>
      </c>
      <c r="E872">
        <v>10000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>
      <c r="A873">
        <v>872</v>
      </c>
      <c r="B873">
        <v>217803008</v>
      </c>
      <c r="C873">
        <v>100000000</v>
      </c>
      <c r="D873">
        <v>100000000</v>
      </c>
      <c r="E873">
        <v>10000</v>
      </c>
      <c r="F873">
        <v>1</v>
      </c>
      <c r="G873">
        <v>1</v>
      </c>
      <c r="H873">
        <v>1</v>
      </c>
      <c r="I873">
        <v>1</v>
      </c>
      <c r="J873">
        <v>1</v>
      </c>
    </row>
    <row r="874" spans="1:10">
      <c r="A874">
        <v>873</v>
      </c>
      <c r="B874">
        <v>228459839</v>
      </c>
      <c r="C874">
        <v>100000000</v>
      </c>
      <c r="D874">
        <v>100000000</v>
      </c>
      <c r="E874">
        <v>10000</v>
      </c>
      <c r="F874">
        <v>1</v>
      </c>
      <c r="G874">
        <v>1</v>
      </c>
      <c r="H874">
        <v>1</v>
      </c>
      <c r="I874">
        <v>1</v>
      </c>
      <c r="J874">
        <v>1</v>
      </c>
    </row>
    <row r="875" spans="1:10">
      <c r="A875">
        <v>874</v>
      </c>
      <c r="B875">
        <v>239116670</v>
      </c>
      <c r="C875">
        <v>100000000</v>
      </c>
      <c r="D875">
        <v>100000000</v>
      </c>
      <c r="E875">
        <v>10000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>
      <c r="A876">
        <v>875</v>
      </c>
      <c r="B876">
        <v>249773501</v>
      </c>
      <c r="C876">
        <v>100000000</v>
      </c>
      <c r="D876">
        <v>100000000</v>
      </c>
      <c r="E876">
        <v>10000</v>
      </c>
      <c r="F876">
        <v>1</v>
      </c>
      <c r="G876">
        <v>1</v>
      </c>
      <c r="H876">
        <v>1</v>
      </c>
      <c r="I876">
        <v>1</v>
      </c>
      <c r="J876">
        <v>1</v>
      </c>
    </row>
    <row r="877" spans="1:10">
      <c r="A877">
        <v>876</v>
      </c>
      <c r="B877">
        <v>260430332</v>
      </c>
      <c r="C877">
        <v>100000000</v>
      </c>
      <c r="D877">
        <v>100000000</v>
      </c>
      <c r="E877">
        <v>10000</v>
      </c>
      <c r="F877">
        <v>1</v>
      </c>
      <c r="G877">
        <v>1</v>
      </c>
      <c r="H877">
        <v>1</v>
      </c>
      <c r="I877">
        <v>1</v>
      </c>
      <c r="J877">
        <v>1</v>
      </c>
    </row>
    <row r="878" spans="1:10">
      <c r="A878">
        <v>877</v>
      </c>
      <c r="B878">
        <v>271087163</v>
      </c>
      <c r="C878">
        <v>100000000</v>
      </c>
      <c r="D878">
        <v>100000000</v>
      </c>
      <c r="E878">
        <v>10000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>
      <c r="A879">
        <v>878</v>
      </c>
      <c r="B879">
        <v>281743994</v>
      </c>
      <c r="C879">
        <v>100000000</v>
      </c>
      <c r="D879">
        <v>100000000</v>
      </c>
      <c r="E879">
        <v>10000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>
      <c r="A880">
        <v>879</v>
      </c>
      <c r="B880">
        <v>292400825</v>
      </c>
      <c r="C880">
        <v>100000000</v>
      </c>
      <c r="D880">
        <v>100000000</v>
      </c>
      <c r="E880">
        <v>10000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>
      <c r="A881">
        <v>880</v>
      </c>
      <c r="B881">
        <v>303057656</v>
      </c>
      <c r="C881">
        <v>100000000</v>
      </c>
      <c r="D881">
        <v>100000000</v>
      </c>
      <c r="E881">
        <v>10000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>
      <c r="A882">
        <v>881</v>
      </c>
      <c r="B882">
        <v>313714487</v>
      </c>
      <c r="C882">
        <v>100000000</v>
      </c>
      <c r="D882">
        <v>100000000</v>
      </c>
      <c r="E882">
        <v>10000</v>
      </c>
      <c r="F882">
        <v>1</v>
      </c>
      <c r="G882">
        <v>1</v>
      </c>
      <c r="H882">
        <v>1</v>
      </c>
      <c r="I882">
        <v>1</v>
      </c>
      <c r="J882">
        <v>1</v>
      </c>
    </row>
    <row r="883" spans="1:10">
      <c r="A883">
        <v>882</v>
      </c>
      <c r="B883">
        <v>324371318</v>
      </c>
      <c r="C883">
        <v>100000000</v>
      </c>
      <c r="D883">
        <v>100000000</v>
      </c>
      <c r="E883">
        <v>10000</v>
      </c>
      <c r="F883">
        <v>1</v>
      </c>
      <c r="G883">
        <v>1</v>
      </c>
      <c r="H883">
        <v>1</v>
      </c>
      <c r="I883">
        <v>1</v>
      </c>
      <c r="J883">
        <v>1</v>
      </c>
    </row>
    <row r="884" spans="1:10">
      <c r="A884">
        <v>883</v>
      </c>
      <c r="B884">
        <v>335028149</v>
      </c>
      <c r="C884">
        <v>100000000</v>
      </c>
      <c r="D884">
        <v>100000000</v>
      </c>
      <c r="E884">
        <v>10000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>
      <c r="A885">
        <v>884</v>
      </c>
      <c r="B885">
        <v>345684980</v>
      </c>
      <c r="C885">
        <v>100000000</v>
      </c>
      <c r="D885">
        <v>100000000</v>
      </c>
      <c r="E885">
        <v>10000</v>
      </c>
      <c r="F885">
        <v>1</v>
      </c>
      <c r="G885">
        <v>1</v>
      </c>
      <c r="H885">
        <v>1</v>
      </c>
      <c r="I885">
        <v>1</v>
      </c>
      <c r="J885">
        <v>1</v>
      </c>
    </row>
    <row r="886" spans="1:10">
      <c r="A886">
        <v>885</v>
      </c>
      <c r="B886">
        <v>356341811</v>
      </c>
      <c r="C886">
        <v>100000000</v>
      </c>
      <c r="D886">
        <v>100000000</v>
      </c>
      <c r="E886">
        <v>10000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>
      <c r="A887">
        <v>886</v>
      </c>
      <c r="B887">
        <v>366998642</v>
      </c>
      <c r="C887">
        <v>100000000</v>
      </c>
      <c r="D887">
        <v>100000000</v>
      </c>
      <c r="E887">
        <v>10000</v>
      </c>
      <c r="F887">
        <v>1</v>
      </c>
      <c r="G887">
        <v>1</v>
      </c>
      <c r="H887">
        <v>1</v>
      </c>
      <c r="I887">
        <v>1</v>
      </c>
      <c r="J887">
        <v>1</v>
      </c>
    </row>
    <row r="888" spans="1:10">
      <c r="A888">
        <v>887</v>
      </c>
      <c r="B888">
        <v>377655473</v>
      </c>
      <c r="C888">
        <v>100000000</v>
      </c>
      <c r="D888">
        <v>100000000</v>
      </c>
      <c r="E888">
        <v>10000</v>
      </c>
      <c r="F888">
        <v>1</v>
      </c>
      <c r="G888">
        <v>1</v>
      </c>
      <c r="H888">
        <v>1</v>
      </c>
      <c r="I888">
        <v>1</v>
      </c>
      <c r="J888">
        <v>1</v>
      </c>
    </row>
    <row r="889" spans="1:10">
      <c r="A889">
        <v>888</v>
      </c>
      <c r="B889">
        <v>388312304</v>
      </c>
      <c r="C889">
        <v>100000000</v>
      </c>
      <c r="D889">
        <v>100000000</v>
      </c>
      <c r="E889">
        <v>10000</v>
      </c>
      <c r="F889">
        <v>1</v>
      </c>
      <c r="G889">
        <v>1</v>
      </c>
      <c r="H889">
        <v>1</v>
      </c>
      <c r="I889">
        <v>1</v>
      </c>
      <c r="J889">
        <v>1</v>
      </c>
    </row>
    <row r="890" spans="1:10">
      <c r="A890">
        <v>889</v>
      </c>
      <c r="B890">
        <v>398969135</v>
      </c>
      <c r="C890">
        <v>100000000</v>
      </c>
      <c r="D890">
        <v>100000000</v>
      </c>
      <c r="E890">
        <v>10000</v>
      </c>
      <c r="F890">
        <v>1</v>
      </c>
      <c r="G890">
        <v>1</v>
      </c>
      <c r="H890">
        <v>1</v>
      </c>
      <c r="I890">
        <v>1</v>
      </c>
      <c r="J890">
        <v>1</v>
      </c>
    </row>
    <row r="891" spans="1:10">
      <c r="A891">
        <v>890</v>
      </c>
      <c r="B891">
        <v>409625966</v>
      </c>
      <c r="C891">
        <v>100000000</v>
      </c>
      <c r="D891">
        <v>100000000</v>
      </c>
      <c r="E891">
        <v>10000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>
      <c r="A892">
        <v>891</v>
      </c>
      <c r="B892">
        <v>420282797</v>
      </c>
      <c r="C892">
        <v>100000000</v>
      </c>
      <c r="D892">
        <v>100000000</v>
      </c>
      <c r="E892">
        <v>10000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>
      <c r="A893">
        <v>892</v>
      </c>
      <c r="B893">
        <v>430939628</v>
      </c>
      <c r="C893">
        <v>100000000</v>
      </c>
      <c r="D893">
        <v>100000000</v>
      </c>
      <c r="E893">
        <v>10000</v>
      </c>
      <c r="F893">
        <v>1</v>
      </c>
      <c r="G893">
        <v>1</v>
      </c>
      <c r="H893">
        <v>1</v>
      </c>
      <c r="I893">
        <v>1</v>
      </c>
      <c r="J893">
        <v>1</v>
      </c>
    </row>
    <row r="894" spans="1:10">
      <c r="A894">
        <v>893</v>
      </c>
      <c r="B894">
        <v>441596459</v>
      </c>
      <c r="C894">
        <v>100000000</v>
      </c>
      <c r="D894">
        <v>100000000</v>
      </c>
      <c r="E894">
        <v>10000</v>
      </c>
      <c r="F894">
        <v>1</v>
      </c>
      <c r="G894">
        <v>1</v>
      </c>
      <c r="H894">
        <v>1</v>
      </c>
      <c r="I894">
        <v>1</v>
      </c>
      <c r="J894">
        <v>1</v>
      </c>
    </row>
    <row r="895" spans="1:10">
      <c r="A895">
        <v>894</v>
      </c>
      <c r="B895">
        <v>452253290</v>
      </c>
      <c r="C895">
        <v>100000000</v>
      </c>
      <c r="D895">
        <v>100000000</v>
      </c>
      <c r="E895">
        <v>10000</v>
      </c>
      <c r="F895">
        <v>1</v>
      </c>
      <c r="G895">
        <v>1</v>
      </c>
      <c r="H895">
        <v>1</v>
      </c>
      <c r="I895">
        <v>1</v>
      </c>
      <c r="J895">
        <v>1</v>
      </c>
    </row>
    <row r="896" spans="1:10">
      <c r="A896">
        <v>895</v>
      </c>
      <c r="B896">
        <v>462910121</v>
      </c>
      <c r="C896">
        <v>100000000</v>
      </c>
      <c r="D896">
        <v>100000000</v>
      </c>
      <c r="E896">
        <v>10000</v>
      </c>
      <c r="F896">
        <v>1</v>
      </c>
      <c r="G896">
        <v>1</v>
      </c>
      <c r="H896">
        <v>1</v>
      </c>
      <c r="I896">
        <v>1</v>
      </c>
      <c r="J896">
        <v>1</v>
      </c>
    </row>
    <row r="897" spans="1:10">
      <c r="A897">
        <v>896</v>
      </c>
      <c r="B897">
        <v>473566952</v>
      </c>
      <c r="C897">
        <v>100000000</v>
      </c>
      <c r="D897">
        <v>100000000</v>
      </c>
      <c r="E897">
        <v>10000</v>
      </c>
      <c r="F897">
        <v>1</v>
      </c>
      <c r="G897">
        <v>1</v>
      </c>
      <c r="H897">
        <v>1</v>
      </c>
      <c r="I897">
        <v>1</v>
      </c>
      <c r="J897">
        <v>1</v>
      </c>
    </row>
    <row r="898" spans="1:10">
      <c r="A898">
        <v>897</v>
      </c>
      <c r="B898">
        <v>484223783</v>
      </c>
      <c r="C898">
        <v>100000000</v>
      </c>
      <c r="D898">
        <v>100000000</v>
      </c>
      <c r="E898">
        <v>10000</v>
      </c>
      <c r="F898">
        <v>1</v>
      </c>
      <c r="G898">
        <v>1</v>
      </c>
      <c r="H898">
        <v>1</v>
      </c>
      <c r="I898">
        <v>1</v>
      </c>
      <c r="J898">
        <v>1</v>
      </c>
    </row>
    <row r="899" spans="1:10">
      <c r="A899">
        <v>898</v>
      </c>
      <c r="B899">
        <v>494880614</v>
      </c>
      <c r="C899">
        <v>100000000</v>
      </c>
      <c r="D899">
        <v>100000000</v>
      </c>
      <c r="E899">
        <v>10000</v>
      </c>
      <c r="F899">
        <v>1</v>
      </c>
      <c r="G899">
        <v>1</v>
      </c>
      <c r="H899">
        <v>1</v>
      </c>
      <c r="I899">
        <v>1</v>
      </c>
      <c r="J899">
        <v>1</v>
      </c>
    </row>
    <row r="900" spans="1:10">
      <c r="A900">
        <v>899</v>
      </c>
      <c r="B900">
        <v>505537445</v>
      </c>
      <c r="C900">
        <v>100000000</v>
      </c>
      <c r="D900">
        <v>100000000</v>
      </c>
      <c r="E900">
        <v>10000</v>
      </c>
      <c r="F900">
        <v>1</v>
      </c>
      <c r="G900">
        <v>1</v>
      </c>
      <c r="H900">
        <v>1</v>
      </c>
      <c r="I900">
        <v>1</v>
      </c>
      <c r="J900">
        <v>1</v>
      </c>
    </row>
    <row r="901" spans="1:10">
      <c r="A901">
        <v>900</v>
      </c>
      <c r="B901">
        <v>516194276</v>
      </c>
      <c r="C901">
        <v>100000000</v>
      </c>
      <c r="D901">
        <v>100000000</v>
      </c>
      <c r="E901">
        <v>10000</v>
      </c>
      <c r="F901">
        <v>1</v>
      </c>
      <c r="G901">
        <v>1</v>
      </c>
      <c r="H901">
        <v>1</v>
      </c>
      <c r="I901">
        <v>1</v>
      </c>
      <c r="J901">
        <v>1</v>
      </c>
    </row>
    <row r="902" spans="1:10">
      <c r="A902">
        <v>901</v>
      </c>
      <c r="B902">
        <v>526851107</v>
      </c>
      <c r="C902">
        <v>100000000</v>
      </c>
      <c r="D902">
        <v>100000000</v>
      </c>
      <c r="E902">
        <v>10000</v>
      </c>
      <c r="F902">
        <v>1</v>
      </c>
      <c r="G902">
        <v>1</v>
      </c>
      <c r="H902">
        <v>1</v>
      </c>
      <c r="I902">
        <v>1</v>
      </c>
      <c r="J902">
        <v>1</v>
      </c>
    </row>
    <row r="903" spans="1:10">
      <c r="A903">
        <v>902</v>
      </c>
      <c r="B903">
        <v>537507938</v>
      </c>
      <c r="C903">
        <v>100000000</v>
      </c>
      <c r="D903">
        <v>100000000</v>
      </c>
      <c r="E903">
        <v>10000</v>
      </c>
      <c r="F903">
        <v>1</v>
      </c>
      <c r="G903">
        <v>1</v>
      </c>
      <c r="H903">
        <v>1</v>
      </c>
      <c r="I903">
        <v>1</v>
      </c>
      <c r="J903">
        <v>1</v>
      </c>
    </row>
    <row r="904" spans="1:10">
      <c r="A904">
        <v>903</v>
      </c>
      <c r="B904">
        <v>548164769</v>
      </c>
      <c r="C904">
        <v>100000000</v>
      </c>
      <c r="D904">
        <v>100000000</v>
      </c>
      <c r="E904">
        <v>10000</v>
      </c>
      <c r="F904">
        <v>1</v>
      </c>
      <c r="G904">
        <v>1</v>
      </c>
      <c r="H904">
        <v>1</v>
      </c>
      <c r="I904">
        <v>1</v>
      </c>
      <c r="J904">
        <v>1</v>
      </c>
    </row>
    <row r="905" spans="1:10">
      <c r="A905">
        <v>904</v>
      </c>
      <c r="B905">
        <v>558821600</v>
      </c>
      <c r="C905">
        <v>100000000</v>
      </c>
      <c r="D905">
        <v>100000000</v>
      </c>
      <c r="E905">
        <v>10000</v>
      </c>
      <c r="F905">
        <v>1</v>
      </c>
      <c r="G905">
        <v>1</v>
      </c>
      <c r="H905">
        <v>1</v>
      </c>
      <c r="I905">
        <v>1</v>
      </c>
      <c r="J905">
        <v>1</v>
      </c>
    </row>
    <row r="906" spans="1:10">
      <c r="A906">
        <v>905</v>
      </c>
      <c r="B906">
        <v>569478431</v>
      </c>
      <c r="C906">
        <v>100000000</v>
      </c>
      <c r="D906">
        <v>100000000</v>
      </c>
      <c r="E906">
        <v>10000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>
      <c r="A907">
        <v>906</v>
      </c>
      <c r="B907">
        <v>580135262</v>
      </c>
      <c r="C907">
        <v>100000000</v>
      </c>
      <c r="D907">
        <v>100000000</v>
      </c>
      <c r="E907">
        <v>10000</v>
      </c>
      <c r="F907">
        <v>1</v>
      </c>
      <c r="G907">
        <v>1</v>
      </c>
      <c r="H907">
        <v>1</v>
      </c>
      <c r="I907">
        <v>1</v>
      </c>
      <c r="J907">
        <v>1</v>
      </c>
    </row>
    <row r="908" spans="1:10">
      <c r="A908">
        <v>907</v>
      </c>
      <c r="B908">
        <v>590792093</v>
      </c>
      <c r="C908">
        <v>100000000</v>
      </c>
      <c r="D908">
        <v>100000000</v>
      </c>
      <c r="E908">
        <v>10000</v>
      </c>
      <c r="F908">
        <v>1</v>
      </c>
      <c r="G908">
        <v>1</v>
      </c>
      <c r="H908">
        <v>1</v>
      </c>
      <c r="I908">
        <v>1</v>
      </c>
      <c r="J908">
        <v>1</v>
      </c>
    </row>
    <row r="909" spans="1:10">
      <c r="A909">
        <v>908</v>
      </c>
      <c r="B909">
        <v>601448924</v>
      </c>
      <c r="C909">
        <v>100000000</v>
      </c>
      <c r="D909">
        <v>100000000</v>
      </c>
      <c r="E909">
        <v>10000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>
      <c r="A910">
        <v>909</v>
      </c>
      <c r="B910">
        <v>612105755</v>
      </c>
      <c r="C910">
        <v>100000000</v>
      </c>
      <c r="D910">
        <v>100000000</v>
      </c>
      <c r="E910">
        <v>10000</v>
      </c>
      <c r="F910">
        <v>1</v>
      </c>
      <c r="G910">
        <v>1</v>
      </c>
      <c r="H910">
        <v>1</v>
      </c>
      <c r="I910">
        <v>1</v>
      </c>
      <c r="J910">
        <v>1</v>
      </c>
    </row>
    <row r="911" spans="1:10">
      <c r="A911">
        <v>910</v>
      </c>
      <c r="B911">
        <v>622762586</v>
      </c>
      <c r="C911">
        <v>100000000</v>
      </c>
      <c r="D911">
        <v>100000000</v>
      </c>
      <c r="E911">
        <v>10000</v>
      </c>
      <c r="F911">
        <v>1</v>
      </c>
      <c r="G911">
        <v>1</v>
      </c>
      <c r="H911">
        <v>1</v>
      </c>
      <c r="I911">
        <v>1</v>
      </c>
      <c r="J911">
        <v>1</v>
      </c>
    </row>
    <row r="912" spans="1:10">
      <c r="A912">
        <v>911</v>
      </c>
      <c r="B912">
        <v>633419417</v>
      </c>
      <c r="C912">
        <v>100000000</v>
      </c>
      <c r="D912">
        <v>100000000</v>
      </c>
      <c r="E912">
        <v>10000</v>
      </c>
      <c r="F912">
        <v>1</v>
      </c>
      <c r="G912">
        <v>1</v>
      </c>
      <c r="H912">
        <v>1</v>
      </c>
      <c r="I912">
        <v>1</v>
      </c>
      <c r="J912">
        <v>1</v>
      </c>
    </row>
    <row r="913" spans="1:10">
      <c r="A913">
        <v>912</v>
      </c>
      <c r="B913">
        <v>644076248</v>
      </c>
      <c r="C913">
        <v>100000000</v>
      </c>
      <c r="D913">
        <v>100000000</v>
      </c>
      <c r="E913">
        <v>10000</v>
      </c>
      <c r="F913">
        <v>1</v>
      </c>
      <c r="G913">
        <v>1</v>
      </c>
      <c r="H913">
        <v>1</v>
      </c>
      <c r="I913">
        <v>1</v>
      </c>
      <c r="J913">
        <v>1</v>
      </c>
    </row>
    <row r="914" spans="1:10">
      <c r="A914">
        <v>913</v>
      </c>
      <c r="B914">
        <v>654733079</v>
      </c>
      <c r="C914">
        <v>100000000</v>
      </c>
      <c r="D914">
        <v>100000000</v>
      </c>
      <c r="E914">
        <v>10000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>
      <c r="A915">
        <v>914</v>
      </c>
      <c r="B915">
        <v>665389910</v>
      </c>
      <c r="C915">
        <v>100000000</v>
      </c>
      <c r="D915">
        <v>100000000</v>
      </c>
      <c r="E915">
        <v>10000</v>
      </c>
      <c r="F915">
        <v>1</v>
      </c>
      <c r="G915">
        <v>1</v>
      </c>
      <c r="H915">
        <v>1</v>
      </c>
      <c r="I915">
        <v>1</v>
      </c>
      <c r="J915">
        <v>1</v>
      </c>
    </row>
    <row r="916" spans="1:10">
      <c r="A916">
        <v>915</v>
      </c>
      <c r="B916">
        <v>676046741</v>
      </c>
      <c r="C916">
        <v>100000000</v>
      </c>
      <c r="D916">
        <v>100000000</v>
      </c>
      <c r="E916">
        <v>10000</v>
      </c>
      <c r="F916">
        <v>1</v>
      </c>
      <c r="G916">
        <v>1</v>
      </c>
      <c r="H916">
        <v>1</v>
      </c>
      <c r="I916">
        <v>1</v>
      </c>
      <c r="J916">
        <v>1</v>
      </c>
    </row>
    <row r="917" spans="1:10">
      <c r="A917">
        <v>916</v>
      </c>
      <c r="B917">
        <v>686703572</v>
      </c>
      <c r="C917">
        <v>100000000</v>
      </c>
      <c r="D917">
        <v>100000000</v>
      </c>
      <c r="E917">
        <v>10000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>
      <c r="A918">
        <v>917</v>
      </c>
      <c r="B918">
        <v>697360403</v>
      </c>
      <c r="C918">
        <v>100000000</v>
      </c>
      <c r="D918">
        <v>100000000</v>
      </c>
      <c r="E918">
        <v>10000</v>
      </c>
      <c r="F918">
        <v>1</v>
      </c>
      <c r="G918">
        <v>1</v>
      </c>
      <c r="H918">
        <v>1</v>
      </c>
      <c r="I918">
        <v>1</v>
      </c>
      <c r="J918">
        <v>1</v>
      </c>
    </row>
    <row r="919" spans="1:10">
      <c r="A919">
        <v>918</v>
      </c>
      <c r="B919">
        <v>708017234</v>
      </c>
      <c r="C919">
        <v>100000000</v>
      </c>
      <c r="D919">
        <v>100000000</v>
      </c>
      <c r="E919">
        <v>10000</v>
      </c>
      <c r="F919">
        <v>1</v>
      </c>
      <c r="G919">
        <v>1</v>
      </c>
      <c r="H919">
        <v>1</v>
      </c>
      <c r="I919">
        <v>1</v>
      </c>
      <c r="J919">
        <v>1</v>
      </c>
    </row>
    <row r="920" spans="1:10">
      <c r="A920">
        <v>919</v>
      </c>
      <c r="B920">
        <v>718674065</v>
      </c>
      <c r="C920">
        <v>100000000</v>
      </c>
      <c r="D920">
        <v>100000000</v>
      </c>
      <c r="E920">
        <v>10000</v>
      </c>
      <c r="F920">
        <v>1</v>
      </c>
      <c r="G920">
        <v>1</v>
      </c>
      <c r="H920">
        <v>1</v>
      </c>
      <c r="I920">
        <v>1</v>
      </c>
      <c r="J920">
        <v>1</v>
      </c>
    </row>
    <row r="921" spans="1:10">
      <c r="A921">
        <v>920</v>
      </c>
      <c r="B921">
        <v>729330896</v>
      </c>
      <c r="C921">
        <v>100000000</v>
      </c>
      <c r="D921">
        <v>100000000</v>
      </c>
      <c r="E921">
        <v>10000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>
      <c r="A922">
        <v>921</v>
      </c>
      <c r="B922">
        <v>739987727</v>
      </c>
      <c r="C922">
        <v>100000000</v>
      </c>
      <c r="D922">
        <v>100000000</v>
      </c>
      <c r="E922">
        <v>10000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>
      <c r="A923">
        <v>922</v>
      </c>
      <c r="B923">
        <v>750644558</v>
      </c>
      <c r="C923">
        <v>100000000</v>
      </c>
      <c r="D923">
        <v>100000000</v>
      </c>
      <c r="E923">
        <v>10000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>
      <c r="A924">
        <v>923</v>
      </c>
      <c r="B924">
        <v>761301389</v>
      </c>
      <c r="C924">
        <v>100000000</v>
      </c>
      <c r="D924">
        <v>100000000</v>
      </c>
      <c r="E924">
        <v>10000</v>
      </c>
      <c r="F924">
        <v>1</v>
      </c>
      <c r="G924">
        <v>1</v>
      </c>
      <c r="H924">
        <v>1</v>
      </c>
      <c r="I924">
        <v>1</v>
      </c>
      <c r="J924">
        <v>1</v>
      </c>
    </row>
    <row r="925" spans="1:10">
      <c r="A925">
        <v>924</v>
      </c>
      <c r="B925">
        <v>771958220</v>
      </c>
      <c r="C925">
        <v>100000000</v>
      </c>
      <c r="D925">
        <v>100000000</v>
      </c>
      <c r="E925">
        <v>10000</v>
      </c>
      <c r="F925">
        <v>1</v>
      </c>
      <c r="G925">
        <v>1</v>
      </c>
      <c r="H925">
        <v>1</v>
      </c>
      <c r="I925">
        <v>1</v>
      </c>
      <c r="J925">
        <v>1</v>
      </c>
    </row>
    <row r="926" spans="1:10">
      <c r="A926">
        <v>925</v>
      </c>
      <c r="B926">
        <v>782615051</v>
      </c>
      <c r="C926">
        <v>100000000</v>
      </c>
      <c r="D926">
        <v>100000000</v>
      </c>
      <c r="E926">
        <v>10000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>
      <c r="A927">
        <v>926</v>
      </c>
      <c r="B927">
        <v>793271882</v>
      </c>
      <c r="C927">
        <v>100000000</v>
      </c>
      <c r="D927">
        <v>100000000</v>
      </c>
      <c r="E927">
        <v>10000</v>
      </c>
      <c r="F927">
        <v>1</v>
      </c>
      <c r="G927">
        <v>1</v>
      </c>
      <c r="H927">
        <v>1</v>
      </c>
      <c r="I927">
        <v>1</v>
      </c>
      <c r="J927">
        <v>1</v>
      </c>
    </row>
    <row r="928" spans="1:10">
      <c r="A928">
        <v>927</v>
      </c>
      <c r="B928">
        <v>803928713</v>
      </c>
      <c r="C928">
        <v>100000000</v>
      </c>
      <c r="D928">
        <v>100000000</v>
      </c>
      <c r="E928">
        <v>10000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>
      <c r="A929">
        <v>928</v>
      </c>
      <c r="B929">
        <v>814585544</v>
      </c>
      <c r="C929">
        <v>100000000</v>
      </c>
      <c r="D929">
        <v>100000000</v>
      </c>
      <c r="E929">
        <v>10000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>
      <c r="A930">
        <v>929</v>
      </c>
      <c r="B930">
        <v>825242375</v>
      </c>
      <c r="C930">
        <v>100000000</v>
      </c>
      <c r="D930">
        <v>100000000</v>
      </c>
      <c r="E930">
        <v>10000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>
      <c r="A931">
        <v>930</v>
      </c>
      <c r="B931">
        <v>835899206</v>
      </c>
      <c r="C931">
        <v>100000000</v>
      </c>
      <c r="D931">
        <v>100000000</v>
      </c>
      <c r="E931">
        <v>10000</v>
      </c>
      <c r="F931">
        <v>1</v>
      </c>
      <c r="G931">
        <v>1</v>
      </c>
      <c r="H931">
        <v>1</v>
      </c>
      <c r="I931">
        <v>1</v>
      </c>
      <c r="J931">
        <v>1</v>
      </c>
    </row>
    <row r="932" spans="1:10">
      <c r="A932">
        <v>931</v>
      </c>
      <c r="B932">
        <v>846556037</v>
      </c>
      <c r="C932">
        <v>100000000</v>
      </c>
      <c r="D932">
        <v>100000000</v>
      </c>
      <c r="E932">
        <v>10000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>
      <c r="A933">
        <v>932</v>
      </c>
      <c r="B933">
        <v>857212868</v>
      </c>
      <c r="C933">
        <v>100000000</v>
      </c>
      <c r="D933">
        <v>100000000</v>
      </c>
      <c r="E933">
        <v>10000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>
      <c r="A934">
        <v>933</v>
      </c>
      <c r="B934">
        <v>867869699</v>
      </c>
      <c r="C934">
        <v>100000000</v>
      </c>
      <c r="D934">
        <v>100000000</v>
      </c>
      <c r="E934">
        <v>10000</v>
      </c>
      <c r="F934">
        <v>1</v>
      </c>
      <c r="G934">
        <v>1</v>
      </c>
      <c r="H934">
        <v>1</v>
      </c>
      <c r="I934">
        <v>1</v>
      </c>
      <c r="J934">
        <v>1</v>
      </c>
    </row>
    <row r="935" spans="1:10">
      <c r="A935">
        <v>934</v>
      </c>
      <c r="B935">
        <v>878526530</v>
      </c>
      <c r="C935">
        <v>100000000</v>
      </c>
      <c r="D935">
        <v>100000000</v>
      </c>
      <c r="E935">
        <v>10000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>
      <c r="A936">
        <v>935</v>
      </c>
      <c r="B936">
        <v>889183361</v>
      </c>
      <c r="C936">
        <v>100000000</v>
      </c>
      <c r="D936">
        <v>100000000</v>
      </c>
      <c r="E936">
        <v>10000</v>
      </c>
      <c r="F936">
        <v>1</v>
      </c>
      <c r="G936">
        <v>1</v>
      </c>
      <c r="H936">
        <v>1</v>
      </c>
      <c r="I936">
        <v>1</v>
      </c>
      <c r="J936">
        <v>1</v>
      </c>
    </row>
    <row r="937" spans="1:10">
      <c r="A937">
        <v>936</v>
      </c>
      <c r="B937">
        <v>899840192</v>
      </c>
      <c r="C937">
        <v>100000000</v>
      </c>
      <c r="D937">
        <v>100000000</v>
      </c>
      <c r="E937">
        <v>10000</v>
      </c>
      <c r="F937">
        <v>1</v>
      </c>
      <c r="G937">
        <v>1</v>
      </c>
      <c r="H937">
        <v>1</v>
      </c>
      <c r="I937">
        <v>1</v>
      </c>
      <c r="J937">
        <v>1</v>
      </c>
    </row>
    <row r="938" spans="1:10">
      <c r="A938">
        <v>937</v>
      </c>
      <c r="B938">
        <v>910497023</v>
      </c>
      <c r="C938">
        <v>100000000</v>
      </c>
      <c r="D938">
        <v>100000000</v>
      </c>
      <c r="E938">
        <v>10000</v>
      </c>
      <c r="F938">
        <v>1</v>
      </c>
      <c r="G938">
        <v>1</v>
      </c>
      <c r="H938">
        <v>1</v>
      </c>
      <c r="I938">
        <v>1</v>
      </c>
      <c r="J938">
        <v>1</v>
      </c>
    </row>
    <row r="939" spans="1:10">
      <c r="A939">
        <v>938</v>
      </c>
      <c r="B939">
        <v>921153854</v>
      </c>
      <c r="C939">
        <v>100000000</v>
      </c>
      <c r="D939">
        <v>100000000</v>
      </c>
      <c r="E939">
        <v>10000</v>
      </c>
      <c r="F939">
        <v>1</v>
      </c>
      <c r="G939">
        <v>1</v>
      </c>
      <c r="H939">
        <v>1</v>
      </c>
      <c r="I939">
        <v>1</v>
      </c>
      <c r="J939">
        <v>1</v>
      </c>
    </row>
    <row r="940" spans="1:10">
      <c r="A940">
        <v>939</v>
      </c>
      <c r="B940">
        <v>931810685</v>
      </c>
      <c r="C940">
        <v>100000000</v>
      </c>
      <c r="D940">
        <v>100000000</v>
      </c>
      <c r="E940">
        <v>10000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>
      <c r="A941">
        <v>940</v>
      </c>
      <c r="B941">
        <v>942467516</v>
      </c>
      <c r="C941">
        <v>100000000</v>
      </c>
      <c r="D941">
        <v>100000000</v>
      </c>
      <c r="E941">
        <v>10000</v>
      </c>
      <c r="F941">
        <v>1</v>
      </c>
      <c r="G941">
        <v>1</v>
      </c>
      <c r="H941">
        <v>1</v>
      </c>
      <c r="I941">
        <v>1</v>
      </c>
      <c r="J941">
        <v>1</v>
      </c>
    </row>
    <row r="942" spans="1:10">
      <c r="A942">
        <v>941</v>
      </c>
      <c r="B942">
        <v>953124347</v>
      </c>
      <c r="C942">
        <v>100000000</v>
      </c>
      <c r="D942">
        <v>100000000</v>
      </c>
      <c r="E942">
        <v>10000</v>
      </c>
      <c r="F942">
        <v>1</v>
      </c>
      <c r="G942">
        <v>1</v>
      </c>
      <c r="H942">
        <v>1</v>
      </c>
      <c r="I942">
        <v>1</v>
      </c>
      <c r="J942">
        <v>1</v>
      </c>
    </row>
    <row r="943" spans="1:10">
      <c r="A943">
        <v>942</v>
      </c>
      <c r="B943">
        <v>963781178</v>
      </c>
      <c r="C943">
        <v>100000000</v>
      </c>
      <c r="D943">
        <v>100000000</v>
      </c>
      <c r="E943">
        <v>10000</v>
      </c>
      <c r="F943">
        <v>1</v>
      </c>
      <c r="G943">
        <v>1</v>
      </c>
      <c r="H943">
        <v>1</v>
      </c>
      <c r="I943">
        <v>1</v>
      </c>
      <c r="J943">
        <v>1</v>
      </c>
    </row>
    <row r="944" spans="1:10">
      <c r="A944">
        <v>943</v>
      </c>
      <c r="B944">
        <v>974438009</v>
      </c>
      <c r="C944">
        <v>100000000</v>
      </c>
      <c r="D944">
        <v>100000000</v>
      </c>
      <c r="E944">
        <v>10000</v>
      </c>
      <c r="F944">
        <v>1</v>
      </c>
      <c r="G944">
        <v>1</v>
      </c>
      <c r="H944">
        <v>1</v>
      </c>
      <c r="I944">
        <v>1</v>
      </c>
      <c r="J944">
        <v>1</v>
      </c>
    </row>
    <row r="945" spans="1:10">
      <c r="A945">
        <v>944</v>
      </c>
      <c r="B945">
        <v>985094840</v>
      </c>
      <c r="C945">
        <v>100000000</v>
      </c>
      <c r="D945">
        <v>100000000</v>
      </c>
      <c r="E945">
        <v>10000</v>
      </c>
      <c r="F945">
        <v>1</v>
      </c>
      <c r="G945">
        <v>1</v>
      </c>
      <c r="H945">
        <v>1</v>
      </c>
      <c r="I945">
        <v>1</v>
      </c>
      <c r="J945">
        <v>1</v>
      </c>
    </row>
    <row r="946" spans="1:10">
      <c r="A946">
        <v>945</v>
      </c>
      <c r="B946">
        <v>995751671</v>
      </c>
      <c r="C946">
        <v>100000000</v>
      </c>
      <c r="D946">
        <v>100000000</v>
      </c>
      <c r="E946">
        <v>10000</v>
      </c>
      <c r="F946">
        <v>1</v>
      </c>
      <c r="G946">
        <v>1</v>
      </c>
      <c r="H946">
        <v>1</v>
      </c>
      <c r="I946">
        <v>1</v>
      </c>
      <c r="J946">
        <v>1</v>
      </c>
    </row>
    <row r="947" spans="1:10">
      <c r="A947">
        <v>946</v>
      </c>
      <c r="B947">
        <v>100640850</v>
      </c>
      <c r="C947">
        <v>100000000</v>
      </c>
      <c r="D947">
        <v>100000000</v>
      </c>
      <c r="E947">
        <v>100000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>
      <c r="A948">
        <v>947</v>
      </c>
      <c r="B948">
        <v>111706533</v>
      </c>
      <c r="C948">
        <v>100000000</v>
      </c>
      <c r="D948">
        <v>100000000</v>
      </c>
      <c r="E948">
        <v>100000</v>
      </c>
      <c r="F948">
        <v>1</v>
      </c>
      <c r="G948">
        <v>1</v>
      </c>
      <c r="H948">
        <v>1</v>
      </c>
      <c r="I948">
        <v>1</v>
      </c>
      <c r="J948">
        <v>1</v>
      </c>
    </row>
    <row r="949" spans="1:10">
      <c r="A949">
        <v>948</v>
      </c>
      <c r="B949">
        <v>122772216</v>
      </c>
      <c r="C949">
        <v>100000000</v>
      </c>
      <c r="D949">
        <v>100000000</v>
      </c>
      <c r="E949">
        <v>100000</v>
      </c>
      <c r="F949">
        <v>1</v>
      </c>
      <c r="G949">
        <v>1</v>
      </c>
      <c r="H949">
        <v>1</v>
      </c>
      <c r="I949">
        <v>1</v>
      </c>
      <c r="J949">
        <v>1</v>
      </c>
    </row>
    <row r="950" spans="1:10">
      <c r="A950">
        <v>949</v>
      </c>
      <c r="B950">
        <v>133837899</v>
      </c>
      <c r="C950">
        <v>100000000</v>
      </c>
      <c r="D950">
        <v>100000000</v>
      </c>
      <c r="E950">
        <v>100000</v>
      </c>
      <c r="F950">
        <v>1</v>
      </c>
      <c r="G950">
        <v>1</v>
      </c>
      <c r="H950">
        <v>1</v>
      </c>
      <c r="I950">
        <v>1</v>
      </c>
      <c r="J950">
        <v>1</v>
      </c>
    </row>
    <row r="951" spans="1:10">
      <c r="A951">
        <v>950</v>
      </c>
      <c r="B951">
        <v>144903582</v>
      </c>
      <c r="C951">
        <v>100000000</v>
      </c>
      <c r="D951">
        <v>100000000</v>
      </c>
      <c r="E951">
        <v>100000</v>
      </c>
      <c r="F951">
        <v>1</v>
      </c>
      <c r="G951">
        <v>1</v>
      </c>
      <c r="H951">
        <v>1</v>
      </c>
      <c r="I951">
        <v>1</v>
      </c>
      <c r="J951">
        <v>1</v>
      </c>
    </row>
    <row r="952" spans="1:10">
      <c r="A952">
        <v>951</v>
      </c>
      <c r="B952">
        <v>155969265</v>
      </c>
      <c r="C952">
        <v>100000000</v>
      </c>
      <c r="D952">
        <v>100000000</v>
      </c>
      <c r="E952">
        <v>100000</v>
      </c>
      <c r="F952">
        <v>1</v>
      </c>
      <c r="G952">
        <v>1</v>
      </c>
      <c r="H952">
        <v>1</v>
      </c>
      <c r="I952">
        <v>1</v>
      </c>
      <c r="J952">
        <v>1</v>
      </c>
    </row>
    <row r="953" spans="1:10">
      <c r="A953">
        <v>952</v>
      </c>
      <c r="B953">
        <v>167034948</v>
      </c>
      <c r="C953">
        <v>100000000</v>
      </c>
      <c r="D953">
        <v>100000000</v>
      </c>
      <c r="E953">
        <v>100000</v>
      </c>
      <c r="F953">
        <v>1</v>
      </c>
      <c r="G953">
        <v>1</v>
      </c>
      <c r="H953">
        <v>1</v>
      </c>
      <c r="I953">
        <v>1</v>
      </c>
      <c r="J953">
        <v>1</v>
      </c>
    </row>
    <row r="954" spans="1:10">
      <c r="A954">
        <v>953</v>
      </c>
      <c r="B954">
        <v>178100631</v>
      </c>
      <c r="C954">
        <v>100000000</v>
      </c>
      <c r="D954">
        <v>100000000</v>
      </c>
      <c r="E954">
        <v>100000</v>
      </c>
      <c r="F954">
        <v>1</v>
      </c>
      <c r="G954">
        <v>1</v>
      </c>
      <c r="H954">
        <v>1</v>
      </c>
      <c r="I954">
        <v>1</v>
      </c>
      <c r="J954">
        <v>1</v>
      </c>
    </row>
    <row r="955" spans="1:10">
      <c r="A955">
        <v>954</v>
      </c>
      <c r="B955">
        <v>189166314</v>
      </c>
      <c r="C955">
        <v>100000000</v>
      </c>
      <c r="D955">
        <v>100000000</v>
      </c>
      <c r="E955">
        <v>100000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>
      <c r="A956">
        <v>955</v>
      </c>
      <c r="B956">
        <v>200231997</v>
      </c>
      <c r="C956">
        <v>100000000</v>
      </c>
      <c r="D956">
        <v>100000000</v>
      </c>
      <c r="E956">
        <v>100000</v>
      </c>
      <c r="F956">
        <v>1</v>
      </c>
      <c r="G956">
        <v>1</v>
      </c>
      <c r="H956">
        <v>1</v>
      </c>
      <c r="I956">
        <v>1</v>
      </c>
      <c r="J956">
        <v>1</v>
      </c>
    </row>
    <row r="957" spans="1:10">
      <c r="A957">
        <v>956</v>
      </c>
      <c r="B957">
        <v>211297680</v>
      </c>
      <c r="C957">
        <v>100000000</v>
      </c>
      <c r="D957">
        <v>100000000</v>
      </c>
      <c r="E957">
        <v>100000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>
      <c r="A958">
        <v>957</v>
      </c>
      <c r="B958">
        <v>222363363</v>
      </c>
      <c r="C958">
        <v>100000000</v>
      </c>
      <c r="D958">
        <v>100000000</v>
      </c>
      <c r="E958">
        <v>100000</v>
      </c>
      <c r="F958">
        <v>1</v>
      </c>
      <c r="G958">
        <v>1</v>
      </c>
      <c r="H958">
        <v>1</v>
      </c>
      <c r="I958">
        <v>1</v>
      </c>
      <c r="J958">
        <v>1</v>
      </c>
    </row>
    <row r="959" spans="1:10">
      <c r="A959">
        <v>958</v>
      </c>
      <c r="B959">
        <v>233429046</v>
      </c>
      <c r="C959">
        <v>100000000</v>
      </c>
      <c r="D959">
        <v>100000000</v>
      </c>
      <c r="E959">
        <v>100000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>
      <c r="A960">
        <v>959</v>
      </c>
      <c r="B960">
        <v>244494729</v>
      </c>
      <c r="C960">
        <v>100000000</v>
      </c>
      <c r="D960">
        <v>100000000</v>
      </c>
      <c r="E960">
        <v>100000</v>
      </c>
      <c r="F960">
        <v>1</v>
      </c>
      <c r="G960">
        <v>1</v>
      </c>
      <c r="H960">
        <v>1</v>
      </c>
      <c r="I960">
        <v>1</v>
      </c>
      <c r="J960">
        <v>1</v>
      </c>
    </row>
    <row r="961" spans="1:10">
      <c r="A961">
        <v>960</v>
      </c>
      <c r="B961">
        <v>255560412</v>
      </c>
      <c r="C961">
        <v>100000000</v>
      </c>
      <c r="D961">
        <v>100000000</v>
      </c>
      <c r="E961">
        <v>100000</v>
      </c>
      <c r="F961">
        <v>1</v>
      </c>
      <c r="G961">
        <v>1</v>
      </c>
      <c r="H961">
        <v>1</v>
      </c>
      <c r="I961">
        <v>1</v>
      </c>
      <c r="J961">
        <v>1</v>
      </c>
    </row>
    <row r="962" spans="1:10">
      <c r="A962">
        <v>961</v>
      </c>
      <c r="B962">
        <v>266626095</v>
      </c>
      <c r="C962">
        <v>100000000</v>
      </c>
      <c r="D962">
        <v>100000000</v>
      </c>
      <c r="E962">
        <v>100000</v>
      </c>
      <c r="F962">
        <v>1</v>
      </c>
      <c r="G962">
        <v>1</v>
      </c>
      <c r="H962">
        <v>1</v>
      </c>
      <c r="I962">
        <v>1</v>
      </c>
      <c r="J962">
        <v>1</v>
      </c>
    </row>
    <row r="963" spans="1:10">
      <c r="A963">
        <v>962</v>
      </c>
      <c r="B963">
        <v>277691778</v>
      </c>
      <c r="C963">
        <v>100000000</v>
      </c>
      <c r="D963">
        <v>100000000</v>
      </c>
      <c r="E963">
        <v>100000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>
      <c r="A964">
        <v>963</v>
      </c>
      <c r="B964">
        <v>288757461</v>
      </c>
      <c r="C964">
        <v>100000000</v>
      </c>
      <c r="D964">
        <v>100000000</v>
      </c>
      <c r="E964">
        <v>100000</v>
      </c>
      <c r="F964">
        <v>1</v>
      </c>
      <c r="G964">
        <v>1</v>
      </c>
      <c r="H964">
        <v>1</v>
      </c>
      <c r="I964">
        <v>1</v>
      </c>
      <c r="J964">
        <v>1</v>
      </c>
    </row>
    <row r="965" spans="1:10">
      <c r="A965">
        <v>964</v>
      </c>
      <c r="B965">
        <v>299823144</v>
      </c>
      <c r="C965">
        <v>100000000</v>
      </c>
      <c r="D965">
        <v>100000000</v>
      </c>
      <c r="E965">
        <v>100000</v>
      </c>
      <c r="F965">
        <v>1</v>
      </c>
      <c r="G965">
        <v>1</v>
      </c>
      <c r="H965">
        <v>1</v>
      </c>
      <c r="I965">
        <v>1</v>
      </c>
      <c r="J965">
        <v>1</v>
      </c>
    </row>
    <row r="966" spans="1:10">
      <c r="A966">
        <v>965</v>
      </c>
      <c r="B966">
        <v>310888827</v>
      </c>
      <c r="C966">
        <v>100000000</v>
      </c>
      <c r="D966">
        <v>100000000</v>
      </c>
      <c r="E966">
        <v>100000</v>
      </c>
      <c r="F966">
        <v>1</v>
      </c>
      <c r="G966">
        <v>1</v>
      </c>
      <c r="H966">
        <v>1</v>
      </c>
      <c r="I966">
        <v>1</v>
      </c>
      <c r="J966">
        <v>1</v>
      </c>
    </row>
    <row r="967" spans="1:10">
      <c r="A967">
        <v>966</v>
      </c>
      <c r="B967">
        <v>321954510</v>
      </c>
      <c r="C967">
        <v>100000000</v>
      </c>
      <c r="D967">
        <v>100000000</v>
      </c>
      <c r="E967">
        <v>100000</v>
      </c>
      <c r="F967">
        <v>1</v>
      </c>
      <c r="G967">
        <v>1</v>
      </c>
      <c r="H967">
        <v>1</v>
      </c>
      <c r="I967">
        <v>1</v>
      </c>
      <c r="J967">
        <v>1</v>
      </c>
    </row>
    <row r="968" spans="1:10">
      <c r="A968">
        <v>967</v>
      </c>
      <c r="B968">
        <v>333020193</v>
      </c>
      <c r="C968">
        <v>100000000</v>
      </c>
      <c r="D968">
        <v>100000000</v>
      </c>
      <c r="E968">
        <v>100000</v>
      </c>
      <c r="F968">
        <v>1</v>
      </c>
      <c r="G968">
        <v>1</v>
      </c>
      <c r="H968">
        <v>1</v>
      </c>
      <c r="I968">
        <v>1</v>
      </c>
      <c r="J968">
        <v>1</v>
      </c>
    </row>
    <row r="969" spans="1:10">
      <c r="A969">
        <v>968</v>
      </c>
      <c r="B969">
        <v>344085876</v>
      </c>
      <c r="C969">
        <v>100000000</v>
      </c>
      <c r="D969">
        <v>100000000</v>
      </c>
      <c r="E969">
        <v>100000</v>
      </c>
      <c r="F969">
        <v>1</v>
      </c>
      <c r="G969">
        <v>1</v>
      </c>
      <c r="H969">
        <v>1</v>
      </c>
      <c r="I969">
        <v>1</v>
      </c>
      <c r="J969">
        <v>1</v>
      </c>
    </row>
    <row r="970" spans="1:10">
      <c r="A970">
        <v>969</v>
      </c>
      <c r="B970">
        <v>355151559</v>
      </c>
      <c r="C970">
        <v>100000000</v>
      </c>
      <c r="D970">
        <v>100000000</v>
      </c>
      <c r="E970">
        <v>100000</v>
      </c>
      <c r="F970">
        <v>1</v>
      </c>
      <c r="G970">
        <v>1</v>
      </c>
      <c r="H970">
        <v>1</v>
      </c>
      <c r="I970">
        <v>1</v>
      </c>
      <c r="J970">
        <v>1</v>
      </c>
    </row>
    <row r="971" spans="1:10">
      <c r="A971">
        <v>970</v>
      </c>
      <c r="B971">
        <v>366217242</v>
      </c>
      <c r="C971">
        <v>100000000</v>
      </c>
      <c r="D971">
        <v>100000000</v>
      </c>
      <c r="E971">
        <v>100000</v>
      </c>
      <c r="F971">
        <v>1</v>
      </c>
      <c r="G971">
        <v>1</v>
      </c>
      <c r="H971">
        <v>1</v>
      </c>
      <c r="I971">
        <v>1</v>
      </c>
      <c r="J971">
        <v>1</v>
      </c>
    </row>
    <row r="972" spans="1:10">
      <c r="A972">
        <v>971</v>
      </c>
      <c r="B972">
        <v>377282925</v>
      </c>
      <c r="C972">
        <v>100000000</v>
      </c>
      <c r="D972">
        <v>100000000</v>
      </c>
      <c r="E972">
        <v>100000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>
      <c r="A973">
        <v>972</v>
      </c>
      <c r="B973">
        <v>388348608</v>
      </c>
      <c r="C973">
        <v>100000000</v>
      </c>
      <c r="D973">
        <v>100000000</v>
      </c>
      <c r="E973">
        <v>100000</v>
      </c>
      <c r="F973">
        <v>1</v>
      </c>
      <c r="G973">
        <v>1</v>
      </c>
      <c r="H973">
        <v>1</v>
      </c>
      <c r="I973">
        <v>1</v>
      </c>
      <c r="J973">
        <v>1</v>
      </c>
    </row>
    <row r="974" spans="1:10">
      <c r="A974">
        <v>973</v>
      </c>
      <c r="B974">
        <v>399414291</v>
      </c>
      <c r="C974">
        <v>100000000</v>
      </c>
      <c r="D974">
        <v>100000000</v>
      </c>
      <c r="E974">
        <v>100000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>
      <c r="A975">
        <v>974</v>
      </c>
      <c r="B975">
        <v>410479974</v>
      </c>
      <c r="C975">
        <v>100000000</v>
      </c>
      <c r="D975">
        <v>100000000</v>
      </c>
      <c r="E975">
        <v>100000</v>
      </c>
      <c r="F975">
        <v>1</v>
      </c>
      <c r="G975">
        <v>1</v>
      </c>
      <c r="H975">
        <v>1</v>
      </c>
      <c r="I975">
        <v>1</v>
      </c>
      <c r="J975">
        <v>1</v>
      </c>
    </row>
    <row r="976" spans="1:10">
      <c r="A976">
        <v>975</v>
      </c>
      <c r="B976">
        <v>421545657</v>
      </c>
      <c r="C976">
        <v>100000000</v>
      </c>
      <c r="D976">
        <v>100000000</v>
      </c>
      <c r="E976">
        <v>100000</v>
      </c>
      <c r="F976">
        <v>1</v>
      </c>
      <c r="G976">
        <v>1</v>
      </c>
      <c r="H976">
        <v>1</v>
      </c>
      <c r="I976">
        <v>1</v>
      </c>
      <c r="J976">
        <v>1</v>
      </c>
    </row>
    <row r="977" spans="1:10">
      <c r="A977">
        <v>976</v>
      </c>
      <c r="B977">
        <v>432611340</v>
      </c>
      <c r="C977">
        <v>100000000</v>
      </c>
      <c r="D977">
        <v>100000000</v>
      </c>
      <c r="E977">
        <v>100000</v>
      </c>
      <c r="F977">
        <v>1</v>
      </c>
      <c r="G977">
        <v>1</v>
      </c>
      <c r="H977">
        <v>1</v>
      </c>
      <c r="I977">
        <v>1</v>
      </c>
      <c r="J977">
        <v>1</v>
      </c>
    </row>
    <row r="978" spans="1:10">
      <c r="A978">
        <v>977</v>
      </c>
      <c r="B978">
        <v>443677023</v>
      </c>
      <c r="C978">
        <v>100000000</v>
      </c>
      <c r="D978">
        <v>100000000</v>
      </c>
      <c r="E978">
        <v>100000</v>
      </c>
      <c r="F978">
        <v>1</v>
      </c>
      <c r="G978">
        <v>1</v>
      </c>
      <c r="H978">
        <v>1</v>
      </c>
      <c r="I978">
        <v>1</v>
      </c>
      <c r="J978">
        <v>1</v>
      </c>
    </row>
    <row r="979" spans="1:10">
      <c r="A979">
        <v>978</v>
      </c>
      <c r="B979">
        <v>454742706</v>
      </c>
      <c r="C979">
        <v>100000000</v>
      </c>
      <c r="D979">
        <v>100000000</v>
      </c>
      <c r="E979">
        <v>100000</v>
      </c>
      <c r="F979">
        <v>1</v>
      </c>
      <c r="G979">
        <v>1</v>
      </c>
      <c r="H979">
        <v>1</v>
      </c>
      <c r="I979">
        <v>1</v>
      </c>
      <c r="J979">
        <v>1</v>
      </c>
    </row>
    <row r="980" spans="1:10">
      <c r="A980">
        <v>979</v>
      </c>
      <c r="B980">
        <v>465808389</v>
      </c>
      <c r="C980">
        <v>100000000</v>
      </c>
      <c r="D980">
        <v>100000000</v>
      </c>
      <c r="E980">
        <v>100000</v>
      </c>
      <c r="F980">
        <v>1</v>
      </c>
      <c r="G980">
        <v>1</v>
      </c>
      <c r="H980">
        <v>1</v>
      </c>
      <c r="I980">
        <v>1</v>
      </c>
      <c r="J980">
        <v>1</v>
      </c>
    </row>
    <row r="981" spans="1:10">
      <c r="A981">
        <v>980</v>
      </c>
      <c r="B981">
        <v>476874072</v>
      </c>
      <c r="C981">
        <v>100000000</v>
      </c>
      <c r="D981">
        <v>100000000</v>
      </c>
      <c r="E981">
        <v>100000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>
      <c r="A982">
        <v>981</v>
      </c>
      <c r="B982">
        <v>487939755</v>
      </c>
      <c r="C982">
        <v>100000000</v>
      </c>
      <c r="D982">
        <v>100000000</v>
      </c>
      <c r="E982">
        <v>100000</v>
      </c>
      <c r="F982">
        <v>1</v>
      </c>
      <c r="G982">
        <v>1</v>
      </c>
      <c r="H982">
        <v>1</v>
      </c>
      <c r="I982">
        <v>1</v>
      </c>
      <c r="J982">
        <v>1</v>
      </c>
    </row>
    <row r="983" spans="1:10">
      <c r="A983">
        <v>982</v>
      </c>
      <c r="B983">
        <v>499005438</v>
      </c>
      <c r="C983">
        <v>100000000</v>
      </c>
      <c r="D983">
        <v>100000000</v>
      </c>
      <c r="E983">
        <v>100000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>
      <c r="A984">
        <v>983</v>
      </c>
      <c r="B984">
        <v>510071121</v>
      </c>
      <c r="C984">
        <v>100000000</v>
      </c>
      <c r="D984">
        <v>100000000</v>
      </c>
      <c r="E984">
        <v>100000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>
      <c r="A985">
        <v>984</v>
      </c>
      <c r="B985">
        <v>521136804</v>
      </c>
      <c r="C985">
        <v>100000000</v>
      </c>
      <c r="D985">
        <v>100000000</v>
      </c>
      <c r="E985">
        <v>100000</v>
      </c>
      <c r="F985">
        <v>1</v>
      </c>
      <c r="G985">
        <v>1</v>
      </c>
      <c r="H985">
        <v>1</v>
      </c>
      <c r="I985">
        <v>1</v>
      </c>
      <c r="J985">
        <v>1</v>
      </c>
    </row>
    <row r="986" spans="1:10">
      <c r="A986">
        <v>985</v>
      </c>
      <c r="B986">
        <v>532202487</v>
      </c>
      <c r="C986">
        <v>100000000</v>
      </c>
      <c r="D986">
        <v>100000000</v>
      </c>
      <c r="E986">
        <v>100000</v>
      </c>
      <c r="F986">
        <v>1</v>
      </c>
      <c r="G986">
        <v>1</v>
      </c>
      <c r="H986">
        <v>1</v>
      </c>
      <c r="I986">
        <v>1</v>
      </c>
      <c r="J986">
        <v>1</v>
      </c>
    </row>
    <row r="987" spans="1:10">
      <c r="A987">
        <v>986</v>
      </c>
      <c r="B987">
        <v>543268170</v>
      </c>
      <c r="C987">
        <v>100000000</v>
      </c>
      <c r="D987">
        <v>100000000</v>
      </c>
      <c r="E987">
        <v>100000</v>
      </c>
      <c r="F987">
        <v>1</v>
      </c>
      <c r="G987">
        <v>1</v>
      </c>
      <c r="H987">
        <v>1</v>
      </c>
      <c r="I987">
        <v>1</v>
      </c>
      <c r="J987">
        <v>1</v>
      </c>
    </row>
    <row r="988" spans="1:10">
      <c r="A988">
        <v>987</v>
      </c>
      <c r="B988">
        <v>554333853</v>
      </c>
      <c r="C988">
        <v>100000000</v>
      </c>
      <c r="D988">
        <v>100000000</v>
      </c>
      <c r="E988">
        <v>100000</v>
      </c>
      <c r="F988">
        <v>1</v>
      </c>
      <c r="G988">
        <v>1</v>
      </c>
      <c r="H988">
        <v>1</v>
      </c>
      <c r="I988">
        <v>1</v>
      </c>
      <c r="J988">
        <v>1</v>
      </c>
    </row>
    <row r="989" spans="1:10">
      <c r="A989">
        <v>988</v>
      </c>
      <c r="B989">
        <v>565399536</v>
      </c>
      <c r="C989">
        <v>100000000</v>
      </c>
      <c r="D989">
        <v>100000000</v>
      </c>
      <c r="E989">
        <v>100000</v>
      </c>
      <c r="F989">
        <v>1</v>
      </c>
      <c r="G989">
        <v>1</v>
      </c>
      <c r="H989">
        <v>1</v>
      </c>
      <c r="I989">
        <v>1</v>
      </c>
      <c r="J989">
        <v>1</v>
      </c>
    </row>
    <row r="990" spans="1:10">
      <c r="A990">
        <v>989</v>
      </c>
      <c r="B990">
        <v>576465219</v>
      </c>
      <c r="C990">
        <v>100000000</v>
      </c>
      <c r="D990">
        <v>100000000</v>
      </c>
      <c r="E990">
        <v>100000</v>
      </c>
      <c r="F990">
        <v>1</v>
      </c>
      <c r="G990">
        <v>1</v>
      </c>
      <c r="H990">
        <v>1</v>
      </c>
      <c r="I990">
        <v>1</v>
      </c>
      <c r="J990">
        <v>1</v>
      </c>
    </row>
    <row r="991" spans="1:10">
      <c r="A991">
        <v>990</v>
      </c>
      <c r="B991">
        <v>587530902</v>
      </c>
      <c r="C991">
        <v>100000000</v>
      </c>
      <c r="D991">
        <v>100000000</v>
      </c>
      <c r="E991">
        <v>100000</v>
      </c>
      <c r="F991">
        <v>1</v>
      </c>
      <c r="G991">
        <v>1</v>
      </c>
      <c r="H991">
        <v>1</v>
      </c>
      <c r="I991">
        <v>1</v>
      </c>
      <c r="J991">
        <v>1</v>
      </c>
    </row>
    <row r="992" spans="1:10">
      <c r="A992">
        <v>991</v>
      </c>
      <c r="B992">
        <v>598596585</v>
      </c>
      <c r="C992">
        <v>100000000</v>
      </c>
      <c r="D992">
        <v>100000000</v>
      </c>
      <c r="E992">
        <v>100000</v>
      </c>
      <c r="F992">
        <v>1</v>
      </c>
      <c r="G992">
        <v>1</v>
      </c>
      <c r="H992">
        <v>1</v>
      </c>
      <c r="I992">
        <v>1</v>
      </c>
      <c r="J992">
        <v>1</v>
      </c>
    </row>
    <row r="993" spans="1:10">
      <c r="A993">
        <v>992</v>
      </c>
      <c r="B993">
        <v>609662268</v>
      </c>
      <c r="C993">
        <v>100000000</v>
      </c>
      <c r="D993">
        <v>100000000</v>
      </c>
      <c r="E993">
        <v>100000</v>
      </c>
      <c r="F993">
        <v>1</v>
      </c>
      <c r="G993">
        <v>1</v>
      </c>
      <c r="H993">
        <v>1</v>
      </c>
      <c r="I993">
        <v>1</v>
      </c>
      <c r="J993">
        <v>1</v>
      </c>
    </row>
    <row r="994" spans="1:10">
      <c r="A994">
        <v>993</v>
      </c>
      <c r="B994">
        <v>620727951</v>
      </c>
      <c r="C994">
        <v>100000000</v>
      </c>
      <c r="D994">
        <v>100000000</v>
      </c>
      <c r="E994">
        <v>100000</v>
      </c>
      <c r="F994">
        <v>1</v>
      </c>
      <c r="G994">
        <v>1</v>
      </c>
      <c r="H994">
        <v>1</v>
      </c>
      <c r="I994">
        <v>1</v>
      </c>
      <c r="J994">
        <v>1</v>
      </c>
    </row>
    <row r="995" spans="1:10">
      <c r="A995">
        <v>994</v>
      </c>
      <c r="B995">
        <v>631793634</v>
      </c>
      <c r="C995">
        <v>100000000</v>
      </c>
      <c r="D995">
        <v>100000000</v>
      </c>
      <c r="E995">
        <v>100000</v>
      </c>
      <c r="F995">
        <v>1</v>
      </c>
      <c r="G995">
        <v>1</v>
      </c>
      <c r="H995">
        <v>1</v>
      </c>
      <c r="I995">
        <v>1</v>
      </c>
      <c r="J995">
        <v>1</v>
      </c>
    </row>
    <row r="996" spans="1:10">
      <c r="A996">
        <v>995</v>
      </c>
      <c r="B996">
        <v>642859317</v>
      </c>
      <c r="C996">
        <v>100000000</v>
      </c>
      <c r="D996">
        <v>100000000</v>
      </c>
      <c r="E996">
        <v>100000</v>
      </c>
      <c r="F996">
        <v>1</v>
      </c>
      <c r="G996">
        <v>1</v>
      </c>
      <c r="H996">
        <v>1</v>
      </c>
      <c r="I996">
        <v>1</v>
      </c>
      <c r="J996">
        <v>1</v>
      </c>
    </row>
    <row r="997" spans="1:10">
      <c r="A997">
        <v>996</v>
      </c>
      <c r="B997">
        <v>653925000</v>
      </c>
      <c r="C997">
        <v>100000000</v>
      </c>
      <c r="D997">
        <v>100000000</v>
      </c>
      <c r="E997">
        <v>100000</v>
      </c>
      <c r="F997">
        <v>1</v>
      </c>
      <c r="G997">
        <v>1</v>
      </c>
      <c r="H997">
        <v>1</v>
      </c>
      <c r="I997">
        <v>1</v>
      </c>
      <c r="J997">
        <v>1</v>
      </c>
    </row>
    <row r="998" spans="1:10">
      <c r="A998">
        <v>997</v>
      </c>
      <c r="B998">
        <v>664990683</v>
      </c>
      <c r="C998">
        <v>100000000</v>
      </c>
      <c r="D998">
        <v>100000000</v>
      </c>
      <c r="E998">
        <v>100000</v>
      </c>
      <c r="F998">
        <v>1</v>
      </c>
      <c r="G998">
        <v>1</v>
      </c>
      <c r="H998">
        <v>1</v>
      </c>
      <c r="I998">
        <v>1</v>
      </c>
      <c r="J998">
        <v>1</v>
      </c>
    </row>
    <row r="999" spans="1:10">
      <c r="A999">
        <v>998</v>
      </c>
      <c r="B999">
        <v>676056366</v>
      </c>
      <c r="C999">
        <v>100000000</v>
      </c>
      <c r="D999">
        <v>100000000</v>
      </c>
      <c r="E999">
        <v>100000</v>
      </c>
      <c r="F999">
        <v>1</v>
      </c>
      <c r="G999">
        <v>1</v>
      </c>
      <c r="H999">
        <v>1</v>
      </c>
      <c r="I999">
        <v>1</v>
      </c>
      <c r="J999">
        <v>1</v>
      </c>
    </row>
    <row r="1000" spans="1:10">
      <c r="A1000">
        <v>999</v>
      </c>
      <c r="B1000">
        <v>687122049</v>
      </c>
      <c r="C1000">
        <v>100000000</v>
      </c>
      <c r="D1000">
        <v>100000000</v>
      </c>
      <c r="E1000">
        <v>100000</v>
      </c>
      <c r="F1000">
        <v>1</v>
      </c>
      <c r="G1000">
        <v>1</v>
      </c>
      <c r="H1000">
        <v>1</v>
      </c>
      <c r="I1000">
        <v>1</v>
      </c>
      <c r="J1000">
        <v>1</v>
      </c>
    </row>
    <row r="1001" spans="1:10">
      <c r="A1001">
        <v>1000</v>
      </c>
      <c r="B1001">
        <v>698187732</v>
      </c>
      <c r="C1001">
        <v>100000000</v>
      </c>
      <c r="D1001">
        <v>100000000</v>
      </c>
      <c r="E1001">
        <v>100000</v>
      </c>
      <c r="F1001">
        <v>1</v>
      </c>
      <c r="G1001">
        <v>1</v>
      </c>
      <c r="H1001">
        <v>1</v>
      </c>
      <c r="I1001">
        <v>1</v>
      </c>
      <c r="J1001">
        <v>1</v>
      </c>
    </row>
    <row r="1002" spans="1:10">
      <c r="A1002">
        <v>1001</v>
      </c>
      <c r="B1002">
        <v>709253415</v>
      </c>
      <c r="C1002">
        <v>100000000</v>
      </c>
      <c r="D1002">
        <v>100000000</v>
      </c>
      <c r="E1002">
        <v>100000</v>
      </c>
      <c r="F1002">
        <v>1</v>
      </c>
      <c r="G1002">
        <v>1</v>
      </c>
      <c r="H1002">
        <v>1</v>
      </c>
      <c r="I1002">
        <v>1</v>
      </c>
      <c r="J1002">
        <v>1</v>
      </c>
    </row>
    <row r="1003" spans="1:10">
      <c r="A1003">
        <v>1002</v>
      </c>
      <c r="B1003">
        <v>720319098</v>
      </c>
      <c r="C1003">
        <v>100000000</v>
      </c>
      <c r="D1003">
        <v>100000000</v>
      </c>
      <c r="E1003">
        <v>100000</v>
      </c>
      <c r="F1003">
        <v>1</v>
      </c>
      <c r="G1003">
        <v>1</v>
      </c>
      <c r="H1003">
        <v>1</v>
      </c>
      <c r="I1003">
        <v>1</v>
      </c>
      <c r="J1003">
        <v>1</v>
      </c>
    </row>
    <row r="1004" spans="1:10">
      <c r="A1004">
        <v>1003</v>
      </c>
      <c r="B1004">
        <v>731384781</v>
      </c>
      <c r="C1004">
        <v>100000000</v>
      </c>
      <c r="D1004">
        <v>100000000</v>
      </c>
      <c r="E1004">
        <v>100000</v>
      </c>
      <c r="F1004">
        <v>1</v>
      </c>
      <c r="G1004">
        <v>1</v>
      </c>
      <c r="H1004">
        <v>1</v>
      </c>
      <c r="I1004">
        <v>1</v>
      </c>
      <c r="J1004">
        <v>1</v>
      </c>
    </row>
    <row r="1005" spans="1:10">
      <c r="A1005">
        <v>1004</v>
      </c>
      <c r="B1005">
        <v>742450464</v>
      </c>
      <c r="C1005">
        <v>100000000</v>
      </c>
      <c r="D1005">
        <v>100000000</v>
      </c>
      <c r="E1005">
        <v>100000</v>
      </c>
      <c r="F1005">
        <v>1</v>
      </c>
      <c r="G1005">
        <v>1</v>
      </c>
      <c r="H1005">
        <v>1</v>
      </c>
      <c r="I1005">
        <v>1</v>
      </c>
      <c r="J1005">
        <v>1</v>
      </c>
    </row>
    <row r="1006" spans="1:10">
      <c r="A1006">
        <v>1005</v>
      </c>
      <c r="B1006">
        <v>753516147</v>
      </c>
      <c r="C1006">
        <v>100000000</v>
      </c>
      <c r="D1006">
        <v>100000000</v>
      </c>
      <c r="E1006">
        <v>100000</v>
      </c>
      <c r="F1006">
        <v>1</v>
      </c>
      <c r="G1006">
        <v>1</v>
      </c>
      <c r="H1006">
        <v>1</v>
      </c>
      <c r="I1006">
        <v>1</v>
      </c>
      <c r="J1006">
        <v>1</v>
      </c>
    </row>
    <row r="1007" spans="1:10">
      <c r="A1007">
        <v>1006</v>
      </c>
      <c r="B1007">
        <v>764581830</v>
      </c>
      <c r="C1007">
        <v>100000000</v>
      </c>
      <c r="D1007">
        <v>100000000</v>
      </c>
      <c r="E1007">
        <v>100000</v>
      </c>
      <c r="F1007">
        <v>1</v>
      </c>
      <c r="G1007">
        <v>1</v>
      </c>
      <c r="H1007">
        <v>1</v>
      </c>
      <c r="I1007">
        <v>1</v>
      </c>
      <c r="J1007">
        <v>1</v>
      </c>
    </row>
    <row r="1008" spans="1:10">
      <c r="A1008">
        <v>1007</v>
      </c>
      <c r="B1008">
        <v>775647513</v>
      </c>
      <c r="C1008">
        <v>100000000</v>
      </c>
      <c r="D1008">
        <v>100000000</v>
      </c>
      <c r="E1008">
        <v>100000</v>
      </c>
      <c r="F1008">
        <v>1</v>
      </c>
      <c r="G1008">
        <v>1</v>
      </c>
      <c r="H1008">
        <v>1</v>
      </c>
      <c r="I1008">
        <v>1</v>
      </c>
      <c r="J1008">
        <v>1</v>
      </c>
    </row>
    <row r="1009" spans="1:10">
      <c r="A1009">
        <v>1008</v>
      </c>
      <c r="B1009">
        <v>786713196</v>
      </c>
      <c r="C1009">
        <v>100000000</v>
      </c>
      <c r="D1009">
        <v>100000000</v>
      </c>
      <c r="E1009">
        <v>100000</v>
      </c>
      <c r="F1009">
        <v>1</v>
      </c>
      <c r="G1009">
        <v>1</v>
      </c>
      <c r="H1009">
        <v>1</v>
      </c>
      <c r="I1009">
        <v>1</v>
      </c>
      <c r="J1009">
        <v>1</v>
      </c>
    </row>
    <row r="1010" spans="1:10">
      <c r="A1010">
        <v>1009</v>
      </c>
      <c r="B1010">
        <v>797778879</v>
      </c>
      <c r="C1010">
        <v>100000000</v>
      </c>
      <c r="D1010">
        <v>100000000</v>
      </c>
      <c r="E1010">
        <v>100000</v>
      </c>
      <c r="F1010">
        <v>1</v>
      </c>
      <c r="G1010">
        <v>1</v>
      </c>
      <c r="H1010">
        <v>1</v>
      </c>
      <c r="I1010">
        <v>1</v>
      </c>
      <c r="J1010">
        <v>1</v>
      </c>
    </row>
    <row r="1011" spans="1:10">
      <c r="A1011">
        <v>1010</v>
      </c>
      <c r="B1011">
        <v>808844562</v>
      </c>
      <c r="C1011">
        <v>100000000</v>
      </c>
      <c r="D1011">
        <v>100000000</v>
      </c>
      <c r="E1011">
        <v>100000</v>
      </c>
      <c r="F1011">
        <v>1</v>
      </c>
      <c r="G1011">
        <v>1</v>
      </c>
      <c r="H1011">
        <v>1</v>
      </c>
      <c r="I1011">
        <v>1</v>
      </c>
      <c r="J1011">
        <v>1</v>
      </c>
    </row>
    <row r="1012" spans="1:10">
      <c r="A1012">
        <v>1011</v>
      </c>
      <c r="B1012">
        <v>819910245</v>
      </c>
      <c r="C1012">
        <v>100000000</v>
      </c>
      <c r="D1012">
        <v>100000000</v>
      </c>
      <c r="E1012">
        <v>100000</v>
      </c>
      <c r="F1012">
        <v>1</v>
      </c>
      <c r="G1012">
        <v>1</v>
      </c>
      <c r="H1012">
        <v>1</v>
      </c>
      <c r="I1012">
        <v>1</v>
      </c>
      <c r="J1012">
        <v>1</v>
      </c>
    </row>
    <row r="1013" spans="1:10">
      <c r="A1013">
        <v>1012</v>
      </c>
      <c r="B1013">
        <v>830975928</v>
      </c>
      <c r="C1013">
        <v>100000000</v>
      </c>
      <c r="D1013">
        <v>100000000</v>
      </c>
      <c r="E1013">
        <v>100000</v>
      </c>
      <c r="F1013">
        <v>1</v>
      </c>
      <c r="G1013">
        <v>1</v>
      </c>
      <c r="H1013">
        <v>1</v>
      </c>
      <c r="I1013">
        <v>1</v>
      </c>
      <c r="J1013">
        <v>1</v>
      </c>
    </row>
    <row r="1014" spans="1:10">
      <c r="A1014">
        <v>1013</v>
      </c>
      <c r="B1014">
        <v>842041611</v>
      </c>
      <c r="C1014">
        <v>100000000</v>
      </c>
      <c r="D1014">
        <v>100000000</v>
      </c>
      <c r="E1014">
        <v>100000</v>
      </c>
      <c r="F1014">
        <v>1</v>
      </c>
      <c r="G1014">
        <v>1</v>
      </c>
      <c r="H1014">
        <v>1</v>
      </c>
      <c r="I1014">
        <v>1</v>
      </c>
      <c r="J1014">
        <v>1</v>
      </c>
    </row>
    <row r="1015" spans="1:10">
      <c r="A1015">
        <v>1014</v>
      </c>
      <c r="B1015">
        <v>853107294</v>
      </c>
      <c r="C1015">
        <v>100000000</v>
      </c>
      <c r="D1015">
        <v>100000000</v>
      </c>
      <c r="E1015">
        <v>100000</v>
      </c>
      <c r="F1015">
        <v>1</v>
      </c>
      <c r="G1015">
        <v>1</v>
      </c>
      <c r="H1015">
        <v>1</v>
      </c>
      <c r="I1015">
        <v>1</v>
      </c>
      <c r="J1015">
        <v>1</v>
      </c>
    </row>
    <row r="1016" spans="1:10">
      <c r="A1016">
        <v>1015</v>
      </c>
      <c r="B1016">
        <v>864172977</v>
      </c>
      <c r="C1016">
        <v>100000000</v>
      </c>
      <c r="D1016">
        <v>100000000</v>
      </c>
      <c r="E1016">
        <v>100000</v>
      </c>
      <c r="F1016">
        <v>1</v>
      </c>
      <c r="G1016">
        <v>1</v>
      </c>
      <c r="H1016">
        <v>1</v>
      </c>
      <c r="I1016">
        <v>1</v>
      </c>
      <c r="J1016">
        <v>1</v>
      </c>
    </row>
    <row r="1017" spans="1:10">
      <c r="A1017">
        <v>1016</v>
      </c>
      <c r="B1017">
        <v>875238660</v>
      </c>
      <c r="C1017">
        <v>100000000</v>
      </c>
      <c r="D1017">
        <v>100000000</v>
      </c>
      <c r="E1017">
        <v>100000</v>
      </c>
      <c r="F1017">
        <v>1</v>
      </c>
      <c r="G1017">
        <v>1</v>
      </c>
      <c r="H1017">
        <v>1</v>
      </c>
      <c r="I1017">
        <v>1</v>
      </c>
      <c r="J1017">
        <v>1</v>
      </c>
    </row>
    <row r="1018" spans="1:10">
      <c r="A1018">
        <v>1017</v>
      </c>
      <c r="B1018">
        <v>886304343</v>
      </c>
      <c r="C1018">
        <v>100000000</v>
      </c>
      <c r="D1018">
        <v>100000000</v>
      </c>
      <c r="E1018">
        <v>100000</v>
      </c>
      <c r="F1018">
        <v>1</v>
      </c>
      <c r="G1018">
        <v>1</v>
      </c>
      <c r="H1018">
        <v>1</v>
      </c>
      <c r="I1018">
        <v>1</v>
      </c>
      <c r="J1018">
        <v>1</v>
      </c>
    </row>
    <row r="1019" spans="1:10">
      <c r="A1019">
        <v>1018</v>
      </c>
      <c r="B1019">
        <v>897370026</v>
      </c>
      <c r="C1019">
        <v>100000000</v>
      </c>
      <c r="D1019">
        <v>100000000</v>
      </c>
      <c r="E1019">
        <v>100000</v>
      </c>
      <c r="F1019">
        <v>1</v>
      </c>
      <c r="G1019">
        <v>1</v>
      </c>
      <c r="H1019">
        <v>1</v>
      </c>
      <c r="I1019">
        <v>1</v>
      </c>
      <c r="J1019">
        <v>1</v>
      </c>
    </row>
    <row r="1020" spans="1:10">
      <c r="A1020">
        <v>1019</v>
      </c>
      <c r="B1020">
        <v>908435709</v>
      </c>
      <c r="C1020">
        <v>100000000</v>
      </c>
      <c r="D1020">
        <v>100000000</v>
      </c>
      <c r="E1020">
        <v>100000</v>
      </c>
      <c r="F1020">
        <v>1</v>
      </c>
      <c r="G1020">
        <v>1</v>
      </c>
      <c r="H1020">
        <v>1</v>
      </c>
      <c r="I1020">
        <v>1</v>
      </c>
      <c r="J1020">
        <v>1</v>
      </c>
    </row>
    <row r="1021" spans="1:10">
      <c r="A1021">
        <v>1020</v>
      </c>
      <c r="B1021">
        <v>919501392</v>
      </c>
      <c r="C1021">
        <v>100000000</v>
      </c>
      <c r="D1021">
        <v>100000000</v>
      </c>
      <c r="E1021">
        <v>100000</v>
      </c>
      <c r="F1021">
        <v>1</v>
      </c>
      <c r="G1021">
        <v>1</v>
      </c>
      <c r="H1021">
        <v>1</v>
      </c>
      <c r="I1021">
        <v>1</v>
      </c>
      <c r="J1021">
        <v>1</v>
      </c>
    </row>
    <row r="1022" spans="1:10">
      <c r="A1022">
        <v>1021</v>
      </c>
      <c r="B1022">
        <v>930567075</v>
      </c>
      <c r="C1022">
        <v>100000000</v>
      </c>
      <c r="D1022">
        <v>100000000</v>
      </c>
      <c r="E1022">
        <v>100000</v>
      </c>
      <c r="F1022">
        <v>1</v>
      </c>
      <c r="G1022">
        <v>1</v>
      </c>
      <c r="H1022">
        <v>1</v>
      </c>
      <c r="I1022">
        <v>1</v>
      </c>
      <c r="J1022">
        <v>1</v>
      </c>
    </row>
    <row r="1023" spans="1:10">
      <c r="A1023">
        <v>1022</v>
      </c>
      <c r="B1023">
        <v>941632758</v>
      </c>
      <c r="C1023">
        <v>100000000</v>
      </c>
      <c r="D1023">
        <v>100000000</v>
      </c>
      <c r="E1023">
        <v>100000</v>
      </c>
      <c r="F1023">
        <v>1</v>
      </c>
      <c r="G1023">
        <v>1</v>
      </c>
      <c r="H1023">
        <v>1</v>
      </c>
      <c r="I1023">
        <v>1</v>
      </c>
      <c r="J1023">
        <v>1</v>
      </c>
    </row>
    <row r="1024" spans="1:10">
      <c r="A1024">
        <v>1023</v>
      </c>
      <c r="B1024">
        <v>952698441</v>
      </c>
      <c r="C1024">
        <v>100000000</v>
      </c>
      <c r="D1024">
        <v>100000000</v>
      </c>
      <c r="E1024">
        <v>100000</v>
      </c>
      <c r="F1024">
        <v>1</v>
      </c>
      <c r="G1024">
        <v>1</v>
      </c>
      <c r="H1024">
        <v>1</v>
      </c>
      <c r="I1024">
        <v>1</v>
      </c>
      <c r="J1024">
        <v>1</v>
      </c>
    </row>
    <row r="1025" spans="1:10">
      <c r="A1025">
        <v>1024</v>
      </c>
      <c r="B1025">
        <v>963764124</v>
      </c>
      <c r="C1025">
        <v>100000000</v>
      </c>
      <c r="D1025">
        <v>100000000</v>
      </c>
      <c r="E1025">
        <v>100000</v>
      </c>
      <c r="F1025">
        <v>1</v>
      </c>
      <c r="G1025">
        <v>1</v>
      </c>
      <c r="H1025">
        <v>1</v>
      </c>
      <c r="I1025">
        <v>1</v>
      </c>
      <c r="J1025">
        <v>1</v>
      </c>
    </row>
    <row r="1026" spans="1:10">
      <c r="A1026">
        <v>1025</v>
      </c>
      <c r="B1026">
        <v>974829807</v>
      </c>
      <c r="C1026">
        <v>100000000</v>
      </c>
      <c r="D1026">
        <v>100000000</v>
      </c>
      <c r="E1026">
        <v>100000</v>
      </c>
      <c r="F1026">
        <v>1</v>
      </c>
      <c r="G1026">
        <v>1</v>
      </c>
      <c r="H1026">
        <v>1</v>
      </c>
      <c r="I1026">
        <v>1</v>
      </c>
      <c r="J1026">
        <v>1</v>
      </c>
    </row>
    <row r="1027" spans="1:10">
      <c r="A1027">
        <v>1026</v>
      </c>
      <c r="B1027">
        <v>985895490</v>
      </c>
      <c r="C1027">
        <v>100000000</v>
      </c>
      <c r="D1027">
        <v>100000000</v>
      </c>
      <c r="E1027">
        <v>100000</v>
      </c>
      <c r="F1027">
        <v>1</v>
      </c>
      <c r="G1027">
        <v>1</v>
      </c>
      <c r="H1027">
        <v>1</v>
      </c>
      <c r="I1027">
        <v>1</v>
      </c>
      <c r="J1027">
        <v>1</v>
      </c>
    </row>
    <row r="1028" spans="1:10">
      <c r="A1028">
        <v>1027</v>
      </c>
      <c r="B1028">
        <v>996961173</v>
      </c>
      <c r="C1028">
        <v>100000000</v>
      </c>
      <c r="D1028">
        <v>100000000</v>
      </c>
      <c r="E1028">
        <v>100000</v>
      </c>
      <c r="F1028">
        <v>1</v>
      </c>
      <c r="G1028">
        <v>1</v>
      </c>
      <c r="H1028">
        <v>1</v>
      </c>
      <c r="I1028">
        <v>1</v>
      </c>
      <c r="J1028">
        <v>1</v>
      </c>
    </row>
    <row r="1029" spans="1:10">
      <c r="A1029">
        <v>1028</v>
      </c>
      <c r="B1029">
        <v>100802686</v>
      </c>
      <c r="C1029">
        <v>100000000</v>
      </c>
      <c r="D1029">
        <v>100000000</v>
      </c>
      <c r="E1029">
        <v>1000000</v>
      </c>
      <c r="F1029">
        <v>1</v>
      </c>
      <c r="G1029">
        <v>1</v>
      </c>
      <c r="H1029">
        <v>1</v>
      </c>
      <c r="I1029">
        <v>1</v>
      </c>
      <c r="J1029">
        <v>1</v>
      </c>
    </row>
    <row r="1030" spans="1:10">
      <c r="A1030">
        <v>1029</v>
      </c>
      <c r="B1030">
        <v>111909259</v>
      </c>
      <c r="C1030">
        <v>100000000</v>
      </c>
      <c r="D1030">
        <v>100000000</v>
      </c>
      <c r="E1030">
        <v>1000000</v>
      </c>
      <c r="F1030">
        <v>1</v>
      </c>
      <c r="G1030">
        <v>1</v>
      </c>
      <c r="H1030">
        <v>1</v>
      </c>
      <c r="I1030">
        <v>1</v>
      </c>
      <c r="J1030">
        <v>1</v>
      </c>
    </row>
    <row r="1031" spans="1:10">
      <c r="A1031">
        <v>1030</v>
      </c>
      <c r="B1031">
        <v>123015832</v>
      </c>
      <c r="C1031">
        <v>100000000</v>
      </c>
      <c r="D1031">
        <v>100000000</v>
      </c>
      <c r="E1031">
        <v>1000000</v>
      </c>
      <c r="F1031">
        <v>1</v>
      </c>
      <c r="G1031">
        <v>1</v>
      </c>
      <c r="H1031">
        <v>1</v>
      </c>
      <c r="I1031">
        <v>1</v>
      </c>
      <c r="J1031">
        <v>1</v>
      </c>
    </row>
    <row r="1032" spans="1:10">
      <c r="A1032">
        <v>1031</v>
      </c>
      <c r="B1032">
        <v>134122405</v>
      </c>
      <c r="C1032">
        <v>100000000</v>
      </c>
      <c r="D1032">
        <v>100000000</v>
      </c>
      <c r="E1032">
        <v>1000000</v>
      </c>
      <c r="F1032">
        <v>1</v>
      </c>
      <c r="G1032">
        <v>1</v>
      </c>
      <c r="H1032">
        <v>1</v>
      </c>
      <c r="I1032">
        <v>1</v>
      </c>
      <c r="J1032">
        <v>1</v>
      </c>
    </row>
    <row r="1033" spans="1:10">
      <c r="A1033">
        <v>1032</v>
      </c>
      <c r="B1033">
        <v>145228978</v>
      </c>
      <c r="C1033">
        <v>100000000</v>
      </c>
      <c r="D1033">
        <v>100000000</v>
      </c>
      <c r="E1033">
        <v>1000000</v>
      </c>
      <c r="F1033">
        <v>1</v>
      </c>
      <c r="G1033">
        <v>1</v>
      </c>
      <c r="H1033">
        <v>1</v>
      </c>
      <c r="I1033">
        <v>1</v>
      </c>
      <c r="J1033">
        <v>1</v>
      </c>
    </row>
    <row r="1034" spans="1:10">
      <c r="A1034">
        <v>1033</v>
      </c>
      <c r="B1034">
        <v>156335551</v>
      </c>
      <c r="C1034">
        <v>100000000</v>
      </c>
      <c r="D1034">
        <v>100000000</v>
      </c>
      <c r="E1034">
        <v>1000000</v>
      </c>
      <c r="F1034">
        <v>1</v>
      </c>
      <c r="G1034">
        <v>1</v>
      </c>
      <c r="H1034">
        <v>1</v>
      </c>
      <c r="I1034">
        <v>1</v>
      </c>
      <c r="J1034">
        <v>1</v>
      </c>
    </row>
    <row r="1035" spans="1:10">
      <c r="A1035">
        <v>1034</v>
      </c>
      <c r="B1035">
        <v>167442124</v>
      </c>
      <c r="C1035">
        <v>100000000</v>
      </c>
      <c r="D1035">
        <v>100000000</v>
      </c>
      <c r="E1035">
        <v>1000000</v>
      </c>
      <c r="F1035">
        <v>1</v>
      </c>
      <c r="G1035">
        <v>1</v>
      </c>
      <c r="H1035">
        <v>1</v>
      </c>
      <c r="I1035">
        <v>1</v>
      </c>
      <c r="J1035">
        <v>1</v>
      </c>
    </row>
    <row r="1036" spans="1:10">
      <c r="A1036">
        <v>1035</v>
      </c>
      <c r="B1036">
        <v>178548697</v>
      </c>
      <c r="C1036">
        <v>100000000</v>
      </c>
      <c r="D1036">
        <v>100000000</v>
      </c>
      <c r="E1036">
        <v>1000000</v>
      </c>
      <c r="F1036">
        <v>1</v>
      </c>
      <c r="G1036">
        <v>1</v>
      </c>
      <c r="H1036">
        <v>1</v>
      </c>
      <c r="I1036">
        <v>1</v>
      </c>
      <c r="J1036">
        <v>1</v>
      </c>
    </row>
    <row r="1037" spans="1:10">
      <c r="A1037">
        <v>1036</v>
      </c>
      <c r="B1037">
        <v>189655270</v>
      </c>
      <c r="C1037">
        <v>100000000</v>
      </c>
      <c r="D1037">
        <v>100000000</v>
      </c>
      <c r="E1037">
        <v>1000000</v>
      </c>
      <c r="F1037">
        <v>1</v>
      </c>
      <c r="G1037">
        <v>1</v>
      </c>
      <c r="H1037">
        <v>1</v>
      </c>
      <c r="I1037">
        <v>1</v>
      </c>
      <c r="J1037">
        <v>1</v>
      </c>
    </row>
    <row r="1038" spans="1:10">
      <c r="A1038">
        <v>1037</v>
      </c>
      <c r="B1038">
        <v>200761843</v>
      </c>
      <c r="C1038">
        <v>100000000</v>
      </c>
      <c r="D1038">
        <v>100000000</v>
      </c>
      <c r="E1038">
        <v>1000000</v>
      </c>
      <c r="F1038">
        <v>1</v>
      </c>
      <c r="G1038">
        <v>1</v>
      </c>
      <c r="H1038">
        <v>1</v>
      </c>
      <c r="I1038">
        <v>1</v>
      </c>
      <c r="J1038">
        <v>1</v>
      </c>
    </row>
    <row r="1039" spans="1:10">
      <c r="A1039">
        <v>1038</v>
      </c>
      <c r="B1039">
        <v>211868416</v>
      </c>
      <c r="C1039">
        <v>100000000</v>
      </c>
      <c r="D1039">
        <v>100000000</v>
      </c>
      <c r="E1039">
        <v>1000000</v>
      </c>
      <c r="F1039">
        <v>1</v>
      </c>
      <c r="G1039">
        <v>1</v>
      </c>
      <c r="H1039">
        <v>1</v>
      </c>
      <c r="I1039">
        <v>1</v>
      </c>
      <c r="J1039">
        <v>1</v>
      </c>
    </row>
    <row r="1040" spans="1:10">
      <c r="A1040">
        <v>1039</v>
      </c>
      <c r="B1040">
        <v>222974989</v>
      </c>
      <c r="C1040">
        <v>100000000</v>
      </c>
      <c r="D1040">
        <v>100000000</v>
      </c>
      <c r="E1040">
        <v>1000000</v>
      </c>
      <c r="F1040">
        <v>1</v>
      </c>
      <c r="G1040">
        <v>1</v>
      </c>
      <c r="H1040">
        <v>1</v>
      </c>
      <c r="I1040">
        <v>1</v>
      </c>
      <c r="J1040">
        <v>1</v>
      </c>
    </row>
    <row r="1041" spans="1:10">
      <c r="A1041">
        <v>1040</v>
      </c>
      <c r="B1041">
        <v>234081562</v>
      </c>
      <c r="C1041">
        <v>100000000</v>
      </c>
      <c r="D1041">
        <v>100000000</v>
      </c>
      <c r="E1041">
        <v>1000000</v>
      </c>
      <c r="F1041">
        <v>1</v>
      </c>
      <c r="G1041">
        <v>1</v>
      </c>
      <c r="H1041">
        <v>1</v>
      </c>
      <c r="I1041">
        <v>1</v>
      </c>
      <c r="J1041">
        <v>1</v>
      </c>
    </row>
    <row r="1042" spans="1:10">
      <c r="A1042">
        <v>1041</v>
      </c>
      <c r="B1042">
        <v>245188135</v>
      </c>
      <c r="C1042">
        <v>100000000</v>
      </c>
      <c r="D1042">
        <v>100000000</v>
      </c>
      <c r="E1042">
        <v>1000000</v>
      </c>
      <c r="F1042">
        <v>1</v>
      </c>
      <c r="G1042">
        <v>1</v>
      </c>
      <c r="H1042">
        <v>1</v>
      </c>
      <c r="I1042">
        <v>1</v>
      </c>
      <c r="J1042">
        <v>1</v>
      </c>
    </row>
    <row r="1043" spans="1:10">
      <c r="A1043">
        <v>1042</v>
      </c>
      <c r="B1043">
        <v>256294708</v>
      </c>
      <c r="C1043">
        <v>100000000</v>
      </c>
      <c r="D1043">
        <v>100000000</v>
      </c>
      <c r="E1043">
        <v>1000000</v>
      </c>
      <c r="F1043">
        <v>1</v>
      </c>
      <c r="G1043">
        <v>1</v>
      </c>
      <c r="H1043">
        <v>1</v>
      </c>
      <c r="I1043">
        <v>1</v>
      </c>
      <c r="J1043">
        <v>1</v>
      </c>
    </row>
    <row r="1044" spans="1:10">
      <c r="A1044">
        <v>1043</v>
      </c>
      <c r="B1044">
        <v>267401281</v>
      </c>
      <c r="C1044">
        <v>100000000</v>
      </c>
      <c r="D1044">
        <v>100000000</v>
      </c>
      <c r="E1044">
        <v>1000000</v>
      </c>
      <c r="F1044">
        <v>1</v>
      </c>
      <c r="G1044">
        <v>1</v>
      </c>
      <c r="H1044">
        <v>1</v>
      </c>
      <c r="I1044">
        <v>1</v>
      </c>
      <c r="J1044">
        <v>1</v>
      </c>
    </row>
    <row r="1045" spans="1:10">
      <c r="A1045">
        <v>1044</v>
      </c>
      <c r="B1045">
        <v>278507854</v>
      </c>
      <c r="C1045">
        <v>100000000</v>
      </c>
      <c r="D1045">
        <v>100000000</v>
      </c>
      <c r="E1045">
        <v>1000000</v>
      </c>
      <c r="F1045">
        <v>1</v>
      </c>
      <c r="G1045">
        <v>1</v>
      </c>
      <c r="H1045">
        <v>1</v>
      </c>
      <c r="I1045">
        <v>1</v>
      </c>
      <c r="J1045">
        <v>1</v>
      </c>
    </row>
    <row r="1046" spans="1:10">
      <c r="A1046">
        <v>1045</v>
      </c>
      <c r="B1046">
        <v>289614427</v>
      </c>
      <c r="C1046">
        <v>100000000</v>
      </c>
      <c r="D1046">
        <v>100000000</v>
      </c>
      <c r="E1046">
        <v>1000000</v>
      </c>
      <c r="F1046">
        <v>1</v>
      </c>
      <c r="G1046">
        <v>1</v>
      </c>
      <c r="H1046">
        <v>1</v>
      </c>
      <c r="I1046">
        <v>1</v>
      </c>
      <c r="J1046">
        <v>1</v>
      </c>
    </row>
    <row r="1047" spans="1:10">
      <c r="A1047">
        <v>1046</v>
      </c>
      <c r="B1047">
        <v>300721000</v>
      </c>
      <c r="C1047">
        <v>100000000</v>
      </c>
      <c r="D1047">
        <v>100000000</v>
      </c>
      <c r="E1047">
        <v>1000000</v>
      </c>
      <c r="F1047">
        <v>1</v>
      </c>
      <c r="G1047">
        <v>1</v>
      </c>
      <c r="H1047">
        <v>1</v>
      </c>
      <c r="I1047">
        <v>1</v>
      </c>
      <c r="J1047">
        <v>1</v>
      </c>
    </row>
    <row r="1048" spans="1:10">
      <c r="A1048">
        <v>1047</v>
      </c>
      <c r="B1048">
        <v>311827573</v>
      </c>
      <c r="C1048">
        <v>100000000</v>
      </c>
      <c r="D1048">
        <v>100000000</v>
      </c>
      <c r="E1048">
        <v>1000000</v>
      </c>
      <c r="F1048">
        <v>1</v>
      </c>
      <c r="G1048">
        <v>1</v>
      </c>
      <c r="H1048">
        <v>1</v>
      </c>
      <c r="I1048">
        <v>1</v>
      </c>
      <c r="J1048">
        <v>1</v>
      </c>
    </row>
    <row r="1049" spans="1:10">
      <c r="A1049">
        <v>1048</v>
      </c>
      <c r="B1049">
        <v>322934146</v>
      </c>
      <c r="C1049">
        <v>100000000</v>
      </c>
      <c r="D1049">
        <v>100000000</v>
      </c>
      <c r="E1049">
        <v>1000000</v>
      </c>
      <c r="F1049">
        <v>1</v>
      </c>
      <c r="G1049">
        <v>1</v>
      </c>
      <c r="H1049">
        <v>1</v>
      </c>
      <c r="I1049">
        <v>1</v>
      </c>
      <c r="J1049">
        <v>1</v>
      </c>
    </row>
    <row r="1050" spans="1:10">
      <c r="A1050">
        <v>1049</v>
      </c>
      <c r="B1050">
        <v>334040719</v>
      </c>
      <c r="C1050">
        <v>100000000</v>
      </c>
      <c r="D1050">
        <v>100000000</v>
      </c>
      <c r="E1050">
        <v>1000000</v>
      </c>
      <c r="F1050">
        <v>1</v>
      </c>
      <c r="G1050">
        <v>1</v>
      </c>
      <c r="H1050">
        <v>1</v>
      </c>
      <c r="I1050">
        <v>1</v>
      </c>
      <c r="J1050">
        <v>1</v>
      </c>
    </row>
    <row r="1051" spans="1:10">
      <c r="A1051">
        <v>1050</v>
      </c>
      <c r="B1051">
        <v>345147292</v>
      </c>
      <c r="C1051">
        <v>100000000</v>
      </c>
      <c r="D1051">
        <v>100000000</v>
      </c>
      <c r="E1051">
        <v>1000000</v>
      </c>
      <c r="F1051">
        <v>1</v>
      </c>
      <c r="G1051">
        <v>1</v>
      </c>
      <c r="H1051">
        <v>1</v>
      </c>
      <c r="I1051">
        <v>1</v>
      </c>
      <c r="J1051">
        <v>1</v>
      </c>
    </row>
    <row r="1052" spans="1:10">
      <c r="A1052">
        <v>1051</v>
      </c>
      <c r="B1052">
        <v>356253865</v>
      </c>
      <c r="C1052">
        <v>100000000</v>
      </c>
      <c r="D1052">
        <v>100000000</v>
      </c>
      <c r="E1052">
        <v>1000000</v>
      </c>
      <c r="F1052">
        <v>1</v>
      </c>
      <c r="G1052">
        <v>1</v>
      </c>
      <c r="H1052">
        <v>1</v>
      </c>
      <c r="I1052">
        <v>1</v>
      </c>
      <c r="J1052">
        <v>1</v>
      </c>
    </row>
    <row r="1053" spans="1:10">
      <c r="A1053">
        <v>1052</v>
      </c>
      <c r="B1053">
        <v>367360438</v>
      </c>
      <c r="C1053">
        <v>100000000</v>
      </c>
      <c r="D1053">
        <v>100000000</v>
      </c>
      <c r="E1053">
        <v>1000000</v>
      </c>
      <c r="F1053">
        <v>1</v>
      </c>
      <c r="G1053">
        <v>1</v>
      </c>
      <c r="H1053">
        <v>1</v>
      </c>
      <c r="I1053">
        <v>1</v>
      </c>
      <c r="J1053">
        <v>1</v>
      </c>
    </row>
    <row r="1054" spans="1:10">
      <c r="A1054">
        <v>1053</v>
      </c>
      <c r="B1054">
        <v>378467011</v>
      </c>
      <c r="C1054">
        <v>100000000</v>
      </c>
      <c r="D1054">
        <v>100000000</v>
      </c>
      <c r="E1054">
        <v>1000000</v>
      </c>
      <c r="F1054">
        <v>1</v>
      </c>
      <c r="G1054">
        <v>1</v>
      </c>
      <c r="H1054">
        <v>1</v>
      </c>
      <c r="I1054">
        <v>1</v>
      </c>
      <c r="J1054">
        <v>1</v>
      </c>
    </row>
    <row r="1055" spans="1:10">
      <c r="A1055">
        <v>1054</v>
      </c>
      <c r="B1055">
        <v>389573584</v>
      </c>
      <c r="C1055">
        <v>100000000</v>
      </c>
      <c r="D1055">
        <v>100000000</v>
      </c>
      <c r="E1055">
        <v>1000000</v>
      </c>
      <c r="F1055">
        <v>1</v>
      </c>
      <c r="G1055">
        <v>1</v>
      </c>
      <c r="H1055">
        <v>1</v>
      </c>
      <c r="I1055">
        <v>1</v>
      </c>
      <c r="J1055">
        <v>1</v>
      </c>
    </row>
    <row r="1056" spans="1:10">
      <c r="A1056">
        <v>1055</v>
      </c>
      <c r="B1056">
        <v>400680157</v>
      </c>
      <c r="C1056">
        <v>100000000</v>
      </c>
      <c r="D1056">
        <v>100000000</v>
      </c>
      <c r="E1056">
        <v>1000000</v>
      </c>
      <c r="F1056">
        <v>1</v>
      </c>
      <c r="G1056">
        <v>1</v>
      </c>
      <c r="H1056">
        <v>1</v>
      </c>
      <c r="I1056">
        <v>1</v>
      </c>
      <c r="J1056">
        <v>1</v>
      </c>
    </row>
    <row r="1057" spans="1:10">
      <c r="A1057">
        <v>1056</v>
      </c>
      <c r="B1057">
        <v>411786730</v>
      </c>
      <c r="C1057">
        <v>100000000</v>
      </c>
      <c r="D1057">
        <v>100000000</v>
      </c>
      <c r="E1057">
        <v>1000000</v>
      </c>
      <c r="F1057">
        <v>1</v>
      </c>
      <c r="G1057">
        <v>1</v>
      </c>
      <c r="H1057">
        <v>1</v>
      </c>
      <c r="I1057">
        <v>1</v>
      </c>
      <c r="J1057">
        <v>1</v>
      </c>
    </row>
    <row r="1058" spans="1:10">
      <c r="A1058">
        <v>1057</v>
      </c>
      <c r="B1058">
        <v>422893303</v>
      </c>
      <c r="C1058">
        <v>100000000</v>
      </c>
      <c r="D1058">
        <v>100000000</v>
      </c>
      <c r="E1058">
        <v>1000000</v>
      </c>
      <c r="F1058">
        <v>1</v>
      </c>
      <c r="G1058">
        <v>1</v>
      </c>
      <c r="H1058">
        <v>1</v>
      </c>
      <c r="I1058">
        <v>1</v>
      </c>
      <c r="J1058">
        <v>1</v>
      </c>
    </row>
    <row r="1059" spans="1:10">
      <c r="A1059">
        <v>1058</v>
      </c>
      <c r="B1059">
        <v>433999876</v>
      </c>
      <c r="C1059">
        <v>100000000</v>
      </c>
      <c r="D1059">
        <v>100000000</v>
      </c>
      <c r="E1059">
        <v>1000000</v>
      </c>
      <c r="F1059">
        <v>1</v>
      </c>
      <c r="G1059">
        <v>1</v>
      </c>
      <c r="H1059">
        <v>1</v>
      </c>
      <c r="I1059">
        <v>1</v>
      </c>
      <c r="J1059">
        <v>1</v>
      </c>
    </row>
    <row r="1060" spans="1:10">
      <c r="A1060">
        <v>1059</v>
      </c>
      <c r="B1060">
        <v>445106449</v>
      </c>
      <c r="C1060">
        <v>100000000</v>
      </c>
      <c r="D1060">
        <v>100000000</v>
      </c>
      <c r="E1060">
        <v>1000000</v>
      </c>
      <c r="F1060">
        <v>1</v>
      </c>
      <c r="G1060">
        <v>1</v>
      </c>
      <c r="H1060">
        <v>1</v>
      </c>
      <c r="I1060">
        <v>1</v>
      </c>
      <c r="J1060">
        <v>1</v>
      </c>
    </row>
    <row r="1061" spans="1:10">
      <c r="A1061">
        <v>1060</v>
      </c>
      <c r="B1061">
        <v>456213022</v>
      </c>
      <c r="C1061">
        <v>100000000</v>
      </c>
      <c r="D1061">
        <v>100000000</v>
      </c>
      <c r="E1061">
        <v>1000000</v>
      </c>
      <c r="F1061">
        <v>1</v>
      </c>
      <c r="G1061">
        <v>1</v>
      </c>
      <c r="H1061">
        <v>1</v>
      </c>
      <c r="I1061">
        <v>1</v>
      </c>
      <c r="J1061">
        <v>1</v>
      </c>
    </row>
    <row r="1062" spans="1:10">
      <c r="A1062">
        <v>1061</v>
      </c>
      <c r="B1062">
        <v>467319595</v>
      </c>
      <c r="C1062">
        <v>100000000</v>
      </c>
      <c r="D1062">
        <v>100000000</v>
      </c>
      <c r="E1062">
        <v>1000000</v>
      </c>
      <c r="F1062">
        <v>1</v>
      </c>
      <c r="G1062">
        <v>1</v>
      </c>
      <c r="H1062">
        <v>1</v>
      </c>
      <c r="I1062">
        <v>1</v>
      </c>
      <c r="J1062">
        <v>1</v>
      </c>
    </row>
    <row r="1063" spans="1:10">
      <c r="A1063">
        <v>1062</v>
      </c>
      <c r="B1063">
        <v>478426168</v>
      </c>
      <c r="C1063">
        <v>100000000</v>
      </c>
      <c r="D1063">
        <v>100000000</v>
      </c>
      <c r="E1063">
        <v>1000000</v>
      </c>
      <c r="F1063">
        <v>1</v>
      </c>
      <c r="G1063">
        <v>1</v>
      </c>
      <c r="H1063">
        <v>1</v>
      </c>
      <c r="I1063">
        <v>1</v>
      </c>
      <c r="J1063">
        <v>1</v>
      </c>
    </row>
    <row r="1064" spans="1:10">
      <c r="A1064">
        <v>1063</v>
      </c>
      <c r="B1064">
        <v>489532741</v>
      </c>
      <c r="C1064">
        <v>100000000</v>
      </c>
      <c r="D1064">
        <v>100000000</v>
      </c>
      <c r="E1064">
        <v>1000000</v>
      </c>
      <c r="F1064">
        <v>1</v>
      </c>
      <c r="G1064">
        <v>1</v>
      </c>
      <c r="H1064">
        <v>1</v>
      </c>
      <c r="I1064">
        <v>1</v>
      </c>
      <c r="J1064">
        <v>1</v>
      </c>
    </row>
    <row r="1065" spans="1:10">
      <c r="A1065">
        <v>1064</v>
      </c>
      <c r="B1065">
        <v>500639314</v>
      </c>
      <c r="C1065">
        <v>100000000</v>
      </c>
      <c r="D1065">
        <v>100000000</v>
      </c>
      <c r="E1065">
        <v>1000000</v>
      </c>
      <c r="F1065">
        <v>1</v>
      </c>
      <c r="G1065">
        <v>1</v>
      </c>
      <c r="H1065">
        <v>1</v>
      </c>
      <c r="I1065">
        <v>1</v>
      </c>
      <c r="J1065">
        <v>1</v>
      </c>
    </row>
    <row r="1066" spans="1:10">
      <c r="A1066">
        <v>1065</v>
      </c>
      <c r="B1066">
        <v>511745887</v>
      </c>
      <c r="C1066">
        <v>100000000</v>
      </c>
      <c r="D1066">
        <v>100000000</v>
      </c>
      <c r="E1066">
        <v>1000000</v>
      </c>
      <c r="F1066">
        <v>1</v>
      </c>
      <c r="G1066">
        <v>1</v>
      </c>
      <c r="H1066">
        <v>1</v>
      </c>
      <c r="I1066">
        <v>1</v>
      </c>
      <c r="J1066">
        <v>1</v>
      </c>
    </row>
    <row r="1067" spans="1:10">
      <c r="A1067">
        <v>1066</v>
      </c>
      <c r="B1067">
        <v>522852460</v>
      </c>
      <c r="C1067">
        <v>100000000</v>
      </c>
      <c r="D1067">
        <v>100000000</v>
      </c>
      <c r="E1067">
        <v>1000000</v>
      </c>
      <c r="F1067">
        <v>1</v>
      </c>
      <c r="G1067">
        <v>1</v>
      </c>
      <c r="H1067">
        <v>1</v>
      </c>
      <c r="I1067">
        <v>1</v>
      </c>
      <c r="J1067">
        <v>1</v>
      </c>
    </row>
    <row r="1068" spans="1:10">
      <c r="A1068">
        <v>1067</v>
      </c>
      <c r="B1068">
        <v>533959033</v>
      </c>
      <c r="C1068">
        <v>100000000</v>
      </c>
      <c r="D1068">
        <v>100000000</v>
      </c>
      <c r="E1068">
        <v>1000000</v>
      </c>
      <c r="F1068">
        <v>1</v>
      </c>
      <c r="G1068">
        <v>1</v>
      </c>
      <c r="H1068">
        <v>1</v>
      </c>
      <c r="I1068">
        <v>1</v>
      </c>
      <c r="J1068">
        <v>1</v>
      </c>
    </row>
    <row r="1069" spans="1:10">
      <c r="A1069">
        <v>1068</v>
      </c>
      <c r="B1069">
        <v>545065606</v>
      </c>
      <c r="C1069">
        <v>100000000</v>
      </c>
      <c r="D1069">
        <v>100000000</v>
      </c>
      <c r="E1069">
        <v>1000000</v>
      </c>
      <c r="F1069">
        <v>1</v>
      </c>
      <c r="G1069">
        <v>1</v>
      </c>
      <c r="H1069">
        <v>1</v>
      </c>
      <c r="I1069">
        <v>1</v>
      </c>
      <c r="J1069">
        <v>1</v>
      </c>
    </row>
    <row r="1070" spans="1:10">
      <c r="A1070">
        <v>1069</v>
      </c>
      <c r="B1070">
        <v>556172179</v>
      </c>
      <c r="C1070">
        <v>100000000</v>
      </c>
      <c r="D1070">
        <v>100000000</v>
      </c>
      <c r="E1070">
        <v>1000000</v>
      </c>
      <c r="F1070">
        <v>1</v>
      </c>
      <c r="G1070">
        <v>1</v>
      </c>
      <c r="H1070">
        <v>1</v>
      </c>
      <c r="I1070">
        <v>1</v>
      </c>
      <c r="J1070">
        <v>1</v>
      </c>
    </row>
    <row r="1071" spans="1:10">
      <c r="A1071">
        <v>1070</v>
      </c>
      <c r="B1071">
        <v>567278752</v>
      </c>
      <c r="C1071">
        <v>100000000</v>
      </c>
      <c r="D1071">
        <v>100000000</v>
      </c>
      <c r="E1071">
        <v>1000000</v>
      </c>
      <c r="F1071">
        <v>1</v>
      </c>
      <c r="G1071">
        <v>1</v>
      </c>
      <c r="H1071">
        <v>1</v>
      </c>
      <c r="I1071">
        <v>1</v>
      </c>
      <c r="J1071">
        <v>1</v>
      </c>
    </row>
    <row r="1072" spans="1:10">
      <c r="A1072">
        <v>1071</v>
      </c>
      <c r="B1072">
        <v>578385325</v>
      </c>
      <c r="C1072">
        <v>100000000</v>
      </c>
      <c r="D1072">
        <v>100000000</v>
      </c>
      <c r="E1072">
        <v>1000000</v>
      </c>
      <c r="F1072">
        <v>1</v>
      </c>
      <c r="G1072">
        <v>1</v>
      </c>
      <c r="H1072">
        <v>1</v>
      </c>
      <c r="I1072">
        <v>1</v>
      </c>
      <c r="J1072">
        <v>1</v>
      </c>
    </row>
    <row r="1073" spans="1:10">
      <c r="A1073">
        <v>1072</v>
      </c>
      <c r="B1073">
        <v>589491898</v>
      </c>
      <c r="C1073">
        <v>100000000</v>
      </c>
      <c r="D1073">
        <v>100000000</v>
      </c>
      <c r="E1073">
        <v>1000000</v>
      </c>
      <c r="F1073">
        <v>1</v>
      </c>
      <c r="G1073">
        <v>1</v>
      </c>
      <c r="H1073">
        <v>1</v>
      </c>
      <c r="I1073">
        <v>1</v>
      </c>
      <c r="J1073">
        <v>1</v>
      </c>
    </row>
    <row r="1074" spans="1:10">
      <c r="A1074">
        <v>1073</v>
      </c>
      <c r="B1074">
        <v>600598471</v>
      </c>
      <c r="C1074">
        <v>100000000</v>
      </c>
      <c r="D1074">
        <v>100000000</v>
      </c>
      <c r="E1074">
        <v>1000000</v>
      </c>
      <c r="F1074">
        <v>1</v>
      </c>
      <c r="G1074">
        <v>1</v>
      </c>
      <c r="H1074">
        <v>1</v>
      </c>
      <c r="I1074">
        <v>1</v>
      </c>
      <c r="J1074">
        <v>1</v>
      </c>
    </row>
    <row r="1075" spans="1:10">
      <c r="A1075">
        <v>1074</v>
      </c>
      <c r="B1075">
        <v>611705044</v>
      </c>
      <c r="C1075">
        <v>100000000</v>
      </c>
      <c r="D1075">
        <v>100000000</v>
      </c>
      <c r="E1075">
        <v>1000000</v>
      </c>
      <c r="F1075">
        <v>1</v>
      </c>
      <c r="G1075">
        <v>1</v>
      </c>
      <c r="H1075">
        <v>1</v>
      </c>
      <c r="I1075">
        <v>1</v>
      </c>
      <c r="J1075">
        <v>1</v>
      </c>
    </row>
    <row r="1076" spans="1:10">
      <c r="A1076">
        <v>1075</v>
      </c>
      <c r="B1076">
        <v>622811617</v>
      </c>
      <c r="C1076">
        <v>100000000</v>
      </c>
      <c r="D1076">
        <v>100000000</v>
      </c>
      <c r="E1076">
        <v>1000000</v>
      </c>
      <c r="F1076">
        <v>1</v>
      </c>
      <c r="G1076">
        <v>1</v>
      </c>
      <c r="H1076">
        <v>1</v>
      </c>
      <c r="I1076">
        <v>1</v>
      </c>
      <c r="J1076">
        <v>1</v>
      </c>
    </row>
    <row r="1077" spans="1:10">
      <c r="A1077">
        <v>1076</v>
      </c>
      <c r="B1077">
        <v>633918190</v>
      </c>
      <c r="C1077">
        <v>100000000</v>
      </c>
      <c r="D1077">
        <v>100000000</v>
      </c>
      <c r="E1077">
        <v>1000000</v>
      </c>
      <c r="F1077">
        <v>1</v>
      </c>
      <c r="G1077">
        <v>1</v>
      </c>
      <c r="H1077">
        <v>1</v>
      </c>
      <c r="I1077">
        <v>1</v>
      </c>
      <c r="J1077">
        <v>1</v>
      </c>
    </row>
    <row r="1078" spans="1:10">
      <c r="A1078">
        <v>1077</v>
      </c>
      <c r="B1078">
        <v>645024763</v>
      </c>
      <c r="C1078">
        <v>100000000</v>
      </c>
      <c r="D1078">
        <v>100000000</v>
      </c>
      <c r="E1078">
        <v>1000000</v>
      </c>
      <c r="F1078">
        <v>1</v>
      </c>
      <c r="G1078">
        <v>1</v>
      </c>
      <c r="H1078">
        <v>1</v>
      </c>
      <c r="I1078">
        <v>1</v>
      </c>
      <c r="J1078">
        <v>1</v>
      </c>
    </row>
    <row r="1079" spans="1:10">
      <c r="A1079">
        <v>1078</v>
      </c>
      <c r="B1079">
        <v>656131336</v>
      </c>
      <c r="C1079">
        <v>100000000</v>
      </c>
      <c r="D1079">
        <v>100000000</v>
      </c>
      <c r="E1079">
        <v>1000000</v>
      </c>
      <c r="F1079">
        <v>1</v>
      </c>
      <c r="G1079">
        <v>1</v>
      </c>
      <c r="H1079">
        <v>1</v>
      </c>
      <c r="I1079">
        <v>1</v>
      </c>
      <c r="J1079">
        <v>1</v>
      </c>
    </row>
    <row r="1080" spans="1:10">
      <c r="A1080">
        <v>1079</v>
      </c>
      <c r="B1080">
        <v>667237909</v>
      </c>
      <c r="C1080">
        <v>100000000</v>
      </c>
      <c r="D1080">
        <v>100000000</v>
      </c>
      <c r="E1080">
        <v>1000000</v>
      </c>
      <c r="F1080">
        <v>1</v>
      </c>
      <c r="G1080">
        <v>1</v>
      </c>
      <c r="H1080">
        <v>1</v>
      </c>
      <c r="I1080">
        <v>1</v>
      </c>
      <c r="J1080">
        <v>1</v>
      </c>
    </row>
    <row r="1081" spans="1:10">
      <c r="A1081">
        <v>1080</v>
      </c>
      <c r="B1081">
        <v>678344482</v>
      </c>
      <c r="C1081">
        <v>100000000</v>
      </c>
      <c r="D1081">
        <v>100000000</v>
      </c>
      <c r="E1081">
        <v>1000000</v>
      </c>
      <c r="F1081">
        <v>1</v>
      </c>
      <c r="G1081">
        <v>1</v>
      </c>
      <c r="H1081">
        <v>1</v>
      </c>
      <c r="I1081">
        <v>1</v>
      </c>
      <c r="J1081">
        <v>1</v>
      </c>
    </row>
    <row r="1082" spans="1:10">
      <c r="A1082">
        <v>1081</v>
      </c>
      <c r="B1082">
        <v>689451055</v>
      </c>
      <c r="C1082">
        <v>100000000</v>
      </c>
      <c r="D1082">
        <v>100000000</v>
      </c>
      <c r="E1082">
        <v>1000000</v>
      </c>
      <c r="F1082">
        <v>1</v>
      </c>
      <c r="G1082">
        <v>1</v>
      </c>
      <c r="H1082">
        <v>1</v>
      </c>
      <c r="I1082">
        <v>1</v>
      </c>
      <c r="J1082">
        <v>1</v>
      </c>
    </row>
    <row r="1083" spans="1:10">
      <c r="A1083">
        <v>1082</v>
      </c>
      <c r="B1083">
        <v>700557628</v>
      </c>
      <c r="C1083">
        <v>100000000</v>
      </c>
      <c r="D1083">
        <v>100000000</v>
      </c>
      <c r="E1083">
        <v>1000000</v>
      </c>
      <c r="F1083">
        <v>1</v>
      </c>
      <c r="G1083">
        <v>1</v>
      </c>
      <c r="H1083">
        <v>1</v>
      </c>
      <c r="I1083">
        <v>1</v>
      </c>
      <c r="J1083">
        <v>1</v>
      </c>
    </row>
    <row r="1084" spans="1:10">
      <c r="A1084">
        <v>1083</v>
      </c>
      <c r="B1084">
        <v>711664201</v>
      </c>
      <c r="C1084">
        <v>100000000</v>
      </c>
      <c r="D1084">
        <v>100000000</v>
      </c>
      <c r="E1084">
        <v>1000000</v>
      </c>
      <c r="F1084">
        <v>1</v>
      </c>
      <c r="G1084">
        <v>1</v>
      </c>
      <c r="H1084">
        <v>1</v>
      </c>
      <c r="I1084">
        <v>1</v>
      </c>
      <c r="J1084">
        <v>1</v>
      </c>
    </row>
    <row r="1085" spans="1:10">
      <c r="A1085">
        <v>1084</v>
      </c>
      <c r="B1085">
        <v>722770774</v>
      </c>
      <c r="C1085">
        <v>100000000</v>
      </c>
      <c r="D1085">
        <v>100000000</v>
      </c>
      <c r="E1085">
        <v>1000000</v>
      </c>
      <c r="F1085">
        <v>1</v>
      </c>
      <c r="G1085">
        <v>1</v>
      </c>
      <c r="H1085">
        <v>1</v>
      </c>
      <c r="I1085">
        <v>1</v>
      </c>
      <c r="J1085">
        <v>1</v>
      </c>
    </row>
    <row r="1086" spans="1:10">
      <c r="A1086">
        <v>1085</v>
      </c>
      <c r="B1086">
        <v>733877347</v>
      </c>
      <c r="C1086">
        <v>100000000</v>
      </c>
      <c r="D1086">
        <v>100000000</v>
      </c>
      <c r="E1086">
        <v>1000000</v>
      </c>
      <c r="F1086">
        <v>1</v>
      </c>
      <c r="G1086">
        <v>1</v>
      </c>
      <c r="H1086">
        <v>1</v>
      </c>
      <c r="I1086">
        <v>1</v>
      </c>
      <c r="J1086">
        <v>1</v>
      </c>
    </row>
    <row r="1087" spans="1:10">
      <c r="A1087">
        <v>1086</v>
      </c>
      <c r="B1087">
        <v>744983920</v>
      </c>
      <c r="C1087">
        <v>100000000</v>
      </c>
      <c r="D1087">
        <v>100000000</v>
      </c>
      <c r="E1087">
        <v>1000000</v>
      </c>
      <c r="F1087">
        <v>1</v>
      </c>
      <c r="G1087">
        <v>1</v>
      </c>
      <c r="H1087">
        <v>1</v>
      </c>
      <c r="I1087">
        <v>1</v>
      </c>
      <c r="J1087">
        <v>1</v>
      </c>
    </row>
    <row r="1088" spans="1:10">
      <c r="A1088">
        <v>1087</v>
      </c>
      <c r="B1088">
        <v>756090493</v>
      </c>
      <c r="C1088">
        <v>100000000</v>
      </c>
      <c r="D1088">
        <v>100000000</v>
      </c>
      <c r="E1088">
        <v>1000000</v>
      </c>
      <c r="F1088">
        <v>1</v>
      </c>
      <c r="G1088">
        <v>1</v>
      </c>
      <c r="H1088">
        <v>1</v>
      </c>
      <c r="I1088">
        <v>1</v>
      </c>
      <c r="J1088">
        <v>1</v>
      </c>
    </row>
    <row r="1089" spans="1:10">
      <c r="A1089">
        <v>1088</v>
      </c>
      <c r="B1089">
        <v>767197066</v>
      </c>
      <c r="C1089">
        <v>100000000</v>
      </c>
      <c r="D1089">
        <v>100000000</v>
      </c>
      <c r="E1089">
        <v>1000000</v>
      </c>
      <c r="F1089">
        <v>1</v>
      </c>
      <c r="G1089">
        <v>1</v>
      </c>
      <c r="H1089">
        <v>1</v>
      </c>
      <c r="I1089">
        <v>1</v>
      </c>
      <c r="J1089">
        <v>1</v>
      </c>
    </row>
    <row r="1090" spans="1:10">
      <c r="A1090">
        <v>1089</v>
      </c>
      <c r="B1090">
        <v>778303639</v>
      </c>
      <c r="C1090">
        <v>100000000</v>
      </c>
      <c r="D1090">
        <v>100000000</v>
      </c>
      <c r="E1090">
        <v>1000000</v>
      </c>
      <c r="F1090">
        <v>1</v>
      </c>
      <c r="G1090">
        <v>1</v>
      </c>
      <c r="H1090">
        <v>1</v>
      </c>
      <c r="I1090">
        <v>1</v>
      </c>
      <c r="J1090">
        <v>1</v>
      </c>
    </row>
    <row r="1091" spans="1:10">
      <c r="A1091">
        <v>1090</v>
      </c>
      <c r="B1091">
        <v>789410212</v>
      </c>
      <c r="C1091">
        <v>100000000</v>
      </c>
      <c r="D1091">
        <v>100000000</v>
      </c>
      <c r="E1091">
        <v>1000000</v>
      </c>
      <c r="F1091">
        <v>1</v>
      </c>
      <c r="G1091">
        <v>1</v>
      </c>
      <c r="H1091">
        <v>1</v>
      </c>
      <c r="I1091">
        <v>1</v>
      </c>
      <c r="J1091">
        <v>1</v>
      </c>
    </row>
    <row r="1092" spans="1:10">
      <c r="A1092">
        <v>1091</v>
      </c>
      <c r="B1092">
        <v>800516785</v>
      </c>
      <c r="C1092">
        <v>100000000</v>
      </c>
      <c r="D1092">
        <v>100000000</v>
      </c>
      <c r="E1092">
        <v>1000000</v>
      </c>
      <c r="F1092">
        <v>1</v>
      </c>
      <c r="G1092">
        <v>1</v>
      </c>
      <c r="H1092">
        <v>1</v>
      </c>
      <c r="I1092">
        <v>1</v>
      </c>
      <c r="J1092">
        <v>1</v>
      </c>
    </row>
    <row r="1093" spans="1:10">
      <c r="A1093">
        <v>1092</v>
      </c>
      <c r="B1093">
        <v>811623358</v>
      </c>
      <c r="C1093">
        <v>100000000</v>
      </c>
      <c r="D1093">
        <v>100000000</v>
      </c>
      <c r="E1093">
        <v>1000000</v>
      </c>
      <c r="F1093">
        <v>1</v>
      </c>
      <c r="G1093">
        <v>1</v>
      </c>
      <c r="H1093">
        <v>1</v>
      </c>
      <c r="I1093">
        <v>1</v>
      </c>
      <c r="J1093">
        <v>1</v>
      </c>
    </row>
    <row r="1094" spans="1:10">
      <c r="A1094">
        <v>1093</v>
      </c>
      <c r="B1094">
        <v>822729931</v>
      </c>
      <c r="C1094">
        <v>100000000</v>
      </c>
      <c r="D1094">
        <v>100000000</v>
      </c>
      <c r="E1094">
        <v>1000000</v>
      </c>
      <c r="F1094">
        <v>1</v>
      </c>
      <c r="G1094">
        <v>1</v>
      </c>
      <c r="H1094">
        <v>1</v>
      </c>
      <c r="I1094">
        <v>1</v>
      </c>
      <c r="J1094">
        <v>1</v>
      </c>
    </row>
    <row r="1095" spans="1:10">
      <c r="A1095">
        <v>1094</v>
      </c>
      <c r="B1095">
        <v>833836504</v>
      </c>
      <c r="C1095">
        <v>100000000</v>
      </c>
      <c r="D1095">
        <v>100000000</v>
      </c>
      <c r="E1095">
        <v>1000000</v>
      </c>
      <c r="F1095">
        <v>1</v>
      </c>
      <c r="G1095">
        <v>1</v>
      </c>
      <c r="H1095">
        <v>1</v>
      </c>
      <c r="I1095">
        <v>1</v>
      </c>
      <c r="J1095">
        <v>1</v>
      </c>
    </row>
    <row r="1096" spans="1:10">
      <c r="A1096">
        <v>1095</v>
      </c>
      <c r="B1096">
        <v>844943077</v>
      </c>
      <c r="C1096">
        <v>100000000</v>
      </c>
      <c r="D1096">
        <v>100000000</v>
      </c>
      <c r="E1096">
        <v>1000000</v>
      </c>
      <c r="F1096">
        <v>1</v>
      </c>
      <c r="G1096">
        <v>1</v>
      </c>
      <c r="H1096">
        <v>1</v>
      </c>
      <c r="I1096">
        <v>1</v>
      </c>
      <c r="J1096">
        <v>1</v>
      </c>
    </row>
    <row r="1097" spans="1:10">
      <c r="A1097">
        <v>1096</v>
      </c>
      <c r="B1097">
        <v>856049650</v>
      </c>
      <c r="C1097">
        <v>100000000</v>
      </c>
      <c r="D1097">
        <v>100000000</v>
      </c>
      <c r="E1097">
        <v>1000000</v>
      </c>
      <c r="F1097">
        <v>1</v>
      </c>
      <c r="G1097">
        <v>1</v>
      </c>
      <c r="H1097">
        <v>1</v>
      </c>
      <c r="I1097">
        <v>1</v>
      </c>
      <c r="J1097">
        <v>1</v>
      </c>
    </row>
    <row r="1098" spans="1:10">
      <c r="A1098">
        <v>1097</v>
      </c>
      <c r="B1098">
        <v>867156223</v>
      </c>
      <c r="C1098">
        <v>100000000</v>
      </c>
      <c r="D1098">
        <v>100000000</v>
      </c>
      <c r="E1098">
        <v>1000000</v>
      </c>
      <c r="F1098">
        <v>1</v>
      </c>
      <c r="G1098">
        <v>1</v>
      </c>
      <c r="H1098">
        <v>1</v>
      </c>
      <c r="I1098">
        <v>1</v>
      </c>
      <c r="J1098">
        <v>1</v>
      </c>
    </row>
    <row r="1099" spans="1:10">
      <c r="A1099">
        <v>1098</v>
      </c>
      <c r="B1099">
        <v>878262796</v>
      </c>
      <c r="C1099">
        <v>100000000</v>
      </c>
      <c r="D1099">
        <v>100000000</v>
      </c>
      <c r="E1099">
        <v>1000000</v>
      </c>
      <c r="F1099">
        <v>1</v>
      </c>
      <c r="G1099">
        <v>1</v>
      </c>
      <c r="H1099">
        <v>1</v>
      </c>
      <c r="I1099">
        <v>1</v>
      </c>
      <c r="J1099">
        <v>1</v>
      </c>
    </row>
    <row r="1100" spans="1:10">
      <c r="A1100">
        <v>1099</v>
      </c>
      <c r="B1100">
        <v>889369369</v>
      </c>
      <c r="C1100">
        <v>100000000</v>
      </c>
      <c r="D1100">
        <v>100000000</v>
      </c>
      <c r="E1100">
        <v>1000000</v>
      </c>
      <c r="F1100">
        <v>1</v>
      </c>
      <c r="G1100">
        <v>1</v>
      </c>
      <c r="H1100">
        <v>1</v>
      </c>
      <c r="I1100">
        <v>1</v>
      </c>
      <c r="J1100">
        <v>1</v>
      </c>
    </row>
    <row r="1101" spans="1:10">
      <c r="A1101">
        <v>1100</v>
      </c>
      <c r="B1101">
        <v>900475942</v>
      </c>
      <c r="C1101">
        <v>100000000</v>
      </c>
      <c r="D1101">
        <v>100000000</v>
      </c>
      <c r="E1101">
        <v>1000000</v>
      </c>
      <c r="F1101">
        <v>1</v>
      </c>
      <c r="G1101">
        <v>1</v>
      </c>
      <c r="H1101">
        <v>1</v>
      </c>
      <c r="I1101">
        <v>1</v>
      </c>
      <c r="J1101">
        <v>1</v>
      </c>
    </row>
    <row r="1102" spans="1:10">
      <c r="A1102">
        <v>1101</v>
      </c>
      <c r="B1102">
        <v>911582515</v>
      </c>
      <c r="C1102">
        <v>100000000</v>
      </c>
      <c r="D1102">
        <v>100000000</v>
      </c>
      <c r="E1102">
        <v>1000000</v>
      </c>
      <c r="F1102">
        <v>1</v>
      </c>
      <c r="G1102">
        <v>1</v>
      </c>
      <c r="H1102">
        <v>1</v>
      </c>
      <c r="I1102">
        <v>1</v>
      </c>
      <c r="J1102">
        <v>1</v>
      </c>
    </row>
    <row r="1103" spans="1:10">
      <c r="A1103">
        <v>1102</v>
      </c>
      <c r="B1103">
        <v>922689088</v>
      </c>
      <c r="C1103">
        <v>100000000</v>
      </c>
      <c r="D1103">
        <v>100000000</v>
      </c>
      <c r="E1103">
        <v>1000000</v>
      </c>
      <c r="F1103">
        <v>1</v>
      </c>
      <c r="G1103">
        <v>1</v>
      </c>
      <c r="H1103">
        <v>1</v>
      </c>
      <c r="I1103">
        <v>1</v>
      </c>
      <c r="J1103">
        <v>1</v>
      </c>
    </row>
    <row r="1104" spans="1:10">
      <c r="A1104">
        <v>1103</v>
      </c>
      <c r="B1104">
        <v>933795661</v>
      </c>
      <c r="C1104">
        <v>100000000</v>
      </c>
      <c r="D1104">
        <v>100000000</v>
      </c>
      <c r="E1104">
        <v>1000000</v>
      </c>
      <c r="F1104">
        <v>1</v>
      </c>
      <c r="G1104">
        <v>1</v>
      </c>
      <c r="H1104">
        <v>1</v>
      </c>
      <c r="I1104">
        <v>1</v>
      </c>
      <c r="J1104">
        <v>1</v>
      </c>
    </row>
    <row r="1105" spans="1:10">
      <c r="A1105">
        <v>1104</v>
      </c>
      <c r="B1105">
        <v>944902234</v>
      </c>
      <c r="C1105">
        <v>100000000</v>
      </c>
      <c r="D1105">
        <v>100000000</v>
      </c>
      <c r="E1105">
        <v>1000000</v>
      </c>
      <c r="F1105">
        <v>1</v>
      </c>
      <c r="G1105">
        <v>1</v>
      </c>
      <c r="H1105">
        <v>1</v>
      </c>
      <c r="I1105">
        <v>1</v>
      </c>
      <c r="J1105">
        <v>1</v>
      </c>
    </row>
    <row r="1106" spans="1:10">
      <c r="A1106">
        <v>1105</v>
      </c>
      <c r="B1106">
        <v>956008807</v>
      </c>
      <c r="C1106">
        <v>100000000</v>
      </c>
      <c r="D1106">
        <v>100000000</v>
      </c>
      <c r="E1106">
        <v>1000000</v>
      </c>
      <c r="F1106">
        <v>1</v>
      </c>
      <c r="G1106">
        <v>1</v>
      </c>
      <c r="H1106">
        <v>1</v>
      </c>
      <c r="I1106">
        <v>1</v>
      </c>
      <c r="J1106">
        <v>1</v>
      </c>
    </row>
    <row r="1107" spans="1:10">
      <c r="A1107">
        <v>1106</v>
      </c>
      <c r="B1107">
        <v>967115380</v>
      </c>
      <c r="C1107">
        <v>100000000</v>
      </c>
      <c r="D1107">
        <v>100000000</v>
      </c>
      <c r="E1107">
        <v>1000000</v>
      </c>
      <c r="F1107">
        <v>1</v>
      </c>
      <c r="G1107">
        <v>1</v>
      </c>
      <c r="H1107">
        <v>1</v>
      </c>
      <c r="I1107">
        <v>1</v>
      </c>
      <c r="J1107">
        <v>1</v>
      </c>
    </row>
    <row r="1108" spans="1:10">
      <c r="A1108">
        <v>1107</v>
      </c>
      <c r="B1108">
        <v>978221953</v>
      </c>
      <c r="C1108">
        <v>100000000</v>
      </c>
      <c r="D1108">
        <v>100000000</v>
      </c>
      <c r="E1108">
        <v>1000000</v>
      </c>
      <c r="F1108">
        <v>1</v>
      </c>
      <c r="G1108">
        <v>1</v>
      </c>
      <c r="H1108">
        <v>1</v>
      </c>
      <c r="I1108">
        <v>1</v>
      </c>
      <c r="J1108">
        <v>1</v>
      </c>
    </row>
    <row r="1109" spans="1:10">
      <c r="A1109">
        <v>1108</v>
      </c>
      <c r="B1109">
        <v>989328526</v>
      </c>
      <c r="C1109">
        <v>100000000</v>
      </c>
      <c r="D1109">
        <v>100000000</v>
      </c>
      <c r="E1109">
        <v>1000000</v>
      </c>
      <c r="F1109">
        <v>1</v>
      </c>
      <c r="G1109">
        <v>1</v>
      </c>
      <c r="H1109">
        <v>1</v>
      </c>
      <c r="I1109">
        <v>1</v>
      </c>
      <c r="J1109">
        <v>1</v>
      </c>
    </row>
    <row r="1110" spans="1:10">
      <c r="A1110">
        <v>1109</v>
      </c>
      <c r="B1110">
        <v>100043599</v>
      </c>
      <c r="C1110">
        <v>100000000</v>
      </c>
      <c r="D1110">
        <v>100000000</v>
      </c>
      <c r="E1110">
        <v>10000000</v>
      </c>
      <c r="F1110">
        <v>1</v>
      </c>
      <c r="G1110">
        <v>1</v>
      </c>
      <c r="H1110">
        <v>1</v>
      </c>
      <c r="I1110">
        <v>1</v>
      </c>
      <c r="J1110">
        <v>1</v>
      </c>
    </row>
    <row r="1111" spans="1:10">
      <c r="A1111">
        <v>1110</v>
      </c>
      <c r="B1111">
        <v>111154172</v>
      </c>
      <c r="C1111">
        <v>100000000</v>
      </c>
      <c r="D1111">
        <v>100000000</v>
      </c>
      <c r="E1111">
        <v>10000000</v>
      </c>
      <c r="F1111">
        <v>1</v>
      </c>
      <c r="G1111">
        <v>1</v>
      </c>
      <c r="H1111">
        <v>1</v>
      </c>
      <c r="I1111">
        <v>1</v>
      </c>
      <c r="J1111">
        <v>1</v>
      </c>
    </row>
    <row r="1112" spans="1:10">
      <c r="A1112">
        <v>1111</v>
      </c>
      <c r="B1112">
        <v>122264745</v>
      </c>
      <c r="C1112">
        <v>100000000</v>
      </c>
      <c r="D1112">
        <v>100000000</v>
      </c>
      <c r="E1112">
        <v>10000000</v>
      </c>
      <c r="F1112">
        <v>1</v>
      </c>
      <c r="G1112">
        <v>1</v>
      </c>
      <c r="H1112">
        <v>1</v>
      </c>
      <c r="I1112">
        <v>1</v>
      </c>
      <c r="J1112">
        <v>1</v>
      </c>
    </row>
    <row r="1113" spans="1:10">
      <c r="A1113">
        <v>1112</v>
      </c>
      <c r="B1113">
        <v>133375318</v>
      </c>
      <c r="C1113">
        <v>100000000</v>
      </c>
      <c r="D1113">
        <v>100000000</v>
      </c>
      <c r="E1113">
        <v>10000000</v>
      </c>
      <c r="F1113">
        <v>1</v>
      </c>
      <c r="G1113">
        <v>1</v>
      </c>
      <c r="H1113">
        <v>1</v>
      </c>
      <c r="I1113">
        <v>1</v>
      </c>
      <c r="J1113">
        <v>1</v>
      </c>
    </row>
    <row r="1114" spans="1:10">
      <c r="A1114">
        <v>1113</v>
      </c>
      <c r="B1114">
        <v>144485891</v>
      </c>
      <c r="C1114">
        <v>100000000</v>
      </c>
      <c r="D1114">
        <v>100000000</v>
      </c>
      <c r="E1114">
        <v>10000000</v>
      </c>
      <c r="F1114">
        <v>1</v>
      </c>
      <c r="G1114">
        <v>1</v>
      </c>
      <c r="H1114">
        <v>1</v>
      </c>
      <c r="I1114">
        <v>1</v>
      </c>
      <c r="J1114">
        <v>1</v>
      </c>
    </row>
    <row r="1115" spans="1:10">
      <c r="A1115">
        <v>1114</v>
      </c>
      <c r="B1115">
        <v>155596464</v>
      </c>
      <c r="C1115">
        <v>100000000</v>
      </c>
      <c r="D1115">
        <v>100000000</v>
      </c>
      <c r="E1115">
        <v>10000000</v>
      </c>
      <c r="F1115">
        <v>1</v>
      </c>
      <c r="G1115">
        <v>1</v>
      </c>
      <c r="H1115">
        <v>1</v>
      </c>
      <c r="I1115">
        <v>1</v>
      </c>
      <c r="J1115">
        <v>1</v>
      </c>
    </row>
    <row r="1116" spans="1:10">
      <c r="A1116">
        <v>1115</v>
      </c>
      <c r="B1116">
        <v>166707037</v>
      </c>
      <c r="C1116">
        <v>100000000</v>
      </c>
      <c r="D1116">
        <v>100000000</v>
      </c>
      <c r="E1116">
        <v>10000000</v>
      </c>
      <c r="F1116">
        <v>1</v>
      </c>
      <c r="G1116">
        <v>1</v>
      </c>
      <c r="H1116">
        <v>1</v>
      </c>
      <c r="I1116">
        <v>1</v>
      </c>
      <c r="J1116">
        <v>1</v>
      </c>
    </row>
    <row r="1117" spans="1:10">
      <c r="A1117">
        <v>1116</v>
      </c>
      <c r="B1117">
        <v>177817610</v>
      </c>
      <c r="C1117">
        <v>100000000</v>
      </c>
      <c r="D1117">
        <v>100000000</v>
      </c>
      <c r="E1117">
        <v>10000000</v>
      </c>
      <c r="F1117">
        <v>1</v>
      </c>
      <c r="G1117">
        <v>1</v>
      </c>
      <c r="H1117">
        <v>1</v>
      </c>
      <c r="I1117">
        <v>1</v>
      </c>
      <c r="J1117">
        <v>1</v>
      </c>
    </row>
    <row r="1118" spans="1:10">
      <c r="A1118">
        <v>1117</v>
      </c>
      <c r="B1118">
        <v>188928183</v>
      </c>
      <c r="C1118">
        <v>100000000</v>
      </c>
      <c r="D1118">
        <v>100000000</v>
      </c>
      <c r="E1118">
        <v>10000000</v>
      </c>
      <c r="F1118">
        <v>1</v>
      </c>
      <c r="G1118">
        <v>1</v>
      </c>
      <c r="H1118">
        <v>1</v>
      </c>
      <c r="I1118">
        <v>1</v>
      </c>
      <c r="J1118">
        <v>1</v>
      </c>
    </row>
    <row r="1119" spans="1:10">
      <c r="A1119">
        <v>1118</v>
      </c>
      <c r="B1119">
        <v>200038756</v>
      </c>
      <c r="C1119">
        <v>100000000</v>
      </c>
      <c r="D1119">
        <v>100000000</v>
      </c>
      <c r="E1119">
        <v>10000000</v>
      </c>
      <c r="F1119">
        <v>1</v>
      </c>
      <c r="G1119">
        <v>1</v>
      </c>
      <c r="H1119">
        <v>1</v>
      </c>
      <c r="I1119">
        <v>1</v>
      </c>
      <c r="J1119">
        <v>1</v>
      </c>
    </row>
    <row r="1120" spans="1:10">
      <c r="A1120">
        <v>1119</v>
      </c>
      <c r="B1120">
        <v>211149329</v>
      </c>
      <c r="C1120">
        <v>100000000</v>
      </c>
      <c r="D1120">
        <v>100000000</v>
      </c>
      <c r="E1120">
        <v>10000000</v>
      </c>
      <c r="F1120">
        <v>1</v>
      </c>
      <c r="G1120">
        <v>1</v>
      </c>
      <c r="H1120">
        <v>1</v>
      </c>
      <c r="I1120">
        <v>1</v>
      </c>
      <c r="J1120">
        <v>1</v>
      </c>
    </row>
    <row r="1121" spans="1:10">
      <c r="A1121">
        <v>1120</v>
      </c>
      <c r="B1121">
        <v>222259902</v>
      </c>
      <c r="C1121">
        <v>100000000</v>
      </c>
      <c r="D1121">
        <v>100000000</v>
      </c>
      <c r="E1121">
        <v>10000000</v>
      </c>
      <c r="F1121">
        <v>1</v>
      </c>
      <c r="G1121">
        <v>1</v>
      </c>
      <c r="H1121">
        <v>1</v>
      </c>
      <c r="I1121">
        <v>1</v>
      </c>
      <c r="J1121">
        <v>1</v>
      </c>
    </row>
    <row r="1122" spans="1:10">
      <c r="A1122">
        <v>1121</v>
      </c>
      <c r="B1122">
        <v>233370475</v>
      </c>
      <c r="C1122">
        <v>100000000</v>
      </c>
      <c r="D1122">
        <v>100000000</v>
      </c>
      <c r="E1122">
        <v>10000000</v>
      </c>
      <c r="F1122">
        <v>1</v>
      </c>
      <c r="G1122">
        <v>1</v>
      </c>
      <c r="H1122">
        <v>1</v>
      </c>
      <c r="I1122">
        <v>1</v>
      </c>
      <c r="J1122">
        <v>1</v>
      </c>
    </row>
    <row r="1123" spans="1:10">
      <c r="A1123">
        <v>1122</v>
      </c>
      <c r="B1123">
        <v>244481048</v>
      </c>
      <c r="C1123">
        <v>100000000</v>
      </c>
      <c r="D1123">
        <v>100000000</v>
      </c>
      <c r="E1123">
        <v>10000000</v>
      </c>
      <c r="F1123">
        <v>1</v>
      </c>
      <c r="G1123">
        <v>1</v>
      </c>
      <c r="H1123">
        <v>1</v>
      </c>
      <c r="I1123">
        <v>1</v>
      </c>
      <c r="J1123">
        <v>1</v>
      </c>
    </row>
    <row r="1124" spans="1:10">
      <c r="A1124">
        <v>1123</v>
      </c>
      <c r="B1124">
        <v>255591621</v>
      </c>
      <c r="C1124">
        <v>100000000</v>
      </c>
      <c r="D1124">
        <v>100000000</v>
      </c>
      <c r="E1124">
        <v>10000000</v>
      </c>
      <c r="F1124">
        <v>1</v>
      </c>
      <c r="G1124">
        <v>1</v>
      </c>
      <c r="H1124">
        <v>1</v>
      </c>
      <c r="I1124">
        <v>1</v>
      </c>
      <c r="J1124">
        <v>1</v>
      </c>
    </row>
    <row r="1125" spans="1:10">
      <c r="A1125">
        <v>1124</v>
      </c>
      <c r="B1125">
        <v>266702194</v>
      </c>
      <c r="C1125">
        <v>100000000</v>
      </c>
      <c r="D1125">
        <v>100000000</v>
      </c>
      <c r="E1125">
        <v>10000000</v>
      </c>
      <c r="F1125">
        <v>1</v>
      </c>
      <c r="G1125">
        <v>1</v>
      </c>
      <c r="H1125">
        <v>1</v>
      </c>
      <c r="I1125">
        <v>1</v>
      </c>
      <c r="J1125">
        <v>1</v>
      </c>
    </row>
    <row r="1126" spans="1:10">
      <c r="A1126">
        <v>1125</v>
      </c>
      <c r="B1126">
        <v>277812767</v>
      </c>
      <c r="C1126">
        <v>100000000</v>
      </c>
      <c r="D1126">
        <v>100000000</v>
      </c>
      <c r="E1126">
        <v>10000000</v>
      </c>
      <c r="F1126">
        <v>1</v>
      </c>
      <c r="G1126">
        <v>1</v>
      </c>
      <c r="H1126">
        <v>1</v>
      </c>
      <c r="I1126">
        <v>1</v>
      </c>
      <c r="J1126">
        <v>1</v>
      </c>
    </row>
    <row r="1127" spans="1:10">
      <c r="A1127">
        <v>1126</v>
      </c>
      <c r="B1127">
        <v>288923340</v>
      </c>
      <c r="C1127">
        <v>100000000</v>
      </c>
      <c r="D1127">
        <v>100000000</v>
      </c>
      <c r="E1127">
        <v>10000000</v>
      </c>
      <c r="F1127">
        <v>1</v>
      </c>
      <c r="G1127">
        <v>1</v>
      </c>
      <c r="H1127">
        <v>1</v>
      </c>
      <c r="I1127">
        <v>1</v>
      </c>
      <c r="J1127">
        <v>1</v>
      </c>
    </row>
    <row r="1128" spans="1:10">
      <c r="A1128">
        <v>1127</v>
      </c>
      <c r="B1128">
        <v>300033913</v>
      </c>
      <c r="C1128">
        <v>100000000</v>
      </c>
      <c r="D1128">
        <v>100000000</v>
      </c>
      <c r="E1128">
        <v>10000000</v>
      </c>
      <c r="F1128">
        <v>1</v>
      </c>
      <c r="G1128">
        <v>1</v>
      </c>
      <c r="H1128">
        <v>1</v>
      </c>
      <c r="I1128">
        <v>1</v>
      </c>
      <c r="J1128">
        <v>1</v>
      </c>
    </row>
    <row r="1129" spans="1:10">
      <c r="A1129">
        <v>1128</v>
      </c>
      <c r="B1129">
        <v>311144486</v>
      </c>
      <c r="C1129">
        <v>100000000</v>
      </c>
      <c r="D1129">
        <v>100000000</v>
      </c>
      <c r="E1129">
        <v>10000000</v>
      </c>
      <c r="F1129">
        <v>1</v>
      </c>
      <c r="G1129">
        <v>1</v>
      </c>
      <c r="H1129">
        <v>1</v>
      </c>
      <c r="I1129">
        <v>1</v>
      </c>
      <c r="J1129">
        <v>1</v>
      </c>
    </row>
    <row r="1130" spans="1:10">
      <c r="A1130">
        <v>1129</v>
      </c>
      <c r="B1130">
        <v>322255059</v>
      </c>
      <c r="C1130">
        <v>100000000</v>
      </c>
      <c r="D1130">
        <v>100000000</v>
      </c>
      <c r="E1130">
        <v>10000000</v>
      </c>
      <c r="F1130">
        <v>1</v>
      </c>
      <c r="G1130">
        <v>1</v>
      </c>
      <c r="H1130">
        <v>1</v>
      </c>
      <c r="I1130">
        <v>1</v>
      </c>
      <c r="J1130">
        <v>1</v>
      </c>
    </row>
    <row r="1131" spans="1:10">
      <c r="A1131">
        <v>1130</v>
      </c>
      <c r="B1131">
        <v>333365632</v>
      </c>
      <c r="C1131">
        <v>100000000</v>
      </c>
      <c r="D1131">
        <v>100000000</v>
      </c>
      <c r="E1131">
        <v>10000000</v>
      </c>
      <c r="F1131">
        <v>1</v>
      </c>
      <c r="G1131">
        <v>1</v>
      </c>
      <c r="H1131">
        <v>1</v>
      </c>
      <c r="I1131">
        <v>1</v>
      </c>
      <c r="J1131">
        <v>1</v>
      </c>
    </row>
    <row r="1132" spans="1:10">
      <c r="A1132">
        <v>1131</v>
      </c>
      <c r="B1132">
        <v>344476205</v>
      </c>
      <c r="C1132">
        <v>100000000</v>
      </c>
      <c r="D1132">
        <v>100000000</v>
      </c>
      <c r="E1132">
        <v>10000000</v>
      </c>
      <c r="F1132">
        <v>1</v>
      </c>
      <c r="G1132">
        <v>1</v>
      </c>
      <c r="H1132">
        <v>1</v>
      </c>
      <c r="I1132">
        <v>1</v>
      </c>
      <c r="J1132">
        <v>1</v>
      </c>
    </row>
    <row r="1133" spans="1:10">
      <c r="A1133">
        <v>1132</v>
      </c>
      <c r="B1133">
        <v>355586778</v>
      </c>
      <c r="C1133">
        <v>100000000</v>
      </c>
      <c r="D1133">
        <v>100000000</v>
      </c>
      <c r="E1133">
        <v>10000000</v>
      </c>
      <c r="F1133">
        <v>1</v>
      </c>
      <c r="G1133">
        <v>1</v>
      </c>
      <c r="H1133">
        <v>1</v>
      </c>
      <c r="I1133">
        <v>1</v>
      </c>
      <c r="J1133">
        <v>1</v>
      </c>
    </row>
    <row r="1134" spans="1:10">
      <c r="A1134">
        <v>1133</v>
      </c>
      <c r="B1134">
        <v>366697351</v>
      </c>
      <c r="C1134">
        <v>100000000</v>
      </c>
      <c r="D1134">
        <v>100000000</v>
      </c>
      <c r="E1134">
        <v>10000000</v>
      </c>
      <c r="F1134">
        <v>1</v>
      </c>
      <c r="G1134">
        <v>1</v>
      </c>
      <c r="H1134">
        <v>1</v>
      </c>
      <c r="I1134">
        <v>1</v>
      </c>
      <c r="J1134">
        <v>1</v>
      </c>
    </row>
    <row r="1135" spans="1:10">
      <c r="A1135">
        <v>1134</v>
      </c>
      <c r="B1135">
        <v>377807924</v>
      </c>
      <c r="C1135">
        <v>100000000</v>
      </c>
      <c r="D1135">
        <v>100000000</v>
      </c>
      <c r="E1135">
        <v>10000000</v>
      </c>
      <c r="F1135">
        <v>1</v>
      </c>
      <c r="G1135">
        <v>1</v>
      </c>
      <c r="H1135">
        <v>1</v>
      </c>
      <c r="I1135">
        <v>1</v>
      </c>
      <c r="J1135">
        <v>1</v>
      </c>
    </row>
    <row r="1136" spans="1:10">
      <c r="A1136">
        <v>1135</v>
      </c>
      <c r="B1136">
        <v>388918497</v>
      </c>
      <c r="C1136">
        <v>100000000</v>
      </c>
      <c r="D1136">
        <v>100000000</v>
      </c>
      <c r="E1136">
        <v>10000000</v>
      </c>
      <c r="F1136">
        <v>1</v>
      </c>
      <c r="G1136">
        <v>1</v>
      </c>
      <c r="H1136">
        <v>1</v>
      </c>
      <c r="I1136">
        <v>1</v>
      </c>
      <c r="J1136">
        <v>1</v>
      </c>
    </row>
    <row r="1137" spans="1:10">
      <c r="A1137">
        <v>1136</v>
      </c>
      <c r="B1137">
        <v>400029070</v>
      </c>
      <c r="C1137">
        <v>100000000</v>
      </c>
      <c r="D1137">
        <v>100000000</v>
      </c>
      <c r="E1137">
        <v>10000000</v>
      </c>
      <c r="F1137">
        <v>1</v>
      </c>
      <c r="G1137">
        <v>1</v>
      </c>
      <c r="H1137">
        <v>1</v>
      </c>
      <c r="I1137">
        <v>1</v>
      </c>
      <c r="J1137">
        <v>1</v>
      </c>
    </row>
    <row r="1138" spans="1:10">
      <c r="A1138">
        <v>1137</v>
      </c>
      <c r="B1138">
        <v>411139643</v>
      </c>
      <c r="C1138">
        <v>100000000</v>
      </c>
      <c r="D1138">
        <v>100000000</v>
      </c>
      <c r="E1138">
        <v>10000000</v>
      </c>
      <c r="F1138">
        <v>1</v>
      </c>
      <c r="G1138">
        <v>1</v>
      </c>
      <c r="H1138">
        <v>1</v>
      </c>
      <c r="I1138">
        <v>1</v>
      </c>
      <c r="J1138">
        <v>1</v>
      </c>
    </row>
    <row r="1139" spans="1:10">
      <c r="A1139">
        <v>1138</v>
      </c>
      <c r="B1139">
        <v>422250216</v>
      </c>
      <c r="C1139">
        <v>100000000</v>
      </c>
      <c r="D1139">
        <v>100000000</v>
      </c>
      <c r="E1139">
        <v>10000000</v>
      </c>
      <c r="F1139">
        <v>1</v>
      </c>
      <c r="G1139">
        <v>1</v>
      </c>
      <c r="H1139">
        <v>1</v>
      </c>
      <c r="I1139">
        <v>1</v>
      </c>
      <c r="J1139">
        <v>1</v>
      </c>
    </row>
    <row r="1140" spans="1:10">
      <c r="A1140">
        <v>1139</v>
      </c>
      <c r="B1140">
        <v>433360789</v>
      </c>
      <c r="C1140">
        <v>100000000</v>
      </c>
      <c r="D1140">
        <v>100000000</v>
      </c>
      <c r="E1140">
        <v>10000000</v>
      </c>
      <c r="F1140">
        <v>1</v>
      </c>
      <c r="G1140">
        <v>1</v>
      </c>
      <c r="H1140">
        <v>1</v>
      </c>
      <c r="I1140">
        <v>1</v>
      </c>
      <c r="J1140">
        <v>1</v>
      </c>
    </row>
    <row r="1141" spans="1:10">
      <c r="A1141">
        <v>1140</v>
      </c>
      <c r="B1141">
        <v>444471362</v>
      </c>
      <c r="C1141">
        <v>100000000</v>
      </c>
      <c r="D1141">
        <v>100000000</v>
      </c>
      <c r="E1141">
        <v>10000000</v>
      </c>
      <c r="F1141">
        <v>1</v>
      </c>
      <c r="G1141">
        <v>1</v>
      </c>
      <c r="H1141">
        <v>1</v>
      </c>
      <c r="I1141">
        <v>1</v>
      </c>
      <c r="J1141">
        <v>1</v>
      </c>
    </row>
    <row r="1142" spans="1:10">
      <c r="A1142">
        <v>1141</v>
      </c>
      <c r="B1142">
        <v>455581935</v>
      </c>
      <c r="C1142">
        <v>100000000</v>
      </c>
      <c r="D1142">
        <v>100000000</v>
      </c>
      <c r="E1142">
        <v>10000000</v>
      </c>
      <c r="F1142">
        <v>1</v>
      </c>
      <c r="G1142">
        <v>1</v>
      </c>
      <c r="H1142">
        <v>1</v>
      </c>
      <c r="I1142">
        <v>1</v>
      </c>
      <c r="J1142">
        <v>1</v>
      </c>
    </row>
    <row r="1143" spans="1:10">
      <c r="A1143">
        <v>1142</v>
      </c>
      <c r="B1143">
        <v>466692508</v>
      </c>
      <c r="C1143">
        <v>100000000</v>
      </c>
      <c r="D1143">
        <v>100000000</v>
      </c>
      <c r="E1143">
        <v>10000000</v>
      </c>
      <c r="F1143">
        <v>1</v>
      </c>
      <c r="G1143">
        <v>1</v>
      </c>
      <c r="H1143">
        <v>1</v>
      </c>
      <c r="I1143">
        <v>1</v>
      </c>
      <c r="J1143">
        <v>1</v>
      </c>
    </row>
    <row r="1144" spans="1:10">
      <c r="A1144">
        <v>1143</v>
      </c>
      <c r="B1144">
        <v>477803081</v>
      </c>
      <c r="C1144">
        <v>100000000</v>
      </c>
      <c r="D1144">
        <v>100000000</v>
      </c>
      <c r="E1144">
        <v>10000000</v>
      </c>
      <c r="F1144">
        <v>1</v>
      </c>
      <c r="G1144">
        <v>1</v>
      </c>
      <c r="H1144">
        <v>1</v>
      </c>
      <c r="I1144">
        <v>1</v>
      </c>
      <c r="J1144">
        <v>1</v>
      </c>
    </row>
    <row r="1145" spans="1:10">
      <c r="A1145">
        <v>1144</v>
      </c>
      <c r="B1145">
        <v>488913654</v>
      </c>
      <c r="C1145">
        <v>100000000</v>
      </c>
      <c r="D1145">
        <v>100000000</v>
      </c>
      <c r="E1145">
        <v>10000000</v>
      </c>
      <c r="F1145">
        <v>1</v>
      </c>
      <c r="G1145">
        <v>1</v>
      </c>
      <c r="H1145">
        <v>1</v>
      </c>
      <c r="I1145">
        <v>1</v>
      </c>
      <c r="J1145">
        <v>1</v>
      </c>
    </row>
    <row r="1146" spans="1:10">
      <c r="A1146">
        <v>1145</v>
      </c>
      <c r="B1146">
        <v>500024227</v>
      </c>
      <c r="C1146">
        <v>100000000</v>
      </c>
      <c r="D1146">
        <v>100000000</v>
      </c>
      <c r="E1146">
        <v>10000000</v>
      </c>
      <c r="F1146">
        <v>1</v>
      </c>
      <c r="G1146">
        <v>1</v>
      </c>
      <c r="H1146">
        <v>1</v>
      </c>
      <c r="I1146">
        <v>1</v>
      </c>
      <c r="J1146">
        <v>1</v>
      </c>
    </row>
    <row r="1147" spans="1:10">
      <c r="A1147">
        <v>1146</v>
      </c>
      <c r="B1147">
        <v>511134800</v>
      </c>
      <c r="C1147">
        <v>100000000</v>
      </c>
      <c r="D1147">
        <v>100000000</v>
      </c>
      <c r="E1147">
        <v>10000000</v>
      </c>
      <c r="F1147">
        <v>1</v>
      </c>
      <c r="G1147">
        <v>1</v>
      </c>
      <c r="H1147">
        <v>1</v>
      </c>
      <c r="I1147">
        <v>1</v>
      </c>
      <c r="J1147">
        <v>1</v>
      </c>
    </row>
    <row r="1148" spans="1:10">
      <c r="A1148">
        <v>1147</v>
      </c>
      <c r="B1148">
        <v>522245373</v>
      </c>
      <c r="C1148">
        <v>100000000</v>
      </c>
      <c r="D1148">
        <v>100000000</v>
      </c>
      <c r="E1148">
        <v>10000000</v>
      </c>
      <c r="F1148">
        <v>1</v>
      </c>
      <c r="G1148">
        <v>1</v>
      </c>
      <c r="H1148">
        <v>1</v>
      </c>
      <c r="I1148">
        <v>1</v>
      </c>
      <c r="J1148">
        <v>1</v>
      </c>
    </row>
    <row r="1149" spans="1:10">
      <c r="A1149">
        <v>1148</v>
      </c>
      <c r="B1149">
        <v>533355946</v>
      </c>
      <c r="C1149">
        <v>100000000</v>
      </c>
      <c r="D1149">
        <v>100000000</v>
      </c>
      <c r="E1149">
        <v>10000000</v>
      </c>
      <c r="F1149">
        <v>1</v>
      </c>
      <c r="G1149">
        <v>1</v>
      </c>
      <c r="H1149">
        <v>1</v>
      </c>
      <c r="I1149">
        <v>1</v>
      </c>
      <c r="J1149">
        <v>1</v>
      </c>
    </row>
    <row r="1150" spans="1:10">
      <c r="A1150">
        <v>1149</v>
      </c>
      <c r="B1150">
        <v>544466519</v>
      </c>
      <c r="C1150">
        <v>100000000</v>
      </c>
      <c r="D1150">
        <v>100000000</v>
      </c>
      <c r="E1150">
        <v>10000000</v>
      </c>
      <c r="F1150">
        <v>1</v>
      </c>
      <c r="G1150">
        <v>1</v>
      </c>
      <c r="H1150">
        <v>1</v>
      </c>
      <c r="I1150">
        <v>1</v>
      </c>
      <c r="J1150">
        <v>1</v>
      </c>
    </row>
    <row r="1151" spans="1:10">
      <c r="A1151">
        <v>1150</v>
      </c>
      <c r="B1151">
        <v>555577092</v>
      </c>
      <c r="C1151">
        <v>100000000</v>
      </c>
      <c r="D1151">
        <v>100000000</v>
      </c>
      <c r="E1151">
        <v>10000000</v>
      </c>
      <c r="F1151">
        <v>1</v>
      </c>
      <c r="G1151">
        <v>1</v>
      </c>
      <c r="H1151">
        <v>1</v>
      </c>
      <c r="I1151">
        <v>1</v>
      </c>
      <c r="J1151">
        <v>1</v>
      </c>
    </row>
    <row r="1152" spans="1:10">
      <c r="A1152">
        <v>1151</v>
      </c>
      <c r="B1152">
        <v>566687665</v>
      </c>
      <c r="C1152">
        <v>100000000</v>
      </c>
      <c r="D1152">
        <v>100000000</v>
      </c>
      <c r="E1152">
        <v>10000000</v>
      </c>
      <c r="F1152">
        <v>1</v>
      </c>
      <c r="G1152">
        <v>1</v>
      </c>
      <c r="H1152">
        <v>1</v>
      </c>
      <c r="I1152">
        <v>1</v>
      </c>
      <c r="J1152">
        <v>1</v>
      </c>
    </row>
    <row r="1153" spans="1:10">
      <c r="A1153">
        <v>1152</v>
      </c>
      <c r="B1153">
        <v>577798238</v>
      </c>
      <c r="C1153">
        <v>100000000</v>
      </c>
      <c r="D1153">
        <v>100000000</v>
      </c>
      <c r="E1153">
        <v>10000000</v>
      </c>
      <c r="F1153">
        <v>1</v>
      </c>
      <c r="G1153">
        <v>1</v>
      </c>
      <c r="H1153">
        <v>1</v>
      </c>
      <c r="I1153">
        <v>1</v>
      </c>
      <c r="J1153">
        <v>1</v>
      </c>
    </row>
    <row r="1154" spans="1:10">
      <c r="A1154">
        <v>1153</v>
      </c>
      <c r="B1154">
        <v>588908811</v>
      </c>
      <c r="C1154">
        <v>100000000</v>
      </c>
      <c r="D1154">
        <v>100000000</v>
      </c>
      <c r="E1154">
        <v>10000000</v>
      </c>
      <c r="F1154">
        <v>1</v>
      </c>
      <c r="G1154">
        <v>1</v>
      </c>
      <c r="H1154">
        <v>1</v>
      </c>
      <c r="I1154">
        <v>1</v>
      </c>
      <c r="J1154">
        <v>1</v>
      </c>
    </row>
    <row r="1155" spans="1:10">
      <c r="A1155">
        <v>1154</v>
      </c>
      <c r="B1155">
        <v>600019384</v>
      </c>
      <c r="C1155">
        <v>100000000</v>
      </c>
      <c r="D1155">
        <v>100000000</v>
      </c>
      <c r="E1155">
        <v>10000000</v>
      </c>
      <c r="F1155">
        <v>1</v>
      </c>
      <c r="G1155">
        <v>1</v>
      </c>
      <c r="H1155">
        <v>1</v>
      </c>
      <c r="I1155">
        <v>1</v>
      </c>
      <c r="J1155">
        <v>1</v>
      </c>
    </row>
    <row r="1156" spans="1:10">
      <c r="A1156">
        <v>1155</v>
      </c>
      <c r="B1156">
        <v>611129957</v>
      </c>
      <c r="C1156">
        <v>100000000</v>
      </c>
      <c r="D1156">
        <v>100000000</v>
      </c>
      <c r="E1156">
        <v>10000000</v>
      </c>
      <c r="F1156">
        <v>1</v>
      </c>
      <c r="G1156">
        <v>1</v>
      </c>
      <c r="H1156">
        <v>1</v>
      </c>
      <c r="I1156">
        <v>1</v>
      </c>
      <c r="J1156">
        <v>1</v>
      </c>
    </row>
    <row r="1157" spans="1:10">
      <c r="A1157">
        <v>1156</v>
      </c>
      <c r="B1157">
        <v>622240530</v>
      </c>
      <c r="C1157">
        <v>100000000</v>
      </c>
      <c r="D1157">
        <v>100000000</v>
      </c>
      <c r="E1157">
        <v>10000000</v>
      </c>
      <c r="F1157">
        <v>1</v>
      </c>
      <c r="G1157">
        <v>1</v>
      </c>
      <c r="H1157">
        <v>1</v>
      </c>
      <c r="I1157">
        <v>1</v>
      </c>
      <c r="J1157">
        <v>1</v>
      </c>
    </row>
    <row r="1158" spans="1:10">
      <c r="A1158">
        <v>1157</v>
      </c>
      <c r="B1158">
        <v>633351103</v>
      </c>
      <c r="C1158">
        <v>100000000</v>
      </c>
      <c r="D1158">
        <v>100000000</v>
      </c>
      <c r="E1158">
        <v>10000000</v>
      </c>
      <c r="F1158">
        <v>1</v>
      </c>
      <c r="G1158">
        <v>1</v>
      </c>
      <c r="H1158">
        <v>1</v>
      </c>
      <c r="I1158">
        <v>1</v>
      </c>
      <c r="J1158">
        <v>1</v>
      </c>
    </row>
    <row r="1159" spans="1:10">
      <c r="A1159">
        <v>1158</v>
      </c>
      <c r="B1159">
        <v>644461676</v>
      </c>
      <c r="C1159">
        <v>100000000</v>
      </c>
      <c r="D1159">
        <v>100000000</v>
      </c>
      <c r="E1159">
        <v>10000000</v>
      </c>
      <c r="F1159">
        <v>1</v>
      </c>
      <c r="G1159">
        <v>1</v>
      </c>
      <c r="H1159">
        <v>1</v>
      </c>
      <c r="I1159">
        <v>1</v>
      </c>
      <c r="J1159">
        <v>1</v>
      </c>
    </row>
    <row r="1160" spans="1:10">
      <c r="A1160">
        <v>1159</v>
      </c>
      <c r="B1160">
        <v>655572249</v>
      </c>
      <c r="C1160">
        <v>100000000</v>
      </c>
      <c r="D1160">
        <v>100000000</v>
      </c>
      <c r="E1160">
        <v>10000000</v>
      </c>
      <c r="F1160">
        <v>1</v>
      </c>
      <c r="G1160">
        <v>1</v>
      </c>
      <c r="H1160">
        <v>1</v>
      </c>
      <c r="I1160">
        <v>1</v>
      </c>
      <c r="J1160">
        <v>1</v>
      </c>
    </row>
    <row r="1161" spans="1:10">
      <c r="A1161">
        <v>1160</v>
      </c>
      <c r="B1161">
        <v>666682822</v>
      </c>
      <c r="C1161">
        <v>100000000</v>
      </c>
      <c r="D1161">
        <v>100000000</v>
      </c>
      <c r="E1161">
        <v>10000000</v>
      </c>
      <c r="F1161">
        <v>1</v>
      </c>
      <c r="G1161">
        <v>1</v>
      </c>
      <c r="H1161">
        <v>1</v>
      </c>
      <c r="I1161">
        <v>1</v>
      </c>
      <c r="J1161">
        <v>1</v>
      </c>
    </row>
    <row r="1162" spans="1:10">
      <c r="A1162">
        <v>1161</v>
      </c>
      <c r="B1162">
        <v>677793395</v>
      </c>
      <c r="C1162">
        <v>100000000</v>
      </c>
      <c r="D1162">
        <v>100000000</v>
      </c>
      <c r="E1162">
        <v>10000000</v>
      </c>
      <c r="F1162">
        <v>1</v>
      </c>
      <c r="G1162">
        <v>1</v>
      </c>
      <c r="H1162">
        <v>1</v>
      </c>
      <c r="I1162">
        <v>1</v>
      </c>
      <c r="J1162">
        <v>1</v>
      </c>
    </row>
    <row r="1163" spans="1:10">
      <c r="A1163">
        <v>1162</v>
      </c>
      <c r="B1163">
        <v>688903968</v>
      </c>
      <c r="C1163">
        <v>100000000</v>
      </c>
      <c r="D1163">
        <v>100000000</v>
      </c>
      <c r="E1163">
        <v>10000000</v>
      </c>
      <c r="F1163">
        <v>1</v>
      </c>
      <c r="G1163">
        <v>1</v>
      </c>
      <c r="H1163">
        <v>1</v>
      </c>
      <c r="I1163">
        <v>1</v>
      </c>
      <c r="J1163">
        <v>1</v>
      </c>
    </row>
    <row r="1164" spans="1:10">
      <c r="A1164">
        <v>1163</v>
      </c>
      <c r="B1164">
        <v>700014541</v>
      </c>
      <c r="C1164">
        <v>100000000</v>
      </c>
      <c r="D1164">
        <v>100000000</v>
      </c>
      <c r="E1164">
        <v>10000000</v>
      </c>
      <c r="F1164">
        <v>1</v>
      </c>
      <c r="G1164">
        <v>1</v>
      </c>
      <c r="H1164">
        <v>1</v>
      </c>
      <c r="I1164">
        <v>1</v>
      </c>
      <c r="J1164">
        <v>1</v>
      </c>
    </row>
    <row r="1165" spans="1:10">
      <c r="A1165">
        <v>1164</v>
      </c>
      <c r="B1165">
        <v>711125114</v>
      </c>
      <c r="C1165">
        <v>100000000</v>
      </c>
      <c r="D1165">
        <v>100000000</v>
      </c>
      <c r="E1165">
        <v>10000000</v>
      </c>
      <c r="F1165">
        <v>1</v>
      </c>
      <c r="G1165">
        <v>1</v>
      </c>
      <c r="H1165">
        <v>1</v>
      </c>
      <c r="I1165">
        <v>1</v>
      </c>
      <c r="J1165">
        <v>1</v>
      </c>
    </row>
    <row r="1166" spans="1:10">
      <c r="A1166">
        <v>1165</v>
      </c>
      <c r="B1166">
        <v>722235687</v>
      </c>
      <c r="C1166">
        <v>100000000</v>
      </c>
      <c r="D1166">
        <v>100000000</v>
      </c>
      <c r="E1166">
        <v>10000000</v>
      </c>
      <c r="F1166">
        <v>1</v>
      </c>
      <c r="G1166">
        <v>1</v>
      </c>
      <c r="H1166">
        <v>1</v>
      </c>
      <c r="I1166">
        <v>1</v>
      </c>
      <c r="J1166">
        <v>1</v>
      </c>
    </row>
    <row r="1167" spans="1:10">
      <c r="A1167">
        <v>1166</v>
      </c>
      <c r="B1167">
        <v>733346260</v>
      </c>
      <c r="C1167">
        <v>100000000</v>
      </c>
      <c r="D1167">
        <v>100000000</v>
      </c>
      <c r="E1167">
        <v>10000000</v>
      </c>
      <c r="F1167">
        <v>1</v>
      </c>
      <c r="G1167">
        <v>1</v>
      </c>
      <c r="H1167">
        <v>1</v>
      </c>
      <c r="I1167">
        <v>1</v>
      </c>
      <c r="J1167">
        <v>1</v>
      </c>
    </row>
    <row r="1168" spans="1:10">
      <c r="A1168">
        <v>1167</v>
      </c>
      <c r="B1168">
        <v>744456833</v>
      </c>
      <c r="C1168">
        <v>100000000</v>
      </c>
      <c r="D1168">
        <v>100000000</v>
      </c>
      <c r="E1168">
        <v>10000000</v>
      </c>
      <c r="F1168">
        <v>1</v>
      </c>
      <c r="G1168">
        <v>1</v>
      </c>
      <c r="H1168">
        <v>1</v>
      </c>
      <c r="I1168">
        <v>1</v>
      </c>
      <c r="J1168">
        <v>1</v>
      </c>
    </row>
    <row r="1169" spans="1:10">
      <c r="A1169">
        <v>1168</v>
      </c>
      <c r="B1169">
        <v>755567406</v>
      </c>
      <c r="C1169">
        <v>100000000</v>
      </c>
      <c r="D1169">
        <v>100000000</v>
      </c>
      <c r="E1169">
        <v>10000000</v>
      </c>
      <c r="F1169">
        <v>1</v>
      </c>
      <c r="G1169">
        <v>1</v>
      </c>
      <c r="H1169">
        <v>1</v>
      </c>
      <c r="I1169">
        <v>1</v>
      </c>
      <c r="J1169">
        <v>1</v>
      </c>
    </row>
    <row r="1170" spans="1:10">
      <c r="A1170">
        <v>1169</v>
      </c>
      <c r="B1170">
        <v>766677979</v>
      </c>
      <c r="C1170">
        <v>100000000</v>
      </c>
      <c r="D1170">
        <v>100000000</v>
      </c>
      <c r="E1170">
        <v>10000000</v>
      </c>
      <c r="F1170">
        <v>1</v>
      </c>
      <c r="G1170">
        <v>1</v>
      </c>
      <c r="H1170">
        <v>1</v>
      </c>
      <c r="I1170">
        <v>1</v>
      </c>
      <c r="J1170">
        <v>1</v>
      </c>
    </row>
    <row r="1171" spans="1:10">
      <c r="A1171">
        <v>1170</v>
      </c>
      <c r="B1171">
        <v>777788552</v>
      </c>
      <c r="C1171">
        <v>100000000</v>
      </c>
      <c r="D1171">
        <v>100000000</v>
      </c>
      <c r="E1171">
        <v>10000000</v>
      </c>
      <c r="F1171">
        <v>1</v>
      </c>
      <c r="G1171">
        <v>1</v>
      </c>
      <c r="H1171">
        <v>1</v>
      </c>
      <c r="I1171">
        <v>1</v>
      </c>
      <c r="J1171">
        <v>1</v>
      </c>
    </row>
    <row r="1172" spans="1:10">
      <c r="A1172">
        <v>1171</v>
      </c>
      <c r="B1172">
        <v>788899125</v>
      </c>
      <c r="C1172">
        <v>100000000</v>
      </c>
      <c r="D1172">
        <v>100000000</v>
      </c>
      <c r="E1172">
        <v>10000000</v>
      </c>
      <c r="F1172">
        <v>1</v>
      </c>
      <c r="G1172">
        <v>1</v>
      </c>
      <c r="H1172">
        <v>1</v>
      </c>
      <c r="I1172">
        <v>1</v>
      </c>
      <c r="J1172">
        <v>1</v>
      </c>
    </row>
    <row r="1173" spans="1:10">
      <c r="A1173">
        <v>1172</v>
      </c>
      <c r="B1173">
        <v>800009698</v>
      </c>
      <c r="C1173">
        <v>100000000</v>
      </c>
      <c r="D1173">
        <v>100000000</v>
      </c>
      <c r="E1173">
        <v>10000000</v>
      </c>
      <c r="F1173">
        <v>1</v>
      </c>
      <c r="G1173">
        <v>1</v>
      </c>
      <c r="H1173">
        <v>1</v>
      </c>
      <c r="I1173">
        <v>1</v>
      </c>
      <c r="J1173">
        <v>1</v>
      </c>
    </row>
    <row r="1174" spans="1:10">
      <c r="A1174">
        <v>1173</v>
      </c>
      <c r="B1174">
        <v>811120271</v>
      </c>
      <c r="C1174">
        <v>100000000</v>
      </c>
      <c r="D1174">
        <v>100000000</v>
      </c>
      <c r="E1174">
        <v>10000000</v>
      </c>
      <c r="F1174">
        <v>1</v>
      </c>
      <c r="G1174">
        <v>1</v>
      </c>
      <c r="H1174">
        <v>1</v>
      </c>
      <c r="I1174">
        <v>1</v>
      </c>
      <c r="J1174">
        <v>1</v>
      </c>
    </row>
    <row r="1175" spans="1:10">
      <c r="A1175">
        <v>1174</v>
      </c>
      <c r="B1175">
        <v>822230844</v>
      </c>
      <c r="C1175">
        <v>100000000</v>
      </c>
      <c r="D1175">
        <v>100000000</v>
      </c>
      <c r="E1175">
        <v>10000000</v>
      </c>
      <c r="F1175">
        <v>1</v>
      </c>
      <c r="G1175">
        <v>1</v>
      </c>
      <c r="H1175">
        <v>1</v>
      </c>
      <c r="I1175">
        <v>1</v>
      </c>
      <c r="J1175">
        <v>1</v>
      </c>
    </row>
    <row r="1176" spans="1:10">
      <c r="A1176">
        <v>1175</v>
      </c>
      <c r="B1176">
        <v>833341417</v>
      </c>
      <c r="C1176">
        <v>100000000</v>
      </c>
      <c r="D1176">
        <v>100000000</v>
      </c>
      <c r="E1176">
        <v>10000000</v>
      </c>
      <c r="F1176">
        <v>1</v>
      </c>
      <c r="G1176">
        <v>1</v>
      </c>
      <c r="H1176">
        <v>1</v>
      </c>
      <c r="I1176">
        <v>1</v>
      </c>
      <c r="J1176">
        <v>1</v>
      </c>
    </row>
    <row r="1177" spans="1:10">
      <c r="A1177">
        <v>1176</v>
      </c>
      <c r="B1177">
        <v>844451990</v>
      </c>
      <c r="C1177">
        <v>100000000</v>
      </c>
      <c r="D1177">
        <v>100000000</v>
      </c>
      <c r="E1177">
        <v>10000000</v>
      </c>
      <c r="F1177">
        <v>1</v>
      </c>
      <c r="G1177">
        <v>1</v>
      </c>
      <c r="H1177">
        <v>1</v>
      </c>
      <c r="I1177">
        <v>1</v>
      </c>
      <c r="J1177">
        <v>1</v>
      </c>
    </row>
    <row r="1178" spans="1:10">
      <c r="A1178">
        <v>1177</v>
      </c>
      <c r="B1178">
        <v>855562563</v>
      </c>
      <c r="C1178">
        <v>100000000</v>
      </c>
      <c r="D1178">
        <v>100000000</v>
      </c>
      <c r="E1178">
        <v>10000000</v>
      </c>
      <c r="F1178">
        <v>1</v>
      </c>
      <c r="G1178">
        <v>1</v>
      </c>
      <c r="H1178">
        <v>1</v>
      </c>
      <c r="I1178">
        <v>1</v>
      </c>
      <c r="J1178">
        <v>1</v>
      </c>
    </row>
    <row r="1179" spans="1:10">
      <c r="A1179">
        <v>1178</v>
      </c>
      <c r="B1179">
        <v>866673136</v>
      </c>
      <c r="C1179">
        <v>100000000</v>
      </c>
      <c r="D1179">
        <v>100000000</v>
      </c>
      <c r="E1179">
        <v>10000000</v>
      </c>
      <c r="F1179">
        <v>1</v>
      </c>
      <c r="G1179">
        <v>1</v>
      </c>
      <c r="H1179">
        <v>1</v>
      </c>
      <c r="I1179">
        <v>1</v>
      </c>
      <c r="J1179">
        <v>1</v>
      </c>
    </row>
    <row r="1180" spans="1:10">
      <c r="A1180">
        <v>1179</v>
      </c>
      <c r="B1180">
        <v>877783709</v>
      </c>
      <c r="C1180">
        <v>100000000</v>
      </c>
      <c r="D1180">
        <v>100000000</v>
      </c>
      <c r="E1180">
        <v>10000000</v>
      </c>
      <c r="F1180">
        <v>1</v>
      </c>
      <c r="G1180">
        <v>1</v>
      </c>
      <c r="H1180">
        <v>1</v>
      </c>
      <c r="I1180">
        <v>1</v>
      </c>
      <c r="J1180">
        <v>1</v>
      </c>
    </row>
    <row r="1181" spans="1:10">
      <c r="A1181">
        <v>1180</v>
      </c>
      <c r="B1181">
        <v>888894282</v>
      </c>
      <c r="C1181">
        <v>100000000</v>
      </c>
      <c r="D1181">
        <v>100000000</v>
      </c>
      <c r="E1181">
        <v>10000000</v>
      </c>
      <c r="F1181">
        <v>1</v>
      </c>
      <c r="G1181">
        <v>1</v>
      </c>
      <c r="H1181">
        <v>1</v>
      </c>
      <c r="I1181">
        <v>1</v>
      </c>
      <c r="J1181">
        <v>1</v>
      </c>
    </row>
    <row r="1182" spans="1:10">
      <c r="A1182">
        <v>1181</v>
      </c>
      <c r="B1182">
        <v>900004855</v>
      </c>
      <c r="C1182">
        <v>100000000</v>
      </c>
      <c r="D1182">
        <v>100000000</v>
      </c>
      <c r="E1182">
        <v>10000000</v>
      </c>
      <c r="F1182">
        <v>1</v>
      </c>
      <c r="G1182">
        <v>1</v>
      </c>
      <c r="H1182">
        <v>1</v>
      </c>
      <c r="I1182">
        <v>1</v>
      </c>
      <c r="J1182">
        <v>1</v>
      </c>
    </row>
    <row r="1183" spans="1:10">
      <c r="A1183">
        <v>1182</v>
      </c>
      <c r="B1183">
        <v>911115428</v>
      </c>
      <c r="C1183">
        <v>100000000</v>
      </c>
      <c r="D1183">
        <v>100000000</v>
      </c>
      <c r="E1183">
        <v>10000000</v>
      </c>
      <c r="F1183">
        <v>1</v>
      </c>
      <c r="G1183">
        <v>1</v>
      </c>
      <c r="H1183">
        <v>1</v>
      </c>
      <c r="I1183">
        <v>1</v>
      </c>
      <c r="J1183">
        <v>1</v>
      </c>
    </row>
    <row r="1184" spans="1:10">
      <c r="A1184">
        <v>1183</v>
      </c>
      <c r="B1184">
        <v>922226001</v>
      </c>
      <c r="C1184">
        <v>100000000</v>
      </c>
      <c r="D1184">
        <v>100000000</v>
      </c>
      <c r="E1184">
        <v>10000000</v>
      </c>
      <c r="F1184">
        <v>1</v>
      </c>
      <c r="G1184">
        <v>1</v>
      </c>
      <c r="H1184">
        <v>1</v>
      </c>
      <c r="I1184">
        <v>1</v>
      </c>
      <c r="J1184">
        <v>1</v>
      </c>
    </row>
    <row r="1185" spans="1:10">
      <c r="A1185">
        <v>1184</v>
      </c>
      <c r="B1185">
        <v>933336574</v>
      </c>
      <c r="C1185">
        <v>100000000</v>
      </c>
      <c r="D1185">
        <v>100000000</v>
      </c>
      <c r="E1185">
        <v>10000000</v>
      </c>
      <c r="F1185">
        <v>1</v>
      </c>
      <c r="G1185">
        <v>1</v>
      </c>
      <c r="H1185">
        <v>1</v>
      </c>
      <c r="I1185">
        <v>1</v>
      </c>
      <c r="J1185">
        <v>1</v>
      </c>
    </row>
    <row r="1186" spans="1:10">
      <c r="A1186">
        <v>1185</v>
      </c>
      <c r="B1186">
        <v>944447147</v>
      </c>
      <c r="C1186">
        <v>100000000</v>
      </c>
      <c r="D1186">
        <v>100000000</v>
      </c>
      <c r="E1186">
        <v>10000000</v>
      </c>
      <c r="F1186">
        <v>1</v>
      </c>
      <c r="G1186">
        <v>1</v>
      </c>
      <c r="H1186">
        <v>1</v>
      </c>
      <c r="I1186">
        <v>1</v>
      </c>
      <c r="J1186">
        <v>1</v>
      </c>
    </row>
    <row r="1187" spans="1:10">
      <c r="A1187">
        <v>1186</v>
      </c>
      <c r="B1187">
        <v>955557720</v>
      </c>
      <c r="C1187">
        <v>100000000</v>
      </c>
      <c r="D1187">
        <v>100000000</v>
      </c>
      <c r="E1187">
        <v>10000000</v>
      </c>
      <c r="F1187">
        <v>1</v>
      </c>
      <c r="G1187">
        <v>1</v>
      </c>
      <c r="H1187">
        <v>1</v>
      </c>
      <c r="I1187">
        <v>1</v>
      </c>
      <c r="J1187">
        <v>1</v>
      </c>
    </row>
    <row r="1188" spans="1:10">
      <c r="A1188">
        <v>1187</v>
      </c>
      <c r="B1188">
        <v>966668293</v>
      </c>
      <c r="C1188">
        <v>100000000</v>
      </c>
      <c r="D1188">
        <v>100000000</v>
      </c>
      <c r="E1188">
        <v>10000000</v>
      </c>
      <c r="F1188">
        <v>1</v>
      </c>
      <c r="G1188">
        <v>1</v>
      </c>
      <c r="H1188">
        <v>1</v>
      </c>
      <c r="I1188">
        <v>1</v>
      </c>
      <c r="J1188">
        <v>1</v>
      </c>
    </row>
    <row r="1189" spans="1:10">
      <c r="A1189">
        <v>1188</v>
      </c>
      <c r="B1189">
        <v>977778866</v>
      </c>
      <c r="C1189">
        <v>100000000</v>
      </c>
      <c r="D1189">
        <v>100000000</v>
      </c>
      <c r="E1189">
        <v>10000000</v>
      </c>
      <c r="F1189">
        <v>1</v>
      </c>
      <c r="G1189">
        <v>1</v>
      </c>
      <c r="H1189">
        <v>1</v>
      </c>
      <c r="I1189">
        <v>1</v>
      </c>
      <c r="J1189">
        <v>1</v>
      </c>
    </row>
    <row r="1190" spans="1:10">
      <c r="A1190">
        <v>1189</v>
      </c>
      <c r="B1190">
        <v>988889439</v>
      </c>
      <c r="C1190">
        <v>100000000</v>
      </c>
      <c r="D1190">
        <v>100000000</v>
      </c>
      <c r="E1190">
        <v>10000000</v>
      </c>
      <c r="F1190">
        <v>1</v>
      </c>
      <c r="G1190">
        <v>1</v>
      </c>
      <c r="H1190">
        <v>1</v>
      </c>
      <c r="I1190">
        <v>1</v>
      </c>
      <c r="J1190">
        <v>1</v>
      </c>
    </row>
    <row r="1191" spans="1:10">
      <c r="A1191">
        <v>1190</v>
      </c>
      <c r="B1191">
        <v>100000012</v>
      </c>
      <c r="C1191">
        <v>100000000</v>
      </c>
      <c r="D1191">
        <v>100000000</v>
      </c>
      <c r="E1191">
        <v>100000000</v>
      </c>
      <c r="F1191">
        <v>1</v>
      </c>
      <c r="G1191">
        <v>1</v>
      </c>
      <c r="H1191">
        <v>1</v>
      </c>
      <c r="I1191">
        <v>1</v>
      </c>
      <c r="J1191">
        <v>1</v>
      </c>
    </row>
    <row r="1192" spans="1:10">
      <c r="A1192">
        <v>1191</v>
      </c>
      <c r="B1192">
        <v>111110585</v>
      </c>
      <c r="C1192">
        <v>100000000</v>
      </c>
      <c r="D1192">
        <v>100000000</v>
      </c>
      <c r="E1192">
        <v>100000000</v>
      </c>
      <c r="F1192">
        <v>1</v>
      </c>
      <c r="G1192">
        <v>1</v>
      </c>
      <c r="H1192">
        <v>1</v>
      </c>
      <c r="I1192">
        <v>1</v>
      </c>
      <c r="J1192">
        <v>1</v>
      </c>
    </row>
    <row r="1193" spans="1:10">
      <c r="A1193">
        <v>1192</v>
      </c>
      <c r="B1193">
        <v>122221158</v>
      </c>
      <c r="C1193">
        <v>100000000</v>
      </c>
      <c r="D1193">
        <v>100000000</v>
      </c>
      <c r="E1193">
        <v>100000000</v>
      </c>
      <c r="F1193">
        <v>1</v>
      </c>
      <c r="G1193">
        <v>1</v>
      </c>
      <c r="H1193">
        <v>1</v>
      </c>
      <c r="I1193">
        <v>1</v>
      </c>
      <c r="J1193">
        <v>1</v>
      </c>
    </row>
    <row r="1194" spans="1:10">
      <c r="A1194">
        <v>1193</v>
      </c>
      <c r="B1194">
        <v>133331731</v>
      </c>
      <c r="C1194">
        <v>100000000</v>
      </c>
      <c r="D1194">
        <v>100000000</v>
      </c>
      <c r="E1194">
        <v>100000000</v>
      </c>
      <c r="F1194">
        <v>1</v>
      </c>
      <c r="G1194">
        <v>1</v>
      </c>
      <c r="H1194">
        <v>1</v>
      </c>
      <c r="I1194">
        <v>1</v>
      </c>
      <c r="J1194">
        <v>1</v>
      </c>
    </row>
    <row r="1195" spans="1:10">
      <c r="A1195">
        <v>1194</v>
      </c>
      <c r="B1195">
        <v>144442304</v>
      </c>
      <c r="C1195">
        <v>100000000</v>
      </c>
      <c r="D1195">
        <v>100000000</v>
      </c>
      <c r="E1195">
        <v>100000000</v>
      </c>
      <c r="F1195">
        <v>1</v>
      </c>
      <c r="G1195">
        <v>1</v>
      </c>
      <c r="H1195">
        <v>1</v>
      </c>
      <c r="I1195">
        <v>1</v>
      </c>
      <c r="J1195">
        <v>1</v>
      </c>
    </row>
    <row r="1196" spans="1:10">
      <c r="A1196">
        <v>1195</v>
      </c>
      <c r="B1196">
        <v>155552877</v>
      </c>
      <c r="C1196">
        <v>100000000</v>
      </c>
      <c r="D1196">
        <v>100000000</v>
      </c>
      <c r="E1196">
        <v>100000000</v>
      </c>
      <c r="F1196">
        <v>1</v>
      </c>
      <c r="G1196">
        <v>1</v>
      </c>
      <c r="H1196">
        <v>1</v>
      </c>
      <c r="I1196">
        <v>1</v>
      </c>
      <c r="J1196">
        <v>1</v>
      </c>
    </row>
    <row r="1197" spans="1:10">
      <c r="A1197">
        <v>1196</v>
      </c>
      <c r="B1197">
        <v>166663450</v>
      </c>
      <c r="C1197">
        <v>100000000</v>
      </c>
      <c r="D1197">
        <v>100000000</v>
      </c>
      <c r="E1197">
        <v>100000000</v>
      </c>
      <c r="F1197">
        <v>1</v>
      </c>
      <c r="G1197">
        <v>1</v>
      </c>
      <c r="H1197">
        <v>1</v>
      </c>
      <c r="I1197">
        <v>1</v>
      </c>
      <c r="J1197">
        <v>1</v>
      </c>
    </row>
    <row r="1198" spans="1:10">
      <c r="A1198">
        <v>1197</v>
      </c>
      <c r="B1198">
        <v>177774023</v>
      </c>
      <c r="C1198">
        <v>100000000</v>
      </c>
      <c r="D1198">
        <v>100000000</v>
      </c>
      <c r="E1198">
        <v>100000000</v>
      </c>
      <c r="F1198">
        <v>1</v>
      </c>
      <c r="G1198">
        <v>1</v>
      </c>
      <c r="H1198">
        <v>1</v>
      </c>
      <c r="I1198">
        <v>1</v>
      </c>
      <c r="J1198">
        <v>1</v>
      </c>
    </row>
    <row r="1199" spans="1:10">
      <c r="A1199">
        <v>1198</v>
      </c>
      <c r="B1199">
        <v>188884596</v>
      </c>
      <c r="C1199">
        <v>100000000</v>
      </c>
      <c r="D1199">
        <v>100000000</v>
      </c>
      <c r="E1199">
        <v>100000000</v>
      </c>
      <c r="F1199">
        <v>1</v>
      </c>
      <c r="G1199">
        <v>1</v>
      </c>
      <c r="H1199">
        <v>1</v>
      </c>
      <c r="I1199">
        <v>1</v>
      </c>
      <c r="J1199">
        <v>1</v>
      </c>
    </row>
    <row r="1200" spans="1:10">
      <c r="A1200">
        <v>1199</v>
      </c>
      <c r="B1200">
        <v>199995169</v>
      </c>
      <c r="C1200">
        <v>100000000</v>
      </c>
      <c r="D1200">
        <v>100000000</v>
      </c>
      <c r="E1200">
        <v>100000000</v>
      </c>
      <c r="F1200">
        <v>1</v>
      </c>
      <c r="G1200">
        <v>1</v>
      </c>
      <c r="H1200">
        <v>1</v>
      </c>
      <c r="I1200">
        <v>1</v>
      </c>
      <c r="J1200">
        <v>1</v>
      </c>
    </row>
    <row r="1201" spans="1:10">
      <c r="A1201">
        <v>1200</v>
      </c>
      <c r="B1201">
        <v>211105742</v>
      </c>
      <c r="C1201">
        <v>100000000</v>
      </c>
      <c r="D1201">
        <v>100000000</v>
      </c>
      <c r="E1201">
        <v>100000000</v>
      </c>
      <c r="F1201">
        <v>1</v>
      </c>
      <c r="G1201">
        <v>1</v>
      </c>
      <c r="H1201">
        <v>1</v>
      </c>
      <c r="I1201">
        <v>1</v>
      </c>
      <c r="J1201">
        <v>1</v>
      </c>
    </row>
    <row r="1202" spans="1:10">
      <c r="A1202">
        <v>1201</v>
      </c>
      <c r="B1202">
        <v>222216315</v>
      </c>
      <c r="C1202">
        <v>100000000</v>
      </c>
      <c r="D1202">
        <v>100000000</v>
      </c>
      <c r="E1202">
        <v>100000000</v>
      </c>
      <c r="F1202">
        <v>1</v>
      </c>
      <c r="G1202">
        <v>1</v>
      </c>
      <c r="H1202">
        <v>1</v>
      </c>
      <c r="I1202">
        <v>1</v>
      </c>
      <c r="J1202">
        <v>1</v>
      </c>
    </row>
    <row r="1203" spans="1:10">
      <c r="A1203">
        <v>1202</v>
      </c>
      <c r="B1203">
        <v>233326888</v>
      </c>
      <c r="C1203">
        <v>100000000</v>
      </c>
      <c r="D1203">
        <v>100000000</v>
      </c>
      <c r="E1203">
        <v>100000000</v>
      </c>
      <c r="F1203">
        <v>1</v>
      </c>
      <c r="G1203">
        <v>1</v>
      </c>
      <c r="H1203">
        <v>1</v>
      </c>
      <c r="I1203">
        <v>1</v>
      </c>
      <c r="J1203">
        <v>1</v>
      </c>
    </row>
    <row r="1204" spans="1:10">
      <c r="A1204">
        <v>1203</v>
      </c>
      <c r="B1204">
        <v>244437461</v>
      </c>
      <c r="C1204">
        <v>100000000</v>
      </c>
      <c r="D1204">
        <v>100000000</v>
      </c>
      <c r="E1204">
        <v>100000000</v>
      </c>
      <c r="F1204">
        <v>1</v>
      </c>
      <c r="G1204">
        <v>1</v>
      </c>
      <c r="H1204">
        <v>1</v>
      </c>
      <c r="I1204">
        <v>1</v>
      </c>
      <c r="J1204">
        <v>1</v>
      </c>
    </row>
    <row r="1205" spans="1:10">
      <c r="A1205">
        <v>1204</v>
      </c>
      <c r="B1205">
        <v>255548034</v>
      </c>
      <c r="C1205">
        <v>100000000</v>
      </c>
      <c r="D1205">
        <v>100000000</v>
      </c>
      <c r="E1205">
        <v>100000000</v>
      </c>
      <c r="F1205">
        <v>1</v>
      </c>
      <c r="G1205">
        <v>1</v>
      </c>
      <c r="H1205">
        <v>1</v>
      </c>
      <c r="I1205">
        <v>1</v>
      </c>
      <c r="J1205">
        <v>1</v>
      </c>
    </row>
    <row r="1206" spans="1:10">
      <c r="A1206">
        <v>1205</v>
      </c>
      <c r="B1206">
        <v>266658607</v>
      </c>
      <c r="C1206">
        <v>100000000</v>
      </c>
      <c r="D1206">
        <v>100000000</v>
      </c>
      <c r="E1206">
        <v>100000000</v>
      </c>
      <c r="F1206">
        <v>1</v>
      </c>
      <c r="G1206">
        <v>1</v>
      </c>
      <c r="H1206">
        <v>1</v>
      </c>
      <c r="I1206">
        <v>1</v>
      </c>
      <c r="J1206">
        <v>1</v>
      </c>
    </row>
    <row r="1207" spans="1:10">
      <c r="A1207">
        <v>1206</v>
      </c>
      <c r="B1207">
        <v>277769180</v>
      </c>
      <c r="C1207">
        <v>100000000</v>
      </c>
      <c r="D1207">
        <v>100000000</v>
      </c>
      <c r="E1207">
        <v>100000000</v>
      </c>
      <c r="F1207">
        <v>1</v>
      </c>
      <c r="G1207">
        <v>1</v>
      </c>
      <c r="H1207">
        <v>1</v>
      </c>
      <c r="I1207">
        <v>1</v>
      </c>
      <c r="J1207">
        <v>1</v>
      </c>
    </row>
    <row r="1208" spans="1:10">
      <c r="A1208">
        <v>1207</v>
      </c>
      <c r="B1208">
        <v>288879753</v>
      </c>
      <c r="C1208">
        <v>100000000</v>
      </c>
      <c r="D1208">
        <v>100000000</v>
      </c>
      <c r="E1208">
        <v>100000000</v>
      </c>
      <c r="F1208">
        <v>1</v>
      </c>
      <c r="G1208">
        <v>1</v>
      </c>
      <c r="H1208">
        <v>1</v>
      </c>
      <c r="I1208">
        <v>1</v>
      </c>
      <c r="J1208">
        <v>1</v>
      </c>
    </row>
    <row r="1209" spans="1:10">
      <c r="A1209">
        <v>1208</v>
      </c>
      <c r="B1209">
        <v>299990326</v>
      </c>
      <c r="C1209">
        <v>100000000</v>
      </c>
      <c r="D1209">
        <v>100000000</v>
      </c>
      <c r="E1209">
        <v>100000000</v>
      </c>
      <c r="F1209">
        <v>1</v>
      </c>
      <c r="G1209">
        <v>1</v>
      </c>
      <c r="H1209">
        <v>1</v>
      </c>
      <c r="I1209">
        <v>1</v>
      </c>
      <c r="J1209">
        <v>1</v>
      </c>
    </row>
    <row r="1210" spans="1:10">
      <c r="A1210">
        <v>1209</v>
      </c>
      <c r="B1210">
        <v>311100899</v>
      </c>
      <c r="C1210">
        <v>100000000</v>
      </c>
      <c r="D1210">
        <v>100000000</v>
      </c>
      <c r="E1210">
        <v>100000000</v>
      </c>
      <c r="F1210">
        <v>1</v>
      </c>
      <c r="G1210">
        <v>1</v>
      </c>
      <c r="H1210">
        <v>1</v>
      </c>
      <c r="I1210">
        <v>1</v>
      </c>
      <c r="J1210">
        <v>1</v>
      </c>
    </row>
    <row r="1211" spans="1:10">
      <c r="A1211">
        <v>1210</v>
      </c>
      <c r="B1211">
        <v>322211472</v>
      </c>
      <c r="C1211">
        <v>100000000</v>
      </c>
      <c r="D1211">
        <v>100000000</v>
      </c>
      <c r="E1211">
        <v>100000000</v>
      </c>
      <c r="F1211">
        <v>1</v>
      </c>
      <c r="G1211">
        <v>1</v>
      </c>
      <c r="H1211">
        <v>1</v>
      </c>
      <c r="I1211">
        <v>1</v>
      </c>
      <c r="J1211">
        <v>1</v>
      </c>
    </row>
    <row r="1212" spans="1:10">
      <c r="A1212">
        <v>1211</v>
      </c>
      <c r="B1212">
        <v>333322045</v>
      </c>
      <c r="C1212">
        <v>100000000</v>
      </c>
      <c r="D1212">
        <v>100000000</v>
      </c>
      <c r="E1212">
        <v>100000000</v>
      </c>
      <c r="F1212">
        <v>1</v>
      </c>
      <c r="G1212">
        <v>1</v>
      </c>
      <c r="H1212">
        <v>1</v>
      </c>
      <c r="I1212">
        <v>1</v>
      </c>
      <c r="J1212">
        <v>1</v>
      </c>
    </row>
    <row r="1213" spans="1:10">
      <c r="A1213">
        <v>1212</v>
      </c>
      <c r="B1213">
        <v>344432618</v>
      </c>
      <c r="C1213">
        <v>100000000</v>
      </c>
      <c r="D1213">
        <v>100000000</v>
      </c>
      <c r="E1213">
        <v>100000000</v>
      </c>
      <c r="F1213">
        <v>1</v>
      </c>
      <c r="G1213">
        <v>1</v>
      </c>
      <c r="H1213">
        <v>1</v>
      </c>
      <c r="I1213">
        <v>1</v>
      </c>
      <c r="J1213">
        <v>1</v>
      </c>
    </row>
    <row r="1214" spans="1:10">
      <c r="A1214">
        <v>1213</v>
      </c>
      <c r="B1214">
        <v>355543191</v>
      </c>
      <c r="C1214">
        <v>100000000</v>
      </c>
      <c r="D1214">
        <v>100000000</v>
      </c>
      <c r="E1214">
        <v>100000000</v>
      </c>
      <c r="F1214">
        <v>1</v>
      </c>
      <c r="G1214">
        <v>1</v>
      </c>
      <c r="H1214">
        <v>1</v>
      </c>
      <c r="I1214">
        <v>1</v>
      </c>
      <c r="J1214">
        <v>1</v>
      </c>
    </row>
    <row r="1215" spans="1:10">
      <c r="A1215">
        <v>1214</v>
      </c>
      <c r="B1215">
        <v>366653764</v>
      </c>
      <c r="C1215">
        <v>100000000</v>
      </c>
      <c r="D1215">
        <v>100000000</v>
      </c>
      <c r="E1215">
        <v>100000000</v>
      </c>
      <c r="F1215">
        <v>1</v>
      </c>
      <c r="G1215">
        <v>1</v>
      </c>
      <c r="H1215">
        <v>1</v>
      </c>
      <c r="I1215">
        <v>1</v>
      </c>
      <c r="J1215">
        <v>1</v>
      </c>
    </row>
    <row r="1216" spans="1:10">
      <c r="A1216">
        <v>1215</v>
      </c>
      <c r="B1216">
        <v>377764337</v>
      </c>
      <c r="C1216">
        <v>100000000</v>
      </c>
      <c r="D1216">
        <v>100000000</v>
      </c>
      <c r="E1216">
        <v>100000000</v>
      </c>
      <c r="F1216">
        <v>1</v>
      </c>
      <c r="G1216">
        <v>1</v>
      </c>
      <c r="H1216">
        <v>1</v>
      </c>
      <c r="I1216">
        <v>1</v>
      </c>
      <c r="J1216">
        <v>1</v>
      </c>
    </row>
    <row r="1217" spans="1:10">
      <c r="A1217">
        <v>1216</v>
      </c>
      <c r="B1217">
        <v>388874910</v>
      </c>
      <c r="C1217">
        <v>100000000</v>
      </c>
      <c r="D1217">
        <v>100000000</v>
      </c>
      <c r="E1217">
        <v>100000000</v>
      </c>
      <c r="F1217">
        <v>1</v>
      </c>
      <c r="G1217">
        <v>1</v>
      </c>
      <c r="H1217">
        <v>1</v>
      </c>
      <c r="I1217">
        <v>1</v>
      </c>
      <c r="J1217">
        <v>1</v>
      </c>
    </row>
    <row r="1218" spans="1:10">
      <c r="A1218">
        <v>1217</v>
      </c>
      <c r="B1218">
        <v>399985483</v>
      </c>
      <c r="C1218">
        <v>100000000</v>
      </c>
      <c r="D1218">
        <v>100000000</v>
      </c>
      <c r="E1218">
        <v>100000000</v>
      </c>
      <c r="F1218">
        <v>1</v>
      </c>
      <c r="G1218">
        <v>1</v>
      </c>
      <c r="H1218">
        <v>1</v>
      </c>
      <c r="I1218">
        <v>1</v>
      </c>
      <c r="J1218">
        <v>1</v>
      </c>
    </row>
    <row r="1219" spans="1:10">
      <c r="A1219">
        <v>1218</v>
      </c>
      <c r="B1219">
        <v>411096056</v>
      </c>
      <c r="C1219">
        <v>100000000</v>
      </c>
      <c r="D1219">
        <v>100000000</v>
      </c>
      <c r="E1219">
        <v>100000000</v>
      </c>
      <c r="F1219">
        <v>1</v>
      </c>
      <c r="G1219">
        <v>1</v>
      </c>
      <c r="H1219">
        <v>1</v>
      </c>
      <c r="I1219">
        <v>1</v>
      </c>
      <c r="J1219">
        <v>1</v>
      </c>
    </row>
    <row r="1220" spans="1:10">
      <c r="A1220">
        <v>1219</v>
      </c>
      <c r="B1220">
        <v>422206629</v>
      </c>
      <c r="C1220">
        <v>100000000</v>
      </c>
      <c r="D1220">
        <v>100000000</v>
      </c>
      <c r="E1220">
        <v>100000000</v>
      </c>
      <c r="F1220">
        <v>1</v>
      </c>
      <c r="G1220">
        <v>1</v>
      </c>
      <c r="H1220">
        <v>1</v>
      </c>
      <c r="I1220">
        <v>1</v>
      </c>
      <c r="J1220">
        <v>1</v>
      </c>
    </row>
    <row r="1221" spans="1:10">
      <c r="A1221">
        <v>1220</v>
      </c>
      <c r="B1221">
        <v>433317202</v>
      </c>
      <c r="C1221">
        <v>100000000</v>
      </c>
      <c r="D1221">
        <v>100000000</v>
      </c>
      <c r="E1221">
        <v>100000000</v>
      </c>
      <c r="F1221">
        <v>1</v>
      </c>
      <c r="G1221">
        <v>1</v>
      </c>
      <c r="H1221">
        <v>1</v>
      </c>
      <c r="I1221">
        <v>1</v>
      </c>
      <c r="J1221">
        <v>1</v>
      </c>
    </row>
    <row r="1222" spans="1:10">
      <c r="A1222">
        <v>1221</v>
      </c>
      <c r="B1222">
        <v>444427775</v>
      </c>
      <c r="C1222">
        <v>100000000</v>
      </c>
      <c r="D1222">
        <v>100000000</v>
      </c>
      <c r="E1222">
        <v>100000000</v>
      </c>
      <c r="F1222">
        <v>1</v>
      </c>
      <c r="G1222">
        <v>1</v>
      </c>
      <c r="H1222">
        <v>1</v>
      </c>
      <c r="I1222">
        <v>1</v>
      </c>
      <c r="J1222">
        <v>1</v>
      </c>
    </row>
    <row r="1223" spans="1:10">
      <c r="A1223">
        <v>1222</v>
      </c>
      <c r="B1223">
        <v>455538348</v>
      </c>
      <c r="C1223">
        <v>100000000</v>
      </c>
      <c r="D1223">
        <v>100000000</v>
      </c>
      <c r="E1223">
        <v>100000000</v>
      </c>
      <c r="F1223">
        <v>1</v>
      </c>
      <c r="G1223">
        <v>1</v>
      </c>
      <c r="H1223">
        <v>1</v>
      </c>
      <c r="I1223">
        <v>1</v>
      </c>
      <c r="J1223">
        <v>1</v>
      </c>
    </row>
    <row r="1224" spans="1:10">
      <c r="A1224">
        <v>1223</v>
      </c>
      <c r="B1224">
        <v>466648921</v>
      </c>
      <c r="C1224">
        <v>100000000</v>
      </c>
      <c r="D1224">
        <v>100000000</v>
      </c>
      <c r="E1224">
        <v>100000000</v>
      </c>
      <c r="F1224">
        <v>1</v>
      </c>
      <c r="G1224">
        <v>1</v>
      </c>
      <c r="H1224">
        <v>1</v>
      </c>
      <c r="I1224">
        <v>1</v>
      </c>
      <c r="J1224">
        <v>1</v>
      </c>
    </row>
    <row r="1225" spans="1:10">
      <c r="A1225">
        <v>1224</v>
      </c>
      <c r="B1225">
        <v>477759494</v>
      </c>
      <c r="C1225">
        <v>100000000</v>
      </c>
      <c r="D1225">
        <v>100000000</v>
      </c>
      <c r="E1225">
        <v>100000000</v>
      </c>
      <c r="F1225">
        <v>1</v>
      </c>
      <c r="G1225">
        <v>1</v>
      </c>
      <c r="H1225">
        <v>1</v>
      </c>
      <c r="I1225">
        <v>1</v>
      </c>
      <c r="J1225">
        <v>1</v>
      </c>
    </row>
    <row r="1226" spans="1:10">
      <c r="A1226">
        <v>1225</v>
      </c>
      <c r="B1226">
        <v>488870067</v>
      </c>
      <c r="C1226">
        <v>100000000</v>
      </c>
      <c r="D1226">
        <v>100000000</v>
      </c>
      <c r="E1226">
        <v>100000000</v>
      </c>
      <c r="F1226">
        <v>1</v>
      </c>
      <c r="G1226">
        <v>1</v>
      </c>
      <c r="H1226">
        <v>1</v>
      </c>
      <c r="I1226">
        <v>1</v>
      </c>
      <c r="J1226">
        <v>1</v>
      </c>
    </row>
    <row r="1227" spans="1:10">
      <c r="A1227">
        <v>1226</v>
      </c>
      <c r="B1227">
        <v>499980640</v>
      </c>
      <c r="C1227">
        <v>100000000</v>
      </c>
      <c r="D1227">
        <v>100000000</v>
      </c>
      <c r="E1227">
        <v>100000000</v>
      </c>
      <c r="F1227">
        <v>1</v>
      </c>
      <c r="G1227">
        <v>1</v>
      </c>
      <c r="H1227">
        <v>1</v>
      </c>
      <c r="I1227">
        <v>1</v>
      </c>
      <c r="J1227">
        <v>1</v>
      </c>
    </row>
    <row r="1228" spans="1:10">
      <c r="A1228">
        <v>1227</v>
      </c>
      <c r="B1228">
        <v>511091213</v>
      </c>
      <c r="C1228">
        <v>100000000</v>
      </c>
      <c r="D1228">
        <v>100000000</v>
      </c>
      <c r="E1228">
        <v>100000000</v>
      </c>
      <c r="F1228">
        <v>1</v>
      </c>
      <c r="G1228">
        <v>1</v>
      </c>
      <c r="H1228">
        <v>1</v>
      </c>
      <c r="I1228">
        <v>1</v>
      </c>
      <c r="J1228">
        <v>1</v>
      </c>
    </row>
    <row r="1229" spans="1:10">
      <c r="A1229">
        <v>1228</v>
      </c>
      <c r="B1229">
        <v>522201786</v>
      </c>
      <c r="C1229">
        <v>100000000</v>
      </c>
      <c r="D1229">
        <v>100000000</v>
      </c>
      <c r="E1229">
        <v>100000000</v>
      </c>
      <c r="F1229">
        <v>1</v>
      </c>
      <c r="G1229">
        <v>1</v>
      </c>
      <c r="H1229">
        <v>1</v>
      </c>
      <c r="I1229">
        <v>1</v>
      </c>
      <c r="J1229">
        <v>1</v>
      </c>
    </row>
    <row r="1230" spans="1:10">
      <c r="A1230">
        <v>1229</v>
      </c>
      <c r="B1230">
        <v>533312359</v>
      </c>
      <c r="C1230">
        <v>100000000</v>
      </c>
      <c r="D1230">
        <v>100000000</v>
      </c>
      <c r="E1230">
        <v>100000000</v>
      </c>
      <c r="F1230">
        <v>1</v>
      </c>
      <c r="G1230">
        <v>1</v>
      </c>
      <c r="H1230">
        <v>1</v>
      </c>
      <c r="I1230">
        <v>1</v>
      </c>
      <c r="J1230">
        <v>1</v>
      </c>
    </row>
    <row r="1231" spans="1:10">
      <c r="A1231">
        <v>1230</v>
      </c>
      <c r="B1231">
        <v>544422932</v>
      </c>
      <c r="C1231">
        <v>100000000</v>
      </c>
      <c r="D1231">
        <v>100000000</v>
      </c>
      <c r="E1231">
        <v>100000000</v>
      </c>
      <c r="F1231">
        <v>1</v>
      </c>
      <c r="G1231">
        <v>1</v>
      </c>
      <c r="H1231">
        <v>1</v>
      </c>
      <c r="I1231">
        <v>1</v>
      </c>
      <c r="J1231">
        <v>1</v>
      </c>
    </row>
    <row r="1232" spans="1:10">
      <c r="A1232">
        <v>1231</v>
      </c>
      <c r="B1232">
        <v>555533505</v>
      </c>
      <c r="C1232">
        <v>100000000</v>
      </c>
      <c r="D1232">
        <v>100000000</v>
      </c>
      <c r="E1232">
        <v>100000000</v>
      </c>
      <c r="F1232">
        <v>1</v>
      </c>
      <c r="G1232">
        <v>1</v>
      </c>
      <c r="H1232">
        <v>1</v>
      </c>
      <c r="I1232">
        <v>1</v>
      </c>
      <c r="J1232">
        <v>1</v>
      </c>
    </row>
    <row r="1233" spans="1:10">
      <c r="A1233">
        <v>1232</v>
      </c>
      <c r="B1233">
        <v>566644078</v>
      </c>
      <c r="C1233">
        <v>100000000</v>
      </c>
      <c r="D1233">
        <v>100000000</v>
      </c>
      <c r="E1233">
        <v>100000000</v>
      </c>
      <c r="F1233">
        <v>1</v>
      </c>
      <c r="G1233">
        <v>1</v>
      </c>
      <c r="H1233">
        <v>1</v>
      </c>
      <c r="I1233">
        <v>1</v>
      </c>
      <c r="J1233">
        <v>1</v>
      </c>
    </row>
    <row r="1234" spans="1:10">
      <c r="A1234">
        <v>1233</v>
      </c>
      <c r="B1234">
        <v>577754651</v>
      </c>
      <c r="C1234">
        <v>100000000</v>
      </c>
      <c r="D1234">
        <v>100000000</v>
      </c>
      <c r="E1234">
        <v>100000000</v>
      </c>
      <c r="F1234">
        <v>1</v>
      </c>
      <c r="G1234">
        <v>1</v>
      </c>
      <c r="H1234">
        <v>1</v>
      </c>
      <c r="I1234">
        <v>1</v>
      </c>
      <c r="J1234">
        <v>1</v>
      </c>
    </row>
    <row r="1235" spans="1:10">
      <c r="A1235">
        <v>1234</v>
      </c>
      <c r="B1235">
        <v>588865224</v>
      </c>
      <c r="C1235">
        <v>100000000</v>
      </c>
      <c r="D1235">
        <v>100000000</v>
      </c>
      <c r="E1235">
        <v>100000000</v>
      </c>
      <c r="F1235">
        <v>1</v>
      </c>
      <c r="G1235">
        <v>1</v>
      </c>
      <c r="H1235">
        <v>1</v>
      </c>
      <c r="I1235">
        <v>1</v>
      </c>
      <c r="J1235">
        <v>1</v>
      </c>
    </row>
    <row r="1236" spans="1:10">
      <c r="A1236">
        <v>1235</v>
      </c>
      <c r="B1236">
        <v>599975797</v>
      </c>
      <c r="C1236">
        <v>100000000</v>
      </c>
      <c r="D1236">
        <v>100000000</v>
      </c>
      <c r="E1236">
        <v>100000000</v>
      </c>
      <c r="F1236">
        <v>1</v>
      </c>
      <c r="G1236">
        <v>1</v>
      </c>
      <c r="H1236">
        <v>1</v>
      </c>
      <c r="I1236">
        <v>1</v>
      </c>
      <c r="J1236">
        <v>1</v>
      </c>
    </row>
    <row r="1237" spans="1:10">
      <c r="A1237">
        <v>1236</v>
      </c>
      <c r="B1237">
        <v>611086370</v>
      </c>
      <c r="C1237">
        <v>100000000</v>
      </c>
      <c r="D1237">
        <v>100000000</v>
      </c>
      <c r="E1237">
        <v>100000000</v>
      </c>
      <c r="F1237">
        <v>1</v>
      </c>
      <c r="G1237">
        <v>1</v>
      </c>
      <c r="H1237">
        <v>1</v>
      </c>
      <c r="I1237">
        <v>1</v>
      </c>
      <c r="J1237">
        <v>1</v>
      </c>
    </row>
    <row r="1238" spans="1:10">
      <c r="A1238">
        <v>1237</v>
      </c>
      <c r="B1238">
        <v>622196943</v>
      </c>
      <c r="C1238">
        <v>100000000</v>
      </c>
      <c r="D1238">
        <v>100000000</v>
      </c>
      <c r="E1238">
        <v>100000000</v>
      </c>
      <c r="F1238">
        <v>1</v>
      </c>
      <c r="G1238">
        <v>1</v>
      </c>
      <c r="H1238">
        <v>1</v>
      </c>
      <c r="I1238">
        <v>1</v>
      </c>
      <c r="J1238">
        <v>1</v>
      </c>
    </row>
    <row r="1239" spans="1:10">
      <c r="A1239">
        <v>1238</v>
      </c>
      <c r="B1239">
        <v>633307516</v>
      </c>
      <c r="C1239">
        <v>100000000</v>
      </c>
      <c r="D1239">
        <v>100000000</v>
      </c>
      <c r="E1239">
        <v>100000000</v>
      </c>
      <c r="F1239">
        <v>1</v>
      </c>
      <c r="G1239">
        <v>1</v>
      </c>
      <c r="H1239">
        <v>1</v>
      </c>
      <c r="I1239">
        <v>1</v>
      </c>
      <c r="J1239">
        <v>1</v>
      </c>
    </row>
    <row r="1240" spans="1:10">
      <c r="A1240">
        <v>1239</v>
      </c>
      <c r="B1240">
        <v>644418089</v>
      </c>
      <c r="C1240">
        <v>100000000</v>
      </c>
      <c r="D1240">
        <v>100000000</v>
      </c>
      <c r="E1240">
        <v>100000000</v>
      </c>
      <c r="F1240">
        <v>1</v>
      </c>
      <c r="G1240">
        <v>1</v>
      </c>
      <c r="H1240">
        <v>1</v>
      </c>
      <c r="I1240">
        <v>1</v>
      </c>
      <c r="J1240">
        <v>1</v>
      </c>
    </row>
    <row r="1241" spans="1:10">
      <c r="A1241">
        <v>1240</v>
      </c>
      <c r="B1241">
        <v>655528662</v>
      </c>
      <c r="C1241">
        <v>100000000</v>
      </c>
      <c r="D1241">
        <v>100000000</v>
      </c>
      <c r="E1241">
        <v>100000000</v>
      </c>
      <c r="F1241">
        <v>1</v>
      </c>
      <c r="G1241">
        <v>1</v>
      </c>
      <c r="H1241">
        <v>1</v>
      </c>
      <c r="I1241">
        <v>1</v>
      </c>
      <c r="J1241">
        <v>1</v>
      </c>
    </row>
    <row r="1242" spans="1:10">
      <c r="A1242">
        <v>1241</v>
      </c>
      <c r="B1242">
        <v>666639235</v>
      </c>
      <c r="C1242">
        <v>100000000</v>
      </c>
      <c r="D1242">
        <v>100000000</v>
      </c>
      <c r="E1242">
        <v>100000000</v>
      </c>
      <c r="F1242">
        <v>1</v>
      </c>
      <c r="G1242">
        <v>1</v>
      </c>
      <c r="H1242">
        <v>1</v>
      </c>
      <c r="I1242">
        <v>1</v>
      </c>
      <c r="J1242">
        <v>1</v>
      </c>
    </row>
    <row r="1243" spans="1:10">
      <c r="A1243">
        <v>1242</v>
      </c>
      <c r="B1243">
        <v>677749808</v>
      </c>
      <c r="C1243">
        <v>100000000</v>
      </c>
      <c r="D1243">
        <v>100000000</v>
      </c>
      <c r="E1243">
        <v>100000000</v>
      </c>
      <c r="F1243">
        <v>1</v>
      </c>
      <c r="G1243">
        <v>1</v>
      </c>
      <c r="H1243">
        <v>1</v>
      </c>
      <c r="I1243">
        <v>1</v>
      </c>
      <c r="J1243">
        <v>1</v>
      </c>
    </row>
    <row r="1244" spans="1:10">
      <c r="A1244">
        <v>1243</v>
      </c>
      <c r="B1244">
        <v>688860381</v>
      </c>
      <c r="C1244">
        <v>100000000</v>
      </c>
      <c r="D1244">
        <v>100000000</v>
      </c>
      <c r="E1244">
        <v>100000000</v>
      </c>
      <c r="F1244">
        <v>1</v>
      </c>
      <c r="G1244">
        <v>1</v>
      </c>
      <c r="H1244">
        <v>1</v>
      </c>
      <c r="I1244">
        <v>1</v>
      </c>
      <c r="J1244">
        <v>1</v>
      </c>
    </row>
    <row r="1245" spans="1:10">
      <c r="A1245">
        <v>1244</v>
      </c>
      <c r="B1245">
        <v>699970954</v>
      </c>
      <c r="C1245">
        <v>100000000</v>
      </c>
      <c r="D1245">
        <v>100000000</v>
      </c>
      <c r="E1245">
        <v>100000000</v>
      </c>
      <c r="F1245">
        <v>1</v>
      </c>
      <c r="G1245">
        <v>1</v>
      </c>
      <c r="H1245">
        <v>1</v>
      </c>
      <c r="I1245">
        <v>1</v>
      </c>
      <c r="J1245">
        <v>1</v>
      </c>
    </row>
    <row r="1246" spans="1:10">
      <c r="A1246">
        <v>1245</v>
      </c>
      <c r="B1246">
        <v>711081527</v>
      </c>
      <c r="C1246">
        <v>100000000</v>
      </c>
      <c r="D1246">
        <v>100000000</v>
      </c>
      <c r="E1246">
        <v>100000000</v>
      </c>
      <c r="F1246">
        <v>1</v>
      </c>
      <c r="G1246">
        <v>1</v>
      </c>
      <c r="H1246">
        <v>1</v>
      </c>
      <c r="I1246">
        <v>1</v>
      </c>
      <c r="J1246">
        <v>1</v>
      </c>
    </row>
    <row r="1247" spans="1:10">
      <c r="A1247">
        <v>1246</v>
      </c>
      <c r="B1247">
        <v>722192100</v>
      </c>
      <c r="C1247">
        <v>100000000</v>
      </c>
      <c r="D1247">
        <v>100000000</v>
      </c>
      <c r="E1247">
        <v>100000000</v>
      </c>
      <c r="F1247">
        <v>1</v>
      </c>
      <c r="G1247">
        <v>1</v>
      </c>
      <c r="H1247">
        <v>1</v>
      </c>
      <c r="I1247">
        <v>1</v>
      </c>
      <c r="J1247">
        <v>1</v>
      </c>
    </row>
    <row r="1248" spans="1:10">
      <c r="A1248">
        <v>1247</v>
      </c>
      <c r="B1248">
        <v>733302673</v>
      </c>
      <c r="C1248">
        <v>100000000</v>
      </c>
      <c r="D1248">
        <v>100000000</v>
      </c>
      <c r="E1248">
        <v>100000000</v>
      </c>
      <c r="F1248">
        <v>1</v>
      </c>
      <c r="G1248">
        <v>1</v>
      </c>
      <c r="H1248">
        <v>1</v>
      </c>
      <c r="I1248">
        <v>1</v>
      </c>
      <c r="J1248">
        <v>1</v>
      </c>
    </row>
    <row r="1249" spans="1:10">
      <c r="A1249">
        <v>1248</v>
      </c>
      <c r="B1249">
        <v>744413246</v>
      </c>
      <c r="C1249">
        <v>100000000</v>
      </c>
      <c r="D1249">
        <v>100000000</v>
      </c>
      <c r="E1249">
        <v>100000000</v>
      </c>
      <c r="F1249">
        <v>1</v>
      </c>
      <c r="G1249">
        <v>1</v>
      </c>
      <c r="H1249">
        <v>1</v>
      </c>
      <c r="I1249">
        <v>1</v>
      </c>
      <c r="J1249">
        <v>1</v>
      </c>
    </row>
    <row r="1250" spans="1:10">
      <c r="A1250">
        <v>1249</v>
      </c>
      <c r="B1250">
        <v>755523819</v>
      </c>
      <c r="C1250">
        <v>100000000</v>
      </c>
      <c r="D1250">
        <v>100000000</v>
      </c>
      <c r="E1250">
        <v>100000000</v>
      </c>
      <c r="F1250">
        <v>1</v>
      </c>
      <c r="G1250">
        <v>1</v>
      </c>
      <c r="H1250">
        <v>1</v>
      </c>
      <c r="I1250">
        <v>1</v>
      </c>
      <c r="J1250">
        <v>1</v>
      </c>
    </row>
    <row r="1251" spans="1:10">
      <c r="A1251">
        <v>1250</v>
      </c>
      <c r="B1251">
        <v>766634392</v>
      </c>
      <c r="C1251">
        <v>100000000</v>
      </c>
      <c r="D1251">
        <v>100000000</v>
      </c>
      <c r="E1251">
        <v>100000000</v>
      </c>
      <c r="F1251">
        <v>1</v>
      </c>
      <c r="G1251">
        <v>1</v>
      </c>
      <c r="H1251">
        <v>1</v>
      </c>
      <c r="I1251">
        <v>1</v>
      </c>
      <c r="J1251">
        <v>1</v>
      </c>
    </row>
    <row r="1252" spans="1:10">
      <c r="A1252">
        <v>1251</v>
      </c>
      <c r="B1252">
        <v>777744965</v>
      </c>
      <c r="C1252">
        <v>100000000</v>
      </c>
      <c r="D1252">
        <v>100000000</v>
      </c>
      <c r="E1252">
        <v>100000000</v>
      </c>
      <c r="F1252">
        <v>1</v>
      </c>
      <c r="G1252">
        <v>1</v>
      </c>
      <c r="H1252">
        <v>1</v>
      </c>
      <c r="I1252">
        <v>1</v>
      </c>
      <c r="J1252">
        <v>1</v>
      </c>
    </row>
    <row r="1253" spans="1:10">
      <c r="A1253">
        <v>1252</v>
      </c>
      <c r="B1253">
        <v>788855538</v>
      </c>
      <c r="C1253">
        <v>100000000</v>
      </c>
      <c r="D1253">
        <v>100000000</v>
      </c>
      <c r="E1253">
        <v>100000000</v>
      </c>
      <c r="F1253">
        <v>1</v>
      </c>
      <c r="G1253">
        <v>1</v>
      </c>
      <c r="H1253">
        <v>1</v>
      </c>
      <c r="I1253">
        <v>1</v>
      </c>
      <c r="J1253">
        <v>1</v>
      </c>
    </row>
    <row r="1254" spans="1:10">
      <c r="A1254">
        <v>1253</v>
      </c>
      <c r="B1254">
        <v>799966111</v>
      </c>
      <c r="C1254">
        <v>100000000</v>
      </c>
      <c r="D1254">
        <v>100000000</v>
      </c>
      <c r="E1254">
        <v>100000000</v>
      </c>
      <c r="F1254">
        <v>1</v>
      </c>
      <c r="G1254">
        <v>1</v>
      </c>
      <c r="H1254">
        <v>1</v>
      </c>
      <c r="I1254">
        <v>1</v>
      </c>
      <c r="J1254">
        <v>1</v>
      </c>
    </row>
    <row r="1255" spans="1:10">
      <c r="A1255">
        <v>1254</v>
      </c>
      <c r="B1255">
        <v>811076684</v>
      </c>
      <c r="C1255">
        <v>100000000</v>
      </c>
      <c r="D1255">
        <v>100000000</v>
      </c>
      <c r="E1255">
        <v>100000000</v>
      </c>
      <c r="F1255">
        <v>1</v>
      </c>
      <c r="G1255">
        <v>1</v>
      </c>
      <c r="H1255">
        <v>1</v>
      </c>
      <c r="I1255">
        <v>1</v>
      </c>
      <c r="J1255">
        <v>1</v>
      </c>
    </row>
    <row r="1256" spans="1:10">
      <c r="A1256">
        <v>1255</v>
      </c>
      <c r="B1256">
        <v>822187257</v>
      </c>
      <c r="C1256">
        <v>100000000</v>
      </c>
      <c r="D1256">
        <v>100000000</v>
      </c>
      <c r="E1256">
        <v>100000000</v>
      </c>
      <c r="F1256">
        <v>1</v>
      </c>
      <c r="G1256">
        <v>1</v>
      </c>
      <c r="H1256">
        <v>1</v>
      </c>
      <c r="I1256">
        <v>1</v>
      </c>
      <c r="J1256">
        <v>1</v>
      </c>
    </row>
    <row r="1257" spans="1:10">
      <c r="A1257">
        <v>1256</v>
      </c>
      <c r="B1257">
        <v>833297830</v>
      </c>
      <c r="C1257">
        <v>100000000</v>
      </c>
      <c r="D1257">
        <v>100000000</v>
      </c>
      <c r="E1257">
        <v>100000000</v>
      </c>
      <c r="F1257">
        <v>1</v>
      </c>
      <c r="G1257">
        <v>1</v>
      </c>
      <c r="H1257">
        <v>1</v>
      </c>
      <c r="I1257">
        <v>1</v>
      </c>
      <c r="J1257">
        <v>1</v>
      </c>
    </row>
    <row r="1258" spans="1:10">
      <c r="A1258">
        <v>1257</v>
      </c>
      <c r="B1258">
        <v>844408403</v>
      </c>
      <c r="C1258">
        <v>100000000</v>
      </c>
      <c r="D1258">
        <v>100000000</v>
      </c>
      <c r="E1258">
        <v>100000000</v>
      </c>
      <c r="F1258">
        <v>1</v>
      </c>
      <c r="G1258">
        <v>1</v>
      </c>
      <c r="H1258">
        <v>1</v>
      </c>
      <c r="I1258">
        <v>1</v>
      </c>
      <c r="J1258">
        <v>1</v>
      </c>
    </row>
    <row r="1259" spans="1:10">
      <c r="A1259">
        <v>1258</v>
      </c>
      <c r="B1259">
        <v>855518976</v>
      </c>
      <c r="C1259">
        <v>100000000</v>
      </c>
      <c r="D1259">
        <v>100000000</v>
      </c>
      <c r="E1259">
        <v>100000000</v>
      </c>
      <c r="F1259">
        <v>1</v>
      </c>
      <c r="G1259">
        <v>1</v>
      </c>
      <c r="H1259">
        <v>1</v>
      </c>
      <c r="I1259">
        <v>1</v>
      </c>
      <c r="J1259">
        <v>1</v>
      </c>
    </row>
    <row r="1260" spans="1:10">
      <c r="A1260">
        <v>1259</v>
      </c>
      <c r="B1260">
        <v>866629549</v>
      </c>
      <c r="C1260">
        <v>100000000</v>
      </c>
      <c r="D1260">
        <v>100000000</v>
      </c>
      <c r="E1260">
        <v>100000000</v>
      </c>
      <c r="F1260">
        <v>1</v>
      </c>
      <c r="G1260">
        <v>1</v>
      </c>
      <c r="H1260">
        <v>1</v>
      </c>
      <c r="I1260">
        <v>1</v>
      </c>
      <c r="J1260">
        <v>1</v>
      </c>
    </row>
    <row r="1261" spans="1:10">
      <c r="A1261">
        <v>1260</v>
      </c>
      <c r="B1261">
        <v>877740122</v>
      </c>
      <c r="C1261">
        <v>100000000</v>
      </c>
      <c r="D1261">
        <v>100000000</v>
      </c>
      <c r="E1261">
        <v>100000000</v>
      </c>
      <c r="F1261">
        <v>1</v>
      </c>
      <c r="G1261">
        <v>1</v>
      </c>
      <c r="H1261">
        <v>1</v>
      </c>
      <c r="I1261">
        <v>1</v>
      </c>
      <c r="J1261">
        <v>1</v>
      </c>
    </row>
    <row r="1262" spans="1:10">
      <c r="A1262">
        <v>1261</v>
      </c>
      <c r="B1262">
        <v>888850695</v>
      </c>
      <c r="C1262">
        <v>100000000</v>
      </c>
      <c r="D1262">
        <v>100000000</v>
      </c>
      <c r="E1262">
        <v>100000000</v>
      </c>
      <c r="F1262">
        <v>1</v>
      </c>
      <c r="G1262">
        <v>1</v>
      </c>
      <c r="H1262">
        <v>1</v>
      </c>
      <c r="I1262">
        <v>1</v>
      </c>
      <c r="J1262">
        <v>1</v>
      </c>
    </row>
    <row r="1263" spans="1:10">
      <c r="A1263">
        <v>1262</v>
      </c>
      <c r="B1263">
        <v>899961268</v>
      </c>
      <c r="C1263">
        <v>100000000</v>
      </c>
      <c r="D1263">
        <v>100000000</v>
      </c>
      <c r="E1263">
        <v>100000000</v>
      </c>
      <c r="F1263">
        <v>1</v>
      </c>
      <c r="G1263">
        <v>1</v>
      </c>
      <c r="H1263">
        <v>1</v>
      </c>
      <c r="I1263">
        <v>1</v>
      </c>
      <c r="J1263">
        <v>1</v>
      </c>
    </row>
    <row r="1264" spans="1:10">
      <c r="A1264">
        <v>1263</v>
      </c>
      <c r="B1264">
        <v>911071841</v>
      </c>
      <c r="C1264">
        <v>100000000</v>
      </c>
      <c r="D1264">
        <v>100000000</v>
      </c>
      <c r="E1264">
        <v>100000000</v>
      </c>
      <c r="F1264">
        <v>1</v>
      </c>
      <c r="G1264">
        <v>1</v>
      </c>
      <c r="H1264">
        <v>1</v>
      </c>
      <c r="I1264">
        <v>1</v>
      </c>
      <c r="J1264">
        <v>1</v>
      </c>
    </row>
    <row r="1265" spans="1:10">
      <c r="A1265">
        <v>1264</v>
      </c>
      <c r="B1265">
        <v>922182414</v>
      </c>
      <c r="C1265">
        <v>100000000</v>
      </c>
      <c r="D1265">
        <v>100000000</v>
      </c>
      <c r="E1265">
        <v>100000000</v>
      </c>
      <c r="F1265">
        <v>1</v>
      </c>
      <c r="G1265">
        <v>1</v>
      </c>
      <c r="H1265">
        <v>1</v>
      </c>
      <c r="I1265">
        <v>1</v>
      </c>
      <c r="J1265">
        <v>1</v>
      </c>
    </row>
    <row r="1266" spans="1:10">
      <c r="A1266">
        <v>1265</v>
      </c>
      <c r="B1266">
        <v>933292987</v>
      </c>
      <c r="C1266">
        <v>100000000</v>
      </c>
      <c r="D1266">
        <v>100000000</v>
      </c>
      <c r="E1266">
        <v>100000000</v>
      </c>
      <c r="F1266">
        <v>1</v>
      </c>
      <c r="G1266">
        <v>1</v>
      </c>
      <c r="H1266">
        <v>1</v>
      </c>
      <c r="I1266">
        <v>1</v>
      </c>
      <c r="J1266">
        <v>1</v>
      </c>
    </row>
    <row r="1267" spans="1:10">
      <c r="A1267">
        <v>1266</v>
      </c>
      <c r="B1267">
        <v>944403560</v>
      </c>
      <c r="C1267">
        <v>100000000</v>
      </c>
      <c r="D1267">
        <v>100000000</v>
      </c>
      <c r="E1267">
        <v>100000000</v>
      </c>
      <c r="F1267">
        <v>1</v>
      </c>
      <c r="G1267">
        <v>1</v>
      </c>
      <c r="H1267">
        <v>1</v>
      </c>
      <c r="I1267">
        <v>1</v>
      </c>
      <c r="J1267">
        <v>1</v>
      </c>
    </row>
    <row r="1268" spans="1:10">
      <c r="A1268">
        <v>1267</v>
      </c>
      <c r="B1268">
        <v>955514133</v>
      </c>
      <c r="C1268">
        <v>100000000</v>
      </c>
      <c r="D1268">
        <v>100000000</v>
      </c>
      <c r="E1268">
        <v>100000000</v>
      </c>
      <c r="F1268">
        <v>1</v>
      </c>
      <c r="G1268">
        <v>1</v>
      </c>
      <c r="H1268">
        <v>1</v>
      </c>
      <c r="I1268">
        <v>1</v>
      </c>
      <c r="J1268">
        <v>1</v>
      </c>
    </row>
    <row r="1269" spans="1:10">
      <c r="A1269">
        <v>1268</v>
      </c>
      <c r="B1269">
        <v>966624706</v>
      </c>
      <c r="C1269">
        <v>100000000</v>
      </c>
      <c r="D1269">
        <v>100000000</v>
      </c>
      <c r="E1269">
        <v>100000000</v>
      </c>
      <c r="F1269">
        <v>1</v>
      </c>
      <c r="G1269">
        <v>1</v>
      </c>
      <c r="H1269">
        <v>1</v>
      </c>
      <c r="I1269">
        <v>1</v>
      </c>
      <c r="J1269">
        <v>1</v>
      </c>
    </row>
    <row r="1270" spans="1:10">
      <c r="A1270">
        <v>1269</v>
      </c>
      <c r="B1270">
        <v>977735279</v>
      </c>
      <c r="C1270">
        <v>100000000</v>
      </c>
      <c r="D1270">
        <v>100000000</v>
      </c>
      <c r="E1270">
        <v>100000000</v>
      </c>
      <c r="F1270">
        <v>1</v>
      </c>
      <c r="G1270">
        <v>1</v>
      </c>
      <c r="H1270">
        <v>1</v>
      </c>
      <c r="I1270">
        <v>1</v>
      </c>
      <c r="J1270">
        <v>1</v>
      </c>
    </row>
    <row r="1271" spans="1:10">
      <c r="A1271">
        <v>1270</v>
      </c>
      <c r="B1271">
        <v>988845852</v>
      </c>
      <c r="C1271">
        <v>100000000</v>
      </c>
      <c r="D1271">
        <v>100000000</v>
      </c>
      <c r="E1271">
        <v>100000000</v>
      </c>
      <c r="F1271">
        <v>1</v>
      </c>
      <c r="G1271">
        <v>1</v>
      </c>
      <c r="H1271">
        <v>1</v>
      </c>
      <c r="I1271">
        <v>1</v>
      </c>
      <c r="J1271">
        <v>1</v>
      </c>
    </row>
    <row r="1272" spans="1:10">
      <c r="A1272">
        <v>1271</v>
      </c>
      <c r="B1272">
        <v>999956425</v>
      </c>
      <c r="C1272">
        <v>100000000</v>
      </c>
      <c r="D1272">
        <v>100000000</v>
      </c>
      <c r="E1272">
        <v>100000000</v>
      </c>
      <c r="F1272">
        <v>1</v>
      </c>
      <c r="G1272">
        <v>1</v>
      </c>
      <c r="H1272">
        <v>1</v>
      </c>
      <c r="I1272">
        <v>1</v>
      </c>
      <c r="J1272">
        <v>1</v>
      </c>
    </row>
    <row r="1273" spans="1:10">
      <c r="A1273">
        <v>1272</v>
      </c>
      <c r="B1273">
        <v>101106698</v>
      </c>
      <c r="C1273">
        <v>100000000</v>
      </c>
      <c r="D1273">
        <v>100000000</v>
      </c>
      <c r="E1273">
        <v>100000000</v>
      </c>
      <c r="F1273">
        <v>10</v>
      </c>
      <c r="G1273">
        <v>1</v>
      </c>
      <c r="H1273">
        <v>1</v>
      </c>
      <c r="I1273">
        <v>1</v>
      </c>
      <c r="J1273">
        <v>1</v>
      </c>
    </row>
    <row r="1274" spans="1:10">
      <c r="A1274">
        <v>1273</v>
      </c>
      <c r="B1274">
        <v>111216781</v>
      </c>
      <c r="C1274">
        <v>100000000</v>
      </c>
      <c r="D1274">
        <v>100000000</v>
      </c>
      <c r="E1274">
        <v>100000000</v>
      </c>
      <c r="F1274">
        <v>10</v>
      </c>
      <c r="G1274">
        <v>1</v>
      </c>
      <c r="H1274">
        <v>1</v>
      </c>
      <c r="I1274">
        <v>1</v>
      </c>
      <c r="J1274">
        <v>1</v>
      </c>
    </row>
    <row r="1275" spans="1:10">
      <c r="A1275">
        <v>1274</v>
      </c>
      <c r="B1275">
        <v>121326864</v>
      </c>
      <c r="C1275">
        <v>100000000</v>
      </c>
      <c r="D1275">
        <v>100000000</v>
      </c>
      <c r="E1275">
        <v>100000000</v>
      </c>
      <c r="F1275">
        <v>10</v>
      </c>
      <c r="G1275">
        <v>1</v>
      </c>
      <c r="H1275">
        <v>1</v>
      </c>
      <c r="I1275">
        <v>1</v>
      </c>
      <c r="J1275">
        <v>1</v>
      </c>
    </row>
    <row r="1276" spans="1:10">
      <c r="A1276">
        <v>1275</v>
      </c>
      <c r="B1276">
        <v>131436947</v>
      </c>
      <c r="C1276">
        <v>100000000</v>
      </c>
      <c r="D1276">
        <v>100000000</v>
      </c>
      <c r="E1276">
        <v>100000000</v>
      </c>
      <c r="F1276">
        <v>10</v>
      </c>
      <c r="G1276">
        <v>1</v>
      </c>
      <c r="H1276">
        <v>1</v>
      </c>
      <c r="I1276">
        <v>1</v>
      </c>
      <c r="J1276">
        <v>1</v>
      </c>
    </row>
    <row r="1277" spans="1:10">
      <c r="A1277">
        <v>1276</v>
      </c>
      <c r="B1277">
        <v>141547030</v>
      </c>
      <c r="C1277">
        <v>100000000</v>
      </c>
      <c r="D1277">
        <v>100000000</v>
      </c>
      <c r="E1277">
        <v>100000000</v>
      </c>
      <c r="F1277">
        <v>10</v>
      </c>
      <c r="G1277">
        <v>1</v>
      </c>
      <c r="H1277">
        <v>1</v>
      </c>
      <c r="I1277">
        <v>1</v>
      </c>
      <c r="J1277">
        <v>1</v>
      </c>
    </row>
    <row r="1278" spans="1:10">
      <c r="A1278">
        <v>1277</v>
      </c>
      <c r="B1278">
        <v>151657113</v>
      </c>
      <c r="C1278">
        <v>100000000</v>
      </c>
      <c r="D1278">
        <v>100000000</v>
      </c>
      <c r="E1278">
        <v>100000000</v>
      </c>
      <c r="F1278">
        <v>10</v>
      </c>
      <c r="G1278">
        <v>1</v>
      </c>
      <c r="H1278">
        <v>1</v>
      </c>
      <c r="I1278">
        <v>1</v>
      </c>
      <c r="J1278">
        <v>1</v>
      </c>
    </row>
    <row r="1279" spans="1:10">
      <c r="A1279">
        <v>1278</v>
      </c>
      <c r="B1279">
        <v>161767196</v>
      </c>
      <c r="C1279">
        <v>100000000</v>
      </c>
      <c r="D1279">
        <v>100000000</v>
      </c>
      <c r="E1279">
        <v>100000000</v>
      </c>
      <c r="F1279">
        <v>10</v>
      </c>
      <c r="G1279">
        <v>1</v>
      </c>
      <c r="H1279">
        <v>1</v>
      </c>
      <c r="I1279">
        <v>1</v>
      </c>
      <c r="J1279">
        <v>1</v>
      </c>
    </row>
    <row r="1280" spans="1:10">
      <c r="A1280">
        <v>1279</v>
      </c>
      <c r="B1280">
        <v>171877279</v>
      </c>
      <c r="C1280">
        <v>100000000</v>
      </c>
      <c r="D1280">
        <v>100000000</v>
      </c>
      <c r="E1280">
        <v>100000000</v>
      </c>
      <c r="F1280">
        <v>10</v>
      </c>
      <c r="G1280">
        <v>1</v>
      </c>
      <c r="H1280">
        <v>1</v>
      </c>
      <c r="I1280">
        <v>1</v>
      </c>
      <c r="J1280">
        <v>1</v>
      </c>
    </row>
    <row r="1281" spans="1:10">
      <c r="A1281">
        <v>1280</v>
      </c>
      <c r="B1281">
        <v>181987362</v>
      </c>
      <c r="C1281">
        <v>100000000</v>
      </c>
      <c r="D1281">
        <v>100000000</v>
      </c>
      <c r="E1281">
        <v>100000000</v>
      </c>
      <c r="F1281">
        <v>10</v>
      </c>
      <c r="G1281">
        <v>1</v>
      </c>
      <c r="H1281">
        <v>1</v>
      </c>
      <c r="I1281">
        <v>1</v>
      </c>
      <c r="J1281">
        <v>1</v>
      </c>
    </row>
    <row r="1282" spans="1:10">
      <c r="A1282">
        <v>1281</v>
      </c>
      <c r="B1282">
        <v>192097445</v>
      </c>
      <c r="C1282">
        <v>100000000</v>
      </c>
      <c r="D1282">
        <v>100000000</v>
      </c>
      <c r="E1282">
        <v>100000000</v>
      </c>
      <c r="F1282">
        <v>10</v>
      </c>
      <c r="G1282">
        <v>1</v>
      </c>
      <c r="H1282">
        <v>1</v>
      </c>
      <c r="I1282">
        <v>1</v>
      </c>
      <c r="J1282">
        <v>1</v>
      </c>
    </row>
    <row r="1283" spans="1:10">
      <c r="A1283">
        <v>1282</v>
      </c>
      <c r="B1283">
        <v>202207528</v>
      </c>
      <c r="C1283">
        <v>100000000</v>
      </c>
      <c r="D1283">
        <v>100000000</v>
      </c>
      <c r="E1283">
        <v>100000000</v>
      </c>
      <c r="F1283">
        <v>10</v>
      </c>
      <c r="G1283">
        <v>1</v>
      </c>
      <c r="H1283">
        <v>1</v>
      </c>
      <c r="I1283">
        <v>1</v>
      </c>
      <c r="J1283">
        <v>1</v>
      </c>
    </row>
    <row r="1284" spans="1:10">
      <c r="A1284">
        <v>1283</v>
      </c>
      <c r="B1284">
        <v>212317611</v>
      </c>
      <c r="C1284">
        <v>100000000</v>
      </c>
      <c r="D1284">
        <v>100000000</v>
      </c>
      <c r="E1284">
        <v>100000000</v>
      </c>
      <c r="F1284">
        <v>10</v>
      </c>
      <c r="G1284">
        <v>1</v>
      </c>
      <c r="H1284">
        <v>1</v>
      </c>
      <c r="I1284">
        <v>1</v>
      </c>
      <c r="J1284">
        <v>1</v>
      </c>
    </row>
    <row r="1285" spans="1:10">
      <c r="A1285">
        <v>1284</v>
      </c>
      <c r="B1285">
        <v>222427694</v>
      </c>
      <c r="C1285">
        <v>100000000</v>
      </c>
      <c r="D1285">
        <v>100000000</v>
      </c>
      <c r="E1285">
        <v>100000000</v>
      </c>
      <c r="F1285">
        <v>10</v>
      </c>
      <c r="G1285">
        <v>1</v>
      </c>
      <c r="H1285">
        <v>1</v>
      </c>
      <c r="I1285">
        <v>1</v>
      </c>
      <c r="J1285">
        <v>1</v>
      </c>
    </row>
    <row r="1286" spans="1:10">
      <c r="A1286">
        <v>1285</v>
      </c>
      <c r="B1286">
        <v>232537777</v>
      </c>
      <c r="C1286">
        <v>100000000</v>
      </c>
      <c r="D1286">
        <v>100000000</v>
      </c>
      <c r="E1286">
        <v>100000000</v>
      </c>
      <c r="F1286">
        <v>10</v>
      </c>
      <c r="G1286">
        <v>1</v>
      </c>
      <c r="H1286">
        <v>1</v>
      </c>
      <c r="I1286">
        <v>1</v>
      </c>
      <c r="J1286">
        <v>1</v>
      </c>
    </row>
    <row r="1287" spans="1:10">
      <c r="A1287">
        <v>1286</v>
      </c>
      <c r="B1287">
        <v>242647860</v>
      </c>
      <c r="C1287">
        <v>100000000</v>
      </c>
      <c r="D1287">
        <v>100000000</v>
      </c>
      <c r="E1287">
        <v>100000000</v>
      </c>
      <c r="F1287">
        <v>10</v>
      </c>
      <c r="G1287">
        <v>1</v>
      </c>
      <c r="H1287">
        <v>1</v>
      </c>
      <c r="I1287">
        <v>1</v>
      </c>
      <c r="J1287">
        <v>1</v>
      </c>
    </row>
    <row r="1288" spans="1:10">
      <c r="A1288">
        <v>1287</v>
      </c>
      <c r="B1288">
        <v>252757943</v>
      </c>
      <c r="C1288">
        <v>100000000</v>
      </c>
      <c r="D1288">
        <v>100000000</v>
      </c>
      <c r="E1288">
        <v>100000000</v>
      </c>
      <c r="F1288">
        <v>10</v>
      </c>
      <c r="G1288">
        <v>1</v>
      </c>
      <c r="H1288">
        <v>1</v>
      </c>
      <c r="I1288">
        <v>1</v>
      </c>
      <c r="J1288">
        <v>1</v>
      </c>
    </row>
    <row r="1289" spans="1:10">
      <c r="A1289">
        <v>1288</v>
      </c>
      <c r="B1289">
        <v>262868026</v>
      </c>
      <c r="C1289">
        <v>100000000</v>
      </c>
      <c r="D1289">
        <v>100000000</v>
      </c>
      <c r="E1289">
        <v>100000000</v>
      </c>
      <c r="F1289">
        <v>10</v>
      </c>
      <c r="G1289">
        <v>1</v>
      </c>
      <c r="H1289">
        <v>1</v>
      </c>
      <c r="I1289">
        <v>1</v>
      </c>
      <c r="J1289">
        <v>1</v>
      </c>
    </row>
    <row r="1290" spans="1:10">
      <c r="A1290">
        <v>1289</v>
      </c>
      <c r="B1290">
        <v>272978109</v>
      </c>
      <c r="C1290">
        <v>100000000</v>
      </c>
      <c r="D1290">
        <v>100000000</v>
      </c>
      <c r="E1290">
        <v>100000000</v>
      </c>
      <c r="F1290">
        <v>10</v>
      </c>
      <c r="G1290">
        <v>1</v>
      </c>
      <c r="H1290">
        <v>1</v>
      </c>
      <c r="I1290">
        <v>1</v>
      </c>
      <c r="J1290">
        <v>1</v>
      </c>
    </row>
    <row r="1291" spans="1:10">
      <c r="A1291">
        <v>1290</v>
      </c>
      <c r="B1291">
        <v>283088192</v>
      </c>
      <c r="C1291">
        <v>100000000</v>
      </c>
      <c r="D1291">
        <v>100000000</v>
      </c>
      <c r="E1291">
        <v>100000000</v>
      </c>
      <c r="F1291">
        <v>10</v>
      </c>
      <c r="G1291">
        <v>1</v>
      </c>
      <c r="H1291">
        <v>1</v>
      </c>
      <c r="I1291">
        <v>1</v>
      </c>
      <c r="J1291">
        <v>1</v>
      </c>
    </row>
    <row r="1292" spans="1:10">
      <c r="A1292">
        <v>1291</v>
      </c>
      <c r="B1292">
        <v>293198275</v>
      </c>
      <c r="C1292">
        <v>100000000</v>
      </c>
      <c r="D1292">
        <v>100000000</v>
      </c>
      <c r="E1292">
        <v>100000000</v>
      </c>
      <c r="F1292">
        <v>10</v>
      </c>
      <c r="G1292">
        <v>1</v>
      </c>
      <c r="H1292">
        <v>1</v>
      </c>
      <c r="I1292">
        <v>1</v>
      </c>
      <c r="J1292">
        <v>1</v>
      </c>
    </row>
    <row r="1293" spans="1:10">
      <c r="A1293">
        <v>1292</v>
      </c>
      <c r="B1293">
        <v>303308358</v>
      </c>
      <c r="C1293">
        <v>100000000</v>
      </c>
      <c r="D1293">
        <v>100000000</v>
      </c>
      <c r="E1293">
        <v>100000000</v>
      </c>
      <c r="F1293">
        <v>10</v>
      </c>
      <c r="G1293">
        <v>1</v>
      </c>
      <c r="H1293">
        <v>1</v>
      </c>
      <c r="I1293">
        <v>1</v>
      </c>
      <c r="J1293">
        <v>1</v>
      </c>
    </row>
    <row r="1294" spans="1:10">
      <c r="A1294">
        <v>1293</v>
      </c>
      <c r="B1294">
        <v>313418441</v>
      </c>
      <c r="C1294">
        <v>100000000</v>
      </c>
      <c r="D1294">
        <v>100000000</v>
      </c>
      <c r="E1294">
        <v>100000000</v>
      </c>
      <c r="F1294">
        <v>10</v>
      </c>
      <c r="G1294">
        <v>1</v>
      </c>
      <c r="H1294">
        <v>1</v>
      </c>
      <c r="I1294">
        <v>1</v>
      </c>
      <c r="J1294">
        <v>1</v>
      </c>
    </row>
    <row r="1295" spans="1:10">
      <c r="A1295">
        <v>1294</v>
      </c>
      <c r="B1295">
        <v>323528524</v>
      </c>
      <c r="C1295">
        <v>100000000</v>
      </c>
      <c r="D1295">
        <v>100000000</v>
      </c>
      <c r="E1295">
        <v>100000000</v>
      </c>
      <c r="F1295">
        <v>10</v>
      </c>
      <c r="G1295">
        <v>1</v>
      </c>
      <c r="H1295">
        <v>1</v>
      </c>
      <c r="I1295">
        <v>1</v>
      </c>
      <c r="J1295">
        <v>1</v>
      </c>
    </row>
    <row r="1296" spans="1:10">
      <c r="A1296">
        <v>1295</v>
      </c>
      <c r="B1296">
        <v>333638607</v>
      </c>
      <c r="C1296">
        <v>100000000</v>
      </c>
      <c r="D1296">
        <v>100000000</v>
      </c>
      <c r="E1296">
        <v>100000000</v>
      </c>
      <c r="F1296">
        <v>10</v>
      </c>
      <c r="G1296">
        <v>1</v>
      </c>
      <c r="H1296">
        <v>1</v>
      </c>
      <c r="I1296">
        <v>1</v>
      </c>
      <c r="J1296">
        <v>1</v>
      </c>
    </row>
    <row r="1297" spans="1:10">
      <c r="A1297">
        <v>1296</v>
      </c>
      <c r="B1297">
        <v>343748690</v>
      </c>
      <c r="C1297">
        <v>100000000</v>
      </c>
      <c r="D1297">
        <v>100000000</v>
      </c>
      <c r="E1297">
        <v>100000000</v>
      </c>
      <c r="F1297">
        <v>10</v>
      </c>
      <c r="G1297">
        <v>1</v>
      </c>
      <c r="H1297">
        <v>1</v>
      </c>
      <c r="I1297">
        <v>1</v>
      </c>
      <c r="J1297">
        <v>1</v>
      </c>
    </row>
    <row r="1298" spans="1:10">
      <c r="A1298">
        <v>1297</v>
      </c>
      <c r="B1298">
        <v>353858773</v>
      </c>
      <c r="C1298">
        <v>100000000</v>
      </c>
      <c r="D1298">
        <v>100000000</v>
      </c>
      <c r="E1298">
        <v>100000000</v>
      </c>
      <c r="F1298">
        <v>10</v>
      </c>
      <c r="G1298">
        <v>1</v>
      </c>
      <c r="H1298">
        <v>1</v>
      </c>
      <c r="I1298">
        <v>1</v>
      </c>
      <c r="J1298">
        <v>1</v>
      </c>
    </row>
    <row r="1299" spans="1:10">
      <c r="A1299">
        <v>1298</v>
      </c>
      <c r="B1299">
        <v>363968856</v>
      </c>
      <c r="C1299">
        <v>100000000</v>
      </c>
      <c r="D1299">
        <v>100000000</v>
      </c>
      <c r="E1299">
        <v>100000000</v>
      </c>
      <c r="F1299">
        <v>10</v>
      </c>
      <c r="G1299">
        <v>1</v>
      </c>
      <c r="H1299">
        <v>1</v>
      </c>
      <c r="I1299">
        <v>1</v>
      </c>
      <c r="J1299">
        <v>1</v>
      </c>
    </row>
    <row r="1300" spans="1:10">
      <c r="A1300">
        <v>1299</v>
      </c>
      <c r="B1300">
        <v>374078939</v>
      </c>
      <c r="C1300">
        <v>100000000</v>
      </c>
      <c r="D1300">
        <v>100000000</v>
      </c>
      <c r="E1300">
        <v>100000000</v>
      </c>
      <c r="F1300">
        <v>10</v>
      </c>
      <c r="G1300">
        <v>1</v>
      </c>
      <c r="H1300">
        <v>1</v>
      </c>
      <c r="I1300">
        <v>1</v>
      </c>
      <c r="J1300">
        <v>1</v>
      </c>
    </row>
    <row r="1301" spans="1:10">
      <c r="A1301">
        <v>1300</v>
      </c>
      <c r="B1301">
        <v>384189022</v>
      </c>
      <c r="C1301">
        <v>100000000</v>
      </c>
      <c r="D1301">
        <v>100000000</v>
      </c>
      <c r="E1301">
        <v>100000000</v>
      </c>
      <c r="F1301">
        <v>10</v>
      </c>
      <c r="G1301">
        <v>1</v>
      </c>
      <c r="H1301">
        <v>1</v>
      </c>
      <c r="I1301">
        <v>1</v>
      </c>
      <c r="J1301">
        <v>1</v>
      </c>
    </row>
    <row r="1302" spans="1:10">
      <c r="A1302">
        <v>1301</v>
      </c>
      <c r="B1302">
        <v>394299105</v>
      </c>
      <c r="C1302">
        <v>100000000</v>
      </c>
      <c r="D1302">
        <v>100000000</v>
      </c>
      <c r="E1302">
        <v>100000000</v>
      </c>
      <c r="F1302">
        <v>10</v>
      </c>
      <c r="G1302">
        <v>1</v>
      </c>
      <c r="H1302">
        <v>1</v>
      </c>
      <c r="I1302">
        <v>1</v>
      </c>
      <c r="J1302">
        <v>1</v>
      </c>
    </row>
    <row r="1303" spans="1:10">
      <c r="A1303">
        <v>1302</v>
      </c>
      <c r="B1303">
        <v>404409188</v>
      </c>
      <c r="C1303">
        <v>100000000</v>
      </c>
      <c r="D1303">
        <v>100000000</v>
      </c>
      <c r="E1303">
        <v>100000000</v>
      </c>
      <c r="F1303">
        <v>10</v>
      </c>
      <c r="G1303">
        <v>1</v>
      </c>
      <c r="H1303">
        <v>1</v>
      </c>
      <c r="I1303">
        <v>1</v>
      </c>
      <c r="J1303">
        <v>1</v>
      </c>
    </row>
    <row r="1304" spans="1:10">
      <c r="A1304">
        <v>1303</v>
      </c>
      <c r="B1304">
        <v>414519271</v>
      </c>
      <c r="C1304">
        <v>100000000</v>
      </c>
      <c r="D1304">
        <v>100000000</v>
      </c>
      <c r="E1304">
        <v>100000000</v>
      </c>
      <c r="F1304">
        <v>10</v>
      </c>
      <c r="G1304">
        <v>1</v>
      </c>
      <c r="H1304">
        <v>1</v>
      </c>
      <c r="I1304">
        <v>1</v>
      </c>
      <c r="J1304">
        <v>1</v>
      </c>
    </row>
    <row r="1305" spans="1:10">
      <c r="A1305">
        <v>1304</v>
      </c>
      <c r="B1305">
        <v>424629354</v>
      </c>
      <c r="C1305">
        <v>100000000</v>
      </c>
      <c r="D1305">
        <v>100000000</v>
      </c>
      <c r="E1305">
        <v>100000000</v>
      </c>
      <c r="F1305">
        <v>10</v>
      </c>
      <c r="G1305">
        <v>1</v>
      </c>
      <c r="H1305">
        <v>1</v>
      </c>
      <c r="I1305">
        <v>1</v>
      </c>
      <c r="J1305">
        <v>1</v>
      </c>
    </row>
    <row r="1306" spans="1:10">
      <c r="A1306">
        <v>1305</v>
      </c>
      <c r="B1306">
        <v>434739437</v>
      </c>
      <c r="C1306">
        <v>100000000</v>
      </c>
      <c r="D1306">
        <v>100000000</v>
      </c>
      <c r="E1306">
        <v>100000000</v>
      </c>
      <c r="F1306">
        <v>10</v>
      </c>
      <c r="G1306">
        <v>1</v>
      </c>
      <c r="H1306">
        <v>1</v>
      </c>
      <c r="I1306">
        <v>1</v>
      </c>
      <c r="J1306">
        <v>1</v>
      </c>
    </row>
    <row r="1307" spans="1:10">
      <c r="A1307">
        <v>1306</v>
      </c>
      <c r="B1307">
        <v>444849520</v>
      </c>
      <c r="C1307">
        <v>100000000</v>
      </c>
      <c r="D1307">
        <v>100000000</v>
      </c>
      <c r="E1307">
        <v>100000000</v>
      </c>
      <c r="F1307">
        <v>10</v>
      </c>
      <c r="G1307">
        <v>1</v>
      </c>
      <c r="H1307">
        <v>1</v>
      </c>
      <c r="I1307">
        <v>1</v>
      </c>
      <c r="J1307">
        <v>1</v>
      </c>
    </row>
    <row r="1308" spans="1:10">
      <c r="A1308">
        <v>1307</v>
      </c>
      <c r="B1308">
        <v>454959603</v>
      </c>
      <c r="C1308">
        <v>100000000</v>
      </c>
      <c r="D1308">
        <v>100000000</v>
      </c>
      <c r="E1308">
        <v>100000000</v>
      </c>
      <c r="F1308">
        <v>10</v>
      </c>
      <c r="G1308">
        <v>1</v>
      </c>
      <c r="H1308">
        <v>1</v>
      </c>
      <c r="I1308">
        <v>1</v>
      </c>
      <c r="J1308">
        <v>1</v>
      </c>
    </row>
    <row r="1309" spans="1:10">
      <c r="A1309">
        <v>1308</v>
      </c>
      <c r="B1309">
        <v>465069686</v>
      </c>
      <c r="C1309">
        <v>100000000</v>
      </c>
      <c r="D1309">
        <v>100000000</v>
      </c>
      <c r="E1309">
        <v>100000000</v>
      </c>
      <c r="F1309">
        <v>10</v>
      </c>
      <c r="G1309">
        <v>1</v>
      </c>
      <c r="H1309">
        <v>1</v>
      </c>
      <c r="I1309">
        <v>1</v>
      </c>
      <c r="J1309">
        <v>1</v>
      </c>
    </row>
    <row r="1310" spans="1:10">
      <c r="A1310">
        <v>1309</v>
      </c>
      <c r="B1310">
        <v>475179769</v>
      </c>
      <c r="C1310">
        <v>100000000</v>
      </c>
      <c r="D1310">
        <v>100000000</v>
      </c>
      <c r="E1310">
        <v>100000000</v>
      </c>
      <c r="F1310">
        <v>10</v>
      </c>
      <c r="G1310">
        <v>1</v>
      </c>
      <c r="H1310">
        <v>1</v>
      </c>
      <c r="I1310">
        <v>1</v>
      </c>
      <c r="J1310">
        <v>1</v>
      </c>
    </row>
    <row r="1311" spans="1:10">
      <c r="A1311">
        <v>1310</v>
      </c>
      <c r="B1311">
        <v>485289852</v>
      </c>
      <c r="C1311">
        <v>100000000</v>
      </c>
      <c r="D1311">
        <v>100000000</v>
      </c>
      <c r="E1311">
        <v>100000000</v>
      </c>
      <c r="F1311">
        <v>10</v>
      </c>
      <c r="G1311">
        <v>1</v>
      </c>
      <c r="H1311">
        <v>1</v>
      </c>
      <c r="I1311">
        <v>1</v>
      </c>
      <c r="J1311">
        <v>1</v>
      </c>
    </row>
    <row r="1312" spans="1:10">
      <c r="A1312">
        <v>1311</v>
      </c>
      <c r="B1312">
        <v>495399935</v>
      </c>
      <c r="C1312">
        <v>100000000</v>
      </c>
      <c r="D1312">
        <v>100000000</v>
      </c>
      <c r="E1312">
        <v>100000000</v>
      </c>
      <c r="F1312">
        <v>10</v>
      </c>
      <c r="G1312">
        <v>1</v>
      </c>
      <c r="H1312">
        <v>1</v>
      </c>
      <c r="I1312">
        <v>1</v>
      </c>
      <c r="J1312">
        <v>1</v>
      </c>
    </row>
    <row r="1313" spans="1:10">
      <c r="A1313">
        <v>1312</v>
      </c>
      <c r="B1313">
        <v>505510018</v>
      </c>
      <c r="C1313">
        <v>100000000</v>
      </c>
      <c r="D1313">
        <v>100000000</v>
      </c>
      <c r="E1313">
        <v>100000000</v>
      </c>
      <c r="F1313">
        <v>10</v>
      </c>
      <c r="G1313">
        <v>1</v>
      </c>
      <c r="H1313">
        <v>1</v>
      </c>
      <c r="I1313">
        <v>1</v>
      </c>
      <c r="J1313">
        <v>1</v>
      </c>
    </row>
    <row r="1314" spans="1:10">
      <c r="A1314">
        <v>1313</v>
      </c>
      <c r="B1314">
        <v>515620101</v>
      </c>
      <c r="C1314">
        <v>100000000</v>
      </c>
      <c r="D1314">
        <v>100000000</v>
      </c>
      <c r="E1314">
        <v>100000000</v>
      </c>
      <c r="F1314">
        <v>10</v>
      </c>
      <c r="G1314">
        <v>1</v>
      </c>
      <c r="H1314">
        <v>1</v>
      </c>
      <c r="I1314">
        <v>1</v>
      </c>
      <c r="J1314">
        <v>1</v>
      </c>
    </row>
    <row r="1315" spans="1:10">
      <c r="A1315">
        <v>1314</v>
      </c>
      <c r="B1315">
        <v>525730184</v>
      </c>
      <c r="C1315">
        <v>100000000</v>
      </c>
      <c r="D1315">
        <v>100000000</v>
      </c>
      <c r="E1315">
        <v>100000000</v>
      </c>
      <c r="F1315">
        <v>10</v>
      </c>
      <c r="G1315">
        <v>1</v>
      </c>
      <c r="H1315">
        <v>1</v>
      </c>
      <c r="I1315">
        <v>1</v>
      </c>
      <c r="J1315">
        <v>1</v>
      </c>
    </row>
    <row r="1316" spans="1:10">
      <c r="A1316">
        <v>1315</v>
      </c>
      <c r="B1316">
        <v>535840267</v>
      </c>
      <c r="C1316">
        <v>100000000</v>
      </c>
      <c r="D1316">
        <v>100000000</v>
      </c>
      <c r="E1316">
        <v>100000000</v>
      </c>
      <c r="F1316">
        <v>10</v>
      </c>
      <c r="G1316">
        <v>1</v>
      </c>
      <c r="H1316">
        <v>1</v>
      </c>
      <c r="I1316">
        <v>1</v>
      </c>
      <c r="J1316">
        <v>1</v>
      </c>
    </row>
    <row r="1317" spans="1:10">
      <c r="A1317">
        <v>1316</v>
      </c>
      <c r="B1317">
        <v>545950350</v>
      </c>
      <c r="C1317">
        <v>100000000</v>
      </c>
      <c r="D1317">
        <v>100000000</v>
      </c>
      <c r="E1317">
        <v>100000000</v>
      </c>
      <c r="F1317">
        <v>10</v>
      </c>
      <c r="G1317">
        <v>1</v>
      </c>
      <c r="H1317">
        <v>1</v>
      </c>
      <c r="I1317">
        <v>1</v>
      </c>
      <c r="J1317">
        <v>1</v>
      </c>
    </row>
    <row r="1318" spans="1:10">
      <c r="A1318">
        <v>1317</v>
      </c>
      <c r="B1318">
        <v>556060433</v>
      </c>
      <c r="C1318">
        <v>100000000</v>
      </c>
      <c r="D1318">
        <v>100000000</v>
      </c>
      <c r="E1318">
        <v>100000000</v>
      </c>
      <c r="F1318">
        <v>10</v>
      </c>
      <c r="G1318">
        <v>1</v>
      </c>
      <c r="H1318">
        <v>1</v>
      </c>
      <c r="I1318">
        <v>1</v>
      </c>
      <c r="J1318">
        <v>1</v>
      </c>
    </row>
    <row r="1319" spans="1:10">
      <c r="A1319">
        <v>1318</v>
      </c>
      <c r="B1319">
        <v>566170516</v>
      </c>
      <c r="C1319">
        <v>100000000</v>
      </c>
      <c r="D1319">
        <v>100000000</v>
      </c>
      <c r="E1319">
        <v>100000000</v>
      </c>
      <c r="F1319">
        <v>10</v>
      </c>
      <c r="G1319">
        <v>1</v>
      </c>
      <c r="H1319">
        <v>1</v>
      </c>
      <c r="I1319">
        <v>1</v>
      </c>
      <c r="J1319">
        <v>1</v>
      </c>
    </row>
    <row r="1320" spans="1:10">
      <c r="A1320">
        <v>1319</v>
      </c>
      <c r="B1320">
        <v>576280599</v>
      </c>
      <c r="C1320">
        <v>100000000</v>
      </c>
      <c r="D1320">
        <v>100000000</v>
      </c>
      <c r="E1320">
        <v>100000000</v>
      </c>
      <c r="F1320">
        <v>10</v>
      </c>
      <c r="G1320">
        <v>1</v>
      </c>
      <c r="H1320">
        <v>1</v>
      </c>
      <c r="I1320">
        <v>1</v>
      </c>
      <c r="J1320">
        <v>1</v>
      </c>
    </row>
    <row r="1321" spans="1:10">
      <c r="A1321">
        <v>1320</v>
      </c>
      <c r="B1321">
        <v>586390682</v>
      </c>
      <c r="C1321">
        <v>100000000</v>
      </c>
      <c r="D1321">
        <v>100000000</v>
      </c>
      <c r="E1321">
        <v>100000000</v>
      </c>
      <c r="F1321">
        <v>10</v>
      </c>
      <c r="G1321">
        <v>1</v>
      </c>
      <c r="H1321">
        <v>1</v>
      </c>
      <c r="I1321">
        <v>1</v>
      </c>
      <c r="J1321">
        <v>1</v>
      </c>
    </row>
    <row r="1322" spans="1:10">
      <c r="A1322">
        <v>1321</v>
      </c>
      <c r="B1322">
        <v>596500765</v>
      </c>
      <c r="C1322">
        <v>100000000</v>
      </c>
      <c r="D1322">
        <v>100000000</v>
      </c>
      <c r="E1322">
        <v>100000000</v>
      </c>
      <c r="F1322">
        <v>10</v>
      </c>
      <c r="G1322">
        <v>1</v>
      </c>
      <c r="H1322">
        <v>1</v>
      </c>
      <c r="I1322">
        <v>1</v>
      </c>
      <c r="J1322">
        <v>1</v>
      </c>
    </row>
    <row r="1323" spans="1:10">
      <c r="A1323">
        <v>1322</v>
      </c>
      <c r="B1323">
        <v>606610848</v>
      </c>
      <c r="C1323">
        <v>100000000</v>
      </c>
      <c r="D1323">
        <v>100000000</v>
      </c>
      <c r="E1323">
        <v>100000000</v>
      </c>
      <c r="F1323">
        <v>10</v>
      </c>
      <c r="G1323">
        <v>1</v>
      </c>
      <c r="H1323">
        <v>1</v>
      </c>
      <c r="I1323">
        <v>1</v>
      </c>
      <c r="J1323">
        <v>1</v>
      </c>
    </row>
    <row r="1324" spans="1:10">
      <c r="A1324">
        <v>1323</v>
      </c>
      <c r="B1324">
        <v>616720931</v>
      </c>
      <c r="C1324">
        <v>100000000</v>
      </c>
      <c r="D1324">
        <v>100000000</v>
      </c>
      <c r="E1324">
        <v>100000000</v>
      </c>
      <c r="F1324">
        <v>10</v>
      </c>
      <c r="G1324">
        <v>1</v>
      </c>
      <c r="H1324">
        <v>1</v>
      </c>
      <c r="I1324">
        <v>1</v>
      </c>
      <c r="J1324">
        <v>1</v>
      </c>
    </row>
    <row r="1325" spans="1:10">
      <c r="A1325">
        <v>1324</v>
      </c>
      <c r="B1325">
        <v>626831014</v>
      </c>
      <c r="C1325">
        <v>100000000</v>
      </c>
      <c r="D1325">
        <v>100000000</v>
      </c>
      <c r="E1325">
        <v>100000000</v>
      </c>
      <c r="F1325">
        <v>10</v>
      </c>
      <c r="G1325">
        <v>1</v>
      </c>
      <c r="H1325">
        <v>1</v>
      </c>
      <c r="I1325">
        <v>1</v>
      </c>
      <c r="J1325">
        <v>1</v>
      </c>
    </row>
    <row r="1326" spans="1:10">
      <c r="A1326">
        <v>1325</v>
      </c>
      <c r="B1326">
        <v>636941097</v>
      </c>
      <c r="C1326">
        <v>100000000</v>
      </c>
      <c r="D1326">
        <v>100000000</v>
      </c>
      <c r="E1326">
        <v>100000000</v>
      </c>
      <c r="F1326">
        <v>10</v>
      </c>
      <c r="G1326">
        <v>1</v>
      </c>
      <c r="H1326">
        <v>1</v>
      </c>
      <c r="I1326">
        <v>1</v>
      </c>
      <c r="J1326">
        <v>1</v>
      </c>
    </row>
    <row r="1327" spans="1:10">
      <c r="A1327">
        <v>1326</v>
      </c>
      <c r="B1327">
        <v>647051180</v>
      </c>
      <c r="C1327">
        <v>100000000</v>
      </c>
      <c r="D1327">
        <v>100000000</v>
      </c>
      <c r="E1327">
        <v>100000000</v>
      </c>
      <c r="F1327">
        <v>10</v>
      </c>
      <c r="G1327">
        <v>1</v>
      </c>
      <c r="H1327">
        <v>1</v>
      </c>
      <c r="I1327">
        <v>1</v>
      </c>
      <c r="J1327">
        <v>1</v>
      </c>
    </row>
    <row r="1328" spans="1:10">
      <c r="A1328">
        <v>1327</v>
      </c>
      <c r="B1328">
        <v>657161263</v>
      </c>
      <c r="C1328">
        <v>100000000</v>
      </c>
      <c r="D1328">
        <v>100000000</v>
      </c>
      <c r="E1328">
        <v>100000000</v>
      </c>
      <c r="F1328">
        <v>10</v>
      </c>
      <c r="G1328">
        <v>1</v>
      </c>
      <c r="H1328">
        <v>1</v>
      </c>
      <c r="I1328">
        <v>1</v>
      </c>
      <c r="J1328">
        <v>1</v>
      </c>
    </row>
    <row r="1329" spans="1:10">
      <c r="A1329">
        <v>1328</v>
      </c>
      <c r="B1329">
        <v>667271346</v>
      </c>
      <c r="C1329">
        <v>100000000</v>
      </c>
      <c r="D1329">
        <v>100000000</v>
      </c>
      <c r="E1329">
        <v>100000000</v>
      </c>
      <c r="F1329">
        <v>10</v>
      </c>
      <c r="G1329">
        <v>1</v>
      </c>
      <c r="H1329">
        <v>1</v>
      </c>
      <c r="I1329">
        <v>1</v>
      </c>
      <c r="J1329">
        <v>1</v>
      </c>
    </row>
    <row r="1330" spans="1:10">
      <c r="A1330">
        <v>1329</v>
      </c>
      <c r="B1330">
        <v>677381429</v>
      </c>
      <c r="C1330">
        <v>100000000</v>
      </c>
      <c r="D1330">
        <v>100000000</v>
      </c>
      <c r="E1330">
        <v>100000000</v>
      </c>
      <c r="F1330">
        <v>10</v>
      </c>
      <c r="G1330">
        <v>1</v>
      </c>
      <c r="H1330">
        <v>1</v>
      </c>
      <c r="I1330">
        <v>1</v>
      </c>
      <c r="J1330">
        <v>1</v>
      </c>
    </row>
    <row r="1331" spans="1:10">
      <c r="A1331">
        <v>1330</v>
      </c>
      <c r="B1331">
        <v>687491512</v>
      </c>
      <c r="C1331">
        <v>100000000</v>
      </c>
      <c r="D1331">
        <v>100000000</v>
      </c>
      <c r="E1331">
        <v>100000000</v>
      </c>
      <c r="F1331">
        <v>10</v>
      </c>
      <c r="G1331">
        <v>1</v>
      </c>
      <c r="H1331">
        <v>1</v>
      </c>
      <c r="I1331">
        <v>1</v>
      </c>
      <c r="J1331">
        <v>1</v>
      </c>
    </row>
    <row r="1332" spans="1:10">
      <c r="A1332">
        <v>1331</v>
      </c>
      <c r="B1332">
        <v>697601595</v>
      </c>
      <c r="C1332">
        <v>100000000</v>
      </c>
      <c r="D1332">
        <v>100000000</v>
      </c>
      <c r="E1332">
        <v>100000000</v>
      </c>
      <c r="F1332">
        <v>10</v>
      </c>
      <c r="G1332">
        <v>1</v>
      </c>
      <c r="H1332">
        <v>1</v>
      </c>
      <c r="I1332">
        <v>1</v>
      </c>
      <c r="J1332">
        <v>1</v>
      </c>
    </row>
    <row r="1333" spans="1:10">
      <c r="A1333">
        <v>1332</v>
      </c>
      <c r="B1333">
        <v>707711678</v>
      </c>
      <c r="C1333">
        <v>100000000</v>
      </c>
      <c r="D1333">
        <v>100000000</v>
      </c>
      <c r="E1333">
        <v>100000000</v>
      </c>
      <c r="F1333">
        <v>10</v>
      </c>
      <c r="G1333">
        <v>1</v>
      </c>
      <c r="H1333">
        <v>1</v>
      </c>
      <c r="I1333">
        <v>1</v>
      </c>
      <c r="J1333">
        <v>1</v>
      </c>
    </row>
    <row r="1334" spans="1:10">
      <c r="A1334">
        <v>1333</v>
      </c>
      <c r="B1334">
        <v>717821761</v>
      </c>
      <c r="C1334">
        <v>100000000</v>
      </c>
      <c r="D1334">
        <v>100000000</v>
      </c>
      <c r="E1334">
        <v>100000000</v>
      </c>
      <c r="F1334">
        <v>10</v>
      </c>
      <c r="G1334">
        <v>1</v>
      </c>
      <c r="H1334">
        <v>1</v>
      </c>
      <c r="I1334">
        <v>1</v>
      </c>
      <c r="J1334">
        <v>1</v>
      </c>
    </row>
    <row r="1335" spans="1:10">
      <c r="A1335">
        <v>1334</v>
      </c>
      <c r="B1335">
        <v>727931844</v>
      </c>
      <c r="C1335">
        <v>100000000</v>
      </c>
      <c r="D1335">
        <v>100000000</v>
      </c>
      <c r="E1335">
        <v>100000000</v>
      </c>
      <c r="F1335">
        <v>10</v>
      </c>
      <c r="G1335">
        <v>1</v>
      </c>
      <c r="H1335">
        <v>1</v>
      </c>
      <c r="I1335">
        <v>1</v>
      </c>
      <c r="J1335">
        <v>1</v>
      </c>
    </row>
    <row r="1336" spans="1:10">
      <c r="A1336">
        <v>1335</v>
      </c>
      <c r="B1336">
        <v>738041927</v>
      </c>
      <c r="C1336">
        <v>100000000</v>
      </c>
      <c r="D1336">
        <v>100000000</v>
      </c>
      <c r="E1336">
        <v>100000000</v>
      </c>
      <c r="F1336">
        <v>10</v>
      </c>
      <c r="G1336">
        <v>1</v>
      </c>
      <c r="H1336">
        <v>1</v>
      </c>
      <c r="I1336">
        <v>1</v>
      </c>
      <c r="J1336">
        <v>1</v>
      </c>
    </row>
    <row r="1337" spans="1:10">
      <c r="A1337">
        <v>1336</v>
      </c>
      <c r="B1337">
        <v>748152010</v>
      </c>
      <c r="C1337">
        <v>100000000</v>
      </c>
      <c r="D1337">
        <v>100000000</v>
      </c>
      <c r="E1337">
        <v>100000000</v>
      </c>
      <c r="F1337">
        <v>10</v>
      </c>
      <c r="G1337">
        <v>1</v>
      </c>
      <c r="H1337">
        <v>1</v>
      </c>
      <c r="I1337">
        <v>1</v>
      </c>
      <c r="J1337">
        <v>1</v>
      </c>
    </row>
    <row r="1338" spans="1:10">
      <c r="A1338">
        <v>1337</v>
      </c>
      <c r="B1338">
        <v>758262093</v>
      </c>
      <c r="C1338">
        <v>100000000</v>
      </c>
      <c r="D1338">
        <v>100000000</v>
      </c>
      <c r="E1338">
        <v>100000000</v>
      </c>
      <c r="F1338">
        <v>10</v>
      </c>
      <c r="G1338">
        <v>1</v>
      </c>
      <c r="H1338">
        <v>1</v>
      </c>
      <c r="I1338">
        <v>1</v>
      </c>
      <c r="J1338">
        <v>1</v>
      </c>
    </row>
    <row r="1339" spans="1:10">
      <c r="A1339">
        <v>1338</v>
      </c>
      <c r="B1339">
        <v>768372176</v>
      </c>
      <c r="C1339">
        <v>100000000</v>
      </c>
      <c r="D1339">
        <v>100000000</v>
      </c>
      <c r="E1339">
        <v>100000000</v>
      </c>
      <c r="F1339">
        <v>10</v>
      </c>
      <c r="G1339">
        <v>1</v>
      </c>
      <c r="H1339">
        <v>1</v>
      </c>
      <c r="I1339">
        <v>1</v>
      </c>
      <c r="J1339">
        <v>1</v>
      </c>
    </row>
    <row r="1340" spans="1:10">
      <c r="A1340">
        <v>1339</v>
      </c>
      <c r="B1340">
        <v>778482259</v>
      </c>
      <c r="C1340">
        <v>100000000</v>
      </c>
      <c r="D1340">
        <v>100000000</v>
      </c>
      <c r="E1340">
        <v>100000000</v>
      </c>
      <c r="F1340">
        <v>10</v>
      </c>
      <c r="G1340">
        <v>1</v>
      </c>
      <c r="H1340">
        <v>1</v>
      </c>
      <c r="I1340">
        <v>1</v>
      </c>
      <c r="J1340">
        <v>1</v>
      </c>
    </row>
    <row r="1341" spans="1:10">
      <c r="A1341">
        <v>1340</v>
      </c>
      <c r="B1341">
        <v>788592342</v>
      </c>
      <c r="C1341">
        <v>100000000</v>
      </c>
      <c r="D1341">
        <v>100000000</v>
      </c>
      <c r="E1341">
        <v>100000000</v>
      </c>
      <c r="F1341">
        <v>10</v>
      </c>
      <c r="G1341">
        <v>1</v>
      </c>
      <c r="H1341">
        <v>1</v>
      </c>
      <c r="I1341">
        <v>1</v>
      </c>
      <c r="J1341">
        <v>1</v>
      </c>
    </row>
    <row r="1342" spans="1:10">
      <c r="A1342">
        <v>1341</v>
      </c>
      <c r="B1342">
        <v>798702425</v>
      </c>
      <c r="C1342">
        <v>100000000</v>
      </c>
      <c r="D1342">
        <v>100000000</v>
      </c>
      <c r="E1342">
        <v>100000000</v>
      </c>
      <c r="F1342">
        <v>10</v>
      </c>
      <c r="G1342">
        <v>1</v>
      </c>
      <c r="H1342">
        <v>1</v>
      </c>
      <c r="I1342">
        <v>1</v>
      </c>
      <c r="J1342">
        <v>1</v>
      </c>
    </row>
    <row r="1343" spans="1:10">
      <c r="A1343">
        <v>1342</v>
      </c>
      <c r="B1343">
        <v>808812508</v>
      </c>
      <c r="C1343">
        <v>100000000</v>
      </c>
      <c r="D1343">
        <v>100000000</v>
      </c>
      <c r="E1343">
        <v>100000000</v>
      </c>
      <c r="F1343">
        <v>10</v>
      </c>
      <c r="G1343">
        <v>1</v>
      </c>
      <c r="H1343">
        <v>1</v>
      </c>
      <c r="I1343">
        <v>1</v>
      </c>
      <c r="J1343">
        <v>1</v>
      </c>
    </row>
    <row r="1344" spans="1:10">
      <c r="A1344">
        <v>1343</v>
      </c>
      <c r="B1344">
        <v>818922591</v>
      </c>
      <c r="C1344">
        <v>100000000</v>
      </c>
      <c r="D1344">
        <v>100000000</v>
      </c>
      <c r="E1344">
        <v>100000000</v>
      </c>
      <c r="F1344">
        <v>10</v>
      </c>
      <c r="G1344">
        <v>1</v>
      </c>
      <c r="H1344">
        <v>1</v>
      </c>
      <c r="I1344">
        <v>1</v>
      </c>
      <c r="J1344">
        <v>1</v>
      </c>
    </row>
    <row r="1345" spans="1:10">
      <c r="A1345">
        <v>1344</v>
      </c>
      <c r="B1345">
        <v>829032674</v>
      </c>
      <c r="C1345">
        <v>100000000</v>
      </c>
      <c r="D1345">
        <v>100000000</v>
      </c>
      <c r="E1345">
        <v>100000000</v>
      </c>
      <c r="F1345">
        <v>10</v>
      </c>
      <c r="G1345">
        <v>1</v>
      </c>
      <c r="H1345">
        <v>1</v>
      </c>
      <c r="I1345">
        <v>1</v>
      </c>
      <c r="J1345">
        <v>1</v>
      </c>
    </row>
    <row r="1346" spans="1:10">
      <c r="A1346">
        <v>1345</v>
      </c>
      <c r="B1346">
        <v>839142757</v>
      </c>
      <c r="C1346">
        <v>100000000</v>
      </c>
      <c r="D1346">
        <v>100000000</v>
      </c>
      <c r="E1346">
        <v>100000000</v>
      </c>
      <c r="F1346">
        <v>10</v>
      </c>
      <c r="G1346">
        <v>1</v>
      </c>
      <c r="H1346">
        <v>1</v>
      </c>
      <c r="I1346">
        <v>1</v>
      </c>
      <c r="J1346">
        <v>1</v>
      </c>
    </row>
    <row r="1347" spans="1:10">
      <c r="A1347">
        <v>1346</v>
      </c>
      <c r="B1347">
        <v>849252840</v>
      </c>
      <c r="C1347">
        <v>100000000</v>
      </c>
      <c r="D1347">
        <v>100000000</v>
      </c>
      <c r="E1347">
        <v>100000000</v>
      </c>
      <c r="F1347">
        <v>10</v>
      </c>
      <c r="G1347">
        <v>1</v>
      </c>
      <c r="H1347">
        <v>1</v>
      </c>
      <c r="I1347">
        <v>1</v>
      </c>
      <c r="J1347">
        <v>1</v>
      </c>
    </row>
    <row r="1348" spans="1:10">
      <c r="A1348">
        <v>1347</v>
      </c>
      <c r="B1348">
        <v>859362923</v>
      </c>
      <c r="C1348">
        <v>100000000</v>
      </c>
      <c r="D1348">
        <v>100000000</v>
      </c>
      <c r="E1348">
        <v>100000000</v>
      </c>
      <c r="F1348">
        <v>10</v>
      </c>
      <c r="G1348">
        <v>1</v>
      </c>
      <c r="H1348">
        <v>1</v>
      </c>
      <c r="I1348">
        <v>1</v>
      </c>
      <c r="J1348">
        <v>1</v>
      </c>
    </row>
    <row r="1349" spans="1:10">
      <c r="A1349">
        <v>1348</v>
      </c>
      <c r="B1349">
        <v>869473006</v>
      </c>
      <c r="C1349">
        <v>100000000</v>
      </c>
      <c r="D1349">
        <v>100000000</v>
      </c>
      <c r="E1349">
        <v>100000000</v>
      </c>
      <c r="F1349">
        <v>10</v>
      </c>
      <c r="G1349">
        <v>1</v>
      </c>
      <c r="H1349">
        <v>1</v>
      </c>
      <c r="I1349">
        <v>1</v>
      </c>
      <c r="J1349">
        <v>1</v>
      </c>
    </row>
    <row r="1350" spans="1:10">
      <c r="A1350">
        <v>1349</v>
      </c>
      <c r="B1350">
        <v>879583089</v>
      </c>
      <c r="C1350">
        <v>100000000</v>
      </c>
      <c r="D1350">
        <v>100000000</v>
      </c>
      <c r="E1350">
        <v>100000000</v>
      </c>
      <c r="F1350">
        <v>10</v>
      </c>
      <c r="G1350">
        <v>1</v>
      </c>
      <c r="H1350">
        <v>1</v>
      </c>
      <c r="I1350">
        <v>1</v>
      </c>
      <c r="J1350">
        <v>1</v>
      </c>
    </row>
    <row r="1351" spans="1:10">
      <c r="A1351">
        <v>1350</v>
      </c>
      <c r="B1351">
        <v>889693172</v>
      </c>
      <c r="C1351">
        <v>100000000</v>
      </c>
      <c r="D1351">
        <v>100000000</v>
      </c>
      <c r="E1351">
        <v>100000000</v>
      </c>
      <c r="F1351">
        <v>10</v>
      </c>
      <c r="G1351">
        <v>1</v>
      </c>
      <c r="H1351">
        <v>1</v>
      </c>
      <c r="I1351">
        <v>1</v>
      </c>
      <c r="J1351">
        <v>1</v>
      </c>
    </row>
    <row r="1352" spans="1:10">
      <c r="A1352">
        <v>1351</v>
      </c>
      <c r="B1352">
        <v>899803255</v>
      </c>
      <c r="C1352">
        <v>100000000</v>
      </c>
      <c r="D1352">
        <v>100000000</v>
      </c>
      <c r="E1352">
        <v>100000000</v>
      </c>
      <c r="F1352">
        <v>10</v>
      </c>
      <c r="G1352">
        <v>1</v>
      </c>
      <c r="H1352">
        <v>1</v>
      </c>
      <c r="I1352">
        <v>1</v>
      </c>
      <c r="J1352">
        <v>1</v>
      </c>
    </row>
    <row r="1353" spans="1:10">
      <c r="A1353">
        <v>1352</v>
      </c>
      <c r="B1353">
        <v>909913338</v>
      </c>
      <c r="C1353">
        <v>100000000</v>
      </c>
      <c r="D1353">
        <v>100000000</v>
      </c>
      <c r="E1353">
        <v>100000000</v>
      </c>
      <c r="F1353">
        <v>10</v>
      </c>
      <c r="G1353">
        <v>1</v>
      </c>
      <c r="H1353">
        <v>1</v>
      </c>
      <c r="I1353">
        <v>1</v>
      </c>
      <c r="J1353">
        <v>1</v>
      </c>
    </row>
    <row r="1354" spans="1:10">
      <c r="A1354">
        <v>1353</v>
      </c>
      <c r="B1354">
        <v>920023421</v>
      </c>
      <c r="C1354">
        <v>100000000</v>
      </c>
      <c r="D1354">
        <v>100000000</v>
      </c>
      <c r="E1354">
        <v>100000000</v>
      </c>
      <c r="F1354">
        <v>10</v>
      </c>
      <c r="G1354">
        <v>1</v>
      </c>
      <c r="H1354">
        <v>1</v>
      </c>
      <c r="I1354">
        <v>1</v>
      </c>
      <c r="J1354">
        <v>1</v>
      </c>
    </row>
    <row r="1355" spans="1:10">
      <c r="A1355">
        <v>1354</v>
      </c>
      <c r="B1355">
        <v>930133504</v>
      </c>
      <c r="C1355">
        <v>100000000</v>
      </c>
      <c r="D1355">
        <v>100000000</v>
      </c>
      <c r="E1355">
        <v>100000000</v>
      </c>
      <c r="F1355">
        <v>10</v>
      </c>
      <c r="G1355">
        <v>1</v>
      </c>
      <c r="H1355">
        <v>1</v>
      </c>
      <c r="I1355">
        <v>1</v>
      </c>
      <c r="J1355">
        <v>1</v>
      </c>
    </row>
    <row r="1356" spans="1:10">
      <c r="A1356">
        <v>1355</v>
      </c>
      <c r="B1356">
        <v>940243587</v>
      </c>
      <c r="C1356">
        <v>100000000</v>
      </c>
      <c r="D1356">
        <v>100000000</v>
      </c>
      <c r="E1356">
        <v>100000000</v>
      </c>
      <c r="F1356">
        <v>10</v>
      </c>
      <c r="G1356">
        <v>1</v>
      </c>
      <c r="H1356">
        <v>1</v>
      </c>
      <c r="I1356">
        <v>1</v>
      </c>
      <c r="J1356">
        <v>1</v>
      </c>
    </row>
    <row r="1357" spans="1:10">
      <c r="A1357">
        <v>1356</v>
      </c>
      <c r="B1357">
        <v>950353670</v>
      </c>
      <c r="C1357">
        <v>100000000</v>
      </c>
      <c r="D1357">
        <v>100000000</v>
      </c>
      <c r="E1357">
        <v>100000000</v>
      </c>
      <c r="F1357">
        <v>10</v>
      </c>
      <c r="G1357">
        <v>1</v>
      </c>
      <c r="H1357">
        <v>1</v>
      </c>
      <c r="I1357">
        <v>1</v>
      </c>
      <c r="J1357">
        <v>1</v>
      </c>
    </row>
    <row r="1358" spans="1:10">
      <c r="A1358">
        <v>1357</v>
      </c>
      <c r="B1358">
        <v>960463753</v>
      </c>
      <c r="C1358">
        <v>100000000</v>
      </c>
      <c r="D1358">
        <v>100000000</v>
      </c>
      <c r="E1358">
        <v>100000000</v>
      </c>
      <c r="F1358">
        <v>10</v>
      </c>
      <c r="G1358">
        <v>1</v>
      </c>
      <c r="H1358">
        <v>1</v>
      </c>
      <c r="I1358">
        <v>1</v>
      </c>
      <c r="J1358">
        <v>1</v>
      </c>
    </row>
    <row r="1359" spans="1:10">
      <c r="A1359">
        <v>1358</v>
      </c>
      <c r="B1359">
        <v>970573836</v>
      </c>
      <c r="C1359">
        <v>100000000</v>
      </c>
      <c r="D1359">
        <v>100000000</v>
      </c>
      <c r="E1359">
        <v>100000000</v>
      </c>
      <c r="F1359">
        <v>10</v>
      </c>
      <c r="G1359">
        <v>1</v>
      </c>
      <c r="H1359">
        <v>1</v>
      </c>
      <c r="I1359">
        <v>1</v>
      </c>
      <c r="J1359">
        <v>1</v>
      </c>
    </row>
    <row r="1360" spans="1:10">
      <c r="A1360">
        <v>1359</v>
      </c>
      <c r="B1360">
        <v>980683919</v>
      </c>
      <c r="C1360">
        <v>100000000</v>
      </c>
      <c r="D1360">
        <v>100000000</v>
      </c>
      <c r="E1360">
        <v>100000000</v>
      </c>
      <c r="F1360">
        <v>10</v>
      </c>
      <c r="G1360">
        <v>1</v>
      </c>
      <c r="H1360">
        <v>1</v>
      </c>
      <c r="I1360">
        <v>1</v>
      </c>
      <c r="J1360">
        <v>1</v>
      </c>
    </row>
    <row r="1361" spans="1:10">
      <c r="A1361">
        <v>1360</v>
      </c>
      <c r="B1361">
        <v>990794002</v>
      </c>
      <c r="C1361">
        <v>100000000</v>
      </c>
      <c r="D1361">
        <v>100000000</v>
      </c>
      <c r="E1361">
        <v>100000000</v>
      </c>
      <c r="F1361">
        <v>10</v>
      </c>
      <c r="G1361">
        <v>1</v>
      </c>
      <c r="H1361">
        <v>1</v>
      </c>
      <c r="I1361">
        <v>1</v>
      </c>
      <c r="J1361">
        <v>1</v>
      </c>
    </row>
    <row r="1362" spans="1:10">
      <c r="A1362">
        <v>1361</v>
      </c>
      <c r="B1362">
        <v>100904085</v>
      </c>
      <c r="C1362">
        <v>100000000</v>
      </c>
      <c r="D1362">
        <v>100000000</v>
      </c>
      <c r="E1362">
        <v>100000000</v>
      </c>
      <c r="F1362">
        <v>100</v>
      </c>
      <c r="G1362">
        <v>1</v>
      </c>
      <c r="H1362">
        <v>1</v>
      </c>
      <c r="I1362">
        <v>1</v>
      </c>
      <c r="J1362">
        <v>1</v>
      </c>
    </row>
    <row r="1363" spans="1:10">
      <c r="A1363">
        <v>1362</v>
      </c>
      <c r="B1363">
        <v>111014168</v>
      </c>
      <c r="C1363">
        <v>100000000</v>
      </c>
      <c r="D1363">
        <v>100000000</v>
      </c>
      <c r="E1363">
        <v>100000000</v>
      </c>
      <c r="F1363">
        <v>100</v>
      </c>
      <c r="G1363">
        <v>1</v>
      </c>
      <c r="H1363">
        <v>1</v>
      </c>
      <c r="I1363">
        <v>1</v>
      </c>
      <c r="J1363">
        <v>1</v>
      </c>
    </row>
    <row r="1364" spans="1:10">
      <c r="A1364">
        <v>1363</v>
      </c>
      <c r="B1364">
        <v>121124251</v>
      </c>
      <c r="C1364">
        <v>100000000</v>
      </c>
      <c r="D1364">
        <v>100000000</v>
      </c>
      <c r="E1364">
        <v>100000000</v>
      </c>
      <c r="F1364">
        <v>100</v>
      </c>
      <c r="G1364">
        <v>1</v>
      </c>
      <c r="H1364">
        <v>1</v>
      </c>
      <c r="I1364">
        <v>1</v>
      </c>
      <c r="J1364">
        <v>1</v>
      </c>
    </row>
    <row r="1365" spans="1:10">
      <c r="A1365">
        <v>1364</v>
      </c>
      <c r="B1365">
        <v>131234334</v>
      </c>
      <c r="C1365">
        <v>100000000</v>
      </c>
      <c r="D1365">
        <v>100000000</v>
      </c>
      <c r="E1365">
        <v>100000000</v>
      </c>
      <c r="F1365">
        <v>100</v>
      </c>
      <c r="G1365">
        <v>1</v>
      </c>
      <c r="H1365">
        <v>1</v>
      </c>
      <c r="I1365">
        <v>1</v>
      </c>
      <c r="J1365">
        <v>1</v>
      </c>
    </row>
    <row r="1366" spans="1:10">
      <c r="A1366">
        <v>1365</v>
      </c>
      <c r="B1366">
        <v>141344417</v>
      </c>
      <c r="C1366">
        <v>100000000</v>
      </c>
      <c r="D1366">
        <v>100000000</v>
      </c>
      <c r="E1366">
        <v>100000000</v>
      </c>
      <c r="F1366">
        <v>100</v>
      </c>
      <c r="G1366">
        <v>1</v>
      </c>
      <c r="H1366">
        <v>1</v>
      </c>
      <c r="I1366">
        <v>1</v>
      </c>
      <c r="J1366">
        <v>1</v>
      </c>
    </row>
    <row r="1367" spans="1:10">
      <c r="A1367">
        <v>1366</v>
      </c>
      <c r="B1367">
        <v>151454500</v>
      </c>
      <c r="C1367">
        <v>100000000</v>
      </c>
      <c r="D1367">
        <v>100000000</v>
      </c>
      <c r="E1367">
        <v>100000000</v>
      </c>
      <c r="F1367">
        <v>100</v>
      </c>
      <c r="G1367">
        <v>1</v>
      </c>
      <c r="H1367">
        <v>1</v>
      </c>
      <c r="I1367">
        <v>1</v>
      </c>
      <c r="J1367">
        <v>1</v>
      </c>
    </row>
    <row r="1368" spans="1:10">
      <c r="A1368">
        <v>1367</v>
      </c>
      <c r="B1368">
        <v>161564583</v>
      </c>
      <c r="C1368">
        <v>100000000</v>
      </c>
      <c r="D1368">
        <v>100000000</v>
      </c>
      <c r="E1368">
        <v>100000000</v>
      </c>
      <c r="F1368">
        <v>100</v>
      </c>
      <c r="G1368">
        <v>1</v>
      </c>
      <c r="H1368">
        <v>1</v>
      </c>
      <c r="I1368">
        <v>1</v>
      </c>
      <c r="J1368">
        <v>1</v>
      </c>
    </row>
    <row r="1369" spans="1:10">
      <c r="A1369">
        <v>1368</v>
      </c>
      <c r="B1369">
        <v>171674666</v>
      </c>
      <c r="C1369">
        <v>100000000</v>
      </c>
      <c r="D1369">
        <v>100000000</v>
      </c>
      <c r="E1369">
        <v>100000000</v>
      </c>
      <c r="F1369">
        <v>100</v>
      </c>
      <c r="G1369">
        <v>1</v>
      </c>
      <c r="H1369">
        <v>1</v>
      </c>
      <c r="I1369">
        <v>1</v>
      </c>
      <c r="J1369">
        <v>1</v>
      </c>
    </row>
    <row r="1370" spans="1:10">
      <c r="A1370">
        <v>1369</v>
      </c>
      <c r="B1370">
        <v>181784749</v>
      </c>
      <c r="C1370">
        <v>100000000</v>
      </c>
      <c r="D1370">
        <v>100000000</v>
      </c>
      <c r="E1370">
        <v>100000000</v>
      </c>
      <c r="F1370">
        <v>100</v>
      </c>
      <c r="G1370">
        <v>1</v>
      </c>
      <c r="H1370">
        <v>1</v>
      </c>
      <c r="I1370">
        <v>1</v>
      </c>
      <c r="J1370">
        <v>1</v>
      </c>
    </row>
    <row r="1371" spans="1:10">
      <c r="A1371">
        <v>1370</v>
      </c>
      <c r="B1371">
        <v>191894832</v>
      </c>
      <c r="C1371">
        <v>100000000</v>
      </c>
      <c r="D1371">
        <v>100000000</v>
      </c>
      <c r="E1371">
        <v>100000000</v>
      </c>
      <c r="F1371">
        <v>100</v>
      </c>
      <c r="G1371">
        <v>1</v>
      </c>
      <c r="H1371">
        <v>1</v>
      </c>
      <c r="I1371">
        <v>1</v>
      </c>
      <c r="J1371">
        <v>1</v>
      </c>
    </row>
    <row r="1372" spans="1:10">
      <c r="A1372">
        <v>1371</v>
      </c>
      <c r="B1372">
        <v>202004915</v>
      </c>
      <c r="C1372">
        <v>100000000</v>
      </c>
      <c r="D1372">
        <v>100000000</v>
      </c>
      <c r="E1372">
        <v>100000000</v>
      </c>
      <c r="F1372">
        <v>100</v>
      </c>
      <c r="G1372">
        <v>1</v>
      </c>
      <c r="H1372">
        <v>1</v>
      </c>
      <c r="I1372">
        <v>1</v>
      </c>
      <c r="J1372">
        <v>1</v>
      </c>
    </row>
    <row r="1373" spans="1:10">
      <c r="A1373">
        <v>1372</v>
      </c>
      <c r="B1373">
        <v>212114998</v>
      </c>
      <c r="C1373">
        <v>100000000</v>
      </c>
      <c r="D1373">
        <v>100000000</v>
      </c>
      <c r="E1373">
        <v>100000000</v>
      </c>
      <c r="F1373">
        <v>100</v>
      </c>
      <c r="G1373">
        <v>1</v>
      </c>
      <c r="H1373">
        <v>1</v>
      </c>
      <c r="I1373">
        <v>1</v>
      </c>
      <c r="J1373">
        <v>1</v>
      </c>
    </row>
    <row r="1374" spans="1:10">
      <c r="A1374">
        <v>1373</v>
      </c>
      <c r="B1374">
        <v>222225081</v>
      </c>
      <c r="C1374">
        <v>100000000</v>
      </c>
      <c r="D1374">
        <v>100000000</v>
      </c>
      <c r="E1374">
        <v>100000000</v>
      </c>
      <c r="F1374">
        <v>100</v>
      </c>
      <c r="G1374">
        <v>1</v>
      </c>
      <c r="H1374">
        <v>1</v>
      </c>
      <c r="I1374">
        <v>1</v>
      </c>
      <c r="J1374">
        <v>1</v>
      </c>
    </row>
    <row r="1375" spans="1:10">
      <c r="A1375">
        <v>1374</v>
      </c>
      <c r="B1375">
        <v>232335164</v>
      </c>
      <c r="C1375">
        <v>100000000</v>
      </c>
      <c r="D1375">
        <v>100000000</v>
      </c>
      <c r="E1375">
        <v>100000000</v>
      </c>
      <c r="F1375">
        <v>100</v>
      </c>
      <c r="G1375">
        <v>1</v>
      </c>
      <c r="H1375">
        <v>1</v>
      </c>
      <c r="I1375">
        <v>1</v>
      </c>
      <c r="J1375">
        <v>1</v>
      </c>
    </row>
    <row r="1376" spans="1:10">
      <c r="A1376">
        <v>1375</v>
      </c>
      <c r="B1376">
        <v>242445247</v>
      </c>
      <c r="C1376">
        <v>100000000</v>
      </c>
      <c r="D1376">
        <v>100000000</v>
      </c>
      <c r="E1376">
        <v>100000000</v>
      </c>
      <c r="F1376">
        <v>100</v>
      </c>
      <c r="G1376">
        <v>1</v>
      </c>
      <c r="H1376">
        <v>1</v>
      </c>
      <c r="I1376">
        <v>1</v>
      </c>
      <c r="J1376">
        <v>1</v>
      </c>
    </row>
    <row r="1377" spans="1:10">
      <c r="A1377">
        <v>1376</v>
      </c>
      <c r="B1377">
        <v>252555330</v>
      </c>
      <c r="C1377">
        <v>100000000</v>
      </c>
      <c r="D1377">
        <v>100000000</v>
      </c>
      <c r="E1377">
        <v>100000000</v>
      </c>
      <c r="F1377">
        <v>100</v>
      </c>
      <c r="G1377">
        <v>1</v>
      </c>
      <c r="H1377">
        <v>1</v>
      </c>
      <c r="I1377">
        <v>1</v>
      </c>
      <c r="J1377">
        <v>1</v>
      </c>
    </row>
    <row r="1378" spans="1:10">
      <c r="A1378">
        <v>1377</v>
      </c>
      <c r="B1378">
        <v>262665413</v>
      </c>
      <c r="C1378">
        <v>100000000</v>
      </c>
      <c r="D1378">
        <v>100000000</v>
      </c>
      <c r="E1378">
        <v>100000000</v>
      </c>
      <c r="F1378">
        <v>100</v>
      </c>
      <c r="G1378">
        <v>1</v>
      </c>
      <c r="H1378">
        <v>1</v>
      </c>
      <c r="I1378">
        <v>1</v>
      </c>
      <c r="J1378">
        <v>1</v>
      </c>
    </row>
    <row r="1379" spans="1:10">
      <c r="A1379">
        <v>1378</v>
      </c>
      <c r="B1379">
        <v>272775496</v>
      </c>
      <c r="C1379">
        <v>100000000</v>
      </c>
      <c r="D1379">
        <v>100000000</v>
      </c>
      <c r="E1379">
        <v>100000000</v>
      </c>
      <c r="F1379">
        <v>100</v>
      </c>
      <c r="G1379">
        <v>1</v>
      </c>
      <c r="H1379">
        <v>1</v>
      </c>
      <c r="I1379">
        <v>1</v>
      </c>
      <c r="J1379">
        <v>1</v>
      </c>
    </row>
    <row r="1380" spans="1:10">
      <c r="A1380">
        <v>1379</v>
      </c>
      <c r="B1380">
        <v>282885579</v>
      </c>
      <c r="C1380">
        <v>100000000</v>
      </c>
      <c r="D1380">
        <v>100000000</v>
      </c>
      <c r="E1380">
        <v>100000000</v>
      </c>
      <c r="F1380">
        <v>100</v>
      </c>
      <c r="G1380">
        <v>1</v>
      </c>
      <c r="H1380">
        <v>1</v>
      </c>
      <c r="I1380">
        <v>1</v>
      </c>
      <c r="J1380">
        <v>1</v>
      </c>
    </row>
    <row r="1381" spans="1:10">
      <c r="A1381">
        <v>1380</v>
      </c>
      <c r="B1381">
        <v>292995662</v>
      </c>
      <c r="C1381">
        <v>100000000</v>
      </c>
      <c r="D1381">
        <v>100000000</v>
      </c>
      <c r="E1381">
        <v>100000000</v>
      </c>
      <c r="F1381">
        <v>100</v>
      </c>
      <c r="G1381">
        <v>1</v>
      </c>
      <c r="H1381">
        <v>1</v>
      </c>
      <c r="I1381">
        <v>1</v>
      </c>
      <c r="J1381">
        <v>1</v>
      </c>
    </row>
    <row r="1382" spans="1:10">
      <c r="A1382">
        <v>1381</v>
      </c>
      <c r="B1382">
        <v>303105745</v>
      </c>
      <c r="C1382">
        <v>100000000</v>
      </c>
      <c r="D1382">
        <v>100000000</v>
      </c>
      <c r="E1382">
        <v>100000000</v>
      </c>
      <c r="F1382">
        <v>100</v>
      </c>
      <c r="G1382">
        <v>1</v>
      </c>
      <c r="H1382">
        <v>1</v>
      </c>
      <c r="I1382">
        <v>1</v>
      </c>
      <c r="J1382">
        <v>1</v>
      </c>
    </row>
    <row r="1383" spans="1:10">
      <c r="A1383">
        <v>1382</v>
      </c>
      <c r="B1383">
        <v>313215828</v>
      </c>
      <c r="C1383">
        <v>100000000</v>
      </c>
      <c r="D1383">
        <v>100000000</v>
      </c>
      <c r="E1383">
        <v>100000000</v>
      </c>
      <c r="F1383">
        <v>100</v>
      </c>
      <c r="G1383">
        <v>1</v>
      </c>
      <c r="H1383">
        <v>1</v>
      </c>
      <c r="I1383">
        <v>1</v>
      </c>
      <c r="J1383">
        <v>1</v>
      </c>
    </row>
    <row r="1384" spans="1:10">
      <c r="A1384">
        <v>1383</v>
      </c>
      <c r="B1384">
        <v>323325911</v>
      </c>
      <c r="C1384">
        <v>100000000</v>
      </c>
      <c r="D1384">
        <v>100000000</v>
      </c>
      <c r="E1384">
        <v>100000000</v>
      </c>
      <c r="F1384">
        <v>100</v>
      </c>
      <c r="G1384">
        <v>1</v>
      </c>
      <c r="H1384">
        <v>1</v>
      </c>
      <c r="I1384">
        <v>1</v>
      </c>
      <c r="J1384">
        <v>1</v>
      </c>
    </row>
    <row r="1385" spans="1:10">
      <c r="A1385">
        <v>1384</v>
      </c>
      <c r="B1385">
        <v>333435994</v>
      </c>
      <c r="C1385">
        <v>100000000</v>
      </c>
      <c r="D1385">
        <v>100000000</v>
      </c>
      <c r="E1385">
        <v>100000000</v>
      </c>
      <c r="F1385">
        <v>100</v>
      </c>
      <c r="G1385">
        <v>1</v>
      </c>
      <c r="H1385">
        <v>1</v>
      </c>
      <c r="I1385">
        <v>1</v>
      </c>
      <c r="J1385">
        <v>1</v>
      </c>
    </row>
    <row r="1386" spans="1:10">
      <c r="A1386">
        <v>1385</v>
      </c>
      <c r="B1386">
        <v>343546077</v>
      </c>
      <c r="C1386">
        <v>100000000</v>
      </c>
      <c r="D1386">
        <v>100000000</v>
      </c>
      <c r="E1386">
        <v>100000000</v>
      </c>
      <c r="F1386">
        <v>100</v>
      </c>
      <c r="G1386">
        <v>1</v>
      </c>
      <c r="H1386">
        <v>1</v>
      </c>
      <c r="I1386">
        <v>1</v>
      </c>
      <c r="J1386">
        <v>1</v>
      </c>
    </row>
    <row r="1387" spans="1:10">
      <c r="A1387">
        <v>1386</v>
      </c>
      <c r="B1387">
        <v>353656160</v>
      </c>
      <c r="C1387">
        <v>100000000</v>
      </c>
      <c r="D1387">
        <v>100000000</v>
      </c>
      <c r="E1387">
        <v>100000000</v>
      </c>
      <c r="F1387">
        <v>100</v>
      </c>
      <c r="G1387">
        <v>1</v>
      </c>
      <c r="H1387">
        <v>1</v>
      </c>
      <c r="I1387">
        <v>1</v>
      </c>
      <c r="J1387">
        <v>1</v>
      </c>
    </row>
    <row r="1388" spans="1:10">
      <c r="A1388">
        <v>1387</v>
      </c>
      <c r="B1388">
        <v>363766243</v>
      </c>
      <c r="C1388">
        <v>100000000</v>
      </c>
      <c r="D1388">
        <v>100000000</v>
      </c>
      <c r="E1388">
        <v>100000000</v>
      </c>
      <c r="F1388">
        <v>100</v>
      </c>
      <c r="G1388">
        <v>1</v>
      </c>
      <c r="H1388">
        <v>1</v>
      </c>
      <c r="I1388">
        <v>1</v>
      </c>
      <c r="J1388">
        <v>1</v>
      </c>
    </row>
    <row r="1389" spans="1:10">
      <c r="A1389">
        <v>1388</v>
      </c>
      <c r="B1389">
        <v>373876326</v>
      </c>
      <c r="C1389">
        <v>100000000</v>
      </c>
      <c r="D1389">
        <v>100000000</v>
      </c>
      <c r="E1389">
        <v>100000000</v>
      </c>
      <c r="F1389">
        <v>100</v>
      </c>
      <c r="G1389">
        <v>1</v>
      </c>
      <c r="H1389">
        <v>1</v>
      </c>
      <c r="I1389">
        <v>1</v>
      </c>
      <c r="J1389">
        <v>1</v>
      </c>
    </row>
    <row r="1390" spans="1:10">
      <c r="A1390">
        <v>1389</v>
      </c>
      <c r="B1390">
        <v>383986409</v>
      </c>
      <c r="C1390">
        <v>100000000</v>
      </c>
      <c r="D1390">
        <v>100000000</v>
      </c>
      <c r="E1390">
        <v>100000000</v>
      </c>
      <c r="F1390">
        <v>100</v>
      </c>
      <c r="G1390">
        <v>1</v>
      </c>
      <c r="H1390">
        <v>1</v>
      </c>
      <c r="I1390">
        <v>1</v>
      </c>
      <c r="J1390">
        <v>1</v>
      </c>
    </row>
    <row r="1391" spans="1:10">
      <c r="A1391">
        <v>1390</v>
      </c>
      <c r="B1391">
        <v>394096492</v>
      </c>
      <c r="C1391">
        <v>100000000</v>
      </c>
      <c r="D1391">
        <v>100000000</v>
      </c>
      <c r="E1391">
        <v>100000000</v>
      </c>
      <c r="F1391">
        <v>100</v>
      </c>
      <c r="G1391">
        <v>1</v>
      </c>
      <c r="H1391">
        <v>1</v>
      </c>
      <c r="I1391">
        <v>1</v>
      </c>
      <c r="J1391">
        <v>1</v>
      </c>
    </row>
    <row r="1392" spans="1:10">
      <c r="A1392">
        <v>1391</v>
      </c>
      <c r="B1392">
        <v>404206575</v>
      </c>
      <c r="C1392">
        <v>100000000</v>
      </c>
      <c r="D1392">
        <v>100000000</v>
      </c>
      <c r="E1392">
        <v>100000000</v>
      </c>
      <c r="F1392">
        <v>100</v>
      </c>
      <c r="G1392">
        <v>1</v>
      </c>
      <c r="H1392">
        <v>1</v>
      </c>
      <c r="I1392">
        <v>1</v>
      </c>
      <c r="J1392">
        <v>1</v>
      </c>
    </row>
    <row r="1393" spans="1:10">
      <c r="A1393">
        <v>1392</v>
      </c>
      <c r="B1393">
        <v>414316658</v>
      </c>
      <c r="C1393">
        <v>100000000</v>
      </c>
      <c r="D1393">
        <v>100000000</v>
      </c>
      <c r="E1393">
        <v>100000000</v>
      </c>
      <c r="F1393">
        <v>100</v>
      </c>
      <c r="G1393">
        <v>1</v>
      </c>
      <c r="H1393">
        <v>1</v>
      </c>
      <c r="I1393">
        <v>1</v>
      </c>
      <c r="J1393">
        <v>1</v>
      </c>
    </row>
    <row r="1394" spans="1:10">
      <c r="A1394">
        <v>1393</v>
      </c>
      <c r="B1394">
        <v>424426741</v>
      </c>
      <c r="C1394">
        <v>100000000</v>
      </c>
      <c r="D1394">
        <v>100000000</v>
      </c>
      <c r="E1394">
        <v>100000000</v>
      </c>
      <c r="F1394">
        <v>100</v>
      </c>
      <c r="G1394">
        <v>1</v>
      </c>
      <c r="H1394">
        <v>1</v>
      </c>
      <c r="I1394">
        <v>1</v>
      </c>
      <c r="J1394">
        <v>1</v>
      </c>
    </row>
    <row r="1395" spans="1:10">
      <c r="A1395">
        <v>1394</v>
      </c>
      <c r="B1395">
        <v>434536824</v>
      </c>
      <c r="C1395">
        <v>100000000</v>
      </c>
      <c r="D1395">
        <v>100000000</v>
      </c>
      <c r="E1395">
        <v>100000000</v>
      </c>
      <c r="F1395">
        <v>100</v>
      </c>
      <c r="G1395">
        <v>1</v>
      </c>
      <c r="H1395">
        <v>1</v>
      </c>
      <c r="I1395">
        <v>1</v>
      </c>
      <c r="J1395">
        <v>1</v>
      </c>
    </row>
    <row r="1396" spans="1:10">
      <c r="A1396">
        <v>1395</v>
      </c>
      <c r="B1396">
        <v>444646907</v>
      </c>
      <c r="C1396">
        <v>100000000</v>
      </c>
      <c r="D1396">
        <v>100000000</v>
      </c>
      <c r="E1396">
        <v>100000000</v>
      </c>
      <c r="F1396">
        <v>100</v>
      </c>
      <c r="G1396">
        <v>1</v>
      </c>
      <c r="H1396">
        <v>1</v>
      </c>
      <c r="I1396">
        <v>1</v>
      </c>
      <c r="J1396">
        <v>1</v>
      </c>
    </row>
    <row r="1397" spans="1:10">
      <c r="A1397">
        <v>1396</v>
      </c>
      <c r="B1397">
        <v>454756990</v>
      </c>
      <c r="C1397">
        <v>100000000</v>
      </c>
      <c r="D1397">
        <v>100000000</v>
      </c>
      <c r="E1397">
        <v>100000000</v>
      </c>
      <c r="F1397">
        <v>100</v>
      </c>
      <c r="G1397">
        <v>1</v>
      </c>
      <c r="H1397">
        <v>1</v>
      </c>
      <c r="I1397">
        <v>1</v>
      </c>
      <c r="J1397">
        <v>1</v>
      </c>
    </row>
    <row r="1398" spans="1:10">
      <c r="A1398">
        <v>1397</v>
      </c>
      <c r="B1398">
        <v>464867073</v>
      </c>
      <c r="C1398">
        <v>100000000</v>
      </c>
      <c r="D1398">
        <v>100000000</v>
      </c>
      <c r="E1398">
        <v>100000000</v>
      </c>
      <c r="F1398">
        <v>100</v>
      </c>
      <c r="G1398">
        <v>1</v>
      </c>
      <c r="H1398">
        <v>1</v>
      </c>
      <c r="I1398">
        <v>1</v>
      </c>
      <c r="J1398">
        <v>1</v>
      </c>
    </row>
    <row r="1399" spans="1:10">
      <c r="A1399">
        <v>1398</v>
      </c>
      <c r="B1399">
        <v>474977156</v>
      </c>
      <c r="C1399">
        <v>100000000</v>
      </c>
      <c r="D1399">
        <v>100000000</v>
      </c>
      <c r="E1399">
        <v>100000000</v>
      </c>
      <c r="F1399">
        <v>100</v>
      </c>
      <c r="G1399">
        <v>1</v>
      </c>
      <c r="H1399">
        <v>1</v>
      </c>
      <c r="I1399">
        <v>1</v>
      </c>
      <c r="J1399">
        <v>1</v>
      </c>
    </row>
    <row r="1400" spans="1:10">
      <c r="A1400">
        <v>1399</v>
      </c>
      <c r="B1400">
        <v>485087239</v>
      </c>
      <c r="C1400">
        <v>100000000</v>
      </c>
      <c r="D1400">
        <v>100000000</v>
      </c>
      <c r="E1400">
        <v>100000000</v>
      </c>
      <c r="F1400">
        <v>100</v>
      </c>
      <c r="G1400">
        <v>1</v>
      </c>
      <c r="H1400">
        <v>1</v>
      </c>
      <c r="I1400">
        <v>1</v>
      </c>
      <c r="J1400">
        <v>1</v>
      </c>
    </row>
    <row r="1401" spans="1:10">
      <c r="A1401">
        <v>1400</v>
      </c>
      <c r="B1401">
        <v>495197322</v>
      </c>
      <c r="C1401">
        <v>100000000</v>
      </c>
      <c r="D1401">
        <v>100000000</v>
      </c>
      <c r="E1401">
        <v>100000000</v>
      </c>
      <c r="F1401">
        <v>100</v>
      </c>
      <c r="G1401">
        <v>1</v>
      </c>
      <c r="H1401">
        <v>1</v>
      </c>
      <c r="I1401">
        <v>1</v>
      </c>
      <c r="J1401">
        <v>1</v>
      </c>
    </row>
    <row r="1402" spans="1:10">
      <c r="A1402">
        <v>1401</v>
      </c>
      <c r="B1402">
        <v>505307405</v>
      </c>
      <c r="C1402">
        <v>100000000</v>
      </c>
      <c r="D1402">
        <v>100000000</v>
      </c>
      <c r="E1402">
        <v>100000000</v>
      </c>
      <c r="F1402">
        <v>100</v>
      </c>
      <c r="G1402">
        <v>1</v>
      </c>
      <c r="H1402">
        <v>1</v>
      </c>
      <c r="I1402">
        <v>1</v>
      </c>
      <c r="J1402">
        <v>1</v>
      </c>
    </row>
    <row r="1403" spans="1:10">
      <c r="A1403">
        <v>1402</v>
      </c>
      <c r="B1403">
        <v>515417488</v>
      </c>
      <c r="C1403">
        <v>100000000</v>
      </c>
      <c r="D1403">
        <v>100000000</v>
      </c>
      <c r="E1403">
        <v>100000000</v>
      </c>
      <c r="F1403">
        <v>100</v>
      </c>
      <c r="G1403">
        <v>1</v>
      </c>
      <c r="H1403">
        <v>1</v>
      </c>
      <c r="I1403">
        <v>1</v>
      </c>
      <c r="J1403">
        <v>1</v>
      </c>
    </row>
    <row r="1404" spans="1:10">
      <c r="A1404">
        <v>1403</v>
      </c>
      <c r="B1404">
        <v>525527571</v>
      </c>
      <c r="C1404">
        <v>100000000</v>
      </c>
      <c r="D1404">
        <v>100000000</v>
      </c>
      <c r="E1404">
        <v>100000000</v>
      </c>
      <c r="F1404">
        <v>100</v>
      </c>
      <c r="G1404">
        <v>1</v>
      </c>
      <c r="H1404">
        <v>1</v>
      </c>
      <c r="I1404">
        <v>1</v>
      </c>
      <c r="J1404">
        <v>1</v>
      </c>
    </row>
    <row r="1405" spans="1:10">
      <c r="A1405">
        <v>1404</v>
      </c>
      <c r="B1405">
        <v>535637654</v>
      </c>
      <c r="C1405">
        <v>100000000</v>
      </c>
      <c r="D1405">
        <v>100000000</v>
      </c>
      <c r="E1405">
        <v>100000000</v>
      </c>
      <c r="F1405">
        <v>100</v>
      </c>
      <c r="G1405">
        <v>1</v>
      </c>
      <c r="H1405">
        <v>1</v>
      </c>
      <c r="I1405">
        <v>1</v>
      </c>
      <c r="J1405">
        <v>1</v>
      </c>
    </row>
    <row r="1406" spans="1:10">
      <c r="A1406">
        <v>1405</v>
      </c>
      <c r="B1406">
        <v>545747737</v>
      </c>
      <c r="C1406">
        <v>100000000</v>
      </c>
      <c r="D1406">
        <v>100000000</v>
      </c>
      <c r="E1406">
        <v>100000000</v>
      </c>
      <c r="F1406">
        <v>100</v>
      </c>
      <c r="G1406">
        <v>1</v>
      </c>
      <c r="H1406">
        <v>1</v>
      </c>
      <c r="I1406">
        <v>1</v>
      </c>
      <c r="J1406">
        <v>1</v>
      </c>
    </row>
    <row r="1407" spans="1:10">
      <c r="A1407">
        <v>1406</v>
      </c>
      <c r="B1407">
        <v>555857820</v>
      </c>
      <c r="C1407">
        <v>100000000</v>
      </c>
      <c r="D1407">
        <v>100000000</v>
      </c>
      <c r="E1407">
        <v>100000000</v>
      </c>
      <c r="F1407">
        <v>100</v>
      </c>
      <c r="G1407">
        <v>1</v>
      </c>
      <c r="H1407">
        <v>1</v>
      </c>
      <c r="I1407">
        <v>1</v>
      </c>
      <c r="J1407">
        <v>1</v>
      </c>
    </row>
    <row r="1408" spans="1:10">
      <c r="A1408">
        <v>1407</v>
      </c>
      <c r="B1408">
        <v>565967903</v>
      </c>
      <c r="C1408">
        <v>100000000</v>
      </c>
      <c r="D1408">
        <v>100000000</v>
      </c>
      <c r="E1408">
        <v>100000000</v>
      </c>
      <c r="F1408">
        <v>100</v>
      </c>
      <c r="G1408">
        <v>1</v>
      </c>
      <c r="H1408">
        <v>1</v>
      </c>
      <c r="I1408">
        <v>1</v>
      </c>
      <c r="J1408">
        <v>1</v>
      </c>
    </row>
    <row r="1409" spans="1:10">
      <c r="A1409">
        <v>1408</v>
      </c>
      <c r="B1409">
        <v>576077986</v>
      </c>
      <c r="C1409">
        <v>100000000</v>
      </c>
      <c r="D1409">
        <v>100000000</v>
      </c>
      <c r="E1409">
        <v>100000000</v>
      </c>
      <c r="F1409">
        <v>100</v>
      </c>
      <c r="G1409">
        <v>1</v>
      </c>
      <c r="H1409">
        <v>1</v>
      </c>
      <c r="I1409">
        <v>1</v>
      </c>
      <c r="J1409">
        <v>1</v>
      </c>
    </row>
    <row r="1410" spans="1:10">
      <c r="A1410">
        <v>1409</v>
      </c>
      <c r="B1410">
        <v>586188069</v>
      </c>
      <c r="C1410">
        <v>100000000</v>
      </c>
      <c r="D1410">
        <v>100000000</v>
      </c>
      <c r="E1410">
        <v>100000000</v>
      </c>
      <c r="F1410">
        <v>100</v>
      </c>
      <c r="G1410">
        <v>1</v>
      </c>
      <c r="H1410">
        <v>1</v>
      </c>
      <c r="I1410">
        <v>1</v>
      </c>
      <c r="J1410">
        <v>1</v>
      </c>
    </row>
    <row r="1411" spans="1:10">
      <c r="A1411">
        <v>1410</v>
      </c>
      <c r="B1411">
        <v>596298152</v>
      </c>
      <c r="C1411">
        <v>100000000</v>
      </c>
      <c r="D1411">
        <v>100000000</v>
      </c>
      <c r="E1411">
        <v>100000000</v>
      </c>
      <c r="F1411">
        <v>100</v>
      </c>
      <c r="G1411">
        <v>1</v>
      </c>
      <c r="H1411">
        <v>1</v>
      </c>
      <c r="I1411">
        <v>1</v>
      </c>
      <c r="J1411">
        <v>1</v>
      </c>
    </row>
    <row r="1412" spans="1:10">
      <c r="A1412">
        <v>1411</v>
      </c>
      <c r="B1412">
        <v>606408235</v>
      </c>
      <c r="C1412">
        <v>100000000</v>
      </c>
      <c r="D1412">
        <v>100000000</v>
      </c>
      <c r="E1412">
        <v>100000000</v>
      </c>
      <c r="F1412">
        <v>100</v>
      </c>
      <c r="G1412">
        <v>1</v>
      </c>
      <c r="H1412">
        <v>1</v>
      </c>
      <c r="I1412">
        <v>1</v>
      </c>
      <c r="J1412">
        <v>1</v>
      </c>
    </row>
    <row r="1413" spans="1:10">
      <c r="A1413">
        <v>1412</v>
      </c>
      <c r="B1413">
        <v>616518318</v>
      </c>
      <c r="C1413">
        <v>100000000</v>
      </c>
      <c r="D1413">
        <v>100000000</v>
      </c>
      <c r="E1413">
        <v>100000000</v>
      </c>
      <c r="F1413">
        <v>100</v>
      </c>
      <c r="G1413">
        <v>1</v>
      </c>
      <c r="H1413">
        <v>1</v>
      </c>
      <c r="I1413">
        <v>1</v>
      </c>
      <c r="J1413">
        <v>1</v>
      </c>
    </row>
    <row r="1414" spans="1:10">
      <c r="A1414">
        <v>1413</v>
      </c>
      <c r="B1414">
        <v>626628401</v>
      </c>
      <c r="C1414">
        <v>100000000</v>
      </c>
      <c r="D1414">
        <v>100000000</v>
      </c>
      <c r="E1414">
        <v>100000000</v>
      </c>
      <c r="F1414">
        <v>100</v>
      </c>
      <c r="G1414">
        <v>1</v>
      </c>
      <c r="H1414">
        <v>1</v>
      </c>
      <c r="I1414">
        <v>1</v>
      </c>
      <c r="J1414">
        <v>1</v>
      </c>
    </row>
    <row r="1415" spans="1:10">
      <c r="A1415">
        <v>1414</v>
      </c>
      <c r="B1415">
        <v>636738484</v>
      </c>
      <c r="C1415">
        <v>100000000</v>
      </c>
      <c r="D1415">
        <v>100000000</v>
      </c>
      <c r="E1415">
        <v>100000000</v>
      </c>
      <c r="F1415">
        <v>100</v>
      </c>
      <c r="G1415">
        <v>1</v>
      </c>
      <c r="H1415">
        <v>1</v>
      </c>
      <c r="I1415">
        <v>1</v>
      </c>
      <c r="J1415">
        <v>1</v>
      </c>
    </row>
    <row r="1416" spans="1:10">
      <c r="A1416">
        <v>1415</v>
      </c>
      <c r="B1416">
        <v>646848567</v>
      </c>
      <c r="C1416">
        <v>100000000</v>
      </c>
      <c r="D1416">
        <v>100000000</v>
      </c>
      <c r="E1416">
        <v>100000000</v>
      </c>
      <c r="F1416">
        <v>100</v>
      </c>
      <c r="G1416">
        <v>1</v>
      </c>
      <c r="H1416">
        <v>1</v>
      </c>
      <c r="I1416">
        <v>1</v>
      </c>
      <c r="J1416">
        <v>1</v>
      </c>
    </row>
    <row r="1417" spans="1:10">
      <c r="A1417">
        <v>1416</v>
      </c>
      <c r="B1417">
        <v>656958650</v>
      </c>
      <c r="C1417">
        <v>100000000</v>
      </c>
      <c r="D1417">
        <v>100000000</v>
      </c>
      <c r="E1417">
        <v>100000000</v>
      </c>
      <c r="F1417">
        <v>100</v>
      </c>
      <c r="G1417">
        <v>1</v>
      </c>
      <c r="H1417">
        <v>1</v>
      </c>
      <c r="I1417">
        <v>1</v>
      </c>
      <c r="J1417">
        <v>1</v>
      </c>
    </row>
    <row r="1418" spans="1:10">
      <c r="A1418">
        <v>1417</v>
      </c>
      <c r="B1418">
        <v>667068733</v>
      </c>
      <c r="C1418">
        <v>100000000</v>
      </c>
      <c r="D1418">
        <v>100000000</v>
      </c>
      <c r="E1418">
        <v>100000000</v>
      </c>
      <c r="F1418">
        <v>100</v>
      </c>
      <c r="G1418">
        <v>1</v>
      </c>
      <c r="H1418">
        <v>1</v>
      </c>
      <c r="I1418">
        <v>1</v>
      </c>
      <c r="J1418">
        <v>1</v>
      </c>
    </row>
    <row r="1419" spans="1:10">
      <c r="A1419">
        <v>1418</v>
      </c>
      <c r="B1419">
        <v>677178816</v>
      </c>
      <c r="C1419">
        <v>100000000</v>
      </c>
      <c r="D1419">
        <v>100000000</v>
      </c>
      <c r="E1419">
        <v>100000000</v>
      </c>
      <c r="F1419">
        <v>100</v>
      </c>
      <c r="G1419">
        <v>1</v>
      </c>
      <c r="H1419">
        <v>1</v>
      </c>
      <c r="I1419">
        <v>1</v>
      </c>
      <c r="J1419">
        <v>1</v>
      </c>
    </row>
    <row r="1420" spans="1:10">
      <c r="A1420">
        <v>1419</v>
      </c>
      <c r="B1420">
        <v>687288899</v>
      </c>
      <c r="C1420">
        <v>100000000</v>
      </c>
      <c r="D1420">
        <v>100000000</v>
      </c>
      <c r="E1420">
        <v>100000000</v>
      </c>
      <c r="F1420">
        <v>100</v>
      </c>
      <c r="G1420">
        <v>1</v>
      </c>
      <c r="H1420">
        <v>1</v>
      </c>
      <c r="I1420">
        <v>1</v>
      </c>
      <c r="J1420">
        <v>1</v>
      </c>
    </row>
    <row r="1421" spans="1:10">
      <c r="A1421">
        <v>1420</v>
      </c>
      <c r="B1421">
        <v>697398982</v>
      </c>
      <c r="C1421">
        <v>100000000</v>
      </c>
      <c r="D1421">
        <v>100000000</v>
      </c>
      <c r="E1421">
        <v>100000000</v>
      </c>
      <c r="F1421">
        <v>100</v>
      </c>
      <c r="G1421">
        <v>1</v>
      </c>
      <c r="H1421">
        <v>1</v>
      </c>
      <c r="I1421">
        <v>1</v>
      </c>
      <c r="J1421">
        <v>1</v>
      </c>
    </row>
    <row r="1422" spans="1:10">
      <c r="A1422">
        <v>1421</v>
      </c>
      <c r="B1422">
        <v>707509065</v>
      </c>
      <c r="C1422">
        <v>100000000</v>
      </c>
      <c r="D1422">
        <v>100000000</v>
      </c>
      <c r="E1422">
        <v>100000000</v>
      </c>
      <c r="F1422">
        <v>100</v>
      </c>
      <c r="G1422">
        <v>1</v>
      </c>
      <c r="H1422">
        <v>1</v>
      </c>
      <c r="I1422">
        <v>1</v>
      </c>
      <c r="J1422">
        <v>1</v>
      </c>
    </row>
    <row r="1423" spans="1:10">
      <c r="A1423">
        <v>1422</v>
      </c>
      <c r="B1423">
        <v>717619148</v>
      </c>
      <c r="C1423">
        <v>100000000</v>
      </c>
      <c r="D1423">
        <v>100000000</v>
      </c>
      <c r="E1423">
        <v>100000000</v>
      </c>
      <c r="F1423">
        <v>100</v>
      </c>
      <c r="G1423">
        <v>1</v>
      </c>
      <c r="H1423">
        <v>1</v>
      </c>
      <c r="I1423">
        <v>1</v>
      </c>
      <c r="J1423">
        <v>1</v>
      </c>
    </row>
    <row r="1424" spans="1:10">
      <c r="A1424">
        <v>1423</v>
      </c>
      <c r="B1424">
        <v>727729231</v>
      </c>
      <c r="C1424">
        <v>100000000</v>
      </c>
      <c r="D1424">
        <v>100000000</v>
      </c>
      <c r="E1424">
        <v>100000000</v>
      </c>
      <c r="F1424">
        <v>100</v>
      </c>
      <c r="G1424">
        <v>1</v>
      </c>
      <c r="H1424">
        <v>1</v>
      </c>
      <c r="I1424">
        <v>1</v>
      </c>
      <c r="J1424">
        <v>1</v>
      </c>
    </row>
    <row r="1425" spans="1:10">
      <c r="A1425">
        <v>1424</v>
      </c>
      <c r="B1425">
        <v>737839314</v>
      </c>
      <c r="C1425">
        <v>100000000</v>
      </c>
      <c r="D1425">
        <v>100000000</v>
      </c>
      <c r="E1425">
        <v>100000000</v>
      </c>
      <c r="F1425">
        <v>100</v>
      </c>
      <c r="G1425">
        <v>1</v>
      </c>
      <c r="H1425">
        <v>1</v>
      </c>
      <c r="I1425">
        <v>1</v>
      </c>
      <c r="J1425">
        <v>1</v>
      </c>
    </row>
    <row r="1426" spans="1:10">
      <c r="A1426">
        <v>1425</v>
      </c>
      <c r="B1426">
        <v>747949397</v>
      </c>
      <c r="C1426">
        <v>100000000</v>
      </c>
      <c r="D1426">
        <v>100000000</v>
      </c>
      <c r="E1426">
        <v>100000000</v>
      </c>
      <c r="F1426">
        <v>100</v>
      </c>
      <c r="G1426">
        <v>1</v>
      </c>
      <c r="H1426">
        <v>1</v>
      </c>
      <c r="I1426">
        <v>1</v>
      </c>
      <c r="J1426">
        <v>1</v>
      </c>
    </row>
    <row r="1427" spans="1:10">
      <c r="A1427">
        <v>1426</v>
      </c>
      <c r="B1427">
        <v>758059480</v>
      </c>
      <c r="C1427">
        <v>100000000</v>
      </c>
      <c r="D1427">
        <v>100000000</v>
      </c>
      <c r="E1427">
        <v>100000000</v>
      </c>
      <c r="F1427">
        <v>100</v>
      </c>
      <c r="G1427">
        <v>1</v>
      </c>
      <c r="H1427">
        <v>1</v>
      </c>
      <c r="I1427">
        <v>1</v>
      </c>
      <c r="J1427">
        <v>1</v>
      </c>
    </row>
    <row r="1428" spans="1:10">
      <c r="A1428">
        <v>1427</v>
      </c>
      <c r="B1428">
        <v>768169563</v>
      </c>
      <c r="C1428">
        <v>100000000</v>
      </c>
      <c r="D1428">
        <v>100000000</v>
      </c>
      <c r="E1428">
        <v>100000000</v>
      </c>
      <c r="F1428">
        <v>100</v>
      </c>
      <c r="G1428">
        <v>1</v>
      </c>
      <c r="H1428">
        <v>1</v>
      </c>
      <c r="I1428">
        <v>1</v>
      </c>
      <c r="J1428">
        <v>1</v>
      </c>
    </row>
    <row r="1429" spans="1:10">
      <c r="A1429">
        <v>1428</v>
      </c>
      <c r="B1429">
        <v>778279646</v>
      </c>
      <c r="C1429">
        <v>100000000</v>
      </c>
      <c r="D1429">
        <v>100000000</v>
      </c>
      <c r="E1429">
        <v>100000000</v>
      </c>
      <c r="F1429">
        <v>100</v>
      </c>
      <c r="G1429">
        <v>1</v>
      </c>
      <c r="H1429">
        <v>1</v>
      </c>
      <c r="I1429">
        <v>1</v>
      </c>
      <c r="J1429">
        <v>1</v>
      </c>
    </row>
    <row r="1430" spans="1:10">
      <c r="A1430">
        <v>1429</v>
      </c>
      <c r="B1430">
        <v>788389729</v>
      </c>
      <c r="C1430">
        <v>100000000</v>
      </c>
      <c r="D1430">
        <v>100000000</v>
      </c>
      <c r="E1430">
        <v>100000000</v>
      </c>
      <c r="F1430">
        <v>100</v>
      </c>
      <c r="G1430">
        <v>1</v>
      </c>
      <c r="H1430">
        <v>1</v>
      </c>
      <c r="I1430">
        <v>1</v>
      </c>
      <c r="J1430">
        <v>1</v>
      </c>
    </row>
    <row r="1431" spans="1:10">
      <c r="A1431">
        <v>1430</v>
      </c>
      <c r="B1431">
        <v>798499812</v>
      </c>
      <c r="C1431">
        <v>100000000</v>
      </c>
      <c r="D1431">
        <v>100000000</v>
      </c>
      <c r="E1431">
        <v>100000000</v>
      </c>
      <c r="F1431">
        <v>100</v>
      </c>
      <c r="G1431">
        <v>1</v>
      </c>
      <c r="H1431">
        <v>1</v>
      </c>
      <c r="I1431">
        <v>1</v>
      </c>
      <c r="J1431">
        <v>1</v>
      </c>
    </row>
    <row r="1432" spans="1:10">
      <c r="A1432">
        <v>1431</v>
      </c>
      <c r="B1432">
        <v>808609895</v>
      </c>
      <c r="C1432">
        <v>100000000</v>
      </c>
      <c r="D1432">
        <v>100000000</v>
      </c>
      <c r="E1432">
        <v>100000000</v>
      </c>
      <c r="F1432">
        <v>100</v>
      </c>
      <c r="G1432">
        <v>1</v>
      </c>
      <c r="H1432">
        <v>1</v>
      </c>
      <c r="I1432">
        <v>1</v>
      </c>
      <c r="J1432">
        <v>1</v>
      </c>
    </row>
    <row r="1433" spans="1:10">
      <c r="A1433">
        <v>1432</v>
      </c>
      <c r="B1433">
        <v>818719978</v>
      </c>
      <c r="C1433">
        <v>100000000</v>
      </c>
      <c r="D1433">
        <v>100000000</v>
      </c>
      <c r="E1433">
        <v>100000000</v>
      </c>
      <c r="F1433">
        <v>100</v>
      </c>
      <c r="G1433">
        <v>1</v>
      </c>
      <c r="H1433">
        <v>1</v>
      </c>
      <c r="I1433">
        <v>1</v>
      </c>
      <c r="J1433">
        <v>1</v>
      </c>
    </row>
    <row r="1434" spans="1:10">
      <c r="A1434">
        <v>1433</v>
      </c>
      <c r="B1434">
        <v>828830061</v>
      </c>
      <c r="C1434">
        <v>100000000</v>
      </c>
      <c r="D1434">
        <v>100000000</v>
      </c>
      <c r="E1434">
        <v>100000000</v>
      </c>
      <c r="F1434">
        <v>100</v>
      </c>
      <c r="G1434">
        <v>1</v>
      </c>
      <c r="H1434">
        <v>1</v>
      </c>
      <c r="I1434">
        <v>1</v>
      </c>
      <c r="J1434">
        <v>1</v>
      </c>
    </row>
    <row r="1435" spans="1:10">
      <c r="A1435">
        <v>1434</v>
      </c>
      <c r="B1435">
        <v>838940144</v>
      </c>
      <c r="C1435">
        <v>100000000</v>
      </c>
      <c r="D1435">
        <v>100000000</v>
      </c>
      <c r="E1435">
        <v>100000000</v>
      </c>
      <c r="F1435">
        <v>100</v>
      </c>
      <c r="G1435">
        <v>1</v>
      </c>
      <c r="H1435">
        <v>1</v>
      </c>
      <c r="I1435">
        <v>1</v>
      </c>
      <c r="J1435">
        <v>1</v>
      </c>
    </row>
    <row r="1436" spans="1:10">
      <c r="A1436">
        <v>1435</v>
      </c>
      <c r="B1436">
        <v>849050227</v>
      </c>
      <c r="C1436">
        <v>100000000</v>
      </c>
      <c r="D1436">
        <v>100000000</v>
      </c>
      <c r="E1436">
        <v>100000000</v>
      </c>
      <c r="F1436">
        <v>100</v>
      </c>
      <c r="G1436">
        <v>1</v>
      </c>
      <c r="H1436">
        <v>1</v>
      </c>
      <c r="I1436">
        <v>1</v>
      </c>
      <c r="J1436">
        <v>1</v>
      </c>
    </row>
    <row r="1437" spans="1:10">
      <c r="A1437">
        <v>1436</v>
      </c>
      <c r="B1437">
        <v>859160310</v>
      </c>
      <c r="C1437">
        <v>100000000</v>
      </c>
      <c r="D1437">
        <v>100000000</v>
      </c>
      <c r="E1437">
        <v>100000000</v>
      </c>
      <c r="F1437">
        <v>100</v>
      </c>
      <c r="G1437">
        <v>1</v>
      </c>
      <c r="H1437">
        <v>1</v>
      </c>
      <c r="I1437">
        <v>1</v>
      </c>
      <c r="J1437">
        <v>1</v>
      </c>
    </row>
    <row r="1438" spans="1:10">
      <c r="A1438">
        <v>1437</v>
      </c>
      <c r="B1438">
        <v>869270393</v>
      </c>
      <c r="C1438">
        <v>100000000</v>
      </c>
      <c r="D1438">
        <v>100000000</v>
      </c>
      <c r="E1438">
        <v>100000000</v>
      </c>
      <c r="F1438">
        <v>100</v>
      </c>
      <c r="G1438">
        <v>1</v>
      </c>
      <c r="H1438">
        <v>1</v>
      </c>
      <c r="I1438">
        <v>1</v>
      </c>
      <c r="J1438">
        <v>1</v>
      </c>
    </row>
    <row r="1439" spans="1:10">
      <c r="A1439">
        <v>1438</v>
      </c>
      <c r="B1439">
        <v>879380476</v>
      </c>
      <c r="C1439">
        <v>100000000</v>
      </c>
      <c r="D1439">
        <v>100000000</v>
      </c>
      <c r="E1439">
        <v>100000000</v>
      </c>
      <c r="F1439">
        <v>100</v>
      </c>
      <c r="G1439">
        <v>1</v>
      </c>
      <c r="H1439">
        <v>1</v>
      </c>
      <c r="I1439">
        <v>1</v>
      </c>
      <c r="J1439">
        <v>1</v>
      </c>
    </row>
    <row r="1440" spans="1:10">
      <c r="A1440">
        <v>1439</v>
      </c>
      <c r="B1440">
        <v>889490559</v>
      </c>
      <c r="C1440">
        <v>100000000</v>
      </c>
      <c r="D1440">
        <v>100000000</v>
      </c>
      <c r="E1440">
        <v>100000000</v>
      </c>
      <c r="F1440">
        <v>100</v>
      </c>
      <c r="G1440">
        <v>1</v>
      </c>
      <c r="H1440">
        <v>1</v>
      </c>
      <c r="I1440">
        <v>1</v>
      </c>
      <c r="J1440">
        <v>1</v>
      </c>
    </row>
    <row r="1441" spans="1:10">
      <c r="A1441">
        <v>1440</v>
      </c>
      <c r="B1441">
        <v>899600642</v>
      </c>
      <c r="C1441">
        <v>100000000</v>
      </c>
      <c r="D1441">
        <v>100000000</v>
      </c>
      <c r="E1441">
        <v>100000000</v>
      </c>
      <c r="F1441">
        <v>100</v>
      </c>
      <c r="G1441">
        <v>1</v>
      </c>
      <c r="H1441">
        <v>1</v>
      </c>
      <c r="I1441">
        <v>1</v>
      </c>
      <c r="J1441">
        <v>1</v>
      </c>
    </row>
    <row r="1442" spans="1:10">
      <c r="A1442">
        <v>1441</v>
      </c>
      <c r="B1442">
        <v>909710725</v>
      </c>
      <c r="C1442">
        <v>100000000</v>
      </c>
      <c r="D1442">
        <v>100000000</v>
      </c>
      <c r="E1442">
        <v>100000000</v>
      </c>
      <c r="F1442">
        <v>100</v>
      </c>
      <c r="G1442">
        <v>1</v>
      </c>
      <c r="H1442">
        <v>1</v>
      </c>
      <c r="I1442">
        <v>1</v>
      </c>
      <c r="J1442">
        <v>1</v>
      </c>
    </row>
    <row r="1443" spans="1:10">
      <c r="A1443">
        <v>1442</v>
      </c>
      <c r="B1443">
        <v>919820808</v>
      </c>
      <c r="C1443">
        <v>100000000</v>
      </c>
      <c r="D1443">
        <v>100000000</v>
      </c>
      <c r="E1443">
        <v>100000000</v>
      </c>
      <c r="F1443">
        <v>100</v>
      </c>
      <c r="G1443">
        <v>1</v>
      </c>
      <c r="H1443">
        <v>1</v>
      </c>
      <c r="I1443">
        <v>1</v>
      </c>
      <c r="J1443">
        <v>1</v>
      </c>
    </row>
    <row r="1444" spans="1:10">
      <c r="A1444">
        <v>1443</v>
      </c>
      <c r="B1444">
        <v>929930891</v>
      </c>
      <c r="C1444">
        <v>100000000</v>
      </c>
      <c r="D1444">
        <v>100000000</v>
      </c>
      <c r="E1444">
        <v>100000000</v>
      </c>
      <c r="F1444">
        <v>100</v>
      </c>
      <c r="G1444">
        <v>1</v>
      </c>
      <c r="H1444">
        <v>1</v>
      </c>
      <c r="I1444">
        <v>1</v>
      </c>
      <c r="J1444">
        <v>1</v>
      </c>
    </row>
    <row r="1445" spans="1:10">
      <c r="A1445">
        <v>1444</v>
      </c>
      <c r="B1445">
        <v>940040974</v>
      </c>
      <c r="C1445">
        <v>100000000</v>
      </c>
      <c r="D1445">
        <v>100000000</v>
      </c>
      <c r="E1445">
        <v>100000000</v>
      </c>
      <c r="F1445">
        <v>100</v>
      </c>
      <c r="G1445">
        <v>1</v>
      </c>
      <c r="H1445">
        <v>1</v>
      </c>
      <c r="I1445">
        <v>1</v>
      </c>
      <c r="J1445">
        <v>1</v>
      </c>
    </row>
    <row r="1446" spans="1:10">
      <c r="A1446">
        <v>1445</v>
      </c>
      <c r="B1446">
        <v>950151057</v>
      </c>
      <c r="C1446">
        <v>100000000</v>
      </c>
      <c r="D1446">
        <v>100000000</v>
      </c>
      <c r="E1446">
        <v>100000000</v>
      </c>
      <c r="F1446">
        <v>100</v>
      </c>
      <c r="G1446">
        <v>1</v>
      </c>
      <c r="H1446">
        <v>1</v>
      </c>
      <c r="I1446">
        <v>1</v>
      </c>
      <c r="J1446">
        <v>1</v>
      </c>
    </row>
    <row r="1447" spans="1:10">
      <c r="A1447">
        <v>1446</v>
      </c>
      <c r="B1447">
        <v>960261140</v>
      </c>
      <c r="C1447">
        <v>100000000</v>
      </c>
      <c r="D1447">
        <v>100000000</v>
      </c>
      <c r="E1447">
        <v>100000000</v>
      </c>
      <c r="F1447">
        <v>100</v>
      </c>
      <c r="G1447">
        <v>1</v>
      </c>
      <c r="H1447">
        <v>1</v>
      </c>
      <c r="I1447">
        <v>1</v>
      </c>
      <c r="J1447">
        <v>1</v>
      </c>
    </row>
    <row r="1448" spans="1:10">
      <c r="A1448">
        <v>1447</v>
      </c>
      <c r="B1448">
        <v>970371223</v>
      </c>
      <c r="C1448">
        <v>100000000</v>
      </c>
      <c r="D1448">
        <v>100000000</v>
      </c>
      <c r="E1448">
        <v>100000000</v>
      </c>
      <c r="F1448">
        <v>100</v>
      </c>
      <c r="G1448">
        <v>1</v>
      </c>
      <c r="H1448">
        <v>1</v>
      </c>
      <c r="I1448">
        <v>1</v>
      </c>
      <c r="J1448">
        <v>1</v>
      </c>
    </row>
    <row r="1449" spans="1:10">
      <c r="A1449">
        <v>1448</v>
      </c>
      <c r="B1449">
        <v>980481306</v>
      </c>
      <c r="C1449">
        <v>100000000</v>
      </c>
      <c r="D1449">
        <v>100000000</v>
      </c>
      <c r="E1449">
        <v>100000000</v>
      </c>
      <c r="F1449">
        <v>100</v>
      </c>
      <c r="G1449">
        <v>1</v>
      </c>
      <c r="H1449">
        <v>1</v>
      </c>
      <c r="I1449">
        <v>1</v>
      </c>
      <c r="J1449">
        <v>1</v>
      </c>
    </row>
    <row r="1450" spans="1:10">
      <c r="A1450">
        <v>1449</v>
      </c>
      <c r="B1450">
        <v>990591389</v>
      </c>
      <c r="C1450">
        <v>100000000</v>
      </c>
      <c r="D1450">
        <v>100000000</v>
      </c>
      <c r="E1450">
        <v>100000000</v>
      </c>
      <c r="F1450">
        <v>100</v>
      </c>
      <c r="G1450">
        <v>1</v>
      </c>
      <c r="H1450">
        <v>1</v>
      </c>
      <c r="I1450">
        <v>1</v>
      </c>
      <c r="J1450">
        <v>1</v>
      </c>
    </row>
    <row r="1451" spans="1:10">
      <c r="A1451">
        <v>1450</v>
      </c>
      <c r="B1451">
        <v>100701472</v>
      </c>
      <c r="C1451">
        <v>100000000</v>
      </c>
      <c r="D1451">
        <v>100000000</v>
      </c>
      <c r="E1451">
        <v>100000000</v>
      </c>
      <c r="F1451">
        <v>1000</v>
      </c>
      <c r="G1451">
        <v>1</v>
      </c>
      <c r="H1451">
        <v>1</v>
      </c>
      <c r="I1451">
        <v>1</v>
      </c>
      <c r="J1451">
        <v>1</v>
      </c>
    </row>
    <row r="1452" spans="1:10">
      <c r="A1452">
        <v>1451</v>
      </c>
      <c r="B1452">
        <v>110811555</v>
      </c>
      <c r="C1452">
        <v>100000000</v>
      </c>
      <c r="D1452">
        <v>100000000</v>
      </c>
      <c r="E1452">
        <v>100000000</v>
      </c>
      <c r="F1452">
        <v>1000</v>
      </c>
      <c r="G1452">
        <v>1</v>
      </c>
      <c r="H1452">
        <v>1</v>
      </c>
      <c r="I1452">
        <v>1</v>
      </c>
      <c r="J1452">
        <v>1</v>
      </c>
    </row>
    <row r="1453" spans="1:10">
      <c r="A1453">
        <v>1452</v>
      </c>
      <c r="B1453">
        <v>120921638</v>
      </c>
      <c r="C1453">
        <v>100000000</v>
      </c>
      <c r="D1453">
        <v>100000000</v>
      </c>
      <c r="E1453">
        <v>100000000</v>
      </c>
      <c r="F1453">
        <v>1000</v>
      </c>
      <c r="G1453">
        <v>1</v>
      </c>
      <c r="H1453">
        <v>1</v>
      </c>
      <c r="I1453">
        <v>1</v>
      </c>
      <c r="J1453">
        <v>1</v>
      </c>
    </row>
    <row r="1454" spans="1:10">
      <c r="A1454">
        <v>1453</v>
      </c>
      <c r="B1454">
        <v>131031721</v>
      </c>
      <c r="C1454">
        <v>100000000</v>
      </c>
      <c r="D1454">
        <v>100000000</v>
      </c>
      <c r="E1454">
        <v>100000000</v>
      </c>
      <c r="F1454">
        <v>1000</v>
      </c>
      <c r="G1454">
        <v>1</v>
      </c>
      <c r="H1454">
        <v>1</v>
      </c>
      <c r="I1454">
        <v>1</v>
      </c>
      <c r="J1454">
        <v>1</v>
      </c>
    </row>
    <row r="1455" spans="1:10">
      <c r="A1455">
        <v>1454</v>
      </c>
      <c r="B1455">
        <v>141141804</v>
      </c>
      <c r="C1455">
        <v>100000000</v>
      </c>
      <c r="D1455">
        <v>100000000</v>
      </c>
      <c r="E1455">
        <v>100000000</v>
      </c>
      <c r="F1455">
        <v>1000</v>
      </c>
      <c r="G1455">
        <v>1</v>
      </c>
      <c r="H1455">
        <v>1</v>
      </c>
      <c r="I1455">
        <v>1</v>
      </c>
      <c r="J1455">
        <v>1</v>
      </c>
    </row>
    <row r="1456" spans="1:10">
      <c r="A1456">
        <v>1455</v>
      </c>
      <c r="B1456">
        <v>151251887</v>
      </c>
      <c r="C1456">
        <v>100000000</v>
      </c>
      <c r="D1456">
        <v>100000000</v>
      </c>
      <c r="E1456">
        <v>100000000</v>
      </c>
      <c r="F1456">
        <v>1000</v>
      </c>
      <c r="G1456">
        <v>1</v>
      </c>
      <c r="H1456">
        <v>1</v>
      </c>
      <c r="I1456">
        <v>1</v>
      </c>
      <c r="J1456">
        <v>1</v>
      </c>
    </row>
    <row r="1457" spans="1:10">
      <c r="A1457">
        <v>1456</v>
      </c>
      <c r="B1457">
        <v>161361970</v>
      </c>
      <c r="C1457">
        <v>100000000</v>
      </c>
      <c r="D1457">
        <v>100000000</v>
      </c>
      <c r="E1457">
        <v>100000000</v>
      </c>
      <c r="F1457">
        <v>1000</v>
      </c>
      <c r="G1457">
        <v>1</v>
      </c>
      <c r="H1457">
        <v>1</v>
      </c>
      <c r="I1457">
        <v>1</v>
      </c>
      <c r="J1457">
        <v>1</v>
      </c>
    </row>
    <row r="1458" spans="1:10">
      <c r="A1458">
        <v>1457</v>
      </c>
      <c r="B1458">
        <v>171472053</v>
      </c>
      <c r="C1458">
        <v>100000000</v>
      </c>
      <c r="D1458">
        <v>100000000</v>
      </c>
      <c r="E1458">
        <v>100000000</v>
      </c>
      <c r="F1458">
        <v>1000</v>
      </c>
      <c r="G1458">
        <v>1</v>
      </c>
      <c r="H1458">
        <v>1</v>
      </c>
      <c r="I1458">
        <v>1</v>
      </c>
      <c r="J1458">
        <v>1</v>
      </c>
    </row>
    <row r="1459" spans="1:10">
      <c r="A1459">
        <v>1458</v>
      </c>
      <c r="B1459">
        <v>181582136</v>
      </c>
      <c r="C1459">
        <v>100000000</v>
      </c>
      <c r="D1459">
        <v>100000000</v>
      </c>
      <c r="E1459">
        <v>100000000</v>
      </c>
      <c r="F1459">
        <v>1000</v>
      </c>
      <c r="G1459">
        <v>1</v>
      </c>
      <c r="H1459">
        <v>1</v>
      </c>
      <c r="I1459">
        <v>1</v>
      </c>
      <c r="J1459">
        <v>1</v>
      </c>
    </row>
    <row r="1460" spans="1:10">
      <c r="A1460">
        <v>1459</v>
      </c>
      <c r="B1460">
        <v>191692219</v>
      </c>
      <c r="C1460">
        <v>100000000</v>
      </c>
      <c r="D1460">
        <v>100000000</v>
      </c>
      <c r="E1460">
        <v>100000000</v>
      </c>
      <c r="F1460">
        <v>1000</v>
      </c>
      <c r="G1460">
        <v>1</v>
      </c>
      <c r="H1460">
        <v>1</v>
      </c>
      <c r="I1460">
        <v>1</v>
      </c>
      <c r="J1460">
        <v>1</v>
      </c>
    </row>
    <row r="1461" spans="1:10">
      <c r="A1461">
        <v>1460</v>
      </c>
      <c r="B1461">
        <v>201802302</v>
      </c>
      <c r="C1461">
        <v>100000000</v>
      </c>
      <c r="D1461">
        <v>100000000</v>
      </c>
      <c r="E1461">
        <v>100000000</v>
      </c>
      <c r="F1461">
        <v>1000</v>
      </c>
      <c r="G1461">
        <v>1</v>
      </c>
      <c r="H1461">
        <v>1</v>
      </c>
      <c r="I1461">
        <v>1</v>
      </c>
      <c r="J1461">
        <v>1</v>
      </c>
    </row>
    <row r="1462" spans="1:10">
      <c r="A1462">
        <v>1461</v>
      </c>
      <c r="B1462">
        <v>211912385</v>
      </c>
      <c r="C1462">
        <v>100000000</v>
      </c>
      <c r="D1462">
        <v>100000000</v>
      </c>
      <c r="E1462">
        <v>100000000</v>
      </c>
      <c r="F1462">
        <v>1000</v>
      </c>
      <c r="G1462">
        <v>1</v>
      </c>
      <c r="H1462">
        <v>1</v>
      </c>
      <c r="I1462">
        <v>1</v>
      </c>
      <c r="J1462">
        <v>1</v>
      </c>
    </row>
    <row r="1463" spans="1:10">
      <c r="A1463">
        <v>1462</v>
      </c>
      <c r="B1463">
        <v>222022468</v>
      </c>
      <c r="C1463">
        <v>100000000</v>
      </c>
      <c r="D1463">
        <v>100000000</v>
      </c>
      <c r="E1463">
        <v>100000000</v>
      </c>
      <c r="F1463">
        <v>1000</v>
      </c>
      <c r="G1463">
        <v>1</v>
      </c>
      <c r="H1463">
        <v>1</v>
      </c>
      <c r="I1463">
        <v>1</v>
      </c>
      <c r="J1463">
        <v>1</v>
      </c>
    </row>
    <row r="1464" spans="1:10">
      <c r="A1464">
        <v>1463</v>
      </c>
      <c r="B1464">
        <v>232132551</v>
      </c>
      <c r="C1464">
        <v>100000000</v>
      </c>
      <c r="D1464">
        <v>100000000</v>
      </c>
      <c r="E1464">
        <v>100000000</v>
      </c>
      <c r="F1464">
        <v>1000</v>
      </c>
      <c r="G1464">
        <v>1</v>
      </c>
      <c r="H1464">
        <v>1</v>
      </c>
      <c r="I1464">
        <v>1</v>
      </c>
      <c r="J1464">
        <v>1</v>
      </c>
    </row>
    <row r="1465" spans="1:10">
      <c r="A1465">
        <v>1464</v>
      </c>
      <c r="B1465">
        <v>242242634</v>
      </c>
      <c r="C1465">
        <v>100000000</v>
      </c>
      <c r="D1465">
        <v>100000000</v>
      </c>
      <c r="E1465">
        <v>100000000</v>
      </c>
      <c r="F1465">
        <v>1000</v>
      </c>
      <c r="G1465">
        <v>1</v>
      </c>
      <c r="H1465">
        <v>1</v>
      </c>
      <c r="I1465">
        <v>1</v>
      </c>
      <c r="J1465">
        <v>1</v>
      </c>
    </row>
    <row r="1466" spans="1:10">
      <c r="A1466">
        <v>1465</v>
      </c>
      <c r="B1466">
        <v>252352717</v>
      </c>
      <c r="C1466">
        <v>100000000</v>
      </c>
      <c r="D1466">
        <v>100000000</v>
      </c>
      <c r="E1466">
        <v>100000000</v>
      </c>
      <c r="F1466">
        <v>1000</v>
      </c>
      <c r="G1466">
        <v>1</v>
      </c>
      <c r="H1466">
        <v>1</v>
      </c>
      <c r="I1466">
        <v>1</v>
      </c>
      <c r="J1466">
        <v>1</v>
      </c>
    </row>
    <row r="1467" spans="1:10">
      <c r="A1467">
        <v>1466</v>
      </c>
      <c r="B1467">
        <v>262462800</v>
      </c>
      <c r="C1467">
        <v>100000000</v>
      </c>
      <c r="D1467">
        <v>100000000</v>
      </c>
      <c r="E1467">
        <v>100000000</v>
      </c>
      <c r="F1467">
        <v>1000</v>
      </c>
      <c r="G1467">
        <v>1</v>
      </c>
      <c r="H1467">
        <v>1</v>
      </c>
      <c r="I1467">
        <v>1</v>
      </c>
      <c r="J1467">
        <v>1</v>
      </c>
    </row>
    <row r="1468" spans="1:10">
      <c r="A1468">
        <v>1467</v>
      </c>
      <c r="B1468">
        <v>272572883</v>
      </c>
      <c r="C1468">
        <v>100000000</v>
      </c>
      <c r="D1468">
        <v>100000000</v>
      </c>
      <c r="E1468">
        <v>100000000</v>
      </c>
      <c r="F1468">
        <v>1000</v>
      </c>
      <c r="G1468">
        <v>1</v>
      </c>
      <c r="H1468">
        <v>1</v>
      </c>
      <c r="I1468">
        <v>1</v>
      </c>
      <c r="J1468">
        <v>1</v>
      </c>
    </row>
    <row r="1469" spans="1:10">
      <c r="A1469">
        <v>1468</v>
      </c>
      <c r="B1469">
        <v>282682966</v>
      </c>
      <c r="C1469">
        <v>100000000</v>
      </c>
      <c r="D1469">
        <v>100000000</v>
      </c>
      <c r="E1469">
        <v>100000000</v>
      </c>
      <c r="F1469">
        <v>1000</v>
      </c>
      <c r="G1469">
        <v>1</v>
      </c>
      <c r="H1469">
        <v>1</v>
      </c>
      <c r="I1469">
        <v>1</v>
      </c>
      <c r="J1469">
        <v>1</v>
      </c>
    </row>
    <row r="1470" spans="1:10">
      <c r="A1470">
        <v>1469</v>
      </c>
      <c r="B1470">
        <v>292793049</v>
      </c>
      <c r="C1470">
        <v>100000000</v>
      </c>
      <c r="D1470">
        <v>100000000</v>
      </c>
      <c r="E1470">
        <v>100000000</v>
      </c>
      <c r="F1470">
        <v>1000</v>
      </c>
      <c r="G1470">
        <v>1</v>
      </c>
      <c r="H1470">
        <v>1</v>
      </c>
      <c r="I1470">
        <v>1</v>
      </c>
      <c r="J1470">
        <v>1</v>
      </c>
    </row>
    <row r="1471" spans="1:10">
      <c r="A1471">
        <v>1470</v>
      </c>
      <c r="B1471">
        <v>302903132</v>
      </c>
      <c r="C1471">
        <v>100000000</v>
      </c>
      <c r="D1471">
        <v>100000000</v>
      </c>
      <c r="E1471">
        <v>100000000</v>
      </c>
      <c r="F1471">
        <v>1000</v>
      </c>
      <c r="G1471">
        <v>1</v>
      </c>
      <c r="H1471">
        <v>1</v>
      </c>
      <c r="I1471">
        <v>1</v>
      </c>
      <c r="J1471">
        <v>1</v>
      </c>
    </row>
    <row r="1472" spans="1:10">
      <c r="A1472">
        <v>1471</v>
      </c>
      <c r="B1472">
        <v>313013215</v>
      </c>
      <c r="C1472">
        <v>100000000</v>
      </c>
      <c r="D1472">
        <v>100000000</v>
      </c>
      <c r="E1472">
        <v>100000000</v>
      </c>
      <c r="F1472">
        <v>1000</v>
      </c>
      <c r="G1472">
        <v>1</v>
      </c>
      <c r="H1472">
        <v>1</v>
      </c>
      <c r="I1472">
        <v>1</v>
      </c>
      <c r="J1472">
        <v>1</v>
      </c>
    </row>
    <row r="1473" spans="1:10">
      <c r="A1473">
        <v>1472</v>
      </c>
      <c r="B1473">
        <v>323123298</v>
      </c>
      <c r="C1473">
        <v>100000000</v>
      </c>
      <c r="D1473">
        <v>100000000</v>
      </c>
      <c r="E1473">
        <v>100000000</v>
      </c>
      <c r="F1473">
        <v>1000</v>
      </c>
      <c r="G1473">
        <v>1</v>
      </c>
      <c r="H1473">
        <v>1</v>
      </c>
      <c r="I1473">
        <v>1</v>
      </c>
      <c r="J1473">
        <v>1</v>
      </c>
    </row>
    <row r="1474" spans="1:10">
      <c r="A1474">
        <v>1473</v>
      </c>
      <c r="B1474">
        <v>333233381</v>
      </c>
      <c r="C1474">
        <v>100000000</v>
      </c>
      <c r="D1474">
        <v>100000000</v>
      </c>
      <c r="E1474">
        <v>100000000</v>
      </c>
      <c r="F1474">
        <v>1000</v>
      </c>
      <c r="G1474">
        <v>1</v>
      </c>
      <c r="H1474">
        <v>1</v>
      </c>
      <c r="I1474">
        <v>1</v>
      </c>
      <c r="J1474">
        <v>1</v>
      </c>
    </row>
    <row r="1475" spans="1:10">
      <c r="A1475">
        <v>1474</v>
      </c>
      <c r="B1475">
        <v>343343464</v>
      </c>
      <c r="C1475">
        <v>100000000</v>
      </c>
      <c r="D1475">
        <v>100000000</v>
      </c>
      <c r="E1475">
        <v>100000000</v>
      </c>
      <c r="F1475">
        <v>1000</v>
      </c>
      <c r="G1475">
        <v>1</v>
      </c>
      <c r="H1475">
        <v>1</v>
      </c>
      <c r="I1475">
        <v>1</v>
      </c>
      <c r="J1475">
        <v>1</v>
      </c>
    </row>
    <row r="1476" spans="1:10">
      <c r="A1476">
        <v>1475</v>
      </c>
      <c r="B1476">
        <v>353453547</v>
      </c>
      <c r="C1476">
        <v>100000000</v>
      </c>
      <c r="D1476">
        <v>100000000</v>
      </c>
      <c r="E1476">
        <v>100000000</v>
      </c>
      <c r="F1476">
        <v>1000</v>
      </c>
      <c r="G1476">
        <v>1</v>
      </c>
      <c r="H1476">
        <v>1</v>
      </c>
      <c r="I1476">
        <v>1</v>
      </c>
      <c r="J1476">
        <v>1</v>
      </c>
    </row>
    <row r="1477" spans="1:10">
      <c r="A1477">
        <v>1476</v>
      </c>
      <c r="B1477">
        <v>363563630</v>
      </c>
      <c r="C1477">
        <v>100000000</v>
      </c>
      <c r="D1477">
        <v>100000000</v>
      </c>
      <c r="E1477">
        <v>100000000</v>
      </c>
      <c r="F1477">
        <v>1000</v>
      </c>
      <c r="G1477">
        <v>1</v>
      </c>
      <c r="H1477">
        <v>1</v>
      </c>
      <c r="I1477">
        <v>1</v>
      </c>
      <c r="J1477">
        <v>1</v>
      </c>
    </row>
    <row r="1478" spans="1:10">
      <c r="A1478">
        <v>1477</v>
      </c>
      <c r="B1478">
        <v>373673713</v>
      </c>
      <c r="C1478">
        <v>100000000</v>
      </c>
      <c r="D1478">
        <v>100000000</v>
      </c>
      <c r="E1478">
        <v>100000000</v>
      </c>
      <c r="F1478">
        <v>1000</v>
      </c>
      <c r="G1478">
        <v>1</v>
      </c>
      <c r="H1478">
        <v>1</v>
      </c>
      <c r="I1478">
        <v>1</v>
      </c>
      <c r="J1478">
        <v>1</v>
      </c>
    </row>
    <row r="1479" spans="1:10">
      <c r="A1479">
        <v>1478</v>
      </c>
      <c r="B1479">
        <v>383783796</v>
      </c>
      <c r="C1479">
        <v>100000000</v>
      </c>
      <c r="D1479">
        <v>100000000</v>
      </c>
      <c r="E1479">
        <v>100000000</v>
      </c>
      <c r="F1479">
        <v>1000</v>
      </c>
      <c r="G1479">
        <v>1</v>
      </c>
      <c r="H1479">
        <v>1</v>
      </c>
      <c r="I1479">
        <v>1</v>
      </c>
      <c r="J1479">
        <v>1</v>
      </c>
    </row>
    <row r="1480" spans="1:10">
      <c r="A1480">
        <v>1479</v>
      </c>
      <c r="B1480">
        <v>393893879</v>
      </c>
      <c r="C1480">
        <v>100000000</v>
      </c>
      <c r="D1480">
        <v>100000000</v>
      </c>
      <c r="E1480">
        <v>100000000</v>
      </c>
      <c r="F1480">
        <v>1000</v>
      </c>
      <c r="G1480">
        <v>1</v>
      </c>
      <c r="H1480">
        <v>1</v>
      </c>
      <c r="I1480">
        <v>1</v>
      </c>
      <c r="J1480">
        <v>1</v>
      </c>
    </row>
    <row r="1481" spans="1:10">
      <c r="A1481">
        <v>1480</v>
      </c>
      <c r="B1481">
        <v>404003962</v>
      </c>
      <c r="C1481">
        <v>100000000</v>
      </c>
      <c r="D1481">
        <v>100000000</v>
      </c>
      <c r="E1481">
        <v>100000000</v>
      </c>
      <c r="F1481">
        <v>1000</v>
      </c>
      <c r="G1481">
        <v>1</v>
      </c>
      <c r="H1481">
        <v>1</v>
      </c>
      <c r="I1481">
        <v>1</v>
      </c>
      <c r="J1481">
        <v>1</v>
      </c>
    </row>
    <row r="1482" spans="1:10">
      <c r="A1482">
        <v>1481</v>
      </c>
      <c r="B1482">
        <v>414114045</v>
      </c>
      <c r="C1482">
        <v>100000000</v>
      </c>
      <c r="D1482">
        <v>100000000</v>
      </c>
      <c r="E1482">
        <v>100000000</v>
      </c>
      <c r="F1482">
        <v>1000</v>
      </c>
      <c r="G1482">
        <v>1</v>
      </c>
      <c r="H1482">
        <v>1</v>
      </c>
      <c r="I1482">
        <v>1</v>
      </c>
      <c r="J1482">
        <v>1</v>
      </c>
    </row>
    <row r="1483" spans="1:10">
      <c r="A1483">
        <v>1482</v>
      </c>
      <c r="B1483">
        <v>424224128</v>
      </c>
      <c r="C1483">
        <v>100000000</v>
      </c>
      <c r="D1483">
        <v>100000000</v>
      </c>
      <c r="E1483">
        <v>100000000</v>
      </c>
      <c r="F1483">
        <v>1000</v>
      </c>
      <c r="G1483">
        <v>1</v>
      </c>
      <c r="H1483">
        <v>1</v>
      </c>
      <c r="I1483">
        <v>1</v>
      </c>
      <c r="J1483">
        <v>1</v>
      </c>
    </row>
    <row r="1484" spans="1:10">
      <c r="A1484">
        <v>1483</v>
      </c>
      <c r="B1484">
        <v>434334211</v>
      </c>
      <c r="C1484">
        <v>100000000</v>
      </c>
      <c r="D1484">
        <v>100000000</v>
      </c>
      <c r="E1484">
        <v>100000000</v>
      </c>
      <c r="F1484">
        <v>1000</v>
      </c>
      <c r="G1484">
        <v>1</v>
      </c>
      <c r="H1484">
        <v>1</v>
      </c>
      <c r="I1484">
        <v>1</v>
      </c>
      <c r="J1484">
        <v>1</v>
      </c>
    </row>
    <row r="1485" spans="1:10">
      <c r="A1485">
        <v>1484</v>
      </c>
      <c r="B1485">
        <v>444444294</v>
      </c>
      <c r="C1485">
        <v>100000000</v>
      </c>
      <c r="D1485">
        <v>100000000</v>
      </c>
      <c r="E1485">
        <v>100000000</v>
      </c>
      <c r="F1485">
        <v>1000</v>
      </c>
      <c r="G1485">
        <v>1</v>
      </c>
      <c r="H1485">
        <v>1</v>
      </c>
      <c r="I1485">
        <v>1</v>
      </c>
      <c r="J1485">
        <v>1</v>
      </c>
    </row>
    <row r="1486" spans="1:10">
      <c r="A1486">
        <v>1485</v>
      </c>
      <c r="B1486">
        <v>454554377</v>
      </c>
      <c r="C1486">
        <v>100000000</v>
      </c>
      <c r="D1486">
        <v>100000000</v>
      </c>
      <c r="E1486">
        <v>100000000</v>
      </c>
      <c r="F1486">
        <v>1000</v>
      </c>
      <c r="G1486">
        <v>1</v>
      </c>
      <c r="H1486">
        <v>1</v>
      </c>
      <c r="I1486">
        <v>1</v>
      </c>
      <c r="J1486">
        <v>1</v>
      </c>
    </row>
    <row r="1487" spans="1:10">
      <c r="A1487">
        <v>1486</v>
      </c>
      <c r="B1487">
        <v>464664460</v>
      </c>
      <c r="C1487">
        <v>100000000</v>
      </c>
      <c r="D1487">
        <v>100000000</v>
      </c>
      <c r="E1487">
        <v>100000000</v>
      </c>
      <c r="F1487">
        <v>1000</v>
      </c>
      <c r="G1487">
        <v>1</v>
      </c>
      <c r="H1487">
        <v>1</v>
      </c>
      <c r="I1487">
        <v>1</v>
      </c>
      <c r="J1487">
        <v>1</v>
      </c>
    </row>
    <row r="1488" spans="1:10">
      <c r="A1488">
        <v>1487</v>
      </c>
      <c r="B1488">
        <v>474774543</v>
      </c>
      <c r="C1488">
        <v>100000000</v>
      </c>
      <c r="D1488">
        <v>100000000</v>
      </c>
      <c r="E1488">
        <v>100000000</v>
      </c>
      <c r="F1488">
        <v>1000</v>
      </c>
      <c r="G1488">
        <v>1</v>
      </c>
      <c r="H1488">
        <v>1</v>
      </c>
      <c r="I1488">
        <v>1</v>
      </c>
      <c r="J1488">
        <v>1</v>
      </c>
    </row>
    <row r="1489" spans="1:10">
      <c r="A1489">
        <v>1488</v>
      </c>
      <c r="B1489">
        <v>484884626</v>
      </c>
      <c r="C1489">
        <v>100000000</v>
      </c>
      <c r="D1489">
        <v>100000000</v>
      </c>
      <c r="E1489">
        <v>100000000</v>
      </c>
      <c r="F1489">
        <v>1000</v>
      </c>
      <c r="G1489">
        <v>1</v>
      </c>
      <c r="H1489">
        <v>1</v>
      </c>
      <c r="I1489">
        <v>1</v>
      </c>
      <c r="J1489">
        <v>1</v>
      </c>
    </row>
    <row r="1490" spans="1:10">
      <c r="A1490">
        <v>1489</v>
      </c>
      <c r="B1490">
        <v>494994709</v>
      </c>
      <c r="C1490">
        <v>100000000</v>
      </c>
      <c r="D1490">
        <v>100000000</v>
      </c>
      <c r="E1490">
        <v>100000000</v>
      </c>
      <c r="F1490">
        <v>1000</v>
      </c>
      <c r="G1490">
        <v>1</v>
      </c>
      <c r="H1490">
        <v>1</v>
      </c>
      <c r="I1490">
        <v>1</v>
      </c>
      <c r="J1490">
        <v>1</v>
      </c>
    </row>
    <row r="1491" spans="1:10">
      <c r="A1491">
        <v>1490</v>
      </c>
      <c r="B1491">
        <v>505104792</v>
      </c>
      <c r="C1491">
        <v>100000000</v>
      </c>
      <c r="D1491">
        <v>100000000</v>
      </c>
      <c r="E1491">
        <v>100000000</v>
      </c>
      <c r="F1491">
        <v>1000</v>
      </c>
      <c r="G1491">
        <v>1</v>
      </c>
      <c r="H1491">
        <v>1</v>
      </c>
      <c r="I1491">
        <v>1</v>
      </c>
      <c r="J1491">
        <v>1</v>
      </c>
    </row>
    <row r="1492" spans="1:10">
      <c r="A1492">
        <v>1491</v>
      </c>
      <c r="B1492">
        <v>515214875</v>
      </c>
      <c r="C1492">
        <v>100000000</v>
      </c>
      <c r="D1492">
        <v>100000000</v>
      </c>
      <c r="E1492">
        <v>100000000</v>
      </c>
      <c r="F1492">
        <v>1000</v>
      </c>
      <c r="G1492">
        <v>1</v>
      </c>
      <c r="H1492">
        <v>1</v>
      </c>
      <c r="I1492">
        <v>1</v>
      </c>
      <c r="J1492">
        <v>1</v>
      </c>
    </row>
    <row r="1493" spans="1:10">
      <c r="A1493">
        <v>1492</v>
      </c>
      <c r="B1493">
        <v>525324958</v>
      </c>
      <c r="C1493">
        <v>100000000</v>
      </c>
      <c r="D1493">
        <v>100000000</v>
      </c>
      <c r="E1493">
        <v>100000000</v>
      </c>
      <c r="F1493">
        <v>1000</v>
      </c>
      <c r="G1493">
        <v>1</v>
      </c>
      <c r="H1493">
        <v>1</v>
      </c>
      <c r="I1493">
        <v>1</v>
      </c>
      <c r="J1493">
        <v>1</v>
      </c>
    </row>
    <row r="1494" spans="1:10">
      <c r="A1494">
        <v>1493</v>
      </c>
      <c r="B1494">
        <v>535435041</v>
      </c>
      <c r="C1494">
        <v>100000000</v>
      </c>
      <c r="D1494">
        <v>100000000</v>
      </c>
      <c r="E1494">
        <v>100000000</v>
      </c>
      <c r="F1494">
        <v>1000</v>
      </c>
      <c r="G1494">
        <v>1</v>
      </c>
      <c r="H1494">
        <v>1</v>
      </c>
      <c r="I1494">
        <v>1</v>
      </c>
      <c r="J1494">
        <v>1</v>
      </c>
    </row>
    <row r="1495" spans="1:10">
      <c r="A1495">
        <v>1494</v>
      </c>
      <c r="B1495">
        <v>545545124</v>
      </c>
      <c r="C1495">
        <v>100000000</v>
      </c>
      <c r="D1495">
        <v>100000000</v>
      </c>
      <c r="E1495">
        <v>100000000</v>
      </c>
      <c r="F1495">
        <v>1000</v>
      </c>
      <c r="G1495">
        <v>1</v>
      </c>
      <c r="H1495">
        <v>1</v>
      </c>
      <c r="I1495">
        <v>1</v>
      </c>
      <c r="J1495">
        <v>1</v>
      </c>
    </row>
    <row r="1496" spans="1:10">
      <c r="A1496">
        <v>1495</v>
      </c>
      <c r="B1496">
        <v>555655207</v>
      </c>
      <c r="C1496">
        <v>100000000</v>
      </c>
      <c r="D1496">
        <v>100000000</v>
      </c>
      <c r="E1496">
        <v>100000000</v>
      </c>
      <c r="F1496">
        <v>1000</v>
      </c>
      <c r="G1496">
        <v>1</v>
      </c>
      <c r="H1496">
        <v>1</v>
      </c>
      <c r="I1496">
        <v>1</v>
      </c>
      <c r="J1496">
        <v>1</v>
      </c>
    </row>
    <row r="1497" spans="1:10">
      <c r="A1497">
        <v>1496</v>
      </c>
      <c r="B1497">
        <v>565765290</v>
      </c>
      <c r="C1497">
        <v>100000000</v>
      </c>
      <c r="D1497">
        <v>100000000</v>
      </c>
      <c r="E1497">
        <v>100000000</v>
      </c>
      <c r="F1497">
        <v>1000</v>
      </c>
      <c r="G1497">
        <v>1</v>
      </c>
      <c r="H1497">
        <v>1</v>
      </c>
      <c r="I1497">
        <v>1</v>
      </c>
      <c r="J1497">
        <v>1</v>
      </c>
    </row>
    <row r="1498" spans="1:10">
      <c r="A1498">
        <v>1497</v>
      </c>
      <c r="B1498">
        <v>575875373</v>
      </c>
      <c r="C1498">
        <v>100000000</v>
      </c>
      <c r="D1498">
        <v>100000000</v>
      </c>
      <c r="E1498">
        <v>100000000</v>
      </c>
      <c r="F1498">
        <v>1000</v>
      </c>
      <c r="G1498">
        <v>1</v>
      </c>
      <c r="H1498">
        <v>1</v>
      </c>
      <c r="I1498">
        <v>1</v>
      </c>
      <c r="J1498">
        <v>1</v>
      </c>
    </row>
    <row r="1499" spans="1:10">
      <c r="A1499">
        <v>1498</v>
      </c>
      <c r="B1499">
        <v>585985456</v>
      </c>
      <c r="C1499">
        <v>100000000</v>
      </c>
      <c r="D1499">
        <v>100000000</v>
      </c>
      <c r="E1499">
        <v>100000000</v>
      </c>
      <c r="F1499">
        <v>1000</v>
      </c>
      <c r="G1499">
        <v>1</v>
      </c>
      <c r="H1499">
        <v>1</v>
      </c>
      <c r="I1499">
        <v>1</v>
      </c>
      <c r="J1499">
        <v>1</v>
      </c>
    </row>
    <row r="1500" spans="1:10">
      <c r="A1500">
        <v>1499</v>
      </c>
      <c r="B1500">
        <v>596095539</v>
      </c>
      <c r="C1500">
        <v>100000000</v>
      </c>
      <c r="D1500">
        <v>100000000</v>
      </c>
      <c r="E1500">
        <v>100000000</v>
      </c>
      <c r="F1500">
        <v>1000</v>
      </c>
      <c r="G1500">
        <v>1</v>
      </c>
      <c r="H1500">
        <v>1</v>
      </c>
      <c r="I1500">
        <v>1</v>
      </c>
      <c r="J1500">
        <v>1</v>
      </c>
    </row>
    <row r="1501" spans="1:10">
      <c r="A1501">
        <v>1500</v>
      </c>
      <c r="B1501">
        <v>606205622</v>
      </c>
      <c r="C1501">
        <v>100000000</v>
      </c>
      <c r="D1501">
        <v>100000000</v>
      </c>
      <c r="E1501">
        <v>100000000</v>
      </c>
      <c r="F1501">
        <v>100000000</v>
      </c>
      <c r="G1501">
        <v>100000000</v>
      </c>
      <c r="H1501">
        <v>100000000</v>
      </c>
      <c r="I1501">
        <v>100000000</v>
      </c>
      <c r="J1501">
        <v>100000000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CBCB-C6A5-48C4-B1BB-EC1431CA5BB8}">
  <sheetPr codeName="Sheet2"/>
  <dimension ref="A2:AP271"/>
  <sheetViews>
    <sheetView topLeftCell="E1" zoomScale="85" zoomScaleNormal="85" workbookViewId="0">
      <selection activeCell="F17" sqref="F17:G17"/>
    </sheetView>
  </sheetViews>
  <sheetFormatPr defaultRowHeight="16.5"/>
  <cols>
    <col min="12" max="12" width="10" bestFit="1" customWidth="1"/>
    <col min="13" max="13" width="9.5" bestFit="1" customWidth="1"/>
    <col min="14" max="14" width="10" bestFit="1" customWidth="1"/>
    <col min="15" max="15" width="7.25" customWidth="1"/>
    <col min="16" max="16" width="10.5" customWidth="1"/>
    <col min="18" max="18" width="11.875" bestFit="1" customWidth="1"/>
    <col min="19" max="20" width="11" bestFit="1" customWidth="1"/>
    <col min="25" max="25" width="10.625" customWidth="1"/>
    <col min="26" max="26" width="13.75" customWidth="1"/>
    <col min="32" max="32" width="17.875" bestFit="1" customWidth="1"/>
    <col min="37" max="37" width="19.25" bestFit="1" customWidth="1"/>
    <col min="38" max="38" width="13.75" bestFit="1" customWidth="1"/>
  </cols>
  <sheetData>
    <row r="2" spans="1:42">
      <c r="G2" s="15"/>
      <c r="H2" s="18" t="s">
        <v>153</v>
      </c>
      <c r="I2" s="18"/>
      <c r="J2" s="18" t="s">
        <v>155</v>
      </c>
      <c r="K2" s="18" t="s">
        <v>139</v>
      </c>
      <c r="L2" s="18" t="s">
        <v>156</v>
      </c>
      <c r="M2" s="18" t="s">
        <v>146</v>
      </c>
      <c r="N2" s="18" t="s">
        <v>157</v>
      </c>
      <c r="O2" s="54" t="s">
        <v>158</v>
      </c>
      <c r="P2" s="54"/>
      <c r="Q2" s="18"/>
      <c r="R2" s="18"/>
      <c r="S2" s="18"/>
      <c r="T2" s="18"/>
      <c r="U2" s="18"/>
      <c r="AA2" t="s">
        <v>173</v>
      </c>
      <c r="AB2" t="s">
        <v>174</v>
      </c>
      <c r="AC2" t="s">
        <v>175</v>
      </c>
      <c r="AD2" t="s">
        <v>176</v>
      </c>
      <c r="AE2" t="s">
        <v>177</v>
      </c>
    </row>
    <row r="3" spans="1:42">
      <c r="I3">
        <v>3</v>
      </c>
      <c r="J3">
        <v>19800</v>
      </c>
      <c r="K3" t="e" cm="1">
        <f t="array" aca="1" ref="K3" ca="1">INDIRECT("'[상승값.xlsx]상승'!B" &amp; (J3+1))</f>
        <v>#REF!</v>
      </c>
      <c r="L3" t="e" cm="1">
        <f t="array" aca="1" ref="L3" ca="1">INDIRECT("'[상승값.xlsx]상승'!C" &amp; (J3+1))</f>
        <v>#REF!</v>
      </c>
      <c r="M3" t="e" cm="1">
        <f t="array" aca="1" ref="M3" ca="1">INDIRECT("'[상승값.xlsx]상승'!B" &amp; (J3+1))</f>
        <v>#REF!</v>
      </c>
      <c r="N3" t="e" cm="1">
        <f t="array" aca="1" ref="N3" ca="1">INDIRECT("'[상승값.xlsx]상승'!C" &amp; (J3+1))</f>
        <v>#REF!</v>
      </c>
      <c r="O3" s="56" t="e" cm="1">
        <f t="array" aca="1" ref="O3" ca="1">INDIRECT("'[상승값.xlsx]상승'!E" &amp; (J3+1))</f>
        <v>#REF!</v>
      </c>
      <c r="P3" s="56"/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I3" t="s">
        <v>173</v>
      </c>
      <c r="AJ3" t="s">
        <v>174</v>
      </c>
      <c r="AK3" t="s">
        <v>418</v>
      </c>
      <c r="AL3" t="s">
        <v>419</v>
      </c>
      <c r="AM3" t="s">
        <v>420</v>
      </c>
      <c r="AN3" t="s">
        <v>175</v>
      </c>
      <c r="AO3" t="s">
        <v>176</v>
      </c>
      <c r="AP3" t="s">
        <v>177</v>
      </c>
    </row>
    <row r="4" spans="1:42">
      <c r="F4" t="s">
        <v>395</v>
      </c>
      <c r="I4" s="4" t="s">
        <v>417</v>
      </c>
      <c r="J4" s="4" cm="1">
        <f t="array" ref="J4">MATCH(TRUE, INDEX(INT(스킬!B1:B130/J3)&lt;&gt;0, 0), 0)</f>
        <v>126</v>
      </c>
      <c r="K4" t="s">
        <v>10</v>
      </c>
      <c r="AA4">
        <v>1</v>
      </c>
      <c r="AB4" t="s">
        <v>178</v>
      </c>
      <c r="AC4">
        <v>150</v>
      </c>
      <c r="AD4">
        <v>500</v>
      </c>
      <c r="AE4">
        <f>AE3+AD4</f>
        <v>500</v>
      </c>
      <c r="AF4">
        <v>50</v>
      </c>
      <c r="AI4">
        <v>1</v>
      </c>
      <c r="AJ4" t="s">
        <v>178</v>
      </c>
      <c r="AK4">
        <v>50</v>
      </c>
      <c r="AL4">
        <v>1</v>
      </c>
      <c r="AM4">
        <v>1</v>
      </c>
      <c r="AN4">
        <v>150</v>
      </c>
      <c r="AO4">
        <v>500</v>
      </c>
      <c r="AP4">
        <v>5</v>
      </c>
    </row>
    <row r="5" spans="1:42">
      <c r="H5" s="18" t="s">
        <v>363</v>
      </c>
      <c r="I5" s="18"/>
      <c r="J5" s="18">
        <v>0</v>
      </c>
      <c r="K5" s="18">
        <v>1</v>
      </c>
      <c r="L5" s="18">
        <v>2</v>
      </c>
      <c r="M5" s="18">
        <v>3</v>
      </c>
      <c r="N5" s="18">
        <v>4</v>
      </c>
      <c r="O5" s="54" t="s">
        <v>158</v>
      </c>
      <c r="P5" s="54"/>
      <c r="Q5" s="18"/>
      <c r="R5" s="18"/>
      <c r="S5" s="18"/>
      <c r="T5" s="18"/>
      <c r="U5" s="18"/>
      <c r="AA5">
        <v>2</v>
      </c>
      <c r="AB5" t="s">
        <v>179</v>
      </c>
      <c r="AC5">
        <v>150</v>
      </c>
      <c r="AD5">
        <v>1000</v>
      </c>
      <c r="AE5">
        <f>AE4+AD5</f>
        <v>1500</v>
      </c>
      <c r="AF5">
        <v>150</v>
      </c>
      <c r="AI5">
        <v>2</v>
      </c>
      <c r="AJ5" t="s">
        <v>179</v>
      </c>
      <c r="AK5">
        <v>150</v>
      </c>
      <c r="AL5">
        <v>1</v>
      </c>
      <c r="AM5">
        <v>2</v>
      </c>
      <c r="AN5">
        <v>150</v>
      </c>
      <c r="AO5">
        <v>1000</v>
      </c>
      <c r="AP5">
        <v>10</v>
      </c>
    </row>
    <row r="6" spans="1:42">
      <c r="J6">
        <f ca="1">VLOOKUP(J5, INDIRECT("스킬!H" &amp; ($J4-5) &amp; ":L" &amp; ($J4-1)), 3, FALSE)</f>
        <v>14400</v>
      </c>
      <c r="K6">
        <f ca="1">VLOOKUP(K5, INDIRECT("스킬!H" &amp; ($J4-5) &amp; ":L" &amp; ($J4-1)), 3, FALSE)</f>
        <v>12000</v>
      </c>
      <c r="L6">
        <f t="shared" ref="L6:N6" ca="1" si="0">VLOOKUP(L5, INDIRECT("스킬!H" &amp; ($J4-5) &amp; ":L" &amp; ($J4-1)), 3, FALSE)</f>
        <v>10800</v>
      </c>
      <c r="M6">
        <f t="shared" ca="1" si="0"/>
        <v>9600</v>
      </c>
      <c r="N6">
        <f t="shared" ca="1" si="0"/>
        <v>600</v>
      </c>
      <c r="O6" s="56">
        <f>VLOOKUP(J4-1, 스킬!A$2:L$126, 12, FALSE)</f>
        <v>21621336961</v>
      </c>
      <c r="P6" s="56"/>
      <c r="AA6">
        <v>3</v>
      </c>
      <c r="AB6" t="s">
        <v>180</v>
      </c>
      <c r="AC6">
        <v>250</v>
      </c>
      <c r="AD6">
        <v>1500</v>
      </c>
      <c r="AE6">
        <f t="shared" ref="AE6:AE24" si="1">AE5+AD6</f>
        <v>3000</v>
      </c>
      <c r="AF6">
        <v>250</v>
      </c>
      <c r="AI6">
        <v>3</v>
      </c>
      <c r="AJ6" t="s">
        <v>180</v>
      </c>
      <c r="AK6">
        <v>250</v>
      </c>
      <c r="AL6">
        <v>2</v>
      </c>
      <c r="AM6">
        <v>3</v>
      </c>
      <c r="AN6">
        <v>250</v>
      </c>
      <c r="AO6">
        <v>1500</v>
      </c>
      <c r="AP6">
        <v>15</v>
      </c>
    </row>
    <row r="7" spans="1:42">
      <c r="G7" s="15"/>
      <c r="H7" s="18" t="s">
        <v>42</v>
      </c>
      <c r="I7" s="18"/>
      <c r="J7" s="18" t="s">
        <v>155</v>
      </c>
      <c r="K7" s="18" t="s">
        <v>139</v>
      </c>
      <c r="L7" s="18" t="s">
        <v>146</v>
      </c>
      <c r="M7" s="18"/>
      <c r="N7" s="18"/>
      <c r="O7" s="54" t="s">
        <v>163</v>
      </c>
      <c r="P7" s="54"/>
      <c r="Q7" s="18"/>
      <c r="R7" s="18"/>
      <c r="S7" s="18"/>
      <c r="T7" s="18"/>
      <c r="U7" s="18"/>
      <c r="AA7">
        <v>4</v>
      </c>
      <c r="AB7" t="s">
        <v>181</v>
      </c>
      <c r="AC7">
        <v>250</v>
      </c>
      <c r="AD7">
        <v>2000</v>
      </c>
      <c r="AE7">
        <f t="shared" si="1"/>
        <v>5000</v>
      </c>
      <c r="AF7">
        <v>350</v>
      </c>
      <c r="AI7">
        <v>4</v>
      </c>
      <c r="AJ7" t="s">
        <v>181</v>
      </c>
      <c r="AK7">
        <v>350</v>
      </c>
      <c r="AL7">
        <v>2</v>
      </c>
      <c r="AM7">
        <v>4</v>
      </c>
      <c r="AN7">
        <v>250</v>
      </c>
      <c r="AO7">
        <v>2000</v>
      </c>
      <c r="AP7">
        <v>20</v>
      </c>
    </row>
    <row r="8" spans="1:42">
      <c r="I8">
        <v>7</v>
      </c>
      <c r="J8">
        <v>479</v>
      </c>
      <c r="K8" t="e" cm="1">
        <f t="array" aca="1" ref="K8" ca="1">INDIRECT("'[상승값.xlsx]상승'!G" &amp; (J8+1))</f>
        <v>#REF!</v>
      </c>
      <c r="L8" t="e" cm="1">
        <f t="array" aca="1" ref="L8" ca="1">INDIRECT("'[상승값.xlsx]상승'!G" &amp; (J8+1))</f>
        <v>#REF!</v>
      </c>
      <c r="O8" s="56" t="e" cm="1">
        <f t="array" aca="1" ref="O8" ca="1">INDIRECT("'[상승값.xlsx]상승'!I" &amp; (J8+1))</f>
        <v>#REF!</v>
      </c>
      <c r="P8" s="56"/>
      <c r="AA8">
        <v>5</v>
      </c>
      <c r="AB8" t="s">
        <v>182</v>
      </c>
      <c r="AC8">
        <v>400</v>
      </c>
      <c r="AD8">
        <v>2500</v>
      </c>
      <c r="AE8">
        <f t="shared" si="1"/>
        <v>7500</v>
      </c>
      <c r="AF8">
        <v>450</v>
      </c>
      <c r="AI8">
        <v>5</v>
      </c>
      <c r="AJ8" t="s">
        <v>182</v>
      </c>
      <c r="AK8">
        <v>450</v>
      </c>
      <c r="AL8">
        <v>3</v>
      </c>
      <c r="AM8">
        <v>5</v>
      </c>
      <c r="AN8">
        <v>400</v>
      </c>
      <c r="AO8">
        <v>2500</v>
      </c>
      <c r="AP8">
        <v>25</v>
      </c>
    </row>
    <row r="9" spans="1:42">
      <c r="AA9">
        <v>6</v>
      </c>
      <c r="AB9" t="s">
        <v>183</v>
      </c>
      <c r="AC9">
        <v>400</v>
      </c>
      <c r="AD9">
        <v>3000</v>
      </c>
      <c r="AE9">
        <f t="shared" si="1"/>
        <v>10500</v>
      </c>
      <c r="AF9">
        <v>550</v>
      </c>
      <c r="AI9">
        <v>6</v>
      </c>
      <c r="AJ9" t="s">
        <v>183</v>
      </c>
      <c r="AK9">
        <v>550</v>
      </c>
      <c r="AL9">
        <v>3</v>
      </c>
      <c r="AM9">
        <v>6</v>
      </c>
      <c r="AN9">
        <v>400</v>
      </c>
      <c r="AO9">
        <v>3000</v>
      </c>
      <c r="AP9">
        <v>30</v>
      </c>
    </row>
    <row r="10" spans="1:42">
      <c r="AA10">
        <v>7</v>
      </c>
      <c r="AB10" t="s">
        <v>184</v>
      </c>
      <c r="AC10">
        <v>600</v>
      </c>
      <c r="AD10">
        <v>3500</v>
      </c>
      <c r="AE10">
        <f t="shared" si="1"/>
        <v>14000</v>
      </c>
      <c r="AF10">
        <v>650</v>
      </c>
      <c r="AI10">
        <v>7</v>
      </c>
      <c r="AJ10" t="s">
        <v>184</v>
      </c>
      <c r="AK10">
        <v>650</v>
      </c>
      <c r="AL10">
        <v>4</v>
      </c>
      <c r="AM10">
        <v>7</v>
      </c>
      <c r="AN10">
        <v>600</v>
      </c>
      <c r="AO10">
        <v>3500</v>
      </c>
      <c r="AP10">
        <v>35</v>
      </c>
    </row>
    <row r="11" spans="1:42">
      <c r="G11" s="15"/>
      <c r="H11" s="18" t="s">
        <v>45</v>
      </c>
      <c r="I11" s="18" t="s">
        <v>10</v>
      </c>
      <c r="J11" s="18" t="s">
        <v>169</v>
      </c>
      <c r="K11" s="18" t="s">
        <v>139</v>
      </c>
      <c r="L11" s="18" t="s">
        <v>145</v>
      </c>
      <c r="M11" s="18" t="s">
        <v>159</v>
      </c>
      <c r="N11" s="18" t="s">
        <v>156</v>
      </c>
      <c r="O11" s="18" t="s">
        <v>157</v>
      </c>
      <c r="P11" s="18" t="s">
        <v>160</v>
      </c>
      <c r="Q11" s="18" t="s">
        <v>161</v>
      </c>
      <c r="R11" s="18" t="s">
        <v>162</v>
      </c>
      <c r="S11" s="18"/>
      <c r="T11" s="18"/>
      <c r="U11" s="18"/>
      <c r="AA11">
        <v>8</v>
      </c>
      <c r="AB11" t="s">
        <v>185</v>
      </c>
      <c r="AC11">
        <v>600</v>
      </c>
      <c r="AD11">
        <v>4000</v>
      </c>
      <c r="AE11">
        <f t="shared" si="1"/>
        <v>18000</v>
      </c>
      <c r="AF11">
        <v>750</v>
      </c>
      <c r="AI11">
        <v>8</v>
      </c>
      <c r="AJ11" t="s">
        <v>185</v>
      </c>
      <c r="AK11">
        <v>750</v>
      </c>
      <c r="AL11">
        <v>4</v>
      </c>
      <c r="AM11">
        <v>8</v>
      </c>
      <c r="AN11">
        <v>600</v>
      </c>
      <c r="AO11">
        <v>4000</v>
      </c>
      <c r="AP11">
        <v>40</v>
      </c>
    </row>
    <row r="12" spans="1:42">
      <c r="I12">
        <v>11</v>
      </c>
      <c r="J12">
        <v>61</v>
      </c>
      <c r="K12" t="e" cm="1">
        <f t="array" aca="1" ref="K12" ca="1">INDIRECT("'[상승값.xlsx]상승'!I" &amp; (J12+1))</f>
        <v>#REF!</v>
      </c>
      <c r="L12" t="e" cm="1">
        <f t="array" aca="1" ref="L12" ca="1">INDIRECT("'[상승값.xlsx]상승'!I" &amp; (J12+1))</f>
        <v>#REF!</v>
      </c>
      <c r="M12" t="e" cm="1">
        <f t="array" aca="1" ref="M12" ca="1">INDIRECT("'[상승값.xlsx]상승'!k" &amp; (J12+1))</f>
        <v>#REF!</v>
      </c>
      <c r="N12" t="e" cm="1">
        <f t="array" aca="1" ref="N12" ca="1">INDIRECT("'[상승값.xlsx]상승'!J" &amp; (J12+1))</f>
        <v>#REF!</v>
      </c>
      <c r="O12" t="e" cm="1">
        <f t="array" aca="1" ref="O12" ca="1">INDIRECT("'[상승값.xlsx]상승'!J" &amp; (J12+1))</f>
        <v>#REF!</v>
      </c>
      <c r="P12" t="e" cm="1">
        <f t="array" aca="1" ref="P12" ca="1">INDIRECT("'[상승값.xlsx]상승'!k" &amp; (J12+1))</f>
        <v>#REF!</v>
      </c>
      <c r="Q12" t="e" cm="1">
        <f t="array" aca="1" ref="Q12" ca="1">INDIRECT("'[상승값.xlsx]상승'!k" &amp; (J12+1))</f>
        <v>#REF!</v>
      </c>
      <c r="R12" s="24" t="e" cm="1">
        <f t="array" aca="1" ref="R12" ca="1">INDIRECT("'[상승값.xlsx]상승'!M" &amp; (J12*7+1))</f>
        <v>#REF!</v>
      </c>
      <c r="AA12">
        <v>9</v>
      </c>
      <c r="AB12" t="s">
        <v>186</v>
      </c>
      <c r="AC12">
        <v>900</v>
      </c>
      <c r="AD12">
        <v>4500</v>
      </c>
      <c r="AE12">
        <f t="shared" si="1"/>
        <v>22500</v>
      </c>
      <c r="AF12">
        <v>850</v>
      </c>
      <c r="AI12">
        <v>9</v>
      </c>
      <c r="AJ12" t="s">
        <v>186</v>
      </c>
      <c r="AK12">
        <v>850</v>
      </c>
      <c r="AL12">
        <v>5</v>
      </c>
      <c r="AM12">
        <v>9</v>
      </c>
      <c r="AN12">
        <v>900</v>
      </c>
      <c r="AO12">
        <v>4500</v>
      </c>
      <c r="AP12">
        <v>45</v>
      </c>
    </row>
    <row r="13" spans="1:42">
      <c r="R13" s="24"/>
      <c r="AA13">
        <v>10</v>
      </c>
      <c r="AB13" t="s">
        <v>187</v>
      </c>
      <c r="AC13">
        <v>900</v>
      </c>
      <c r="AD13">
        <v>5000</v>
      </c>
      <c r="AE13">
        <f t="shared" si="1"/>
        <v>27500</v>
      </c>
      <c r="AF13">
        <v>950</v>
      </c>
      <c r="AI13">
        <v>10</v>
      </c>
      <c r="AJ13" t="s">
        <v>187</v>
      </c>
      <c r="AK13">
        <v>950</v>
      </c>
      <c r="AL13">
        <v>5</v>
      </c>
      <c r="AM13">
        <v>10</v>
      </c>
      <c r="AN13">
        <v>900</v>
      </c>
      <c r="AO13">
        <v>5000</v>
      </c>
      <c r="AP13">
        <v>50</v>
      </c>
    </row>
    <row r="14" spans="1:42">
      <c r="A14" t="s">
        <v>170</v>
      </c>
      <c r="G14" s="15"/>
      <c r="H14" s="18" t="s">
        <v>46</v>
      </c>
      <c r="I14" s="18"/>
      <c r="J14" s="18" t="s">
        <v>148</v>
      </c>
      <c r="K14" s="18" t="s">
        <v>155</v>
      </c>
      <c r="L14" s="18" t="s">
        <v>139</v>
      </c>
      <c r="M14" s="18" t="s">
        <v>146</v>
      </c>
      <c r="N14" s="18" t="s">
        <v>171</v>
      </c>
      <c r="O14" s="54" t="s">
        <v>172</v>
      </c>
      <c r="P14" s="54"/>
      <c r="Q14" s="18"/>
      <c r="R14" s="26" t="s">
        <v>199</v>
      </c>
      <c r="S14" s="18" t="s">
        <v>228</v>
      </c>
      <c r="T14" s="18" t="s">
        <v>229</v>
      </c>
      <c r="U14" s="18"/>
      <c r="AA14">
        <v>11</v>
      </c>
      <c r="AB14" t="s">
        <v>188</v>
      </c>
      <c r="AC14">
        <v>1350</v>
      </c>
      <c r="AD14">
        <v>5500</v>
      </c>
      <c r="AE14">
        <f t="shared" si="1"/>
        <v>33000</v>
      </c>
      <c r="AF14">
        <v>1050</v>
      </c>
      <c r="AI14">
        <v>11</v>
      </c>
      <c r="AJ14" t="s">
        <v>188</v>
      </c>
      <c r="AK14">
        <v>1050</v>
      </c>
      <c r="AL14">
        <v>6</v>
      </c>
      <c r="AM14">
        <v>11</v>
      </c>
      <c r="AN14">
        <v>1350</v>
      </c>
      <c r="AO14">
        <v>5500</v>
      </c>
      <c r="AP14">
        <v>55</v>
      </c>
    </row>
    <row r="15" spans="1:42">
      <c r="I15">
        <v>14</v>
      </c>
      <c r="J15" s="22">
        <v>6</v>
      </c>
      <c r="K15">
        <f>VLOOKUP(J15-1,AA3:AF26, 6, FALSE)</f>
        <v>450</v>
      </c>
      <c r="L15" t="e" cm="1">
        <f t="array" aca="1" ref="L15" ca="1">INDIRECT("'[상승값.xlsx]상승'!N" &amp; (K15+2))</f>
        <v>#REF!</v>
      </c>
      <c r="M15" t="e" cm="1">
        <f t="array" aca="1" ref="M15" ca="1">INDIRECT("'[상승값.xlsx]상승'!N" &amp; (K15+2))</f>
        <v>#REF!</v>
      </c>
      <c r="N15" t="e" cm="1">
        <f t="array" aca="1" ref="N15" ca="1">INDIRECT("'[상승값.xlsx]상승'!N" &amp; (K15+2))</f>
        <v>#REF!</v>
      </c>
      <c r="O15" s="53" t="e" cm="1">
        <f t="array" aca="1" ref="O15" ca="1">INDIRECT("'[상승값.xlsx]상승'!N" &amp; (K15+2))</f>
        <v>#REF!</v>
      </c>
      <c r="P15" s="53"/>
      <c r="R15" s="24" t="e" cm="1">
        <f t="array" aca="1" ref="R15" ca="1">4*INDIRECT("'[상승값.xlsx]상승'!O" &amp; (K15+1))</f>
        <v>#REF!</v>
      </c>
      <c r="S15">
        <f>VLOOKUP(J15,AA3:AE23, 5, FALSE)</f>
        <v>10500</v>
      </c>
      <c r="T15" s="25" t="e">
        <f ca="1">S15+R15</f>
        <v>#REF!</v>
      </c>
      <c r="AA15">
        <v>12</v>
      </c>
      <c r="AB15" t="s">
        <v>189</v>
      </c>
      <c r="AC15">
        <v>1350</v>
      </c>
      <c r="AD15">
        <v>6000</v>
      </c>
      <c r="AE15">
        <f>AE14+AD15</f>
        <v>39000</v>
      </c>
      <c r="AF15">
        <v>1150</v>
      </c>
      <c r="AI15">
        <v>12</v>
      </c>
      <c r="AJ15" t="s">
        <v>189</v>
      </c>
      <c r="AK15">
        <v>1150</v>
      </c>
      <c r="AL15">
        <v>6</v>
      </c>
      <c r="AM15">
        <v>12</v>
      </c>
      <c r="AN15">
        <v>1350</v>
      </c>
      <c r="AO15">
        <v>6000</v>
      </c>
      <c r="AP15">
        <v>60</v>
      </c>
    </row>
    <row r="16" spans="1:42">
      <c r="J16" s="22"/>
      <c r="R16" s="24"/>
      <c r="T16" s="25"/>
      <c r="AA16">
        <v>13</v>
      </c>
      <c r="AB16" t="s">
        <v>190</v>
      </c>
      <c r="AC16">
        <v>2000</v>
      </c>
      <c r="AD16">
        <v>6500</v>
      </c>
      <c r="AE16">
        <f t="shared" si="1"/>
        <v>45500</v>
      </c>
      <c r="AF16">
        <v>1250</v>
      </c>
      <c r="AI16">
        <v>13</v>
      </c>
      <c r="AJ16" t="s">
        <v>190</v>
      </c>
      <c r="AK16">
        <v>1250</v>
      </c>
      <c r="AL16">
        <v>7</v>
      </c>
      <c r="AM16">
        <v>13</v>
      </c>
      <c r="AN16">
        <v>2000</v>
      </c>
      <c r="AO16">
        <v>6500</v>
      </c>
      <c r="AP16">
        <v>65</v>
      </c>
    </row>
    <row r="17" spans="7:42">
      <c r="G17" s="15" t="s">
        <v>230</v>
      </c>
      <c r="H17" s="18" t="s">
        <v>198</v>
      </c>
      <c r="I17" s="18"/>
      <c r="J17" s="18"/>
      <c r="K17" s="18" t="s">
        <v>225</v>
      </c>
      <c r="L17" s="18" t="s">
        <v>226</v>
      </c>
      <c r="M17" s="18" t="s">
        <v>227</v>
      </c>
      <c r="N17" s="18"/>
      <c r="O17" s="18"/>
      <c r="P17" s="18"/>
      <c r="Q17" s="26"/>
      <c r="R17" s="18"/>
      <c r="S17" s="18"/>
      <c r="T17" s="18"/>
      <c r="U17" s="18"/>
      <c r="AA17">
        <v>14</v>
      </c>
      <c r="AB17" t="s">
        <v>191</v>
      </c>
      <c r="AC17">
        <v>2000</v>
      </c>
      <c r="AD17">
        <v>7000</v>
      </c>
      <c r="AE17">
        <f t="shared" si="1"/>
        <v>52500</v>
      </c>
      <c r="AF17">
        <v>1350</v>
      </c>
      <c r="AI17">
        <v>14</v>
      </c>
      <c r="AJ17" t="s">
        <v>191</v>
      </c>
      <c r="AK17">
        <v>1350</v>
      </c>
      <c r="AL17">
        <v>7</v>
      </c>
      <c r="AM17">
        <v>14</v>
      </c>
      <c r="AN17">
        <v>2000</v>
      </c>
      <c r="AO17">
        <v>7000</v>
      </c>
      <c r="AP17">
        <v>70</v>
      </c>
    </row>
    <row r="18" spans="7:42">
      <c r="K18" s="22" t="str">
        <f>VLOOKUP(J15,AA4:AE24, 2, FALSE)</f>
        <v>묘목</v>
      </c>
      <c r="L18">
        <f>VLOOKUP(J15,AA3:AE23, 3, FALSE)</f>
        <v>400</v>
      </c>
      <c r="M18">
        <f>VLOOKUP(J15-1,AA3:AE23, 3, FALSE)</f>
        <v>400</v>
      </c>
      <c r="R18" s="24"/>
      <c r="AA18">
        <v>15</v>
      </c>
      <c r="AB18" t="s">
        <v>192</v>
      </c>
      <c r="AC18">
        <v>3000</v>
      </c>
      <c r="AD18">
        <v>7500</v>
      </c>
      <c r="AE18">
        <f t="shared" si="1"/>
        <v>60000</v>
      </c>
      <c r="AF18">
        <v>1450</v>
      </c>
      <c r="AI18">
        <v>15</v>
      </c>
      <c r="AJ18" t="s">
        <v>192</v>
      </c>
      <c r="AK18">
        <v>1450</v>
      </c>
      <c r="AL18">
        <v>8</v>
      </c>
      <c r="AM18">
        <v>15</v>
      </c>
      <c r="AN18">
        <v>3000</v>
      </c>
      <c r="AO18">
        <v>7500</v>
      </c>
      <c r="AP18">
        <v>75</v>
      </c>
    </row>
    <row r="19" spans="7:42">
      <c r="R19" s="24"/>
      <c r="AA19">
        <v>16</v>
      </c>
      <c r="AB19" t="s">
        <v>193</v>
      </c>
      <c r="AC19">
        <v>3000</v>
      </c>
      <c r="AD19">
        <v>8000</v>
      </c>
      <c r="AE19">
        <f t="shared" si="1"/>
        <v>68000</v>
      </c>
      <c r="AF19">
        <v>1550</v>
      </c>
      <c r="AI19">
        <v>16</v>
      </c>
      <c r="AJ19" t="s">
        <v>193</v>
      </c>
      <c r="AK19">
        <v>1550</v>
      </c>
      <c r="AL19">
        <v>8</v>
      </c>
      <c r="AM19">
        <v>16</v>
      </c>
      <c r="AN19">
        <v>3000</v>
      </c>
      <c r="AO19">
        <v>8000</v>
      </c>
      <c r="AP19">
        <v>80</v>
      </c>
    </row>
    <row r="20" spans="7:42">
      <c r="H20" s="18" t="s">
        <v>101</v>
      </c>
      <c r="I20" s="18"/>
      <c r="J20" s="18" t="s">
        <v>200</v>
      </c>
      <c r="K20" s="18" t="s">
        <v>155</v>
      </c>
      <c r="L20" s="18" t="s">
        <v>115</v>
      </c>
      <c r="M20" s="18" t="s">
        <v>109</v>
      </c>
      <c r="N20" s="18" t="s">
        <v>110</v>
      </c>
      <c r="O20" s="18"/>
      <c r="P20" s="18"/>
      <c r="Q20" s="18"/>
      <c r="R20" s="26"/>
      <c r="S20" s="18"/>
      <c r="T20" s="18"/>
      <c r="U20" s="18"/>
      <c r="AA20">
        <v>17</v>
      </c>
      <c r="AB20" t="s">
        <v>194</v>
      </c>
      <c r="AC20">
        <v>4500</v>
      </c>
      <c r="AD20">
        <v>8500</v>
      </c>
      <c r="AE20">
        <f t="shared" si="1"/>
        <v>76500</v>
      </c>
      <c r="AF20">
        <v>1650</v>
      </c>
      <c r="AI20">
        <v>17</v>
      </c>
      <c r="AJ20" t="s">
        <v>194</v>
      </c>
      <c r="AK20">
        <v>1650</v>
      </c>
      <c r="AL20">
        <v>9</v>
      </c>
      <c r="AM20">
        <v>17</v>
      </c>
      <c r="AN20">
        <v>4500</v>
      </c>
      <c r="AO20">
        <v>8500</v>
      </c>
      <c r="AP20">
        <v>85</v>
      </c>
    </row>
    <row r="21" spans="7:42">
      <c r="G21" s="15" t="s">
        <v>230</v>
      </c>
      <c r="J21" s="22" t="s">
        <v>219</v>
      </c>
      <c r="K21">
        <v>200</v>
      </c>
      <c r="L21">
        <f>VLOOKUP(J21, J59:T83, 9, FALSE)</f>
        <v>9400</v>
      </c>
      <c r="M21">
        <f>S84</f>
        <v>23705</v>
      </c>
      <c r="N21">
        <f>T84</f>
        <v>23705</v>
      </c>
      <c r="R21" s="24"/>
      <c r="AA21">
        <v>18</v>
      </c>
      <c r="AB21" t="s">
        <v>421</v>
      </c>
      <c r="AC21">
        <v>4500</v>
      </c>
      <c r="AD21">
        <v>9000</v>
      </c>
      <c r="AE21">
        <f t="shared" si="1"/>
        <v>85500</v>
      </c>
      <c r="AI21">
        <v>18</v>
      </c>
      <c r="AJ21" t="s">
        <v>421</v>
      </c>
      <c r="AK21">
        <v>1750</v>
      </c>
      <c r="AL21">
        <v>9</v>
      </c>
      <c r="AM21">
        <v>18</v>
      </c>
      <c r="AN21">
        <v>4500</v>
      </c>
      <c r="AO21">
        <v>9000</v>
      </c>
      <c r="AP21">
        <v>90</v>
      </c>
    </row>
    <row r="22" spans="7:42">
      <c r="J22">
        <f>VLOOKUP(J21, J59:T83, 2, FALSE)</f>
        <v>19</v>
      </c>
      <c r="R22" s="24"/>
      <c r="AA22">
        <v>19</v>
      </c>
      <c r="AB22" t="s">
        <v>195</v>
      </c>
      <c r="AC22">
        <v>7000</v>
      </c>
      <c r="AD22">
        <v>9500</v>
      </c>
      <c r="AE22">
        <f t="shared" si="1"/>
        <v>95000</v>
      </c>
      <c r="AF22">
        <v>1850</v>
      </c>
      <c r="AI22">
        <v>19</v>
      </c>
      <c r="AJ22" t="s">
        <v>195</v>
      </c>
      <c r="AK22">
        <v>1850</v>
      </c>
      <c r="AL22">
        <v>10</v>
      </c>
      <c r="AM22">
        <v>19</v>
      </c>
      <c r="AN22">
        <v>7000</v>
      </c>
      <c r="AO22">
        <v>9500</v>
      </c>
      <c r="AP22">
        <v>95</v>
      </c>
    </row>
    <row r="23" spans="7:42">
      <c r="R23" s="24"/>
      <c r="AA23">
        <v>20</v>
      </c>
      <c r="AB23" t="s">
        <v>196</v>
      </c>
      <c r="AC23">
        <v>7000</v>
      </c>
      <c r="AD23">
        <v>10000</v>
      </c>
      <c r="AE23">
        <f t="shared" si="1"/>
        <v>105000</v>
      </c>
      <c r="AF23">
        <v>1950</v>
      </c>
      <c r="AI23">
        <v>20</v>
      </c>
      <c r="AJ23" t="s">
        <v>196</v>
      </c>
      <c r="AK23">
        <v>1950</v>
      </c>
      <c r="AL23">
        <v>10</v>
      </c>
      <c r="AM23">
        <v>20</v>
      </c>
      <c r="AN23">
        <v>7000</v>
      </c>
      <c r="AO23">
        <v>10000</v>
      </c>
      <c r="AP23">
        <v>100</v>
      </c>
    </row>
    <row r="24" spans="7:42">
      <c r="H24" s="27" t="s">
        <v>87</v>
      </c>
      <c r="I24" s="18"/>
      <c r="J24" s="18" t="s">
        <v>10</v>
      </c>
      <c r="K24" s="18" t="s">
        <v>231</v>
      </c>
      <c r="L24" s="18" t="s">
        <v>10</v>
      </c>
      <c r="M24" s="18" t="s">
        <v>10</v>
      </c>
      <c r="N24" s="18" t="s">
        <v>36</v>
      </c>
      <c r="O24" s="18"/>
      <c r="P24" s="18" t="s">
        <v>10</v>
      </c>
      <c r="Q24" s="18" t="s">
        <v>37</v>
      </c>
      <c r="R24" s="18" t="s">
        <v>10</v>
      </c>
      <c r="S24" s="18" t="s">
        <v>10</v>
      </c>
      <c r="T24" s="18" t="s">
        <v>138</v>
      </c>
      <c r="U24" s="18" t="s">
        <v>10</v>
      </c>
      <c r="AA24">
        <v>21</v>
      </c>
      <c r="AB24" t="s">
        <v>197</v>
      </c>
      <c r="AC24">
        <v>0</v>
      </c>
      <c r="AD24">
        <v>50000</v>
      </c>
      <c r="AE24">
        <f t="shared" si="1"/>
        <v>155000</v>
      </c>
      <c r="AF24">
        <v>0</v>
      </c>
      <c r="AI24">
        <v>21</v>
      </c>
      <c r="AJ24" t="s">
        <v>197</v>
      </c>
      <c r="AK24">
        <v>0</v>
      </c>
      <c r="AL24">
        <v>0</v>
      </c>
      <c r="AM24">
        <v>0</v>
      </c>
      <c r="AN24">
        <v>0</v>
      </c>
      <c r="AO24">
        <v>50000</v>
      </c>
      <c r="AP24">
        <v>50000</v>
      </c>
    </row>
    <row r="25" spans="7:42">
      <c r="I25">
        <v>24</v>
      </c>
      <c r="J25" t="s">
        <v>139</v>
      </c>
      <c r="K25">
        <f>O92</f>
        <v>1300</v>
      </c>
      <c r="M25" t="s">
        <v>139</v>
      </c>
      <c r="N25">
        <f>O97</f>
        <v>350</v>
      </c>
      <c r="P25" t="s">
        <v>139</v>
      </c>
      <c r="Q25">
        <f>O103</f>
        <v>160</v>
      </c>
      <c r="R25" s="24"/>
      <c r="S25" t="s">
        <v>139</v>
      </c>
      <c r="T25">
        <f>O109</f>
        <v>2100</v>
      </c>
      <c r="AE25" t="s">
        <v>10</v>
      </c>
    </row>
    <row r="26" spans="7:42">
      <c r="J26" t="s">
        <v>145</v>
      </c>
      <c r="K26">
        <f>O93</f>
        <v>1600</v>
      </c>
      <c r="M26" t="s">
        <v>145</v>
      </c>
      <c r="N26">
        <f>O98</f>
        <v>140</v>
      </c>
      <c r="P26" t="s">
        <v>145</v>
      </c>
      <c r="Q26">
        <f>O104</f>
        <v>160</v>
      </c>
      <c r="R26" s="24"/>
      <c r="S26" t="s">
        <v>145</v>
      </c>
      <c r="T26">
        <f>O110</f>
        <v>2100</v>
      </c>
    </row>
    <row r="27" spans="7:42">
      <c r="J27" t="s">
        <v>147</v>
      </c>
      <c r="K27">
        <f>O94</f>
        <v>13</v>
      </c>
      <c r="M27" t="s">
        <v>147</v>
      </c>
      <c r="N27">
        <f>O100</f>
        <v>20</v>
      </c>
      <c r="P27" t="s">
        <v>147</v>
      </c>
      <c r="Q27">
        <f>O106</f>
        <v>35</v>
      </c>
      <c r="S27" t="s">
        <v>10</v>
      </c>
    </row>
    <row r="29" spans="7:42">
      <c r="H29" s="27" t="s">
        <v>133</v>
      </c>
      <c r="I29" s="18"/>
      <c r="J29" s="18" t="s">
        <v>10</v>
      </c>
      <c r="K29" s="18" t="s">
        <v>36</v>
      </c>
      <c r="L29" s="18"/>
      <c r="M29" s="18">
        <f>VLOOKUP(K30, I129:R139, 9, FALSE)</f>
        <v>200</v>
      </c>
      <c r="N29" s="18" t="s">
        <v>10</v>
      </c>
      <c r="O29" s="18" t="s">
        <v>37</v>
      </c>
      <c r="P29" s="18" t="s">
        <v>10</v>
      </c>
      <c r="Q29" s="18"/>
      <c r="R29" s="18" t="s">
        <v>10</v>
      </c>
      <c r="S29" s="18" t="s">
        <v>138</v>
      </c>
      <c r="T29" s="18" t="s">
        <v>10</v>
      </c>
      <c r="U29" s="18"/>
      <c r="V29" s="18"/>
      <c r="W29" s="18"/>
    </row>
    <row r="30" spans="7:42">
      <c r="J30" t="s">
        <v>143</v>
      </c>
      <c r="K30" t="s">
        <v>242</v>
      </c>
      <c r="L30">
        <f>K140</f>
        <v>270</v>
      </c>
      <c r="M30">
        <f>VLOOKUP(K30, I129:R139, 9, FALSE)</f>
        <v>200</v>
      </c>
      <c r="N30" t="s">
        <v>143</v>
      </c>
      <c r="O30" t="s">
        <v>242</v>
      </c>
      <c r="P30">
        <f>M140</f>
        <v>270</v>
      </c>
      <c r="Q30">
        <f>VLOOKUP(O30, I129:R139, 9, FALSE)</f>
        <v>200</v>
      </c>
      <c r="R30" t="s">
        <v>143</v>
      </c>
      <c r="S30" t="s">
        <v>234</v>
      </c>
      <c r="T30">
        <f>O140</f>
        <v>0</v>
      </c>
      <c r="U30">
        <f>VLOOKUP(S30, I129:R139, 9, FALSE)</f>
        <v>1</v>
      </c>
    </row>
    <row r="31" spans="7:42">
      <c r="J31" t="s">
        <v>233</v>
      </c>
      <c r="K31" t="s">
        <v>242</v>
      </c>
      <c r="L31">
        <f>L140</f>
        <v>270</v>
      </c>
      <c r="M31">
        <f>VLOOKUP(K31, I129:R139, 9, FALSE)</f>
        <v>200</v>
      </c>
      <c r="N31" t="s">
        <v>233</v>
      </c>
      <c r="O31" t="s">
        <v>242</v>
      </c>
      <c r="P31">
        <f>N140</f>
        <v>270</v>
      </c>
      <c r="Q31">
        <f>VLOOKUP(O31, I129:R139, 9, FALSE)</f>
        <v>200</v>
      </c>
      <c r="R31" t="s">
        <v>233</v>
      </c>
      <c r="S31" t="s">
        <v>234</v>
      </c>
      <c r="T31">
        <f>P140</f>
        <v>0</v>
      </c>
      <c r="U31">
        <f>VLOOKUP(S31, I129:R139, 9, FALSE)</f>
        <v>1</v>
      </c>
    </row>
    <row r="32" spans="7:42">
      <c r="K32" t="s">
        <v>253</v>
      </c>
      <c r="L32">
        <f>L30*M30</f>
        <v>54000</v>
      </c>
      <c r="O32" t="s">
        <v>253</v>
      </c>
      <c r="P32">
        <f>P30*Q30</f>
        <v>54000</v>
      </c>
      <c r="S32" t="s">
        <v>253</v>
      </c>
      <c r="T32">
        <f>T30*U30</f>
        <v>0</v>
      </c>
    </row>
    <row r="34" spans="7:31">
      <c r="K34">
        <f>VLOOKUP(K30, I129:R139, 10, FALSE)</f>
        <v>7</v>
      </c>
      <c r="N34">
        <f>VLOOKUP(O30, I129:R139, 10, FALSE)</f>
        <v>7</v>
      </c>
      <c r="Q34">
        <f>VLOOKUP(S30, I129:R139, 10, FALSE)</f>
        <v>0</v>
      </c>
    </row>
    <row r="35" spans="7:31">
      <c r="K35">
        <f>VLOOKUP(K31, I129:R139, 10, FALSE)</f>
        <v>7</v>
      </c>
      <c r="N35">
        <f>VLOOKUP(O31, I129:R139, 10, FALSE)</f>
        <v>7</v>
      </c>
      <c r="Q35">
        <f>VLOOKUP(S31, I129:R139, 10, FALSE)</f>
        <v>0</v>
      </c>
    </row>
    <row r="36" spans="7:31">
      <c r="H36" s="27" t="s">
        <v>54</v>
      </c>
      <c r="I36" s="18"/>
      <c r="J36" s="18" t="s">
        <v>154</v>
      </c>
      <c r="K36" s="18" t="s">
        <v>139</v>
      </c>
      <c r="L36" s="18" t="s">
        <v>146</v>
      </c>
      <c r="M36" s="18" t="s">
        <v>294</v>
      </c>
      <c r="N36" s="18" t="s">
        <v>295</v>
      </c>
      <c r="O36" s="18" t="s">
        <v>296</v>
      </c>
      <c r="P36" s="18" t="s">
        <v>297</v>
      </c>
      <c r="Q36" s="18"/>
      <c r="R36" s="18"/>
      <c r="S36" s="18"/>
      <c r="T36" s="18"/>
      <c r="U36" s="18"/>
      <c r="V36" s="18"/>
      <c r="W36" s="18"/>
      <c r="Z36" t="s">
        <v>288</v>
      </c>
    </row>
    <row r="37" spans="7:31">
      <c r="J37" t="s">
        <v>290</v>
      </c>
      <c r="K37">
        <f>HLOOKUP(J37, K150:M159, 2, FALSE)</f>
        <v>1000</v>
      </c>
      <c r="L37">
        <f>HLOOKUP(J37, K150:M159, 3, FALSE)</f>
        <v>1000</v>
      </c>
      <c r="M37">
        <f>HLOOKUP(J37, K150:M159, 5, FALSE)</f>
        <v>660</v>
      </c>
      <c r="N37">
        <f>HLOOKUP(J37, K150:M159, 6, FALSE)</f>
        <v>360</v>
      </c>
      <c r="O37">
        <f>HLOOKUP(J37, K150:M159, 7, FALSE)</f>
        <v>660</v>
      </c>
      <c r="P37">
        <f>HLOOKUP(J37, K150:M159, 8, FALSE)</f>
        <v>360</v>
      </c>
      <c r="Z37" t="s">
        <v>292</v>
      </c>
    </row>
    <row r="40" spans="7:31">
      <c r="I40">
        <v>135</v>
      </c>
      <c r="J40" t="s">
        <v>247</v>
      </c>
      <c r="K40" t="s">
        <v>248</v>
      </c>
      <c r="L40" t="s">
        <v>249</v>
      </c>
      <c r="M40" t="s">
        <v>250</v>
      </c>
      <c r="N40" t="s">
        <v>251</v>
      </c>
      <c r="O40" t="s">
        <v>252</v>
      </c>
    </row>
    <row r="41" spans="7:31">
      <c r="G41" s="15" t="s">
        <v>152</v>
      </c>
      <c r="H41" s="15" t="s">
        <v>91</v>
      </c>
      <c r="J41" t="s">
        <v>154</v>
      </c>
      <c r="K41" t="s">
        <v>164</v>
      </c>
      <c r="L41" s="20" t="s">
        <v>108</v>
      </c>
      <c r="M41" s="20">
        <f>N46*N50</f>
        <v>71236800</v>
      </c>
      <c r="Q41">
        <v>1</v>
      </c>
      <c r="R41">
        <v>2</v>
      </c>
      <c r="S41">
        <v>3</v>
      </c>
      <c r="T41">
        <v>4</v>
      </c>
      <c r="U41">
        <v>5</v>
      </c>
      <c r="V41">
        <v>6</v>
      </c>
      <c r="W41">
        <v>7</v>
      </c>
      <c r="X41">
        <v>8</v>
      </c>
      <c r="Y41">
        <v>9</v>
      </c>
    </row>
    <row r="42" spans="7:31">
      <c r="H42">
        <v>1</v>
      </c>
      <c r="I42" t="s">
        <v>92</v>
      </c>
      <c r="J42" t="s">
        <v>136</v>
      </c>
      <c r="K42">
        <f>VLOOKUP(J42, 능력치!P$42:Y$47, 2, FALSE)</f>
        <v>150</v>
      </c>
      <c r="L42">
        <v>6</v>
      </c>
      <c r="M42">
        <f>L42*K42</f>
        <v>900</v>
      </c>
      <c r="P42" t="s">
        <v>135</v>
      </c>
      <c r="Q42" s="21">
        <v>8</v>
      </c>
      <c r="R42" s="21">
        <v>20</v>
      </c>
      <c r="S42" s="21">
        <v>30</v>
      </c>
      <c r="T42" s="21">
        <v>40</v>
      </c>
      <c r="U42" s="21">
        <v>60</v>
      </c>
      <c r="V42" s="21">
        <v>10</v>
      </c>
      <c r="W42" s="21">
        <v>14</v>
      </c>
      <c r="X42" s="21">
        <v>20</v>
      </c>
      <c r="Y42" s="21">
        <v>30</v>
      </c>
    </row>
    <row r="43" spans="7:31">
      <c r="H43">
        <v>2</v>
      </c>
      <c r="I43" t="s">
        <v>93</v>
      </c>
      <c r="J43" t="s">
        <v>135</v>
      </c>
      <c r="K43">
        <f>VLOOKUP(J43, 능력치!P$42:Y$47, H43+1, FALSE)</f>
        <v>20</v>
      </c>
      <c r="L43">
        <v>6</v>
      </c>
      <c r="M43">
        <f t="shared" ref="M43:M50" si="2">L43*K43</f>
        <v>120</v>
      </c>
      <c r="P43" t="s">
        <v>107</v>
      </c>
      <c r="Q43" s="21">
        <v>16</v>
      </c>
      <c r="R43" s="21">
        <v>30</v>
      </c>
      <c r="S43" s="21">
        <v>40</v>
      </c>
      <c r="T43" s="21">
        <v>60</v>
      </c>
      <c r="U43" s="21">
        <v>100</v>
      </c>
      <c r="V43" s="21">
        <v>14</v>
      </c>
      <c r="W43" s="21">
        <v>20</v>
      </c>
      <c r="X43" s="21">
        <v>30</v>
      </c>
      <c r="Y43" s="21">
        <v>40</v>
      </c>
    </row>
    <row r="44" spans="7:31">
      <c r="H44">
        <v>3</v>
      </c>
      <c r="I44" t="s">
        <v>94</v>
      </c>
      <c r="J44" t="s">
        <v>136</v>
      </c>
      <c r="K44">
        <f>VLOOKUP(J44, 능력치!P$42:Y$47, H44+1, FALSE)</f>
        <v>370</v>
      </c>
      <c r="L44">
        <v>6</v>
      </c>
      <c r="M44">
        <f t="shared" si="2"/>
        <v>2220</v>
      </c>
      <c r="P44" t="s">
        <v>106</v>
      </c>
      <c r="Q44" s="21">
        <v>24</v>
      </c>
      <c r="R44" s="21">
        <v>40</v>
      </c>
      <c r="S44" s="21">
        <v>60</v>
      </c>
      <c r="T44" s="21">
        <v>80</v>
      </c>
      <c r="U44" s="21">
        <v>140</v>
      </c>
      <c r="V44" s="21">
        <v>20</v>
      </c>
      <c r="W44" s="21">
        <v>30</v>
      </c>
      <c r="X44" s="21">
        <v>40</v>
      </c>
      <c r="Y44" s="21">
        <v>50</v>
      </c>
    </row>
    <row r="45" spans="7:31">
      <c r="H45">
        <v>4</v>
      </c>
      <c r="I45" t="s">
        <v>95</v>
      </c>
      <c r="J45" t="s">
        <v>136</v>
      </c>
      <c r="K45">
        <f>VLOOKUP(J45, 능력치!P$42:Y$47, H45+1, FALSE)</f>
        <v>570</v>
      </c>
      <c r="L45">
        <v>6</v>
      </c>
      <c r="M45">
        <f t="shared" si="2"/>
        <v>3420</v>
      </c>
      <c r="P45" t="s">
        <v>105</v>
      </c>
      <c r="Q45" s="21">
        <v>40</v>
      </c>
      <c r="R45" s="21">
        <v>70</v>
      </c>
      <c r="S45" s="21">
        <v>100</v>
      </c>
      <c r="T45" s="21">
        <v>160</v>
      </c>
      <c r="U45" s="21">
        <v>220</v>
      </c>
      <c r="V45" s="21">
        <v>30</v>
      </c>
      <c r="W45" s="21">
        <v>40</v>
      </c>
      <c r="X45" s="21">
        <v>50</v>
      </c>
      <c r="Y45" s="21">
        <v>70</v>
      </c>
    </row>
    <row r="46" spans="7:31">
      <c r="H46">
        <v>5</v>
      </c>
      <c r="I46" t="s">
        <v>96</v>
      </c>
      <c r="J46" t="s">
        <v>136</v>
      </c>
      <c r="K46">
        <f>VLOOKUP(J46, 능력치!P$42:Y$47, H46+1, FALSE)</f>
        <v>930</v>
      </c>
      <c r="L46">
        <v>6</v>
      </c>
      <c r="M46">
        <f t="shared" si="2"/>
        <v>5580</v>
      </c>
      <c r="N46" s="19">
        <f>M42+M43+M44+M45+M46</f>
        <v>12240</v>
      </c>
      <c r="P46" t="s">
        <v>104</v>
      </c>
      <c r="Q46" s="21">
        <v>70</v>
      </c>
      <c r="R46" s="21">
        <v>120</v>
      </c>
      <c r="S46" s="21">
        <v>180</v>
      </c>
      <c r="T46" s="21">
        <v>280</v>
      </c>
      <c r="U46" s="21">
        <v>460</v>
      </c>
      <c r="V46" s="21">
        <v>60</v>
      </c>
      <c r="W46" s="21">
        <v>90</v>
      </c>
      <c r="X46" s="21">
        <v>120</v>
      </c>
      <c r="Y46" s="21">
        <v>150</v>
      </c>
    </row>
    <row r="47" spans="7:31">
      <c r="H47">
        <v>6</v>
      </c>
      <c r="I47" t="s">
        <v>97</v>
      </c>
      <c r="J47" t="s">
        <v>136</v>
      </c>
      <c r="K47">
        <f>VLOOKUP(J47, 능력치!P$42:Y$47, H47+1, FALSE)</f>
        <v>130</v>
      </c>
      <c r="L47" s="18">
        <v>6</v>
      </c>
      <c r="M47">
        <f t="shared" si="2"/>
        <v>780</v>
      </c>
      <c r="P47" t="s">
        <v>103</v>
      </c>
      <c r="Q47" s="21">
        <v>150</v>
      </c>
      <c r="R47" s="21">
        <v>250</v>
      </c>
      <c r="S47" s="21">
        <v>370</v>
      </c>
      <c r="T47" s="21">
        <v>570</v>
      </c>
      <c r="U47" s="21">
        <v>930</v>
      </c>
      <c r="V47" s="21">
        <v>130</v>
      </c>
      <c r="W47" s="21">
        <v>190</v>
      </c>
      <c r="X47" s="21">
        <v>250</v>
      </c>
      <c r="Y47" s="21">
        <v>400</v>
      </c>
      <c r="AA47">
        <v>5</v>
      </c>
      <c r="AB47">
        <v>6</v>
      </c>
      <c r="AC47">
        <v>7</v>
      </c>
      <c r="AD47">
        <v>8</v>
      </c>
      <c r="AE47">
        <v>9</v>
      </c>
    </row>
    <row r="48" spans="7:31">
      <c r="H48">
        <v>7</v>
      </c>
      <c r="I48" t="s">
        <v>98</v>
      </c>
      <c r="J48" t="s">
        <v>136</v>
      </c>
      <c r="K48">
        <f>VLOOKUP(J48, 능력치!P$42:Y$47, H48+1, FALSE)</f>
        <v>190</v>
      </c>
      <c r="L48" s="18">
        <v>6</v>
      </c>
      <c r="M48">
        <f t="shared" si="2"/>
        <v>1140</v>
      </c>
      <c r="Q48" s="21"/>
      <c r="R48" s="21"/>
      <c r="S48" s="21"/>
      <c r="T48" s="21"/>
      <c r="U48" s="21"/>
      <c r="V48" s="21"/>
      <c r="AA48" s="21">
        <v>60</v>
      </c>
      <c r="AB48" s="21">
        <v>10</v>
      </c>
      <c r="AC48" s="21">
        <v>14</v>
      </c>
      <c r="AD48" s="21">
        <v>20</v>
      </c>
      <c r="AE48" s="21">
        <v>30</v>
      </c>
    </row>
    <row r="49" spans="7:31">
      <c r="H49">
        <v>8</v>
      </c>
      <c r="I49" t="s">
        <v>99</v>
      </c>
      <c r="J49" t="s">
        <v>136</v>
      </c>
      <c r="K49">
        <f>VLOOKUP(J49, 능력치!P$42:Y$47, H49+1, FALSE)</f>
        <v>250</v>
      </c>
      <c r="L49" s="18">
        <v>6</v>
      </c>
      <c r="M49">
        <f t="shared" si="2"/>
        <v>1500</v>
      </c>
      <c r="Q49" s="21"/>
      <c r="R49" s="21"/>
      <c r="S49" s="21"/>
      <c r="T49" s="21"/>
      <c r="U49" s="21"/>
      <c r="V49" s="21"/>
      <c r="AA49" s="21">
        <v>100</v>
      </c>
      <c r="AB49" s="21">
        <v>14</v>
      </c>
      <c r="AC49" s="21">
        <v>20</v>
      </c>
      <c r="AD49" s="21">
        <v>30</v>
      </c>
      <c r="AE49" s="21">
        <v>40</v>
      </c>
    </row>
    <row r="50" spans="7:31">
      <c r="H50">
        <v>9</v>
      </c>
      <c r="I50" t="s">
        <v>100</v>
      </c>
      <c r="J50" t="s">
        <v>136</v>
      </c>
      <c r="K50">
        <f>VLOOKUP(J50, 능력치!P$42:Y$47, H50+1, FALSE)</f>
        <v>400</v>
      </c>
      <c r="L50" s="18">
        <v>6</v>
      </c>
      <c r="M50">
        <f t="shared" si="2"/>
        <v>2400</v>
      </c>
      <c r="N50" s="19">
        <f>M47+M48+M49+M50</f>
        <v>5820</v>
      </c>
      <c r="Q50" s="19">
        <v>2</v>
      </c>
      <c r="R50" s="19">
        <v>5820</v>
      </c>
      <c r="S50" s="21">
        <f>R50+Q50</f>
        <v>5822</v>
      </c>
      <c r="T50" s="21"/>
      <c r="U50" s="21"/>
      <c r="V50" s="21"/>
      <c r="AA50" s="21">
        <v>140</v>
      </c>
      <c r="AB50" s="21">
        <v>20</v>
      </c>
      <c r="AC50" s="21">
        <v>30</v>
      </c>
      <c r="AD50" s="21">
        <v>40</v>
      </c>
      <c r="AE50" s="21">
        <v>50</v>
      </c>
    </row>
    <row r="51" spans="7:31">
      <c r="L51" t="s">
        <v>10</v>
      </c>
      <c r="O51" s="15" t="s">
        <v>152</v>
      </c>
      <c r="AA51" s="21">
        <v>220</v>
      </c>
      <c r="AB51" s="21">
        <v>30</v>
      </c>
      <c r="AC51" s="21">
        <v>40</v>
      </c>
      <c r="AD51" s="21">
        <v>50</v>
      </c>
      <c r="AE51" s="21">
        <v>70</v>
      </c>
    </row>
    <row r="52" spans="7:31">
      <c r="O52" s="15" t="s">
        <v>152</v>
      </c>
      <c r="AA52" s="21">
        <v>460</v>
      </c>
      <c r="AB52" s="21">
        <v>60</v>
      </c>
      <c r="AC52" s="21">
        <v>90</v>
      </c>
      <c r="AD52" s="21">
        <v>120</v>
      </c>
      <c r="AE52" s="21">
        <v>150</v>
      </c>
    </row>
    <row r="53" spans="7:31">
      <c r="AA53" s="21">
        <v>930</v>
      </c>
      <c r="AB53" s="21">
        <v>130</v>
      </c>
      <c r="AC53" s="21">
        <v>190</v>
      </c>
      <c r="AD53" s="21">
        <v>250</v>
      </c>
      <c r="AE53" s="21">
        <v>400</v>
      </c>
    </row>
    <row r="54" spans="7:31">
      <c r="P54" t="s">
        <v>10</v>
      </c>
      <c r="Q54" t="s">
        <v>10</v>
      </c>
    </row>
    <row r="55" spans="7:31">
      <c r="O55" t="s">
        <v>10</v>
      </c>
      <c r="Q55" t="s">
        <v>10</v>
      </c>
    </row>
    <row r="56" spans="7:31">
      <c r="W56">
        <v>1</v>
      </c>
      <c r="X56">
        <v>2</v>
      </c>
      <c r="Y56">
        <v>3</v>
      </c>
      <c r="Z56">
        <v>4</v>
      </c>
    </row>
    <row r="57" spans="7:31">
      <c r="V57" t="s">
        <v>135</v>
      </c>
      <c r="W57" s="21">
        <v>8</v>
      </c>
      <c r="X57" s="21">
        <v>20</v>
      </c>
      <c r="Y57" s="21">
        <v>30</v>
      </c>
      <c r="Z57" s="21">
        <v>40</v>
      </c>
    </row>
    <row r="58" spans="7:31">
      <c r="G58" s="15" t="s">
        <v>152</v>
      </c>
      <c r="H58" t="s">
        <v>101</v>
      </c>
      <c r="L58" s="20" t="s">
        <v>112</v>
      </c>
      <c r="M58" s="20" t="s">
        <v>113</v>
      </c>
      <c r="N58" s="3" t="s">
        <v>109</v>
      </c>
      <c r="O58" s="3" t="s">
        <v>110</v>
      </c>
      <c r="P58" s="3" t="s">
        <v>111</v>
      </c>
      <c r="Q58" t="s">
        <v>114</v>
      </c>
      <c r="R58" s="3" t="s">
        <v>115</v>
      </c>
      <c r="S58" s="3" t="s">
        <v>116</v>
      </c>
      <c r="T58" s="3" t="s">
        <v>117</v>
      </c>
      <c r="V58" t="s">
        <v>107</v>
      </c>
      <c r="W58" s="21">
        <v>16</v>
      </c>
      <c r="X58" s="21">
        <v>30</v>
      </c>
      <c r="Y58" s="21">
        <v>40</v>
      </c>
      <c r="Z58" s="21">
        <v>60</v>
      </c>
    </row>
    <row r="59" spans="7:31">
      <c r="J59" s="22" t="s">
        <v>201</v>
      </c>
      <c r="K59">
        <v>1</v>
      </c>
      <c r="L59" s="20">
        <v>100</v>
      </c>
      <c r="M59" s="20">
        <v>1</v>
      </c>
      <c r="N59" s="3">
        <v>10</v>
      </c>
      <c r="O59" s="3">
        <v>10</v>
      </c>
      <c r="P59" s="3">
        <v>1</v>
      </c>
      <c r="Q59">
        <f>MAX(0, INT($K$21*(1-INT(K59/($J$22)))))</f>
        <v>200</v>
      </c>
      <c r="R59">
        <f>L59+M59*Q59</f>
        <v>300</v>
      </c>
      <c r="S59">
        <f t="shared" ref="S59:S83" si="3">IF(Q59=0, 0, N59 + (P59 * Q59))</f>
        <v>210</v>
      </c>
      <c r="T59">
        <f t="shared" ref="T59:T83" si="4">IF(Q59=0, 0, O59 + (P59 * Q59))</f>
        <v>210</v>
      </c>
      <c r="V59" t="s">
        <v>106</v>
      </c>
      <c r="W59" s="21">
        <v>24</v>
      </c>
      <c r="X59" s="21">
        <v>40</v>
      </c>
      <c r="Y59" s="21">
        <v>60</v>
      </c>
      <c r="Z59" s="21">
        <v>80</v>
      </c>
    </row>
    <row r="60" spans="7:31">
      <c r="J60" s="22" t="s">
        <v>204</v>
      </c>
      <c r="K60">
        <v>2</v>
      </c>
      <c r="L60" s="20">
        <v>110</v>
      </c>
      <c r="M60" s="20">
        <v>2</v>
      </c>
      <c r="N60" s="3">
        <v>10</v>
      </c>
      <c r="O60" s="3">
        <v>10</v>
      </c>
      <c r="P60" s="3">
        <v>1</v>
      </c>
      <c r="Q60">
        <f t="shared" ref="Q60:Q83" si="5">MAX(0, INT($K$21*(1-INT(K60/($J$22)))))</f>
        <v>200</v>
      </c>
      <c r="R60">
        <f t="shared" ref="R60:R83" si="6">L60+M60*Q60</f>
        <v>510</v>
      </c>
      <c r="S60">
        <f t="shared" si="3"/>
        <v>210</v>
      </c>
      <c r="T60">
        <f t="shared" si="4"/>
        <v>210</v>
      </c>
      <c r="V60" t="s">
        <v>105</v>
      </c>
      <c r="W60" s="21">
        <v>40</v>
      </c>
      <c r="X60" s="21">
        <v>70</v>
      </c>
      <c r="Y60" s="21">
        <v>100</v>
      </c>
      <c r="Z60" s="21">
        <v>160</v>
      </c>
    </row>
    <row r="61" spans="7:31">
      <c r="J61" s="22" t="s">
        <v>202</v>
      </c>
      <c r="K61">
        <v>3</v>
      </c>
      <c r="L61" s="20">
        <v>120</v>
      </c>
      <c r="M61" s="20">
        <v>3</v>
      </c>
      <c r="N61" s="3">
        <v>15</v>
      </c>
      <c r="O61" s="3">
        <v>15</v>
      </c>
      <c r="P61" s="3">
        <v>2</v>
      </c>
      <c r="Q61">
        <f t="shared" si="5"/>
        <v>200</v>
      </c>
      <c r="R61">
        <f t="shared" si="6"/>
        <v>720</v>
      </c>
      <c r="S61">
        <f t="shared" si="3"/>
        <v>415</v>
      </c>
      <c r="T61">
        <f t="shared" si="4"/>
        <v>415</v>
      </c>
      <c r="V61" t="s">
        <v>104</v>
      </c>
      <c r="W61" s="21">
        <v>70</v>
      </c>
      <c r="X61" s="21">
        <v>120</v>
      </c>
      <c r="Y61" s="21">
        <v>180</v>
      </c>
      <c r="Z61" s="21">
        <v>280</v>
      </c>
    </row>
    <row r="62" spans="7:31">
      <c r="J62" s="22" t="s">
        <v>203</v>
      </c>
      <c r="K62">
        <v>4</v>
      </c>
      <c r="L62" s="20">
        <v>130</v>
      </c>
      <c r="M62" s="20">
        <v>4</v>
      </c>
      <c r="N62" s="3">
        <v>20</v>
      </c>
      <c r="O62" s="3">
        <v>20</v>
      </c>
      <c r="P62" s="3">
        <v>2</v>
      </c>
      <c r="Q62">
        <f t="shared" si="5"/>
        <v>200</v>
      </c>
      <c r="R62">
        <f t="shared" si="6"/>
        <v>930</v>
      </c>
      <c r="S62">
        <f t="shared" si="3"/>
        <v>420</v>
      </c>
      <c r="T62">
        <f t="shared" si="4"/>
        <v>420</v>
      </c>
      <c r="V62" t="s">
        <v>103</v>
      </c>
      <c r="W62" s="21">
        <v>150</v>
      </c>
      <c r="X62" s="21">
        <v>250</v>
      </c>
      <c r="Y62" s="21">
        <v>370</v>
      </c>
      <c r="Z62" s="21">
        <v>570</v>
      </c>
    </row>
    <row r="63" spans="7:31">
      <c r="J63" s="22" t="s">
        <v>205</v>
      </c>
      <c r="K63">
        <v>5</v>
      </c>
      <c r="L63" s="20">
        <v>150</v>
      </c>
      <c r="M63" s="20">
        <v>5</v>
      </c>
      <c r="N63" s="3">
        <v>25</v>
      </c>
      <c r="O63" s="3">
        <v>25</v>
      </c>
      <c r="P63" s="3">
        <v>3</v>
      </c>
      <c r="Q63">
        <f t="shared" si="5"/>
        <v>200</v>
      </c>
      <c r="R63">
        <f t="shared" si="6"/>
        <v>1150</v>
      </c>
      <c r="S63">
        <f t="shared" si="3"/>
        <v>625</v>
      </c>
      <c r="T63">
        <f t="shared" si="4"/>
        <v>625</v>
      </c>
    </row>
    <row r="64" spans="7:31">
      <c r="J64" s="22" t="s">
        <v>206</v>
      </c>
      <c r="K64">
        <v>6</v>
      </c>
      <c r="L64" s="20">
        <v>170</v>
      </c>
      <c r="M64" s="20">
        <v>6</v>
      </c>
      <c r="N64" s="3">
        <v>30</v>
      </c>
      <c r="O64" s="3">
        <v>30</v>
      </c>
      <c r="P64" s="3">
        <v>3</v>
      </c>
      <c r="Q64">
        <f t="shared" si="5"/>
        <v>200</v>
      </c>
      <c r="R64">
        <f t="shared" si="6"/>
        <v>1370</v>
      </c>
      <c r="S64">
        <f t="shared" si="3"/>
        <v>630</v>
      </c>
      <c r="T64">
        <f t="shared" si="4"/>
        <v>630</v>
      </c>
    </row>
    <row r="65" spans="10:20">
      <c r="J65" s="22" t="s">
        <v>207</v>
      </c>
      <c r="K65">
        <v>7</v>
      </c>
      <c r="L65" s="20">
        <v>190</v>
      </c>
      <c r="M65" s="20">
        <v>7</v>
      </c>
      <c r="N65" s="3">
        <v>35</v>
      </c>
      <c r="O65" s="3">
        <v>35</v>
      </c>
      <c r="P65" s="3">
        <v>4</v>
      </c>
      <c r="Q65">
        <f t="shared" si="5"/>
        <v>200</v>
      </c>
      <c r="R65">
        <f t="shared" si="6"/>
        <v>1590</v>
      </c>
      <c r="S65">
        <f t="shared" si="3"/>
        <v>835</v>
      </c>
      <c r="T65">
        <f t="shared" si="4"/>
        <v>835</v>
      </c>
    </row>
    <row r="66" spans="10:20">
      <c r="J66" s="22" t="s">
        <v>208</v>
      </c>
      <c r="K66">
        <v>8</v>
      </c>
      <c r="L66" s="20">
        <v>210</v>
      </c>
      <c r="M66" s="20">
        <v>9</v>
      </c>
      <c r="N66" s="3">
        <v>40</v>
      </c>
      <c r="O66" s="3">
        <v>40</v>
      </c>
      <c r="P66" s="3">
        <v>4</v>
      </c>
      <c r="Q66">
        <f t="shared" si="5"/>
        <v>200</v>
      </c>
      <c r="R66">
        <f t="shared" si="6"/>
        <v>2010</v>
      </c>
      <c r="S66">
        <f t="shared" si="3"/>
        <v>840</v>
      </c>
      <c r="T66">
        <f t="shared" si="4"/>
        <v>840</v>
      </c>
    </row>
    <row r="67" spans="10:20">
      <c r="J67" s="22" t="s">
        <v>209</v>
      </c>
      <c r="K67">
        <v>9</v>
      </c>
      <c r="L67" s="20">
        <v>250</v>
      </c>
      <c r="M67" s="20">
        <v>10</v>
      </c>
      <c r="N67" s="3">
        <v>50</v>
      </c>
      <c r="O67" s="3">
        <v>50</v>
      </c>
      <c r="P67" s="3">
        <v>5</v>
      </c>
      <c r="Q67">
        <f t="shared" si="5"/>
        <v>200</v>
      </c>
      <c r="R67">
        <f t="shared" si="6"/>
        <v>2250</v>
      </c>
      <c r="S67">
        <f t="shared" si="3"/>
        <v>1050</v>
      </c>
      <c r="T67">
        <f t="shared" si="4"/>
        <v>1050</v>
      </c>
    </row>
    <row r="68" spans="10:20">
      <c r="J68" s="22" t="s">
        <v>210</v>
      </c>
      <c r="K68">
        <v>10</v>
      </c>
      <c r="L68" s="20">
        <v>280</v>
      </c>
      <c r="M68" s="20">
        <v>11</v>
      </c>
      <c r="N68" s="3">
        <v>60</v>
      </c>
      <c r="O68" s="3">
        <v>60</v>
      </c>
      <c r="P68" s="3">
        <v>5</v>
      </c>
      <c r="Q68">
        <f t="shared" si="5"/>
        <v>200</v>
      </c>
      <c r="R68">
        <f t="shared" si="6"/>
        <v>2480</v>
      </c>
      <c r="S68">
        <f t="shared" si="3"/>
        <v>1060</v>
      </c>
      <c r="T68">
        <f t="shared" si="4"/>
        <v>1060</v>
      </c>
    </row>
    <row r="69" spans="10:20">
      <c r="J69" s="22" t="s">
        <v>211</v>
      </c>
      <c r="K69">
        <v>11</v>
      </c>
      <c r="L69" s="20">
        <v>310</v>
      </c>
      <c r="M69" s="20">
        <v>13</v>
      </c>
      <c r="N69" s="3">
        <v>70</v>
      </c>
      <c r="O69" s="3">
        <v>70</v>
      </c>
      <c r="P69" s="3">
        <v>6</v>
      </c>
      <c r="Q69">
        <f t="shared" si="5"/>
        <v>200</v>
      </c>
      <c r="R69">
        <f t="shared" si="6"/>
        <v>2910</v>
      </c>
      <c r="S69">
        <f t="shared" si="3"/>
        <v>1270</v>
      </c>
      <c r="T69">
        <f t="shared" si="4"/>
        <v>1270</v>
      </c>
    </row>
    <row r="70" spans="10:20">
      <c r="J70" s="22" t="s">
        <v>212</v>
      </c>
      <c r="K70">
        <v>12</v>
      </c>
      <c r="L70" s="20">
        <v>340</v>
      </c>
      <c r="M70" s="20">
        <v>15</v>
      </c>
      <c r="N70" s="3">
        <v>80</v>
      </c>
      <c r="O70" s="3">
        <v>80</v>
      </c>
      <c r="P70" s="3">
        <v>6</v>
      </c>
      <c r="Q70">
        <f t="shared" si="5"/>
        <v>200</v>
      </c>
      <c r="R70">
        <f t="shared" si="6"/>
        <v>3340</v>
      </c>
      <c r="S70">
        <f t="shared" si="3"/>
        <v>1280</v>
      </c>
      <c r="T70">
        <f t="shared" si="4"/>
        <v>1280</v>
      </c>
    </row>
    <row r="71" spans="10:20">
      <c r="J71" s="22" t="s">
        <v>213</v>
      </c>
      <c r="K71">
        <v>13</v>
      </c>
      <c r="L71" s="20">
        <v>500</v>
      </c>
      <c r="M71" s="20">
        <v>16</v>
      </c>
      <c r="N71" s="3">
        <v>120</v>
      </c>
      <c r="O71" s="3">
        <v>120</v>
      </c>
      <c r="P71" s="3">
        <v>7</v>
      </c>
      <c r="Q71">
        <f t="shared" si="5"/>
        <v>200</v>
      </c>
      <c r="R71">
        <f t="shared" si="6"/>
        <v>3700</v>
      </c>
      <c r="S71">
        <f t="shared" si="3"/>
        <v>1520</v>
      </c>
      <c r="T71">
        <f t="shared" si="4"/>
        <v>1520</v>
      </c>
    </row>
    <row r="72" spans="10:20">
      <c r="J72" s="22" t="s">
        <v>214</v>
      </c>
      <c r="K72">
        <v>14</v>
      </c>
      <c r="L72" s="20">
        <v>550</v>
      </c>
      <c r="M72" s="20">
        <v>17</v>
      </c>
      <c r="N72" s="3">
        <v>130</v>
      </c>
      <c r="O72" s="3">
        <v>130</v>
      </c>
      <c r="P72" s="3">
        <v>7</v>
      </c>
      <c r="Q72">
        <f t="shared" si="5"/>
        <v>200</v>
      </c>
      <c r="R72">
        <f t="shared" si="6"/>
        <v>3950</v>
      </c>
      <c r="S72">
        <f t="shared" si="3"/>
        <v>1530</v>
      </c>
      <c r="T72">
        <f t="shared" si="4"/>
        <v>1530</v>
      </c>
    </row>
    <row r="73" spans="10:20">
      <c r="J73" s="22" t="s">
        <v>215</v>
      </c>
      <c r="K73">
        <v>15</v>
      </c>
      <c r="L73" s="20">
        <v>600</v>
      </c>
      <c r="M73" s="20">
        <v>18</v>
      </c>
      <c r="N73" s="3">
        <v>150</v>
      </c>
      <c r="O73" s="3">
        <v>150</v>
      </c>
      <c r="P73" s="3">
        <v>8</v>
      </c>
      <c r="Q73">
        <f t="shared" si="5"/>
        <v>200</v>
      </c>
      <c r="R73">
        <f t="shared" si="6"/>
        <v>4200</v>
      </c>
      <c r="S73">
        <f t="shared" si="3"/>
        <v>1750</v>
      </c>
      <c r="T73">
        <f t="shared" si="4"/>
        <v>1750</v>
      </c>
    </row>
    <row r="74" spans="10:20">
      <c r="J74" s="22" t="s">
        <v>216</v>
      </c>
      <c r="K74">
        <v>16</v>
      </c>
      <c r="L74" s="20">
        <v>700</v>
      </c>
      <c r="M74" s="20">
        <v>19</v>
      </c>
      <c r="N74" s="3">
        <v>180</v>
      </c>
      <c r="O74" s="3">
        <v>180</v>
      </c>
      <c r="P74" s="3">
        <v>8</v>
      </c>
      <c r="Q74">
        <f t="shared" si="5"/>
        <v>200</v>
      </c>
      <c r="R74">
        <f t="shared" si="6"/>
        <v>4500</v>
      </c>
      <c r="S74">
        <f t="shared" si="3"/>
        <v>1780</v>
      </c>
      <c r="T74">
        <f t="shared" si="4"/>
        <v>1780</v>
      </c>
    </row>
    <row r="75" spans="10:20">
      <c r="J75" s="22" t="s">
        <v>217</v>
      </c>
      <c r="K75">
        <v>17</v>
      </c>
      <c r="L75" s="20">
        <v>1100</v>
      </c>
      <c r="M75" s="20">
        <v>20</v>
      </c>
      <c r="N75" s="3">
        <v>280</v>
      </c>
      <c r="O75" s="3">
        <v>280</v>
      </c>
      <c r="P75" s="3">
        <v>10</v>
      </c>
      <c r="Q75">
        <f t="shared" si="5"/>
        <v>200</v>
      </c>
      <c r="R75">
        <f t="shared" si="6"/>
        <v>5100</v>
      </c>
      <c r="S75">
        <f t="shared" si="3"/>
        <v>2280</v>
      </c>
      <c r="T75">
        <f t="shared" si="4"/>
        <v>2280</v>
      </c>
    </row>
    <row r="76" spans="10:20">
      <c r="J76" s="22" t="s">
        <v>218</v>
      </c>
      <c r="K76">
        <v>18</v>
      </c>
      <c r="L76" s="20">
        <v>1600</v>
      </c>
      <c r="M76" s="20">
        <v>30</v>
      </c>
      <c r="N76" s="3">
        <v>400</v>
      </c>
      <c r="O76" s="3">
        <v>400</v>
      </c>
      <c r="P76" s="3">
        <v>10</v>
      </c>
      <c r="Q76">
        <f t="shared" si="5"/>
        <v>200</v>
      </c>
      <c r="R76">
        <f t="shared" si="6"/>
        <v>7600</v>
      </c>
      <c r="S76">
        <f t="shared" si="3"/>
        <v>2400</v>
      </c>
      <c r="T76">
        <f t="shared" si="4"/>
        <v>2400</v>
      </c>
    </row>
    <row r="77" spans="10:20">
      <c r="J77" s="22" t="s">
        <v>219</v>
      </c>
      <c r="K77">
        <v>19</v>
      </c>
      <c r="L77" s="20">
        <v>2400</v>
      </c>
      <c r="M77" s="20">
        <v>35</v>
      </c>
      <c r="N77" s="3">
        <v>600</v>
      </c>
      <c r="O77" s="3">
        <v>600</v>
      </c>
      <c r="P77" s="3">
        <v>15</v>
      </c>
      <c r="Q77">
        <f>MAX(0, INT($K$21*(1-INT(K77/($J$22+1)))))</f>
        <v>200</v>
      </c>
      <c r="R77">
        <f t="shared" si="6"/>
        <v>9400</v>
      </c>
      <c r="S77">
        <f t="shared" si="3"/>
        <v>3600</v>
      </c>
      <c r="T77">
        <f t="shared" si="4"/>
        <v>3600</v>
      </c>
    </row>
    <row r="78" spans="10:20">
      <c r="J78" s="22" t="s">
        <v>220</v>
      </c>
      <c r="K78">
        <v>20</v>
      </c>
      <c r="L78" s="20">
        <v>3600</v>
      </c>
      <c r="M78" s="20">
        <v>40</v>
      </c>
      <c r="N78" s="3">
        <v>900</v>
      </c>
      <c r="O78" s="3">
        <v>900</v>
      </c>
      <c r="P78" s="3">
        <v>15</v>
      </c>
      <c r="Q78">
        <f t="shared" si="5"/>
        <v>0</v>
      </c>
      <c r="R78">
        <f t="shared" si="6"/>
        <v>3600</v>
      </c>
      <c r="S78">
        <f t="shared" si="3"/>
        <v>0</v>
      </c>
      <c r="T78">
        <f t="shared" si="4"/>
        <v>0</v>
      </c>
    </row>
    <row r="79" spans="10:20">
      <c r="J79" s="22" t="s">
        <v>221</v>
      </c>
      <c r="K79">
        <v>21</v>
      </c>
      <c r="L79" s="20">
        <v>7200</v>
      </c>
      <c r="M79" s="20">
        <v>72</v>
      </c>
      <c r="N79" s="3">
        <v>1800</v>
      </c>
      <c r="O79" s="3">
        <v>1800</v>
      </c>
      <c r="P79" s="3">
        <v>25</v>
      </c>
      <c r="Q79">
        <f t="shared" si="5"/>
        <v>0</v>
      </c>
      <c r="R79">
        <f t="shared" si="6"/>
        <v>7200</v>
      </c>
      <c r="S79">
        <f t="shared" si="3"/>
        <v>0</v>
      </c>
      <c r="T79">
        <f t="shared" si="4"/>
        <v>0</v>
      </c>
    </row>
    <row r="80" spans="10:20">
      <c r="J80" s="22" t="s">
        <v>222</v>
      </c>
      <c r="K80">
        <v>22</v>
      </c>
      <c r="L80" s="20">
        <v>15000</v>
      </c>
      <c r="M80" s="20">
        <v>150</v>
      </c>
      <c r="N80" s="3">
        <v>3600</v>
      </c>
      <c r="O80" s="3">
        <v>3600</v>
      </c>
      <c r="P80" s="3">
        <v>50</v>
      </c>
      <c r="Q80">
        <f t="shared" si="5"/>
        <v>0</v>
      </c>
      <c r="R80">
        <f t="shared" si="6"/>
        <v>15000</v>
      </c>
      <c r="S80">
        <f t="shared" si="3"/>
        <v>0</v>
      </c>
      <c r="T80">
        <f t="shared" si="4"/>
        <v>0</v>
      </c>
    </row>
    <row r="81" spans="7:27">
      <c r="J81" s="22" t="s">
        <v>223</v>
      </c>
      <c r="K81">
        <v>23</v>
      </c>
      <c r="L81" s="20">
        <v>30000</v>
      </c>
      <c r="M81" s="20">
        <v>300</v>
      </c>
      <c r="N81" s="3">
        <v>7500</v>
      </c>
      <c r="O81" s="3">
        <v>7500</v>
      </c>
      <c r="P81" s="3">
        <v>100</v>
      </c>
      <c r="Q81">
        <f t="shared" si="5"/>
        <v>0</v>
      </c>
      <c r="R81">
        <f t="shared" si="6"/>
        <v>30000</v>
      </c>
      <c r="S81">
        <f t="shared" si="3"/>
        <v>0</v>
      </c>
      <c r="T81">
        <f t="shared" si="4"/>
        <v>0</v>
      </c>
      <c r="V81" s="15" t="s">
        <v>152</v>
      </c>
    </row>
    <row r="82" spans="7:27">
      <c r="J82" s="22" t="s">
        <v>224</v>
      </c>
      <c r="K82">
        <v>24</v>
      </c>
      <c r="L82" s="20">
        <v>60000</v>
      </c>
      <c r="M82" s="20">
        <v>600</v>
      </c>
      <c r="N82" s="3">
        <v>12000</v>
      </c>
      <c r="O82" s="3">
        <v>12000</v>
      </c>
      <c r="P82" s="3">
        <v>200</v>
      </c>
      <c r="Q82">
        <f t="shared" si="5"/>
        <v>0</v>
      </c>
      <c r="R82">
        <f t="shared" si="6"/>
        <v>60000</v>
      </c>
      <c r="S82">
        <f t="shared" si="3"/>
        <v>0</v>
      </c>
      <c r="T82">
        <f t="shared" si="4"/>
        <v>0</v>
      </c>
    </row>
    <row r="83" spans="7:27">
      <c r="J83" s="22" t="s">
        <v>102</v>
      </c>
      <c r="K83">
        <v>25</v>
      </c>
      <c r="L83" s="20">
        <v>150000</v>
      </c>
      <c r="M83" s="20">
        <v>15000</v>
      </c>
      <c r="N83" s="3">
        <v>40000</v>
      </c>
      <c r="O83" s="3">
        <v>40000</v>
      </c>
      <c r="P83" s="3">
        <v>500</v>
      </c>
      <c r="Q83">
        <f t="shared" si="5"/>
        <v>0</v>
      </c>
      <c r="R83">
        <f t="shared" si="6"/>
        <v>150000</v>
      </c>
      <c r="S83">
        <f t="shared" si="3"/>
        <v>0</v>
      </c>
      <c r="T83">
        <f t="shared" si="4"/>
        <v>0</v>
      </c>
    </row>
    <row r="84" spans="7:27">
      <c r="H84" s="15" t="s">
        <v>152</v>
      </c>
      <c r="R84" s="11">
        <f>VLOOKUP(J21, J59:T83, 9, FALSE)</f>
        <v>9400</v>
      </c>
      <c r="S84" s="11">
        <f>SUM(S59:S83)</f>
        <v>23705</v>
      </c>
      <c r="T84" s="11">
        <f>SUM(T59:T83)</f>
        <v>23705</v>
      </c>
    </row>
    <row r="85" spans="7:27">
      <c r="R85" s="3" t="s">
        <v>115</v>
      </c>
      <c r="S85" s="3" t="s">
        <v>116</v>
      </c>
      <c r="T85" s="3" t="s">
        <v>117</v>
      </c>
    </row>
    <row r="88" spans="7:27">
      <c r="J88" t="s">
        <v>142</v>
      </c>
      <c r="K88" t="s">
        <v>143</v>
      </c>
      <c r="L88">
        <v>2</v>
      </c>
      <c r="M88" t="s">
        <v>144</v>
      </c>
    </row>
    <row r="90" spans="7:27">
      <c r="Q90" t="s">
        <v>139</v>
      </c>
      <c r="R90" t="s">
        <v>145</v>
      </c>
      <c r="S90" t="s">
        <v>140</v>
      </c>
      <c r="T90" t="s">
        <v>141</v>
      </c>
    </row>
    <row r="91" spans="7:27">
      <c r="L91" t="s">
        <v>148</v>
      </c>
      <c r="M91" t="s">
        <v>150</v>
      </c>
      <c r="N91" t="s">
        <v>151</v>
      </c>
      <c r="O91" t="s">
        <v>149</v>
      </c>
      <c r="Q91">
        <v>0</v>
      </c>
      <c r="R91">
        <v>1</v>
      </c>
      <c r="S91">
        <v>2</v>
      </c>
      <c r="T91">
        <v>3</v>
      </c>
      <c r="U91">
        <v>4</v>
      </c>
      <c r="V91">
        <v>0</v>
      </c>
      <c r="Y91" t="s">
        <v>517</v>
      </c>
    </row>
    <row r="92" spans="7:27">
      <c r="G92" s="15" t="s">
        <v>152</v>
      </c>
      <c r="H92" t="s">
        <v>87</v>
      </c>
      <c r="I92" t="s">
        <v>137</v>
      </c>
      <c r="J92">
        <v>1</v>
      </c>
      <c r="K92" t="s">
        <v>139</v>
      </c>
      <c r="L92" t="s">
        <v>124</v>
      </c>
      <c r="M92">
        <f>VLOOKUP(L92, 능력치!Q$91:V$106, J92+1, FALSE)</f>
        <v>650</v>
      </c>
      <c r="N92">
        <v>2</v>
      </c>
      <c r="O92" s="2">
        <f>N92*M92</f>
        <v>1300</v>
      </c>
      <c r="Q92" t="s">
        <v>118</v>
      </c>
      <c r="R92">
        <v>20</v>
      </c>
      <c r="S92">
        <v>20</v>
      </c>
      <c r="T92">
        <v>1</v>
      </c>
      <c r="U92">
        <v>5</v>
      </c>
      <c r="V92">
        <v>1</v>
      </c>
      <c r="Y92">
        <v>1</v>
      </c>
      <c r="Z92">
        <v>10</v>
      </c>
      <c r="AA92">
        <v>10</v>
      </c>
    </row>
    <row r="93" spans="7:27">
      <c r="J93">
        <v>2</v>
      </c>
      <c r="K93" t="s">
        <v>145</v>
      </c>
      <c r="L93" t="s">
        <v>125</v>
      </c>
      <c r="M93">
        <f>VLOOKUP(L93, 능력치!Q$92:U$151, J93+1, FALSE)</f>
        <v>800</v>
      </c>
      <c r="N93">
        <v>2</v>
      </c>
      <c r="O93" s="2">
        <f t="shared" ref="O93:O94" si="7">N93*M93</f>
        <v>1600</v>
      </c>
      <c r="Q93" t="s">
        <v>119</v>
      </c>
      <c r="R93">
        <v>50</v>
      </c>
      <c r="S93">
        <v>50</v>
      </c>
      <c r="T93">
        <v>2</v>
      </c>
      <c r="U93">
        <v>10</v>
      </c>
      <c r="V93">
        <v>2</v>
      </c>
      <c r="Y93">
        <v>2</v>
      </c>
      <c r="Z93">
        <v>30</v>
      </c>
      <c r="AA93">
        <f>AA92+Z93</f>
        <v>40</v>
      </c>
    </row>
    <row r="94" spans="7:27">
      <c r="J94">
        <v>3</v>
      </c>
      <c r="K94" t="s">
        <v>140</v>
      </c>
      <c r="L94" t="s">
        <v>126</v>
      </c>
      <c r="M94">
        <f>VLOOKUP(L94, 능력치!Q$92:U$151, J94+1, FALSE)</f>
        <v>13</v>
      </c>
      <c r="N94">
        <v>1</v>
      </c>
      <c r="O94" s="2">
        <f t="shared" si="7"/>
        <v>13</v>
      </c>
      <c r="Q94" t="s">
        <v>120</v>
      </c>
      <c r="R94">
        <v>100</v>
      </c>
      <c r="S94">
        <v>100</v>
      </c>
      <c r="T94">
        <v>3</v>
      </c>
      <c r="U94">
        <v>20</v>
      </c>
      <c r="V94">
        <v>3</v>
      </c>
      <c r="Y94">
        <v>3</v>
      </c>
      <c r="Z94">
        <v>60</v>
      </c>
      <c r="AA94">
        <f t="shared" ref="AA94:AA106" si="8">AA93+Z94</f>
        <v>100</v>
      </c>
    </row>
    <row r="95" spans="7:27">
      <c r="M95" t="s">
        <v>139</v>
      </c>
      <c r="N95" t="s">
        <v>146</v>
      </c>
      <c r="O95" t="s">
        <v>147</v>
      </c>
      <c r="Q95" t="s">
        <v>121</v>
      </c>
      <c r="R95">
        <v>200</v>
      </c>
      <c r="S95">
        <v>200</v>
      </c>
      <c r="T95">
        <v>4</v>
      </c>
      <c r="U95">
        <v>30</v>
      </c>
      <c r="V95">
        <v>4</v>
      </c>
      <c r="Y95">
        <v>4</v>
      </c>
      <c r="Z95">
        <v>120</v>
      </c>
      <c r="AA95">
        <f t="shared" si="8"/>
        <v>220</v>
      </c>
    </row>
    <row r="96" spans="7:27">
      <c r="M96">
        <f>O92</f>
        <v>1300</v>
      </c>
      <c r="N96">
        <f>O93</f>
        <v>1600</v>
      </c>
      <c r="O96">
        <f>O94</f>
        <v>13</v>
      </c>
      <c r="Q96" t="s">
        <v>122</v>
      </c>
      <c r="R96">
        <v>350</v>
      </c>
      <c r="S96">
        <v>350</v>
      </c>
      <c r="T96">
        <v>5</v>
      </c>
      <c r="U96">
        <v>40</v>
      </c>
      <c r="V96">
        <v>5</v>
      </c>
      <c r="Y96">
        <v>5</v>
      </c>
      <c r="Z96">
        <v>200</v>
      </c>
      <c r="AA96">
        <f t="shared" si="8"/>
        <v>420</v>
      </c>
    </row>
    <row r="97" spans="9:27">
      <c r="I97" t="s">
        <v>36</v>
      </c>
      <c r="J97">
        <v>1</v>
      </c>
      <c r="K97" t="s">
        <v>139</v>
      </c>
      <c r="L97" t="s">
        <v>119</v>
      </c>
      <c r="M97">
        <f>VLOOKUP(L97, 능력치!Q$92:U$151, J97+1, FALSE)</f>
        <v>50</v>
      </c>
      <c r="N97">
        <v>7</v>
      </c>
      <c r="O97" s="2">
        <f>N97*M97</f>
        <v>350</v>
      </c>
      <c r="Q97" t="s">
        <v>123</v>
      </c>
      <c r="R97">
        <v>500</v>
      </c>
      <c r="S97">
        <v>500</v>
      </c>
      <c r="T97">
        <v>7</v>
      </c>
      <c r="U97">
        <v>50</v>
      </c>
      <c r="V97">
        <v>6</v>
      </c>
      <c r="Y97">
        <v>6</v>
      </c>
      <c r="Z97">
        <v>300</v>
      </c>
      <c r="AA97">
        <f t="shared" si="8"/>
        <v>720</v>
      </c>
    </row>
    <row r="98" spans="9:27">
      <c r="J98">
        <v>2</v>
      </c>
      <c r="K98" t="s">
        <v>145</v>
      </c>
      <c r="L98" t="s">
        <v>118</v>
      </c>
      <c r="M98">
        <f>VLOOKUP(L98, 능력치!Q$92:U$151, J98+1, FALSE)</f>
        <v>20</v>
      </c>
      <c r="N98">
        <v>7</v>
      </c>
      <c r="O98" s="2">
        <f t="shared" ref="O98:O100" si="9">N98*M98</f>
        <v>140</v>
      </c>
      <c r="Q98" t="s">
        <v>124</v>
      </c>
      <c r="R98">
        <v>650</v>
      </c>
      <c r="S98">
        <v>650</v>
      </c>
      <c r="T98">
        <v>9</v>
      </c>
      <c r="U98">
        <v>70</v>
      </c>
      <c r="V98">
        <v>7</v>
      </c>
      <c r="Y98">
        <v>7</v>
      </c>
      <c r="Z98">
        <v>400</v>
      </c>
      <c r="AA98">
        <f t="shared" si="8"/>
        <v>1120</v>
      </c>
    </row>
    <row r="99" spans="9:27">
      <c r="J99">
        <v>3</v>
      </c>
      <c r="K99" t="s">
        <v>140</v>
      </c>
      <c r="L99" t="s">
        <v>516</v>
      </c>
      <c r="M99" t="e">
        <f>VLOOKUP(L99, 능력치!Q$92:U$151, J99+1, FALSE)</f>
        <v>#N/A</v>
      </c>
      <c r="N99">
        <v>0</v>
      </c>
      <c r="O99" s="2" t="e">
        <f t="shared" si="9"/>
        <v>#N/A</v>
      </c>
      <c r="Q99" t="s">
        <v>125</v>
      </c>
      <c r="R99">
        <v>800</v>
      </c>
      <c r="S99">
        <v>800</v>
      </c>
      <c r="T99">
        <v>11</v>
      </c>
      <c r="U99">
        <v>90</v>
      </c>
      <c r="V99">
        <v>8</v>
      </c>
      <c r="Y99">
        <v>8</v>
      </c>
      <c r="Z99">
        <v>500</v>
      </c>
      <c r="AA99">
        <f t="shared" si="8"/>
        <v>1620</v>
      </c>
    </row>
    <row r="100" spans="9:27">
      <c r="J100">
        <v>4</v>
      </c>
      <c r="K100" t="s">
        <v>141</v>
      </c>
      <c r="L100" t="s">
        <v>118</v>
      </c>
      <c r="M100">
        <f>VLOOKUP(L100, 능력치!Q$92:U$151, J100+1, FALSE)</f>
        <v>5</v>
      </c>
      <c r="N100">
        <v>4</v>
      </c>
      <c r="O100" s="2">
        <f t="shared" si="9"/>
        <v>20</v>
      </c>
      <c r="Q100" t="s">
        <v>126</v>
      </c>
      <c r="R100">
        <v>1000</v>
      </c>
      <c r="S100">
        <v>1000</v>
      </c>
      <c r="T100">
        <v>13</v>
      </c>
      <c r="U100">
        <v>120</v>
      </c>
      <c r="V100">
        <v>9</v>
      </c>
      <c r="Y100">
        <v>9</v>
      </c>
      <c r="Z100">
        <v>600</v>
      </c>
      <c r="AA100">
        <f t="shared" si="8"/>
        <v>2220</v>
      </c>
    </row>
    <row r="101" spans="9:27">
      <c r="M101" t="s">
        <v>139</v>
      </c>
      <c r="N101" t="s">
        <v>146</v>
      </c>
      <c r="O101" t="s">
        <v>147</v>
      </c>
      <c r="Q101" t="s">
        <v>127</v>
      </c>
      <c r="R101">
        <v>1200</v>
      </c>
      <c r="S101">
        <v>1200</v>
      </c>
      <c r="T101">
        <v>15</v>
      </c>
      <c r="U101">
        <v>150</v>
      </c>
      <c r="V101">
        <v>10</v>
      </c>
      <c r="Y101">
        <v>10</v>
      </c>
      <c r="Z101">
        <v>700</v>
      </c>
      <c r="AA101">
        <f t="shared" si="8"/>
        <v>2920</v>
      </c>
    </row>
    <row r="102" spans="9:27">
      <c r="M102">
        <f>O97</f>
        <v>350</v>
      </c>
      <c r="N102">
        <f>O98</f>
        <v>140</v>
      </c>
      <c r="O102">
        <f>O100</f>
        <v>20</v>
      </c>
      <c r="Q102" t="s">
        <v>128</v>
      </c>
      <c r="R102">
        <v>1500</v>
      </c>
      <c r="S102">
        <v>1500</v>
      </c>
      <c r="T102">
        <v>18</v>
      </c>
      <c r="U102">
        <v>190</v>
      </c>
      <c r="V102">
        <v>11</v>
      </c>
      <c r="Y102">
        <v>11</v>
      </c>
      <c r="Z102">
        <v>800</v>
      </c>
      <c r="AA102">
        <f t="shared" si="8"/>
        <v>3720</v>
      </c>
    </row>
    <row r="103" spans="9:27">
      <c r="I103" t="s">
        <v>37</v>
      </c>
      <c r="J103">
        <v>1</v>
      </c>
      <c r="K103" t="s">
        <v>139</v>
      </c>
      <c r="L103" t="s">
        <v>118</v>
      </c>
      <c r="M103">
        <f>VLOOKUP(L103, 능력치!Q$92:U$151, J103+1, FALSE)</f>
        <v>20</v>
      </c>
      <c r="N103">
        <v>8</v>
      </c>
      <c r="O103" s="2">
        <f>N103*M103</f>
        <v>160</v>
      </c>
      <c r="Q103" t="s">
        <v>129</v>
      </c>
      <c r="R103">
        <v>1800</v>
      </c>
      <c r="S103">
        <v>1800</v>
      </c>
      <c r="T103">
        <v>21</v>
      </c>
      <c r="U103">
        <v>230</v>
      </c>
      <c r="V103">
        <v>12</v>
      </c>
      <c r="Y103">
        <v>12</v>
      </c>
      <c r="Z103">
        <v>1000</v>
      </c>
      <c r="AA103">
        <f t="shared" si="8"/>
        <v>4720</v>
      </c>
    </row>
    <row r="104" spans="9:27">
      <c r="J104">
        <v>2</v>
      </c>
      <c r="K104" t="s">
        <v>145</v>
      </c>
      <c r="L104" t="s">
        <v>118</v>
      </c>
      <c r="M104">
        <f>VLOOKUP(L104, 능력치!Q$92:U$151, J104+1, FALSE)</f>
        <v>20</v>
      </c>
      <c r="N104">
        <v>8</v>
      </c>
      <c r="O104" s="2">
        <f t="shared" ref="O104:O106" si="10">N104*M104</f>
        <v>160</v>
      </c>
      <c r="Q104" t="s">
        <v>130</v>
      </c>
      <c r="R104">
        <v>2100</v>
      </c>
      <c r="S104">
        <v>2100</v>
      </c>
      <c r="T104">
        <v>24</v>
      </c>
      <c r="U104">
        <v>280</v>
      </c>
      <c r="V104">
        <v>13</v>
      </c>
      <c r="Y104">
        <v>13</v>
      </c>
      <c r="Z104">
        <v>1200</v>
      </c>
      <c r="AA104">
        <f t="shared" si="8"/>
        <v>5920</v>
      </c>
    </row>
    <row r="105" spans="9:27">
      <c r="J105">
        <v>3</v>
      </c>
      <c r="K105" t="s">
        <v>140</v>
      </c>
      <c r="L105" t="s">
        <v>118</v>
      </c>
      <c r="M105">
        <f>VLOOKUP(L105, 능력치!Q$92:U$151, J105+1, FALSE)</f>
        <v>1</v>
      </c>
      <c r="N105">
        <v>0</v>
      </c>
      <c r="O105" s="2">
        <f t="shared" si="10"/>
        <v>0</v>
      </c>
      <c r="Q105" t="s">
        <v>131</v>
      </c>
      <c r="R105">
        <v>2500</v>
      </c>
      <c r="S105">
        <v>2500</v>
      </c>
      <c r="T105">
        <v>27</v>
      </c>
      <c r="U105">
        <v>330</v>
      </c>
      <c r="V105">
        <v>14</v>
      </c>
      <c r="Y105">
        <v>14</v>
      </c>
      <c r="Z105">
        <v>1400</v>
      </c>
      <c r="AA105">
        <f t="shared" si="8"/>
        <v>7320</v>
      </c>
    </row>
    <row r="106" spans="9:27">
      <c r="J106">
        <v>4</v>
      </c>
      <c r="K106" t="s">
        <v>141</v>
      </c>
      <c r="L106" t="s">
        <v>118</v>
      </c>
      <c r="M106">
        <f>VLOOKUP(L106, 능력치!Q$92:U$151, J106+1, FALSE)</f>
        <v>5</v>
      </c>
      <c r="N106">
        <v>7</v>
      </c>
      <c r="O106" s="2">
        <f t="shared" si="10"/>
        <v>35</v>
      </c>
      <c r="Q106" t="s">
        <v>132</v>
      </c>
      <c r="R106">
        <v>3000</v>
      </c>
      <c r="S106">
        <v>3000</v>
      </c>
      <c r="T106">
        <v>30</v>
      </c>
      <c r="U106">
        <v>400</v>
      </c>
      <c r="V106">
        <v>15</v>
      </c>
      <c r="Y106">
        <v>15</v>
      </c>
      <c r="Z106">
        <v>1600</v>
      </c>
      <c r="AA106">
        <f t="shared" si="8"/>
        <v>8920</v>
      </c>
    </row>
    <row r="107" spans="9:27">
      <c r="M107" t="s">
        <v>139</v>
      </c>
      <c r="N107" t="s">
        <v>146</v>
      </c>
      <c r="O107" t="s">
        <v>147</v>
      </c>
    </row>
    <row r="108" spans="9:27">
      <c r="M108">
        <f>O103</f>
        <v>160</v>
      </c>
      <c r="N108">
        <f>O104</f>
        <v>160</v>
      </c>
      <c r="O108">
        <f>O106</f>
        <v>35</v>
      </c>
      <c r="Q108" s="23">
        <v>0</v>
      </c>
    </row>
    <row r="109" spans="9:27">
      <c r="I109" t="s">
        <v>138</v>
      </c>
      <c r="J109">
        <v>1</v>
      </c>
      <c r="K109" t="s">
        <v>139</v>
      </c>
      <c r="L109" t="s">
        <v>122</v>
      </c>
      <c r="M109">
        <f>VLOOKUP(L109, 능력치!Q$92:V$106, J109+1, FALSE)</f>
        <v>350</v>
      </c>
      <c r="N109">
        <v>6</v>
      </c>
      <c r="O109" s="2">
        <f>N109*M109</f>
        <v>2100</v>
      </c>
      <c r="Q109" s="23">
        <v>1</v>
      </c>
    </row>
    <row r="110" spans="9:27">
      <c r="J110">
        <v>2</v>
      </c>
      <c r="K110" t="s">
        <v>145</v>
      </c>
      <c r="L110" t="s">
        <v>122</v>
      </c>
      <c r="M110">
        <f>VLOOKUP(L110, 능력치!Q$92:U$151, J110+1, FALSE)</f>
        <v>350</v>
      </c>
      <c r="N110">
        <v>6</v>
      </c>
      <c r="O110" s="2">
        <f t="shared" ref="O110:O112" si="11">N110*M110</f>
        <v>2100</v>
      </c>
      <c r="Q110" s="23">
        <v>2</v>
      </c>
    </row>
    <row r="111" spans="9:27">
      <c r="J111">
        <v>3</v>
      </c>
      <c r="K111" t="s">
        <v>140</v>
      </c>
      <c r="L111" t="s">
        <v>120</v>
      </c>
      <c r="M111">
        <f>VLOOKUP(L111, 능력치!Q$92:U$151, J111+1, FALSE)</f>
        <v>3</v>
      </c>
      <c r="N111">
        <v>0</v>
      </c>
      <c r="O111" s="2">
        <f t="shared" si="11"/>
        <v>0</v>
      </c>
      <c r="Q111" s="23">
        <v>3</v>
      </c>
    </row>
    <row r="112" spans="9:27">
      <c r="J112">
        <v>4</v>
      </c>
      <c r="K112" t="s">
        <v>141</v>
      </c>
      <c r="L112" t="s">
        <v>121</v>
      </c>
      <c r="M112">
        <f>VLOOKUP(L112, 능력치!Q$92:U$151, J112+1, FALSE)</f>
        <v>30</v>
      </c>
      <c r="N112">
        <v>0</v>
      </c>
      <c r="O112" s="2">
        <f t="shared" si="11"/>
        <v>0</v>
      </c>
      <c r="Q112" s="23">
        <v>4</v>
      </c>
    </row>
    <row r="113" spans="8:27">
      <c r="M113" t="s">
        <v>139</v>
      </c>
      <c r="N113" t="s">
        <v>146</v>
      </c>
      <c r="P113" s="15" t="s">
        <v>152</v>
      </c>
      <c r="Q113" s="23">
        <v>5</v>
      </c>
    </row>
    <row r="114" spans="8:27">
      <c r="M114">
        <f>O109</f>
        <v>2100</v>
      </c>
      <c r="N114">
        <f>O110</f>
        <v>2100</v>
      </c>
      <c r="Q114" s="23">
        <v>6</v>
      </c>
    </row>
    <row r="115" spans="8:27">
      <c r="Q115" s="23">
        <v>7</v>
      </c>
    </row>
    <row r="116" spans="8:27">
      <c r="Q116" s="23">
        <v>8</v>
      </c>
      <c r="S116" t="s">
        <v>10</v>
      </c>
      <c r="T116" t="s">
        <v>10</v>
      </c>
    </row>
    <row r="119" spans="8:27">
      <c r="H119" t="s">
        <v>133</v>
      </c>
      <c r="AA119" s="8" t="s">
        <v>34</v>
      </c>
    </row>
    <row r="120" spans="8:27">
      <c r="AA120" s="10">
        <v>10000</v>
      </c>
    </row>
    <row r="121" spans="8:27">
      <c r="J121" s="8" t="s">
        <v>18</v>
      </c>
      <c r="K121" s="8" t="s">
        <v>19</v>
      </c>
      <c r="L121" s="8" t="s">
        <v>20</v>
      </c>
      <c r="M121" s="8" t="s">
        <v>21</v>
      </c>
      <c r="N121" s="8" t="s">
        <v>22</v>
      </c>
      <c r="O121" s="8" t="s">
        <v>23</v>
      </c>
      <c r="P121" s="8" t="s">
        <v>24</v>
      </c>
      <c r="Q121" s="8" t="s">
        <v>25</v>
      </c>
      <c r="R121" s="8" t="s">
        <v>26</v>
      </c>
      <c r="S121" s="8" t="s">
        <v>27</v>
      </c>
      <c r="U121" s="9" t="s">
        <v>28</v>
      </c>
      <c r="V121" s="8" t="s">
        <v>29</v>
      </c>
      <c r="W121" s="8" t="s">
        <v>30</v>
      </c>
      <c r="X121" s="8" t="s">
        <v>31</v>
      </c>
      <c r="Y121" s="8" t="s">
        <v>32</v>
      </c>
      <c r="Z121" s="8" t="s">
        <v>33</v>
      </c>
      <c r="AA121" s="11">
        <f>Z123+AA120</f>
        <v>13475</v>
      </c>
    </row>
    <row r="122" spans="8:27">
      <c r="I122" t="s">
        <v>232</v>
      </c>
      <c r="J122">
        <v>1</v>
      </c>
      <c r="K122">
        <v>2</v>
      </c>
      <c r="L122">
        <v>4</v>
      </c>
      <c r="M122">
        <v>7</v>
      </c>
      <c r="N122">
        <v>15</v>
      </c>
      <c r="O122">
        <v>30</v>
      </c>
      <c r="P122">
        <v>60</v>
      </c>
      <c r="Q122">
        <v>120</v>
      </c>
      <c r="R122">
        <v>240</v>
      </c>
      <c r="S122">
        <v>500</v>
      </c>
      <c r="V122" s="10">
        <v>5</v>
      </c>
      <c r="W122">
        <v>70</v>
      </c>
      <c r="X122">
        <v>200</v>
      </c>
      <c r="Y122">
        <v>600</v>
      </c>
      <c r="Z122" s="1">
        <v>2500</v>
      </c>
      <c r="AA122" s="10"/>
    </row>
    <row r="123" spans="8:27">
      <c r="I123" t="s">
        <v>35</v>
      </c>
      <c r="J123">
        <v>1</v>
      </c>
      <c r="K123">
        <v>2</v>
      </c>
      <c r="L123">
        <v>4</v>
      </c>
      <c r="M123">
        <v>8</v>
      </c>
      <c r="N123">
        <v>12</v>
      </c>
      <c r="O123">
        <v>20</v>
      </c>
      <c r="P123">
        <v>35</v>
      </c>
      <c r="Q123">
        <v>80</v>
      </c>
      <c r="R123">
        <v>300</v>
      </c>
      <c r="S123">
        <v>2000</v>
      </c>
      <c r="U123" s="11">
        <v>1</v>
      </c>
      <c r="V123" s="12">
        <v>105</v>
      </c>
      <c r="W123" s="11">
        <f>V123+W122</f>
        <v>175</v>
      </c>
      <c r="X123" s="11">
        <f>W123+X122</f>
        <v>375</v>
      </c>
      <c r="Y123" s="11">
        <f>X123+Y122</f>
        <v>975</v>
      </c>
      <c r="Z123" s="11">
        <f>Y123+Z122</f>
        <v>3475</v>
      </c>
      <c r="AA123" s="10"/>
    </row>
    <row r="124" spans="8:27">
      <c r="I124" t="s">
        <v>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1</v>
      </c>
      <c r="T124">
        <f>SUM(J124:S124)</f>
        <v>3</v>
      </c>
      <c r="V124" s="10"/>
      <c r="Z124" s="1"/>
      <c r="AA124" s="6">
        <f>AA121/Z123</f>
        <v>3.8776978417266186</v>
      </c>
    </row>
    <row r="125" spans="8:27">
      <c r="I125" t="s">
        <v>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>SUM(J125:S125)</f>
        <v>0</v>
      </c>
      <c r="V125" s="10"/>
    </row>
    <row r="126" spans="8:27">
      <c r="I126" s="3" t="s">
        <v>38</v>
      </c>
      <c r="J126" s="3">
        <f t="shared" ref="J126:S126" si="12">J122 * (J124+J125)</f>
        <v>0</v>
      </c>
      <c r="K126" s="3">
        <f t="shared" si="12"/>
        <v>0</v>
      </c>
      <c r="L126" s="3">
        <f t="shared" si="12"/>
        <v>0</v>
      </c>
      <c r="M126" s="3">
        <f t="shared" si="12"/>
        <v>0</v>
      </c>
      <c r="N126" s="3">
        <f t="shared" si="12"/>
        <v>0</v>
      </c>
      <c r="O126" s="3">
        <f t="shared" si="12"/>
        <v>0</v>
      </c>
      <c r="P126" s="3">
        <f t="shared" si="12"/>
        <v>0</v>
      </c>
      <c r="Q126" s="3">
        <f t="shared" si="12"/>
        <v>120</v>
      </c>
      <c r="R126" s="3">
        <f t="shared" si="12"/>
        <v>240</v>
      </c>
      <c r="S126" s="3">
        <f t="shared" si="12"/>
        <v>500</v>
      </c>
      <c r="T126" s="3"/>
      <c r="U126" s="6" t="s">
        <v>39</v>
      </c>
      <c r="V126" s="13"/>
      <c r="W126" s="6">
        <f>W123/V123</f>
        <v>1.6666666666666667</v>
      </c>
      <c r="X126" s="6">
        <f>X123/W123</f>
        <v>2.1428571428571428</v>
      </c>
      <c r="Y126" s="6">
        <f>Y123/X123</f>
        <v>2.6</v>
      </c>
      <c r="Z126" s="6">
        <f>Z123/Y123</f>
        <v>3.5641025641025643</v>
      </c>
    </row>
    <row r="127" spans="8:27">
      <c r="M127" t="s">
        <v>250</v>
      </c>
      <c r="O127" t="s">
        <v>298</v>
      </c>
      <c r="T127" s="11">
        <f>SUM(J126:S126)</f>
        <v>860</v>
      </c>
      <c r="U127" t="s">
        <v>10</v>
      </c>
    </row>
    <row r="128" spans="8:27">
      <c r="I128">
        <v>1</v>
      </c>
      <c r="J128">
        <v>2</v>
      </c>
      <c r="K128">
        <v>3</v>
      </c>
      <c r="L128">
        <v>4</v>
      </c>
      <c r="M128">
        <v>5</v>
      </c>
      <c r="N128">
        <v>6</v>
      </c>
      <c r="O128">
        <v>7</v>
      </c>
      <c r="P128">
        <v>8</v>
      </c>
      <c r="Q128">
        <v>9</v>
      </c>
      <c r="R128">
        <v>10</v>
      </c>
      <c r="S128" t="s">
        <v>40</v>
      </c>
      <c r="T128">
        <v>375</v>
      </c>
      <c r="V128" t="s">
        <v>10</v>
      </c>
    </row>
    <row r="129" spans="7:24">
      <c r="I129" s="8" t="s">
        <v>235</v>
      </c>
      <c r="J129" t="s">
        <v>232</v>
      </c>
      <c r="K129" t="s">
        <v>246</v>
      </c>
      <c r="M129" t="s">
        <v>37</v>
      </c>
      <c r="O129" t="s">
        <v>138</v>
      </c>
      <c r="Q129">
        <v>1</v>
      </c>
      <c r="R129">
        <v>0</v>
      </c>
      <c r="S129" s="14" t="s">
        <v>41</v>
      </c>
      <c r="T129" s="14">
        <f>T127*T128</f>
        <v>322500</v>
      </c>
      <c r="X129">
        <f>X126*Y126</f>
        <v>5.5714285714285712</v>
      </c>
    </row>
    <row r="130" spans="7:24">
      <c r="I130" s="8" t="s">
        <v>236</v>
      </c>
      <c r="J130">
        <v>1</v>
      </c>
      <c r="K130">
        <f>IF(ROW()-128=$K$34, 9, 0)</f>
        <v>0</v>
      </c>
      <c r="L130">
        <f>IF(ROW()-128=$K$35, 9, 0)</f>
        <v>0</v>
      </c>
      <c r="M130">
        <f>IF(ROW()-128=$N$34, 9, 0)</f>
        <v>0</v>
      </c>
      <c r="N130">
        <f>IF(ROW()-128=$N$35, 9, 0)</f>
        <v>0</v>
      </c>
      <c r="O130">
        <f>IF(ROW()-128=$Q$34, 9, 0)</f>
        <v>0</v>
      </c>
      <c r="P130">
        <f>IF(ROW()-128=$Q$35, 9, 0)</f>
        <v>0</v>
      </c>
      <c r="Q130">
        <v>1</v>
      </c>
      <c r="R130">
        <v>1</v>
      </c>
    </row>
    <row r="131" spans="7:24">
      <c r="G131" s="27" t="s">
        <v>87</v>
      </c>
      <c r="I131" s="8" t="s">
        <v>237</v>
      </c>
      <c r="J131">
        <v>2</v>
      </c>
      <c r="K131">
        <f t="shared" ref="K131:K139" si="13">IF(ROW()-128=$K$34, 9, 0)</f>
        <v>0</v>
      </c>
      <c r="L131">
        <f t="shared" ref="L131:L139" si="14">IF(ROW()-128=$K$35, 9, 0)</f>
        <v>0</v>
      </c>
      <c r="M131">
        <f t="shared" ref="M131:M139" si="15">IF(ROW()-128=$N$34, 9, 0)</f>
        <v>0</v>
      </c>
      <c r="N131">
        <f t="shared" ref="N131:N139" si="16">IF(ROW()-128=$N$35, 9, 0)</f>
        <v>0</v>
      </c>
      <c r="O131">
        <f t="shared" ref="O131:O139" si="17">IF(ROW()-128=$Q$34, 9, 0)</f>
        <v>0</v>
      </c>
      <c r="P131">
        <f t="shared" ref="P131:P139" si="18">IF(ROW()-128=$Q$35, 9, 0)</f>
        <v>0</v>
      </c>
      <c r="Q131">
        <v>1</v>
      </c>
      <c r="R131">
        <v>2</v>
      </c>
    </row>
    <row r="132" spans="7:24">
      <c r="I132" s="8" t="s">
        <v>238</v>
      </c>
      <c r="J132">
        <v>4</v>
      </c>
      <c r="K132">
        <f t="shared" si="13"/>
        <v>0</v>
      </c>
      <c r="L132">
        <f t="shared" si="14"/>
        <v>0</v>
      </c>
      <c r="M132">
        <f t="shared" si="15"/>
        <v>0</v>
      </c>
      <c r="N132">
        <f t="shared" si="16"/>
        <v>0</v>
      </c>
      <c r="O132">
        <f t="shared" si="17"/>
        <v>0</v>
      </c>
      <c r="P132">
        <f t="shared" si="18"/>
        <v>0</v>
      </c>
      <c r="Q132" s="10">
        <v>5</v>
      </c>
      <c r="R132">
        <v>3</v>
      </c>
    </row>
    <row r="133" spans="7:24">
      <c r="I133" s="8" t="s">
        <v>239</v>
      </c>
      <c r="J133">
        <v>7</v>
      </c>
      <c r="K133">
        <f t="shared" si="13"/>
        <v>0</v>
      </c>
      <c r="L133">
        <f t="shared" si="14"/>
        <v>0</v>
      </c>
      <c r="M133">
        <f t="shared" si="15"/>
        <v>0</v>
      </c>
      <c r="N133">
        <f t="shared" si="16"/>
        <v>0</v>
      </c>
      <c r="O133">
        <f t="shared" si="17"/>
        <v>0</v>
      </c>
      <c r="P133">
        <f t="shared" si="18"/>
        <v>0</v>
      </c>
      <c r="Q133" s="10">
        <v>5</v>
      </c>
      <c r="R133">
        <v>4</v>
      </c>
    </row>
    <row r="134" spans="7:24">
      <c r="I134" s="8" t="s">
        <v>240</v>
      </c>
      <c r="J134">
        <v>15</v>
      </c>
      <c r="K134">
        <f t="shared" si="13"/>
        <v>0</v>
      </c>
      <c r="L134">
        <f t="shared" si="14"/>
        <v>0</v>
      </c>
      <c r="M134">
        <f t="shared" si="15"/>
        <v>0</v>
      </c>
      <c r="N134">
        <f t="shared" si="16"/>
        <v>0</v>
      </c>
      <c r="O134">
        <f t="shared" si="17"/>
        <v>0</v>
      </c>
      <c r="P134">
        <f t="shared" si="18"/>
        <v>0</v>
      </c>
      <c r="Q134">
        <v>70</v>
      </c>
      <c r="R134">
        <v>5</v>
      </c>
    </row>
    <row r="135" spans="7:24">
      <c r="I135" s="8" t="s">
        <v>241</v>
      </c>
      <c r="J135">
        <v>30</v>
      </c>
      <c r="K135">
        <f t="shared" si="13"/>
        <v>9</v>
      </c>
      <c r="L135">
        <f t="shared" si="14"/>
        <v>9</v>
      </c>
      <c r="M135">
        <f t="shared" si="15"/>
        <v>9</v>
      </c>
      <c r="N135">
        <f t="shared" si="16"/>
        <v>9</v>
      </c>
      <c r="O135">
        <f t="shared" si="17"/>
        <v>0</v>
      </c>
      <c r="P135">
        <f t="shared" si="18"/>
        <v>0</v>
      </c>
      <c r="Q135">
        <v>70</v>
      </c>
      <c r="R135">
        <v>6</v>
      </c>
    </row>
    <row r="136" spans="7:24">
      <c r="I136" s="8" t="s">
        <v>242</v>
      </c>
      <c r="J136">
        <v>60</v>
      </c>
      <c r="K136">
        <f t="shared" si="13"/>
        <v>0</v>
      </c>
      <c r="L136">
        <f t="shared" si="14"/>
        <v>0</v>
      </c>
      <c r="M136">
        <f t="shared" si="15"/>
        <v>0</v>
      </c>
      <c r="N136">
        <f t="shared" si="16"/>
        <v>0</v>
      </c>
      <c r="O136">
        <f t="shared" si="17"/>
        <v>0</v>
      </c>
      <c r="P136">
        <f t="shared" si="18"/>
        <v>0</v>
      </c>
      <c r="Q136">
        <v>200</v>
      </c>
      <c r="R136">
        <v>7</v>
      </c>
    </row>
    <row r="137" spans="7:24">
      <c r="I137" s="8" t="s">
        <v>243</v>
      </c>
      <c r="J137">
        <v>120</v>
      </c>
      <c r="K137">
        <f t="shared" si="13"/>
        <v>0</v>
      </c>
      <c r="L137">
        <f t="shared" si="14"/>
        <v>0</v>
      </c>
      <c r="M137">
        <f t="shared" si="15"/>
        <v>0</v>
      </c>
      <c r="N137">
        <f t="shared" si="16"/>
        <v>0</v>
      </c>
      <c r="O137">
        <f t="shared" si="17"/>
        <v>0</v>
      </c>
      <c r="P137">
        <f t="shared" si="18"/>
        <v>0</v>
      </c>
      <c r="Q137">
        <v>600</v>
      </c>
      <c r="R137">
        <v>8</v>
      </c>
    </row>
    <row r="138" spans="7:24">
      <c r="I138" s="8" t="s">
        <v>244</v>
      </c>
      <c r="J138">
        <v>240</v>
      </c>
      <c r="K138">
        <f t="shared" si="13"/>
        <v>0</v>
      </c>
      <c r="L138">
        <f t="shared" si="14"/>
        <v>0</v>
      </c>
      <c r="M138">
        <f t="shared" si="15"/>
        <v>0</v>
      </c>
      <c r="N138">
        <f t="shared" si="16"/>
        <v>0</v>
      </c>
      <c r="O138">
        <f t="shared" si="17"/>
        <v>0</v>
      </c>
      <c r="P138">
        <f t="shared" si="18"/>
        <v>0</v>
      </c>
      <c r="Q138" s="1">
        <v>2500</v>
      </c>
      <c r="R138">
        <v>9</v>
      </c>
    </row>
    <row r="139" spans="7:24">
      <c r="I139" s="8" t="s">
        <v>245</v>
      </c>
      <c r="J139">
        <v>500</v>
      </c>
      <c r="K139">
        <f t="shared" si="13"/>
        <v>0</v>
      </c>
      <c r="L139">
        <f t="shared" si="14"/>
        <v>0</v>
      </c>
      <c r="M139">
        <f t="shared" si="15"/>
        <v>0</v>
      </c>
      <c r="N139">
        <f t="shared" si="16"/>
        <v>0</v>
      </c>
      <c r="O139">
        <f t="shared" si="17"/>
        <v>0</v>
      </c>
      <c r="P139">
        <f t="shared" si="18"/>
        <v>0</v>
      </c>
      <c r="Q139" s="10">
        <v>10000</v>
      </c>
      <c r="R139">
        <v>10</v>
      </c>
    </row>
    <row r="140" spans="7:24">
      <c r="K140">
        <f>SUMPRODUCT(K130:K139, J130:J139)</f>
        <v>270</v>
      </c>
      <c r="L140">
        <f>SUMPRODUCT(L130:L139, J130:J139)</f>
        <v>270</v>
      </c>
      <c r="M140">
        <f>SUMPRODUCT(M130:M139,$J130:$J139)</f>
        <v>270</v>
      </c>
      <c r="N140">
        <f t="shared" ref="N140:P140" si="19">SUMPRODUCT(N130:N139,$J130:$J139)</f>
        <v>270</v>
      </c>
      <c r="O140">
        <f t="shared" si="19"/>
        <v>0</v>
      </c>
      <c r="P140">
        <f t="shared" si="19"/>
        <v>0</v>
      </c>
    </row>
    <row r="142" spans="7:24">
      <c r="K142" t="s">
        <v>247</v>
      </c>
      <c r="L142" t="s">
        <v>248</v>
      </c>
      <c r="M142" t="s">
        <v>249</v>
      </c>
      <c r="N142" t="s">
        <v>250</v>
      </c>
      <c r="O142" t="s">
        <v>251</v>
      </c>
      <c r="P142" t="s">
        <v>252</v>
      </c>
    </row>
    <row r="145" spans="7:41">
      <c r="H145" t="s">
        <v>36</v>
      </c>
      <c r="I145">
        <v>9</v>
      </c>
    </row>
    <row r="146" spans="7:41">
      <c r="I146">
        <v>9</v>
      </c>
    </row>
    <row r="147" spans="7:41">
      <c r="H147" t="s">
        <v>37</v>
      </c>
      <c r="I147">
        <v>12</v>
      </c>
    </row>
    <row r="148" spans="7:41">
      <c r="I148">
        <v>11</v>
      </c>
    </row>
    <row r="150" spans="7:41">
      <c r="G150" t="s">
        <v>293</v>
      </c>
      <c r="K150" t="s">
        <v>289</v>
      </c>
      <c r="L150" t="s">
        <v>288</v>
      </c>
      <c r="M150" t="s">
        <v>291</v>
      </c>
    </row>
    <row r="151" spans="7:41">
      <c r="I151" s="57" t="s">
        <v>260</v>
      </c>
      <c r="J151" s="57"/>
      <c r="K151" s="28">
        <v>330</v>
      </c>
      <c r="L151" s="28">
        <v>670</v>
      </c>
      <c r="M151">
        <v>1000</v>
      </c>
      <c r="N151">
        <v>2</v>
      </c>
    </row>
    <row r="152" spans="7:41">
      <c r="I152" s="53" t="s">
        <v>261</v>
      </c>
      <c r="J152" s="53"/>
      <c r="K152" s="29">
        <v>280</v>
      </c>
      <c r="L152" s="29">
        <v>720</v>
      </c>
      <c r="M152">
        <v>1000</v>
      </c>
      <c r="N152">
        <v>3</v>
      </c>
    </row>
    <row r="153" spans="7:41">
      <c r="I153" s="57" t="s">
        <v>262</v>
      </c>
      <c r="J153" s="57"/>
      <c r="K153" s="28"/>
      <c r="L153" s="28"/>
      <c r="M153">
        <v>0</v>
      </c>
      <c r="N153">
        <v>4</v>
      </c>
    </row>
    <row r="154" spans="7:41">
      <c r="I154" s="53" t="s">
        <v>263</v>
      </c>
      <c r="J154" s="53"/>
      <c r="K154" s="29">
        <v>210</v>
      </c>
      <c r="L154" s="29">
        <v>450</v>
      </c>
      <c r="M154">
        <v>660</v>
      </c>
      <c r="N154">
        <v>5</v>
      </c>
    </row>
    <row r="155" spans="7:41">
      <c r="I155" s="57" t="s">
        <v>264</v>
      </c>
      <c r="J155" s="57"/>
      <c r="K155" s="28">
        <v>110</v>
      </c>
      <c r="L155" s="28">
        <v>250</v>
      </c>
      <c r="M155">
        <v>360</v>
      </c>
      <c r="N155">
        <v>6</v>
      </c>
    </row>
    <row r="156" spans="7:41">
      <c r="I156" s="53" t="s">
        <v>265</v>
      </c>
      <c r="J156" s="53"/>
      <c r="K156" s="29">
        <v>210</v>
      </c>
      <c r="L156" s="29">
        <v>450</v>
      </c>
      <c r="M156">
        <v>660</v>
      </c>
      <c r="N156">
        <v>7</v>
      </c>
      <c r="AL156" t="s">
        <v>134</v>
      </c>
    </row>
    <row r="157" spans="7:41">
      <c r="I157" s="57" t="s">
        <v>266</v>
      </c>
      <c r="J157" s="57"/>
      <c r="K157" s="28">
        <v>110</v>
      </c>
      <c r="L157" s="28">
        <v>250</v>
      </c>
      <c r="M157">
        <v>360</v>
      </c>
      <c r="N157">
        <v>8</v>
      </c>
      <c r="AM157">
        <v>1</v>
      </c>
      <c r="AN157">
        <v>100</v>
      </c>
    </row>
    <row r="158" spans="7:41">
      <c r="J158" s="31" t="s">
        <v>262</v>
      </c>
      <c r="K158" s="29"/>
      <c r="L158" s="29"/>
      <c r="M158">
        <v>0</v>
      </c>
      <c r="N158">
        <v>9</v>
      </c>
      <c r="AM158">
        <v>2</v>
      </c>
      <c r="AN158" t="e">
        <f>#REF! + (50 + INT((#REF!-1)/25) * 5)</f>
        <v>#REF!</v>
      </c>
      <c r="AO158" t="e">
        <f>AN158-#REF!</f>
        <v>#REF!</v>
      </c>
    </row>
    <row r="159" spans="7:41">
      <c r="I159" s="57" t="s">
        <v>267</v>
      </c>
      <c r="J159" s="57"/>
      <c r="K159" s="28">
        <v>65</v>
      </c>
      <c r="L159" s="28">
        <v>150</v>
      </c>
      <c r="M159">
        <v>215</v>
      </c>
      <c r="N159">
        <v>10</v>
      </c>
      <c r="AM159">
        <v>3</v>
      </c>
      <c r="AN159" t="e">
        <f t="shared" ref="AL159:AN190" si="20">AN158 + (50 + INT((AM158-1)/25) * 5)</f>
        <v>#REF!</v>
      </c>
      <c r="AO159" t="e">
        <f t="shared" ref="AM159:AO190" si="21">AN159-AN158</f>
        <v>#REF!</v>
      </c>
    </row>
    <row r="160" spans="7:41">
      <c r="AM160">
        <v>4</v>
      </c>
      <c r="AN160" t="e">
        <f t="shared" si="20"/>
        <v>#REF!</v>
      </c>
      <c r="AO160" t="e">
        <f t="shared" si="21"/>
        <v>#REF!</v>
      </c>
    </row>
    <row r="161" spans="18:40">
      <c r="AL161">
        <v>5</v>
      </c>
      <c r="AM161" t="e">
        <f>AN160 + (50 + INT((AM160-1)/25) * 5)</f>
        <v>#REF!</v>
      </c>
      <c r="AN161" t="e">
        <f>AM161-AN160</f>
        <v>#REF!</v>
      </c>
    </row>
    <row r="162" spans="18:40">
      <c r="AL162">
        <v>6</v>
      </c>
      <c r="AM162" t="e">
        <f t="shared" si="20"/>
        <v>#REF!</v>
      </c>
      <c r="AN162" t="e">
        <f t="shared" si="21"/>
        <v>#REF!</v>
      </c>
    </row>
    <row r="163" spans="18:40">
      <c r="AL163">
        <v>7</v>
      </c>
      <c r="AM163" t="e">
        <f t="shared" si="20"/>
        <v>#REF!</v>
      </c>
      <c r="AN163" t="e">
        <f t="shared" si="21"/>
        <v>#REF!</v>
      </c>
    </row>
    <row r="164" spans="18:40">
      <c r="AL164">
        <v>8</v>
      </c>
      <c r="AM164" t="e">
        <f t="shared" si="20"/>
        <v>#REF!</v>
      </c>
      <c r="AN164" t="e">
        <f t="shared" si="21"/>
        <v>#REF!</v>
      </c>
    </row>
    <row r="165" spans="18:40">
      <c r="AL165">
        <v>9</v>
      </c>
      <c r="AM165" t="e">
        <f t="shared" si="20"/>
        <v>#REF!</v>
      </c>
      <c r="AN165" t="e">
        <f t="shared" si="21"/>
        <v>#REF!</v>
      </c>
    </row>
    <row r="166" spans="18:40">
      <c r="T166" t="s">
        <v>518</v>
      </c>
      <c r="U166" t="s">
        <v>526</v>
      </c>
      <c r="V166" t="s">
        <v>532</v>
      </c>
      <c r="W166" t="s">
        <v>538</v>
      </c>
      <c r="AK166">
        <v>10</v>
      </c>
      <c r="AL166" t="e">
        <f>AM165 + (50 + INT((AL165-1)/25) * 5)</f>
        <v>#REF!</v>
      </c>
      <c r="AM166" t="e">
        <f>AL166-AM165</f>
        <v>#REF!</v>
      </c>
    </row>
    <row r="167" spans="18:40">
      <c r="T167" t="s">
        <v>519</v>
      </c>
      <c r="U167" t="s">
        <v>527</v>
      </c>
      <c r="V167" t="s">
        <v>533</v>
      </c>
      <c r="W167" t="s">
        <v>539</v>
      </c>
      <c r="AK167">
        <v>11</v>
      </c>
      <c r="AL167" t="e">
        <f>AL166 + (50 + INT((AK166-1)/25) * 5)</f>
        <v>#REF!</v>
      </c>
      <c r="AM167" t="e">
        <f>AL167-AL166</f>
        <v>#REF!</v>
      </c>
    </row>
    <row r="168" spans="18:40">
      <c r="R168" s="42" t="s">
        <v>87</v>
      </c>
      <c r="T168" t="s">
        <v>520</v>
      </c>
      <c r="U168" t="s">
        <v>528</v>
      </c>
      <c r="V168" t="s">
        <v>534</v>
      </c>
      <c r="W168" t="s">
        <v>540</v>
      </c>
      <c r="AK168">
        <v>12</v>
      </c>
      <c r="AL168" t="e">
        <f>AL167 + (50 + INT((AK167-1)/25) * 5)</f>
        <v>#REF!</v>
      </c>
      <c r="AM168" t="e">
        <f>AL168-AL167</f>
        <v>#REF!</v>
      </c>
    </row>
    <row r="169" spans="18:40">
      <c r="T169">
        <v>1</v>
      </c>
      <c r="U169">
        <v>1</v>
      </c>
      <c r="V169">
        <v>2</v>
      </c>
      <c r="W169">
        <v>3</v>
      </c>
      <c r="AK169">
        <v>13</v>
      </c>
      <c r="AL169" t="e">
        <f>AL168 + (50 + INT((AK168-1)/25) * 5)</f>
        <v>#REF!</v>
      </c>
      <c r="AM169" t="e">
        <f>AL169-AL168</f>
        <v>#REF!</v>
      </c>
    </row>
    <row r="170" spans="18:40">
      <c r="T170" t="s">
        <v>521</v>
      </c>
      <c r="U170" t="s">
        <v>529</v>
      </c>
      <c r="V170" t="s">
        <v>535</v>
      </c>
      <c r="W170" t="s">
        <v>541</v>
      </c>
      <c r="AK170">
        <v>14</v>
      </c>
      <c r="AL170" t="e">
        <f>AL169 + (50 + INT((AK169-1)/25) * 5)</f>
        <v>#REF!</v>
      </c>
      <c r="AM170" t="e">
        <f>AL170-AL169</f>
        <v>#REF!</v>
      </c>
    </row>
    <row r="171" spans="18:40">
      <c r="T171" t="s">
        <v>522</v>
      </c>
      <c r="U171" t="s">
        <v>530</v>
      </c>
      <c r="V171" t="s">
        <v>536</v>
      </c>
      <c r="W171" t="s">
        <v>542</v>
      </c>
      <c r="AK171">
        <v>15</v>
      </c>
      <c r="AL171" t="e">
        <f t="shared" si="20"/>
        <v>#REF!</v>
      </c>
      <c r="AM171" t="e">
        <f t="shared" si="21"/>
        <v>#REF!</v>
      </c>
    </row>
    <row r="172" spans="18:40">
      <c r="T172" t="s">
        <v>523</v>
      </c>
      <c r="U172" t="s">
        <v>523</v>
      </c>
      <c r="V172" t="s">
        <v>523</v>
      </c>
      <c r="W172" t="s">
        <v>523</v>
      </c>
      <c r="AK172">
        <v>16</v>
      </c>
      <c r="AL172" t="e">
        <f t="shared" si="20"/>
        <v>#REF!</v>
      </c>
      <c r="AM172" t="e">
        <f t="shared" si="21"/>
        <v>#REF!</v>
      </c>
    </row>
    <row r="173" spans="18:40">
      <c r="T173" t="s">
        <v>524</v>
      </c>
      <c r="U173" t="s">
        <v>524</v>
      </c>
      <c r="V173" t="s">
        <v>524</v>
      </c>
      <c r="W173" t="s">
        <v>524</v>
      </c>
      <c r="AK173">
        <v>17</v>
      </c>
      <c r="AL173" t="e">
        <f t="shared" si="20"/>
        <v>#REF!</v>
      </c>
      <c r="AM173" t="e">
        <f t="shared" si="21"/>
        <v>#REF!</v>
      </c>
    </row>
    <row r="174" spans="18:40">
      <c r="T174">
        <v>0</v>
      </c>
      <c r="U174">
        <v>0</v>
      </c>
      <c r="V174">
        <v>2</v>
      </c>
      <c r="W174">
        <v>4</v>
      </c>
      <c r="AK174">
        <v>18</v>
      </c>
      <c r="AL174" t="e">
        <f t="shared" si="20"/>
        <v>#REF!</v>
      </c>
      <c r="AM174" t="e">
        <f t="shared" si="21"/>
        <v>#REF!</v>
      </c>
    </row>
    <row r="175" spans="18:40">
      <c r="T175">
        <v>2</v>
      </c>
      <c r="U175">
        <v>6</v>
      </c>
      <c r="V175">
        <v>11</v>
      </c>
      <c r="W175">
        <v>16</v>
      </c>
      <c r="AK175">
        <v>19</v>
      </c>
      <c r="AL175" t="e">
        <f t="shared" si="20"/>
        <v>#REF!</v>
      </c>
      <c r="AM175" t="e">
        <f t="shared" si="21"/>
        <v>#REF!</v>
      </c>
    </row>
    <row r="176" spans="18:40">
      <c r="T176" t="s">
        <v>525</v>
      </c>
      <c r="U176" t="s">
        <v>531</v>
      </c>
      <c r="V176" t="s">
        <v>537</v>
      </c>
      <c r="W176" t="s">
        <v>543</v>
      </c>
      <c r="AK176">
        <v>20</v>
      </c>
      <c r="AL176" t="e">
        <f t="shared" si="20"/>
        <v>#REF!</v>
      </c>
      <c r="AM176" t="e">
        <f t="shared" si="21"/>
        <v>#REF!</v>
      </c>
    </row>
    <row r="177" spans="4:39">
      <c r="T177">
        <v>0</v>
      </c>
      <c r="U177">
        <v>0</v>
      </c>
      <c r="V177">
        <v>1</v>
      </c>
      <c r="W177">
        <v>2</v>
      </c>
      <c r="AK177">
        <v>21</v>
      </c>
      <c r="AL177" t="e">
        <f t="shared" si="20"/>
        <v>#REF!</v>
      </c>
      <c r="AM177" t="e">
        <f t="shared" si="21"/>
        <v>#REF!</v>
      </c>
    </row>
    <row r="178" spans="4:39">
      <c r="T178">
        <v>100</v>
      </c>
      <c r="U178">
        <v>100</v>
      </c>
      <c r="V178">
        <v>100</v>
      </c>
      <c r="W178">
        <v>100</v>
      </c>
      <c r="AK178">
        <v>22</v>
      </c>
      <c r="AL178" t="e">
        <f t="shared" si="20"/>
        <v>#REF!</v>
      </c>
      <c r="AM178" t="e">
        <f t="shared" si="21"/>
        <v>#REF!</v>
      </c>
    </row>
    <row r="179" spans="4:39">
      <c r="T179">
        <v>250</v>
      </c>
      <c r="U179">
        <v>250</v>
      </c>
      <c r="V179">
        <v>250</v>
      </c>
      <c r="W179">
        <v>250</v>
      </c>
      <c r="AK179">
        <v>23</v>
      </c>
      <c r="AL179" t="e">
        <f t="shared" si="20"/>
        <v>#REF!</v>
      </c>
      <c r="AM179" t="e">
        <f t="shared" si="21"/>
        <v>#REF!</v>
      </c>
    </row>
    <row r="180" spans="4:39">
      <c r="T180">
        <v>500</v>
      </c>
      <c r="U180">
        <v>500</v>
      </c>
      <c r="V180">
        <v>500</v>
      </c>
      <c r="W180">
        <v>500</v>
      </c>
      <c r="AK180">
        <v>24</v>
      </c>
      <c r="AL180" t="e">
        <f t="shared" si="20"/>
        <v>#REF!</v>
      </c>
      <c r="AM180" t="e">
        <f t="shared" si="21"/>
        <v>#REF!</v>
      </c>
    </row>
    <row r="181" spans="4:39">
      <c r="T181">
        <v>800</v>
      </c>
      <c r="U181">
        <v>800</v>
      </c>
      <c r="V181">
        <v>800</v>
      </c>
      <c r="W181">
        <v>800</v>
      </c>
      <c r="AK181">
        <v>25</v>
      </c>
      <c r="AL181" t="e">
        <f t="shared" si="20"/>
        <v>#REF!</v>
      </c>
      <c r="AM181" t="e">
        <f t="shared" si="21"/>
        <v>#REF!</v>
      </c>
    </row>
    <row r="182" spans="4:39">
      <c r="T182">
        <v>1200</v>
      </c>
      <c r="U182">
        <v>1200</v>
      </c>
      <c r="V182">
        <v>1200</v>
      </c>
      <c r="W182">
        <v>1200</v>
      </c>
      <c r="AK182">
        <v>26</v>
      </c>
      <c r="AL182" t="e">
        <f t="shared" si="20"/>
        <v>#REF!</v>
      </c>
      <c r="AM182" t="e">
        <f t="shared" si="21"/>
        <v>#REF!</v>
      </c>
    </row>
    <row r="183" spans="4:39">
      <c r="D183" t="s">
        <v>42</v>
      </c>
      <c r="T183">
        <v>1700</v>
      </c>
      <c r="U183">
        <v>1700</v>
      </c>
      <c r="V183">
        <v>1700</v>
      </c>
      <c r="W183">
        <v>1700</v>
      </c>
      <c r="AK183">
        <v>27</v>
      </c>
      <c r="AL183" t="e">
        <f t="shared" si="20"/>
        <v>#REF!</v>
      </c>
      <c r="AM183" t="e">
        <f t="shared" si="21"/>
        <v>#REF!</v>
      </c>
    </row>
    <row r="184" spans="4:39">
      <c r="T184">
        <v>2500</v>
      </c>
      <c r="U184">
        <v>2500</v>
      </c>
      <c r="V184">
        <v>2500</v>
      </c>
      <c r="W184">
        <v>2500</v>
      </c>
      <c r="AK184">
        <v>28</v>
      </c>
      <c r="AL184" t="e">
        <f t="shared" si="20"/>
        <v>#REF!</v>
      </c>
      <c r="AM184" t="e">
        <f t="shared" si="21"/>
        <v>#REF!</v>
      </c>
    </row>
    <row r="185" spans="4:39">
      <c r="T185">
        <v>3500</v>
      </c>
      <c r="U185">
        <v>3500</v>
      </c>
      <c r="V185">
        <v>3500</v>
      </c>
      <c r="W185">
        <v>3500</v>
      </c>
      <c r="AK185">
        <v>29</v>
      </c>
      <c r="AL185" t="e">
        <f t="shared" si="20"/>
        <v>#REF!</v>
      </c>
      <c r="AM185" t="e">
        <f t="shared" si="21"/>
        <v>#REF!</v>
      </c>
    </row>
    <row r="186" spans="4:39">
      <c r="T186">
        <v>5000</v>
      </c>
      <c r="U186">
        <v>5000</v>
      </c>
      <c r="V186">
        <v>5000</v>
      </c>
      <c r="W186">
        <v>5000</v>
      </c>
      <c r="AK186">
        <v>30</v>
      </c>
      <c r="AL186" t="e">
        <f t="shared" si="20"/>
        <v>#REF!</v>
      </c>
      <c r="AM186" t="e">
        <f t="shared" si="21"/>
        <v>#REF!</v>
      </c>
    </row>
    <row r="187" spans="4:39">
      <c r="T187">
        <v>7000</v>
      </c>
      <c r="U187">
        <v>7000</v>
      </c>
      <c r="V187">
        <v>7000</v>
      </c>
      <c r="W187">
        <v>7000</v>
      </c>
      <c r="AK187">
        <v>31</v>
      </c>
      <c r="AL187" t="e">
        <f t="shared" si="20"/>
        <v>#REF!</v>
      </c>
      <c r="AM187" t="e">
        <f t="shared" si="21"/>
        <v>#REF!</v>
      </c>
    </row>
    <row r="188" spans="4:39">
      <c r="T188">
        <v>10000</v>
      </c>
      <c r="U188">
        <v>10000</v>
      </c>
      <c r="V188">
        <v>10000</v>
      </c>
      <c r="W188">
        <v>10000</v>
      </c>
      <c r="AK188">
        <v>32</v>
      </c>
      <c r="AL188" t="e">
        <f t="shared" si="20"/>
        <v>#REF!</v>
      </c>
      <c r="AM188" t="e">
        <f t="shared" si="21"/>
        <v>#REF!</v>
      </c>
    </row>
    <row r="189" spans="4:39">
      <c r="T189">
        <v>14000</v>
      </c>
      <c r="U189">
        <v>14000</v>
      </c>
      <c r="V189">
        <v>14000</v>
      </c>
      <c r="W189">
        <v>14000</v>
      </c>
      <c r="AK189">
        <v>33</v>
      </c>
      <c r="AL189" t="e">
        <f t="shared" si="20"/>
        <v>#REF!</v>
      </c>
      <c r="AM189" t="e">
        <f t="shared" si="21"/>
        <v>#REF!</v>
      </c>
    </row>
    <row r="190" spans="4:39">
      <c r="T190">
        <v>20000</v>
      </c>
      <c r="U190">
        <v>20000</v>
      </c>
      <c r="V190">
        <v>20000</v>
      </c>
      <c r="W190">
        <v>20000</v>
      </c>
      <c r="AK190">
        <v>34</v>
      </c>
      <c r="AL190" t="e">
        <f t="shared" si="20"/>
        <v>#REF!</v>
      </c>
      <c r="AM190" t="e">
        <f t="shared" si="21"/>
        <v>#REF!</v>
      </c>
    </row>
    <row r="191" spans="4:39">
      <c r="T191">
        <v>30000</v>
      </c>
      <c r="U191">
        <v>30000</v>
      </c>
      <c r="V191">
        <v>30000</v>
      </c>
      <c r="W191">
        <v>30000</v>
      </c>
      <c r="AK191">
        <v>35</v>
      </c>
      <c r="AL191" t="e">
        <f t="shared" ref="AL191:AM222" si="22">AL190 + (50 + INT((AK190-1)/25) * 5)</f>
        <v>#REF!</v>
      </c>
      <c r="AM191" t="e">
        <f t="shared" ref="AM191:AN222" si="23">AL191-AL190</f>
        <v>#REF!</v>
      </c>
    </row>
    <row r="192" spans="4:39">
      <c r="T192">
        <v>50000</v>
      </c>
      <c r="U192">
        <v>50000</v>
      </c>
      <c r="V192">
        <v>50000</v>
      </c>
      <c r="W192">
        <v>50000</v>
      </c>
      <c r="AK192">
        <v>36</v>
      </c>
      <c r="AL192" t="e">
        <f t="shared" si="22"/>
        <v>#REF!</v>
      </c>
      <c r="AM192" t="e">
        <f t="shared" si="23"/>
        <v>#REF!</v>
      </c>
    </row>
    <row r="193" spans="20:40">
      <c r="T193">
        <v>20</v>
      </c>
      <c r="U193">
        <v>20</v>
      </c>
      <c r="V193">
        <v>20</v>
      </c>
      <c r="W193">
        <v>20</v>
      </c>
      <c r="AK193">
        <v>37</v>
      </c>
      <c r="AL193" t="e">
        <f t="shared" si="22"/>
        <v>#REF!</v>
      </c>
      <c r="AM193" t="e">
        <f t="shared" si="23"/>
        <v>#REF!</v>
      </c>
    </row>
    <row r="194" spans="20:40">
      <c r="T194">
        <v>50</v>
      </c>
      <c r="U194">
        <v>50</v>
      </c>
      <c r="V194">
        <v>50</v>
      </c>
      <c r="W194">
        <v>50</v>
      </c>
      <c r="AK194">
        <v>38</v>
      </c>
      <c r="AL194" t="e">
        <f t="shared" si="22"/>
        <v>#REF!</v>
      </c>
      <c r="AM194" t="e">
        <f t="shared" si="23"/>
        <v>#REF!</v>
      </c>
    </row>
    <row r="195" spans="20:40">
      <c r="T195">
        <v>100</v>
      </c>
      <c r="U195">
        <v>100</v>
      </c>
      <c r="V195">
        <v>100</v>
      </c>
      <c r="W195">
        <v>100</v>
      </c>
      <c r="AK195">
        <v>39</v>
      </c>
      <c r="AL195" t="e">
        <f t="shared" si="22"/>
        <v>#REF!</v>
      </c>
      <c r="AM195" t="e">
        <f t="shared" si="23"/>
        <v>#REF!</v>
      </c>
    </row>
    <row r="196" spans="20:40">
      <c r="T196">
        <v>200</v>
      </c>
      <c r="U196">
        <v>200</v>
      </c>
      <c r="V196">
        <v>200</v>
      </c>
      <c r="W196">
        <v>200</v>
      </c>
      <c r="AK196">
        <v>40</v>
      </c>
      <c r="AL196" t="e">
        <f t="shared" si="22"/>
        <v>#REF!</v>
      </c>
      <c r="AM196" t="e">
        <f t="shared" si="23"/>
        <v>#REF!</v>
      </c>
    </row>
    <row r="197" spans="20:40">
      <c r="T197">
        <v>350</v>
      </c>
      <c r="U197">
        <v>350</v>
      </c>
      <c r="V197">
        <v>350</v>
      </c>
      <c r="W197">
        <v>350</v>
      </c>
      <c r="AK197">
        <v>41</v>
      </c>
      <c r="AL197" t="e">
        <f t="shared" si="22"/>
        <v>#REF!</v>
      </c>
      <c r="AM197" t="e">
        <f t="shared" si="23"/>
        <v>#REF!</v>
      </c>
    </row>
    <row r="198" spans="20:40">
      <c r="T198">
        <v>500</v>
      </c>
      <c r="U198">
        <v>500</v>
      </c>
      <c r="V198">
        <v>500</v>
      </c>
      <c r="W198">
        <v>500</v>
      </c>
      <c r="AK198">
        <v>42</v>
      </c>
      <c r="AL198" t="e">
        <f t="shared" si="22"/>
        <v>#REF!</v>
      </c>
      <c r="AM198" t="e">
        <f t="shared" si="23"/>
        <v>#REF!</v>
      </c>
    </row>
    <row r="199" spans="20:40">
      <c r="T199">
        <v>650</v>
      </c>
      <c r="U199">
        <v>650</v>
      </c>
      <c r="V199">
        <v>650</v>
      </c>
      <c r="W199">
        <v>650</v>
      </c>
      <c r="AK199">
        <v>43</v>
      </c>
      <c r="AL199" t="e">
        <f t="shared" si="22"/>
        <v>#REF!</v>
      </c>
      <c r="AM199" t="e">
        <f t="shared" si="23"/>
        <v>#REF!</v>
      </c>
    </row>
    <row r="200" spans="20:40">
      <c r="T200">
        <v>800</v>
      </c>
      <c r="U200">
        <v>800</v>
      </c>
      <c r="V200">
        <v>800</v>
      </c>
      <c r="W200">
        <v>800</v>
      </c>
      <c r="AK200">
        <v>44</v>
      </c>
      <c r="AL200" t="e">
        <f t="shared" si="22"/>
        <v>#REF!</v>
      </c>
      <c r="AM200" t="e">
        <f t="shared" si="23"/>
        <v>#REF!</v>
      </c>
    </row>
    <row r="201" spans="20:40">
      <c r="T201">
        <v>1000</v>
      </c>
      <c r="U201">
        <v>1000</v>
      </c>
      <c r="V201">
        <v>1000</v>
      </c>
      <c r="W201">
        <v>1000</v>
      </c>
      <c r="AK201">
        <v>45</v>
      </c>
      <c r="AL201" t="e">
        <f t="shared" si="22"/>
        <v>#REF!</v>
      </c>
      <c r="AM201" t="e">
        <f t="shared" si="23"/>
        <v>#REF!</v>
      </c>
    </row>
    <row r="202" spans="20:40">
      <c r="T202">
        <v>1200</v>
      </c>
      <c r="U202">
        <v>1200</v>
      </c>
      <c r="V202">
        <v>1200</v>
      </c>
      <c r="W202">
        <v>1200</v>
      </c>
      <c r="AK202">
        <v>46</v>
      </c>
      <c r="AL202" t="e">
        <f t="shared" si="22"/>
        <v>#REF!</v>
      </c>
      <c r="AM202" t="e">
        <f t="shared" si="23"/>
        <v>#REF!</v>
      </c>
    </row>
    <row r="203" spans="20:40">
      <c r="T203">
        <v>1500</v>
      </c>
      <c r="U203">
        <v>1500</v>
      </c>
      <c r="V203">
        <v>1500</v>
      </c>
      <c r="W203">
        <v>1500</v>
      </c>
      <c r="AK203">
        <v>47</v>
      </c>
      <c r="AL203" t="e">
        <f t="shared" si="22"/>
        <v>#REF!</v>
      </c>
      <c r="AM203" t="e">
        <f t="shared" si="23"/>
        <v>#REF!</v>
      </c>
    </row>
    <row r="204" spans="20:40">
      <c r="T204">
        <v>1800</v>
      </c>
      <c r="U204">
        <v>1800</v>
      </c>
      <c r="V204">
        <v>1800</v>
      </c>
      <c r="W204">
        <v>1800</v>
      </c>
      <c r="AK204">
        <v>48</v>
      </c>
      <c r="AL204" t="e">
        <f t="shared" si="22"/>
        <v>#REF!</v>
      </c>
      <c r="AM204" t="e">
        <f t="shared" si="23"/>
        <v>#REF!</v>
      </c>
    </row>
    <row r="205" spans="20:40">
      <c r="T205">
        <v>2100</v>
      </c>
      <c r="U205">
        <v>2100</v>
      </c>
      <c r="V205">
        <v>2100</v>
      </c>
      <c r="W205">
        <v>2100</v>
      </c>
      <c r="AK205">
        <v>49</v>
      </c>
      <c r="AL205" t="e">
        <f t="shared" si="22"/>
        <v>#REF!</v>
      </c>
      <c r="AM205" t="e">
        <f t="shared" si="23"/>
        <v>#REF!</v>
      </c>
    </row>
    <row r="206" spans="20:40">
      <c r="T206">
        <v>2500</v>
      </c>
      <c r="U206">
        <v>2500</v>
      </c>
      <c r="V206">
        <v>2500</v>
      </c>
      <c r="W206">
        <v>2500</v>
      </c>
      <c r="AK206">
        <v>50</v>
      </c>
      <c r="AL206" t="e">
        <f t="shared" si="22"/>
        <v>#REF!</v>
      </c>
      <c r="AM206" t="e">
        <f t="shared" si="23"/>
        <v>#REF!</v>
      </c>
    </row>
    <row r="207" spans="20:40">
      <c r="T207">
        <v>3000</v>
      </c>
      <c r="U207">
        <v>3000</v>
      </c>
      <c r="V207">
        <v>3000</v>
      </c>
      <c r="W207">
        <v>3000</v>
      </c>
      <c r="AK207">
        <v>51</v>
      </c>
      <c r="AL207" t="e">
        <f t="shared" si="22"/>
        <v>#REF!</v>
      </c>
      <c r="AM207" t="e">
        <f t="shared" si="23"/>
        <v>#REF!</v>
      </c>
    </row>
    <row r="208" spans="20:40">
      <c r="AL208">
        <v>52</v>
      </c>
      <c r="AM208" t="e">
        <f>AL207 + (50 + INT((AK207-1)/25) * 5)</f>
        <v>#REF!</v>
      </c>
      <c r="AN208" t="e">
        <f>AM208-AL207</f>
        <v>#REF!</v>
      </c>
    </row>
    <row r="209" spans="20:40">
      <c r="U209" t="s">
        <v>138</v>
      </c>
      <c r="W209" t="s">
        <v>288</v>
      </c>
      <c r="AL209">
        <v>53</v>
      </c>
      <c r="AM209" t="e">
        <f t="shared" si="22"/>
        <v>#REF!</v>
      </c>
      <c r="AN209" t="e">
        <f t="shared" si="23"/>
        <v>#REF!</v>
      </c>
    </row>
    <row r="210" spans="20:40">
      <c r="T210" s="28">
        <v>4</v>
      </c>
      <c r="U210" s="28">
        <v>140</v>
      </c>
      <c r="V210" s="28">
        <v>4</v>
      </c>
      <c r="W210" s="28">
        <v>300</v>
      </c>
      <c r="AL210">
        <v>54</v>
      </c>
      <c r="AM210" t="e">
        <f t="shared" si="22"/>
        <v>#REF!</v>
      </c>
      <c r="AN210" t="e">
        <f t="shared" si="23"/>
        <v>#REF!</v>
      </c>
    </row>
    <row r="211" spans="20:40">
      <c r="AL211">
        <v>55</v>
      </c>
      <c r="AM211" t="e">
        <f t="shared" si="22"/>
        <v>#REF!</v>
      </c>
      <c r="AN211" t="e">
        <f t="shared" si="23"/>
        <v>#REF!</v>
      </c>
    </row>
    <row r="212" spans="20:40">
      <c r="AL212">
        <v>56</v>
      </c>
      <c r="AM212" t="e">
        <f t="shared" si="22"/>
        <v>#REF!</v>
      </c>
      <c r="AN212" t="e">
        <f t="shared" si="23"/>
        <v>#REF!</v>
      </c>
    </row>
    <row r="213" spans="20:40">
      <c r="AL213">
        <v>57</v>
      </c>
      <c r="AM213" t="e">
        <f t="shared" si="22"/>
        <v>#REF!</v>
      </c>
      <c r="AN213" t="e">
        <f t="shared" si="23"/>
        <v>#REF!</v>
      </c>
    </row>
    <row r="214" spans="20:40">
      <c r="AL214">
        <v>58</v>
      </c>
      <c r="AM214" t="e">
        <f t="shared" si="22"/>
        <v>#REF!</v>
      </c>
      <c r="AN214" t="e">
        <f t="shared" si="23"/>
        <v>#REF!</v>
      </c>
    </row>
    <row r="215" spans="20:40">
      <c r="AL215">
        <v>59</v>
      </c>
      <c r="AM215" t="e">
        <f t="shared" si="22"/>
        <v>#REF!</v>
      </c>
      <c r="AN215" t="e">
        <f t="shared" si="23"/>
        <v>#REF!</v>
      </c>
    </row>
    <row r="216" spans="20:40">
      <c r="AL216">
        <v>60</v>
      </c>
      <c r="AM216" t="e">
        <f t="shared" si="22"/>
        <v>#REF!</v>
      </c>
      <c r="AN216" t="e">
        <f t="shared" si="23"/>
        <v>#REF!</v>
      </c>
    </row>
    <row r="217" spans="20:40">
      <c r="AL217">
        <v>61</v>
      </c>
      <c r="AM217" t="e">
        <f t="shared" si="22"/>
        <v>#REF!</v>
      </c>
      <c r="AN217" t="e">
        <f t="shared" si="23"/>
        <v>#REF!</v>
      </c>
    </row>
    <row r="218" spans="20:40">
      <c r="AL218">
        <v>62</v>
      </c>
      <c r="AM218" t="e">
        <f t="shared" si="22"/>
        <v>#REF!</v>
      </c>
      <c r="AN218" t="e">
        <f t="shared" si="23"/>
        <v>#REF!</v>
      </c>
    </row>
    <row r="219" spans="20:40">
      <c r="AL219">
        <v>63</v>
      </c>
      <c r="AM219" t="e">
        <f t="shared" si="22"/>
        <v>#REF!</v>
      </c>
      <c r="AN219" t="e">
        <f t="shared" si="23"/>
        <v>#REF!</v>
      </c>
    </row>
    <row r="220" spans="20:40">
      <c r="AL220">
        <v>64</v>
      </c>
      <c r="AM220" t="e">
        <f t="shared" si="22"/>
        <v>#REF!</v>
      </c>
      <c r="AN220" t="e">
        <f t="shared" si="23"/>
        <v>#REF!</v>
      </c>
    </row>
    <row r="221" spans="20:40">
      <c r="AL221">
        <v>65</v>
      </c>
      <c r="AM221" t="e">
        <f t="shared" si="22"/>
        <v>#REF!</v>
      </c>
      <c r="AN221" t="e">
        <f t="shared" si="23"/>
        <v>#REF!</v>
      </c>
    </row>
    <row r="222" spans="20:40">
      <c r="AL222">
        <v>66</v>
      </c>
      <c r="AM222" t="e">
        <f t="shared" si="22"/>
        <v>#REF!</v>
      </c>
      <c r="AN222" t="e">
        <f t="shared" si="23"/>
        <v>#REF!</v>
      </c>
    </row>
    <row r="223" spans="20:40">
      <c r="AL223">
        <v>67</v>
      </c>
      <c r="AM223" t="e">
        <f t="shared" ref="AM223:AM254" si="24">AM222 + (50 + INT((AL222-1)/25) * 5)</f>
        <v>#REF!</v>
      </c>
      <c r="AN223" t="e">
        <f t="shared" ref="AN223:AN254" si="25">AM223-AM222</f>
        <v>#REF!</v>
      </c>
    </row>
    <row r="224" spans="20:40">
      <c r="AL224">
        <v>68</v>
      </c>
      <c r="AM224" t="e">
        <f t="shared" si="24"/>
        <v>#REF!</v>
      </c>
      <c r="AN224" t="e">
        <f t="shared" si="25"/>
        <v>#REF!</v>
      </c>
    </row>
    <row r="225" spans="38:40">
      <c r="AL225">
        <v>69</v>
      </c>
      <c r="AM225" t="e">
        <f t="shared" si="24"/>
        <v>#REF!</v>
      </c>
      <c r="AN225" t="e">
        <f t="shared" si="25"/>
        <v>#REF!</v>
      </c>
    </row>
    <row r="226" spans="38:40">
      <c r="AL226">
        <v>70</v>
      </c>
      <c r="AM226" t="e">
        <f t="shared" si="24"/>
        <v>#REF!</v>
      </c>
      <c r="AN226" t="e">
        <f t="shared" si="25"/>
        <v>#REF!</v>
      </c>
    </row>
    <row r="227" spans="38:40">
      <c r="AL227">
        <v>71</v>
      </c>
      <c r="AM227" t="e">
        <f t="shared" si="24"/>
        <v>#REF!</v>
      </c>
      <c r="AN227" t="e">
        <f t="shared" si="25"/>
        <v>#REF!</v>
      </c>
    </row>
    <row r="228" spans="38:40">
      <c r="AL228">
        <v>72</v>
      </c>
      <c r="AM228" t="e">
        <f t="shared" si="24"/>
        <v>#REF!</v>
      </c>
      <c r="AN228" t="e">
        <f t="shared" si="25"/>
        <v>#REF!</v>
      </c>
    </row>
    <row r="229" spans="38:40">
      <c r="AL229">
        <v>73</v>
      </c>
      <c r="AM229" t="e">
        <f t="shared" si="24"/>
        <v>#REF!</v>
      </c>
      <c r="AN229" t="e">
        <f t="shared" si="25"/>
        <v>#REF!</v>
      </c>
    </row>
    <row r="230" spans="38:40">
      <c r="AL230">
        <v>74</v>
      </c>
      <c r="AM230" t="e">
        <f t="shared" si="24"/>
        <v>#REF!</v>
      </c>
      <c r="AN230" t="e">
        <f t="shared" si="25"/>
        <v>#REF!</v>
      </c>
    </row>
    <row r="231" spans="38:40">
      <c r="AL231">
        <v>75</v>
      </c>
      <c r="AM231" t="e">
        <f t="shared" si="24"/>
        <v>#REF!</v>
      </c>
      <c r="AN231" t="e">
        <f t="shared" si="25"/>
        <v>#REF!</v>
      </c>
    </row>
    <row r="232" spans="38:40">
      <c r="AL232">
        <v>76</v>
      </c>
      <c r="AM232" t="e">
        <f t="shared" si="24"/>
        <v>#REF!</v>
      </c>
      <c r="AN232" t="e">
        <f t="shared" si="25"/>
        <v>#REF!</v>
      </c>
    </row>
    <row r="233" spans="38:40">
      <c r="AL233">
        <v>77</v>
      </c>
      <c r="AM233" t="e">
        <f t="shared" si="24"/>
        <v>#REF!</v>
      </c>
      <c r="AN233" t="e">
        <f t="shared" si="25"/>
        <v>#REF!</v>
      </c>
    </row>
    <row r="234" spans="38:40">
      <c r="AL234">
        <v>78</v>
      </c>
      <c r="AM234" t="e">
        <f t="shared" si="24"/>
        <v>#REF!</v>
      </c>
      <c r="AN234" t="e">
        <f t="shared" si="25"/>
        <v>#REF!</v>
      </c>
    </row>
    <row r="235" spans="38:40">
      <c r="AL235">
        <v>79</v>
      </c>
      <c r="AM235" t="e">
        <f t="shared" si="24"/>
        <v>#REF!</v>
      </c>
      <c r="AN235" t="e">
        <f t="shared" si="25"/>
        <v>#REF!</v>
      </c>
    </row>
    <row r="236" spans="38:40">
      <c r="AL236">
        <v>80</v>
      </c>
      <c r="AM236" t="e">
        <f t="shared" si="24"/>
        <v>#REF!</v>
      </c>
      <c r="AN236" t="e">
        <f t="shared" si="25"/>
        <v>#REF!</v>
      </c>
    </row>
    <row r="237" spans="38:40">
      <c r="AL237">
        <v>81</v>
      </c>
      <c r="AM237" t="e">
        <f t="shared" si="24"/>
        <v>#REF!</v>
      </c>
      <c r="AN237" t="e">
        <f t="shared" si="25"/>
        <v>#REF!</v>
      </c>
    </row>
    <row r="238" spans="38:40">
      <c r="AL238">
        <v>82</v>
      </c>
      <c r="AM238" t="e">
        <f t="shared" si="24"/>
        <v>#REF!</v>
      </c>
      <c r="AN238" t="e">
        <f t="shared" si="25"/>
        <v>#REF!</v>
      </c>
    </row>
    <row r="239" spans="38:40">
      <c r="AL239">
        <v>83</v>
      </c>
      <c r="AM239" t="e">
        <f t="shared" si="24"/>
        <v>#REF!</v>
      </c>
      <c r="AN239" t="e">
        <f t="shared" si="25"/>
        <v>#REF!</v>
      </c>
    </row>
    <row r="240" spans="38:40">
      <c r="AL240">
        <v>84</v>
      </c>
      <c r="AM240" t="e">
        <f t="shared" si="24"/>
        <v>#REF!</v>
      </c>
      <c r="AN240" t="e">
        <f t="shared" si="25"/>
        <v>#REF!</v>
      </c>
    </row>
    <row r="241" spans="38:40">
      <c r="AL241">
        <v>85</v>
      </c>
      <c r="AM241" t="e">
        <f t="shared" si="24"/>
        <v>#REF!</v>
      </c>
      <c r="AN241" t="e">
        <f t="shared" si="25"/>
        <v>#REF!</v>
      </c>
    </row>
    <row r="242" spans="38:40">
      <c r="AL242">
        <v>86</v>
      </c>
      <c r="AM242" t="e">
        <f t="shared" si="24"/>
        <v>#REF!</v>
      </c>
      <c r="AN242" t="e">
        <f t="shared" si="25"/>
        <v>#REF!</v>
      </c>
    </row>
    <row r="243" spans="38:40">
      <c r="AL243">
        <v>87</v>
      </c>
      <c r="AM243" t="e">
        <f t="shared" si="24"/>
        <v>#REF!</v>
      </c>
      <c r="AN243" t="e">
        <f t="shared" si="25"/>
        <v>#REF!</v>
      </c>
    </row>
    <row r="244" spans="38:40">
      <c r="AL244">
        <v>88</v>
      </c>
      <c r="AM244" t="e">
        <f t="shared" si="24"/>
        <v>#REF!</v>
      </c>
      <c r="AN244" t="e">
        <f t="shared" si="25"/>
        <v>#REF!</v>
      </c>
    </row>
    <row r="245" spans="38:40">
      <c r="AL245">
        <v>89</v>
      </c>
      <c r="AM245" t="e">
        <f t="shared" si="24"/>
        <v>#REF!</v>
      </c>
      <c r="AN245" t="e">
        <f t="shared" si="25"/>
        <v>#REF!</v>
      </c>
    </row>
    <row r="246" spans="38:40">
      <c r="AL246">
        <v>90</v>
      </c>
      <c r="AM246" t="e">
        <f t="shared" si="24"/>
        <v>#REF!</v>
      </c>
      <c r="AN246" t="e">
        <f t="shared" si="25"/>
        <v>#REF!</v>
      </c>
    </row>
    <row r="247" spans="38:40">
      <c r="AL247">
        <v>91</v>
      </c>
      <c r="AM247" t="e">
        <f t="shared" si="24"/>
        <v>#REF!</v>
      </c>
      <c r="AN247" t="e">
        <f t="shared" si="25"/>
        <v>#REF!</v>
      </c>
    </row>
    <row r="248" spans="38:40">
      <c r="AL248">
        <v>92</v>
      </c>
      <c r="AM248" t="e">
        <f t="shared" si="24"/>
        <v>#REF!</v>
      </c>
      <c r="AN248" t="e">
        <f t="shared" si="25"/>
        <v>#REF!</v>
      </c>
    </row>
    <row r="249" spans="38:40">
      <c r="AL249">
        <v>93</v>
      </c>
      <c r="AM249" t="e">
        <f t="shared" si="24"/>
        <v>#REF!</v>
      </c>
      <c r="AN249" t="e">
        <f t="shared" si="25"/>
        <v>#REF!</v>
      </c>
    </row>
    <row r="250" spans="38:40">
      <c r="AL250">
        <v>94</v>
      </c>
      <c r="AM250" t="e">
        <f t="shared" si="24"/>
        <v>#REF!</v>
      </c>
      <c r="AN250" t="e">
        <f t="shared" si="25"/>
        <v>#REF!</v>
      </c>
    </row>
    <row r="251" spans="38:40">
      <c r="AL251">
        <v>95</v>
      </c>
      <c r="AM251" t="e">
        <f t="shared" si="24"/>
        <v>#REF!</v>
      </c>
      <c r="AN251" t="e">
        <f t="shared" si="25"/>
        <v>#REF!</v>
      </c>
    </row>
    <row r="252" spans="38:40">
      <c r="AL252">
        <v>96</v>
      </c>
      <c r="AM252" t="e">
        <f t="shared" si="24"/>
        <v>#REF!</v>
      </c>
      <c r="AN252" t="e">
        <f t="shared" si="25"/>
        <v>#REF!</v>
      </c>
    </row>
    <row r="253" spans="38:40">
      <c r="AL253">
        <v>97</v>
      </c>
      <c r="AM253" t="e">
        <f t="shared" si="24"/>
        <v>#REF!</v>
      </c>
      <c r="AN253" t="e">
        <f t="shared" si="25"/>
        <v>#REF!</v>
      </c>
    </row>
    <row r="254" spans="38:40">
      <c r="AL254">
        <v>98</v>
      </c>
      <c r="AM254" t="e">
        <f t="shared" si="24"/>
        <v>#REF!</v>
      </c>
      <c r="AN254" t="e">
        <f t="shared" si="25"/>
        <v>#REF!</v>
      </c>
    </row>
    <row r="255" spans="38:40">
      <c r="AL255">
        <v>99</v>
      </c>
      <c r="AM255" t="e">
        <f t="shared" ref="AM255:AM271" si="26">AM254 + (50 + INT((AL254-1)/25) * 5)</f>
        <v>#REF!</v>
      </c>
      <c r="AN255" t="e">
        <f t="shared" ref="AN255:AN271" si="27">AM255-AM254</f>
        <v>#REF!</v>
      </c>
    </row>
    <row r="256" spans="38:40">
      <c r="AL256">
        <v>100</v>
      </c>
      <c r="AM256" t="e">
        <f t="shared" si="26"/>
        <v>#REF!</v>
      </c>
      <c r="AN256" t="e">
        <f t="shared" si="27"/>
        <v>#REF!</v>
      </c>
    </row>
    <row r="257" spans="38:40">
      <c r="AL257">
        <v>101</v>
      </c>
      <c r="AM257" t="e">
        <f t="shared" si="26"/>
        <v>#REF!</v>
      </c>
      <c r="AN257" t="e">
        <f t="shared" si="27"/>
        <v>#REF!</v>
      </c>
    </row>
    <row r="258" spans="38:40">
      <c r="AL258">
        <v>102</v>
      </c>
      <c r="AM258" t="e">
        <f t="shared" si="26"/>
        <v>#REF!</v>
      </c>
      <c r="AN258" t="e">
        <f t="shared" si="27"/>
        <v>#REF!</v>
      </c>
    </row>
    <row r="259" spans="38:40">
      <c r="AL259">
        <v>103</v>
      </c>
      <c r="AM259" t="e">
        <f t="shared" si="26"/>
        <v>#REF!</v>
      </c>
      <c r="AN259" t="e">
        <f t="shared" si="27"/>
        <v>#REF!</v>
      </c>
    </row>
    <row r="260" spans="38:40">
      <c r="AL260">
        <v>104</v>
      </c>
      <c r="AM260" t="e">
        <f t="shared" si="26"/>
        <v>#REF!</v>
      </c>
      <c r="AN260" t="e">
        <f t="shared" si="27"/>
        <v>#REF!</v>
      </c>
    </row>
    <row r="261" spans="38:40">
      <c r="AL261">
        <v>105</v>
      </c>
      <c r="AM261" t="e">
        <f t="shared" si="26"/>
        <v>#REF!</v>
      </c>
      <c r="AN261" t="e">
        <f t="shared" si="27"/>
        <v>#REF!</v>
      </c>
    </row>
    <row r="262" spans="38:40">
      <c r="AL262">
        <v>106</v>
      </c>
      <c r="AM262" t="e">
        <f t="shared" si="26"/>
        <v>#REF!</v>
      </c>
      <c r="AN262" t="e">
        <f t="shared" si="27"/>
        <v>#REF!</v>
      </c>
    </row>
    <row r="263" spans="38:40">
      <c r="AL263">
        <v>107</v>
      </c>
      <c r="AM263" t="e">
        <f t="shared" si="26"/>
        <v>#REF!</v>
      </c>
      <c r="AN263" t="e">
        <f t="shared" si="27"/>
        <v>#REF!</v>
      </c>
    </row>
    <row r="264" spans="38:40">
      <c r="AL264">
        <v>108</v>
      </c>
      <c r="AM264" t="e">
        <f t="shared" si="26"/>
        <v>#REF!</v>
      </c>
      <c r="AN264" t="e">
        <f t="shared" si="27"/>
        <v>#REF!</v>
      </c>
    </row>
    <row r="265" spans="38:40">
      <c r="AL265">
        <v>109</v>
      </c>
      <c r="AM265" t="e">
        <f t="shared" si="26"/>
        <v>#REF!</v>
      </c>
      <c r="AN265" t="e">
        <f t="shared" si="27"/>
        <v>#REF!</v>
      </c>
    </row>
    <row r="266" spans="38:40">
      <c r="AL266">
        <v>110</v>
      </c>
      <c r="AM266" t="e">
        <f t="shared" si="26"/>
        <v>#REF!</v>
      </c>
      <c r="AN266" t="e">
        <f t="shared" si="27"/>
        <v>#REF!</v>
      </c>
    </row>
    <row r="267" spans="38:40">
      <c r="AL267">
        <v>111</v>
      </c>
      <c r="AM267" t="e">
        <f t="shared" si="26"/>
        <v>#REF!</v>
      </c>
      <c r="AN267" t="e">
        <f t="shared" si="27"/>
        <v>#REF!</v>
      </c>
    </row>
    <row r="268" spans="38:40">
      <c r="AL268">
        <v>112</v>
      </c>
      <c r="AM268" t="e">
        <f t="shared" si="26"/>
        <v>#REF!</v>
      </c>
      <c r="AN268" t="e">
        <f t="shared" si="27"/>
        <v>#REF!</v>
      </c>
    </row>
    <row r="269" spans="38:40">
      <c r="AL269">
        <v>113</v>
      </c>
      <c r="AM269" t="e">
        <f t="shared" si="26"/>
        <v>#REF!</v>
      </c>
      <c r="AN269" t="e">
        <f t="shared" si="27"/>
        <v>#REF!</v>
      </c>
    </row>
    <row r="270" spans="38:40">
      <c r="AL270">
        <v>114</v>
      </c>
      <c r="AM270" t="e">
        <f t="shared" si="26"/>
        <v>#REF!</v>
      </c>
      <c r="AN270" t="e">
        <f t="shared" si="27"/>
        <v>#REF!</v>
      </c>
    </row>
    <row r="271" spans="38:40">
      <c r="AL271">
        <v>115</v>
      </c>
      <c r="AM271" t="e">
        <f t="shared" si="26"/>
        <v>#REF!</v>
      </c>
      <c r="AN271" t="e">
        <f t="shared" si="27"/>
        <v>#REF!</v>
      </c>
    </row>
  </sheetData>
  <sortState xmlns:xlrd2="http://schemas.microsoft.com/office/spreadsheetml/2017/richdata2" ref="V94:BL151">
    <sortCondition ref="Z94:Z151"/>
  </sortState>
  <mergeCells count="16">
    <mergeCell ref="O2:P2"/>
    <mergeCell ref="O3:P3"/>
    <mergeCell ref="O8:P8"/>
    <mergeCell ref="O7:P7"/>
    <mergeCell ref="I159:J159"/>
    <mergeCell ref="I152:J152"/>
    <mergeCell ref="I151:J151"/>
    <mergeCell ref="I153:J153"/>
    <mergeCell ref="I154:J154"/>
    <mergeCell ref="I155:J155"/>
    <mergeCell ref="I157:J157"/>
    <mergeCell ref="I156:J156"/>
    <mergeCell ref="O5:P5"/>
    <mergeCell ref="O6:P6"/>
    <mergeCell ref="O15:P15"/>
    <mergeCell ref="O14:P14"/>
  </mergeCells>
  <phoneticPr fontId="18" type="noConversion"/>
  <dataValidations count="16">
    <dataValidation type="list" allowBlank="1" showInputMessage="1" showErrorMessage="1" sqref="J42:J50" xr:uid="{462A6951-FFAF-4D15-9739-D977BE40C2B6}">
      <formula1>$P$42:$P$47</formula1>
    </dataValidation>
    <dataValidation type="list" allowBlank="1" showInputMessage="1" showErrorMessage="1" sqref="L92:L96 L107:L108 L101:L102" xr:uid="{6E7EBF99-3EF1-4388-8362-94FA39FA3952}">
      <formula1>$Q$99:$Q$106</formula1>
    </dataValidation>
    <dataValidation type="list" allowBlank="1" showInputMessage="1" showErrorMessage="1" sqref="Q92:U98 P99:U106" xr:uid="{C2A42135-8F7E-4EE8-8F89-C813A599BBDF}">
      <formula1>$AX$94:$BL$94</formula1>
    </dataValidation>
    <dataValidation type="list" allowBlank="1" showInputMessage="1" showErrorMessage="1" sqref="N103:N104" xr:uid="{1855FBE7-5568-484D-8F74-50D060F14D93}">
      <formula1>$U$108:$U$116</formula1>
    </dataValidation>
    <dataValidation type="list" allowBlank="1" showInputMessage="1" showErrorMessage="1" sqref="N112" xr:uid="{DA5EBA74-FB42-41DE-8EEB-347D0ED7198D}">
      <formula1>$P$108</formula1>
    </dataValidation>
    <dataValidation type="list" allowBlank="1" showInputMessage="1" showErrorMessage="1" sqref="N92:N93" xr:uid="{5C87DDAA-1060-4B8C-9C04-566DECF7DDAA}">
      <formula1>$Q$108:$Q$110</formula1>
    </dataValidation>
    <dataValidation type="list" allowBlank="1" showInputMessage="1" showErrorMessage="1" sqref="N94" xr:uid="{4F0762DE-4A5B-49E4-90DD-3393132B6510}">
      <formula1>$Q$108:$Q$109</formula1>
    </dataValidation>
    <dataValidation type="list" allowBlank="1" showInputMessage="1" showErrorMessage="1" sqref="N97:N98 N106" xr:uid="{551658E6-9D0F-44F2-864E-E2B5387A4013}">
      <formula1>$Q$108:$Q$115</formula1>
    </dataValidation>
    <dataValidation type="list" allowBlank="1" showInputMessage="1" showErrorMessage="1" sqref="N99 N105 N111" xr:uid="{BA89BA05-F24F-44A1-9FD0-0E8720DD2231}">
      <formula1>$Q$108</formula1>
    </dataValidation>
    <dataValidation type="list" allowBlank="1" showInputMessage="1" showErrorMessage="1" sqref="N100" xr:uid="{3238D4C1-F562-4E2A-886A-15FCC38B0585}">
      <formula1>$Q$108:$Q$112</formula1>
    </dataValidation>
    <dataValidation type="list" allowBlank="1" showInputMessage="1" showErrorMessage="1" sqref="N109:N110" xr:uid="{8D567B58-247F-4953-A496-80AB9423E1C8}">
      <formula1>$Q$108:$Q$114</formula1>
    </dataValidation>
    <dataValidation type="list" allowBlank="1" showInputMessage="1" showErrorMessage="1" sqref="J21" xr:uid="{00DFE55F-8477-4378-A8F7-603EF1F4B744}">
      <formula1>$J$59:$J$83</formula1>
    </dataValidation>
    <dataValidation type="list" allowBlank="1" showInputMessage="1" showErrorMessage="1" sqref="K30:K31 S30:S31 O30:O31" xr:uid="{C9E354F7-747A-422B-87DE-017A64D09632}">
      <formula1>$I$129:$I$139</formula1>
    </dataValidation>
    <dataValidation type="list" allowBlank="1" showInputMessage="1" showErrorMessage="1" sqref="J37" xr:uid="{B84411F0-82F8-413D-97CD-04B100CAADD5}">
      <formula1>$K$150:$M$150</formula1>
    </dataValidation>
    <dataValidation type="list" allowBlank="1" showInputMessage="1" showErrorMessage="1" sqref="J15:J16" xr:uid="{D51881E4-E26D-44A3-A773-2CEF89CA6C2E}">
      <formula1>$AA$4:$AA$23</formula1>
    </dataValidation>
    <dataValidation type="list" allowBlank="1" showInputMessage="1" showErrorMessage="1" sqref="U111 L97:L100 L103:L106 L109:L112" xr:uid="{530D327B-A10D-4C06-983F-3ED07B138AFF}">
      <formula1>$Q$91:$Q$106</formula1>
    </dataValidation>
  </dataValidations>
  <hyperlinks>
    <hyperlink ref="H41" r:id="rId1" location="능력치!H6" xr:uid="{F7BAA6A8-8BF0-411B-B5E3-B31B238CF435}"/>
    <hyperlink ref="P113" r:id="rId2" location="계산!A5" xr:uid="{596399C5-FFE7-437B-9C20-57493013EA26}"/>
    <hyperlink ref="H84" r:id="rId3" location="계산!A5" xr:uid="{93305345-FB99-4F78-9A6C-4074EF32FEC4}"/>
    <hyperlink ref="V81" r:id="rId4" location="계산!A5" xr:uid="{F0A9FC64-88BD-4137-93FE-5D9A60C59C4B}"/>
    <hyperlink ref="O51:O52" r:id="rId5" location="계산!A5" display="돌아가기" xr:uid="{E0A56ED4-FE9F-4D91-B793-9985DC5880B2}"/>
    <hyperlink ref="G21" r:id="rId6" location="계산!A5" display="돌아가기" xr:uid="{15E84A91-4878-471C-81F0-6A74C56CB34D}"/>
    <hyperlink ref="G41" r:id="rId7" location="계산!A5" xr:uid="{F45B7B29-AD8D-449D-91A7-F52B9676470B}"/>
    <hyperlink ref="G58" r:id="rId8" location="계산!A5" xr:uid="{6AC83263-3FFC-4EFF-A480-16AF2E3C4EB5}"/>
    <hyperlink ref="G92" r:id="rId9" location="계산!A5" xr:uid="{BB3E110D-4293-4313-AFB1-DA870537FF8F}"/>
    <hyperlink ref="G17" r:id="rId10" location="계산!A5" display="돌아가기" xr:uid="{74B23D10-3C55-422F-8DB2-8FE2E590C788}"/>
    <hyperlink ref="H24" r:id="rId11" location="능력치!P86" xr:uid="{36195482-D0CC-4788-A31B-EFEAFF0484A8}"/>
    <hyperlink ref="H29" r:id="rId12" location="능력치!P86" display="위인" xr:uid="{9F775C0F-4640-4099-A708-CB6C8A945329}"/>
    <hyperlink ref="G131" r:id="rId13" location="능력치!P8" xr:uid="{5F58EC20-65EA-4202-B11D-610107A65152}"/>
    <hyperlink ref="H36" r:id="rId14" location="능력치!k153" xr:uid="{53429CCA-F327-4213-B3E5-12B7D4AA3D32}"/>
    <hyperlink ref="R168" r:id="rId15" location="계산!T63" xr:uid="{5B1DBFCB-944E-4F07-897E-6D16B562E006}"/>
  </hyperlinks>
  <pageMargins left="0.7" right="0.7" top="0.75" bottom="0.75" header="0.3" footer="0.3"/>
  <ignoredErrors>
    <ignoredError sqref="O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E6E9-79F7-4DED-8354-48926FC1C23A}">
  <sheetPr codeName="Sheet4"/>
  <dimension ref="A4:AR80"/>
  <sheetViews>
    <sheetView topLeftCell="E22" zoomScaleNormal="100" workbookViewId="0">
      <selection activeCell="L42" sqref="L42"/>
    </sheetView>
  </sheetViews>
  <sheetFormatPr defaultRowHeight="16.5"/>
  <cols>
    <col min="3" max="3" width="12.375" bestFit="1" customWidth="1"/>
    <col min="4" max="4" width="29.5" customWidth="1"/>
    <col min="5" max="6" width="15.375" customWidth="1"/>
    <col min="7" max="7" width="9.25" bestFit="1" customWidth="1"/>
    <col min="9" max="9" width="11.75" bestFit="1" customWidth="1"/>
    <col min="10" max="11" width="13.125" bestFit="1" customWidth="1"/>
    <col min="12" max="12" width="23.875" customWidth="1"/>
    <col min="13" max="13" width="12.75" customWidth="1"/>
    <col min="14" max="14" width="10.5" customWidth="1"/>
    <col min="20" max="20" width="21.625" customWidth="1"/>
    <col min="22" max="22" width="16.5" bestFit="1" customWidth="1"/>
    <col min="30" max="30" width="14.75" customWidth="1"/>
  </cols>
  <sheetData>
    <row r="4" spans="3:21">
      <c r="E4" t="s">
        <v>548</v>
      </c>
      <c r="L4">
        <f>J3-J6</f>
        <v>0</v>
      </c>
    </row>
    <row r="5" spans="3:21">
      <c r="E5" t="s">
        <v>10</v>
      </c>
      <c r="G5" s="19">
        <v>12240</v>
      </c>
      <c r="H5" s="19">
        <v>5820</v>
      </c>
      <c r="I5" s="21">
        <f>H5+G5</f>
        <v>18060</v>
      </c>
    </row>
    <row r="6" spans="3:21">
      <c r="C6" t="s">
        <v>168</v>
      </c>
      <c r="M6" s="53" t="s">
        <v>59</v>
      </c>
      <c r="N6" s="53"/>
      <c r="O6" s="53"/>
      <c r="P6" s="53"/>
      <c r="Q6" s="53"/>
      <c r="R6" s="53"/>
      <c r="S6" s="53"/>
      <c r="T6" s="53"/>
      <c r="U6" s="53"/>
    </row>
    <row r="7" spans="3:21">
      <c r="C7" s="15" t="s">
        <v>56</v>
      </c>
      <c r="D7" t="s">
        <v>464</v>
      </c>
      <c r="E7" s="35" t="str">
        <f ca="1">IFERROR(VLOOKUP(D7, INDIRECT("'[" &amp; $E$4 &amp; ".xlsx]Sheet1'!$A:$C"), 3, FALSE), "찾을 수 없음")</f>
        <v>찾을 수 없음</v>
      </c>
      <c r="F7" s="35">
        <f ca="1">IF(E7="찾을 수 없음", 100, E7)</f>
        <v>100</v>
      </c>
      <c r="G7" s="35">
        <f ca="1">F7</f>
        <v>100</v>
      </c>
      <c r="J7" t="s">
        <v>76</v>
      </c>
      <c r="K7">
        <f ca="1">(G7*2)</f>
        <v>200</v>
      </c>
      <c r="M7" t="s">
        <v>507</v>
      </c>
    </row>
    <row r="8" spans="3:21">
      <c r="C8" s="15" t="s">
        <v>57</v>
      </c>
      <c r="D8" t="s">
        <v>428</v>
      </c>
      <c r="E8" s="35" t="str">
        <f t="shared" ref="E8:E32" ca="1" si="0">IFERROR(VLOOKUP(D8, INDIRECT("'[" &amp; $E$4 &amp; ".xlsx]Sheet1'!$A:$C"), 3, FALSE), "찾을 수 없음")</f>
        <v>찾을 수 없음</v>
      </c>
      <c r="F8" s="35">
        <f t="shared" ref="F8:F68" ca="1" si="1">IF(E8="찾을 수 없음", 100, E8)</f>
        <v>100</v>
      </c>
      <c r="G8" s="35">
        <f t="shared" ref="G8:G32" ca="1" si="2">F8</f>
        <v>100</v>
      </c>
      <c r="J8" t="s">
        <v>77</v>
      </c>
      <c r="K8">
        <f ca="1">(G12/100)</f>
        <v>1</v>
      </c>
      <c r="M8" t="s">
        <v>508</v>
      </c>
    </row>
    <row r="9" spans="3:21">
      <c r="C9" s="15" t="s">
        <v>167</v>
      </c>
      <c r="D9" t="s">
        <v>472</v>
      </c>
      <c r="E9" s="35" t="str">
        <f t="shared" ca="1" si="0"/>
        <v>찾을 수 없음</v>
      </c>
      <c r="F9" s="35">
        <f t="shared" ca="1" si="1"/>
        <v>100</v>
      </c>
      <c r="G9" s="35">
        <f t="shared" ca="1" si="2"/>
        <v>100</v>
      </c>
      <c r="J9" t="s">
        <v>78</v>
      </c>
      <c r="K9">
        <f>(G10*G11/10000)</f>
        <v>7123.68</v>
      </c>
      <c r="M9" t="s">
        <v>60</v>
      </c>
    </row>
    <row r="10" spans="3:21">
      <c r="C10" s="15" t="s">
        <v>43</v>
      </c>
      <c r="D10" t="s">
        <v>545</v>
      </c>
      <c r="E10" s="35" t="str">
        <f t="shared" ca="1" si="0"/>
        <v>찾을 수 없음</v>
      </c>
      <c r="F10" s="35">
        <f t="shared" ca="1" si="1"/>
        <v>100</v>
      </c>
      <c r="G10" s="19">
        <v>12240</v>
      </c>
      <c r="J10" t="s">
        <v>79</v>
      </c>
      <c r="K10">
        <f ca="1">(G31*G32/10000)</f>
        <v>13</v>
      </c>
      <c r="M10" t="s">
        <v>61</v>
      </c>
    </row>
    <row r="11" spans="3:21">
      <c r="C11" s="15" t="s">
        <v>44</v>
      </c>
      <c r="D11" t="s">
        <v>473</v>
      </c>
      <c r="E11" s="35" t="str">
        <f t="shared" ca="1" si="0"/>
        <v>찾을 수 없음</v>
      </c>
      <c r="F11" s="35">
        <f t="shared" ca="1" si="1"/>
        <v>100</v>
      </c>
      <c r="G11" s="19">
        <v>5820</v>
      </c>
      <c r="J11" t="s">
        <v>80</v>
      </c>
      <c r="K11">
        <f ca="1">G14/1000</f>
        <v>0.1</v>
      </c>
      <c r="M11" t="s">
        <v>62</v>
      </c>
    </row>
    <row r="12" spans="3:21">
      <c r="C12" s="15" t="s">
        <v>165</v>
      </c>
      <c r="D12" t="s">
        <v>474</v>
      </c>
      <c r="E12" s="35" t="str">
        <f t="shared" ca="1" si="0"/>
        <v>찾을 수 없음</v>
      </c>
      <c r="F12" s="35">
        <f t="shared" ca="1" si="1"/>
        <v>100</v>
      </c>
      <c r="G12" s="35">
        <f t="shared" ca="1" si="2"/>
        <v>100</v>
      </c>
      <c r="J12" t="s">
        <v>81</v>
      </c>
      <c r="K12">
        <f ca="1">G15/100</f>
        <v>1</v>
      </c>
      <c r="L12">
        <f ca="1">K7*K8*K9*K10*K11*K12</f>
        <v>1852156.8</v>
      </c>
      <c r="M12" t="s">
        <v>63</v>
      </c>
    </row>
    <row r="13" spans="3:21">
      <c r="C13" s="15" t="s">
        <v>166</v>
      </c>
      <c r="D13" t="s">
        <v>475</v>
      </c>
      <c r="E13" s="35" t="str">
        <f t="shared" ca="1" si="0"/>
        <v>찾을 수 없음</v>
      </c>
      <c r="F13" s="35">
        <f t="shared" ca="1" si="1"/>
        <v>100</v>
      </c>
      <c r="G13" s="35">
        <f t="shared" ca="1" si="2"/>
        <v>100</v>
      </c>
      <c r="L13" s="16">
        <f ca="1">L12+K14</f>
        <v>1852256.8</v>
      </c>
    </row>
    <row r="14" spans="3:21">
      <c r="C14" t="s">
        <v>46</v>
      </c>
      <c r="D14" t="s">
        <v>546</v>
      </c>
      <c r="E14" s="35" t="str">
        <f t="shared" ca="1" si="0"/>
        <v>찾을 수 없음</v>
      </c>
      <c r="F14" s="35">
        <f t="shared" ca="1" si="1"/>
        <v>100</v>
      </c>
      <c r="G14" s="35">
        <f t="shared" ca="1" si="2"/>
        <v>100</v>
      </c>
      <c r="J14" t="s">
        <v>547</v>
      </c>
      <c r="K14" s="16">
        <f ca="1">(G8*G13/100)</f>
        <v>100</v>
      </c>
      <c r="L14" s="18">
        <f ca="1">K7*K8*K9*K10*K11*K12+K14</f>
        <v>1852256.8</v>
      </c>
    </row>
    <row r="15" spans="3:21">
      <c r="C15" t="s">
        <v>47</v>
      </c>
      <c r="D15" t="s">
        <v>476</v>
      </c>
      <c r="E15" s="35" t="str">
        <f t="shared" ca="1" si="0"/>
        <v>찾을 수 없음</v>
      </c>
      <c r="F15" s="35">
        <f t="shared" ca="1" si="1"/>
        <v>100</v>
      </c>
      <c r="G15" s="35">
        <f t="shared" ca="1" si="2"/>
        <v>100</v>
      </c>
    </row>
    <row r="16" spans="3:21">
      <c r="C16" s="15" t="s">
        <v>48</v>
      </c>
      <c r="D16" t="s">
        <v>429</v>
      </c>
      <c r="E16" s="35" t="str">
        <f t="shared" ca="1" si="0"/>
        <v>찾을 수 없음</v>
      </c>
      <c r="F16" s="35">
        <f t="shared" ca="1" si="1"/>
        <v>100</v>
      </c>
      <c r="G16" s="35">
        <f t="shared" ca="1" si="2"/>
        <v>100</v>
      </c>
      <c r="H16">
        <v>1</v>
      </c>
      <c r="M16" t="s">
        <v>64</v>
      </c>
    </row>
    <row r="17" spans="3:28">
      <c r="C17" s="15" t="s">
        <v>49</v>
      </c>
      <c r="D17" t="s">
        <v>430</v>
      </c>
      <c r="E17" s="35" t="str">
        <f t="shared" ca="1" si="0"/>
        <v>찾을 수 없음</v>
      </c>
      <c r="F17" s="35">
        <f t="shared" ca="1" si="1"/>
        <v>100</v>
      </c>
      <c r="G17" s="35">
        <f t="shared" ca="1" si="2"/>
        <v>100</v>
      </c>
      <c r="H17">
        <v>2</v>
      </c>
      <c r="J17" t="s">
        <v>10</v>
      </c>
      <c r="K17" s="16" t="s">
        <v>10</v>
      </c>
      <c r="M17" t="s">
        <v>65</v>
      </c>
    </row>
    <row r="18" spans="3:28">
      <c r="C18" s="15" t="s">
        <v>50</v>
      </c>
      <c r="D18" t="s">
        <v>431</v>
      </c>
      <c r="E18" s="35" t="str">
        <f t="shared" ca="1" si="0"/>
        <v>찾을 수 없음</v>
      </c>
      <c r="F18" s="35">
        <f t="shared" ca="1" si="1"/>
        <v>100</v>
      </c>
      <c r="G18" s="35">
        <f t="shared" ca="1" si="2"/>
        <v>100</v>
      </c>
      <c r="H18">
        <v>3</v>
      </c>
      <c r="J18" t="s">
        <v>82</v>
      </c>
      <c r="K18">
        <f ca="1">(G16+(G17*G37/100)+(G38*G18/100/2))/100</f>
        <v>10.9</v>
      </c>
      <c r="M18" t="s">
        <v>66</v>
      </c>
    </row>
    <row r="19" spans="3:28">
      <c r="C19" s="15" t="s">
        <v>51</v>
      </c>
      <c r="D19" t="s">
        <v>432</v>
      </c>
      <c r="E19" s="35" t="str">
        <f t="shared" ca="1" si="0"/>
        <v>찾을 수 없음</v>
      </c>
      <c r="F19" s="35">
        <f t="shared" ca="1" si="1"/>
        <v>100</v>
      </c>
      <c r="G19" s="35">
        <f t="shared" ca="1" si="2"/>
        <v>100</v>
      </c>
      <c r="J19" t="s">
        <v>86</v>
      </c>
      <c r="K19">
        <f ca="1">G9/100</f>
        <v>1</v>
      </c>
      <c r="M19" t="s">
        <v>67</v>
      </c>
    </row>
    <row r="20" spans="3:28">
      <c r="C20" s="15" t="s">
        <v>52</v>
      </c>
      <c r="D20" t="s">
        <v>433</v>
      </c>
      <c r="E20" s="35" t="str">
        <f t="shared" ca="1" si="0"/>
        <v>찾을 수 없음</v>
      </c>
      <c r="F20" s="35">
        <f t="shared" ca="1" si="1"/>
        <v>100</v>
      </c>
      <c r="G20" s="35">
        <f t="shared" ca="1" si="2"/>
        <v>100</v>
      </c>
      <c r="J20" t="s">
        <v>88</v>
      </c>
      <c r="K20">
        <f ca="1">G19*G20*G21/100/100/100</f>
        <v>1</v>
      </c>
      <c r="M20" t="s">
        <v>68</v>
      </c>
    </row>
    <row r="21" spans="3:28">
      <c r="C21" s="15" t="s">
        <v>53</v>
      </c>
      <c r="D21" t="s">
        <v>434</v>
      </c>
      <c r="E21" s="35" t="str">
        <f t="shared" ca="1" si="0"/>
        <v>찾을 수 없음</v>
      </c>
      <c r="F21" s="35">
        <f t="shared" ca="1" si="1"/>
        <v>100</v>
      </c>
      <c r="G21" s="35">
        <v>100</v>
      </c>
      <c r="J21" t="s">
        <v>89</v>
      </c>
      <c r="K21">
        <f ca="1">G22/100</f>
        <v>1</v>
      </c>
    </row>
    <row r="22" spans="3:28">
      <c r="C22" s="15" t="s">
        <v>58</v>
      </c>
      <c r="D22" t="s">
        <v>435</v>
      </c>
      <c r="E22" s="35" t="str">
        <f t="shared" ca="1" si="0"/>
        <v>찾을 수 없음</v>
      </c>
      <c r="F22" s="35">
        <f t="shared" ca="1" si="1"/>
        <v>100</v>
      </c>
      <c r="G22" s="35">
        <f t="shared" ca="1" si="2"/>
        <v>100</v>
      </c>
      <c r="J22" t="s">
        <v>90</v>
      </c>
      <c r="K22">
        <f ca="1">G24*G27/10000*G25*G28/10000*G26*G29/10000</f>
        <v>1</v>
      </c>
      <c r="M22" t="s">
        <v>69</v>
      </c>
      <c r="O22" t="s">
        <v>544</v>
      </c>
      <c r="W22" t="s">
        <v>398</v>
      </c>
    </row>
    <row r="23" spans="3:28">
      <c r="E23" s="35" t="s">
        <v>10</v>
      </c>
      <c r="F23" s="35" t="s">
        <v>10</v>
      </c>
      <c r="G23" s="35" t="s">
        <v>10</v>
      </c>
      <c r="S23" s="4">
        <v>6.1747438108193136E+27</v>
      </c>
      <c r="W23" t="s">
        <v>499</v>
      </c>
    </row>
    <row r="24" spans="3:28">
      <c r="D24" t="s">
        <v>436</v>
      </c>
      <c r="E24" s="35" t="str">
        <f t="shared" ca="1" si="0"/>
        <v>찾을 수 없음</v>
      </c>
      <c r="F24" s="35">
        <f t="shared" ca="1" si="1"/>
        <v>100</v>
      </c>
      <c r="G24" s="35">
        <f t="shared" ca="1" si="2"/>
        <v>100</v>
      </c>
      <c r="M24" t="s">
        <v>416</v>
      </c>
      <c r="S24" s="4">
        <v>1.1114538859474763E+30</v>
      </c>
      <c r="T24">
        <f>S24/S23</f>
        <v>179.99999999999997</v>
      </c>
      <c r="W24" t="s">
        <v>501</v>
      </c>
    </row>
    <row r="25" spans="3:28">
      <c r="D25" t="s">
        <v>437</v>
      </c>
      <c r="E25" s="35" t="str">
        <f t="shared" ca="1" si="0"/>
        <v>찾을 수 없음</v>
      </c>
      <c r="F25" s="35">
        <f t="shared" ca="1" si="1"/>
        <v>100</v>
      </c>
      <c r="G25" s="35">
        <f t="shared" ca="1" si="2"/>
        <v>100</v>
      </c>
      <c r="M25" t="s">
        <v>70</v>
      </c>
      <c r="W25" t="s">
        <v>426</v>
      </c>
      <c r="Z25" t="s">
        <v>504</v>
      </c>
    </row>
    <row r="26" spans="3:28">
      <c r="D26" t="s">
        <v>438</v>
      </c>
      <c r="E26" s="35" t="str">
        <f t="shared" ca="1" si="0"/>
        <v>찾을 수 없음</v>
      </c>
      <c r="F26" s="35">
        <f t="shared" ca="1" si="1"/>
        <v>100</v>
      </c>
      <c r="G26" s="35">
        <f t="shared" ca="1" si="2"/>
        <v>100</v>
      </c>
      <c r="K26" s="18">
        <f ca="1">K18*K19*K20*K21*K22</f>
        <v>10.9</v>
      </c>
      <c r="M26" t="s">
        <v>71</v>
      </c>
      <c r="W26" t="s">
        <v>404</v>
      </c>
      <c r="Y26" t="s">
        <v>425</v>
      </c>
      <c r="AB26" t="s">
        <v>503</v>
      </c>
    </row>
    <row r="27" spans="3:28">
      <c r="C27" s="27" t="s">
        <v>87</v>
      </c>
      <c r="D27" t="s">
        <v>439</v>
      </c>
      <c r="E27" s="35" t="str">
        <f t="shared" ca="1" si="0"/>
        <v>찾을 수 없음</v>
      </c>
      <c r="F27" s="35">
        <f t="shared" ca="1" si="1"/>
        <v>100</v>
      </c>
      <c r="G27" s="35">
        <f t="shared" ca="1" si="2"/>
        <v>100</v>
      </c>
      <c r="W27" t="s">
        <v>405</v>
      </c>
    </row>
    <row r="28" spans="3:28">
      <c r="C28" s="27" t="s">
        <v>87</v>
      </c>
      <c r="D28" t="s">
        <v>440</v>
      </c>
      <c r="E28" s="35" t="str">
        <f t="shared" ca="1" si="0"/>
        <v>찾을 수 없음</v>
      </c>
      <c r="F28" s="35">
        <f t="shared" ca="1" si="1"/>
        <v>100</v>
      </c>
      <c r="G28" s="35">
        <f t="shared" ca="1" si="2"/>
        <v>100</v>
      </c>
      <c r="J28" t="s">
        <v>397</v>
      </c>
      <c r="K28" s="4">
        <f ca="1">L14*K26</f>
        <v>20189599.120000001</v>
      </c>
      <c r="M28" t="s">
        <v>72</v>
      </c>
    </row>
    <row r="29" spans="3:28">
      <c r="C29" s="27" t="s">
        <v>87</v>
      </c>
      <c r="D29" t="s">
        <v>441</v>
      </c>
      <c r="E29" s="35" t="str">
        <f t="shared" ca="1" si="0"/>
        <v>찾을 수 없음</v>
      </c>
      <c r="F29" s="35">
        <f t="shared" ca="1" si="1"/>
        <v>100</v>
      </c>
      <c r="G29" s="35">
        <f t="shared" ca="1" si="2"/>
        <v>100</v>
      </c>
      <c r="M29" t="s">
        <v>73</v>
      </c>
      <c r="W29" t="s">
        <v>406</v>
      </c>
      <c r="Y29">
        <v>1</v>
      </c>
    </row>
    <row r="30" spans="3:28">
      <c r="E30" s="35" t="s">
        <v>10</v>
      </c>
      <c r="F30" s="35" t="s">
        <v>10</v>
      </c>
      <c r="G30" s="35" t="s">
        <v>10</v>
      </c>
      <c r="M30" t="s">
        <v>74</v>
      </c>
    </row>
    <row r="31" spans="3:28">
      <c r="C31" t="s">
        <v>54</v>
      </c>
      <c r="D31" t="s">
        <v>442</v>
      </c>
      <c r="E31" s="35" t="str">
        <f t="shared" ca="1" si="0"/>
        <v>찾을 수 없음</v>
      </c>
      <c r="F31" s="35">
        <f t="shared" ca="1" si="1"/>
        <v>100</v>
      </c>
      <c r="G31" s="35">
        <v>1300</v>
      </c>
      <c r="J31">
        <v>892</v>
      </c>
      <c r="K31" s="4">
        <v>4.4485841625511654E+33</v>
      </c>
      <c r="L31">
        <f ca="1">K28/K31</f>
        <v>4.5384325399436096E-27</v>
      </c>
      <c r="M31" t="s">
        <v>75</v>
      </c>
    </row>
    <row r="32" spans="3:28">
      <c r="C32" t="s">
        <v>55</v>
      </c>
      <c r="D32" t="s">
        <v>443</v>
      </c>
      <c r="E32" s="35" t="str">
        <f t="shared" ca="1" si="0"/>
        <v>찾을 수 없음</v>
      </c>
      <c r="F32" s="35">
        <f t="shared" ca="1" si="1"/>
        <v>100</v>
      </c>
      <c r="G32" s="35">
        <f t="shared" ca="1" si="2"/>
        <v>100</v>
      </c>
      <c r="J32">
        <v>893</v>
      </c>
      <c r="K32" s="4">
        <v>4.853000587576697E+33</v>
      </c>
    </row>
    <row r="33" spans="1:26">
      <c r="D33" s="4" t="s">
        <v>85</v>
      </c>
      <c r="E33" s="35"/>
      <c r="F33" s="35" t="s">
        <v>10</v>
      </c>
      <c r="G33" s="35"/>
      <c r="K33" s="4">
        <v>5.0552088000894622E+33</v>
      </c>
      <c r="M33" s="15" t="s">
        <v>230</v>
      </c>
    </row>
    <row r="34" spans="1:26">
      <c r="D34" s="17" t="s">
        <v>83</v>
      </c>
      <c r="E34" s="35"/>
      <c r="F34" s="35" t="s">
        <v>10</v>
      </c>
      <c r="G34" s="36" t="s">
        <v>84</v>
      </c>
      <c r="J34" t="s">
        <v>399</v>
      </c>
    </row>
    <row r="35" spans="1:26">
      <c r="C35" t="s">
        <v>477</v>
      </c>
      <c r="D35" t="s">
        <v>478</v>
      </c>
      <c r="E35" s="35" t="str">
        <f t="shared" ref="E35:E42" ca="1" si="3">IFERROR(VLOOKUP(D35, INDIRECT("'[" &amp; $E$4 &amp; ".xlsx]Sheet1'!$A:$C"), 3, FALSE), "찾을 수 없음")</f>
        <v>찾을 수 없음</v>
      </c>
      <c r="F35" s="35">
        <f t="shared" ca="1" si="1"/>
        <v>100</v>
      </c>
      <c r="G35" s="37">
        <f ca="1">F35</f>
        <v>100</v>
      </c>
      <c r="I35" t="s">
        <v>484</v>
      </c>
      <c r="J35" t="s">
        <v>396</v>
      </c>
      <c r="M35" s="39">
        <f ca="1">K28</f>
        <v>20189599.120000001</v>
      </c>
      <c r="P35" t="s">
        <v>137</v>
      </c>
    </row>
    <row r="36" spans="1:26">
      <c r="D36" t="s">
        <v>479</v>
      </c>
      <c r="E36" s="35" t="str">
        <f t="shared" ca="1" si="3"/>
        <v>찾을 수 없음</v>
      </c>
      <c r="F36" s="35">
        <f t="shared" ca="1" si="1"/>
        <v>100</v>
      </c>
      <c r="G36" s="37">
        <f t="shared" ref="G36:G42" ca="1" si="4">F36</f>
        <v>100</v>
      </c>
      <c r="I36" t="s">
        <v>497</v>
      </c>
      <c r="J36" t="s">
        <v>494</v>
      </c>
      <c r="L36">
        <v>315</v>
      </c>
      <c r="M36" s="35">
        <v>1350</v>
      </c>
      <c r="O36">
        <v>1350</v>
      </c>
      <c r="P36">
        <v>1550</v>
      </c>
      <c r="Q36" t="s">
        <v>495</v>
      </c>
    </row>
    <row r="37" spans="1:26">
      <c r="D37" t="s">
        <v>480</v>
      </c>
      <c r="E37" s="35">
        <v>760</v>
      </c>
      <c r="F37" s="35">
        <f t="shared" si="1"/>
        <v>760</v>
      </c>
      <c r="G37" s="37">
        <f t="shared" si="4"/>
        <v>760</v>
      </c>
      <c r="I37" t="s">
        <v>497</v>
      </c>
      <c r="J37" t="s">
        <v>492</v>
      </c>
      <c r="L37">
        <v>445</v>
      </c>
      <c r="M37" s="35">
        <v>1</v>
      </c>
      <c r="O37" t="s">
        <v>427</v>
      </c>
      <c r="Q37" t="s">
        <v>493</v>
      </c>
    </row>
    <row r="38" spans="1:26">
      <c r="D38" t="s">
        <v>444</v>
      </c>
      <c r="E38" s="35">
        <v>460</v>
      </c>
      <c r="F38" s="35">
        <f t="shared" si="1"/>
        <v>460</v>
      </c>
      <c r="G38" s="37">
        <f t="shared" si="4"/>
        <v>460</v>
      </c>
      <c r="I38" t="s">
        <v>484</v>
      </c>
      <c r="J38" t="s">
        <v>486</v>
      </c>
      <c r="L38">
        <f>L37/L36</f>
        <v>1.4126984126984128</v>
      </c>
      <c r="M38" s="35" t="str">
        <f ca="1">IFERROR(VLOOKUP(J38, INDIRECT("'[" &amp; $E$4 &amp; ".xlsx]Sheet1'!$A:$C"), 3, FALSE), "찾을 수 없음")</f>
        <v>찾을 수 없음</v>
      </c>
      <c r="O38">
        <v>2000</v>
      </c>
      <c r="Q38" t="s">
        <v>487</v>
      </c>
    </row>
    <row r="39" spans="1:26">
      <c r="D39" t="s">
        <v>445</v>
      </c>
      <c r="E39" s="35" t="str">
        <f t="shared" ca="1" si="3"/>
        <v>찾을 수 없음</v>
      </c>
      <c r="F39" s="35">
        <f t="shared" ca="1" si="1"/>
        <v>100</v>
      </c>
      <c r="G39" s="37">
        <f t="shared" ca="1" si="4"/>
        <v>100</v>
      </c>
      <c r="I39" t="s">
        <v>484</v>
      </c>
      <c r="J39" t="s">
        <v>488</v>
      </c>
      <c r="M39" s="35" t="str">
        <f ca="1">IFERROR(VLOOKUP(J39, INDIRECT("'[" &amp; $E$4 &amp; ".xlsx]Sheet1'!$A:$C"), 3, FALSE), "찾을 수 없음")</f>
        <v>찾을 수 없음</v>
      </c>
      <c r="O39">
        <v>700</v>
      </c>
      <c r="Q39" t="s">
        <v>489</v>
      </c>
    </row>
    <row r="40" spans="1:26">
      <c r="D40" t="s">
        <v>446</v>
      </c>
      <c r="E40" s="35" t="str">
        <f t="shared" ca="1" si="3"/>
        <v>찾을 수 없음</v>
      </c>
      <c r="F40" s="35">
        <f t="shared" ca="1" si="1"/>
        <v>100</v>
      </c>
      <c r="G40" s="37">
        <f t="shared" ca="1" si="4"/>
        <v>100</v>
      </c>
      <c r="I40" t="s">
        <v>484</v>
      </c>
      <c r="J40" t="s">
        <v>490</v>
      </c>
      <c r="M40" s="35">
        <v>100</v>
      </c>
      <c r="O40">
        <v>100</v>
      </c>
      <c r="Q40" t="s">
        <v>491</v>
      </c>
    </row>
    <row r="41" spans="1:26">
      <c r="A41">
        <v>660</v>
      </c>
      <c r="D41" t="s">
        <v>496</v>
      </c>
      <c r="E41" s="35" t="str">
        <f t="shared" ca="1" si="3"/>
        <v>찾을 수 없음</v>
      </c>
      <c r="F41" s="35">
        <f t="shared" ca="1" si="1"/>
        <v>100</v>
      </c>
      <c r="G41" s="37">
        <f t="shared" ca="1" si="4"/>
        <v>100</v>
      </c>
      <c r="J41" t="s">
        <v>400</v>
      </c>
      <c r="M41" s="35">
        <v>0.1</v>
      </c>
      <c r="N41" t="s">
        <v>10</v>
      </c>
      <c r="T41" t="s">
        <v>423</v>
      </c>
      <c r="U41">
        <v>14400</v>
      </c>
      <c r="V41">
        <v>12000</v>
      </c>
      <c r="W41">
        <v>10800</v>
      </c>
      <c r="X41">
        <v>9600</v>
      </c>
      <c r="Y41">
        <v>625</v>
      </c>
    </row>
    <row r="42" spans="1:26">
      <c r="A42">
        <v>360</v>
      </c>
      <c r="D42" t="s">
        <v>481</v>
      </c>
      <c r="E42" s="35" t="str">
        <f t="shared" ca="1" si="3"/>
        <v>찾을 수 없음</v>
      </c>
      <c r="F42" s="35">
        <f t="shared" ca="1" si="1"/>
        <v>100</v>
      </c>
      <c r="G42" s="37">
        <f t="shared" ca="1" si="4"/>
        <v>100</v>
      </c>
      <c r="K42" t="s">
        <v>549</v>
      </c>
      <c r="M42" s="40" t="e">
        <f ca="1">M35*M36*M37*M38*M39*M40*M41</f>
        <v>#VALUE!</v>
      </c>
      <c r="T42" t="s">
        <v>514</v>
      </c>
    </row>
    <row r="43" spans="1:26">
      <c r="E43" s="35"/>
      <c r="F43" s="35" t="s">
        <v>10</v>
      </c>
      <c r="G43" s="35"/>
      <c r="N43" t="s">
        <v>10</v>
      </c>
    </row>
    <row r="44" spans="1:26">
      <c r="E44" s="35"/>
      <c r="F44" s="35" t="s">
        <v>10</v>
      </c>
      <c r="G44" s="35"/>
      <c r="J44" s="53" t="s">
        <v>403</v>
      </c>
      <c r="K44" s="53"/>
      <c r="N44" t="s">
        <v>10</v>
      </c>
      <c r="U44">
        <v>1</v>
      </c>
      <c r="V44">
        <v>2</v>
      </c>
      <c r="W44">
        <v>3</v>
      </c>
      <c r="X44">
        <v>4</v>
      </c>
      <c r="Y44">
        <v>5</v>
      </c>
      <c r="Z44" t="s">
        <v>424</v>
      </c>
    </row>
    <row r="45" spans="1:26">
      <c r="D45" t="s">
        <v>447</v>
      </c>
      <c r="E45" s="35" t="str">
        <f t="shared" ref="E45:E46" ca="1" si="5">IFERROR(VLOOKUP(D45, INDIRECT("'[" &amp; $E$4 &amp; ".xlsx]Sheet1'!$A:$C"), 3, FALSE), "찾을 수 없음")</f>
        <v>찾을 수 없음</v>
      </c>
      <c r="F45" s="35">
        <f t="shared" ca="1" si="1"/>
        <v>100</v>
      </c>
      <c r="G45" s="38">
        <f ca="1">F45</f>
        <v>100</v>
      </c>
      <c r="I45" t="s">
        <v>483</v>
      </c>
      <c r="J45" t="s">
        <v>401</v>
      </c>
      <c r="M45" s="40" t="e">
        <f ca="1">M42</f>
        <v>#VALUE!</v>
      </c>
      <c r="U45" t="s">
        <v>422</v>
      </c>
      <c r="V45">
        <v>3</v>
      </c>
      <c r="W45">
        <v>2</v>
      </c>
      <c r="X45">
        <v>2</v>
      </c>
      <c r="Y45">
        <v>2</v>
      </c>
    </row>
    <row r="46" spans="1:26">
      <c r="D46" t="s">
        <v>448</v>
      </c>
      <c r="E46" s="35" t="str">
        <f t="shared" ca="1" si="5"/>
        <v>찾을 수 없음</v>
      </c>
      <c r="F46" s="35">
        <f t="shared" ca="1" si="1"/>
        <v>100</v>
      </c>
      <c r="G46" s="38">
        <f t="shared" ref="G46:G68" ca="1" si="6">F46</f>
        <v>100</v>
      </c>
      <c r="I46" t="s">
        <v>483</v>
      </c>
      <c r="J46" s="53" t="s">
        <v>498</v>
      </c>
      <c r="K46" s="53"/>
      <c r="M46" s="35">
        <v>200</v>
      </c>
      <c r="N46" t="str" cm="1">
        <f t="array" aca="1" ref="N46" ca="1">_xlfn.TEXTSPLIT(SUBSTITUTE(SUBSTITUTE(SUBSTITUTE(SUBSTITUTE(U48, "[", ""), "]", ""), """", ""), " ", ""), ",")</f>
        <v>찾을수없음</v>
      </c>
      <c r="U46">
        <f ca="1">능력치!J6</f>
        <v>14400</v>
      </c>
      <c r="V46">
        <f ca="1">능력치!K6</f>
        <v>12000</v>
      </c>
      <c r="W46">
        <f ca="1">능력치!L6</f>
        <v>10800</v>
      </c>
      <c r="X46">
        <f ca="1">능력치!M6</f>
        <v>9600</v>
      </c>
      <c r="Y46">
        <f ca="1">능력치!N6</f>
        <v>600</v>
      </c>
      <c r="Z46">
        <v>200</v>
      </c>
    </row>
    <row r="47" spans="1:26">
      <c r="D47" t="s">
        <v>470</v>
      </c>
      <c r="E47" s="35" t="str">
        <f ca="1">IFERROR(VLOOKUP(D47, INDIRECT("'[" &amp; $E$4 &amp; ".xlsx]Sheet1'!$A:$C"), 3, FALSE), "찾을 수 없음")</f>
        <v>찾을 수 없음</v>
      </c>
      <c r="F47" s="35">
        <f t="shared" ca="1" si="1"/>
        <v>100</v>
      </c>
      <c r="G47" s="38">
        <f t="shared" ca="1" si="6"/>
        <v>100</v>
      </c>
      <c r="I47" t="s">
        <v>497</v>
      </c>
      <c r="J47" s="53" t="s">
        <v>500</v>
      </c>
      <c r="K47" s="53"/>
      <c r="M47" s="35" t="e">
        <f ca="1">U51*U55/100+100</f>
        <v>#VALUE!</v>
      </c>
    </row>
    <row r="48" spans="1:26">
      <c r="D48" t="s">
        <v>465</v>
      </c>
      <c r="E48" s="35" t="str">
        <f t="shared" ref="E48:E68" ca="1" si="7">IFERROR(VLOOKUP(D48, INDIRECT("'[" &amp; $E$4 &amp; ".xlsx]Sheet1'!$A:$C"), 3, FALSE), "찾을 수 없음")</f>
        <v>찾을 수 없음</v>
      </c>
      <c r="F48" s="35">
        <f t="shared" ca="1" si="1"/>
        <v>100</v>
      </c>
      <c r="G48" s="38">
        <f t="shared" ca="1" si="6"/>
        <v>100</v>
      </c>
      <c r="I48" t="s">
        <v>484</v>
      </c>
      <c r="J48" s="53" t="s">
        <v>502</v>
      </c>
      <c r="K48" s="53"/>
      <c r="M48" s="35" t="e">
        <f ca="1">(U50+200)/2</f>
        <v>#VALUE!</v>
      </c>
      <c r="N48" t="e">
        <f ca="1">(U52+200)/2</f>
        <v>#VALUE!</v>
      </c>
      <c r="T48" t="s">
        <v>482</v>
      </c>
      <c r="U48" t="str">
        <f ca="1">IFERROR(VLOOKUP(T42, INDIRECT("'[" &amp; $E$4 &amp; ".xlsx]Sheet1'!$A:$C"), 3, FALSE), "찾을 수 없음")</f>
        <v>찾을 수 없음</v>
      </c>
    </row>
    <row r="49" spans="4:44">
      <c r="D49" t="s">
        <v>466</v>
      </c>
      <c r="E49" s="35" t="str">
        <f t="shared" ca="1" si="7"/>
        <v>찾을 수 없음</v>
      </c>
      <c r="F49" s="35">
        <f t="shared" ca="1" si="1"/>
        <v>100</v>
      </c>
      <c r="G49" s="38">
        <f t="shared" ca="1" si="6"/>
        <v>100</v>
      </c>
      <c r="I49" t="s">
        <v>484</v>
      </c>
      <c r="J49" s="53" t="s">
        <v>505</v>
      </c>
      <c r="K49" s="53"/>
      <c r="M49" s="35">
        <v>625</v>
      </c>
      <c r="N49">
        <v>200</v>
      </c>
      <c r="O49" s="41" t="e" cm="1">
        <f t="array" aca="1" ref="O49" ca="1">INDEX(_xlfn.TEXTSPLIT(SUBSTITUTE(SUBSTITUTE(SUBSTITUTE(SUBSTITUTE(N46, "[", ""), "]", ""), """", ""), " ", ""), ","), 5)</f>
        <v>#REF!</v>
      </c>
    </row>
    <row r="50" spans="4:44">
      <c r="D50" t="s">
        <v>467</v>
      </c>
      <c r="E50" s="35" t="str">
        <f t="shared" ca="1" si="7"/>
        <v>찾을 수 없음</v>
      </c>
      <c r="F50" s="35">
        <f t="shared" ca="1" si="1"/>
        <v>100</v>
      </c>
      <c r="G50" s="38">
        <f t="shared" ca="1" si="6"/>
        <v>100</v>
      </c>
      <c r="I50" t="s">
        <v>483</v>
      </c>
      <c r="J50" s="53" t="s">
        <v>402</v>
      </c>
      <c r="K50" s="53"/>
      <c r="M50" s="35">
        <v>3</v>
      </c>
      <c r="O50">
        <f>R46</f>
        <v>0</v>
      </c>
      <c r="T50" t="s">
        <v>513</v>
      </c>
      <c r="U50" t="str">
        <f ca="1">IFERROR(VLOOKUP(T50, INDIRECT("'[" &amp; $E$4 &amp; ".xlsx]Sheet1'!$A:$C"), 3, FALSE), "찾을 수 없음")</f>
        <v>찾을 수 없음</v>
      </c>
      <c r="V50" t="e">
        <f ca="1">U50/2+200/2</f>
        <v>#VALUE!</v>
      </c>
    </row>
    <row r="51" spans="4:44">
      <c r="D51" t="s">
        <v>468</v>
      </c>
      <c r="E51" s="35" t="str">
        <f t="shared" ca="1" si="7"/>
        <v>찾을 수 없음</v>
      </c>
      <c r="F51" s="35">
        <f t="shared" ca="1" si="1"/>
        <v>100</v>
      </c>
      <c r="G51" s="38">
        <f t="shared" ca="1" si="6"/>
        <v>100</v>
      </c>
      <c r="J51" t="s">
        <v>407</v>
      </c>
      <c r="O51" s="37" t="s">
        <v>515</v>
      </c>
      <c r="T51" t="s">
        <v>478</v>
      </c>
      <c r="U51" t="str">
        <f ca="1">IFERROR(VLOOKUP(T51, INDIRECT("'[" &amp; $E$4 &amp; ".xlsx]Sheet1'!$A:$C"), 3, FALSE), "찾을 수 없음")</f>
        <v>찾을 수 없음</v>
      </c>
    </row>
    <row r="52" spans="4:44">
      <c r="D52" t="s">
        <v>471</v>
      </c>
      <c r="E52" s="35" t="str">
        <f t="shared" ca="1" si="7"/>
        <v>찾을 수 없음</v>
      </c>
      <c r="F52" s="35">
        <f t="shared" ca="1" si="1"/>
        <v>100</v>
      </c>
      <c r="G52" s="38">
        <f t="shared" ca="1" si="6"/>
        <v>100</v>
      </c>
      <c r="J52" t="s">
        <v>408</v>
      </c>
      <c r="M52">
        <v>1</v>
      </c>
      <c r="T52" t="s">
        <v>510</v>
      </c>
      <c r="U52" t="str">
        <f t="shared" ref="U52:U54" ca="1" si="8">IFERROR(VLOOKUP(T52, INDIRECT("'[" &amp; $E$4 &amp; ".xlsx]Sheet1'!$A:$C"), 3, FALSE), "찾을 수 없음")</f>
        <v>찾을 수 없음</v>
      </c>
    </row>
    <row r="53" spans="4:44">
      <c r="D53" t="s">
        <v>469</v>
      </c>
      <c r="E53" s="35" t="str">
        <f t="shared" ca="1" si="7"/>
        <v>찾을 수 없음</v>
      </c>
      <c r="F53" s="35">
        <f t="shared" ca="1" si="1"/>
        <v>100</v>
      </c>
      <c r="G53" s="38">
        <f t="shared" ca="1" si="6"/>
        <v>100</v>
      </c>
      <c r="O53" t="s">
        <v>10</v>
      </c>
      <c r="T53" t="s">
        <v>512</v>
      </c>
      <c r="U53" t="str">
        <f t="shared" ca="1" si="8"/>
        <v>찾을 수 없음</v>
      </c>
    </row>
    <row r="54" spans="4:44">
      <c r="D54" t="s">
        <v>449</v>
      </c>
      <c r="E54" s="35" t="str">
        <f t="shared" ca="1" si="7"/>
        <v>찾을 수 없음</v>
      </c>
      <c r="F54" s="35">
        <f t="shared" ca="1" si="1"/>
        <v>100</v>
      </c>
      <c r="G54" s="38">
        <f t="shared" ca="1" si="6"/>
        <v>100</v>
      </c>
      <c r="L54" t="s">
        <v>511</v>
      </c>
      <c r="M54" s="14" t="e">
        <f ca="1">M45*M46*M47*M48*M49*M50</f>
        <v>#VALUE!</v>
      </c>
      <c r="U54" t="str">
        <f t="shared" ca="1" si="8"/>
        <v>찾을 수 없음</v>
      </c>
    </row>
    <row r="55" spans="4:44">
      <c r="D55" t="s">
        <v>450</v>
      </c>
      <c r="E55" s="35" t="str">
        <f t="shared" ca="1" si="7"/>
        <v>찾을 수 없음</v>
      </c>
      <c r="F55" s="35">
        <f t="shared" ca="1" si="1"/>
        <v>100</v>
      </c>
      <c r="G55" s="38">
        <f t="shared" ca="1" si="6"/>
        <v>100</v>
      </c>
      <c r="I55" s="17"/>
      <c r="T55" t="s">
        <v>485</v>
      </c>
      <c r="U55" t="str">
        <f ca="1">IFERROR(VLOOKUP(T55, INDIRECT("'[" &amp; $E$4 &amp; ".xlsx]Sheet1'!$A:$C"), 3, FALSE), "찾을 수 없음")</f>
        <v>찾을 수 없음</v>
      </c>
    </row>
    <row r="56" spans="4:44">
      <c r="D56" t="s">
        <v>451</v>
      </c>
      <c r="E56" s="35" t="str">
        <f t="shared" ca="1" si="7"/>
        <v>찾을 수 없음</v>
      </c>
      <c r="F56" s="35">
        <f t="shared" ca="1" si="1"/>
        <v>100</v>
      </c>
      <c r="G56" s="38">
        <f t="shared" ca="1" si="6"/>
        <v>100</v>
      </c>
      <c r="I56" s="7"/>
      <c r="J56" t="s">
        <v>409</v>
      </c>
    </row>
    <row r="57" spans="4:44">
      <c r="D57" t="s">
        <v>452</v>
      </c>
      <c r="E57" s="35" t="str">
        <f t="shared" ca="1" si="7"/>
        <v>찾을 수 없음</v>
      </c>
      <c r="F57" s="35">
        <f t="shared" ca="1" si="1"/>
        <v>100</v>
      </c>
      <c r="G57" s="38">
        <f t="shared" ca="1" si="6"/>
        <v>100</v>
      </c>
      <c r="I57" s="7"/>
      <c r="J57" t="s">
        <v>410</v>
      </c>
      <c r="X57" s="33"/>
      <c r="AB57" s="34"/>
      <c r="AD57" s="34"/>
      <c r="AF57" s="34"/>
      <c r="AH57" s="34"/>
      <c r="AJ57" s="34"/>
      <c r="AL57" s="34"/>
      <c r="AN57" s="34"/>
      <c r="AP57" s="34"/>
      <c r="AR57" s="34"/>
    </row>
    <row r="58" spans="4:44">
      <c r="D58" t="s">
        <v>453</v>
      </c>
      <c r="E58" s="35" t="str">
        <f t="shared" ca="1" si="7"/>
        <v>찾을 수 없음</v>
      </c>
      <c r="F58" s="35">
        <f t="shared" ca="1" si="1"/>
        <v>100</v>
      </c>
      <c r="G58" s="38">
        <f t="shared" ca="1" si="6"/>
        <v>100</v>
      </c>
      <c r="I58" s="7"/>
      <c r="J58" t="s">
        <v>411</v>
      </c>
      <c r="K58" s="17"/>
      <c r="T58" t="s">
        <v>509</v>
      </c>
      <c r="AB58" s="34"/>
      <c r="AD58" s="34"/>
      <c r="AF58" s="34"/>
      <c r="AH58" s="34"/>
      <c r="AJ58" s="34"/>
      <c r="AL58" s="34"/>
      <c r="AN58" s="34"/>
      <c r="AP58" s="34"/>
      <c r="AR58" s="34"/>
    </row>
    <row r="59" spans="4:44">
      <c r="D59" t="s">
        <v>454</v>
      </c>
      <c r="E59" s="35" t="str">
        <f t="shared" ca="1" si="7"/>
        <v>찾을 수 없음</v>
      </c>
      <c r="F59" s="35">
        <f t="shared" ca="1" si="1"/>
        <v>100</v>
      </c>
      <c r="G59" s="38">
        <f t="shared" ca="1" si="6"/>
        <v>100</v>
      </c>
      <c r="I59" s="7"/>
      <c r="J59" t="s">
        <v>412</v>
      </c>
      <c r="K59" s="7"/>
      <c r="AB59" s="34"/>
      <c r="AD59" s="34"/>
      <c r="AF59" s="34"/>
      <c r="AH59" s="34"/>
      <c r="AJ59" s="34"/>
      <c r="AL59" s="34"/>
      <c r="AN59" s="34"/>
      <c r="AP59" s="34"/>
      <c r="AR59" s="34"/>
    </row>
    <row r="60" spans="4:44">
      <c r="D60" t="s">
        <v>455</v>
      </c>
      <c r="E60" s="35" t="str">
        <f t="shared" ca="1" si="7"/>
        <v>찾을 수 없음</v>
      </c>
      <c r="F60" s="35">
        <f t="shared" ca="1" si="1"/>
        <v>100</v>
      </c>
      <c r="G60" s="38">
        <f t="shared" ca="1" si="6"/>
        <v>100</v>
      </c>
      <c r="I60" s="7"/>
      <c r="J60" t="s">
        <v>413</v>
      </c>
      <c r="K60" s="7"/>
      <c r="AB60" s="34"/>
      <c r="AD60" s="34"/>
      <c r="AF60" s="34"/>
      <c r="AH60" s="34"/>
      <c r="AJ60" s="34"/>
      <c r="AL60" s="34"/>
      <c r="AN60" s="34"/>
      <c r="AP60" s="34"/>
      <c r="AR60" s="34"/>
    </row>
    <row r="61" spans="4:44">
      <c r="D61" t="s">
        <v>456</v>
      </c>
      <c r="E61" s="35" t="str">
        <f t="shared" ca="1" si="7"/>
        <v>찾을 수 없음</v>
      </c>
      <c r="F61" s="35">
        <f t="shared" ca="1" si="1"/>
        <v>100</v>
      </c>
      <c r="G61" s="38">
        <f t="shared" ca="1" si="6"/>
        <v>100</v>
      </c>
      <c r="I61" s="7"/>
      <c r="J61" t="s">
        <v>411</v>
      </c>
      <c r="K61" s="7"/>
      <c r="T61" t="s">
        <v>506</v>
      </c>
      <c r="U61" t="str">
        <f ca="1">IFERROR(VLOOKUP(T61, INDIRECT("'[" &amp; $E$4 &amp; ".xlsx]Sheet1'!$A:$C"), 3, FALSE), "찾을 수 없음")</f>
        <v>찾을 수 없음</v>
      </c>
      <c r="AB61" s="34"/>
      <c r="AD61" s="34"/>
      <c r="AF61" s="34"/>
      <c r="AH61" s="34"/>
      <c r="AJ61" s="34"/>
      <c r="AL61" s="34"/>
      <c r="AN61" s="34"/>
      <c r="AP61" s="34"/>
      <c r="AR61" s="34"/>
    </row>
    <row r="62" spans="4:44">
      <c r="D62" t="s">
        <v>457</v>
      </c>
      <c r="E62" s="35" t="str">
        <f t="shared" ca="1" si="7"/>
        <v>찾을 수 없음</v>
      </c>
      <c r="F62" s="35">
        <f t="shared" ca="1" si="1"/>
        <v>100</v>
      </c>
      <c r="G62" s="38">
        <f t="shared" ca="1" si="6"/>
        <v>100</v>
      </c>
      <c r="I62" s="7"/>
      <c r="J62" t="s">
        <v>414</v>
      </c>
      <c r="K62" s="7"/>
    </row>
    <row r="63" spans="4:44">
      <c r="D63" t="s">
        <v>458</v>
      </c>
      <c r="E63" s="35" t="str">
        <f t="shared" ca="1" si="7"/>
        <v>찾을 수 없음</v>
      </c>
      <c r="F63" s="35">
        <f t="shared" ca="1" si="1"/>
        <v>100</v>
      </c>
      <c r="G63" s="38">
        <f t="shared" ca="1" si="6"/>
        <v>100</v>
      </c>
      <c r="I63" s="7"/>
      <c r="K63" s="7"/>
    </row>
    <row r="64" spans="4:44">
      <c r="D64" t="s">
        <v>459</v>
      </c>
      <c r="E64" s="35" t="str">
        <f t="shared" ca="1" si="7"/>
        <v>찾을 수 없음</v>
      </c>
      <c r="F64" s="35">
        <f t="shared" ca="1" si="1"/>
        <v>100</v>
      </c>
      <c r="G64" s="38">
        <f t="shared" ca="1" si="6"/>
        <v>100</v>
      </c>
      <c r="J64" t="s">
        <v>415</v>
      </c>
      <c r="K64" s="7"/>
      <c r="T64" s="42" t="s">
        <v>87</v>
      </c>
    </row>
    <row r="65" spans="4:20">
      <c r="D65" t="s">
        <v>460</v>
      </c>
      <c r="E65" s="35" t="str">
        <f t="shared" ca="1" si="7"/>
        <v>찾을 수 없음</v>
      </c>
      <c r="F65" s="35">
        <f t="shared" ca="1" si="1"/>
        <v>100</v>
      </c>
      <c r="G65" s="38">
        <f t="shared" ca="1" si="6"/>
        <v>100</v>
      </c>
    </row>
    <row r="66" spans="4:20">
      <c r="D66" t="s">
        <v>461</v>
      </c>
      <c r="E66" s="35" t="str">
        <f t="shared" ca="1" si="7"/>
        <v>찾을 수 없음</v>
      </c>
      <c r="F66" s="35">
        <f t="shared" ca="1" si="1"/>
        <v>100</v>
      </c>
      <c r="G66" s="38">
        <f t="shared" ca="1" si="6"/>
        <v>100</v>
      </c>
    </row>
    <row r="67" spans="4:20">
      <c r="D67" t="s">
        <v>462</v>
      </c>
      <c r="E67" s="35" t="str">
        <f t="shared" ca="1" si="7"/>
        <v>찾을 수 없음</v>
      </c>
      <c r="F67" s="35">
        <f t="shared" ca="1" si="1"/>
        <v>100</v>
      </c>
      <c r="G67" s="38">
        <f t="shared" ca="1" si="6"/>
        <v>100</v>
      </c>
    </row>
    <row r="68" spans="4:20">
      <c r="D68" t="s">
        <v>463</v>
      </c>
      <c r="E68" s="35" t="str">
        <f t="shared" ca="1" si="7"/>
        <v>찾을 수 없음</v>
      </c>
      <c r="F68" s="35">
        <f t="shared" ca="1" si="1"/>
        <v>100</v>
      </c>
      <c r="G68" s="38">
        <f t="shared" ca="1" si="6"/>
        <v>100</v>
      </c>
    </row>
    <row r="74" spans="4:20">
      <c r="T74" s="17"/>
    </row>
    <row r="75" spans="4:20">
      <c r="T75" s="7"/>
    </row>
    <row r="76" spans="4:20">
      <c r="T76" s="7"/>
    </row>
    <row r="77" spans="4:20">
      <c r="T77" s="7"/>
    </row>
    <row r="78" spans="4:20">
      <c r="T78" s="7"/>
    </row>
    <row r="79" spans="4:20">
      <c r="T79" s="7"/>
    </row>
    <row r="80" spans="4:20">
      <c r="T80" s="7"/>
    </row>
  </sheetData>
  <mergeCells count="7">
    <mergeCell ref="J49:K49"/>
    <mergeCell ref="J50:K50"/>
    <mergeCell ref="M6:U6"/>
    <mergeCell ref="J44:K44"/>
    <mergeCell ref="J46:K46"/>
    <mergeCell ref="J47:K47"/>
    <mergeCell ref="J48:K48"/>
  </mergeCells>
  <phoneticPr fontId="18" type="noConversion"/>
  <hyperlinks>
    <hyperlink ref="C16" r:id="rId1" location="능력치!H23" xr:uid="{557AA1EF-4AD1-41A2-8AC6-EBC99F848B3D}"/>
    <hyperlink ref="C17" r:id="rId2" location="능력치!H23" xr:uid="{515BAABC-3FFA-409C-8699-38B1A4D379DC}"/>
    <hyperlink ref="C18" r:id="rId3" location="능력치!H23" xr:uid="{F4AF61A2-9C7A-4CDA-96A6-045CEC7DE057}"/>
    <hyperlink ref="C19" r:id="rId4" location="능력치!L57" xr:uid="{2C1CD4F8-FFD5-489B-B294-75EB637F96A7}"/>
    <hyperlink ref="C20" r:id="rId5" location="능력치!L57" xr:uid="{DB497F37-26F9-45A3-A2A0-BBE9AF4AC4DB}"/>
    <hyperlink ref="C21" r:id="rId6" location="능력치!L57" xr:uid="{474F99BB-F477-4C92-8DC1-C545B2B359F5}"/>
    <hyperlink ref="C22" r:id="rId7" location="능력치!D143" xr:uid="{D4958CF2-F8BD-486C-AAAF-B266BA668E37}"/>
    <hyperlink ref="C10" r:id="rId8" location="능력치!H11" xr:uid="{9FD34601-24AE-4D73-925E-5E616F771496}"/>
    <hyperlink ref="C11" r:id="rId9" location="능력치!H11" xr:uid="{4298C2EB-E262-4910-B90F-4C89E4C02324}"/>
    <hyperlink ref="C9" r:id="rId10" location="능력치!H11" xr:uid="{E5617593-7EC2-43CF-A78A-D173F0546509}"/>
    <hyperlink ref="C7:C8" r:id="rId11" location="능력치!H11" display="공격정수" xr:uid="{DB1F38B3-EE2E-4B71-AAB5-3837DF4DAB35}"/>
    <hyperlink ref="C12:C13" r:id="rId12" location="능력치!H11" display="룬 공격력" xr:uid="{57B5969D-963E-4C52-928A-05D616AD1EA3}"/>
    <hyperlink ref="C27" r:id="rId13" location="능력치!P86" xr:uid="{E335BD6A-5867-4654-A25F-6E5A6DB17BD5}"/>
    <hyperlink ref="C28" r:id="rId14" location="능력치!P86" xr:uid="{A0EB8974-D28D-44A1-BC0F-BC63D2F2492A}"/>
    <hyperlink ref="C29" r:id="rId15" location="능력치!P86" xr:uid="{BF8B31D0-2F05-41B8-A65E-3891DAE6EA70}"/>
    <hyperlink ref="T64" r:id="rId16" location="능력치!R168" xr:uid="{6533D8BD-B356-4A17-AA24-D69933745F08}"/>
    <hyperlink ref="M33" r:id="rId17" location="보스체력!A5" xr:uid="{266139D5-BCF7-4BA8-890A-E26768B3F8A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4B5E-9265-4B0F-B489-AC39C58E058F}">
  <dimension ref="E9:R47"/>
  <sheetViews>
    <sheetView topLeftCell="A13" workbookViewId="0">
      <selection activeCell="D8" sqref="D8:S50"/>
    </sheetView>
  </sheetViews>
  <sheetFormatPr defaultRowHeight="16.5"/>
  <sheetData>
    <row r="9" spans="8:18">
      <c r="H9" s="44" t="s">
        <v>556</v>
      </c>
      <c r="I9" s="44" t="s">
        <v>557</v>
      </c>
      <c r="J9" s="45" t="e">
        <f>H9+I9</f>
        <v>#VALUE!</v>
      </c>
    </row>
    <row r="14" spans="8:18">
      <c r="J14" t="s">
        <v>550</v>
      </c>
      <c r="N14" t="s">
        <v>551</v>
      </c>
      <c r="P14" t="s">
        <v>552</v>
      </c>
    </row>
    <row r="15" spans="8:18">
      <c r="I15">
        <v>78</v>
      </c>
      <c r="J15">
        <v>78</v>
      </c>
      <c r="K15">
        <v>77</v>
      </c>
      <c r="L15">
        <v>78</v>
      </c>
      <c r="N15" s="43" t="s">
        <v>553</v>
      </c>
      <c r="P15">
        <v>75</v>
      </c>
      <c r="R15">
        <v>62</v>
      </c>
    </row>
    <row r="16" spans="8:18">
      <c r="O16" t="s">
        <v>554</v>
      </c>
      <c r="R16">
        <v>63</v>
      </c>
    </row>
    <row r="21" spans="5:14">
      <c r="N21" t="s">
        <v>555</v>
      </c>
    </row>
    <row r="22" spans="5:14">
      <c r="N22">
        <v>66</v>
      </c>
    </row>
    <row r="27" spans="5:14">
      <c r="F27" t="s">
        <v>558</v>
      </c>
      <c r="G27" t="s">
        <v>559</v>
      </c>
      <c r="H27" t="s">
        <v>560</v>
      </c>
      <c r="I27" t="s">
        <v>561</v>
      </c>
    </row>
    <row r="28" spans="5:14">
      <c r="E28">
        <v>4</v>
      </c>
      <c r="F28">
        <v>14400</v>
      </c>
      <c r="H28" t="s">
        <v>562</v>
      </c>
      <c r="I28">
        <v>100</v>
      </c>
      <c r="J28">
        <v>28</v>
      </c>
      <c r="L28">
        <f>I28*F28*E28</f>
        <v>5760000</v>
      </c>
      <c r="M28" t="e">
        <f>L28/$J$36</f>
        <v>#DIV/0!</v>
      </c>
    </row>
    <row r="29" spans="5:14">
      <c r="E29">
        <v>3</v>
      </c>
      <c r="F29">
        <v>12000</v>
      </c>
      <c r="I29">
        <v>625</v>
      </c>
      <c r="J29">
        <v>38</v>
      </c>
      <c r="L29">
        <f>I28*F29*E29</f>
        <v>3600000</v>
      </c>
      <c r="M29" t="e">
        <f t="shared" ref="M29:M33" si="0">L29/$J$36</f>
        <v>#DIV/0!</v>
      </c>
    </row>
    <row r="30" spans="5:14">
      <c r="E30">
        <v>2</v>
      </c>
      <c r="F30">
        <v>10800</v>
      </c>
      <c r="J30">
        <v>17</v>
      </c>
      <c r="L30">
        <f>I28*F30*E30</f>
        <v>2160000</v>
      </c>
      <c r="M30" t="e">
        <f t="shared" si="0"/>
        <v>#DIV/0!</v>
      </c>
    </row>
    <row r="31" spans="5:14">
      <c r="E31">
        <v>2</v>
      </c>
      <c r="F31">
        <v>9600</v>
      </c>
      <c r="L31">
        <f>I28*F31*E31</f>
        <v>1920000</v>
      </c>
      <c r="M31" t="e">
        <f t="shared" si="0"/>
        <v>#DIV/0!</v>
      </c>
    </row>
    <row r="32" spans="5:14">
      <c r="E32">
        <v>55</v>
      </c>
      <c r="F32">
        <v>200</v>
      </c>
      <c r="L32">
        <f>I28*F32*E32*17</f>
        <v>18700000</v>
      </c>
      <c r="M32" t="e">
        <f t="shared" si="0"/>
        <v>#DIV/0!</v>
      </c>
    </row>
    <row r="33" spans="5:13">
      <c r="E33">
        <f>SUM(E28:E32)</f>
        <v>66</v>
      </c>
      <c r="L33">
        <f>38*I29*F32</f>
        <v>4750000</v>
      </c>
      <c r="M33" t="e">
        <f t="shared" si="0"/>
        <v>#DIV/0!</v>
      </c>
    </row>
    <row r="34" spans="5:13">
      <c r="L34">
        <f>SUM(L28:L33)</f>
        <v>36890000</v>
      </c>
    </row>
    <row r="35" spans="5:13">
      <c r="I35" t="s">
        <v>563</v>
      </c>
    </row>
    <row r="36" spans="5:13">
      <c r="F36" t="s">
        <v>558</v>
      </c>
      <c r="G36" t="s">
        <v>559</v>
      </c>
      <c r="H36" t="s">
        <v>560</v>
      </c>
      <c r="I36" t="s">
        <v>561</v>
      </c>
    </row>
    <row r="37" spans="5:13">
      <c r="E37">
        <v>4</v>
      </c>
      <c r="F37">
        <v>14400</v>
      </c>
      <c r="H37" t="s">
        <v>562</v>
      </c>
      <c r="I37" s="4">
        <v>100</v>
      </c>
      <c r="J37">
        <v>28</v>
      </c>
    </row>
    <row r="38" spans="5:13">
      <c r="E38">
        <v>3</v>
      </c>
      <c r="F38">
        <v>12000</v>
      </c>
      <c r="I38">
        <v>625</v>
      </c>
      <c r="J38">
        <v>38</v>
      </c>
    </row>
    <row r="39" spans="5:13">
      <c r="E39">
        <v>2</v>
      </c>
      <c r="F39">
        <v>10800</v>
      </c>
      <c r="J39">
        <v>17</v>
      </c>
    </row>
    <row r="40" spans="5:13">
      <c r="E40">
        <v>2</v>
      </c>
      <c r="F40">
        <v>9600</v>
      </c>
    </row>
    <row r="41" spans="5:13">
      <c r="E41">
        <v>54</v>
      </c>
      <c r="F41">
        <v>200</v>
      </c>
    </row>
    <row r="42" spans="5:13">
      <c r="E42">
        <f>SUM(E37:E41)</f>
        <v>65</v>
      </c>
    </row>
    <row r="44" spans="5:13" ht="17.25" thickBot="1"/>
    <row r="45" spans="5:13" ht="17.25" thickBot="1">
      <c r="F45" s="46" t="s">
        <v>83</v>
      </c>
      <c r="G45" s="46" t="s">
        <v>564</v>
      </c>
      <c r="H45" s="46" t="s">
        <v>565</v>
      </c>
      <c r="I45" s="46" t="s">
        <v>566</v>
      </c>
    </row>
    <row r="46" spans="5:13" ht="72" thickBot="1">
      <c r="F46" s="47" t="s">
        <v>567</v>
      </c>
      <c r="G46" s="47" t="s">
        <v>568</v>
      </c>
      <c r="H46" s="47">
        <v>65</v>
      </c>
      <c r="I46" s="47" t="s">
        <v>569</v>
      </c>
    </row>
    <row r="47" spans="5:13" ht="72" thickBot="1">
      <c r="F47" s="47" t="s">
        <v>570</v>
      </c>
      <c r="G47" s="47" t="s">
        <v>571</v>
      </c>
      <c r="H47" s="47">
        <v>65</v>
      </c>
      <c r="I47" s="47" t="s">
        <v>572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D8DF-8ACC-4573-A38E-F36E7C2A9894}">
  <sheetPr codeName="Sheet8"/>
  <dimension ref="A1:W136"/>
  <sheetViews>
    <sheetView workbookViewId="0">
      <selection activeCell="J11" sqref="J11"/>
    </sheetView>
  </sheetViews>
  <sheetFormatPr defaultRowHeight="16.5"/>
  <sheetData>
    <row r="1" spans="1:23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364</v>
      </c>
      <c r="G1" t="s">
        <v>365</v>
      </c>
      <c r="H1" t="s">
        <v>366</v>
      </c>
      <c r="J1" t="s">
        <v>367</v>
      </c>
      <c r="K1" t="s">
        <v>368</v>
      </c>
      <c r="L1" t="s">
        <v>393</v>
      </c>
      <c r="N1" t="s">
        <v>299</v>
      </c>
      <c r="O1" t="s">
        <v>304</v>
      </c>
      <c r="P1" t="s">
        <v>305</v>
      </c>
      <c r="Q1" t="s">
        <v>306</v>
      </c>
      <c r="R1" t="s">
        <v>307</v>
      </c>
      <c r="S1" t="s">
        <v>308</v>
      </c>
      <c r="T1" t="s">
        <v>309</v>
      </c>
      <c r="U1" t="s">
        <v>310</v>
      </c>
      <c r="V1" t="s">
        <v>311</v>
      </c>
      <c r="W1" t="s">
        <v>312</v>
      </c>
    </row>
    <row r="2" spans="1:23">
      <c r="A2">
        <v>1</v>
      </c>
      <c r="B2">
        <v>15</v>
      </c>
      <c r="C2">
        <v>850</v>
      </c>
      <c r="D2">
        <v>1</v>
      </c>
      <c r="E2">
        <v>2</v>
      </c>
      <c r="F2">
        <f>INT((A2-1)/5)+2</f>
        <v>2</v>
      </c>
      <c r="G2">
        <f>INT((A2-1)/25)+1</f>
        <v>1</v>
      </c>
      <c r="H2">
        <f>MOD(A2-1, 5)</f>
        <v>0</v>
      </c>
      <c r="I2" t="str">
        <f>_xlfn.TEXTJOIN("", TRUE, TEXT(G2,"0"), TEXT(H2,"0"))</f>
        <v>10</v>
      </c>
      <c r="J2">
        <f>VLOOKUP(I2, O$2:W$26, 4, FALSE)+VLOOKUP(I2, O$2:W$26, 5, FALSE)*(F2-1)</f>
        <v>660</v>
      </c>
      <c r="L2">
        <v>850</v>
      </c>
      <c r="O2" s="32" t="s">
        <v>369</v>
      </c>
      <c r="P2" t="s">
        <v>313</v>
      </c>
      <c r="Q2" t="s">
        <v>314</v>
      </c>
      <c r="R2">
        <v>600</v>
      </c>
      <c r="S2">
        <v>60</v>
      </c>
      <c r="T2">
        <v>1.7</v>
      </c>
      <c r="U2">
        <v>1</v>
      </c>
      <c r="V2">
        <v>7</v>
      </c>
      <c r="W2">
        <v>1</v>
      </c>
    </row>
    <row r="3" spans="1:23">
      <c r="A3">
        <v>2</v>
      </c>
      <c r="B3">
        <v>30</v>
      </c>
      <c r="C3">
        <v>3315</v>
      </c>
      <c r="D3">
        <v>1</v>
      </c>
      <c r="E3">
        <v>2</v>
      </c>
      <c r="F3">
        <f t="shared" ref="F3:F25" si="0">INT((A3-1)/5)+2</f>
        <v>2</v>
      </c>
      <c r="G3">
        <f t="shared" ref="G3:G66" si="1">INT((A3-1)/25)+1</f>
        <v>1</v>
      </c>
      <c r="H3">
        <f t="shared" ref="H3:H66" si="2">MOD(A3-1, 5)</f>
        <v>1</v>
      </c>
      <c r="I3" t="str">
        <f t="shared" ref="I3:I66" si="3">_xlfn.TEXTJOIN("", TRUE, TEXT(G3,"0"), TEXT(H3,"0"))</f>
        <v>11</v>
      </c>
      <c r="J3">
        <f t="shared" ref="J3:J66" si="4">VLOOKUP(I3, O$2:W$26, 4, FALSE)+VLOOKUP(I3, O$2:W$26, 5, FALSE)*(F3-1)</f>
        <v>550</v>
      </c>
      <c r="L3">
        <f>C3+L2</f>
        <v>4165</v>
      </c>
      <c r="O3" s="32" t="s">
        <v>370</v>
      </c>
      <c r="P3" t="s">
        <v>315</v>
      </c>
      <c r="Q3" t="s">
        <v>316</v>
      </c>
      <c r="R3">
        <v>500</v>
      </c>
      <c r="S3">
        <v>50</v>
      </c>
      <c r="T3">
        <v>2.5</v>
      </c>
      <c r="U3">
        <v>2</v>
      </c>
      <c r="V3">
        <v>12</v>
      </c>
      <c r="W3">
        <v>1</v>
      </c>
    </row>
    <row r="4" spans="1:23">
      <c r="A4">
        <v>3</v>
      </c>
      <c r="B4">
        <v>45</v>
      </c>
      <c r="C4">
        <v>7757</v>
      </c>
      <c r="D4">
        <v>1</v>
      </c>
      <c r="E4">
        <v>2</v>
      </c>
      <c r="F4">
        <f t="shared" si="0"/>
        <v>2</v>
      </c>
      <c r="G4">
        <f t="shared" si="1"/>
        <v>1</v>
      </c>
      <c r="H4">
        <f t="shared" si="2"/>
        <v>2</v>
      </c>
      <c r="I4" t="str">
        <f t="shared" si="3"/>
        <v>12</v>
      </c>
      <c r="J4">
        <f t="shared" si="4"/>
        <v>495</v>
      </c>
      <c r="L4">
        <f t="shared" ref="L4:L67" si="5">C4+L3</f>
        <v>11922</v>
      </c>
      <c r="O4" s="32" t="s">
        <v>371</v>
      </c>
      <c r="P4" t="s">
        <v>317</v>
      </c>
      <c r="Q4" t="s">
        <v>318</v>
      </c>
      <c r="R4">
        <v>450</v>
      </c>
      <c r="S4">
        <v>45</v>
      </c>
      <c r="T4">
        <v>3</v>
      </c>
      <c r="U4">
        <v>3</v>
      </c>
      <c r="V4">
        <v>15</v>
      </c>
      <c r="W4">
        <v>1</v>
      </c>
    </row>
    <row r="5" spans="1:23">
      <c r="A5">
        <v>4</v>
      </c>
      <c r="B5">
        <v>60</v>
      </c>
      <c r="C5">
        <v>14149</v>
      </c>
      <c r="D5">
        <v>1</v>
      </c>
      <c r="E5">
        <v>2</v>
      </c>
      <c r="F5">
        <f t="shared" si="0"/>
        <v>2</v>
      </c>
      <c r="G5">
        <f t="shared" si="1"/>
        <v>1</v>
      </c>
      <c r="H5">
        <f t="shared" si="2"/>
        <v>3</v>
      </c>
      <c r="I5" t="str">
        <f t="shared" si="3"/>
        <v>13</v>
      </c>
      <c r="J5">
        <f t="shared" si="4"/>
        <v>440</v>
      </c>
      <c r="L5">
        <f t="shared" si="5"/>
        <v>26071</v>
      </c>
      <c r="O5" s="32" t="s">
        <v>372</v>
      </c>
      <c r="P5" t="s">
        <v>319</v>
      </c>
      <c r="Q5" t="s">
        <v>320</v>
      </c>
      <c r="R5">
        <v>400</v>
      </c>
      <c r="S5">
        <v>40</v>
      </c>
      <c r="T5">
        <v>4</v>
      </c>
      <c r="U5">
        <v>4</v>
      </c>
      <c r="V5">
        <v>18</v>
      </c>
      <c r="W5">
        <v>1</v>
      </c>
    </row>
    <row r="6" spans="1:23">
      <c r="A6">
        <v>5</v>
      </c>
      <c r="B6">
        <v>75</v>
      </c>
      <c r="C6">
        <v>22490</v>
      </c>
      <c r="D6">
        <v>1</v>
      </c>
      <c r="E6">
        <v>2</v>
      </c>
      <c r="F6">
        <f t="shared" si="0"/>
        <v>2</v>
      </c>
      <c r="G6">
        <f t="shared" si="1"/>
        <v>1</v>
      </c>
      <c r="H6">
        <f t="shared" si="2"/>
        <v>4</v>
      </c>
      <c r="I6" t="str">
        <f t="shared" si="3"/>
        <v>14</v>
      </c>
      <c r="J6">
        <f t="shared" si="4"/>
        <v>155</v>
      </c>
      <c r="L6">
        <f t="shared" si="5"/>
        <v>48561</v>
      </c>
      <c r="O6" s="32" t="s">
        <v>373</v>
      </c>
      <c r="P6" t="s">
        <v>321</v>
      </c>
      <c r="Q6" t="s">
        <v>322</v>
      </c>
      <c r="R6">
        <v>150</v>
      </c>
      <c r="S6">
        <v>5</v>
      </c>
      <c r="T6">
        <v>10</v>
      </c>
      <c r="U6">
        <v>0</v>
      </c>
      <c r="V6">
        <v>20</v>
      </c>
      <c r="W6">
        <v>0</v>
      </c>
    </row>
    <row r="7" spans="1:23">
      <c r="A7">
        <v>6</v>
      </c>
      <c r="B7">
        <v>120</v>
      </c>
      <c r="C7">
        <v>58208</v>
      </c>
      <c r="D7">
        <v>1</v>
      </c>
      <c r="E7">
        <v>3</v>
      </c>
      <c r="F7">
        <f t="shared" si="0"/>
        <v>3</v>
      </c>
      <c r="G7">
        <f t="shared" si="1"/>
        <v>1</v>
      </c>
      <c r="H7">
        <f t="shared" si="2"/>
        <v>0</v>
      </c>
      <c r="I7" t="str">
        <f t="shared" si="3"/>
        <v>10</v>
      </c>
      <c r="J7">
        <f t="shared" si="4"/>
        <v>720</v>
      </c>
      <c r="L7">
        <f t="shared" si="5"/>
        <v>106769</v>
      </c>
      <c r="O7" s="32" t="s">
        <v>374</v>
      </c>
      <c r="P7" t="s">
        <v>323</v>
      </c>
      <c r="Q7" t="s">
        <v>324</v>
      </c>
      <c r="R7">
        <v>1200</v>
      </c>
      <c r="S7">
        <v>120</v>
      </c>
      <c r="T7">
        <v>1.7</v>
      </c>
      <c r="U7">
        <v>1</v>
      </c>
      <c r="V7">
        <v>7</v>
      </c>
      <c r="W7">
        <v>1</v>
      </c>
    </row>
    <row r="8" spans="1:23">
      <c r="A8">
        <v>7</v>
      </c>
      <c r="B8">
        <v>140</v>
      </c>
      <c r="C8">
        <v>79991</v>
      </c>
      <c r="D8">
        <v>1</v>
      </c>
      <c r="E8">
        <v>3</v>
      </c>
      <c r="F8">
        <f t="shared" si="0"/>
        <v>3</v>
      </c>
      <c r="G8">
        <f t="shared" si="1"/>
        <v>1</v>
      </c>
      <c r="H8">
        <f t="shared" si="2"/>
        <v>1</v>
      </c>
      <c r="I8" t="str">
        <f t="shared" si="3"/>
        <v>11</v>
      </c>
      <c r="J8">
        <f t="shared" si="4"/>
        <v>600</v>
      </c>
      <c r="L8">
        <f t="shared" si="5"/>
        <v>186760</v>
      </c>
      <c r="O8" s="32" t="s">
        <v>375</v>
      </c>
      <c r="P8" t="s">
        <v>325</v>
      </c>
      <c r="Q8" t="s">
        <v>326</v>
      </c>
      <c r="R8">
        <v>1000</v>
      </c>
      <c r="S8">
        <v>100</v>
      </c>
      <c r="T8">
        <v>2.5</v>
      </c>
      <c r="U8">
        <v>2</v>
      </c>
      <c r="V8">
        <v>12</v>
      </c>
      <c r="W8">
        <v>1</v>
      </c>
    </row>
    <row r="9" spans="1:23">
      <c r="A9">
        <v>8</v>
      </c>
      <c r="B9">
        <v>160</v>
      </c>
      <c r="C9">
        <v>105240</v>
      </c>
      <c r="D9">
        <v>1</v>
      </c>
      <c r="E9">
        <v>3</v>
      </c>
      <c r="F9">
        <f t="shared" si="0"/>
        <v>3</v>
      </c>
      <c r="G9">
        <f t="shared" si="1"/>
        <v>1</v>
      </c>
      <c r="H9">
        <f t="shared" si="2"/>
        <v>2</v>
      </c>
      <c r="I9" t="str">
        <f t="shared" si="3"/>
        <v>12</v>
      </c>
      <c r="J9">
        <f t="shared" si="4"/>
        <v>540</v>
      </c>
      <c r="L9">
        <f t="shared" si="5"/>
        <v>292000</v>
      </c>
      <c r="O9" s="32" t="s">
        <v>376</v>
      </c>
      <c r="P9" t="s">
        <v>327</v>
      </c>
      <c r="Q9" t="s">
        <v>328</v>
      </c>
      <c r="R9">
        <v>900</v>
      </c>
      <c r="S9">
        <v>90</v>
      </c>
      <c r="T9">
        <v>3</v>
      </c>
      <c r="U9">
        <v>3</v>
      </c>
      <c r="V9">
        <v>15</v>
      </c>
      <c r="W9">
        <v>1</v>
      </c>
    </row>
    <row r="10" spans="1:23">
      <c r="A10">
        <v>9</v>
      </c>
      <c r="B10">
        <v>180</v>
      </c>
      <c r="C10">
        <v>133955</v>
      </c>
      <c r="D10">
        <v>1</v>
      </c>
      <c r="E10">
        <v>3</v>
      </c>
      <c r="F10">
        <f t="shared" si="0"/>
        <v>3</v>
      </c>
      <c r="G10">
        <f t="shared" si="1"/>
        <v>1</v>
      </c>
      <c r="H10">
        <f t="shared" si="2"/>
        <v>3</v>
      </c>
      <c r="I10" t="str">
        <f t="shared" si="3"/>
        <v>13</v>
      </c>
      <c r="J10">
        <f t="shared" si="4"/>
        <v>480</v>
      </c>
      <c r="L10">
        <f t="shared" si="5"/>
        <v>425955</v>
      </c>
      <c r="O10" s="32" t="s">
        <v>377</v>
      </c>
      <c r="P10" t="s">
        <v>329</v>
      </c>
      <c r="Q10" t="s">
        <v>330</v>
      </c>
      <c r="R10">
        <v>800</v>
      </c>
      <c r="S10">
        <v>80</v>
      </c>
      <c r="T10">
        <v>4</v>
      </c>
      <c r="U10">
        <v>4</v>
      </c>
      <c r="V10">
        <v>18</v>
      </c>
      <c r="W10">
        <v>1</v>
      </c>
    </row>
    <row r="11" spans="1:23">
      <c r="A11">
        <v>10</v>
      </c>
      <c r="B11">
        <v>200</v>
      </c>
      <c r="C11">
        <v>166137</v>
      </c>
      <c r="D11">
        <v>1</v>
      </c>
      <c r="E11">
        <v>3</v>
      </c>
      <c r="F11">
        <f t="shared" si="0"/>
        <v>3</v>
      </c>
      <c r="G11">
        <f t="shared" si="1"/>
        <v>1</v>
      </c>
      <c r="H11">
        <f t="shared" si="2"/>
        <v>4</v>
      </c>
      <c r="I11" t="str">
        <f t="shared" si="3"/>
        <v>14</v>
      </c>
      <c r="J11">
        <f t="shared" si="4"/>
        <v>160</v>
      </c>
      <c r="L11">
        <f t="shared" si="5"/>
        <v>592092</v>
      </c>
      <c r="O11" s="32" t="s">
        <v>378</v>
      </c>
      <c r="P11" t="s">
        <v>331</v>
      </c>
      <c r="Q11" t="s">
        <v>332</v>
      </c>
      <c r="R11">
        <v>180</v>
      </c>
      <c r="S11">
        <v>10</v>
      </c>
      <c r="T11">
        <v>10</v>
      </c>
      <c r="U11">
        <v>0</v>
      </c>
      <c r="V11">
        <v>20</v>
      </c>
      <c r="W11">
        <v>0</v>
      </c>
    </row>
    <row r="12" spans="1:23">
      <c r="A12">
        <v>11</v>
      </c>
      <c r="B12">
        <v>230</v>
      </c>
      <c r="C12">
        <v>220911</v>
      </c>
      <c r="D12">
        <v>1</v>
      </c>
      <c r="E12">
        <v>4</v>
      </c>
      <c r="F12">
        <f t="shared" si="0"/>
        <v>4</v>
      </c>
      <c r="G12">
        <f t="shared" si="1"/>
        <v>1</v>
      </c>
      <c r="H12">
        <f t="shared" si="2"/>
        <v>0</v>
      </c>
      <c r="I12" t="str">
        <f t="shared" si="3"/>
        <v>10</v>
      </c>
      <c r="J12">
        <f t="shared" si="4"/>
        <v>780</v>
      </c>
      <c r="L12">
        <f t="shared" si="5"/>
        <v>813003</v>
      </c>
      <c r="O12" s="32" t="s">
        <v>379</v>
      </c>
      <c r="P12" t="s">
        <v>333</v>
      </c>
      <c r="Q12" t="s">
        <v>334</v>
      </c>
      <c r="R12">
        <v>2400</v>
      </c>
      <c r="S12">
        <v>240</v>
      </c>
      <c r="T12">
        <v>1.7</v>
      </c>
      <c r="U12">
        <v>1</v>
      </c>
      <c r="V12">
        <v>7</v>
      </c>
      <c r="W12">
        <v>1</v>
      </c>
    </row>
    <row r="13" spans="1:23">
      <c r="A13">
        <v>12</v>
      </c>
      <c r="B13">
        <v>260</v>
      </c>
      <c r="C13">
        <v>283484</v>
      </c>
      <c r="D13">
        <v>1</v>
      </c>
      <c r="E13">
        <v>4</v>
      </c>
      <c r="F13">
        <f t="shared" si="0"/>
        <v>4</v>
      </c>
      <c r="G13">
        <f t="shared" si="1"/>
        <v>1</v>
      </c>
      <c r="H13">
        <f t="shared" si="2"/>
        <v>1</v>
      </c>
      <c r="I13" t="str">
        <f t="shared" si="3"/>
        <v>11</v>
      </c>
      <c r="J13">
        <f t="shared" si="4"/>
        <v>650</v>
      </c>
      <c r="L13">
        <f t="shared" si="5"/>
        <v>1096487</v>
      </c>
      <c r="O13" s="32" t="s">
        <v>380</v>
      </c>
      <c r="P13" t="s">
        <v>335</v>
      </c>
      <c r="Q13" t="s">
        <v>336</v>
      </c>
      <c r="R13">
        <v>2000</v>
      </c>
      <c r="S13">
        <v>200</v>
      </c>
      <c r="T13">
        <v>2.5</v>
      </c>
      <c r="U13">
        <v>2</v>
      </c>
      <c r="V13">
        <v>12</v>
      </c>
      <c r="W13">
        <v>1</v>
      </c>
    </row>
    <row r="14" spans="1:23">
      <c r="A14">
        <v>13</v>
      </c>
      <c r="B14">
        <v>290</v>
      </c>
      <c r="C14">
        <v>353857</v>
      </c>
      <c r="D14">
        <v>1</v>
      </c>
      <c r="E14">
        <v>4</v>
      </c>
      <c r="F14">
        <f t="shared" si="0"/>
        <v>4</v>
      </c>
      <c r="G14">
        <f t="shared" si="1"/>
        <v>1</v>
      </c>
      <c r="H14">
        <f t="shared" si="2"/>
        <v>2</v>
      </c>
      <c r="I14" t="str">
        <f t="shared" si="3"/>
        <v>12</v>
      </c>
      <c r="J14">
        <f t="shared" si="4"/>
        <v>585</v>
      </c>
      <c r="L14">
        <f t="shared" si="5"/>
        <v>1450344</v>
      </c>
      <c r="O14" s="32" t="s">
        <v>381</v>
      </c>
      <c r="P14" t="s">
        <v>337</v>
      </c>
      <c r="Q14" t="s">
        <v>338</v>
      </c>
      <c r="R14">
        <v>1800</v>
      </c>
      <c r="S14">
        <v>180</v>
      </c>
      <c r="T14">
        <v>3</v>
      </c>
      <c r="U14">
        <v>3</v>
      </c>
      <c r="V14">
        <v>15</v>
      </c>
      <c r="W14">
        <v>1</v>
      </c>
    </row>
    <row r="15" spans="1:23">
      <c r="A15">
        <v>14</v>
      </c>
      <c r="B15">
        <v>320</v>
      </c>
      <c r="C15">
        <v>432031</v>
      </c>
      <c r="D15">
        <v>1</v>
      </c>
      <c r="E15">
        <v>4</v>
      </c>
      <c r="F15">
        <f t="shared" si="0"/>
        <v>4</v>
      </c>
      <c r="G15">
        <f t="shared" si="1"/>
        <v>1</v>
      </c>
      <c r="H15">
        <f t="shared" si="2"/>
        <v>3</v>
      </c>
      <c r="I15" t="str">
        <f t="shared" si="3"/>
        <v>13</v>
      </c>
      <c r="J15">
        <f t="shared" si="4"/>
        <v>520</v>
      </c>
      <c r="L15">
        <f t="shared" si="5"/>
        <v>1882375</v>
      </c>
      <c r="O15" s="32" t="s">
        <v>382</v>
      </c>
      <c r="P15" t="s">
        <v>339</v>
      </c>
      <c r="Q15" t="s">
        <v>340</v>
      </c>
      <c r="R15">
        <v>1600</v>
      </c>
      <c r="S15">
        <v>160</v>
      </c>
      <c r="T15">
        <v>4</v>
      </c>
      <c r="U15">
        <v>4</v>
      </c>
      <c r="V15">
        <v>18</v>
      </c>
      <c r="W15">
        <v>1</v>
      </c>
    </row>
    <row r="16" spans="1:23">
      <c r="A16">
        <v>15</v>
      </c>
      <c r="B16">
        <v>350</v>
      </c>
      <c r="C16">
        <v>518004</v>
      </c>
      <c r="D16">
        <v>1</v>
      </c>
      <c r="E16">
        <v>4</v>
      </c>
      <c r="F16">
        <f t="shared" si="0"/>
        <v>4</v>
      </c>
      <c r="G16">
        <f t="shared" si="1"/>
        <v>1</v>
      </c>
      <c r="H16">
        <f t="shared" si="2"/>
        <v>4</v>
      </c>
      <c r="I16" t="str">
        <f t="shared" si="3"/>
        <v>14</v>
      </c>
      <c r="J16">
        <f t="shared" si="4"/>
        <v>165</v>
      </c>
      <c r="L16">
        <f t="shared" si="5"/>
        <v>2400379</v>
      </c>
      <c r="O16" s="32" t="s">
        <v>383</v>
      </c>
      <c r="P16" t="s">
        <v>341</v>
      </c>
      <c r="Q16" t="s">
        <v>342</v>
      </c>
      <c r="R16">
        <v>250</v>
      </c>
      <c r="S16">
        <v>15</v>
      </c>
      <c r="T16">
        <v>10</v>
      </c>
      <c r="U16">
        <v>0</v>
      </c>
      <c r="V16">
        <v>20</v>
      </c>
      <c r="W16">
        <v>0</v>
      </c>
    </row>
    <row r="17" spans="1:23">
      <c r="A17">
        <v>16</v>
      </c>
      <c r="B17">
        <v>390</v>
      </c>
      <c r="C17">
        <v>644768</v>
      </c>
      <c r="D17">
        <v>1</v>
      </c>
      <c r="E17">
        <v>5</v>
      </c>
      <c r="F17">
        <f t="shared" si="0"/>
        <v>5</v>
      </c>
      <c r="G17">
        <f t="shared" si="1"/>
        <v>1</v>
      </c>
      <c r="H17">
        <f t="shared" si="2"/>
        <v>0</v>
      </c>
      <c r="I17" t="str">
        <f t="shared" si="3"/>
        <v>10</v>
      </c>
      <c r="J17">
        <f t="shared" si="4"/>
        <v>840</v>
      </c>
      <c r="L17">
        <f t="shared" si="5"/>
        <v>3045147</v>
      </c>
      <c r="O17" s="32" t="s">
        <v>384</v>
      </c>
      <c r="P17" t="s">
        <v>343</v>
      </c>
      <c r="Q17" t="s">
        <v>344</v>
      </c>
      <c r="R17">
        <v>4800</v>
      </c>
      <c r="S17">
        <v>480</v>
      </c>
      <c r="T17">
        <v>1.7</v>
      </c>
      <c r="U17">
        <v>1</v>
      </c>
      <c r="V17">
        <v>7</v>
      </c>
      <c r="W17">
        <v>1</v>
      </c>
    </row>
    <row r="18" spans="1:23">
      <c r="A18">
        <v>17</v>
      </c>
      <c r="B18">
        <v>430</v>
      </c>
      <c r="C18">
        <v>785400</v>
      </c>
      <c r="D18">
        <v>1</v>
      </c>
      <c r="E18">
        <v>5</v>
      </c>
      <c r="F18">
        <f t="shared" si="0"/>
        <v>5</v>
      </c>
      <c r="G18">
        <f t="shared" si="1"/>
        <v>1</v>
      </c>
      <c r="H18">
        <f t="shared" si="2"/>
        <v>1</v>
      </c>
      <c r="I18" t="str">
        <f t="shared" si="3"/>
        <v>11</v>
      </c>
      <c r="J18">
        <f t="shared" si="4"/>
        <v>700</v>
      </c>
      <c r="L18">
        <f t="shared" si="5"/>
        <v>3830547</v>
      </c>
      <c r="O18" s="32" t="s">
        <v>385</v>
      </c>
      <c r="P18" t="s">
        <v>345</v>
      </c>
      <c r="Q18" t="s">
        <v>346</v>
      </c>
      <c r="R18">
        <v>4000</v>
      </c>
      <c r="S18">
        <v>400</v>
      </c>
      <c r="T18">
        <v>2.5</v>
      </c>
      <c r="U18">
        <v>2</v>
      </c>
      <c r="V18">
        <v>12</v>
      </c>
      <c r="W18">
        <v>1</v>
      </c>
    </row>
    <row r="19" spans="1:23">
      <c r="A19">
        <v>18</v>
      </c>
      <c r="B19">
        <v>470</v>
      </c>
      <c r="C19">
        <v>939897</v>
      </c>
      <c r="D19">
        <v>1</v>
      </c>
      <c r="E19">
        <v>5</v>
      </c>
      <c r="F19">
        <f t="shared" si="0"/>
        <v>5</v>
      </c>
      <c r="G19">
        <f t="shared" si="1"/>
        <v>1</v>
      </c>
      <c r="H19">
        <f t="shared" si="2"/>
        <v>2</v>
      </c>
      <c r="I19" t="str">
        <f t="shared" si="3"/>
        <v>12</v>
      </c>
      <c r="J19">
        <f t="shared" si="4"/>
        <v>630</v>
      </c>
      <c r="L19">
        <f t="shared" si="5"/>
        <v>4770444</v>
      </c>
      <c r="O19" s="32" t="s">
        <v>386</v>
      </c>
      <c r="P19" t="s">
        <v>347</v>
      </c>
      <c r="Q19" t="s">
        <v>348</v>
      </c>
      <c r="R19">
        <v>3600</v>
      </c>
      <c r="S19">
        <v>360</v>
      </c>
      <c r="T19">
        <v>3</v>
      </c>
      <c r="U19">
        <v>3</v>
      </c>
      <c r="V19">
        <v>15</v>
      </c>
      <c r="W19">
        <v>1</v>
      </c>
    </row>
    <row r="20" spans="1:23">
      <c r="A20">
        <v>19</v>
      </c>
      <c r="B20">
        <v>510</v>
      </c>
      <c r="C20">
        <v>1108262</v>
      </c>
      <c r="D20">
        <v>1</v>
      </c>
      <c r="E20">
        <v>5</v>
      </c>
      <c r="F20">
        <f t="shared" si="0"/>
        <v>5</v>
      </c>
      <c r="G20">
        <f t="shared" si="1"/>
        <v>1</v>
      </c>
      <c r="H20">
        <f t="shared" si="2"/>
        <v>3</v>
      </c>
      <c r="I20" t="str">
        <f t="shared" si="3"/>
        <v>13</v>
      </c>
      <c r="J20">
        <f t="shared" si="4"/>
        <v>560</v>
      </c>
      <c r="L20">
        <f t="shared" si="5"/>
        <v>5878706</v>
      </c>
      <c r="O20" s="32" t="s">
        <v>387</v>
      </c>
      <c r="P20" t="s">
        <v>349</v>
      </c>
      <c r="Q20" t="s">
        <v>350</v>
      </c>
      <c r="R20">
        <v>3200</v>
      </c>
      <c r="S20">
        <v>320</v>
      </c>
      <c r="T20">
        <v>4</v>
      </c>
      <c r="U20">
        <v>4</v>
      </c>
      <c r="V20">
        <v>18</v>
      </c>
      <c r="W20">
        <v>1</v>
      </c>
    </row>
    <row r="21" spans="1:23">
      <c r="A21">
        <v>20</v>
      </c>
      <c r="B21">
        <v>550</v>
      </c>
      <c r="C21">
        <v>1290493</v>
      </c>
      <c r="D21">
        <v>1</v>
      </c>
      <c r="E21">
        <v>5</v>
      </c>
      <c r="F21">
        <f t="shared" si="0"/>
        <v>5</v>
      </c>
      <c r="G21">
        <f t="shared" si="1"/>
        <v>1</v>
      </c>
      <c r="H21">
        <f t="shared" si="2"/>
        <v>4</v>
      </c>
      <c r="I21" t="str">
        <f t="shared" si="3"/>
        <v>14</v>
      </c>
      <c r="J21">
        <f t="shared" si="4"/>
        <v>170</v>
      </c>
      <c r="L21">
        <f t="shared" si="5"/>
        <v>7169199</v>
      </c>
      <c r="O21" s="32" t="s">
        <v>388</v>
      </c>
      <c r="P21" t="s">
        <v>351</v>
      </c>
      <c r="Q21" t="s">
        <v>352</v>
      </c>
      <c r="R21">
        <v>350</v>
      </c>
      <c r="S21">
        <v>20</v>
      </c>
      <c r="T21">
        <v>10</v>
      </c>
      <c r="U21">
        <v>0</v>
      </c>
      <c r="V21">
        <v>20</v>
      </c>
      <c r="W21">
        <v>0</v>
      </c>
    </row>
    <row r="22" spans="1:23">
      <c r="A22">
        <v>21</v>
      </c>
      <c r="B22">
        <v>600</v>
      </c>
      <c r="C22">
        <v>1537782</v>
      </c>
      <c r="D22">
        <v>1</v>
      </c>
      <c r="E22">
        <v>5</v>
      </c>
      <c r="F22">
        <f t="shared" si="0"/>
        <v>6</v>
      </c>
      <c r="G22">
        <f t="shared" si="1"/>
        <v>1</v>
      </c>
      <c r="H22">
        <f t="shared" si="2"/>
        <v>0</v>
      </c>
      <c r="I22" t="str">
        <f t="shared" si="3"/>
        <v>10</v>
      </c>
      <c r="J22">
        <f t="shared" si="4"/>
        <v>900</v>
      </c>
      <c r="L22">
        <f t="shared" si="5"/>
        <v>8706981</v>
      </c>
      <c r="O22" s="32" t="s">
        <v>389</v>
      </c>
      <c r="P22" t="s">
        <v>353</v>
      </c>
      <c r="Q22" t="s">
        <v>354</v>
      </c>
      <c r="R22">
        <v>9600</v>
      </c>
      <c r="S22">
        <v>960</v>
      </c>
      <c r="T22">
        <v>1.7</v>
      </c>
      <c r="U22">
        <v>1</v>
      </c>
      <c r="V22">
        <v>7</v>
      </c>
      <c r="W22">
        <v>1</v>
      </c>
    </row>
    <row r="23" spans="1:23">
      <c r="A23">
        <v>22</v>
      </c>
      <c r="B23">
        <v>650</v>
      </c>
      <c r="C23">
        <v>1806737</v>
      </c>
      <c r="D23">
        <v>1</v>
      </c>
      <c r="E23">
        <v>5</v>
      </c>
      <c r="F23">
        <f t="shared" si="0"/>
        <v>6</v>
      </c>
      <c r="G23">
        <f t="shared" si="1"/>
        <v>1</v>
      </c>
      <c r="H23">
        <f t="shared" si="2"/>
        <v>1</v>
      </c>
      <c r="I23" t="str">
        <f t="shared" si="3"/>
        <v>11</v>
      </c>
      <c r="J23">
        <f t="shared" si="4"/>
        <v>750</v>
      </c>
      <c r="L23">
        <f t="shared" si="5"/>
        <v>10513718</v>
      </c>
      <c r="O23" s="32" t="s">
        <v>390</v>
      </c>
      <c r="P23" t="s">
        <v>355</v>
      </c>
      <c r="Q23" t="s">
        <v>356</v>
      </c>
      <c r="R23">
        <v>8000</v>
      </c>
      <c r="S23">
        <v>800</v>
      </c>
      <c r="T23">
        <v>2.5</v>
      </c>
      <c r="U23">
        <v>2</v>
      </c>
      <c r="V23">
        <v>12</v>
      </c>
      <c r="W23">
        <v>1</v>
      </c>
    </row>
    <row r="24" spans="1:23">
      <c r="A24">
        <v>23</v>
      </c>
      <c r="B24">
        <v>700</v>
      </c>
      <c r="C24">
        <v>2097360</v>
      </c>
      <c r="D24">
        <v>1</v>
      </c>
      <c r="E24">
        <v>5</v>
      </c>
      <c r="F24">
        <f t="shared" si="0"/>
        <v>6</v>
      </c>
      <c r="G24">
        <f t="shared" si="1"/>
        <v>1</v>
      </c>
      <c r="H24">
        <f t="shared" si="2"/>
        <v>2</v>
      </c>
      <c r="I24" t="str">
        <f t="shared" si="3"/>
        <v>12</v>
      </c>
      <c r="J24">
        <f t="shared" si="4"/>
        <v>675</v>
      </c>
      <c r="L24">
        <f t="shared" si="5"/>
        <v>12611078</v>
      </c>
      <c r="O24" s="32" t="s">
        <v>391</v>
      </c>
      <c r="P24" t="s">
        <v>357</v>
      </c>
      <c r="Q24" t="s">
        <v>358</v>
      </c>
      <c r="R24">
        <v>7200</v>
      </c>
      <c r="S24">
        <v>720</v>
      </c>
      <c r="T24">
        <v>3</v>
      </c>
      <c r="U24">
        <v>3</v>
      </c>
      <c r="V24">
        <v>15</v>
      </c>
      <c r="W24">
        <v>1</v>
      </c>
    </row>
    <row r="25" spans="1:23">
      <c r="A25">
        <v>24</v>
      </c>
      <c r="B25">
        <v>750</v>
      </c>
      <c r="C25">
        <v>2409648</v>
      </c>
      <c r="D25">
        <v>1</v>
      </c>
      <c r="E25">
        <v>5</v>
      </c>
      <c r="F25">
        <f t="shared" si="0"/>
        <v>6</v>
      </c>
      <c r="G25">
        <f t="shared" si="1"/>
        <v>1</v>
      </c>
      <c r="H25">
        <f t="shared" si="2"/>
        <v>3</v>
      </c>
      <c r="I25" t="str">
        <f t="shared" si="3"/>
        <v>13</v>
      </c>
      <c r="J25">
        <f t="shared" si="4"/>
        <v>600</v>
      </c>
      <c r="L25">
        <f t="shared" si="5"/>
        <v>15020726</v>
      </c>
      <c r="O25" s="32" t="s">
        <v>392</v>
      </c>
      <c r="P25" t="s">
        <v>359</v>
      </c>
      <c r="Q25" t="s">
        <v>360</v>
      </c>
      <c r="R25">
        <v>6400</v>
      </c>
      <c r="S25">
        <v>640</v>
      </c>
      <c r="T25">
        <v>4</v>
      </c>
      <c r="U25">
        <v>4</v>
      </c>
      <c r="V25">
        <v>18</v>
      </c>
      <c r="W25">
        <v>1</v>
      </c>
    </row>
    <row r="26" spans="1:23">
      <c r="A26">
        <v>25</v>
      </c>
      <c r="B26">
        <v>800</v>
      </c>
      <c r="C26">
        <v>2743604</v>
      </c>
      <c r="D26">
        <v>1</v>
      </c>
      <c r="E26">
        <v>5</v>
      </c>
      <c r="F26">
        <f>INT((A26-1)/5)+2</f>
        <v>6</v>
      </c>
      <c r="G26">
        <f t="shared" si="1"/>
        <v>1</v>
      </c>
      <c r="H26">
        <f t="shared" si="2"/>
        <v>4</v>
      </c>
      <c r="I26" t="str">
        <f t="shared" si="3"/>
        <v>14</v>
      </c>
      <c r="J26">
        <f t="shared" si="4"/>
        <v>175</v>
      </c>
      <c r="L26">
        <f t="shared" si="5"/>
        <v>17764330</v>
      </c>
      <c r="O26" t="str">
        <f>TEXT(54, "0")</f>
        <v>54</v>
      </c>
      <c r="P26" t="s">
        <v>361</v>
      </c>
      <c r="Q26" t="s">
        <v>362</v>
      </c>
      <c r="R26">
        <v>500</v>
      </c>
      <c r="S26">
        <v>25</v>
      </c>
      <c r="T26">
        <v>10</v>
      </c>
      <c r="U26">
        <v>0</v>
      </c>
      <c r="V26">
        <v>20</v>
      </c>
      <c r="W26">
        <v>0</v>
      </c>
    </row>
    <row r="27" spans="1:23">
      <c r="A27">
        <v>26</v>
      </c>
      <c r="B27">
        <v>860</v>
      </c>
      <c r="C27">
        <v>3172951</v>
      </c>
      <c r="D27">
        <v>1</v>
      </c>
      <c r="E27">
        <v>5</v>
      </c>
      <c r="F27">
        <f>INT((A2-1)/5)+2</f>
        <v>2</v>
      </c>
      <c r="G27">
        <f t="shared" si="1"/>
        <v>2</v>
      </c>
      <c r="H27">
        <f t="shared" si="2"/>
        <v>0</v>
      </c>
      <c r="I27" t="str">
        <f t="shared" si="3"/>
        <v>20</v>
      </c>
      <c r="J27">
        <f t="shared" si="4"/>
        <v>1320</v>
      </c>
      <c r="L27">
        <f t="shared" si="5"/>
        <v>20937281</v>
      </c>
    </row>
    <row r="28" spans="1:23">
      <c r="A28">
        <v>27</v>
      </c>
      <c r="B28">
        <v>920</v>
      </c>
      <c r="C28">
        <v>3633498</v>
      </c>
      <c r="D28">
        <v>1</v>
      </c>
      <c r="E28">
        <v>5</v>
      </c>
      <c r="F28">
        <f t="shared" ref="F28:F51" si="6">INT((A3-1)/5)+2</f>
        <v>2</v>
      </c>
      <c r="G28">
        <f t="shared" si="1"/>
        <v>2</v>
      </c>
      <c r="H28">
        <f t="shared" si="2"/>
        <v>1</v>
      </c>
      <c r="I28" t="str">
        <f t="shared" si="3"/>
        <v>21</v>
      </c>
      <c r="J28">
        <f t="shared" si="4"/>
        <v>1100</v>
      </c>
      <c r="L28">
        <f t="shared" si="5"/>
        <v>24570779</v>
      </c>
    </row>
    <row r="29" spans="1:23">
      <c r="A29">
        <v>28</v>
      </c>
      <c r="B29">
        <v>980</v>
      </c>
      <c r="C29">
        <v>4125244</v>
      </c>
      <c r="D29">
        <v>1</v>
      </c>
      <c r="E29">
        <v>5</v>
      </c>
      <c r="F29">
        <f t="shared" si="6"/>
        <v>2</v>
      </c>
      <c r="G29">
        <f t="shared" si="1"/>
        <v>2</v>
      </c>
      <c r="H29">
        <f t="shared" si="2"/>
        <v>2</v>
      </c>
      <c r="I29" t="str">
        <f t="shared" si="3"/>
        <v>22</v>
      </c>
      <c r="J29">
        <f t="shared" si="4"/>
        <v>990</v>
      </c>
      <c r="L29">
        <f t="shared" si="5"/>
        <v>28696023</v>
      </c>
    </row>
    <row r="30" spans="1:23">
      <c r="A30">
        <v>29</v>
      </c>
      <c r="B30">
        <v>1040</v>
      </c>
      <c r="C30">
        <v>4648191</v>
      </c>
      <c r="D30">
        <v>1</v>
      </c>
      <c r="E30">
        <v>5</v>
      </c>
      <c r="F30">
        <f t="shared" si="6"/>
        <v>2</v>
      </c>
      <c r="G30">
        <f t="shared" si="1"/>
        <v>2</v>
      </c>
      <c r="H30">
        <f t="shared" si="2"/>
        <v>3</v>
      </c>
      <c r="I30" t="str">
        <f t="shared" si="3"/>
        <v>23</v>
      </c>
      <c r="J30">
        <f t="shared" si="4"/>
        <v>880</v>
      </c>
      <c r="L30">
        <f t="shared" si="5"/>
        <v>33344214</v>
      </c>
    </row>
    <row r="31" spans="1:23">
      <c r="A31">
        <v>30</v>
      </c>
      <c r="B31">
        <v>1100</v>
      </c>
      <c r="C31">
        <v>5202338</v>
      </c>
      <c r="D31">
        <v>1</v>
      </c>
      <c r="E31">
        <v>5</v>
      </c>
      <c r="F31">
        <f t="shared" si="6"/>
        <v>2</v>
      </c>
      <c r="G31">
        <f t="shared" si="1"/>
        <v>2</v>
      </c>
      <c r="H31">
        <f t="shared" si="2"/>
        <v>4</v>
      </c>
      <c r="I31" t="str">
        <f t="shared" si="3"/>
        <v>24</v>
      </c>
      <c r="J31">
        <f t="shared" si="4"/>
        <v>190</v>
      </c>
      <c r="L31">
        <f t="shared" si="5"/>
        <v>38546552</v>
      </c>
    </row>
    <row r="32" spans="1:23">
      <c r="A32">
        <v>31</v>
      </c>
      <c r="B32">
        <v>1170</v>
      </c>
      <c r="C32">
        <v>5888276</v>
      </c>
      <c r="D32">
        <v>1</v>
      </c>
      <c r="E32">
        <v>5</v>
      </c>
      <c r="F32">
        <f t="shared" si="6"/>
        <v>3</v>
      </c>
      <c r="G32">
        <f t="shared" si="1"/>
        <v>2</v>
      </c>
      <c r="H32">
        <f t="shared" si="2"/>
        <v>0</v>
      </c>
      <c r="I32" t="str">
        <f t="shared" si="3"/>
        <v>20</v>
      </c>
      <c r="J32">
        <f t="shared" si="4"/>
        <v>1440</v>
      </c>
      <c r="L32">
        <f t="shared" si="5"/>
        <v>44434828</v>
      </c>
    </row>
    <row r="33" spans="1:12">
      <c r="A33">
        <v>32</v>
      </c>
      <c r="B33">
        <v>1240</v>
      </c>
      <c r="C33">
        <v>6616680</v>
      </c>
      <c r="D33">
        <v>1</v>
      </c>
      <c r="E33">
        <v>5</v>
      </c>
      <c r="F33">
        <f t="shared" si="6"/>
        <v>3</v>
      </c>
      <c r="G33">
        <f t="shared" si="1"/>
        <v>2</v>
      </c>
      <c r="H33">
        <f t="shared" si="2"/>
        <v>1</v>
      </c>
      <c r="I33" t="str">
        <f t="shared" si="3"/>
        <v>21</v>
      </c>
      <c r="J33">
        <f t="shared" si="4"/>
        <v>1200</v>
      </c>
      <c r="L33">
        <f t="shared" si="5"/>
        <v>51051508</v>
      </c>
    </row>
    <row r="34" spans="1:12">
      <c r="A34">
        <v>33</v>
      </c>
      <c r="B34">
        <v>1310</v>
      </c>
      <c r="C34">
        <v>7387551</v>
      </c>
      <c r="D34">
        <v>1</v>
      </c>
      <c r="E34">
        <v>5</v>
      </c>
      <c r="F34">
        <f t="shared" si="6"/>
        <v>3</v>
      </c>
      <c r="G34">
        <f t="shared" si="1"/>
        <v>2</v>
      </c>
      <c r="H34">
        <f t="shared" si="2"/>
        <v>2</v>
      </c>
      <c r="I34" t="str">
        <f t="shared" si="3"/>
        <v>22</v>
      </c>
      <c r="J34">
        <f t="shared" si="4"/>
        <v>1080</v>
      </c>
      <c r="L34">
        <f t="shared" si="5"/>
        <v>58439059</v>
      </c>
    </row>
    <row r="35" spans="1:12">
      <c r="A35">
        <v>34</v>
      </c>
      <c r="B35">
        <v>1380</v>
      </c>
      <c r="C35">
        <v>8200889</v>
      </c>
      <c r="D35">
        <v>1</v>
      </c>
      <c r="E35">
        <v>5</v>
      </c>
      <c r="F35">
        <f t="shared" si="6"/>
        <v>3</v>
      </c>
      <c r="G35">
        <f t="shared" si="1"/>
        <v>2</v>
      </c>
      <c r="H35">
        <f t="shared" si="2"/>
        <v>3</v>
      </c>
      <c r="I35" t="str">
        <f t="shared" si="3"/>
        <v>23</v>
      </c>
      <c r="J35">
        <f t="shared" si="4"/>
        <v>960</v>
      </c>
      <c r="L35">
        <f t="shared" si="5"/>
        <v>66639948</v>
      </c>
    </row>
    <row r="36" spans="1:12">
      <c r="A36">
        <v>35</v>
      </c>
      <c r="B36">
        <v>1450</v>
      </c>
      <c r="C36">
        <v>9056694</v>
      </c>
      <c r="D36">
        <v>1</v>
      </c>
      <c r="E36">
        <v>5</v>
      </c>
      <c r="F36">
        <f t="shared" si="6"/>
        <v>3</v>
      </c>
      <c r="G36">
        <f t="shared" si="1"/>
        <v>2</v>
      </c>
      <c r="H36">
        <f t="shared" si="2"/>
        <v>4</v>
      </c>
      <c r="I36" t="str">
        <f t="shared" si="3"/>
        <v>24</v>
      </c>
      <c r="J36">
        <f t="shared" si="4"/>
        <v>200</v>
      </c>
      <c r="L36">
        <f t="shared" si="5"/>
        <v>75696642</v>
      </c>
    </row>
    <row r="37" spans="1:12">
      <c r="A37">
        <v>36</v>
      </c>
      <c r="B37">
        <v>1530</v>
      </c>
      <c r="C37">
        <v>10086756</v>
      </c>
      <c r="D37">
        <v>1</v>
      </c>
      <c r="E37">
        <v>5</v>
      </c>
      <c r="F37">
        <f t="shared" si="6"/>
        <v>4</v>
      </c>
      <c r="G37">
        <f t="shared" si="1"/>
        <v>2</v>
      </c>
      <c r="H37">
        <f t="shared" si="2"/>
        <v>0</v>
      </c>
      <c r="I37" t="str">
        <f t="shared" si="3"/>
        <v>20</v>
      </c>
      <c r="J37">
        <f t="shared" si="4"/>
        <v>1560</v>
      </c>
      <c r="L37">
        <f t="shared" si="5"/>
        <v>85783398</v>
      </c>
    </row>
    <row r="38" spans="1:12">
      <c r="A38">
        <v>37</v>
      </c>
      <c r="B38">
        <v>1610</v>
      </c>
      <c r="C38">
        <v>11172285</v>
      </c>
      <c r="D38">
        <v>1</v>
      </c>
      <c r="E38">
        <v>5</v>
      </c>
      <c r="F38">
        <f t="shared" si="6"/>
        <v>4</v>
      </c>
      <c r="G38">
        <f t="shared" si="1"/>
        <v>2</v>
      </c>
      <c r="H38">
        <f t="shared" si="2"/>
        <v>1</v>
      </c>
      <c r="I38" t="str">
        <f t="shared" si="3"/>
        <v>21</v>
      </c>
      <c r="J38">
        <f t="shared" si="4"/>
        <v>1300</v>
      </c>
      <c r="L38">
        <f t="shared" si="5"/>
        <v>96955683</v>
      </c>
    </row>
    <row r="39" spans="1:12">
      <c r="A39">
        <v>38</v>
      </c>
      <c r="B39">
        <v>1690</v>
      </c>
      <c r="C39">
        <v>12313281</v>
      </c>
      <c r="D39">
        <v>1</v>
      </c>
      <c r="E39">
        <v>5</v>
      </c>
      <c r="F39">
        <f t="shared" si="6"/>
        <v>4</v>
      </c>
      <c r="G39">
        <f t="shared" si="1"/>
        <v>2</v>
      </c>
      <c r="H39">
        <f t="shared" si="2"/>
        <v>2</v>
      </c>
      <c r="I39" t="str">
        <f t="shared" si="3"/>
        <v>22</v>
      </c>
      <c r="J39">
        <f t="shared" si="4"/>
        <v>1170</v>
      </c>
      <c r="L39">
        <f t="shared" si="5"/>
        <v>109268964</v>
      </c>
    </row>
    <row r="40" spans="1:12">
      <c r="A40">
        <v>39</v>
      </c>
      <c r="B40">
        <v>1770</v>
      </c>
      <c r="C40">
        <v>13509743</v>
      </c>
      <c r="D40">
        <v>1</v>
      </c>
      <c r="E40">
        <v>5</v>
      </c>
      <c r="F40">
        <f t="shared" si="6"/>
        <v>4</v>
      </c>
      <c r="G40">
        <f t="shared" si="1"/>
        <v>2</v>
      </c>
      <c r="H40">
        <f t="shared" si="2"/>
        <v>3</v>
      </c>
      <c r="I40" t="str">
        <f t="shared" si="3"/>
        <v>23</v>
      </c>
      <c r="J40">
        <f t="shared" si="4"/>
        <v>1040</v>
      </c>
      <c r="L40">
        <f t="shared" si="5"/>
        <v>122778707</v>
      </c>
    </row>
    <row r="41" spans="1:12">
      <c r="A41">
        <v>40</v>
      </c>
      <c r="B41">
        <v>1850</v>
      </c>
      <c r="C41">
        <v>14761672</v>
      </c>
      <c r="D41">
        <v>1</v>
      </c>
      <c r="E41">
        <v>5</v>
      </c>
      <c r="F41">
        <f t="shared" si="6"/>
        <v>4</v>
      </c>
      <c r="G41">
        <f t="shared" si="1"/>
        <v>2</v>
      </c>
      <c r="H41">
        <f t="shared" si="2"/>
        <v>4</v>
      </c>
      <c r="I41" t="str">
        <f t="shared" si="3"/>
        <v>24</v>
      </c>
      <c r="J41">
        <f t="shared" si="4"/>
        <v>210</v>
      </c>
      <c r="L41">
        <f t="shared" si="5"/>
        <v>137540379</v>
      </c>
    </row>
    <row r="42" spans="1:12">
      <c r="A42">
        <v>41</v>
      </c>
      <c r="B42">
        <v>1940</v>
      </c>
      <c r="C42">
        <v>16236392</v>
      </c>
      <c r="D42">
        <v>1</v>
      </c>
      <c r="E42">
        <v>5</v>
      </c>
      <c r="F42">
        <f t="shared" si="6"/>
        <v>5</v>
      </c>
      <c r="G42">
        <f t="shared" si="1"/>
        <v>2</v>
      </c>
      <c r="H42">
        <f t="shared" si="2"/>
        <v>0</v>
      </c>
      <c r="I42" t="str">
        <f t="shared" si="3"/>
        <v>20</v>
      </c>
      <c r="J42">
        <f t="shared" si="4"/>
        <v>1680</v>
      </c>
      <c r="L42">
        <f t="shared" si="5"/>
        <v>153776771</v>
      </c>
    </row>
    <row r="43" spans="1:12">
      <c r="A43">
        <v>42</v>
      </c>
      <c r="B43">
        <v>2030</v>
      </c>
      <c r="C43">
        <v>17781312</v>
      </c>
      <c r="D43">
        <v>1</v>
      </c>
      <c r="E43">
        <v>5</v>
      </c>
      <c r="F43">
        <f t="shared" si="6"/>
        <v>5</v>
      </c>
      <c r="G43">
        <f t="shared" si="1"/>
        <v>2</v>
      </c>
      <c r="H43">
        <f t="shared" si="2"/>
        <v>1</v>
      </c>
      <c r="I43" t="str">
        <f t="shared" si="3"/>
        <v>21</v>
      </c>
      <c r="J43">
        <f t="shared" si="4"/>
        <v>1400</v>
      </c>
      <c r="L43">
        <f t="shared" si="5"/>
        <v>171558083</v>
      </c>
    </row>
    <row r="44" spans="1:12">
      <c r="A44">
        <v>43</v>
      </c>
      <c r="B44">
        <v>2120</v>
      </c>
      <c r="C44">
        <v>19396432</v>
      </c>
      <c r="D44">
        <v>1</v>
      </c>
      <c r="E44">
        <v>5</v>
      </c>
      <c r="F44">
        <f t="shared" si="6"/>
        <v>5</v>
      </c>
      <c r="G44">
        <f t="shared" si="1"/>
        <v>2</v>
      </c>
      <c r="H44">
        <f t="shared" si="2"/>
        <v>2</v>
      </c>
      <c r="I44" t="str">
        <f t="shared" si="3"/>
        <v>22</v>
      </c>
      <c r="J44">
        <f t="shared" si="4"/>
        <v>1260</v>
      </c>
      <c r="L44">
        <f t="shared" si="5"/>
        <v>190954515</v>
      </c>
    </row>
    <row r="45" spans="1:12">
      <c r="A45">
        <v>44</v>
      </c>
      <c r="B45">
        <v>2210</v>
      </c>
      <c r="C45">
        <v>21081752</v>
      </c>
      <c r="D45">
        <v>1</v>
      </c>
      <c r="E45">
        <v>5</v>
      </c>
      <c r="F45">
        <f t="shared" si="6"/>
        <v>5</v>
      </c>
      <c r="G45">
        <f t="shared" si="1"/>
        <v>2</v>
      </c>
      <c r="H45">
        <f t="shared" si="2"/>
        <v>3</v>
      </c>
      <c r="I45" t="str">
        <f t="shared" si="3"/>
        <v>23</v>
      </c>
      <c r="J45">
        <f t="shared" si="4"/>
        <v>1120</v>
      </c>
      <c r="L45">
        <f t="shared" si="5"/>
        <v>212036267</v>
      </c>
    </row>
    <row r="46" spans="1:12">
      <c r="A46">
        <v>45</v>
      </c>
      <c r="B46">
        <v>2300</v>
      </c>
      <c r="C46">
        <v>22837272</v>
      </c>
      <c r="D46">
        <v>1</v>
      </c>
      <c r="E46">
        <v>5</v>
      </c>
      <c r="F46">
        <f t="shared" si="6"/>
        <v>5</v>
      </c>
      <c r="G46">
        <f t="shared" si="1"/>
        <v>2</v>
      </c>
      <c r="H46">
        <f t="shared" si="2"/>
        <v>4</v>
      </c>
      <c r="I46" t="str">
        <f t="shared" si="3"/>
        <v>24</v>
      </c>
      <c r="J46">
        <f t="shared" si="4"/>
        <v>220</v>
      </c>
      <c r="L46">
        <f t="shared" si="5"/>
        <v>234873539</v>
      </c>
    </row>
    <row r="47" spans="1:12">
      <c r="A47">
        <v>46</v>
      </c>
      <c r="B47">
        <v>2400</v>
      </c>
      <c r="C47">
        <v>24870184</v>
      </c>
      <c r="D47">
        <v>1</v>
      </c>
      <c r="E47">
        <v>5</v>
      </c>
      <c r="F47">
        <f t="shared" si="6"/>
        <v>6</v>
      </c>
      <c r="G47">
        <f t="shared" si="1"/>
        <v>2</v>
      </c>
      <c r="H47">
        <f t="shared" si="2"/>
        <v>0</v>
      </c>
      <c r="I47" t="str">
        <f t="shared" si="3"/>
        <v>20</v>
      </c>
      <c r="J47">
        <f t="shared" si="4"/>
        <v>1800</v>
      </c>
      <c r="L47">
        <f t="shared" si="5"/>
        <v>259743723</v>
      </c>
    </row>
    <row r="48" spans="1:12">
      <c r="A48">
        <v>47</v>
      </c>
      <c r="B48">
        <v>2500</v>
      </c>
      <c r="C48">
        <v>26989761</v>
      </c>
      <c r="D48">
        <v>1</v>
      </c>
      <c r="E48">
        <v>5</v>
      </c>
      <c r="F48">
        <f t="shared" si="6"/>
        <v>6</v>
      </c>
      <c r="G48">
        <f t="shared" si="1"/>
        <v>2</v>
      </c>
      <c r="H48">
        <f t="shared" si="2"/>
        <v>1</v>
      </c>
      <c r="I48" t="str">
        <f t="shared" si="3"/>
        <v>21</v>
      </c>
      <c r="J48">
        <f t="shared" si="4"/>
        <v>1500</v>
      </c>
      <c r="L48">
        <f t="shared" si="5"/>
        <v>286733484</v>
      </c>
    </row>
    <row r="49" spans="1:12">
      <c r="A49">
        <v>48</v>
      </c>
      <c r="B49">
        <v>2600</v>
      </c>
      <c r="C49">
        <v>29196007</v>
      </c>
      <c r="D49">
        <v>1</v>
      </c>
      <c r="E49">
        <v>5</v>
      </c>
      <c r="F49">
        <f t="shared" si="6"/>
        <v>6</v>
      </c>
      <c r="G49">
        <f t="shared" si="1"/>
        <v>2</v>
      </c>
      <c r="H49">
        <f t="shared" si="2"/>
        <v>2</v>
      </c>
      <c r="I49" t="str">
        <f t="shared" si="3"/>
        <v>22</v>
      </c>
      <c r="J49">
        <f t="shared" si="4"/>
        <v>1350</v>
      </c>
      <c r="L49">
        <f t="shared" si="5"/>
        <v>315929491</v>
      </c>
    </row>
    <row r="50" spans="1:12">
      <c r="A50">
        <v>49</v>
      </c>
      <c r="B50">
        <v>2700</v>
      </c>
      <c r="C50">
        <v>31488918</v>
      </c>
      <c r="D50">
        <v>1</v>
      </c>
      <c r="E50">
        <v>5</v>
      </c>
      <c r="F50">
        <f t="shared" si="6"/>
        <v>6</v>
      </c>
      <c r="G50">
        <f t="shared" si="1"/>
        <v>2</v>
      </c>
      <c r="H50">
        <f t="shared" si="2"/>
        <v>3</v>
      </c>
      <c r="I50" t="str">
        <f t="shared" si="3"/>
        <v>23</v>
      </c>
      <c r="J50">
        <f t="shared" si="4"/>
        <v>1200</v>
      </c>
      <c r="L50">
        <f t="shared" si="5"/>
        <v>347418409</v>
      </c>
    </row>
    <row r="51" spans="1:12">
      <c r="A51">
        <v>50</v>
      </c>
      <c r="B51">
        <v>2800</v>
      </c>
      <c r="C51">
        <v>33868497</v>
      </c>
      <c r="D51">
        <v>1</v>
      </c>
      <c r="E51">
        <v>5</v>
      </c>
      <c r="F51">
        <f t="shared" si="6"/>
        <v>6</v>
      </c>
      <c r="G51">
        <f t="shared" si="1"/>
        <v>2</v>
      </c>
      <c r="H51">
        <f t="shared" si="2"/>
        <v>4</v>
      </c>
      <c r="I51" t="str">
        <f t="shared" si="3"/>
        <v>24</v>
      </c>
      <c r="J51">
        <f t="shared" si="4"/>
        <v>230</v>
      </c>
      <c r="L51">
        <f t="shared" si="5"/>
        <v>381286906</v>
      </c>
    </row>
    <row r="52" spans="1:12">
      <c r="A52">
        <v>51</v>
      </c>
      <c r="B52">
        <v>2910</v>
      </c>
      <c r="C52">
        <v>36586131</v>
      </c>
      <c r="D52">
        <v>1</v>
      </c>
      <c r="E52">
        <v>5</v>
      </c>
      <c r="F52">
        <f>INT((A2-1)/5)+2</f>
        <v>2</v>
      </c>
      <c r="G52">
        <f t="shared" si="1"/>
        <v>3</v>
      </c>
      <c r="H52">
        <f t="shared" si="2"/>
        <v>0</v>
      </c>
      <c r="I52" t="str">
        <f t="shared" si="3"/>
        <v>30</v>
      </c>
      <c r="J52">
        <f t="shared" si="4"/>
        <v>2640</v>
      </c>
      <c r="L52">
        <f t="shared" si="5"/>
        <v>417873037</v>
      </c>
    </row>
    <row r="53" spans="1:12">
      <c r="A53">
        <v>52</v>
      </c>
      <c r="B53">
        <v>3020</v>
      </c>
      <c r="C53">
        <v>39408635</v>
      </c>
      <c r="D53">
        <v>1</v>
      </c>
      <c r="E53">
        <v>5</v>
      </c>
      <c r="F53">
        <f t="shared" ref="F53:F76" si="7">INT((A3-1)/5)+2</f>
        <v>2</v>
      </c>
      <c r="G53">
        <f t="shared" si="1"/>
        <v>3</v>
      </c>
      <c r="H53">
        <f t="shared" si="2"/>
        <v>1</v>
      </c>
      <c r="I53" t="str">
        <f t="shared" si="3"/>
        <v>31</v>
      </c>
      <c r="J53">
        <f t="shared" si="4"/>
        <v>2200</v>
      </c>
      <c r="L53">
        <f t="shared" si="5"/>
        <v>457281672</v>
      </c>
    </row>
    <row r="54" spans="1:12">
      <c r="A54">
        <v>53</v>
      </c>
      <c r="B54">
        <v>3130</v>
      </c>
      <c r="C54">
        <v>42336005</v>
      </c>
      <c r="D54">
        <v>1</v>
      </c>
      <c r="E54">
        <v>5</v>
      </c>
      <c r="F54">
        <f t="shared" si="7"/>
        <v>2</v>
      </c>
      <c r="G54">
        <f t="shared" si="1"/>
        <v>3</v>
      </c>
      <c r="H54">
        <f t="shared" si="2"/>
        <v>2</v>
      </c>
      <c r="I54" t="str">
        <f t="shared" si="3"/>
        <v>32</v>
      </c>
      <c r="J54">
        <f t="shared" si="4"/>
        <v>1980</v>
      </c>
      <c r="L54">
        <f t="shared" si="5"/>
        <v>499617677</v>
      </c>
    </row>
    <row r="55" spans="1:12">
      <c r="A55">
        <v>54</v>
      </c>
      <c r="B55">
        <v>3240</v>
      </c>
      <c r="C55">
        <v>45368239</v>
      </c>
      <c r="D55">
        <v>1</v>
      </c>
      <c r="E55">
        <v>5</v>
      </c>
      <c r="F55">
        <f t="shared" si="7"/>
        <v>2</v>
      </c>
      <c r="G55">
        <f t="shared" si="1"/>
        <v>3</v>
      </c>
      <c r="H55">
        <f t="shared" si="2"/>
        <v>3</v>
      </c>
      <c r="I55" t="str">
        <f t="shared" si="3"/>
        <v>33</v>
      </c>
      <c r="J55">
        <f t="shared" si="4"/>
        <v>1760</v>
      </c>
      <c r="L55">
        <f t="shared" si="5"/>
        <v>544985916</v>
      </c>
    </row>
    <row r="56" spans="1:12">
      <c r="A56">
        <v>55</v>
      </c>
      <c r="B56">
        <v>3350</v>
      </c>
      <c r="C56">
        <v>48505343</v>
      </c>
      <c r="D56">
        <v>1</v>
      </c>
      <c r="E56">
        <v>5</v>
      </c>
      <c r="F56">
        <f t="shared" si="7"/>
        <v>2</v>
      </c>
      <c r="G56">
        <f t="shared" si="1"/>
        <v>3</v>
      </c>
      <c r="H56">
        <f t="shared" si="2"/>
        <v>4</v>
      </c>
      <c r="I56" t="str">
        <f t="shared" si="3"/>
        <v>34</v>
      </c>
      <c r="J56">
        <f t="shared" si="4"/>
        <v>265</v>
      </c>
      <c r="L56">
        <f t="shared" si="5"/>
        <v>593491259</v>
      </c>
    </row>
    <row r="57" spans="1:12">
      <c r="A57">
        <v>56</v>
      </c>
      <c r="B57">
        <v>3470</v>
      </c>
      <c r="C57">
        <v>52047239</v>
      </c>
      <c r="D57">
        <v>1</v>
      </c>
      <c r="E57">
        <v>5</v>
      </c>
      <c r="F57">
        <f t="shared" si="7"/>
        <v>3</v>
      </c>
      <c r="G57">
        <f t="shared" si="1"/>
        <v>3</v>
      </c>
      <c r="H57">
        <f t="shared" si="2"/>
        <v>0</v>
      </c>
      <c r="I57" t="str">
        <f t="shared" si="3"/>
        <v>30</v>
      </c>
      <c r="J57">
        <f t="shared" si="4"/>
        <v>2880</v>
      </c>
      <c r="L57">
        <f t="shared" si="5"/>
        <v>645538498</v>
      </c>
    </row>
    <row r="58" spans="1:12">
      <c r="A58">
        <v>57</v>
      </c>
      <c r="B58">
        <v>3590</v>
      </c>
      <c r="C58">
        <v>55713934</v>
      </c>
      <c r="D58">
        <v>1</v>
      </c>
      <c r="E58">
        <v>5</v>
      </c>
      <c r="F58">
        <f t="shared" si="7"/>
        <v>3</v>
      </c>
      <c r="G58">
        <f t="shared" si="1"/>
        <v>3</v>
      </c>
      <c r="H58">
        <f t="shared" si="2"/>
        <v>1</v>
      </c>
      <c r="I58" t="str">
        <f t="shared" si="3"/>
        <v>31</v>
      </c>
      <c r="J58">
        <f t="shared" si="4"/>
        <v>2400</v>
      </c>
      <c r="L58">
        <f t="shared" si="5"/>
        <v>701252432</v>
      </c>
    </row>
    <row r="59" spans="1:12">
      <c r="A59">
        <v>58</v>
      </c>
      <c r="B59">
        <v>3710</v>
      </c>
      <c r="C59">
        <v>59505424</v>
      </c>
      <c r="D59">
        <v>1</v>
      </c>
      <c r="E59">
        <v>5</v>
      </c>
      <c r="F59">
        <f t="shared" si="7"/>
        <v>3</v>
      </c>
      <c r="G59">
        <f t="shared" si="1"/>
        <v>3</v>
      </c>
      <c r="H59">
        <f t="shared" si="2"/>
        <v>2</v>
      </c>
      <c r="I59" t="str">
        <f t="shared" si="3"/>
        <v>32</v>
      </c>
      <c r="J59">
        <f t="shared" si="4"/>
        <v>2160</v>
      </c>
      <c r="L59">
        <f t="shared" si="5"/>
        <v>760757856</v>
      </c>
    </row>
    <row r="60" spans="1:12">
      <c r="A60">
        <v>59</v>
      </c>
      <c r="B60">
        <v>3830</v>
      </c>
      <c r="C60">
        <v>63421719</v>
      </c>
      <c r="D60">
        <v>1</v>
      </c>
      <c r="E60">
        <v>5</v>
      </c>
      <c r="F60">
        <f t="shared" si="7"/>
        <v>3</v>
      </c>
      <c r="G60">
        <f t="shared" si="1"/>
        <v>3</v>
      </c>
      <c r="H60">
        <f t="shared" si="2"/>
        <v>3</v>
      </c>
      <c r="I60" t="str">
        <f t="shared" si="3"/>
        <v>33</v>
      </c>
      <c r="J60">
        <f t="shared" si="4"/>
        <v>1920</v>
      </c>
      <c r="L60">
        <f t="shared" si="5"/>
        <v>824179575</v>
      </c>
    </row>
    <row r="61" spans="1:12">
      <c r="A61">
        <v>60</v>
      </c>
      <c r="B61">
        <v>3950</v>
      </c>
      <c r="C61">
        <v>67462815</v>
      </c>
      <c r="D61">
        <v>1</v>
      </c>
      <c r="E61">
        <v>5</v>
      </c>
      <c r="F61">
        <f t="shared" si="7"/>
        <v>3</v>
      </c>
      <c r="G61">
        <f t="shared" si="1"/>
        <v>3</v>
      </c>
      <c r="H61">
        <f t="shared" si="2"/>
        <v>4</v>
      </c>
      <c r="I61" t="str">
        <f t="shared" si="3"/>
        <v>34</v>
      </c>
      <c r="J61">
        <f t="shared" si="4"/>
        <v>280</v>
      </c>
      <c r="L61">
        <f t="shared" si="5"/>
        <v>891642390</v>
      </c>
    </row>
    <row r="62" spans="1:12">
      <c r="A62">
        <v>61</v>
      </c>
      <c r="B62">
        <v>4080</v>
      </c>
      <c r="C62">
        <v>71981501</v>
      </c>
      <c r="D62">
        <v>1</v>
      </c>
      <c r="E62">
        <v>5</v>
      </c>
      <c r="F62">
        <f t="shared" si="7"/>
        <v>4</v>
      </c>
      <c r="G62">
        <f t="shared" si="1"/>
        <v>3</v>
      </c>
      <c r="H62">
        <f t="shared" si="2"/>
        <v>0</v>
      </c>
      <c r="I62" t="str">
        <f t="shared" si="3"/>
        <v>30</v>
      </c>
      <c r="J62">
        <f t="shared" si="4"/>
        <v>3120</v>
      </c>
      <c r="L62">
        <f t="shared" si="5"/>
        <v>963623891</v>
      </c>
    </row>
    <row r="63" spans="1:12">
      <c r="A63">
        <v>62</v>
      </c>
      <c r="B63">
        <v>4210</v>
      </c>
      <c r="C63">
        <v>76646652</v>
      </c>
      <c r="D63">
        <v>1</v>
      </c>
      <c r="E63">
        <v>5</v>
      </c>
      <c r="F63">
        <f t="shared" si="7"/>
        <v>4</v>
      </c>
      <c r="G63">
        <f t="shared" si="1"/>
        <v>3</v>
      </c>
      <c r="H63">
        <f t="shared" si="2"/>
        <v>1</v>
      </c>
      <c r="I63" t="str">
        <f t="shared" si="3"/>
        <v>31</v>
      </c>
      <c r="J63">
        <f t="shared" si="4"/>
        <v>2600</v>
      </c>
      <c r="L63">
        <f t="shared" si="5"/>
        <v>1040270543</v>
      </c>
    </row>
    <row r="64" spans="1:12">
      <c r="A64">
        <v>63</v>
      </c>
      <c r="B64">
        <v>4340</v>
      </c>
      <c r="C64">
        <v>81458267</v>
      </c>
      <c r="D64">
        <v>1</v>
      </c>
      <c r="E64">
        <v>5</v>
      </c>
      <c r="F64">
        <f t="shared" si="7"/>
        <v>4</v>
      </c>
      <c r="G64">
        <f t="shared" si="1"/>
        <v>3</v>
      </c>
      <c r="H64">
        <f t="shared" si="2"/>
        <v>2</v>
      </c>
      <c r="I64" t="str">
        <f t="shared" si="3"/>
        <v>32</v>
      </c>
      <c r="J64">
        <f t="shared" si="4"/>
        <v>2340</v>
      </c>
      <c r="L64">
        <f t="shared" si="5"/>
        <v>1121728810</v>
      </c>
    </row>
    <row r="65" spans="1:12">
      <c r="A65">
        <v>64</v>
      </c>
      <c r="B65">
        <v>4470</v>
      </c>
      <c r="C65">
        <v>86416354</v>
      </c>
      <c r="D65">
        <v>1</v>
      </c>
      <c r="E65">
        <v>5</v>
      </c>
      <c r="F65">
        <f t="shared" si="7"/>
        <v>4</v>
      </c>
      <c r="G65">
        <f t="shared" si="1"/>
        <v>3</v>
      </c>
      <c r="H65">
        <f t="shared" si="2"/>
        <v>3</v>
      </c>
      <c r="I65" t="str">
        <f t="shared" si="3"/>
        <v>33</v>
      </c>
      <c r="J65">
        <f t="shared" si="4"/>
        <v>2080</v>
      </c>
      <c r="L65">
        <f t="shared" si="5"/>
        <v>1208145164</v>
      </c>
    </row>
    <row r="66" spans="1:12">
      <c r="A66">
        <v>65</v>
      </c>
      <c r="B66">
        <v>4600</v>
      </c>
      <c r="C66">
        <v>91520911</v>
      </c>
      <c r="D66">
        <v>1</v>
      </c>
      <c r="E66">
        <v>5</v>
      </c>
      <c r="F66">
        <f t="shared" si="7"/>
        <v>4</v>
      </c>
      <c r="G66">
        <f t="shared" si="1"/>
        <v>3</v>
      </c>
      <c r="H66">
        <f t="shared" si="2"/>
        <v>4</v>
      </c>
      <c r="I66" t="str">
        <f t="shared" si="3"/>
        <v>34</v>
      </c>
      <c r="J66">
        <f t="shared" si="4"/>
        <v>295</v>
      </c>
      <c r="L66">
        <f t="shared" si="5"/>
        <v>1299666075</v>
      </c>
    </row>
    <row r="67" spans="1:12">
      <c r="A67">
        <v>66</v>
      </c>
      <c r="B67">
        <v>4740</v>
      </c>
      <c r="C67">
        <v>97181917</v>
      </c>
      <c r="D67">
        <v>1</v>
      </c>
      <c r="E67">
        <v>5</v>
      </c>
      <c r="F67">
        <f t="shared" si="7"/>
        <v>5</v>
      </c>
      <c r="G67">
        <f t="shared" ref="G67:G126" si="8">INT((A67-1)/25)+1</f>
        <v>3</v>
      </c>
      <c r="H67">
        <f t="shared" ref="H67:H126" si="9">MOD(A67-1, 5)</f>
        <v>0</v>
      </c>
      <c r="I67" t="str">
        <f t="shared" ref="I67:I126" si="10">_xlfn.TEXTJOIN("", TRUE, TEXT(G67,"0"), TEXT(H67,"0"))</f>
        <v>30</v>
      </c>
      <c r="J67">
        <f t="shared" ref="J67:J125" si="11">VLOOKUP(I67, O$2:W$26, 4, FALSE)+VLOOKUP(I67, O$2:W$26, 5, FALSE)*(F67-1)</f>
        <v>3360</v>
      </c>
      <c r="L67">
        <f t="shared" si="5"/>
        <v>1396847992</v>
      </c>
    </row>
    <row r="68" spans="1:12">
      <c r="A68">
        <v>67</v>
      </c>
      <c r="B68">
        <v>4880</v>
      </c>
      <c r="C68">
        <v>103012788</v>
      </c>
      <c r="D68">
        <v>1</v>
      </c>
      <c r="E68">
        <v>5</v>
      </c>
      <c r="F68">
        <f t="shared" si="7"/>
        <v>5</v>
      </c>
      <c r="G68">
        <f t="shared" si="8"/>
        <v>3</v>
      </c>
      <c r="H68">
        <f t="shared" si="9"/>
        <v>1</v>
      </c>
      <c r="I68" t="str">
        <f t="shared" si="10"/>
        <v>31</v>
      </c>
      <c r="J68">
        <f t="shared" si="11"/>
        <v>2800</v>
      </c>
      <c r="L68">
        <f t="shared" ref="L68:L126" si="12">C68+L67</f>
        <v>1499860780</v>
      </c>
    </row>
    <row r="69" spans="1:12">
      <c r="A69">
        <v>68</v>
      </c>
      <c r="B69">
        <v>5020</v>
      </c>
      <c r="C69">
        <v>109013536</v>
      </c>
      <c r="D69">
        <v>1</v>
      </c>
      <c r="E69">
        <v>5</v>
      </c>
      <c r="F69">
        <f t="shared" si="7"/>
        <v>5</v>
      </c>
      <c r="G69">
        <f t="shared" si="8"/>
        <v>3</v>
      </c>
      <c r="H69">
        <f t="shared" si="9"/>
        <v>2</v>
      </c>
      <c r="I69" t="str">
        <f t="shared" si="10"/>
        <v>32</v>
      </c>
      <c r="J69">
        <f t="shared" si="11"/>
        <v>2520</v>
      </c>
      <c r="L69">
        <f t="shared" si="12"/>
        <v>1608874316</v>
      </c>
    </row>
    <row r="70" spans="1:12">
      <c r="A70">
        <v>69</v>
      </c>
      <c r="B70">
        <v>5160</v>
      </c>
      <c r="C70">
        <v>115184148</v>
      </c>
      <c r="D70">
        <v>1</v>
      </c>
      <c r="E70">
        <v>5</v>
      </c>
      <c r="F70">
        <f t="shared" si="7"/>
        <v>5</v>
      </c>
      <c r="G70">
        <f t="shared" si="8"/>
        <v>3</v>
      </c>
      <c r="H70">
        <f t="shared" si="9"/>
        <v>3</v>
      </c>
      <c r="I70" t="str">
        <f t="shared" si="10"/>
        <v>33</v>
      </c>
      <c r="J70">
        <f t="shared" si="11"/>
        <v>2240</v>
      </c>
      <c r="L70">
        <f t="shared" si="12"/>
        <v>1724058464</v>
      </c>
    </row>
    <row r="71" spans="1:12">
      <c r="A71">
        <v>70</v>
      </c>
      <c r="B71">
        <v>5300</v>
      </c>
      <c r="C71">
        <v>121524619</v>
      </c>
      <c r="D71">
        <v>1</v>
      </c>
      <c r="E71">
        <v>5</v>
      </c>
      <c r="F71">
        <f t="shared" si="7"/>
        <v>5</v>
      </c>
      <c r="G71">
        <f t="shared" si="8"/>
        <v>3</v>
      </c>
      <c r="H71">
        <f t="shared" si="9"/>
        <v>4</v>
      </c>
      <c r="I71" t="str">
        <f t="shared" si="10"/>
        <v>34</v>
      </c>
      <c r="J71">
        <f t="shared" si="11"/>
        <v>310</v>
      </c>
      <c r="L71">
        <f t="shared" si="12"/>
        <v>1845583083</v>
      </c>
    </row>
    <row r="72" spans="1:12">
      <c r="A72">
        <v>71</v>
      </c>
      <c r="B72">
        <v>5450</v>
      </c>
      <c r="C72">
        <v>128506493</v>
      </c>
      <c r="D72">
        <v>1</v>
      </c>
      <c r="E72">
        <v>5</v>
      </c>
      <c r="F72">
        <f t="shared" si="7"/>
        <v>6</v>
      </c>
      <c r="G72">
        <f t="shared" si="8"/>
        <v>3</v>
      </c>
      <c r="H72">
        <f t="shared" si="9"/>
        <v>0</v>
      </c>
      <c r="I72" t="str">
        <f t="shared" si="10"/>
        <v>30</v>
      </c>
      <c r="J72">
        <f t="shared" si="11"/>
        <v>3600</v>
      </c>
      <c r="L72">
        <f t="shared" si="12"/>
        <v>1974089576</v>
      </c>
    </row>
    <row r="73" spans="1:12">
      <c r="A73">
        <v>72</v>
      </c>
      <c r="B73">
        <v>5600</v>
      </c>
      <c r="C73">
        <v>135683355</v>
      </c>
      <c r="D73">
        <v>1</v>
      </c>
      <c r="E73">
        <v>5</v>
      </c>
      <c r="F73">
        <f t="shared" si="7"/>
        <v>6</v>
      </c>
      <c r="G73">
        <f t="shared" si="8"/>
        <v>3</v>
      </c>
      <c r="H73">
        <f t="shared" si="9"/>
        <v>1</v>
      </c>
      <c r="I73" t="str">
        <f t="shared" si="10"/>
        <v>31</v>
      </c>
      <c r="J73">
        <f t="shared" si="11"/>
        <v>3000</v>
      </c>
      <c r="L73">
        <f t="shared" si="12"/>
        <v>2109772931</v>
      </c>
    </row>
    <row r="74" spans="1:12">
      <c r="A74">
        <v>73</v>
      </c>
      <c r="B74">
        <v>5750</v>
      </c>
      <c r="C74">
        <v>143055217</v>
      </c>
      <c r="D74">
        <v>1</v>
      </c>
      <c r="E74">
        <v>5</v>
      </c>
      <c r="F74">
        <f t="shared" si="7"/>
        <v>6</v>
      </c>
      <c r="G74">
        <f t="shared" si="8"/>
        <v>3</v>
      </c>
      <c r="H74">
        <f t="shared" si="9"/>
        <v>2</v>
      </c>
      <c r="I74" t="str">
        <f t="shared" si="10"/>
        <v>32</v>
      </c>
      <c r="J74">
        <f t="shared" si="11"/>
        <v>2700</v>
      </c>
      <c r="L74">
        <f t="shared" si="12"/>
        <v>2252828148</v>
      </c>
    </row>
    <row r="75" spans="1:12">
      <c r="A75">
        <v>74</v>
      </c>
      <c r="B75">
        <v>5900</v>
      </c>
      <c r="C75">
        <v>150622097</v>
      </c>
      <c r="D75">
        <v>1</v>
      </c>
      <c r="E75">
        <v>5</v>
      </c>
      <c r="F75">
        <f t="shared" si="7"/>
        <v>6</v>
      </c>
      <c r="G75">
        <f t="shared" si="8"/>
        <v>3</v>
      </c>
      <c r="H75">
        <f t="shared" si="9"/>
        <v>3</v>
      </c>
      <c r="I75" t="str">
        <f t="shared" si="10"/>
        <v>33</v>
      </c>
      <c r="J75">
        <f t="shared" si="11"/>
        <v>2400</v>
      </c>
      <c r="L75">
        <f t="shared" si="12"/>
        <v>2403450245</v>
      </c>
    </row>
    <row r="76" spans="1:12">
      <c r="A76">
        <v>75</v>
      </c>
      <c r="B76">
        <v>6050</v>
      </c>
      <c r="C76">
        <v>158383959</v>
      </c>
      <c r="D76">
        <v>1</v>
      </c>
      <c r="E76">
        <v>5</v>
      </c>
      <c r="F76">
        <f t="shared" si="7"/>
        <v>6</v>
      </c>
      <c r="G76">
        <f t="shared" si="8"/>
        <v>3</v>
      </c>
      <c r="H76">
        <f t="shared" si="9"/>
        <v>4</v>
      </c>
      <c r="I76" t="str">
        <f t="shared" si="10"/>
        <v>34</v>
      </c>
      <c r="J76">
        <f t="shared" si="11"/>
        <v>325</v>
      </c>
      <c r="L76">
        <f t="shared" si="12"/>
        <v>2561834204</v>
      </c>
    </row>
    <row r="77" spans="1:12">
      <c r="A77">
        <v>76</v>
      </c>
      <c r="B77">
        <v>6220</v>
      </c>
      <c r="C77">
        <v>167416473</v>
      </c>
      <c r="D77">
        <v>1</v>
      </c>
      <c r="E77">
        <v>5</v>
      </c>
      <c r="F77">
        <f>INT((A2-1)/5)+2</f>
        <v>2</v>
      </c>
      <c r="G77">
        <f t="shared" si="8"/>
        <v>4</v>
      </c>
      <c r="H77">
        <f t="shared" si="9"/>
        <v>0</v>
      </c>
      <c r="I77" t="str">
        <f t="shared" si="10"/>
        <v>40</v>
      </c>
      <c r="J77">
        <f t="shared" si="11"/>
        <v>5280</v>
      </c>
      <c r="L77">
        <f t="shared" si="12"/>
        <v>2729250677</v>
      </c>
    </row>
    <row r="78" spans="1:12">
      <c r="A78">
        <v>77</v>
      </c>
      <c r="B78">
        <v>6390</v>
      </c>
      <c r="C78">
        <v>176699464</v>
      </c>
      <c r="D78">
        <v>1</v>
      </c>
      <c r="E78">
        <v>5</v>
      </c>
      <c r="F78">
        <f t="shared" ref="F78:F101" si="13">INT((A3-1)/5)+2</f>
        <v>2</v>
      </c>
      <c r="G78">
        <f t="shared" si="8"/>
        <v>4</v>
      </c>
      <c r="H78">
        <f t="shared" si="9"/>
        <v>1</v>
      </c>
      <c r="I78" t="str">
        <f t="shared" si="10"/>
        <v>41</v>
      </c>
      <c r="J78">
        <f t="shared" si="11"/>
        <v>4400</v>
      </c>
      <c r="L78">
        <f t="shared" si="12"/>
        <v>2905950141</v>
      </c>
    </row>
    <row r="79" spans="1:12">
      <c r="A79">
        <v>78</v>
      </c>
      <c r="B79">
        <v>6560</v>
      </c>
      <c r="C79">
        <v>186232907</v>
      </c>
      <c r="D79">
        <v>1</v>
      </c>
      <c r="E79">
        <v>5</v>
      </c>
      <c r="F79">
        <f t="shared" si="13"/>
        <v>2</v>
      </c>
      <c r="G79">
        <f t="shared" si="8"/>
        <v>4</v>
      </c>
      <c r="H79">
        <f t="shared" si="9"/>
        <v>2</v>
      </c>
      <c r="I79" t="str">
        <f t="shared" si="10"/>
        <v>42</v>
      </c>
      <c r="J79">
        <f t="shared" si="11"/>
        <v>3960</v>
      </c>
      <c r="L79">
        <f t="shared" si="12"/>
        <v>3092183048</v>
      </c>
    </row>
    <row r="80" spans="1:12">
      <c r="A80">
        <v>79</v>
      </c>
      <c r="B80">
        <v>6730</v>
      </c>
      <c r="C80">
        <v>196016828</v>
      </c>
      <c r="D80">
        <v>1</v>
      </c>
      <c r="E80">
        <v>5</v>
      </c>
      <c r="F80">
        <f t="shared" si="13"/>
        <v>2</v>
      </c>
      <c r="G80">
        <f t="shared" si="8"/>
        <v>4</v>
      </c>
      <c r="H80">
        <f t="shared" si="9"/>
        <v>3</v>
      </c>
      <c r="I80" t="str">
        <f t="shared" si="10"/>
        <v>43</v>
      </c>
      <c r="J80">
        <f t="shared" si="11"/>
        <v>3520</v>
      </c>
      <c r="L80">
        <f t="shared" si="12"/>
        <v>3288199876</v>
      </c>
    </row>
    <row r="81" spans="1:12">
      <c r="A81">
        <v>80</v>
      </c>
      <c r="B81">
        <v>6900</v>
      </c>
      <c r="C81">
        <v>206051212</v>
      </c>
      <c r="D81">
        <v>1</v>
      </c>
      <c r="E81">
        <v>5</v>
      </c>
      <c r="F81">
        <f t="shared" si="13"/>
        <v>2</v>
      </c>
      <c r="G81">
        <f t="shared" si="8"/>
        <v>4</v>
      </c>
      <c r="H81">
        <f t="shared" si="9"/>
        <v>4</v>
      </c>
      <c r="I81" t="str">
        <f t="shared" si="10"/>
        <v>44</v>
      </c>
      <c r="J81">
        <f t="shared" si="11"/>
        <v>370</v>
      </c>
      <c r="L81">
        <f t="shared" si="12"/>
        <v>3494251088</v>
      </c>
    </row>
    <row r="82" spans="1:12">
      <c r="A82">
        <v>81</v>
      </c>
      <c r="B82">
        <v>7090</v>
      </c>
      <c r="C82">
        <v>217562508</v>
      </c>
      <c r="D82">
        <v>1</v>
      </c>
      <c r="E82">
        <v>5</v>
      </c>
      <c r="F82">
        <f t="shared" si="13"/>
        <v>3</v>
      </c>
      <c r="G82">
        <f t="shared" si="8"/>
        <v>4</v>
      </c>
      <c r="H82">
        <f t="shared" si="9"/>
        <v>0</v>
      </c>
      <c r="I82" t="str">
        <f t="shared" si="10"/>
        <v>40</v>
      </c>
      <c r="J82">
        <f t="shared" si="11"/>
        <v>5760</v>
      </c>
      <c r="L82">
        <f t="shared" si="12"/>
        <v>3711813596</v>
      </c>
    </row>
    <row r="83" spans="1:12">
      <c r="A83">
        <v>82</v>
      </c>
      <c r="B83">
        <v>7280</v>
      </c>
      <c r="C83">
        <v>229386669</v>
      </c>
      <c r="D83">
        <v>1</v>
      </c>
      <c r="E83">
        <v>5</v>
      </c>
      <c r="F83">
        <f t="shared" si="13"/>
        <v>3</v>
      </c>
      <c r="G83">
        <f t="shared" si="8"/>
        <v>4</v>
      </c>
      <c r="H83">
        <f t="shared" si="9"/>
        <v>1</v>
      </c>
      <c r="I83" t="str">
        <f t="shared" si="10"/>
        <v>41</v>
      </c>
      <c r="J83">
        <f t="shared" si="11"/>
        <v>4800</v>
      </c>
      <c r="L83">
        <f t="shared" si="12"/>
        <v>3941200265</v>
      </c>
    </row>
    <row r="84" spans="1:12">
      <c r="A84">
        <v>83</v>
      </c>
      <c r="B84">
        <v>7470</v>
      </c>
      <c r="C84">
        <v>241523706</v>
      </c>
      <c r="D84">
        <v>1</v>
      </c>
      <c r="E84">
        <v>5</v>
      </c>
      <c r="F84">
        <f t="shared" si="13"/>
        <v>3</v>
      </c>
      <c r="G84">
        <f t="shared" si="8"/>
        <v>4</v>
      </c>
      <c r="H84">
        <f t="shared" si="9"/>
        <v>2</v>
      </c>
      <c r="I84" t="str">
        <f t="shared" si="10"/>
        <v>42</v>
      </c>
      <c r="J84">
        <f t="shared" si="11"/>
        <v>4320</v>
      </c>
      <c r="L84">
        <f t="shared" si="12"/>
        <v>4182723971</v>
      </c>
    </row>
    <row r="85" spans="1:12">
      <c r="A85">
        <v>84</v>
      </c>
      <c r="B85">
        <v>7660</v>
      </c>
      <c r="C85">
        <v>253973608</v>
      </c>
      <c r="D85">
        <v>1</v>
      </c>
      <c r="E85">
        <v>5</v>
      </c>
      <c r="F85">
        <f t="shared" si="13"/>
        <v>3</v>
      </c>
      <c r="G85">
        <f t="shared" si="8"/>
        <v>4</v>
      </c>
      <c r="H85">
        <f t="shared" si="9"/>
        <v>3</v>
      </c>
      <c r="I85" t="str">
        <f t="shared" si="10"/>
        <v>43</v>
      </c>
      <c r="J85">
        <f t="shared" si="11"/>
        <v>3840</v>
      </c>
      <c r="L85">
        <f t="shared" si="12"/>
        <v>4436697579</v>
      </c>
    </row>
    <row r="86" spans="1:12">
      <c r="A86">
        <v>85</v>
      </c>
      <c r="B86">
        <v>7850</v>
      </c>
      <c r="C86">
        <v>266736374</v>
      </c>
      <c r="D86">
        <v>1</v>
      </c>
      <c r="E86">
        <v>5</v>
      </c>
      <c r="F86">
        <f t="shared" si="13"/>
        <v>3</v>
      </c>
      <c r="G86">
        <f t="shared" si="8"/>
        <v>4</v>
      </c>
      <c r="H86">
        <f t="shared" si="9"/>
        <v>4</v>
      </c>
      <c r="I86" t="str">
        <f t="shared" si="10"/>
        <v>44</v>
      </c>
      <c r="J86">
        <f t="shared" si="11"/>
        <v>390</v>
      </c>
      <c r="L86">
        <f t="shared" si="12"/>
        <v>4703433953</v>
      </c>
    </row>
    <row r="87" spans="1:12">
      <c r="A87">
        <v>86</v>
      </c>
      <c r="B87">
        <v>8060</v>
      </c>
      <c r="C87">
        <v>281206581</v>
      </c>
      <c r="D87">
        <v>1</v>
      </c>
      <c r="E87">
        <v>5</v>
      </c>
      <c r="F87">
        <f t="shared" si="13"/>
        <v>4</v>
      </c>
      <c r="G87">
        <f t="shared" si="8"/>
        <v>4</v>
      </c>
      <c r="H87">
        <f t="shared" si="9"/>
        <v>0</v>
      </c>
      <c r="I87" t="str">
        <f t="shared" si="10"/>
        <v>40</v>
      </c>
      <c r="J87">
        <f t="shared" si="11"/>
        <v>6240</v>
      </c>
      <c r="L87">
        <f t="shared" si="12"/>
        <v>4984640534</v>
      </c>
    </row>
    <row r="88" spans="1:12">
      <c r="A88">
        <v>87</v>
      </c>
      <c r="B88">
        <v>8270</v>
      </c>
      <c r="C88">
        <v>296058993</v>
      </c>
      <c r="D88">
        <v>1</v>
      </c>
      <c r="E88">
        <v>5</v>
      </c>
      <c r="F88">
        <f t="shared" si="13"/>
        <v>4</v>
      </c>
      <c r="G88">
        <f t="shared" si="8"/>
        <v>4</v>
      </c>
      <c r="H88">
        <f t="shared" si="9"/>
        <v>1</v>
      </c>
      <c r="I88" t="str">
        <f t="shared" si="10"/>
        <v>41</v>
      </c>
      <c r="J88">
        <f t="shared" si="11"/>
        <v>5200</v>
      </c>
      <c r="L88">
        <f t="shared" si="12"/>
        <v>5280699527</v>
      </c>
    </row>
    <row r="89" spans="1:12">
      <c r="A89">
        <v>88</v>
      </c>
      <c r="B89">
        <v>8480</v>
      </c>
      <c r="C89">
        <v>311293612</v>
      </c>
      <c r="D89">
        <v>1</v>
      </c>
      <c r="E89">
        <v>5</v>
      </c>
      <c r="F89">
        <f t="shared" si="13"/>
        <v>4</v>
      </c>
      <c r="G89">
        <f t="shared" si="8"/>
        <v>4</v>
      </c>
      <c r="H89">
        <f t="shared" si="9"/>
        <v>2</v>
      </c>
      <c r="I89" t="str">
        <f t="shared" si="10"/>
        <v>42</v>
      </c>
      <c r="J89">
        <f t="shared" si="11"/>
        <v>4680</v>
      </c>
      <c r="L89">
        <f t="shared" si="12"/>
        <v>5591993139</v>
      </c>
    </row>
    <row r="90" spans="1:12">
      <c r="A90">
        <v>89</v>
      </c>
      <c r="B90">
        <v>8690</v>
      </c>
      <c r="C90">
        <v>326910437</v>
      </c>
      <c r="D90">
        <v>1</v>
      </c>
      <c r="E90">
        <v>5</v>
      </c>
      <c r="F90">
        <f t="shared" si="13"/>
        <v>4</v>
      </c>
      <c r="G90">
        <f t="shared" si="8"/>
        <v>4</v>
      </c>
      <c r="H90">
        <f t="shared" si="9"/>
        <v>3</v>
      </c>
      <c r="I90" t="str">
        <f t="shared" si="10"/>
        <v>43</v>
      </c>
      <c r="J90">
        <f t="shared" si="11"/>
        <v>4160</v>
      </c>
      <c r="L90">
        <f t="shared" si="12"/>
        <v>5918903576</v>
      </c>
    </row>
    <row r="91" spans="1:12">
      <c r="A91">
        <v>90</v>
      </c>
      <c r="B91">
        <v>8900</v>
      </c>
      <c r="C91">
        <v>342986541</v>
      </c>
      <c r="D91">
        <v>1</v>
      </c>
      <c r="E91">
        <v>5</v>
      </c>
      <c r="F91">
        <f t="shared" si="13"/>
        <v>4</v>
      </c>
      <c r="G91">
        <f t="shared" si="8"/>
        <v>4</v>
      </c>
      <c r="H91">
        <f t="shared" si="9"/>
        <v>4</v>
      </c>
      <c r="I91" t="str">
        <f t="shared" si="10"/>
        <v>44</v>
      </c>
      <c r="J91">
        <f t="shared" si="11"/>
        <v>410</v>
      </c>
      <c r="L91">
        <f t="shared" si="12"/>
        <v>6261890117</v>
      </c>
    </row>
    <row r="92" spans="1:12">
      <c r="A92">
        <v>91</v>
      </c>
      <c r="B92">
        <v>9130</v>
      </c>
      <c r="C92">
        <v>360870728</v>
      </c>
      <c r="D92">
        <v>1</v>
      </c>
      <c r="E92">
        <v>5</v>
      </c>
      <c r="F92">
        <f t="shared" si="13"/>
        <v>5</v>
      </c>
      <c r="G92">
        <f t="shared" si="8"/>
        <v>4</v>
      </c>
      <c r="H92">
        <f t="shared" si="9"/>
        <v>0</v>
      </c>
      <c r="I92" t="str">
        <f t="shared" si="10"/>
        <v>40</v>
      </c>
      <c r="J92">
        <f t="shared" si="11"/>
        <v>6720</v>
      </c>
      <c r="L92">
        <f t="shared" si="12"/>
        <v>6622760845</v>
      </c>
    </row>
    <row r="93" spans="1:12">
      <c r="A93">
        <v>92</v>
      </c>
      <c r="B93">
        <v>9360</v>
      </c>
      <c r="C93">
        <v>379290427</v>
      </c>
      <c r="D93">
        <v>1</v>
      </c>
      <c r="E93">
        <v>5</v>
      </c>
      <c r="F93">
        <f t="shared" si="13"/>
        <v>5</v>
      </c>
      <c r="G93">
        <f t="shared" si="8"/>
        <v>4</v>
      </c>
      <c r="H93">
        <f t="shared" si="9"/>
        <v>1</v>
      </c>
      <c r="I93" t="str">
        <f t="shared" si="10"/>
        <v>41</v>
      </c>
      <c r="J93">
        <f t="shared" si="11"/>
        <v>5600</v>
      </c>
      <c r="L93">
        <f t="shared" si="12"/>
        <v>7002051272</v>
      </c>
    </row>
    <row r="94" spans="1:12">
      <c r="A94">
        <v>93</v>
      </c>
      <c r="B94">
        <v>9590</v>
      </c>
      <c r="C94">
        <v>398168639</v>
      </c>
      <c r="D94">
        <v>1</v>
      </c>
      <c r="E94">
        <v>5</v>
      </c>
      <c r="F94">
        <f t="shared" si="13"/>
        <v>5</v>
      </c>
      <c r="G94">
        <f t="shared" si="8"/>
        <v>4</v>
      </c>
      <c r="H94">
        <f t="shared" si="9"/>
        <v>2</v>
      </c>
      <c r="I94" t="str">
        <f t="shared" si="10"/>
        <v>42</v>
      </c>
      <c r="J94">
        <f t="shared" si="11"/>
        <v>5040</v>
      </c>
      <c r="L94">
        <f t="shared" si="12"/>
        <v>7400219911</v>
      </c>
    </row>
    <row r="95" spans="1:12">
      <c r="A95">
        <v>94</v>
      </c>
      <c r="B95">
        <v>9820</v>
      </c>
      <c r="C95">
        <v>417505317</v>
      </c>
      <c r="D95">
        <v>1</v>
      </c>
      <c r="E95">
        <v>5</v>
      </c>
      <c r="F95">
        <f t="shared" si="13"/>
        <v>5</v>
      </c>
      <c r="G95">
        <f t="shared" si="8"/>
        <v>4</v>
      </c>
      <c r="H95">
        <f t="shared" si="9"/>
        <v>3</v>
      </c>
      <c r="I95" t="str">
        <f t="shared" si="10"/>
        <v>43</v>
      </c>
      <c r="J95">
        <f t="shared" si="11"/>
        <v>4480</v>
      </c>
      <c r="L95">
        <f t="shared" si="12"/>
        <v>7817725228</v>
      </c>
    </row>
    <row r="96" spans="1:12">
      <c r="A96">
        <v>95</v>
      </c>
      <c r="B96">
        <v>10050</v>
      </c>
      <c r="C96">
        <v>437300434</v>
      </c>
      <c r="D96">
        <v>1</v>
      </c>
      <c r="E96">
        <v>5</v>
      </c>
      <c r="F96">
        <f t="shared" si="13"/>
        <v>5</v>
      </c>
      <c r="G96">
        <f t="shared" si="8"/>
        <v>4</v>
      </c>
      <c r="H96">
        <f t="shared" si="9"/>
        <v>4</v>
      </c>
      <c r="I96" t="str">
        <f t="shared" si="10"/>
        <v>44</v>
      </c>
      <c r="J96">
        <f t="shared" si="11"/>
        <v>430</v>
      </c>
      <c r="L96">
        <f t="shared" si="12"/>
        <v>8255025662</v>
      </c>
    </row>
    <row r="97" spans="1:12">
      <c r="A97">
        <v>96</v>
      </c>
      <c r="B97">
        <v>10300</v>
      </c>
      <c r="C97">
        <v>459336900</v>
      </c>
      <c r="D97">
        <v>1</v>
      </c>
      <c r="E97">
        <v>5</v>
      </c>
      <c r="F97">
        <f t="shared" si="13"/>
        <v>6</v>
      </c>
      <c r="G97">
        <f t="shared" si="8"/>
        <v>4</v>
      </c>
      <c r="H97">
        <f t="shared" si="9"/>
        <v>0</v>
      </c>
      <c r="I97" t="str">
        <f t="shared" si="10"/>
        <v>40</v>
      </c>
      <c r="J97">
        <f t="shared" si="11"/>
        <v>7200</v>
      </c>
      <c r="L97">
        <f t="shared" si="12"/>
        <v>8714362562</v>
      </c>
    </row>
    <row r="98" spans="1:12">
      <c r="A98">
        <v>97</v>
      </c>
      <c r="B98">
        <v>10550</v>
      </c>
      <c r="C98">
        <v>481915005</v>
      </c>
      <c r="D98">
        <v>1</v>
      </c>
      <c r="E98">
        <v>5</v>
      </c>
      <c r="F98">
        <f t="shared" si="13"/>
        <v>6</v>
      </c>
      <c r="G98">
        <f t="shared" si="8"/>
        <v>4</v>
      </c>
      <c r="H98">
        <f t="shared" si="9"/>
        <v>1</v>
      </c>
      <c r="I98" t="str">
        <f t="shared" si="10"/>
        <v>41</v>
      </c>
      <c r="J98">
        <f t="shared" si="11"/>
        <v>6000</v>
      </c>
      <c r="L98">
        <f t="shared" si="12"/>
        <v>9196277567</v>
      </c>
    </row>
    <row r="99" spans="1:12">
      <c r="A99">
        <v>98</v>
      </c>
      <c r="B99">
        <v>10800</v>
      </c>
      <c r="C99">
        <v>505034775</v>
      </c>
      <c r="D99">
        <v>1</v>
      </c>
      <c r="E99">
        <v>5</v>
      </c>
      <c r="F99">
        <f t="shared" si="13"/>
        <v>6</v>
      </c>
      <c r="G99">
        <f t="shared" si="8"/>
        <v>4</v>
      </c>
      <c r="H99">
        <f t="shared" si="9"/>
        <v>2</v>
      </c>
      <c r="I99" t="str">
        <f t="shared" si="10"/>
        <v>42</v>
      </c>
      <c r="J99">
        <f t="shared" si="11"/>
        <v>5400</v>
      </c>
      <c r="L99">
        <f t="shared" si="12"/>
        <v>9701312342</v>
      </c>
    </row>
    <row r="100" spans="1:12">
      <c r="A100">
        <v>99</v>
      </c>
      <c r="B100">
        <v>11050</v>
      </c>
      <c r="C100">
        <v>528696234</v>
      </c>
      <c r="D100">
        <v>1</v>
      </c>
      <c r="E100">
        <v>5</v>
      </c>
      <c r="F100">
        <f t="shared" si="13"/>
        <v>6</v>
      </c>
      <c r="G100">
        <f t="shared" si="8"/>
        <v>4</v>
      </c>
      <c r="H100">
        <f t="shared" si="9"/>
        <v>3</v>
      </c>
      <c r="I100" t="str">
        <f t="shared" si="10"/>
        <v>43</v>
      </c>
      <c r="J100">
        <f t="shared" si="11"/>
        <v>4800</v>
      </c>
      <c r="L100">
        <f t="shared" si="12"/>
        <v>10230008576</v>
      </c>
    </row>
    <row r="101" spans="1:12">
      <c r="A101">
        <v>100</v>
      </c>
      <c r="B101">
        <v>11300</v>
      </c>
      <c r="C101">
        <v>552899308</v>
      </c>
      <c r="D101">
        <v>1</v>
      </c>
      <c r="E101">
        <v>5</v>
      </c>
      <c r="F101">
        <f t="shared" si="13"/>
        <v>6</v>
      </c>
      <c r="G101">
        <f t="shared" si="8"/>
        <v>4</v>
      </c>
      <c r="H101">
        <f t="shared" si="9"/>
        <v>4</v>
      </c>
      <c r="I101" t="str">
        <f t="shared" si="10"/>
        <v>44</v>
      </c>
      <c r="J101">
        <f t="shared" si="11"/>
        <v>450</v>
      </c>
      <c r="L101">
        <f t="shared" si="12"/>
        <v>10782907884</v>
      </c>
    </row>
    <row r="102" spans="1:12">
      <c r="A102">
        <v>101</v>
      </c>
      <c r="B102">
        <v>11580</v>
      </c>
      <c r="C102">
        <v>580649888</v>
      </c>
      <c r="D102">
        <v>1</v>
      </c>
      <c r="E102">
        <v>5</v>
      </c>
      <c r="F102">
        <f>INT((A2-1)/5)+2</f>
        <v>2</v>
      </c>
      <c r="G102">
        <f t="shared" si="8"/>
        <v>5</v>
      </c>
      <c r="H102">
        <f t="shared" si="9"/>
        <v>0</v>
      </c>
      <c r="I102" t="str">
        <f t="shared" si="10"/>
        <v>50</v>
      </c>
      <c r="J102" t="s">
        <v>10</v>
      </c>
      <c r="L102">
        <f t="shared" si="12"/>
        <v>11363557772</v>
      </c>
    </row>
    <row r="103" spans="1:12">
      <c r="A103">
        <v>102</v>
      </c>
      <c r="B103">
        <v>11860</v>
      </c>
      <c r="C103">
        <v>609079950</v>
      </c>
      <c r="D103">
        <v>1</v>
      </c>
      <c r="E103">
        <v>5</v>
      </c>
      <c r="F103">
        <f t="shared" ref="F103:F126" si="14">INT((A3-1)/5)+2</f>
        <v>2</v>
      </c>
      <c r="G103">
        <f t="shared" si="8"/>
        <v>5</v>
      </c>
      <c r="H103">
        <f t="shared" si="9"/>
        <v>1</v>
      </c>
      <c r="I103" t="str">
        <f t="shared" si="10"/>
        <v>51</v>
      </c>
      <c r="J103">
        <f t="shared" si="11"/>
        <v>8800</v>
      </c>
      <c r="L103">
        <f t="shared" si="12"/>
        <v>11972637722</v>
      </c>
    </row>
    <row r="104" spans="1:12">
      <c r="A104">
        <v>103</v>
      </c>
      <c r="B104">
        <v>12140</v>
      </c>
      <c r="C104">
        <v>638189446</v>
      </c>
      <c r="D104">
        <v>1</v>
      </c>
      <c r="E104">
        <v>5</v>
      </c>
      <c r="F104">
        <f t="shared" si="14"/>
        <v>2</v>
      </c>
      <c r="G104">
        <f t="shared" si="8"/>
        <v>5</v>
      </c>
      <c r="H104">
        <f t="shared" si="9"/>
        <v>2</v>
      </c>
      <c r="I104" t="str">
        <f t="shared" si="10"/>
        <v>52</v>
      </c>
      <c r="J104">
        <f t="shared" si="11"/>
        <v>7920</v>
      </c>
      <c r="L104">
        <f t="shared" si="12"/>
        <v>12610827168</v>
      </c>
    </row>
    <row r="105" spans="1:12">
      <c r="A105">
        <v>104</v>
      </c>
      <c r="B105">
        <v>12420</v>
      </c>
      <c r="C105">
        <v>667978376</v>
      </c>
      <c r="D105">
        <v>1</v>
      </c>
      <c r="E105">
        <v>5</v>
      </c>
      <c r="F105">
        <f t="shared" si="14"/>
        <v>2</v>
      </c>
      <c r="G105">
        <f t="shared" si="8"/>
        <v>5</v>
      </c>
      <c r="H105">
        <f t="shared" si="9"/>
        <v>3</v>
      </c>
      <c r="I105" t="str">
        <f t="shared" si="10"/>
        <v>53</v>
      </c>
      <c r="J105">
        <f t="shared" si="11"/>
        <v>7040</v>
      </c>
      <c r="L105">
        <f t="shared" si="12"/>
        <v>13278805544</v>
      </c>
    </row>
    <row r="106" spans="1:12">
      <c r="A106">
        <v>105</v>
      </c>
      <c r="B106">
        <v>12700</v>
      </c>
      <c r="C106">
        <v>698446789</v>
      </c>
      <c r="D106">
        <v>1</v>
      </c>
      <c r="E106">
        <v>5</v>
      </c>
      <c r="F106">
        <f t="shared" si="14"/>
        <v>2</v>
      </c>
      <c r="G106">
        <f t="shared" si="8"/>
        <v>5</v>
      </c>
      <c r="H106">
        <f t="shared" si="9"/>
        <v>4</v>
      </c>
      <c r="I106" t="str">
        <f t="shared" si="10"/>
        <v>54</v>
      </c>
      <c r="J106">
        <f t="shared" si="11"/>
        <v>525</v>
      </c>
      <c r="L106">
        <f t="shared" si="12"/>
        <v>13977252333</v>
      </c>
    </row>
    <row r="107" spans="1:12">
      <c r="A107">
        <v>106</v>
      </c>
      <c r="B107">
        <v>13010</v>
      </c>
      <c r="C107">
        <v>732972283</v>
      </c>
      <c r="D107">
        <v>1</v>
      </c>
      <c r="E107">
        <v>5</v>
      </c>
      <c r="F107">
        <f t="shared" si="14"/>
        <v>3</v>
      </c>
      <c r="G107">
        <f t="shared" si="8"/>
        <v>5</v>
      </c>
      <c r="H107">
        <f t="shared" si="9"/>
        <v>0</v>
      </c>
      <c r="I107" t="str">
        <f t="shared" si="10"/>
        <v>50</v>
      </c>
      <c r="J107">
        <f t="shared" si="11"/>
        <v>11520</v>
      </c>
      <c r="L107">
        <f t="shared" si="12"/>
        <v>14710224616</v>
      </c>
    </row>
    <row r="108" spans="1:12">
      <c r="A108">
        <v>107</v>
      </c>
      <c r="B108">
        <v>13320</v>
      </c>
      <c r="C108">
        <v>768330616</v>
      </c>
      <c r="D108">
        <v>1</v>
      </c>
      <c r="E108">
        <v>5</v>
      </c>
      <c r="F108">
        <f t="shared" si="14"/>
        <v>3</v>
      </c>
      <c r="G108">
        <f t="shared" si="8"/>
        <v>5</v>
      </c>
      <c r="H108">
        <f t="shared" si="9"/>
        <v>1</v>
      </c>
      <c r="I108" t="str">
        <f t="shared" si="10"/>
        <v>51</v>
      </c>
      <c r="J108">
        <f t="shared" si="11"/>
        <v>9600</v>
      </c>
      <c r="L108">
        <f t="shared" si="12"/>
        <v>15478555232</v>
      </c>
    </row>
    <row r="109" spans="1:12">
      <c r="A109">
        <v>108</v>
      </c>
      <c r="B109">
        <v>13630</v>
      </c>
      <c r="C109">
        <v>804521789</v>
      </c>
      <c r="D109">
        <v>1</v>
      </c>
      <c r="E109">
        <v>5</v>
      </c>
      <c r="F109">
        <f t="shared" si="14"/>
        <v>3</v>
      </c>
      <c r="G109">
        <f t="shared" si="8"/>
        <v>5</v>
      </c>
      <c r="H109">
        <f t="shared" si="9"/>
        <v>2</v>
      </c>
      <c r="I109" t="str">
        <f t="shared" si="10"/>
        <v>52</v>
      </c>
      <c r="J109">
        <f t="shared" si="11"/>
        <v>8640</v>
      </c>
      <c r="L109">
        <f t="shared" si="12"/>
        <v>16283077021</v>
      </c>
    </row>
    <row r="110" spans="1:12">
      <c r="A110">
        <v>109</v>
      </c>
      <c r="B110">
        <v>13940</v>
      </c>
      <c r="C110">
        <v>841545852</v>
      </c>
      <c r="D110">
        <v>1</v>
      </c>
      <c r="E110">
        <v>5</v>
      </c>
      <c r="F110">
        <f t="shared" si="14"/>
        <v>3</v>
      </c>
      <c r="G110">
        <f t="shared" si="8"/>
        <v>5</v>
      </c>
      <c r="H110">
        <f t="shared" si="9"/>
        <v>3</v>
      </c>
      <c r="I110" t="str">
        <f t="shared" si="10"/>
        <v>53</v>
      </c>
      <c r="J110">
        <f t="shared" si="11"/>
        <v>7680</v>
      </c>
      <c r="L110">
        <f t="shared" si="12"/>
        <v>17124622873</v>
      </c>
    </row>
    <row r="111" spans="1:12">
      <c r="A111">
        <v>110</v>
      </c>
      <c r="B111">
        <v>14250</v>
      </c>
      <c r="C111">
        <v>879402804</v>
      </c>
      <c r="D111">
        <v>1</v>
      </c>
      <c r="E111">
        <v>5</v>
      </c>
      <c r="F111">
        <f t="shared" si="14"/>
        <v>3</v>
      </c>
      <c r="G111">
        <f t="shared" si="8"/>
        <v>5</v>
      </c>
      <c r="H111">
        <f t="shared" si="9"/>
        <v>4</v>
      </c>
      <c r="I111" t="str">
        <f t="shared" si="10"/>
        <v>54</v>
      </c>
      <c r="J111">
        <f t="shared" si="11"/>
        <v>550</v>
      </c>
      <c r="L111">
        <f t="shared" si="12"/>
        <v>18004025677</v>
      </c>
    </row>
    <row r="112" spans="1:12">
      <c r="A112">
        <v>111</v>
      </c>
      <c r="B112">
        <v>14590</v>
      </c>
      <c r="C112">
        <v>921880956</v>
      </c>
      <c r="D112">
        <v>1</v>
      </c>
      <c r="E112">
        <v>5</v>
      </c>
      <c r="F112">
        <f t="shared" si="14"/>
        <v>4</v>
      </c>
      <c r="G112">
        <f t="shared" si="8"/>
        <v>5</v>
      </c>
      <c r="H112">
        <f t="shared" si="9"/>
        <v>0</v>
      </c>
      <c r="I112" t="str">
        <f t="shared" si="10"/>
        <v>50</v>
      </c>
      <c r="J112">
        <f t="shared" si="11"/>
        <v>12480</v>
      </c>
      <c r="L112">
        <f t="shared" si="12"/>
        <v>18925906633</v>
      </c>
    </row>
    <row r="113" spans="1:12">
      <c r="A113">
        <v>112</v>
      </c>
      <c r="B113">
        <v>14930</v>
      </c>
      <c r="C113">
        <v>965361015</v>
      </c>
      <c r="D113">
        <v>1</v>
      </c>
      <c r="E113">
        <v>5</v>
      </c>
      <c r="F113">
        <f t="shared" si="14"/>
        <v>4</v>
      </c>
      <c r="G113">
        <f t="shared" si="8"/>
        <v>5</v>
      </c>
      <c r="H113">
        <f t="shared" si="9"/>
        <v>1</v>
      </c>
      <c r="I113" t="str">
        <f t="shared" si="10"/>
        <v>51</v>
      </c>
      <c r="J113">
        <f t="shared" si="11"/>
        <v>10400</v>
      </c>
      <c r="L113">
        <f t="shared" si="12"/>
        <v>19891267648</v>
      </c>
    </row>
    <row r="114" spans="1:12">
      <c r="A114">
        <v>113</v>
      </c>
      <c r="B114">
        <v>15270</v>
      </c>
      <c r="C114">
        <v>100984288</v>
      </c>
      <c r="D114">
        <v>10</v>
      </c>
      <c r="E114">
        <v>5</v>
      </c>
      <c r="F114">
        <f t="shared" si="14"/>
        <v>4</v>
      </c>
      <c r="G114">
        <f t="shared" si="8"/>
        <v>5</v>
      </c>
      <c r="H114">
        <f t="shared" si="9"/>
        <v>2</v>
      </c>
      <c r="I114" t="str">
        <f t="shared" si="10"/>
        <v>52</v>
      </c>
      <c r="J114">
        <f t="shared" si="11"/>
        <v>9360</v>
      </c>
      <c r="L114">
        <f t="shared" si="12"/>
        <v>19992251936</v>
      </c>
    </row>
    <row r="115" spans="1:12">
      <c r="A115">
        <v>114</v>
      </c>
      <c r="B115">
        <v>15610</v>
      </c>
      <c r="C115">
        <v>105532666</v>
      </c>
      <c r="D115">
        <v>10</v>
      </c>
      <c r="E115">
        <v>5</v>
      </c>
      <c r="F115">
        <f t="shared" si="14"/>
        <v>4</v>
      </c>
      <c r="G115">
        <f t="shared" si="8"/>
        <v>5</v>
      </c>
      <c r="H115">
        <f t="shared" si="9"/>
        <v>3</v>
      </c>
      <c r="I115" t="str">
        <f t="shared" si="10"/>
        <v>53</v>
      </c>
      <c r="J115">
        <f t="shared" si="11"/>
        <v>8320</v>
      </c>
      <c r="L115">
        <f t="shared" si="12"/>
        <v>20097784602</v>
      </c>
    </row>
    <row r="116" spans="1:12">
      <c r="A116">
        <v>115</v>
      </c>
      <c r="B116">
        <v>15950</v>
      </c>
      <c r="C116">
        <v>110181229</v>
      </c>
      <c r="D116">
        <v>10</v>
      </c>
      <c r="E116">
        <v>5</v>
      </c>
      <c r="F116">
        <f t="shared" si="14"/>
        <v>4</v>
      </c>
      <c r="G116">
        <f t="shared" si="8"/>
        <v>5</v>
      </c>
      <c r="H116">
        <f t="shared" si="9"/>
        <v>4</v>
      </c>
      <c r="I116" t="str">
        <f t="shared" si="10"/>
        <v>54</v>
      </c>
      <c r="J116">
        <f t="shared" si="11"/>
        <v>575</v>
      </c>
      <c r="L116">
        <f t="shared" si="12"/>
        <v>20207965831</v>
      </c>
    </row>
    <row r="117" spans="1:12">
      <c r="A117">
        <v>116</v>
      </c>
      <c r="B117">
        <v>16320</v>
      </c>
      <c r="C117">
        <v>115353799</v>
      </c>
      <c r="D117">
        <v>10</v>
      </c>
      <c r="E117">
        <v>5</v>
      </c>
      <c r="F117">
        <f t="shared" si="14"/>
        <v>5</v>
      </c>
      <c r="G117">
        <f t="shared" si="8"/>
        <v>5</v>
      </c>
      <c r="H117">
        <f t="shared" si="9"/>
        <v>0</v>
      </c>
      <c r="I117" t="str">
        <f t="shared" si="10"/>
        <v>50</v>
      </c>
      <c r="J117">
        <f t="shared" si="11"/>
        <v>13440</v>
      </c>
      <c r="L117">
        <f t="shared" si="12"/>
        <v>20323319630</v>
      </c>
    </row>
    <row r="118" spans="1:12">
      <c r="A118">
        <v>117</v>
      </c>
      <c r="B118">
        <v>16690</v>
      </c>
      <c r="C118">
        <v>120645013</v>
      </c>
      <c r="D118">
        <v>10</v>
      </c>
      <c r="E118">
        <v>5</v>
      </c>
      <c r="F118">
        <f t="shared" si="14"/>
        <v>5</v>
      </c>
      <c r="G118">
        <f t="shared" si="8"/>
        <v>5</v>
      </c>
      <c r="H118">
        <f t="shared" si="9"/>
        <v>1</v>
      </c>
      <c r="I118" t="str">
        <f t="shared" si="10"/>
        <v>51</v>
      </c>
      <c r="J118">
        <f t="shared" si="11"/>
        <v>11200</v>
      </c>
      <c r="L118">
        <f t="shared" si="12"/>
        <v>20443964643</v>
      </c>
    </row>
    <row r="119" spans="1:12">
      <c r="A119">
        <v>118</v>
      </c>
      <c r="B119">
        <v>17060</v>
      </c>
      <c r="C119">
        <v>126054880</v>
      </c>
      <c r="D119">
        <v>10</v>
      </c>
      <c r="E119">
        <v>5</v>
      </c>
      <c r="F119">
        <f t="shared" si="14"/>
        <v>5</v>
      </c>
      <c r="G119">
        <f t="shared" si="8"/>
        <v>5</v>
      </c>
      <c r="H119">
        <f t="shared" si="9"/>
        <v>2</v>
      </c>
      <c r="I119" t="str">
        <f t="shared" si="10"/>
        <v>52</v>
      </c>
      <c r="J119">
        <f t="shared" si="11"/>
        <v>10080</v>
      </c>
      <c r="L119">
        <f t="shared" si="12"/>
        <v>20570019523</v>
      </c>
    </row>
    <row r="120" spans="1:12">
      <c r="A120">
        <v>119</v>
      </c>
      <c r="B120">
        <v>17430</v>
      </c>
      <c r="C120">
        <v>131583382</v>
      </c>
      <c r="D120">
        <v>10</v>
      </c>
      <c r="E120">
        <v>5</v>
      </c>
      <c r="F120">
        <f t="shared" si="14"/>
        <v>5</v>
      </c>
      <c r="G120">
        <f t="shared" si="8"/>
        <v>5</v>
      </c>
      <c r="H120">
        <f t="shared" si="9"/>
        <v>3</v>
      </c>
      <c r="I120" t="str">
        <f t="shared" si="10"/>
        <v>53</v>
      </c>
      <c r="J120">
        <f>VLOOKUP(I120, O$2:W$26, 4, FALSE)+VLOOKUP(I120, O$2:W$26, 5, FALSE)*(F120-1)</f>
        <v>8960</v>
      </c>
      <c r="L120">
        <f t="shared" si="12"/>
        <v>20701602905</v>
      </c>
    </row>
    <row r="121" spans="1:12">
      <c r="A121">
        <v>120</v>
      </c>
      <c r="B121">
        <v>17800</v>
      </c>
      <c r="C121">
        <v>137230537</v>
      </c>
      <c r="D121">
        <v>10</v>
      </c>
      <c r="E121">
        <v>5</v>
      </c>
      <c r="F121">
        <f t="shared" si="14"/>
        <v>5</v>
      </c>
      <c r="G121">
        <f t="shared" si="8"/>
        <v>5</v>
      </c>
      <c r="H121">
        <f t="shared" si="9"/>
        <v>4</v>
      </c>
      <c r="I121" t="str">
        <f t="shared" si="10"/>
        <v>54</v>
      </c>
      <c r="J121">
        <f>VLOOKUP(I121, O$2:W$26, 4, FALSE)+VLOOKUP(I121, O$2:W$26, 5, FALSE)*(F121-1)</f>
        <v>600</v>
      </c>
      <c r="L121">
        <f t="shared" si="12"/>
        <v>20838833442</v>
      </c>
    </row>
    <row r="122" spans="1:12">
      <c r="A122">
        <v>121</v>
      </c>
      <c r="B122">
        <v>18200</v>
      </c>
      <c r="C122">
        <v>143469040</v>
      </c>
      <c r="D122">
        <v>10</v>
      </c>
      <c r="E122">
        <v>5</v>
      </c>
      <c r="F122">
        <f t="shared" si="14"/>
        <v>6</v>
      </c>
      <c r="G122">
        <f t="shared" si="8"/>
        <v>5</v>
      </c>
      <c r="H122">
        <f t="shared" si="9"/>
        <v>0</v>
      </c>
      <c r="I122" t="str">
        <f t="shared" si="10"/>
        <v>50</v>
      </c>
      <c r="J122">
        <f t="shared" si="11"/>
        <v>14400</v>
      </c>
      <c r="L122">
        <f t="shared" si="12"/>
        <v>20982302482</v>
      </c>
    </row>
    <row r="123" spans="1:12">
      <c r="A123">
        <v>122</v>
      </c>
      <c r="B123">
        <v>18600</v>
      </c>
      <c r="C123">
        <v>149846205</v>
      </c>
      <c r="D123">
        <v>10</v>
      </c>
      <c r="E123">
        <v>5</v>
      </c>
      <c r="F123">
        <f t="shared" si="14"/>
        <v>6</v>
      </c>
      <c r="G123">
        <f t="shared" si="8"/>
        <v>5</v>
      </c>
      <c r="H123">
        <f t="shared" si="9"/>
        <v>1</v>
      </c>
      <c r="I123" t="str">
        <f t="shared" si="10"/>
        <v>51</v>
      </c>
      <c r="J123">
        <f t="shared" si="11"/>
        <v>12000</v>
      </c>
      <c r="L123">
        <f t="shared" si="12"/>
        <v>21132148687</v>
      </c>
    </row>
    <row r="124" spans="1:12">
      <c r="A124">
        <v>123</v>
      </c>
      <c r="B124">
        <v>19000</v>
      </c>
      <c r="C124">
        <v>156362034</v>
      </c>
      <c r="D124">
        <v>10</v>
      </c>
      <c r="E124">
        <v>5</v>
      </c>
      <c r="F124">
        <f t="shared" si="14"/>
        <v>6</v>
      </c>
      <c r="G124">
        <f t="shared" si="8"/>
        <v>5</v>
      </c>
      <c r="H124">
        <f t="shared" si="9"/>
        <v>2</v>
      </c>
      <c r="I124" t="str">
        <f t="shared" si="10"/>
        <v>52</v>
      </c>
      <c r="J124">
        <f t="shared" si="11"/>
        <v>10800</v>
      </c>
      <c r="L124">
        <f t="shared" si="12"/>
        <v>21288510721</v>
      </c>
    </row>
    <row r="125" spans="1:12">
      <c r="A125">
        <v>124</v>
      </c>
      <c r="B125">
        <v>19400</v>
      </c>
      <c r="C125">
        <v>163016537</v>
      </c>
      <c r="D125">
        <v>10</v>
      </c>
      <c r="E125">
        <v>5</v>
      </c>
      <c r="F125">
        <f t="shared" si="14"/>
        <v>6</v>
      </c>
      <c r="G125">
        <f t="shared" si="8"/>
        <v>5</v>
      </c>
      <c r="H125">
        <f t="shared" si="9"/>
        <v>3</v>
      </c>
      <c r="I125" t="str">
        <f t="shared" si="10"/>
        <v>53</v>
      </c>
      <c r="J125">
        <f t="shared" si="11"/>
        <v>9600</v>
      </c>
      <c r="L125">
        <f t="shared" si="12"/>
        <v>21451527258</v>
      </c>
    </row>
    <row r="126" spans="1:12">
      <c r="A126">
        <v>125</v>
      </c>
      <c r="B126">
        <v>19800</v>
      </c>
      <c r="C126">
        <v>169809703</v>
      </c>
      <c r="D126">
        <v>10</v>
      </c>
      <c r="E126">
        <v>5</v>
      </c>
      <c r="F126">
        <f t="shared" si="14"/>
        <v>6</v>
      </c>
      <c r="G126">
        <f t="shared" si="8"/>
        <v>5</v>
      </c>
      <c r="H126">
        <f t="shared" si="9"/>
        <v>4</v>
      </c>
      <c r="I126" t="str">
        <f t="shared" si="10"/>
        <v>54</v>
      </c>
      <c r="J126">
        <f>VLOOKUP(I126, O$2:W$26, 4, FALSE)+VLOOKUP(I126, O$2:W$26, 5, FALSE)*(F126-1)</f>
        <v>625</v>
      </c>
      <c r="L126">
        <f t="shared" si="12"/>
        <v>21621336961</v>
      </c>
    </row>
    <row r="132" spans="8:10">
      <c r="H132">
        <v>7</v>
      </c>
      <c r="I132">
        <f>25/H132</f>
        <v>3.5714285714285716</v>
      </c>
      <c r="J132">
        <v>4</v>
      </c>
    </row>
    <row r="133" spans="8:10">
      <c r="H133">
        <v>12</v>
      </c>
      <c r="I133">
        <f t="shared" ref="I133:I136" si="15">25/H133</f>
        <v>2.0833333333333335</v>
      </c>
      <c r="J133">
        <v>3</v>
      </c>
    </row>
    <row r="134" spans="8:10">
      <c r="H134">
        <v>15</v>
      </c>
      <c r="I134">
        <f t="shared" si="15"/>
        <v>1.6666666666666667</v>
      </c>
      <c r="J134">
        <v>2</v>
      </c>
    </row>
    <row r="135" spans="8:10">
      <c r="H135">
        <v>18</v>
      </c>
      <c r="I135">
        <f t="shared" si="15"/>
        <v>1.3888888888888888</v>
      </c>
      <c r="J135">
        <v>2</v>
      </c>
    </row>
    <row r="136" spans="8:10">
      <c r="H136">
        <v>20</v>
      </c>
      <c r="I136">
        <f t="shared" si="15"/>
        <v>1.25</v>
      </c>
      <c r="J136" t="s">
        <v>394</v>
      </c>
    </row>
  </sheetData>
  <phoneticPr fontId="18" type="noConversion"/>
  <pageMargins left="0.7" right="0.7" top="0.75" bottom="0.75" header="0.3" footer="0.3"/>
  <ignoredErrors>
    <ignoredError sqref="J121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1BE8-50E4-4079-9638-4F7B3F00D6BA}">
  <sheetPr codeName="Sheet9"/>
  <dimension ref="A1:M39"/>
  <sheetViews>
    <sheetView workbookViewId="0">
      <selection activeCell="L9" sqref="L9:L10"/>
    </sheetView>
  </sheetViews>
  <sheetFormatPr defaultRowHeight="16.5"/>
  <cols>
    <col min="1" max="1" width="25.5" bestFit="1" customWidth="1"/>
    <col min="2" max="2" width="16.625" bestFit="1" customWidth="1"/>
    <col min="3" max="3" width="13.875" bestFit="1" customWidth="1"/>
    <col min="4" max="4" width="16.625" bestFit="1" customWidth="1"/>
    <col min="5" max="5" width="13.875" bestFit="1" customWidth="1"/>
    <col min="6" max="6" width="8.125" bestFit="1" customWidth="1"/>
    <col min="9" max="9" width="21.375" bestFit="1" customWidth="1"/>
  </cols>
  <sheetData>
    <row r="1" spans="1:13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</row>
    <row r="2" spans="1:13">
      <c r="A2" t="s">
        <v>260</v>
      </c>
      <c r="B2">
        <v>5</v>
      </c>
      <c r="C2">
        <v>330</v>
      </c>
      <c r="D2">
        <v>5</v>
      </c>
      <c r="E2">
        <v>670</v>
      </c>
    </row>
    <row r="3" spans="1:13">
      <c r="A3" t="s">
        <v>261</v>
      </c>
      <c r="B3">
        <v>4</v>
      </c>
      <c r="C3">
        <v>280</v>
      </c>
      <c r="D3">
        <v>4</v>
      </c>
      <c r="E3">
        <v>720</v>
      </c>
      <c r="I3" t="s">
        <v>288</v>
      </c>
    </row>
    <row r="4" spans="1:13">
      <c r="A4" t="s">
        <v>262</v>
      </c>
      <c r="I4" t="s">
        <v>139</v>
      </c>
    </row>
    <row r="5" spans="1:13">
      <c r="A5" t="s">
        <v>263</v>
      </c>
      <c r="B5">
        <v>3</v>
      </c>
      <c r="C5">
        <v>210</v>
      </c>
      <c r="D5">
        <v>2</v>
      </c>
      <c r="E5">
        <v>450</v>
      </c>
      <c r="J5" t="s">
        <v>289</v>
      </c>
      <c r="K5" t="s">
        <v>288</v>
      </c>
      <c r="L5" t="s">
        <v>291</v>
      </c>
    </row>
    <row r="6" spans="1:13">
      <c r="A6" t="s">
        <v>264</v>
      </c>
      <c r="B6">
        <v>2</v>
      </c>
      <c r="C6">
        <v>110</v>
      </c>
      <c r="D6">
        <v>2</v>
      </c>
      <c r="E6">
        <v>250</v>
      </c>
      <c r="I6" s="30" t="s">
        <v>260</v>
      </c>
      <c r="J6" s="28">
        <v>330</v>
      </c>
      <c r="K6" s="28">
        <v>670</v>
      </c>
      <c r="L6">
        <v>1000</v>
      </c>
      <c r="M6">
        <v>6</v>
      </c>
    </row>
    <row r="7" spans="1:13">
      <c r="A7" t="s">
        <v>265</v>
      </c>
      <c r="B7">
        <v>3</v>
      </c>
      <c r="C7">
        <v>210</v>
      </c>
      <c r="D7">
        <v>1</v>
      </c>
      <c r="E7">
        <v>450</v>
      </c>
      <c r="I7" s="31" t="s">
        <v>261</v>
      </c>
      <c r="J7" s="29">
        <v>280</v>
      </c>
      <c r="K7" s="29">
        <v>720</v>
      </c>
      <c r="L7">
        <v>1000</v>
      </c>
      <c r="M7">
        <v>7</v>
      </c>
    </row>
    <row r="8" spans="1:13">
      <c r="A8" t="s">
        <v>266</v>
      </c>
      <c r="B8">
        <v>2</v>
      </c>
      <c r="C8">
        <v>110</v>
      </c>
      <c r="D8">
        <v>1</v>
      </c>
      <c r="E8">
        <v>250</v>
      </c>
      <c r="I8" s="30" t="s">
        <v>262</v>
      </c>
      <c r="J8" s="28"/>
      <c r="K8" s="28"/>
      <c r="L8">
        <v>0</v>
      </c>
      <c r="M8">
        <v>8</v>
      </c>
    </row>
    <row r="9" spans="1:13">
      <c r="A9" t="s">
        <v>262</v>
      </c>
      <c r="I9" s="31" t="s">
        <v>263</v>
      </c>
      <c r="J9" s="29">
        <v>210</v>
      </c>
      <c r="K9" s="29">
        <v>450</v>
      </c>
      <c r="L9">
        <v>660</v>
      </c>
      <c r="M9">
        <v>9</v>
      </c>
    </row>
    <row r="10" spans="1:13">
      <c r="A10" t="s">
        <v>267</v>
      </c>
      <c r="B10">
        <v>3</v>
      </c>
      <c r="C10">
        <v>65</v>
      </c>
      <c r="D10">
        <v>3</v>
      </c>
      <c r="E10">
        <v>150</v>
      </c>
      <c r="I10" s="30" t="s">
        <v>264</v>
      </c>
      <c r="J10" s="28">
        <v>110</v>
      </c>
      <c r="K10" s="28">
        <v>250</v>
      </c>
      <c r="L10">
        <v>360</v>
      </c>
      <c r="M10">
        <v>10</v>
      </c>
    </row>
    <row r="11" spans="1:13">
      <c r="A11" t="s">
        <v>262</v>
      </c>
      <c r="I11" s="31" t="s">
        <v>265</v>
      </c>
      <c r="J11" s="29">
        <v>210</v>
      </c>
      <c r="K11" s="29">
        <v>450</v>
      </c>
      <c r="L11">
        <v>660</v>
      </c>
      <c r="M11">
        <v>11</v>
      </c>
    </row>
    <row r="12" spans="1:13">
      <c r="A12" t="s">
        <v>268</v>
      </c>
      <c r="B12">
        <v>4</v>
      </c>
      <c r="C12">
        <v>140</v>
      </c>
      <c r="D12">
        <v>4</v>
      </c>
      <c r="E12">
        <v>300</v>
      </c>
      <c r="I12" s="30" t="s">
        <v>266</v>
      </c>
      <c r="J12" s="28">
        <v>110</v>
      </c>
      <c r="K12" s="28">
        <v>250</v>
      </c>
      <c r="L12">
        <v>360</v>
      </c>
      <c r="M12">
        <v>12</v>
      </c>
    </row>
    <row r="13" spans="1:13">
      <c r="A13" t="s">
        <v>269</v>
      </c>
      <c r="B13">
        <v>3</v>
      </c>
      <c r="C13">
        <v>225</v>
      </c>
      <c r="D13">
        <v>1</v>
      </c>
      <c r="E13">
        <v>450</v>
      </c>
      <c r="I13" s="31" t="s">
        <v>262</v>
      </c>
      <c r="J13" s="29"/>
      <c r="K13" s="29"/>
      <c r="L13">
        <v>0</v>
      </c>
      <c r="M13">
        <v>13</v>
      </c>
    </row>
    <row r="14" spans="1:13">
      <c r="A14" t="s">
        <v>270</v>
      </c>
      <c r="B14">
        <v>3</v>
      </c>
      <c r="C14">
        <v>225</v>
      </c>
      <c r="D14">
        <v>1</v>
      </c>
      <c r="E14">
        <v>450</v>
      </c>
      <c r="I14" s="30" t="s">
        <v>267</v>
      </c>
      <c r="J14" s="28">
        <v>65</v>
      </c>
      <c r="K14" s="28">
        <v>150</v>
      </c>
      <c r="L14">
        <v>215</v>
      </c>
      <c r="M14">
        <v>14</v>
      </c>
    </row>
    <row r="15" spans="1:13">
      <c r="A15" t="s">
        <v>271</v>
      </c>
      <c r="B15">
        <v>3</v>
      </c>
      <c r="C15">
        <v>225</v>
      </c>
      <c r="D15">
        <v>1</v>
      </c>
      <c r="E15">
        <v>450</v>
      </c>
    </row>
    <row r="16" spans="1:13">
      <c r="A16" t="s">
        <v>262</v>
      </c>
    </row>
    <row r="17" spans="1:6">
      <c r="A17" t="s">
        <v>272</v>
      </c>
      <c r="B17">
        <v>4</v>
      </c>
      <c r="C17">
        <v>60</v>
      </c>
      <c r="D17">
        <v>3</v>
      </c>
      <c r="E17">
        <v>60</v>
      </c>
    </row>
    <row r="18" spans="1:6">
      <c r="A18" t="s">
        <v>262</v>
      </c>
    </row>
    <row r="19" spans="1:6">
      <c r="A19" t="s">
        <v>273</v>
      </c>
      <c r="B19">
        <v>2</v>
      </c>
      <c r="C19">
        <v>10</v>
      </c>
      <c r="D19">
        <v>1</v>
      </c>
      <c r="E19">
        <v>10</v>
      </c>
      <c r="F19">
        <v>50</v>
      </c>
    </row>
    <row r="20" spans="1:6">
      <c r="A20" t="s">
        <v>274</v>
      </c>
      <c r="B20">
        <v>2</v>
      </c>
      <c r="C20">
        <v>40</v>
      </c>
      <c r="D20">
        <v>1</v>
      </c>
      <c r="E20">
        <v>60</v>
      </c>
      <c r="F20">
        <v>140</v>
      </c>
    </row>
    <row r="21" spans="1:6">
      <c r="A21" t="s">
        <v>275</v>
      </c>
      <c r="B21">
        <v>2</v>
      </c>
      <c r="C21">
        <v>40</v>
      </c>
      <c r="D21">
        <v>1</v>
      </c>
      <c r="E21">
        <v>60</v>
      </c>
      <c r="F21">
        <v>240</v>
      </c>
    </row>
    <row r="22" spans="1:6">
      <c r="A22" t="s">
        <v>262</v>
      </c>
    </row>
    <row r="23" spans="1:6">
      <c r="A23" t="s">
        <v>276</v>
      </c>
      <c r="B23">
        <v>2</v>
      </c>
      <c r="C23">
        <v>200</v>
      </c>
      <c r="D23">
        <v>1</v>
      </c>
      <c r="E23">
        <v>200</v>
      </c>
    </row>
    <row r="24" spans="1:6">
      <c r="A24" t="s">
        <v>277</v>
      </c>
      <c r="B24">
        <v>2</v>
      </c>
      <c r="C24">
        <v>200</v>
      </c>
      <c r="D24">
        <v>1</v>
      </c>
      <c r="E24">
        <v>200</v>
      </c>
    </row>
    <row r="25" spans="1:6">
      <c r="A25" t="s">
        <v>278</v>
      </c>
      <c r="B25">
        <v>2</v>
      </c>
      <c r="C25">
        <v>200</v>
      </c>
      <c r="D25">
        <v>1</v>
      </c>
      <c r="E25">
        <v>200</v>
      </c>
    </row>
    <row r="26" spans="1:6">
      <c r="A26" t="s">
        <v>279</v>
      </c>
      <c r="B26">
        <v>2</v>
      </c>
      <c r="C26">
        <v>200</v>
      </c>
      <c r="D26">
        <v>1</v>
      </c>
      <c r="E26">
        <v>200</v>
      </c>
    </row>
    <row r="27" spans="1:6">
      <c r="A27" t="s">
        <v>280</v>
      </c>
      <c r="B27">
        <v>2</v>
      </c>
      <c r="C27">
        <v>200</v>
      </c>
      <c r="D27">
        <v>1</v>
      </c>
      <c r="E27">
        <v>200</v>
      </c>
    </row>
    <row r="28" spans="1:6">
      <c r="A28" t="s">
        <v>281</v>
      </c>
      <c r="B28">
        <v>2</v>
      </c>
      <c r="C28">
        <v>200</v>
      </c>
      <c r="D28">
        <v>1</v>
      </c>
      <c r="E28">
        <v>200</v>
      </c>
    </row>
    <row r="29" spans="1:6">
      <c r="A29" t="s">
        <v>282</v>
      </c>
      <c r="B29">
        <v>2</v>
      </c>
      <c r="C29">
        <v>200</v>
      </c>
      <c r="D29">
        <v>1</v>
      </c>
      <c r="E29">
        <v>200</v>
      </c>
    </row>
    <row r="30" spans="1:6">
      <c r="A30" t="s">
        <v>262</v>
      </c>
      <c r="F30">
        <v>60</v>
      </c>
    </row>
    <row r="31" spans="1:6">
      <c r="A31" t="s">
        <v>283</v>
      </c>
      <c r="B31">
        <v>5</v>
      </c>
      <c r="C31">
        <v>500</v>
      </c>
      <c r="D31">
        <v>4</v>
      </c>
      <c r="E31">
        <v>500</v>
      </c>
      <c r="F31">
        <v>200</v>
      </c>
    </row>
    <row r="32" spans="1:6">
      <c r="A32" t="s">
        <v>262</v>
      </c>
      <c r="F32">
        <v>300</v>
      </c>
    </row>
    <row r="33" spans="1:5">
      <c r="A33" t="s">
        <v>284</v>
      </c>
      <c r="B33">
        <v>0</v>
      </c>
      <c r="D33">
        <v>2</v>
      </c>
      <c r="E33">
        <v>50</v>
      </c>
    </row>
    <row r="34" spans="1:5">
      <c r="A34" t="s">
        <v>285</v>
      </c>
      <c r="B34">
        <v>0</v>
      </c>
      <c r="D34">
        <v>3</v>
      </c>
      <c r="E34">
        <v>45</v>
      </c>
    </row>
    <row r="35" spans="1:5">
      <c r="A35" t="s">
        <v>262</v>
      </c>
    </row>
    <row r="36" spans="1:5">
      <c r="A36" t="s">
        <v>286</v>
      </c>
      <c r="B36">
        <v>0</v>
      </c>
      <c r="D36">
        <v>3</v>
      </c>
      <c r="E36">
        <v>100</v>
      </c>
    </row>
    <row r="37" spans="1:5">
      <c r="A37" t="s">
        <v>262</v>
      </c>
    </row>
    <row r="38" spans="1:5">
      <c r="A38" t="s">
        <v>287</v>
      </c>
      <c r="B38">
        <v>64</v>
      </c>
      <c r="D38">
        <v>50</v>
      </c>
    </row>
    <row r="39" spans="1:5">
      <c r="A39" t="s">
        <v>262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18B9-8D9C-4D6E-8E7A-CCF306C5A016}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2A6CF-39CF-44D4-96A0-9181B98D93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보스체력</vt:lpstr>
      <vt:lpstr>스테이지 계산</vt:lpstr>
      <vt:lpstr>무릉전보스체력</vt:lpstr>
      <vt:lpstr>보스데미지</vt:lpstr>
      <vt:lpstr>능력치</vt:lpstr>
      <vt:lpstr>계산</vt:lpstr>
      <vt:lpstr>Sheet2</vt:lpstr>
      <vt:lpstr>스킬</vt:lpstr>
      <vt:lpstr>연구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조정기</dc:creator>
  <cp:lastModifiedBy>정기 조</cp:lastModifiedBy>
  <dcterms:created xsi:type="dcterms:W3CDTF">2025-02-04T05:39:15Z</dcterms:created>
  <dcterms:modified xsi:type="dcterms:W3CDTF">2026-02-26T09:34:44Z</dcterms:modified>
</cp:coreProperties>
</file>