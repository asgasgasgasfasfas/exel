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JJG\엑셀\"/>
    </mc:Choice>
  </mc:AlternateContent>
  <xr:revisionPtr revIDLastSave="0" documentId="13_ncr:1_{168A1D89-5B06-426A-BA76-D159F6111ED0}" xr6:coauthVersionLast="47" xr6:coauthVersionMax="47" xr10:uidLastSave="{00000000-0000-0000-0000-000000000000}"/>
  <bookViews>
    <workbookView xWindow="37395" yWindow="375" windowWidth="28800" windowHeight="15360" activeTab="1" xr2:uid="{392C83F7-62C7-494A-8A61-050AF5CF3C50}"/>
  </bookViews>
  <sheets>
    <sheet name="재화 기준" sheetId="2" r:id="rId1"/>
    <sheet name="상품 구성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5" i="1" l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71" i="1"/>
  <c r="G78" i="1"/>
  <c r="I303" i="1"/>
  <c r="G303" i="1"/>
  <c r="K303" i="1" s="1"/>
  <c r="I302" i="1"/>
  <c r="G302" i="1"/>
  <c r="K302" i="1" s="1"/>
  <c r="I301" i="1"/>
  <c r="G301" i="1"/>
  <c r="J301" i="1" s="1"/>
  <c r="I300" i="1"/>
  <c r="G300" i="1"/>
  <c r="J300" i="1" s="1"/>
  <c r="I299" i="1"/>
  <c r="G299" i="1"/>
  <c r="J299" i="1" s="1"/>
  <c r="I298" i="1"/>
  <c r="G298" i="1"/>
  <c r="K298" i="1" s="1"/>
  <c r="I297" i="1"/>
  <c r="G297" i="1"/>
  <c r="K297" i="1" s="1"/>
  <c r="I296" i="1"/>
  <c r="G296" i="1"/>
  <c r="K296" i="1" s="1"/>
  <c r="I295" i="1"/>
  <c r="G295" i="1"/>
  <c r="K295" i="1" s="1"/>
  <c r="I205" i="1"/>
  <c r="I209" i="1"/>
  <c r="I217" i="1"/>
  <c r="I213" i="1"/>
  <c r="I201" i="1"/>
  <c r="H82" i="1"/>
  <c r="H132" i="1"/>
  <c r="H226" i="1"/>
  <c r="F226" i="1"/>
  <c r="F233" i="1"/>
  <c r="H233" i="1"/>
  <c r="G97" i="1"/>
  <c r="G98" i="1"/>
  <c r="G99" i="1"/>
  <c r="G75" i="1"/>
  <c r="G76" i="1"/>
  <c r="G74" i="1"/>
  <c r="I81" i="1"/>
  <c r="G81" i="1"/>
  <c r="K81" i="1" s="1"/>
  <c r="I80" i="1"/>
  <c r="G80" i="1"/>
  <c r="J80" i="1" s="1"/>
  <c r="I79" i="1"/>
  <c r="G79" i="1"/>
  <c r="J79" i="1" s="1"/>
  <c r="H317" i="1"/>
  <c r="P308" i="1"/>
  <c r="P309" i="1" s="1"/>
  <c r="P310" i="1" s="1"/>
  <c r="P311" i="1" s="1"/>
  <c r="P312" i="1" s="1"/>
  <c r="P313" i="1" s="1"/>
  <c r="P314" i="1" s="1"/>
  <c r="P315" i="1" s="1"/>
  <c r="P316" i="1" s="1"/>
  <c r="Q316" i="1" s="1"/>
  <c r="H293" i="1"/>
  <c r="H304" i="1"/>
  <c r="G308" i="1"/>
  <c r="K308" i="1" s="1"/>
  <c r="G309" i="1"/>
  <c r="K309" i="1" s="1"/>
  <c r="G310" i="1"/>
  <c r="J310" i="1" s="1"/>
  <c r="G311" i="1"/>
  <c r="K311" i="1" s="1"/>
  <c r="G312" i="1"/>
  <c r="J312" i="1" s="1"/>
  <c r="G313" i="1"/>
  <c r="J313" i="1" s="1"/>
  <c r="G314" i="1"/>
  <c r="K314" i="1" s="1"/>
  <c r="G315" i="1"/>
  <c r="J315" i="1" s="1"/>
  <c r="G316" i="1"/>
  <c r="J316" i="1" s="1"/>
  <c r="G307" i="1"/>
  <c r="K307" i="1" s="1"/>
  <c r="I315" i="1"/>
  <c r="I316" i="1"/>
  <c r="I314" i="1"/>
  <c r="I313" i="1"/>
  <c r="I312" i="1"/>
  <c r="I311" i="1"/>
  <c r="I310" i="1"/>
  <c r="I309" i="1"/>
  <c r="I308" i="1"/>
  <c r="I307" i="1"/>
  <c r="G95" i="1"/>
  <c r="G96" i="1"/>
  <c r="G94" i="1"/>
  <c r="G72" i="1"/>
  <c r="G73" i="1"/>
  <c r="K13" i="1" l="1"/>
  <c r="K4" i="1"/>
  <c r="J11" i="1"/>
  <c r="K5" i="1"/>
  <c r="J14" i="1"/>
  <c r="K8" i="1"/>
  <c r="K299" i="1"/>
  <c r="K6" i="1"/>
  <c r="J12" i="1"/>
  <c r="K10" i="1"/>
  <c r="J15" i="1"/>
  <c r="J7" i="1"/>
  <c r="K301" i="1"/>
  <c r="J297" i="1"/>
  <c r="J302" i="1"/>
  <c r="K300" i="1"/>
  <c r="J295" i="1"/>
  <c r="J298" i="1"/>
  <c r="J303" i="1"/>
  <c r="J296" i="1"/>
  <c r="K80" i="1"/>
  <c r="J81" i="1"/>
  <c r="K79" i="1"/>
  <c r="Q310" i="1"/>
  <c r="Q309" i="1"/>
  <c r="Q311" i="1"/>
  <c r="Q315" i="1"/>
  <c r="Q314" i="1"/>
  <c r="Q313" i="1"/>
  <c r="Q308" i="1"/>
  <c r="Q312" i="1"/>
  <c r="K316" i="1"/>
  <c r="K315" i="1"/>
  <c r="K310" i="1"/>
  <c r="K312" i="1"/>
  <c r="J308" i="1"/>
  <c r="K313" i="1"/>
  <c r="J311" i="1"/>
  <c r="J309" i="1"/>
  <c r="J314" i="1"/>
  <c r="J307" i="1"/>
  <c r="G61" i="1"/>
  <c r="I252" i="1" l="1"/>
  <c r="I253" i="1"/>
  <c r="I254" i="1"/>
  <c r="I255" i="1"/>
  <c r="I256" i="1"/>
  <c r="I257" i="1"/>
  <c r="I258" i="1"/>
  <c r="I259" i="1"/>
  <c r="I260" i="1"/>
  <c r="I261" i="1"/>
  <c r="I220" i="1"/>
  <c r="I221" i="1"/>
  <c r="I222" i="1"/>
  <c r="I223" i="1"/>
  <c r="I224" i="1"/>
  <c r="I225" i="1"/>
  <c r="I198" i="1"/>
  <c r="I199" i="1"/>
  <c r="I200" i="1"/>
  <c r="I202" i="1"/>
  <c r="I203" i="1"/>
  <c r="I204" i="1"/>
  <c r="I206" i="1"/>
  <c r="I207" i="1"/>
  <c r="I208" i="1"/>
  <c r="I210" i="1"/>
  <c r="I211" i="1"/>
  <c r="I212" i="1"/>
  <c r="I214" i="1"/>
  <c r="I215" i="1"/>
  <c r="I216" i="1"/>
  <c r="I112" i="1"/>
  <c r="I113" i="1"/>
  <c r="I114" i="1"/>
  <c r="I115" i="1"/>
  <c r="I116" i="1"/>
  <c r="I117" i="1"/>
  <c r="I118" i="1"/>
  <c r="I119" i="1"/>
  <c r="I120" i="1"/>
  <c r="I121" i="1"/>
  <c r="I53" i="1"/>
  <c r="I54" i="1"/>
  <c r="I55" i="1"/>
  <c r="I56" i="1"/>
  <c r="I57" i="1"/>
  <c r="I20" i="1"/>
  <c r="I21" i="1"/>
  <c r="I22" i="1"/>
  <c r="I23" i="1"/>
  <c r="I24" i="1"/>
  <c r="I41" i="1"/>
  <c r="I42" i="1"/>
  <c r="I43" i="1"/>
  <c r="I44" i="1"/>
  <c r="I45" i="1"/>
  <c r="I34" i="1"/>
  <c r="I35" i="1"/>
  <c r="I36" i="1"/>
  <c r="I37" i="1"/>
  <c r="I38" i="1"/>
  <c r="I39" i="1"/>
  <c r="I27" i="1"/>
  <c r="I28" i="1"/>
  <c r="I29" i="1"/>
  <c r="I30" i="1"/>
  <c r="I31" i="1"/>
  <c r="I291" i="1"/>
  <c r="I292" i="1"/>
  <c r="I290" i="1"/>
  <c r="I289" i="1"/>
  <c r="I288" i="1"/>
  <c r="I287" i="1"/>
  <c r="I286" i="1"/>
  <c r="I285" i="1"/>
  <c r="I284" i="1"/>
  <c r="I283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49" i="1"/>
  <c r="I248" i="1"/>
  <c r="I247" i="1"/>
  <c r="I246" i="1"/>
  <c r="I245" i="1"/>
  <c r="I244" i="1"/>
  <c r="I243" i="1"/>
  <c r="I241" i="1"/>
  <c r="I240" i="1"/>
  <c r="I239" i="1"/>
  <c r="I238" i="1"/>
  <c r="I237" i="1"/>
  <c r="I236" i="1"/>
  <c r="I235" i="1"/>
  <c r="I232" i="1"/>
  <c r="I231" i="1"/>
  <c r="I230" i="1"/>
  <c r="I229" i="1"/>
  <c r="I228" i="1"/>
  <c r="I227" i="1"/>
  <c r="I191" i="1"/>
  <c r="I186" i="1"/>
  <c r="I182" i="1"/>
  <c r="I179" i="1"/>
  <c r="I177" i="1"/>
  <c r="I178" i="1"/>
  <c r="I176" i="1"/>
  <c r="I175" i="1"/>
  <c r="I174" i="1"/>
  <c r="I173" i="1"/>
  <c r="I172" i="1"/>
  <c r="I171" i="1"/>
  <c r="I170" i="1"/>
  <c r="I164" i="1"/>
  <c r="I165" i="1"/>
  <c r="I166" i="1"/>
  <c r="I167" i="1"/>
  <c r="I168" i="1"/>
  <c r="I163" i="1"/>
  <c r="I162" i="1"/>
  <c r="I161" i="1"/>
  <c r="I160" i="1"/>
  <c r="I159" i="1"/>
  <c r="I158" i="1"/>
  <c r="I157" i="1"/>
  <c r="I156" i="1"/>
  <c r="I155" i="1"/>
  <c r="I154" i="1"/>
  <c r="I142" i="1"/>
  <c r="I141" i="1"/>
  <c r="I140" i="1"/>
  <c r="I139" i="1"/>
  <c r="I138" i="1"/>
  <c r="I137" i="1"/>
  <c r="I136" i="1"/>
  <c r="I135" i="1"/>
  <c r="I134" i="1"/>
  <c r="I133" i="1"/>
  <c r="I108" i="1"/>
  <c r="I109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51" i="1"/>
  <c r="I50" i="1"/>
  <c r="I49" i="1"/>
  <c r="I48" i="1"/>
  <c r="I47" i="1"/>
  <c r="K263" i="1"/>
  <c r="J266" i="1"/>
  <c r="K271" i="1"/>
  <c r="J269" i="1"/>
  <c r="G208" i="1"/>
  <c r="G206" i="1"/>
  <c r="J206" i="1" s="1"/>
  <c r="G200" i="1"/>
  <c r="J200" i="1" s="1"/>
  <c r="G199" i="1"/>
  <c r="K199" i="1" s="1"/>
  <c r="G198" i="1"/>
  <c r="J198" i="1" s="1"/>
  <c r="G171" i="1"/>
  <c r="J171" i="1" s="1"/>
  <c r="G172" i="1"/>
  <c r="K172" i="1" s="1"/>
  <c r="G173" i="1"/>
  <c r="G174" i="1"/>
  <c r="J174" i="1" s="1"/>
  <c r="G175" i="1"/>
  <c r="J175" i="1" s="1"/>
  <c r="G176" i="1"/>
  <c r="G177" i="1"/>
  <c r="J177" i="1" s="1"/>
  <c r="G178" i="1"/>
  <c r="K178" i="1" s="1"/>
  <c r="G179" i="1"/>
  <c r="G170" i="1"/>
  <c r="G155" i="1"/>
  <c r="J155" i="1" s="1"/>
  <c r="G156" i="1"/>
  <c r="J156" i="1" s="1"/>
  <c r="G157" i="1"/>
  <c r="G158" i="1"/>
  <c r="J158" i="1" s="1"/>
  <c r="G159" i="1"/>
  <c r="J159" i="1" s="1"/>
  <c r="G160" i="1"/>
  <c r="G161" i="1"/>
  <c r="J161" i="1" s="1"/>
  <c r="G162" i="1"/>
  <c r="J162" i="1" s="1"/>
  <c r="G163" i="1"/>
  <c r="G164" i="1"/>
  <c r="J164" i="1" s="1"/>
  <c r="G165" i="1"/>
  <c r="J165" i="1" s="1"/>
  <c r="G166" i="1"/>
  <c r="G167" i="1"/>
  <c r="J167" i="1" s="1"/>
  <c r="G168" i="1"/>
  <c r="J168" i="1" s="1"/>
  <c r="G154" i="1"/>
  <c r="G134" i="1"/>
  <c r="J134" i="1" s="1"/>
  <c r="G135" i="1"/>
  <c r="J135" i="1" s="1"/>
  <c r="G136" i="1"/>
  <c r="J136" i="1" s="1"/>
  <c r="G137" i="1"/>
  <c r="J137" i="1" s="1"/>
  <c r="G138" i="1"/>
  <c r="K138" i="1" s="1"/>
  <c r="G139" i="1"/>
  <c r="J139" i="1" s="1"/>
  <c r="G140" i="1"/>
  <c r="K140" i="1" s="1"/>
  <c r="G141" i="1"/>
  <c r="K141" i="1" s="1"/>
  <c r="G142" i="1"/>
  <c r="J142" i="1" s="1"/>
  <c r="G143" i="1"/>
  <c r="K143" i="1" s="1"/>
  <c r="G144" i="1"/>
  <c r="J144" i="1" s="1"/>
  <c r="G145" i="1"/>
  <c r="K145" i="1" s="1"/>
  <c r="G146" i="1"/>
  <c r="K146" i="1" s="1"/>
  <c r="G147" i="1"/>
  <c r="K147" i="1" s="1"/>
  <c r="G148" i="1"/>
  <c r="K148" i="1" s="1"/>
  <c r="G149" i="1"/>
  <c r="K149" i="1" s="1"/>
  <c r="G150" i="1"/>
  <c r="K150" i="1" s="1"/>
  <c r="G151" i="1"/>
  <c r="J151" i="1" s="1"/>
  <c r="G152" i="1"/>
  <c r="K152" i="1" s="1"/>
  <c r="G133" i="1"/>
  <c r="J133" i="1" s="1"/>
  <c r="G113" i="1"/>
  <c r="J113" i="1" s="1"/>
  <c r="G114" i="1"/>
  <c r="G115" i="1"/>
  <c r="J115" i="1" s="1"/>
  <c r="G116" i="1"/>
  <c r="J116" i="1" s="1"/>
  <c r="G117" i="1"/>
  <c r="G118" i="1"/>
  <c r="J118" i="1" s="1"/>
  <c r="G119" i="1"/>
  <c r="J119" i="1" s="1"/>
  <c r="G120" i="1"/>
  <c r="G121" i="1"/>
  <c r="J121" i="1" s="1"/>
  <c r="G122" i="1"/>
  <c r="J122" i="1" s="1"/>
  <c r="G123" i="1"/>
  <c r="G124" i="1"/>
  <c r="J124" i="1" s="1"/>
  <c r="G125" i="1"/>
  <c r="K125" i="1" s="1"/>
  <c r="G126" i="1"/>
  <c r="G127" i="1"/>
  <c r="J127" i="1" s="1"/>
  <c r="G128" i="1"/>
  <c r="J128" i="1" s="1"/>
  <c r="G129" i="1"/>
  <c r="G130" i="1"/>
  <c r="J130" i="1" s="1"/>
  <c r="G131" i="1"/>
  <c r="J131" i="1" s="1"/>
  <c r="G112" i="1"/>
  <c r="C155" i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G38" i="1"/>
  <c r="J38" i="1" s="1"/>
  <c r="G39" i="1"/>
  <c r="J39" i="1" s="1"/>
  <c r="G41" i="1"/>
  <c r="J41" i="1" s="1"/>
  <c r="G42" i="1"/>
  <c r="J42" i="1" s="1"/>
  <c r="G43" i="1"/>
  <c r="J43" i="1" s="1"/>
  <c r="G44" i="1"/>
  <c r="J44" i="1" s="1"/>
  <c r="G45" i="1"/>
  <c r="J45" i="1" s="1"/>
  <c r="F46" i="1"/>
  <c r="H46" i="1"/>
  <c r="G47" i="1"/>
  <c r="J47" i="1" s="1"/>
  <c r="G48" i="1"/>
  <c r="J48" i="1" s="1"/>
  <c r="G49" i="1"/>
  <c r="G50" i="1"/>
  <c r="J50" i="1" s="1"/>
  <c r="G51" i="1"/>
  <c r="J51" i="1" s="1"/>
  <c r="G53" i="1"/>
  <c r="J53" i="1" s="1"/>
  <c r="G54" i="1"/>
  <c r="J54" i="1" s="1"/>
  <c r="G55" i="1"/>
  <c r="J55" i="1" s="1"/>
  <c r="G56" i="1"/>
  <c r="J56" i="1" s="1"/>
  <c r="G57" i="1"/>
  <c r="J57" i="1" s="1"/>
  <c r="G62" i="1"/>
  <c r="J62" i="1" s="1"/>
  <c r="G63" i="1"/>
  <c r="J63" i="1" s="1"/>
  <c r="G64" i="1"/>
  <c r="J64" i="1" s="1"/>
  <c r="G65" i="1"/>
  <c r="J65" i="1" s="1"/>
  <c r="G66" i="1"/>
  <c r="J66" i="1" s="1"/>
  <c r="G67" i="1"/>
  <c r="J67" i="1" s="1"/>
  <c r="G68" i="1"/>
  <c r="J68" i="1" s="1"/>
  <c r="G69" i="1"/>
  <c r="J69" i="1" s="1"/>
  <c r="G70" i="1"/>
  <c r="J70" i="1" s="1"/>
  <c r="J71" i="1"/>
  <c r="J72" i="1"/>
  <c r="J73" i="1"/>
  <c r="J74" i="1"/>
  <c r="J75" i="1"/>
  <c r="J76" i="1"/>
  <c r="G77" i="1"/>
  <c r="J77" i="1" s="1"/>
  <c r="J78" i="1"/>
  <c r="G85" i="1"/>
  <c r="K85" i="1" s="1"/>
  <c r="G86" i="1"/>
  <c r="G87" i="1"/>
  <c r="J87" i="1" s="1"/>
  <c r="G88" i="1"/>
  <c r="K88" i="1" s="1"/>
  <c r="G89" i="1"/>
  <c r="G90" i="1"/>
  <c r="J90" i="1" s="1"/>
  <c r="G91" i="1"/>
  <c r="K91" i="1" s="1"/>
  <c r="G92" i="1"/>
  <c r="G93" i="1"/>
  <c r="J93" i="1" s="1"/>
  <c r="K94" i="1"/>
  <c r="J96" i="1"/>
  <c r="K97" i="1"/>
  <c r="J99" i="1"/>
  <c r="G100" i="1"/>
  <c r="K100" i="1" s="1"/>
  <c r="G101" i="1"/>
  <c r="G102" i="1"/>
  <c r="J102" i="1" s="1"/>
  <c r="G103" i="1"/>
  <c r="K103" i="1" s="1"/>
  <c r="G104" i="1"/>
  <c r="K104" i="1" s="1"/>
  <c r="G105" i="1"/>
  <c r="K105" i="1" s="1"/>
  <c r="G106" i="1"/>
  <c r="K106" i="1" s="1"/>
  <c r="G107" i="1"/>
  <c r="G108" i="1"/>
  <c r="K108" i="1" s="1"/>
  <c r="G109" i="1"/>
  <c r="K109" i="1" s="1"/>
  <c r="H110" i="1"/>
  <c r="H153" i="1"/>
  <c r="H180" i="1"/>
  <c r="G182" i="1"/>
  <c r="K182" i="1" s="1"/>
  <c r="G186" i="1"/>
  <c r="J186" i="1" s="1"/>
  <c r="G191" i="1"/>
  <c r="J191" i="1" s="1"/>
  <c r="G201" i="1"/>
  <c r="J201" i="1" s="1"/>
  <c r="G202" i="1"/>
  <c r="J202" i="1" s="1"/>
  <c r="G203" i="1"/>
  <c r="J203" i="1" s="1"/>
  <c r="G204" i="1"/>
  <c r="J204" i="1" s="1"/>
  <c r="G205" i="1"/>
  <c r="J205" i="1" s="1"/>
  <c r="G207" i="1"/>
  <c r="J207" i="1" s="1"/>
  <c r="G209" i="1"/>
  <c r="J209" i="1" s="1"/>
  <c r="G210" i="1"/>
  <c r="J210" i="1" s="1"/>
  <c r="G211" i="1"/>
  <c r="J211" i="1" s="1"/>
  <c r="G212" i="1"/>
  <c r="J212" i="1" s="1"/>
  <c r="G213" i="1"/>
  <c r="J213" i="1" s="1"/>
  <c r="G214" i="1"/>
  <c r="J214" i="1" s="1"/>
  <c r="G215" i="1"/>
  <c r="J215" i="1" s="1"/>
  <c r="G216" i="1"/>
  <c r="J216" i="1" s="1"/>
  <c r="G217" i="1"/>
  <c r="J217" i="1" s="1"/>
  <c r="G220" i="1"/>
  <c r="G221" i="1"/>
  <c r="J221" i="1" s="1"/>
  <c r="G222" i="1"/>
  <c r="J222" i="1" s="1"/>
  <c r="G223" i="1"/>
  <c r="J223" i="1" s="1"/>
  <c r="G224" i="1"/>
  <c r="K224" i="1" s="1"/>
  <c r="G225" i="1"/>
  <c r="J225" i="1" s="1"/>
  <c r="G227" i="1"/>
  <c r="G228" i="1"/>
  <c r="J228" i="1" s="1"/>
  <c r="G229" i="1"/>
  <c r="G230" i="1"/>
  <c r="J230" i="1" s="1"/>
  <c r="G231" i="1"/>
  <c r="J231" i="1" s="1"/>
  <c r="G232" i="1"/>
  <c r="G235" i="1"/>
  <c r="G236" i="1"/>
  <c r="K236" i="1" s="1"/>
  <c r="G237" i="1"/>
  <c r="K237" i="1" s="1"/>
  <c r="G238" i="1"/>
  <c r="G239" i="1"/>
  <c r="J239" i="1" s="1"/>
  <c r="G240" i="1"/>
  <c r="K240" i="1" s="1"/>
  <c r="G241" i="1"/>
  <c r="G243" i="1"/>
  <c r="K243" i="1" s="1"/>
  <c r="G244" i="1"/>
  <c r="G245" i="1"/>
  <c r="K245" i="1" s="1"/>
  <c r="G246" i="1"/>
  <c r="K246" i="1" s="1"/>
  <c r="G247" i="1"/>
  <c r="G248" i="1"/>
  <c r="K248" i="1" s="1"/>
  <c r="G249" i="1"/>
  <c r="K249" i="1" s="1"/>
  <c r="G252" i="1"/>
  <c r="K252" i="1" s="1"/>
  <c r="G253" i="1"/>
  <c r="J253" i="1" s="1"/>
  <c r="G254" i="1"/>
  <c r="G255" i="1"/>
  <c r="K255" i="1" s="1"/>
  <c r="G256" i="1"/>
  <c r="J256" i="1" s="1"/>
  <c r="G257" i="1"/>
  <c r="G258" i="1"/>
  <c r="K258" i="1" s="1"/>
  <c r="G259" i="1"/>
  <c r="J259" i="1" s="1"/>
  <c r="G260" i="1"/>
  <c r="G261" i="1"/>
  <c r="K261" i="1" s="1"/>
  <c r="K265" i="1"/>
  <c r="K268" i="1"/>
  <c r="J272" i="1"/>
  <c r="K274" i="1"/>
  <c r="J275" i="1"/>
  <c r="K277" i="1"/>
  <c r="J278" i="1"/>
  <c r="J279" i="1"/>
  <c r="J280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K220" i="1" l="1"/>
  <c r="G226" i="1"/>
  <c r="J227" i="1"/>
  <c r="G233" i="1"/>
  <c r="J112" i="1"/>
  <c r="G132" i="1"/>
  <c r="J22" i="1"/>
  <c r="K22" i="1"/>
  <c r="J150" i="1"/>
  <c r="J148" i="1"/>
  <c r="K168" i="1"/>
  <c r="J108" i="1"/>
  <c r="J147" i="1"/>
  <c r="K156" i="1"/>
  <c r="K2" i="1"/>
  <c r="J105" i="1"/>
  <c r="K201" i="1"/>
  <c r="J182" i="1"/>
  <c r="J263" i="1"/>
  <c r="J277" i="1"/>
  <c r="K272" i="1"/>
  <c r="J268" i="1"/>
  <c r="K279" i="1"/>
  <c r="K266" i="1"/>
  <c r="J274" i="1"/>
  <c r="K212" i="1"/>
  <c r="K217" i="1"/>
  <c r="J208" i="1"/>
  <c r="K208" i="1"/>
  <c r="K207" i="1"/>
  <c r="K191" i="1"/>
  <c r="K165" i="1"/>
  <c r="K162" i="1"/>
  <c r="J141" i="1"/>
  <c r="K139" i="1"/>
  <c r="K142" i="1"/>
  <c r="J138" i="1"/>
  <c r="K144" i="1"/>
  <c r="K131" i="1"/>
  <c r="K202" i="1"/>
  <c r="K175" i="1"/>
  <c r="L175" i="1" s="1"/>
  <c r="K213" i="1"/>
  <c r="K186" i="1"/>
  <c r="J149" i="1"/>
  <c r="K206" i="1"/>
  <c r="J172" i="1"/>
  <c r="J125" i="1"/>
  <c r="K211" i="1"/>
  <c r="K78" i="1"/>
  <c r="K205" i="1"/>
  <c r="J199" i="1"/>
  <c r="J178" i="1"/>
  <c r="K216" i="1"/>
  <c r="K209" i="1"/>
  <c r="K198" i="1"/>
  <c r="K151" i="1"/>
  <c r="J145" i="1"/>
  <c r="J140" i="1"/>
  <c r="J109" i="1"/>
  <c r="K77" i="1"/>
  <c r="K136" i="1"/>
  <c r="K159" i="1"/>
  <c r="J146" i="1"/>
  <c r="K128" i="1"/>
  <c r="J100" i="1"/>
  <c r="J265" i="1"/>
  <c r="K135" i="1"/>
  <c r="K278" i="1"/>
  <c r="J271" i="1"/>
  <c r="K214" i="1"/>
  <c r="K203" i="1"/>
  <c r="K116" i="1"/>
  <c r="J106" i="1"/>
  <c r="K215" i="1"/>
  <c r="K122" i="1"/>
  <c r="K269" i="1"/>
  <c r="K204" i="1"/>
  <c r="K200" i="1"/>
  <c r="J152" i="1"/>
  <c r="J143" i="1"/>
  <c r="K133" i="1"/>
  <c r="K113" i="1"/>
  <c r="K275" i="1"/>
  <c r="G153" i="1"/>
  <c r="K119" i="1"/>
  <c r="K24" i="1"/>
  <c r="K66" i="1"/>
  <c r="J249" i="1"/>
  <c r="J220" i="1"/>
  <c r="K259" i="1"/>
  <c r="K51" i="1"/>
  <c r="K62" i="1"/>
  <c r="K55" i="1"/>
  <c r="J240" i="1"/>
  <c r="K231" i="1"/>
  <c r="K35" i="1"/>
  <c r="K256" i="1"/>
  <c r="K41" i="1"/>
  <c r="K36" i="1"/>
  <c r="K221" i="1"/>
  <c r="J255" i="1"/>
  <c r="J245" i="1"/>
  <c r="J258" i="1"/>
  <c r="K57" i="1"/>
  <c r="J21" i="1"/>
  <c r="J224" i="1"/>
  <c r="K74" i="1"/>
  <c r="K65" i="1"/>
  <c r="J237" i="1"/>
  <c r="J29" i="1"/>
  <c r="K222" i="1"/>
  <c r="K63" i="1"/>
  <c r="K53" i="1"/>
  <c r="K44" i="1"/>
  <c r="K39" i="1"/>
  <c r="K34" i="1"/>
  <c r="K253" i="1"/>
  <c r="J88" i="1"/>
  <c r="K68" i="1"/>
  <c r="J261" i="1"/>
  <c r="J248" i="1"/>
  <c r="K223" i="1"/>
  <c r="K54" i="1"/>
  <c r="K28" i="1"/>
  <c r="J94" i="1"/>
  <c r="J85" i="1"/>
  <c r="K72" i="1"/>
  <c r="K75" i="1"/>
  <c r="K71" i="1"/>
  <c r="K43" i="1"/>
  <c r="K38" i="1"/>
  <c r="K30" i="1"/>
  <c r="J252" i="1"/>
  <c r="J236" i="1"/>
  <c r="K225" i="1"/>
  <c r="J91" i="1"/>
  <c r="K45" i="1"/>
  <c r="J243" i="1"/>
  <c r="K56" i="1"/>
  <c r="K48" i="1"/>
  <c r="K37" i="1"/>
  <c r="K228" i="1"/>
  <c r="K69" i="1"/>
  <c r="J123" i="1"/>
  <c r="K123" i="1"/>
  <c r="J117" i="1"/>
  <c r="K117" i="1"/>
  <c r="K244" i="1"/>
  <c r="J244" i="1"/>
  <c r="J176" i="1"/>
  <c r="K176" i="1"/>
  <c r="K101" i="1"/>
  <c r="J101" i="1"/>
  <c r="K92" i="1"/>
  <c r="J92" i="1"/>
  <c r="J170" i="1"/>
  <c r="K170" i="1"/>
  <c r="J229" i="1"/>
  <c r="K229" i="1"/>
  <c r="K107" i="1"/>
  <c r="J107" i="1"/>
  <c r="J31" i="1"/>
  <c r="K31" i="1"/>
  <c r="J20" i="1"/>
  <c r="K20" i="1"/>
  <c r="K254" i="1"/>
  <c r="J254" i="1"/>
  <c r="K98" i="1"/>
  <c r="J98" i="1"/>
  <c r="K89" i="1"/>
  <c r="J89" i="1"/>
  <c r="K235" i="1"/>
  <c r="J235" i="1"/>
  <c r="J126" i="1"/>
  <c r="K126" i="1"/>
  <c r="J120" i="1"/>
  <c r="K120" i="1"/>
  <c r="J114" i="1"/>
  <c r="K114" i="1"/>
  <c r="J97" i="1"/>
  <c r="J179" i="1"/>
  <c r="K179" i="1"/>
  <c r="K273" i="1"/>
  <c r="J273" i="1"/>
  <c r="K247" i="1"/>
  <c r="J247" i="1"/>
  <c r="J173" i="1"/>
  <c r="K173" i="1"/>
  <c r="J49" i="1"/>
  <c r="K49" i="1"/>
  <c r="K267" i="1"/>
  <c r="J267" i="1"/>
  <c r="J157" i="1"/>
  <c r="K157" i="1"/>
  <c r="J246" i="1"/>
  <c r="K238" i="1"/>
  <c r="J238" i="1"/>
  <c r="J232" i="1"/>
  <c r="K232" i="1"/>
  <c r="J104" i="1"/>
  <c r="K95" i="1"/>
  <c r="J95" i="1"/>
  <c r="K86" i="1"/>
  <c r="J86" i="1"/>
  <c r="J163" i="1"/>
  <c r="K163" i="1"/>
  <c r="J166" i="1"/>
  <c r="K166" i="1"/>
  <c r="J103" i="1"/>
  <c r="K260" i="1"/>
  <c r="J260" i="1"/>
  <c r="K241" i="1"/>
  <c r="J241" i="1"/>
  <c r="K276" i="1"/>
  <c r="J276" i="1"/>
  <c r="K270" i="1"/>
  <c r="J270" i="1"/>
  <c r="K264" i="1"/>
  <c r="J264" i="1"/>
  <c r="K257" i="1"/>
  <c r="J257" i="1"/>
  <c r="J160" i="1"/>
  <c r="K160" i="1"/>
  <c r="J154" i="1"/>
  <c r="K154" i="1"/>
  <c r="J129" i="1"/>
  <c r="K129" i="1"/>
  <c r="J23" i="1"/>
  <c r="K280" i="1"/>
  <c r="K239" i="1"/>
  <c r="K102" i="1"/>
  <c r="K99" i="1"/>
  <c r="K96" i="1"/>
  <c r="K93" i="1"/>
  <c r="K90" i="1"/>
  <c r="K87" i="1"/>
  <c r="K137" i="1"/>
  <c r="K134" i="1"/>
  <c r="K76" i="1"/>
  <c r="K42" i="1"/>
  <c r="K210" i="1"/>
  <c r="K73" i="1"/>
  <c r="K70" i="1"/>
  <c r="K67" i="1"/>
  <c r="K64" i="1"/>
  <c r="K230" i="1"/>
  <c r="K227" i="1"/>
  <c r="K177" i="1"/>
  <c r="K174" i="1"/>
  <c r="K171" i="1"/>
  <c r="K167" i="1"/>
  <c r="K164" i="1"/>
  <c r="K161" i="1"/>
  <c r="K158" i="1"/>
  <c r="K155" i="1"/>
  <c r="K130" i="1"/>
  <c r="K127" i="1"/>
  <c r="K124" i="1"/>
  <c r="K121" i="1"/>
  <c r="K118" i="1"/>
  <c r="K115" i="1"/>
  <c r="K112" i="1"/>
  <c r="K50" i="1"/>
  <c r="K47" i="1"/>
  <c r="K27" i="1"/>
  <c r="L6" i="1" l="1"/>
  <c r="L5" i="1"/>
  <c r="L13" i="1"/>
  <c r="L11" i="1"/>
  <c r="L12" i="1"/>
  <c r="L7" i="1"/>
  <c r="L15" i="1"/>
  <c r="L14" i="1"/>
  <c r="L8" i="1"/>
  <c r="L10" i="1"/>
  <c r="L4" i="1"/>
  <c r="L63" i="1"/>
  <c r="L231" i="1"/>
  <c r="L295" i="1"/>
  <c r="L297" i="1"/>
  <c r="L302" i="1"/>
  <c r="L298" i="1"/>
  <c r="L299" i="1"/>
  <c r="L296" i="1"/>
  <c r="L303" i="1"/>
  <c r="L301" i="1"/>
  <c r="L300" i="1"/>
  <c r="L81" i="1"/>
  <c r="L79" i="1"/>
  <c r="L80" i="1"/>
  <c r="L209" i="1"/>
  <c r="L128" i="1"/>
  <c r="L315" i="1"/>
  <c r="L316" i="1"/>
  <c r="L311" i="1"/>
  <c r="L307" i="1"/>
  <c r="L310" i="1"/>
  <c r="L308" i="1"/>
  <c r="L309" i="1"/>
  <c r="L314" i="1"/>
  <c r="L312" i="1"/>
  <c r="L313" i="1"/>
  <c r="L96" i="1"/>
  <c r="L260" i="1"/>
  <c r="L176" i="1"/>
  <c r="L37" i="1"/>
  <c r="L27" i="1"/>
  <c r="L167" i="1"/>
  <c r="L42" i="1"/>
  <c r="L38" i="1"/>
  <c r="L22" i="1"/>
  <c r="L207" i="1"/>
  <c r="L174" i="1"/>
  <c r="L102" i="1"/>
  <c r="L179" i="1"/>
  <c r="L2" i="1"/>
  <c r="L115" i="1"/>
  <c r="L118" i="1"/>
  <c r="L177" i="1"/>
  <c r="L239" i="1"/>
  <c r="L264" i="1"/>
  <c r="L235" i="1"/>
  <c r="L229" i="1"/>
  <c r="L56" i="1"/>
  <c r="L71" i="1"/>
  <c r="L141" i="1"/>
  <c r="L143" i="1"/>
  <c r="L168" i="1"/>
  <c r="L105" i="1"/>
  <c r="L203" i="1"/>
  <c r="L151" i="1"/>
  <c r="L211" i="1"/>
  <c r="L213" i="1"/>
  <c r="L165" i="1"/>
  <c r="L236" i="1"/>
  <c r="L204" i="1"/>
  <c r="L88" i="1"/>
  <c r="L55" i="1"/>
  <c r="L244" i="1"/>
  <c r="L68" i="1"/>
  <c r="L172" i="1"/>
  <c r="L220" i="1"/>
  <c r="L249" i="1"/>
  <c r="L112" i="1"/>
  <c r="L171" i="1"/>
  <c r="L99" i="1"/>
  <c r="L257" i="1"/>
  <c r="L104" i="1"/>
  <c r="L267" i="1"/>
  <c r="L273" i="1"/>
  <c r="L254" i="1"/>
  <c r="L107" i="1"/>
  <c r="L48" i="1"/>
  <c r="L43" i="1"/>
  <c r="L222" i="1"/>
  <c r="L23" i="1"/>
  <c r="L200" i="1"/>
  <c r="L214" i="1"/>
  <c r="L198" i="1"/>
  <c r="L191" i="1"/>
  <c r="L263" i="1"/>
  <c r="L292" i="1"/>
  <c r="L149" i="1"/>
  <c r="L237" i="1"/>
  <c r="L274" i="1"/>
  <c r="L178" i="1"/>
  <c r="L159" i="1"/>
  <c r="L216" i="1"/>
  <c r="L201" i="1"/>
  <c r="L268" i="1"/>
  <c r="L285" i="1"/>
  <c r="L97" i="1"/>
  <c r="L182" i="1"/>
  <c r="L75" i="1"/>
  <c r="L100" i="1"/>
  <c r="L170" i="1"/>
  <c r="L51" i="1"/>
  <c r="L270" i="1"/>
  <c r="L72" i="1"/>
  <c r="L65" i="1"/>
  <c r="L221" i="1"/>
  <c r="L259" i="1"/>
  <c r="L215" i="1"/>
  <c r="L136" i="1"/>
  <c r="L131" i="1"/>
  <c r="L217" i="1"/>
  <c r="L21" i="1"/>
  <c r="L290" i="1"/>
  <c r="L108" i="1"/>
  <c r="L224" i="1"/>
  <c r="L245" i="1"/>
  <c r="L252" i="1"/>
  <c r="L20" i="1"/>
  <c r="L31" i="1"/>
  <c r="L123" i="1"/>
  <c r="L225" i="1"/>
  <c r="L74" i="1"/>
  <c r="L36" i="1"/>
  <c r="L278" i="1"/>
  <c r="L206" i="1"/>
  <c r="L144" i="1"/>
  <c r="L212" i="1"/>
  <c r="L265" i="1"/>
  <c r="L286" i="1"/>
  <c r="L240" i="1"/>
  <c r="L109" i="1"/>
  <c r="L243" i="1"/>
  <c r="L248" i="1"/>
  <c r="L227" i="1"/>
  <c r="L49" i="1"/>
  <c r="L50" i="1"/>
  <c r="L253" i="1"/>
  <c r="L41" i="1"/>
  <c r="L205" i="1"/>
  <c r="L148" i="1"/>
  <c r="L284" i="1"/>
  <c r="L140" i="1"/>
  <c r="L156" i="1"/>
  <c r="L138" i="1"/>
  <c r="L283" i="1"/>
  <c r="L62" i="1"/>
  <c r="L147" i="1"/>
  <c r="L129" i="1"/>
  <c r="L127" i="1"/>
  <c r="L154" i="1"/>
  <c r="L280" i="1"/>
  <c r="L275" i="1"/>
  <c r="L155" i="1"/>
  <c r="L67" i="1"/>
  <c r="L160" i="1"/>
  <c r="L238" i="1"/>
  <c r="L173" i="1"/>
  <c r="L89" i="1"/>
  <c r="L69" i="1"/>
  <c r="L34" i="1"/>
  <c r="L256" i="1"/>
  <c r="L66" i="1"/>
  <c r="L29" i="1"/>
  <c r="L77" i="1"/>
  <c r="L142" i="1"/>
  <c r="L266" i="1"/>
  <c r="L271" i="1"/>
  <c r="L152" i="1"/>
  <c r="L255" i="1"/>
  <c r="L258" i="1"/>
  <c r="L291" i="1"/>
  <c r="L76" i="1"/>
  <c r="L119" i="1"/>
  <c r="L134" i="1"/>
  <c r="L47" i="1"/>
  <c r="L130" i="1"/>
  <c r="L28" i="1"/>
  <c r="L113" i="1"/>
  <c r="L135" i="1"/>
  <c r="L139" i="1"/>
  <c r="L279" i="1"/>
  <c r="L94" i="1"/>
  <c r="L277" i="1"/>
  <c r="L261" i="1"/>
  <c r="L146" i="1"/>
  <c r="L289" i="1"/>
  <c r="L269" i="1"/>
  <c r="L202" i="1"/>
  <c r="L85" i="1"/>
  <c r="L45" i="1"/>
  <c r="L230" i="1"/>
  <c r="L232" i="1"/>
  <c r="L163" i="1"/>
  <c r="L120" i="1"/>
  <c r="L158" i="1"/>
  <c r="L87" i="1"/>
  <c r="L126" i="1"/>
  <c r="L228" i="1"/>
  <c r="L161" i="1"/>
  <c r="L73" i="1"/>
  <c r="L90" i="1"/>
  <c r="L241" i="1"/>
  <c r="L157" i="1"/>
  <c r="L98" i="1"/>
  <c r="L54" i="1"/>
  <c r="L44" i="1"/>
  <c r="L133" i="1"/>
  <c r="L91" i="1"/>
  <c r="L288" i="1"/>
  <c r="L125" i="1"/>
  <c r="L208" i="1"/>
  <c r="L121" i="1"/>
  <c r="L117" i="1"/>
  <c r="L122" i="1"/>
  <c r="L124" i="1"/>
  <c r="L114" i="1"/>
  <c r="L137" i="1"/>
  <c r="L166" i="1"/>
  <c r="L64" i="1"/>
  <c r="L276" i="1"/>
  <c r="L70" i="1"/>
  <c r="L86" i="1"/>
  <c r="L92" i="1"/>
  <c r="L39" i="1"/>
  <c r="L24" i="1"/>
  <c r="L164" i="1"/>
  <c r="L210" i="1"/>
  <c r="L93" i="1"/>
  <c r="L95" i="1"/>
  <c r="L247" i="1"/>
  <c r="L101" i="1"/>
  <c r="L30" i="1"/>
  <c r="L223" i="1"/>
  <c r="L53" i="1"/>
  <c r="L57" i="1"/>
  <c r="L35" i="1"/>
  <c r="L116" i="1"/>
  <c r="L78" i="1"/>
  <c r="L186" i="1"/>
  <c r="L162" i="1"/>
  <c r="L272" i="1"/>
  <c r="L103" i="1"/>
  <c r="L150" i="1"/>
  <c r="L106" i="1"/>
  <c r="L199" i="1"/>
  <c r="L145" i="1"/>
  <c r="L246" i="1"/>
  <c r="L287" i="1"/>
</calcChain>
</file>

<file path=xl/sharedStrings.xml><?xml version="1.0" encoding="utf-8"?>
<sst xmlns="http://schemas.openxmlformats.org/spreadsheetml/2006/main" count="1086" uniqueCount="461">
  <si>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</si>
  <si>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</si>
  <si>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</si>
  <si>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</si>
  <si>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</si>
  <si>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</si>
  <si>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</si>
  <si>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</si>
  <si>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</si>
  <si>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</si>
  <si>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</si>
  <si>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</si>
  <si>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</si>
  <si>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</si>
  <si>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</si>
  <si>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</si>
  <si>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</si>
  <si>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</si>
  <si>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</si>
  <si>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</si>
  <si>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</si>
  <si>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</si>
  <si>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</si>
  <si>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</si>
  <si>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</si>
  <si>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</si>
  <si>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</si>
  <si>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</si>
  <si>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</si>
  <si>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</si>
  <si>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</si>
  <si>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</si>
  <si>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</si>
  <si>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</si>
  <si>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</si>
  <si>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</si>
  <si>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</si>
  <si>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</si>
  <si>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</si>
  <si>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</si>
  <si>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</si>
  <si>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</si>
  <si>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</si>
  <si>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</si>
  <si>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</si>
  <si>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</si>
  <si>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</si>
  <si>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</si>
  <si>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</si>
  <si>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</si>
  <si>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</si>
  <si>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</si>
  <si>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</si>
  <si>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</si>
  <si>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</si>
  <si>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</si>
  <si>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</si>
  <si>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</si>
  <si>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</si>
  <si>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</si>
  <si>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</si>
  <si>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</si>
  <si>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</si>
  <si>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</si>
  <si>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</si>
  <si>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</si>
  <si>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</si>
  <si>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</si>
  <si>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</si>
  <si>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</si>
  <si>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</si>
  <si>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</si>
  <si>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</si>
  <si>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</si>
  <si>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</si>
  <si>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</si>
  <si>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</si>
  <si>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</si>
  <si>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</si>
  <si>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</si>
  <si>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</si>
  <si>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</si>
  <si>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</si>
  <si>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</si>
  <si>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</si>
  <si>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</si>
  <si>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</si>
  <si>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</si>
  <si>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</si>
  <si>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</si>
  <si>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</si>
  <si>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</si>
  <si>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</si>
  <si>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</si>
  <si>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</si>
  <si>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스테이지 클리어 패키지 1</t>
    <phoneticPr fontId="1" type="noConversion"/>
  </si>
  <si>
    <t>스테이지 클리어 패키지 4</t>
  </si>
  <si>
    <t>스테이지 클리어 패키지 5</t>
  </si>
  <si>
    <t>스테이지 클리어 패키지 6</t>
  </si>
  <si>
    <t>스테이지 클리어 패키지 7</t>
  </si>
  <si>
    <t>스테이지 클리어 패키지 8</t>
  </si>
  <si>
    <t>스테이지 클리어 패키지 9</t>
  </si>
  <si>
    <t>스테이지 클리어 패키지 10</t>
  </si>
  <si>
    <t>스테이지 클리어 패키지 11</t>
  </si>
  <si>
    <t>스테이지 클리어 패키지 12</t>
  </si>
  <si>
    <t>스테이지 클리어 패키지 13</t>
  </si>
  <si>
    <t>스테이지 클리어 패키지 14</t>
  </si>
  <si>
    <t>스테이지 클리어 패키지 15</t>
  </si>
  <si>
    <t>스테이지 클리어 패키지 16</t>
  </si>
  <si>
    <t>스테이지 클리어 패키지 17</t>
  </si>
  <si>
    <t>스테이지 클리어 패키지 18</t>
  </si>
  <si>
    <t>스테이지 클리어 패키지 19</t>
  </si>
  <si>
    <t>해금 조건</t>
    <phoneticPr fontId="1" type="noConversion"/>
  </si>
  <si>
    <t>50 Stage</t>
    <phoneticPr fontId="1" type="noConversion"/>
  </si>
  <si>
    <t>150 Stage</t>
  </si>
  <si>
    <t>200 Stage</t>
  </si>
  <si>
    <t>250 Stage</t>
  </si>
  <si>
    <t>300 Stage</t>
  </si>
  <si>
    <t>350 Stage</t>
  </si>
  <si>
    <t>400 Stage</t>
  </si>
  <si>
    <t>450 Stage</t>
  </si>
  <si>
    <t>550 Stage</t>
  </si>
  <si>
    <t>600 Stage</t>
  </si>
  <si>
    <t>650 Stage</t>
  </si>
  <si>
    <t>700 Stage</t>
  </si>
  <si>
    <t>750 Stage</t>
  </si>
  <si>
    <t>800 Stage</t>
  </si>
  <si>
    <t>850 Stage</t>
  </si>
  <si>
    <t>900 Stage</t>
  </si>
  <si>
    <t>950 Stage</t>
  </si>
  <si>
    <t>1000 Stage</t>
  </si>
  <si>
    <t>100 Stage</t>
    <phoneticPr fontId="1" type="noConversion"/>
  </si>
  <si>
    <t>500 Stage</t>
    <phoneticPr fontId="1" type="noConversion"/>
  </si>
  <si>
    <t>무기 소환 레벨 달성 패키지 1</t>
    <phoneticPr fontId="1" type="noConversion"/>
  </si>
  <si>
    <t>무기 소환 레벨 달성 패키지 2</t>
  </si>
  <si>
    <t>무기 소환 레벨 달성 패키지 3</t>
  </si>
  <si>
    <t>무기 소환 레벨 달성 패키지 4</t>
  </si>
  <si>
    <t>무기 소환 레벨 달성 패키지 5</t>
  </si>
  <si>
    <t>무기 소환 레벨 달성 패키지 6</t>
  </si>
  <si>
    <t>고려 영웅 소환 레벨 달성 패키지 1</t>
    <phoneticPr fontId="1" type="noConversion"/>
  </si>
  <si>
    <t>고려 영웅 소환 레벨 달성 패키지 2</t>
  </si>
  <si>
    <t>고려 영웅 소환 레벨 달성 패키지 3</t>
  </si>
  <si>
    <t>고려 영웅 소환 레벨 달성 패키지 4</t>
  </si>
  <si>
    <t>고려 영웅 소환 레벨 달성 패키지 5</t>
  </si>
  <si>
    <t>고려 영웅 소환 레벨 달성 패키지 6</t>
  </si>
  <si>
    <t>고려 영웅 소환 레벨 달성 패키지 7</t>
  </si>
  <si>
    <t>조선 영웅 소환 레벨 달성 패키지 1</t>
    <phoneticPr fontId="1" type="noConversion"/>
  </si>
  <si>
    <t>조선 영웅 소환 레벨 달성 패키지 2</t>
  </si>
  <si>
    <t>조선 영웅 소환 레벨 달성 패키지 3</t>
  </si>
  <si>
    <t>조선 영웅 소환 레벨 달성 패키지 4</t>
  </si>
  <si>
    <t>조선 영웅 소환 레벨 달성 패키지 5</t>
  </si>
  <si>
    <t>조선 영웅 소환 레벨 달성 패키지 6</t>
  </si>
  <si>
    <t>조선 영웅 소환 레벨 달성 패키지 7</t>
  </si>
  <si>
    <t>가속 소환 횟수 달성 패키지 1</t>
    <phoneticPr fontId="1" type="noConversion"/>
  </si>
  <si>
    <t>가속 소환 횟수 달성 패키지 2</t>
  </si>
  <si>
    <t>가속 소환 횟수 달성 패키지 3</t>
  </si>
  <si>
    <t>가속 소환 횟수 달성 패키지 4</t>
  </si>
  <si>
    <t>가속 소환 횟수 달성 패키지 5</t>
  </si>
  <si>
    <t>가속 소환 횟수 달성 패키지 6</t>
  </si>
  <si>
    <t>가속 소환 횟수 달성 패키지 7</t>
  </si>
  <si>
    <t>가속 소환 횟수 달성 패키지 8</t>
  </si>
  <si>
    <t>가속 소환 횟수 달성 패키지 9</t>
  </si>
  <si>
    <t>가속 소환 횟수 달성 패키지 10</t>
  </si>
  <si>
    <t>10000회</t>
    <phoneticPr fontId="1" type="noConversion"/>
  </si>
  <si>
    <t>20000회</t>
    <phoneticPr fontId="1" type="noConversion"/>
  </si>
  <si>
    <t>30000회</t>
  </si>
  <si>
    <t>40000회</t>
  </si>
  <si>
    <t>50000회</t>
  </si>
  <si>
    <t>60000회</t>
  </si>
  <si>
    <t>70000회</t>
  </si>
  <si>
    <t>80000회</t>
  </si>
  <si>
    <t>90000회</t>
  </si>
  <si>
    <t>100000회</t>
  </si>
  <si>
    <t>성균관 연구 달성 패키지 1</t>
    <phoneticPr fontId="1" type="noConversion"/>
  </si>
  <si>
    <t>성균관 연구 달성 패키지 2</t>
  </si>
  <si>
    <t>성균관 연구 달성 패키지 3</t>
  </si>
  <si>
    <t>성균관 연구 달성 패키지 4</t>
  </si>
  <si>
    <t>성균관 연구 달성 패키지 5</t>
  </si>
  <si>
    <t>성균관 연구 달성 패키지 6</t>
  </si>
  <si>
    <t>성균관 연구 달성 패키지 7</t>
  </si>
  <si>
    <t>성균관 연구 달성 패키지 8</t>
  </si>
  <si>
    <t>성균관 연구 달성 패키지 9</t>
  </si>
  <si>
    <t>성균관 연구 달성 패키지 10</t>
  </si>
  <si>
    <t>고대1</t>
    <phoneticPr fontId="1" type="noConversion"/>
  </si>
  <si>
    <t>고대2</t>
    <phoneticPr fontId="1" type="noConversion"/>
  </si>
  <si>
    <t>고대3</t>
    <phoneticPr fontId="1" type="noConversion"/>
  </si>
  <si>
    <t>중세1</t>
    <phoneticPr fontId="1" type="noConversion"/>
  </si>
  <si>
    <t>중세2</t>
    <phoneticPr fontId="1" type="noConversion"/>
  </si>
  <si>
    <t>중세3</t>
    <phoneticPr fontId="1" type="noConversion"/>
  </si>
  <si>
    <t>근세1</t>
    <phoneticPr fontId="1" type="noConversion"/>
  </si>
  <si>
    <t>근세2</t>
    <phoneticPr fontId="1" type="noConversion"/>
  </si>
  <si>
    <t>근세3</t>
    <phoneticPr fontId="1" type="noConversion"/>
  </si>
  <si>
    <t>성균관 연구 달성 패키지 11</t>
  </si>
  <si>
    <t>성균관 연구 달성 패키지 12</t>
  </si>
  <si>
    <t>성균관 연구 달성 패키지 13</t>
  </si>
  <si>
    <t>성균관 연구 달성 패키지 14</t>
  </si>
  <si>
    <t>성균관 연구 달성 패키지 15</t>
  </si>
  <si>
    <t>성균관 연구 달성 패키지 16</t>
  </si>
  <si>
    <t>성균관 연구 달성 패키지 17</t>
  </si>
  <si>
    <t>성균관 연구 달성 패키지 18</t>
  </si>
  <si>
    <t>스테이지 돌발</t>
    <phoneticPr fontId="1" type="noConversion"/>
  </si>
  <si>
    <t>장비 돌발</t>
    <phoneticPr fontId="1" type="noConversion"/>
  </si>
  <si>
    <t>연구 돌발</t>
    <phoneticPr fontId="1" type="noConversion"/>
  </si>
  <si>
    <t>성장 돌발</t>
    <phoneticPr fontId="1" type="noConversion"/>
  </si>
  <si>
    <t>육성 달성 패키지 1</t>
    <phoneticPr fontId="1" type="noConversion"/>
  </si>
  <si>
    <t>육성 달성 패키지 2</t>
  </si>
  <si>
    <t>육성 달성 패키지 3</t>
  </si>
  <si>
    <t>육성 달성 패키지 4</t>
  </si>
  <si>
    <t>육성 달성 패키지 5</t>
  </si>
  <si>
    <t>육성 달성 패키지 6</t>
  </si>
  <si>
    <t>육성 달성 패키지 7</t>
  </si>
  <si>
    <t>육성 달성 패키지 8</t>
  </si>
  <si>
    <t>육성 달성 패키지 9</t>
  </si>
  <si>
    <t>육성 달성 패키지 10</t>
  </si>
  <si>
    <t>승급 달성 패키지 1</t>
    <phoneticPr fontId="1" type="noConversion"/>
  </si>
  <si>
    <t>승급 달성 패키지 2</t>
  </si>
  <si>
    <t>승급 달성 패키지 3</t>
  </si>
  <si>
    <t>승급 달성 패키지 4</t>
  </si>
  <si>
    <t>승급 달성 패키지 5</t>
  </si>
  <si>
    <t>승급 달성 패키지 6</t>
  </si>
  <si>
    <t>승급 달성 패키지 7</t>
  </si>
  <si>
    <t>승급 달성 패키지 8</t>
  </si>
  <si>
    <t>승급 달성 패키지 9</t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</si>
  <si>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</si>
  <si>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</si>
  <si>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</si>
  <si>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</si>
  <si>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</si>
  <si>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</si>
  <si>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</si>
  <si>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</si>
  <si>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</si>
  <si>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>영웅&amp;유물 돌발</t>
    <phoneticPr fontId="1" type="noConversion"/>
  </si>
  <si>
    <t>4 레벨</t>
  </si>
  <si>
    <t>5 레벨</t>
  </si>
  <si>
    <t>6 레벨</t>
  </si>
  <si>
    <t>7 레벨</t>
  </si>
  <si>
    <t>8 레벨</t>
  </si>
  <si>
    <t>9 레벨</t>
  </si>
  <si>
    <t>10 레벨</t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</si>
  <si>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</si>
  <si>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</si>
  <si>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</si>
  <si>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</si>
  <si>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</si>
  <si>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</si>
  <si>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</si>
  <si>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</si>
  <si>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</si>
  <si>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</si>
  <si>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</si>
  <si>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</si>
  <si>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</si>
  <si>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</si>
  <si>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</si>
  <si>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</si>
  <si>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</si>
  <si>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</si>
  <si>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</si>
  <si>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</si>
  <si>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</si>
  <si>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</si>
  <si>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</si>
  <si>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</si>
  <si>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</si>
  <si>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</si>
  <si>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</si>
  <si>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</si>
  <si>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</si>
  <si>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</si>
  <si>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</si>
  <si>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</si>
  <si>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</si>
  <si>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</si>
  <si>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</si>
  <si>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</si>
  <si>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</si>
  <si>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</si>
  <si>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</si>
  <si>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</si>
  <si>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</si>
  <si>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</si>
  <si>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</si>
  <si>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</si>
  <si>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</si>
  <si>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</si>
  <si>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</si>
  <si>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</si>
  <si>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</si>
  <si>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</si>
  <si>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</si>
  <si>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</si>
  <si>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</si>
  <si>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</si>
  <si>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</si>
  <si>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</si>
  <si>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</si>
  <si>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</si>
  <si>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</si>
  <si>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</si>
  <si>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</si>
  <si>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</si>
  <si>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</si>
  <si>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</si>
  <si>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</si>
  <si>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</si>
  <si>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</si>
  <si>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</si>
  <si>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</si>
  <si>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</si>
  <si>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</si>
  <si>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</si>
  <si>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</si>
  <si>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</si>
  <si>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</si>
  <si>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</si>
  <si>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</si>
  <si>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</si>
  <si>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</si>
  <si>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</si>
  <si>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</si>
  <si>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</si>
  <si>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</si>
  <si>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</si>
  <si>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</si>
  <si>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</si>
  <si>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</si>
  <si>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</si>
  <si>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</si>
  <si>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</si>
  <si>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</si>
  <si>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</si>
  <si>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</si>
  <si>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</si>
  <si>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</si>
  <si>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</si>
  <si>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</si>
  <si>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</si>
  <si>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</si>
  <si>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</si>
  <si>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</si>
  <si>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</si>
  <si>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</si>
  <si>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</si>
  <si>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장비 소환 패키지Ⅵ</t>
  </si>
  <si>
    <t>장비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</si>
  <si>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</si>
  <si>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</si>
  <si>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</si>
  <si>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</si>
  <si>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고려 소환 패키지Ⅰ [무료]</t>
    <phoneticPr fontId="1" type="noConversion"/>
  </si>
  <si>
    <t>조선 소환 패키지Ⅱ</t>
  </si>
  <si>
    <t>조선 소환 패키지Ⅲ</t>
  </si>
  <si>
    <t>조선 소환 패키지Ⅳ</t>
  </si>
  <si>
    <t>조선 소환 패키지Ⅴ</t>
  </si>
  <si>
    <t>조선 소환 패키지Ⅰ [무료]</t>
    <phoneticPr fontId="1" type="noConversion"/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</si>
  <si>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</si>
  <si>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</si>
  <si>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</si>
  <si>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</si>
  <si>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</si>
  <si>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갑옷 소환 레벨 달성 패키지 1</t>
    <phoneticPr fontId="1" type="noConversion"/>
  </si>
  <si>
    <t>갑옷 소환 레벨 달성 패키지 2</t>
  </si>
  <si>
    <t>갑옷 소환 레벨 달성 패키지 3</t>
  </si>
  <si>
    <t>갑옷 소환 레벨 달성 패키지 4</t>
  </si>
  <si>
    <t>갑옷 소환 레벨 달성 패키지 5</t>
  </si>
  <si>
    <t>갑옷 소환 레벨 달성 패키지 6</t>
  </si>
  <si>
    <t>다이아(즉시 지급) : 15000개
다이아(매일 지급) : 1000개
무기 소환권 : 30장
갑옷 소환권 : 30장
고려 소환권 : 30장</t>
  </si>
  <si>
    <t>2H</t>
  </si>
  <si>
    <t>3H</t>
  </si>
  <si>
    <t>5H</t>
  </si>
  <si>
    <t>12H</t>
  </si>
  <si>
    <t>9H</t>
  </si>
  <si>
    <t>16H</t>
  </si>
  <si>
    <t>1H</t>
    <phoneticPr fontId="1" type="noConversion"/>
  </si>
  <si>
    <t>가속개수</t>
    <phoneticPr fontId="1" type="noConversion"/>
  </si>
  <si>
    <t>1000% 고정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</si>
  <si>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</si>
  <si>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</si>
  <si>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</si>
  <si>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</si>
  <si>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</si>
  <si>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다이아+무기소환권,갑옷소환권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</si>
  <si>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</si>
  <si>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</si>
  <si>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</si>
  <si>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장비 소환 패키지Ⅰ</t>
    <phoneticPr fontId="1" type="noConversion"/>
  </si>
  <si>
    <t>장비 소환 패키지Ⅱ</t>
    <phoneticPr fontId="1" type="noConversion"/>
  </si>
  <si>
    <t>장비 소환 패키지Ⅲ</t>
    <phoneticPr fontId="1" type="noConversion"/>
  </si>
  <si>
    <t>장비 소환 패키지Ⅳ</t>
    <phoneticPr fontId="1" type="noConversion"/>
  </si>
  <si>
    <t>장비 소환 패키지Ⅴ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</si>
  <si>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</si>
  <si>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</si>
  <si>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</si>
  <si>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</si>
  <si>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</si>
  <si>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</si>
  <si>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</si>
  <si>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</si>
  <si>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</si>
  <si>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</si>
  <si>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</si>
  <si>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</si>
  <si>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</si>
  <si>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</si>
  <si>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</si>
  <si>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</si>
  <si>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</si>
  <si>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</si>
  <si>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</si>
  <si>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</si>
  <si>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</si>
  <si>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</si>
  <si>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</si>
  <si>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</si>
  <si>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</si>
  <si>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</si>
  <si>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</si>
  <si>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</si>
  <si>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</si>
  <si>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</si>
  <si>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</si>
  <si>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</si>
  <si>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</si>
  <si>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</si>
  <si>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확인</t>
    <phoneticPr fontId="1" type="noConversion"/>
  </si>
  <si>
    <t>특권</t>
    <phoneticPr fontId="1" type="noConversion"/>
  </si>
  <si>
    <t>다이아+골드 1,790,994,981</t>
    <phoneticPr fontId="1" type="noConversion"/>
  </si>
  <si>
    <t>다이아+골드</t>
    <phoneticPr fontId="1" type="noConversion"/>
  </si>
  <si>
    <t>패기 돌발</t>
    <phoneticPr fontId="1" type="noConversion"/>
  </si>
  <si>
    <t>패기 소환 횟수 달성 패키지 1</t>
    <phoneticPr fontId="1" type="noConversion"/>
  </si>
  <si>
    <t>패기 소환 횟수 달성 패키지 2</t>
  </si>
  <si>
    <t>패기 소환 횟수 달성 패키지 3</t>
  </si>
  <si>
    <t>패기 소환 횟수 달성 패키지 4</t>
  </si>
  <si>
    <t>패기 소환 횟수 달성 패키지 5</t>
  </si>
  <si>
    <t>패기 소환 횟수 달성 패키지 6</t>
  </si>
  <si>
    <t>패기 소환 횟수 달성 패키지 7</t>
  </si>
  <si>
    <t>패기 소환 횟수 달성 패키지 8</t>
  </si>
  <si>
    <t>패기 소환 횟수 달성 패키지 9</t>
  </si>
  <si>
    <t>패기 소환 횟수 달성 패키지 10</t>
  </si>
  <si>
    <t>다이아+패기 소환권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</si>
  <si>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</si>
  <si>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</si>
  <si>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</si>
  <si>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</si>
  <si>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</si>
  <si>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</si>
  <si>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</si>
  <si>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</si>
  <si>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</si>
  <si>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</si>
  <si>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</si>
  <si>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</si>
  <si>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스테이지 클리어 패키지 2</t>
  </si>
  <si>
    <t>스테이지 클리어 패키지 3</t>
  </si>
  <si>
    <t>일간:700%</t>
    <phoneticPr fontId="1" type="noConversion"/>
  </si>
  <si>
    <t>주간:700%</t>
    <phoneticPr fontId="1" type="noConversion"/>
  </si>
  <si>
    <t>한정:850%</t>
    <phoneticPr fontId="1" type="noConversion"/>
  </si>
  <si>
    <t>돌발:850%</t>
    <phoneticPr fontId="1" type="noConversion"/>
  </si>
  <si>
    <t>계정 한정</t>
    <phoneticPr fontId="1" type="noConversion"/>
  </si>
  <si>
    <t>기간 패키지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</si>
</sst>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62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0" fontId="7" fillId="0" borderId="1" xfId="0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0" fillId="8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1" fontId="10" fillId="0" borderId="1" xfId="3" applyFont="1" applyBorder="1" applyAlignment="1">
      <alignment horizontal="right" vertical="center"/>
    </xf>
    <xf numFmtId="0" fontId="10" fillId="0" borderId="1" xfId="0" applyFont="1" applyBorder="1">
      <alignment vertical="center"/>
    </xf>
    <xf numFmtId="0" fontId="14" fillId="0" borderId="1" xfId="0" applyFont="1" applyBorder="1">
      <alignment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6" borderId="1" xfId="3" applyFont="1" applyFill="1" applyBorder="1" applyAlignment="1">
      <alignment horizontal="right" vertical="center"/>
    </xf>
    <xf numFmtId="42" fontId="3" fillId="6" borderId="1" xfId="0" applyNumberFormat="1" applyFont="1" applyFill="1" applyBorder="1">
      <alignment vertical="center"/>
    </xf>
    <xf numFmtId="176" fontId="3" fillId="6" borderId="1" xfId="0" applyNumberFormat="1" applyFont="1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41" fontId="3" fillId="10" borderId="1" xfId="3" applyFont="1" applyFill="1" applyBorder="1" applyAlignment="1">
      <alignment horizontal="right" vertical="center"/>
    </xf>
    <xf numFmtId="42" fontId="3" fillId="10" borderId="1" xfId="0" applyNumberFormat="1" applyFont="1" applyFill="1" applyBorder="1">
      <alignment vertical="center"/>
    </xf>
    <xf numFmtId="176" fontId="3" fillId="10" borderId="1" xfId="0" applyNumberFormat="1" applyFont="1" applyFill="1" applyBorder="1">
      <alignment vertical="center"/>
    </xf>
    <xf numFmtId="41" fontId="3" fillId="11" borderId="1" xfId="3" applyFont="1" applyFill="1" applyBorder="1" applyAlignment="1">
      <alignment horizontal="right" vertical="center"/>
    </xf>
    <xf numFmtId="42" fontId="3" fillId="11" borderId="1" xfId="0" applyNumberFormat="1" applyFont="1" applyFill="1" applyBorder="1">
      <alignment vertical="center"/>
    </xf>
    <xf numFmtId="176" fontId="3" fillId="11" borderId="1" xfId="0" applyNumberFormat="1" applyFont="1" applyFill="1" applyBorder="1">
      <alignment vertical="center"/>
    </xf>
    <xf numFmtId="41" fontId="3" fillId="12" borderId="1" xfId="3" applyFont="1" applyFill="1" applyBorder="1" applyAlignment="1">
      <alignment horizontal="right" vertical="center"/>
    </xf>
    <xf numFmtId="42" fontId="3" fillId="12" borderId="1" xfId="0" applyNumberFormat="1" applyFont="1" applyFill="1" applyBorder="1">
      <alignment vertical="center"/>
    </xf>
    <xf numFmtId="176" fontId="3" fillId="12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42" fontId="13" fillId="0" borderId="1" xfId="0" applyNumberFormat="1" applyFont="1" applyBorder="1">
      <alignment vertical="center"/>
    </xf>
    <xf numFmtId="41" fontId="13" fillId="0" borderId="1" xfId="3" applyFont="1" applyBorder="1" applyAlignment="1">
      <alignment horizontal="right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5" borderId="1" xfId="0" applyFill="1" applyBorder="1">
      <alignment vertical="center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6" borderId="1" xfId="0" applyFill="1" applyBorder="1">
      <alignment vertical="center"/>
    </xf>
    <xf numFmtId="41" fontId="0" fillId="16" borderId="1" xfId="3" applyFont="1" applyFill="1" applyBorder="1" applyAlignment="1">
      <alignment horizontal="right" vertical="center"/>
    </xf>
    <xf numFmtId="0" fontId="0" fillId="16" borderId="1" xfId="0" applyFill="1" applyBorder="1" applyAlignment="1">
      <alignment horizontal="lef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2" fontId="10" fillId="0" borderId="1" xfId="0" applyNumberFormat="1" applyFont="1" applyBorder="1">
      <alignment vertical="center"/>
    </xf>
    <xf numFmtId="0" fontId="0" fillId="17" borderId="1" xfId="0" applyFill="1" applyBorder="1">
      <alignment vertical="center"/>
    </xf>
    <xf numFmtId="0" fontId="0" fillId="17" borderId="1" xfId="0" applyFill="1" applyBorder="1" applyAlignment="1">
      <alignment horizontal="lef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0" fontId="0" fillId="16" borderId="1" xfId="0" applyFill="1" applyBorder="1" applyAlignment="1">
      <alignment horizontal="center" vertical="center"/>
    </xf>
    <xf numFmtId="178" fontId="0" fillId="16" borderId="1" xfId="3" applyNumberFormat="1" applyFont="1" applyFill="1" applyBorder="1" applyAlignment="1">
      <alignment horizontal="left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6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179" fontId="3" fillId="6" borderId="1" xfId="0" applyNumberFormat="1" applyFont="1" applyFill="1" applyBorder="1">
      <alignment vertical="center"/>
    </xf>
    <xf numFmtId="179" fontId="3" fillId="10" borderId="1" xfId="0" applyNumberFormat="1" applyFont="1" applyFill="1" applyBorder="1">
      <alignment vertical="center"/>
    </xf>
    <xf numFmtId="179" fontId="3" fillId="11" borderId="1" xfId="0" applyNumberFormat="1" applyFont="1" applyFill="1" applyBorder="1">
      <alignment vertical="center"/>
    </xf>
    <xf numFmtId="179" fontId="3" fillId="12" borderId="1" xfId="0" applyNumberFormat="1" applyFont="1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2" borderId="1" xfId="3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 wrapText="1"/>
    </xf>
    <xf numFmtId="0" fontId="7" fillId="0" borderId="1" xfId="3" applyNumberFormat="1" applyFont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7" borderId="1" xfId="0" applyFill="1" applyBorder="1" applyAlignment="1">
      <alignment horizontal="right" vertical="center"/>
    </xf>
    <xf numFmtId="0" fontId="0" fillId="17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right" vertical="center"/>
    </xf>
    <xf numFmtId="0" fontId="14" fillId="0" borderId="1" xfId="0" applyFont="1" applyBorder="1" applyAlignment="1">
      <alignment horizontal="right" vertical="center"/>
    </xf>
    <xf numFmtId="0" fontId="13" fillId="0" borderId="1" xfId="3" applyNumberFormat="1" applyFont="1" applyBorder="1" applyAlignment="1">
      <alignment horizontal="right" vertical="center"/>
    </xf>
    <xf numFmtId="0" fontId="14" fillId="0" borderId="1" xfId="3" applyNumberFormat="1" applyFont="1" applyBorder="1" applyAlignment="1">
      <alignment horizontal="right" vertical="center"/>
    </xf>
    <xf numFmtId="41" fontId="0" fillId="2" borderId="1" xfId="3" applyFont="1" applyFill="1" applyBorder="1" applyAlignment="1">
      <alignment horizontal="right" vertical="center"/>
    </xf>
    <xf numFmtId="0" fontId="3" fillId="0" borderId="1" xfId="3" applyNumberFormat="1" applyFont="1" applyBorder="1" applyAlignment="1">
      <alignment horizontal="right" vertical="center"/>
    </xf>
    <xf numFmtId="0" fontId="0" fillId="13" borderId="1" xfId="0" applyFill="1" applyBorder="1" applyAlignment="1">
      <alignment horizontal="right" vertical="center"/>
    </xf>
    <xf numFmtId="0" fontId="0" fillId="13" borderId="1" xfId="3" applyNumberFormat="1" applyFont="1" applyFill="1" applyBorder="1" applyAlignment="1">
      <alignment horizontal="right" vertical="center"/>
    </xf>
    <xf numFmtId="0" fontId="3" fillId="9" borderId="1" xfId="3" applyNumberFormat="1" applyFont="1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8" borderId="1" xfId="0" applyFill="1" applyBorder="1" applyAlignment="1">
      <alignment horizontal="left" vertical="center"/>
    </xf>
    <xf numFmtId="0" fontId="0" fillId="18" borderId="1" xfId="0" applyFill="1" applyBorder="1">
      <alignment vertical="center"/>
    </xf>
    <xf numFmtId="0" fontId="0" fillId="18" borderId="1" xfId="3" applyNumberFormat="1" applyFont="1" applyFill="1" applyBorder="1" applyAlignment="1">
      <alignment horizontal="right" vertical="center"/>
    </xf>
    <xf numFmtId="41" fontId="0" fillId="18" borderId="1" xfId="3" applyFont="1" applyFill="1" applyBorder="1" applyAlignment="1">
      <alignment horizontal="right" vertical="center"/>
    </xf>
    <xf numFmtId="42" fontId="0" fillId="18" borderId="1" xfId="0" applyNumberFormat="1" applyFill="1" applyBorder="1">
      <alignment vertical="center"/>
    </xf>
    <xf numFmtId="179" fontId="0" fillId="18" borderId="1" xfId="0" applyNumberFormat="1" applyFill="1" applyBorder="1">
      <alignment vertical="center"/>
    </xf>
    <xf numFmtId="176" fontId="0" fillId="18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19" borderId="1" xfId="0" applyFill="1" applyBorder="1">
      <alignment vertical="center"/>
    </xf>
    <xf numFmtId="0" fontId="0" fillId="19" borderId="1" xfId="0" applyFill="1" applyBorder="1" applyAlignment="1">
      <alignment horizontal="left" vertical="center"/>
    </xf>
    <xf numFmtId="42" fontId="0" fillId="19" borderId="1" xfId="0" applyNumberFormat="1" applyFill="1" applyBorder="1">
      <alignment vertical="center"/>
    </xf>
    <xf numFmtId="179" fontId="0" fillId="19" borderId="1" xfId="0" applyNumberFormat="1" applyFill="1" applyBorder="1">
      <alignment vertical="center"/>
    </xf>
    <xf numFmtId="41" fontId="0" fillId="19" borderId="1" xfId="3" applyFont="1" applyFill="1" applyBorder="1" applyAlignment="1">
      <alignment horizontal="right" vertical="center"/>
    </xf>
    <xf numFmtId="176" fontId="0" fillId="19" borderId="1" xfId="0" applyNumberFormat="1" applyFill="1" applyBorder="1">
      <alignment vertical="center"/>
    </xf>
    <xf numFmtId="178" fontId="0" fillId="19" borderId="1" xfId="3" applyNumberFormat="1" applyFont="1" applyFill="1" applyBorder="1" applyAlignment="1">
      <alignment horizontal="left" vertical="center"/>
    </xf>
    <xf numFmtId="0" fontId="0" fillId="19" borderId="1" xfId="3" applyNumberFormat="1" applyFont="1" applyFill="1" applyBorder="1" applyAlignment="1">
      <alignment horizontal="right" vertical="center"/>
    </xf>
    <xf numFmtId="42" fontId="3" fillId="0" borderId="1" xfId="0" applyNumberFormat="1" applyFont="1" applyBorder="1">
      <alignment vertical="center"/>
    </xf>
    <xf numFmtId="179" fontId="3" fillId="0" borderId="1" xfId="0" applyNumberFormat="1" applyFont="1" applyBorder="1">
      <alignment vertical="center"/>
    </xf>
    <xf numFmtId="9" fontId="0" fillId="0" borderId="1" xfId="0" applyNumberFormat="1" applyBorder="1">
      <alignment vertical="center"/>
    </xf>
    <xf numFmtId="0" fontId="0" fillId="2" borderId="1" xfId="3" applyNumberFormat="1" applyFont="1" applyFill="1" applyBorder="1" applyAlignment="1">
      <alignment horizontal="center" vertical="center"/>
    </xf>
    <xf numFmtId="41" fontId="3" fillId="0" borderId="1" xfId="3" applyFont="1" applyFill="1" applyBorder="1" applyAlignment="1">
      <alignment horizontal="right" vertical="center"/>
    </xf>
    <xf numFmtId="176" fontId="3" fillId="0" borderId="1" xfId="0" applyNumberFormat="1" applyFon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20" borderId="1" xfId="0" applyFill="1" applyBorder="1" applyAlignment="1">
      <alignment horizontal="right" vertical="center"/>
    </xf>
    <xf numFmtId="0" fontId="0" fillId="21" borderId="1" xfId="0" applyFill="1" applyBorder="1" applyAlignment="1">
      <alignment horizontal="right" vertical="center"/>
    </xf>
    <xf numFmtId="41" fontId="3" fillId="21" borderId="1" xfId="3" applyFont="1" applyFill="1" applyBorder="1" applyAlignment="1">
      <alignment horizontal="right" vertical="center"/>
    </xf>
    <xf numFmtId="42" fontId="0" fillId="21" borderId="1" xfId="0" applyNumberFormat="1" applyFill="1" applyBorder="1">
      <alignment vertical="center"/>
    </xf>
    <xf numFmtId="179" fontId="0" fillId="21" borderId="1" xfId="0" applyNumberFormat="1" applyFill="1" applyBorder="1">
      <alignment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12" fillId="9" borderId="1" xfId="0" applyFont="1" applyFill="1" applyBorder="1" applyAlignment="1">
      <alignment horizontal="center" vertical="center" wrapText="1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41" sqref="A41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Q317"/>
  <sheetViews>
    <sheetView tabSelected="1" zoomScaleNormal="100" workbookViewId="0">
      <pane ySplit="1" topLeftCell="A294" activePane="bottomLeft" state="frozen"/>
      <selection pane="bottomLeft" activeCell="F316" sqref="F316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101" bestFit="1" customWidth="1"/>
    <col min="6" max="6" width="13.125" style="102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44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50" customFormat="1">
      <c r="A1" s="97" t="s">
        <v>55</v>
      </c>
      <c r="B1" s="97" t="s">
        <v>42</v>
      </c>
      <c r="C1" s="97" t="s">
        <v>112</v>
      </c>
      <c r="D1" s="97" t="s">
        <v>43</v>
      </c>
      <c r="E1" s="97" t="s">
        <v>48</v>
      </c>
      <c r="F1" s="149" t="s">
        <v>0</v>
      </c>
      <c r="G1" s="98" t="s">
        <v>44</v>
      </c>
      <c r="H1" s="97" t="s">
        <v>45</v>
      </c>
      <c r="I1" s="97" t="s">
        <v>380</v>
      </c>
      <c r="J1" s="97" t="s">
        <v>59</v>
      </c>
      <c r="K1" s="97" t="s">
        <v>60</v>
      </c>
      <c r="L1" s="97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44">
        <f>K2/K$2</f>
        <v>1</v>
      </c>
    </row>
    <row r="3" spans="1:12">
      <c r="K3" s="6"/>
    </row>
    <row r="4" spans="1:12">
      <c r="A4" s="1" t="s">
        <v>81</v>
      </c>
      <c r="B4" s="72" t="s">
        <v>49</v>
      </c>
      <c r="C4" s="72"/>
      <c r="D4" s="70" t="s">
        <v>48</v>
      </c>
      <c r="E4" s="111">
        <v>5000</v>
      </c>
      <c r="F4" s="111"/>
      <c r="G4" s="71">
        <f>E4</f>
        <v>5000</v>
      </c>
      <c r="H4" s="73">
        <v>3300</v>
      </c>
      <c r="I4" s="90">
        <f>H4/10</f>
        <v>330</v>
      </c>
      <c r="J4" s="74">
        <f>H4/G4</f>
        <v>0.66</v>
      </c>
      <c r="K4" s="74">
        <f>G4/H4</f>
        <v>1.5151515151515151</v>
      </c>
      <c r="L4" s="44">
        <f>K4/K$2</f>
        <v>0.71515151515151509</v>
      </c>
    </row>
    <row r="5" spans="1:12">
      <c r="A5" s="1" t="s">
        <v>81</v>
      </c>
      <c r="B5" s="72" t="s">
        <v>50</v>
      </c>
      <c r="C5" s="72"/>
      <c r="D5" s="70" t="s">
        <v>48</v>
      </c>
      <c r="E5" s="111">
        <v>9000</v>
      </c>
      <c r="F5" s="111"/>
      <c r="G5" s="71">
        <f>E5</f>
        <v>9000</v>
      </c>
      <c r="H5" s="73">
        <v>5500</v>
      </c>
      <c r="I5" s="90">
        <f t="shared" ref="I5:I8" si="0">H5/10</f>
        <v>550</v>
      </c>
      <c r="J5" s="74">
        <f>H5/G5</f>
        <v>0.61111111111111116</v>
      </c>
      <c r="K5" s="74">
        <f>G5/H5</f>
        <v>1.6363636363636365</v>
      </c>
      <c r="L5" s="44">
        <f>K5/K$2</f>
        <v>0.77236363636363636</v>
      </c>
    </row>
    <row r="6" spans="1:12">
      <c r="A6" s="1" t="s">
        <v>81</v>
      </c>
      <c r="B6" s="72" t="s">
        <v>51</v>
      </c>
      <c r="C6" s="72"/>
      <c r="D6" s="70" t="s">
        <v>48</v>
      </c>
      <c r="E6" s="111">
        <v>17000</v>
      </c>
      <c r="F6" s="111"/>
      <c r="G6" s="71">
        <f>E6</f>
        <v>17000</v>
      </c>
      <c r="H6" s="73">
        <v>9900</v>
      </c>
      <c r="I6" s="90">
        <f t="shared" si="0"/>
        <v>990</v>
      </c>
      <c r="J6" s="74">
        <f>H6/G6</f>
        <v>0.58235294117647063</v>
      </c>
      <c r="K6" s="74">
        <f>G6/H6</f>
        <v>1.7171717171717171</v>
      </c>
      <c r="L6" s="44">
        <f>K6/K$2</f>
        <v>0.8105050505050504</v>
      </c>
    </row>
    <row r="7" spans="1:12">
      <c r="A7" s="1" t="s">
        <v>81</v>
      </c>
      <c r="B7" s="72" t="s">
        <v>52</v>
      </c>
      <c r="C7" s="72"/>
      <c r="D7" s="70" t="s">
        <v>48</v>
      </c>
      <c r="E7" s="111">
        <v>170000</v>
      </c>
      <c r="F7" s="111"/>
      <c r="G7" s="71">
        <f>E7</f>
        <v>170000</v>
      </c>
      <c r="H7" s="73">
        <v>33000</v>
      </c>
      <c r="I7" s="90">
        <f t="shared" si="0"/>
        <v>3300</v>
      </c>
      <c r="J7" s="74">
        <f>H7/G7</f>
        <v>0.19411764705882353</v>
      </c>
      <c r="K7" s="74">
        <f>G7/H7</f>
        <v>5.1515151515151514</v>
      </c>
      <c r="L7" s="44">
        <f>K7/K$2</f>
        <v>2.4315151515151512</v>
      </c>
    </row>
    <row r="8" spans="1:12">
      <c r="A8" s="1" t="s">
        <v>81</v>
      </c>
      <c r="B8" s="72" t="s">
        <v>47</v>
      </c>
      <c r="C8" s="72"/>
      <c r="D8" s="70" t="s">
        <v>48</v>
      </c>
      <c r="E8" s="111">
        <v>330000</v>
      </c>
      <c r="F8" s="111"/>
      <c r="G8" s="71">
        <f>E8</f>
        <v>330000</v>
      </c>
      <c r="H8" s="73">
        <v>59000</v>
      </c>
      <c r="I8" s="90">
        <f t="shared" si="0"/>
        <v>5900</v>
      </c>
      <c r="J8" s="74">
        <f>H8/G8</f>
        <v>0.1787878787878788</v>
      </c>
      <c r="K8" s="74">
        <f>G8/H8</f>
        <v>5.593220338983051</v>
      </c>
      <c r="L8" s="44">
        <f>K8/K$2</f>
        <v>2.64</v>
      </c>
    </row>
    <row r="9" spans="1:12">
      <c r="B9" s="11"/>
      <c r="E9" s="137" t="s">
        <v>419</v>
      </c>
      <c r="F9" s="103"/>
      <c r="G9" s="16"/>
      <c r="H9" s="9"/>
      <c r="I9" s="129"/>
      <c r="J9" s="6"/>
      <c r="K9" s="6"/>
    </row>
    <row r="10" spans="1:12">
      <c r="A10" s="1" t="s">
        <v>81</v>
      </c>
      <c r="B10" s="130" t="s">
        <v>418</v>
      </c>
      <c r="C10" s="130"/>
      <c r="D10" s="131" t="s">
        <v>419</v>
      </c>
      <c r="E10" s="132">
        <v>110</v>
      </c>
      <c r="F10" s="132"/>
      <c r="G10" s="133">
        <f t="shared" ref="G10:G14" si="1">E10*100</f>
        <v>11000</v>
      </c>
      <c r="H10" s="134">
        <v>1100</v>
      </c>
      <c r="I10" s="135">
        <f>H10/10</f>
        <v>110</v>
      </c>
      <c r="J10" s="136">
        <f>H10/G10</f>
        <v>0.1</v>
      </c>
      <c r="K10" s="136">
        <f>G10/H10</f>
        <v>10</v>
      </c>
      <c r="L10" s="44">
        <f>K10/K$2</f>
        <v>4.72</v>
      </c>
    </row>
    <row r="11" spans="1:12">
      <c r="A11" s="1" t="s">
        <v>81</v>
      </c>
      <c r="B11" s="130" t="s">
        <v>420</v>
      </c>
      <c r="C11" s="130"/>
      <c r="D11" s="131" t="s">
        <v>419</v>
      </c>
      <c r="E11" s="132">
        <v>660</v>
      </c>
      <c r="F11" s="132"/>
      <c r="G11" s="133">
        <f t="shared" si="1"/>
        <v>66000</v>
      </c>
      <c r="H11" s="134">
        <v>6600</v>
      </c>
      <c r="I11" s="135">
        <f t="shared" ref="I11:I15" si="2">H11/10</f>
        <v>660</v>
      </c>
      <c r="J11" s="136">
        <f t="shared" ref="J11:J15" si="3">H11/G11</f>
        <v>0.1</v>
      </c>
      <c r="K11" s="136">
        <f t="shared" ref="K11:K15" si="4">G11/H11</f>
        <v>10</v>
      </c>
      <c r="L11" s="44">
        <f t="shared" ref="L11:L15" si="5">K11/K$2</f>
        <v>4.72</v>
      </c>
    </row>
    <row r="12" spans="1:12">
      <c r="A12" s="1" t="s">
        <v>81</v>
      </c>
      <c r="B12" s="130" t="s">
        <v>421</v>
      </c>
      <c r="C12" s="130"/>
      <c r="D12" s="131" t="s">
        <v>419</v>
      </c>
      <c r="E12" s="132">
        <v>1100</v>
      </c>
      <c r="F12" s="132"/>
      <c r="G12" s="133">
        <f t="shared" si="1"/>
        <v>110000</v>
      </c>
      <c r="H12" s="134">
        <v>11000</v>
      </c>
      <c r="I12" s="135">
        <f t="shared" si="2"/>
        <v>1100</v>
      </c>
      <c r="J12" s="136">
        <f t="shared" si="3"/>
        <v>0.1</v>
      </c>
      <c r="K12" s="136">
        <f t="shared" si="4"/>
        <v>10</v>
      </c>
      <c r="L12" s="44">
        <f t="shared" si="5"/>
        <v>4.72</v>
      </c>
    </row>
    <row r="13" spans="1:12">
      <c r="A13" s="1" t="s">
        <v>81</v>
      </c>
      <c r="B13" s="130" t="s">
        <v>422</v>
      </c>
      <c r="C13" s="130"/>
      <c r="D13" s="131" t="s">
        <v>419</v>
      </c>
      <c r="E13" s="132">
        <v>3300</v>
      </c>
      <c r="F13" s="132"/>
      <c r="G13" s="133">
        <f t="shared" si="1"/>
        <v>330000</v>
      </c>
      <c r="H13" s="134">
        <v>33000</v>
      </c>
      <c r="I13" s="135">
        <f t="shared" si="2"/>
        <v>3300</v>
      </c>
      <c r="J13" s="136">
        <f t="shared" si="3"/>
        <v>0.1</v>
      </c>
      <c r="K13" s="136">
        <f t="shared" si="4"/>
        <v>10</v>
      </c>
      <c r="L13" s="44">
        <f t="shared" si="5"/>
        <v>4.72</v>
      </c>
    </row>
    <row r="14" spans="1:12">
      <c r="A14" s="1" t="s">
        <v>81</v>
      </c>
      <c r="B14" s="130" t="s">
        <v>423</v>
      </c>
      <c r="C14" s="130"/>
      <c r="D14" s="131" t="s">
        <v>419</v>
      </c>
      <c r="E14" s="132">
        <v>5500</v>
      </c>
      <c r="F14" s="132"/>
      <c r="G14" s="133">
        <f t="shared" si="1"/>
        <v>550000</v>
      </c>
      <c r="H14" s="134">
        <v>55000</v>
      </c>
      <c r="I14" s="135">
        <f t="shared" si="2"/>
        <v>5500</v>
      </c>
      <c r="J14" s="136">
        <f t="shared" si="3"/>
        <v>0.1</v>
      </c>
      <c r="K14" s="136">
        <f t="shared" si="4"/>
        <v>10</v>
      </c>
      <c r="L14" s="44">
        <f t="shared" si="5"/>
        <v>4.72</v>
      </c>
    </row>
    <row r="15" spans="1:12">
      <c r="A15" s="1" t="s">
        <v>81</v>
      </c>
      <c r="B15" s="130" t="s">
        <v>424</v>
      </c>
      <c r="C15" s="130"/>
      <c r="D15" s="131" t="s">
        <v>419</v>
      </c>
      <c r="E15" s="132">
        <v>11000</v>
      </c>
      <c r="F15" s="132"/>
      <c r="G15" s="133">
        <f>E15*100</f>
        <v>1100000</v>
      </c>
      <c r="H15" s="134">
        <v>110000</v>
      </c>
      <c r="I15" s="135">
        <f t="shared" si="2"/>
        <v>11000</v>
      </c>
      <c r="J15" s="136">
        <f t="shared" si="3"/>
        <v>0.1</v>
      </c>
      <c r="K15" s="136">
        <f t="shared" si="4"/>
        <v>10</v>
      </c>
      <c r="L15" s="44">
        <f t="shared" si="5"/>
        <v>4.72</v>
      </c>
    </row>
    <row r="16" spans="1:12" customFormat="1"/>
    <row r="17" spans="1:13" customFormat="1"/>
    <row r="18" spans="1:13" s="54" customFormat="1">
      <c r="B18" s="55" t="s">
        <v>459</v>
      </c>
      <c r="C18" s="56"/>
      <c r="E18" s="104"/>
      <c r="F18" s="105"/>
      <c r="G18" s="20"/>
      <c r="L18" s="45"/>
    </row>
    <row r="19" spans="1:13">
      <c r="A19" s="1" t="s">
        <v>54</v>
      </c>
      <c r="B19" s="27" t="s">
        <v>337</v>
      </c>
      <c r="C19" s="10"/>
      <c r="D19" s="67" t="s">
        <v>381</v>
      </c>
      <c r="E19" s="99">
        <v>1000</v>
      </c>
      <c r="F19" s="106">
        <v>30</v>
      </c>
      <c r="G19" s="47">
        <f>F19*100+E19</f>
        <v>4000</v>
      </c>
      <c r="H19" s="48">
        <v>0</v>
      </c>
      <c r="I19" s="88"/>
      <c r="J19" s="49">
        <f t="shared" ref="J19:J24" si="6">H19/G19</f>
        <v>0</v>
      </c>
      <c r="K19" s="49"/>
    </row>
    <row r="20" spans="1:13">
      <c r="A20" s="1" t="s">
        <v>54</v>
      </c>
      <c r="B20" s="27" t="s">
        <v>332</v>
      </c>
      <c r="D20" s="67" t="s">
        <v>381</v>
      </c>
      <c r="E20" s="64">
        <v>4000</v>
      </c>
      <c r="F20" s="106">
        <v>160</v>
      </c>
      <c r="G20" s="47">
        <f>F20*100+E20</f>
        <v>20000</v>
      </c>
      <c r="H20" s="48">
        <v>1100</v>
      </c>
      <c r="I20" s="88">
        <f>H20/10</f>
        <v>110</v>
      </c>
      <c r="J20" s="49">
        <f t="shared" si="6"/>
        <v>5.5E-2</v>
      </c>
      <c r="K20" s="49">
        <f>G20/H20</f>
        <v>18.181818181818183</v>
      </c>
      <c r="L20" s="44">
        <f>K20/K$2</f>
        <v>8.581818181818182</v>
      </c>
    </row>
    <row r="21" spans="1:13">
      <c r="A21" s="1" t="s">
        <v>54</v>
      </c>
      <c r="B21" s="27" t="s">
        <v>333</v>
      </c>
      <c r="D21" s="67" t="s">
        <v>381</v>
      </c>
      <c r="E21" s="64">
        <v>20000</v>
      </c>
      <c r="F21" s="106">
        <v>800</v>
      </c>
      <c r="G21" s="47">
        <f t="shared" ref="G21:G24" si="7">F21*100+E21</f>
        <v>100000</v>
      </c>
      <c r="H21" s="48">
        <v>5500</v>
      </c>
      <c r="I21" s="88">
        <f t="shared" ref="I21:I24" si="8">H21/10</f>
        <v>550</v>
      </c>
      <c r="J21" s="49">
        <f t="shared" si="6"/>
        <v>5.5E-2</v>
      </c>
      <c r="K21" s="49">
        <f>G21/H21</f>
        <v>18.181818181818183</v>
      </c>
      <c r="L21" s="44">
        <f>K21/K$2</f>
        <v>8.581818181818182</v>
      </c>
    </row>
    <row r="22" spans="1:13">
      <c r="A22" s="1" t="s">
        <v>54</v>
      </c>
      <c r="B22" s="27" t="s">
        <v>334</v>
      </c>
      <c r="D22" s="67" t="s">
        <v>381</v>
      </c>
      <c r="E22" s="64">
        <v>40000</v>
      </c>
      <c r="F22" s="106">
        <v>1600</v>
      </c>
      <c r="G22" s="47">
        <f t="shared" si="7"/>
        <v>200000</v>
      </c>
      <c r="H22" s="48">
        <v>11000</v>
      </c>
      <c r="I22" s="88">
        <f t="shared" si="8"/>
        <v>1100</v>
      </c>
      <c r="J22" s="49">
        <f t="shared" si="6"/>
        <v>5.5E-2</v>
      </c>
      <c r="K22" s="49">
        <f>G22/H22</f>
        <v>18.181818181818183</v>
      </c>
      <c r="L22" s="44">
        <f>K22/K$2</f>
        <v>8.581818181818182</v>
      </c>
      <c r="M22" s="1" t="s">
        <v>455</v>
      </c>
    </row>
    <row r="23" spans="1:13">
      <c r="A23" s="1" t="s">
        <v>54</v>
      </c>
      <c r="B23" s="27" t="s">
        <v>335</v>
      </c>
      <c r="D23" s="67" t="s">
        <v>381</v>
      </c>
      <c r="E23" s="64">
        <v>120000</v>
      </c>
      <c r="F23" s="106">
        <v>4800</v>
      </c>
      <c r="G23" s="47">
        <f t="shared" si="7"/>
        <v>600000</v>
      </c>
      <c r="H23" s="48">
        <v>33000</v>
      </c>
      <c r="I23" s="88">
        <f t="shared" si="8"/>
        <v>3300</v>
      </c>
      <c r="J23" s="49">
        <f t="shared" si="6"/>
        <v>5.5E-2</v>
      </c>
      <c r="K23" s="49">
        <f>G23/H23</f>
        <v>18.181818181818183</v>
      </c>
      <c r="L23" s="44">
        <f>K23/K$2</f>
        <v>8.581818181818182</v>
      </c>
      <c r="M23" s="1" t="s">
        <v>456</v>
      </c>
    </row>
    <row r="24" spans="1:13">
      <c r="A24" s="1" t="s">
        <v>54</v>
      </c>
      <c r="B24" s="27" t="s">
        <v>336</v>
      </c>
      <c r="D24" s="67" t="s">
        <v>381</v>
      </c>
      <c r="E24" s="64">
        <v>200000</v>
      </c>
      <c r="F24" s="106">
        <v>8000</v>
      </c>
      <c r="G24" s="47">
        <f t="shared" si="7"/>
        <v>1000000</v>
      </c>
      <c r="H24" s="48">
        <v>55000</v>
      </c>
      <c r="I24" s="88">
        <f t="shared" si="8"/>
        <v>5500</v>
      </c>
      <c r="J24" s="49">
        <f t="shared" si="6"/>
        <v>5.5E-2</v>
      </c>
      <c r="K24" s="49">
        <f>G24/H24</f>
        <v>18.181818181818183</v>
      </c>
      <c r="L24" s="44">
        <f>K24/K$2</f>
        <v>8.581818181818182</v>
      </c>
    </row>
    <row r="25" spans="1:13">
      <c r="D25" s="8"/>
      <c r="E25" s="65"/>
      <c r="H25" s="9"/>
      <c r="I25" s="9"/>
      <c r="J25" s="6"/>
      <c r="K25" s="6"/>
    </row>
    <row r="26" spans="1:13">
      <c r="A26" s="1" t="s">
        <v>54</v>
      </c>
      <c r="B26" s="27" t="s">
        <v>343</v>
      </c>
      <c r="D26" s="67" t="s">
        <v>385</v>
      </c>
      <c r="E26" s="99">
        <v>1000</v>
      </c>
      <c r="F26" s="106">
        <v>30</v>
      </c>
      <c r="G26" s="47">
        <f>F26*100+E26</f>
        <v>4000</v>
      </c>
      <c r="H26" s="48">
        <v>0</v>
      </c>
      <c r="I26" s="88"/>
      <c r="J26" s="49">
        <f t="shared" ref="J26:J31" si="9">H26/G26</f>
        <v>0</v>
      </c>
      <c r="K26" s="49"/>
    </row>
    <row r="27" spans="1:13">
      <c r="A27" s="1" t="s">
        <v>54</v>
      </c>
      <c r="B27" s="27" t="s">
        <v>338</v>
      </c>
      <c r="D27" s="67" t="s">
        <v>385</v>
      </c>
      <c r="E27" s="99">
        <v>4000</v>
      </c>
      <c r="F27" s="106">
        <v>160</v>
      </c>
      <c r="G27" s="47">
        <f>F27*100+E27</f>
        <v>20000</v>
      </c>
      <c r="H27" s="48">
        <v>1100</v>
      </c>
      <c r="I27" s="88">
        <f>H27/10</f>
        <v>110</v>
      </c>
      <c r="J27" s="49">
        <f t="shared" si="9"/>
        <v>5.5E-2</v>
      </c>
      <c r="K27" s="49">
        <f>G27/H27</f>
        <v>18.181818181818183</v>
      </c>
      <c r="L27" s="44">
        <f>K27/K$2</f>
        <v>8.581818181818182</v>
      </c>
    </row>
    <row r="28" spans="1:13">
      <c r="A28" s="1" t="s">
        <v>54</v>
      </c>
      <c r="B28" s="27" t="s">
        <v>339</v>
      </c>
      <c r="D28" s="67" t="s">
        <v>385</v>
      </c>
      <c r="E28" s="64">
        <v>20000</v>
      </c>
      <c r="F28" s="106">
        <v>800</v>
      </c>
      <c r="G28" s="47">
        <f t="shared" ref="G28:G31" si="10">F28*100+E28</f>
        <v>100000</v>
      </c>
      <c r="H28" s="48">
        <v>5500</v>
      </c>
      <c r="I28" s="88">
        <f t="shared" ref="I28:I31" si="11">H28/10</f>
        <v>550</v>
      </c>
      <c r="J28" s="49">
        <f t="shared" si="9"/>
        <v>5.5E-2</v>
      </c>
      <c r="K28" s="49">
        <f>G28/H28</f>
        <v>18.181818181818183</v>
      </c>
      <c r="L28" s="44">
        <f>K28/K$2</f>
        <v>8.581818181818182</v>
      </c>
      <c r="M28" s="1" t="s">
        <v>457</v>
      </c>
    </row>
    <row r="29" spans="1:13">
      <c r="A29" s="1" t="s">
        <v>54</v>
      </c>
      <c r="B29" s="27" t="s">
        <v>340</v>
      </c>
      <c r="D29" s="67" t="s">
        <v>385</v>
      </c>
      <c r="E29" s="64">
        <v>40000</v>
      </c>
      <c r="F29" s="106">
        <v>1600</v>
      </c>
      <c r="G29" s="47">
        <f t="shared" si="10"/>
        <v>200000</v>
      </c>
      <c r="H29" s="48">
        <v>11000</v>
      </c>
      <c r="I29" s="88">
        <f t="shared" si="11"/>
        <v>1100</v>
      </c>
      <c r="J29" s="49">
        <f t="shared" si="9"/>
        <v>5.5E-2</v>
      </c>
      <c r="K29" s="49">
        <f>G29/H29</f>
        <v>18.181818181818183</v>
      </c>
      <c r="L29" s="44">
        <f>K29/K$2</f>
        <v>8.581818181818182</v>
      </c>
    </row>
    <row r="30" spans="1:13">
      <c r="A30" s="1" t="s">
        <v>54</v>
      </c>
      <c r="B30" s="27" t="s">
        <v>341</v>
      </c>
      <c r="D30" s="67" t="s">
        <v>385</v>
      </c>
      <c r="E30" s="64">
        <v>120000</v>
      </c>
      <c r="F30" s="106">
        <v>4800</v>
      </c>
      <c r="G30" s="47">
        <f t="shared" si="10"/>
        <v>600000</v>
      </c>
      <c r="H30" s="48">
        <v>33000</v>
      </c>
      <c r="I30" s="88">
        <f t="shared" si="11"/>
        <v>3300</v>
      </c>
      <c r="J30" s="49">
        <f t="shared" si="9"/>
        <v>5.5E-2</v>
      </c>
      <c r="K30" s="49">
        <f>G30/H30</f>
        <v>18.181818181818183</v>
      </c>
      <c r="L30" s="44">
        <f>K30/K$2</f>
        <v>8.581818181818182</v>
      </c>
    </row>
    <row r="31" spans="1:13">
      <c r="A31" s="1" t="s">
        <v>54</v>
      </c>
      <c r="B31" s="27" t="s">
        <v>342</v>
      </c>
      <c r="D31" s="67" t="s">
        <v>385</v>
      </c>
      <c r="E31" s="64">
        <v>200000</v>
      </c>
      <c r="F31" s="106">
        <v>8000</v>
      </c>
      <c r="G31" s="47">
        <f t="shared" si="10"/>
        <v>1000000</v>
      </c>
      <c r="H31" s="48">
        <v>55000</v>
      </c>
      <c r="I31" s="88">
        <f t="shared" si="11"/>
        <v>5500</v>
      </c>
      <c r="J31" s="49">
        <f t="shared" si="9"/>
        <v>5.5E-2</v>
      </c>
      <c r="K31" s="49">
        <f>G31/H31</f>
        <v>18.181818181818183</v>
      </c>
      <c r="L31" s="44">
        <f>K31/K$2</f>
        <v>8.581818181818182</v>
      </c>
    </row>
    <row r="32" spans="1:13">
      <c r="F32" s="107"/>
      <c r="J32" s="6"/>
      <c r="K32" s="6"/>
    </row>
    <row r="33" spans="1:15">
      <c r="A33" s="13" t="s">
        <v>54</v>
      </c>
      <c r="B33" s="27" t="s">
        <v>345</v>
      </c>
      <c r="D33" s="53" t="s">
        <v>382</v>
      </c>
      <c r="E33" s="99">
        <v>1000</v>
      </c>
      <c r="F33" s="106">
        <v>60</v>
      </c>
      <c r="G33" s="47">
        <f>F33*100</f>
        <v>6000</v>
      </c>
      <c r="H33" s="48">
        <v>0</v>
      </c>
      <c r="I33" s="48"/>
      <c r="J33" s="49">
        <f t="shared" ref="J33:J39" si="12">H33/G33</f>
        <v>0</v>
      </c>
      <c r="K33" s="49"/>
      <c r="O33" s="19"/>
    </row>
    <row r="34" spans="1:15">
      <c r="A34" s="13" t="s">
        <v>54</v>
      </c>
      <c r="B34" s="27" t="s">
        <v>386</v>
      </c>
      <c r="D34" s="53" t="s">
        <v>382</v>
      </c>
      <c r="E34" s="99">
        <v>12000</v>
      </c>
      <c r="F34" s="106">
        <v>480</v>
      </c>
      <c r="G34" s="47">
        <f>F34*100+E34</f>
        <v>60000</v>
      </c>
      <c r="H34" s="48">
        <v>3300</v>
      </c>
      <c r="I34" s="88">
        <f t="shared" ref="I34:I39" si="13">H34/10</f>
        <v>330</v>
      </c>
      <c r="J34" s="49">
        <f t="shared" si="12"/>
        <v>5.5E-2</v>
      </c>
      <c r="K34" s="49">
        <f t="shared" ref="K34:K39" si="14">G34/H34</f>
        <v>18.181818181818183</v>
      </c>
      <c r="L34" s="44">
        <f t="shared" ref="L34:L39" si="15">K34/K$2</f>
        <v>8.581818181818182</v>
      </c>
      <c r="O34" s="19"/>
    </row>
    <row r="35" spans="1:15">
      <c r="A35" s="13" t="s">
        <v>54</v>
      </c>
      <c r="B35" s="27" t="s">
        <v>387</v>
      </c>
      <c r="D35" s="53" t="s">
        <v>382</v>
      </c>
      <c r="E35" s="99">
        <v>24000</v>
      </c>
      <c r="F35" s="106">
        <v>960</v>
      </c>
      <c r="G35" s="47">
        <f t="shared" ref="G35:G39" si="16">F35*100+E35</f>
        <v>120000</v>
      </c>
      <c r="H35" s="48">
        <v>6600</v>
      </c>
      <c r="I35" s="88">
        <f t="shared" si="13"/>
        <v>660</v>
      </c>
      <c r="J35" s="49">
        <f t="shared" si="12"/>
        <v>5.5E-2</v>
      </c>
      <c r="K35" s="49">
        <f t="shared" si="14"/>
        <v>18.181818181818183</v>
      </c>
      <c r="L35" s="44">
        <f t="shared" si="15"/>
        <v>8.581818181818182</v>
      </c>
    </row>
    <row r="36" spans="1:15">
      <c r="A36" s="13" t="s">
        <v>54</v>
      </c>
      <c r="B36" s="27" t="s">
        <v>388</v>
      </c>
      <c r="D36" s="53" t="s">
        <v>382</v>
      </c>
      <c r="E36" s="99">
        <v>36000</v>
      </c>
      <c r="F36" s="106">
        <v>1440</v>
      </c>
      <c r="G36" s="47">
        <f t="shared" si="16"/>
        <v>180000</v>
      </c>
      <c r="H36" s="48">
        <v>9900</v>
      </c>
      <c r="I36" s="88">
        <f t="shared" si="13"/>
        <v>990</v>
      </c>
      <c r="J36" s="49">
        <f t="shared" si="12"/>
        <v>5.5E-2</v>
      </c>
      <c r="K36" s="49">
        <f t="shared" si="14"/>
        <v>18.181818181818183</v>
      </c>
      <c r="L36" s="44">
        <f t="shared" si="15"/>
        <v>8.581818181818182</v>
      </c>
    </row>
    <row r="37" spans="1:15">
      <c r="A37" s="13" t="s">
        <v>54</v>
      </c>
      <c r="B37" s="27" t="s">
        <v>389</v>
      </c>
      <c r="D37" s="53" t="s">
        <v>382</v>
      </c>
      <c r="E37" s="99">
        <v>80000</v>
      </c>
      <c r="F37" s="106">
        <v>3200</v>
      </c>
      <c r="G37" s="47">
        <f t="shared" si="16"/>
        <v>400000</v>
      </c>
      <c r="H37" s="48">
        <v>22000</v>
      </c>
      <c r="I37" s="88">
        <f t="shared" si="13"/>
        <v>2200</v>
      </c>
      <c r="J37" s="49">
        <f t="shared" si="12"/>
        <v>5.5E-2</v>
      </c>
      <c r="K37" s="49">
        <f t="shared" si="14"/>
        <v>18.181818181818183</v>
      </c>
      <c r="L37" s="44">
        <f t="shared" si="15"/>
        <v>8.581818181818182</v>
      </c>
      <c r="M37" s="1" t="s">
        <v>458</v>
      </c>
    </row>
    <row r="38" spans="1:15">
      <c r="A38" s="13" t="s">
        <v>54</v>
      </c>
      <c r="B38" s="27" t="s">
        <v>390</v>
      </c>
      <c r="D38" s="53" t="s">
        <v>382</v>
      </c>
      <c r="E38" s="99">
        <v>120000</v>
      </c>
      <c r="F38" s="106">
        <v>4800</v>
      </c>
      <c r="G38" s="47">
        <f t="shared" si="16"/>
        <v>600000</v>
      </c>
      <c r="H38" s="48">
        <v>33000</v>
      </c>
      <c r="I38" s="88">
        <f t="shared" si="13"/>
        <v>3300</v>
      </c>
      <c r="J38" s="49">
        <f t="shared" si="12"/>
        <v>5.5E-2</v>
      </c>
      <c r="K38" s="49">
        <f t="shared" si="14"/>
        <v>18.181818181818183</v>
      </c>
      <c r="L38" s="44">
        <f t="shared" si="15"/>
        <v>8.581818181818182</v>
      </c>
    </row>
    <row r="39" spans="1:15">
      <c r="A39" s="13" t="s">
        <v>54</v>
      </c>
      <c r="B39" s="27" t="s">
        <v>344</v>
      </c>
      <c r="D39" s="53" t="s">
        <v>382</v>
      </c>
      <c r="E39" s="126">
        <v>200000</v>
      </c>
      <c r="F39" s="106">
        <v>8000</v>
      </c>
      <c r="G39" s="47">
        <f t="shared" si="16"/>
        <v>1000000</v>
      </c>
      <c r="H39" s="48">
        <v>55000</v>
      </c>
      <c r="I39" s="88">
        <f t="shared" si="13"/>
        <v>5500</v>
      </c>
      <c r="J39" s="49">
        <f t="shared" si="12"/>
        <v>5.5E-2</v>
      </c>
      <c r="K39" s="49">
        <f t="shared" si="14"/>
        <v>18.181818181818183</v>
      </c>
      <c r="L39" s="44">
        <f t="shared" si="15"/>
        <v>8.581818181818182</v>
      </c>
    </row>
    <row r="40" spans="1:15">
      <c r="D40" s="7"/>
      <c r="E40" s="65"/>
      <c r="H40" s="9"/>
      <c r="I40" s="9"/>
      <c r="J40" s="6"/>
      <c r="K40" s="6"/>
    </row>
    <row r="41" spans="1:15">
      <c r="A41" s="1" t="s">
        <v>54</v>
      </c>
      <c r="B41" s="27" t="s">
        <v>350</v>
      </c>
      <c r="C41" s="43"/>
      <c r="D41" s="67" t="s">
        <v>383</v>
      </c>
      <c r="E41" s="99">
        <v>4000</v>
      </c>
      <c r="F41" s="106">
        <v>100</v>
      </c>
      <c r="G41" s="47">
        <f>F41*150+E41</f>
        <v>19000</v>
      </c>
      <c r="H41" s="48">
        <v>1100</v>
      </c>
      <c r="I41" s="88">
        <f>H41/10</f>
        <v>110</v>
      </c>
      <c r="J41" s="49">
        <f>H41/G41</f>
        <v>5.7894736842105263E-2</v>
      </c>
      <c r="K41" s="49">
        <f>G41/H41</f>
        <v>17.272727272727273</v>
      </c>
      <c r="L41" s="44">
        <f>K41/K$2</f>
        <v>8.1527272727272724</v>
      </c>
      <c r="M41" s="1" t="s">
        <v>425</v>
      </c>
    </row>
    <row r="42" spans="1:15">
      <c r="A42" s="1" t="s">
        <v>54</v>
      </c>
      <c r="B42" s="27" t="s">
        <v>346</v>
      </c>
      <c r="C42" s="43"/>
      <c r="D42" s="67" t="s">
        <v>383</v>
      </c>
      <c r="E42" s="99">
        <v>20000</v>
      </c>
      <c r="F42" s="106">
        <v>520</v>
      </c>
      <c r="G42" s="47">
        <f t="shared" ref="G42:G45" si="17">F42*150+E42</f>
        <v>98000</v>
      </c>
      <c r="H42" s="48">
        <v>5500</v>
      </c>
      <c r="I42" s="88">
        <f t="shared" ref="I42:I45" si="18">H42/10</f>
        <v>550</v>
      </c>
      <c r="J42" s="49">
        <f>H42/G42</f>
        <v>5.6122448979591837E-2</v>
      </c>
      <c r="K42" s="49">
        <f>G42/H42</f>
        <v>17.818181818181817</v>
      </c>
      <c r="L42" s="44">
        <f>K42/K$2</f>
        <v>8.4101818181818171</v>
      </c>
      <c r="M42" s="1" t="s">
        <v>425</v>
      </c>
    </row>
    <row r="43" spans="1:15">
      <c r="A43" s="1" t="s">
        <v>54</v>
      </c>
      <c r="B43" s="27" t="s">
        <v>347</v>
      </c>
      <c r="C43" s="43"/>
      <c r="D43" s="67" t="s">
        <v>383</v>
      </c>
      <c r="E43" s="99">
        <v>40000</v>
      </c>
      <c r="F43" s="106">
        <v>1040</v>
      </c>
      <c r="G43" s="47">
        <f t="shared" si="17"/>
        <v>196000</v>
      </c>
      <c r="H43" s="48">
        <v>11000</v>
      </c>
      <c r="I43" s="88">
        <f t="shared" si="18"/>
        <v>1100</v>
      </c>
      <c r="J43" s="49">
        <f>H43/G43</f>
        <v>5.6122448979591837E-2</v>
      </c>
      <c r="K43" s="49">
        <f>G43/H43</f>
        <v>17.818181818181817</v>
      </c>
      <c r="L43" s="44">
        <f>K43/K$2</f>
        <v>8.4101818181818171</v>
      </c>
      <c r="M43" s="1" t="s">
        <v>425</v>
      </c>
    </row>
    <row r="44" spans="1:15">
      <c r="A44" s="1" t="s">
        <v>54</v>
      </c>
      <c r="B44" s="27" t="s">
        <v>348</v>
      </c>
      <c r="C44" s="43"/>
      <c r="D44" s="67" t="s">
        <v>383</v>
      </c>
      <c r="E44" s="99">
        <v>120000</v>
      </c>
      <c r="F44" s="106">
        <v>3200</v>
      </c>
      <c r="G44" s="47">
        <f t="shared" si="17"/>
        <v>600000</v>
      </c>
      <c r="H44" s="48">
        <v>33000</v>
      </c>
      <c r="I44" s="88">
        <f t="shared" si="18"/>
        <v>3300</v>
      </c>
      <c r="J44" s="49">
        <f>H44/G44</f>
        <v>5.5E-2</v>
      </c>
      <c r="K44" s="49">
        <f>G44/H44</f>
        <v>18.181818181818183</v>
      </c>
      <c r="L44" s="44">
        <f>K44/K$2</f>
        <v>8.581818181818182</v>
      </c>
      <c r="M44" s="1" t="s">
        <v>425</v>
      </c>
    </row>
    <row r="45" spans="1:15">
      <c r="A45" s="1" t="s">
        <v>54</v>
      </c>
      <c r="B45" s="27" t="s">
        <v>349</v>
      </c>
      <c r="C45" s="43"/>
      <c r="D45" s="67" t="s">
        <v>383</v>
      </c>
      <c r="E45" s="99">
        <v>200000</v>
      </c>
      <c r="F45" s="106">
        <v>5200</v>
      </c>
      <c r="G45" s="47">
        <f t="shared" si="17"/>
        <v>980000</v>
      </c>
      <c r="H45" s="48">
        <v>55000</v>
      </c>
      <c r="I45" s="88">
        <f t="shared" si="18"/>
        <v>5500</v>
      </c>
      <c r="J45" s="49">
        <f>H45/G45</f>
        <v>5.6122448979591837E-2</v>
      </c>
      <c r="K45" s="49">
        <f>G45/H45</f>
        <v>17.818181818181817</v>
      </c>
      <c r="L45" s="44">
        <f>K45/K$2</f>
        <v>8.4101818181818171</v>
      </c>
      <c r="M45" s="1" t="s">
        <v>425</v>
      </c>
    </row>
    <row r="46" spans="1:15">
      <c r="F46" s="108">
        <f>SUM(F41:F45)</f>
        <v>10060</v>
      </c>
      <c r="H46" s="12">
        <f>SUM(H41:H45)</f>
        <v>105600</v>
      </c>
      <c r="I46" s="12"/>
    </row>
    <row r="47" spans="1:15">
      <c r="A47" s="1" t="s">
        <v>54</v>
      </c>
      <c r="B47" s="27" t="s">
        <v>355</v>
      </c>
      <c r="C47" s="43"/>
      <c r="D47" s="67" t="s">
        <v>384</v>
      </c>
      <c r="E47" s="99">
        <v>4000</v>
      </c>
      <c r="F47" s="106">
        <v>100</v>
      </c>
      <c r="G47" s="47">
        <f>F47*150+E47</f>
        <v>19000</v>
      </c>
      <c r="H47" s="48">
        <v>1100</v>
      </c>
      <c r="I47" s="88">
        <f>H47/10</f>
        <v>110</v>
      </c>
      <c r="J47" s="49">
        <f>H47/G47</f>
        <v>5.7894736842105263E-2</v>
      </c>
      <c r="K47" s="49">
        <f>G47/H47</f>
        <v>17.272727272727273</v>
      </c>
      <c r="L47" s="44">
        <f>K47/K$2</f>
        <v>8.1527272727272724</v>
      </c>
      <c r="M47" s="1" t="s">
        <v>425</v>
      </c>
    </row>
    <row r="48" spans="1:15">
      <c r="A48" s="1" t="s">
        <v>54</v>
      </c>
      <c r="B48" s="27" t="s">
        <v>351</v>
      </c>
      <c r="C48" s="43"/>
      <c r="D48" s="67" t="s">
        <v>384</v>
      </c>
      <c r="E48" s="99">
        <v>20000</v>
      </c>
      <c r="F48" s="106">
        <v>520</v>
      </c>
      <c r="G48" s="47">
        <f t="shared" ref="G48:G51" si="19">F48*150+E48</f>
        <v>98000</v>
      </c>
      <c r="H48" s="48">
        <v>5500</v>
      </c>
      <c r="I48" s="88">
        <f t="shared" ref="I48:I51" si="20">H48/10</f>
        <v>550</v>
      </c>
      <c r="J48" s="49">
        <f>H48/G48</f>
        <v>5.6122448979591837E-2</v>
      </c>
      <c r="K48" s="49">
        <f>G48/H48</f>
        <v>17.818181818181817</v>
      </c>
      <c r="L48" s="44">
        <f>K48/K$2</f>
        <v>8.4101818181818171</v>
      </c>
      <c r="M48" s="1" t="s">
        <v>425</v>
      </c>
    </row>
    <row r="49" spans="1:13">
      <c r="A49" s="1" t="s">
        <v>54</v>
      </c>
      <c r="B49" s="27" t="s">
        <v>352</v>
      </c>
      <c r="C49" s="43"/>
      <c r="D49" s="67" t="s">
        <v>384</v>
      </c>
      <c r="E49" s="99">
        <v>40000</v>
      </c>
      <c r="F49" s="106">
        <v>1040</v>
      </c>
      <c r="G49" s="47">
        <f t="shared" si="19"/>
        <v>196000</v>
      </c>
      <c r="H49" s="48">
        <v>11000</v>
      </c>
      <c r="I49" s="88">
        <f t="shared" si="20"/>
        <v>1100</v>
      </c>
      <c r="J49" s="49">
        <f>H49/G49</f>
        <v>5.6122448979591837E-2</v>
      </c>
      <c r="K49" s="49">
        <f>G49/H49</f>
        <v>17.818181818181817</v>
      </c>
      <c r="L49" s="44">
        <f>K49/K$2</f>
        <v>8.4101818181818171</v>
      </c>
      <c r="M49" s="1" t="s">
        <v>425</v>
      </c>
    </row>
    <row r="50" spans="1:13">
      <c r="A50" s="1" t="s">
        <v>54</v>
      </c>
      <c r="B50" s="27" t="s">
        <v>353</v>
      </c>
      <c r="C50" s="43"/>
      <c r="D50" s="67" t="s">
        <v>384</v>
      </c>
      <c r="E50" s="99">
        <v>120000</v>
      </c>
      <c r="F50" s="106">
        <v>3200</v>
      </c>
      <c r="G50" s="47">
        <f t="shared" si="19"/>
        <v>600000</v>
      </c>
      <c r="H50" s="48">
        <v>33000</v>
      </c>
      <c r="I50" s="88">
        <f t="shared" si="20"/>
        <v>3300</v>
      </c>
      <c r="J50" s="49">
        <f>H50/G50</f>
        <v>5.5E-2</v>
      </c>
      <c r="K50" s="49">
        <f>G50/H50</f>
        <v>18.181818181818183</v>
      </c>
      <c r="L50" s="44">
        <f>K50/K$2</f>
        <v>8.581818181818182</v>
      </c>
      <c r="M50" s="1" t="s">
        <v>425</v>
      </c>
    </row>
    <row r="51" spans="1:13">
      <c r="A51" s="1" t="s">
        <v>54</v>
      </c>
      <c r="B51" s="27" t="s">
        <v>354</v>
      </c>
      <c r="C51" s="43"/>
      <c r="D51" s="67" t="s">
        <v>384</v>
      </c>
      <c r="E51" s="99">
        <v>200000</v>
      </c>
      <c r="F51" s="106">
        <v>5200</v>
      </c>
      <c r="G51" s="47">
        <f t="shared" si="19"/>
        <v>980000</v>
      </c>
      <c r="H51" s="48">
        <v>55000</v>
      </c>
      <c r="I51" s="88">
        <f t="shared" si="20"/>
        <v>5500</v>
      </c>
      <c r="J51" s="49">
        <f>H51/G51</f>
        <v>5.6122448979591837E-2</v>
      </c>
      <c r="K51" s="49">
        <f>G51/H51</f>
        <v>17.818181818181817</v>
      </c>
      <c r="L51" s="44">
        <f>K51/K$2</f>
        <v>8.4101818181818171</v>
      </c>
      <c r="M51" s="1" t="s">
        <v>425</v>
      </c>
    </row>
    <row r="52" spans="1:13">
      <c r="A52" s="160"/>
      <c r="B52" s="160"/>
      <c r="C52" s="160"/>
      <c r="D52" s="160"/>
      <c r="E52" s="160"/>
      <c r="F52" s="160"/>
      <c r="G52" s="160"/>
      <c r="H52" s="160"/>
      <c r="I52" s="160"/>
      <c r="J52" s="160"/>
      <c r="K52" s="160"/>
      <c r="L52" s="160"/>
      <c r="M52" s="160"/>
    </row>
    <row r="53" spans="1:13">
      <c r="A53" s="1" t="s">
        <v>54</v>
      </c>
      <c r="B53" s="63" t="s">
        <v>356</v>
      </c>
      <c r="C53" s="68"/>
      <c r="D53" s="69" t="s">
        <v>329</v>
      </c>
      <c r="E53" s="109">
        <v>4000</v>
      </c>
      <c r="F53" s="110">
        <v>80</v>
      </c>
      <c r="G53" s="31">
        <f>F53*200+E53</f>
        <v>20000</v>
      </c>
      <c r="H53" s="32">
        <v>1100</v>
      </c>
      <c r="I53" s="89">
        <f>H53/10</f>
        <v>110</v>
      </c>
      <c r="J53" s="33">
        <f>H53/G53</f>
        <v>5.5E-2</v>
      </c>
      <c r="K53" s="33">
        <f>G53/H53</f>
        <v>18.181818181818183</v>
      </c>
      <c r="L53" s="79">
        <f>K53/K$2</f>
        <v>8.581818181818182</v>
      </c>
      <c r="M53" s="1" t="s">
        <v>425</v>
      </c>
    </row>
    <row r="54" spans="1:13">
      <c r="A54" s="1" t="s">
        <v>54</v>
      </c>
      <c r="B54" s="63" t="s">
        <v>357</v>
      </c>
      <c r="C54" s="68"/>
      <c r="D54" s="69" t="s">
        <v>329</v>
      </c>
      <c r="E54" s="109">
        <v>20000</v>
      </c>
      <c r="F54" s="110">
        <v>400</v>
      </c>
      <c r="G54" s="31">
        <f t="shared" ref="G54:G57" si="21">F54*200+E54</f>
        <v>100000</v>
      </c>
      <c r="H54" s="32">
        <v>5500</v>
      </c>
      <c r="I54" s="89">
        <f t="shared" ref="I54:I57" si="22">H54/10</f>
        <v>550</v>
      </c>
      <c r="J54" s="33">
        <f>H54/G54</f>
        <v>5.5E-2</v>
      </c>
      <c r="K54" s="33">
        <f>G54/H54</f>
        <v>18.181818181818183</v>
      </c>
      <c r="L54" s="79">
        <f>K54/K$2</f>
        <v>8.581818181818182</v>
      </c>
      <c r="M54" s="1" t="s">
        <v>425</v>
      </c>
    </row>
    <row r="55" spans="1:13">
      <c r="A55" s="1" t="s">
        <v>54</v>
      </c>
      <c r="B55" s="63" t="s">
        <v>358</v>
      </c>
      <c r="C55" s="68"/>
      <c r="D55" s="69" t="s">
        <v>329</v>
      </c>
      <c r="E55" s="109">
        <v>40000</v>
      </c>
      <c r="F55" s="110">
        <v>800</v>
      </c>
      <c r="G55" s="31">
        <f t="shared" si="21"/>
        <v>200000</v>
      </c>
      <c r="H55" s="32">
        <v>11000</v>
      </c>
      <c r="I55" s="89">
        <f t="shared" si="22"/>
        <v>1100</v>
      </c>
      <c r="J55" s="33">
        <f>H55/G55</f>
        <v>5.5E-2</v>
      </c>
      <c r="K55" s="33">
        <f>G55/H55</f>
        <v>18.181818181818183</v>
      </c>
      <c r="L55" s="79">
        <f>K55/K$2</f>
        <v>8.581818181818182</v>
      </c>
      <c r="M55" s="1" t="s">
        <v>425</v>
      </c>
    </row>
    <row r="56" spans="1:13">
      <c r="A56" s="1" t="s">
        <v>54</v>
      </c>
      <c r="B56" s="63" t="s">
        <v>359</v>
      </c>
      <c r="C56" s="68"/>
      <c r="D56" s="69" t="s">
        <v>329</v>
      </c>
      <c r="E56" s="109">
        <v>120000</v>
      </c>
      <c r="F56" s="110">
        <v>2400</v>
      </c>
      <c r="G56" s="31">
        <f t="shared" si="21"/>
        <v>600000</v>
      </c>
      <c r="H56" s="32">
        <v>33000</v>
      </c>
      <c r="I56" s="89">
        <f t="shared" si="22"/>
        <v>3300</v>
      </c>
      <c r="J56" s="33">
        <f>H56/G56</f>
        <v>5.5E-2</v>
      </c>
      <c r="K56" s="33">
        <f>G56/H56</f>
        <v>18.181818181818183</v>
      </c>
      <c r="L56" s="79">
        <f>K56/K$2</f>
        <v>8.581818181818182</v>
      </c>
      <c r="M56" s="1" t="s">
        <v>425</v>
      </c>
    </row>
    <row r="57" spans="1:13">
      <c r="A57" s="1" t="s">
        <v>54</v>
      </c>
      <c r="B57" s="63" t="s">
        <v>360</v>
      </c>
      <c r="C57" s="68"/>
      <c r="D57" s="69" t="s">
        <v>329</v>
      </c>
      <c r="E57" s="109">
        <v>200000</v>
      </c>
      <c r="F57" s="110">
        <v>4000</v>
      </c>
      <c r="G57" s="31">
        <f t="shared" si="21"/>
        <v>1000000</v>
      </c>
      <c r="H57" s="32">
        <v>55000</v>
      </c>
      <c r="I57" s="89">
        <f t="shared" si="22"/>
        <v>5500</v>
      </c>
      <c r="J57" s="33">
        <f>H57/G57</f>
        <v>5.5E-2</v>
      </c>
      <c r="K57" s="33">
        <f>G57/H57</f>
        <v>18.181818181818183</v>
      </c>
      <c r="L57" s="79">
        <f>K57/K$2</f>
        <v>8.581818181818182</v>
      </c>
      <c r="M57" s="1" t="s">
        <v>425</v>
      </c>
    </row>
    <row r="58" spans="1:13">
      <c r="B58" s="22"/>
      <c r="C58" s="10"/>
      <c r="F58" s="103"/>
      <c r="G58" s="26"/>
    </row>
    <row r="59" spans="1:13">
      <c r="H59" s="9"/>
      <c r="I59" s="9"/>
      <c r="J59" s="6"/>
      <c r="K59" s="6"/>
    </row>
    <row r="60" spans="1:13" s="54" customFormat="1">
      <c r="B60" s="55" t="s">
        <v>460</v>
      </c>
      <c r="C60" s="56"/>
      <c r="E60" s="104"/>
      <c r="F60" s="105"/>
      <c r="G60" s="20"/>
      <c r="L60" s="45"/>
    </row>
    <row r="61" spans="1:13">
      <c r="A61" s="1" t="s">
        <v>56</v>
      </c>
      <c r="B61" s="27" t="s">
        <v>391</v>
      </c>
      <c r="C61" s="43"/>
      <c r="D61" s="27" t="s">
        <v>240</v>
      </c>
      <c r="E61" s="126">
        <v>1000</v>
      </c>
      <c r="F61" s="106"/>
      <c r="G61" s="47">
        <f>F61+E61</f>
        <v>1000</v>
      </c>
      <c r="H61" s="48"/>
      <c r="I61" s="48"/>
      <c r="J61" s="49"/>
      <c r="K61" s="49"/>
    </row>
    <row r="62" spans="1:13">
      <c r="A62" s="1" t="s">
        <v>56</v>
      </c>
      <c r="B62" s="57" t="s">
        <v>392</v>
      </c>
      <c r="C62" s="76"/>
      <c r="D62" s="58" t="s">
        <v>327</v>
      </c>
      <c r="E62" s="112">
        <v>3500</v>
      </c>
      <c r="F62" s="118">
        <v>130</v>
      </c>
      <c r="G62" s="59">
        <f>100*F62+E62</f>
        <v>16500</v>
      </c>
      <c r="H62" s="60">
        <v>1100</v>
      </c>
      <c r="I62" s="91">
        <f>H62/10</f>
        <v>110</v>
      </c>
      <c r="J62" s="61">
        <f t="shared" ref="J62:J78" si="23">H62/G62</f>
        <v>6.6666666666666666E-2</v>
      </c>
      <c r="K62" s="61">
        <f t="shared" ref="K62:K78" si="24">G62/H62</f>
        <v>15</v>
      </c>
      <c r="L62" s="44">
        <f t="shared" ref="L62:L77" si="25">K62/K$2</f>
        <v>7.0799999999999992</v>
      </c>
    </row>
    <row r="63" spans="1:13">
      <c r="A63" s="1" t="s">
        <v>56</v>
      </c>
      <c r="B63" s="57" t="s">
        <v>393</v>
      </c>
      <c r="C63" s="76"/>
      <c r="D63" s="58" t="s">
        <v>327</v>
      </c>
      <c r="E63" s="112">
        <v>10000</v>
      </c>
      <c r="F63" s="118">
        <v>500</v>
      </c>
      <c r="G63" s="59">
        <f t="shared" ref="G63:G64" si="26">100*F63+E63</f>
        <v>60000</v>
      </c>
      <c r="H63" s="60">
        <v>5500</v>
      </c>
      <c r="I63" s="91">
        <f t="shared" ref="I63:I78" si="27">H63/10</f>
        <v>550</v>
      </c>
      <c r="J63" s="61">
        <f t="shared" si="23"/>
        <v>9.166666666666666E-2</v>
      </c>
      <c r="K63" s="61">
        <f t="shared" si="24"/>
        <v>10.909090909090908</v>
      </c>
      <c r="L63" s="44">
        <f t="shared" ref="L63:L64" si="28">K63/K$2</f>
        <v>5.1490909090909085</v>
      </c>
    </row>
    <row r="64" spans="1:13">
      <c r="A64" s="1" t="s">
        <v>56</v>
      </c>
      <c r="B64" s="57" t="s">
        <v>394</v>
      </c>
      <c r="C64" s="76"/>
      <c r="D64" s="58" t="s">
        <v>327</v>
      </c>
      <c r="E64" s="112">
        <v>18000</v>
      </c>
      <c r="F64" s="118">
        <v>1000</v>
      </c>
      <c r="G64" s="59">
        <f t="shared" si="26"/>
        <v>118000</v>
      </c>
      <c r="H64" s="60">
        <v>11000</v>
      </c>
      <c r="I64" s="91">
        <f t="shared" si="27"/>
        <v>1100</v>
      </c>
      <c r="J64" s="61">
        <f t="shared" si="23"/>
        <v>9.3220338983050849E-2</v>
      </c>
      <c r="K64" s="61">
        <f t="shared" si="24"/>
        <v>10.727272727272727</v>
      </c>
      <c r="L64" s="44">
        <f t="shared" si="28"/>
        <v>5.0632727272727269</v>
      </c>
    </row>
    <row r="65" spans="1:12">
      <c r="A65" s="1" t="s">
        <v>56</v>
      </c>
      <c r="B65" s="46" t="s">
        <v>395</v>
      </c>
      <c r="C65" s="75"/>
      <c r="D65" s="27" t="s">
        <v>328</v>
      </c>
      <c r="E65" s="126">
        <v>3000</v>
      </c>
      <c r="F65" s="110">
        <v>60</v>
      </c>
      <c r="G65" s="47">
        <f>150*F65+E65</f>
        <v>12000</v>
      </c>
      <c r="H65" s="48">
        <v>1100</v>
      </c>
      <c r="I65" s="88">
        <f t="shared" si="27"/>
        <v>110</v>
      </c>
      <c r="J65" s="49">
        <f t="shared" si="23"/>
        <v>9.166666666666666E-2</v>
      </c>
      <c r="K65" s="49">
        <f t="shared" si="24"/>
        <v>10.909090909090908</v>
      </c>
      <c r="L65" s="44">
        <f t="shared" ref="L65" si="29">K65/K$2</f>
        <v>5.1490909090909085</v>
      </c>
    </row>
    <row r="66" spans="1:12">
      <c r="A66" s="1" t="s">
        <v>56</v>
      </c>
      <c r="B66" s="46" t="s">
        <v>396</v>
      </c>
      <c r="C66" s="75"/>
      <c r="D66" s="27" t="s">
        <v>328</v>
      </c>
      <c r="E66" s="126">
        <v>11000</v>
      </c>
      <c r="F66" s="110">
        <v>320</v>
      </c>
      <c r="G66" s="47">
        <f t="shared" ref="G66:G67" si="30">150*F66+E66</f>
        <v>59000</v>
      </c>
      <c r="H66" s="48">
        <v>5500</v>
      </c>
      <c r="I66" s="88">
        <f t="shared" si="27"/>
        <v>550</v>
      </c>
      <c r="J66" s="49">
        <f t="shared" si="23"/>
        <v>9.3220338983050849E-2</v>
      </c>
      <c r="K66" s="49">
        <f t="shared" si="24"/>
        <v>10.727272727272727</v>
      </c>
      <c r="L66" s="44">
        <f t="shared" ref="L66:L67" si="31">K66/K$2</f>
        <v>5.0632727272727269</v>
      </c>
    </row>
    <row r="67" spans="1:12">
      <c r="A67" s="1" t="s">
        <v>56</v>
      </c>
      <c r="B67" s="46" t="s">
        <v>397</v>
      </c>
      <c r="C67" s="75"/>
      <c r="D67" s="27" t="s">
        <v>328</v>
      </c>
      <c r="E67" s="126">
        <v>18000</v>
      </c>
      <c r="F67" s="110">
        <v>660</v>
      </c>
      <c r="G67" s="47">
        <f t="shared" si="30"/>
        <v>117000</v>
      </c>
      <c r="H67" s="48">
        <v>11000</v>
      </c>
      <c r="I67" s="88">
        <f>H67/10</f>
        <v>1100</v>
      </c>
      <c r="J67" s="49">
        <f t="shared" si="23"/>
        <v>9.4017094017094016E-2</v>
      </c>
      <c r="K67" s="49">
        <f t="shared" si="24"/>
        <v>10.636363636363637</v>
      </c>
      <c r="L67" s="44">
        <f t="shared" si="31"/>
        <v>5.0203636363636361</v>
      </c>
    </row>
    <row r="68" spans="1:12">
      <c r="A68" s="1" t="s">
        <v>56</v>
      </c>
      <c r="B68" s="57" t="s">
        <v>398</v>
      </c>
      <c r="C68" s="77"/>
      <c r="D68" s="58" t="s">
        <v>329</v>
      </c>
      <c r="E68" s="112">
        <v>2000</v>
      </c>
      <c r="F68" s="118">
        <v>50</v>
      </c>
      <c r="G68" s="59">
        <f>200*F68+E68</f>
        <v>12000</v>
      </c>
      <c r="H68" s="60">
        <v>1100</v>
      </c>
      <c r="I68" s="91">
        <f t="shared" si="27"/>
        <v>110</v>
      </c>
      <c r="J68" s="61">
        <f t="shared" si="23"/>
        <v>9.166666666666666E-2</v>
      </c>
      <c r="K68" s="61">
        <f t="shared" si="24"/>
        <v>10.909090909090908</v>
      </c>
      <c r="L68" s="44">
        <f t="shared" ref="L68" si="32">K68/K$2</f>
        <v>5.1490909090909085</v>
      </c>
    </row>
    <row r="69" spans="1:12">
      <c r="A69" s="1" t="s">
        <v>56</v>
      </c>
      <c r="B69" s="57" t="s">
        <v>399</v>
      </c>
      <c r="C69" s="77"/>
      <c r="D69" s="58" t="s">
        <v>329</v>
      </c>
      <c r="E69" s="112">
        <v>10000</v>
      </c>
      <c r="F69" s="118">
        <v>250</v>
      </c>
      <c r="G69" s="59">
        <f t="shared" ref="G69:G70" si="33">200*F69+E69</f>
        <v>60000</v>
      </c>
      <c r="H69" s="60">
        <v>5500</v>
      </c>
      <c r="I69" s="91">
        <f t="shared" si="27"/>
        <v>550</v>
      </c>
      <c r="J69" s="61">
        <f t="shared" si="23"/>
        <v>9.166666666666666E-2</v>
      </c>
      <c r="K69" s="61">
        <f t="shared" si="24"/>
        <v>10.909090909090908</v>
      </c>
      <c r="L69" s="44">
        <f t="shared" ref="L69:L70" si="34">K69/K$2</f>
        <v>5.1490909090909085</v>
      </c>
    </row>
    <row r="70" spans="1:12">
      <c r="A70" s="1" t="s">
        <v>56</v>
      </c>
      <c r="B70" s="57" t="s">
        <v>400</v>
      </c>
      <c r="C70" s="77"/>
      <c r="D70" s="58" t="s">
        <v>329</v>
      </c>
      <c r="E70" s="112">
        <v>18000</v>
      </c>
      <c r="F70" s="118">
        <v>500</v>
      </c>
      <c r="G70" s="59">
        <f t="shared" si="33"/>
        <v>118000</v>
      </c>
      <c r="H70" s="60">
        <v>11000</v>
      </c>
      <c r="I70" s="91">
        <f t="shared" si="27"/>
        <v>1100</v>
      </c>
      <c r="J70" s="61">
        <f t="shared" si="23"/>
        <v>9.3220338983050849E-2</v>
      </c>
      <c r="K70" s="61">
        <f t="shared" si="24"/>
        <v>10.727272727272727</v>
      </c>
      <c r="L70" s="44">
        <f t="shared" si="34"/>
        <v>5.0632727272727269</v>
      </c>
    </row>
    <row r="71" spans="1:12">
      <c r="A71" s="1" t="s">
        <v>56</v>
      </c>
      <c r="B71" s="46" t="s">
        <v>401</v>
      </c>
      <c r="C71" s="75"/>
      <c r="D71" s="27" t="s">
        <v>330</v>
      </c>
      <c r="E71" s="126">
        <v>5000</v>
      </c>
      <c r="F71" s="110">
        <v>23000</v>
      </c>
      <c r="G71" s="47">
        <f>(F71/7500*2500)+E71</f>
        <v>12666.666666666668</v>
      </c>
      <c r="H71" s="48">
        <v>1100</v>
      </c>
      <c r="I71" s="88">
        <f t="shared" si="27"/>
        <v>110</v>
      </c>
      <c r="J71" s="49">
        <f t="shared" si="23"/>
        <v>8.6842105263157887E-2</v>
      </c>
      <c r="K71" s="49">
        <f t="shared" si="24"/>
        <v>11.515151515151516</v>
      </c>
      <c r="L71" s="44">
        <f t="shared" si="25"/>
        <v>5.4351515151515146</v>
      </c>
    </row>
    <row r="72" spans="1:12">
      <c r="A72" s="1" t="s">
        <v>56</v>
      </c>
      <c r="B72" s="46" t="s">
        <v>402</v>
      </c>
      <c r="C72" s="75"/>
      <c r="D72" s="27" t="s">
        <v>330</v>
      </c>
      <c r="E72" s="126">
        <v>10000</v>
      </c>
      <c r="F72" s="110">
        <v>160000</v>
      </c>
      <c r="G72" s="47">
        <f t="shared" ref="G72:G73" si="35">(F72/7500*2500)+E72</f>
        <v>63333.333333333328</v>
      </c>
      <c r="H72" s="48">
        <v>5500</v>
      </c>
      <c r="I72" s="88">
        <f>H72/10</f>
        <v>550</v>
      </c>
      <c r="J72" s="49">
        <f t="shared" si="23"/>
        <v>8.6842105263157901E-2</v>
      </c>
      <c r="K72" s="49">
        <f t="shared" si="24"/>
        <v>11.515151515151514</v>
      </c>
      <c r="L72" s="44">
        <f t="shared" ref="L72" si="36">K72/K$2</f>
        <v>5.4351515151515146</v>
      </c>
    </row>
    <row r="73" spans="1:12">
      <c r="A73" s="1" t="s">
        <v>56</v>
      </c>
      <c r="B73" s="46" t="s">
        <v>403</v>
      </c>
      <c r="C73" s="75"/>
      <c r="D73" s="27" t="s">
        <v>330</v>
      </c>
      <c r="E73" s="126">
        <v>30000</v>
      </c>
      <c r="F73" s="110">
        <v>300000</v>
      </c>
      <c r="G73" s="47">
        <f t="shared" si="35"/>
        <v>130000</v>
      </c>
      <c r="H73" s="48">
        <v>11000</v>
      </c>
      <c r="I73" s="88">
        <f t="shared" si="27"/>
        <v>1100</v>
      </c>
      <c r="J73" s="49">
        <f t="shared" si="23"/>
        <v>8.461538461538462E-2</v>
      </c>
      <c r="K73" s="49">
        <f t="shared" si="24"/>
        <v>11.818181818181818</v>
      </c>
      <c r="L73" s="44">
        <f t="shared" ref="L73" si="37">K73/K$2</f>
        <v>5.5781818181818181</v>
      </c>
    </row>
    <row r="74" spans="1:12">
      <c r="A74" s="1" t="s">
        <v>56</v>
      </c>
      <c r="B74" s="57" t="s">
        <v>404</v>
      </c>
      <c r="C74" s="77"/>
      <c r="D74" s="58" t="s">
        <v>331</v>
      </c>
      <c r="E74" s="112">
        <v>5000</v>
      </c>
      <c r="F74" s="115">
        <v>31000</v>
      </c>
      <c r="G74" s="59">
        <f>(F74/10000*2500)+E74</f>
        <v>12750</v>
      </c>
      <c r="H74" s="60">
        <v>1100</v>
      </c>
      <c r="I74" s="91">
        <f t="shared" si="27"/>
        <v>110</v>
      </c>
      <c r="J74" s="61">
        <f t="shared" si="23"/>
        <v>8.6274509803921567E-2</v>
      </c>
      <c r="K74" s="61">
        <f t="shared" si="24"/>
        <v>11.590909090909092</v>
      </c>
      <c r="L74" s="44">
        <f t="shared" ref="L74" si="38">K74/K$2</f>
        <v>5.4709090909090907</v>
      </c>
    </row>
    <row r="75" spans="1:12">
      <c r="A75" s="1" t="s">
        <v>56</v>
      </c>
      <c r="B75" s="57" t="s">
        <v>405</v>
      </c>
      <c r="C75" s="77"/>
      <c r="D75" s="58" t="s">
        <v>331</v>
      </c>
      <c r="E75" s="112">
        <v>15000</v>
      </c>
      <c r="F75" s="115">
        <v>200000</v>
      </c>
      <c r="G75" s="59">
        <f t="shared" ref="G75:G76" si="39">(F75/10000*2500)+E75</f>
        <v>65000</v>
      </c>
      <c r="H75" s="60">
        <v>5500</v>
      </c>
      <c r="I75" s="91">
        <f t="shared" si="27"/>
        <v>550</v>
      </c>
      <c r="J75" s="61">
        <f t="shared" si="23"/>
        <v>8.461538461538462E-2</v>
      </c>
      <c r="K75" s="61">
        <f t="shared" si="24"/>
        <v>11.818181818181818</v>
      </c>
      <c r="L75" s="44">
        <f t="shared" ref="L75" si="40">K75/K$2</f>
        <v>5.5781818181818181</v>
      </c>
    </row>
    <row r="76" spans="1:12">
      <c r="A76" s="1" t="s">
        <v>56</v>
      </c>
      <c r="B76" s="57" t="s">
        <v>406</v>
      </c>
      <c r="C76" s="77"/>
      <c r="D76" s="58" t="s">
        <v>331</v>
      </c>
      <c r="E76" s="112">
        <v>30000</v>
      </c>
      <c r="F76" s="115">
        <v>400000</v>
      </c>
      <c r="G76" s="59">
        <f t="shared" si="39"/>
        <v>130000</v>
      </c>
      <c r="H76" s="60">
        <v>11000</v>
      </c>
      <c r="I76" s="91">
        <f t="shared" si="27"/>
        <v>1100</v>
      </c>
      <c r="J76" s="61">
        <f t="shared" si="23"/>
        <v>8.461538461538462E-2</v>
      </c>
      <c r="K76" s="61">
        <f t="shared" si="24"/>
        <v>11.818181818181818</v>
      </c>
      <c r="L76" s="44">
        <f>K76/K$2</f>
        <v>5.5781818181818181</v>
      </c>
    </row>
    <row r="77" spans="1:12">
      <c r="A77" s="1" t="s">
        <v>56</v>
      </c>
      <c r="B77" s="27" t="s">
        <v>407</v>
      </c>
      <c r="C77" s="43"/>
      <c r="D77" s="53" t="s">
        <v>53</v>
      </c>
      <c r="E77" s="113"/>
      <c r="F77" s="106">
        <v>1</v>
      </c>
      <c r="G77" s="47">
        <f>3*10000*F77</f>
        <v>30000</v>
      </c>
      <c r="H77" s="48">
        <v>1100</v>
      </c>
      <c r="I77" s="88">
        <f t="shared" si="27"/>
        <v>110</v>
      </c>
      <c r="J77" s="49">
        <f t="shared" si="23"/>
        <v>3.6666666666666667E-2</v>
      </c>
      <c r="K77" s="49">
        <f t="shared" si="24"/>
        <v>27.272727272727273</v>
      </c>
      <c r="L77" s="44">
        <f t="shared" si="25"/>
        <v>12.872727272727273</v>
      </c>
    </row>
    <row r="78" spans="1:12">
      <c r="A78" s="1" t="s">
        <v>56</v>
      </c>
      <c r="B78" s="58" t="s">
        <v>408</v>
      </c>
      <c r="C78" s="78"/>
      <c r="D78" s="62" t="s">
        <v>241</v>
      </c>
      <c r="E78" s="114"/>
      <c r="F78" s="115">
        <v>1</v>
      </c>
      <c r="G78" s="59">
        <f>2*10000*F78</f>
        <v>20000</v>
      </c>
      <c r="H78" s="60">
        <v>1100</v>
      </c>
      <c r="I78" s="91">
        <f t="shared" si="27"/>
        <v>110</v>
      </c>
      <c r="J78" s="61">
        <f t="shared" si="23"/>
        <v>5.5E-2</v>
      </c>
      <c r="K78" s="61">
        <f t="shared" si="24"/>
        <v>18.181818181818183</v>
      </c>
      <c r="L78" s="44">
        <f t="shared" ref="L78" si="41">K78/K$2</f>
        <v>8.581818181818182</v>
      </c>
    </row>
    <row r="79" spans="1:12">
      <c r="A79" s="1" t="s">
        <v>56</v>
      </c>
      <c r="B79" s="70" t="s">
        <v>413</v>
      </c>
      <c r="C79" s="72"/>
      <c r="D79" s="70" t="s">
        <v>48</v>
      </c>
      <c r="E79" s="112"/>
      <c r="F79" s="111">
        <v>13000</v>
      </c>
      <c r="G79" s="71">
        <f>F79</f>
        <v>13000</v>
      </c>
      <c r="H79" s="73">
        <v>1100</v>
      </c>
      <c r="I79" s="90">
        <f>H79/10</f>
        <v>110</v>
      </c>
      <c r="J79" s="74">
        <f t="shared" ref="J79:J81" si="42">H79/G79</f>
        <v>8.461538461538462E-2</v>
      </c>
      <c r="K79" s="74">
        <f t="shared" ref="K79:K81" si="43">G79/H79</f>
        <v>11.818181818181818</v>
      </c>
      <c r="L79" s="44">
        <f>K79/K$2</f>
        <v>5.5781818181818181</v>
      </c>
    </row>
    <row r="80" spans="1:12">
      <c r="A80" s="1" t="s">
        <v>56</v>
      </c>
      <c r="B80" s="70" t="s">
        <v>414</v>
      </c>
      <c r="C80" s="72"/>
      <c r="D80" s="70" t="s">
        <v>48</v>
      </c>
      <c r="E80" s="112"/>
      <c r="F80" s="111">
        <v>65000</v>
      </c>
      <c r="G80" s="71">
        <f>F80</f>
        <v>65000</v>
      </c>
      <c r="H80" s="73">
        <v>5500</v>
      </c>
      <c r="I80" s="90">
        <f>H80/10</f>
        <v>550</v>
      </c>
      <c r="J80" s="74">
        <f t="shared" si="42"/>
        <v>8.461538461538462E-2</v>
      </c>
      <c r="K80" s="74">
        <f t="shared" si="43"/>
        <v>11.818181818181818</v>
      </c>
      <c r="L80" s="44">
        <f>K80/K$2</f>
        <v>5.5781818181818181</v>
      </c>
    </row>
    <row r="81" spans="1:12">
      <c r="A81" s="1" t="s">
        <v>56</v>
      </c>
      <c r="B81" s="70" t="s">
        <v>415</v>
      </c>
      <c r="C81" s="72"/>
      <c r="D81" s="70" t="s">
        <v>48</v>
      </c>
      <c r="E81" s="112"/>
      <c r="F81" s="111">
        <v>130000</v>
      </c>
      <c r="G81" s="71">
        <f>F81</f>
        <v>130000</v>
      </c>
      <c r="H81" s="73">
        <v>11000</v>
      </c>
      <c r="I81" s="90">
        <f>H81/10</f>
        <v>1100</v>
      </c>
      <c r="J81" s="74">
        <f t="shared" si="42"/>
        <v>8.461538461538462E-2</v>
      </c>
      <c r="K81" s="74">
        <f t="shared" si="43"/>
        <v>11.818181818181818</v>
      </c>
      <c r="L81" s="44">
        <f>K81/K$2</f>
        <v>5.5781818181818181</v>
      </c>
    </row>
    <row r="82" spans="1:12">
      <c r="D82" s="7"/>
      <c r="E82" s="65"/>
      <c r="H82" s="158">
        <f>SUM(H62:H81)</f>
        <v>107800</v>
      </c>
      <c r="I82" s="92"/>
      <c r="J82" s="6"/>
      <c r="K82" s="6"/>
    </row>
    <row r="84" spans="1:12">
      <c r="A84" s="1" t="s">
        <v>57</v>
      </c>
      <c r="B84" s="27" t="s">
        <v>412</v>
      </c>
      <c r="C84" s="43"/>
      <c r="D84" s="27" t="s">
        <v>48</v>
      </c>
      <c r="E84" s="126">
        <v>3000</v>
      </c>
      <c r="F84" s="106"/>
      <c r="G84" s="47"/>
      <c r="H84" s="27"/>
      <c r="I84" s="27"/>
      <c r="J84" s="27"/>
      <c r="K84" s="27"/>
    </row>
    <row r="85" spans="1:12">
      <c r="A85" s="1" t="s">
        <v>57</v>
      </c>
      <c r="B85" s="57" t="s">
        <v>392</v>
      </c>
      <c r="C85" s="76"/>
      <c r="D85" s="58" t="s">
        <v>327</v>
      </c>
      <c r="E85" s="112">
        <v>30000</v>
      </c>
      <c r="F85" s="118">
        <v>900</v>
      </c>
      <c r="G85" s="59">
        <f>100*F85+E85</f>
        <v>120000</v>
      </c>
      <c r="H85" s="60">
        <v>11000</v>
      </c>
      <c r="I85" s="91">
        <f t="shared" ref="I85:I109" si="44">H85/10</f>
        <v>1100</v>
      </c>
      <c r="J85" s="61">
        <f t="shared" ref="J85:J109" si="45">H85/G85</f>
        <v>9.166666666666666E-2</v>
      </c>
      <c r="K85" s="61">
        <f t="shared" ref="K85:K109" si="46">G85/H85</f>
        <v>10.909090909090908</v>
      </c>
      <c r="L85" s="44">
        <f>K85/K$2</f>
        <v>5.1490909090909085</v>
      </c>
    </row>
    <row r="86" spans="1:12">
      <c r="A86" s="1" t="s">
        <v>57</v>
      </c>
      <c r="B86" s="57" t="s">
        <v>393</v>
      </c>
      <c r="C86" s="76"/>
      <c r="D86" s="58" t="s">
        <v>327</v>
      </c>
      <c r="E86" s="112">
        <v>60000</v>
      </c>
      <c r="F86" s="118">
        <v>3000</v>
      </c>
      <c r="G86" s="59">
        <f t="shared" ref="G86:G87" si="47">100*F86+E86</f>
        <v>360000</v>
      </c>
      <c r="H86" s="60">
        <v>33000</v>
      </c>
      <c r="I86" s="91">
        <f t="shared" si="44"/>
        <v>3300</v>
      </c>
      <c r="J86" s="61">
        <f t="shared" si="45"/>
        <v>9.166666666666666E-2</v>
      </c>
      <c r="K86" s="61">
        <f t="shared" si="46"/>
        <v>10.909090909090908</v>
      </c>
      <c r="L86" s="44">
        <f t="shared" ref="L86:L87" si="48">K86/K$2</f>
        <v>5.1490909090909085</v>
      </c>
    </row>
    <row r="87" spans="1:12">
      <c r="A87" s="1" t="s">
        <v>57</v>
      </c>
      <c r="B87" s="57" t="s">
        <v>394</v>
      </c>
      <c r="C87" s="76"/>
      <c r="D87" s="58" t="s">
        <v>327</v>
      </c>
      <c r="E87" s="112">
        <v>90000</v>
      </c>
      <c r="F87" s="118">
        <v>5000</v>
      </c>
      <c r="G87" s="59">
        <f t="shared" si="47"/>
        <v>590000</v>
      </c>
      <c r="H87" s="60">
        <v>55000</v>
      </c>
      <c r="I87" s="91">
        <f t="shared" si="44"/>
        <v>5500</v>
      </c>
      <c r="J87" s="61">
        <f t="shared" si="45"/>
        <v>9.3220338983050849E-2</v>
      </c>
      <c r="K87" s="61">
        <f t="shared" si="46"/>
        <v>10.727272727272727</v>
      </c>
      <c r="L87" s="44">
        <f t="shared" si="48"/>
        <v>5.0632727272727269</v>
      </c>
    </row>
    <row r="88" spans="1:12">
      <c r="A88" s="1" t="s">
        <v>57</v>
      </c>
      <c r="B88" s="46" t="s">
        <v>395</v>
      </c>
      <c r="C88" s="75"/>
      <c r="D88" s="27" t="s">
        <v>328</v>
      </c>
      <c r="E88" s="126">
        <v>25000</v>
      </c>
      <c r="F88" s="110">
        <v>600</v>
      </c>
      <c r="G88" s="47">
        <f>150*F88+E88</f>
        <v>115000</v>
      </c>
      <c r="H88" s="48">
        <v>11000</v>
      </c>
      <c r="I88" s="88">
        <f t="shared" si="44"/>
        <v>1100</v>
      </c>
      <c r="J88" s="49">
        <f t="shared" si="45"/>
        <v>9.5652173913043481E-2</v>
      </c>
      <c r="K88" s="49">
        <f t="shared" si="46"/>
        <v>10.454545454545455</v>
      </c>
      <c r="L88" s="44">
        <f>K88/K$2</f>
        <v>4.9345454545454546</v>
      </c>
    </row>
    <row r="89" spans="1:12">
      <c r="A89" s="1" t="s">
        <v>57</v>
      </c>
      <c r="B89" s="46" t="s">
        <v>396</v>
      </c>
      <c r="C89" s="75"/>
      <c r="D89" s="27" t="s">
        <v>328</v>
      </c>
      <c r="E89" s="126">
        <v>50000</v>
      </c>
      <c r="F89" s="110">
        <v>2000</v>
      </c>
      <c r="G89" s="47">
        <f t="shared" ref="G89:G90" si="49">150*F89+E89</f>
        <v>350000</v>
      </c>
      <c r="H89" s="48">
        <v>33000</v>
      </c>
      <c r="I89" s="88">
        <f t="shared" si="44"/>
        <v>3300</v>
      </c>
      <c r="J89" s="49">
        <f t="shared" si="45"/>
        <v>9.4285714285714292E-2</v>
      </c>
      <c r="K89" s="49">
        <f t="shared" si="46"/>
        <v>10.606060606060606</v>
      </c>
      <c r="L89" s="44">
        <f t="shared" ref="L89:L90" si="50">K89/K$2</f>
        <v>5.0060606060606059</v>
      </c>
    </row>
    <row r="90" spans="1:12">
      <c r="A90" s="1" t="s">
        <v>57</v>
      </c>
      <c r="B90" s="46" t="s">
        <v>397</v>
      </c>
      <c r="C90" s="75"/>
      <c r="D90" s="27" t="s">
        <v>328</v>
      </c>
      <c r="E90" s="126">
        <v>65000</v>
      </c>
      <c r="F90" s="110">
        <v>3500</v>
      </c>
      <c r="G90" s="47">
        <f t="shared" si="49"/>
        <v>590000</v>
      </c>
      <c r="H90" s="48">
        <v>55000</v>
      </c>
      <c r="I90" s="88">
        <f t="shared" si="44"/>
        <v>5500</v>
      </c>
      <c r="J90" s="49">
        <f t="shared" si="45"/>
        <v>9.3220338983050849E-2</v>
      </c>
      <c r="K90" s="49">
        <f t="shared" si="46"/>
        <v>10.727272727272727</v>
      </c>
      <c r="L90" s="44">
        <f t="shared" si="50"/>
        <v>5.0632727272727269</v>
      </c>
    </row>
    <row r="91" spans="1:12">
      <c r="A91" s="1" t="s">
        <v>57</v>
      </c>
      <c r="B91" s="57" t="s">
        <v>398</v>
      </c>
      <c r="C91" s="77"/>
      <c r="D91" s="58" t="s">
        <v>329</v>
      </c>
      <c r="E91" s="112">
        <v>20000</v>
      </c>
      <c r="F91" s="118">
        <v>500</v>
      </c>
      <c r="G91" s="59">
        <f>200*F91+E91</f>
        <v>120000</v>
      </c>
      <c r="H91" s="60">
        <v>11000</v>
      </c>
      <c r="I91" s="91">
        <f t="shared" si="44"/>
        <v>1100</v>
      </c>
      <c r="J91" s="61">
        <f t="shared" si="45"/>
        <v>9.166666666666666E-2</v>
      </c>
      <c r="K91" s="61">
        <f t="shared" si="46"/>
        <v>10.909090909090908</v>
      </c>
      <c r="L91" s="44">
        <f>K91/K$2</f>
        <v>5.1490909090909085</v>
      </c>
    </row>
    <row r="92" spans="1:12">
      <c r="A92" s="1" t="s">
        <v>57</v>
      </c>
      <c r="B92" s="57" t="s">
        <v>399</v>
      </c>
      <c r="C92" s="77"/>
      <c r="D92" s="58" t="s">
        <v>329</v>
      </c>
      <c r="E92" s="112">
        <v>50000</v>
      </c>
      <c r="F92" s="118">
        <v>1500</v>
      </c>
      <c r="G92" s="59">
        <f t="shared" ref="G92:G93" si="51">200*F92+E92</f>
        <v>350000</v>
      </c>
      <c r="H92" s="60">
        <v>33000</v>
      </c>
      <c r="I92" s="91">
        <f t="shared" si="44"/>
        <v>3300</v>
      </c>
      <c r="J92" s="61">
        <f t="shared" si="45"/>
        <v>9.4285714285714292E-2</v>
      </c>
      <c r="K92" s="61">
        <f t="shared" si="46"/>
        <v>10.606060606060606</v>
      </c>
      <c r="L92" s="44">
        <f t="shared" ref="L92:L93" si="52">K92/K$2</f>
        <v>5.0060606060606059</v>
      </c>
    </row>
    <row r="93" spans="1:12">
      <c r="A93" s="1" t="s">
        <v>57</v>
      </c>
      <c r="B93" s="57" t="s">
        <v>400</v>
      </c>
      <c r="C93" s="77"/>
      <c r="D93" s="58" t="s">
        <v>329</v>
      </c>
      <c r="E93" s="112">
        <v>80000</v>
      </c>
      <c r="F93" s="118">
        <v>2500</v>
      </c>
      <c r="G93" s="59">
        <f t="shared" si="51"/>
        <v>580000</v>
      </c>
      <c r="H93" s="60">
        <v>55000</v>
      </c>
      <c r="I93" s="91">
        <f t="shared" si="44"/>
        <v>5500</v>
      </c>
      <c r="J93" s="61">
        <f t="shared" si="45"/>
        <v>9.4827586206896547E-2</v>
      </c>
      <c r="K93" s="61">
        <f t="shared" si="46"/>
        <v>10.545454545454545</v>
      </c>
      <c r="L93" s="44">
        <f t="shared" si="52"/>
        <v>4.9774545454545454</v>
      </c>
    </row>
    <row r="94" spans="1:12">
      <c r="A94" s="1" t="s">
        <v>57</v>
      </c>
      <c r="B94" s="46" t="s">
        <v>401</v>
      </c>
      <c r="C94" s="75"/>
      <c r="D94" s="27" t="s">
        <v>330</v>
      </c>
      <c r="E94" s="126">
        <v>20000</v>
      </c>
      <c r="F94" s="110">
        <v>325000</v>
      </c>
      <c r="G94" s="47">
        <f>(F94/7500*2500)+E94</f>
        <v>128333.33333333334</v>
      </c>
      <c r="H94" s="48">
        <v>11000</v>
      </c>
      <c r="I94" s="88">
        <f t="shared" si="44"/>
        <v>1100</v>
      </c>
      <c r="J94" s="49">
        <f t="shared" si="45"/>
        <v>8.5714285714285701E-2</v>
      </c>
      <c r="K94" s="49">
        <f t="shared" si="46"/>
        <v>11.666666666666668</v>
      </c>
      <c r="L94" s="44">
        <f t="shared" ref="L94:L100" si="53">K94/K$2</f>
        <v>5.5066666666666668</v>
      </c>
    </row>
    <row r="95" spans="1:12">
      <c r="A95" s="1" t="s">
        <v>57</v>
      </c>
      <c r="B95" s="46" t="s">
        <v>402</v>
      </c>
      <c r="C95" s="75"/>
      <c r="D95" s="27" t="s">
        <v>330</v>
      </c>
      <c r="E95" s="126">
        <v>50000</v>
      </c>
      <c r="F95" s="110">
        <v>1000000</v>
      </c>
      <c r="G95" s="47">
        <f t="shared" ref="G95:G96" si="54">(F95/7500*2500)+E95</f>
        <v>383333.33333333337</v>
      </c>
      <c r="H95" s="48">
        <v>33000</v>
      </c>
      <c r="I95" s="88">
        <f t="shared" si="44"/>
        <v>3300</v>
      </c>
      <c r="J95" s="49">
        <f t="shared" si="45"/>
        <v>8.6086956521739116E-2</v>
      </c>
      <c r="K95" s="49">
        <f t="shared" si="46"/>
        <v>11.616161616161618</v>
      </c>
      <c r="L95" s="44">
        <f t="shared" si="53"/>
        <v>5.4828282828282831</v>
      </c>
    </row>
    <row r="96" spans="1:12">
      <c r="A96" s="1" t="s">
        <v>57</v>
      </c>
      <c r="B96" s="46" t="s">
        <v>403</v>
      </c>
      <c r="C96" s="75"/>
      <c r="D96" s="27" t="s">
        <v>330</v>
      </c>
      <c r="E96" s="126">
        <v>70000</v>
      </c>
      <c r="F96" s="110">
        <v>1700000</v>
      </c>
      <c r="G96" s="47">
        <f t="shared" si="54"/>
        <v>636666.66666666663</v>
      </c>
      <c r="H96" s="48">
        <v>55000</v>
      </c>
      <c r="I96" s="88">
        <f t="shared" si="44"/>
        <v>5500</v>
      </c>
      <c r="J96" s="49">
        <f t="shared" si="45"/>
        <v>8.638743455497383E-2</v>
      </c>
      <c r="K96" s="49">
        <f t="shared" si="46"/>
        <v>11.575757575757574</v>
      </c>
      <c r="L96" s="44">
        <f t="shared" si="53"/>
        <v>5.4637575757575751</v>
      </c>
    </row>
    <row r="97" spans="1:12">
      <c r="A97" s="1" t="s">
        <v>57</v>
      </c>
      <c r="B97" s="57" t="s">
        <v>404</v>
      </c>
      <c r="C97" s="77"/>
      <c r="D97" s="58" t="s">
        <v>331</v>
      </c>
      <c r="E97" s="112">
        <v>20000</v>
      </c>
      <c r="F97" s="118">
        <v>430000</v>
      </c>
      <c r="G97" s="59">
        <f>(F97/10000*2500)+E97</f>
        <v>127500</v>
      </c>
      <c r="H97" s="60">
        <v>11000</v>
      </c>
      <c r="I97" s="91">
        <f t="shared" si="44"/>
        <v>1100</v>
      </c>
      <c r="J97" s="61">
        <f t="shared" si="45"/>
        <v>8.6274509803921567E-2</v>
      </c>
      <c r="K97" s="61">
        <f t="shared" si="46"/>
        <v>11.590909090909092</v>
      </c>
      <c r="L97" s="44">
        <f t="shared" si="53"/>
        <v>5.4709090909090907</v>
      </c>
    </row>
    <row r="98" spans="1:12">
      <c r="A98" s="1" t="s">
        <v>57</v>
      </c>
      <c r="B98" s="57" t="s">
        <v>405</v>
      </c>
      <c r="C98" s="77"/>
      <c r="D98" s="58" t="s">
        <v>331</v>
      </c>
      <c r="E98" s="112">
        <v>45000</v>
      </c>
      <c r="F98" s="118">
        <v>1350000</v>
      </c>
      <c r="G98" s="59">
        <f>(F98/10000*2500)+E98</f>
        <v>382500</v>
      </c>
      <c r="H98" s="60">
        <v>33000</v>
      </c>
      <c r="I98" s="91">
        <f t="shared" si="44"/>
        <v>3300</v>
      </c>
      <c r="J98" s="61">
        <f t="shared" si="45"/>
        <v>8.6274509803921567E-2</v>
      </c>
      <c r="K98" s="61">
        <f t="shared" si="46"/>
        <v>11.590909090909092</v>
      </c>
      <c r="L98" s="44">
        <f t="shared" si="53"/>
        <v>5.4709090909090907</v>
      </c>
    </row>
    <row r="99" spans="1:12">
      <c r="A99" s="1" t="s">
        <v>57</v>
      </c>
      <c r="B99" s="57" t="s">
        <v>406</v>
      </c>
      <c r="C99" s="77"/>
      <c r="D99" s="58" t="s">
        <v>331</v>
      </c>
      <c r="E99" s="112">
        <v>65000</v>
      </c>
      <c r="F99" s="118">
        <v>2300000</v>
      </c>
      <c r="G99" s="59">
        <f>(F99/10000*2500)+E99</f>
        <v>640000</v>
      </c>
      <c r="H99" s="60">
        <v>55000</v>
      </c>
      <c r="I99" s="91">
        <f t="shared" si="44"/>
        <v>5500</v>
      </c>
      <c r="J99" s="61">
        <f t="shared" si="45"/>
        <v>8.59375E-2</v>
      </c>
      <c r="K99" s="61">
        <f t="shared" si="46"/>
        <v>11.636363636363637</v>
      </c>
      <c r="L99" s="44">
        <f t="shared" si="53"/>
        <v>5.4923636363636366</v>
      </c>
    </row>
    <row r="100" spans="1:12">
      <c r="A100" s="1" t="s">
        <v>57</v>
      </c>
      <c r="B100" s="27" t="s">
        <v>407</v>
      </c>
      <c r="C100" s="43"/>
      <c r="D100" s="53" t="s">
        <v>242</v>
      </c>
      <c r="E100" s="113"/>
      <c r="F100" s="106">
        <v>3</v>
      </c>
      <c r="G100" s="47">
        <f>4*10000*F100</f>
        <v>120000</v>
      </c>
      <c r="H100" s="48">
        <v>5500</v>
      </c>
      <c r="I100" s="88">
        <f t="shared" si="44"/>
        <v>550</v>
      </c>
      <c r="J100" s="49">
        <f t="shared" si="45"/>
        <v>4.583333333333333E-2</v>
      </c>
      <c r="K100" s="49">
        <f t="shared" si="46"/>
        <v>21.818181818181817</v>
      </c>
      <c r="L100" s="44">
        <f t="shared" si="53"/>
        <v>10.298181818181817</v>
      </c>
    </row>
    <row r="101" spans="1:12">
      <c r="A101" s="1" t="s">
        <v>57</v>
      </c>
      <c r="B101" s="27" t="s">
        <v>408</v>
      </c>
      <c r="C101" s="43"/>
      <c r="D101" s="53" t="s">
        <v>242</v>
      </c>
      <c r="E101" s="113"/>
      <c r="F101" s="106">
        <v>6</v>
      </c>
      <c r="G101" s="47">
        <f>4*10000*F101</f>
        <v>240000</v>
      </c>
      <c r="H101" s="48">
        <v>11000</v>
      </c>
      <c r="I101" s="88">
        <f t="shared" si="44"/>
        <v>1100</v>
      </c>
      <c r="J101" s="49">
        <f t="shared" si="45"/>
        <v>4.583333333333333E-2</v>
      </c>
      <c r="K101" s="49">
        <f t="shared" si="46"/>
        <v>21.818181818181817</v>
      </c>
      <c r="L101" s="44">
        <f t="shared" ref="L101" si="55">K101/K$2</f>
        <v>10.298181818181817</v>
      </c>
    </row>
    <row r="102" spans="1:12">
      <c r="A102" s="1" t="s">
        <v>57</v>
      </c>
      <c r="B102" s="70" t="s">
        <v>413</v>
      </c>
      <c r="C102" s="72"/>
      <c r="D102" s="70" t="s">
        <v>48</v>
      </c>
      <c r="E102" s="112"/>
      <c r="F102" s="111">
        <v>128000</v>
      </c>
      <c r="G102" s="71">
        <f>F102</f>
        <v>128000</v>
      </c>
      <c r="H102" s="73">
        <v>11000</v>
      </c>
      <c r="I102" s="90">
        <f t="shared" si="44"/>
        <v>1100</v>
      </c>
      <c r="J102" s="74">
        <f t="shared" si="45"/>
        <v>8.59375E-2</v>
      </c>
      <c r="K102" s="74">
        <f t="shared" si="46"/>
        <v>11.636363636363637</v>
      </c>
      <c r="L102" s="44">
        <f>K102/K$2</f>
        <v>5.4923636363636366</v>
      </c>
    </row>
    <row r="103" spans="1:12">
      <c r="A103" s="1" t="s">
        <v>57</v>
      </c>
      <c r="B103" s="70" t="s">
        <v>414</v>
      </c>
      <c r="C103" s="72"/>
      <c r="D103" s="70" t="s">
        <v>48</v>
      </c>
      <c r="E103" s="112"/>
      <c r="F103" s="111">
        <v>380000</v>
      </c>
      <c r="G103" s="71">
        <f>F103</f>
        <v>380000</v>
      </c>
      <c r="H103" s="73">
        <v>33000</v>
      </c>
      <c r="I103" s="90">
        <f t="shared" si="44"/>
        <v>3300</v>
      </c>
      <c r="J103" s="74">
        <f t="shared" si="45"/>
        <v>8.6842105263157901E-2</v>
      </c>
      <c r="K103" s="74">
        <f t="shared" si="46"/>
        <v>11.515151515151516</v>
      </c>
      <c r="L103" s="44">
        <f t="shared" ref="L103" si="56">K103/K$2</f>
        <v>5.4351515151515146</v>
      </c>
    </row>
    <row r="104" spans="1:12">
      <c r="A104" s="1" t="s">
        <v>57</v>
      </c>
      <c r="B104" s="70" t="s">
        <v>415</v>
      </c>
      <c r="C104" s="72"/>
      <c r="D104" s="70" t="s">
        <v>48</v>
      </c>
      <c r="E104" s="112"/>
      <c r="F104" s="111">
        <v>640000</v>
      </c>
      <c r="G104" s="71">
        <f>F104</f>
        <v>640000</v>
      </c>
      <c r="H104" s="73">
        <v>55000</v>
      </c>
      <c r="I104" s="90">
        <f t="shared" si="44"/>
        <v>5500</v>
      </c>
      <c r="J104" s="74">
        <f t="shared" si="45"/>
        <v>8.59375E-2</v>
      </c>
      <c r="K104" s="74">
        <f t="shared" si="46"/>
        <v>11.636363636363637</v>
      </c>
      <c r="L104" s="44">
        <f>K104/K$2</f>
        <v>5.4923636363636366</v>
      </c>
    </row>
    <row r="105" spans="1:12">
      <c r="A105" s="1" t="s">
        <v>57</v>
      </c>
      <c r="B105" s="70" t="s">
        <v>416</v>
      </c>
      <c r="C105" s="72"/>
      <c r="D105" s="70" t="s">
        <v>48</v>
      </c>
      <c r="E105" s="112"/>
      <c r="F105" s="111">
        <v>1280000</v>
      </c>
      <c r="G105" s="71">
        <f>F105</f>
        <v>1280000</v>
      </c>
      <c r="H105" s="73">
        <v>110000</v>
      </c>
      <c r="I105" s="90">
        <f t="shared" si="44"/>
        <v>11000</v>
      </c>
      <c r="J105" s="74">
        <f t="shared" si="45"/>
        <v>8.59375E-2</v>
      </c>
      <c r="K105" s="74">
        <f t="shared" si="46"/>
        <v>11.636363636363637</v>
      </c>
      <c r="L105" s="44">
        <f t="shared" ref="L105" si="57">K105/K$2</f>
        <v>5.4923636363636366</v>
      </c>
    </row>
    <row r="106" spans="1:12">
      <c r="A106" s="1" t="s">
        <v>57</v>
      </c>
      <c r="B106" s="27" t="s">
        <v>417</v>
      </c>
      <c r="C106" s="43"/>
      <c r="D106" s="27" t="s">
        <v>34</v>
      </c>
      <c r="E106" s="110"/>
      <c r="F106" s="106">
        <v>1000</v>
      </c>
      <c r="G106" s="47">
        <f>F106*150</f>
        <v>150000</v>
      </c>
      <c r="H106" s="48">
        <v>11000</v>
      </c>
      <c r="I106" s="88">
        <f t="shared" si="44"/>
        <v>1100</v>
      </c>
      <c r="J106" s="49">
        <f t="shared" si="45"/>
        <v>7.3333333333333334E-2</v>
      </c>
      <c r="K106" s="49">
        <f t="shared" si="46"/>
        <v>13.636363636363637</v>
      </c>
      <c r="L106" s="44">
        <f>K106/K$2</f>
        <v>6.4363636363636365</v>
      </c>
    </row>
    <row r="107" spans="1:12">
      <c r="A107" s="1" t="s">
        <v>57</v>
      </c>
      <c r="B107" s="27" t="s">
        <v>409</v>
      </c>
      <c r="C107" s="43"/>
      <c r="D107" s="27" t="s">
        <v>34</v>
      </c>
      <c r="E107" s="110"/>
      <c r="F107" s="106">
        <v>3000</v>
      </c>
      <c r="G107" s="47">
        <f>F107*150</f>
        <v>450000</v>
      </c>
      <c r="H107" s="48">
        <v>33000</v>
      </c>
      <c r="I107" s="88">
        <f t="shared" si="44"/>
        <v>3300</v>
      </c>
      <c r="J107" s="49">
        <f t="shared" si="45"/>
        <v>7.3333333333333334E-2</v>
      </c>
      <c r="K107" s="49">
        <f t="shared" si="46"/>
        <v>13.636363636363637</v>
      </c>
      <c r="L107" s="44">
        <f>K107/K$2</f>
        <v>6.4363636363636365</v>
      </c>
    </row>
    <row r="108" spans="1:12">
      <c r="A108" s="1" t="s">
        <v>57</v>
      </c>
      <c r="B108" s="58" t="s">
        <v>410</v>
      </c>
      <c r="C108" s="78"/>
      <c r="D108" s="58" t="s">
        <v>35</v>
      </c>
      <c r="E108" s="118"/>
      <c r="F108" s="115">
        <v>1000</v>
      </c>
      <c r="G108" s="59">
        <f>F108*150</f>
        <v>150000</v>
      </c>
      <c r="H108" s="60">
        <v>11000</v>
      </c>
      <c r="I108" s="91">
        <f>H108/10</f>
        <v>1100</v>
      </c>
      <c r="J108" s="61">
        <f t="shared" si="45"/>
        <v>7.3333333333333334E-2</v>
      </c>
      <c r="K108" s="61">
        <f t="shared" si="46"/>
        <v>13.636363636363637</v>
      </c>
      <c r="L108" s="44">
        <f>K108/K$2</f>
        <v>6.4363636363636365</v>
      </c>
    </row>
    <row r="109" spans="1:12">
      <c r="A109" s="1" t="s">
        <v>57</v>
      </c>
      <c r="B109" s="58" t="s">
        <v>411</v>
      </c>
      <c r="C109" s="78"/>
      <c r="D109" s="58" t="s">
        <v>35</v>
      </c>
      <c r="E109" s="118"/>
      <c r="F109" s="115">
        <v>3000</v>
      </c>
      <c r="G109" s="59">
        <f>F109*150</f>
        <v>450000</v>
      </c>
      <c r="H109" s="60">
        <v>33000</v>
      </c>
      <c r="I109" s="91">
        <f t="shared" si="44"/>
        <v>3300</v>
      </c>
      <c r="J109" s="61">
        <f t="shared" si="45"/>
        <v>7.3333333333333334E-2</v>
      </c>
      <c r="K109" s="61">
        <f t="shared" si="46"/>
        <v>13.636363636363637</v>
      </c>
      <c r="L109" s="44">
        <f>K109/K$2</f>
        <v>6.4363636363636365</v>
      </c>
    </row>
    <row r="110" spans="1:12">
      <c r="H110" s="158">
        <f>SUM(H85:H109)</f>
        <v>808500</v>
      </c>
      <c r="I110" s="12"/>
    </row>
    <row r="111" spans="1:12" s="54" customFormat="1">
      <c r="B111" s="55" t="s">
        <v>61</v>
      </c>
      <c r="C111" s="56"/>
      <c r="E111" s="104"/>
      <c r="F111" s="105"/>
      <c r="G111" s="20"/>
      <c r="L111" s="45"/>
    </row>
    <row r="112" spans="1:12">
      <c r="A112" s="1" t="s">
        <v>54</v>
      </c>
      <c r="B112" s="72" t="s">
        <v>62</v>
      </c>
      <c r="C112" s="72"/>
      <c r="D112" s="70" t="s">
        <v>86</v>
      </c>
      <c r="E112" s="112">
        <v>3750</v>
      </c>
      <c r="F112" s="111"/>
      <c r="G112" s="71">
        <f>E112*25</f>
        <v>93750</v>
      </c>
      <c r="H112" s="73">
        <v>5500</v>
      </c>
      <c r="I112" s="90">
        <f t="shared" ref="I112:I121" si="58">H112/10</f>
        <v>550</v>
      </c>
      <c r="J112" s="74">
        <f t="shared" ref="J112:J131" si="59">H112/G112</f>
        <v>5.8666666666666666E-2</v>
      </c>
      <c r="K112" s="74">
        <f t="shared" ref="K112:K131" si="60">G112/H112</f>
        <v>17.045454545454547</v>
      </c>
      <c r="L112" s="44">
        <f>K112/K$2</f>
        <v>8.045454545454545</v>
      </c>
    </row>
    <row r="113" spans="1:12">
      <c r="A113" s="1" t="s">
        <v>54</v>
      </c>
      <c r="B113" s="72" t="s">
        <v>63</v>
      </c>
      <c r="C113" s="72"/>
      <c r="D113" s="70" t="s">
        <v>87</v>
      </c>
      <c r="E113" s="112">
        <v>5300</v>
      </c>
      <c r="F113" s="111"/>
      <c r="G113" s="71">
        <f t="shared" ref="G113:G131" si="61">E113*25</f>
        <v>132500</v>
      </c>
      <c r="H113" s="73">
        <v>7700</v>
      </c>
      <c r="I113" s="90">
        <f t="shared" si="58"/>
        <v>770</v>
      </c>
      <c r="J113" s="74">
        <f t="shared" si="59"/>
        <v>5.811320754716981E-2</v>
      </c>
      <c r="K113" s="74">
        <f t="shared" si="60"/>
        <v>17.207792207792206</v>
      </c>
      <c r="L113" s="44">
        <f>K113/K$2</f>
        <v>8.1220779220779207</v>
      </c>
    </row>
    <row r="114" spans="1:12">
      <c r="A114" s="1" t="s">
        <v>54</v>
      </c>
      <c r="B114" s="72" t="s">
        <v>64</v>
      </c>
      <c r="C114" s="72"/>
      <c r="D114" s="70" t="s">
        <v>88</v>
      </c>
      <c r="E114" s="112">
        <v>7500</v>
      </c>
      <c r="F114" s="111"/>
      <c r="G114" s="71">
        <f t="shared" si="61"/>
        <v>187500</v>
      </c>
      <c r="H114" s="73">
        <v>11000</v>
      </c>
      <c r="I114" s="90">
        <f t="shared" si="58"/>
        <v>1100</v>
      </c>
      <c r="J114" s="74">
        <f t="shared" si="59"/>
        <v>5.8666666666666666E-2</v>
      </c>
      <c r="K114" s="74">
        <f t="shared" si="60"/>
        <v>17.045454545454547</v>
      </c>
      <c r="L114" s="44">
        <f>K114/K$2</f>
        <v>8.045454545454545</v>
      </c>
    </row>
    <row r="115" spans="1:12">
      <c r="A115" s="1" t="s">
        <v>54</v>
      </c>
      <c r="B115" s="72" t="s">
        <v>65</v>
      </c>
      <c r="C115" s="72"/>
      <c r="D115" s="70" t="s">
        <v>89</v>
      </c>
      <c r="E115" s="112">
        <v>15000</v>
      </c>
      <c r="F115" s="111"/>
      <c r="G115" s="71">
        <f t="shared" si="61"/>
        <v>375000</v>
      </c>
      <c r="H115" s="73">
        <v>22000</v>
      </c>
      <c r="I115" s="90">
        <f t="shared" si="58"/>
        <v>2200</v>
      </c>
      <c r="J115" s="74">
        <f t="shared" si="59"/>
        <v>5.8666666666666666E-2</v>
      </c>
      <c r="K115" s="74">
        <f t="shared" si="60"/>
        <v>17.045454545454547</v>
      </c>
      <c r="L115" s="44">
        <f>K115/K$2</f>
        <v>8.045454545454545</v>
      </c>
    </row>
    <row r="116" spans="1:12">
      <c r="A116" s="1" t="s">
        <v>54</v>
      </c>
      <c r="B116" s="72" t="s">
        <v>66</v>
      </c>
      <c r="C116" s="72"/>
      <c r="D116" s="70" t="s">
        <v>90</v>
      </c>
      <c r="E116" s="112">
        <v>22500</v>
      </c>
      <c r="F116" s="111"/>
      <c r="G116" s="71">
        <f t="shared" si="61"/>
        <v>562500</v>
      </c>
      <c r="H116" s="73">
        <v>33000</v>
      </c>
      <c r="I116" s="90">
        <f t="shared" si="58"/>
        <v>3300</v>
      </c>
      <c r="J116" s="74">
        <f t="shared" si="59"/>
        <v>5.8666666666666666E-2</v>
      </c>
      <c r="K116" s="74">
        <f t="shared" si="60"/>
        <v>17.045454545454547</v>
      </c>
      <c r="L116" s="44">
        <f>K116/K$2</f>
        <v>8.045454545454545</v>
      </c>
    </row>
    <row r="117" spans="1:12">
      <c r="A117" s="1" t="s">
        <v>54</v>
      </c>
      <c r="B117" s="72" t="s">
        <v>82</v>
      </c>
      <c r="C117" s="72"/>
      <c r="D117" s="70" t="s">
        <v>91</v>
      </c>
      <c r="E117" s="112">
        <v>22500</v>
      </c>
      <c r="F117" s="111"/>
      <c r="G117" s="71">
        <f t="shared" si="61"/>
        <v>562500</v>
      </c>
      <c r="H117" s="73">
        <v>33000</v>
      </c>
      <c r="I117" s="90">
        <f t="shared" si="58"/>
        <v>3300</v>
      </c>
      <c r="J117" s="74">
        <f t="shared" si="59"/>
        <v>5.8666666666666666E-2</v>
      </c>
      <c r="K117" s="74">
        <f t="shared" si="60"/>
        <v>17.045454545454547</v>
      </c>
      <c r="L117" s="44">
        <f t="shared" ref="L117:L121" si="62">K117/K$2</f>
        <v>8.045454545454545</v>
      </c>
    </row>
    <row r="118" spans="1:12">
      <c r="A118" s="1" t="s">
        <v>54</v>
      </c>
      <c r="B118" s="72" t="s">
        <v>83</v>
      </c>
      <c r="C118" s="72"/>
      <c r="D118" s="70" t="s">
        <v>92</v>
      </c>
      <c r="E118" s="112">
        <v>22500</v>
      </c>
      <c r="F118" s="111"/>
      <c r="G118" s="71">
        <f t="shared" si="61"/>
        <v>562500</v>
      </c>
      <c r="H118" s="73">
        <v>33000</v>
      </c>
      <c r="I118" s="90">
        <f t="shared" si="58"/>
        <v>3300</v>
      </c>
      <c r="J118" s="74">
        <f t="shared" si="59"/>
        <v>5.8666666666666666E-2</v>
      </c>
      <c r="K118" s="74">
        <f t="shared" si="60"/>
        <v>17.045454545454547</v>
      </c>
      <c r="L118" s="44">
        <f t="shared" si="62"/>
        <v>8.045454545454545</v>
      </c>
    </row>
    <row r="119" spans="1:12">
      <c r="A119" s="1" t="s">
        <v>54</v>
      </c>
      <c r="B119" s="72" t="s">
        <v>84</v>
      </c>
      <c r="C119" s="72"/>
      <c r="D119" s="70" t="s">
        <v>93</v>
      </c>
      <c r="E119" s="112">
        <v>22500</v>
      </c>
      <c r="F119" s="111"/>
      <c r="G119" s="71">
        <f t="shared" si="61"/>
        <v>562500</v>
      </c>
      <c r="H119" s="73">
        <v>33000</v>
      </c>
      <c r="I119" s="90">
        <f t="shared" si="58"/>
        <v>3300</v>
      </c>
      <c r="J119" s="74">
        <f t="shared" si="59"/>
        <v>5.8666666666666666E-2</v>
      </c>
      <c r="K119" s="74">
        <f t="shared" si="60"/>
        <v>17.045454545454547</v>
      </c>
      <c r="L119" s="44">
        <f t="shared" si="62"/>
        <v>8.045454545454545</v>
      </c>
    </row>
    <row r="120" spans="1:12">
      <c r="A120" s="1" t="s">
        <v>54</v>
      </c>
      <c r="B120" s="72" t="s">
        <v>243</v>
      </c>
      <c r="C120" s="72"/>
      <c r="D120" s="70" t="s">
        <v>244</v>
      </c>
      <c r="E120" s="112">
        <v>22500</v>
      </c>
      <c r="F120" s="111"/>
      <c r="G120" s="71">
        <f t="shared" si="61"/>
        <v>562500</v>
      </c>
      <c r="H120" s="73">
        <v>33000</v>
      </c>
      <c r="I120" s="90">
        <f t="shared" si="58"/>
        <v>3300</v>
      </c>
      <c r="J120" s="74">
        <f t="shared" si="59"/>
        <v>5.8666666666666666E-2</v>
      </c>
      <c r="K120" s="74">
        <f t="shared" si="60"/>
        <v>17.045454545454547</v>
      </c>
      <c r="L120" s="44">
        <f t="shared" si="62"/>
        <v>8.045454545454545</v>
      </c>
    </row>
    <row r="121" spans="1:12">
      <c r="A121" s="1" t="s">
        <v>54</v>
      </c>
      <c r="B121" s="72" t="s">
        <v>246</v>
      </c>
      <c r="C121" s="72"/>
      <c r="D121" s="70" t="s">
        <v>245</v>
      </c>
      <c r="E121" s="112">
        <v>22500</v>
      </c>
      <c r="F121" s="111"/>
      <c r="G121" s="71">
        <f t="shared" si="61"/>
        <v>562500</v>
      </c>
      <c r="H121" s="73">
        <v>33000</v>
      </c>
      <c r="I121" s="90">
        <f t="shared" si="58"/>
        <v>3300</v>
      </c>
      <c r="J121" s="74">
        <f t="shared" si="59"/>
        <v>5.8666666666666666E-2</v>
      </c>
      <c r="K121" s="74">
        <f t="shared" si="60"/>
        <v>17.045454545454547</v>
      </c>
      <c r="L121" s="44">
        <f t="shared" si="62"/>
        <v>8.045454545454545</v>
      </c>
    </row>
    <row r="122" spans="1:12">
      <c r="A122" s="1" t="s">
        <v>54</v>
      </c>
      <c r="B122" s="82" t="s">
        <v>378</v>
      </c>
      <c r="C122" s="82"/>
      <c r="D122" s="81" t="s">
        <v>272</v>
      </c>
      <c r="E122" s="116">
        <v>17000</v>
      </c>
      <c r="F122" s="117"/>
      <c r="G122" s="83">
        <f t="shared" si="61"/>
        <v>425000</v>
      </c>
      <c r="H122" s="84">
        <v>33000</v>
      </c>
      <c r="I122" s="84"/>
      <c r="J122" s="85">
        <f t="shared" si="59"/>
        <v>7.7647058823529416E-2</v>
      </c>
      <c r="K122" s="85">
        <f t="shared" si="60"/>
        <v>12.878787878787879</v>
      </c>
      <c r="L122" s="44">
        <f t="shared" ref="L122:L131" si="63">K122/K$2</f>
        <v>6.0787878787878782</v>
      </c>
    </row>
    <row r="123" spans="1:12">
      <c r="A123" s="1" t="s">
        <v>54</v>
      </c>
      <c r="B123" s="82" t="s">
        <v>273</v>
      </c>
      <c r="C123" s="82"/>
      <c r="D123" s="81" t="s">
        <v>274</v>
      </c>
      <c r="E123" s="116">
        <v>17000</v>
      </c>
      <c r="F123" s="117"/>
      <c r="G123" s="83">
        <f t="shared" si="61"/>
        <v>425000</v>
      </c>
      <c r="H123" s="84">
        <v>33000</v>
      </c>
      <c r="I123" s="84"/>
      <c r="J123" s="85">
        <f t="shared" si="59"/>
        <v>7.7647058823529416E-2</v>
      </c>
      <c r="K123" s="85">
        <f t="shared" si="60"/>
        <v>12.878787878787879</v>
      </c>
      <c r="L123" s="44">
        <f t="shared" si="63"/>
        <v>6.0787878787878782</v>
      </c>
    </row>
    <row r="124" spans="1:12">
      <c r="A124" s="1" t="s">
        <v>54</v>
      </c>
      <c r="B124" s="82" t="s">
        <v>275</v>
      </c>
      <c r="C124" s="82"/>
      <c r="D124" s="81" t="s">
        <v>276</v>
      </c>
      <c r="E124" s="116">
        <v>17000</v>
      </c>
      <c r="F124" s="117"/>
      <c r="G124" s="83">
        <f t="shared" si="61"/>
        <v>425000</v>
      </c>
      <c r="H124" s="84">
        <v>33000</v>
      </c>
      <c r="I124" s="84"/>
      <c r="J124" s="85">
        <f t="shared" si="59"/>
        <v>7.7647058823529416E-2</v>
      </c>
      <c r="K124" s="85">
        <f t="shared" si="60"/>
        <v>12.878787878787879</v>
      </c>
      <c r="L124" s="44">
        <f t="shared" si="63"/>
        <v>6.0787878787878782</v>
      </c>
    </row>
    <row r="125" spans="1:12">
      <c r="A125" s="1" t="s">
        <v>54</v>
      </c>
      <c r="B125" s="82" t="s">
        <v>277</v>
      </c>
      <c r="C125" s="82"/>
      <c r="D125" s="81" t="s">
        <v>278</v>
      </c>
      <c r="E125" s="116">
        <v>17000</v>
      </c>
      <c r="F125" s="117"/>
      <c r="G125" s="83">
        <f t="shared" si="61"/>
        <v>425000</v>
      </c>
      <c r="H125" s="84">
        <v>33000</v>
      </c>
      <c r="I125" s="84"/>
      <c r="J125" s="85">
        <f t="shared" si="59"/>
        <v>7.7647058823529416E-2</v>
      </c>
      <c r="K125" s="85">
        <f t="shared" si="60"/>
        <v>12.878787878787879</v>
      </c>
      <c r="L125" s="44">
        <f t="shared" si="63"/>
        <v>6.0787878787878782</v>
      </c>
    </row>
    <row r="126" spans="1:12">
      <c r="A126" s="1" t="s">
        <v>54</v>
      </c>
      <c r="B126" s="82" t="s">
        <v>279</v>
      </c>
      <c r="C126" s="82"/>
      <c r="D126" s="81" t="s">
        <v>280</v>
      </c>
      <c r="E126" s="116">
        <v>17000</v>
      </c>
      <c r="F126" s="117"/>
      <c r="G126" s="83">
        <f t="shared" si="61"/>
        <v>425000</v>
      </c>
      <c r="H126" s="84">
        <v>33000</v>
      </c>
      <c r="I126" s="84"/>
      <c r="J126" s="85">
        <f t="shared" si="59"/>
        <v>7.7647058823529416E-2</v>
      </c>
      <c r="K126" s="85">
        <f t="shared" si="60"/>
        <v>12.878787878787879</v>
      </c>
      <c r="L126" s="44">
        <f t="shared" si="63"/>
        <v>6.0787878787878782</v>
      </c>
    </row>
    <row r="127" spans="1:12">
      <c r="A127" s="1" t="s">
        <v>54</v>
      </c>
      <c r="B127" s="82" t="s">
        <v>281</v>
      </c>
      <c r="C127" s="82"/>
      <c r="D127" s="81" t="s">
        <v>282</v>
      </c>
      <c r="E127" s="116">
        <v>17000</v>
      </c>
      <c r="F127" s="117"/>
      <c r="G127" s="83">
        <f t="shared" si="61"/>
        <v>425000</v>
      </c>
      <c r="H127" s="84">
        <v>33000</v>
      </c>
      <c r="I127" s="84"/>
      <c r="J127" s="85">
        <f t="shared" si="59"/>
        <v>7.7647058823529416E-2</v>
      </c>
      <c r="K127" s="85">
        <f t="shared" si="60"/>
        <v>12.878787878787879</v>
      </c>
      <c r="L127" s="44">
        <f t="shared" si="63"/>
        <v>6.0787878787878782</v>
      </c>
    </row>
    <row r="128" spans="1:12">
      <c r="A128" s="1" t="s">
        <v>54</v>
      </c>
      <c r="B128" s="82" t="s">
        <v>283</v>
      </c>
      <c r="C128" s="82"/>
      <c r="D128" s="81" t="s">
        <v>284</v>
      </c>
      <c r="E128" s="116">
        <v>17000</v>
      </c>
      <c r="F128" s="117"/>
      <c r="G128" s="83">
        <f t="shared" si="61"/>
        <v>425000</v>
      </c>
      <c r="H128" s="84">
        <v>33000</v>
      </c>
      <c r="I128" s="84"/>
      <c r="J128" s="85">
        <f t="shared" si="59"/>
        <v>7.7647058823529416E-2</v>
      </c>
      <c r="K128" s="85">
        <f t="shared" si="60"/>
        <v>12.878787878787879</v>
      </c>
      <c r="L128" s="44">
        <f t="shared" si="63"/>
        <v>6.0787878787878782</v>
      </c>
    </row>
    <row r="129" spans="1:12">
      <c r="A129" s="1" t="s">
        <v>54</v>
      </c>
      <c r="B129" s="82" t="s">
        <v>285</v>
      </c>
      <c r="C129" s="82"/>
      <c r="D129" s="81" t="s">
        <v>286</v>
      </c>
      <c r="E129" s="116">
        <v>17000</v>
      </c>
      <c r="F129" s="117"/>
      <c r="G129" s="83">
        <f t="shared" si="61"/>
        <v>425000</v>
      </c>
      <c r="H129" s="84">
        <v>33000</v>
      </c>
      <c r="I129" s="84"/>
      <c r="J129" s="85">
        <f t="shared" si="59"/>
        <v>7.7647058823529416E-2</v>
      </c>
      <c r="K129" s="85">
        <f t="shared" si="60"/>
        <v>12.878787878787879</v>
      </c>
      <c r="L129" s="44">
        <f t="shared" si="63"/>
        <v>6.0787878787878782</v>
      </c>
    </row>
    <row r="130" spans="1:12">
      <c r="A130" s="1" t="s">
        <v>54</v>
      </c>
      <c r="B130" s="82" t="s">
        <v>287</v>
      </c>
      <c r="C130" s="82"/>
      <c r="D130" s="81" t="s">
        <v>288</v>
      </c>
      <c r="E130" s="116">
        <v>17000</v>
      </c>
      <c r="F130" s="117"/>
      <c r="G130" s="83">
        <f t="shared" si="61"/>
        <v>425000</v>
      </c>
      <c r="H130" s="84">
        <v>33000</v>
      </c>
      <c r="I130" s="84"/>
      <c r="J130" s="85">
        <f t="shared" si="59"/>
        <v>7.7647058823529416E-2</v>
      </c>
      <c r="K130" s="85">
        <f t="shared" si="60"/>
        <v>12.878787878787879</v>
      </c>
      <c r="L130" s="44">
        <f t="shared" si="63"/>
        <v>6.0787878787878782</v>
      </c>
    </row>
    <row r="131" spans="1:12">
      <c r="A131" s="1" t="s">
        <v>54</v>
      </c>
      <c r="B131" s="82" t="s">
        <v>289</v>
      </c>
      <c r="C131" s="82"/>
      <c r="D131" s="81" t="s">
        <v>290</v>
      </c>
      <c r="E131" s="116">
        <v>17000</v>
      </c>
      <c r="F131" s="117"/>
      <c r="G131" s="83">
        <f t="shared" si="61"/>
        <v>425000</v>
      </c>
      <c r="H131" s="84">
        <v>33000</v>
      </c>
      <c r="I131" s="84"/>
      <c r="J131" s="85">
        <f t="shared" si="59"/>
        <v>7.7647058823529416E-2</v>
      </c>
      <c r="K131" s="85">
        <f t="shared" si="60"/>
        <v>12.878787878787879</v>
      </c>
      <c r="L131" s="44">
        <f t="shared" si="63"/>
        <v>6.0787878787878782</v>
      </c>
    </row>
    <row r="132" spans="1:12">
      <c r="G132" s="159">
        <f>SUM(G112:G121)</f>
        <v>4163750</v>
      </c>
      <c r="H132" s="158">
        <f>SUM(H112:H121)</f>
        <v>244200</v>
      </c>
      <c r="I132" s="12"/>
    </row>
    <row r="133" spans="1:12">
      <c r="A133" s="1" t="s">
        <v>54</v>
      </c>
      <c r="B133" s="72" t="s">
        <v>310</v>
      </c>
      <c r="C133" s="72"/>
      <c r="D133" s="70" t="s">
        <v>72</v>
      </c>
      <c r="E133" s="112">
        <v>3750</v>
      </c>
      <c r="F133" s="111"/>
      <c r="G133" s="71">
        <f>E133*25</f>
        <v>93750</v>
      </c>
      <c r="H133" s="73">
        <v>5500</v>
      </c>
      <c r="I133" s="90">
        <f t="shared" ref="I133:I142" si="64">H133/10</f>
        <v>550</v>
      </c>
      <c r="J133" s="74">
        <f t="shared" ref="J133:J152" si="65">H133/G133</f>
        <v>5.8666666666666666E-2</v>
      </c>
      <c r="K133" s="74">
        <f t="shared" ref="K133:K152" si="66">G133/H133</f>
        <v>17.045454545454547</v>
      </c>
      <c r="L133" s="44">
        <f t="shared" ref="L133:L142" si="67">K133/K$2</f>
        <v>8.045454545454545</v>
      </c>
    </row>
    <row r="134" spans="1:12">
      <c r="A134" s="1" t="s">
        <v>54</v>
      </c>
      <c r="B134" s="72" t="s">
        <v>67</v>
      </c>
      <c r="C134" s="72"/>
      <c r="D134" s="70" t="s">
        <v>71</v>
      </c>
      <c r="E134" s="112">
        <v>5300</v>
      </c>
      <c r="F134" s="111"/>
      <c r="G134" s="71">
        <f t="shared" ref="G134:G152" si="68">E134*25</f>
        <v>132500</v>
      </c>
      <c r="H134" s="73">
        <v>7700</v>
      </c>
      <c r="I134" s="90">
        <f t="shared" si="64"/>
        <v>770</v>
      </c>
      <c r="J134" s="74">
        <f t="shared" si="65"/>
        <v>5.811320754716981E-2</v>
      </c>
      <c r="K134" s="74">
        <f t="shared" si="66"/>
        <v>17.207792207792206</v>
      </c>
      <c r="L134" s="44">
        <f t="shared" si="67"/>
        <v>8.1220779220779207</v>
      </c>
    </row>
    <row r="135" spans="1:12">
      <c r="A135" s="1" t="s">
        <v>54</v>
      </c>
      <c r="B135" s="72" t="s">
        <v>68</v>
      </c>
      <c r="C135" s="72"/>
      <c r="D135" s="70" t="s">
        <v>73</v>
      </c>
      <c r="E135" s="112">
        <v>7500</v>
      </c>
      <c r="F135" s="111"/>
      <c r="G135" s="71">
        <f t="shared" si="68"/>
        <v>187500</v>
      </c>
      <c r="H135" s="73">
        <v>11000</v>
      </c>
      <c r="I135" s="90">
        <f t="shared" si="64"/>
        <v>1100</v>
      </c>
      <c r="J135" s="74">
        <f t="shared" si="65"/>
        <v>5.8666666666666666E-2</v>
      </c>
      <c r="K135" s="74">
        <f t="shared" si="66"/>
        <v>17.045454545454547</v>
      </c>
      <c r="L135" s="44">
        <f t="shared" si="67"/>
        <v>8.045454545454545</v>
      </c>
    </row>
    <row r="136" spans="1:12">
      <c r="A136" s="1" t="s">
        <v>54</v>
      </c>
      <c r="B136" s="72" t="s">
        <v>69</v>
      </c>
      <c r="C136" s="72"/>
      <c r="D136" s="70" t="s">
        <v>74</v>
      </c>
      <c r="E136" s="112">
        <v>15000</v>
      </c>
      <c r="F136" s="111"/>
      <c r="G136" s="71">
        <f t="shared" si="68"/>
        <v>375000</v>
      </c>
      <c r="H136" s="73">
        <v>22000</v>
      </c>
      <c r="I136" s="90">
        <f t="shared" si="64"/>
        <v>2200</v>
      </c>
      <c r="J136" s="74">
        <f t="shared" si="65"/>
        <v>5.8666666666666666E-2</v>
      </c>
      <c r="K136" s="74">
        <f t="shared" si="66"/>
        <v>17.045454545454547</v>
      </c>
      <c r="L136" s="44">
        <f t="shared" si="67"/>
        <v>8.045454545454545</v>
      </c>
    </row>
    <row r="137" spans="1:12">
      <c r="A137" s="1" t="s">
        <v>54</v>
      </c>
      <c r="B137" s="72" t="s">
        <v>70</v>
      </c>
      <c r="C137" s="72"/>
      <c r="D137" s="70" t="s">
        <v>75</v>
      </c>
      <c r="E137" s="112">
        <v>22500</v>
      </c>
      <c r="F137" s="111"/>
      <c r="G137" s="71">
        <f t="shared" si="68"/>
        <v>562500</v>
      </c>
      <c r="H137" s="73">
        <v>33000</v>
      </c>
      <c r="I137" s="90">
        <f t="shared" si="64"/>
        <v>3300</v>
      </c>
      <c r="J137" s="74">
        <f t="shared" si="65"/>
        <v>5.8666666666666666E-2</v>
      </c>
      <c r="K137" s="74">
        <f t="shared" si="66"/>
        <v>17.045454545454547</v>
      </c>
      <c r="L137" s="44">
        <f t="shared" si="67"/>
        <v>8.045454545454545</v>
      </c>
    </row>
    <row r="138" spans="1:12">
      <c r="A138" s="1" t="s">
        <v>54</v>
      </c>
      <c r="B138" s="72" t="s">
        <v>78</v>
      </c>
      <c r="C138" s="72"/>
      <c r="D138" s="70" t="s">
        <v>76</v>
      </c>
      <c r="E138" s="112">
        <v>22500</v>
      </c>
      <c r="F138" s="111"/>
      <c r="G138" s="71">
        <f t="shared" si="68"/>
        <v>562500</v>
      </c>
      <c r="H138" s="73">
        <v>33000</v>
      </c>
      <c r="I138" s="90">
        <f t="shared" si="64"/>
        <v>3300</v>
      </c>
      <c r="J138" s="74">
        <f t="shared" si="65"/>
        <v>5.8666666666666666E-2</v>
      </c>
      <c r="K138" s="74">
        <f t="shared" si="66"/>
        <v>17.045454545454547</v>
      </c>
      <c r="L138" s="44">
        <f t="shared" si="67"/>
        <v>8.045454545454545</v>
      </c>
    </row>
    <row r="139" spans="1:12">
      <c r="A139" s="1" t="s">
        <v>54</v>
      </c>
      <c r="B139" s="72" t="s">
        <v>79</v>
      </c>
      <c r="C139" s="72"/>
      <c r="D139" s="70" t="s">
        <v>77</v>
      </c>
      <c r="E139" s="112">
        <v>22500</v>
      </c>
      <c r="F139" s="111"/>
      <c r="G139" s="71">
        <f t="shared" si="68"/>
        <v>562500</v>
      </c>
      <c r="H139" s="73">
        <v>33000</v>
      </c>
      <c r="I139" s="90">
        <f t="shared" si="64"/>
        <v>3300</v>
      </c>
      <c r="J139" s="74">
        <f t="shared" si="65"/>
        <v>5.8666666666666666E-2</v>
      </c>
      <c r="K139" s="74">
        <f t="shared" si="66"/>
        <v>17.045454545454547</v>
      </c>
      <c r="L139" s="44">
        <f t="shared" si="67"/>
        <v>8.045454545454545</v>
      </c>
    </row>
    <row r="140" spans="1:12">
      <c r="A140" s="1" t="s">
        <v>54</v>
      </c>
      <c r="B140" s="72" t="s">
        <v>80</v>
      </c>
      <c r="C140" s="72"/>
      <c r="D140" s="70" t="s">
        <v>271</v>
      </c>
      <c r="E140" s="112">
        <v>22500</v>
      </c>
      <c r="F140" s="111"/>
      <c r="G140" s="71">
        <f t="shared" si="68"/>
        <v>562500</v>
      </c>
      <c r="H140" s="73">
        <v>33000</v>
      </c>
      <c r="I140" s="90">
        <f t="shared" si="64"/>
        <v>3300</v>
      </c>
      <c r="J140" s="74">
        <f t="shared" si="65"/>
        <v>5.8666666666666666E-2</v>
      </c>
      <c r="K140" s="74">
        <f t="shared" si="66"/>
        <v>17.045454545454547</v>
      </c>
      <c r="L140" s="44">
        <f t="shared" si="67"/>
        <v>8.045454545454545</v>
      </c>
    </row>
    <row r="141" spans="1:12">
      <c r="A141" s="1" t="s">
        <v>54</v>
      </c>
      <c r="B141" s="72" t="s">
        <v>267</v>
      </c>
      <c r="C141" s="72"/>
      <c r="D141" s="70" t="s">
        <v>268</v>
      </c>
      <c r="E141" s="112">
        <v>22500</v>
      </c>
      <c r="F141" s="111"/>
      <c r="G141" s="71">
        <f t="shared" si="68"/>
        <v>562500</v>
      </c>
      <c r="H141" s="73">
        <v>33000</v>
      </c>
      <c r="I141" s="90">
        <f t="shared" si="64"/>
        <v>3300</v>
      </c>
      <c r="J141" s="74">
        <f t="shared" si="65"/>
        <v>5.8666666666666666E-2</v>
      </c>
      <c r="K141" s="74">
        <f t="shared" si="66"/>
        <v>17.045454545454547</v>
      </c>
      <c r="L141" s="44">
        <f t="shared" si="67"/>
        <v>8.045454545454545</v>
      </c>
    </row>
    <row r="142" spans="1:12">
      <c r="A142" s="1" t="s">
        <v>54</v>
      </c>
      <c r="B142" s="72" t="s">
        <v>269</v>
      </c>
      <c r="C142" s="72"/>
      <c r="D142" s="70" t="s">
        <v>270</v>
      </c>
      <c r="E142" s="112">
        <v>22500</v>
      </c>
      <c r="F142" s="111"/>
      <c r="G142" s="71">
        <f t="shared" si="68"/>
        <v>562500</v>
      </c>
      <c r="H142" s="73">
        <v>33000</v>
      </c>
      <c r="I142" s="90">
        <f t="shared" si="64"/>
        <v>3300</v>
      </c>
      <c r="J142" s="74">
        <f t="shared" si="65"/>
        <v>5.8666666666666666E-2</v>
      </c>
      <c r="K142" s="74">
        <f t="shared" si="66"/>
        <v>17.045454545454547</v>
      </c>
      <c r="L142" s="44">
        <f t="shared" si="67"/>
        <v>8.045454545454545</v>
      </c>
    </row>
    <row r="143" spans="1:12">
      <c r="A143" s="1" t="s">
        <v>54</v>
      </c>
      <c r="B143" s="82" t="s">
        <v>379</v>
      </c>
      <c r="C143" s="82"/>
      <c r="D143" s="81" t="s">
        <v>291</v>
      </c>
      <c r="E143" s="116">
        <v>17000</v>
      </c>
      <c r="F143" s="117"/>
      <c r="G143" s="83">
        <f t="shared" si="68"/>
        <v>425000</v>
      </c>
      <c r="H143" s="84">
        <v>33000</v>
      </c>
      <c r="I143" s="84"/>
      <c r="J143" s="85">
        <f t="shared" si="65"/>
        <v>7.7647058823529416E-2</v>
      </c>
      <c r="K143" s="85">
        <f t="shared" si="66"/>
        <v>12.878787878787879</v>
      </c>
      <c r="L143" s="44">
        <f t="shared" ref="L143:L150" si="69">K143/K$2</f>
        <v>6.0787878787878782</v>
      </c>
    </row>
    <row r="144" spans="1:12">
      <c r="A144" s="1" t="s">
        <v>54</v>
      </c>
      <c r="B144" s="82" t="s">
        <v>292</v>
      </c>
      <c r="C144" s="82"/>
      <c r="D144" s="81" t="s">
        <v>293</v>
      </c>
      <c r="E144" s="116">
        <v>17000</v>
      </c>
      <c r="F144" s="117"/>
      <c r="G144" s="83">
        <f t="shared" si="68"/>
        <v>425000</v>
      </c>
      <c r="H144" s="84">
        <v>33000</v>
      </c>
      <c r="I144" s="84"/>
      <c r="J144" s="85">
        <f t="shared" si="65"/>
        <v>7.7647058823529416E-2</v>
      </c>
      <c r="K144" s="85">
        <f t="shared" si="66"/>
        <v>12.878787878787879</v>
      </c>
      <c r="L144" s="44">
        <f t="shared" si="69"/>
        <v>6.0787878787878782</v>
      </c>
    </row>
    <row r="145" spans="1:12">
      <c r="A145" s="1" t="s">
        <v>54</v>
      </c>
      <c r="B145" s="82" t="s">
        <v>294</v>
      </c>
      <c r="C145" s="82"/>
      <c r="D145" s="81" t="s">
        <v>295</v>
      </c>
      <c r="E145" s="116">
        <v>17000</v>
      </c>
      <c r="F145" s="117"/>
      <c r="G145" s="83">
        <f t="shared" si="68"/>
        <v>425000</v>
      </c>
      <c r="H145" s="84">
        <v>33000</v>
      </c>
      <c r="I145" s="84"/>
      <c r="J145" s="85">
        <f t="shared" si="65"/>
        <v>7.7647058823529416E-2</v>
      </c>
      <c r="K145" s="85">
        <f t="shared" si="66"/>
        <v>12.878787878787879</v>
      </c>
      <c r="L145" s="44">
        <f t="shared" si="69"/>
        <v>6.0787878787878782</v>
      </c>
    </row>
    <row r="146" spans="1:12">
      <c r="A146" s="1" t="s">
        <v>54</v>
      </c>
      <c r="B146" s="82" t="s">
        <v>296</v>
      </c>
      <c r="C146" s="82"/>
      <c r="D146" s="81" t="s">
        <v>297</v>
      </c>
      <c r="E146" s="116">
        <v>17000</v>
      </c>
      <c r="F146" s="117"/>
      <c r="G146" s="83">
        <f t="shared" si="68"/>
        <v>425000</v>
      </c>
      <c r="H146" s="84">
        <v>33000</v>
      </c>
      <c r="I146" s="84"/>
      <c r="J146" s="85">
        <f t="shared" si="65"/>
        <v>7.7647058823529416E-2</v>
      </c>
      <c r="K146" s="85">
        <f t="shared" si="66"/>
        <v>12.878787878787879</v>
      </c>
      <c r="L146" s="44">
        <f t="shared" si="69"/>
        <v>6.0787878787878782</v>
      </c>
    </row>
    <row r="147" spans="1:12">
      <c r="A147" s="1" t="s">
        <v>54</v>
      </c>
      <c r="B147" s="82" t="s">
        <v>298</v>
      </c>
      <c r="C147" s="82"/>
      <c r="D147" s="81" t="s">
        <v>299</v>
      </c>
      <c r="E147" s="116">
        <v>17000</v>
      </c>
      <c r="F147" s="117"/>
      <c r="G147" s="83">
        <f t="shared" si="68"/>
        <v>425000</v>
      </c>
      <c r="H147" s="84">
        <v>33000</v>
      </c>
      <c r="I147" s="84"/>
      <c r="J147" s="85">
        <f t="shared" si="65"/>
        <v>7.7647058823529416E-2</v>
      </c>
      <c r="K147" s="85">
        <f t="shared" si="66"/>
        <v>12.878787878787879</v>
      </c>
      <c r="L147" s="44">
        <f t="shared" si="69"/>
        <v>6.0787878787878782</v>
      </c>
    </row>
    <row r="148" spans="1:12">
      <c r="A148" s="1" t="s">
        <v>54</v>
      </c>
      <c r="B148" s="82" t="s">
        <v>300</v>
      </c>
      <c r="C148" s="82"/>
      <c r="D148" s="81" t="s">
        <v>301</v>
      </c>
      <c r="E148" s="116">
        <v>17000</v>
      </c>
      <c r="F148" s="117"/>
      <c r="G148" s="83">
        <f t="shared" si="68"/>
        <v>425000</v>
      </c>
      <c r="H148" s="84">
        <v>33000</v>
      </c>
      <c r="I148" s="84"/>
      <c r="J148" s="85">
        <f t="shared" si="65"/>
        <v>7.7647058823529416E-2</v>
      </c>
      <c r="K148" s="85">
        <f t="shared" si="66"/>
        <v>12.878787878787879</v>
      </c>
      <c r="L148" s="44">
        <f t="shared" si="69"/>
        <v>6.0787878787878782</v>
      </c>
    </row>
    <row r="149" spans="1:12">
      <c r="A149" s="1" t="s">
        <v>54</v>
      </c>
      <c r="B149" s="82" t="s">
        <v>302</v>
      </c>
      <c r="C149" s="82"/>
      <c r="D149" s="81" t="s">
        <v>303</v>
      </c>
      <c r="E149" s="116">
        <v>17000</v>
      </c>
      <c r="F149" s="117"/>
      <c r="G149" s="83">
        <f t="shared" si="68"/>
        <v>425000</v>
      </c>
      <c r="H149" s="84">
        <v>33000</v>
      </c>
      <c r="I149" s="84"/>
      <c r="J149" s="85">
        <f t="shared" si="65"/>
        <v>7.7647058823529416E-2</v>
      </c>
      <c r="K149" s="85">
        <f t="shared" si="66"/>
        <v>12.878787878787879</v>
      </c>
      <c r="L149" s="44">
        <f t="shared" si="69"/>
        <v>6.0787878787878782</v>
      </c>
    </row>
    <row r="150" spans="1:12">
      <c r="A150" s="1" t="s">
        <v>54</v>
      </c>
      <c r="B150" s="82" t="s">
        <v>304</v>
      </c>
      <c r="C150" s="82"/>
      <c r="D150" s="81" t="s">
        <v>305</v>
      </c>
      <c r="E150" s="116">
        <v>17000</v>
      </c>
      <c r="F150" s="117"/>
      <c r="G150" s="83">
        <f t="shared" si="68"/>
        <v>425000</v>
      </c>
      <c r="H150" s="84">
        <v>33000</v>
      </c>
      <c r="I150" s="84"/>
      <c r="J150" s="85">
        <f t="shared" si="65"/>
        <v>7.7647058823529416E-2</v>
      </c>
      <c r="K150" s="85">
        <f t="shared" si="66"/>
        <v>12.878787878787879</v>
      </c>
      <c r="L150" s="44">
        <f t="shared" si="69"/>
        <v>6.0787878787878782</v>
      </c>
    </row>
    <row r="151" spans="1:12">
      <c r="A151" s="1" t="s">
        <v>54</v>
      </c>
      <c r="B151" s="82" t="s">
        <v>306</v>
      </c>
      <c r="C151" s="82"/>
      <c r="D151" s="81" t="s">
        <v>307</v>
      </c>
      <c r="E151" s="116">
        <v>17000</v>
      </c>
      <c r="F151" s="117"/>
      <c r="G151" s="83">
        <f t="shared" si="68"/>
        <v>425000</v>
      </c>
      <c r="H151" s="84">
        <v>33000</v>
      </c>
      <c r="I151" s="84"/>
      <c r="J151" s="85">
        <f t="shared" si="65"/>
        <v>7.7647058823529416E-2</v>
      </c>
      <c r="K151" s="85">
        <f t="shared" si="66"/>
        <v>12.878787878787879</v>
      </c>
      <c r="L151" s="44">
        <f>K151/K$2</f>
        <v>6.0787878787878782</v>
      </c>
    </row>
    <row r="152" spans="1:12">
      <c r="A152" s="1" t="s">
        <v>54</v>
      </c>
      <c r="B152" s="82" t="s">
        <v>308</v>
      </c>
      <c r="C152" s="82"/>
      <c r="D152" s="81" t="s">
        <v>309</v>
      </c>
      <c r="E152" s="116">
        <v>17000</v>
      </c>
      <c r="F152" s="117"/>
      <c r="G152" s="83">
        <f t="shared" si="68"/>
        <v>425000</v>
      </c>
      <c r="H152" s="84">
        <v>33000</v>
      </c>
      <c r="I152" s="84"/>
      <c r="J152" s="85">
        <f t="shared" si="65"/>
        <v>7.7647058823529416E-2</v>
      </c>
      <c r="K152" s="85">
        <f t="shared" si="66"/>
        <v>12.878787878787879</v>
      </c>
      <c r="L152" s="44">
        <f>K152/K$2</f>
        <v>6.0787878787878782</v>
      </c>
    </row>
    <row r="153" spans="1:12">
      <c r="G153" s="17">
        <f>SUM(G133:G152)</f>
        <v>8413750</v>
      </c>
      <c r="H153" s="12">
        <f>SUM(H133:H152)</f>
        <v>574200</v>
      </c>
      <c r="I153" s="12"/>
    </row>
    <row r="154" spans="1:12">
      <c r="A154" s="1" t="s">
        <v>54</v>
      </c>
      <c r="B154" s="72" t="s">
        <v>257</v>
      </c>
      <c r="C154" s="70">
        <v>1250</v>
      </c>
      <c r="D154" s="70" t="s">
        <v>312</v>
      </c>
      <c r="E154" s="112">
        <v>3750</v>
      </c>
      <c r="F154" s="111"/>
      <c r="G154" s="71">
        <f>E154*25</f>
        <v>93750</v>
      </c>
      <c r="H154" s="73">
        <v>5500</v>
      </c>
      <c r="I154" s="90">
        <f t="shared" ref="I154:I186" si="70">H154/10</f>
        <v>550</v>
      </c>
      <c r="J154" s="74">
        <f t="shared" ref="J154:J168" si="71">H154/G154</f>
        <v>5.8666666666666666E-2</v>
      </c>
      <c r="K154" s="74">
        <f t="shared" ref="K154:K168" si="72">G154/H154</f>
        <v>17.045454545454547</v>
      </c>
      <c r="L154" s="44">
        <f t="shared" ref="L154:L168" si="73">K154/K$2</f>
        <v>8.045454545454545</v>
      </c>
    </row>
    <row r="155" spans="1:12">
      <c r="A155" s="1" t="s">
        <v>54</v>
      </c>
      <c r="B155" s="72" t="s">
        <v>258</v>
      </c>
      <c r="C155" s="70">
        <f>C154+1250</f>
        <v>2500</v>
      </c>
      <c r="D155" s="70" t="s">
        <v>312</v>
      </c>
      <c r="E155" s="112">
        <v>5300</v>
      </c>
      <c r="F155" s="111"/>
      <c r="G155" s="71">
        <f t="shared" ref="G155:G168" si="74">E155*25</f>
        <v>132500</v>
      </c>
      <c r="H155" s="73">
        <v>7700</v>
      </c>
      <c r="I155" s="90">
        <f t="shared" si="70"/>
        <v>770</v>
      </c>
      <c r="J155" s="74">
        <f t="shared" si="71"/>
        <v>5.811320754716981E-2</v>
      </c>
      <c r="K155" s="74">
        <f t="shared" si="72"/>
        <v>17.207792207792206</v>
      </c>
      <c r="L155" s="44">
        <f t="shared" si="73"/>
        <v>8.1220779220779207</v>
      </c>
    </row>
    <row r="156" spans="1:12">
      <c r="A156" s="1" t="s">
        <v>54</v>
      </c>
      <c r="B156" s="72" t="s">
        <v>259</v>
      </c>
      <c r="C156" s="70">
        <f t="shared" ref="C156:C168" si="75">C155+1250</f>
        <v>3750</v>
      </c>
      <c r="D156" s="70" t="s">
        <v>311</v>
      </c>
      <c r="E156" s="112">
        <v>7500</v>
      </c>
      <c r="F156" s="111"/>
      <c r="G156" s="71">
        <f t="shared" si="74"/>
        <v>187500</v>
      </c>
      <c r="H156" s="73">
        <v>11000</v>
      </c>
      <c r="I156" s="90">
        <f t="shared" si="70"/>
        <v>1100</v>
      </c>
      <c r="J156" s="74">
        <f t="shared" si="71"/>
        <v>5.8666666666666666E-2</v>
      </c>
      <c r="K156" s="74">
        <f t="shared" si="72"/>
        <v>17.045454545454547</v>
      </c>
      <c r="L156" s="44">
        <f t="shared" si="73"/>
        <v>8.045454545454545</v>
      </c>
    </row>
    <row r="157" spans="1:12">
      <c r="A157" s="1" t="s">
        <v>54</v>
      </c>
      <c r="B157" s="72" t="s">
        <v>260</v>
      </c>
      <c r="C157" s="70">
        <f t="shared" si="75"/>
        <v>5000</v>
      </c>
      <c r="D157" s="70" t="s">
        <v>311</v>
      </c>
      <c r="E157" s="112">
        <v>15000</v>
      </c>
      <c r="F157" s="111"/>
      <c r="G157" s="71">
        <f t="shared" si="74"/>
        <v>375000</v>
      </c>
      <c r="H157" s="73">
        <v>22000</v>
      </c>
      <c r="I157" s="90">
        <f t="shared" si="70"/>
        <v>2200</v>
      </c>
      <c r="J157" s="74">
        <f t="shared" si="71"/>
        <v>5.8666666666666666E-2</v>
      </c>
      <c r="K157" s="74">
        <f t="shared" si="72"/>
        <v>17.045454545454547</v>
      </c>
      <c r="L157" s="44">
        <f t="shared" si="73"/>
        <v>8.045454545454545</v>
      </c>
    </row>
    <row r="158" spans="1:12">
      <c r="A158" s="1" t="s">
        <v>54</v>
      </c>
      <c r="B158" s="72" t="s">
        <v>261</v>
      </c>
      <c r="C158" s="70">
        <f t="shared" si="75"/>
        <v>6250</v>
      </c>
      <c r="D158" s="70" t="s">
        <v>311</v>
      </c>
      <c r="E158" s="112">
        <v>22500</v>
      </c>
      <c r="F158" s="111"/>
      <c r="G158" s="71">
        <f t="shared" si="74"/>
        <v>562500</v>
      </c>
      <c r="H158" s="73">
        <v>33000</v>
      </c>
      <c r="I158" s="90">
        <f t="shared" si="70"/>
        <v>3300</v>
      </c>
      <c r="J158" s="74">
        <f t="shared" si="71"/>
        <v>5.8666666666666666E-2</v>
      </c>
      <c r="K158" s="74">
        <f t="shared" si="72"/>
        <v>17.045454545454547</v>
      </c>
      <c r="L158" s="44">
        <f t="shared" si="73"/>
        <v>8.045454545454545</v>
      </c>
    </row>
    <row r="159" spans="1:12">
      <c r="A159" s="1" t="s">
        <v>54</v>
      </c>
      <c r="B159" s="72" t="s">
        <v>262</v>
      </c>
      <c r="C159" s="70">
        <f t="shared" si="75"/>
        <v>7500</v>
      </c>
      <c r="D159" s="70" t="s">
        <v>311</v>
      </c>
      <c r="E159" s="112">
        <v>22500</v>
      </c>
      <c r="F159" s="111"/>
      <c r="G159" s="71">
        <f t="shared" si="74"/>
        <v>562500</v>
      </c>
      <c r="H159" s="73">
        <v>33000</v>
      </c>
      <c r="I159" s="90">
        <f t="shared" si="70"/>
        <v>3300</v>
      </c>
      <c r="J159" s="74">
        <f t="shared" si="71"/>
        <v>5.8666666666666666E-2</v>
      </c>
      <c r="K159" s="74">
        <f t="shared" si="72"/>
        <v>17.045454545454547</v>
      </c>
      <c r="L159" s="44">
        <f t="shared" si="73"/>
        <v>8.045454545454545</v>
      </c>
    </row>
    <row r="160" spans="1:12">
      <c r="A160" s="1" t="s">
        <v>54</v>
      </c>
      <c r="B160" s="72" t="s">
        <v>263</v>
      </c>
      <c r="C160" s="70">
        <f t="shared" si="75"/>
        <v>8750</v>
      </c>
      <c r="D160" s="70" t="s">
        <v>311</v>
      </c>
      <c r="E160" s="112">
        <v>22500</v>
      </c>
      <c r="F160" s="111"/>
      <c r="G160" s="71">
        <f t="shared" si="74"/>
        <v>562500</v>
      </c>
      <c r="H160" s="73">
        <v>33000</v>
      </c>
      <c r="I160" s="90">
        <f t="shared" si="70"/>
        <v>3300</v>
      </c>
      <c r="J160" s="74">
        <f t="shared" si="71"/>
        <v>5.8666666666666666E-2</v>
      </c>
      <c r="K160" s="74">
        <f t="shared" si="72"/>
        <v>17.045454545454547</v>
      </c>
      <c r="L160" s="44">
        <f t="shared" si="73"/>
        <v>8.045454545454545</v>
      </c>
    </row>
    <row r="161" spans="1:12">
      <c r="A161" s="1" t="s">
        <v>54</v>
      </c>
      <c r="B161" s="72" t="s">
        <v>264</v>
      </c>
      <c r="C161" s="70">
        <f t="shared" si="75"/>
        <v>10000</v>
      </c>
      <c r="D161" s="70" t="s">
        <v>311</v>
      </c>
      <c r="E161" s="112">
        <v>22500</v>
      </c>
      <c r="F161" s="111"/>
      <c r="G161" s="71">
        <f t="shared" si="74"/>
        <v>562500</v>
      </c>
      <c r="H161" s="73">
        <v>33000</v>
      </c>
      <c r="I161" s="90">
        <f t="shared" si="70"/>
        <v>3300</v>
      </c>
      <c r="J161" s="74">
        <f t="shared" si="71"/>
        <v>5.8666666666666666E-2</v>
      </c>
      <c r="K161" s="74">
        <f t="shared" si="72"/>
        <v>17.045454545454547</v>
      </c>
      <c r="L161" s="44">
        <f t="shared" si="73"/>
        <v>8.045454545454545</v>
      </c>
    </row>
    <row r="162" spans="1:12">
      <c r="A162" s="1" t="s">
        <v>54</v>
      </c>
      <c r="B162" s="72" t="s">
        <v>265</v>
      </c>
      <c r="C162" s="70">
        <f t="shared" si="75"/>
        <v>11250</v>
      </c>
      <c r="D162" s="70" t="s">
        <v>311</v>
      </c>
      <c r="E162" s="112">
        <v>22500</v>
      </c>
      <c r="F162" s="111"/>
      <c r="G162" s="71">
        <f t="shared" si="74"/>
        <v>562500</v>
      </c>
      <c r="H162" s="73">
        <v>33000</v>
      </c>
      <c r="I162" s="90">
        <f t="shared" si="70"/>
        <v>3300</v>
      </c>
      <c r="J162" s="74">
        <f t="shared" si="71"/>
        <v>5.8666666666666666E-2</v>
      </c>
      <c r="K162" s="74">
        <f t="shared" si="72"/>
        <v>17.045454545454547</v>
      </c>
      <c r="L162" s="44">
        <f t="shared" si="73"/>
        <v>8.045454545454545</v>
      </c>
    </row>
    <row r="163" spans="1:12">
      <c r="A163" s="1" t="s">
        <v>54</v>
      </c>
      <c r="B163" s="72" t="s">
        <v>266</v>
      </c>
      <c r="C163" s="70">
        <f t="shared" si="75"/>
        <v>12500</v>
      </c>
      <c r="D163" s="70" t="s">
        <v>311</v>
      </c>
      <c r="E163" s="112">
        <v>22500</v>
      </c>
      <c r="F163" s="111"/>
      <c r="G163" s="71">
        <f t="shared" si="74"/>
        <v>562500</v>
      </c>
      <c r="H163" s="73">
        <v>33000</v>
      </c>
      <c r="I163" s="90">
        <f t="shared" si="70"/>
        <v>3300</v>
      </c>
      <c r="J163" s="74">
        <f t="shared" si="71"/>
        <v>5.8666666666666666E-2</v>
      </c>
      <c r="K163" s="74">
        <f t="shared" si="72"/>
        <v>17.045454545454547</v>
      </c>
      <c r="L163" s="44">
        <f t="shared" si="73"/>
        <v>8.045454545454545</v>
      </c>
    </row>
    <row r="164" spans="1:12">
      <c r="A164" s="1" t="s">
        <v>54</v>
      </c>
      <c r="B164" s="72" t="s">
        <v>313</v>
      </c>
      <c r="C164" s="70">
        <f t="shared" si="75"/>
        <v>13750</v>
      </c>
      <c r="D164" s="70" t="s">
        <v>311</v>
      </c>
      <c r="E164" s="112">
        <v>22500</v>
      </c>
      <c r="F164" s="111"/>
      <c r="G164" s="71">
        <f t="shared" si="74"/>
        <v>562500</v>
      </c>
      <c r="H164" s="73">
        <v>33000</v>
      </c>
      <c r="I164" s="90">
        <f t="shared" si="70"/>
        <v>3300</v>
      </c>
      <c r="J164" s="74">
        <f t="shared" si="71"/>
        <v>5.8666666666666666E-2</v>
      </c>
      <c r="K164" s="74">
        <f t="shared" si="72"/>
        <v>17.045454545454547</v>
      </c>
      <c r="L164" s="44">
        <f t="shared" si="73"/>
        <v>8.045454545454545</v>
      </c>
    </row>
    <row r="165" spans="1:12">
      <c r="A165" s="1" t="s">
        <v>54</v>
      </c>
      <c r="B165" s="72" t="s">
        <v>314</v>
      </c>
      <c r="C165" s="70">
        <f t="shared" si="75"/>
        <v>15000</v>
      </c>
      <c r="D165" s="70" t="s">
        <v>311</v>
      </c>
      <c r="E165" s="112">
        <v>22500</v>
      </c>
      <c r="F165" s="111"/>
      <c r="G165" s="71">
        <f t="shared" si="74"/>
        <v>562500</v>
      </c>
      <c r="H165" s="73">
        <v>33000</v>
      </c>
      <c r="I165" s="90">
        <f t="shared" si="70"/>
        <v>3300</v>
      </c>
      <c r="J165" s="74">
        <f t="shared" si="71"/>
        <v>5.8666666666666666E-2</v>
      </c>
      <c r="K165" s="74">
        <f t="shared" si="72"/>
        <v>17.045454545454547</v>
      </c>
      <c r="L165" s="44">
        <f t="shared" si="73"/>
        <v>8.045454545454545</v>
      </c>
    </row>
    <row r="166" spans="1:12">
      <c r="A166" s="1" t="s">
        <v>54</v>
      </c>
      <c r="B166" s="72" t="s">
        <v>315</v>
      </c>
      <c r="C166" s="70">
        <f t="shared" si="75"/>
        <v>16250</v>
      </c>
      <c r="D166" s="70" t="s">
        <v>311</v>
      </c>
      <c r="E166" s="112">
        <v>22500</v>
      </c>
      <c r="F166" s="111"/>
      <c r="G166" s="71">
        <f t="shared" si="74"/>
        <v>562500</v>
      </c>
      <c r="H166" s="73">
        <v>33000</v>
      </c>
      <c r="I166" s="90">
        <f t="shared" si="70"/>
        <v>3300</v>
      </c>
      <c r="J166" s="74">
        <f t="shared" si="71"/>
        <v>5.8666666666666666E-2</v>
      </c>
      <c r="K166" s="74">
        <f t="shared" si="72"/>
        <v>17.045454545454547</v>
      </c>
      <c r="L166" s="44">
        <f t="shared" si="73"/>
        <v>8.045454545454545</v>
      </c>
    </row>
    <row r="167" spans="1:12">
      <c r="A167" s="1" t="s">
        <v>54</v>
      </c>
      <c r="B167" s="72" t="s">
        <v>316</v>
      </c>
      <c r="C167" s="70">
        <f t="shared" si="75"/>
        <v>17500</v>
      </c>
      <c r="D167" s="70" t="s">
        <v>311</v>
      </c>
      <c r="E167" s="112">
        <v>22500</v>
      </c>
      <c r="F167" s="111"/>
      <c r="G167" s="71">
        <f t="shared" si="74"/>
        <v>562500</v>
      </c>
      <c r="H167" s="73">
        <v>33000</v>
      </c>
      <c r="I167" s="90">
        <f t="shared" si="70"/>
        <v>3300</v>
      </c>
      <c r="J167" s="74">
        <f t="shared" si="71"/>
        <v>5.8666666666666666E-2</v>
      </c>
      <c r="K167" s="74">
        <f t="shared" si="72"/>
        <v>17.045454545454547</v>
      </c>
      <c r="L167" s="44">
        <f t="shared" si="73"/>
        <v>8.045454545454545</v>
      </c>
    </row>
    <row r="168" spans="1:12">
      <c r="A168" s="1" t="s">
        <v>54</v>
      </c>
      <c r="B168" s="72" t="s">
        <v>317</v>
      </c>
      <c r="C168" s="70">
        <f t="shared" si="75"/>
        <v>18750</v>
      </c>
      <c r="D168" s="70" t="s">
        <v>311</v>
      </c>
      <c r="E168" s="112">
        <v>22500</v>
      </c>
      <c r="F168" s="111"/>
      <c r="G168" s="71">
        <f t="shared" si="74"/>
        <v>562500</v>
      </c>
      <c r="H168" s="73">
        <v>33000</v>
      </c>
      <c r="I168" s="90">
        <f t="shared" si="70"/>
        <v>3300</v>
      </c>
      <c r="J168" s="74">
        <f t="shared" si="71"/>
        <v>5.8666666666666666E-2</v>
      </c>
      <c r="K168" s="74">
        <f t="shared" si="72"/>
        <v>17.045454545454547</v>
      </c>
      <c r="L168" s="44">
        <f t="shared" si="73"/>
        <v>8.045454545454545</v>
      </c>
    </row>
    <row r="169" spans="1:12">
      <c r="B169" s="11"/>
      <c r="F169" s="103"/>
      <c r="G169" s="16"/>
      <c r="H169" s="9"/>
      <c r="I169" s="9"/>
      <c r="J169" s="6"/>
      <c r="K169" s="6"/>
    </row>
    <row r="170" spans="1:12">
      <c r="A170" s="1" t="s">
        <v>58</v>
      </c>
      <c r="B170" s="72" t="s">
        <v>247</v>
      </c>
      <c r="C170" s="86" t="s">
        <v>319</v>
      </c>
      <c r="D170" s="70" t="s">
        <v>318</v>
      </c>
      <c r="E170" s="112">
        <v>3750</v>
      </c>
      <c r="F170" s="111"/>
      <c r="G170" s="71">
        <f>E170*25</f>
        <v>93750</v>
      </c>
      <c r="H170" s="73">
        <v>5500</v>
      </c>
      <c r="I170" s="90">
        <f t="shared" si="70"/>
        <v>550</v>
      </c>
      <c r="J170" s="74">
        <f t="shared" ref="J170:J179" si="76">H170/G170</f>
        <v>5.8666666666666666E-2</v>
      </c>
      <c r="K170" s="74">
        <f t="shared" ref="K170:K179" si="77">G170/H170</f>
        <v>17.045454545454547</v>
      </c>
      <c r="L170" s="44">
        <f t="shared" ref="L170:L179" si="78">K170/K$2</f>
        <v>8.045454545454545</v>
      </c>
    </row>
    <row r="171" spans="1:12">
      <c r="A171" s="1" t="s">
        <v>58</v>
      </c>
      <c r="B171" s="72" t="s">
        <v>248</v>
      </c>
      <c r="C171" s="86" t="s">
        <v>319</v>
      </c>
      <c r="D171" s="70" t="s">
        <v>318</v>
      </c>
      <c r="E171" s="112">
        <v>5300</v>
      </c>
      <c r="F171" s="111"/>
      <c r="G171" s="71">
        <f t="shared" ref="G171:G179" si="79">E171*25</f>
        <v>132500</v>
      </c>
      <c r="H171" s="73">
        <v>7700</v>
      </c>
      <c r="I171" s="90">
        <f t="shared" si="70"/>
        <v>770</v>
      </c>
      <c r="J171" s="74">
        <f t="shared" si="76"/>
        <v>5.811320754716981E-2</v>
      </c>
      <c r="K171" s="74">
        <f t="shared" si="77"/>
        <v>17.207792207792206</v>
      </c>
      <c r="L171" s="44">
        <f t="shared" si="78"/>
        <v>8.1220779220779207</v>
      </c>
    </row>
    <row r="172" spans="1:12">
      <c r="A172" s="1" t="s">
        <v>58</v>
      </c>
      <c r="B172" s="72" t="s">
        <v>249</v>
      </c>
      <c r="C172" s="86" t="s">
        <v>319</v>
      </c>
      <c r="D172" s="70" t="s">
        <v>318</v>
      </c>
      <c r="E172" s="112">
        <v>7500</v>
      </c>
      <c r="F172" s="111"/>
      <c r="G172" s="71">
        <f t="shared" si="79"/>
        <v>187500</v>
      </c>
      <c r="H172" s="73">
        <v>11000</v>
      </c>
      <c r="I172" s="90">
        <f t="shared" si="70"/>
        <v>1100</v>
      </c>
      <c r="J172" s="74">
        <f t="shared" si="76"/>
        <v>5.8666666666666666E-2</v>
      </c>
      <c r="K172" s="74">
        <f t="shared" si="77"/>
        <v>17.045454545454547</v>
      </c>
      <c r="L172" s="44">
        <f t="shared" si="78"/>
        <v>8.045454545454545</v>
      </c>
    </row>
    <row r="173" spans="1:12">
      <c r="A173" s="1" t="s">
        <v>58</v>
      </c>
      <c r="B173" s="72" t="s">
        <v>250</v>
      </c>
      <c r="C173" s="86" t="s">
        <v>319</v>
      </c>
      <c r="D173" s="70" t="s">
        <v>318</v>
      </c>
      <c r="E173" s="112">
        <v>15000</v>
      </c>
      <c r="F173" s="111"/>
      <c r="G173" s="71">
        <f t="shared" si="79"/>
        <v>375000</v>
      </c>
      <c r="H173" s="73">
        <v>22000</v>
      </c>
      <c r="I173" s="90">
        <f t="shared" si="70"/>
        <v>2200</v>
      </c>
      <c r="J173" s="74">
        <f t="shared" si="76"/>
        <v>5.8666666666666666E-2</v>
      </c>
      <c r="K173" s="74">
        <f t="shared" si="77"/>
        <v>17.045454545454547</v>
      </c>
      <c r="L173" s="44">
        <f t="shared" si="78"/>
        <v>8.045454545454545</v>
      </c>
    </row>
    <row r="174" spans="1:12">
      <c r="A174" s="1" t="s">
        <v>58</v>
      </c>
      <c r="B174" s="72" t="s">
        <v>251</v>
      </c>
      <c r="C174" s="86" t="s">
        <v>319</v>
      </c>
      <c r="D174" s="70" t="s">
        <v>318</v>
      </c>
      <c r="E174" s="112">
        <v>22500</v>
      </c>
      <c r="F174" s="111"/>
      <c r="G174" s="71">
        <f t="shared" si="79"/>
        <v>562500</v>
      </c>
      <c r="H174" s="73">
        <v>33000</v>
      </c>
      <c r="I174" s="90">
        <f t="shared" si="70"/>
        <v>3300</v>
      </c>
      <c r="J174" s="74">
        <f t="shared" si="76"/>
        <v>5.8666666666666666E-2</v>
      </c>
      <c r="K174" s="74">
        <f t="shared" si="77"/>
        <v>17.045454545454547</v>
      </c>
      <c r="L174" s="44">
        <f t="shared" si="78"/>
        <v>8.045454545454545</v>
      </c>
    </row>
    <row r="175" spans="1:12">
      <c r="A175" s="1" t="s">
        <v>58</v>
      </c>
      <c r="B175" s="72" t="s">
        <v>252</v>
      </c>
      <c r="C175" s="86" t="s">
        <v>319</v>
      </c>
      <c r="D175" s="70" t="s">
        <v>318</v>
      </c>
      <c r="E175" s="112">
        <v>22500</v>
      </c>
      <c r="F175" s="111"/>
      <c r="G175" s="71">
        <f t="shared" si="79"/>
        <v>562500</v>
      </c>
      <c r="H175" s="73">
        <v>33000</v>
      </c>
      <c r="I175" s="90">
        <f t="shared" si="70"/>
        <v>3300</v>
      </c>
      <c r="J175" s="74">
        <f t="shared" si="76"/>
        <v>5.8666666666666666E-2</v>
      </c>
      <c r="K175" s="74">
        <f t="shared" si="77"/>
        <v>17.045454545454547</v>
      </c>
      <c r="L175" s="44">
        <f t="shared" si="78"/>
        <v>8.045454545454545</v>
      </c>
    </row>
    <row r="176" spans="1:12">
      <c r="A176" s="1" t="s">
        <v>58</v>
      </c>
      <c r="B176" s="72" t="s">
        <v>253</v>
      </c>
      <c r="C176" s="86" t="s">
        <v>319</v>
      </c>
      <c r="D176" s="70" t="s">
        <v>318</v>
      </c>
      <c r="E176" s="112">
        <v>22500</v>
      </c>
      <c r="F176" s="111"/>
      <c r="G176" s="71">
        <f t="shared" si="79"/>
        <v>562500</v>
      </c>
      <c r="H176" s="73">
        <v>33000</v>
      </c>
      <c r="I176" s="90">
        <f t="shared" si="70"/>
        <v>3300</v>
      </c>
      <c r="J176" s="74">
        <f t="shared" si="76"/>
        <v>5.8666666666666666E-2</v>
      </c>
      <c r="K176" s="74">
        <f t="shared" si="77"/>
        <v>17.045454545454547</v>
      </c>
      <c r="L176" s="44">
        <f t="shared" si="78"/>
        <v>8.045454545454545</v>
      </c>
    </row>
    <row r="177" spans="1:12">
      <c r="A177" s="1" t="s">
        <v>58</v>
      </c>
      <c r="B177" s="72" t="s">
        <v>256</v>
      </c>
      <c r="C177" s="86" t="s">
        <v>319</v>
      </c>
      <c r="D177" s="70" t="s">
        <v>318</v>
      </c>
      <c r="E177" s="112">
        <v>22500</v>
      </c>
      <c r="F177" s="111"/>
      <c r="G177" s="71">
        <f t="shared" si="79"/>
        <v>562500</v>
      </c>
      <c r="H177" s="73">
        <v>33000</v>
      </c>
      <c r="I177" s="90">
        <f t="shared" si="70"/>
        <v>3300</v>
      </c>
      <c r="J177" s="74">
        <f t="shared" si="76"/>
        <v>5.8666666666666666E-2</v>
      </c>
      <c r="K177" s="74">
        <f t="shared" si="77"/>
        <v>17.045454545454547</v>
      </c>
      <c r="L177" s="44">
        <f t="shared" si="78"/>
        <v>8.045454545454545</v>
      </c>
    </row>
    <row r="178" spans="1:12">
      <c r="A178" s="1" t="s">
        <v>58</v>
      </c>
      <c r="B178" s="72" t="s">
        <v>254</v>
      </c>
      <c r="C178" s="86" t="s">
        <v>319</v>
      </c>
      <c r="D178" s="70" t="s">
        <v>318</v>
      </c>
      <c r="E178" s="112">
        <v>22500</v>
      </c>
      <c r="F178" s="111"/>
      <c r="G178" s="71">
        <f t="shared" si="79"/>
        <v>562500</v>
      </c>
      <c r="H178" s="73">
        <v>33000</v>
      </c>
      <c r="I178" s="90">
        <f t="shared" si="70"/>
        <v>3300</v>
      </c>
      <c r="J178" s="74">
        <f t="shared" si="76"/>
        <v>5.8666666666666666E-2</v>
      </c>
      <c r="K178" s="74">
        <f t="shared" si="77"/>
        <v>17.045454545454547</v>
      </c>
      <c r="L178" s="44">
        <f t="shared" si="78"/>
        <v>8.045454545454545</v>
      </c>
    </row>
    <row r="179" spans="1:12">
      <c r="A179" s="1" t="s">
        <v>58</v>
      </c>
      <c r="B179" s="72" t="s">
        <v>255</v>
      </c>
      <c r="C179" s="86" t="s">
        <v>319</v>
      </c>
      <c r="D179" s="70" t="s">
        <v>318</v>
      </c>
      <c r="E179" s="112">
        <v>22500</v>
      </c>
      <c r="F179" s="111"/>
      <c r="G179" s="71">
        <f t="shared" si="79"/>
        <v>562500</v>
      </c>
      <c r="H179" s="73">
        <v>33000</v>
      </c>
      <c r="I179" s="90">
        <f t="shared" si="70"/>
        <v>3300</v>
      </c>
      <c r="J179" s="74">
        <f t="shared" si="76"/>
        <v>5.8666666666666666E-2</v>
      </c>
      <c r="K179" s="74">
        <f t="shared" si="77"/>
        <v>17.045454545454547</v>
      </c>
      <c r="L179" s="44">
        <f t="shared" si="78"/>
        <v>8.045454545454545</v>
      </c>
    </row>
    <row r="180" spans="1:12">
      <c r="H180" s="158">
        <f>SUM(H170:H179)</f>
        <v>244200</v>
      </c>
      <c r="I180" s="12"/>
    </row>
    <row r="181" spans="1:12" s="54" customFormat="1">
      <c r="B181" s="55" t="s">
        <v>426</v>
      </c>
      <c r="C181" s="56"/>
      <c r="E181" s="104"/>
      <c r="F181" s="105"/>
      <c r="G181" s="20"/>
      <c r="L181" s="45"/>
    </row>
    <row r="182" spans="1:12">
      <c r="A182" s="1" t="s">
        <v>94</v>
      </c>
      <c r="B182" s="27" t="s">
        <v>325</v>
      </c>
      <c r="D182" s="161" t="s">
        <v>321</v>
      </c>
      <c r="E182" s="119"/>
      <c r="F182" s="106">
        <v>1000000</v>
      </c>
      <c r="G182" s="47">
        <f>F182</f>
        <v>1000000</v>
      </c>
      <c r="H182" s="48">
        <v>19800</v>
      </c>
      <c r="I182" s="88">
        <f t="shared" si="70"/>
        <v>1980</v>
      </c>
      <c r="J182" s="49">
        <f>H182/G182</f>
        <v>1.9800000000000002E-2</v>
      </c>
      <c r="K182" s="49">
        <f>G182/H182</f>
        <v>50.505050505050505</v>
      </c>
      <c r="L182" s="44">
        <f>K182/K$2</f>
        <v>23.838383838383837</v>
      </c>
    </row>
    <row r="183" spans="1:12">
      <c r="B183" s="1" t="s">
        <v>326</v>
      </c>
      <c r="D183" s="161"/>
      <c r="F183" s="103"/>
      <c r="G183" s="16"/>
      <c r="H183" s="9"/>
      <c r="I183" s="9"/>
      <c r="J183" s="6"/>
      <c r="K183" s="6"/>
    </row>
    <row r="184" spans="1:12">
      <c r="D184" s="161"/>
      <c r="F184" s="103"/>
      <c r="G184" s="16"/>
      <c r="H184" s="9"/>
      <c r="I184" s="9"/>
      <c r="J184" s="6"/>
      <c r="K184" s="6"/>
    </row>
    <row r="185" spans="1:12">
      <c r="D185" s="50"/>
    </row>
    <row r="186" spans="1:12">
      <c r="A186" s="1" t="s">
        <v>58</v>
      </c>
      <c r="B186" s="27" t="s">
        <v>322</v>
      </c>
      <c r="D186" s="161" t="s">
        <v>367</v>
      </c>
      <c r="E186" s="119"/>
      <c r="F186" s="106">
        <v>360000</v>
      </c>
      <c r="G186" s="47">
        <f>F186</f>
        <v>360000</v>
      </c>
      <c r="H186" s="48">
        <v>6600</v>
      </c>
      <c r="I186" s="88">
        <f t="shared" si="70"/>
        <v>660</v>
      </c>
      <c r="J186" s="49">
        <f>H186/G186</f>
        <v>1.8333333333333333E-2</v>
      </c>
      <c r="K186" s="49">
        <f>G186/H186</f>
        <v>54.545454545454547</v>
      </c>
      <c r="L186" s="44">
        <f>K186/K$2</f>
        <v>25.745454545454546</v>
      </c>
    </row>
    <row r="187" spans="1:12">
      <c r="B187" s="1" t="s">
        <v>324</v>
      </c>
      <c r="D187" s="161"/>
      <c r="E187" s="119"/>
    </row>
    <row r="188" spans="1:12">
      <c r="D188" s="161"/>
      <c r="E188" s="119"/>
    </row>
    <row r="189" spans="1:12" ht="13.5" customHeight="1">
      <c r="D189" s="161"/>
      <c r="E189" s="119"/>
    </row>
    <row r="190" spans="1:12">
      <c r="D190" s="50"/>
    </row>
    <row r="191" spans="1:12" ht="16.5" customHeight="1">
      <c r="A191" s="1" t="s">
        <v>58</v>
      </c>
      <c r="B191" s="27" t="s">
        <v>323</v>
      </c>
      <c r="D191" s="161" t="s">
        <v>320</v>
      </c>
      <c r="E191" s="119"/>
      <c r="F191" s="106">
        <v>400000</v>
      </c>
      <c r="G191" s="47">
        <f>F191</f>
        <v>400000</v>
      </c>
      <c r="H191" s="48">
        <v>6600</v>
      </c>
      <c r="I191" s="88">
        <f t="shared" ref="I191" si="80">H191/10</f>
        <v>660</v>
      </c>
      <c r="J191" s="49">
        <f>H191/G191</f>
        <v>1.6500000000000001E-2</v>
      </c>
      <c r="K191" s="49">
        <f>G191/H191</f>
        <v>60.606060606060609</v>
      </c>
      <c r="L191" s="44">
        <f>K191/K$2</f>
        <v>28.606060606060606</v>
      </c>
    </row>
    <row r="192" spans="1:12">
      <c r="B192" s="1" t="s">
        <v>324</v>
      </c>
      <c r="D192" s="161"/>
      <c r="E192" s="119"/>
    </row>
    <row r="193" spans="1:14">
      <c r="D193" s="161"/>
      <c r="E193" s="119"/>
    </row>
    <row r="194" spans="1:14">
      <c r="D194" s="161"/>
      <c r="E194" s="119"/>
    </row>
    <row r="196" spans="1:14" s="54" customFormat="1">
      <c r="B196" s="55" t="s">
        <v>85</v>
      </c>
      <c r="C196" s="56"/>
      <c r="E196" s="104"/>
      <c r="F196" s="105"/>
      <c r="G196" s="20"/>
      <c r="L196" s="45"/>
    </row>
    <row r="197" spans="1:14">
      <c r="B197" s="21" t="s">
        <v>200</v>
      </c>
      <c r="C197" s="10"/>
      <c r="D197" s="24"/>
      <c r="E197" s="120"/>
      <c r="F197" s="103"/>
      <c r="G197" s="16"/>
    </row>
    <row r="198" spans="1:14">
      <c r="A198" s="1" t="s">
        <v>54</v>
      </c>
      <c r="B198" s="138" t="s">
        <v>95</v>
      </c>
      <c r="C198" s="139" t="s">
        <v>113</v>
      </c>
      <c r="D198" s="144" t="s">
        <v>48</v>
      </c>
      <c r="E198" s="145">
        <v>80000</v>
      </c>
      <c r="F198" s="145"/>
      <c r="G198" s="142">
        <f t="shared" ref="G198:G217" si="81">E198</f>
        <v>80000</v>
      </c>
      <c r="H198" s="140">
        <v>5500</v>
      </c>
      <c r="I198" s="141">
        <f t="shared" ref="I198:I217" si="82">H198/10</f>
        <v>550</v>
      </c>
      <c r="J198" s="143">
        <f t="shared" ref="J198:J217" si="83">H198/G198</f>
        <v>6.8750000000000006E-2</v>
      </c>
      <c r="K198" s="143">
        <f t="shared" ref="K198:K217" si="84">G198/H198</f>
        <v>14.545454545454545</v>
      </c>
      <c r="L198" s="44">
        <f t="shared" ref="L198:L201" si="85">K198/K$2</f>
        <v>6.8654545454545453</v>
      </c>
      <c r="M198" s="1" t="s">
        <v>425</v>
      </c>
    </row>
    <row r="199" spans="1:14">
      <c r="A199" s="1" t="s">
        <v>54</v>
      </c>
      <c r="B199" s="70" t="s">
        <v>95</v>
      </c>
      <c r="C199" s="72" t="s">
        <v>131</v>
      </c>
      <c r="D199" s="87" t="s">
        <v>48</v>
      </c>
      <c r="E199" s="111">
        <v>200000</v>
      </c>
      <c r="F199" s="111"/>
      <c r="G199" s="71">
        <f t="shared" si="81"/>
        <v>200000</v>
      </c>
      <c r="H199" s="73">
        <v>11000</v>
      </c>
      <c r="I199" s="90">
        <f t="shared" si="82"/>
        <v>1100</v>
      </c>
      <c r="J199" s="74">
        <f t="shared" si="83"/>
        <v>5.5E-2</v>
      </c>
      <c r="K199" s="74">
        <f t="shared" si="84"/>
        <v>18.181818181818183</v>
      </c>
      <c r="L199" s="44">
        <f t="shared" si="85"/>
        <v>8.581818181818182</v>
      </c>
      <c r="M199" s="1" t="s">
        <v>425</v>
      </c>
      <c r="N199" s="160"/>
    </row>
    <row r="200" spans="1:14">
      <c r="A200" s="1" t="s">
        <v>54</v>
      </c>
      <c r="B200" s="70" t="s">
        <v>453</v>
      </c>
      <c r="C200" s="72" t="s">
        <v>114</v>
      </c>
      <c r="D200" s="87" t="s">
        <v>48</v>
      </c>
      <c r="E200" s="111">
        <v>600000</v>
      </c>
      <c r="F200" s="111"/>
      <c r="G200" s="71">
        <f t="shared" si="81"/>
        <v>600000</v>
      </c>
      <c r="H200" s="73">
        <v>33000</v>
      </c>
      <c r="I200" s="90">
        <f t="shared" si="82"/>
        <v>3300</v>
      </c>
      <c r="J200" s="74">
        <f t="shared" si="83"/>
        <v>5.5E-2</v>
      </c>
      <c r="K200" s="74">
        <f t="shared" si="84"/>
        <v>18.181818181818183</v>
      </c>
      <c r="L200" s="44">
        <f t="shared" si="85"/>
        <v>8.581818181818182</v>
      </c>
      <c r="M200" s="1" t="s">
        <v>425</v>
      </c>
      <c r="N200" s="160"/>
    </row>
    <row r="201" spans="1:14">
      <c r="A201" s="1" t="s">
        <v>54</v>
      </c>
      <c r="B201" s="70" t="s">
        <v>454</v>
      </c>
      <c r="C201" s="72" t="s">
        <v>115</v>
      </c>
      <c r="D201" s="87" t="s">
        <v>48</v>
      </c>
      <c r="E201" s="111">
        <v>600000</v>
      </c>
      <c r="F201" s="111"/>
      <c r="G201" s="71">
        <f t="shared" si="81"/>
        <v>600000</v>
      </c>
      <c r="H201" s="73">
        <v>33000</v>
      </c>
      <c r="I201" s="90">
        <f t="shared" si="82"/>
        <v>3300</v>
      </c>
      <c r="J201" s="74">
        <f t="shared" si="83"/>
        <v>5.5E-2</v>
      </c>
      <c r="K201" s="74">
        <f t="shared" si="84"/>
        <v>18.181818181818183</v>
      </c>
      <c r="L201" s="44">
        <f t="shared" si="85"/>
        <v>8.581818181818182</v>
      </c>
      <c r="M201" s="1" t="s">
        <v>425</v>
      </c>
      <c r="N201" s="160"/>
    </row>
    <row r="202" spans="1:14">
      <c r="A202" s="1" t="s">
        <v>54</v>
      </c>
      <c r="B202" s="70" t="s">
        <v>96</v>
      </c>
      <c r="C202" s="72" t="s">
        <v>116</v>
      </c>
      <c r="D202" s="87" t="s">
        <v>48</v>
      </c>
      <c r="E202" s="111">
        <v>100000</v>
      </c>
      <c r="F202" s="111"/>
      <c r="G202" s="71">
        <f t="shared" si="81"/>
        <v>100000</v>
      </c>
      <c r="H202" s="73">
        <v>5500</v>
      </c>
      <c r="I202" s="90">
        <f t="shared" si="82"/>
        <v>550</v>
      </c>
      <c r="J202" s="74">
        <f t="shared" si="83"/>
        <v>5.5E-2</v>
      </c>
      <c r="K202" s="74">
        <f t="shared" si="84"/>
        <v>18.181818181818183</v>
      </c>
      <c r="L202" s="44">
        <f t="shared" ref="L202:L205" si="86">K202/K$2</f>
        <v>8.581818181818182</v>
      </c>
      <c r="M202" s="1" t="s">
        <v>425</v>
      </c>
      <c r="N202" s="160"/>
    </row>
    <row r="203" spans="1:14">
      <c r="A203" s="1" t="s">
        <v>54</v>
      </c>
      <c r="B203" s="70" t="s">
        <v>97</v>
      </c>
      <c r="C203" s="72" t="s">
        <v>117</v>
      </c>
      <c r="D203" s="87" t="s">
        <v>48</v>
      </c>
      <c r="E203" s="111">
        <v>200000</v>
      </c>
      <c r="F203" s="111"/>
      <c r="G203" s="71">
        <f t="shared" si="81"/>
        <v>200000</v>
      </c>
      <c r="H203" s="73">
        <v>11000</v>
      </c>
      <c r="I203" s="90">
        <f t="shared" si="82"/>
        <v>1100</v>
      </c>
      <c r="J203" s="74">
        <f t="shared" si="83"/>
        <v>5.5E-2</v>
      </c>
      <c r="K203" s="74">
        <f t="shared" si="84"/>
        <v>18.181818181818183</v>
      </c>
      <c r="L203" s="44">
        <f t="shared" si="86"/>
        <v>8.581818181818182</v>
      </c>
      <c r="M203" s="1" t="s">
        <v>425</v>
      </c>
      <c r="N203" s="160"/>
    </row>
    <row r="204" spans="1:14">
      <c r="A204" s="1" t="s">
        <v>54</v>
      </c>
      <c r="B204" s="70" t="s">
        <v>98</v>
      </c>
      <c r="C204" s="72" t="s">
        <v>118</v>
      </c>
      <c r="D204" s="87" t="s">
        <v>48</v>
      </c>
      <c r="E204" s="111">
        <v>600000</v>
      </c>
      <c r="F204" s="111"/>
      <c r="G204" s="71">
        <f t="shared" si="81"/>
        <v>600000</v>
      </c>
      <c r="H204" s="73">
        <v>33000</v>
      </c>
      <c r="I204" s="90">
        <f t="shared" si="82"/>
        <v>3300</v>
      </c>
      <c r="J204" s="74">
        <f t="shared" si="83"/>
        <v>5.5E-2</v>
      </c>
      <c r="K204" s="74">
        <f t="shared" si="84"/>
        <v>18.181818181818183</v>
      </c>
      <c r="L204" s="44">
        <f t="shared" si="86"/>
        <v>8.581818181818182</v>
      </c>
      <c r="M204" s="1" t="s">
        <v>425</v>
      </c>
      <c r="N204" s="160"/>
    </row>
    <row r="205" spans="1:14">
      <c r="A205" s="1" t="s">
        <v>54</v>
      </c>
      <c r="B205" s="70" t="s">
        <v>99</v>
      </c>
      <c r="C205" s="72" t="s">
        <v>119</v>
      </c>
      <c r="D205" s="87" t="s">
        <v>48</v>
      </c>
      <c r="E205" s="111">
        <v>600000</v>
      </c>
      <c r="F205" s="111"/>
      <c r="G205" s="71">
        <f t="shared" si="81"/>
        <v>600000</v>
      </c>
      <c r="H205" s="73">
        <v>33000</v>
      </c>
      <c r="I205" s="90">
        <f t="shared" si="82"/>
        <v>3300</v>
      </c>
      <c r="J205" s="74">
        <f t="shared" si="83"/>
        <v>5.5E-2</v>
      </c>
      <c r="K205" s="74">
        <f t="shared" si="84"/>
        <v>18.181818181818183</v>
      </c>
      <c r="L205" s="44">
        <f t="shared" si="86"/>
        <v>8.581818181818182</v>
      </c>
      <c r="M205" s="1" t="s">
        <v>425</v>
      </c>
      <c r="N205" s="160"/>
    </row>
    <row r="206" spans="1:14">
      <c r="A206" s="1" t="s">
        <v>54</v>
      </c>
      <c r="B206" s="70" t="s">
        <v>100</v>
      </c>
      <c r="C206" s="72" t="s">
        <v>120</v>
      </c>
      <c r="D206" s="87" t="s">
        <v>48</v>
      </c>
      <c r="E206" s="111">
        <v>600000</v>
      </c>
      <c r="F206" s="111"/>
      <c r="G206" s="71">
        <f t="shared" si="81"/>
        <v>600000</v>
      </c>
      <c r="H206" s="73">
        <v>33000</v>
      </c>
      <c r="I206" s="90">
        <f t="shared" si="82"/>
        <v>3300</v>
      </c>
      <c r="J206" s="74">
        <f t="shared" si="83"/>
        <v>5.5E-2</v>
      </c>
      <c r="K206" s="74">
        <f t="shared" si="84"/>
        <v>18.181818181818183</v>
      </c>
      <c r="L206" s="44">
        <f>K206/K$2</f>
        <v>8.581818181818182</v>
      </c>
      <c r="M206" s="1" t="s">
        <v>425</v>
      </c>
      <c r="N206" s="160"/>
    </row>
    <row r="207" spans="1:14">
      <c r="A207" s="1" t="s">
        <v>54</v>
      </c>
      <c r="B207" s="70" t="s">
        <v>101</v>
      </c>
      <c r="C207" s="72" t="s">
        <v>132</v>
      </c>
      <c r="D207" s="87" t="s">
        <v>48</v>
      </c>
      <c r="E207" s="111">
        <v>200000</v>
      </c>
      <c r="F207" s="111"/>
      <c r="G207" s="71">
        <f t="shared" si="81"/>
        <v>200000</v>
      </c>
      <c r="H207" s="73">
        <v>11000</v>
      </c>
      <c r="I207" s="90">
        <f t="shared" si="82"/>
        <v>1100</v>
      </c>
      <c r="J207" s="74">
        <f t="shared" si="83"/>
        <v>5.5E-2</v>
      </c>
      <c r="K207" s="74">
        <f t="shared" si="84"/>
        <v>18.181818181818183</v>
      </c>
      <c r="L207" s="44">
        <f t="shared" ref="L207:L209" si="87">K207/K$2</f>
        <v>8.581818181818182</v>
      </c>
      <c r="M207" s="1" t="s">
        <v>425</v>
      </c>
      <c r="N207" s="160"/>
    </row>
    <row r="208" spans="1:14">
      <c r="A208" s="1" t="s">
        <v>54</v>
      </c>
      <c r="B208" s="70" t="s">
        <v>102</v>
      </c>
      <c r="C208" s="72" t="s">
        <v>121</v>
      </c>
      <c r="D208" s="87" t="s">
        <v>48</v>
      </c>
      <c r="E208" s="111">
        <v>600000</v>
      </c>
      <c r="F208" s="111"/>
      <c r="G208" s="71">
        <f t="shared" si="81"/>
        <v>600000</v>
      </c>
      <c r="H208" s="73">
        <v>33000</v>
      </c>
      <c r="I208" s="90">
        <f t="shared" si="82"/>
        <v>3300</v>
      </c>
      <c r="J208" s="74">
        <f t="shared" si="83"/>
        <v>5.5E-2</v>
      </c>
      <c r="K208" s="74">
        <f t="shared" si="84"/>
        <v>18.181818181818183</v>
      </c>
      <c r="L208" s="44">
        <f t="shared" si="87"/>
        <v>8.581818181818182</v>
      </c>
      <c r="M208" s="1" t="s">
        <v>425</v>
      </c>
      <c r="N208" s="160"/>
    </row>
    <row r="209" spans="1:14">
      <c r="A209" s="1" t="s">
        <v>54</v>
      </c>
      <c r="B209" s="70" t="s">
        <v>103</v>
      </c>
      <c r="C209" s="72" t="s">
        <v>122</v>
      </c>
      <c r="D209" s="87" t="s">
        <v>48</v>
      </c>
      <c r="E209" s="111">
        <v>600000</v>
      </c>
      <c r="F209" s="111"/>
      <c r="G209" s="71">
        <f t="shared" si="81"/>
        <v>600000</v>
      </c>
      <c r="H209" s="73">
        <v>33000</v>
      </c>
      <c r="I209" s="90">
        <f t="shared" si="82"/>
        <v>3300</v>
      </c>
      <c r="J209" s="74">
        <f t="shared" si="83"/>
        <v>5.5E-2</v>
      </c>
      <c r="K209" s="74">
        <f t="shared" si="84"/>
        <v>18.181818181818183</v>
      </c>
      <c r="L209" s="44">
        <f t="shared" si="87"/>
        <v>8.581818181818182</v>
      </c>
      <c r="M209" s="1" t="s">
        <v>425</v>
      </c>
      <c r="N209" s="160"/>
    </row>
    <row r="210" spans="1:14">
      <c r="A210" s="1" t="s">
        <v>54</v>
      </c>
      <c r="B210" s="70" t="s">
        <v>104</v>
      </c>
      <c r="C210" s="72" t="s">
        <v>123</v>
      </c>
      <c r="D210" s="87" t="s">
        <v>48</v>
      </c>
      <c r="E210" s="111">
        <v>600000</v>
      </c>
      <c r="F210" s="111"/>
      <c r="G210" s="71">
        <f t="shared" si="81"/>
        <v>600000</v>
      </c>
      <c r="H210" s="73">
        <v>33000</v>
      </c>
      <c r="I210" s="90">
        <f t="shared" si="82"/>
        <v>3300</v>
      </c>
      <c r="J210" s="74">
        <f t="shared" si="83"/>
        <v>5.5E-2</v>
      </c>
      <c r="K210" s="74">
        <f t="shared" si="84"/>
        <v>18.181818181818183</v>
      </c>
      <c r="L210" s="44">
        <f>K210/K$2</f>
        <v>8.581818181818182</v>
      </c>
      <c r="M210" s="1" t="s">
        <v>425</v>
      </c>
      <c r="N210" s="160"/>
    </row>
    <row r="211" spans="1:14">
      <c r="A211" s="1" t="s">
        <v>54</v>
      </c>
      <c r="B211" s="70" t="s">
        <v>105</v>
      </c>
      <c r="C211" s="72" t="s">
        <v>124</v>
      </c>
      <c r="D211" s="87" t="s">
        <v>48</v>
      </c>
      <c r="E211" s="111">
        <v>200000</v>
      </c>
      <c r="F211" s="111"/>
      <c r="G211" s="71">
        <f t="shared" si="81"/>
        <v>200000</v>
      </c>
      <c r="H211" s="73">
        <v>11000</v>
      </c>
      <c r="I211" s="90">
        <f t="shared" si="82"/>
        <v>1100</v>
      </c>
      <c r="J211" s="74">
        <f t="shared" si="83"/>
        <v>5.5E-2</v>
      </c>
      <c r="K211" s="74">
        <f t="shared" si="84"/>
        <v>18.181818181818183</v>
      </c>
      <c r="L211" s="44">
        <f t="shared" ref="L211:L213" si="88">K211/K$2</f>
        <v>8.581818181818182</v>
      </c>
      <c r="M211" s="1" t="s">
        <v>425</v>
      </c>
      <c r="N211" s="160"/>
    </row>
    <row r="212" spans="1:14">
      <c r="A212" s="1" t="s">
        <v>54</v>
      </c>
      <c r="B212" s="70" t="s">
        <v>106</v>
      </c>
      <c r="C212" s="72" t="s">
        <v>125</v>
      </c>
      <c r="D212" s="87" t="s">
        <v>48</v>
      </c>
      <c r="E212" s="111">
        <v>600000</v>
      </c>
      <c r="F212" s="111"/>
      <c r="G212" s="71">
        <f t="shared" si="81"/>
        <v>600000</v>
      </c>
      <c r="H212" s="73">
        <v>33000</v>
      </c>
      <c r="I212" s="90">
        <f t="shared" si="82"/>
        <v>3300</v>
      </c>
      <c r="J212" s="74">
        <f t="shared" si="83"/>
        <v>5.5E-2</v>
      </c>
      <c r="K212" s="74">
        <f t="shared" si="84"/>
        <v>18.181818181818183</v>
      </c>
      <c r="L212" s="44">
        <f t="shared" si="88"/>
        <v>8.581818181818182</v>
      </c>
      <c r="M212" s="1" t="s">
        <v>425</v>
      </c>
      <c r="N212" s="160"/>
    </row>
    <row r="213" spans="1:14">
      <c r="A213" s="1" t="s">
        <v>54</v>
      </c>
      <c r="B213" s="70" t="s">
        <v>107</v>
      </c>
      <c r="C213" s="72" t="s">
        <v>126</v>
      </c>
      <c r="D213" s="87" t="s">
        <v>48</v>
      </c>
      <c r="E213" s="111">
        <v>600000</v>
      </c>
      <c r="F213" s="111"/>
      <c r="G213" s="71">
        <f t="shared" si="81"/>
        <v>600000</v>
      </c>
      <c r="H213" s="73">
        <v>33000</v>
      </c>
      <c r="I213" s="90">
        <f t="shared" si="82"/>
        <v>3300</v>
      </c>
      <c r="J213" s="74">
        <f t="shared" si="83"/>
        <v>5.5E-2</v>
      </c>
      <c r="K213" s="74">
        <f t="shared" si="84"/>
        <v>18.181818181818183</v>
      </c>
      <c r="L213" s="44">
        <f t="shared" si="88"/>
        <v>8.581818181818182</v>
      </c>
      <c r="M213" s="1" t="s">
        <v>425</v>
      </c>
      <c r="N213" s="160"/>
    </row>
    <row r="214" spans="1:14">
      <c r="A214" s="1" t="s">
        <v>54</v>
      </c>
      <c r="B214" s="70" t="s">
        <v>108</v>
      </c>
      <c r="C214" s="72" t="s">
        <v>127</v>
      </c>
      <c r="D214" s="87" t="s">
        <v>48</v>
      </c>
      <c r="E214" s="111">
        <v>600000</v>
      </c>
      <c r="F214" s="111"/>
      <c r="G214" s="71">
        <f t="shared" si="81"/>
        <v>600000</v>
      </c>
      <c r="H214" s="73">
        <v>33000</v>
      </c>
      <c r="I214" s="90">
        <f t="shared" si="82"/>
        <v>3300</v>
      </c>
      <c r="J214" s="74">
        <f t="shared" si="83"/>
        <v>5.5E-2</v>
      </c>
      <c r="K214" s="74">
        <f t="shared" si="84"/>
        <v>18.181818181818183</v>
      </c>
      <c r="L214" s="44">
        <f>K214/K$2</f>
        <v>8.581818181818182</v>
      </c>
      <c r="M214" s="1" t="s">
        <v>425</v>
      </c>
      <c r="N214" s="160"/>
    </row>
    <row r="215" spans="1:14">
      <c r="A215" s="1" t="s">
        <v>54</v>
      </c>
      <c r="B215" s="70" t="s">
        <v>109</v>
      </c>
      <c r="C215" s="72" t="s">
        <v>128</v>
      </c>
      <c r="D215" s="87" t="s">
        <v>48</v>
      </c>
      <c r="E215" s="111">
        <v>200000</v>
      </c>
      <c r="F215" s="111"/>
      <c r="G215" s="71">
        <f t="shared" si="81"/>
        <v>200000</v>
      </c>
      <c r="H215" s="73">
        <v>11000</v>
      </c>
      <c r="I215" s="90">
        <f t="shared" si="82"/>
        <v>1100</v>
      </c>
      <c r="J215" s="74">
        <f t="shared" si="83"/>
        <v>5.5E-2</v>
      </c>
      <c r="K215" s="74">
        <f t="shared" si="84"/>
        <v>18.181818181818183</v>
      </c>
      <c r="L215" s="44">
        <f t="shared" ref="L215:L217" si="89">K215/K$2</f>
        <v>8.581818181818182</v>
      </c>
      <c r="M215" s="1" t="s">
        <v>425</v>
      </c>
      <c r="N215" s="160"/>
    </row>
    <row r="216" spans="1:14">
      <c r="A216" s="1" t="s">
        <v>54</v>
      </c>
      <c r="B216" s="70" t="s">
        <v>110</v>
      </c>
      <c r="C216" s="72" t="s">
        <v>129</v>
      </c>
      <c r="D216" s="87" t="s">
        <v>48</v>
      </c>
      <c r="E216" s="111">
        <v>600000</v>
      </c>
      <c r="F216" s="111"/>
      <c r="G216" s="71">
        <f t="shared" si="81"/>
        <v>600000</v>
      </c>
      <c r="H216" s="73">
        <v>33000</v>
      </c>
      <c r="I216" s="90">
        <f t="shared" si="82"/>
        <v>3300</v>
      </c>
      <c r="J216" s="74">
        <f t="shared" si="83"/>
        <v>5.5E-2</v>
      </c>
      <c r="K216" s="74">
        <f t="shared" si="84"/>
        <v>18.181818181818183</v>
      </c>
      <c r="L216" s="44">
        <f t="shared" si="89"/>
        <v>8.581818181818182</v>
      </c>
      <c r="M216" s="1" t="s">
        <v>425</v>
      </c>
      <c r="N216" s="160"/>
    </row>
    <row r="217" spans="1:14">
      <c r="A217" s="1" t="s">
        <v>54</v>
      </c>
      <c r="B217" s="70" t="s">
        <v>111</v>
      </c>
      <c r="C217" s="72" t="s">
        <v>130</v>
      </c>
      <c r="D217" s="87" t="s">
        <v>48</v>
      </c>
      <c r="E217" s="111">
        <v>600000</v>
      </c>
      <c r="F217" s="111"/>
      <c r="G217" s="71">
        <f t="shared" si="81"/>
        <v>600000</v>
      </c>
      <c r="H217" s="73">
        <v>33000</v>
      </c>
      <c r="I217" s="90">
        <f t="shared" si="82"/>
        <v>3300</v>
      </c>
      <c r="J217" s="74">
        <f t="shared" si="83"/>
        <v>5.5E-2</v>
      </c>
      <c r="K217" s="74">
        <f t="shared" si="84"/>
        <v>18.181818181818183</v>
      </c>
      <c r="L217" s="44">
        <f t="shared" si="89"/>
        <v>8.581818181818182</v>
      </c>
      <c r="M217" s="1" t="s">
        <v>425</v>
      </c>
      <c r="N217" s="160"/>
    </row>
    <row r="219" spans="1:14">
      <c r="B219" s="21" t="s">
        <v>201</v>
      </c>
      <c r="D219" s="24"/>
      <c r="E219" s="120"/>
    </row>
    <row r="220" spans="1:14">
      <c r="A220" s="1" t="s">
        <v>54</v>
      </c>
      <c r="B220" s="27" t="s">
        <v>133</v>
      </c>
      <c r="C220" s="43" t="s">
        <v>233</v>
      </c>
      <c r="D220" s="67" t="s">
        <v>381</v>
      </c>
      <c r="E220" s="126">
        <v>10000</v>
      </c>
      <c r="F220" s="110">
        <v>500</v>
      </c>
      <c r="G220" s="47">
        <f t="shared" ref="G220:G225" si="90">F220*100+E220</f>
        <v>60000</v>
      </c>
      <c r="H220" s="48">
        <v>3300</v>
      </c>
      <c r="I220" s="88">
        <f t="shared" ref="I220:I232" si="91">H220/10</f>
        <v>330</v>
      </c>
      <c r="J220" s="49">
        <f t="shared" ref="J220:J225" si="92">H220/G220</f>
        <v>5.5E-2</v>
      </c>
      <c r="K220" s="49">
        <f t="shared" ref="K220:K225" si="93">G220/H220</f>
        <v>18.181818181818183</v>
      </c>
      <c r="L220" s="44">
        <f t="shared" ref="L220:L224" si="94">K220/K$2</f>
        <v>8.581818181818182</v>
      </c>
      <c r="M220" s="1" t="s">
        <v>425</v>
      </c>
    </row>
    <row r="221" spans="1:14">
      <c r="A221" s="1" t="s">
        <v>54</v>
      </c>
      <c r="B221" s="27" t="s">
        <v>134</v>
      </c>
      <c r="C221" s="43" t="s">
        <v>234</v>
      </c>
      <c r="D221" s="67" t="s">
        <v>381</v>
      </c>
      <c r="E221" s="126">
        <v>20000</v>
      </c>
      <c r="F221" s="110">
        <v>800</v>
      </c>
      <c r="G221" s="47">
        <f t="shared" si="90"/>
        <v>100000</v>
      </c>
      <c r="H221" s="48">
        <v>5500</v>
      </c>
      <c r="I221" s="88">
        <f t="shared" si="91"/>
        <v>550</v>
      </c>
      <c r="J221" s="49">
        <f t="shared" si="92"/>
        <v>5.5E-2</v>
      </c>
      <c r="K221" s="49">
        <f t="shared" si="93"/>
        <v>18.181818181818183</v>
      </c>
      <c r="L221" s="44">
        <f t="shared" si="94"/>
        <v>8.581818181818182</v>
      </c>
      <c r="M221" s="1" t="s">
        <v>425</v>
      </c>
    </row>
    <row r="222" spans="1:14">
      <c r="A222" s="1" t="s">
        <v>54</v>
      </c>
      <c r="B222" s="27" t="s">
        <v>135</v>
      </c>
      <c r="C222" s="43" t="s">
        <v>235</v>
      </c>
      <c r="D222" s="67" t="s">
        <v>381</v>
      </c>
      <c r="E222" s="126">
        <v>30000</v>
      </c>
      <c r="F222" s="110">
        <v>1700</v>
      </c>
      <c r="G222" s="47">
        <f t="shared" si="90"/>
        <v>200000</v>
      </c>
      <c r="H222" s="48">
        <v>11000</v>
      </c>
      <c r="I222" s="88">
        <f t="shared" si="91"/>
        <v>1100</v>
      </c>
      <c r="J222" s="49">
        <f t="shared" si="92"/>
        <v>5.5E-2</v>
      </c>
      <c r="K222" s="49">
        <f t="shared" si="93"/>
        <v>18.181818181818183</v>
      </c>
      <c r="L222" s="44">
        <f t="shared" si="94"/>
        <v>8.581818181818182</v>
      </c>
      <c r="M222" s="1" t="s">
        <v>425</v>
      </c>
    </row>
    <row r="223" spans="1:14">
      <c r="A223" s="1" t="s">
        <v>54</v>
      </c>
      <c r="B223" s="27" t="s">
        <v>136</v>
      </c>
      <c r="C223" s="43" t="s">
        <v>236</v>
      </c>
      <c r="D223" s="67" t="s">
        <v>381</v>
      </c>
      <c r="E223" s="126">
        <v>90000</v>
      </c>
      <c r="F223" s="110">
        <v>5100</v>
      </c>
      <c r="G223" s="47">
        <f t="shared" si="90"/>
        <v>600000</v>
      </c>
      <c r="H223" s="48">
        <v>33000</v>
      </c>
      <c r="I223" s="88">
        <f t="shared" si="91"/>
        <v>3300</v>
      </c>
      <c r="J223" s="49">
        <f t="shared" si="92"/>
        <v>5.5E-2</v>
      </c>
      <c r="K223" s="49">
        <f t="shared" si="93"/>
        <v>18.181818181818183</v>
      </c>
      <c r="L223" s="44">
        <f t="shared" si="94"/>
        <v>8.581818181818182</v>
      </c>
      <c r="M223" s="1" t="s">
        <v>425</v>
      </c>
    </row>
    <row r="224" spans="1:14">
      <c r="A224" s="1" t="s">
        <v>54</v>
      </c>
      <c r="B224" s="27" t="s">
        <v>137</v>
      </c>
      <c r="C224" s="43" t="s">
        <v>237</v>
      </c>
      <c r="D224" s="67" t="s">
        <v>381</v>
      </c>
      <c r="E224" s="126">
        <v>90000</v>
      </c>
      <c r="F224" s="110">
        <v>5100</v>
      </c>
      <c r="G224" s="47">
        <f t="shared" si="90"/>
        <v>600000</v>
      </c>
      <c r="H224" s="48">
        <v>33000</v>
      </c>
      <c r="I224" s="88">
        <f t="shared" si="91"/>
        <v>3300</v>
      </c>
      <c r="J224" s="49">
        <f t="shared" si="92"/>
        <v>5.5E-2</v>
      </c>
      <c r="K224" s="49">
        <f t="shared" si="93"/>
        <v>18.181818181818183</v>
      </c>
      <c r="L224" s="44">
        <f t="shared" si="94"/>
        <v>8.581818181818182</v>
      </c>
      <c r="M224" s="1" t="s">
        <v>425</v>
      </c>
    </row>
    <row r="225" spans="1:13">
      <c r="A225" s="1" t="s">
        <v>54</v>
      </c>
      <c r="B225" s="27" t="s">
        <v>138</v>
      </c>
      <c r="C225" s="43" t="s">
        <v>238</v>
      </c>
      <c r="D225" s="67" t="s">
        <v>381</v>
      </c>
      <c r="E225" s="126">
        <v>90000</v>
      </c>
      <c r="F225" s="110">
        <v>5100</v>
      </c>
      <c r="G225" s="47">
        <f t="shared" si="90"/>
        <v>600000</v>
      </c>
      <c r="H225" s="48">
        <v>33000</v>
      </c>
      <c r="I225" s="88">
        <f t="shared" si="91"/>
        <v>3300</v>
      </c>
      <c r="J225" s="49">
        <f t="shared" si="92"/>
        <v>5.5E-2</v>
      </c>
      <c r="K225" s="49">
        <f t="shared" si="93"/>
        <v>18.181818181818183</v>
      </c>
      <c r="L225" s="44">
        <f t="shared" ref="L225" si="95">K225/K$2</f>
        <v>8.581818181818182</v>
      </c>
      <c r="M225" s="1" t="s">
        <v>425</v>
      </c>
    </row>
    <row r="226" spans="1:13">
      <c r="D226" s="25"/>
      <c r="E226" s="121"/>
      <c r="F226" s="122">
        <f>SUM(F220:F225)</f>
        <v>18300</v>
      </c>
      <c r="G226" s="52">
        <f>SUM(G220:G225)</f>
        <v>2160000</v>
      </c>
      <c r="H226" s="51">
        <f>SUM(H220:H225)</f>
        <v>118800</v>
      </c>
      <c r="I226" s="51"/>
      <c r="J226" s="24"/>
      <c r="K226" s="24"/>
      <c r="L226" s="80"/>
    </row>
    <row r="227" spans="1:13">
      <c r="A227" s="1" t="s">
        <v>54</v>
      </c>
      <c r="B227" s="27" t="s">
        <v>361</v>
      </c>
      <c r="C227" s="43" t="s">
        <v>233</v>
      </c>
      <c r="D227" s="67" t="s">
        <v>385</v>
      </c>
      <c r="E227" s="126">
        <v>10000</v>
      </c>
      <c r="F227" s="110">
        <v>500</v>
      </c>
      <c r="G227" s="47">
        <f t="shared" ref="G227:G232" si="96">F227*100+E227</f>
        <v>60000</v>
      </c>
      <c r="H227" s="48">
        <v>3300</v>
      </c>
      <c r="I227" s="88">
        <f t="shared" si="91"/>
        <v>330</v>
      </c>
      <c r="J227" s="49">
        <f t="shared" ref="J227:J232" si="97">H227/G227</f>
        <v>5.5E-2</v>
      </c>
      <c r="K227" s="49">
        <f t="shared" ref="K227:K232" si="98">G227/H227</f>
        <v>18.181818181818183</v>
      </c>
      <c r="L227" s="44">
        <f t="shared" ref="L227:L231" si="99">K227/K$2</f>
        <v>8.581818181818182</v>
      </c>
      <c r="M227" s="1" t="s">
        <v>425</v>
      </c>
    </row>
    <row r="228" spans="1:13">
      <c r="A228" s="1" t="s">
        <v>54</v>
      </c>
      <c r="B228" s="27" t="s">
        <v>362</v>
      </c>
      <c r="C228" s="43" t="s">
        <v>234</v>
      </c>
      <c r="D228" s="67" t="s">
        <v>385</v>
      </c>
      <c r="E228" s="126">
        <v>20000</v>
      </c>
      <c r="F228" s="110">
        <v>800</v>
      </c>
      <c r="G228" s="47">
        <f t="shared" si="96"/>
        <v>100000</v>
      </c>
      <c r="H228" s="48">
        <v>5500</v>
      </c>
      <c r="I228" s="88">
        <f t="shared" si="91"/>
        <v>550</v>
      </c>
      <c r="J228" s="49">
        <f t="shared" si="97"/>
        <v>5.5E-2</v>
      </c>
      <c r="K228" s="49">
        <f t="shared" si="98"/>
        <v>18.181818181818183</v>
      </c>
      <c r="L228" s="44">
        <f t="shared" si="99"/>
        <v>8.581818181818182</v>
      </c>
      <c r="M228" s="1" t="s">
        <v>425</v>
      </c>
    </row>
    <row r="229" spans="1:13">
      <c r="A229" s="1" t="s">
        <v>54</v>
      </c>
      <c r="B229" s="27" t="s">
        <v>363</v>
      </c>
      <c r="C229" s="43" t="s">
        <v>235</v>
      </c>
      <c r="D229" s="67" t="s">
        <v>385</v>
      </c>
      <c r="E229" s="126">
        <v>30000</v>
      </c>
      <c r="F229" s="110">
        <v>1700</v>
      </c>
      <c r="G229" s="47">
        <f t="shared" si="96"/>
        <v>200000</v>
      </c>
      <c r="H229" s="48">
        <v>11000</v>
      </c>
      <c r="I229" s="88">
        <f t="shared" si="91"/>
        <v>1100</v>
      </c>
      <c r="J229" s="49">
        <f t="shared" si="97"/>
        <v>5.5E-2</v>
      </c>
      <c r="K229" s="49">
        <f t="shared" si="98"/>
        <v>18.181818181818183</v>
      </c>
      <c r="L229" s="44">
        <f t="shared" si="99"/>
        <v>8.581818181818182</v>
      </c>
      <c r="M229" s="1" t="s">
        <v>425</v>
      </c>
    </row>
    <row r="230" spans="1:13">
      <c r="A230" s="1" t="s">
        <v>54</v>
      </c>
      <c r="B230" s="27" t="s">
        <v>364</v>
      </c>
      <c r="C230" s="43" t="s">
        <v>236</v>
      </c>
      <c r="D230" s="67" t="s">
        <v>385</v>
      </c>
      <c r="E230" s="126">
        <v>90000</v>
      </c>
      <c r="F230" s="110">
        <v>5100</v>
      </c>
      <c r="G230" s="47">
        <f t="shared" si="96"/>
        <v>600000</v>
      </c>
      <c r="H230" s="48">
        <v>33000</v>
      </c>
      <c r="I230" s="88">
        <f t="shared" si="91"/>
        <v>3300</v>
      </c>
      <c r="J230" s="49">
        <f t="shared" si="97"/>
        <v>5.5E-2</v>
      </c>
      <c r="K230" s="49">
        <f t="shared" si="98"/>
        <v>18.181818181818183</v>
      </c>
      <c r="L230" s="44">
        <f t="shared" si="99"/>
        <v>8.581818181818182</v>
      </c>
      <c r="M230" s="1" t="s">
        <v>425</v>
      </c>
    </row>
    <row r="231" spans="1:13">
      <c r="A231" s="1" t="s">
        <v>54</v>
      </c>
      <c r="B231" s="27" t="s">
        <v>365</v>
      </c>
      <c r="C231" s="43" t="s">
        <v>237</v>
      </c>
      <c r="D231" s="67" t="s">
        <v>385</v>
      </c>
      <c r="E231" s="126">
        <v>90000</v>
      </c>
      <c r="F231" s="110">
        <v>5100</v>
      </c>
      <c r="G231" s="47">
        <f t="shared" si="96"/>
        <v>600000</v>
      </c>
      <c r="H231" s="48">
        <v>33000</v>
      </c>
      <c r="I231" s="88">
        <f t="shared" si="91"/>
        <v>3300</v>
      </c>
      <c r="J231" s="49">
        <f t="shared" si="97"/>
        <v>5.5E-2</v>
      </c>
      <c r="K231" s="49">
        <f t="shared" si="98"/>
        <v>18.181818181818183</v>
      </c>
      <c r="L231" s="44">
        <f t="shared" si="99"/>
        <v>8.581818181818182</v>
      </c>
      <c r="M231" s="1" t="s">
        <v>425</v>
      </c>
    </row>
    <row r="232" spans="1:13">
      <c r="A232" s="1" t="s">
        <v>54</v>
      </c>
      <c r="B232" s="27" t="s">
        <v>366</v>
      </c>
      <c r="C232" s="43" t="s">
        <v>238</v>
      </c>
      <c r="D232" s="67" t="s">
        <v>385</v>
      </c>
      <c r="E232" s="126">
        <v>90000</v>
      </c>
      <c r="F232" s="110">
        <v>5100</v>
      </c>
      <c r="G232" s="47">
        <f t="shared" si="96"/>
        <v>600000</v>
      </c>
      <c r="H232" s="48">
        <v>33000</v>
      </c>
      <c r="I232" s="88">
        <f t="shared" si="91"/>
        <v>3300</v>
      </c>
      <c r="J232" s="49">
        <f t="shared" si="97"/>
        <v>5.5E-2</v>
      </c>
      <c r="K232" s="49">
        <f t="shared" si="98"/>
        <v>18.181818181818183</v>
      </c>
      <c r="L232" s="44">
        <f t="shared" ref="L232" si="100">K232/K$2</f>
        <v>8.581818181818182</v>
      </c>
      <c r="M232" s="1" t="s">
        <v>425</v>
      </c>
    </row>
    <row r="233" spans="1:13">
      <c r="D233" s="8"/>
      <c r="E233" s="65"/>
      <c r="F233" s="122">
        <f>SUM(F227:F232)</f>
        <v>18300</v>
      </c>
      <c r="G233" s="52">
        <f>SUM(G227:G232)</f>
        <v>2160000</v>
      </c>
      <c r="H233" s="51">
        <f>SUM(H227:H232)</f>
        <v>118800</v>
      </c>
      <c r="I233" s="51"/>
      <c r="J233" s="24"/>
      <c r="K233" s="24"/>
      <c r="L233" s="80"/>
    </row>
    <row r="234" spans="1:13">
      <c r="B234" s="21" t="s">
        <v>232</v>
      </c>
      <c r="D234" s="25"/>
      <c r="E234" s="121"/>
      <c r="F234" s="123"/>
      <c r="G234" s="23"/>
      <c r="H234" s="24"/>
      <c r="I234" s="24"/>
      <c r="J234" s="24"/>
      <c r="K234" s="24"/>
      <c r="L234" s="80"/>
    </row>
    <row r="235" spans="1:13">
      <c r="A235" s="1" t="s">
        <v>54</v>
      </c>
      <c r="B235" s="27" t="s">
        <v>139</v>
      </c>
      <c r="C235" s="43" t="s">
        <v>233</v>
      </c>
      <c r="D235" s="67" t="s">
        <v>383</v>
      </c>
      <c r="E235" s="126">
        <v>9000</v>
      </c>
      <c r="F235" s="110">
        <v>340</v>
      </c>
      <c r="G235" s="31">
        <f t="shared" ref="G235:G241" si="101">F235*150+E235</f>
        <v>60000</v>
      </c>
      <c r="H235" s="48">
        <v>3300</v>
      </c>
      <c r="I235" s="88">
        <f t="shared" ref="I235:I249" si="102">H235/10</f>
        <v>330</v>
      </c>
      <c r="J235" s="33">
        <f t="shared" ref="J235:J241" si="103">H235/G235</f>
        <v>5.5E-2</v>
      </c>
      <c r="K235" s="33">
        <f t="shared" ref="K235:K241" si="104">G235/H235</f>
        <v>18.181818181818183</v>
      </c>
      <c r="L235" s="79">
        <f t="shared" ref="L235:L241" si="105">K235/K$2</f>
        <v>8.581818181818182</v>
      </c>
      <c r="M235" s="1" t="s">
        <v>425</v>
      </c>
    </row>
    <row r="236" spans="1:13">
      <c r="A236" s="1" t="s">
        <v>54</v>
      </c>
      <c r="B236" s="27" t="s">
        <v>140</v>
      </c>
      <c r="C236" s="43" t="s">
        <v>234</v>
      </c>
      <c r="D236" s="67" t="s">
        <v>383</v>
      </c>
      <c r="E236" s="126">
        <v>20000</v>
      </c>
      <c r="F236" s="110">
        <v>530</v>
      </c>
      <c r="G236" s="31">
        <f t="shared" si="101"/>
        <v>99500</v>
      </c>
      <c r="H236" s="48">
        <v>5500</v>
      </c>
      <c r="I236" s="88">
        <f t="shared" si="102"/>
        <v>550</v>
      </c>
      <c r="J236" s="33">
        <f t="shared" si="103"/>
        <v>5.5276381909547742E-2</v>
      </c>
      <c r="K236" s="33">
        <f t="shared" si="104"/>
        <v>18.09090909090909</v>
      </c>
      <c r="L236" s="79">
        <f t="shared" si="105"/>
        <v>8.5389090909090903</v>
      </c>
      <c r="M236" s="1" t="s">
        <v>425</v>
      </c>
    </row>
    <row r="237" spans="1:13">
      <c r="A237" s="1" t="s">
        <v>54</v>
      </c>
      <c r="B237" s="27" t="s">
        <v>141</v>
      </c>
      <c r="C237" s="43" t="s">
        <v>235</v>
      </c>
      <c r="D237" s="67" t="s">
        <v>383</v>
      </c>
      <c r="E237" s="126">
        <v>48000</v>
      </c>
      <c r="F237" s="110">
        <v>1000</v>
      </c>
      <c r="G237" s="31">
        <f t="shared" si="101"/>
        <v>198000</v>
      </c>
      <c r="H237" s="48">
        <v>11000</v>
      </c>
      <c r="I237" s="88">
        <f t="shared" si="102"/>
        <v>1100</v>
      </c>
      <c r="J237" s="33">
        <f t="shared" si="103"/>
        <v>5.5555555555555552E-2</v>
      </c>
      <c r="K237" s="33">
        <f t="shared" si="104"/>
        <v>18</v>
      </c>
      <c r="L237" s="79">
        <f t="shared" si="105"/>
        <v>8.4959999999999987</v>
      </c>
      <c r="M237" s="1" t="s">
        <v>425</v>
      </c>
    </row>
    <row r="238" spans="1:13">
      <c r="A238" s="1" t="s">
        <v>54</v>
      </c>
      <c r="B238" s="27" t="s">
        <v>142</v>
      </c>
      <c r="C238" s="43" t="s">
        <v>236</v>
      </c>
      <c r="D238" s="67" t="s">
        <v>383</v>
      </c>
      <c r="E238" s="126">
        <v>150000</v>
      </c>
      <c r="F238" s="110">
        <v>3000</v>
      </c>
      <c r="G238" s="31">
        <f t="shared" si="101"/>
        <v>600000</v>
      </c>
      <c r="H238" s="48">
        <v>33000</v>
      </c>
      <c r="I238" s="88">
        <f t="shared" si="102"/>
        <v>3300</v>
      </c>
      <c r="J238" s="33">
        <f t="shared" si="103"/>
        <v>5.5E-2</v>
      </c>
      <c r="K238" s="33">
        <f t="shared" si="104"/>
        <v>18.181818181818183</v>
      </c>
      <c r="L238" s="79">
        <f t="shared" si="105"/>
        <v>8.581818181818182</v>
      </c>
      <c r="M238" s="1" t="s">
        <v>425</v>
      </c>
    </row>
    <row r="239" spans="1:13">
      <c r="A239" s="1" t="s">
        <v>54</v>
      </c>
      <c r="B239" s="27" t="s">
        <v>143</v>
      </c>
      <c r="C239" s="43" t="s">
        <v>237</v>
      </c>
      <c r="D239" s="67" t="s">
        <v>383</v>
      </c>
      <c r="E239" s="126">
        <v>150000</v>
      </c>
      <c r="F239" s="110">
        <v>3000</v>
      </c>
      <c r="G239" s="31">
        <f t="shared" si="101"/>
        <v>600000</v>
      </c>
      <c r="H239" s="48">
        <v>33000</v>
      </c>
      <c r="I239" s="88">
        <f t="shared" si="102"/>
        <v>3300</v>
      </c>
      <c r="J239" s="33">
        <f t="shared" si="103"/>
        <v>5.5E-2</v>
      </c>
      <c r="K239" s="33">
        <f t="shared" si="104"/>
        <v>18.181818181818183</v>
      </c>
      <c r="L239" s="79">
        <f t="shared" si="105"/>
        <v>8.581818181818182</v>
      </c>
      <c r="M239" s="1" t="s">
        <v>425</v>
      </c>
    </row>
    <row r="240" spans="1:13">
      <c r="A240" s="1" t="s">
        <v>54</v>
      </c>
      <c r="B240" s="27" t="s">
        <v>144</v>
      </c>
      <c r="C240" s="43" t="s">
        <v>238</v>
      </c>
      <c r="D240" s="67" t="s">
        <v>383</v>
      </c>
      <c r="E240" s="126">
        <v>150000</v>
      </c>
      <c r="F240" s="110">
        <v>3000</v>
      </c>
      <c r="G240" s="31">
        <f t="shared" si="101"/>
        <v>600000</v>
      </c>
      <c r="H240" s="48">
        <v>33000</v>
      </c>
      <c r="I240" s="88">
        <f t="shared" si="102"/>
        <v>3300</v>
      </c>
      <c r="J240" s="33">
        <f t="shared" si="103"/>
        <v>5.5E-2</v>
      </c>
      <c r="K240" s="33">
        <f t="shared" si="104"/>
        <v>18.181818181818183</v>
      </c>
      <c r="L240" s="79">
        <f t="shared" si="105"/>
        <v>8.581818181818182</v>
      </c>
      <c r="M240" s="1" t="s">
        <v>425</v>
      </c>
    </row>
    <row r="241" spans="1:14">
      <c r="A241" s="1" t="s">
        <v>54</v>
      </c>
      <c r="B241" s="27" t="s">
        <v>145</v>
      </c>
      <c r="C241" s="43" t="s">
        <v>239</v>
      </c>
      <c r="D241" s="67" t="s">
        <v>383</v>
      </c>
      <c r="E241" s="126">
        <v>450000</v>
      </c>
      <c r="F241" s="110">
        <v>13000</v>
      </c>
      <c r="G241" s="31">
        <f t="shared" si="101"/>
        <v>2400000</v>
      </c>
      <c r="H241" s="48">
        <v>110000</v>
      </c>
      <c r="I241" s="88">
        <f t="shared" si="102"/>
        <v>11000</v>
      </c>
      <c r="J241" s="33">
        <f t="shared" si="103"/>
        <v>4.583333333333333E-2</v>
      </c>
      <c r="K241" s="33">
        <f t="shared" si="104"/>
        <v>21.818181818181817</v>
      </c>
      <c r="L241" s="79">
        <f t="shared" si="105"/>
        <v>10.298181818181817</v>
      </c>
      <c r="M241" s="1" t="s">
        <v>425</v>
      </c>
    </row>
    <row r="242" spans="1:14">
      <c r="D242" s="25"/>
      <c r="E242" s="121"/>
    </row>
    <row r="243" spans="1:14">
      <c r="A243" s="1" t="s">
        <v>54</v>
      </c>
      <c r="B243" s="27" t="s">
        <v>146</v>
      </c>
      <c r="C243" s="43" t="s">
        <v>233</v>
      </c>
      <c r="D243" s="43" t="s">
        <v>384</v>
      </c>
      <c r="E243" s="126">
        <v>9000</v>
      </c>
      <c r="F243" s="110">
        <v>340</v>
      </c>
      <c r="G243" s="31">
        <f t="shared" ref="G243:G249" si="106">F243*150+E243</f>
        <v>60000</v>
      </c>
      <c r="H243" s="48">
        <v>3300</v>
      </c>
      <c r="I243" s="88">
        <f t="shared" si="102"/>
        <v>330</v>
      </c>
      <c r="J243" s="33">
        <f t="shared" ref="J243:J249" si="107">H243/G243</f>
        <v>5.5E-2</v>
      </c>
      <c r="K243" s="33">
        <f t="shared" ref="K243:K249" si="108">G243/H243</f>
        <v>18.181818181818183</v>
      </c>
      <c r="L243" s="79">
        <f t="shared" ref="L243:L249" si="109">K243/K$2</f>
        <v>8.581818181818182</v>
      </c>
      <c r="M243" s="1" t="s">
        <v>425</v>
      </c>
    </row>
    <row r="244" spans="1:14">
      <c r="A244" s="1" t="s">
        <v>54</v>
      </c>
      <c r="B244" s="27" t="s">
        <v>147</v>
      </c>
      <c r="C244" s="43" t="s">
        <v>234</v>
      </c>
      <c r="D244" s="43" t="s">
        <v>384</v>
      </c>
      <c r="E244" s="126">
        <v>20000</v>
      </c>
      <c r="F244" s="110">
        <v>530</v>
      </c>
      <c r="G244" s="31">
        <f t="shared" si="106"/>
        <v>99500</v>
      </c>
      <c r="H244" s="48">
        <v>5500</v>
      </c>
      <c r="I244" s="88">
        <f t="shared" si="102"/>
        <v>550</v>
      </c>
      <c r="J244" s="33">
        <f t="shared" si="107"/>
        <v>5.5276381909547742E-2</v>
      </c>
      <c r="K244" s="33">
        <f t="shared" si="108"/>
        <v>18.09090909090909</v>
      </c>
      <c r="L244" s="79">
        <f t="shared" si="109"/>
        <v>8.5389090909090903</v>
      </c>
      <c r="M244" s="1" t="s">
        <v>425</v>
      </c>
    </row>
    <row r="245" spans="1:14">
      <c r="A245" s="1" t="s">
        <v>54</v>
      </c>
      <c r="B245" s="27" t="s">
        <v>148</v>
      </c>
      <c r="C245" s="43" t="s">
        <v>235</v>
      </c>
      <c r="D245" s="43" t="s">
        <v>384</v>
      </c>
      <c r="E245" s="126">
        <v>48000</v>
      </c>
      <c r="F245" s="110">
        <v>1000</v>
      </c>
      <c r="G245" s="31">
        <f t="shared" si="106"/>
        <v>198000</v>
      </c>
      <c r="H245" s="48">
        <v>11000</v>
      </c>
      <c r="I245" s="88">
        <f t="shared" si="102"/>
        <v>1100</v>
      </c>
      <c r="J245" s="33">
        <f t="shared" si="107"/>
        <v>5.5555555555555552E-2</v>
      </c>
      <c r="K245" s="33">
        <f t="shared" si="108"/>
        <v>18</v>
      </c>
      <c r="L245" s="79">
        <f t="shared" si="109"/>
        <v>8.4959999999999987</v>
      </c>
      <c r="M245" s="1" t="s">
        <v>425</v>
      </c>
    </row>
    <row r="246" spans="1:14">
      <c r="A246" s="1" t="s">
        <v>54</v>
      </c>
      <c r="B246" s="27" t="s">
        <v>149</v>
      </c>
      <c r="C246" s="43" t="s">
        <v>236</v>
      </c>
      <c r="D246" s="43" t="s">
        <v>384</v>
      </c>
      <c r="E246" s="126">
        <v>150000</v>
      </c>
      <c r="F246" s="110">
        <v>3000</v>
      </c>
      <c r="G246" s="31">
        <f t="shared" si="106"/>
        <v>600000</v>
      </c>
      <c r="H246" s="48">
        <v>33000</v>
      </c>
      <c r="I246" s="88">
        <f t="shared" si="102"/>
        <v>3300</v>
      </c>
      <c r="J246" s="33">
        <f t="shared" si="107"/>
        <v>5.5E-2</v>
      </c>
      <c r="K246" s="33">
        <f t="shared" si="108"/>
        <v>18.181818181818183</v>
      </c>
      <c r="L246" s="79">
        <f t="shared" si="109"/>
        <v>8.581818181818182</v>
      </c>
      <c r="M246" s="1" t="s">
        <v>425</v>
      </c>
    </row>
    <row r="247" spans="1:14">
      <c r="A247" s="1" t="s">
        <v>54</v>
      </c>
      <c r="B247" s="27" t="s">
        <v>150</v>
      </c>
      <c r="C247" s="43" t="s">
        <v>237</v>
      </c>
      <c r="D247" s="43" t="s">
        <v>384</v>
      </c>
      <c r="E247" s="126">
        <v>150000</v>
      </c>
      <c r="F247" s="110">
        <v>3000</v>
      </c>
      <c r="G247" s="31">
        <f t="shared" si="106"/>
        <v>600000</v>
      </c>
      <c r="H247" s="48">
        <v>33000</v>
      </c>
      <c r="I247" s="88">
        <f t="shared" si="102"/>
        <v>3300</v>
      </c>
      <c r="J247" s="33">
        <f t="shared" si="107"/>
        <v>5.5E-2</v>
      </c>
      <c r="K247" s="33">
        <f t="shared" si="108"/>
        <v>18.181818181818183</v>
      </c>
      <c r="L247" s="79">
        <f t="shared" si="109"/>
        <v>8.581818181818182</v>
      </c>
      <c r="M247" s="1" t="s">
        <v>425</v>
      </c>
    </row>
    <row r="248" spans="1:14">
      <c r="A248" s="1" t="s">
        <v>54</v>
      </c>
      <c r="B248" s="27" t="s">
        <v>151</v>
      </c>
      <c r="C248" s="43" t="s">
        <v>238</v>
      </c>
      <c r="D248" s="43" t="s">
        <v>384</v>
      </c>
      <c r="E248" s="126">
        <v>150000</v>
      </c>
      <c r="F248" s="110">
        <v>3000</v>
      </c>
      <c r="G248" s="31">
        <f t="shared" si="106"/>
        <v>600000</v>
      </c>
      <c r="H248" s="48">
        <v>33000</v>
      </c>
      <c r="I248" s="88">
        <f t="shared" si="102"/>
        <v>3300</v>
      </c>
      <c r="J248" s="33">
        <f t="shared" si="107"/>
        <v>5.5E-2</v>
      </c>
      <c r="K248" s="33">
        <f t="shared" si="108"/>
        <v>18.181818181818183</v>
      </c>
      <c r="L248" s="79">
        <f t="shared" si="109"/>
        <v>8.581818181818182</v>
      </c>
      <c r="M248" s="1" t="s">
        <v>425</v>
      </c>
    </row>
    <row r="249" spans="1:14">
      <c r="A249" s="1" t="s">
        <v>54</v>
      </c>
      <c r="B249" s="27" t="s">
        <v>152</v>
      </c>
      <c r="C249" s="43" t="s">
        <v>239</v>
      </c>
      <c r="D249" s="43" t="s">
        <v>384</v>
      </c>
      <c r="E249" s="126">
        <v>450000</v>
      </c>
      <c r="F249" s="110">
        <v>13000</v>
      </c>
      <c r="G249" s="31">
        <f t="shared" si="106"/>
        <v>2400000</v>
      </c>
      <c r="H249" s="48">
        <v>110000</v>
      </c>
      <c r="I249" s="88">
        <f t="shared" si="102"/>
        <v>11000</v>
      </c>
      <c r="J249" s="33">
        <f t="shared" si="107"/>
        <v>4.583333333333333E-2</v>
      </c>
      <c r="K249" s="33">
        <f t="shared" si="108"/>
        <v>21.818181818181817</v>
      </c>
      <c r="L249" s="79">
        <f t="shared" si="109"/>
        <v>10.298181818181817</v>
      </c>
      <c r="M249" s="1" t="s">
        <v>425</v>
      </c>
    </row>
    <row r="250" spans="1:14">
      <c r="D250" s="11"/>
    </row>
    <row r="251" spans="1:14">
      <c r="B251" s="21" t="s">
        <v>202</v>
      </c>
      <c r="D251" s="25"/>
      <c r="E251" s="121"/>
    </row>
    <row r="252" spans="1:14">
      <c r="A252" s="1" t="s">
        <v>54</v>
      </c>
      <c r="B252" s="27" t="s">
        <v>153</v>
      </c>
      <c r="C252" s="43" t="s">
        <v>163</v>
      </c>
      <c r="D252" s="27" t="s">
        <v>329</v>
      </c>
      <c r="E252" s="126">
        <v>10000</v>
      </c>
      <c r="F252" s="110">
        <v>250</v>
      </c>
      <c r="G252" s="31">
        <f>F252*200+E252</f>
        <v>60000</v>
      </c>
      <c r="H252" s="32">
        <v>3300</v>
      </c>
      <c r="I252" s="89">
        <f t="shared" ref="I252:I280" si="110">H252/10</f>
        <v>330</v>
      </c>
      <c r="J252" s="33">
        <f t="shared" ref="J252:J261" si="111">H252/G252</f>
        <v>5.5E-2</v>
      </c>
      <c r="K252" s="33">
        <f t="shared" ref="K252:K261" si="112">G252/H252</f>
        <v>18.181818181818183</v>
      </c>
      <c r="L252" s="79">
        <f>K252/K$2</f>
        <v>8.581818181818182</v>
      </c>
      <c r="N252" s="160"/>
    </row>
    <row r="253" spans="1:14">
      <c r="A253" s="1" t="s">
        <v>54</v>
      </c>
      <c r="B253" s="27" t="s">
        <v>154</v>
      </c>
      <c r="C253" s="43" t="s">
        <v>164</v>
      </c>
      <c r="D253" s="27" t="s">
        <v>329</v>
      </c>
      <c r="E253" s="126">
        <v>20000</v>
      </c>
      <c r="F253" s="110">
        <v>400</v>
      </c>
      <c r="G253" s="31">
        <f t="shared" ref="G253:G261" si="113">F253*200+E253</f>
        <v>100000</v>
      </c>
      <c r="H253" s="32">
        <v>5500</v>
      </c>
      <c r="I253" s="89">
        <f t="shared" si="110"/>
        <v>550</v>
      </c>
      <c r="J253" s="33">
        <f t="shared" si="111"/>
        <v>5.5E-2</v>
      </c>
      <c r="K253" s="33">
        <f t="shared" si="112"/>
        <v>18.181818181818183</v>
      </c>
      <c r="L253" s="79">
        <f t="shared" ref="L253:L260" si="114">K253/K$2</f>
        <v>8.581818181818182</v>
      </c>
      <c r="N253" s="160"/>
    </row>
    <row r="254" spans="1:14">
      <c r="A254" s="1" t="s">
        <v>54</v>
      </c>
      <c r="B254" s="27" t="s">
        <v>155</v>
      </c>
      <c r="C254" s="43" t="s">
        <v>165</v>
      </c>
      <c r="D254" s="27" t="s">
        <v>329</v>
      </c>
      <c r="E254" s="126">
        <v>40000</v>
      </c>
      <c r="F254" s="110">
        <v>800</v>
      </c>
      <c r="G254" s="31">
        <f t="shared" si="113"/>
        <v>200000</v>
      </c>
      <c r="H254" s="32">
        <v>11000</v>
      </c>
      <c r="I254" s="89">
        <f t="shared" si="110"/>
        <v>1100</v>
      </c>
      <c r="J254" s="33">
        <f t="shared" si="111"/>
        <v>5.5E-2</v>
      </c>
      <c r="K254" s="33">
        <f t="shared" si="112"/>
        <v>18.181818181818183</v>
      </c>
      <c r="L254" s="79">
        <f t="shared" si="114"/>
        <v>8.581818181818182</v>
      </c>
      <c r="N254" s="160"/>
    </row>
    <row r="255" spans="1:14">
      <c r="A255" s="1" t="s">
        <v>54</v>
      </c>
      <c r="B255" s="27" t="s">
        <v>156</v>
      </c>
      <c r="C255" s="43" t="s">
        <v>166</v>
      </c>
      <c r="D255" s="27" t="s">
        <v>329</v>
      </c>
      <c r="E255" s="126">
        <v>120000</v>
      </c>
      <c r="F255" s="110">
        <v>2400</v>
      </c>
      <c r="G255" s="31">
        <f t="shared" si="113"/>
        <v>600000</v>
      </c>
      <c r="H255" s="32">
        <v>33000</v>
      </c>
      <c r="I255" s="89">
        <f t="shared" si="110"/>
        <v>3300</v>
      </c>
      <c r="J255" s="33">
        <f t="shared" si="111"/>
        <v>5.5E-2</v>
      </c>
      <c r="K255" s="33">
        <f t="shared" si="112"/>
        <v>18.181818181818183</v>
      </c>
      <c r="L255" s="79">
        <f t="shared" si="114"/>
        <v>8.581818181818182</v>
      </c>
      <c r="N255" s="160"/>
    </row>
    <row r="256" spans="1:14">
      <c r="A256" s="1" t="s">
        <v>54</v>
      </c>
      <c r="B256" s="27" t="s">
        <v>157</v>
      </c>
      <c r="C256" s="43" t="s">
        <v>167</v>
      </c>
      <c r="D256" s="27" t="s">
        <v>329</v>
      </c>
      <c r="E256" s="126">
        <v>120000</v>
      </c>
      <c r="F256" s="110">
        <v>2400</v>
      </c>
      <c r="G256" s="31">
        <f t="shared" si="113"/>
        <v>600000</v>
      </c>
      <c r="H256" s="32">
        <v>33000</v>
      </c>
      <c r="I256" s="89">
        <f t="shared" si="110"/>
        <v>3300</v>
      </c>
      <c r="J256" s="33">
        <f t="shared" si="111"/>
        <v>5.5E-2</v>
      </c>
      <c r="K256" s="33">
        <f t="shared" si="112"/>
        <v>18.181818181818183</v>
      </c>
      <c r="L256" s="79">
        <f t="shared" si="114"/>
        <v>8.581818181818182</v>
      </c>
      <c r="N256" s="160"/>
    </row>
    <row r="257" spans="1:14">
      <c r="A257" s="1" t="s">
        <v>54</v>
      </c>
      <c r="B257" s="27" t="s">
        <v>158</v>
      </c>
      <c r="C257" s="43" t="s">
        <v>168</v>
      </c>
      <c r="D257" s="27" t="s">
        <v>329</v>
      </c>
      <c r="E257" s="126">
        <v>40000</v>
      </c>
      <c r="F257" s="110">
        <v>800</v>
      </c>
      <c r="G257" s="31">
        <f t="shared" si="113"/>
        <v>200000</v>
      </c>
      <c r="H257" s="32">
        <v>11000</v>
      </c>
      <c r="I257" s="89">
        <f t="shared" si="110"/>
        <v>1100</v>
      </c>
      <c r="J257" s="33">
        <f t="shared" si="111"/>
        <v>5.5E-2</v>
      </c>
      <c r="K257" s="33">
        <f t="shared" si="112"/>
        <v>18.181818181818183</v>
      </c>
      <c r="L257" s="79">
        <f t="shared" si="114"/>
        <v>8.581818181818182</v>
      </c>
      <c r="N257" s="160"/>
    </row>
    <row r="258" spans="1:14">
      <c r="A258" s="1" t="s">
        <v>54</v>
      </c>
      <c r="B258" s="27" t="s">
        <v>159</v>
      </c>
      <c r="C258" s="43" t="s">
        <v>169</v>
      </c>
      <c r="D258" s="27" t="s">
        <v>329</v>
      </c>
      <c r="E258" s="126">
        <v>120000</v>
      </c>
      <c r="F258" s="110">
        <v>2400</v>
      </c>
      <c r="G258" s="31">
        <f t="shared" si="113"/>
        <v>600000</v>
      </c>
      <c r="H258" s="32">
        <v>33000</v>
      </c>
      <c r="I258" s="89">
        <f t="shared" si="110"/>
        <v>3300</v>
      </c>
      <c r="J258" s="33">
        <f t="shared" si="111"/>
        <v>5.5E-2</v>
      </c>
      <c r="K258" s="33">
        <f t="shared" si="112"/>
        <v>18.181818181818183</v>
      </c>
      <c r="L258" s="79">
        <f t="shared" si="114"/>
        <v>8.581818181818182</v>
      </c>
      <c r="N258" s="160"/>
    </row>
    <row r="259" spans="1:14">
      <c r="A259" s="1" t="s">
        <v>54</v>
      </c>
      <c r="B259" s="27" t="s">
        <v>160</v>
      </c>
      <c r="C259" s="43" t="s">
        <v>170</v>
      </c>
      <c r="D259" s="27" t="s">
        <v>329</v>
      </c>
      <c r="E259" s="126">
        <v>120000</v>
      </c>
      <c r="F259" s="110">
        <v>2400</v>
      </c>
      <c r="G259" s="31">
        <f t="shared" si="113"/>
        <v>600000</v>
      </c>
      <c r="H259" s="32">
        <v>33000</v>
      </c>
      <c r="I259" s="89">
        <f t="shared" si="110"/>
        <v>3300</v>
      </c>
      <c r="J259" s="33">
        <f t="shared" si="111"/>
        <v>5.5E-2</v>
      </c>
      <c r="K259" s="33">
        <f t="shared" si="112"/>
        <v>18.181818181818183</v>
      </c>
      <c r="L259" s="79">
        <f t="shared" si="114"/>
        <v>8.581818181818182</v>
      </c>
      <c r="N259" s="160"/>
    </row>
    <row r="260" spans="1:14">
      <c r="A260" s="1" t="s">
        <v>54</v>
      </c>
      <c r="B260" s="27" t="s">
        <v>161</v>
      </c>
      <c r="C260" s="43" t="s">
        <v>171</v>
      </c>
      <c r="D260" s="27" t="s">
        <v>329</v>
      </c>
      <c r="E260" s="126">
        <v>120000</v>
      </c>
      <c r="F260" s="110">
        <v>2400</v>
      </c>
      <c r="G260" s="31">
        <f t="shared" si="113"/>
        <v>600000</v>
      </c>
      <c r="H260" s="32">
        <v>33000</v>
      </c>
      <c r="I260" s="89">
        <f t="shared" si="110"/>
        <v>3300</v>
      </c>
      <c r="J260" s="33">
        <f t="shared" si="111"/>
        <v>5.5E-2</v>
      </c>
      <c r="K260" s="33">
        <f t="shared" si="112"/>
        <v>18.181818181818183</v>
      </c>
      <c r="L260" s="79">
        <f t="shared" si="114"/>
        <v>8.581818181818182</v>
      </c>
      <c r="N260" s="160"/>
    </row>
    <row r="261" spans="1:14">
      <c r="A261" s="1" t="s">
        <v>54</v>
      </c>
      <c r="B261" s="27" t="s">
        <v>162</v>
      </c>
      <c r="C261" s="43" t="s">
        <v>172</v>
      </c>
      <c r="D261" s="27" t="s">
        <v>329</v>
      </c>
      <c r="E261" s="126">
        <v>120000</v>
      </c>
      <c r="F261" s="110">
        <v>2400</v>
      </c>
      <c r="G261" s="31">
        <f t="shared" si="113"/>
        <v>600000</v>
      </c>
      <c r="H261" s="32">
        <v>33000</v>
      </c>
      <c r="I261" s="89">
        <f t="shared" si="110"/>
        <v>3300</v>
      </c>
      <c r="J261" s="33">
        <f t="shared" si="111"/>
        <v>5.5E-2</v>
      </c>
      <c r="K261" s="33">
        <f t="shared" si="112"/>
        <v>18.181818181818183</v>
      </c>
      <c r="L261" s="79">
        <f>K261/K$2</f>
        <v>8.581818181818182</v>
      </c>
      <c r="N261" s="160"/>
    </row>
    <row r="262" spans="1:14">
      <c r="E262" s="124" t="s">
        <v>375</v>
      </c>
      <c r="F262" s="100" t="s">
        <v>11</v>
      </c>
    </row>
    <row r="263" spans="1:14">
      <c r="A263" s="1" t="s">
        <v>54</v>
      </c>
      <c r="B263" s="27" t="s">
        <v>173</v>
      </c>
      <c r="C263" s="43" t="s">
        <v>183</v>
      </c>
      <c r="D263" s="27" t="s">
        <v>374</v>
      </c>
      <c r="E263" s="110">
        <v>70</v>
      </c>
      <c r="F263" s="128">
        <v>33000</v>
      </c>
      <c r="G263" s="28">
        <v>72500</v>
      </c>
      <c r="H263" s="29">
        <v>3300</v>
      </c>
      <c r="I263" s="93">
        <f t="shared" si="110"/>
        <v>330</v>
      </c>
      <c r="J263" s="30">
        <f t="shared" ref="J263:J280" si="115">H263/G263</f>
        <v>4.5517241379310347E-2</v>
      </c>
      <c r="K263" s="30">
        <f t="shared" ref="K263:K280" si="116">G263/H263</f>
        <v>21.969696969696969</v>
      </c>
      <c r="L263" s="79">
        <f>K263/K$2</f>
        <v>10.369696969696969</v>
      </c>
      <c r="M263" s="66" t="s">
        <v>376</v>
      </c>
    </row>
    <row r="264" spans="1:14">
      <c r="A264" s="1" t="s">
        <v>54</v>
      </c>
      <c r="B264" s="27" t="s">
        <v>174</v>
      </c>
      <c r="C264" s="43" t="s">
        <v>183</v>
      </c>
      <c r="D264" s="27" t="s">
        <v>368</v>
      </c>
      <c r="E264" s="110">
        <v>57</v>
      </c>
      <c r="F264" s="128">
        <v>57000</v>
      </c>
      <c r="G264" s="28">
        <v>119700</v>
      </c>
      <c r="H264" s="29">
        <v>5500</v>
      </c>
      <c r="I264" s="93">
        <f t="shared" si="110"/>
        <v>550</v>
      </c>
      <c r="J264" s="30">
        <f t="shared" si="115"/>
        <v>4.5948203842940682E-2</v>
      </c>
      <c r="K264" s="30">
        <f t="shared" si="116"/>
        <v>21.763636363636362</v>
      </c>
      <c r="L264" s="79">
        <f t="shared" ref="L264:L280" si="117">K264/K$2</f>
        <v>10.272436363636363</v>
      </c>
      <c r="M264" s="66" t="s">
        <v>376</v>
      </c>
    </row>
    <row r="265" spans="1:14">
      <c r="A265" s="1" t="s">
        <v>54</v>
      </c>
      <c r="B265" s="27" t="s">
        <v>175</v>
      </c>
      <c r="C265" s="43" t="s">
        <v>184</v>
      </c>
      <c r="D265" s="27" t="s">
        <v>369</v>
      </c>
      <c r="E265" s="110">
        <v>77</v>
      </c>
      <c r="F265" s="128">
        <v>110000</v>
      </c>
      <c r="G265" s="28">
        <v>239800</v>
      </c>
      <c r="H265" s="29">
        <v>11000</v>
      </c>
      <c r="I265" s="93">
        <f t="shared" si="110"/>
        <v>1100</v>
      </c>
      <c r="J265" s="30">
        <f t="shared" si="115"/>
        <v>4.5871559633027525E-2</v>
      </c>
      <c r="K265" s="30">
        <f t="shared" si="116"/>
        <v>21.8</v>
      </c>
      <c r="L265" s="79">
        <f t="shared" si="117"/>
        <v>10.2896</v>
      </c>
      <c r="M265" s="66" t="s">
        <v>376</v>
      </c>
    </row>
    <row r="266" spans="1:14">
      <c r="A266" s="1" t="s">
        <v>54</v>
      </c>
      <c r="B266" s="27" t="s">
        <v>176</v>
      </c>
      <c r="C266" s="43" t="s">
        <v>184</v>
      </c>
      <c r="D266" s="27" t="s">
        <v>370</v>
      </c>
      <c r="E266" s="110">
        <v>137</v>
      </c>
      <c r="F266" s="128">
        <v>340000</v>
      </c>
      <c r="G266" s="28">
        <v>718000</v>
      </c>
      <c r="H266" s="29">
        <v>33000</v>
      </c>
      <c r="I266" s="93">
        <f t="shared" si="110"/>
        <v>3300</v>
      </c>
      <c r="J266" s="30">
        <f t="shared" si="115"/>
        <v>4.596100278551532E-2</v>
      </c>
      <c r="K266" s="30">
        <f t="shared" si="116"/>
        <v>21.757575757575758</v>
      </c>
      <c r="L266" s="79">
        <f t="shared" si="117"/>
        <v>10.269575757575756</v>
      </c>
      <c r="M266" s="66" t="s">
        <v>376</v>
      </c>
    </row>
    <row r="267" spans="1:14">
      <c r="A267" s="1" t="s">
        <v>54</v>
      </c>
      <c r="B267" s="27" t="s">
        <v>177</v>
      </c>
      <c r="C267" s="43" t="s">
        <v>185</v>
      </c>
      <c r="D267" s="27" t="s">
        <v>371</v>
      </c>
      <c r="E267" s="110">
        <v>110</v>
      </c>
      <c r="F267" s="128">
        <v>300000</v>
      </c>
      <c r="G267" s="28">
        <v>1206000</v>
      </c>
      <c r="H267" s="29">
        <v>55000</v>
      </c>
      <c r="I267" s="93">
        <f t="shared" si="110"/>
        <v>5500</v>
      </c>
      <c r="J267" s="30">
        <f t="shared" si="115"/>
        <v>4.5605306799336651E-2</v>
      </c>
      <c r="K267" s="30">
        <f t="shared" si="116"/>
        <v>21.927272727272726</v>
      </c>
      <c r="L267" s="79">
        <f t="shared" si="117"/>
        <v>10.349672727272726</v>
      </c>
      <c r="M267" s="66" t="s">
        <v>376</v>
      </c>
    </row>
    <row r="268" spans="1:14">
      <c r="A268" s="1" t="s">
        <v>54</v>
      </c>
      <c r="B268" s="27" t="s">
        <v>178</v>
      </c>
      <c r="C268" s="43" t="s">
        <v>185</v>
      </c>
      <c r="D268" s="27" t="s">
        <v>372</v>
      </c>
      <c r="E268" s="110">
        <v>29</v>
      </c>
      <c r="F268" s="128">
        <v>60000</v>
      </c>
      <c r="G268" s="31">
        <v>238800</v>
      </c>
      <c r="H268" s="32">
        <v>11000</v>
      </c>
      <c r="I268" s="89">
        <f t="shared" si="110"/>
        <v>1100</v>
      </c>
      <c r="J268" s="33">
        <f t="shared" si="115"/>
        <v>4.6063651591289785E-2</v>
      </c>
      <c r="K268" s="33">
        <f t="shared" si="116"/>
        <v>21.709090909090911</v>
      </c>
      <c r="L268" s="79">
        <f t="shared" si="117"/>
        <v>10.246690909090908</v>
      </c>
      <c r="M268" s="66" t="s">
        <v>376</v>
      </c>
    </row>
    <row r="269" spans="1:14">
      <c r="A269" s="1" t="s">
        <v>54</v>
      </c>
      <c r="B269" s="27" t="s">
        <v>179</v>
      </c>
      <c r="C269" s="43" t="s">
        <v>186</v>
      </c>
      <c r="D269" s="27" t="s">
        <v>371</v>
      </c>
      <c r="E269" s="110">
        <v>50</v>
      </c>
      <c r="F269" s="128">
        <v>480000</v>
      </c>
      <c r="G269" s="31">
        <v>720000</v>
      </c>
      <c r="H269" s="32">
        <v>33000</v>
      </c>
      <c r="I269" s="89">
        <f t="shared" si="110"/>
        <v>3300</v>
      </c>
      <c r="J269" s="33">
        <f t="shared" si="115"/>
        <v>4.583333333333333E-2</v>
      </c>
      <c r="K269" s="33">
        <f t="shared" si="116"/>
        <v>21.818181818181817</v>
      </c>
      <c r="L269" s="79">
        <f t="shared" si="117"/>
        <v>10.298181818181817</v>
      </c>
      <c r="M269" s="66" t="s">
        <v>376</v>
      </c>
    </row>
    <row r="270" spans="1:14">
      <c r="A270" s="1" t="s">
        <v>54</v>
      </c>
      <c r="B270" s="27" t="s">
        <v>180</v>
      </c>
      <c r="C270" s="43" t="s">
        <v>186</v>
      </c>
      <c r="D270" s="27" t="s">
        <v>373</v>
      </c>
      <c r="E270" s="110">
        <v>84</v>
      </c>
      <c r="F270" s="128">
        <v>260000</v>
      </c>
      <c r="G270" s="31">
        <v>1205200</v>
      </c>
      <c r="H270" s="32">
        <v>55000</v>
      </c>
      <c r="I270" s="89">
        <f t="shared" si="110"/>
        <v>5500</v>
      </c>
      <c r="J270" s="33">
        <f t="shared" si="115"/>
        <v>4.5635579156986392E-2</v>
      </c>
      <c r="K270" s="33">
        <f t="shared" si="116"/>
        <v>21.912727272727274</v>
      </c>
      <c r="L270" s="79">
        <f t="shared" si="117"/>
        <v>10.342807272727272</v>
      </c>
      <c r="M270" s="66" t="s">
        <v>376</v>
      </c>
    </row>
    <row r="271" spans="1:14">
      <c r="A271" s="1" t="s">
        <v>54</v>
      </c>
      <c r="B271" s="27" t="s">
        <v>181</v>
      </c>
      <c r="C271" s="43" t="s">
        <v>187</v>
      </c>
      <c r="D271" s="27" t="s">
        <v>372</v>
      </c>
      <c r="E271" s="110">
        <v>30</v>
      </c>
      <c r="F271" s="128">
        <v>50000</v>
      </c>
      <c r="G271" s="34">
        <v>241000</v>
      </c>
      <c r="H271" s="35">
        <v>11000</v>
      </c>
      <c r="I271" s="94">
        <f t="shared" si="110"/>
        <v>1100</v>
      </c>
      <c r="J271" s="36">
        <f t="shared" si="115"/>
        <v>4.5643153526970952E-2</v>
      </c>
      <c r="K271" s="36">
        <f t="shared" si="116"/>
        <v>21.90909090909091</v>
      </c>
      <c r="L271" s="79">
        <f t="shared" si="117"/>
        <v>10.341090909090909</v>
      </c>
      <c r="M271" s="66" t="s">
        <v>376</v>
      </c>
    </row>
    <row r="272" spans="1:14">
      <c r="A272" s="1" t="s">
        <v>54</v>
      </c>
      <c r="B272" s="27" t="s">
        <v>182</v>
      </c>
      <c r="C272" s="43" t="s">
        <v>187</v>
      </c>
      <c r="D272" s="27" t="s">
        <v>370</v>
      </c>
      <c r="E272" s="110">
        <v>160</v>
      </c>
      <c r="F272" s="128">
        <v>160000</v>
      </c>
      <c r="G272" s="34">
        <v>720000</v>
      </c>
      <c r="H272" s="35">
        <v>33000</v>
      </c>
      <c r="I272" s="94">
        <f t="shared" si="110"/>
        <v>3300</v>
      </c>
      <c r="J272" s="36">
        <f t="shared" si="115"/>
        <v>4.583333333333333E-2</v>
      </c>
      <c r="K272" s="36">
        <f t="shared" si="116"/>
        <v>21.818181818181817</v>
      </c>
      <c r="L272" s="79">
        <f t="shared" si="117"/>
        <v>10.298181818181817</v>
      </c>
      <c r="M272" s="66" t="s">
        <v>376</v>
      </c>
    </row>
    <row r="273" spans="1:13">
      <c r="A273" s="1" t="s">
        <v>54</v>
      </c>
      <c r="B273" s="27" t="s">
        <v>192</v>
      </c>
      <c r="C273" s="43" t="s">
        <v>188</v>
      </c>
      <c r="D273" s="27" t="s">
        <v>371</v>
      </c>
      <c r="E273" s="110">
        <v>110</v>
      </c>
      <c r="F273" s="128">
        <v>300000</v>
      </c>
      <c r="G273" s="34">
        <v>1206000</v>
      </c>
      <c r="H273" s="35">
        <v>55000</v>
      </c>
      <c r="I273" s="94">
        <f t="shared" si="110"/>
        <v>5500</v>
      </c>
      <c r="J273" s="36">
        <f t="shared" si="115"/>
        <v>4.5605306799336651E-2</v>
      </c>
      <c r="K273" s="36">
        <f t="shared" si="116"/>
        <v>21.927272727272726</v>
      </c>
      <c r="L273" s="79">
        <f t="shared" si="117"/>
        <v>10.349672727272726</v>
      </c>
      <c r="M273" s="66" t="s">
        <v>376</v>
      </c>
    </row>
    <row r="274" spans="1:13">
      <c r="A274" s="1" t="s">
        <v>54</v>
      </c>
      <c r="B274" s="27" t="s">
        <v>193</v>
      </c>
      <c r="C274" s="43" t="s">
        <v>188</v>
      </c>
      <c r="D274" s="27" t="s">
        <v>369</v>
      </c>
      <c r="E274" s="110">
        <v>85</v>
      </c>
      <c r="F274" s="128">
        <v>75000</v>
      </c>
      <c r="G274" s="37">
        <v>241500</v>
      </c>
      <c r="H274" s="38">
        <v>11000</v>
      </c>
      <c r="I274" s="95">
        <f t="shared" si="110"/>
        <v>1100</v>
      </c>
      <c r="J274" s="39">
        <f t="shared" si="115"/>
        <v>4.5548654244306416E-2</v>
      </c>
      <c r="K274" s="39">
        <f t="shared" si="116"/>
        <v>21.954545454545453</v>
      </c>
      <c r="L274" s="79">
        <f t="shared" si="117"/>
        <v>10.362545454545453</v>
      </c>
      <c r="M274" s="66" t="s">
        <v>376</v>
      </c>
    </row>
    <row r="275" spans="1:13">
      <c r="A275" s="1" t="s">
        <v>54</v>
      </c>
      <c r="B275" s="27" t="s">
        <v>194</v>
      </c>
      <c r="C275" s="43" t="s">
        <v>189</v>
      </c>
      <c r="D275" s="27" t="s">
        <v>373</v>
      </c>
      <c r="E275" s="110">
        <v>50</v>
      </c>
      <c r="F275" s="128">
        <v>160000</v>
      </c>
      <c r="G275" s="37">
        <v>720000</v>
      </c>
      <c r="H275" s="38">
        <v>33000</v>
      </c>
      <c r="I275" s="95">
        <f t="shared" si="110"/>
        <v>3300</v>
      </c>
      <c r="J275" s="39">
        <f t="shared" si="115"/>
        <v>4.583333333333333E-2</v>
      </c>
      <c r="K275" s="39">
        <f t="shared" si="116"/>
        <v>21.818181818181817</v>
      </c>
      <c r="L275" s="79">
        <f t="shared" si="117"/>
        <v>10.298181818181817</v>
      </c>
      <c r="M275" s="66" t="s">
        <v>376</v>
      </c>
    </row>
    <row r="276" spans="1:13">
      <c r="A276" s="1" t="s">
        <v>54</v>
      </c>
      <c r="B276" s="27" t="s">
        <v>195</v>
      </c>
      <c r="C276" s="43" t="s">
        <v>189</v>
      </c>
      <c r="D276" s="27" t="s">
        <v>371</v>
      </c>
      <c r="E276" s="110">
        <v>110</v>
      </c>
      <c r="F276" s="128">
        <v>300000</v>
      </c>
      <c r="G276" s="37">
        <v>1201000</v>
      </c>
      <c r="H276" s="38">
        <v>55000</v>
      </c>
      <c r="I276" s="95">
        <f t="shared" si="110"/>
        <v>5500</v>
      </c>
      <c r="J276" s="39">
        <f t="shared" si="115"/>
        <v>4.5795170691090757E-2</v>
      </c>
      <c r="K276" s="39">
        <f t="shared" si="116"/>
        <v>21.836363636363636</v>
      </c>
      <c r="L276" s="79">
        <f t="shared" si="117"/>
        <v>10.306763636363636</v>
      </c>
      <c r="M276" s="66" t="s">
        <v>376</v>
      </c>
    </row>
    <row r="277" spans="1:13">
      <c r="A277" s="1" t="s">
        <v>54</v>
      </c>
      <c r="B277" s="27" t="s">
        <v>196</v>
      </c>
      <c r="C277" s="43" t="s">
        <v>190</v>
      </c>
      <c r="D277" s="27" t="s">
        <v>370</v>
      </c>
      <c r="E277" s="110">
        <v>160</v>
      </c>
      <c r="F277" s="128">
        <v>160000</v>
      </c>
      <c r="G277" s="40">
        <v>720000</v>
      </c>
      <c r="H277" s="41">
        <v>33000</v>
      </c>
      <c r="I277" s="96">
        <f t="shared" si="110"/>
        <v>3300</v>
      </c>
      <c r="J277" s="42">
        <f t="shared" si="115"/>
        <v>4.583333333333333E-2</v>
      </c>
      <c r="K277" s="42">
        <f t="shared" si="116"/>
        <v>21.818181818181817</v>
      </c>
      <c r="L277" s="79">
        <f t="shared" si="117"/>
        <v>10.298181818181817</v>
      </c>
      <c r="M277" s="66" t="s">
        <v>376</v>
      </c>
    </row>
    <row r="278" spans="1:13">
      <c r="A278" s="1" t="s">
        <v>54</v>
      </c>
      <c r="B278" s="27" t="s">
        <v>197</v>
      </c>
      <c r="C278" s="43" t="s">
        <v>190</v>
      </c>
      <c r="D278" s="27" t="s">
        <v>369</v>
      </c>
      <c r="E278" s="110">
        <v>270</v>
      </c>
      <c r="F278" s="128">
        <v>140000</v>
      </c>
      <c r="G278" s="40">
        <v>718000</v>
      </c>
      <c r="H278" s="41">
        <v>33000</v>
      </c>
      <c r="I278" s="96">
        <f t="shared" si="110"/>
        <v>3300</v>
      </c>
      <c r="J278" s="42">
        <f t="shared" si="115"/>
        <v>4.596100278551532E-2</v>
      </c>
      <c r="K278" s="42">
        <f t="shared" si="116"/>
        <v>21.757575757575758</v>
      </c>
      <c r="L278" s="79">
        <f t="shared" si="117"/>
        <v>10.269575757575756</v>
      </c>
      <c r="M278" s="66" t="s">
        <v>376</v>
      </c>
    </row>
    <row r="279" spans="1:13">
      <c r="A279" s="1" t="s">
        <v>54</v>
      </c>
      <c r="B279" s="27" t="s">
        <v>198</v>
      </c>
      <c r="C279" s="43" t="s">
        <v>191</v>
      </c>
      <c r="D279" s="27" t="s">
        <v>371</v>
      </c>
      <c r="E279" s="110">
        <v>110</v>
      </c>
      <c r="F279" s="128">
        <v>300000</v>
      </c>
      <c r="G279" s="40">
        <v>1206000</v>
      </c>
      <c r="H279" s="41">
        <v>55000</v>
      </c>
      <c r="I279" s="96">
        <f t="shared" si="110"/>
        <v>5500</v>
      </c>
      <c r="J279" s="42">
        <f t="shared" si="115"/>
        <v>4.5605306799336651E-2</v>
      </c>
      <c r="K279" s="42">
        <f t="shared" si="116"/>
        <v>21.927272727272726</v>
      </c>
      <c r="L279" s="79">
        <f t="shared" si="117"/>
        <v>10.349672727272726</v>
      </c>
      <c r="M279" s="66" t="s">
        <v>376</v>
      </c>
    </row>
    <row r="280" spans="1:13">
      <c r="A280" s="1" t="s">
        <v>54</v>
      </c>
      <c r="B280" s="27" t="s">
        <v>199</v>
      </c>
      <c r="C280" s="43" t="s">
        <v>191</v>
      </c>
      <c r="D280" s="27" t="s">
        <v>372</v>
      </c>
      <c r="E280" s="110">
        <v>89</v>
      </c>
      <c r="F280" s="128">
        <v>160000</v>
      </c>
      <c r="G280" s="31">
        <v>720800</v>
      </c>
      <c r="H280" s="32">
        <v>33000</v>
      </c>
      <c r="I280" s="89">
        <f t="shared" si="110"/>
        <v>3300</v>
      </c>
      <c r="J280" s="33">
        <f t="shared" si="115"/>
        <v>4.5782463928967815E-2</v>
      </c>
      <c r="K280" s="33">
        <f t="shared" si="116"/>
        <v>21.842424242424244</v>
      </c>
      <c r="L280" s="79">
        <f t="shared" si="117"/>
        <v>10.309624242424242</v>
      </c>
      <c r="M280" s="66" t="s">
        <v>376</v>
      </c>
    </row>
    <row r="281" spans="1:13">
      <c r="F281" s="125"/>
    </row>
    <row r="282" spans="1:13">
      <c r="B282" s="21" t="s">
        <v>203</v>
      </c>
      <c r="F282" s="125" t="s">
        <v>377</v>
      </c>
    </row>
    <row r="283" spans="1:13">
      <c r="A283" s="1" t="s">
        <v>54</v>
      </c>
      <c r="B283" s="27" t="s">
        <v>204</v>
      </c>
      <c r="C283" s="43">
        <v>1000</v>
      </c>
      <c r="D283" s="27" t="s">
        <v>427</v>
      </c>
      <c r="E283" s="126">
        <v>20000</v>
      </c>
      <c r="F283" s="110">
        <v>2744056000</v>
      </c>
      <c r="G283" s="31">
        <v>72000</v>
      </c>
      <c r="H283" s="32">
        <v>5500</v>
      </c>
      <c r="I283" s="89">
        <f t="shared" ref="I283:I292" si="118">H283/10</f>
        <v>550</v>
      </c>
      <c r="J283" s="49">
        <f t="shared" ref="J283:J292" si="119">H283/G283</f>
        <v>7.6388888888888895E-2</v>
      </c>
      <c r="K283" s="49">
        <f t="shared" ref="K283:K292" si="120">G283/H283</f>
        <v>13.090909090909092</v>
      </c>
      <c r="L283" s="44">
        <f t="shared" ref="L283" si="121">K283/K$2</f>
        <v>6.1789090909090909</v>
      </c>
      <c r="M283" s="66" t="s">
        <v>376</v>
      </c>
    </row>
    <row r="284" spans="1:13">
      <c r="A284" s="1" t="s">
        <v>54</v>
      </c>
      <c r="B284" s="27" t="s">
        <v>205</v>
      </c>
      <c r="C284" s="43">
        <v>3000</v>
      </c>
      <c r="D284" s="27" t="s">
        <v>428</v>
      </c>
      <c r="E284" s="126">
        <v>20000</v>
      </c>
      <c r="F284" s="110">
        <v>18341848000</v>
      </c>
      <c r="G284" s="31">
        <v>120000</v>
      </c>
      <c r="H284" s="32">
        <v>5500</v>
      </c>
      <c r="I284" s="89">
        <f t="shared" si="118"/>
        <v>550</v>
      </c>
      <c r="J284" s="49">
        <f t="shared" si="119"/>
        <v>4.583333333333333E-2</v>
      </c>
      <c r="K284" s="49">
        <f t="shared" si="120"/>
        <v>21.818181818181817</v>
      </c>
      <c r="L284" s="44">
        <f t="shared" ref="L284:L292" si="122">K284/K$2</f>
        <v>10.298181818181817</v>
      </c>
      <c r="M284" s="66" t="s">
        <v>376</v>
      </c>
    </row>
    <row r="285" spans="1:13">
      <c r="A285" s="1" t="s">
        <v>54</v>
      </c>
      <c r="B285" s="27" t="s">
        <v>206</v>
      </c>
      <c r="C285" s="43">
        <v>5000</v>
      </c>
      <c r="D285" s="27" t="s">
        <v>428</v>
      </c>
      <c r="E285" s="126">
        <v>40000</v>
      </c>
      <c r="F285" s="110">
        <v>47804344000</v>
      </c>
      <c r="G285" s="31">
        <v>240000</v>
      </c>
      <c r="H285" s="32">
        <v>11000</v>
      </c>
      <c r="I285" s="89">
        <f t="shared" si="118"/>
        <v>1100</v>
      </c>
      <c r="J285" s="49">
        <f t="shared" si="119"/>
        <v>4.583333333333333E-2</v>
      </c>
      <c r="K285" s="49">
        <f t="shared" si="120"/>
        <v>21.818181818181817</v>
      </c>
      <c r="L285" s="44">
        <f t="shared" si="122"/>
        <v>10.298181818181817</v>
      </c>
      <c r="M285" s="66" t="s">
        <v>376</v>
      </c>
    </row>
    <row r="286" spans="1:13">
      <c r="A286" s="1" t="s">
        <v>54</v>
      </c>
      <c r="B286" s="27" t="s">
        <v>207</v>
      </c>
      <c r="C286" s="43">
        <v>7000</v>
      </c>
      <c r="D286" s="27" t="s">
        <v>428</v>
      </c>
      <c r="E286" s="126">
        <v>40000</v>
      </c>
      <c r="F286" s="110">
        <v>79740101000</v>
      </c>
      <c r="G286" s="31">
        <v>240000</v>
      </c>
      <c r="H286" s="32">
        <v>11000</v>
      </c>
      <c r="I286" s="89">
        <f t="shared" si="118"/>
        <v>1100</v>
      </c>
      <c r="J286" s="49">
        <f t="shared" si="119"/>
        <v>4.583333333333333E-2</v>
      </c>
      <c r="K286" s="49">
        <f t="shared" si="120"/>
        <v>21.818181818181817</v>
      </c>
      <c r="L286" s="44">
        <f t="shared" si="122"/>
        <v>10.298181818181817</v>
      </c>
      <c r="M286" s="66" t="s">
        <v>376</v>
      </c>
    </row>
    <row r="287" spans="1:13">
      <c r="A287" s="1" t="s">
        <v>54</v>
      </c>
      <c r="B287" s="27" t="s">
        <v>208</v>
      </c>
      <c r="C287" s="43">
        <v>9000</v>
      </c>
      <c r="D287" s="27" t="s">
        <v>428</v>
      </c>
      <c r="E287" s="126">
        <v>40000</v>
      </c>
      <c r="F287" s="110">
        <v>129783016999.99998</v>
      </c>
      <c r="G287" s="31">
        <v>240000</v>
      </c>
      <c r="H287" s="32">
        <v>11000</v>
      </c>
      <c r="I287" s="89">
        <f t="shared" si="118"/>
        <v>1100</v>
      </c>
      <c r="J287" s="49">
        <f t="shared" si="119"/>
        <v>4.583333333333333E-2</v>
      </c>
      <c r="K287" s="49">
        <f t="shared" si="120"/>
        <v>21.818181818181817</v>
      </c>
      <c r="L287" s="44">
        <f t="shared" si="122"/>
        <v>10.298181818181817</v>
      </c>
      <c r="M287" s="66" t="s">
        <v>376</v>
      </c>
    </row>
    <row r="288" spans="1:13">
      <c r="A288" s="1" t="s">
        <v>54</v>
      </c>
      <c r="B288" s="27" t="s">
        <v>209</v>
      </c>
      <c r="C288" s="43">
        <v>11000</v>
      </c>
      <c r="D288" s="27" t="s">
        <v>428</v>
      </c>
      <c r="E288" s="126">
        <v>40000</v>
      </c>
      <c r="F288" s="110">
        <v>164535042000</v>
      </c>
      <c r="G288" s="31">
        <v>240000</v>
      </c>
      <c r="H288" s="32">
        <v>11000</v>
      </c>
      <c r="I288" s="89">
        <f t="shared" si="118"/>
        <v>1100</v>
      </c>
      <c r="J288" s="49">
        <f t="shared" si="119"/>
        <v>4.583333333333333E-2</v>
      </c>
      <c r="K288" s="49">
        <f t="shared" si="120"/>
        <v>21.818181818181817</v>
      </c>
      <c r="L288" s="44">
        <f t="shared" si="122"/>
        <v>10.298181818181817</v>
      </c>
      <c r="M288" s="66" t="s">
        <v>376</v>
      </c>
    </row>
    <row r="289" spans="1:13">
      <c r="A289" s="1" t="s">
        <v>54</v>
      </c>
      <c r="B289" s="27" t="s">
        <v>210</v>
      </c>
      <c r="C289" s="43">
        <v>13000</v>
      </c>
      <c r="D289" s="27" t="s">
        <v>428</v>
      </c>
      <c r="E289" s="126">
        <v>80000</v>
      </c>
      <c r="F289" s="110">
        <v>190188355000</v>
      </c>
      <c r="G289" s="31">
        <v>240000</v>
      </c>
      <c r="H289" s="32">
        <v>22000</v>
      </c>
      <c r="I289" s="89">
        <f t="shared" si="118"/>
        <v>2200</v>
      </c>
      <c r="J289" s="49">
        <f t="shared" si="119"/>
        <v>9.166666666666666E-2</v>
      </c>
      <c r="K289" s="49">
        <f t="shared" si="120"/>
        <v>10.909090909090908</v>
      </c>
      <c r="L289" s="44">
        <f t="shared" si="122"/>
        <v>5.1490909090909085</v>
      </c>
      <c r="M289" s="66" t="s">
        <v>376</v>
      </c>
    </row>
    <row r="290" spans="1:13">
      <c r="A290" s="1" t="s">
        <v>54</v>
      </c>
      <c r="B290" s="27" t="s">
        <v>211</v>
      </c>
      <c r="C290" s="43">
        <v>15000</v>
      </c>
      <c r="D290" s="27" t="s">
        <v>428</v>
      </c>
      <c r="E290" s="126">
        <v>80000</v>
      </c>
      <c r="F290" s="110">
        <v>201543692000</v>
      </c>
      <c r="G290" s="31">
        <v>240000</v>
      </c>
      <c r="H290" s="32">
        <v>22000</v>
      </c>
      <c r="I290" s="89">
        <f t="shared" si="118"/>
        <v>2200</v>
      </c>
      <c r="J290" s="49">
        <f t="shared" si="119"/>
        <v>9.166666666666666E-2</v>
      </c>
      <c r="K290" s="49">
        <f t="shared" si="120"/>
        <v>10.909090909090908</v>
      </c>
      <c r="L290" s="44">
        <f t="shared" si="122"/>
        <v>5.1490909090909085</v>
      </c>
      <c r="M290" s="66" t="s">
        <v>376</v>
      </c>
    </row>
    <row r="291" spans="1:13">
      <c r="A291" s="1" t="s">
        <v>54</v>
      </c>
      <c r="B291" s="27" t="s">
        <v>212</v>
      </c>
      <c r="C291" s="43">
        <v>17000</v>
      </c>
      <c r="D291" s="27" t="s">
        <v>428</v>
      </c>
      <c r="E291" s="126">
        <v>80000</v>
      </c>
      <c r="F291" s="110">
        <v>257869052000</v>
      </c>
      <c r="G291" s="31">
        <v>240000</v>
      </c>
      <c r="H291" s="32">
        <v>22000</v>
      </c>
      <c r="I291" s="89">
        <f t="shared" si="118"/>
        <v>2200</v>
      </c>
      <c r="J291" s="49">
        <f t="shared" si="119"/>
        <v>9.166666666666666E-2</v>
      </c>
      <c r="K291" s="49">
        <f t="shared" si="120"/>
        <v>10.909090909090908</v>
      </c>
      <c r="L291" s="44">
        <f t="shared" si="122"/>
        <v>5.1490909090909085</v>
      </c>
      <c r="M291" s="66" t="s">
        <v>376</v>
      </c>
    </row>
    <row r="292" spans="1:13">
      <c r="A292" s="1" t="s">
        <v>54</v>
      </c>
      <c r="B292" s="27" t="s">
        <v>213</v>
      </c>
      <c r="C292" s="43">
        <v>19000</v>
      </c>
      <c r="D292" s="27" t="s">
        <v>428</v>
      </c>
      <c r="E292" s="126">
        <v>80000</v>
      </c>
      <c r="F292" s="110">
        <v>321126764000</v>
      </c>
      <c r="G292" s="31">
        <v>240000</v>
      </c>
      <c r="H292" s="32">
        <v>22000</v>
      </c>
      <c r="I292" s="89">
        <f t="shared" si="118"/>
        <v>2200</v>
      </c>
      <c r="J292" s="49">
        <f t="shared" si="119"/>
        <v>9.166666666666666E-2</v>
      </c>
      <c r="K292" s="49">
        <f t="shared" si="120"/>
        <v>10.909090909090908</v>
      </c>
      <c r="L292" s="44">
        <f t="shared" si="122"/>
        <v>5.1490909090909085</v>
      </c>
      <c r="M292" s="66" t="s">
        <v>376</v>
      </c>
    </row>
    <row r="293" spans="1:13">
      <c r="H293" s="12">
        <f>SUM(H283:H292)</f>
        <v>143000</v>
      </c>
    </row>
    <row r="294" spans="1:13">
      <c r="H294" s="12"/>
    </row>
    <row r="295" spans="1:13">
      <c r="A295" s="1" t="s">
        <v>54</v>
      </c>
      <c r="B295" s="27" t="s">
        <v>214</v>
      </c>
      <c r="C295" s="43" t="s">
        <v>223</v>
      </c>
      <c r="D295" s="27" t="s">
        <v>48</v>
      </c>
      <c r="E295" s="127">
        <v>60000</v>
      </c>
      <c r="F295" s="106">
        <v>0</v>
      </c>
      <c r="G295" s="47">
        <f>4*10000*F295+E295</f>
        <v>60000</v>
      </c>
      <c r="H295" s="32">
        <v>3300</v>
      </c>
      <c r="I295" s="89">
        <f t="shared" ref="I295:I303" si="123">H295/10</f>
        <v>330</v>
      </c>
      <c r="J295" s="49">
        <f t="shared" ref="J295:J303" si="124">H295/G295</f>
        <v>5.5E-2</v>
      </c>
      <c r="K295" s="49">
        <f t="shared" ref="K295:K303" si="125">G295/H295</f>
        <v>18.181818181818183</v>
      </c>
      <c r="L295" s="44">
        <f t="shared" ref="L295:L303" si="126">K295/K$2</f>
        <v>8.581818181818182</v>
      </c>
      <c r="M295" s="1" t="s">
        <v>425</v>
      </c>
    </row>
    <row r="296" spans="1:13">
      <c r="A296" s="1" t="s">
        <v>54</v>
      </c>
      <c r="B296" s="27" t="s">
        <v>215</v>
      </c>
      <c r="C296" s="43" t="s">
        <v>224</v>
      </c>
      <c r="D296" s="27" t="s">
        <v>330</v>
      </c>
      <c r="E296" s="127">
        <v>50000</v>
      </c>
      <c r="F296" s="106">
        <v>150000</v>
      </c>
      <c r="G296" s="47">
        <f>E296+(F296*1/3)</f>
        <v>100000</v>
      </c>
      <c r="H296" s="32">
        <v>5500</v>
      </c>
      <c r="I296" s="89">
        <f t="shared" si="123"/>
        <v>550</v>
      </c>
      <c r="J296" s="49">
        <f t="shared" si="124"/>
        <v>5.5E-2</v>
      </c>
      <c r="K296" s="49">
        <f t="shared" si="125"/>
        <v>18.181818181818183</v>
      </c>
      <c r="L296" s="44">
        <f t="shared" si="126"/>
        <v>8.581818181818182</v>
      </c>
      <c r="M296" s="1" t="s">
        <v>425</v>
      </c>
    </row>
    <row r="297" spans="1:13">
      <c r="A297" s="1" t="s">
        <v>54</v>
      </c>
      <c r="B297" s="27" t="s">
        <v>216</v>
      </c>
      <c r="C297" s="43" t="s">
        <v>225</v>
      </c>
      <c r="D297" s="27" t="s">
        <v>330</v>
      </c>
      <c r="E297" s="127">
        <v>50000</v>
      </c>
      <c r="F297" s="106">
        <v>450000</v>
      </c>
      <c r="G297" s="47">
        <f t="shared" ref="G297:G303" si="127">E297+(F297*1/3)</f>
        <v>200000</v>
      </c>
      <c r="H297" s="32">
        <v>11000</v>
      </c>
      <c r="I297" s="89">
        <f t="shared" si="123"/>
        <v>1100</v>
      </c>
      <c r="J297" s="49">
        <f t="shared" si="124"/>
        <v>5.5E-2</v>
      </c>
      <c r="K297" s="49">
        <f t="shared" si="125"/>
        <v>18.181818181818183</v>
      </c>
      <c r="L297" s="44">
        <f t="shared" si="126"/>
        <v>8.581818181818182</v>
      </c>
      <c r="M297" s="1" t="s">
        <v>425</v>
      </c>
    </row>
    <row r="298" spans="1:13">
      <c r="A298" s="1" t="s">
        <v>54</v>
      </c>
      <c r="B298" s="27" t="s">
        <v>217</v>
      </c>
      <c r="C298" s="43" t="s">
        <v>226</v>
      </c>
      <c r="D298" s="27" t="s">
        <v>330</v>
      </c>
      <c r="E298" s="126">
        <v>50000</v>
      </c>
      <c r="F298" s="106">
        <v>1650000</v>
      </c>
      <c r="G298" s="47">
        <f t="shared" si="127"/>
        <v>600000</v>
      </c>
      <c r="H298" s="32">
        <v>33000</v>
      </c>
      <c r="I298" s="89">
        <f t="shared" si="123"/>
        <v>3300</v>
      </c>
      <c r="J298" s="49">
        <f t="shared" si="124"/>
        <v>5.5E-2</v>
      </c>
      <c r="K298" s="49">
        <f t="shared" si="125"/>
        <v>18.181818181818183</v>
      </c>
      <c r="L298" s="44">
        <f t="shared" si="126"/>
        <v>8.581818181818182</v>
      </c>
      <c r="M298" s="1" t="s">
        <v>425</v>
      </c>
    </row>
    <row r="299" spans="1:13">
      <c r="A299" s="1" t="s">
        <v>54</v>
      </c>
      <c r="B299" s="27" t="s">
        <v>218</v>
      </c>
      <c r="C299" s="43" t="s">
        <v>227</v>
      </c>
      <c r="D299" s="27" t="s">
        <v>330</v>
      </c>
      <c r="E299" s="126">
        <v>50000</v>
      </c>
      <c r="F299" s="106">
        <v>1650000</v>
      </c>
      <c r="G299" s="47">
        <f t="shared" si="127"/>
        <v>600000</v>
      </c>
      <c r="H299" s="32">
        <v>33000</v>
      </c>
      <c r="I299" s="89">
        <f t="shared" si="123"/>
        <v>3300</v>
      </c>
      <c r="J299" s="49">
        <f t="shared" si="124"/>
        <v>5.5E-2</v>
      </c>
      <c r="K299" s="49">
        <f t="shared" si="125"/>
        <v>18.181818181818183</v>
      </c>
      <c r="L299" s="44">
        <f t="shared" si="126"/>
        <v>8.581818181818182</v>
      </c>
      <c r="M299" s="1" t="s">
        <v>425</v>
      </c>
    </row>
    <row r="300" spans="1:13">
      <c r="A300" s="1" t="s">
        <v>54</v>
      </c>
      <c r="B300" s="27" t="s">
        <v>219</v>
      </c>
      <c r="C300" s="43" t="s">
        <v>228</v>
      </c>
      <c r="D300" s="27" t="s">
        <v>330</v>
      </c>
      <c r="E300" s="126">
        <v>50000</v>
      </c>
      <c r="F300" s="106">
        <v>1650000</v>
      </c>
      <c r="G300" s="47">
        <f t="shared" si="127"/>
        <v>600000</v>
      </c>
      <c r="H300" s="32">
        <v>33000</v>
      </c>
      <c r="I300" s="89">
        <f t="shared" si="123"/>
        <v>3300</v>
      </c>
      <c r="J300" s="49">
        <f t="shared" si="124"/>
        <v>5.5E-2</v>
      </c>
      <c r="K300" s="49">
        <f t="shared" si="125"/>
        <v>18.181818181818183</v>
      </c>
      <c r="L300" s="44">
        <f t="shared" si="126"/>
        <v>8.581818181818182</v>
      </c>
      <c r="M300" s="1" t="s">
        <v>425</v>
      </c>
    </row>
    <row r="301" spans="1:13">
      <c r="A301" s="1" t="s">
        <v>54</v>
      </c>
      <c r="B301" s="27" t="s">
        <v>220</v>
      </c>
      <c r="C301" s="43" t="s">
        <v>229</v>
      </c>
      <c r="D301" s="27" t="s">
        <v>330</v>
      </c>
      <c r="E301" s="126">
        <v>50000</v>
      </c>
      <c r="F301" s="106">
        <v>1650000</v>
      </c>
      <c r="G301" s="47">
        <f t="shared" si="127"/>
        <v>600000</v>
      </c>
      <c r="H301" s="32">
        <v>33000</v>
      </c>
      <c r="I301" s="89">
        <f t="shared" si="123"/>
        <v>3300</v>
      </c>
      <c r="J301" s="49">
        <f t="shared" si="124"/>
        <v>5.5E-2</v>
      </c>
      <c r="K301" s="49">
        <f t="shared" si="125"/>
        <v>18.181818181818183</v>
      </c>
      <c r="L301" s="44">
        <f t="shared" si="126"/>
        <v>8.581818181818182</v>
      </c>
      <c r="M301" s="1" t="s">
        <v>425</v>
      </c>
    </row>
    <row r="302" spans="1:13">
      <c r="A302" s="1" t="s">
        <v>54</v>
      </c>
      <c r="B302" s="27" t="s">
        <v>221</v>
      </c>
      <c r="C302" s="43" t="s">
        <v>230</v>
      </c>
      <c r="D302" s="27" t="s">
        <v>330</v>
      </c>
      <c r="E302" s="126">
        <v>50000</v>
      </c>
      <c r="F302" s="106">
        <v>1650000</v>
      </c>
      <c r="G302" s="47">
        <f t="shared" si="127"/>
        <v>600000</v>
      </c>
      <c r="H302" s="32">
        <v>33000</v>
      </c>
      <c r="I302" s="89">
        <f t="shared" si="123"/>
        <v>3300</v>
      </c>
      <c r="J302" s="49">
        <f t="shared" si="124"/>
        <v>5.5E-2</v>
      </c>
      <c r="K302" s="49">
        <f t="shared" si="125"/>
        <v>18.181818181818183</v>
      </c>
      <c r="L302" s="44">
        <f t="shared" si="126"/>
        <v>8.581818181818182</v>
      </c>
      <c r="M302" s="1" t="s">
        <v>425</v>
      </c>
    </row>
    <row r="303" spans="1:13">
      <c r="A303" s="1" t="s">
        <v>54</v>
      </c>
      <c r="B303" s="27" t="s">
        <v>222</v>
      </c>
      <c r="C303" s="43" t="s">
        <v>231</v>
      </c>
      <c r="D303" s="27" t="s">
        <v>330</v>
      </c>
      <c r="E303" s="126">
        <v>50000</v>
      </c>
      <c r="F303" s="106">
        <v>1650000</v>
      </c>
      <c r="G303" s="47">
        <f t="shared" si="127"/>
        <v>600000</v>
      </c>
      <c r="H303" s="32">
        <v>33000</v>
      </c>
      <c r="I303" s="89">
        <f t="shared" si="123"/>
        <v>3300</v>
      </c>
      <c r="J303" s="49">
        <f t="shared" si="124"/>
        <v>5.5E-2</v>
      </c>
      <c r="K303" s="49">
        <f t="shared" si="125"/>
        <v>18.181818181818183</v>
      </c>
      <c r="L303" s="44">
        <f t="shared" si="126"/>
        <v>8.581818181818182</v>
      </c>
      <c r="M303" s="1" t="s">
        <v>425</v>
      </c>
    </row>
    <row r="304" spans="1:13">
      <c r="H304" s="12">
        <f>SUM(H295:H303)</f>
        <v>217800</v>
      </c>
    </row>
    <row r="305" spans="1:17">
      <c r="F305" s="103"/>
      <c r="G305" s="16"/>
      <c r="H305" s="146"/>
      <c r="I305" s="147"/>
      <c r="J305" s="6"/>
      <c r="K305" s="6"/>
    </row>
    <row r="306" spans="1:17">
      <c r="B306" s="21" t="s">
        <v>429</v>
      </c>
      <c r="D306" s="25"/>
      <c r="E306" s="121"/>
      <c r="F306" s="123"/>
      <c r="G306" s="23"/>
      <c r="H306" s="24"/>
      <c r="I306" s="24"/>
      <c r="J306" s="24"/>
      <c r="K306" s="24"/>
      <c r="L306" s="80"/>
      <c r="N306" s="1" t="s">
        <v>452</v>
      </c>
      <c r="O306" s="1" t="s">
        <v>450</v>
      </c>
      <c r="P306" s="1" t="s">
        <v>441</v>
      </c>
    </row>
    <row r="307" spans="1:17">
      <c r="A307" s="1" t="s">
        <v>54</v>
      </c>
      <c r="B307" s="27" t="s">
        <v>430</v>
      </c>
      <c r="C307" s="152">
        <v>200</v>
      </c>
      <c r="D307" s="67" t="s">
        <v>440</v>
      </c>
      <c r="E307" s="126">
        <v>10000</v>
      </c>
      <c r="F307" s="110">
        <v>150</v>
      </c>
      <c r="G307" s="31">
        <f>E307+(F307*600)</f>
        <v>100000</v>
      </c>
      <c r="H307" s="48">
        <v>5500</v>
      </c>
      <c r="I307" s="88">
        <f t="shared" ref="I307:I314" si="128">H307/10</f>
        <v>550</v>
      </c>
      <c r="J307" s="33">
        <f t="shared" ref="J307:J314" si="129">H307/G307</f>
        <v>5.5E-2</v>
      </c>
      <c r="K307" s="33">
        <f t="shared" ref="K307:K314" si="130">G307/H307</f>
        <v>18.181818181818183</v>
      </c>
      <c r="L307" s="79">
        <f t="shared" ref="L307:L314" si="131">K307/K$2</f>
        <v>8.581818181818182</v>
      </c>
      <c r="M307" s="148"/>
      <c r="N307" s="1" t="s">
        <v>451</v>
      </c>
      <c r="O307" s="43">
        <v>200</v>
      </c>
      <c r="P307" s="1">
        <v>200</v>
      </c>
    </row>
    <row r="308" spans="1:17">
      <c r="A308" s="1" t="s">
        <v>54</v>
      </c>
      <c r="B308" s="27" t="s">
        <v>431</v>
      </c>
      <c r="C308" s="152">
        <v>1000</v>
      </c>
      <c r="D308" s="67" t="s">
        <v>440</v>
      </c>
      <c r="E308" s="153">
        <v>20000</v>
      </c>
      <c r="F308" s="154">
        <v>300</v>
      </c>
      <c r="G308" s="155">
        <f t="shared" ref="G308:G316" si="132">E308+(F308*600)</f>
        <v>200000</v>
      </c>
      <c r="H308" s="156">
        <v>11000</v>
      </c>
      <c r="I308" s="157">
        <f t="shared" si="128"/>
        <v>1100</v>
      </c>
      <c r="J308" s="33">
        <f t="shared" si="129"/>
        <v>5.5E-2</v>
      </c>
      <c r="K308" s="33">
        <f t="shared" si="130"/>
        <v>18.181818181818183</v>
      </c>
      <c r="L308" s="79">
        <f t="shared" si="131"/>
        <v>8.581818181818182</v>
      </c>
      <c r="N308" s="1" t="s">
        <v>442</v>
      </c>
      <c r="O308" s="43">
        <v>300</v>
      </c>
      <c r="P308" s="1">
        <f>O307+O308</f>
        <v>500</v>
      </c>
      <c r="Q308" s="1">
        <f>P308*600</f>
        <v>300000</v>
      </c>
    </row>
    <row r="309" spans="1:17">
      <c r="A309" s="1" t="s">
        <v>54</v>
      </c>
      <c r="B309" s="27" t="s">
        <v>432</v>
      </c>
      <c r="C309" s="152">
        <v>2000</v>
      </c>
      <c r="D309" s="67" t="s">
        <v>440</v>
      </c>
      <c r="E309" s="153">
        <v>40000</v>
      </c>
      <c r="F309" s="154">
        <v>600</v>
      </c>
      <c r="G309" s="155">
        <f t="shared" si="132"/>
        <v>400000</v>
      </c>
      <c r="H309" s="156">
        <v>22000</v>
      </c>
      <c r="I309" s="157">
        <f t="shared" si="128"/>
        <v>2200</v>
      </c>
      <c r="J309" s="33">
        <f t="shared" si="129"/>
        <v>5.5E-2</v>
      </c>
      <c r="K309" s="33">
        <f t="shared" si="130"/>
        <v>18.181818181818183</v>
      </c>
      <c r="L309" s="79">
        <f t="shared" si="131"/>
        <v>8.581818181818182</v>
      </c>
      <c r="N309" s="1" t="s">
        <v>443</v>
      </c>
      <c r="O309" s="43">
        <v>500</v>
      </c>
      <c r="P309" s="1">
        <f>P308+O309</f>
        <v>1000</v>
      </c>
      <c r="Q309" s="1">
        <f t="shared" ref="Q309:Q316" si="133">P309*600</f>
        <v>600000</v>
      </c>
    </row>
    <row r="310" spans="1:17">
      <c r="A310" s="1" t="s">
        <v>54</v>
      </c>
      <c r="B310" s="27" t="s">
        <v>433</v>
      </c>
      <c r="C310" s="152">
        <v>3000</v>
      </c>
      <c r="D310" s="67" t="s">
        <v>440</v>
      </c>
      <c r="E310" s="153">
        <v>60000</v>
      </c>
      <c r="F310" s="154">
        <v>900</v>
      </c>
      <c r="G310" s="155">
        <f t="shared" si="132"/>
        <v>600000</v>
      </c>
      <c r="H310" s="156">
        <v>33000</v>
      </c>
      <c r="I310" s="157">
        <f t="shared" si="128"/>
        <v>3300</v>
      </c>
      <c r="J310" s="33">
        <f t="shared" si="129"/>
        <v>5.5E-2</v>
      </c>
      <c r="K310" s="33">
        <f t="shared" si="130"/>
        <v>18.181818181818183</v>
      </c>
      <c r="L310" s="79">
        <f t="shared" si="131"/>
        <v>8.581818181818182</v>
      </c>
      <c r="N310" s="1" t="s">
        <v>444</v>
      </c>
      <c r="O310" s="43">
        <v>700</v>
      </c>
      <c r="P310" s="1">
        <f t="shared" ref="P310:P316" si="134">P309+O310</f>
        <v>1700</v>
      </c>
      <c r="Q310" s="1">
        <f t="shared" si="133"/>
        <v>1020000</v>
      </c>
    </row>
    <row r="311" spans="1:17">
      <c r="A311" s="1" t="s">
        <v>54</v>
      </c>
      <c r="B311" s="27" t="s">
        <v>434</v>
      </c>
      <c r="C311" s="152">
        <v>4000</v>
      </c>
      <c r="D311" s="67" t="s">
        <v>440</v>
      </c>
      <c r="E311" s="153">
        <v>20000</v>
      </c>
      <c r="F311" s="154">
        <v>300</v>
      </c>
      <c r="G311" s="31">
        <f t="shared" si="132"/>
        <v>200000</v>
      </c>
      <c r="H311" s="48">
        <v>11000</v>
      </c>
      <c r="I311" s="88">
        <f t="shared" si="128"/>
        <v>1100</v>
      </c>
      <c r="J311" s="33">
        <f t="shared" si="129"/>
        <v>5.5E-2</v>
      </c>
      <c r="K311" s="33">
        <f t="shared" si="130"/>
        <v>18.181818181818183</v>
      </c>
      <c r="L311" s="79">
        <f t="shared" si="131"/>
        <v>8.581818181818182</v>
      </c>
      <c r="N311" s="1" t="s">
        <v>445</v>
      </c>
      <c r="O311" s="43">
        <v>900</v>
      </c>
      <c r="P311" s="1">
        <f t="shared" si="134"/>
        <v>2600</v>
      </c>
      <c r="Q311" s="1">
        <f t="shared" si="133"/>
        <v>1560000</v>
      </c>
    </row>
    <row r="312" spans="1:17">
      <c r="A312" s="1" t="s">
        <v>54</v>
      </c>
      <c r="B312" s="27" t="s">
        <v>435</v>
      </c>
      <c r="C312" s="152">
        <v>5000</v>
      </c>
      <c r="D312" s="67" t="s">
        <v>440</v>
      </c>
      <c r="E312" s="153">
        <v>40000</v>
      </c>
      <c r="F312" s="154">
        <v>600</v>
      </c>
      <c r="G312" s="31">
        <f t="shared" si="132"/>
        <v>400000</v>
      </c>
      <c r="H312" s="48">
        <v>22000</v>
      </c>
      <c r="I312" s="88">
        <f t="shared" si="128"/>
        <v>2200</v>
      </c>
      <c r="J312" s="33">
        <f t="shared" si="129"/>
        <v>5.5E-2</v>
      </c>
      <c r="K312" s="33">
        <f t="shared" si="130"/>
        <v>18.181818181818183</v>
      </c>
      <c r="L312" s="79">
        <f t="shared" si="131"/>
        <v>8.581818181818182</v>
      </c>
      <c r="N312" s="1" t="s">
        <v>446</v>
      </c>
      <c r="O312" s="43">
        <v>1100</v>
      </c>
      <c r="P312" s="1">
        <f t="shared" si="134"/>
        <v>3700</v>
      </c>
      <c r="Q312" s="1">
        <f t="shared" si="133"/>
        <v>2220000</v>
      </c>
    </row>
    <row r="313" spans="1:17">
      <c r="A313" s="1" t="s">
        <v>54</v>
      </c>
      <c r="B313" s="27" t="s">
        <v>436</v>
      </c>
      <c r="C313" s="152">
        <v>6000</v>
      </c>
      <c r="D313" s="67" t="s">
        <v>440</v>
      </c>
      <c r="E313" s="153">
        <v>60000</v>
      </c>
      <c r="F313" s="154">
        <v>900</v>
      </c>
      <c r="G313" s="31">
        <f t="shared" si="132"/>
        <v>600000</v>
      </c>
      <c r="H313" s="48">
        <v>33000</v>
      </c>
      <c r="I313" s="88">
        <f t="shared" si="128"/>
        <v>3300</v>
      </c>
      <c r="J313" s="33">
        <f t="shared" si="129"/>
        <v>5.5E-2</v>
      </c>
      <c r="K313" s="33">
        <f t="shared" si="130"/>
        <v>18.181818181818183</v>
      </c>
      <c r="L313" s="79">
        <f t="shared" si="131"/>
        <v>8.581818181818182</v>
      </c>
      <c r="N313" s="1" t="s">
        <v>447</v>
      </c>
      <c r="O313" s="43">
        <v>1400</v>
      </c>
      <c r="P313" s="1">
        <f t="shared" si="134"/>
        <v>5100</v>
      </c>
      <c r="Q313" s="1">
        <f t="shared" si="133"/>
        <v>3060000</v>
      </c>
    </row>
    <row r="314" spans="1:17">
      <c r="A314" s="1" t="s">
        <v>54</v>
      </c>
      <c r="B314" s="27" t="s">
        <v>437</v>
      </c>
      <c r="C314" s="152">
        <v>7000</v>
      </c>
      <c r="D314" s="67" t="s">
        <v>440</v>
      </c>
      <c r="E314" s="153">
        <v>20000</v>
      </c>
      <c r="F314" s="154">
        <v>300</v>
      </c>
      <c r="G314" s="155">
        <f t="shared" si="132"/>
        <v>200000</v>
      </c>
      <c r="H314" s="156">
        <v>11000</v>
      </c>
      <c r="I314" s="157">
        <f t="shared" si="128"/>
        <v>1100</v>
      </c>
      <c r="J314" s="33">
        <f t="shared" si="129"/>
        <v>5.5E-2</v>
      </c>
      <c r="K314" s="33">
        <f t="shared" si="130"/>
        <v>18.181818181818183</v>
      </c>
      <c r="L314" s="79">
        <f t="shared" si="131"/>
        <v>8.581818181818182</v>
      </c>
      <c r="N314" s="1" t="s">
        <v>448</v>
      </c>
      <c r="O314" s="43">
        <v>1700</v>
      </c>
      <c r="P314" s="1">
        <f t="shared" si="134"/>
        <v>6800</v>
      </c>
      <c r="Q314" s="1">
        <f t="shared" si="133"/>
        <v>4080000</v>
      </c>
    </row>
    <row r="315" spans="1:17">
      <c r="A315" s="1" t="s">
        <v>54</v>
      </c>
      <c r="B315" s="27" t="s">
        <v>438</v>
      </c>
      <c r="C315" s="152">
        <v>8000</v>
      </c>
      <c r="D315" s="67" t="s">
        <v>440</v>
      </c>
      <c r="E315" s="153">
        <v>40000</v>
      </c>
      <c r="F315" s="154">
        <v>600</v>
      </c>
      <c r="G315" s="155">
        <f t="shared" si="132"/>
        <v>400000</v>
      </c>
      <c r="H315" s="156">
        <v>22000</v>
      </c>
      <c r="I315" s="157">
        <f t="shared" ref="I315:I316" si="135">H315/10</f>
        <v>2200</v>
      </c>
      <c r="J315" s="33">
        <f t="shared" ref="J315:J316" si="136">H315/G315</f>
        <v>5.5E-2</v>
      </c>
      <c r="K315" s="33">
        <f t="shared" ref="K315:K316" si="137">G315/H315</f>
        <v>18.181818181818183</v>
      </c>
      <c r="L315" s="79">
        <f t="shared" ref="L315:L316" si="138">K315/K$2</f>
        <v>8.581818181818182</v>
      </c>
      <c r="N315" s="1" t="s">
        <v>449</v>
      </c>
      <c r="O315" s="43">
        <v>2000</v>
      </c>
      <c r="P315" s="1">
        <f t="shared" si="134"/>
        <v>8800</v>
      </c>
      <c r="Q315" s="1">
        <f t="shared" si="133"/>
        <v>5280000</v>
      </c>
    </row>
    <row r="316" spans="1:17">
      <c r="A316" s="1" t="s">
        <v>54</v>
      </c>
      <c r="B316" s="27" t="s">
        <v>439</v>
      </c>
      <c r="C316" s="152">
        <v>9000</v>
      </c>
      <c r="D316" s="67" t="s">
        <v>440</v>
      </c>
      <c r="E316" s="153">
        <v>60000</v>
      </c>
      <c r="F316" s="154">
        <v>900</v>
      </c>
      <c r="G316" s="155">
        <f t="shared" si="132"/>
        <v>600000</v>
      </c>
      <c r="H316" s="156">
        <v>33000</v>
      </c>
      <c r="I316" s="157">
        <f t="shared" si="135"/>
        <v>3300</v>
      </c>
      <c r="J316" s="33">
        <f t="shared" si="136"/>
        <v>5.5E-2</v>
      </c>
      <c r="K316" s="33">
        <f t="shared" si="137"/>
        <v>18.181818181818183</v>
      </c>
      <c r="L316" s="79">
        <f t="shared" si="138"/>
        <v>8.581818181818182</v>
      </c>
      <c r="O316" s="43">
        <v>3500</v>
      </c>
      <c r="P316" s="1">
        <f t="shared" si="134"/>
        <v>12300</v>
      </c>
      <c r="Q316" s="1">
        <f t="shared" si="133"/>
        <v>7380000</v>
      </c>
    </row>
    <row r="317" spans="1:17">
      <c r="D317" s="8"/>
      <c r="F317" s="101"/>
      <c r="G317" s="150"/>
      <c r="H317" s="12">
        <f>SUM(H307:H316)</f>
        <v>203500</v>
      </c>
      <c r="I317" s="129"/>
      <c r="J317" s="151"/>
      <c r="K317" s="151"/>
      <c r="L317" s="79"/>
    </row>
  </sheetData>
  <mergeCells count="3">
    <mergeCell ref="D182:D184"/>
    <mergeCell ref="D191:D194"/>
    <mergeCell ref="D186:D189"/>
  </mergeCells>
  <phoneticPr fontId="1" type="noConversion"/>
  <conditionalFormatting sqref="L4:L1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9">
    <cfRule type="dataBar" priority="2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7:L31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4:L39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{C5E5056D-0E97-4EB4-8D71-0478663EB984}</x14:id>
        </ext>
      </extLst>
    </cfRule>
  </conditionalFormatting>
  <conditionalFormatting sqref="L41:L45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47:L51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53:L57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62:L78 L82">
    <cfRule type="dataBar" priority="2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9:L81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85:L109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12:L131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12:L179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33:L152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54:L168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70:L17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198:L217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{D3774836-057B-49BF-A577-3C1CC0561486}</x14:id>
        </ext>
      </extLst>
    </cfRule>
  </conditionalFormatting>
  <conditionalFormatting sqref="L220:L225">
    <cfRule type="dataBar" priority="2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{7D9C5564-B205-4606-8518-7542143A913A}</x14:id>
        </ext>
      </extLst>
    </cfRule>
  </conditionalFormatting>
  <conditionalFormatting sqref="L220:L249">
    <cfRule type="dataBar" priority="2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{9F5CE0D0-0F2B-4415-BFB1-5DCA8F3236ED}</x14:id>
        </ext>
      </extLst>
    </cfRule>
  </conditionalFormatting>
  <conditionalFormatting sqref="L227:L232">
    <cfRule type="dataBar" priority="2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{C300A0E2-648C-4005-AE4A-F3DDA166FCA7}</x14:id>
        </ext>
      </extLst>
    </cfRule>
  </conditionalFormatting>
  <conditionalFormatting sqref="L235:L241">
    <cfRule type="dataBar" priority="2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{A537F0F1-8747-4B77-A595-D069780ED057}</x14:id>
        </ext>
      </extLst>
    </cfRule>
  </conditionalFormatting>
  <conditionalFormatting sqref="L243:L249">
    <cfRule type="dataBar" priority="2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{F1A9CA8F-9DA8-4A4C-854F-D87AE6E855A8}</x14:id>
        </ext>
      </extLst>
    </cfRule>
  </conditionalFormatting>
  <conditionalFormatting sqref="L252:L261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{18BC91AE-2BB9-44A0-89CF-709D3612A9FB}</x14:id>
        </ext>
      </extLst>
    </cfRule>
  </conditionalFormatting>
  <conditionalFormatting sqref="L263:L28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{3E45A48B-3D70-42D1-BAC8-79BCC297763B}</x14:id>
        </ext>
      </extLst>
    </cfRule>
  </conditionalFormatting>
  <conditionalFormatting sqref="L283:L29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{E64BD501-892F-411D-9804-071034C4E308}</x14:id>
        </ext>
      </extLst>
    </cfRule>
  </conditionalFormatting>
  <conditionalFormatting sqref="L295:L30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{5AA44D2B-21AA-4B0C-95D9-B6ABF3E6CD68}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{143EDE08-4501-4E46-B376-BE1625C3C123}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{5D357D3F-49A6-4D17-BEEF-B0F81E559298}</x14:id>
        </ext>
      </extLst>
    </cfRule>
  </conditionalFormatting>
  <conditionalFormatting sqref="L304:L317 L20:L294">
    <cfRule type="dataBar" priority="2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304:L317 L187:L190 L183:L185 L192:L294 L20:L181">
    <cfRule type="dataBar" priority="2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conditionalFormatting sqref="L305">
    <cfRule type="dataBar" priority="2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{3E5F3BB8-69F4-4EA8-8E58-C3822801525C}</x14:id>
        </ext>
      </extLst>
    </cfRule>
  </conditionalFormatting>
  <conditionalFormatting sqref="L306:L317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{DDE7A09C-B005-4F3B-AFC9-56110C2EA5C2}</x14:id>
        </ext>
      </extLst>
    </cfRule>
  </conditionalFormatting>
  <conditionalFormatting sqref="L307:L31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{6039BD2E-A36A-4178-BF24-B8582A2FF2AD}</x14:id>
        </ext>
      </extLst>
    </cfRule>
  </conditionalFormatting>
  <conditionalFormatting sqref="L307:L317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{74620703-BF19-4640-AC24-E30BD4F7C856}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53 G226 G132" formula="1"/>
    <ignoredError sqref="H233 F233 F226 H226 H132" formulaRange="1"/>
    <ignoredError sqref="J283:J292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L20:L109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C5E5056D-0E97-4EB4-8D71-0478663EB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L34:L39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L41:L45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L47:L51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L53:L57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L62:L78 L82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L79:L81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L85:L109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L112:L131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L112:L179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L133:L152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L154:L168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L170:L179</xm:sqref>
        </x14:conditionalFormatting>
        <x14:conditionalFormatting xmlns:xm="http://schemas.microsoft.com/office/excel/2006/main">
          <x14:cfRule type="dataBar" id="{D3774836-057B-49BF-A577-3C1CC05614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L198:L217</xm:sqref>
        </x14:conditionalFormatting>
        <x14:conditionalFormatting xmlns:xm="http://schemas.microsoft.com/office/excel/2006/main">
          <x14:cfRule type="dataBar" id="{7D9C5564-B205-4606-8518-7542143A9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L220:L225</xm:sqref>
        </x14:conditionalFormatting>
        <x14:conditionalFormatting xmlns:xm="http://schemas.microsoft.com/office/excel/2006/main">
          <x14:cfRule type="dataBar" id="{9F5CE0D0-0F2B-4415-BFB1-5DCA8F32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L220:L249</xm:sqref>
        </x14:conditionalFormatting>
        <x14:conditionalFormatting xmlns:xm="http://schemas.microsoft.com/office/excel/2006/main">
          <x14:cfRule type="dataBar" id="{C300A0E2-648C-4005-AE4A-F3DDA166FC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L227:L232</xm:sqref>
        </x14:conditionalFormatting>
        <x14:conditionalFormatting xmlns:xm="http://schemas.microsoft.com/office/excel/2006/main">
          <x14:cfRule type="dataBar" id="{A537F0F1-8747-4B77-A595-D069780ED0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L235:L241</xm:sqref>
        </x14:conditionalFormatting>
        <x14:conditionalFormatting xmlns:xm="http://schemas.microsoft.com/office/excel/2006/main">
          <x14:cfRule type="dataBar" id="{F1A9CA8F-9DA8-4A4C-854F-D87AE6E85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L243:L249</xm:sqref>
        </x14:conditionalFormatting>
        <x14:conditionalFormatting xmlns:xm="http://schemas.microsoft.com/office/excel/2006/main">
          <x14:cfRule type="dataBar" id="{18BC91AE-2BB9-44A0-89CF-709D3612A9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L252:L261</xm:sqref>
        </x14:conditionalFormatting>
        <x14:conditionalFormatting xmlns:xm="http://schemas.microsoft.com/office/excel/2006/main">
          <x14:cfRule type="dataBar" id="{3E45A48B-3D70-42D1-BAC8-79BCC29776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L263:L280</xm:sqref>
        </x14:conditionalFormatting>
        <x14:conditionalFormatting xmlns:xm="http://schemas.microsoft.com/office/excel/2006/main">
          <x14:cfRule type="dataBar" id="{E64BD501-892F-411D-9804-071034C4E3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L283:L292</xm:sqref>
        </x14:conditionalFormatting>
        <x14:conditionalFormatting xmlns:xm="http://schemas.microsoft.com/office/excel/2006/main">
          <x14:cfRule type="dataBar" id="{5AA44D2B-21AA-4B0C-95D9-B6ABF3E6CD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3EDE08-4501-4E46-B376-BE1625C3C1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D357D3F-49A6-4D17-BEEF-B0F81E55929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L295:L303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L304:L317 L20:L294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L304:L317 L187:L190 L183:L185 L192:L294 L20:L181</xm:sqref>
        </x14:conditionalFormatting>
        <x14:conditionalFormatting xmlns:xm="http://schemas.microsoft.com/office/excel/2006/main">
          <x14:cfRule type="dataBar" id="{3E5F3BB8-69F4-4EA8-8E58-C382280152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L305</xm:sqref>
        </x14:conditionalFormatting>
        <x14:conditionalFormatting xmlns:xm="http://schemas.microsoft.com/office/excel/2006/main">
          <x14:cfRule type="dataBar" id="{DDE7A09C-B005-4F3B-AFC9-56110C2EA5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L306:L317</xm:sqref>
        </x14:conditionalFormatting>
        <x14:conditionalFormatting xmlns:xm="http://schemas.microsoft.com/office/excel/2006/main">
          <x14:cfRule type="dataBar" id="{6039BD2E-A36A-4178-BF24-B8582A2FF2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L307:L316</xm:sqref>
        </x14:conditionalFormatting>
        <x14:conditionalFormatting xmlns:xm="http://schemas.microsoft.com/office/excel/2006/main">
          <x14:cfRule type="dataBar" id="{74620703-BF19-4640-AC24-E30BD4F7C8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L307:L317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재화 기준</vt:lpstr>
      <vt:lpstr>상품 구성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정기 조</cp:lastModifiedBy>
  <cp:revision/>
  <dcterms:created xsi:type="dcterms:W3CDTF">2025-03-20T05:34:37Z</dcterms:created>
  <dcterms:modified xsi:type="dcterms:W3CDTF">2025-09-18T04:33:52Z</dcterms:modified>
  <cp:category/>
  <cp:contentStatus/>
</cp:coreProperties>
</file>